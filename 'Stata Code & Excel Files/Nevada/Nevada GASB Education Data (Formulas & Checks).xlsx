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Nevada/"/>
    </mc:Choice>
  </mc:AlternateContent>
  <xr:revisionPtr revIDLastSave="0" documentId="13_ncr:1_{499D2E49-5F30-7240-A8C1-A1B160861F6B}" xr6:coauthVersionLast="47" xr6:coauthVersionMax="47" xr10:uidLastSave="{00000000-0000-0000-0000-000000000000}"/>
  <bookViews>
    <workbookView xWindow="11160" yWindow="-28220" windowWidth="28400" windowHeight="28160" activeTab="3" xr2:uid="{5530FB4E-5A09-AD40-81D1-38CA0C3260CA}"/>
  </bookViews>
  <sheets>
    <sheet name="Summary" sheetId="1" r:id="rId1"/>
    <sheet name="LEAID Match" sheetId="3" r:id="rId2"/>
    <sheet name="State Sponsored Charter Schools" sheetId="5" r:id="rId3"/>
    <sheet name="Check" sheetId="2" r:id="rId4"/>
  </sheets>
  <definedNames>
    <definedName name="_xlnm._FilterDatabase" localSheetId="1" hidden="1">'LEAID Match'!$A$1:$B$240</definedName>
    <definedName name="_xlnm._FilterDatabase" localSheetId="0" hidden="1">Summary!$B$1:$J$1943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9" i="2"/>
  <c r="D10" i="2"/>
  <c r="D11" i="2"/>
  <c r="D3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2" i="1"/>
  <c r="K1935" i="1"/>
  <c r="K1936" i="1"/>
  <c r="K1937" i="1"/>
  <c r="K1938" i="1"/>
  <c r="K1939" i="1"/>
  <c r="K1940" i="1"/>
  <c r="K1941" i="1"/>
  <c r="K1942" i="1"/>
  <c r="K1943" i="1"/>
  <c r="H1958" i="1"/>
  <c r="H1959" i="1"/>
  <c r="H1960" i="1"/>
  <c r="I1102" i="1" s="1" a="1"/>
  <c r="I1102" i="1" s="1"/>
  <c r="J1102" i="1" s="1" a="1"/>
  <c r="J1102" i="1" s="1"/>
  <c r="K1102" i="1" s="1"/>
  <c r="H1961" i="1"/>
  <c r="H1962" i="1"/>
  <c r="H1963" i="1"/>
  <c r="H1964" i="1"/>
  <c r="H1965" i="1"/>
  <c r="H1957" i="1"/>
  <c r="C3" i="2"/>
  <c r="C11" i="2"/>
  <c r="C10" i="2"/>
  <c r="C9" i="2"/>
  <c r="C8" i="2"/>
  <c r="C7" i="2"/>
  <c r="C6" i="2"/>
  <c r="C5" i="2"/>
  <c r="C4" i="2"/>
  <c r="I1862" i="1" l="1" a="1"/>
  <c r="I1862" i="1" s="1"/>
  <c r="J1862" i="1" s="1" a="1"/>
  <c r="J1862" i="1" s="1"/>
  <c r="K1862" i="1" s="1"/>
  <c r="I1897" i="1" a="1"/>
  <c r="I1897" i="1" s="1"/>
  <c r="J1897" i="1" s="1" a="1"/>
  <c r="J1897" i="1" s="1"/>
  <c r="K1897" i="1" s="1"/>
  <c r="I1852" i="1" a="1"/>
  <c r="I1852" i="1" s="1"/>
  <c r="J1852" i="1" s="1" a="1"/>
  <c r="J1852" i="1" s="1"/>
  <c r="K1852" i="1" s="1"/>
  <c r="I1795" i="1" a="1"/>
  <c r="I1795" i="1" s="1"/>
  <c r="J1795" i="1" s="1" a="1"/>
  <c r="J1795" i="1" s="1"/>
  <c r="K1795" i="1" s="1"/>
  <c r="I1520" i="1" a="1"/>
  <c r="I1520" i="1" s="1"/>
  <c r="J1520" i="1" s="1" a="1"/>
  <c r="J1520" i="1" s="1"/>
  <c r="K1520" i="1" s="1"/>
  <c r="I1409" i="1" a="1"/>
  <c r="I1409" i="1" s="1"/>
  <c r="J1409" i="1" s="1" a="1"/>
  <c r="J1409" i="1" s="1"/>
  <c r="K1409" i="1" s="1"/>
  <c r="I1191" i="1" a="1"/>
  <c r="I1191" i="1" s="1"/>
  <c r="J1191" i="1" s="1" a="1"/>
  <c r="J1191" i="1" s="1"/>
  <c r="K1191" i="1" s="1"/>
  <c r="I767" i="1" a="1"/>
  <c r="I767" i="1" s="1"/>
  <c r="J767" i="1" s="1" a="1"/>
  <c r="J767" i="1" s="1"/>
  <c r="K767" i="1" s="1"/>
  <c r="I325" i="1" a="1"/>
  <c r="I325" i="1" s="1"/>
  <c r="J325" i="1" s="1" a="1"/>
  <c r="J325" i="1" s="1"/>
  <c r="K325" i="1" s="1"/>
  <c r="I1884" i="1" a="1"/>
  <c r="I1884" i="1" s="1"/>
  <c r="J1884" i="1" s="1" a="1"/>
  <c r="J1884" i="1" s="1"/>
  <c r="K1884" i="1" s="1"/>
  <c r="I1838" i="1" a="1"/>
  <c r="I1838" i="1" s="1"/>
  <c r="J1838" i="1" s="1" a="1"/>
  <c r="J1838" i="1" s="1"/>
  <c r="K1838" i="1" s="1"/>
  <c r="I1672" i="1" a="1"/>
  <c r="I1672" i="1" s="1"/>
  <c r="J1672" i="1" s="1" a="1"/>
  <c r="J1672" i="1" s="1"/>
  <c r="K1672" i="1" s="1"/>
  <c r="I1478" i="1" a="1"/>
  <c r="I1478" i="1" s="1"/>
  <c r="J1478" i="1" s="1" a="1"/>
  <c r="J1478" i="1" s="1"/>
  <c r="K1478" i="1" s="1"/>
  <c r="I1368" i="1" a="1"/>
  <c r="I1368" i="1" s="1"/>
  <c r="J1368" i="1" s="1" a="1"/>
  <c r="J1368" i="1" s="1"/>
  <c r="K1368" i="1" s="1"/>
  <c r="I1256" i="1" a="1"/>
  <c r="I1256" i="1" s="1"/>
  <c r="J1256" i="1" s="1" a="1"/>
  <c r="J1256" i="1" s="1"/>
  <c r="K1256" i="1" s="1"/>
  <c r="I994" i="1" a="1"/>
  <c r="I994" i="1" s="1"/>
  <c r="J994" i="1" s="1" a="1"/>
  <c r="J994" i="1" s="1"/>
  <c r="K994" i="1" s="1"/>
  <c r="I594" i="1" a="1"/>
  <c r="I594" i="1" s="1"/>
  <c r="J594" i="1" s="1" a="1"/>
  <c r="J594" i="1" s="1"/>
  <c r="K594" i="1" s="1"/>
  <c r="I1919" i="1" a="1"/>
  <c r="I1919" i="1" s="1"/>
  <c r="J1919" i="1" s="1" a="1"/>
  <c r="J1919" i="1" s="1"/>
  <c r="K1919" i="1" s="1"/>
  <c r="I1465" i="1" a="1"/>
  <c r="I1465" i="1" s="1"/>
  <c r="J1465" i="1" s="1" a="1"/>
  <c r="J1465" i="1" s="1"/>
  <c r="K1465" i="1" s="1"/>
  <c r="I1354" i="1" a="1"/>
  <c r="I1354" i="1" s="1"/>
  <c r="J1354" i="1" s="1" a="1"/>
  <c r="J1354" i="1" s="1"/>
  <c r="K1354" i="1" s="1"/>
  <c r="I1242" i="1" a="1"/>
  <c r="I1242" i="1" s="1"/>
  <c r="J1242" i="1" s="1" a="1"/>
  <c r="J1242" i="1" s="1"/>
  <c r="K1242" i="1" s="1"/>
  <c r="I1135" i="1" a="1"/>
  <c r="I1135" i="1" s="1"/>
  <c r="J1135" i="1" s="1" a="1"/>
  <c r="J1135" i="1" s="1"/>
  <c r="K1135" i="1" s="1"/>
  <c r="I958" i="1" a="1"/>
  <c r="I958" i="1" s="1"/>
  <c r="J958" i="1" s="1" a="1"/>
  <c r="J958" i="1" s="1"/>
  <c r="K958" i="1" s="1"/>
  <c r="I1907" i="1" a="1"/>
  <c r="I1907" i="1" s="1"/>
  <c r="J1907" i="1" s="1" a="1"/>
  <c r="J1907" i="1" s="1"/>
  <c r="K1907" i="1" s="1"/>
  <c r="I1807" i="1" a="1"/>
  <c r="I1807" i="1" s="1"/>
  <c r="J1807" i="1" s="1" a="1"/>
  <c r="J1807" i="1" s="1"/>
  <c r="K1807" i="1" s="1"/>
  <c r="I1629" i="1" a="1"/>
  <c r="I1629" i="1" s="1"/>
  <c r="J1629" i="1" s="1" a="1"/>
  <c r="J1629" i="1" s="1"/>
  <c r="K1629" i="1" s="1"/>
  <c r="I1534" i="1" a="1"/>
  <c r="I1534" i="1" s="1"/>
  <c r="J1534" i="1" s="1" a="1"/>
  <c r="J1534" i="1" s="1"/>
  <c r="K1534" i="1" s="1"/>
  <c r="I1423" i="1" a="1"/>
  <c r="I1423" i="1" s="1"/>
  <c r="J1423" i="1" s="1" a="1"/>
  <c r="J1423" i="1" s="1"/>
  <c r="K1423" i="1" s="1"/>
  <c r="I1312" i="1" a="1"/>
  <c r="I1312" i="1" s="1"/>
  <c r="J1312" i="1" s="1" a="1"/>
  <c r="J1312" i="1" s="1"/>
  <c r="K1312" i="1" s="1"/>
  <c r="I1203" i="1" a="1"/>
  <c r="I1203" i="1" s="1"/>
  <c r="J1203" i="1" s="1" a="1"/>
  <c r="J1203" i="1" s="1"/>
  <c r="K1203" i="1" s="1"/>
  <c r="I1086" i="1" a="1"/>
  <c r="I1086" i="1" s="1"/>
  <c r="J1086" i="1" s="1" a="1"/>
  <c r="J1086" i="1" s="1"/>
  <c r="K1086" i="1" s="1"/>
  <c r="I818" i="1" a="1"/>
  <c r="I818" i="1" s="1"/>
  <c r="J818" i="1" s="1" a="1"/>
  <c r="J818" i="1" s="1"/>
  <c r="K818" i="1" s="1"/>
  <c r="I376" i="1" a="1"/>
  <c r="I376" i="1" s="1"/>
  <c r="J376" i="1" s="1" a="1"/>
  <c r="J376" i="1" s="1"/>
  <c r="K376" i="1" s="1"/>
  <c r="I1827" i="1" a="1"/>
  <c r="I1827" i="1" s="1"/>
  <c r="J1827" i="1" s="1" a="1"/>
  <c r="J1827" i="1" s="1"/>
  <c r="K1827" i="1" s="1"/>
  <c r="I1652" i="1" a="1"/>
  <c r="I1652" i="1" s="1"/>
  <c r="J1652" i="1" s="1" a="1"/>
  <c r="J1652" i="1" s="1"/>
  <c r="K1652" i="1" s="1"/>
  <c r="I1451" i="1" a="1"/>
  <c r="I1451" i="1" s="1"/>
  <c r="J1451" i="1" s="1" a="1"/>
  <c r="J1451" i="1" s="1"/>
  <c r="K1451" i="1" s="1"/>
  <c r="I1119" i="1" a="1"/>
  <c r="I1119" i="1" s="1"/>
  <c r="J1119" i="1" s="1" a="1"/>
  <c r="J1119" i="1" s="1"/>
  <c r="K1119" i="1" s="1"/>
  <c r="I488" i="1" a="1"/>
  <c r="I488" i="1" s="1"/>
  <c r="J488" i="1" s="1" a="1"/>
  <c r="J488" i="1" s="1"/>
  <c r="K488" i="1" s="1"/>
  <c r="I1863" i="1" a="1"/>
  <c r="I1863" i="1" s="1"/>
  <c r="J1863" i="1" s="1" a="1"/>
  <c r="J1863" i="1" s="1"/>
  <c r="K1863" i="1" s="1"/>
  <c r="I1729" i="1" a="1"/>
  <c r="I1729" i="1" s="1"/>
  <c r="J1729" i="1" s="1" a="1"/>
  <c r="J1729" i="1" s="1"/>
  <c r="K1729" i="1" s="1"/>
  <c r="I1548" i="1" a="1"/>
  <c r="I1548" i="1" s="1"/>
  <c r="J1548" i="1" s="1" a="1"/>
  <c r="J1548" i="1" s="1"/>
  <c r="K1548" i="1" s="1"/>
  <c r="I1326" i="1" a="1"/>
  <c r="I1326" i="1" s="1"/>
  <c r="J1326" i="1" s="1" a="1"/>
  <c r="J1326" i="1" s="1"/>
  <c r="K1326" i="1" s="1"/>
  <c r="I1216" i="1" a="1"/>
  <c r="I1216" i="1" s="1"/>
  <c r="J1216" i="1" s="1" a="1"/>
  <c r="J1216" i="1" s="1"/>
  <c r="K1216" i="1" s="1"/>
  <c r="I864" i="1" a="1"/>
  <c r="I864" i="1" s="1"/>
  <c r="J864" i="1" s="1" a="1"/>
  <c r="J864" i="1" s="1"/>
  <c r="K864" i="1" s="1"/>
  <c r="I432" i="1" a="1"/>
  <c r="I432" i="1" s="1"/>
  <c r="J432" i="1" s="1" a="1"/>
  <c r="J432" i="1" s="1"/>
  <c r="K432" i="1" s="1"/>
  <c r="I12" i="1" a="1"/>
  <c r="I12" i="1" s="1"/>
  <c r="J12" i="1" s="1" a="1"/>
  <c r="J12" i="1" s="1"/>
  <c r="K12" i="1" s="1"/>
  <c r="I18" i="1" a="1"/>
  <c r="I18" i="1" s="1"/>
  <c r="J18" i="1" s="1" a="1"/>
  <c r="J18" i="1" s="1"/>
  <c r="K18" i="1" s="1"/>
  <c r="I24" i="1" a="1"/>
  <c r="I24" i="1" s="1"/>
  <c r="J24" i="1" s="1" a="1"/>
  <c r="J24" i="1" s="1"/>
  <c r="K24" i="1" s="1"/>
  <c r="I29" i="1" a="1"/>
  <c r="I29" i="1" s="1"/>
  <c r="J29" i="1" s="1" a="1"/>
  <c r="J29" i="1" s="1"/>
  <c r="K29" i="1" s="1"/>
  <c r="I47" i="1" a="1"/>
  <c r="I47" i="1" s="1"/>
  <c r="J47" i="1" s="1" a="1"/>
  <c r="J47" i="1" s="1"/>
  <c r="K47" i="1" s="1"/>
  <c r="I53" i="1" a="1"/>
  <c r="I53" i="1" s="1"/>
  <c r="J53" i="1" s="1" a="1"/>
  <c r="J53" i="1" s="1"/>
  <c r="K53" i="1" s="1"/>
  <c r="I59" i="1" a="1"/>
  <c r="I59" i="1" s="1"/>
  <c r="J59" i="1" s="1" a="1"/>
  <c r="J59" i="1" s="1"/>
  <c r="K59" i="1" s="1"/>
  <c r="I70" i="1" a="1"/>
  <c r="I70" i="1" s="1"/>
  <c r="J70" i="1" s="1" a="1"/>
  <c r="J70" i="1" s="1"/>
  <c r="K70" i="1" s="1"/>
  <c r="I82" i="1" a="1"/>
  <c r="I82" i="1" s="1"/>
  <c r="J82" i="1" s="1" a="1"/>
  <c r="J82" i="1" s="1"/>
  <c r="K82" i="1" s="1"/>
  <c r="I89" i="1" a="1"/>
  <c r="I89" i="1" s="1"/>
  <c r="J89" i="1" s="1" a="1"/>
  <c r="J89" i="1" s="1"/>
  <c r="K89" i="1" s="1"/>
  <c r="I94" i="1" a="1"/>
  <c r="I94" i="1" s="1"/>
  <c r="J94" i="1" s="1" a="1"/>
  <c r="J94" i="1" s="1"/>
  <c r="K94" i="1" s="1"/>
  <c r="I111" i="1" a="1"/>
  <c r="I111" i="1" s="1"/>
  <c r="J111" i="1" s="1" a="1"/>
  <c r="J111" i="1" s="1"/>
  <c r="K111" i="1" s="1"/>
  <c r="I117" i="1" a="1"/>
  <c r="I117" i="1" s="1"/>
  <c r="J117" i="1" s="1" a="1"/>
  <c r="J117" i="1" s="1"/>
  <c r="K117" i="1" s="1"/>
  <c r="I129" i="1" a="1"/>
  <c r="I129" i="1" s="1"/>
  <c r="J129" i="1" s="1" a="1"/>
  <c r="J129" i="1" s="1"/>
  <c r="K129" i="1" s="1"/>
  <c r="I134" i="1" a="1"/>
  <c r="I134" i="1" s="1"/>
  <c r="J134" i="1" s="1" a="1"/>
  <c r="J134" i="1" s="1"/>
  <c r="K134" i="1" s="1"/>
  <c r="I140" i="1" a="1"/>
  <c r="I140" i="1" s="1"/>
  <c r="J140" i="1" s="1" a="1"/>
  <c r="J140" i="1" s="1"/>
  <c r="K140" i="1" s="1"/>
  <c r="I153" i="1" a="1"/>
  <c r="I153" i="1" s="1"/>
  <c r="J153" i="1" s="1" a="1"/>
  <c r="J153" i="1" s="1"/>
  <c r="K153" i="1" s="1"/>
  <c r="I158" i="1" a="1"/>
  <c r="I158" i="1" s="1"/>
  <c r="J158" i="1" s="1" a="1"/>
  <c r="J158" i="1" s="1"/>
  <c r="K158" i="1" s="1"/>
  <c r="I164" i="1" a="1"/>
  <c r="I164" i="1" s="1"/>
  <c r="J164" i="1" s="1" a="1"/>
  <c r="J164" i="1" s="1"/>
  <c r="K164" i="1" s="1"/>
  <c r="I177" i="1" a="1"/>
  <c r="I177" i="1" s="1"/>
  <c r="J177" i="1" s="1" a="1"/>
  <c r="J177" i="1" s="1"/>
  <c r="K177" i="1" s="1"/>
  <c r="I183" i="1" a="1"/>
  <c r="I183" i="1" s="1"/>
  <c r="J183" i="1" s="1" a="1"/>
  <c r="J183" i="1" s="1"/>
  <c r="K183" i="1" s="1"/>
  <c r="I200" i="1" a="1"/>
  <c r="I200" i="1" s="1"/>
  <c r="J200" i="1" s="1" a="1"/>
  <c r="J200" i="1" s="1"/>
  <c r="K200" i="1" s="1"/>
  <c r="I205" i="1" a="1"/>
  <c r="I205" i="1" s="1"/>
  <c r="J205" i="1" s="1" a="1"/>
  <c r="J205" i="1" s="1"/>
  <c r="K205" i="1" s="1"/>
  <c r="I217" i="1" a="1"/>
  <c r="I217" i="1" s="1"/>
  <c r="J217" i="1" s="1" a="1"/>
  <c r="J217" i="1" s="1"/>
  <c r="K217" i="1" s="1"/>
  <c r="I222" i="1" a="1"/>
  <c r="I222" i="1" s="1"/>
  <c r="J222" i="1" s="1" a="1"/>
  <c r="J222" i="1" s="1"/>
  <c r="K222" i="1" s="1"/>
  <c r="I228" i="1" a="1"/>
  <c r="I228" i="1" s="1"/>
  <c r="J228" i="1" s="1" a="1"/>
  <c r="J228" i="1" s="1"/>
  <c r="K228" i="1" s="1"/>
  <c r="I235" i="1" a="1"/>
  <c r="I235" i="1" s="1"/>
  <c r="J235" i="1" s="1" a="1"/>
  <c r="J235" i="1" s="1"/>
  <c r="K235" i="1" s="1"/>
  <c r="I241" i="1" a="1"/>
  <c r="I241" i="1" s="1"/>
  <c r="J241" i="1" s="1" a="1"/>
  <c r="J241" i="1" s="1"/>
  <c r="K241" i="1" s="1"/>
  <c r="I246" i="1" a="1"/>
  <c r="I246" i="1" s="1"/>
  <c r="J246" i="1" s="1" a="1"/>
  <c r="J246" i="1" s="1"/>
  <c r="K246" i="1" s="1"/>
  <c r="I265" i="1" a="1"/>
  <c r="I265" i="1" s="1"/>
  <c r="J265" i="1" s="1" a="1"/>
  <c r="J265" i="1" s="1"/>
  <c r="K265" i="1" s="1"/>
  <c r="I270" i="1" a="1"/>
  <c r="I270" i="1" s="1"/>
  <c r="J270" i="1" s="1" a="1"/>
  <c r="J270" i="1" s="1"/>
  <c r="K270" i="1" s="1"/>
  <c r="I275" i="1" a="1"/>
  <c r="I275" i="1" s="1"/>
  <c r="J275" i="1" s="1" a="1"/>
  <c r="J275" i="1" s="1"/>
  <c r="K275" i="1" s="1"/>
  <c r="I287" i="1" a="1"/>
  <c r="I287" i="1" s="1"/>
  <c r="J287" i="1" s="1" a="1"/>
  <c r="J287" i="1" s="1"/>
  <c r="K287" i="1" s="1"/>
  <c r="I293" i="1" a="1"/>
  <c r="I293" i="1" s="1"/>
  <c r="J293" i="1" s="1" a="1"/>
  <c r="J293" i="1" s="1"/>
  <c r="K293" i="1" s="1"/>
  <c r="I305" i="1" a="1"/>
  <c r="I305" i="1" s="1"/>
  <c r="J305" i="1" s="1" a="1"/>
  <c r="J305" i="1" s="1"/>
  <c r="K305" i="1" s="1"/>
  <c r="I311" i="1" a="1"/>
  <c r="I311" i="1" s="1"/>
  <c r="J311" i="1" s="1" a="1"/>
  <c r="J311" i="1" s="1"/>
  <c r="K311" i="1" s="1"/>
  <c r="I316" i="1" a="1"/>
  <c r="I316" i="1" s="1"/>
  <c r="J316" i="1" s="1" a="1"/>
  <c r="J316" i="1" s="1"/>
  <c r="K316" i="1" s="1"/>
  <c r="I328" i="1" a="1"/>
  <c r="I328" i="1" s="1"/>
  <c r="J328" i="1" s="1" a="1"/>
  <c r="J328" i="1" s="1"/>
  <c r="K328" i="1" s="1"/>
  <c r="I333" i="1" a="1"/>
  <c r="I333" i="1" s="1"/>
  <c r="J333" i="1" s="1" a="1"/>
  <c r="J333" i="1" s="1"/>
  <c r="K333" i="1" s="1"/>
  <c r="I339" i="1" a="1"/>
  <c r="I339" i="1" s="1"/>
  <c r="J339" i="1" s="1" a="1"/>
  <c r="J339" i="1" s="1"/>
  <c r="K339" i="1" s="1"/>
  <c r="I346" i="1" a="1"/>
  <c r="I346" i="1" s="1"/>
  <c r="J346" i="1" s="1" a="1"/>
  <c r="J346" i="1" s="1"/>
  <c r="K346" i="1" s="1"/>
  <c r="I352" i="1" a="1"/>
  <c r="I352" i="1" s="1"/>
  <c r="J352" i="1" s="1" a="1"/>
  <c r="J352" i="1" s="1"/>
  <c r="K352" i="1" s="1"/>
  <c r="I358" i="1" a="1"/>
  <c r="I358" i="1" s="1"/>
  <c r="J358" i="1" s="1" a="1"/>
  <c r="J358" i="1" s="1"/>
  <c r="K358" i="1" s="1"/>
  <c r="I365" i="1" a="1"/>
  <c r="I365" i="1" s="1"/>
  <c r="J365" i="1" s="1" a="1"/>
  <c r="J365" i="1" s="1"/>
  <c r="K365" i="1" s="1"/>
  <c r="I380" i="1" a="1"/>
  <c r="I380" i="1" s="1"/>
  <c r="J380" i="1" s="1" a="1"/>
  <c r="J380" i="1" s="1"/>
  <c r="K380" i="1" s="1"/>
  <c r="I386" i="1" a="1"/>
  <c r="I386" i="1" s="1"/>
  <c r="J386" i="1" s="1" a="1"/>
  <c r="J386" i="1" s="1"/>
  <c r="I393" i="1" a="1"/>
  <c r="I393" i="1" s="1"/>
  <c r="J393" i="1" s="1" a="1"/>
  <c r="J393" i="1" s="1"/>
  <c r="I407" i="1" a="1"/>
  <c r="I407" i="1" s="1"/>
  <c r="J407" i="1" s="1" a="1"/>
  <c r="J407" i="1" s="1"/>
  <c r="K407" i="1" s="1"/>
  <c r="I415" i="1" a="1"/>
  <c r="I415" i="1" s="1"/>
  <c r="J415" i="1" s="1" a="1"/>
  <c r="J415" i="1" s="1"/>
  <c r="K415" i="1" s="1"/>
  <c r="I421" i="1" a="1"/>
  <c r="I421" i="1" s="1"/>
  <c r="J421" i="1" s="1" a="1"/>
  <c r="J421" i="1" s="1"/>
  <c r="K421" i="1" s="1"/>
  <c r="I428" i="1" a="1"/>
  <c r="I428" i="1" s="1"/>
  <c r="J428" i="1" s="1" a="1"/>
  <c r="J428" i="1" s="1"/>
  <c r="K428" i="1" s="1"/>
  <c r="I436" i="1" a="1"/>
  <c r="I436" i="1" s="1"/>
  <c r="J436" i="1" s="1" a="1"/>
  <c r="J436" i="1" s="1"/>
  <c r="K436" i="1" s="1"/>
  <c r="I443" i="1" a="1"/>
  <c r="I443" i="1" s="1"/>
  <c r="J443" i="1" s="1" a="1"/>
  <c r="J443" i="1" s="1"/>
  <c r="K443" i="1" s="1"/>
  <c r="I449" i="1" a="1"/>
  <c r="I449" i="1" s="1"/>
  <c r="J449" i="1" s="1" a="1"/>
  <c r="J449" i="1" s="1"/>
  <c r="K449" i="1" s="1"/>
  <c r="I464" i="1" a="1"/>
  <c r="I464" i="1" s="1"/>
  <c r="J464" i="1" s="1" a="1"/>
  <c r="J464" i="1" s="1"/>
  <c r="K464" i="1" s="1"/>
  <c r="I470" i="1" a="1"/>
  <c r="I470" i="1" s="1"/>
  <c r="J470" i="1" s="1" a="1"/>
  <c r="J470" i="1" s="1"/>
  <c r="K470" i="1" s="1"/>
  <c r="I478" i="1" a="1"/>
  <c r="I478" i="1" s="1"/>
  <c r="J478" i="1" s="1" a="1"/>
  <c r="J478" i="1" s="1"/>
  <c r="K478" i="1" s="1"/>
  <c r="I491" i="1" a="1"/>
  <c r="I491" i="1" s="1"/>
  <c r="J491" i="1" s="1" a="1"/>
  <c r="J491" i="1" s="1"/>
  <c r="K491" i="1" s="1"/>
  <c r="I499" i="1" a="1"/>
  <c r="I499" i="1" s="1"/>
  <c r="J499" i="1" s="1" a="1"/>
  <c r="J499" i="1" s="1"/>
  <c r="K499" i="1" s="1"/>
  <c r="I506" i="1" a="1"/>
  <c r="I506" i="1" s="1"/>
  <c r="J506" i="1" s="1" a="1"/>
  <c r="J506" i="1" s="1"/>
  <c r="K506" i="1" s="1"/>
  <c r="I520" i="1" a="1"/>
  <c r="I520" i="1" s="1"/>
  <c r="J520" i="1" s="1" a="1"/>
  <c r="J520" i="1" s="1"/>
  <c r="K520" i="1" s="1"/>
  <c r="I527" i="1" a="1"/>
  <c r="I527" i="1" s="1"/>
  <c r="J527" i="1" s="1" a="1"/>
  <c r="J527" i="1" s="1"/>
  <c r="K527" i="1" s="1"/>
  <c r="I533" i="1" a="1"/>
  <c r="I533" i="1" s="1"/>
  <c r="J533" i="1" s="1" a="1"/>
  <c r="J533" i="1" s="1"/>
  <c r="K533" i="1" s="1"/>
  <c r="I541" i="1" a="1"/>
  <c r="I541" i="1" s="1"/>
  <c r="J541" i="1" s="1" a="1"/>
  <c r="J541" i="1" s="1"/>
  <c r="K541" i="1" s="1"/>
  <c r="I548" i="1" a="1"/>
  <c r="I548" i="1" s="1"/>
  <c r="J548" i="1" s="1" a="1"/>
  <c r="J548" i="1" s="1"/>
  <c r="K548" i="1" s="1"/>
  <c r="I554" i="1" a="1"/>
  <c r="I554" i="1" s="1"/>
  <c r="J554" i="1" s="1" a="1"/>
  <c r="J554" i="1" s="1"/>
  <c r="K554" i="1" s="1"/>
  <c r="I562" i="1" a="1"/>
  <c r="I562" i="1" s="1"/>
  <c r="J562" i="1" s="1" a="1"/>
  <c r="J562" i="1" s="1"/>
  <c r="K562" i="1" s="1"/>
  <c r="I578" i="1" a="1"/>
  <c r="I578" i="1" s="1"/>
  <c r="J578" i="1" s="1" a="1"/>
  <c r="J578" i="1" s="1"/>
  <c r="K578" i="1" s="1"/>
  <c r="I584" i="1" a="1"/>
  <c r="I584" i="1" s="1"/>
  <c r="J584" i="1" s="1" a="1"/>
  <c r="J584" i="1" s="1"/>
  <c r="K584" i="1" s="1"/>
  <c r="I590" i="1" a="1"/>
  <c r="I590" i="1" s="1"/>
  <c r="J590" i="1" s="1" a="1"/>
  <c r="J590" i="1" s="1"/>
  <c r="K590" i="1" s="1"/>
  <c r="I597" i="1" a="1"/>
  <c r="I597" i="1" s="1"/>
  <c r="J597" i="1" s="1" a="1"/>
  <c r="J597" i="1" s="1"/>
  <c r="K597" i="1" s="1"/>
  <c r="I605" i="1" a="1"/>
  <c r="I605" i="1" s="1"/>
  <c r="J605" i="1" s="1" a="1"/>
  <c r="J605" i="1" s="1"/>
  <c r="K605" i="1" s="1"/>
  <c r="I611" i="1" a="1"/>
  <c r="I611" i="1" s="1"/>
  <c r="J611" i="1" s="1" a="1"/>
  <c r="J611" i="1" s="1"/>
  <c r="K611" i="1" s="1"/>
  <c r="I619" i="1" a="1"/>
  <c r="I619" i="1" s="1"/>
  <c r="J619" i="1" s="1" a="1"/>
  <c r="J619" i="1" s="1"/>
  <c r="K619" i="1" s="1"/>
  <c r="I626" i="1" a="1"/>
  <c r="I626" i="1" s="1"/>
  <c r="J626" i="1" s="1" a="1"/>
  <c r="J626" i="1" s="1"/>
  <c r="K626" i="1" s="1"/>
  <c r="I633" i="1" a="1"/>
  <c r="I633" i="1" s="1"/>
  <c r="J633" i="1" s="1" a="1"/>
  <c r="J633" i="1" s="1"/>
  <c r="K633" i="1" s="1"/>
  <c r="I640" i="1" a="1"/>
  <c r="I640" i="1" s="1"/>
  <c r="J640" i="1" s="1" a="1"/>
  <c r="J640" i="1" s="1"/>
  <c r="K640" i="1" s="1"/>
  <c r="I647" i="1" a="1"/>
  <c r="I647" i="1" s="1"/>
  <c r="J647" i="1" s="1" a="1"/>
  <c r="J647" i="1" s="1"/>
  <c r="K647" i="1" s="1"/>
  <c r="I654" i="1" a="1"/>
  <c r="I654" i="1" s="1"/>
  <c r="J654" i="1" s="1" a="1"/>
  <c r="J654" i="1" s="1"/>
  <c r="K654" i="1" s="1"/>
  <c r="I661" i="1" a="1"/>
  <c r="I661" i="1" s="1"/>
  <c r="J661" i="1" s="1" a="1"/>
  <c r="J661" i="1" s="1"/>
  <c r="K661" i="1" s="1"/>
  <c r="I669" i="1" a="1"/>
  <c r="I669" i="1" s="1"/>
  <c r="J669" i="1" s="1" a="1"/>
  <c r="J669" i="1" s="1"/>
  <c r="K669" i="1" s="1"/>
  <c r="I675" i="1" a="1"/>
  <c r="I675" i="1" s="1"/>
  <c r="J675" i="1" s="1" a="1"/>
  <c r="J675" i="1" s="1"/>
  <c r="K675" i="1" s="1"/>
  <c r="I683" i="1" a="1"/>
  <c r="I683" i="1" s="1"/>
  <c r="J683" i="1" s="1" a="1"/>
  <c r="J683" i="1" s="1"/>
  <c r="K683" i="1" s="1"/>
  <c r="I690" i="1" a="1"/>
  <c r="I690" i="1" s="1"/>
  <c r="J690" i="1" s="1" a="1"/>
  <c r="J690" i="1" s="1"/>
  <c r="K690" i="1" s="1"/>
  <c r="I697" i="1" a="1"/>
  <c r="I697" i="1" s="1"/>
  <c r="J697" i="1" s="1" a="1"/>
  <c r="J697" i="1" s="1"/>
  <c r="K697" i="1" s="1"/>
  <c r="I704" i="1" a="1"/>
  <c r="I704" i="1" s="1"/>
  <c r="J704" i="1" s="1" a="1"/>
  <c r="J704" i="1" s="1"/>
  <c r="K704" i="1" s="1"/>
  <c r="I711" i="1" a="1"/>
  <c r="I711" i="1" s="1"/>
  <c r="J711" i="1" s="1" a="1"/>
  <c r="J711" i="1" s="1"/>
  <c r="K711" i="1" s="1"/>
  <c r="I719" i="1" a="1"/>
  <c r="I719" i="1" s="1"/>
  <c r="J719" i="1" s="1" a="1"/>
  <c r="J719" i="1" s="1"/>
  <c r="K719" i="1" s="1"/>
  <c r="I726" i="1" a="1"/>
  <c r="I726" i="1" s="1"/>
  <c r="J726" i="1" s="1" a="1"/>
  <c r="J726" i="1" s="1"/>
  <c r="K726" i="1" s="1"/>
  <c r="I741" i="1" a="1"/>
  <c r="I741" i="1" s="1"/>
  <c r="J741" i="1" s="1" a="1"/>
  <c r="J741" i="1" s="1"/>
  <c r="K741" i="1" s="1"/>
  <c r="I749" i="1" a="1"/>
  <c r="I749" i="1" s="1"/>
  <c r="J749" i="1" s="1" a="1"/>
  <c r="J749" i="1" s="1"/>
  <c r="K749" i="1" s="1"/>
  <c r="I756" i="1" a="1"/>
  <c r="I756" i="1" s="1"/>
  <c r="J756" i="1" s="1" a="1"/>
  <c r="J756" i="1" s="1"/>
  <c r="K756" i="1" s="1"/>
  <c r="I764" i="1" a="1"/>
  <c r="I764" i="1" s="1"/>
  <c r="J764" i="1" s="1" a="1"/>
  <c r="J764" i="1" s="1"/>
  <c r="K764" i="1" s="1"/>
  <c r="I778" i="1" a="1"/>
  <c r="I778" i="1" s="1"/>
  <c r="J778" i="1" s="1" a="1"/>
  <c r="J778" i="1" s="1"/>
  <c r="K778" i="1" s="1"/>
  <c r="I786" i="1" a="1"/>
  <c r="I786" i="1" s="1"/>
  <c r="J786" i="1" s="1" a="1"/>
  <c r="J786" i="1" s="1"/>
  <c r="K786" i="1" s="1"/>
  <c r="I793" i="1" a="1"/>
  <c r="I793" i="1" s="1"/>
  <c r="J793" i="1" s="1" a="1"/>
  <c r="J793" i="1" s="1"/>
  <c r="K793" i="1" s="1"/>
  <c r="I800" i="1" a="1"/>
  <c r="I800" i="1" s="1"/>
  <c r="J800" i="1" s="1" a="1"/>
  <c r="J800" i="1" s="1"/>
  <c r="K800" i="1" s="1"/>
  <c r="I807" i="1" a="1"/>
  <c r="I807" i="1" s="1"/>
  <c r="J807" i="1" s="1" a="1"/>
  <c r="J807" i="1" s="1"/>
  <c r="K807" i="1" s="1"/>
  <c r="I814" i="1" a="1"/>
  <c r="I814" i="1" s="1"/>
  <c r="J814" i="1" s="1" a="1"/>
  <c r="J814" i="1" s="1"/>
  <c r="K814" i="1" s="1"/>
  <c r="I821" i="1" a="1"/>
  <c r="I821" i="1" s="1"/>
  <c r="J821" i="1" s="1" a="1"/>
  <c r="J821" i="1" s="1"/>
  <c r="K821" i="1" s="1"/>
  <c r="I828" i="1" a="1"/>
  <c r="I828" i="1" s="1"/>
  <c r="J828" i="1" s="1" a="1"/>
  <c r="J828" i="1" s="1"/>
  <c r="K828" i="1" s="1"/>
  <c r="I836" i="1" a="1"/>
  <c r="I836" i="1" s="1"/>
  <c r="J836" i="1" s="1" a="1"/>
  <c r="J836" i="1" s="1"/>
  <c r="K836" i="1" s="1"/>
  <c r="I843" i="1" a="1"/>
  <c r="I843" i="1" s="1"/>
  <c r="J843" i="1" s="1" a="1"/>
  <c r="J843" i="1" s="1"/>
  <c r="K843" i="1" s="1"/>
  <c r="I857" i="1" a="1"/>
  <c r="I857" i="1" s="1"/>
  <c r="J857" i="1" s="1" a="1"/>
  <c r="J857" i="1" s="1"/>
  <c r="K857" i="1" s="1"/>
  <c r="I865" i="1" a="1"/>
  <c r="I865" i="1" s="1"/>
  <c r="J865" i="1" s="1" a="1"/>
  <c r="J865" i="1" s="1"/>
  <c r="K865" i="1" s="1"/>
  <c r="I872" i="1" a="1"/>
  <c r="I872" i="1" s="1"/>
  <c r="J872" i="1" s="1" a="1"/>
  <c r="J872" i="1" s="1"/>
  <c r="K872" i="1" s="1"/>
  <c r="I879" i="1" a="1"/>
  <c r="I879" i="1" s="1"/>
  <c r="J879" i="1" s="1" a="1"/>
  <c r="J879" i="1" s="1"/>
  <c r="K879" i="1" s="1"/>
  <c r="I886" i="1" a="1"/>
  <c r="I886" i="1" s="1"/>
  <c r="J886" i="1" s="1" a="1"/>
  <c r="J886" i="1" s="1"/>
  <c r="K886" i="1" s="1"/>
  <c r="I894" i="1" a="1"/>
  <c r="I894" i="1" s="1"/>
  <c r="J894" i="1" s="1" a="1"/>
  <c r="J894" i="1" s="1"/>
  <c r="K894" i="1" s="1"/>
  <c r="I902" i="1" a="1"/>
  <c r="I902" i="1" s="1"/>
  <c r="J902" i="1" s="1" a="1"/>
  <c r="J902" i="1" s="1"/>
  <c r="K902" i="1" s="1"/>
  <c r="I909" i="1" a="1"/>
  <c r="I909" i="1" s="1"/>
  <c r="J909" i="1" s="1" a="1"/>
  <c r="J909" i="1" s="1"/>
  <c r="K909" i="1" s="1"/>
  <c r="I915" i="1" a="1"/>
  <c r="I915" i="1" s="1"/>
  <c r="J915" i="1" s="1" a="1"/>
  <c r="J915" i="1" s="1"/>
  <c r="K915" i="1" s="1"/>
  <c r="I923" i="1" a="1"/>
  <c r="I923" i="1" s="1"/>
  <c r="J923" i="1" s="1" a="1"/>
  <c r="J923" i="1" s="1"/>
  <c r="K923" i="1" s="1"/>
  <c r="I931" i="1" a="1"/>
  <c r="I931" i="1" s="1"/>
  <c r="J931" i="1" s="1" a="1"/>
  <c r="J931" i="1" s="1"/>
  <c r="K931" i="1" s="1"/>
  <c r="I938" i="1" a="1"/>
  <c r="I938" i="1" s="1"/>
  <c r="J938" i="1" s="1" a="1"/>
  <c r="J938" i="1" s="1"/>
  <c r="K938" i="1" s="1"/>
  <c r="I945" i="1" a="1"/>
  <c r="I945" i="1" s="1"/>
  <c r="J945" i="1" s="1" a="1"/>
  <c r="J945" i="1" s="1"/>
  <c r="K945" i="1" s="1"/>
  <c r="I952" i="1" a="1"/>
  <c r="I952" i="1" s="1"/>
  <c r="J952" i="1" s="1" a="1"/>
  <c r="J952" i="1" s="1"/>
  <c r="K952" i="1" s="1"/>
  <c r="I960" i="1" a="1"/>
  <c r="I960" i="1" s="1"/>
  <c r="J960" i="1" s="1" a="1"/>
  <c r="J960" i="1" s="1"/>
  <c r="K960" i="1" s="1"/>
  <c r="I13" i="1" a="1"/>
  <c r="I13" i="1" s="1"/>
  <c r="J13" i="1" s="1" a="1"/>
  <c r="J13" i="1" s="1"/>
  <c r="K13" i="1" s="1"/>
  <c r="I25" i="1" a="1"/>
  <c r="I25" i="1" s="1"/>
  <c r="J25" i="1" s="1" a="1"/>
  <c r="J25" i="1" s="1"/>
  <c r="K25" i="1" s="1"/>
  <c r="I30" i="1" a="1"/>
  <c r="I30" i="1" s="1"/>
  <c r="J30" i="1" s="1" a="1"/>
  <c r="J30" i="1" s="1"/>
  <c r="K30" i="1" s="1"/>
  <c r="I36" i="1" a="1"/>
  <c r="I36" i="1" s="1"/>
  <c r="J36" i="1" s="1" a="1"/>
  <c r="J36" i="1" s="1"/>
  <c r="K36" i="1" s="1"/>
  <c r="I42" i="1" a="1"/>
  <c r="I42" i="1" s="1"/>
  <c r="J42" i="1" s="1" a="1"/>
  <c r="J42" i="1" s="1"/>
  <c r="K42" i="1" s="1"/>
  <c r="I48" i="1" a="1"/>
  <c r="I48" i="1" s="1"/>
  <c r="J48" i="1" s="1" a="1"/>
  <c r="J48" i="1" s="1"/>
  <c r="K48" i="1" s="1"/>
  <c r="I54" i="1" a="1"/>
  <c r="I54" i="1" s="1"/>
  <c r="J54" i="1" s="1" a="1"/>
  <c r="J54" i="1" s="1"/>
  <c r="K54" i="1" s="1"/>
  <c r="I66" i="1" a="1"/>
  <c r="I66" i="1" s="1"/>
  <c r="J66" i="1" s="1" a="1"/>
  <c r="J66" i="1" s="1"/>
  <c r="K66" i="1" s="1"/>
  <c r="I71" i="1" a="1"/>
  <c r="I71" i="1" s="1"/>
  <c r="J71" i="1" s="1" a="1"/>
  <c r="J71" i="1" s="1"/>
  <c r="K71" i="1" s="1"/>
  <c r="I76" i="1" a="1"/>
  <c r="I76" i="1" s="1"/>
  <c r="J76" i="1" s="1" a="1"/>
  <c r="J76" i="1" s="1"/>
  <c r="K76" i="1" s="1"/>
  <c r="I95" i="1" a="1"/>
  <c r="I95" i="1" s="1"/>
  <c r="J95" i="1" s="1" a="1"/>
  <c r="J95" i="1" s="1"/>
  <c r="K95" i="1" s="1"/>
  <c r="I100" i="1" a="1"/>
  <c r="I100" i="1" s="1"/>
  <c r="J100" i="1" s="1" a="1"/>
  <c r="J100" i="1" s="1"/>
  <c r="K100" i="1" s="1"/>
  <c r="I106" i="1" a="1"/>
  <c r="I106" i="1" s="1"/>
  <c r="J106" i="1" s="1" a="1"/>
  <c r="J106" i="1" s="1"/>
  <c r="K106" i="1" s="1"/>
  <c r="I112" i="1" a="1"/>
  <c r="I112" i="1" s="1"/>
  <c r="J112" i="1" s="1" a="1"/>
  <c r="J112" i="1" s="1"/>
  <c r="K112" i="1" s="1"/>
  <c r="I118" i="1" a="1"/>
  <c r="I118" i="1" s="1"/>
  <c r="J118" i="1" s="1" a="1"/>
  <c r="J118" i="1" s="1"/>
  <c r="K118" i="1" s="1"/>
  <c r="I123" i="1" a="1"/>
  <c r="I123" i="1" s="1"/>
  <c r="J123" i="1" s="1" a="1"/>
  <c r="J123" i="1" s="1"/>
  <c r="K123" i="1" s="1"/>
  <c r="I135" i="1" a="1"/>
  <c r="I135" i="1" s="1"/>
  <c r="J135" i="1" s="1" a="1"/>
  <c r="J135" i="1" s="1"/>
  <c r="K135" i="1" s="1"/>
  <c r="I141" i="1" a="1"/>
  <c r="I141" i="1" s="1"/>
  <c r="J141" i="1" s="1" a="1"/>
  <c r="J141" i="1" s="1"/>
  <c r="K141" i="1" s="1"/>
  <c r="I147" i="1" a="1"/>
  <c r="I147" i="1" s="1"/>
  <c r="J147" i="1" s="1" a="1"/>
  <c r="J147" i="1" s="1"/>
  <c r="K147" i="1" s="1"/>
  <c r="I159" i="1" a="1"/>
  <c r="I159" i="1" s="1"/>
  <c r="J159" i="1" s="1" a="1"/>
  <c r="J159" i="1" s="1"/>
  <c r="K159" i="1" s="1"/>
  <c r="I165" i="1" a="1"/>
  <c r="I165" i="1" s="1"/>
  <c r="J165" i="1" s="1" a="1"/>
  <c r="J165" i="1" s="1"/>
  <c r="K165" i="1" s="1"/>
  <c r="I171" i="1" a="1"/>
  <c r="I171" i="1" s="1"/>
  <c r="J171" i="1" s="1" a="1"/>
  <c r="J171" i="1" s="1"/>
  <c r="K171" i="1" s="1"/>
  <c r="I188" i="1" a="1"/>
  <c r="I188" i="1" s="1"/>
  <c r="J188" i="1" s="1" a="1"/>
  <c r="J188" i="1" s="1"/>
  <c r="K188" i="1" s="1"/>
  <c r="I195" i="1" a="1"/>
  <c r="I195" i="1" s="1"/>
  <c r="J195" i="1" s="1" a="1"/>
  <c r="J195" i="1" s="1"/>
  <c r="K195" i="1" s="1"/>
  <c r="I201" i="1" a="1"/>
  <c r="I201" i="1" s="1"/>
  <c r="J201" i="1" s="1" a="1"/>
  <c r="J201" i="1" s="1"/>
  <c r="K201" i="1" s="1"/>
  <c r="I206" i="1" a="1"/>
  <c r="I206" i="1" s="1"/>
  <c r="J206" i="1" s="1" a="1"/>
  <c r="J206" i="1" s="1"/>
  <c r="K206" i="1" s="1"/>
  <c r="I211" i="1" a="1"/>
  <c r="I211" i="1" s="1"/>
  <c r="J211" i="1" s="1" a="1"/>
  <c r="J211" i="1" s="1"/>
  <c r="K211" i="1" s="1"/>
  <c r="I223" i="1" a="1"/>
  <c r="I223" i="1" s="1"/>
  <c r="J223" i="1" s="1" a="1"/>
  <c r="J223" i="1" s="1"/>
  <c r="K223" i="1" s="1"/>
  <c r="I229" i="1" a="1"/>
  <c r="I229" i="1" s="1"/>
  <c r="J229" i="1" s="1" a="1"/>
  <c r="J229" i="1" s="1"/>
  <c r="K229" i="1" s="1"/>
  <c r="I247" i="1" a="1"/>
  <c r="I247" i="1" s="1"/>
  <c r="J247" i="1" s="1" a="1"/>
  <c r="J247" i="1" s="1"/>
  <c r="K247" i="1" s="1"/>
  <c r="I252" i="1" a="1"/>
  <c r="I252" i="1" s="1"/>
  <c r="J252" i="1" s="1" a="1"/>
  <c r="J252" i="1" s="1"/>
  <c r="K252" i="1" s="1"/>
  <c r="I259" i="1" a="1"/>
  <c r="I259" i="1" s="1"/>
  <c r="J259" i="1" s="1" a="1"/>
  <c r="J259" i="1" s="1"/>
  <c r="K259" i="1" s="1"/>
  <c r="I282" i="1" a="1"/>
  <c r="I282" i="1" s="1"/>
  <c r="J282" i="1" s="1" a="1"/>
  <c r="J282" i="1" s="1"/>
  <c r="K282" i="1" s="1"/>
  <c r="I288" i="1" a="1"/>
  <c r="I288" i="1" s="1"/>
  <c r="J288" i="1" s="1" a="1"/>
  <c r="J288" i="1" s="1"/>
  <c r="K288" i="1" s="1"/>
  <c r="I299" i="1" a="1"/>
  <c r="I299" i="1" s="1"/>
  <c r="J299" i="1" s="1" a="1"/>
  <c r="J299" i="1" s="1"/>
  <c r="K299" i="1" s="1"/>
  <c r="I312" i="1" a="1"/>
  <c r="I312" i="1" s="1"/>
  <c r="J312" i="1" s="1" a="1"/>
  <c r="J312" i="1" s="1"/>
  <c r="K312" i="1" s="1"/>
  <c r="I317" i="1" a="1"/>
  <c r="I317" i="1" s="1"/>
  <c r="J317" i="1" s="1" a="1"/>
  <c r="J317" i="1" s="1"/>
  <c r="K317" i="1" s="1"/>
  <c r="I323" i="1" a="1"/>
  <c r="I323" i="1" s="1"/>
  <c r="J323" i="1" s="1" a="1"/>
  <c r="J323" i="1" s="1"/>
  <c r="K323" i="1" s="1"/>
  <c r="I329" i="1" a="1"/>
  <c r="I329" i="1" s="1"/>
  <c r="J329" i="1" s="1" a="1"/>
  <c r="J329" i="1" s="1"/>
  <c r="K329" i="1" s="1"/>
  <c r="I334" i="1" a="1"/>
  <c r="I334" i="1" s="1"/>
  <c r="J334" i="1" s="1" a="1"/>
  <c r="J334" i="1" s="1"/>
  <c r="K334" i="1" s="1"/>
  <c r="I340" i="1" a="1"/>
  <c r="I340" i="1" s="1"/>
  <c r="J340" i="1" s="1" a="1"/>
  <c r="J340" i="1" s="1"/>
  <c r="K340" i="1" s="1"/>
  <c r="I359" i="1" a="1"/>
  <c r="I359" i="1" s="1"/>
  <c r="J359" i="1" s="1" a="1"/>
  <c r="J359" i="1" s="1"/>
  <c r="K359" i="1" s="1"/>
  <c r="I366" i="1" a="1"/>
  <c r="I366" i="1" s="1"/>
  <c r="J366" i="1" s="1" a="1"/>
  <c r="J366" i="1" s="1"/>
  <c r="K366" i="1" s="1"/>
  <c r="I373" i="1" a="1"/>
  <c r="I373" i="1" s="1"/>
  <c r="J373" i="1" s="1" a="1"/>
  <c r="J373" i="1" s="1"/>
  <c r="K373" i="1" s="1"/>
  <c r="I387" i="1" a="1"/>
  <c r="I387" i="1" s="1"/>
  <c r="J387" i="1" s="1" a="1"/>
  <c r="J387" i="1" s="1"/>
  <c r="I394" i="1" a="1"/>
  <c r="I394" i="1" s="1"/>
  <c r="J394" i="1" s="1" a="1"/>
  <c r="J394" i="1" s="1"/>
  <c r="K394" i="1" s="1"/>
  <c r="I401" i="1" a="1"/>
  <c r="I401" i="1" s="1"/>
  <c r="J401" i="1" s="1" a="1"/>
  <c r="J401" i="1" s="1"/>
  <c r="K401" i="1" s="1"/>
  <c r="I408" i="1" a="1"/>
  <c r="I408" i="1" s="1"/>
  <c r="J408" i="1" s="1" a="1"/>
  <c r="J408" i="1" s="1"/>
  <c r="K408" i="1" s="1"/>
  <c r="I416" i="1" a="1"/>
  <c r="I416" i="1" s="1"/>
  <c r="J416" i="1" s="1" a="1"/>
  <c r="J416" i="1" s="1"/>
  <c r="K416" i="1" s="1"/>
  <c r="I422" i="1" a="1"/>
  <c r="I422" i="1" s="1"/>
  <c r="J422" i="1" s="1" a="1"/>
  <c r="J422" i="1" s="1"/>
  <c r="K422" i="1" s="1"/>
  <c r="I429" i="1" a="1"/>
  <c r="I429" i="1" s="1"/>
  <c r="J429" i="1" s="1" a="1"/>
  <c r="J429" i="1" s="1"/>
  <c r="K429" i="1" s="1"/>
  <c r="I444" i="1" a="1"/>
  <c r="I444" i="1" s="1"/>
  <c r="J444" i="1" s="1" a="1"/>
  <c r="J444" i="1" s="1"/>
  <c r="K444" i="1" s="1"/>
  <c r="I450" i="1" a="1"/>
  <c r="I450" i="1" s="1"/>
  <c r="J450" i="1" s="1" a="1"/>
  <c r="J450" i="1" s="1"/>
  <c r="K450" i="1" s="1"/>
  <c r="I457" i="1" a="1"/>
  <c r="I457" i="1" s="1"/>
  <c r="J457" i="1" s="1" a="1"/>
  <c r="J457" i="1" s="1"/>
  <c r="K457" i="1" s="1"/>
  <c r="I471" i="1" a="1"/>
  <c r="I471" i="1" s="1"/>
  <c r="J471" i="1" s="1" a="1"/>
  <c r="J471" i="1" s="1"/>
  <c r="K471" i="1" s="1"/>
  <c r="I479" i="1" a="1"/>
  <c r="I479" i="1" s="1"/>
  <c r="J479" i="1" s="1" a="1"/>
  <c r="J479" i="1" s="1"/>
  <c r="K479" i="1" s="1"/>
  <c r="I485" i="1" a="1"/>
  <c r="I485" i="1" s="1"/>
  <c r="J485" i="1" s="1" a="1"/>
  <c r="J485" i="1" s="1"/>
  <c r="K485" i="1" s="1"/>
  <c r="I492" i="1" a="1"/>
  <c r="I492" i="1" s="1"/>
  <c r="J492" i="1" s="1" a="1"/>
  <c r="J492" i="1" s="1"/>
  <c r="K492" i="1" s="1"/>
  <c r="I500" i="1" a="1"/>
  <c r="I500" i="1" s="1"/>
  <c r="J500" i="1" s="1" a="1"/>
  <c r="J500" i="1" s="1"/>
  <c r="K500" i="1" s="1"/>
  <c r="I507" i="1" a="1"/>
  <c r="I507" i="1" s="1"/>
  <c r="J507" i="1" s="1" a="1"/>
  <c r="J507" i="1" s="1"/>
  <c r="K507" i="1" s="1"/>
  <c r="I513" i="1" a="1"/>
  <c r="I513" i="1" s="1"/>
  <c r="J513" i="1" s="1" a="1"/>
  <c r="J513" i="1" s="1"/>
  <c r="K513" i="1" s="1"/>
  <c r="I528" i="1" a="1"/>
  <c r="I528" i="1" s="1"/>
  <c r="J528" i="1" s="1" a="1"/>
  <c r="J528" i="1" s="1"/>
  <c r="K528" i="1" s="1"/>
  <c r="I534" i="1" a="1"/>
  <c r="I534" i="1" s="1"/>
  <c r="J534" i="1" s="1" a="1"/>
  <c r="J534" i="1" s="1"/>
  <c r="K534" i="1" s="1"/>
  <c r="I542" i="1" a="1"/>
  <c r="I542" i="1" s="1"/>
  <c r="J542" i="1" s="1" a="1"/>
  <c r="J542" i="1" s="1"/>
  <c r="K542" i="1" s="1"/>
  <c r="I555" i="1" a="1"/>
  <c r="I555" i="1" s="1"/>
  <c r="J555" i="1" s="1" a="1"/>
  <c r="J555" i="1" s="1"/>
  <c r="K555" i="1" s="1"/>
  <c r="I563" i="1" a="1"/>
  <c r="I563" i="1" s="1"/>
  <c r="J563" i="1" s="1" a="1"/>
  <c r="J563" i="1" s="1"/>
  <c r="K563" i="1" s="1"/>
  <c r="I569" i="1" a="1"/>
  <c r="I569" i="1" s="1"/>
  <c r="J569" i="1" s="1" a="1"/>
  <c r="J569" i="1" s="1"/>
  <c r="K569" i="1" s="1"/>
  <c r="I574" i="1" a="1"/>
  <c r="I574" i="1" s="1"/>
  <c r="J574" i="1" s="1" a="1"/>
  <c r="J574" i="1" s="1"/>
  <c r="K574" i="1" s="1"/>
  <c r="I579" i="1" a="1"/>
  <c r="I579" i="1" s="1"/>
  <c r="J579" i="1" s="1" a="1"/>
  <c r="J579" i="1" s="1"/>
  <c r="K579" i="1" s="1"/>
  <c r="I585" i="1" a="1"/>
  <c r="I585" i="1" s="1"/>
  <c r="J585" i="1" s="1" a="1"/>
  <c r="J585" i="1" s="1"/>
  <c r="K585" i="1" s="1"/>
  <c r="I591" i="1" a="1"/>
  <c r="I591" i="1" s="1"/>
  <c r="J591" i="1" s="1" a="1"/>
  <c r="J591" i="1" s="1"/>
  <c r="K591" i="1" s="1"/>
  <c r="I598" i="1" a="1"/>
  <c r="I598" i="1" s="1"/>
  <c r="J598" i="1" s="1" a="1"/>
  <c r="J598" i="1" s="1"/>
  <c r="K598" i="1" s="1"/>
  <c r="I612" i="1" a="1"/>
  <c r="I612" i="1" s="1"/>
  <c r="J612" i="1" s="1" a="1"/>
  <c r="J612" i="1" s="1"/>
  <c r="K612" i="1" s="1"/>
  <c r="I620" i="1" a="1"/>
  <c r="I620" i="1" s="1"/>
  <c r="J620" i="1" s="1" a="1"/>
  <c r="J620" i="1" s="1"/>
  <c r="K620" i="1" s="1"/>
  <c r="I634" i="1" a="1"/>
  <c r="I634" i="1" s="1"/>
  <c r="J634" i="1" s="1" a="1"/>
  <c r="J634" i="1" s="1"/>
  <c r="K634" i="1" s="1"/>
  <c r="I641" i="1" a="1"/>
  <c r="I641" i="1" s="1"/>
  <c r="J641" i="1" s="1" a="1"/>
  <c r="J641" i="1" s="1"/>
  <c r="K641" i="1" s="1"/>
  <c r="I648" i="1" a="1"/>
  <c r="I648" i="1" s="1"/>
  <c r="J648" i="1" s="1" a="1"/>
  <c r="J648" i="1" s="1"/>
  <c r="K648" i="1" s="1"/>
  <c r="I655" i="1" a="1"/>
  <c r="I655" i="1" s="1"/>
  <c r="J655" i="1" s="1" a="1"/>
  <c r="J655" i="1" s="1"/>
  <c r="K655" i="1" s="1"/>
  <c r="I662" i="1" a="1"/>
  <c r="I662" i="1" s="1"/>
  <c r="J662" i="1" s="1" a="1"/>
  <c r="J662" i="1" s="1"/>
  <c r="K662" i="1" s="1"/>
  <c r="I676" i="1" a="1"/>
  <c r="I676" i="1" s="1"/>
  <c r="J676" i="1" s="1" a="1"/>
  <c r="J676" i="1" s="1"/>
  <c r="K676" i="1" s="1"/>
  <c r="I684" i="1" a="1"/>
  <c r="I684" i="1" s="1"/>
  <c r="J684" i="1" s="1" a="1"/>
  <c r="J684" i="1" s="1"/>
  <c r="K684" i="1" s="1"/>
  <c r="I698" i="1" a="1"/>
  <c r="I698" i="1" s="1"/>
  <c r="J698" i="1" s="1" a="1"/>
  <c r="J698" i="1" s="1"/>
  <c r="K698" i="1" s="1"/>
  <c r="I705" i="1" a="1"/>
  <c r="I705" i="1" s="1"/>
  <c r="J705" i="1" s="1" a="1"/>
  <c r="J705" i="1" s="1"/>
  <c r="K705" i="1" s="1"/>
  <c r="I712" i="1" a="1"/>
  <c r="I712" i="1" s="1"/>
  <c r="J712" i="1" s="1" a="1"/>
  <c r="J712" i="1" s="1"/>
  <c r="K712" i="1" s="1"/>
  <c r="I720" i="1" a="1"/>
  <c r="I720" i="1" s="1"/>
  <c r="J720" i="1" s="1" a="1"/>
  <c r="J720" i="1" s="1"/>
  <c r="K720" i="1" s="1"/>
  <c r="I727" i="1" a="1"/>
  <c r="I727" i="1" s="1"/>
  <c r="J727" i="1" s="1" a="1"/>
  <c r="J727" i="1" s="1"/>
  <c r="K727" i="1" s="1"/>
  <c r="I734" i="1" a="1"/>
  <c r="I734" i="1" s="1"/>
  <c r="J734" i="1" s="1" a="1"/>
  <c r="J734" i="1" s="1"/>
  <c r="K734" i="1" s="1"/>
  <c r="I742" i="1" a="1"/>
  <c r="I742" i="1" s="1"/>
  <c r="J742" i="1" s="1" a="1"/>
  <c r="J742" i="1" s="1"/>
  <c r="K742" i="1" s="1"/>
  <c r="I757" i="1" a="1"/>
  <c r="I757" i="1" s="1"/>
  <c r="J757" i="1" s="1" a="1"/>
  <c r="J757" i="1" s="1"/>
  <c r="K757" i="1" s="1"/>
  <c r="I765" i="1" a="1"/>
  <c r="I765" i="1" s="1"/>
  <c r="J765" i="1" s="1" a="1"/>
  <c r="J765" i="1" s="1"/>
  <c r="K765" i="1" s="1"/>
  <c r="I771" i="1" a="1"/>
  <c r="I771" i="1" s="1"/>
  <c r="J771" i="1" s="1" a="1"/>
  <c r="J771" i="1" s="1"/>
  <c r="K771" i="1" s="1"/>
  <c r="I779" i="1" a="1"/>
  <c r="I779" i="1" s="1"/>
  <c r="J779" i="1" s="1" a="1"/>
  <c r="J779" i="1" s="1"/>
  <c r="K779" i="1" s="1"/>
  <c r="I794" i="1" a="1"/>
  <c r="I794" i="1" s="1"/>
  <c r="J794" i="1" s="1" a="1"/>
  <c r="J794" i="1" s="1"/>
  <c r="K794" i="1" s="1"/>
  <c r="I801" i="1" a="1"/>
  <c r="I801" i="1" s="1"/>
  <c r="J801" i="1" s="1" a="1"/>
  <c r="J801" i="1" s="1"/>
  <c r="K801" i="1" s="1"/>
  <c r="I808" i="1" a="1"/>
  <c r="I808" i="1" s="1"/>
  <c r="J808" i="1" s="1" a="1"/>
  <c r="J808" i="1" s="1"/>
  <c r="K808" i="1" s="1"/>
  <c r="I815" i="1" a="1"/>
  <c r="I815" i="1" s="1"/>
  <c r="J815" i="1" s="1" a="1"/>
  <c r="J815" i="1" s="1"/>
  <c r="K815" i="1" s="1"/>
  <c r="I822" i="1" a="1"/>
  <c r="I822" i="1" s="1"/>
  <c r="J822" i="1" s="1" a="1"/>
  <c r="J822" i="1" s="1"/>
  <c r="K822" i="1" s="1"/>
  <c r="I829" i="1" a="1"/>
  <c r="I829" i="1" s="1"/>
  <c r="J829" i="1" s="1" a="1"/>
  <c r="J829" i="1" s="1"/>
  <c r="K829" i="1" s="1"/>
  <c r="I837" i="1" a="1"/>
  <c r="I837" i="1" s="1"/>
  <c r="J837" i="1" s="1" a="1"/>
  <c r="J837" i="1" s="1"/>
  <c r="K837" i="1" s="1"/>
  <c r="I844" i="1" a="1"/>
  <c r="I844" i="1" s="1"/>
  <c r="J844" i="1" s="1" a="1"/>
  <c r="J844" i="1" s="1"/>
  <c r="K844" i="1" s="1"/>
  <c r="I850" i="1" a="1"/>
  <c r="I850" i="1" s="1"/>
  <c r="J850" i="1" s="1" a="1"/>
  <c r="J850" i="1" s="1"/>
  <c r="K850" i="1" s="1"/>
  <c r="I858" i="1" a="1"/>
  <c r="I858" i="1" s="1"/>
  <c r="J858" i="1" s="1" a="1"/>
  <c r="J858" i="1" s="1"/>
  <c r="K858" i="1" s="1"/>
  <c r="I866" i="1" a="1"/>
  <c r="I866" i="1" s="1"/>
  <c r="J866" i="1" s="1" a="1"/>
  <c r="J866" i="1" s="1"/>
  <c r="K866" i="1" s="1"/>
  <c r="I873" i="1" a="1"/>
  <c r="I873" i="1" s="1"/>
  <c r="J873" i="1" s="1" a="1"/>
  <c r="J873" i="1" s="1"/>
  <c r="K873" i="1" s="1"/>
  <c r="I880" i="1" a="1"/>
  <c r="I880" i="1" s="1"/>
  <c r="J880" i="1" s="1" a="1"/>
  <c r="J880" i="1" s="1"/>
  <c r="K880" i="1" s="1"/>
  <c r="I887" i="1" a="1"/>
  <c r="I887" i="1" s="1"/>
  <c r="J887" i="1" s="1" a="1"/>
  <c r="J887" i="1" s="1"/>
  <c r="K887" i="1" s="1"/>
  <c r="I895" i="1" a="1"/>
  <c r="I895" i="1" s="1"/>
  <c r="J895" i="1" s="1" a="1"/>
  <c r="J895" i="1" s="1"/>
  <c r="K895" i="1" s="1"/>
  <c r="I916" i="1" a="1"/>
  <c r="I916" i="1" s="1"/>
  <c r="J916" i="1" s="1" a="1"/>
  <c r="J916" i="1" s="1"/>
  <c r="K916" i="1" s="1"/>
  <c r="I924" i="1" a="1"/>
  <c r="I924" i="1" s="1"/>
  <c r="J924" i="1" s="1" a="1"/>
  <c r="J924" i="1" s="1"/>
  <c r="K924" i="1" s="1"/>
  <c r="I932" i="1" a="1"/>
  <c r="I932" i="1" s="1"/>
  <c r="J932" i="1" s="1" a="1"/>
  <c r="J932" i="1" s="1"/>
  <c r="K932" i="1" s="1"/>
  <c r="I939" i="1" a="1"/>
  <c r="I939" i="1" s="1"/>
  <c r="J939" i="1" s="1" a="1"/>
  <c r="J939" i="1" s="1"/>
  <c r="K939" i="1" s="1"/>
  <c r="I953" i="1" a="1"/>
  <c r="I953" i="1" s="1"/>
  <c r="J953" i="1" s="1" a="1"/>
  <c r="J953" i="1" s="1"/>
  <c r="K953" i="1" s="1"/>
  <c r="I961" i="1" a="1"/>
  <c r="I961" i="1" s="1"/>
  <c r="J961" i="1" s="1" a="1"/>
  <c r="J961" i="1" s="1"/>
  <c r="K961" i="1" s="1"/>
  <c r="I968" i="1" a="1"/>
  <c r="I968" i="1" s="1"/>
  <c r="J968" i="1" s="1" a="1"/>
  <c r="J968" i="1" s="1"/>
  <c r="K968" i="1" s="1"/>
  <c r="I975" i="1" a="1"/>
  <c r="I975" i="1" s="1"/>
  <c r="J975" i="1" s="1" a="1"/>
  <c r="J975" i="1" s="1"/>
  <c r="K975" i="1" s="1"/>
  <c r="I982" i="1" a="1"/>
  <c r="I982" i="1" s="1"/>
  <c r="J982" i="1" s="1" a="1"/>
  <c r="J982" i="1" s="1"/>
  <c r="K982" i="1" s="1"/>
  <c r="I990" i="1" a="1"/>
  <c r="I990" i="1" s="1"/>
  <c r="J990" i="1" s="1" a="1"/>
  <c r="J990" i="1" s="1"/>
  <c r="K990" i="1" s="1"/>
  <c r="I998" i="1" a="1"/>
  <c r="I998" i="1" s="1"/>
  <c r="J998" i="1" s="1" a="1"/>
  <c r="J998" i="1" s="1"/>
  <c r="K998" i="1" s="1"/>
  <c r="I1005" i="1" a="1"/>
  <c r="I1005" i="1" s="1"/>
  <c r="J1005" i="1" s="1" a="1"/>
  <c r="J1005" i="1" s="1"/>
  <c r="K1005" i="1" s="1"/>
  <c r="I1011" i="1" a="1"/>
  <c r="I1011" i="1" s="1"/>
  <c r="J1011" i="1" s="1" a="1"/>
  <c r="J1011" i="1" s="1"/>
  <c r="K1011" i="1" s="1"/>
  <c r="I1019" i="1" a="1"/>
  <c r="I1019" i="1" s="1"/>
  <c r="J1019" i="1" s="1" a="1"/>
  <c r="J1019" i="1" s="1"/>
  <c r="K1019" i="1" s="1"/>
  <c r="I1027" i="1" a="1"/>
  <c r="I1027" i="1" s="1"/>
  <c r="J1027" i="1" s="1" a="1"/>
  <c r="J1027" i="1" s="1"/>
  <c r="K1027" i="1" s="1"/>
  <c r="I1034" i="1" a="1"/>
  <c r="I1034" i="1" s="1"/>
  <c r="J1034" i="1" s="1" a="1"/>
  <c r="J1034" i="1" s="1"/>
  <c r="K1034" i="1" s="1"/>
  <c r="I1041" i="1" a="1"/>
  <c r="I1041" i="1" s="1"/>
  <c r="J1041" i="1" s="1" a="1"/>
  <c r="J1041" i="1" s="1"/>
  <c r="K1041" i="1" s="1"/>
  <c r="I1048" i="1" a="1"/>
  <c r="I1048" i="1" s="1"/>
  <c r="J1048" i="1" s="1" a="1"/>
  <c r="J1048" i="1" s="1"/>
  <c r="K1048" i="1" s="1"/>
  <c r="I1056" i="1" a="1"/>
  <c r="I1056" i="1" s="1"/>
  <c r="J1056" i="1" s="1" a="1"/>
  <c r="J1056" i="1" s="1"/>
  <c r="K1056" i="1" s="1"/>
  <c r="I1063" i="1" a="1"/>
  <c r="I1063" i="1" s="1"/>
  <c r="J1063" i="1" s="1" a="1"/>
  <c r="J1063" i="1" s="1"/>
  <c r="K1063" i="1" s="1"/>
  <c r="I1070" i="1" a="1"/>
  <c r="I1070" i="1" s="1"/>
  <c r="J1070" i="1" s="1" a="1"/>
  <c r="J1070" i="1" s="1"/>
  <c r="K1070" i="1" s="1"/>
  <c r="I1077" i="1" a="1"/>
  <c r="I1077" i="1" s="1"/>
  <c r="J1077" i="1" s="1" a="1"/>
  <c r="J1077" i="1" s="1"/>
  <c r="K1077" i="1" s="1"/>
  <c r="I1085" i="1" a="1"/>
  <c r="I1085" i="1" s="1"/>
  <c r="J1085" i="1" s="1" a="1"/>
  <c r="J1085" i="1" s="1"/>
  <c r="K1085" i="1" s="1"/>
  <c r="I1093" i="1" a="1"/>
  <c r="I1093" i="1" s="1"/>
  <c r="J1093" i="1" s="1" a="1"/>
  <c r="J1093" i="1" s="1"/>
  <c r="K1093" i="1" s="1"/>
  <c r="I1100" i="1" a="1"/>
  <c r="I1100" i="1" s="1"/>
  <c r="J1100" i="1" s="1" a="1"/>
  <c r="J1100" i="1" s="1"/>
  <c r="K1100" i="1" s="1"/>
  <c r="I1106" i="1" a="1"/>
  <c r="I1106" i="1" s="1"/>
  <c r="J1106" i="1" s="1" a="1"/>
  <c r="J1106" i="1" s="1"/>
  <c r="K1106" i="1" s="1"/>
  <c r="I1114" i="1" a="1"/>
  <c r="I1114" i="1" s="1"/>
  <c r="J1114" i="1" s="1" a="1"/>
  <c r="J1114" i="1" s="1"/>
  <c r="K1114" i="1" s="1"/>
  <c r="I1122" i="1" a="1"/>
  <c r="I1122" i="1" s="1"/>
  <c r="J1122" i="1" s="1" a="1"/>
  <c r="J1122" i="1" s="1"/>
  <c r="K1122" i="1" s="1"/>
  <c r="I1129" i="1" a="1"/>
  <c r="I1129" i="1" s="1"/>
  <c r="J1129" i="1" s="1" a="1"/>
  <c r="J1129" i="1" s="1"/>
  <c r="K1129" i="1" s="1"/>
  <c r="I1136" i="1" a="1"/>
  <c r="I1136" i="1" s="1"/>
  <c r="J1136" i="1" s="1" a="1"/>
  <c r="J1136" i="1" s="1"/>
  <c r="K1136" i="1" s="1"/>
  <c r="I1143" i="1" a="1"/>
  <c r="I1143" i="1" s="1"/>
  <c r="J1143" i="1" s="1" a="1"/>
  <c r="J1143" i="1" s="1"/>
  <c r="K1143" i="1" s="1"/>
  <c r="I1151" i="1" a="1"/>
  <c r="I1151" i="1" s="1"/>
  <c r="J1151" i="1" s="1" a="1"/>
  <c r="J1151" i="1" s="1"/>
  <c r="K1151" i="1" s="1"/>
  <c r="I1169" i="1" a="1"/>
  <c r="I1169" i="1" s="1"/>
  <c r="J1169" i="1" s="1" a="1"/>
  <c r="J1169" i="1" s="1"/>
  <c r="K1169" i="1" s="1"/>
  <c r="I1174" i="1" a="1"/>
  <c r="I1174" i="1" s="1"/>
  <c r="J1174" i="1" s="1" a="1"/>
  <c r="J1174" i="1" s="1"/>
  <c r="K1174" i="1" s="1"/>
  <c r="I19" i="1" a="1"/>
  <c r="I19" i="1" s="1"/>
  <c r="J19" i="1" s="1" a="1"/>
  <c r="J19" i="1" s="1"/>
  <c r="K19" i="1" s="1"/>
  <c r="I31" i="1" a="1"/>
  <c r="I31" i="1" s="1"/>
  <c r="J31" i="1" s="1" a="1"/>
  <c r="J31" i="1" s="1"/>
  <c r="K31" i="1" s="1"/>
  <c r="I37" i="1" a="1"/>
  <c r="I37" i="1" s="1"/>
  <c r="J37" i="1" s="1" a="1"/>
  <c r="J37" i="1" s="1"/>
  <c r="K37" i="1" s="1"/>
  <c r="I49" i="1" a="1"/>
  <c r="I49" i="1" s="1"/>
  <c r="J49" i="1" s="1" a="1"/>
  <c r="J49" i="1" s="1"/>
  <c r="K49" i="1" s="1"/>
  <c r="I55" i="1" a="1"/>
  <c r="I55" i="1" s="1"/>
  <c r="J55" i="1" s="1" a="1"/>
  <c r="J55" i="1" s="1"/>
  <c r="K55" i="1" s="1"/>
  <c r="I60" i="1" a="1"/>
  <c r="I60" i="1" s="1"/>
  <c r="J60" i="1" s="1" a="1"/>
  <c r="J60" i="1" s="1"/>
  <c r="K60" i="1" s="1"/>
  <c r="I72" i="1" a="1"/>
  <c r="I72" i="1" s="1"/>
  <c r="J72" i="1" s="1" a="1"/>
  <c r="J72" i="1" s="1"/>
  <c r="K72" i="1" s="1"/>
  <c r="I77" i="1" a="1"/>
  <c r="I77" i="1" s="1"/>
  <c r="J77" i="1" s="1" a="1"/>
  <c r="J77" i="1" s="1"/>
  <c r="K77" i="1" s="1"/>
  <c r="I83" i="1" a="1"/>
  <c r="I83" i="1" s="1"/>
  <c r="J83" i="1" s="1" a="1"/>
  <c r="J83" i="1" s="1"/>
  <c r="K83" i="1" s="1"/>
  <c r="I90" i="1" a="1"/>
  <c r="I90" i="1" s="1"/>
  <c r="J90" i="1" s="1" a="1"/>
  <c r="J90" i="1" s="1"/>
  <c r="K90" i="1" s="1"/>
  <c r="I96" i="1" a="1"/>
  <c r="I96" i="1" s="1"/>
  <c r="J96" i="1" s="1" a="1"/>
  <c r="J96" i="1" s="1"/>
  <c r="K96" i="1" s="1"/>
  <c r="I101" i="1" a="1"/>
  <c r="I101" i="1" s="1"/>
  <c r="J101" i="1" s="1" a="1"/>
  <c r="J101" i="1" s="1"/>
  <c r="K101" i="1" s="1"/>
  <c r="I107" i="1" a="1"/>
  <c r="I107" i="1" s="1"/>
  <c r="J107" i="1" s="1" a="1"/>
  <c r="J107" i="1" s="1"/>
  <c r="K107" i="1" s="1"/>
  <c r="I113" i="1" a="1"/>
  <c r="I113" i="1" s="1"/>
  <c r="J113" i="1" s="1" a="1"/>
  <c r="J113" i="1" s="1"/>
  <c r="K113" i="1" s="1"/>
  <c r="I119" i="1" a="1"/>
  <c r="I119" i="1" s="1"/>
  <c r="J119" i="1" s="1" a="1"/>
  <c r="J119" i="1" s="1"/>
  <c r="K119" i="1" s="1"/>
  <c r="I130" i="1" a="1"/>
  <c r="I130" i="1" s="1"/>
  <c r="J130" i="1" s="1" a="1"/>
  <c r="J130" i="1" s="1"/>
  <c r="K130" i="1" s="1"/>
  <c r="I136" i="1" a="1"/>
  <c r="I136" i="1" s="1"/>
  <c r="J136" i="1" s="1" a="1"/>
  <c r="J136" i="1" s="1"/>
  <c r="K136" i="1" s="1"/>
  <c r="I142" i="1" a="1"/>
  <c r="I142" i="1" s="1"/>
  <c r="J142" i="1" s="1" a="1"/>
  <c r="J142" i="1" s="1"/>
  <c r="K142" i="1" s="1"/>
  <c r="I148" i="1" a="1"/>
  <c r="I148" i="1" s="1"/>
  <c r="J148" i="1" s="1" a="1"/>
  <c r="J148" i="1" s="1"/>
  <c r="K148" i="1" s="1"/>
  <c r="I154" i="1" a="1"/>
  <c r="I154" i="1" s="1"/>
  <c r="J154" i="1" s="1" a="1"/>
  <c r="J154" i="1" s="1"/>
  <c r="K154" i="1" s="1"/>
  <c r="I160" i="1" a="1"/>
  <c r="I160" i="1" s="1"/>
  <c r="J160" i="1" s="1" a="1"/>
  <c r="J160" i="1" s="1"/>
  <c r="K160" i="1" s="1"/>
  <c r="I166" i="1" a="1"/>
  <c r="I166" i="1" s="1"/>
  <c r="J166" i="1" s="1" a="1"/>
  <c r="J166" i="1" s="1"/>
  <c r="K166" i="1" s="1"/>
  <c r="I178" i="1" a="1"/>
  <c r="I178" i="1" s="1"/>
  <c r="J178" i="1" s="1" a="1"/>
  <c r="J178" i="1" s="1"/>
  <c r="K178" i="1" s="1"/>
  <c r="I184" i="1" a="1"/>
  <c r="I184" i="1" s="1"/>
  <c r="J184" i="1" s="1" a="1"/>
  <c r="J184" i="1" s="1"/>
  <c r="K184" i="1" s="1"/>
  <c r="I189" i="1" a="1"/>
  <c r="I189" i="1" s="1"/>
  <c r="J189" i="1" s="1" a="1"/>
  <c r="J189" i="1" s="1"/>
  <c r="K189" i="1" s="1"/>
  <c r="I218" i="1" a="1"/>
  <c r="I218" i="1" s="1"/>
  <c r="J218" i="1" s="1" a="1"/>
  <c r="J218" i="1" s="1"/>
  <c r="K218" i="1" s="1"/>
  <c r="I224" i="1" a="1"/>
  <c r="I224" i="1" s="1"/>
  <c r="J224" i="1" s="1" a="1"/>
  <c r="J224" i="1" s="1"/>
  <c r="K224" i="1" s="1"/>
  <c r="I230" i="1" a="1"/>
  <c r="I230" i="1" s="1"/>
  <c r="J230" i="1" s="1" a="1"/>
  <c r="J230" i="1" s="1"/>
  <c r="K230" i="1" s="1"/>
  <c r="I236" i="1" a="1"/>
  <c r="I236" i="1" s="1"/>
  <c r="J236" i="1" s="1" a="1"/>
  <c r="J236" i="1" s="1"/>
  <c r="K236" i="1" s="1"/>
  <c r="I242" i="1" a="1"/>
  <c r="I242" i="1" s="1"/>
  <c r="J242" i="1" s="1" a="1"/>
  <c r="J242" i="1" s="1"/>
  <c r="K242" i="1" s="1"/>
  <c r="I248" i="1" a="1"/>
  <c r="I248" i="1" s="1"/>
  <c r="J248" i="1" s="1" a="1"/>
  <c r="J248" i="1" s="1"/>
  <c r="K248" i="1" s="1"/>
  <c r="I253" i="1" a="1"/>
  <c r="I253" i="1" s="1"/>
  <c r="J253" i="1" s="1" a="1"/>
  <c r="J253" i="1" s="1"/>
  <c r="K253" i="1" s="1"/>
  <c r="I266" i="1" a="1"/>
  <c r="I266" i="1" s="1"/>
  <c r="J266" i="1" s="1" a="1"/>
  <c r="J266" i="1" s="1"/>
  <c r="K266" i="1" s="1"/>
  <c r="I271" i="1" a="1"/>
  <c r="I271" i="1" s="1"/>
  <c r="J271" i="1" s="1" a="1"/>
  <c r="J271" i="1" s="1"/>
  <c r="K271" i="1" s="1"/>
  <c r="I276" i="1" a="1"/>
  <c r="I276" i="1" s="1"/>
  <c r="J276" i="1" s="1" a="1"/>
  <c r="J276" i="1" s="1"/>
  <c r="K276" i="1" s="1"/>
  <c r="I289" i="1" a="1"/>
  <c r="I289" i="1" s="1"/>
  <c r="J289" i="1" s="1" a="1"/>
  <c r="J289" i="1" s="1"/>
  <c r="K289" i="1" s="1"/>
  <c r="I294" i="1" a="1"/>
  <c r="I294" i="1" s="1"/>
  <c r="J294" i="1" s="1" a="1"/>
  <c r="J294" i="1" s="1"/>
  <c r="K294" i="1" s="1"/>
  <c r="I306" i="1" a="1"/>
  <c r="I306" i="1" s="1"/>
  <c r="J306" i="1" s="1" a="1"/>
  <c r="J306" i="1" s="1"/>
  <c r="K306" i="1" s="1"/>
  <c r="I313" i="1" a="1"/>
  <c r="I313" i="1" s="1"/>
  <c r="J313" i="1" s="1" a="1"/>
  <c r="J313" i="1" s="1"/>
  <c r="K313" i="1" s="1"/>
  <c r="I318" i="1" a="1"/>
  <c r="I318" i="1" s="1"/>
  <c r="J318" i="1" s="1" a="1"/>
  <c r="J318" i="1" s="1"/>
  <c r="K318" i="1" s="1"/>
  <c r="I335" i="1" a="1"/>
  <c r="I335" i="1" s="1"/>
  <c r="J335" i="1" s="1" a="1"/>
  <c r="J335" i="1" s="1"/>
  <c r="K335" i="1" s="1"/>
  <c r="I341" i="1" a="1"/>
  <c r="I341" i="1" s="1"/>
  <c r="J341" i="1" s="1" a="1"/>
  <c r="J341" i="1" s="1"/>
  <c r="K341" i="1" s="1"/>
  <c r="I347" i="1" a="1"/>
  <c r="I347" i="1" s="1"/>
  <c r="J347" i="1" s="1" a="1"/>
  <c r="J347" i="1" s="1"/>
  <c r="K347" i="1" s="1"/>
  <c r="I353" i="1" a="1"/>
  <c r="I353" i="1" s="1"/>
  <c r="J353" i="1" s="1" a="1"/>
  <c r="J353" i="1" s="1"/>
  <c r="K353" i="1" s="1"/>
  <c r="I360" i="1" a="1"/>
  <c r="I360" i="1" s="1"/>
  <c r="J360" i="1" s="1" a="1"/>
  <c r="J360" i="1" s="1"/>
  <c r="K360" i="1" s="1"/>
  <c r="I367" i="1" a="1"/>
  <c r="I367" i="1" s="1"/>
  <c r="J367" i="1" s="1" a="1"/>
  <c r="J367" i="1" s="1"/>
  <c r="K367" i="1" s="1"/>
  <c r="I374" i="1" a="1"/>
  <c r="I374" i="1" s="1"/>
  <c r="J374" i="1" s="1" a="1"/>
  <c r="J374" i="1" s="1"/>
  <c r="K374" i="1" s="1"/>
  <c r="I381" i="1" a="1"/>
  <c r="I381" i="1" s="1"/>
  <c r="J381" i="1" s="1" a="1"/>
  <c r="J381" i="1" s="1"/>
  <c r="K381" i="1" s="1"/>
  <c r="I388" i="1" a="1"/>
  <c r="I388" i="1" s="1"/>
  <c r="J388" i="1" s="1" a="1"/>
  <c r="J388" i="1" s="1"/>
  <c r="I395" i="1" a="1"/>
  <c r="I395" i="1" s="1"/>
  <c r="J395" i="1" s="1" a="1"/>
  <c r="J395" i="1" s="1"/>
  <c r="K395" i="1" s="1"/>
  <c r="I402" i="1" a="1"/>
  <c r="I402" i="1" s="1"/>
  <c r="J402" i="1" s="1" a="1"/>
  <c r="J402" i="1" s="1"/>
  <c r="K402" i="1" s="1"/>
  <c r="I409" i="1" a="1"/>
  <c r="I409" i="1" s="1"/>
  <c r="J409" i="1" s="1" a="1"/>
  <c r="J409" i="1" s="1"/>
  <c r="K409" i="1" s="1"/>
  <c r="I423" i="1" a="1"/>
  <c r="I423" i="1" s="1"/>
  <c r="J423" i="1" s="1" a="1"/>
  <c r="J423" i="1" s="1"/>
  <c r="K423" i="1" s="1"/>
  <c r="I430" i="1" a="1"/>
  <c r="I430" i="1" s="1"/>
  <c r="J430" i="1" s="1" a="1"/>
  <c r="J430" i="1" s="1"/>
  <c r="K430" i="1" s="1"/>
  <c r="I437" i="1" a="1"/>
  <c r="I437" i="1" s="1"/>
  <c r="J437" i="1" s="1" a="1"/>
  <c r="J437" i="1" s="1"/>
  <c r="K437" i="1" s="1"/>
  <c r="I451" i="1" a="1"/>
  <c r="I451" i="1" s="1"/>
  <c r="J451" i="1" s="1" a="1"/>
  <c r="J451" i="1" s="1"/>
  <c r="K451" i="1" s="1"/>
  <c r="I458" i="1" a="1"/>
  <c r="I458" i="1" s="1"/>
  <c r="J458" i="1" s="1" a="1"/>
  <c r="J458" i="1" s="1"/>
  <c r="K458" i="1" s="1"/>
  <c r="I465" i="1" a="1"/>
  <c r="I465" i="1" s="1"/>
  <c r="J465" i="1" s="1" a="1"/>
  <c r="J465" i="1" s="1"/>
  <c r="K465" i="1" s="1"/>
  <c r="I472" i="1" a="1"/>
  <c r="I472" i="1" s="1"/>
  <c r="J472" i="1" s="1" a="1"/>
  <c r="J472" i="1" s="1"/>
  <c r="K472" i="1" s="1"/>
  <c r="I480" i="1" a="1"/>
  <c r="I480" i="1" s="1"/>
  <c r="J480" i="1" s="1" a="1"/>
  <c r="J480" i="1" s="1"/>
  <c r="K480" i="1" s="1"/>
  <c r="I486" i="1" a="1"/>
  <c r="I486" i="1" s="1"/>
  <c r="J486" i="1" s="1" a="1"/>
  <c r="J486" i="1" s="1"/>
  <c r="K486" i="1" s="1"/>
  <c r="I493" i="1" a="1"/>
  <c r="I493" i="1" s="1"/>
  <c r="J493" i="1" s="1" a="1"/>
  <c r="J493" i="1" s="1"/>
  <c r="K493" i="1" s="1"/>
  <c r="I508" i="1" a="1"/>
  <c r="I508" i="1" s="1"/>
  <c r="J508" i="1" s="1" a="1"/>
  <c r="J508" i="1" s="1"/>
  <c r="K508" i="1" s="1"/>
  <c r="I514" i="1" a="1"/>
  <c r="I514" i="1" s="1"/>
  <c r="J514" i="1" s="1" a="1"/>
  <c r="J514" i="1" s="1"/>
  <c r="K514" i="1" s="1"/>
  <c r="I521" i="1" a="1"/>
  <c r="I521" i="1" s="1"/>
  <c r="J521" i="1" s="1" a="1"/>
  <c r="J521" i="1" s="1"/>
  <c r="K521" i="1" s="1"/>
  <c r="I535" i="1" a="1"/>
  <c r="I535" i="1" s="1"/>
  <c r="J535" i="1" s="1" a="1"/>
  <c r="J535" i="1" s="1"/>
  <c r="K535" i="1" s="1"/>
  <c r="I543" i="1" a="1"/>
  <c r="I543" i="1" s="1"/>
  <c r="J543" i="1" s="1" a="1"/>
  <c r="J543" i="1" s="1"/>
  <c r="K543" i="1" s="1"/>
  <c r="I549" i="1" a="1"/>
  <c r="I549" i="1" s="1"/>
  <c r="J549" i="1" s="1" a="1"/>
  <c r="J549" i="1" s="1"/>
  <c r="K549" i="1" s="1"/>
  <c r="I556" i="1" a="1"/>
  <c r="I556" i="1" s="1"/>
  <c r="J556" i="1" s="1" a="1"/>
  <c r="J556" i="1" s="1"/>
  <c r="K556" i="1" s="1"/>
  <c r="I564" i="1" a="1"/>
  <c r="I564" i="1" s="1"/>
  <c r="J564" i="1" s="1" a="1"/>
  <c r="J564" i="1" s="1"/>
  <c r="K564" i="1" s="1"/>
  <c r="I580" i="1" a="1"/>
  <c r="I580" i="1" s="1"/>
  <c r="J580" i="1" s="1" a="1"/>
  <c r="J580" i="1" s="1"/>
  <c r="K580" i="1" s="1"/>
  <c r="I592" i="1" a="1"/>
  <c r="I592" i="1" s="1"/>
  <c r="J592" i="1" s="1" a="1"/>
  <c r="J592" i="1" s="1"/>
  <c r="K592" i="1" s="1"/>
  <c r="I599" i="1" a="1"/>
  <c r="I599" i="1" s="1"/>
  <c r="J599" i="1" s="1" a="1"/>
  <c r="J599" i="1" s="1"/>
  <c r="K599" i="1" s="1"/>
  <c r="I606" i="1" a="1"/>
  <c r="I606" i="1" s="1"/>
  <c r="J606" i="1" s="1" a="1"/>
  <c r="J606" i="1" s="1"/>
  <c r="K606" i="1" s="1"/>
  <c r="I613" i="1" a="1"/>
  <c r="I613" i="1" s="1"/>
  <c r="J613" i="1" s="1" a="1"/>
  <c r="J613" i="1" s="1"/>
  <c r="K613" i="1" s="1"/>
  <c r="I621" i="1" a="1"/>
  <c r="I621" i="1" s="1"/>
  <c r="J621" i="1" s="1" a="1"/>
  <c r="J621" i="1" s="1"/>
  <c r="K621" i="1" s="1"/>
  <c r="I627" i="1" a="1"/>
  <c r="I627" i="1" s="1"/>
  <c r="J627" i="1" s="1" a="1"/>
  <c r="J627" i="1" s="1"/>
  <c r="K627" i="1" s="1"/>
  <c r="I635" i="1" a="1"/>
  <c r="I635" i="1" s="1"/>
  <c r="J635" i="1" s="1" a="1"/>
  <c r="J635" i="1" s="1"/>
  <c r="K635" i="1" s="1"/>
  <c r="I642" i="1" a="1"/>
  <c r="I642" i="1" s="1"/>
  <c r="J642" i="1" s="1" a="1"/>
  <c r="J642" i="1" s="1"/>
  <c r="K642" i="1" s="1"/>
  <c r="I649" i="1" a="1"/>
  <c r="I649" i="1" s="1"/>
  <c r="J649" i="1" s="1" a="1"/>
  <c r="J649" i="1" s="1"/>
  <c r="K649" i="1" s="1"/>
  <c r="I656" i="1" a="1"/>
  <c r="I656" i="1" s="1"/>
  <c r="J656" i="1" s="1" a="1"/>
  <c r="J656" i="1" s="1"/>
  <c r="K656" i="1" s="1"/>
  <c r="I663" i="1" a="1"/>
  <c r="I663" i="1" s="1"/>
  <c r="J663" i="1" s="1" a="1"/>
  <c r="J663" i="1" s="1"/>
  <c r="K663" i="1" s="1"/>
  <c r="I670" i="1" a="1"/>
  <c r="I670" i="1" s="1"/>
  <c r="J670" i="1" s="1" a="1"/>
  <c r="J670" i="1" s="1"/>
  <c r="K670" i="1" s="1"/>
  <c r="I677" i="1" a="1"/>
  <c r="I677" i="1" s="1"/>
  <c r="J677" i="1" s="1" a="1"/>
  <c r="J677" i="1" s="1"/>
  <c r="K677" i="1" s="1"/>
  <c r="I685" i="1" a="1"/>
  <c r="I685" i="1" s="1"/>
  <c r="J685" i="1" s="1" a="1"/>
  <c r="J685" i="1" s="1"/>
  <c r="K685" i="1" s="1"/>
  <c r="I691" i="1" a="1"/>
  <c r="I691" i="1" s="1"/>
  <c r="J691" i="1" s="1" a="1"/>
  <c r="J691" i="1" s="1"/>
  <c r="K691" i="1" s="1"/>
  <c r="I699" i="1" a="1"/>
  <c r="I699" i="1" s="1"/>
  <c r="J699" i="1" s="1" a="1"/>
  <c r="J699" i="1" s="1"/>
  <c r="K699" i="1" s="1"/>
  <c r="I706" i="1" a="1"/>
  <c r="I706" i="1" s="1"/>
  <c r="J706" i="1" s="1" a="1"/>
  <c r="J706" i="1" s="1"/>
  <c r="K706" i="1" s="1"/>
  <c r="I713" i="1" a="1"/>
  <c r="I713" i="1" s="1"/>
  <c r="J713" i="1" s="1" a="1"/>
  <c r="J713" i="1" s="1"/>
  <c r="K713" i="1" s="1"/>
  <c r="I721" i="1" a="1"/>
  <c r="I721" i="1" s="1"/>
  <c r="J721" i="1" s="1" a="1"/>
  <c r="J721" i="1" s="1"/>
  <c r="K721" i="1" s="1"/>
  <c r="I728" i="1" a="1"/>
  <c r="I728" i="1" s="1"/>
  <c r="J728" i="1" s="1" a="1"/>
  <c r="J728" i="1" s="1"/>
  <c r="K728" i="1" s="1"/>
  <c r="I735" i="1" a="1"/>
  <c r="I735" i="1" s="1"/>
  <c r="J735" i="1" s="1" a="1"/>
  <c r="J735" i="1" s="1"/>
  <c r="K735" i="1" s="1"/>
  <c r="I743" i="1" a="1"/>
  <c r="I743" i="1" s="1"/>
  <c r="J743" i="1" s="1" a="1"/>
  <c r="J743" i="1" s="1"/>
  <c r="K743" i="1" s="1"/>
  <c r="I750" i="1" a="1"/>
  <c r="I750" i="1" s="1"/>
  <c r="J750" i="1" s="1" a="1"/>
  <c r="J750" i="1" s="1"/>
  <c r="K750" i="1" s="1"/>
  <c r="I758" i="1" a="1"/>
  <c r="I758" i="1" s="1"/>
  <c r="J758" i="1" s="1" a="1"/>
  <c r="J758" i="1" s="1"/>
  <c r="K758" i="1" s="1"/>
  <c r="I772" i="1" a="1"/>
  <c r="I772" i="1" s="1"/>
  <c r="J772" i="1" s="1" a="1"/>
  <c r="J772" i="1" s="1"/>
  <c r="K772" i="1" s="1"/>
  <c r="I780" i="1" a="1"/>
  <c r="I780" i="1" s="1"/>
  <c r="J780" i="1" s="1" a="1"/>
  <c r="J780" i="1" s="1"/>
  <c r="K780" i="1" s="1"/>
  <c r="I787" i="1" a="1"/>
  <c r="I787" i="1" s="1"/>
  <c r="J787" i="1" s="1" a="1"/>
  <c r="J787" i="1" s="1"/>
  <c r="K787" i="1" s="1"/>
  <c r="I795" i="1" a="1"/>
  <c r="I795" i="1" s="1"/>
  <c r="J795" i="1" s="1" a="1"/>
  <c r="J795" i="1" s="1"/>
  <c r="K795" i="1" s="1"/>
  <c r="I802" i="1" a="1"/>
  <c r="I802" i="1" s="1"/>
  <c r="J802" i="1" s="1" a="1"/>
  <c r="J802" i="1" s="1"/>
  <c r="K802" i="1" s="1"/>
  <c r="I809" i="1" a="1"/>
  <c r="I809" i="1" s="1"/>
  <c r="J809" i="1" s="1" a="1"/>
  <c r="J809" i="1" s="1"/>
  <c r="K809" i="1" s="1"/>
  <c r="I816" i="1" a="1"/>
  <c r="I816" i="1" s="1"/>
  <c r="J816" i="1" s="1" a="1"/>
  <c r="J816" i="1" s="1"/>
  <c r="K816" i="1" s="1"/>
  <c r="I830" i="1" a="1"/>
  <c r="I830" i="1" s="1"/>
  <c r="J830" i="1" s="1" a="1"/>
  <c r="J830" i="1" s="1"/>
  <c r="K830" i="1" s="1"/>
  <c r="I838" i="1" a="1"/>
  <c r="I838" i="1" s="1"/>
  <c r="J838" i="1" s="1" a="1"/>
  <c r="J838" i="1" s="1"/>
  <c r="K838" i="1" s="1"/>
  <c r="I845" i="1" a="1"/>
  <c r="I845" i="1" s="1"/>
  <c r="J845" i="1" s="1" a="1"/>
  <c r="J845" i="1" s="1"/>
  <c r="K845" i="1" s="1"/>
  <c r="I851" i="1" a="1"/>
  <c r="I851" i="1" s="1"/>
  <c r="J851" i="1" s="1" a="1"/>
  <c r="J851" i="1" s="1"/>
  <c r="K851" i="1" s="1"/>
  <c r="I859" i="1" a="1"/>
  <c r="I859" i="1" s="1"/>
  <c r="J859" i="1" s="1" a="1"/>
  <c r="J859" i="1" s="1"/>
  <c r="K859" i="1" s="1"/>
  <c r="I867" i="1" a="1"/>
  <c r="I867" i="1" s="1"/>
  <c r="J867" i="1" s="1" a="1"/>
  <c r="J867" i="1" s="1"/>
  <c r="K867" i="1" s="1"/>
  <c r="I874" i="1" a="1"/>
  <c r="I874" i="1" s="1"/>
  <c r="J874" i="1" s="1" a="1"/>
  <c r="J874" i="1" s="1"/>
  <c r="K874" i="1" s="1"/>
  <c r="I881" i="1" a="1"/>
  <c r="I881" i="1" s="1"/>
  <c r="J881" i="1" s="1" a="1"/>
  <c r="J881" i="1" s="1"/>
  <c r="K881" i="1" s="1"/>
  <c r="I888" i="1" a="1"/>
  <c r="I888" i="1" s="1"/>
  <c r="J888" i="1" s="1" a="1"/>
  <c r="J888" i="1" s="1"/>
  <c r="K888" i="1" s="1"/>
  <c r="I896" i="1" a="1"/>
  <c r="I896" i="1" s="1"/>
  <c r="J896" i="1" s="1" a="1"/>
  <c r="J896" i="1" s="1"/>
  <c r="K896" i="1" s="1"/>
  <c r="I903" i="1" a="1"/>
  <c r="I903" i="1" s="1"/>
  <c r="J903" i="1" s="1" a="1"/>
  <c r="J903" i="1" s="1"/>
  <c r="K903" i="1" s="1"/>
  <c r="I910" i="1" a="1"/>
  <c r="I910" i="1" s="1"/>
  <c r="J910" i="1" s="1" a="1"/>
  <c r="J910" i="1" s="1"/>
  <c r="K910" i="1" s="1"/>
  <c r="I917" i="1" a="1"/>
  <c r="I917" i="1" s="1"/>
  <c r="J917" i="1" s="1" a="1"/>
  <c r="J917" i="1" s="1"/>
  <c r="K917" i="1" s="1"/>
  <c r="I925" i="1" a="1"/>
  <c r="I925" i="1" s="1"/>
  <c r="J925" i="1" s="1" a="1"/>
  <c r="J925" i="1" s="1"/>
  <c r="K925" i="1" s="1"/>
  <c r="I933" i="1" a="1"/>
  <c r="I933" i="1" s="1"/>
  <c r="J933" i="1" s="1" a="1"/>
  <c r="J933" i="1" s="1"/>
  <c r="K933" i="1" s="1"/>
  <c r="I940" i="1" a="1"/>
  <c r="I940" i="1" s="1"/>
  <c r="J940" i="1" s="1" a="1"/>
  <c r="J940" i="1" s="1"/>
  <c r="K940" i="1" s="1"/>
  <c r="I946" i="1" a="1"/>
  <c r="I946" i="1" s="1"/>
  <c r="J946" i="1" s="1" a="1"/>
  <c r="J946" i="1" s="1"/>
  <c r="K946" i="1" s="1"/>
  <c r="I954" i="1" a="1"/>
  <c r="I954" i="1" s="1"/>
  <c r="J954" i="1" s="1" a="1"/>
  <c r="J954" i="1" s="1"/>
  <c r="K954" i="1" s="1"/>
  <c r="I962" i="1" a="1"/>
  <c r="I962" i="1" s="1"/>
  <c r="J962" i="1" s="1" a="1"/>
  <c r="J962" i="1" s="1"/>
  <c r="K962" i="1" s="1"/>
  <c r="I16" i="1" a="1"/>
  <c r="I16" i="1" s="1"/>
  <c r="J16" i="1" s="1" a="1"/>
  <c r="J16" i="1" s="1"/>
  <c r="K16" i="1" s="1"/>
  <c r="I23" i="1" a="1"/>
  <c r="I23" i="1" s="1"/>
  <c r="J23" i="1" s="1" a="1"/>
  <c r="J23" i="1" s="1"/>
  <c r="K23" i="1" s="1"/>
  <c r="I40" i="1" a="1"/>
  <c r="I40" i="1" s="1"/>
  <c r="J40" i="1" s="1" a="1"/>
  <c r="J40" i="1" s="1"/>
  <c r="K40" i="1" s="1"/>
  <c r="I45" i="1" a="1"/>
  <c r="I45" i="1" s="1"/>
  <c r="J45" i="1" s="1" a="1"/>
  <c r="J45" i="1" s="1"/>
  <c r="K45" i="1" s="1"/>
  <c r="I51" i="1" a="1"/>
  <c r="I51" i="1" s="1"/>
  <c r="J51" i="1" s="1" a="1"/>
  <c r="J51" i="1" s="1"/>
  <c r="K51" i="1" s="1"/>
  <c r="I58" i="1" a="1"/>
  <c r="I58" i="1" s="1"/>
  <c r="J58" i="1" s="1" a="1"/>
  <c r="J58" i="1" s="1"/>
  <c r="K58" i="1" s="1"/>
  <c r="I64" i="1" a="1"/>
  <c r="I64" i="1" s="1"/>
  <c r="J64" i="1" s="1" a="1"/>
  <c r="J64" i="1" s="1"/>
  <c r="K64" i="1" s="1"/>
  <c r="I69" i="1" a="1"/>
  <c r="I69" i="1" s="1"/>
  <c r="J69" i="1" s="1" a="1"/>
  <c r="J69" i="1" s="1"/>
  <c r="K69" i="1" s="1"/>
  <c r="I81" i="1" a="1"/>
  <c r="I81" i="1" s="1"/>
  <c r="J81" i="1" s="1" a="1"/>
  <c r="J81" i="1" s="1"/>
  <c r="K81" i="1" s="1"/>
  <c r="I87" i="1" a="1"/>
  <c r="I87" i="1" s="1"/>
  <c r="J87" i="1" s="1" a="1"/>
  <c r="J87" i="1" s="1"/>
  <c r="K87" i="1" s="1"/>
  <c r="I92" i="1" a="1"/>
  <c r="I92" i="1" s="1"/>
  <c r="J92" i="1" s="1" a="1"/>
  <c r="J92" i="1" s="1"/>
  <c r="K92" i="1" s="1"/>
  <c r="I104" i="1" a="1"/>
  <c r="I104" i="1" s="1"/>
  <c r="J104" i="1" s="1" a="1"/>
  <c r="J104" i="1" s="1"/>
  <c r="K104" i="1" s="1"/>
  <c r="I110" i="1" a="1"/>
  <c r="I110" i="1" s="1"/>
  <c r="J110" i="1" s="1" a="1"/>
  <c r="J110" i="1" s="1"/>
  <c r="K110" i="1" s="1"/>
  <c r="I115" i="1" a="1"/>
  <c r="I115" i="1" s="1"/>
  <c r="J115" i="1" s="1" a="1"/>
  <c r="J115" i="1" s="1"/>
  <c r="K115" i="1" s="1"/>
  <c r="I127" i="1" a="1"/>
  <c r="I127" i="1" s="1"/>
  <c r="J127" i="1" s="1" a="1"/>
  <c r="J127" i="1" s="1"/>
  <c r="K127" i="1" s="1"/>
  <c r="I132" i="1" a="1"/>
  <c r="I132" i="1" s="1"/>
  <c r="J132" i="1" s="1" a="1"/>
  <c r="J132" i="1" s="1"/>
  <c r="K132" i="1" s="1"/>
  <c r="I139" i="1" a="1"/>
  <c r="I139" i="1" s="1"/>
  <c r="J139" i="1" s="1" a="1"/>
  <c r="J139" i="1" s="1"/>
  <c r="K139" i="1" s="1"/>
  <c r="I156" i="1" a="1"/>
  <c r="I156" i="1" s="1"/>
  <c r="J156" i="1" s="1" a="1"/>
  <c r="J156" i="1" s="1"/>
  <c r="K156" i="1" s="1"/>
  <c r="I163" i="1" a="1"/>
  <c r="I163" i="1" s="1"/>
  <c r="J163" i="1" s="1" a="1"/>
  <c r="J163" i="1" s="1"/>
  <c r="K163" i="1" s="1"/>
  <c r="I175" i="1" a="1"/>
  <c r="I175" i="1" s="1"/>
  <c r="J175" i="1" s="1" a="1"/>
  <c r="J175" i="1" s="1"/>
  <c r="K175" i="1" s="1"/>
  <c r="I181" i="1" a="1"/>
  <c r="I181" i="1" s="1"/>
  <c r="J181" i="1" s="1" a="1"/>
  <c r="J181" i="1" s="1"/>
  <c r="K181" i="1" s="1"/>
  <c r="I193" i="1" a="1"/>
  <c r="I193" i="1" s="1"/>
  <c r="J193" i="1" s="1" a="1"/>
  <c r="J193" i="1" s="1"/>
  <c r="K193" i="1" s="1"/>
  <c r="I198" i="1" a="1"/>
  <c r="I198" i="1" s="1"/>
  <c r="J198" i="1" s="1" a="1"/>
  <c r="J198" i="1" s="1"/>
  <c r="K198" i="1" s="1"/>
  <c r="I215" i="1" a="1"/>
  <c r="I215" i="1" s="1"/>
  <c r="J215" i="1" s="1" a="1"/>
  <c r="J215" i="1" s="1"/>
  <c r="K215" i="1" s="1"/>
  <c r="I220" i="1" a="1"/>
  <c r="I220" i="1" s="1"/>
  <c r="J220" i="1" s="1" a="1"/>
  <c r="J220" i="1" s="1"/>
  <c r="K220" i="1" s="1"/>
  <c r="I227" i="1" a="1"/>
  <c r="I227" i="1" s="1"/>
  <c r="J227" i="1" s="1" a="1"/>
  <c r="J227" i="1" s="1"/>
  <c r="K227" i="1" s="1"/>
  <c r="I239" i="1" a="1"/>
  <c r="I239" i="1" s="1"/>
  <c r="J239" i="1" s="1" a="1"/>
  <c r="J239" i="1" s="1"/>
  <c r="K239" i="1" s="1"/>
  <c r="I244" i="1" a="1"/>
  <c r="I244" i="1" s="1"/>
  <c r="J244" i="1" s="1" a="1"/>
  <c r="J244" i="1" s="1"/>
  <c r="K244" i="1" s="1"/>
  <c r="I257" i="1" a="1"/>
  <c r="I257" i="1" s="1"/>
  <c r="J257" i="1" s="1" a="1"/>
  <c r="J257" i="1" s="1"/>
  <c r="K257" i="1" s="1"/>
  <c r="I263" i="1" a="1"/>
  <c r="I263" i="1" s="1"/>
  <c r="J263" i="1" s="1" a="1"/>
  <c r="J263" i="1" s="1"/>
  <c r="K263" i="1" s="1"/>
  <c r="I268" i="1" a="1"/>
  <c r="I268" i="1" s="1"/>
  <c r="J268" i="1" s="1" a="1"/>
  <c r="J268" i="1" s="1"/>
  <c r="K268" i="1" s="1"/>
  <c r="I274" i="1" a="1"/>
  <c r="I274" i="1" s="1"/>
  <c r="J274" i="1" s="1" a="1"/>
  <c r="J274" i="1" s="1"/>
  <c r="K274" i="1" s="1"/>
  <c r="I280" i="1" a="1"/>
  <c r="I280" i="1" s="1"/>
  <c r="J280" i="1" s="1" a="1"/>
  <c r="J280" i="1" s="1"/>
  <c r="K280" i="1" s="1"/>
  <c r="I285" i="1" a="1"/>
  <c r="I285" i="1" s="1"/>
  <c r="J285" i="1" s="1" a="1"/>
  <c r="J285" i="1" s="1"/>
  <c r="K285" i="1" s="1"/>
  <c r="I303" i="1" a="1"/>
  <c r="I303" i="1" s="1"/>
  <c r="J303" i="1" s="1" a="1"/>
  <c r="J303" i="1" s="1"/>
  <c r="K303" i="1" s="1"/>
  <c r="I309" i="1" a="1"/>
  <c r="I309" i="1" s="1"/>
  <c r="J309" i="1" s="1" a="1"/>
  <c r="J309" i="1" s="1"/>
  <c r="K309" i="1" s="1"/>
  <c r="I315" i="1" a="1"/>
  <c r="I315" i="1" s="1"/>
  <c r="J315" i="1" s="1" a="1"/>
  <c r="J315" i="1" s="1"/>
  <c r="K315" i="1" s="1"/>
  <c r="I326" i="1" a="1"/>
  <c r="I326" i="1" s="1"/>
  <c r="J326" i="1" s="1" a="1"/>
  <c r="J326" i="1" s="1"/>
  <c r="K326" i="1" s="1"/>
  <c r="I338" i="1" a="1"/>
  <c r="I338" i="1" s="1"/>
  <c r="J338" i="1" s="1" a="1"/>
  <c r="J338" i="1" s="1"/>
  <c r="K338" i="1" s="1"/>
  <c r="I345" i="1" a="1"/>
  <c r="I345" i="1" s="1"/>
  <c r="J345" i="1" s="1" a="1"/>
  <c r="J345" i="1" s="1"/>
  <c r="K345" i="1" s="1"/>
  <c r="I350" i="1" a="1"/>
  <c r="I350" i="1" s="1"/>
  <c r="J350" i="1" s="1" a="1"/>
  <c r="J350" i="1" s="1"/>
  <c r="K350" i="1" s="1"/>
  <c r="I363" i="1" a="1"/>
  <c r="I363" i="1" s="1"/>
  <c r="J363" i="1" s="1" a="1"/>
  <c r="J363" i="1" s="1"/>
  <c r="K363" i="1" s="1"/>
  <c r="I371" i="1" a="1"/>
  <c r="I371" i="1" s="1"/>
  <c r="J371" i="1" s="1" a="1"/>
  <c r="J371" i="1" s="1"/>
  <c r="K371" i="1" s="1"/>
  <c r="I378" i="1" a="1"/>
  <c r="I378" i="1" s="1"/>
  <c r="J378" i="1" s="1" a="1"/>
  <c r="J378" i="1" s="1"/>
  <c r="K378" i="1" s="1"/>
  <c r="I392" i="1" a="1"/>
  <c r="I392" i="1" s="1"/>
  <c r="J392" i="1" s="1" a="1"/>
  <c r="J392" i="1" s="1"/>
  <c r="I399" i="1" a="1"/>
  <c r="I399" i="1" s="1"/>
  <c r="J399" i="1" s="1" a="1"/>
  <c r="J399" i="1" s="1"/>
  <c r="K399" i="1" s="1"/>
  <c r="I405" i="1" a="1"/>
  <c r="I405" i="1" s="1"/>
  <c r="J405" i="1" s="1" a="1"/>
  <c r="J405" i="1" s="1"/>
  <c r="K405" i="1" s="1"/>
  <c r="I413" i="1" a="1"/>
  <c r="I413" i="1" s="1"/>
  <c r="J413" i="1" s="1" a="1"/>
  <c r="J413" i="1" s="1"/>
  <c r="K413" i="1" s="1"/>
  <c r="I420" i="1" a="1"/>
  <c r="I420" i="1" s="1"/>
  <c r="J420" i="1" s="1" a="1"/>
  <c r="J420" i="1" s="1"/>
  <c r="K420" i="1" s="1"/>
  <c r="I426" i="1" a="1"/>
  <c r="I426" i="1" s="1"/>
  <c r="J426" i="1" s="1" a="1"/>
  <c r="J426" i="1" s="1"/>
  <c r="K426" i="1" s="1"/>
  <c r="I434" i="1" a="1"/>
  <c r="I434" i="1" s="1"/>
  <c r="J434" i="1" s="1" a="1"/>
  <c r="J434" i="1" s="1"/>
  <c r="K434" i="1" s="1"/>
  <c r="I441" i="1" a="1"/>
  <c r="I441" i="1" s="1"/>
  <c r="J441" i="1" s="1" a="1"/>
  <c r="J441" i="1" s="1"/>
  <c r="K441" i="1" s="1"/>
  <c r="I448" i="1" a="1"/>
  <c r="I448" i="1" s="1"/>
  <c r="J448" i="1" s="1" a="1"/>
  <c r="J448" i="1" s="1"/>
  <c r="K448" i="1" s="1"/>
  <c r="I455" i="1" a="1"/>
  <c r="I455" i="1" s="1"/>
  <c r="J455" i="1" s="1" a="1"/>
  <c r="J455" i="1" s="1"/>
  <c r="K455" i="1" s="1"/>
  <c r="I462" i="1" a="1"/>
  <c r="I462" i="1" s="1"/>
  <c r="J462" i="1" s="1" a="1"/>
  <c r="J462" i="1" s="1"/>
  <c r="K462" i="1" s="1"/>
  <c r="I476" i="1" a="1"/>
  <c r="I476" i="1" s="1"/>
  <c r="J476" i="1" s="1" a="1"/>
  <c r="J476" i="1" s="1"/>
  <c r="K476" i="1" s="1"/>
  <c r="I483" i="1" a="1"/>
  <c r="I483" i="1" s="1"/>
  <c r="J483" i="1" s="1" a="1"/>
  <c r="J483" i="1" s="1"/>
  <c r="K483" i="1" s="1"/>
  <c r="I489" i="1" a="1"/>
  <c r="I489" i="1" s="1"/>
  <c r="J489" i="1" s="1" a="1"/>
  <c r="J489" i="1" s="1"/>
  <c r="K489" i="1" s="1"/>
  <c r="I497" i="1" a="1"/>
  <c r="I497" i="1" s="1"/>
  <c r="J497" i="1" s="1" a="1"/>
  <c r="J497" i="1" s="1"/>
  <c r="K497" i="1" s="1"/>
  <c r="I504" i="1" a="1"/>
  <c r="I504" i="1" s="1"/>
  <c r="J504" i="1" s="1" a="1"/>
  <c r="J504" i="1" s="1"/>
  <c r="K504" i="1" s="1"/>
  <c r="I511" i="1" a="1"/>
  <c r="I511" i="1" s="1"/>
  <c r="J511" i="1" s="1" a="1"/>
  <c r="J511" i="1" s="1"/>
  <c r="K511" i="1" s="1"/>
  <c r="I518" i="1" a="1"/>
  <c r="I518" i="1" s="1"/>
  <c r="J518" i="1" s="1" a="1"/>
  <c r="J518" i="1" s="1"/>
  <c r="K518" i="1" s="1"/>
  <c r="I525" i="1" a="1"/>
  <c r="I525" i="1" s="1"/>
  <c r="J525" i="1" s="1" a="1"/>
  <c r="J525" i="1" s="1"/>
  <c r="K525" i="1" s="1"/>
  <c r="I532" i="1" a="1"/>
  <c r="I532" i="1" s="1"/>
  <c r="J532" i="1" s="1" a="1"/>
  <c r="J532" i="1" s="1"/>
  <c r="K532" i="1" s="1"/>
  <c r="I539" i="1" a="1"/>
  <c r="I539" i="1" s="1"/>
  <c r="J539" i="1" s="1" a="1"/>
  <c r="J539" i="1" s="1"/>
  <c r="K539" i="1" s="1"/>
  <c r="I546" i="1" a="1"/>
  <c r="I546" i="1" s="1"/>
  <c r="J546" i="1" s="1" a="1"/>
  <c r="J546" i="1" s="1"/>
  <c r="K546" i="1" s="1"/>
  <c r="I560" i="1" a="1"/>
  <c r="I560" i="1" s="1"/>
  <c r="J560" i="1" s="1" a="1"/>
  <c r="J560" i="1" s="1"/>
  <c r="K560" i="1" s="1"/>
  <c r="I567" i="1" a="1"/>
  <c r="I567" i="1" s="1"/>
  <c r="J567" i="1" s="1" a="1"/>
  <c r="J567" i="1" s="1"/>
  <c r="K567" i="1" s="1"/>
  <c r="I577" i="1" a="1"/>
  <c r="I577" i="1" s="1"/>
  <c r="J577" i="1" s="1" a="1"/>
  <c r="J577" i="1" s="1"/>
  <c r="K577" i="1" s="1"/>
  <c r="I582" i="1" a="1"/>
  <c r="I582" i="1" s="1"/>
  <c r="J582" i="1" s="1" a="1"/>
  <c r="J582" i="1" s="1"/>
  <c r="K582" i="1" s="1"/>
  <c r="I589" i="1" a="1"/>
  <c r="I589" i="1" s="1"/>
  <c r="J589" i="1" s="1" a="1"/>
  <c r="J589" i="1" s="1"/>
  <c r="K589" i="1" s="1"/>
  <c r="I595" i="1" a="1"/>
  <c r="I595" i="1" s="1"/>
  <c r="J595" i="1" s="1" a="1"/>
  <c r="J595" i="1" s="1"/>
  <c r="K595" i="1" s="1"/>
  <c r="I603" i="1" a="1"/>
  <c r="I603" i="1" s="1"/>
  <c r="J603" i="1" s="1" a="1"/>
  <c r="J603" i="1" s="1"/>
  <c r="K603" i="1" s="1"/>
  <c r="I610" i="1" a="1"/>
  <c r="I610" i="1" s="1"/>
  <c r="J610" i="1" s="1" a="1"/>
  <c r="J610" i="1" s="1"/>
  <c r="K610" i="1" s="1"/>
  <c r="I617" i="1" a="1"/>
  <c r="I617" i="1" s="1"/>
  <c r="J617" i="1" s="1" a="1"/>
  <c r="J617" i="1" s="1"/>
  <c r="K617" i="1" s="1"/>
  <c r="I624" i="1" a="1"/>
  <c r="I624" i="1" s="1"/>
  <c r="J624" i="1" s="1" a="1"/>
  <c r="J624" i="1" s="1"/>
  <c r="K624" i="1" s="1"/>
  <c r="I631" i="1" a="1"/>
  <c r="I631" i="1" s="1"/>
  <c r="J631" i="1" s="1" a="1"/>
  <c r="J631" i="1" s="1"/>
  <c r="K631" i="1" s="1"/>
  <c r="I638" i="1" a="1"/>
  <c r="I638" i="1" s="1"/>
  <c r="J638" i="1" s="1" a="1"/>
  <c r="J638" i="1" s="1"/>
  <c r="K638" i="1" s="1"/>
  <c r="I645" i="1" a="1"/>
  <c r="I645" i="1" s="1"/>
  <c r="J645" i="1" s="1" a="1"/>
  <c r="J645" i="1" s="1"/>
  <c r="K645" i="1" s="1"/>
  <c r="I653" i="1" a="1"/>
  <c r="I653" i="1" s="1"/>
  <c r="J653" i="1" s="1" a="1"/>
  <c r="J653" i="1" s="1"/>
  <c r="K653" i="1" s="1"/>
  <c r="I659" i="1" a="1"/>
  <c r="I659" i="1" s="1"/>
  <c r="J659" i="1" s="1" a="1"/>
  <c r="J659" i="1" s="1"/>
  <c r="K659" i="1" s="1"/>
  <c r="I667" i="1" a="1"/>
  <c r="I667" i="1" s="1"/>
  <c r="J667" i="1" s="1" a="1"/>
  <c r="J667" i="1" s="1"/>
  <c r="K667" i="1" s="1"/>
  <c r="I674" i="1" a="1"/>
  <c r="I674" i="1" s="1"/>
  <c r="J674" i="1" s="1" a="1"/>
  <c r="J674" i="1" s="1"/>
  <c r="K674" i="1" s="1"/>
  <c r="I681" i="1" a="1"/>
  <c r="I681" i="1" s="1"/>
  <c r="J681" i="1" s="1" a="1"/>
  <c r="J681" i="1" s="1"/>
  <c r="K681" i="1" s="1"/>
  <c r="I688" i="1" a="1"/>
  <c r="I688" i="1" s="1"/>
  <c r="J688" i="1" s="1" a="1"/>
  <c r="J688" i="1" s="1"/>
  <c r="K688" i="1" s="1"/>
  <c r="I695" i="1" a="1"/>
  <c r="I695" i="1" s="1"/>
  <c r="J695" i="1" s="1" a="1"/>
  <c r="J695" i="1" s="1"/>
  <c r="K695" i="1" s="1"/>
  <c r="I702" i="1" a="1"/>
  <c r="I702" i="1" s="1"/>
  <c r="J702" i="1" s="1" a="1"/>
  <c r="J702" i="1" s="1"/>
  <c r="K702" i="1" s="1"/>
  <c r="I709" i="1" a="1"/>
  <c r="I709" i="1" s="1"/>
  <c r="J709" i="1" s="1" a="1"/>
  <c r="J709" i="1" s="1"/>
  <c r="K709" i="1" s="1"/>
  <c r="I717" i="1" a="1"/>
  <c r="I717" i="1" s="1"/>
  <c r="J717" i="1" s="1" a="1"/>
  <c r="J717" i="1" s="1"/>
  <c r="K717" i="1" s="1"/>
  <c r="I724" i="1" a="1"/>
  <c r="I724" i="1" s="1"/>
  <c r="J724" i="1" s="1" a="1"/>
  <c r="J724" i="1" s="1"/>
  <c r="K724" i="1" s="1"/>
  <c r="I732" i="1" a="1"/>
  <c r="I732" i="1" s="1"/>
  <c r="J732" i="1" s="1" a="1"/>
  <c r="J732" i="1" s="1"/>
  <c r="K732" i="1" s="1"/>
  <c r="I739" i="1" a="1"/>
  <c r="I739" i="1" s="1"/>
  <c r="J739" i="1" s="1" a="1"/>
  <c r="J739" i="1" s="1"/>
  <c r="K739" i="1" s="1"/>
  <c r="I747" i="1" a="1"/>
  <c r="I747" i="1" s="1"/>
  <c r="J747" i="1" s="1" a="1"/>
  <c r="J747" i="1" s="1"/>
  <c r="K747" i="1" s="1"/>
  <c r="I754" i="1" a="1"/>
  <c r="I754" i="1" s="1"/>
  <c r="J754" i="1" s="1" a="1"/>
  <c r="J754" i="1" s="1"/>
  <c r="K754" i="1" s="1"/>
  <c r="I762" i="1" a="1"/>
  <c r="I762" i="1" s="1"/>
  <c r="J762" i="1" s="1" a="1"/>
  <c r="J762" i="1" s="1"/>
  <c r="K762" i="1" s="1"/>
  <c r="I769" i="1" a="1"/>
  <c r="I769" i="1" s="1"/>
  <c r="J769" i="1" s="1" a="1"/>
  <c r="J769" i="1" s="1"/>
  <c r="K769" i="1" s="1"/>
  <c r="I776" i="1" a="1"/>
  <c r="I776" i="1" s="1"/>
  <c r="J776" i="1" s="1" a="1"/>
  <c r="J776" i="1" s="1"/>
  <c r="K776" i="1" s="1"/>
  <c r="I784" i="1" a="1"/>
  <c r="I784" i="1" s="1"/>
  <c r="J784" i="1" s="1" a="1"/>
  <c r="J784" i="1" s="1"/>
  <c r="K784" i="1" s="1"/>
  <c r="I791" i="1" a="1"/>
  <c r="I791" i="1" s="1"/>
  <c r="J791" i="1" s="1" a="1"/>
  <c r="J791" i="1" s="1"/>
  <c r="K791" i="1" s="1"/>
  <c r="I14" i="1" a="1"/>
  <c r="I14" i="1" s="1"/>
  <c r="J14" i="1" s="1" a="1"/>
  <c r="J14" i="1" s="1"/>
  <c r="K14" i="1" s="1"/>
  <c r="I26" i="1" a="1"/>
  <c r="I26" i="1" s="1"/>
  <c r="J26" i="1" s="1" a="1"/>
  <c r="J26" i="1" s="1"/>
  <c r="K26" i="1" s="1"/>
  <c r="I61" i="1" a="1"/>
  <c r="I61" i="1" s="1"/>
  <c r="J61" i="1" s="1" a="1"/>
  <c r="J61" i="1" s="1"/>
  <c r="K61" i="1" s="1"/>
  <c r="I73" i="1" a="1"/>
  <c r="I73" i="1" s="1"/>
  <c r="J73" i="1" s="1" a="1"/>
  <c r="J73" i="1" s="1"/>
  <c r="K73" i="1" s="1"/>
  <c r="I84" i="1" a="1"/>
  <c r="I84" i="1" s="1"/>
  <c r="J84" i="1" s="1" a="1"/>
  <c r="J84" i="1" s="1"/>
  <c r="K84" i="1" s="1"/>
  <c r="I97" i="1" a="1"/>
  <c r="I97" i="1" s="1"/>
  <c r="J97" i="1" s="1" a="1"/>
  <c r="J97" i="1" s="1"/>
  <c r="K97" i="1" s="1"/>
  <c r="I143" i="1" a="1"/>
  <c r="I143" i="1" s="1"/>
  <c r="J143" i="1" s="1" a="1"/>
  <c r="J143" i="1" s="1"/>
  <c r="K143" i="1" s="1"/>
  <c r="I167" i="1" a="1"/>
  <c r="I167" i="1" s="1"/>
  <c r="J167" i="1" s="1" a="1"/>
  <c r="J167" i="1" s="1"/>
  <c r="K167" i="1" s="1"/>
  <c r="I190" i="1" a="1"/>
  <c r="I190" i="1" s="1"/>
  <c r="J190" i="1" s="1" a="1"/>
  <c r="J190" i="1" s="1"/>
  <c r="K190" i="1" s="1"/>
  <c r="I202" i="1" a="1"/>
  <c r="I202" i="1" s="1"/>
  <c r="J202" i="1" s="1" a="1"/>
  <c r="J202" i="1" s="1"/>
  <c r="K202" i="1" s="1"/>
  <c r="I212" i="1" a="1"/>
  <c r="I212" i="1" s="1"/>
  <c r="J212" i="1" s="1" a="1"/>
  <c r="J212" i="1" s="1"/>
  <c r="K212" i="1" s="1"/>
  <c r="I225" i="1" a="1"/>
  <c r="I225" i="1" s="1"/>
  <c r="J225" i="1" s="1" a="1"/>
  <c r="J225" i="1" s="1"/>
  <c r="K225" i="1" s="1"/>
  <c r="I237" i="1" a="1"/>
  <c r="I237" i="1" s="1"/>
  <c r="J237" i="1" s="1" a="1"/>
  <c r="J237" i="1" s="1"/>
  <c r="K237" i="1" s="1"/>
  <c r="I249" i="1" a="1"/>
  <c r="I249" i="1" s="1"/>
  <c r="J249" i="1" s="1" a="1"/>
  <c r="J249" i="1" s="1"/>
  <c r="K249" i="1" s="1"/>
  <c r="I260" i="1" a="1"/>
  <c r="I260" i="1" s="1"/>
  <c r="J260" i="1" s="1" a="1"/>
  <c r="J260" i="1" s="1"/>
  <c r="K260" i="1" s="1"/>
  <c r="I272" i="1" a="1"/>
  <c r="I272" i="1" s="1"/>
  <c r="J272" i="1" s="1" a="1"/>
  <c r="J272" i="1" s="1"/>
  <c r="K272" i="1" s="1"/>
  <c r="I283" i="1" a="1"/>
  <c r="I283" i="1" s="1"/>
  <c r="J283" i="1" s="1" a="1"/>
  <c r="J283" i="1" s="1"/>
  <c r="K283" i="1" s="1"/>
  <c r="I295" i="1" a="1"/>
  <c r="I295" i="1" s="1"/>
  <c r="J295" i="1" s="1" a="1"/>
  <c r="J295" i="1" s="1"/>
  <c r="K295" i="1" s="1"/>
  <c r="I319" i="1" a="1"/>
  <c r="I319" i="1" s="1"/>
  <c r="J319" i="1" s="1" a="1"/>
  <c r="J319" i="1" s="1"/>
  <c r="K319" i="1" s="1"/>
  <c r="I330" i="1" a="1"/>
  <c r="I330" i="1" s="1"/>
  <c r="J330" i="1" s="1" a="1"/>
  <c r="J330" i="1" s="1"/>
  <c r="K330" i="1" s="1"/>
  <c r="I342" i="1" a="1"/>
  <c r="I342" i="1" s="1"/>
  <c r="J342" i="1" s="1" a="1"/>
  <c r="J342" i="1" s="1"/>
  <c r="K342" i="1" s="1"/>
  <c r="I354" i="1" a="1"/>
  <c r="I354" i="1" s="1"/>
  <c r="J354" i="1" s="1" a="1"/>
  <c r="J354" i="1" s="1"/>
  <c r="K354" i="1" s="1"/>
  <c r="I368" i="1" a="1"/>
  <c r="I368" i="1" s="1"/>
  <c r="J368" i="1" s="1" a="1"/>
  <c r="J368" i="1" s="1"/>
  <c r="K368" i="1" s="1"/>
  <c r="I382" i="1" a="1"/>
  <c r="I382" i="1" s="1"/>
  <c r="J382" i="1" s="1" a="1"/>
  <c r="J382" i="1" s="1"/>
  <c r="K382" i="1" s="1"/>
  <c r="I396" i="1" a="1"/>
  <c r="I396" i="1" s="1"/>
  <c r="J396" i="1" s="1" a="1"/>
  <c r="J396" i="1" s="1"/>
  <c r="K396" i="1" s="1"/>
  <c r="I410" i="1" a="1"/>
  <c r="I410" i="1" s="1"/>
  <c r="J410" i="1" s="1" a="1"/>
  <c r="J410" i="1" s="1"/>
  <c r="K410" i="1" s="1"/>
  <c r="I424" i="1" a="1"/>
  <c r="I424" i="1" s="1"/>
  <c r="J424" i="1" s="1" a="1"/>
  <c r="J424" i="1" s="1"/>
  <c r="K424" i="1" s="1"/>
  <c r="I438" i="1" a="1"/>
  <c r="I438" i="1" s="1"/>
  <c r="J438" i="1" s="1" a="1"/>
  <c r="J438" i="1" s="1"/>
  <c r="K438" i="1" s="1"/>
  <c r="I452" i="1" a="1"/>
  <c r="I452" i="1" s="1"/>
  <c r="J452" i="1" s="1" a="1"/>
  <c r="J452" i="1" s="1"/>
  <c r="K452" i="1" s="1"/>
  <c r="I466" i="1" a="1"/>
  <c r="I466" i="1" s="1"/>
  <c r="J466" i="1" s="1" a="1"/>
  <c r="J466" i="1" s="1"/>
  <c r="K466" i="1" s="1"/>
  <c r="I494" i="1" a="1"/>
  <c r="I494" i="1" s="1"/>
  <c r="J494" i="1" s="1" a="1"/>
  <c r="J494" i="1" s="1"/>
  <c r="K494" i="1" s="1"/>
  <c r="I522" i="1" a="1"/>
  <c r="I522" i="1" s="1"/>
  <c r="J522" i="1" s="1" a="1"/>
  <c r="J522" i="1" s="1"/>
  <c r="K522" i="1" s="1"/>
  <c r="I536" i="1" a="1"/>
  <c r="I536" i="1" s="1"/>
  <c r="J536" i="1" s="1" a="1"/>
  <c r="J536" i="1" s="1"/>
  <c r="K536" i="1" s="1"/>
  <c r="I550" i="1" a="1"/>
  <c r="I550" i="1" s="1"/>
  <c r="J550" i="1" s="1" a="1"/>
  <c r="J550" i="1" s="1"/>
  <c r="K550" i="1" s="1"/>
  <c r="I575" i="1" a="1"/>
  <c r="I575" i="1" s="1"/>
  <c r="J575" i="1" s="1" a="1"/>
  <c r="J575" i="1" s="1"/>
  <c r="K575" i="1" s="1"/>
  <c r="I586" i="1" a="1"/>
  <c r="I586" i="1" s="1"/>
  <c r="J586" i="1" s="1" a="1"/>
  <c r="J586" i="1" s="1"/>
  <c r="K586" i="1" s="1"/>
  <c r="I600" i="1" a="1"/>
  <c r="I600" i="1" s="1"/>
  <c r="J600" i="1" s="1" a="1"/>
  <c r="J600" i="1" s="1"/>
  <c r="K600" i="1" s="1"/>
  <c r="I614" i="1" a="1"/>
  <c r="I614" i="1" s="1"/>
  <c r="J614" i="1" s="1" a="1"/>
  <c r="J614" i="1" s="1"/>
  <c r="K614" i="1" s="1"/>
  <c r="I628" i="1" a="1"/>
  <c r="I628" i="1" s="1"/>
  <c r="J628" i="1" s="1" a="1"/>
  <c r="J628" i="1" s="1"/>
  <c r="K628" i="1" s="1"/>
  <c r="I657" i="1" a="1"/>
  <c r="I657" i="1" s="1"/>
  <c r="J657" i="1" s="1" a="1"/>
  <c r="J657" i="1" s="1"/>
  <c r="K657" i="1" s="1"/>
  <c r="I671" i="1" a="1"/>
  <c r="I671" i="1" s="1"/>
  <c r="J671" i="1" s="1" a="1"/>
  <c r="J671" i="1" s="1"/>
  <c r="K671" i="1" s="1"/>
  <c r="I700" i="1" a="1"/>
  <c r="I700" i="1" s="1"/>
  <c r="J700" i="1" s="1" a="1"/>
  <c r="J700" i="1" s="1"/>
  <c r="K700" i="1" s="1"/>
  <c r="I714" i="1" a="1"/>
  <c r="I714" i="1" s="1"/>
  <c r="J714" i="1" s="1" a="1"/>
  <c r="J714" i="1" s="1"/>
  <c r="K714" i="1" s="1"/>
  <c r="I729" i="1" a="1"/>
  <c r="I729" i="1" s="1"/>
  <c r="J729" i="1" s="1" a="1"/>
  <c r="J729" i="1" s="1"/>
  <c r="K729" i="1" s="1"/>
  <c r="I744" i="1" a="1"/>
  <c r="I744" i="1" s="1"/>
  <c r="J744" i="1" s="1" a="1"/>
  <c r="J744" i="1" s="1"/>
  <c r="K744" i="1" s="1"/>
  <c r="I759" i="1" a="1"/>
  <c r="I759" i="1" s="1"/>
  <c r="J759" i="1" s="1" a="1"/>
  <c r="J759" i="1" s="1"/>
  <c r="K759" i="1" s="1"/>
  <c r="I773" i="1" a="1"/>
  <c r="I773" i="1" s="1"/>
  <c r="J773" i="1" s="1" a="1"/>
  <c r="J773" i="1" s="1"/>
  <c r="K773" i="1" s="1"/>
  <c r="I788" i="1" a="1"/>
  <c r="I788" i="1" s="1"/>
  <c r="J788" i="1" s="1" a="1"/>
  <c r="J788" i="1" s="1"/>
  <c r="K788" i="1" s="1"/>
  <c r="I799" i="1" a="1"/>
  <c r="I799" i="1" s="1"/>
  <c r="J799" i="1" s="1" a="1"/>
  <c r="J799" i="1" s="1"/>
  <c r="K799" i="1" s="1"/>
  <c r="I812" i="1" a="1"/>
  <c r="I812" i="1" s="1"/>
  <c r="J812" i="1" s="1" a="1"/>
  <c r="J812" i="1" s="1"/>
  <c r="K812" i="1" s="1"/>
  <c r="I823" i="1" a="1"/>
  <c r="I823" i="1" s="1"/>
  <c r="J823" i="1" s="1" a="1"/>
  <c r="J823" i="1" s="1"/>
  <c r="K823" i="1" s="1"/>
  <c r="I834" i="1" a="1"/>
  <c r="I834" i="1" s="1"/>
  <c r="J834" i="1" s="1" a="1"/>
  <c r="J834" i="1" s="1"/>
  <c r="K834" i="1" s="1"/>
  <c r="I846" i="1" a="1"/>
  <c r="I846" i="1" s="1"/>
  <c r="J846" i="1" s="1" a="1"/>
  <c r="J846" i="1" s="1"/>
  <c r="K846" i="1" s="1"/>
  <c r="I856" i="1" a="1"/>
  <c r="I856" i="1" s="1"/>
  <c r="J856" i="1" s="1" a="1"/>
  <c r="J856" i="1" s="1"/>
  <c r="K856" i="1" s="1"/>
  <c r="I870" i="1" a="1"/>
  <c r="I870" i="1" s="1"/>
  <c r="J870" i="1" s="1" a="1"/>
  <c r="J870" i="1" s="1"/>
  <c r="K870" i="1" s="1"/>
  <c r="I892" i="1" a="1"/>
  <c r="I892" i="1" s="1"/>
  <c r="J892" i="1" s="1" a="1"/>
  <c r="J892" i="1" s="1"/>
  <c r="K892" i="1" s="1"/>
  <c r="I905" i="1" a="1"/>
  <c r="I905" i="1" s="1"/>
  <c r="J905" i="1" s="1" a="1"/>
  <c r="J905" i="1" s="1"/>
  <c r="K905" i="1" s="1"/>
  <c r="I914" i="1" a="1"/>
  <c r="I914" i="1" s="1"/>
  <c r="J914" i="1" s="1" a="1"/>
  <c r="J914" i="1" s="1"/>
  <c r="K914" i="1" s="1"/>
  <c r="I928" i="1" a="1"/>
  <c r="I928" i="1" s="1"/>
  <c r="J928" i="1" s="1" a="1"/>
  <c r="J928" i="1" s="1"/>
  <c r="K928" i="1" s="1"/>
  <c r="I941" i="1" a="1"/>
  <c r="I941" i="1" s="1"/>
  <c r="J941" i="1" s="1" a="1"/>
  <c r="J941" i="1" s="1"/>
  <c r="K941" i="1" s="1"/>
  <c r="I950" i="1" a="1"/>
  <c r="I950" i="1" s="1"/>
  <c r="J950" i="1" s="1" a="1"/>
  <c r="J950" i="1" s="1"/>
  <c r="K950" i="1" s="1"/>
  <c r="I964" i="1" a="1"/>
  <c r="I964" i="1" s="1"/>
  <c r="J964" i="1" s="1" a="1"/>
  <c r="J964" i="1" s="1"/>
  <c r="K964" i="1" s="1"/>
  <c r="I972" i="1" a="1"/>
  <c r="I972" i="1" s="1"/>
  <c r="J972" i="1" s="1" a="1"/>
  <c r="J972" i="1" s="1"/>
  <c r="K972" i="1" s="1"/>
  <c r="I979" i="1" a="1"/>
  <c r="I979" i="1" s="1"/>
  <c r="J979" i="1" s="1" a="1"/>
  <c r="J979" i="1" s="1"/>
  <c r="K979" i="1" s="1"/>
  <c r="I988" i="1" a="1"/>
  <c r="I988" i="1" s="1"/>
  <c r="J988" i="1" s="1" a="1"/>
  <c r="J988" i="1" s="1"/>
  <c r="K988" i="1" s="1"/>
  <c r="I997" i="1" a="1"/>
  <c r="I997" i="1" s="1"/>
  <c r="J997" i="1" s="1" a="1"/>
  <c r="J997" i="1" s="1"/>
  <c r="K997" i="1" s="1"/>
  <c r="I1013" i="1" a="1"/>
  <c r="I1013" i="1" s="1"/>
  <c r="J1013" i="1" s="1" a="1"/>
  <c r="J1013" i="1" s="1"/>
  <c r="K1013" i="1" s="1"/>
  <c r="I1022" i="1" a="1"/>
  <c r="I1022" i="1" s="1"/>
  <c r="J1022" i="1" s="1" a="1"/>
  <c r="J1022" i="1" s="1"/>
  <c r="K1022" i="1" s="1"/>
  <c r="I1038" i="1" a="1"/>
  <c r="I1038" i="1" s="1"/>
  <c r="J1038" i="1" s="1" a="1"/>
  <c r="J1038" i="1" s="1"/>
  <c r="K1038" i="1" s="1"/>
  <c r="I1046" i="1" a="1"/>
  <c r="I1046" i="1" s="1"/>
  <c r="J1046" i="1" s="1" a="1"/>
  <c r="J1046" i="1" s="1"/>
  <c r="K1046" i="1" s="1"/>
  <c r="I1055" i="1" a="1"/>
  <c r="I1055" i="1" s="1"/>
  <c r="J1055" i="1" s="1" a="1"/>
  <c r="J1055" i="1" s="1"/>
  <c r="K1055" i="1" s="1"/>
  <c r="I1064" i="1" a="1"/>
  <c r="I1064" i="1" s="1"/>
  <c r="J1064" i="1" s="1" a="1"/>
  <c r="J1064" i="1" s="1"/>
  <c r="K1064" i="1" s="1"/>
  <c r="I1072" i="1" a="1"/>
  <c r="I1072" i="1" s="1"/>
  <c r="J1072" i="1" s="1" a="1"/>
  <c r="J1072" i="1" s="1"/>
  <c r="K1072" i="1" s="1"/>
  <c r="I1080" i="1" a="1"/>
  <c r="I1080" i="1" s="1"/>
  <c r="J1080" i="1" s="1" a="1"/>
  <c r="J1080" i="1" s="1"/>
  <c r="K1080" i="1" s="1"/>
  <c r="I1089" i="1" a="1"/>
  <c r="I1089" i="1" s="1"/>
  <c r="J1089" i="1" s="1" a="1"/>
  <c r="J1089" i="1" s="1"/>
  <c r="K1089" i="1" s="1"/>
  <c r="I1097" i="1" a="1"/>
  <c r="I1097" i="1" s="1"/>
  <c r="J1097" i="1" s="1" a="1"/>
  <c r="J1097" i="1" s="1"/>
  <c r="K1097" i="1" s="1"/>
  <c r="I1105" i="1" a="1"/>
  <c r="I1105" i="1" s="1"/>
  <c r="J1105" i="1" s="1" a="1"/>
  <c r="J1105" i="1" s="1"/>
  <c r="K1105" i="1" s="1"/>
  <c r="I1113" i="1" a="1"/>
  <c r="I1113" i="1" s="1"/>
  <c r="J1113" i="1" s="1" a="1"/>
  <c r="J1113" i="1" s="1"/>
  <c r="K1113" i="1" s="1"/>
  <c r="I1123" i="1" a="1"/>
  <c r="I1123" i="1" s="1"/>
  <c r="J1123" i="1" s="1" a="1"/>
  <c r="J1123" i="1" s="1"/>
  <c r="K1123" i="1" s="1"/>
  <c r="I1131" i="1" a="1"/>
  <c r="I1131" i="1" s="1"/>
  <c r="J1131" i="1" s="1" a="1"/>
  <c r="J1131" i="1" s="1"/>
  <c r="K1131" i="1" s="1"/>
  <c r="I1138" i="1" a="1"/>
  <c r="I1138" i="1" s="1"/>
  <c r="J1138" i="1" s="1" a="1"/>
  <c r="J1138" i="1" s="1"/>
  <c r="K1138" i="1" s="1"/>
  <c r="I1147" i="1" a="1"/>
  <c r="I1147" i="1" s="1"/>
  <c r="J1147" i="1" s="1" a="1"/>
  <c r="J1147" i="1" s="1"/>
  <c r="K1147" i="1" s="1"/>
  <c r="I1155" i="1" a="1"/>
  <c r="I1155" i="1" s="1"/>
  <c r="J1155" i="1" s="1" a="1"/>
  <c r="J1155" i="1" s="1"/>
  <c r="K1155" i="1" s="1"/>
  <c r="I1168" i="1" a="1"/>
  <c r="I1168" i="1" s="1"/>
  <c r="J1168" i="1" s="1" a="1"/>
  <c r="J1168" i="1" s="1"/>
  <c r="K1168" i="1" s="1"/>
  <c r="I1175" i="1" a="1"/>
  <c r="I1175" i="1" s="1"/>
  <c r="J1175" i="1" s="1" a="1"/>
  <c r="J1175" i="1" s="1"/>
  <c r="K1175" i="1" s="1"/>
  <c r="I1181" i="1" a="1"/>
  <c r="I1181" i="1" s="1"/>
  <c r="J1181" i="1" s="1" a="1"/>
  <c r="J1181" i="1" s="1"/>
  <c r="K1181" i="1" s="1"/>
  <c r="I1199" i="1" a="1"/>
  <c r="I1199" i="1" s="1"/>
  <c r="J1199" i="1" s="1" a="1"/>
  <c r="J1199" i="1" s="1"/>
  <c r="K1199" i="1" s="1"/>
  <c r="I1206" i="1" a="1"/>
  <c r="I1206" i="1" s="1"/>
  <c r="J1206" i="1" s="1" a="1"/>
  <c r="J1206" i="1" s="1"/>
  <c r="K1206" i="1" s="1"/>
  <c r="I1213" i="1" a="1"/>
  <c r="I1213" i="1" s="1"/>
  <c r="J1213" i="1" s="1" a="1"/>
  <c r="J1213" i="1" s="1"/>
  <c r="K1213" i="1" s="1"/>
  <c r="I1231" i="1" a="1"/>
  <c r="I1231" i="1" s="1"/>
  <c r="J1231" i="1" s="1" a="1"/>
  <c r="J1231" i="1" s="1"/>
  <c r="K1231" i="1" s="1"/>
  <c r="I1238" i="1" a="1"/>
  <c r="I1238" i="1" s="1"/>
  <c r="J1238" i="1" s="1" a="1"/>
  <c r="J1238" i="1" s="1"/>
  <c r="K1238" i="1" s="1"/>
  <c r="I1245" i="1" a="1"/>
  <c r="I1245" i="1" s="1"/>
  <c r="J1245" i="1" s="1" a="1"/>
  <c r="J1245" i="1" s="1"/>
  <c r="K1245" i="1" s="1"/>
  <c r="I1251" i="1" a="1"/>
  <c r="I1251" i="1" s="1"/>
  <c r="J1251" i="1" s="1" a="1"/>
  <c r="J1251" i="1" s="1"/>
  <c r="K1251" i="1" s="1"/>
  <c r="I1259" i="1" a="1"/>
  <c r="I1259" i="1" s="1"/>
  <c r="J1259" i="1" s="1" a="1"/>
  <c r="J1259" i="1" s="1"/>
  <c r="K1259" i="1" s="1"/>
  <c r="I1266" i="1" a="1"/>
  <c r="I1266" i="1" s="1"/>
  <c r="J1266" i="1" s="1" a="1"/>
  <c r="J1266" i="1" s="1"/>
  <c r="K1266" i="1" s="1"/>
  <c r="I1273" i="1" a="1"/>
  <c r="I1273" i="1" s="1"/>
  <c r="J1273" i="1" s="1" a="1"/>
  <c r="J1273" i="1" s="1"/>
  <c r="K1273" i="1" s="1"/>
  <c r="I1280" i="1" a="1"/>
  <c r="I1280" i="1" s="1"/>
  <c r="J1280" i="1" s="1" a="1"/>
  <c r="J1280" i="1" s="1"/>
  <c r="K1280" i="1" s="1"/>
  <c r="I1287" i="1" a="1"/>
  <c r="I1287" i="1" s="1"/>
  <c r="J1287" i="1" s="1" a="1"/>
  <c r="J1287" i="1" s="1"/>
  <c r="K1287" i="1" s="1"/>
  <c r="I1294" i="1" a="1"/>
  <c r="I1294" i="1" s="1"/>
  <c r="J1294" i="1" s="1" a="1"/>
  <c r="J1294" i="1" s="1"/>
  <c r="K1294" i="1" s="1"/>
  <c r="I1301" i="1" a="1"/>
  <c r="I1301" i="1" s="1"/>
  <c r="J1301" i="1" s="1" a="1"/>
  <c r="J1301" i="1" s="1"/>
  <c r="K1301" i="1" s="1"/>
  <c r="I1309" i="1" a="1"/>
  <c r="I1309" i="1" s="1"/>
  <c r="J1309" i="1" s="1" a="1"/>
  <c r="J1309" i="1" s="1"/>
  <c r="K1309" i="1" s="1"/>
  <c r="I1322" i="1" a="1"/>
  <c r="I1322" i="1" s="1"/>
  <c r="J1322" i="1" s="1" a="1"/>
  <c r="J1322" i="1" s="1"/>
  <c r="K1322" i="1" s="1"/>
  <c r="I1329" i="1" a="1"/>
  <c r="I1329" i="1" s="1"/>
  <c r="J1329" i="1" s="1" a="1"/>
  <c r="J1329" i="1" s="1"/>
  <c r="K1329" i="1" s="1"/>
  <c r="I1336" i="1" a="1"/>
  <c r="I1336" i="1" s="1"/>
  <c r="J1336" i="1" s="1" a="1"/>
  <c r="J1336" i="1" s="1"/>
  <c r="K1336" i="1" s="1"/>
  <c r="I1349" i="1" a="1"/>
  <c r="I1349" i="1" s="1"/>
  <c r="J1349" i="1" s="1" a="1"/>
  <c r="J1349" i="1" s="1"/>
  <c r="K1349" i="1" s="1"/>
  <c r="I1357" i="1" a="1"/>
  <c r="I1357" i="1" s="1"/>
  <c r="J1357" i="1" s="1" a="1"/>
  <c r="J1357" i="1" s="1"/>
  <c r="K1357" i="1" s="1"/>
  <c r="I1363" i="1" a="1"/>
  <c r="I1363" i="1" s="1"/>
  <c r="J1363" i="1" s="1" a="1"/>
  <c r="J1363" i="1" s="1"/>
  <c r="K1363" i="1" s="1"/>
  <c r="I1371" i="1" a="1"/>
  <c r="I1371" i="1" s="1"/>
  <c r="J1371" i="1" s="1" a="1"/>
  <c r="J1371" i="1" s="1"/>
  <c r="K1371" i="1" s="1"/>
  <c r="I1377" i="1" a="1"/>
  <c r="I1377" i="1" s="1"/>
  <c r="J1377" i="1" s="1" a="1"/>
  <c r="J1377" i="1" s="1"/>
  <c r="K1377" i="1" s="1"/>
  <c r="I1384" i="1" a="1"/>
  <c r="I1384" i="1" s="1"/>
  <c r="J1384" i="1" s="1" a="1"/>
  <c r="J1384" i="1" s="1"/>
  <c r="K1384" i="1" s="1"/>
  <c r="I1391" i="1" a="1"/>
  <c r="I1391" i="1" s="1"/>
  <c r="J1391" i="1" s="1" a="1"/>
  <c r="J1391" i="1" s="1"/>
  <c r="K1391" i="1" s="1"/>
  <c r="I1398" i="1" a="1"/>
  <c r="I1398" i="1" s="1"/>
  <c r="J1398" i="1" s="1" a="1"/>
  <c r="J1398" i="1" s="1"/>
  <c r="K1398" i="1" s="1"/>
  <c r="I1411" i="1" a="1"/>
  <c r="I1411" i="1" s="1"/>
  <c r="J1411" i="1" s="1" a="1"/>
  <c r="J1411" i="1" s="1"/>
  <c r="K1411" i="1" s="1"/>
  <c r="I1419" i="1" a="1"/>
  <c r="I1419" i="1" s="1"/>
  <c r="J1419" i="1" s="1" a="1"/>
  <c r="J1419" i="1" s="1"/>
  <c r="K1419" i="1" s="1"/>
  <c r="I1426" i="1" a="1"/>
  <c r="I1426" i="1" s="1"/>
  <c r="J1426" i="1" s="1" a="1"/>
  <c r="J1426" i="1" s="1"/>
  <c r="K1426" i="1" s="1"/>
  <c r="I1433" i="1" a="1"/>
  <c r="I1433" i="1" s="1"/>
  <c r="J1433" i="1" s="1" a="1"/>
  <c r="J1433" i="1" s="1"/>
  <c r="K1433" i="1" s="1"/>
  <c r="I1439" i="1" a="1"/>
  <c r="I1439" i="1" s="1"/>
  <c r="J1439" i="1" s="1" a="1"/>
  <c r="J1439" i="1" s="1"/>
  <c r="K1439" i="1" s="1"/>
  <c r="I1446" i="1" a="1"/>
  <c r="I1446" i="1" s="1"/>
  <c r="J1446" i="1" s="1" a="1"/>
  <c r="J1446" i="1" s="1"/>
  <c r="K1446" i="1" s="1"/>
  <c r="I1460" i="1" a="1"/>
  <c r="I1460" i="1" s="1"/>
  <c r="J1460" i="1" s="1" a="1"/>
  <c r="J1460" i="1" s="1"/>
  <c r="K1460" i="1" s="1"/>
  <c r="I1468" i="1" a="1"/>
  <c r="I1468" i="1" s="1"/>
  <c r="J1468" i="1" s="1" a="1"/>
  <c r="J1468" i="1" s="1"/>
  <c r="K1468" i="1" s="1"/>
  <c r="I1474" i="1" a="1"/>
  <c r="I1474" i="1" s="1"/>
  <c r="J1474" i="1" s="1" a="1"/>
  <c r="J1474" i="1" s="1"/>
  <c r="K1474" i="1" s="1"/>
  <c r="I1481" i="1" a="1"/>
  <c r="I1481" i="1" s="1"/>
  <c r="J1481" i="1" s="1" a="1"/>
  <c r="J1481" i="1" s="1"/>
  <c r="K1481" i="1" s="1"/>
  <c r="I1488" i="1" a="1"/>
  <c r="I1488" i="1" s="1"/>
  <c r="J1488" i="1" s="1" a="1"/>
  <c r="J1488" i="1" s="1"/>
  <c r="K1488" i="1" s="1"/>
  <c r="I1495" i="1" a="1"/>
  <c r="I1495" i="1" s="1"/>
  <c r="J1495" i="1" s="1" a="1"/>
  <c r="J1495" i="1" s="1"/>
  <c r="K1495" i="1" s="1"/>
  <c r="I1502" i="1" a="1"/>
  <c r="I1502" i="1" s="1"/>
  <c r="J1502" i="1" s="1" a="1"/>
  <c r="J1502" i="1" s="1"/>
  <c r="K1502" i="1" s="1"/>
  <c r="I1508" i="1" a="1"/>
  <c r="I1508" i="1" s="1"/>
  <c r="J1508" i="1" s="1" a="1"/>
  <c r="J1508" i="1" s="1"/>
  <c r="K1508" i="1" s="1"/>
  <c r="I1516" i="1" a="1"/>
  <c r="I1516" i="1" s="1"/>
  <c r="J1516" i="1" s="1" a="1"/>
  <c r="J1516" i="1" s="1"/>
  <c r="K1516" i="1" s="1"/>
  <c r="I1530" i="1" a="1"/>
  <c r="I1530" i="1" s="1"/>
  <c r="J1530" i="1" s="1" a="1"/>
  <c r="J1530" i="1" s="1"/>
  <c r="K1530" i="1" s="1"/>
  <c r="I1536" i="1" a="1"/>
  <c r="I1536" i="1" s="1"/>
  <c r="J1536" i="1" s="1" a="1"/>
  <c r="J1536" i="1" s="1"/>
  <c r="K1536" i="1" s="1"/>
  <c r="I1543" i="1" a="1"/>
  <c r="I1543" i="1" s="1"/>
  <c r="J1543" i="1" s="1" a="1"/>
  <c r="J1543" i="1" s="1"/>
  <c r="K1543" i="1" s="1"/>
  <c r="I1550" i="1" a="1"/>
  <c r="I1550" i="1" s="1"/>
  <c r="J1550" i="1" s="1" a="1"/>
  <c r="J1550" i="1" s="1"/>
  <c r="K1550" i="1" s="1"/>
  <c r="I1557" i="1" a="1"/>
  <c r="I1557" i="1" s="1"/>
  <c r="J1557" i="1" s="1" a="1"/>
  <c r="J1557" i="1" s="1"/>
  <c r="K1557" i="1" s="1"/>
  <c r="I1565" i="1" a="1"/>
  <c r="I1565" i="1" s="1"/>
  <c r="J1565" i="1" s="1" a="1"/>
  <c r="J1565" i="1" s="1"/>
  <c r="K1565" i="1" s="1"/>
  <c r="I1575" i="1" a="1"/>
  <c r="I1575" i="1" s="1"/>
  <c r="J1575" i="1" s="1" a="1"/>
  <c r="J1575" i="1" s="1"/>
  <c r="K1575" i="1" s="1"/>
  <c r="I1587" i="1" a="1"/>
  <c r="I1587" i="1" s="1"/>
  <c r="J1587" i="1" s="1" a="1"/>
  <c r="J1587" i="1" s="1"/>
  <c r="K1587" i="1" s="1"/>
  <c r="I1593" i="1" a="1"/>
  <c r="I1593" i="1" s="1"/>
  <c r="J1593" i="1" s="1" a="1"/>
  <c r="J1593" i="1" s="1"/>
  <c r="K1593" i="1" s="1"/>
  <c r="I1604" i="1" a="1"/>
  <c r="I1604" i="1" s="1"/>
  <c r="J1604" i="1" s="1" a="1"/>
  <c r="J1604" i="1" s="1"/>
  <c r="K1604" i="1" s="1"/>
  <c r="I1609" i="1" a="1"/>
  <c r="I1609" i="1" s="1"/>
  <c r="J1609" i="1" s="1" a="1"/>
  <c r="J1609" i="1" s="1"/>
  <c r="K1609" i="1" s="1"/>
  <c r="I1620" i="1" a="1"/>
  <c r="I1620" i="1" s="1"/>
  <c r="J1620" i="1" s="1" a="1"/>
  <c r="J1620" i="1" s="1"/>
  <c r="K1620" i="1" s="1"/>
  <c r="I1631" i="1" a="1"/>
  <c r="I1631" i="1" s="1"/>
  <c r="J1631" i="1" s="1" a="1"/>
  <c r="J1631" i="1" s="1"/>
  <c r="K1631" i="1" s="1"/>
  <c r="I1643" i="1" a="1"/>
  <c r="I1643" i="1" s="1"/>
  <c r="J1643" i="1" s="1" a="1"/>
  <c r="J1643" i="1" s="1"/>
  <c r="K1643" i="1" s="1"/>
  <c r="I1663" i="1" a="1"/>
  <c r="I1663" i="1" s="1"/>
  <c r="J1663" i="1" s="1" a="1"/>
  <c r="J1663" i="1" s="1"/>
  <c r="K1663" i="1" s="1"/>
  <c r="I1669" i="1" a="1"/>
  <c r="I1669" i="1" s="1"/>
  <c r="J1669" i="1" s="1" a="1"/>
  <c r="J1669" i="1" s="1"/>
  <c r="K1669" i="1" s="1"/>
  <c r="I1675" i="1" a="1"/>
  <c r="I1675" i="1" s="1"/>
  <c r="J1675" i="1" s="1" a="1"/>
  <c r="J1675" i="1" s="1"/>
  <c r="K1675" i="1" s="1"/>
  <c r="I1681" i="1" a="1"/>
  <c r="I1681" i="1" s="1"/>
  <c r="J1681" i="1" s="1" a="1"/>
  <c r="J1681" i="1" s="1"/>
  <c r="K1681" i="1" s="1"/>
  <c r="I1686" i="1" a="1"/>
  <c r="I1686" i="1" s="1"/>
  <c r="J1686" i="1" s="1" a="1"/>
  <c r="J1686" i="1" s="1"/>
  <c r="K1686" i="1" s="1"/>
  <c r="I1691" i="1" a="1"/>
  <c r="I1691" i="1" s="1"/>
  <c r="J1691" i="1" s="1" a="1"/>
  <c r="J1691" i="1" s="1"/>
  <c r="K1691" i="1" s="1"/>
  <c r="I1696" i="1" a="1"/>
  <c r="I1696" i="1" s="1"/>
  <c r="J1696" i="1" s="1" a="1"/>
  <c r="J1696" i="1" s="1"/>
  <c r="K1696" i="1" s="1"/>
  <c r="I1707" i="1" a="1"/>
  <c r="I1707" i="1" s="1"/>
  <c r="J1707" i="1" s="1" a="1"/>
  <c r="J1707" i="1" s="1"/>
  <c r="K1707" i="1" s="1"/>
  <c r="I1719" i="1" a="1"/>
  <c r="I1719" i="1" s="1"/>
  <c r="J1719" i="1" s="1" a="1"/>
  <c r="J1719" i="1" s="1"/>
  <c r="K1719" i="1" s="1"/>
  <c r="I1725" i="1" a="1"/>
  <c r="I1725" i="1" s="1"/>
  <c r="J1725" i="1" s="1" a="1"/>
  <c r="J1725" i="1" s="1"/>
  <c r="K1725" i="1" s="1"/>
  <c r="I1731" i="1" a="1"/>
  <c r="I1731" i="1" s="1"/>
  <c r="J1731" i="1" s="1" a="1"/>
  <c r="J1731" i="1" s="1"/>
  <c r="K1731" i="1" s="1"/>
  <c r="I1742" i="1" a="1"/>
  <c r="I1742" i="1" s="1"/>
  <c r="J1742" i="1" s="1" a="1"/>
  <c r="J1742" i="1" s="1"/>
  <c r="K1742" i="1" s="1"/>
  <c r="I1747" i="1" a="1"/>
  <c r="I1747" i="1" s="1"/>
  <c r="J1747" i="1" s="1" a="1"/>
  <c r="J1747" i="1" s="1"/>
  <c r="K1747" i="1" s="1"/>
  <c r="I1753" i="1" a="1"/>
  <c r="I1753" i="1" s="1"/>
  <c r="J1753" i="1" s="1" a="1"/>
  <c r="J1753" i="1" s="1"/>
  <c r="K1753" i="1" s="1"/>
  <c r="I1758" i="1" a="1"/>
  <c r="I1758" i="1" s="1"/>
  <c r="J1758" i="1" s="1" a="1"/>
  <c r="J1758" i="1" s="1"/>
  <c r="K1758" i="1" s="1"/>
  <c r="I1765" i="1" a="1"/>
  <c r="I1765" i="1" s="1"/>
  <c r="J1765" i="1" s="1" a="1"/>
  <c r="J1765" i="1" s="1"/>
  <c r="K1765" i="1" s="1"/>
  <c r="I1771" i="1" a="1"/>
  <c r="I1771" i="1" s="1"/>
  <c r="J1771" i="1" s="1" a="1"/>
  <c r="J1771" i="1" s="1"/>
  <c r="K1771" i="1" s="1"/>
  <c r="I1791" i="1" a="1"/>
  <c r="I1791" i="1" s="1"/>
  <c r="J1791" i="1" s="1" a="1"/>
  <c r="J1791" i="1" s="1"/>
  <c r="K1791" i="1" s="1"/>
  <c r="I1797" i="1" a="1"/>
  <c r="I1797" i="1" s="1"/>
  <c r="J1797" i="1" s="1" a="1"/>
  <c r="J1797" i="1" s="1"/>
  <c r="K1797" i="1" s="1"/>
  <c r="I1803" i="1" a="1"/>
  <c r="I1803" i="1" s="1"/>
  <c r="J1803" i="1" s="1" a="1"/>
  <c r="J1803" i="1" s="1"/>
  <c r="K1803" i="1" s="1"/>
  <c r="I1809" i="1" a="1"/>
  <c r="I1809" i="1" s="1"/>
  <c r="J1809" i="1" s="1" a="1"/>
  <c r="J1809" i="1" s="1"/>
  <c r="K1809" i="1" s="1"/>
  <c r="I1814" i="1" a="1"/>
  <c r="I1814" i="1" s="1"/>
  <c r="J1814" i="1" s="1" a="1"/>
  <c r="J1814" i="1" s="1"/>
  <c r="K1814" i="1" s="1"/>
  <c r="I1820" i="1" a="1"/>
  <c r="I1820" i="1" s="1"/>
  <c r="J1820" i="1" s="1" a="1"/>
  <c r="J1820" i="1" s="1"/>
  <c r="K1820" i="1" s="1"/>
  <c r="I1825" i="1" a="1"/>
  <c r="I1825" i="1" s="1"/>
  <c r="J1825" i="1" s="1" a="1"/>
  <c r="J1825" i="1" s="1"/>
  <c r="K1825" i="1" s="1"/>
  <c r="I1830" i="1" a="1"/>
  <c r="I1830" i="1" s="1"/>
  <c r="J1830" i="1" s="1" a="1"/>
  <c r="J1830" i="1" s="1"/>
  <c r="K1830" i="1" s="1"/>
  <c r="I1836" i="1" a="1"/>
  <c r="I1836" i="1" s="1"/>
  <c r="J1836" i="1" s="1" a="1"/>
  <c r="J1836" i="1" s="1"/>
  <c r="K1836" i="1" s="1"/>
  <c r="I1841" i="1" a="1"/>
  <c r="I1841" i="1" s="1"/>
  <c r="J1841" i="1" s="1" a="1"/>
  <c r="J1841" i="1" s="1"/>
  <c r="K1841" i="1" s="1"/>
  <c r="I1848" i="1" a="1"/>
  <c r="I1848" i="1" s="1"/>
  <c r="J1848" i="1" s="1" a="1"/>
  <c r="J1848" i="1" s="1"/>
  <c r="K1848" i="1" s="1"/>
  <c r="I1860" i="1" a="1"/>
  <c r="I1860" i="1" s="1"/>
  <c r="J1860" i="1" s="1" a="1"/>
  <c r="J1860" i="1" s="1"/>
  <c r="K1860" i="1" s="1"/>
  <c r="I1865" i="1" a="1"/>
  <c r="I1865" i="1" s="1"/>
  <c r="J1865" i="1" s="1" a="1"/>
  <c r="J1865" i="1" s="1"/>
  <c r="K1865" i="1" s="1"/>
  <c r="I1876" i="1" a="1"/>
  <c r="I1876" i="1" s="1"/>
  <c r="J1876" i="1" s="1" a="1"/>
  <c r="J1876" i="1" s="1"/>
  <c r="K1876" i="1" s="1"/>
  <c r="I1887" i="1" a="1"/>
  <c r="I1887" i="1" s="1"/>
  <c r="J1887" i="1" s="1" a="1"/>
  <c r="J1887" i="1" s="1"/>
  <c r="K1887" i="1" s="1"/>
  <c r="I1900" i="1" a="1"/>
  <c r="I1900" i="1" s="1"/>
  <c r="J1900" i="1" s="1" a="1"/>
  <c r="J1900" i="1" s="1"/>
  <c r="K1900" i="1" s="1"/>
  <c r="I1905" i="1" a="1"/>
  <c r="I1905" i="1" s="1"/>
  <c r="J1905" i="1" s="1" a="1"/>
  <c r="J1905" i="1" s="1"/>
  <c r="K1905" i="1" s="1"/>
  <c r="I1910" i="1" a="1"/>
  <c r="I1910" i="1" s="1"/>
  <c r="J1910" i="1" s="1" a="1"/>
  <c r="J1910" i="1" s="1"/>
  <c r="K1910" i="1" s="1"/>
  <c r="I1916" i="1" a="1"/>
  <c r="I1916" i="1" s="1"/>
  <c r="J1916" i="1" s="1" a="1"/>
  <c r="J1916" i="1" s="1"/>
  <c r="K1916" i="1" s="1"/>
  <c r="I1921" i="1" a="1"/>
  <c r="I1921" i="1" s="1"/>
  <c r="J1921" i="1" s="1" a="1"/>
  <c r="J1921" i="1" s="1"/>
  <c r="K1921" i="1" s="1"/>
  <c r="I1932" i="1" a="1"/>
  <c r="I1932" i="1" s="1"/>
  <c r="J1932" i="1" s="1" a="1"/>
  <c r="J1932" i="1" s="1"/>
  <c r="K1932" i="1" s="1"/>
  <c r="I15" i="1" a="1"/>
  <c r="I15" i="1" s="1"/>
  <c r="J15" i="1" s="1" a="1"/>
  <c r="J15" i="1" s="1"/>
  <c r="K15" i="1" s="1"/>
  <c r="I38" i="1" a="1"/>
  <c r="I38" i="1" s="1"/>
  <c r="J38" i="1" s="1" a="1"/>
  <c r="J38" i="1" s="1"/>
  <c r="K38" i="1" s="1"/>
  <c r="I50" i="1" a="1"/>
  <c r="I50" i="1" s="1"/>
  <c r="J50" i="1" s="1" a="1"/>
  <c r="J50" i="1" s="1"/>
  <c r="K50" i="1" s="1"/>
  <c r="I62" i="1" a="1"/>
  <c r="I62" i="1" s="1"/>
  <c r="J62" i="1" s="1" a="1"/>
  <c r="J62" i="1" s="1"/>
  <c r="K62" i="1" s="1"/>
  <c r="I85" i="1" a="1"/>
  <c r="I85" i="1" s="1"/>
  <c r="J85" i="1" s="1" a="1"/>
  <c r="J85" i="1" s="1"/>
  <c r="K85" i="1" s="1"/>
  <c r="I108" i="1" a="1"/>
  <c r="I108" i="1" s="1"/>
  <c r="J108" i="1" s="1" a="1"/>
  <c r="J108" i="1" s="1"/>
  <c r="K108" i="1" s="1"/>
  <c r="I120" i="1" a="1"/>
  <c r="I120" i="1" s="1"/>
  <c r="J120" i="1" s="1" a="1"/>
  <c r="J120" i="1" s="1"/>
  <c r="K120" i="1" s="1"/>
  <c r="I131" i="1" a="1"/>
  <c r="I131" i="1" s="1"/>
  <c r="J131" i="1" s="1" a="1"/>
  <c r="J131" i="1" s="1"/>
  <c r="K131" i="1" s="1"/>
  <c r="I144" i="1" a="1"/>
  <c r="I144" i="1" s="1"/>
  <c r="J144" i="1" s="1" a="1"/>
  <c r="J144" i="1" s="1"/>
  <c r="K144" i="1" s="1"/>
  <c r="I155" i="1" a="1"/>
  <c r="I155" i="1" s="1"/>
  <c r="J155" i="1" s="1" a="1"/>
  <c r="J155" i="1" s="1"/>
  <c r="K155" i="1" s="1"/>
  <c r="I168" i="1" a="1"/>
  <c r="I168" i="1" s="1"/>
  <c r="J168" i="1" s="1" a="1"/>
  <c r="J168" i="1" s="1"/>
  <c r="K168" i="1" s="1"/>
  <c r="I179" i="1" a="1"/>
  <c r="I179" i="1" s="1"/>
  <c r="J179" i="1" s="1" a="1"/>
  <c r="J179" i="1" s="1"/>
  <c r="K179" i="1" s="1"/>
  <c r="I191" i="1" a="1"/>
  <c r="I191" i="1" s="1"/>
  <c r="J191" i="1" s="1" a="1"/>
  <c r="J191" i="1" s="1"/>
  <c r="K191" i="1" s="1"/>
  <c r="I213" i="1" a="1"/>
  <c r="I213" i="1" s="1"/>
  <c r="J213" i="1" s="1" a="1"/>
  <c r="J213" i="1" s="1"/>
  <c r="K213" i="1" s="1"/>
  <c r="I226" i="1" a="1"/>
  <c r="I226" i="1" s="1"/>
  <c r="J226" i="1" s="1" a="1"/>
  <c r="J226" i="1" s="1"/>
  <c r="K226" i="1" s="1"/>
  <c r="I238" i="1" a="1"/>
  <c r="I238" i="1" s="1"/>
  <c r="J238" i="1" s="1" a="1"/>
  <c r="J238" i="1" s="1"/>
  <c r="K238" i="1" s="1"/>
  <c r="I261" i="1" a="1"/>
  <c r="I261" i="1" s="1"/>
  <c r="J261" i="1" s="1" a="1"/>
  <c r="J261" i="1" s="1"/>
  <c r="K261" i="1" s="1"/>
  <c r="I273" i="1" a="1"/>
  <c r="I273" i="1" s="1"/>
  <c r="J273" i="1" s="1" a="1"/>
  <c r="J273" i="1" s="1"/>
  <c r="K273" i="1" s="1"/>
  <c r="I296" i="1" a="1"/>
  <c r="I296" i="1" s="1"/>
  <c r="J296" i="1" s="1" a="1"/>
  <c r="J296" i="1" s="1"/>
  <c r="K296" i="1" s="1"/>
  <c r="I307" i="1" a="1"/>
  <c r="I307" i="1" s="1"/>
  <c r="J307" i="1" s="1" a="1"/>
  <c r="J307" i="1" s="1"/>
  <c r="K307" i="1" s="1"/>
  <c r="I320" i="1" a="1"/>
  <c r="I320" i="1" s="1"/>
  <c r="J320" i="1" s="1" a="1"/>
  <c r="J320" i="1" s="1"/>
  <c r="K320" i="1" s="1"/>
  <c r="I343" i="1" a="1"/>
  <c r="I343" i="1" s="1"/>
  <c r="J343" i="1" s="1" a="1"/>
  <c r="J343" i="1" s="1"/>
  <c r="K343" i="1" s="1"/>
  <c r="I355" i="1" a="1"/>
  <c r="I355" i="1" s="1"/>
  <c r="J355" i="1" s="1" a="1"/>
  <c r="J355" i="1" s="1"/>
  <c r="K355" i="1" s="1"/>
  <c r="I369" i="1" a="1"/>
  <c r="I369" i="1" s="1"/>
  <c r="J369" i="1" s="1" a="1"/>
  <c r="J369" i="1" s="1"/>
  <c r="K369" i="1" s="1"/>
  <c r="I383" i="1" a="1"/>
  <c r="I383" i="1" s="1"/>
  <c r="J383" i="1" s="1" a="1"/>
  <c r="J383" i="1" s="1"/>
  <c r="K383" i="1" s="1"/>
  <c r="I397" i="1" a="1"/>
  <c r="I397" i="1" s="1"/>
  <c r="J397" i="1" s="1" a="1"/>
  <c r="J397" i="1" s="1"/>
  <c r="K397" i="1" s="1"/>
  <c r="I411" i="1" a="1"/>
  <c r="I411" i="1" s="1"/>
  <c r="J411" i="1" s="1" a="1"/>
  <c r="J411" i="1" s="1"/>
  <c r="K411" i="1" s="1"/>
  <c r="I439" i="1" a="1"/>
  <c r="I439" i="1" s="1"/>
  <c r="J439" i="1" s="1" a="1"/>
  <c r="J439" i="1" s="1"/>
  <c r="K439" i="1" s="1"/>
  <c r="I453" i="1" a="1"/>
  <c r="I453" i="1" s="1"/>
  <c r="J453" i="1" s="1" a="1"/>
  <c r="J453" i="1" s="1"/>
  <c r="K453" i="1" s="1"/>
  <c r="I467" i="1" a="1"/>
  <c r="I467" i="1" s="1"/>
  <c r="J467" i="1" s="1" a="1"/>
  <c r="J467" i="1" s="1"/>
  <c r="K467" i="1" s="1"/>
  <c r="I481" i="1" a="1"/>
  <c r="I481" i="1" s="1"/>
  <c r="J481" i="1" s="1" a="1"/>
  <c r="J481" i="1" s="1"/>
  <c r="K481" i="1" s="1"/>
  <c r="I495" i="1" a="1"/>
  <c r="I495" i="1" s="1"/>
  <c r="J495" i="1" s="1" a="1"/>
  <c r="J495" i="1" s="1"/>
  <c r="K495" i="1" s="1"/>
  <c r="I509" i="1" a="1"/>
  <c r="I509" i="1" s="1"/>
  <c r="J509" i="1" s="1" a="1"/>
  <c r="J509" i="1" s="1"/>
  <c r="K509" i="1" s="1"/>
  <c r="I523" i="1" a="1"/>
  <c r="I523" i="1" s="1"/>
  <c r="J523" i="1" s="1" a="1"/>
  <c r="J523" i="1" s="1"/>
  <c r="K523" i="1" s="1"/>
  <c r="I537" i="1" a="1"/>
  <c r="I537" i="1" s="1"/>
  <c r="J537" i="1" s="1" a="1"/>
  <c r="J537" i="1" s="1"/>
  <c r="K537" i="1" s="1"/>
  <c r="I551" i="1" a="1"/>
  <c r="I551" i="1" s="1"/>
  <c r="J551" i="1" s="1" a="1"/>
  <c r="J551" i="1" s="1"/>
  <c r="K551" i="1" s="1"/>
  <c r="I565" i="1" a="1"/>
  <c r="I565" i="1" s="1"/>
  <c r="J565" i="1" s="1" a="1"/>
  <c r="J565" i="1" s="1"/>
  <c r="K565" i="1" s="1"/>
  <c r="I576" i="1" a="1"/>
  <c r="I576" i="1" s="1"/>
  <c r="J576" i="1" s="1" a="1"/>
  <c r="J576" i="1" s="1"/>
  <c r="K576" i="1" s="1"/>
  <c r="I587" i="1" a="1"/>
  <c r="I587" i="1" s="1"/>
  <c r="J587" i="1" s="1" a="1"/>
  <c r="J587" i="1" s="1"/>
  <c r="K587" i="1" s="1"/>
  <c r="I601" i="1" a="1"/>
  <c r="I601" i="1" s="1"/>
  <c r="J601" i="1" s="1" a="1"/>
  <c r="J601" i="1" s="1"/>
  <c r="K601" i="1" s="1"/>
  <c r="I615" i="1" a="1"/>
  <c r="I615" i="1" s="1"/>
  <c r="J615" i="1" s="1" a="1"/>
  <c r="J615" i="1" s="1"/>
  <c r="K615" i="1" s="1"/>
  <c r="I629" i="1" a="1"/>
  <c r="I629" i="1" s="1"/>
  <c r="J629" i="1" s="1" a="1"/>
  <c r="J629" i="1" s="1"/>
  <c r="K629" i="1" s="1"/>
  <c r="I643" i="1" a="1"/>
  <c r="I643" i="1" s="1"/>
  <c r="J643" i="1" s="1" a="1"/>
  <c r="J643" i="1" s="1"/>
  <c r="K643" i="1" s="1"/>
  <c r="I658" i="1" a="1"/>
  <c r="I658" i="1" s="1"/>
  <c r="J658" i="1" s="1" a="1"/>
  <c r="J658" i="1" s="1"/>
  <c r="K658" i="1" s="1"/>
  <c r="I672" i="1" a="1"/>
  <c r="I672" i="1" s="1"/>
  <c r="J672" i="1" s="1" a="1"/>
  <c r="J672" i="1" s="1"/>
  <c r="K672" i="1" s="1"/>
  <c r="I686" i="1" a="1"/>
  <c r="I686" i="1" s="1"/>
  <c r="J686" i="1" s="1" a="1"/>
  <c r="J686" i="1" s="1"/>
  <c r="K686" i="1" s="1"/>
  <c r="I701" i="1" a="1"/>
  <c r="I701" i="1" s="1"/>
  <c r="J701" i="1" s="1" a="1"/>
  <c r="J701" i="1" s="1"/>
  <c r="K701" i="1" s="1"/>
  <c r="I715" i="1" a="1"/>
  <c r="I715" i="1" s="1"/>
  <c r="J715" i="1" s="1" a="1"/>
  <c r="J715" i="1" s="1"/>
  <c r="K715" i="1" s="1"/>
  <c r="I730" i="1" a="1"/>
  <c r="I730" i="1" s="1"/>
  <c r="J730" i="1" s="1" a="1"/>
  <c r="J730" i="1" s="1"/>
  <c r="K730" i="1" s="1"/>
  <c r="I745" i="1" a="1"/>
  <c r="I745" i="1" s="1"/>
  <c r="J745" i="1" s="1" a="1"/>
  <c r="J745" i="1" s="1"/>
  <c r="K745" i="1" s="1"/>
  <c r="I760" i="1" a="1"/>
  <c r="I760" i="1" s="1"/>
  <c r="J760" i="1" s="1" a="1"/>
  <c r="J760" i="1" s="1"/>
  <c r="K760" i="1" s="1"/>
  <c r="I774" i="1" a="1"/>
  <c r="I774" i="1" s="1"/>
  <c r="J774" i="1" s="1" a="1"/>
  <c r="J774" i="1" s="1"/>
  <c r="K774" i="1" s="1"/>
  <c r="I789" i="1" a="1"/>
  <c r="I789" i="1" s="1"/>
  <c r="J789" i="1" s="1" a="1"/>
  <c r="J789" i="1" s="1"/>
  <c r="K789" i="1" s="1"/>
  <c r="I803" i="1" a="1"/>
  <c r="I803" i="1" s="1"/>
  <c r="J803" i="1" s="1" a="1"/>
  <c r="J803" i="1" s="1"/>
  <c r="K803" i="1" s="1"/>
  <c r="I813" i="1" a="1"/>
  <c r="I813" i="1" s="1"/>
  <c r="J813" i="1" s="1" a="1"/>
  <c r="J813" i="1" s="1"/>
  <c r="K813" i="1" s="1"/>
  <c r="I824" i="1" a="1"/>
  <c r="I824" i="1" s="1"/>
  <c r="J824" i="1" s="1" a="1"/>
  <c r="J824" i="1" s="1"/>
  <c r="K824" i="1" s="1"/>
  <c r="I835" i="1" a="1"/>
  <c r="I835" i="1" s="1"/>
  <c r="J835" i="1" s="1" a="1"/>
  <c r="J835" i="1" s="1"/>
  <c r="K835" i="1" s="1"/>
  <c r="I847" i="1" a="1"/>
  <c r="I847" i="1" s="1"/>
  <c r="J847" i="1" s="1" a="1"/>
  <c r="J847" i="1" s="1"/>
  <c r="K847" i="1" s="1"/>
  <c r="I860" i="1" a="1"/>
  <c r="I860" i="1" s="1"/>
  <c r="J860" i="1" s="1" a="1"/>
  <c r="J860" i="1" s="1"/>
  <c r="K860" i="1" s="1"/>
  <c r="I882" i="1" a="1"/>
  <c r="I882" i="1" s="1"/>
  <c r="J882" i="1" s="1" a="1"/>
  <c r="J882" i="1" s="1"/>
  <c r="K882" i="1" s="1"/>
  <c r="I893" i="1" a="1"/>
  <c r="I893" i="1" s="1"/>
  <c r="J893" i="1" s="1" a="1"/>
  <c r="J893" i="1" s="1"/>
  <c r="K893" i="1" s="1"/>
  <c r="I906" i="1" a="1"/>
  <c r="I906" i="1" s="1"/>
  <c r="J906" i="1" s="1" a="1"/>
  <c r="J906" i="1" s="1"/>
  <c r="K906" i="1" s="1"/>
  <c r="I918" i="1" a="1"/>
  <c r="I918" i="1" s="1"/>
  <c r="J918" i="1" s="1" a="1"/>
  <c r="J918" i="1" s="1"/>
  <c r="K918" i="1" s="1"/>
  <c r="I929" i="1" a="1"/>
  <c r="I929" i="1" s="1"/>
  <c r="J929" i="1" s="1" a="1"/>
  <c r="J929" i="1" s="1"/>
  <c r="K929" i="1" s="1"/>
  <c r="I951" i="1" a="1"/>
  <c r="I951" i="1" s="1"/>
  <c r="J951" i="1" s="1" a="1"/>
  <c r="J951" i="1" s="1"/>
  <c r="K951" i="1" s="1"/>
  <c r="I965" i="1" a="1"/>
  <c r="I965" i="1" s="1"/>
  <c r="J965" i="1" s="1" a="1"/>
  <c r="J965" i="1" s="1"/>
  <c r="K965" i="1" s="1"/>
  <c r="I973" i="1" a="1"/>
  <c r="I973" i="1" s="1"/>
  <c r="J973" i="1" s="1" a="1"/>
  <c r="J973" i="1" s="1"/>
  <c r="K973" i="1" s="1"/>
  <c r="I980" i="1" a="1"/>
  <c r="I980" i="1" s="1"/>
  <c r="J980" i="1" s="1" a="1"/>
  <c r="J980" i="1" s="1"/>
  <c r="K980" i="1" s="1"/>
  <c r="I989" i="1" a="1"/>
  <c r="I989" i="1" s="1"/>
  <c r="J989" i="1" s="1" a="1"/>
  <c r="J989" i="1" s="1"/>
  <c r="K989" i="1" s="1"/>
  <c r="I1006" i="1" a="1"/>
  <c r="I1006" i="1" s="1"/>
  <c r="J1006" i="1" s="1" a="1"/>
  <c r="J1006" i="1" s="1"/>
  <c r="K1006" i="1" s="1"/>
  <c r="I1014" i="1" a="1"/>
  <c r="I1014" i="1" s="1"/>
  <c r="J1014" i="1" s="1" a="1"/>
  <c r="J1014" i="1" s="1"/>
  <c r="K1014" i="1" s="1"/>
  <c r="I1023" i="1" a="1"/>
  <c r="I1023" i="1" s="1"/>
  <c r="J1023" i="1" s="1" a="1"/>
  <c r="J1023" i="1" s="1"/>
  <c r="K1023" i="1" s="1"/>
  <c r="I1031" i="1" a="1"/>
  <c r="I1031" i="1" s="1"/>
  <c r="J1031" i="1" s="1" a="1"/>
  <c r="J1031" i="1" s="1"/>
  <c r="K1031" i="1" s="1"/>
  <c r="I1039" i="1" a="1"/>
  <c r="I1039" i="1" s="1"/>
  <c r="J1039" i="1" s="1" a="1"/>
  <c r="J1039" i="1" s="1"/>
  <c r="K1039" i="1" s="1"/>
  <c r="I1047" i="1" a="1"/>
  <c r="I1047" i="1" s="1"/>
  <c r="J1047" i="1" s="1" a="1"/>
  <c r="J1047" i="1" s="1"/>
  <c r="K1047" i="1" s="1"/>
  <c r="I1057" i="1" a="1"/>
  <c r="I1057" i="1" s="1"/>
  <c r="J1057" i="1" s="1" a="1"/>
  <c r="J1057" i="1" s="1"/>
  <c r="K1057" i="1" s="1"/>
  <c r="I1065" i="1" a="1"/>
  <c r="I1065" i="1" s="1"/>
  <c r="J1065" i="1" s="1" a="1"/>
  <c r="J1065" i="1" s="1"/>
  <c r="K1065" i="1" s="1"/>
  <c r="I1073" i="1" a="1"/>
  <c r="I1073" i="1" s="1"/>
  <c r="J1073" i="1" s="1" a="1"/>
  <c r="J1073" i="1" s="1"/>
  <c r="K1073" i="1" s="1"/>
  <c r="I1081" i="1" a="1"/>
  <c r="I1081" i="1" s="1"/>
  <c r="J1081" i="1" s="1" a="1"/>
  <c r="J1081" i="1" s="1"/>
  <c r="K1081" i="1" s="1"/>
  <c r="I1090" i="1" a="1"/>
  <c r="I1090" i="1" s="1"/>
  <c r="J1090" i="1" s="1" a="1"/>
  <c r="J1090" i="1" s="1"/>
  <c r="K1090" i="1" s="1"/>
  <c r="I1098" i="1" a="1"/>
  <c r="I1098" i="1" s="1"/>
  <c r="J1098" i="1" s="1" a="1"/>
  <c r="J1098" i="1" s="1"/>
  <c r="K1098" i="1" s="1"/>
  <c r="I1115" i="1" a="1"/>
  <c r="I1115" i="1" s="1"/>
  <c r="J1115" i="1" s="1" a="1"/>
  <c r="J1115" i="1" s="1"/>
  <c r="K1115" i="1" s="1"/>
  <c r="I1124" i="1" a="1"/>
  <c r="I1124" i="1" s="1"/>
  <c r="J1124" i="1" s="1" a="1"/>
  <c r="J1124" i="1" s="1"/>
  <c r="K1124" i="1" s="1"/>
  <c r="I1132" i="1" a="1"/>
  <c r="I1132" i="1" s="1"/>
  <c r="J1132" i="1" s="1" a="1"/>
  <c r="J1132" i="1" s="1"/>
  <c r="K1132" i="1" s="1"/>
  <c r="I1139" i="1" a="1"/>
  <c r="I1139" i="1" s="1"/>
  <c r="J1139" i="1" s="1" a="1"/>
  <c r="J1139" i="1" s="1"/>
  <c r="K1139" i="1" s="1"/>
  <c r="I1148" i="1" a="1"/>
  <c r="I1148" i="1" s="1"/>
  <c r="J1148" i="1" s="1" a="1"/>
  <c r="J1148" i="1" s="1"/>
  <c r="K1148" i="1" s="1"/>
  <c r="I1156" i="1" a="1"/>
  <c r="I1156" i="1" s="1"/>
  <c r="J1156" i="1" s="1" a="1"/>
  <c r="J1156" i="1" s="1"/>
  <c r="K1156" i="1" s="1"/>
  <c r="I1162" i="1" a="1"/>
  <c r="I1162" i="1" s="1"/>
  <c r="J1162" i="1" s="1" a="1"/>
  <c r="J1162" i="1" s="1"/>
  <c r="K1162" i="1" s="1"/>
  <c r="I1176" i="1" a="1"/>
  <c r="I1176" i="1" s="1"/>
  <c r="J1176" i="1" s="1" a="1"/>
  <c r="J1176" i="1" s="1"/>
  <c r="K1176" i="1" s="1"/>
  <c r="I1187" i="1" a="1"/>
  <c r="I1187" i="1" s="1"/>
  <c r="J1187" i="1" s="1" a="1"/>
  <c r="J1187" i="1" s="1"/>
  <c r="K1187" i="1" s="1"/>
  <c r="I1194" i="1" a="1"/>
  <c r="I1194" i="1" s="1"/>
  <c r="J1194" i="1" s="1" a="1"/>
  <c r="J1194" i="1" s="1"/>
  <c r="K1194" i="1" s="1"/>
  <c r="I1200" i="1" a="1"/>
  <c r="I1200" i="1" s="1"/>
  <c r="J1200" i="1" s="1" a="1"/>
  <c r="J1200" i="1" s="1"/>
  <c r="K1200" i="1" s="1"/>
  <c r="I1207" i="1" a="1"/>
  <c r="I1207" i="1" s="1"/>
  <c r="J1207" i="1" s="1" a="1"/>
  <c r="J1207" i="1" s="1"/>
  <c r="K1207" i="1" s="1"/>
  <c r="I1219" i="1" a="1"/>
  <c r="I1219" i="1" s="1"/>
  <c r="J1219" i="1" s="1" a="1"/>
  <c r="J1219" i="1" s="1"/>
  <c r="K1219" i="1" s="1"/>
  <c r="I1226" i="1" a="1"/>
  <c r="I1226" i="1" s="1"/>
  <c r="J1226" i="1" s="1" a="1"/>
  <c r="J1226" i="1" s="1"/>
  <c r="K1226" i="1" s="1"/>
  <c r="I1232" i="1" a="1"/>
  <c r="I1232" i="1" s="1"/>
  <c r="J1232" i="1" s="1" a="1"/>
  <c r="J1232" i="1" s="1"/>
  <c r="K1232" i="1" s="1"/>
  <c r="I1239" i="1" a="1"/>
  <c r="I1239" i="1" s="1"/>
  <c r="J1239" i="1" s="1" a="1"/>
  <c r="J1239" i="1" s="1"/>
  <c r="K1239" i="1" s="1"/>
  <c r="I1252" i="1" a="1"/>
  <c r="I1252" i="1" s="1"/>
  <c r="J1252" i="1" s="1" a="1"/>
  <c r="J1252" i="1" s="1"/>
  <c r="K1252" i="1" s="1"/>
  <c r="I1260" i="1" a="1"/>
  <c r="I1260" i="1" s="1"/>
  <c r="J1260" i="1" s="1" a="1"/>
  <c r="J1260" i="1" s="1"/>
  <c r="K1260" i="1" s="1"/>
  <c r="I1274" i="1" a="1"/>
  <c r="I1274" i="1" s="1"/>
  <c r="J1274" i="1" s="1" a="1"/>
  <c r="J1274" i="1" s="1"/>
  <c r="K1274" i="1" s="1"/>
  <c r="I1281" i="1" a="1"/>
  <c r="I1281" i="1" s="1"/>
  <c r="J1281" i="1" s="1" a="1"/>
  <c r="J1281" i="1" s="1"/>
  <c r="K1281" i="1" s="1"/>
  <c r="I1288" i="1" a="1"/>
  <c r="I1288" i="1" s="1"/>
  <c r="J1288" i="1" s="1" a="1"/>
  <c r="J1288" i="1" s="1"/>
  <c r="K1288" i="1" s="1"/>
  <c r="I1295" i="1" a="1"/>
  <c r="I1295" i="1" s="1"/>
  <c r="J1295" i="1" s="1" a="1"/>
  <c r="J1295" i="1" s="1"/>
  <c r="K1295" i="1" s="1"/>
  <c r="I1302" i="1" a="1"/>
  <c r="I1302" i="1" s="1"/>
  <c r="J1302" i="1" s="1" a="1"/>
  <c r="J1302" i="1" s="1"/>
  <c r="K1302" i="1" s="1"/>
  <c r="I1315" i="1" a="1"/>
  <c r="I1315" i="1" s="1"/>
  <c r="J1315" i="1" s="1" a="1"/>
  <c r="J1315" i="1" s="1"/>
  <c r="K1315" i="1" s="1"/>
  <c r="I1323" i="1" a="1"/>
  <c r="I1323" i="1" s="1"/>
  <c r="J1323" i="1" s="1" a="1"/>
  <c r="J1323" i="1" s="1"/>
  <c r="K1323" i="1" s="1"/>
  <c r="I1330" i="1" a="1"/>
  <c r="I1330" i="1" s="1"/>
  <c r="J1330" i="1" s="1" a="1"/>
  <c r="J1330" i="1" s="1"/>
  <c r="K1330" i="1" s="1"/>
  <c r="I1337" i="1" a="1"/>
  <c r="I1337" i="1" s="1"/>
  <c r="J1337" i="1" s="1" a="1"/>
  <c r="J1337" i="1" s="1"/>
  <c r="K1337" i="1" s="1"/>
  <c r="I1343" i="1" a="1"/>
  <c r="I1343" i="1" s="1"/>
  <c r="J1343" i="1" s="1" a="1"/>
  <c r="J1343" i="1" s="1"/>
  <c r="K1343" i="1" s="1"/>
  <c r="I1350" i="1" a="1"/>
  <c r="I1350" i="1" s="1"/>
  <c r="J1350" i="1" s="1" a="1"/>
  <c r="J1350" i="1" s="1"/>
  <c r="K1350" i="1" s="1"/>
  <c r="I1364" i="1" a="1"/>
  <c r="I1364" i="1" s="1"/>
  <c r="J1364" i="1" s="1" a="1"/>
  <c r="J1364" i="1" s="1"/>
  <c r="K1364" i="1" s="1"/>
  <c r="I1372" i="1" a="1"/>
  <c r="I1372" i="1" s="1"/>
  <c r="J1372" i="1" s="1" a="1"/>
  <c r="J1372" i="1" s="1"/>
  <c r="K1372" i="1" s="1"/>
  <c r="I1378" i="1" a="1"/>
  <c r="I1378" i="1" s="1"/>
  <c r="J1378" i="1" s="1" a="1"/>
  <c r="J1378" i="1" s="1"/>
  <c r="K1378" i="1" s="1"/>
  <c r="I1385" i="1" a="1"/>
  <c r="I1385" i="1" s="1"/>
  <c r="J1385" i="1" s="1" a="1"/>
  <c r="J1385" i="1" s="1"/>
  <c r="K1385" i="1" s="1"/>
  <c r="I1392" i="1" a="1"/>
  <c r="I1392" i="1" s="1"/>
  <c r="J1392" i="1" s="1" a="1"/>
  <c r="J1392" i="1" s="1"/>
  <c r="K1392" i="1" s="1"/>
  <c r="I1399" i="1" a="1"/>
  <c r="I1399" i="1" s="1"/>
  <c r="J1399" i="1" s="1" a="1"/>
  <c r="J1399" i="1" s="1"/>
  <c r="K1399" i="1" s="1"/>
  <c r="I1406" i="1" a="1"/>
  <c r="I1406" i="1" s="1"/>
  <c r="J1406" i="1" s="1" a="1"/>
  <c r="J1406" i="1" s="1"/>
  <c r="K1406" i="1" s="1"/>
  <c r="I1412" i="1" a="1"/>
  <c r="I1412" i="1" s="1"/>
  <c r="J1412" i="1" s="1" a="1"/>
  <c r="J1412" i="1" s="1"/>
  <c r="K1412" i="1" s="1"/>
  <c r="I1420" i="1" a="1"/>
  <c r="I1420" i="1" s="1"/>
  <c r="J1420" i="1" s="1" a="1"/>
  <c r="J1420" i="1" s="1"/>
  <c r="K1420" i="1" s="1"/>
  <c r="I1434" i="1" a="1"/>
  <c r="I1434" i="1" s="1"/>
  <c r="J1434" i="1" s="1" a="1"/>
  <c r="J1434" i="1" s="1"/>
  <c r="K1434" i="1" s="1"/>
  <c r="I1440" i="1" a="1"/>
  <c r="I1440" i="1" s="1"/>
  <c r="J1440" i="1" s="1" a="1"/>
  <c r="J1440" i="1" s="1"/>
  <c r="K1440" i="1" s="1"/>
  <c r="I1447" i="1" a="1"/>
  <c r="I1447" i="1" s="1"/>
  <c r="J1447" i="1" s="1" a="1"/>
  <c r="J1447" i="1" s="1"/>
  <c r="K1447" i="1" s="1"/>
  <c r="I1454" i="1" a="1"/>
  <c r="I1454" i="1" s="1"/>
  <c r="J1454" i="1" s="1" a="1"/>
  <c r="J1454" i="1" s="1"/>
  <c r="K1454" i="1" s="1"/>
  <c r="I1461" i="1" a="1"/>
  <c r="I1461" i="1" s="1"/>
  <c r="J1461" i="1" s="1" a="1"/>
  <c r="J1461" i="1" s="1"/>
  <c r="K1461" i="1" s="1"/>
  <c r="I1469" i="1" a="1"/>
  <c r="I1469" i="1" s="1"/>
  <c r="J1469" i="1" s="1" a="1"/>
  <c r="J1469" i="1" s="1"/>
  <c r="K1469" i="1" s="1"/>
  <c r="I1482" i="1" a="1"/>
  <c r="I1482" i="1" s="1"/>
  <c r="J1482" i="1" s="1" a="1"/>
  <c r="J1482" i="1" s="1"/>
  <c r="K1482" i="1" s="1"/>
  <c r="I1489" i="1" a="1"/>
  <c r="I1489" i="1" s="1"/>
  <c r="J1489" i="1" s="1" a="1"/>
  <c r="J1489" i="1" s="1"/>
  <c r="K1489" i="1" s="1"/>
  <c r="I1496" i="1" a="1"/>
  <c r="I1496" i="1" s="1"/>
  <c r="J1496" i="1" s="1" a="1"/>
  <c r="J1496" i="1" s="1"/>
  <c r="K1496" i="1" s="1"/>
  <c r="I1509" i="1" a="1"/>
  <c r="I1509" i="1" s="1"/>
  <c r="J1509" i="1" s="1" a="1"/>
  <c r="J1509" i="1" s="1"/>
  <c r="K1509" i="1" s="1"/>
  <c r="I1517" i="1" a="1"/>
  <c r="I1517" i="1" s="1"/>
  <c r="J1517" i="1" s="1" a="1"/>
  <c r="J1517" i="1" s="1"/>
  <c r="K1517" i="1" s="1"/>
  <c r="I1523" i="1" a="1"/>
  <c r="I1523" i="1" s="1"/>
  <c r="J1523" i="1" s="1" a="1"/>
  <c r="J1523" i="1" s="1"/>
  <c r="K1523" i="1" s="1"/>
  <c r="I1531" i="1" a="1"/>
  <c r="I1531" i="1" s="1"/>
  <c r="J1531" i="1" s="1" a="1"/>
  <c r="J1531" i="1" s="1"/>
  <c r="K1531" i="1" s="1"/>
  <c r="I1537" i="1" a="1"/>
  <c r="I1537" i="1" s="1"/>
  <c r="J1537" i="1" s="1" a="1"/>
  <c r="J1537" i="1" s="1"/>
  <c r="K1537" i="1" s="1"/>
  <c r="I1544" i="1" a="1"/>
  <c r="I1544" i="1" s="1"/>
  <c r="J1544" i="1" s="1" a="1"/>
  <c r="J1544" i="1" s="1"/>
  <c r="K1544" i="1" s="1"/>
  <c r="I1551" i="1" a="1"/>
  <c r="I1551" i="1" s="1"/>
  <c r="J1551" i="1" s="1" a="1"/>
  <c r="J1551" i="1" s="1"/>
  <c r="K1551" i="1" s="1"/>
  <c r="I1558" i="1" a="1"/>
  <c r="I1558" i="1" s="1"/>
  <c r="J1558" i="1" s="1" a="1"/>
  <c r="J1558" i="1" s="1"/>
  <c r="K1558" i="1" s="1"/>
  <c r="I1571" i="1" a="1"/>
  <c r="I1571" i="1" s="1"/>
  <c r="J1571" i="1" s="1" a="1"/>
  <c r="J1571" i="1" s="1"/>
  <c r="K1571" i="1" s="1"/>
  <c r="I1576" i="1" a="1"/>
  <c r="I1576" i="1" s="1"/>
  <c r="J1576" i="1" s="1" a="1"/>
  <c r="J1576" i="1" s="1"/>
  <c r="K1576" i="1" s="1"/>
  <c r="I1582" i="1" a="1"/>
  <c r="I1582" i="1" s="1"/>
  <c r="J1582" i="1" s="1" a="1"/>
  <c r="J1582" i="1" s="1"/>
  <c r="K1582" i="1" s="1"/>
  <c r="I1588" i="1" a="1"/>
  <c r="I1588" i="1" s="1"/>
  <c r="J1588" i="1" s="1" a="1"/>
  <c r="J1588" i="1" s="1"/>
  <c r="K1588" i="1" s="1"/>
  <c r="I1598" i="1" a="1"/>
  <c r="I1598" i="1" s="1"/>
  <c r="J1598" i="1" s="1" a="1"/>
  <c r="J1598" i="1" s="1"/>
  <c r="K1598" i="1" s="1"/>
  <c r="I1605" i="1" a="1"/>
  <c r="I1605" i="1" s="1"/>
  <c r="J1605" i="1" s="1" a="1"/>
  <c r="J1605" i="1" s="1"/>
  <c r="K1605" i="1" s="1"/>
  <c r="I1610" i="1" a="1"/>
  <c r="I1610" i="1" s="1"/>
  <c r="J1610" i="1" s="1" a="1"/>
  <c r="J1610" i="1" s="1"/>
  <c r="K1610" i="1" s="1"/>
  <c r="I1615" i="1" a="1"/>
  <c r="I1615" i="1" s="1"/>
  <c r="J1615" i="1" s="1" a="1"/>
  <c r="J1615" i="1" s="1"/>
  <c r="K1615" i="1" s="1"/>
  <c r="I1626" i="1" a="1"/>
  <c r="I1626" i="1" s="1"/>
  <c r="J1626" i="1" s="1" a="1"/>
  <c r="J1626" i="1" s="1"/>
  <c r="K1626" i="1" s="1"/>
  <c r="I1632" i="1" a="1"/>
  <c r="I1632" i="1" s="1"/>
  <c r="J1632" i="1" s="1" a="1"/>
  <c r="J1632" i="1" s="1"/>
  <c r="K1632" i="1" s="1"/>
  <c r="I1638" i="1" a="1"/>
  <c r="I1638" i="1" s="1"/>
  <c r="J1638" i="1" s="1" a="1"/>
  <c r="J1638" i="1" s="1"/>
  <c r="K1638" i="1" s="1"/>
  <c r="I1644" i="1" a="1"/>
  <c r="I1644" i="1" s="1"/>
  <c r="J1644" i="1" s="1" a="1"/>
  <c r="J1644" i="1" s="1"/>
  <c r="K1644" i="1" s="1"/>
  <c r="I1649" i="1" a="1"/>
  <c r="I1649" i="1" s="1"/>
  <c r="J1649" i="1" s="1" a="1"/>
  <c r="J1649" i="1" s="1"/>
  <c r="K1649" i="1" s="1"/>
  <c r="I1654" i="1" a="1"/>
  <c r="I1654" i="1" s="1"/>
  <c r="J1654" i="1" s="1" a="1"/>
  <c r="J1654" i="1" s="1"/>
  <c r="K1654" i="1" s="1"/>
  <c r="I1659" i="1" a="1"/>
  <c r="I1659" i="1" s="1"/>
  <c r="J1659" i="1" s="1" a="1"/>
  <c r="J1659" i="1" s="1"/>
  <c r="K1659" i="1" s="1"/>
  <c r="I1664" i="1" a="1"/>
  <c r="I1664" i="1" s="1"/>
  <c r="J1664" i="1" s="1" a="1"/>
  <c r="J1664" i="1" s="1"/>
  <c r="K1664" i="1" s="1"/>
  <c r="I1676" i="1" a="1"/>
  <c r="I1676" i="1" s="1"/>
  <c r="J1676" i="1" s="1" a="1"/>
  <c r="J1676" i="1" s="1"/>
  <c r="K1676" i="1" s="1"/>
  <c r="I1692" i="1" a="1"/>
  <c r="I1692" i="1" s="1"/>
  <c r="J1692" i="1" s="1" a="1"/>
  <c r="J1692" i="1" s="1"/>
  <c r="K1692" i="1" s="1"/>
  <c r="I1697" i="1" a="1"/>
  <c r="I1697" i="1" s="1"/>
  <c r="J1697" i="1" s="1" a="1"/>
  <c r="J1697" i="1" s="1"/>
  <c r="K1697" i="1" s="1"/>
  <c r="I1702" i="1" a="1"/>
  <c r="I1702" i="1" s="1"/>
  <c r="J1702" i="1" s="1" a="1"/>
  <c r="J1702" i="1" s="1"/>
  <c r="K1702" i="1" s="1"/>
  <c r="I1708" i="1" a="1"/>
  <c r="I1708" i="1" s="1"/>
  <c r="J1708" i="1" s="1" a="1"/>
  <c r="J1708" i="1" s="1"/>
  <c r="K1708" i="1" s="1"/>
  <c r="I1713" i="1" a="1"/>
  <c r="I1713" i="1" s="1"/>
  <c r="J1713" i="1" s="1" a="1"/>
  <c r="J1713" i="1" s="1"/>
  <c r="K1713" i="1" s="1"/>
  <c r="I1720" i="1" a="1"/>
  <c r="I1720" i="1" s="1"/>
  <c r="J1720" i="1" s="1" a="1"/>
  <c r="J1720" i="1" s="1"/>
  <c r="K1720" i="1" s="1"/>
  <c r="I1732" i="1" a="1"/>
  <c r="I1732" i="1" s="1"/>
  <c r="J1732" i="1" s="1" a="1"/>
  <c r="J1732" i="1" s="1"/>
  <c r="K1732" i="1" s="1"/>
  <c r="I1737" i="1" a="1"/>
  <c r="I1737" i="1" s="1"/>
  <c r="J1737" i="1" s="1" a="1"/>
  <c r="J1737" i="1" s="1"/>
  <c r="K1737" i="1" s="1"/>
  <c r="I1748" i="1" a="1"/>
  <c r="I1748" i="1" s="1"/>
  <c r="J1748" i="1" s="1" a="1"/>
  <c r="J1748" i="1" s="1"/>
  <c r="K1748" i="1" s="1"/>
  <c r="I1759" i="1" a="1"/>
  <c r="I1759" i="1" s="1"/>
  <c r="J1759" i="1" s="1" a="1"/>
  <c r="J1759" i="1" s="1"/>
  <c r="K1759" i="1" s="1"/>
  <c r="I1772" i="1" a="1"/>
  <c r="I1772" i="1" s="1"/>
  <c r="J1772" i="1" s="1" a="1"/>
  <c r="J1772" i="1" s="1"/>
  <c r="K1772" i="1" s="1"/>
  <c r="I1777" i="1" a="1"/>
  <c r="I1777" i="1" s="1"/>
  <c r="J1777" i="1" s="1" a="1"/>
  <c r="J1777" i="1" s="1"/>
  <c r="K1777" i="1" s="1"/>
  <c r="I1782" i="1" a="1"/>
  <c r="I1782" i="1" s="1"/>
  <c r="J1782" i="1" s="1" a="1"/>
  <c r="J1782" i="1" s="1"/>
  <c r="K1782" i="1" s="1"/>
  <c r="I1787" i="1" a="1"/>
  <c r="I1787" i="1" s="1"/>
  <c r="J1787" i="1" s="1" a="1"/>
  <c r="J1787" i="1" s="1"/>
  <c r="K1787" i="1" s="1"/>
  <c r="I1792" i="1" a="1"/>
  <c r="I1792" i="1" s="1"/>
  <c r="J1792" i="1" s="1" a="1"/>
  <c r="J1792" i="1" s="1"/>
  <c r="K1792" i="1" s="1"/>
  <c r="I1804" i="1" a="1"/>
  <c r="I1804" i="1" s="1"/>
  <c r="J1804" i="1" s="1" a="1"/>
  <c r="J1804" i="1" s="1"/>
  <c r="K1804" i="1" s="1"/>
  <c r="I1815" i="1" a="1"/>
  <c r="I1815" i="1" s="1"/>
  <c r="J1815" i="1" s="1" a="1"/>
  <c r="J1815" i="1" s="1"/>
  <c r="K1815" i="1" s="1"/>
  <c r="I1826" i="1" a="1"/>
  <c r="I1826" i="1" s="1"/>
  <c r="J1826" i="1" s="1" a="1"/>
  <c r="J1826" i="1" s="1"/>
  <c r="K1826" i="1" s="1"/>
  <c r="I1837" i="1" a="1"/>
  <c r="I1837" i="1" s="1"/>
  <c r="J1837" i="1" s="1" a="1"/>
  <c r="J1837" i="1" s="1"/>
  <c r="K1837" i="1" s="1"/>
  <c r="I1842" i="1" a="1"/>
  <c r="I1842" i="1" s="1"/>
  <c r="J1842" i="1" s="1" a="1"/>
  <c r="J1842" i="1" s="1"/>
  <c r="K1842" i="1" s="1"/>
  <c r="I1849" i="1" a="1"/>
  <c r="I1849" i="1" s="1"/>
  <c r="J1849" i="1" s="1" a="1"/>
  <c r="J1849" i="1" s="1"/>
  <c r="K1849" i="1" s="1"/>
  <c r="I1854" i="1" a="1"/>
  <c r="I1854" i="1" s="1"/>
  <c r="J1854" i="1" s="1" a="1"/>
  <c r="J1854" i="1" s="1"/>
  <c r="K1854" i="1" s="1"/>
  <c r="I1861" i="1" a="1"/>
  <c r="I1861" i="1" s="1"/>
  <c r="J1861" i="1" s="1" a="1"/>
  <c r="J1861" i="1" s="1"/>
  <c r="K1861" i="1" s="1"/>
  <c r="I1866" i="1" a="1"/>
  <c r="I1866" i="1" s="1"/>
  <c r="J1866" i="1" s="1" a="1"/>
  <c r="J1866" i="1" s="1"/>
  <c r="K1866" i="1" s="1"/>
  <c r="I1871" i="1" a="1"/>
  <c r="I1871" i="1" s="1"/>
  <c r="J1871" i="1" s="1" a="1"/>
  <c r="J1871" i="1" s="1"/>
  <c r="K1871" i="1" s="1"/>
  <c r="I1882" i="1" a="1"/>
  <c r="I1882" i="1" s="1"/>
  <c r="J1882" i="1" s="1" a="1"/>
  <c r="J1882" i="1" s="1"/>
  <c r="K1882" i="1" s="1"/>
  <c r="I1888" i="1" a="1"/>
  <c r="I1888" i="1" s="1"/>
  <c r="J1888" i="1" s="1" a="1"/>
  <c r="J1888" i="1" s="1"/>
  <c r="K1888" i="1" s="1"/>
  <c r="I1894" i="1" a="1"/>
  <c r="I1894" i="1" s="1"/>
  <c r="J1894" i="1" s="1" a="1"/>
  <c r="J1894" i="1" s="1"/>
  <c r="K1894" i="1" s="1"/>
  <c r="I1917" i="1" a="1"/>
  <c r="I1917" i="1" s="1"/>
  <c r="J1917" i="1" s="1" a="1"/>
  <c r="J1917" i="1" s="1"/>
  <c r="K1917" i="1" s="1"/>
  <c r="I1922" i="1" a="1"/>
  <c r="I1922" i="1" s="1"/>
  <c r="J1922" i="1" s="1" a="1"/>
  <c r="J1922" i="1" s="1"/>
  <c r="K1922" i="1" s="1"/>
  <c r="I1927" i="1" a="1"/>
  <c r="I1927" i="1" s="1"/>
  <c r="J1927" i="1" s="1" a="1"/>
  <c r="J1927" i="1" s="1"/>
  <c r="K1927" i="1" s="1"/>
  <c r="I1933" i="1" a="1"/>
  <c r="I1933" i="1" s="1"/>
  <c r="J1933" i="1" s="1" a="1"/>
  <c r="J1933" i="1" s="1"/>
  <c r="K1933" i="1" s="1"/>
  <c r="I27" i="1" a="1"/>
  <c r="I27" i="1" s="1"/>
  <c r="J27" i="1" s="1" a="1"/>
  <c r="J27" i="1" s="1"/>
  <c r="K27" i="1" s="1"/>
  <c r="I39" i="1" a="1"/>
  <c r="I39" i="1" s="1"/>
  <c r="J39" i="1" s="1" a="1"/>
  <c r="J39" i="1" s="1"/>
  <c r="K39" i="1" s="1"/>
  <c r="I63" i="1" a="1"/>
  <c r="I63" i="1" s="1"/>
  <c r="J63" i="1" s="1" a="1"/>
  <c r="J63" i="1" s="1"/>
  <c r="K63" i="1" s="1"/>
  <c r="I74" i="1" a="1"/>
  <c r="I74" i="1" s="1"/>
  <c r="J74" i="1" s="1" a="1"/>
  <c r="J74" i="1" s="1"/>
  <c r="K74" i="1" s="1"/>
  <c r="I86" i="1" a="1"/>
  <c r="I86" i="1" s="1"/>
  <c r="J86" i="1" s="1" a="1"/>
  <c r="J86" i="1" s="1"/>
  <c r="K86" i="1" s="1"/>
  <c r="I98" i="1" a="1"/>
  <c r="I98" i="1" s="1"/>
  <c r="J98" i="1" s="1" a="1"/>
  <c r="J98" i="1" s="1"/>
  <c r="K98" i="1" s="1"/>
  <c r="I109" i="1" a="1"/>
  <c r="I109" i="1" s="1"/>
  <c r="J109" i="1" s="1" a="1"/>
  <c r="J109" i="1" s="1"/>
  <c r="K109" i="1" s="1"/>
  <c r="I121" i="1" a="1"/>
  <c r="I121" i="1" s="1"/>
  <c r="J121" i="1" s="1" a="1"/>
  <c r="J121" i="1" s="1"/>
  <c r="K121" i="1" s="1"/>
  <c r="I145" i="1" a="1"/>
  <c r="I145" i="1" s="1"/>
  <c r="J145" i="1" s="1" a="1"/>
  <c r="J145" i="1" s="1"/>
  <c r="K145" i="1" s="1"/>
  <c r="I169" i="1" a="1"/>
  <c r="I169" i="1" s="1"/>
  <c r="J169" i="1" s="1" a="1"/>
  <c r="J169" i="1" s="1"/>
  <c r="K169" i="1" s="1"/>
  <c r="I180" i="1" a="1"/>
  <c r="I180" i="1" s="1"/>
  <c r="J180" i="1" s="1" a="1"/>
  <c r="J180" i="1" s="1"/>
  <c r="K180" i="1" s="1"/>
  <c r="I192" i="1" a="1"/>
  <c r="I192" i="1" s="1"/>
  <c r="J192" i="1" s="1" a="1"/>
  <c r="J192" i="1" s="1"/>
  <c r="K192" i="1" s="1"/>
  <c r="I203" i="1" a="1"/>
  <c r="I203" i="1" s="1"/>
  <c r="J203" i="1" s="1" a="1"/>
  <c r="J203" i="1" s="1"/>
  <c r="K203" i="1" s="1"/>
  <c r="I214" i="1" a="1"/>
  <c r="I214" i="1" s="1"/>
  <c r="J214" i="1" s="1" a="1"/>
  <c r="J214" i="1" s="1"/>
  <c r="K214" i="1" s="1"/>
  <c r="I250" i="1" a="1"/>
  <c r="I250" i="1" s="1"/>
  <c r="J250" i="1" s="1" a="1"/>
  <c r="J250" i="1" s="1"/>
  <c r="K250" i="1" s="1"/>
  <c r="I262" i="1" a="1"/>
  <c r="I262" i="1" s="1"/>
  <c r="J262" i="1" s="1" a="1"/>
  <c r="J262" i="1" s="1"/>
  <c r="K262" i="1" s="1"/>
  <c r="I284" i="1" a="1"/>
  <c r="I284" i="1" s="1"/>
  <c r="J284" i="1" s="1" a="1"/>
  <c r="J284" i="1" s="1"/>
  <c r="K284" i="1" s="1"/>
  <c r="I297" i="1" a="1"/>
  <c r="I297" i="1" s="1"/>
  <c r="J297" i="1" s="1" a="1"/>
  <c r="J297" i="1" s="1"/>
  <c r="K297" i="1" s="1"/>
  <c r="I308" i="1" a="1"/>
  <c r="I308" i="1" s="1"/>
  <c r="J308" i="1" s="1" a="1"/>
  <c r="J308" i="1" s="1"/>
  <c r="K308" i="1" s="1"/>
  <c r="I321" i="1" a="1"/>
  <c r="I321" i="1" s="1"/>
  <c r="J321" i="1" s="1" a="1"/>
  <c r="J321" i="1" s="1"/>
  <c r="K321" i="1" s="1"/>
  <c r="I331" i="1" a="1"/>
  <c r="I331" i="1" s="1"/>
  <c r="J331" i="1" s="1" a="1"/>
  <c r="J331" i="1" s="1"/>
  <c r="K331" i="1" s="1"/>
  <c r="I344" i="1" a="1"/>
  <c r="I344" i="1" s="1"/>
  <c r="J344" i="1" s="1" a="1"/>
  <c r="J344" i="1" s="1"/>
  <c r="K344" i="1" s="1"/>
  <c r="I356" i="1" a="1"/>
  <c r="I356" i="1" s="1"/>
  <c r="J356" i="1" s="1" a="1"/>
  <c r="J356" i="1" s="1"/>
  <c r="K356" i="1" s="1"/>
  <c r="I370" i="1" a="1"/>
  <c r="I370" i="1" s="1"/>
  <c r="J370" i="1" s="1" a="1"/>
  <c r="J370" i="1" s="1"/>
  <c r="K370" i="1" s="1"/>
  <c r="I384" i="1" a="1"/>
  <c r="I384" i="1" s="1"/>
  <c r="J384" i="1" s="1" a="1"/>
  <c r="J384" i="1" s="1"/>
  <c r="K384" i="1" s="1"/>
  <c r="I398" i="1" a="1"/>
  <c r="I398" i="1" s="1"/>
  <c r="J398" i="1" s="1" a="1"/>
  <c r="J398" i="1" s="1"/>
  <c r="K398" i="1" s="1"/>
  <c r="I412" i="1" a="1"/>
  <c r="I412" i="1" s="1"/>
  <c r="J412" i="1" s="1" a="1"/>
  <c r="J412" i="1" s="1"/>
  <c r="K412" i="1" s="1"/>
  <c r="I425" i="1" a="1"/>
  <c r="I425" i="1" s="1"/>
  <c r="J425" i="1" s="1" a="1"/>
  <c r="J425" i="1" s="1"/>
  <c r="K425" i="1" s="1"/>
  <c r="I440" i="1" a="1"/>
  <c r="I440" i="1" s="1"/>
  <c r="J440" i="1" s="1" a="1"/>
  <c r="J440" i="1" s="1"/>
  <c r="K440" i="1" s="1"/>
  <c r="I454" i="1" a="1"/>
  <c r="I454" i="1" s="1"/>
  <c r="J454" i="1" s="1" a="1"/>
  <c r="J454" i="1" s="1"/>
  <c r="K454" i="1" s="1"/>
  <c r="I468" i="1" a="1"/>
  <c r="I468" i="1" s="1"/>
  <c r="J468" i="1" s="1" a="1"/>
  <c r="J468" i="1" s="1"/>
  <c r="K468" i="1" s="1"/>
  <c r="I482" i="1" a="1"/>
  <c r="I482" i="1" s="1"/>
  <c r="J482" i="1" s="1" a="1"/>
  <c r="J482" i="1" s="1"/>
  <c r="K482" i="1" s="1"/>
  <c r="I496" i="1" a="1"/>
  <c r="I496" i="1" s="1"/>
  <c r="J496" i="1" s="1" a="1"/>
  <c r="J496" i="1" s="1"/>
  <c r="K496" i="1" s="1"/>
  <c r="I510" i="1" a="1"/>
  <c r="I510" i="1" s="1"/>
  <c r="J510" i="1" s="1" a="1"/>
  <c r="J510" i="1" s="1"/>
  <c r="K510" i="1" s="1"/>
  <c r="I524" i="1" a="1"/>
  <c r="I524" i="1" s="1"/>
  <c r="J524" i="1" s="1" a="1"/>
  <c r="J524" i="1" s="1"/>
  <c r="K524" i="1" s="1"/>
  <c r="I538" i="1" a="1"/>
  <c r="I538" i="1" s="1"/>
  <c r="J538" i="1" s="1" a="1"/>
  <c r="J538" i="1" s="1"/>
  <c r="K538" i="1" s="1"/>
  <c r="I552" i="1" a="1"/>
  <c r="I552" i="1" s="1"/>
  <c r="J552" i="1" s="1" a="1"/>
  <c r="J552" i="1" s="1"/>
  <c r="K552" i="1" s="1"/>
  <c r="I566" i="1" a="1"/>
  <c r="I566" i="1" s="1"/>
  <c r="J566" i="1" s="1" a="1"/>
  <c r="J566" i="1" s="1"/>
  <c r="K566" i="1" s="1"/>
  <c r="I588" i="1" a="1"/>
  <c r="I588" i="1" s="1"/>
  <c r="J588" i="1" s="1" a="1"/>
  <c r="J588" i="1" s="1"/>
  <c r="K588" i="1" s="1"/>
  <c r="I602" i="1" a="1"/>
  <c r="I602" i="1" s="1"/>
  <c r="J602" i="1" s="1" a="1"/>
  <c r="J602" i="1" s="1"/>
  <c r="K602" i="1" s="1"/>
  <c r="I616" i="1" a="1"/>
  <c r="I616" i="1" s="1"/>
  <c r="J616" i="1" s="1" a="1"/>
  <c r="J616" i="1" s="1"/>
  <c r="K616" i="1" s="1"/>
  <c r="I630" i="1" a="1"/>
  <c r="I630" i="1" s="1"/>
  <c r="J630" i="1" s="1" a="1"/>
  <c r="J630" i="1" s="1"/>
  <c r="K630" i="1" s="1"/>
  <c r="I644" i="1" a="1"/>
  <c r="I644" i="1" s="1"/>
  <c r="J644" i="1" s="1" a="1"/>
  <c r="J644" i="1" s="1"/>
  <c r="K644" i="1" s="1"/>
  <c r="I673" i="1" a="1"/>
  <c r="I673" i="1" s="1"/>
  <c r="J673" i="1" s="1" a="1"/>
  <c r="J673" i="1" s="1"/>
  <c r="K673" i="1" s="1"/>
  <c r="I687" i="1" a="1"/>
  <c r="I687" i="1" s="1"/>
  <c r="J687" i="1" s="1" a="1"/>
  <c r="J687" i="1" s="1"/>
  <c r="K687" i="1" s="1"/>
  <c r="I716" i="1" a="1"/>
  <c r="I716" i="1" s="1"/>
  <c r="J716" i="1" s="1" a="1"/>
  <c r="J716" i="1" s="1"/>
  <c r="K716" i="1" s="1"/>
  <c r="I731" i="1" a="1"/>
  <c r="I731" i="1" s="1"/>
  <c r="J731" i="1" s="1" a="1"/>
  <c r="J731" i="1" s="1"/>
  <c r="K731" i="1" s="1"/>
  <c r="I746" i="1" a="1"/>
  <c r="I746" i="1" s="1"/>
  <c r="J746" i="1" s="1" a="1"/>
  <c r="J746" i="1" s="1"/>
  <c r="K746" i="1" s="1"/>
  <c r="I761" i="1" a="1"/>
  <c r="I761" i="1" s="1"/>
  <c r="J761" i="1" s="1" a="1"/>
  <c r="J761" i="1" s="1"/>
  <c r="K761" i="1" s="1"/>
  <c r="I775" i="1" a="1"/>
  <c r="I775" i="1" s="1"/>
  <c r="J775" i="1" s="1" a="1"/>
  <c r="J775" i="1" s="1"/>
  <c r="K775" i="1" s="1"/>
  <c r="I790" i="1" a="1"/>
  <c r="I790" i="1" s="1"/>
  <c r="J790" i="1" s="1" a="1"/>
  <c r="J790" i="1" s="1"/>
  <c r="K790" i="1" s="1"/>
  <c r="I804" i="1" a="1"/>
  <c r="I804" i="1" s="1"/>
  <c r="J804" i="1" s="1" a="1"/>
  <c r="J804" i="1" s="1"/>
  <c r="K804" i="1" s="1"/>
  <c r="I825" i="1" a="1"/>
  <c r="I825" i="1" s="1"/>
  <c r="J825" i="1" s="1" a="1"/>
  <c r="J825" i="1" s="1"/>
  <c r="K825" i="1" s="1"/>
  <c r="I848" i="1" a="1"/>
  <c r="I848" i="1" s="1"/>
  <c r="J848" i="1" s="1" a="1"/>
  <c r="J848" i="1" s="1"/>
  <c r="K848" i="1" s="1"/>
  <c r="I861" i="1" a="1"/>
  <c r="I861" i="1" s="1"/>
  <c r="J861" i="1" s="1" a="1"/>
  <c r="J861" i="1" s="1"/>
  <c r="K861" i="1" s="1"/>
  <c r="I871" i="1" a="1"/>
  <c r="I871" i="1" s="1"/>
  <c r="J871" i="1" s="1" a="1"/>
  <c r="J871" i="1" s="1"/>
  <c r="K871" i="1" s="1"/>
  <c r="I883" i="1" a="1"/>
  <c r="I883" i="1" s="1"/>
  <c r="J883" i="1" s="1" a="1"/>
  <c r="J883" i="1" s="1"/>
  <c r="K883" i="1" s="1"/>
  <c r="I897" i="1" a="1"/>
  <c r="I897" i="1" s="1"/>
  <c r="J897" i="1" s="1" a="1"/>
  <c r="J897" i="1" s="1"/>
  <c r="K897" i="1" s="1"/>
  <c r="I907" i="1" a="1"/>
  <c r="I907" i="1" s="1"/>
  <c r="J907" i="1" s="1" a="1"/>
  <c r="J907" i="1" s="1"/>
  <c r="K907" i="1" s="1"/>
  <c r="I919" i="1" a="1"/>
  <c r="I919" i="1" s="1"/>
  <c r="J919" i="1" s="1" a="1"/>
  <c r="J919" i="1" s="1"/>
  <c r="K919" i="1" s="1"/>
  <c r="I930" i="1" a="1"/>
  <c r="I930" i="1" s="1"/>
  <c r="J930" i="1" s="1" a="1"/>
  <c r="J930" i="1" s="1"/>
  <c r="K930" i="1" s="1"/>
  <c r="I942" i="1" a="1"/>
  <c r="I942" i="1" s="1"/>
  <c r="J942" i="1" s="1" a="1"/>
  <c r="J942" i="1" s="1"/>
  <c r="K942" i="1" s="1"/>
  <c r="I955" i="1" a="1"/>
  <c r="I955" i="1" s="1"/>
  <c r="J955" i="1" s="1" a="1"/>
  <c r="J955" i="1" s="1"/>
  <c r="K955" i="1" s="1"/>
  <c r="I966" i="1" a="1"/>
  <c r="I966" i="1" s="1"/>
  <c r="J966" i="1" s="1" a="1"/>
  <c r="J966" i="1" s="1"/>
  <c r="K966" i="1" s="1"/>
  <c r="I981" i="1" a="1"/>
  <c r="I981" i="1" s="1"/>
  <c r="J981" i="1" s="1" a="1"/>
  <c r="J981" i="1" s="1"/>
  <c r="K981" i="1" s="1"/>
  <c r="I991" i="1" a="1"/>
  <c r="I991" i="1" s="1"/>
  <c r="J991" i="1" s="1" a="1"/>
  <c r="J991" i="1" s="1"/>
  <c r="K991" i="1" s="1"/>
  <c r="I999" i="1" a="1"/>
  <c r="I999" i="1" s="1"/>
  <c r="J999" i="1" s="1" a="1"/>
  <c r="J999" i="1" s="1"/>
  <c r="K999" i="1" s="1"/>
  <c r="I1007" i="1" a="1"/>
  <c r="I1007" i="1" s="1"/>
  <c r="J1007" i="1" s="1" a="1"/>
  <c r="J1007" i="1" s="1"/>
  <c r="K1007" i="1" s="1"/>
  <c r="I1015" i="1" a="1"/>
  <c r="I1015" i="1" s="1"/>
  <c r="J1015" i="1" s="1" a="1"/>
  <c r="J1015" i="1" s="1"/>
  <c r="K1015" i="1" s="1"/>
  <c r="I1024" i="1" a="1"/>
  <c r="I1024" i="1" s="1"/>
  <c r="J1024" i="1" s="1" a="1"/>
  <c r="J1024" i="1" s="1"/>
  <c r="K1024" i="1" s="1"/>
  <c r="I1032" i="1" a="1"/>
  <c r="I1032" i="1" s="1"/>
  <c r="J1032" i="1" s="1" a="1"/>
  <c r="J1032" i="1" s="1"/>
  <c r="K1032" i="1" s="1"/>
  <c r="I1040" i="1" a="1"/>
  <c r="I1040" i="1" s="1"/>
  <c r="J1040" i="1" s="1" a="1"/>
  <c r="J1040" i="1" s="1"/>
  <c r="K1040" i="1" s="1"/>
  <c r="I1049" i="1" a="1"/>
  <c r="I1049" i="1" s="1"/>
  <c r="J1049" i="1" s="1" a="1"/>
  <c r="J1049" i="1" s="1"/>
  <c r="K1049" i="1" s="1"/>
  <c r="I1058" i="1" a="1"/>
  <c r="I1058" i="1" s="1"/>
  <c r="J1058" i="1" s="1" a="1"/>
  <c r="J1058" i="1" s="1"/>
  <c r="K1058" i="1" s="1"/>
  <c r="I1066" i="1" a="1"/>
  <c r="I1066" i="1" s="1"/>
  <c r="J1066" i="1" s="1" a="1"/>
  <c r="J1066" i="1" s="1"/>
  <c r="K1066" i="1" s="1"/>
  <c r="I1082" i="1" a="1"/>
  <c r="I1082" i="1" s="1"/>
  <c r="J1082" i="1" s="1" a="1"/>
  <c r="J1082" i="1" s="1"/>
  <c r="K1082" i="1" s="1"/>
  <c r="I1091" i="1" a="1"/>
  <c r="I1091" i="1" s="1"/>
  <c r="J1091" i="1" s="1" a="1"/>
  <c r="J1091" i="1" s="1"/>
  <c r="K1091" i="1" s="1"/>
  <c r="I1099" i="1" a="1"/>
  <c r="I1099" i="1" s="1"/>
  <c r="J1099" i="1" s="1" a="1"/>
  <c r="J1099" i="1" s="1"/>
  <c r="K1099" i="1" s="1"/>
  <c r="I1107" i="1" a="1"/>
  <c r="I1107" i="1" s="1"/>
  <c r="J1107" i="1" s="1" a="1"/>
  <c r="J1107" i="1" s="1"/>
  <c r="K1107" i="1" s="1"/>
  <c r="I1116" i="1" a="1"/>
  <c r="I1116" i="1" s="1"/>
  <c r="J1116" i="1" s="1" a="1"/>
  <c r="J1116" i="1" s="1"/>
  <c r="K1116" i="1" s="1"/>
  <c r="I1125" i="1" a="1"/>
  <c r="I1125" i="1" s="1"/>
  <c r="J1125" i="1" s="1" a="1"/>
  <c r="J1125" i="1" s="1"/>
  <c r="K1125" i="1" s="1"/>
  <c r="I1133" i="1" a="1"/>
  <c r="I1133" i="1" s="1"/>
  <c r="J1133" i="1" s="1" a="1"/>
  <c r="J1133" i="1" s="1"/>
  <c r="K1133" i="1" s="1"/>
  <c r="I1140" i="1" a="1"/>
  <c r="I1140" i="1" s="1"/>
  <c r="J1140" i="1" s="1" a="1"/>
  <c r="J1140" i="1" s="1"/>
  <c r="K1140" i="1" s="1"/>
  <c r="I1149" i="1" a="1"/>
  <c r="I1149" i="1" s="1"/>
  <c r="J1149" i="1" s="1" a="1"/>
  <c r="J1149" i="1" s="1"/>
  <c r="K1149" i="1" s="1"/>
  <c r="I1157" i="1" a="1"/>
  <c r="I1157" i="1" s="1"/>
  <c r="J1157" i="1" s="1" a="1"/>
  <c r="J1157" i="1" s="1"/>
  <c r="K1157" i="1" s="1"/>
  <c r="I1163" i="1" a="1"/>
  <c r="I1163" i="1" s="1"/>
  <c r="J1163" i="1" s="1" a="1"/>
  <c r="J1163" i="1" s="1"/>
  <c r="K1163" i="1" s="1"/>
  <c r="I1170" i="1" a="1"/>
  <c r="I1170" i="1" s="1"/>
  <c r="J1170" i="1" s="1" a="1"/>
  <c r="J1170" i="1" s="1"/>
  <c r="K1170" i="1" s="1"/>
  <c r="I1182" i="1" a="1"/>
  <c r="I1182" i="1" s="1"/>
  <c r="J1182" i="1" s="1" a="1"/>
  <c r="J1182" i="1" s="1"/>
  <c r="K1182" i="1" s="1"/>
  <c r="I1188" i="1" a="1"/>
  <c r="I1188" i="1" s="1"/>
  <c r="J1188" i="1" s="1" a="1"/>
  <c r="J1188" i="1" s="1"/>
  <c r="K1188" i="1" s="1"/>
  <c r="I1195" i="1" a="1"/>
  <c r="I1195" i="1" s="1"/>
  <c r="J1195" i="1" s="1" a="1"/>
  <c r="J1195" i="1" s="1"/>
  <c r="K1195" i="1" s="1"/>
  <c r="I1201" i="1" a="1"/>
  <c r="I1201" i="1" s="1"/>
  <c r="J1201" i="1" s="1" a="1"/>
  <c r="J1201" i="1" s="1"/>
  <c r="K1201" i="1" s="1"/>
  <c r="I1208" i="1" a="1"/>
  <c r="I1208" i="1" s="1"/>
  <c r="J1208" i="1" s="1" a="1"/>
  <c r="J1208" i="1" s="1"/>
  <c r="K1208" i="1" s="1"/>
  <c r="I1214" i="1" a="1"/>
  <c r="I1214" i="1" s="1"/>
  <c r="J1214" i="1" s="1" a="1"/>
  <c r="J1214" i="1" s="1"/>
  <c r="K1214" i="1" s="1"/>
  <c r="I1220" i="1" a="1"/>
  <c r="I1220" i="1" s="1"/>
  <c r="J1220" i="1" s="1" a="1"/>
  <c r="J1220" i="1" s="1"/>
  <c r="K1220" i="1" s="1"/>
  <c r="I1227" i="1" a="1"/>
  <c r="I1227" i="1" s="1"/>
  <c r="J1227" i="1" s="1" a="1"/>
  <c r="J1227" i="1" s="1"/>
  <c r="K1227" i="1" s="1"/>
  <c r="I1233" i="1" a="1"/>
  <c r="I1233" i="1" s="1"/>
  <c r="J1233" i="1" s="1" a="1"/>
  <c r="J1233" i="1" s="1"/>
  <c r="K1233" i="1" s="1"/>
  <c r="I1240" i="1" a="1"/>
  <c r="I1240" i="1" s="1"/>
  <c r="J1240" i="1" s="1" a="1"/>
  <c r="J1240" i="1" s="1"/>
  <c r="K1240" i="1" s="1"/>
  <c r="I1246" i="1" a="1"/>
  <c r="I1246" i="1" s="1"/>
  <c r="J1246" i="1" s="1" a="1"/>
  <c r="J1246" i="1" s="1"/>
  <c r="K1246" i="1" s="1"/>
  <c r="I1253" i="1" a="1"/>
  <c r="I1253" i="1" s="1"/>
  <c r="J1253" i="1" s="1" a="1"/>
  <c r="J1253" i="1" s="1"/>
  <c r="K1253" i="1" s="1"/>
  <c r="I1261" i="1" a="1"/>
  <c r="I1261" i="1" s="1"/>
  <c r="J1261" i="1" s="1" a="1"/>
  <c r="J1261" i="1" s="1"/>
  <c r="K1261" i="1" s="1"/>
  <c r="I1267" i="1" a="1"/>
  <c r="I1267" i="1" s="1"/>
  <c r="J1267" i="1" s="1" a="1"/>
  <c r="J1267" i="1" s="1"/>
  <c r="K1267" i="1" s="1"/>
  <c r="I1275" i="1" a="1"/>
  <c r="I1275" i="1" s="1"/>
  <c r="J1275" i="1" s="1" a="1"/>
  <c r="J1275" i="1" s="1"/>
  <c r="K1275" i="1" s="1"/>
  <c r="I1282" i="1" a="1"/>
  <c r="I1282" i="1" s="1"/>
  <c r="J1282" i="1" s="1" a="1"/>
  <c r="J1282" i="1" s="1"/>
  <c r="K1282" i="1" s="1"/>
  <c r="I1289" i="1" a="1"/>
  <c r="I1289" i="1" s="1"/>
  <c r="J1289" i="1" s="1" a="1"/>
  <c r="J1289" i="1" s="1"/>
  <c r="K1289" i="1" s="1"/>
  <c r="I1296" i="1" a="1"/>
  <c r="I1296" i="1" s="1"/>
  <c r="J1296" i="1" s="1" a="1"/>
  <c r="J1296" i="1" s="1"/>
  <c r="K1296" i="1" s="1"/>
  <c r="I1303" i="1" a="1"/>
  <c r="I1303" i="1" s="1"/>
  <c r="J1303" i="1" s="1" a="1"/>
  <c r="J1303" i="1" s="1"/>
  <c r="K1303" i="1" s="1"/>
  <c r="I1310" i="1" a="1"/>
  <c r="I1310" i="1" s="1"/>
  <c r="J1310" i="1" s="1" a="1"/>
  <c r="J1310" i="1" s="1"/>
  <c r="K1310" i="1" s="1"/>
  <c r="I1316" i="1" a="1"/>
  <c r="I1316" i="1" s="1"/>
  <c r="J1316" i="1" s="1" a="1"/>
  <c r="J1316" i="1" s="1"/>
  <c r="K1316" i="1" s="1"/>
  <c r="I1324" i="1" a="1"/>
  <c r="I1324" i="1" s="1"/>
  <c r="J1324" i="1" s="1" a="1"/>
  <c r="J1324" i="1" s="1"/>
  <c r="K1324" i="1" s="1"/>
  <c r="I1338" i="1" a="1"/>
  <c r="I1338" i="1" s="1"/>
  <c r="J1338" i="1" s="1" a="1"/>
  <c r="J1338" i="1" s="1"/>
  <c r="K1338" i="1" s="1"/>
  <c r="I1344" i="1" a="1"/>
  <c r="I1344" i="1" s="1"/>
  <c r="J1344" i="1" s="1" a="1"/>
  <c r="J1344" i="1" s="1"/>
  <c r="K1344" i="1" s="1"/>
  <c r="I1351" i="1" a="1"/>
  <c r="I1351" i="1" s="1"/>
  <c r="J1351" i="1" s="1" a="1"/>
  <c r="J1351" i="1" s="1"/>
  <c r="K1351" i="1" s="1"/>
  <c r="I1358" i="1" a="1"/>
  <c r="I1358" i="1" s="1"/>
  <c r="J1358" i="1" s="1" a="1"/>
  <c r="J1358" i="1" s="1"/>
  <c r="K1358" i="1" s="1"/>
  <c r="I1365" i="1" a="1"/>
  <c r="I1365" i="1" s="1"/>
  <c r="J1365" i="1" s="1" a="1"/>
  <c r="J1365" i="1" s="1"/>
  <c r="K1365" i="1" s="1"/>
  <c r="I1373" i="1" a="1"/>
  <c r="I1373" i="1" s="1"/>
  <c r="J1373" i="1" s="1" a="1"/>
  <c r="J1373" i="1" s="1"/>
  <c r="K1373" i="1" s="1"/>
  <c r="I1386" i="1" a="1"/>
  <c r="I1386" i="1" s="1"/>
  <c r="J1386" i="1" s="1" a="1"/>
  <c r="J1386" i="1" s="1"/>
  <c r="K1386" i="1" s="1"/>
  <c r="I1393" i="1" a="1"/>
  <c r="I1393" i="1" s="1"/>
  <c r="J1393" i="1" s="1" a="1"/>
  <c r="J1393" i="1" s="1"/>
  <c r="K1393" i="1" s="1"/>
  <c r="I1400" i="1" a="1"/>
  <c r="I1400" i="1" s="1"/>
  <c r="J1400" i="1" s="1" a="1"/>
  <c r="J1400" i="1" s="1"/>
  <c r="K1400" i="1" s="1"/>
  <c r="I1413" i="1" a="1"/>
  <c r="I1413" i="1" s="1"/>
  <c r="J1413" i="1" s="1" a="1"/>
  <c r="J1413" i="1" s="1"/>
  <c r="K1413" i="1" s="1"/>
  <c r="I1421" i="1" a="1"/>
  <c r="I1421" i="1" s="1"/>
  <c r="J1421" i="1" s="1" a="1"/>
  <c r="J1421" i="1" s="1"/>
  <c r="K1421" i="1" s="1"/>
  <c r="I1427" i="1" a="1"/>
  <c r="I1427" i="1" s="1"/>
  <c r="J1427" i="1" s="1" a="1"/>
  <c r="J1427" i="1" s="1"/>
  <c r="K1427" i="1" s="1"/>
  <c r="I1435" i="1" a="1"/>
  <c r="I1435" i="1" s="1"/>
  <c r="J1435" i="1" s="1" a="1"/>
  <c r="J1435" i="1" s="1"/>
  <c r="K1435" i="1" s="1"/>
  <c r="I1441" i="1" a="1"/>
  <c r="I1441" i="1" s="1"/>
  <c r="J1441" i="1" s="1" a="1"/>
  <c r="J1441" i="1" s="1"/>
  <c r="K1441" i="1" s="1"/>
  <c r="I1448" i="1" a="1"/>
  <c r="I1448" i="1" s="1"/>
  <c r="J1448" i="1" s="1" a="1"/>
  <c r="J1448" i="1" s="1"/>
  <c r="K1448" i="1" s="1"/>
  <c r="I1455" i="1" a="1"/>
  <c r="I1455" i="1" s="1"/>
  <c r="J1455" i="1" s="1" a="1"/>
  <c r="J1455" i="1" s="1"/>
  <c r="K1455" i="1" s="1"/>
  <c r="I1462" i="1" a="1"/>
  <c r="I1462" i="1" s="1"/>
  <c r="J1462" i="1" s="1" a="1"/>
  <c r="J1462" i="1" s="1"/>
  <c r="K1462" i="1" s="1"/>
  <c r="I1475" i="1" a="1"/>
  <c r="I1475" i="1" s="1"/>
  <c r="J1475" i="1" s="1" a="1"/>
  <c r="J1475" i="1" s="1"/>
  <c r="K1475" i="1" s="1"/>
  <c r="I1483" i="1" a="1"/>
  <c r="I1483" i="1" s="1"/>
  <c r="J1483" i="1" s="1" a="1"/>
  <c r="J1483" i="1" s="1"/>
  <c r="K1483" i="1" s="1"/>
  <c r="I1490" i="1" a="1"/>
  <c r="I1490" i="1" s="1"/>
  <c r="J1490" i="1" s="1" a="1"/>
  <c r="J1490" i="1" s="1"/>
  <c r="K1490" i="1" s="1"/>
  <c r="I1497" i="1" a="1"/>
  <c r="I1497" i="1" s="1"/>
  <c r="J1497" i="1" s="1" a="1"/>
  <c r="J1497" i="1" s="1"/>
  <c r="K1497" i="1" s="1"/>
  <c r="I1503" i="1" a="1"/>
  <c r="I1503" i="1" s="1"/>
  <c r="J1503" i="1" s="1" a="1"/>
  <c r="J1503" i="1" s="1"/>
  <c r="K1503" i="1" s="1"/>
  <c r="I1510" i="1" a="1"/>
  <c r="I1510" i="1" s="1"/>
  <c r="J1510" i="1" s="1" a="1"/>
  <c r="J1510" i="1" s="1"/>
  <c r="K1510" i="1" s="1"/>
  <c r="I1524" i="1" a="1"/>
  <c r="I1524" i="1" s="1"/>
  <c r="J1524" i="1" s="1" a="1"/>
  <c r="J1524" i="1" s="1"/>
  <c r="K1524" i="1" s="1"/>
  <c r="I1532" i="1" a="1"/>
  <c r="I1532" i="1" s="1"/>
  <c r="J1532" i="1" s="1" a="1"/>
  <c r="J1532" i="1" s="1"/>
  <c r="K1532" i="1" s="1"/>
  <c r="I1538" i="1" a="1"/>
  <c r="I1538" i="1" s="1"/>
  <c r="J1538" i="1" s="1" a="1"/>
  <c r="J1538" i="1" s="1"/>
  <c r="K1538" i="1" s="1"/>
  <c r="I1545" i="1" a="1"/>
  <c r="I1545" i="1" s="1"/>
  <c r="J1545" i="1" s="1" a="1"/>
  <c r="J1545" i="1" s="1"/>
  <c r="K1545" i="1" s="1"/>
  <c r="I1552" i="1" a="1"/>
  <c r="I1552" i="1" s="1"/>
  <c r="J1552" i="1" s="1" a="1"/>
  <c r="J1552" i="1" s="1"/>
  <c r="K1552" i="1" s="1"/>
  <c r="I1559" i="1" a="1"/>
  <c r="I1559" i="1" s="1"/>
  <c r="J1559" i="1" s="1" a="1"/>
  <c r="J1559" i="1" s="1"/>
  <c r="K1559" i="1" s="1"/>
  <c r="I1566" i="1" a="1"/>
  <c r="I1566" i="1" s="1"/>
  <c r="J1566" i="1" s="1" a="1"/>
  <c r="J1566" i="1" s="1"/>
  <c r="K1566" i="1" s="1"/>
  <c r="I1572" i="1" a="1"/>
  <c r="I1572" i="1" s="1"/>
  <c r="J1572" i="1" s="1" a="1"/>
  <c r="J1572" i="1" s="1"/>
  <c r="K1572" i="1" s="1"/>
  <c r="I1594" i="1" a="1"/>
  <c r="I1594" i="1" s="1"/>
  <c r="J1594" i="1" s="1" a="1"/>
  <c r="J1594" i="1" s="1"/>
  <c r="K1594" i="1" s="1"/>
  <c r="I1599" i="1" a="1"/>
  <c r="I1599" i="1" s="1"/>
  <c r="J1599" i="1" s="1" a="1"/>
  <c r="J1599" i="1" s="1"/>
  <c r="K1599" i="1" s="1"/>
  <c r="I1611" i="1" a="1"/>
  <c r="I1611" i="1" s="1"/>
  <c r="J1611" i="1" s="1" a="1"/>
  <c r="J1611" i="1" s="1"/>
  <c r="K1611" i="1" s="1"/>
  <c r="I1616" i="1" a="1"/>
  <c r="I1616" i="1" s="1"/>
  <c r="J1616" i="1" s="1" a="1"/>
  <c r="J1616" i="1" s="1"/>
  <c r="K1616" i="1" s="1"/>
  <c r="I1621" i="1" a="1"/>
  <c r="I1621" i="1" s="1"/>
  <c r="J1621" i="1" s="1" a="1"/>
  <c r="J1621" i="1" s="1"/>
  <c r="K1621" i="1" s="1"/>
  <c r="I1627" i="1" a="1"/>
  <c r="I1627" i="1" s="1"/>
  <c r="J1627" i="1" s="1" a="1"/>
  <c r="J1627" i="1" s="1"/>
  <c r="K1627" i="1" s="1"/>
  <c r="I1633" i="1" a="1"/>
  <c r="I1633" i="1" s="1"/>
  <c r="J1633" i="1" s="1" a="1"/>
  <c r="J1633" i="1" s="1"/>
  <c r="K1633" i="1" s="1"/>
  <c r="I1660" i="1" a="1"/>
  <c r="I1660" i="1" s="1"/>
  <c r="J1660" i="1" s="1" a="1"/>
  <c r="J1660" i="1" s="1"/>
  <c r="K1660" i="1" s="1"/>
  <c r="I1665" i="1" a="1"/>
  <c r="I1665" i="1" s="1"/>
  <c r="J1665" i="1" s="1" a="1"/>
  <c r="J1665" i="1" s="1"/>
  <c r="K1665" i="1" s="1"/>
  <c r="I1670" i="1" a="1"/>
  <c r="I1670" i="1" s="1"/>
  <c r="J1670" i="1" s="1" a="1"/>
  <c r="J1670" i="1" s="1"/>
  <c r="K1670" i="1" s="1"/>
  <c r="I1677" i="1" a="1"/>
  <c r="I1677" i="1" s="1"/>
  <c r="J1677" i="1" s="1" a="1"/>
  <c r="J1677" i="1" s="1"/>
  <c r="K1677" i="1" s="1"/>
  <c r="I1682" i="1" a="1"/>
  <c r="I1682" i="1" s="1"/>
  <c r="J1682" i="1" s="1" a="1"/>
  <c r="J1682" i="1" s="1"/>
  <c r="K1682" i="1" s="1"/>
  <c r="I1687" i="1" a="1"/>
  <c r="I1687" i="1" s="1"/>
  <c r="J1687" i="1" s="1" a="1"/>
  <c r="J1687" i="1" s="1"/>
  <c r="K1687" i="1" s="1"/>
  <c r="I1698" i="1" a="1"/>
  <c r="I1698" i="1" s="1"/>
  <c r="J1698" i="1" s="1" a="1"/>
  <c r="J1698" i="1" s="1"/>
  <c r="K1698" i="1" s="1"/>
  <c r="I1709" i="1" a="1"/>
  <c r="I1709" i="1" s="1"/>
  <c r="J1709" i="1" s="1" a="1"/>
  <c r="J1709" i="1" s="1"/>
  <c r="K1709" i="1" s="1"/>
  <c r="I1714" i="1" a="1"/>
  <c r="I1714" i="1" s="1"/>
  <c r="J1714" i="1" s="1" a="1"/>
  <c r="J1714" i="1" s="1"/>
  <c r="K1714" i="1" s="1"/>
  <c r="I1721" i="1" a="1"/>
  <c r="I1721" i="1" s="1"/>
  <c r="J1721" i="1" s="1" a="1"/>
  <c r="J1721" i="1" s="1"/>
  <c r="K1721" i="1" s="1"/>
  <c r="I1726" i="1" a="1"/>
  <c r="I1726" i="1" s="1"/>
  <c r="J1726" i="1" s="1" a="1"/>
  <c r="J1726" i="1" s="1"/>
  <c r="K1726" i="1" s="1"/>
  <c r="I1733" i="1" a="1"/>
  <c r="I1733" i="1" s="1"/>
  <c r="J1733" i="1" s="1" a="1"/>
  <c r="J1733" i="1" s="1"/>
  <c r="K1733" i="1" s="1"/>
  <c r="I1738" i="1" a="1"/>
  <c r="I1738" i="1" s="1"/>
  <c r="J1738" i="1" s="1" a="1"/>
  <c r="J1738" i="1" s="1"/>
  <c r="K1738" i="1" s="1"/>
  <c r="I1743" i="1" a="1"/>
  <c r="I1743" i="1" s="1"/>
  <c r="J1743" i="1" s="1" a="1"/>
  <c r="J1743" i="1" s="1"/>
  <c r="K1743" i="1" s="1"/>
  <c r="I1754" i="1" a="1"/>
  <c r="I1754" i="1" s="1"/>
  <c r="J1754" i="1" s="1" a="1"/>
  <c r="J1754" i="1" s="1"/>
  <c r="K1754" i="1" s="1"/>
  <c r="I1760" i="1" a="1"/>
  <c r="I1760" i="1" s="1"/>
  <c r="J1760" i="1" s="1" a="1"/>
  <c r="J1760" i="1" s="1"/>
  <c r="K1760" i="1" s="1"/>
  <c r="I1766" i="1" a="1"/>
  <c r="I1766" i="1" s="1"/>
  <c r="J1766" i="1" s="1" a="1"/>
  <c r="J1766" i="1" s="1"/>
  <c r="K1766" i="1" s="1"/>
  <c r="I1788" i="1" a="1"/>
  <c r="I1788" i="1" s="1"/>
  <c r="J1788" i="1" s="1" a="1"/>
  <c r="J1788" i="1" s="1"/>
  <c r="K1788" i="1" s="1"/>
  <c r="I1793" i="1" a="1"/>
  <c r="I1793" i="1" s="1"/>
  <c r="J1793" i="1" s="1" a="1"/>
  <c r="J1793" i="1" s="1"/>
  <c r="K1793" i="1" s="1"/>
  <c r="I1798" i="1" a="1"/>
  <c r="I1798" i="1" s="1"/>
  <c r="J1798" i="1" s="1" a="1"/>
  <c r="J1798" i="1" s="1"/>
  <c r="K1798" i="1" s="1"/>
  <c r="I1805" i="1" a="1"/>
  <c r="I1805" i="1" s="1"/>
  <c r="J1805" i="1" s="1" a="1"/>
  <c r="J1805" i="1" s="1"/>
  <c r="K1805" i="1" s="1"/>
  <c r="I1810" i="1" a="1"/>
  <c r="I1810" i="1" s="1"/>
  <c r="J1810" i="1" s="1" a="1"/>
  <c r="J1810" i="1" s="1"/>
  <c r="K1810" i="1" s="1"/>
  <c r="I1816" i="1" a="1"/>
  <c r="I1816" i="1" s="1"/>
  <c r="J1816" i="1" s="1" a="1"/>
  <c r="J1816" i="1" s="1"/>
  <c r="K1816" i="1" s="1"/>
  <c r="I1821" i="1" a="1"/>
  <c r="I1821" i="1" s="1"/>
  <c r="J1821" i="1" s="1" a="1"/>
  <c r="J1821" i="1" s="1"/>
  <c r="K1821" i="1" s="1"/>
  <c r="I1831" i="1" a="1"/>
  <c r="I1831" i="1" s="1"/>
  <c r="J1831" i="1" s="1" a="1"/>
  <c r="J1831" i="1" s="1"/>
  <c r="K1831" i="1" s="1"/>
  <c r="I1843" i="1" a="1"/>
  <c r="I1843" i="1" s="1"/>
  <c r="J1843" i="1" s="1" a="1"/>
  <c r="J1843" i="1" s="1"/>
  <c r="K1843" i="1" s="1"/>
  <c r="I1855" i="1" a="1"/>
  <c r="I1855" i="1" s="1"/>
  <c r="J1855" i="1" s="1" a="1"/>
  <c r="J1855" i="1" s="1"/>
  <c r="K1855" i="1" s="1"/>
  <c r="I1867" i="1" a="1"/>
  <c r="I1867" i="1" s="1"/>
  <c r="J1867" i="1" s="1" a="1"/>
  <c r="J1867" i="1" s="1"/>
  <c r="K1867" i="1" s="1"/>
  <c r="I1872" i="1" a="1"/>
  <c r="I1872" i="1" s="1"/>
  <c r="J1872" i="1" s="1" a="1"/>
  <c r="J1872" i="1" s="1"/>
  <c r="K1872" i="1" s="1"/>
  <c r="I1877" i="1" a="1"/>
  <c r="I1877" i="1" s="1"/>
  <c r="J1877" i="1" s="1" a="1"/>
  <c r="J1877" i="1" s="1"/>
  <c r="K1877" i="1" s="1"/>
  <c r="I1883" i="1" a="1"/>
  <c r="I1883" i="1" s="1"/>
  <c r="J1883" i="1" s="1" a="1"/>
  <c r="J1883" i="1" s="1"/>
  <c r="K1883" i="1" s="1"/>
  <c r="I1889" i="1" a="1"/>
  <c r="I1889" i="1" s="1"/>
  <c r="J1889" i="1" s="1" a="1"/>
  <c r="J1889" i="1" s="1"/>
  <c r="K1889" i="1" s="1"/>
  <c r="I1901" i="1" a="1"/>
  <c r="I1901" i="1" s="1"/>
  <c r="J1901" i="1" s="1" a="1"/>
  <c r="J1901" i="1" s="1"/>
  <c r="K1901" i="1" s="1"/>
  <c r="I1906" i="1" a="1"/>
  <c r="I1906" i="1" s="1"/>
  <c r="J1906" i="1" s="1" a="1"/>
  <c r="J1906" i="1" s="1"/>
  <c r="K1906" i="1" s="1"/>
  <c r="I1911" i="1" a="1"/>
  <c r="I1911" i="1" s="1"/>
  <c r="J1911" i="1" s="1" a="1"/>
  <c r="J1911" i="1" s="1"/>
  <c r="K1911" i="1" s="1"/>
  <c r="I1923" i="1" a="1"/>
  <c r="I1923" i="1" s="1"/>
  <c r="J1923" i="1" s="1" a="1"/>
  <c r="J1923" i="1" s="1"/>
  <c r="K1923" i="1" s="1"/>
  <c r="I1928" i="1" a="1"/>
  <c r="I1928" i="1" s="1"/>
  <c r="J1928" i="1" s="1" a="1"/>
  <c r="J1928" i="1" s="1"/>
  <c r="K1928" i="1" s="1"/>
  <c r="I17" i="1" a="1"/>
  <c r="I17" i="1" s="1"/>
  <c r="J17" i="1" s="1" a="1"/>
  <c r="J17" i="1" s="1"/>
  <c r="K17" i="1" s="1"/>
  <c r="I28" i="1" a="1"/>
  <c r="I28" i="1" s="1"/>
  <c r="J28" i="1" s="1" a="1"/>
  <c r="J28" i="1" s="1"/>
  <c r="K28" i="1" s="1"/>
  <c r="I41" i="1" a="1"/>
  <c r="I41" i="1" s="1"/>
  <c r="J41" i="1" s="1" a="1"/>
  <c r="J41" i="1" s="1"/>
  <c r="K41" i="1" s="1"/>
  <c r="I52" i="1" a="1"/>
  <c r="I52" i="1" s="1"/>
  <c r="J52" i="1" s="1" a="1"/>
  <c r="J52" i="1" s="1"/>
  <c r="K52" i="1" s="1"/>
  <c r="I65" i="1" a="1"/>
  <c r="I65" i="1" s="1"/>
  <c r="J65" i="1" s="1" a="1"/>
  <c r="J65" i="1" s="1"/>
  <c r="K65" i="1" s="1"/>
  <c r="I75" i="1" a="1"/>
  <c r="I75" i="1" s="1"/>
  <c r="J75" i="1" s="1" a="1"/>
  <c r="J75" i="1" s="1"/>
  <c r="K75" i="1" s="1"/>
  <c r="I88" i="1" a="1"/>
  <c r="I88" i="1" s="1"/>
  <c r="J88" i="1" s="1" a="1"/>
  <c r="J88" i="1" s="1"/>
  <c r="K88" i="1" s="1"/>
  <c r="I99" i="1" a="1"/>
  <c r="I99" i="1" s="1"/>
  <c r="J99" i="1" s="1" a="1"/>
  <c r="J99" i="1" s="1"/>
  <c r="K99" i="1" s="1"/>
  <c r="I122" i="1" a="1"/>
  <c r="I122" i="1" s="1"/>
  <c r="J122" i="1" s="1" a="1"/>
  <c r="J122" i="1" s="1"/>
  <c r="K122" i="1" s="1"/>
  <c r="I133" i="1" a="1"/>
  <c r="I133" i="1" s="1"/>
  <c r="J133" i="1" s="1" a="1"/>
  <c r="J133" i="1" s="1"/>
  <c r="K133" i="1" s="1"/>
  <c r="I146" i="1" a="1"/>
  <c r="I146" i="1" s="1"/>
  <c r="J146" i="1" s="1" a="1"/>
  <c r="J146" i="1" s="1"/>
  <c r="K146" i="1" s="1"/>
  <c r="I157" i="1" a="1"/>
  <c r="I157" i="1" s="1"/>
  <c r="J157" i="1" s="1" a="1"/>
  <c r="J157" i="1" s="1"/>
  <c r="K157" i="1" s="1"/>
  <c r="I170" i="1" a="1"/>
  <c r="I170" i="1" s="1"/>
  <c r="J170" i="1" s="1" a="1"/>
  <c r="J170" i="1" s="1"/>
  <c r="K170" i="1" s="1"/>
  <c r="I182" i="1" a="1"/>
  <c r="I182" i="1" s="1"/>
  <c r="J182" i="1" s="1" a="1"/>
  <c r="J182" i="1" s="1"/>
  <c r="K182" i="1" s="1"/>
  <c r="I194" i="1" a="1"/>
  <c r="I194" i="1" s="1"/>
  <c r="J194" i="1" s="1" a="1"/>
  <c r="J194" i="1" s="1"/>
  <c r="K194" i="1" s="1"/>
  <c r="I204" i="1" a="1"/>
  <c r="I204" i="1" s="1"/>
  <c r="J204" i="1" s="1" a="1"/>
  <c r="J204" i="1" s="1"/>
  <c r="K204" i="1" s="1"/>
  <c r="I216" i="1" a="1"/>
  <c r="I216" i="1" s="1"/>
  <c r="J216" i="1" s="1" a="1"/>
  <c r="J216" i="1" s="1"/>
  <c r="K216" i="1" s="1"/>
  <c r="I240" i="1" a="1"/>
  <c r="I240" i="1" s="1"/>
  <c r="J240" i="1" s="1" a="1"/>
  <c r="J240" i="1" s="1"/>
  <c r="K240" i="1" s="1"/>
  <c r="I251" i="1" a="1"/>
  <c r="I251" i="1" s="1"/>
  <c r="J251" i="1" s="1" a="1"/>
  <c r="J251" i="1" s="1"/>
  <c r="K251" i="1" s="1"/>
  <c r="I264" i="1" a="1"/>
  <c r="I264" i="1" s="1"/>
  <c r="J264" i="1" s="1" a="1"/>
  <c r="J264" i="1" s="1"/>
  <c r="K264" i="1" s="1"/>
  <c r="I286" i="1" a="1"/>
  <c r="I286" i="1" s="1"/>
  <c r="J286" i="1" s="1" a="1"/>
  <c r="J286" i="1" s="1"/>
  <c r="K286" i="1" s="1"/>
  <c r="I298" i="1" a="1"/>
  <c r="I298" i="1" s="1"/>
  <c r="J298" i="1" s="1" a="1"/>
  <c r="J298" i="1" s="1"/>
  <c r="K298" i="1" s="1"/>
  <c r="I310" i="1" a="1"/>
  <c r="I310" i="1" s="1"/>
  <c r="J310" i="1" s="1" a="1"/>
  <c r="J310" i="1" s="1"/>
  <c r="K310" i="1" s="1"/>
  <c r="I322" i="1" a="1"/>
  <c r="I322" i="1" s="1"/>
  <c r="J322" i="1" s="1" a="1"/>
  <c r="J322" i="1" s="1"/>
  <c r="K322" i="1" s="1"/>
  <c r="I332" i="1" a="1"/>
  <c r="I332" i="1" s="1"/>
  <c r="J332" i="1" s="1" a="1"/>
  <c r="J332" i="1" s="1"/>
  <c r="K332" i="1" s="1"/>
  <c r="I357" i="1" a="1"/>
  <c r="I357" i="1" s="1"/>
  <c r="J357" i="1" s="1" a="1"/>
  <c r="J357" i="1" s="1"/>
  <c r="K357" i="1" s="1"/>
  <c r="I372" i="1" a="1"/>
  <c r="I372" i="1" s="1"/>
  <c r="J372" i="1" s="1" a="1"/>
  <c r="J372" i="1" s="1"/>
  <c r="K372" i="1" s="1"/>
  <c r="I385" i="1" a="1"/>
  <c r="I385" i="1" s="1"/>
  <c r="J385" i="1" s="1" a="1"/>
  <c r="J385" i="1" s="1"/>
  <c r="K385" i="1" s="1"/>
  <c r="I400" i="1" a="1"/>
  <c r="I400" i="1" s="1"/>
  <c r="J400" i="1" s="1" a="1"/>
  <c r="J400" i="1" s="1"/>
  <c r="K400" i="1" s="1"/>
  <c r="I414" i="1" a="1"/>
  <c r="I414" i="1" s="1"/>
  <c r="J414" i="1" s="1" a="1"/>
  <c r="J414" i="1" s="1"/>
  <c r="K414" i="1" s="1"/>
  <c r="I427" i="1" a="1"/>
  <c r="I427" i="1" s="1"/>
  <c r="J427" i="1" s="1" a="1"/>
  <c r="J427" i="1" s="1"/>
  <c r="K427" i="1" s="1"/>
  <c r="I442" i="1" a="1"/>
  <c r="I442" i="1" s="1"/>
  <c r="J442" i="1" s="1" a="1"/>
  <c r="J442" i="1" s="1"/>
  <c r="K442" i="1" s="1"/>
  <c r="I456" i="1" a="1"/>
  <c r="I456" i="1" s="1"/>
  <c r="J456" i="1" s="1" a="1"/>
  <c r="J456" i="1" s="1"/>
  <c r="K456" i="1" s="1"/>
  <c r="I469" i="1" a="1"/>
  <c r="I469" i="1" s="1"/>
  <c r="J469" i="1" s="1" a="1"/>
  <c r="J469" i="1" s="1"/>
  <c r="K469" i="1" s="1"/>
  <c r="I484" i="1" a="1"/>
  <c r="I484" i="1" s="1"/>
  <c r="J484" i="1" s="1" a="1"/>
  <c r="J484" i="1" s="1"/>
  <c r="K484" i="1" s="1"/>
  <c r="I498" i="1" a="1"/>
  <c r="I498" i="1" s="1"/>
  <c r="J498" i="1" s="1" a="1"/>
  <c r="J498" i="1" s="1"/>
  <c r="K498" i="1" s="1"/>
  <c r="I512" i="1" a="1"/>
  <c r="I512" i="1" s="1"/>
  <c r="J512" i="1" s="1" a="1"/>
  <c r="J512" i="1" s="1"/>
  <c r="K512" i="1" s="1"/>
  <c r="I526" i="1" a="1"/>
  <c r="I526" i="1" s="1"/>
  <c r="J526" i="1" s="1" a="1"/>
  <c r="J526" i="1" s="1"/>
  <c r="K526" i="1" s="1"/>
  <c r="I540" i="1" a="1"/>
  <c r="I540" i="1" s="1"/>
  <c r="J540" i="1" s="1" a="1"/>
  <c r="J540" i="1" s="1"/>
  <c r="K540" i="1" s="1"/>
  <c r="I553" i="1" a="1"/>
  <c r="I553" i="1" s="1"/>
  <c r="J553" i="1" s="1" a="1"/>
  <c r="J553" i="1" s="1"/>
  <c r="K553" i="1" s="1"/>
  <c r="I568" i="1" a="1"/>
  <c r="I568" i="1" s="1"/>
  <c r="J568" i="1" s="1" a="1"/>
  <c r="J568" i="1" s="1"/>
  <c r="K568" i="1" s="1"/>
  <c r="I604" i="1" a="1"/>
  <c r="I604" i="1" s="1"/>
  <c r="J604" i="1" s="1" a="1"/>
  <c r="J604" i="1" s="1"/>
  <c r="K604" i="1" s="1"/>
  <c r="I618" i="1" a="1"/>
  <c r="I618" i="1" s="1"/>
  <c r="J618" i="1" s="1" a="1"/>
  <c r="J618" i="1" s="1"/>
  <c r="K618" i="1" s="1"/>
  <c r="I632" i="1" a="1"/>
  <c r="I632" i="1" s="1"/>
  <c r="J632" i="1" s="1" a="1"/>
  <c r="J632" i="1" s="1"/>
  <c r="K632" i="1" s="1"/>
  <c r="I646" i="1" a="1"/>
  <c r="I646" i="1" s="1"/>
  <c r="J646" i="1" s="1" a="1"/>
  <c r="J646" i="1" s="1"/>
  <c r="K646" i="1" s="1"/>
  <c r="I660" i="1" a="1"/>
  <c r="I660" i="1" s="1"/>
  <c r="J660" i="1" s="1" a="1"/>
  <c r="J660" i="1" s="1"/>
  <c r="K660" i="1" s="1"/>
  <c r="I689" i="1" a="1"/>
  <c r="I689" i="1" s="1"/>
  <c r="J689" i="1" s="1" a="1"/>
  <c r="J689" i="1" s="1"/>
  <c r="K689" i="1" s="1"/>
  <c r="I703" i="1" a="1"/>
  <c r="I703" i="1" s="1"/>
  <c r="J703" i="1" s="1" a="1"/>
  <c r="J703" i="1" s="1"/>
  <c r="K703" i="1" s="1"/>
  <c r="I718" i="1" a="1"/>
  <c r="I718" i="1" s="1"/>
  <c r="J718" i="1" s="1" a="1"/>
  <c r="J718" i="1" s="1"/>
  <c r="K718" i="1" s="1"/>
  <c r="I733" i="1" a="1"/>
  <c r="I733" i="1" s="1"/>
  <c r="J733" i="1" s="1" a="1"/>
  <c r="J733" i="1" s="1"/>
  <c r="K733" i="1" s="1"/>
  <c r="I748" i="1" a="1"/>
  <c r="I748" i="1" s="1"/>
  <c r="J748" i="1" s="1" a="1"/>
  <c r="J748" i="1" s="1"/>
  <c r="K748" i="1" s="1"/>
  <c r="I763" i="1" a="1"/>
  <c r="I763" i="1" s="1"/>
  <c r="J763" i="1" s="1" a="1"/>
  <c r="J763" i="1" s="1"/>
  <c r="K763" i="1" s="1"/>
  <c r="I777" i="1" a="1"/>
  <c r="I777" i="1" s="1"/>
  <c r="J777" i="1" s="1" a="1"/>
  <c r="J777" i="1" s="1"/>
  <c r="K777" i="1" s="1"/>
  <c r="I792" i="1" a="1"/>
  <c r="I792" i="1" s="1"/>
  <c r="J792" i="1" s="1" a="1"/>
  <c r="J792" i="1" s="1"/>
  <c r="K792" i="1" s="1"/>
  <c r="I805" i="1" a="1"/>
  <c r="I805" i="1" s="1"/>
  <c r="J805" i="1" s="1" a="1"/>
  <c r="J805" i="1" s="1"/>
  <c r="K805" i="1" s="1"/>
  <c r="I817" i="1" a="1"/>
  <c r="I817" i="1" s="1"/>
  <c r="J817" i="1" s="1" a="1"/>
  <c r="J817" i="1" s="1"/>
  <c r="K817" i="1" s="1"/>
  <c r="I826" i="1" a="1"/>
  <c r="I826" i="1" s="1"/>
  <c r="J826" i="1" s="1" a="1"/>
  <c r="J826" i="1" s="1"/>
  <c r="K826" i="1" s="1"/>
  <c r="I839" i="1" a="1"/>
  <c r="I839" i="1" s="1"/>
  <c r="J839" i="1" s="1" a="1"/>
  <c r="J839" i="1" s="1"/>
  <c r="K839" i="1" s="1"/>
  <c r="I849" i="1" a="1"/>
  <c r="I849" i="1" s="1"/>
  <c r="J849" i="1" s="1" a="1"/>
  <c r="J849" i="1" s="1"/>
  <c r="K849" i="1" s="1"/>
  <c r="I862" i="1" a="1"/>
  <c r="I862" i="1" s="1"/>
  <c r="J862" i="1" s="1" a="1"/>
  <c r="J862" i="1" s="1"/>
  <c r="K862" i="1" s="1"/>
  <c r="I875" i="1" a="1"/>
  <c r="I875" i="1" s="1"/>
  <c r="J875" i="1" s="1" a="1"/>
  <c r="J875" i="1" s="1"/>
  <c r="K875" i="1" s="1"/>
  <c r="I884" i="1" a="1"/>
  <c r="I884" i="1" s="1"/>
  <c r="J884" i="1" s="1" a="1"/>
  <c r="J884" i="1" s="1"/>
  <c r="K884" i="1" s="1"/>
  <c r="I898" i="1" a="1"/>
  <c r="I898" i="1" s="1"/>
  <c r="J898" i="1" s="1" a="1"/>
  <c r="J898" i="1" s="1"/>
  <c r="K898" i="1" s="1"/>
  <c r="I908" i="1" a="1"/>
  <c r="I908" i="1" s="1"/>
  <c r="J908" i="1" s="1" a="1"/>
  <c r="J908" i="1" s="1"/>
  <c r="K908" i="1" s="1"/>
  <c r="I920" i="1" a="1"/>
  <c r="I920" i="1" s="1"/>
  <c r="J920" i="1" s="1" a="1"/>
  <c r="J920" i="1" s="1"/>
  <c r="K920" i="1" s="1"/>
  <c r="I934" i="1" a="1"/>
  <c r="I934" i="1" s="1"/>
  <c r="J934" i="1" s="1" a="1"/>
  <c r="J934" i="1" s="1"/>
  <c r="K934" i="1" s="1"/>
  <c r="I943" i="1" a="1"/>
  <c r="I943" i="1" s="1"/>
  <c r="J943" i="1" s="1" a="1"/>
  <c r="J943" i="1" s="1"/>
  <c r="K943" i="1" s="1"/>
  <c r="I956" i="1" a="1"/>
  <c r="I956" i="1" s="1"/>
  <c r="J956" i="1" s="1" a="1"/>
  <c r="J956" i="1" s="1"/>
  <c r="K956" i="1" s="1"/>
  <c r="I974" i="1" a="1"/>
  <c r="I974" i="1" s="1"/>
  <c r="J974" i="1" s="1" a="1"/>
  <c r="J974" i="1" s="1"/>
  <c r="K974" i="1" s="1"/>
  <c r="I983" i="1" a="1"/>
  <c r="I983" i="1" s="1"/>
  <c r="J983" i="1" s="1" a="1"/>
  <c r="J983" i="1" s="1"/>
  <c r="K983" i="1" s="1"/>
  <c r="I992" i="1" a="1"/>
  <c r="I992" i="1" s="1"/>
  <c r="J992" i="1" s="1" a="1"/>
  <c r="J992" i="1" s="1"/>
  <c r="K992" i="1" s="1"/>
  <c r="I1000" i="1" a="1"/>
  <c r="I1000" i="1" s="1"/>
  <c r="J1000" i="1" s="1" a="1"/>
  <c r="J1000" i="1" s="1"/>
  <c r="K1000" i="1" s="1"/>
  <c r="I1008" i="1" a="1"/>
  <c r="I1008" i="1" s="1"/>
  <c r="J1008" i="1" s="1" a="1"/>
  <c r="J1008" i="1" s="1"/>
  <c r="K1008" i="1" s="1"/>
  <c r="I1016" i="1" a="1"/>
  <c r="I1016" i="1" s="1"/>
  <c r="J1016" i="1" s="1" a="1"/>
  <c r="J1016" i="1" s="1"/>
  <c r="K1016" i="1" s="1"/>
  <c r="I1025" i="1" a="1"/>
  <c r="I1025" i="1" s="1"/>
  <c r="J1025" i="1" s="1" a="1"/>
  <c r="J1025" i="1" s="1"/>
  <c r="K1025" i="1" s="1"/>
  <c r="I1033" i="1" a="1"/>
  <c r="I1033" i="1" s="1"/>
  <c r="J1033" i="1" s="1" a="1"/>
  <c r="J1033" i="1" s="1"/>
  <c r="K1033" i="1" s="1"/>
  <c r="I1050" i="1" a="1"/>
  <c r="I1050" i="1" s="1"/>
  <c r="J1050" i="1" s="1" a="1"/>
  <c r="J1050" i="1" s="1"/>
  <c r="K1050" i="1" s="1"/>
  <c r="I1059" i="1" a="1"/>
  <c r="I1059" i="1" s="1"/>
  <c r="J1059" i="1" s="1" a="1"/>
  <c r="J1059" i="1" s="1"/>
  <c r="K1059" i="1" s="1"/>
  <c r="I1067" i="1" a="1"/>
  <c r="I1067" i="1" s="1"/>
  <c r="J1067" i="1" s="1" a="1"/>
  <c r="J1067" i="1" s="1"/>
  <c r="K1067" i="1" s="1"/>
  <c r="I1074" i="1" a="1"/>
  <c r="I1074" i="1" s="1"/>
  <c r="J1074" i="1" s="1" a="1"/>
  <c r="J1074" i="1" s="1"/>
  <c r="K1074" i="1" s="1"/>
  <c r="I1083" i="1" a="1"/>
  <c r="I1083" i="1" s="1"/>
  <c r="J1083" i="1" s="1" a="1"/>
  <c r="J1083" i="1" s="1"/>
  <c r="K1083" i="1" s="1"/>
  <c r="I20" i="1" a="1"/>
  <c r="I20" i="1" s="1"/>
  <c r="J20" i="1" s="1" a="1"/>
  <c r="J20" i="1" s="1"/>
  <c r="K20" i="1" s="1"/>
  <c r="I32" i="1" a="1"/>
  <c r="I32" i="1" s="1"/>
  <c r="J32" i="1" s="1" a="1"/>
  <c r="J32" i="1" s="1"/>
  <c r="K32" i="1" s="1"/>
  <c r="I43" i="1" a="1"/>
  <c r="I43" i="1" s="1"/>
  <c r="J43" i="1" s="1" a="1"/>
  <c r="J43" i="1" s="1"/>
  <c r="K43" i="1" s="1"/>
  <c r="I56" i="1" a="1"/>
  <c r="I56" i="1" s="1"/>
  <c r="J56" i="1" s="1" a="1"/>
  <c r="J56" i="1" s="1"/>
  <c r="K56" i="1" s="1"/>
  <c r="I67" i="1" a="1"/>
  <c r="I67" i="1" s="1"/>
  <c r="J67" i="1" s="1" a="1"/>
  <c r="J67" i="1" s="1"/>
  <c r="K67" i="1" s="1"/>
  <c r="I78" i="1" a="1"/>
  <c r="I78" i="1" s="1"/>
  <c r="J78" i="1" s="1" a="1"/>
  <c r="J78" i="1" s="1"/>
  <c r="K78" i="1" s="1"/>
  <c r="I124" i="1" a="1"/>
  <c r="I124" i="1" s="1"/>
  <c r="J124" i="1" s="1" a="1"/>
  <c r="J124" i="1" s="1"/>
  <c r="K124" i="1" s="1"/>
  <c r="I137" i="1" a="1"/>
  <c r="I137" i="1" s="1"/>
  <c r="J137" i="1" s="1" a="1"/>
  <c r="J137" i="1" s="1"/>
  <c r="K137" i="1" s="1"/>
  <c r="I149" i="1" a="1"/>
  <c r="I149" i="1" s="1"/>
  <c r="J149" i="1" s="1" a="1"/>
  <c r="J149" i="1" s="1"/>
  <c r="K149" i="1" s="1"/>
  <c r="I161" i="1" a="1"/>
  <c r="I161" i="1" s="1"/>
  <c r="J161" i="1" s="1" a="1"/>
  <c r="J161" i="1" s="1"/>
  <c r="K161" i="1" s="1"/>
  <c r="I172" i="1" a="1"/>
  <c r="I172" i="1" s="1"/>
  <c r="J172" i="1" s="1" a="1"/>
  <c r="J172" i="1" s="1"/>
  <c r="K172" i="1" s="1"/>
  <c r="I185" i="1" a="1"/>
  <c r="I185" i="1" s="1"/>
  <c r="J185" i="1" s="1" a="1"/>
  <c r="J185" i="1" s="1"/>
  <c r="K185" i="1" s="1"/>
  <c r="I196" i="1" a="1"/>
  <c r="I196" i="1" s="1"/>
  <c r="J196" i="1" s="1" a="1"/>
  <c r="J196" i="1" s="1"/>
  <c r="K196" i="1" s="1"/>
  <c r="I207" i="1" a="1"/>
  <c r="I207" i="1" s="1"/>
  <c r="J207" i="1" s="1" a="1"/>
  <c r="J207" i="1" s="1"/>
  <c r="K207" i="1" s="1"/>
  <c r="I231" i="1" a="1"/>
  <c r="I231" i="1" s="1"/>
  <c r="J231" i="1" s="1" a="1"/>
  <c r="J231" i="1" s="1"/>
  <c r="K231" i="1" s="1"/>
  <c r="I254" i="1" a="1"/>
  <c r="I254" i="1" s="1"/>
  <c r="J254" i="1" s="1" a="1"/>
  <c r="J254" i="1" s="1"/>
  <c r="K254" i="1" s="1"/>
  <c r="I277" i="1" a="1"/>
  <c r="I277" i="1" s="1"/>
  <c r="J277" i="1" s="1" a="1"/>
  <c r="J277" i="1" s="1"/>
  <c r="K277" i="1" s="1"/>
  <c r="I290" i="1" a="1"/>
  <c r="I290" i="1" s="1"/>
  <c r="J290" i="1" s="1" a="1"/>
  <c r="J290" i="1" s="1"/>
  <c r="K290" i="1" s="1"/>
  <c r="I300" i="1" a="1"/>
  <c r="I300" i="1" s="1"/>
  <c r="J300" i="1" s="1" a="1"/>
  <c r="J300" i="1" s="1"/>
  <c r="K300" i="1" s="1"/>
  <c r="I324" i="1" a="1"/>
  <c r="I324" i="1" s="1"/>
  <c r="J324" i="1" s="1" a="1"/>
  <c r="J324" i="1" s="1"/>
  <c r="K324" i="1" s="1"/>
  <c r="I336" i="1" a="1"/>
  <c r="I336" i="1" s="1"/>
  <c r="J336" i="1" s="1" a="1"/>
  <c r="J336" i="1" s="1"/>
  <c r="K336" i="1" s="1"/>
  <c r="I375" i="1" a="1"/>
  <c r="I375" i="1" s="1"/>
  <c r="J375" i="1" s="1" a="1"/>
  <c r="J375" i="1" s="1"/>
  <c r="K375" i="1" s="1"/>
  <c r="I389" i="1" a="1"/>
  <c r="I389" i="1" s="1"/>
  <c r="J389" i="1" s="1" a="1"/>
  <c r="J389" i="1" s="1"/>
  <c r="I403" i="1" a="1"/>
  <c r="I403" i="1" s="1"/>
  <c r="J403" i="1" s="1" a="1"/>
  <c r="J403" i="1" s="1"/>
  <c r="K403" i="1" s="1"/>
  <c r="I417" i="1" a="1"/>
  <c r="I417" i="1" s="1"/>
  <c r="J417" i="1" s="1" a="1"/>
  <c r="J417" i="1" s="1"/>
  <c r="K417" i="1" s="1"/>
  <c r="I431" i="1" a="1"/>
  <c r="I431" i="1" s="1"/>
  <c r="J431" i="1" s="1" a="1"/>
  <c r="J431" i="1" s="1"/>
  <c r="K431" i="1" s="1"/>
  <c r="I445" i="1" a="1"/>
  <c r="I445" i="1" s="1"/>
  <c r="J445" i="1" s="1" a="1"/>
  <c r="J445" i="1" s="1"/>
  <c r="K445" i="1" s="1"/>
  <c r="I459" i="1" a="1"/>
  <c r="I459" i="1" s="1"/>
  <c r="J459" i="1" s="1" a="1"/>
  <c r="J459" i="1" s="1"/>
  <c r="K459" i="1" s="1"/>
  <c r="I473" i="1" a="1"/>
  <c r="I473" i="1" s="1"/>
  <c r="J473" i="1" s="1" a="1"/>
  <c r="J473" i="1" s="1"/>
  <c r="K473" i="1" s="1"/>
  <c r="I487" i="1" a="1"/>
  <c r="I487" i="1" s="1"/>
  <c r="J487" i="1" s="1" a="1"/>
  <c r="J487" i="1" s="1"/>
  <c r="K487" i="1" s="1"/>
  <c r="I501" i="1" a="1"/>
  <c r="I501" i="1" s="1"/>
  <c r="J501" i="1" s="1" a="1"/>
  <c r="J501" i="1" s="1"/>
  <c r="K501" i="1" s="1"/>
  <c r="I515" i="1" a="1"/>
  <c r="I515" i="1" s="1"/>
  <c r="J515" i="1" s="1" a="1"/>
  <c r="J515" i="1" s="1"/>
  <c r="K515" i="1" s="1"/>
  <c r="I529" i="1" a="1"/>
  <c r="I529" i="1" s="1"/>
  <c r="J529" i="1" s="1" a="1"/>
  <c r="J529" i="1" s="1"/>
  <c r="K529" i="1" s="1"/>
  <c r="I544" i="1" a="1"/>
  <c r="I544" i="1" s="1"/>
  <c r="J544" i="1" s="1" a="1"/>
  <c r="J544" i="1" s="1"/>
  <c r="K544" i="1" s="1"/>
  <c r="I557" i="1" a="1"/>
  <c r="I557" i="1" s="1"/>
  <c r="J557" i="1" s="1" a="1"/>
  <c r="J557" i="1" s="1"/>
  <c r="K557" i="1" s="1"/>
  <c r="I570" i="1" a="1"/>
  <c r="I570" i="1" s="1"/>
  <c r="J570" i="1" s="1" a="1"/>
  <c r="J570" i="1" s="1"/>
  <c r="K570" i="1" s="1"/>
  <c r="I593" i="1" a="1"/>
  <c r="I593" i="1" s="1"/>
  <c r="J593" i="1" s="1" a="1"/>
  <c r="J593" i="1" s="1"/>
  <c r="K593" i="1" s="1"/>
  <c r="I607" i="1" a="1"/>
  <c r="I607" i="1" s="1"/>
  <c r="J607" i="1" s="1" a="1"/>
  <c r="J607" i="1" s="1"/>
  <c r="K607" i="1" s="1"/>
  <c r="I636" i="1" a="1"/>
  <c r="I636" i="1" s="1"/>
  <c r="J636" i="1" s="1" a="1"/>
  <c r="J636" i="1" s="1"/>
  <c r="K636" i="1" s="1"/>
  <c r="I650" i="1" a="1"/>
  <c r="I650" i="1" s="1"/>
  <c r="J650" i="1" s="1" a="1"/>
  <c r="J650" i="1" s="1"/>
  <c r="K650" i="1" s="1"/>
  <c r="I664" i="1" a="1"/>
  <c r="I664" i="1" s="1"/>
  <c r="J664" i="1" s="1" a="1"/>
  <c r="J664" i="1" s="1"/>
  <c r="K664" i="1" s="1"/>
  <c r="I678" i="1" a="1"/>
  <c r="I678" i="1" s="1"/>
  <c r="J678" i="1" s="1" a="1"/>
  <c r="J678" i="1" s="1"/>
  <c r="K678" i="1" s="1"/>
  <c r="I692" i="1" a="1"/>
  <c r="I692" i="1" s="1"/>
  <c r="J692" i="1" s="1" a="1"/>
  <c r="J692" i="1" s="1"/>
  <c r="K692" i="1" s="1"/>
  <c r="I722" i="1" a="1"/>
  <c r="I722" i="1" s="1"/>
  <c r="J722" i="1" s="1" a="1"/>
  <c r="J722" i="1" s="1"/>
  <c r="K722" i="1" s="1"/>
  <c r="I736" i="1" a="1"/>
  <c r="I736" i="1" s="1"/>
  <c r="J736" i="1" s="1" a="1"/>
  <c r="J736" i="1" s="1"/>
  <c r="K736" i="1" s="1"/>
  <c r="I751" i="1" a="1"/>
  <c r="I751" i="1" s="1"/>
  <c r="J751" i="1" s="1" a="1"/>
  <c r="J751" i="1" s="1"/>
  <c r="K751" i="1" s="1"/>
  <c r="I766" i="1" a="1"/>
  <c r="I766" i="1" s="1"/>
  <c r="J766" i="1" s="1" a="1"/>
  <c r="J766" i="1" s="1"/>
  <c r="K766" i="1" s="1"/>
  <c r="I781" i="1" a="1"/>
  <c r="I781" i="1" s="1"/>
  <c r="J781" i="1" s="1" a="1"/>
  <c r="J781" i="1" s="1"/>
  <c r="K781" i="1" s="1"/>
  <c r="I796" i="1" a="1"/>
  <c r="I796" i="1" s="1"/>
  <c r="J796" i="1" s="1" a="1"/>
  <c r="J796" i="1" s="1"/>
  <c r="K796" i="1" s="1"/>
  <c r="I806" i="1" a="1"/>
  <c r="I806" i="1" s="1"/>
  <c r="J806" i="1" s="1" a="1"/>
  <c r="J806" i="1" s="1"/>
  <c r="K806" i="1" s="1"/>
  <c r="I827" i="1" a="1"/>
  <c r="I827" i="1" s="1"/>
  <c r="J827" i="1" s="1" a="1"/>
  <c r="J827" i="1" s="1"/>
  <c r="K827" i="1" s="1"/>
  <c r="I840" i="1" a="1"/>
  <c r="I840" i="1" s="1"/>
  <c r="J840" i="1" s="1" a="1"/>
  <c r="J840" i="1" s="1"/>
  <c r="K840" i="1" s="1"/>
  <c r="I852" i="1" a="1"/>
  <c r="I852" i="1" s="1"/>
  <c r="J852" i="1" s="1" a="1"/>
  <c r="J852" i="1" s="1"/>
  <c r="K852" i="1" s="1"/>
  <c r="I863" i="1" a="1"/>
  <c r="I863" i="1" s="1"/>
  <c r="J863" i="1" s="1" a="1"/>
  <c r="J863" i="1" s="1"/>
  <c r="K863" i="1" s="1"/>
  <c r="I876" i="1" a="1"/>
  <c r="I876" i="1" s="1"/>
  <c r="J876" i="1" s="1" a="1"/>
  <c r="J876" i="1" s="1"/>
  <c r="K876" i="1" s="1"/>
  <c r="I885" i="1" a="1"/>
  <c r="I885" i="1" s="1"/>
  <c r="J885" i="1" s="1" a="1"/>
  <c r="J885" i="1" s="1"/>
  <c r="K885" i="1" s="1"/>
  <c r="I899" i="1" a="1"/>
  <c r="I899" i="1" s="1"/>
  <c r="J899" i="1" s="1" a="1"/>
  <c r="J899" i="1" s="1"/>
  <c r="K899" i="1" s="1"/>
  <c r="I911" i="1" a="1"/>
  <c r="I911" i="1" s="1"/>
  <c r="J911" i="1" s="1" a="1"/>
  <c r="J911" i="1" s="1"/>
  <c r="K911" i="1" s="1"/>
  <c r="I921" i="1" a="1"/>
  <c r="I921" i="1" s="1"/>
  <c r="J921" i="1" s="1" a="1"/>
  <c r="J921" i="1" s="1"/>
  <c r="K921" i="1" s="1"/>
  <c r="I944" i="1" a="1"/>
  <c r="I944" i="1" s="1"/>
  <c r="J944" i="1" s="1" a="1"/>
  <c r="J944" i="1" s="1"/>
  <c r="K944" i="1" s="1"/>
  <c r="I957" i="1" a="1"/>
  <c r="I957" i="1" s="1"/>
  <c r="J957" i="1" s="1" a="1"/>
  <c r="J957" i="1" s="1"/>
  <c r="K957" i="1" s="1"/>
  <c r="I967" i="1" a="1"/>
  <c r="I967" i="1" s="1"/>
  <c r="J967" i="1" s="1" a="1"/>
  <c r="J967" i="1" s="1"/>
  <c r="K967" i="1" s="1"/>
  <c r="I976" i="1" a="1"/>
  <c r="I976" i="1" s="1"/>
  <c r="J976" i="1" s="1" a="1"/>
  <c r="J976" i="1" s="1"/>
  <c r="K976" i="1" s="1"/>
  <c r="I984" i="1" a="1"/>
  <c r="I984" i="1" s="1"/>
  <c r="J984" i="1" s="1" a="1"/>
  <c r="J984" i="1" s="1"/>
  <c r="K984" i="1" s="1"/>
  <c r="I993" i="1" a="1"/>
  <c r="I993" i="1" s="1"/>
  <c r="J993" i="1" s="1" a="1"/>
  <c r="J993" i="1" s="1"/>
  <c r="K993" i="1" s="1"/>
  <c r="I1001" i="1" a="1"/>
  <c r="I1001" i="1" s="1"/>
  <c r="J1001" i="1" s="1" a="1"/>
  <c r="J1001" i="1" s="1"/>
  <c r="K1001" i="1" s="1"/>
  <c r="I22" i="1" a="1"/>
  <c r="I22" i="1" s="1"/>
  <c r="J22" i="1" s="1" a="1"/>
  <c r="J22" i="1" s="1"/>
  <c r="K22" i="1" s="1"/>
  <c r="I34" i="1" a="1"/>
  <c r="I34" i="1" s="1"/>
  <c r="J34" i="1" s="1" a="1"/>
  <c r="J34" i="1" s="1"/>
  <c r="K34" i="1" s="1"/>
  <c r="I44" i="1" a="1"/>
  <c r="I44" i="1" s="1"/>
  <c r="J44" i="1" s="1" a="1"/>
  <c r="J44" i="1" s="1"/>
  <c r="K44" i="1" s="1"/>
  <c r="I68" i="1" a="1"/>
  <c r="I68" i="1" s="1"/>
  <c r="J68" i="1" s="1" a="1"/>
  <c r="J68" i="1" s="1"/>
  <c r="K68" i="1" s="1"/>
  <c r="I80" i="1" a="1"/>
  <c r="I80" i="1" s="1"/>
  <c r="J80" i="1" s="1" a="1"/>
  <c r="J80" i="1" s="1"/>
  <c r="K80" i="1" s="1"/>
  <c r="I103" i="1" a="1"/>
  <c r="I103" i="1" s="1"/>
  <c r="J103" i="1" s="1" a="1"/>
  <c r="J103" i="1" s="1"/>
  <c r="K103" i="1" s="1"/>
  <c r="I126" i="1" a="1"/>
  <c r="I126" i="1" s="1"/>
  <c r="J126" i="1" s="1" a="1"/>
  <c r="J126" i="1" s="1"/>
  <c r="K126" i="1" s="1"/>
  <c r="I138" i="1" a="1"/>
  <c r="I138" i="1" s="1"/>
  <c r="J138" i="1" s="1" a="1"/>
  <c r="J138" i="1" s="1"/>
  <c r="K138" i="1" s="1"/>
  <c r="I151" i="1" a="1"/>
  <c r="I151" i="1" s="1"/>
  <c r="J151" i="1" s="1" a="1"/>
  <c r="J151" i="1" s="1"/>
  <c r="K151" i="1" s="1"/>
  <c r="I174" i="1" a="1"/>
  <c r="I174" i="1" s="1"/>
  <c r="J174" i="1" s="1" a="1"/>
  <c r="J174" i="1" s="1"/>
  <c r="K174" i="1" s="1"/>
  <c r="I186" i="1" a="1"/>
  <c r="I186" i="1" s="1"/>
  <c r="J186" i="1" s="1" a="1"/>
  <c r="J186" i="1" s="1"/>
  <c r="K186" i="1" s="1"/>
  <c r="I209" i="1" a="1"/>
  <c r="I209" i="1" s="1"/>
  <c r="J209" i="1" s="1" a="1"/>
  <c r="J209" i="1" s="1"/>
  <c r="K209" i="1" s="1"/>
  <c r="I233" i="1" a="1"/>
  <c r="I233" i="1" s="1"/>
  <c r="J233" i="1" s="1" a="1"/>
  <c r="J233" i="1" s="1"/>
  <c r="K233" i="1" s="1"/>
  <c r="I256" i="1" a="1"/>
  <c r="I256" i="1" s="1"/>
  <c r="J256" i="1" s="1" a="1"/>
  <c r="J256" i="1" s="1"/>
  <c r="K256" i="1" s="1"/>
  <c r="I279" i="1" a="1"/>
  <c r="I279" i="1" s="1"/>
  <c r="J279" i="1" s="1" a="1"/>
  <c r="J279" i="1" s="1"/>
  <c r="K279" i="1" s="1"/>
  <c r="I291" i="1" a="1"/>
  <c r="I291" i="1" s="1"/>
  <c r="J291" i="1" s="1" a="1"/>
  <c r="J291" i="1" s="1"/>
  <c r="K291" i="1" s="1"/>
  <c r="I302" i="1" a="1"/>
  <c r="I302" i="1" s="1"/>
  <c r="J302" i="1" s="1" a="1"/>
  <c r="J302" i="1" s="1"/>
  <c r="K302" i="1" s="1"/>
  <c r="I349" i="1" a="1"/>
  <c r="I349" i="1" s="1"/>
  <c r="J349" i="1" s="1" a="1"/>
  <c r="J349" i="1" s="1"/>
  <c r="K349" i="1" s="1"/>
  <c r="I362" i="1" a="1"/>
  <c r="I362" i="1" s="1"/>
  <c r="J362" i="1" s="1" a="1"/>
  <c r="J362" i="1" s="1"/>
  <c r="K362" i="1" s="1"/>
  <c r="I377" i="1" a="1"/>
  <c r="I377" i="1" s="1"/>
  <c r="J377" i="1" s="1" a="1"/>
  <c r="J377" i="1" s="1"/>
  <c r="K377" i="1" s="1"/>
  <c r="I391" i="1" a="1"/>
  <c r="I391" i="1" s="1"/>
  <c r="J391" i="1" s="1" a="1"/>
  <c r="J391" i="1" s="1"/>
  <c r="I419" i="1" a="1"/>
  <c r="I419" i="1" s="1"/>
  <c r="J419" i="1" s="1" a="1"/>
  <c r="J419" i="1" s="1"/>
  <c r="K419" i="1" s="1"/>
  <c r="I433" i="1" a="1"/>
  <c r="I433" i="1" s="1"/>
  <c r="J433" i="1" s="1" a="1"/>
  <c r="J433" i="1" s="1"/>
  <c r="K433" i="1" s="1"/>
  <c r="I447" i="1" a="1"/>
  <c r="I447" i="1" s="1"/>
  <c r="J447" i="1" s="1" a="1"/>
  <c r="J447" i="1" s="1"/>
  <c r="K447" i="1" s="1"/>
  <c r="I461" i="1" a="1"/>
  <c r="I461" i="1" s="1"/>
  <c r="J461" i="1" s="1" a="1"/>
  <c r="J461" i="1" s="1"/>
  <c r="K461" i="1" s="1"/>
  <c r="I475" i="1" a="1"/>
  <c r="I475" i="1" s="1"/>
  <c r="J475" i="1" s="1" a="1"/>
  <c r="J475" i="1" s="1"/>
  <c r="K475" i="1" s="1"/>
  <c r="I503" i="1" a="1"/>
  <c r="I503" i="1" s="1"/>
  <c r="J503" i="1" s="1" a="1"/>
  <c r="J503" i="1" s="1"/>
  <c r="K503" i="1" s="1"/>
  <c r="I517" i="1" a="1"/>
  <c r="I517" i="1" s="1"/>
  <c r="J517" i="1" s="1" a="1"/>
  <c r="J517" i="1" s="1"/>
  <c r="K517" i="1" s="1"/>
  <c r="I531" i="1" a="1"/>
  <c r="I531" i="1" s="1"/>
  <c r="J531" i="1" s="1" a="1"/>
  <c r="J531" i="1" s="1"/>
  <c r="K531" i="1" s="1"/>
  <c r="I545" i="1" a="1"/>
  <c r="I545" i="1" s="1"/>
  <c r="J545" i="1" s="1" a="1"/>
  <c r="J545" i="1" s="1"/>
  <c r="K545" i="1" s="1"/>
  <c r="I559" i="1" a="1"/>
  <c r="I559" i="1" s="1"/>
  <c r="J559" i="1" s="1" a="1"/>
  <c r="J559" i="1" s="1"/>
  <c r="K559" i="1" s="1"/>
  <c r="I572" i="1" a="1"/>
  <c r="I572" i="1" s="1"/>
  <c r="J572" i="1" s="1" a="1"/>
  <c r="J572" i="1" s="1"/>
  <c r="K572" i="1" s="1"/>
  <c r="I609" i="1" a="1"/>
  <c r="I609" i="1" s="1"/>
  <c r="J609" i="1" s="1" a="1"/>
  <c r="J609" i="1" s="1"/>
  <c r="K609" i="1" s="1"/>
  <c r="I623" i="1" a="1"/>
  <c r="I623" i="1" s="1"/>
  <c r="J623" i="1" s="1" a="1"/>
  <c r="J623" i="1" s="1"/>
  <c r="K623" i="1" s="1"/>
  <c r="I652" i="1" a="1"/>
  <c r="I652" i="1" s="1"/>
  <c r="J652" i="1" s="1" a="1"/>
  <c r="J652" i="1" s="1"/>
  <c r="K652" i="1" s="1"/>
  <c r="I666" i="1" a="1"/>
  <c r="I666" i="1" s="1"/>
  <c r="J666" i="1" s="1" a="1"/>
  <c r="J666" i="1" s="1"/>
  <c r="K666" i="1" s="1"/>
  <c r="I680" i="1" a="1"/>
  <c r="I680" i="1" s="1"/>
  <c r="J680" i="1" s="1" a="1"/>
  <c r="J680" i="1" s="1"/>
  <c r="K680" i="1" s="1"/>
  <c r="I694" i="1" a="1"/>
  <c r="I694" i="1" s="1"/>
  <c r="J694" i="1" s="1" a="1"/>
  <c r="J694" i="1" s="1"/>
  <c r="K694" i="1" s="1"/>
  <c r="I708" i="1" a="1"/>
  <c r="I708" i="1" s="1"/>
  <c r="J708" i="1" s="1" a="1"/>
  <c r="J708" i="1" s="1"/>
  <c r="K708" i="1" s="1"/>
  <c r="I723" i="1" a="1"/>
  <c r="I723" i="1" s="1"/>
  <c r="J723" i="1" s="1" a="1"/>
  <c r="J723" i="1" s="1"/>
  <c r="K723" i="1" s="1"/>
  <c r="I738" i="1" a="1"/>
  <c r="I738" i="1" s="1"/>
  <c r="J738" i="1" s="1" a="1"/>
  <c r="J738" i="1" s="1"/>
  <c r="K738" i="1" s="1"/>
  <c r="I753" i="1" a="1"/>
  <c r="I753" i="1" s="1"/>
  <c r="J753" i="1" s="1" a="1"/>
  <c r="J753" i="1" s="1"/>
  <c r="K753" i="1" s="1"/>
  <c r="I768" i="1" a="1"/>
  <c r="I768" i="1" s="1"/>
  <c r="J768" i="1" s="1" a="1"/>
  <c r="J768" i="1" s="1"/>
  <c r="K768" i="1" s="1"/>
  <c r="I783" i="1" a="1"/>
  <c r="I783" i="1" s="1"/>
  <c r="J783" i="1" s="1" a="1"/>
  <c r="J783" i="1" s="1"/>
  <c r="K783" i="1" s="1"/>
  <c r="I810" i="1" a="1"/>
  <c r="I810" i="1" s="1"/>
  <c r="J810" i="1" s="1" a="1"/>
  <c r="J810" i="1" s="1"/>
  <c r="K810" i="1" s="1"/>
  <c r="I819" i="1" a="1"/>
  <c r="I819" i="1" s="1"/>
  <c r="J819" i="1" s="1" a="1"/>
  <c r="J819" i="1" s="1"/>
  <c r="K819" i="1" s="1"/>
  <c r="I832" i="1" a="1"/>
  <c r="I832" i="1" s="1"/>
  <c r="J832" i="1" s="1" a="1"/>
  <c r="J832" i="1" s="1"/>
  <c r="K832" i="1" s="1"/>
  <c r="I842" i="1" a="1"/>
  <c r="I842" i="1" s="1"/>
  <c r="J842" i="1" s="1" a="1"/>
  <c r="J842" i="1" s="1"/>
  <c r="K842" i="1" s="1"/>
  <c r="I854" i="1" a="1"/>
  <c r="I854" i="1" s="1"/>
  <c r="J854" i="1" s="1" a="1"/>
  <c r="J854" i="1" s="1"/>
  <c r="K854" i="1" s="1"/>
  <c r="I868" i="1" a="1"/>
  <c r="I868" i="1" s="1"/>
  <c r="J868" i="1" s="1" a="1"/>
  <c r="J868" i="1" s="1"/>
  <c r="K868" i="1" s="1"/>
  <c r="I890" i="1" a="1"/>
  <c r="I890" i="1" s="1"/>
  <c r="J890" i="1" s="1" a="1"/>
  <c r="J890" i="1" s="1"/>
  <c r="K890" i="1" s="1"/>
  <c r="I901" i="1" a="1"/>
  <c r="I901" i="1" s="1"/>
  <c r="J901" i="1" s="1" a="1"/>
  <c r="J901" i="1" s="1"/>
  <c r="K901" i="1" s="1"/>
  <c r="I913" i="1" a="1"/>
  <c r="I913" i="1" s="1"/>
  <c r="J913" i="1" s="1" a="1"/>
  <c r="J913" i="1" s="1"/>
  <c r="K913" i="1" s="1"/>
  <c r="I926" i="1" a="1"/>
  <c r="I926" i="1" s="1"/>
  <c r="J926" i="1" s="1" a="1"/>
  <c r="J926" i="1" s="1"/>
  <c r="K926" i="1" s="1"/>
  <c r="I936" i="1" a="1"/>
  <c r="I936" i="1" s="1"/>
  <c r="J936" i="1" s="1" a="1"/>
  <c r="J936" i="1" s="1"/>
  <c r="K936" i="1" s="1"/>
  <c r="I948" i="1" a="1"/>
  <c r="I948" i="1" s="1"/>
  <c r="J948" i="1" s="1" a="1"/>
  <c r="J948" i="1" s="1"/>
  <c r="K948" i="1" s="1"/>
  <c r="I959" i="1" a="1"/>
  <c r="I959" i="1" s="1"/>
  <c r="J959" i="1" s="1" a="1"/>
  <c r="J959" i="1" s="1"/>
  <c r="K959" i="1" s="1"/>
  <c r="I970" i="1" a="1"/>
  <c r="I970" i="1" s="1"/>
  <c r="J970" i="1" s="1" a="1"/>
  <c r="J970" i="1" s="1"/>
  <c r="K970" i="1" s="1"/>
  <c r="I986" i="1" a="1"/>
  <c r="I986" i="1" s="1"/>
  <c r="J986" i="1" s="1" a="1"/>
  <c r="J986" i="1" s="1"/>
  <c r="K986" i="1" s="1"/>
  <c r="I995" i="1" a="1"/>
  <c r="I995" i="1" s="1"/>
  <c r="J995" i="1" s="1" a="1"/>
  <c r="J995" i="1" s="1"/>
  <c r="K995" i="1" s="1"/>
  <c r="I1003" i="1" a="1"/>
  <c r="I1003" i="1" s="1"/>
  <c r="J1003" i="1" s="1" a="1"/>
  <c r="J1003" i="1" s="1"/>
  <c r="K1003" i="1" s="1"/>
  <c r="I1010" i="1" a="1"/>
  <c r="I1010" i="1" s="1"/>
  <c r="J1010" i="1" s="1" a="1"/>
  <c r="J1010" i="1" s="1"/>
  <c r="K1010" i="1" s="1"/>
  <c r="I1020" i="1" a="1"/>
  <c r="I1020" i="1" s="1"/>
  <c r="J1020" i="1" s="1" a="1"/>
  <c r="J1020" i="1" s="1"/>
  <c r="K1020" i="1" s="1"/>
  <c r="I1029" i="1" a="1"/>
  <c r="I1029" i="1" s="1"/>
  <c r="J1029" i="1" s="1" a="1"/>
  <c r="J1029" i="1" s="1"/>
  <c r="K1029" i="1" s="1"/>
  <c r="I1037" i="1" a="1"/>
  <c r="I1037" i="1" s="1"/>
  <c r="J1037" i="1" s="1" a="1"/>
  <c r="J1037" i="1" s="1"/>
  <c r="K1037" i="1" s="1"/>
  <c r="I1044" i="1" a="1"/>
  <c r="I1044" i="1" s="1"/>
  <c r="J1044" i="1" s="1" a="1"/>
  <c r="J1044" i="1" s="1"/>
  <c r="K1044" i="1" s="1"/>
  <c r="I1053" i="1" a="1"/>
  <c r="I1053" i="1" s="1"/>
  <c r="J1053" i="1" s="1" a="1"/>
  <c r="J1053" i="1" s="1"/>
  <c r="K1053" i="1" s="1"/>
  <c r="I1062" i="1" a="1"/>
  <c r="I1062" i="1" s="1"/>
  <c r="J1062" i="1" s="1" a="1"/>
  <c r="J1062" i="1" s="1"/>
  <c r="K1062" i="1" s="1"/>
  <c r="I1078" i="1" a="1"/>
  <c r="I1078" i="1" s="1"/>
  <c r="J1078" i="1" s="1" a="1"/>
  <c r="J1078" i="1" s="1"/>
  <c r="K1078" i="1" s="1"/>
  <c r="I1087" i="1" a="1"/>
  <c r="I1087" i="1" s="1"/>
  <c r="J1087" i="1" s="1" a="1"/>
  <c r="J1087" i="1" s="1"/>
  <c r="K1087" i="1" s="1"/>
  <c r="I1095" i="1" a="1"/>
  <c r="I1095" i="1" s="1"/>
  <c r="J1095" i="1" s="1" a="1"/>
  <c r="J1095" i="1" s="1"/>
  <c r="K1095" i="1" s="1"/>
  <c r="I1103" i="1" a="1"/>
  <c r="I1103" i="1" s="1"/>
  <c r="J1103" i="1" s="1" a="1"/>
  <c r="J1103" i="1" s="1"/>
  <c r="K1103" i="1" s="1"/>
  <c r="I1111" i="1" a="1"/>
  <c r="I1111" i="1" s="1"/>
  <c r="J1111" i="1" s="1" a="1"/>
  <c r="J1111" i="1" s="1"/>
  <c r="K1111" i="1" s="1"/>
  <c r="I1120" i="1" a="1"/>
  <c r="I1120" i="1" s="1"/>
  <c r="J1120" i="1" s="1" a="1"/>
  <c r="J1120" i="1" s="1"/>
  <c r="K1120" i="1" s="1"/>
  <c r="I1128" i="1" a="1"/>
  <c r="I1128" i="1" s="1"/>
  <c r="J1128" i="1" s="1" a="1"/>
  <c r="J1128" i="1" s="1"/>
  <c r="K1128" i="1" s="1"/>
  <c r="I1137" i="1" a="1"/>
  <c r="I1137" i="1" s="1"/>
  <c r="J1137" i="1" s="1" a="1"/>
  <c r="J1137" i="1" s="1"/>
  <c r="K1137" i="1" s="1"/>
  <c r="I1145" i="1" a="1"/>
  <c r="I1145" i="1" s="1"/>
  <c r="J1145" i="1" s="1" a="1"/>
  <c r="J1145" i="1" s="1"/>
  <c r="K1145" i="1" s="1"/>
  <c r="I1153" i="1" a="1"/>
  <c r="I1153" i="1" s="1"/>
  <c r="J1153" i="1" s="1" a="1"/>
  <c r="J1153" i="1" s="1"/>
  <c r="K1153" i="1" s="1"/>
  <c r="I1179" i="1" a="1"/>
  <c r="I1179" i="1" s="1"/>
  <c r="J1179" i="1" s="1" a="1"/>
  <c r="J1179" i="1" s="1"/>
  <c r="K1179" i="1" s="1"/>
  <c r="I1185" i="1" a="1"/>
  <c r="I1185" i="1" s="1"/>
  <c r="J1185" i="1" s="1" a="1"/>
  <c r="J1185" i="1" s="1"/>
  <c r="K1185" i="1" s="1"/>
  <c r="I1192" i="1" a="1"/>
  <c r="I1192" i="1" s="1"/>
  <c r="J1192" i="1" s="1" a="1"/>
  <c r="J1192" i="1" s="1"/>
  <c r="K1192" i="1" s="1"/>
  <c r="I1198" i="1" a="1"/>
  <c r="I1198" i="1" s="1"/>
  <c r="J1198" i="1" s="1" a="1"/>
  <c r="J1198" i="1" s="1"/>
  <c r="K1198" i="1" s="1"/>
  <c r="I1204" i="1" a="1"/>
  <c r="I1204" i="1" s="1"/>
  <c r="J1204" i="1" s="1" a="1"/>
  <c r="J1204" i="1" s="1"/>
  <c r="K1204" i="1" s="1"/>
  <c r="I1211" i="1" a="1"/>
  <c r="I1211" i="1" s="1"/>
  <c r="J1211" i="1" s="1" a="1"/>
  <c r="J1211" i="1" s="1"/>
  <c r="K1211" i="1" s="1"/>
  <c r="I1217" i="1" a="1"/>
  <c r="I1217" i="1" s="1"/>
  <c r="J1217" i="1" s="1" a="1"/>
  <c r="J1217" i="1" s="1"/>
  <c r="K1217" i="1" s="1"/>
  <c r="I1224" i="1" a="1"/>
  <c r="I1224" i="1" s="1"/>
  <c r="J1224" i="1" s="1" a="1"/>
  <c r="J1224" i="1" s="1"/>
  <c r="K1224" i="1" s="1"/>
  <c r="I1230" i="1" a="1"/>
  <c r="I1230" i="1" s="1"/>
  <c r="J1230" i="1" s="1" a="1"/>
  <c r="J1230" i="1" s="1"/>
  <c r="K1230" i="1" s="1"/>
  <c r="I1236" i="1" a="1"/>
  <c r="I1236" i="1" s="1"/>
  <c r="J1236" i="1" s="1" a="1"/>
  <c r="J1236" i="1" s="1"/>
  <c r="K1236" i="1" s="1"/>
  <c r="I1243" i="1" a="1"/>
  <c r="I1243" i="1" s="1"/>
  <c r="J1243" i="1" s="1" a="1"/>
  <c r="J1243" i="1" s="1"/>
  <c r="K1243" i="1" s="1"/>
  <c r="I1250" i="1" a="1"/>
  <c r="I1250" i="1" s="1"/>
  <c r="J1250" i="1" s="1" a="1"/>
  <c r="J1250" i="1" s="1"/>
  <c r="K1250" i="1" s="1"/>
  <c r="I1257" i="1" a="1"/>
  <c r="I1257" i="1" s="1"/>
  <c r="J1257" i="1" s="1" a="1"/>
  <c r="J1257" i="1" s="1"/>
  <c r="K1257" i="1" s="1"/>
  <c r="I1264" i="1" a="1"/>
  <c r="I1264" i="1" s="1"/>
  <c r="J1264" i="1" s="1" a="1"/>
  <c r="J1264" i="1" s="1"/>
  <c r="K1264" i="1" s="1"/>
  <c r="I1271" i="1" a="1"/>
  <c r="I1271" i="1" s="1"/>
  <c r="J1271" i="1" s="1" a="1"/>
  <c r="J1271" i="1" s="1"/>
  <c r="K1271" i="1" s="1"/>
  <c r="I1278" i="1" a="1"/>
  <c r="I1278" i="1" s="1"/>
  <c r="J1278" i="1" s="1" a="1"/>
  <c r="J1278" i="1" s="1"/>
  <c r="K1278" i="1" s="1"/>
  <c r="I1285" i="1" a="1"/>
  <c r="I1285" i="1" s="1"/>
  <c r="J1285" i="1" s="1" a="1"/>
  <c r="J1285" i="1" s="1"/>
  <c r="K1285" i="1" s="1"/>
  <c r="I1293" i="1" a="1"/>
  <c r="I1293" i="1" s="1"/>
  <c r="J1293" i="1" s="1" a="1"/>
  <c r="J1293" i="1" s="1"/>
  <c r="K1293" i="1" s="1"/>
  <c r="I1299" i="1" a="1"/>
  <c r="I1299" i="1" s="1"/>
  <c r="J1299" i="1" s="1" a="1"/>
  <c r="J1299" i="1" s="1"/>
  <c r="K1299" i="1" s="1"/>
  <c r="I1307" i="1" a="1"/>
  <c r="I1307" i="1" s="1"/>
  <c r="J1307" i="1" s="1" a="1"/>
  <c r="J1307" i="1" s="1"/>
  <c r="K1307" i="1" s="1"/>
  <c r="I1313" i="1" a="1"/>
  <c r="I1313" i="1" s="1"/>
  <c r="J1313" i="1" s="1" a="1"/>
  <c r="J1313" i="1" s="1"/>
  <c r="K1313" i="1" s="1"/>
  <c r="I1320" i="1" a="1"/>
  <c r="I1320" i="1" s="1"/>
  <c r="J1320" i="1" s="1" a="1"/>
  <c r="J1320" i="1" s="1"/>
  <c r="K1320" i="1" s="1"/>
  <c r="I1327" i="1" a="1"/>
  <c r="I1327" i="1" s="1"/>
  <c r="J1327" i="1" s="1" a="1"/>
  <c r="J1327" i="1" s="1"/>
  <c r="K1327" i="1" s="1"/>
  <c r="I1334" i="1" a="1"/>
  <c r="I1334" i="1" s="1"/>
  <c r="J1334" i="1" s="1" a="1"/>
  <c r="J1334" i="1" s="1"/>
  <c r="K1334" i="1" s="1"/>
  <c r="I1347" i="1" a="1"/>
  <c r="I1347" i="1" s="1"/>
  <c r="J1347" i="1" s="1" a="1"/>
  <c r="J1347" i="1" s="1"/>
  <c r="K1347" i="1" s="1"/>
  <c r="I1355" i="1" a="1"/>
  <c r="I1355" i="1" s="1"/>
  <c r="J1355" i="1" s="1" a="1"/>
  <c r="J1355" i="1" s="1"/>
  <c r="K1355" i="1" s="1"/>
  <c r="I1362" i="1" a="1"/>
  <c r="I1362" i="1" s="1"/>
  <c r="J1362" i="1" s="1" a="1"/>
  <c r="J1362" i="1" s="1"/>
  <c r="K1362" i="1" s="1"/>
  <c r="I1369" i="1" a="1"/>
  <c r="I1369" i="1" s="1"/>
  <c r="J1369" i="1" s="1" a="1"/>
  <c r="J1369" i="1" s="1"/>
  <c r="K1369" i="1" s="1"/>
  <c r="I1375" i="1" a="1"/>
  <c r="I1375" i="1" s="1"/>
  <c r="J1375" i="1" s="1" a="1"/>
  <c r="J1375" i="1" s="1"/>
  <c r="K1375" i="1" s="1"/>
  <c r="I1382" i="1" a="1"/>
  <c r="I1382" i="1" s="1"/>
  <c r="J1382" i="1" s="1" a="1"/>
  <c r="J1382" i="1" s="1"/>
  <c r="K1382" i="1" s="1"/>
  <c r="I1396" i="1" a="1"/>
  <c r="I1396" i="1" s="1"/>
  <c r="J1396" i="1" s="1" a="1"/>
  <c r="J1396" i="1" s="1"/>
  <c r="K1396" i="1" s="1"/>
  <c r="I1404" i="1" a="1"/>
  <c r="I1404" i="1" s="1"/>
  <c r="J1404" i="1" s="1" a="1"/>
  <c r="J1404" i="1" s="1"/>
  <c r="K1404" i="1" s="1"/>
  <c r="I1410" i="1" a="1"/>
  <c r="I1410" i="1" s="1"/>
  <c r="J1410" i="1" s="1" a="1"/>
  <c r="J1410" i="1" s="1"/>
  <c r="K1410" i="1" s="1"/>
  <c r="I1417" i="1" a="1"/>
  <c r="I1417" i="1" s="1"/>
  <c r="J1417" i="1" s="1" a="1"/>
  <c r="J1417" i="1" s="1"/>
  <c r="K1417" i="1" s="1"/>
  <c r="I1424" i="1" a="1"/>
  <c r="I1424" i="1" s="1"/>
  <c r="J1424" i="1" s="1" a="1"/>
  <c r="J1424" i="1" s="1"/>
  <c r="K1424" i="1" s="1"/>
  <c r="I1431" i="1" a="1"/>
  <c r="I1431" i="1" s="1"/>
  <c r="J1431" i="1" s="1" a="1"/>
  <c r="J1431" i="1" s="1"/>
  <c r="K1431" i="1" s="1"/>
  <c r="I1438" i="1" a="1"/>
  <c r="I1438" i="1" s="1"/>
  <c r="J1438" i="1" s="1" a="1"/>
  <c r="J1438" i="1" s="1"/>
  <c r="K1438" i="1" s="1"/>
  <c r="I1444" i="1" a="1"/>
  <c r="I1444" i="1" s="1"/>
  <c r="J1444" i="1" s="1" a="1"/>
  <c r="J1444" i="1" s="1"/>
  <c r="K1444" i="1" s="1"/>
  <c r="I1452" i="1" a="1"/>
  <c r="I1452" i="1" s="1"/>
  <c r="J1452" i="1" s="1" a="1"/>
  <c r="J1452" i="1" s="1"/>
  <c r="K1452" i="1" s="1"/>
  <c r="I1466" i="1" a="1"/>
  <c r="I1466" i="1" s="1"/>
  <c r="J1466" i="1" s="1" a="1"/>
  <c r="J1466" i="1" s="1"/>
  <c r="K1466" i="1" s="1"/>
  <c r="I1472" i="1" a="1"/>
  <c r="I1472" i="1" s="1"/>
  <c r="J1472" i="1" s="1" a="1"/>
  <c r="J1472" i="1" s="1"/>
  <c r="K1472" i="1" s="1"/>
  <c r="I1479" i="1" a="1"/>
  <c r="I1479" i="1" s="1"/>
  <c r="J1479" i="1" s="1" a="1"/>
  <c r="J1479" i="1" s="1"/>
  <c r="K1479" i="1" s="1"/>
  <c r="I1486" i="1" a="1"/>
  <c r="I1486" i="1" s="1"/>
  <c r="J1486" i="1" s="1" a="1"/>
  <c r="J1486" i="1" s="1"/>
  <c r="K1486" i="1" s="1"/>
  <c r="I1493" i="1" a="1"/>
  <c r="I1493" i="1" s="1"/>
  <c r="J1493" i="1" s="1" a="1"/>
  <c r="J1493" i="1" s="1"/>
  <c r="K1493" i="1" s="1"/>
  <c r="I1501" i="1" a="1"/>
  <c r="I1501" i="1" s="1"/>
  <c r="J1501" i="1" s="1" a="1"/>
  <c r="J1501" i="1" s="1"/>
  <c r="K1501" i="1" s="1"/>
  <c r="I1514" i="1" a="1"/>
  <c r="I1514" i="1" s="1"/>
  <c r="J1514" i="1" s="1" a="1"/>
  <c r="J1514" i="1" s="1"/>
  <c r="K1514" i="1" s="1"/>
  <c r="I1521" i="1" a="1"/>
  <c r="I1521" i="1" s="1"/>
  <c r="J1521" i="1" s="1" a="1"/>
  <c r="J1521" i="1" s="1"/>
  <c r="K1521" i="1" s="1"/>
  <c r="I1528" i="1" a="1"/>
  <c r="I1528" i="1" s="1"/>
  <c r="J1528" i="1" s="1" a="1"/>
  <c r="J1528" i="1" s="1"/>
  <c r="K1528" i="1" s="1"/>
  <c r="I1541" i="1" a="1"/>
  <c r="I1541" i="1" s="1"/>
  <c r="J1541" i="1" s="1" a="1"/>
  <c r="J1541" i="1" s="1"/>
  <c r="K1541" i="1" s="1"/>
  <c r="I1549" i="1" a="1"/>
  <c r="I1549" i="1" s="1"/>
  <c r="J1549" i="1" s="1" a="1"/>
  <c r="J1549" i="1" s="1"/>
  <c r="K1549" i="1" s="1"/>
  <c r="I1555" i="1" a="1"/>
  <c r="I1555" i="1" s="1"/>
  <c r="J1555" i="1" s="1" a="1"/>
  <c r="J1555" i="1" s="1"/>
  <c r="K1555" i="1" s="1"/>
  <c r="I1563" i="1" a="1"/>
  <c r="I1563" i="1" s="1"/>
  <c r="J1563" i="1" s="1" a="1"/>
  <c r="J1563" i="1" s="1"/>
  <c r="K1563" i="1" s="1"/>
  <c r="I1569" i="1" a="1"/>
  <c r="I1569" i="1" s="1"/>
  <c r="J1569" i="1" s="1" a="1"/>
  <c r="J1569" i="1" s="1"/>
  <c r="K1569" i="1" s="1"/>
  <c r="I1574" i="1" a="1"/>
  <c r="I1574" i="1" s="1"/>
  <c r="J1574" i="1" s="1" a="1"/>
  <c r="J1574" i="1" s="1"/>
  <c r="K1574" i="1" s="1"/>
  <c r="I1580" i="1" a="1"/>
  <c r="I1580" i="1" s="1"/>
  <c r="J1580" i="1" s="1" a="1"/>
  <c r="J1580" i="1" s="1"/>
  <c r="K1580" i="1" s="1"/>
  <c r="I1585" i="1" a="1"/>
  <c r="I1585" i="1" s="1"/>
  <c r="J1585" i="1" s="1" a="1"/>
  <c r="J1585" i="1" s="1"/>
  <c r="K1585" i="1" s="1"/>
  <c r="I1591" i="1" a="1"/>
  <c r="I1591" i="1" s="1"/>
  <c r="J1591" i="1" s="1" a="1"/>
  <c r="J1591" i="1" s="1"/>
  <c r="K1591" i="1" s="1"/>
  <c r="I1608" i="1" a="1"/>
  <c r="I1608" i="1" s="1"/>
  <c r="J1608" i="1" s="1" a="1"/>
  <c r="J1608" i="1" s="1"/>
  <c r="K1608" i="1" s="1"/>
  <c r="I1618" i="1" a="1"/>
  <c r="I1618" i="1" s="1"/>
  <c r="J1618" i="1" s="1" a="1"/>
  <c r="J1618" i="1" s="1"/>
  <c r="K1618" i="1" s="1"/>
  <c r="I1624" i="1" a="1"/>
  <c r="I1624" i="1" s="1"/>
  <c r="J1624" i="1" s="1" a="1"/>
  <c r="J1624" i="1" s="1"/>
  <c r="K1624" i="1" s="1"/>
  <c r="I1636" i="1" a="1"/>
  <c r="I1636" i="1" s="1"/>
  <c r="J1636" i="1" s="1" a="1"/>
  <c r="J1636" i="1" s="1"/>
  <c r="K1636" i="1" s="1"/>
  <c r="I1641" i="1" a="1"/>
  <c r="I1641" i="1" s="1"/>
  <c r="J1641" i="1" s="1" a="1"/>
  <c r="J1641" i="1" s="1"/>
  <c r="K1641" i="1" s="1"/>
  <c r="I1647" i="1" a="1"/>
  <c r="I1647" i="1" s="1"/>
  <c r="J1647" i="1" s="1" a="1"/>
  <c r="J1647" i="1" s="1"/>
  <c r="K1647" i="1" s="1"/>
  <c r="I1662" i="1" a="1"/>
  <c r="I1662" i="1" s="1"/>
  <c r="J1662" i="1" s="1" a="1"/>
  <c r="J1662" i="1" s="1"/>
  <c r="K1662" i="1" s="1"/>
  <c r="I1668" i="1" a="1"/>
  <c r="I1668" i="1" s="1"/>
  <c r="J1668" i="1" s="1" a="1"/>
  <c r="J1668" i="1" s="1"/>
  <c r="K1668" i="1" s="1"/>
  <c r="I1673" i="1" a="1"/>
  <c r="I1673" i="1" s="1"/>
  <c r="J1673" i="1" s="1" a="1"/>
  <c r="J1673" i="1" s="1"/>
  <c r="K1673" i="1" s="1"/>
  <c r="I1680" i="1" a="1"/>
  <c r="I1680" i="1" s="1"/>
  <c r="J1680" i="1" s="1" a="1"/>
  <c r="J1680" i="1" s="1"/>
  <c r="K1680" i="1" s="1"/>
  <c r="I1685" i="1" a="1"/>
  <c r="I1685" i="1" s="1"/>
  <c r="J1685" i="1" s="1" a="1"/>
  <c r="J1685" i="1" s="1"/>
  <c r="K1685" i="1" s="1"/>
  <c r="I1690" i="1" a="1"/>
  <c r="I1690" i="1" s="1"/>
  <c r="J1690" i="1" s="1" a="1"/>
  <c r="J1690" i="1" s="1"/>
  <c r="K1690" i="1" s="1"/>
  <c r="I1705" i="1" a="1"/>
  <c r="I1705" i="1" s="1"/>
  <c r="J1705" i="1" s="1" a="1"/>
  <c r="J1705" i="1" s="1"/>
  <c r="K1705" i="1" s="1"/>
  <c r="I1711" i="1" a="1"/>
  <c r="I1711" i="1" s="1"/>
  <c r="J1711" i="1" s="1" a="1"/>
  <c r="J1711" i="1" s="1"/>
  <c r="K1711" i="1" s="1"/>
  <c r="I1717" i="1" a="1"/>
  <c r="I1717" i="1" s="1"/>
  <c r="J1717" i="1" s="1" a="1"/>
  <c r="J1717" i="1" s="1"/>
  <c r="K1717" i="1" s="1"/>
  <c r="I1724" i="1" a="1"/>
  <c r="I1724" i="1" s="1"/>
  <c r="J1724" i="1" s="1" a="1"/>
  <c r="J1724" i="1" s="1"/>
  <c r="K1724" i="1" s="1"/>
  <c r="I1730" i="1" a="1"/>
  <c r="I1730" i="1" s="1"/>
  <c r="J1730" i="1" s="1" a="1"/>
  <c r="J1730" i="1" s="1"/>
  <c r="K1730" i="1" s="1"/>
  <c r="I1735" i="1" a="1"/>
  <c r="I1735" i="1" s="1"/>
  <c r="J1735" i="1" s="1" a="1"/>
  <c r="J1735" i="1" s="1"/>
  <c r="K1735" i="1" s="1"/>
  <c r="I1741" i="1" a="1"/>
  <c r="I1741" i="1" s="1"/>
  <c r="J1741" i="1" s="1" a="1"/>
  <c r="J1741" i="1" s="1"/>
  <c r="K1741" i="1" s="1"/>
  <c r="I1751" i="1" a="1"/>
  <c r="I1751" i="1" s="1"/>
  <c r="J1751" i="1" s="1" a="1"/>
  <c r="J1751" i="1" s="1"/>
  <c r="K1751" i="1" s="1"/>
  <c r="I1757" i="1" a="1"/>
  <c r="I1757" i="1" s="1"/>
  <c r="J1757" i="1" s="1" a="1"/>
  <c r="J1757" i="1" s="1"/>
  <c r="K1757" i="1" s="1"/>
  <c r="I1763" i="1" a="1"/>
  <c r="I1763" i="1" s="1"/>
  <c r="J1763" i="1" s="1" a="1"/>
  <c r="J1763" i="1" s="1"/>
  <c r="K1763" i="1" s="1"/>
  <c r="I1769" i="1" a="1"/>
  <c r="I1769" i="1" s="1"/>
  <c r="J1769" i="1" s="1" a="1"/>
  <c r="J1769" i="1" s="1"/>
  <c r="K1769" i="1" s="1"/>
  <c r="I1775" i="1" a="1"/>
  <c r="I1775" i="1" s="1"/>
  <c r="J1775" i="1" s="1" a="1"/>
  <c r="J1775" i="1" s="1"/>
  <c r="K1775" i="1" s="1"/>
  <c r="I1790" i="1" a="1"/>
  <c r="I1790" i="1" s="1"/>
  <c r="J1790" i="1" s="1" a="1"/>
  <c r="J1790" i="1" s="1"/>
  <c r="K1790" i="1" s="1"/>
  <c r="I1796" i="1" a="1"/>
  <c r="I1796" i="1" s="1"/>
  <c r="J1796" i="1" s="1" a="1"/>
  <c r="J1796" i="1" s="1"/>
  <c r="K1796" i="1" s="1"/>
  <c r="I1801" i="1" a="1"/>
  <c r="I1801" i="1" s="1"/>
  <c r="J1801" i="1" s="1" a="1"/>
  <c r="J1801" i="1" s="1"/>
  <c r="K1801" i="1" s="1"/>
  <c r="I1808" i="1" a="1"/>
  <c r="I1808" i="1" s="1"/>
  <c r="J1808" i="1" s="1" a="1"/>
  <c r="J1808" i="1" s="1"/>
  <c r="K1808" i="1" s="1"/>
  <c r="I1813" i="1" a="1"/>
  <c r="I1813" i="1" s="1"/>
  <c r="J1813" i="1" s="1" a="1"/>
  <c r="J1813" i="1" s="1"/>
  <c r="K1813" i="1" s="1"/>
  <c r="I1823" i="1" a="1"/>
  <c r="I1823" i="1" s="1"/>
  <c r="J1823" i="1" s="1" a="1"/>
  <c r="J1823" i="1" s="1"/>
  <c r="K1823" i="1" s="1"/>
  <c r="I1829" i="1" a="1"/>
  <c r="I1829" i="1" s="1"/>
  <c r="J1829" i="1" s="1" a="1"/>
  <c r="J1829" i="1" s="1"/>
  <c r="K1829" i="1" s="1"/>
  <c r="I1834" i="1" a="1"/>
  <c r="I1834" i="1" s="1"/>
  <c r="J1834" i="1" s="1" a="1"/>
  <c r="J1834" i="1" s="1"/>
  <c r="K1834" i="1" s="1"/>
  <c r="I1840" i="1" a="1"/>
  <c r="I1840" i="1" s="1"/>
  <c r="J1840" i="1" s="1" a="1"/>
  <c r="J1840" i="1" s="1"/>
  <c r="K1840" i="1" s="1"/>
  <c r="I1846" i="1" a="1"/>
  <c r="I1846" i="1" s="1"/>
  <c r="J1846" i="1" s="1" a="1"/>
  <c r="J1846" i="1" s="1"/>
  <c r="K1846" i="1" s="1"/>
  <c r="I1864" i="1" a="1"/>
  <c r="I1864" i="1" s="1"/>
  <c r="J1864" i="1" s="1" a="1"/>
  <c r="J1864" i="1" s="1"/>
  <c r="K1864" i="1" s="1"/>
  <c r="I1874" i="1" a="1"/>
  <c r="I1874" i="1" s="1"/>
  <c r="J1874" i="1" s="1" a="1"/>
  <c r="J1874" i="1" s="1"/>
  <c r="K1874" i="1" s="1"/>
  <c r="I1880" i="1" a="1"/>
  <c r="I1880" i="1" s="1"/>
  <c r="J1880" i="1" s="1" a="1"/>
  <c r="J1880" i="1" s="1"/>
  <c r="K1880" i="1" s="1"/>
  <c r="I1892" i="1" a="1"/>
  <c r="I1892" i="1" s="1"/>
  <c r="J1892" i="1" s="1" a="1"/>
  <c r="J1892" i="1" s="1"/>
  <c r="K1892" i="1" s="1"/>
  <c r="I1898" i="1" a="1"/>
  <c r="I1898" i="1" s="1"/>
  <c r="J1898" i="1" s="1" a="1"/>
  <c r="J1898" i="1" s="1"/>
  <c r="K1898" i="1" s="1"/>
  <c r="I1904" i="1" a="1"/>
  <c r="I1904" i="1" s="1"/>
  <c r="J1904" i="1" s="1" a="1"/>
  <c r="J1904" i="1" s="1"/>
  <c r="K1904" i="1" s="1"/>
  <c r="I1909" i="1" a="1"/>
  <c r="I1909" i="1" s="1"/>
  <c r="J1909" i="1" s="1" a="1"/>
  <c r="J1909" i="1" s="1"/>
  <c r="K1909" i="1" s="1"/>
  <c r="I1920" i="1" a="1"/>
  <c r="I1920" i="1" s="1"/>
  <c r="J1920" i="1" s="1" a="1"/>
  <c r="J1920" i="1" s="1"/>
  <c r="K1920" i="1" s="1"/>
  <c r="I1930" i="1" a="1"/>
  <c r="I1930" i="1" s="1"/>
  <c r="J1930" i="1" s="1" a="1"/>
  <c r="J1930" i="1" s="1"/>
  <c r="K1930" i="1" s="1"/>
  <c r="I11" i="1" a="1"/>
  <c r="I11" i="1" s="1"/>
  <c r="J11" i="1" s="1" a="1"/>
  <c r="J11" i="1" s="1"/>
  <c r="K11" i="1" s="1"/>
  <c r="I35" i="1" a="1"/>
  <c r="I35" i="1" s="1"/>
  <c r="J35" i="1" s="1" a="1"/>
  <c r="J35" i="1" s="1"/>
  <c r="K35" i="1" s="1"/>
  <c r="I46" i="1" a="1"/>
  <c r="I46" i="1" s="1"/>
  <c r="J46" i="1" s="1" a="1"/>
  <c r="J46" i="1" s="1"/>
  <c r="K46" i="1" s="1"/>
  <c r="I93" i="1" a="1"/>
  <c r="I93" i="1" s="1"/>
  <c r="J93" i="1" s="1" a="1"/>
  <c r="J93" i="1" s="1"/>
  <c r="K93" i="1" s="1"/>
  <c r="I105" i="1" a="1"/>
  <c r="I105" i="1" s="1"/>
  <c r="J105" i="1" s="1" a="1"/>
  <c r="J105" i="1" s="1"/>
  <c r="K105" i="1" s="1"/>
  <c r="I116" i="1" a="1"/>
  <c r="I116" i="1" s="1"/>
  <c r="J116" i="1" s="1" a="1"/>
  <c r="J116" i="1" s="1"/>
  <c r="K116" i="1" s="1"/>
  <c r="I128" i="1" a="1"/>
  <c r="I128" i="1" s="1"/>
  <c r="J128" i="1" s="1" a="1"/>
  <c r="J128" i="1" s="1"/>
  <c r="K128" i="1" s="1"/>
  <c r="I152" i="1" a="1"/>
  <c r="I152" i="1" s="1"/>
  <c r="J152" i="1" s="1" a="1"/>
  <c r="J152" i="1" s="1"/>
  <c r="K152" i="1" s="1"/>
  <c r="I176" i="1" a="1"/>
  <c r="I176" i="1" s="1"/>
  <c r="J176" i="1" s="1" a="1"/>
  <c r="J176" i="1" s="1"/>
  <c r="K176" i="1" s="1"/>
  <c r="I187" i="1" a="1"/>
  <c r="I187" i="1" s="1"/>
  <c r="J187" i="1" s="1" a="1"/>
  <c r="J187" i="1" s="1"/>
  <c r="K187" i="1" s="1"/>
  <c r="I199" i="1" a="1"/>
  <c r="I199" i="1" s="1"/>
  <c r="J199" i="1" s="1" a="1"/>
  <c r="J199" i="1" s="1"/>
  <c r="K199" i="1" s="1"/>
  <c r="I210" i="1" a="1"/>
  <c r="I210" i="1" s="1"/>
  <c r="J210" i="1" s="1" a="1"/>
  <c r="J210" i="1" s="1"/>
  <c r="K210" i="1" s="1"/>
  <c r="I221" i="1" a="1"/>
  <c r="I221" i="1" s="1"/>
  <c r="J221" i="1" s="1" a="1"/>
  <c r="J221" i="1" s="1"/>
  <c r="K221" i="1" s="1"/>
  <c r="I234" i="1" a="1"/>
  <c r="I234" i="1" s="1"/>
  <c r="J234" i="1" s="1" a="1"/>
  <c r="J234" i="1" s="1"/>
  <c r="K234" i="1" s="1"/>
  <c r="I245" i="1" a="1"/>
  <c r="I245" i="1" s="1"/>
  <c r="J245" i="1" s="1" a="1"/>
  <c r="J245" i="1" s="1"/>
  <c r="K245" i="1" s="1"/>
  <c r="I258" i="1" a="1"/>
  <c r="I258" i="1" s="1"/>
  <c r="J258" i="1" s="1" a="1"/>
  <c r="J258" i="1" s="1"/>
  <c r="K258" i="1" s="1"/>
  <c r="I269" i="1" a="1"/>
  <c r="I269" i="1" s="1"/>
  <c r="J269" i="1" s="1" a="1"/>
  <c r="J269" i="1" s="1"/>
  <c r="K269" i="1" s="1"/>
  <c r="I281" i="1" a="1"/>
  <c r="I281" i="1" s="1"/>
  <c r="J281" i="1" s="1" a="1"/>
  <c r="J281" i="1" s="1"/>
  <c r="K281" i="1" s="1"/>
  <c r="I292" i="1" a="1"/>
  <c r="I292" i="1" s="1"/>
  <c r="J292" i="1" s="1" a="1"/>
  <c r="J292" i="1" s="1"/>
  <c r="K292" i="1" s="1"/>
  <c r="I79" i="1" a="1"/>
  <c r="I79" i="1" s="1"/>
  <c r="J79" i="1" s="1" a="1"/>
  <c r="J79" i="1" s="1"/>
  <c r="K79" i="1" s="1"/>
  <c r="I173" i="1" a="1"/>
  <c r="I173" i="1" s="1"/>
  <c r="J173" i="1" s="1" a="1"/>
  <c r="J173" i="1" s="1"/>
  <c r="K173" i="1" s="1"/>
  <c r="I267" i="1" a="1"/>
  <c r="I267" i="1" s="1"/>
  <c r="J267" i="1" s="1" a="1"/>
  <c r="J267" i="1" s="1"/>
  <c r="K267" i="1" s="1"/>
  <c r="I327" i="1" a="1"/>
  <c r="I327" i="1" s="1"/>
  <c r="J327" i="1" s="1" a="1"/>
  <c r="J327" i="1" s="1"/>
  <c r="K327" i="1" s="1"/>
  <c r="I379" i="1" a="1"/>
  <c r="I379" i="1" s="1"/>
  <c r="J379" i="1" s="1" a="1"/>
  <c r="J379" i="1" s="1"/>
  <c r="K379" i="1" s="1"/>
  <c r="I435" i="1" a="1"/>
  <c r="I435" i="1" s="1"/>
  <c r="J435" i="1" s="1" a="1"/>
  <c r="J435" i="1" s="1"/>
  <c r="K435" i="1" s="1"/>
  <c r="I490" i="1" a="1"/>
  <c r="I490" i="1" s="1"/>
  <c r="J490" i="1" s="1" a="1"/>
  <c r="J490" i="1" s="1"/>
  <c r="K490" i="1" s="1"/>
  <c r="I547" i="1" a="1"/>
  <c r="I547" i="1" s="1"/>
  <c r="J547" i="1" s="1" a="1"/>
  <c r="J547" i="1" s="1"/>
  <c r="K547" i="1" s="1"/>
  <c r="I596" i="1" a="1"/>
  <c r="I596" i="1" s="1"/>
  <c r="J596" i="1" s="1" a="1"/>
  <c r="J596" i="1" s="1"/>
  <c r="K596" i="1" s="1"/>
  <c r="I710" i="1" a="1"/>
  <c r="I710" i="1" s="1"/>
  <c r="J710" i="1" s="1" a="1"/>
  <c r="J710" i="1" s="1"/>
  <c r="K710" i="1" s="1"/>
  <c r="I770" i="1" a="1"/>
  <c r="I770" i="1" s="1"/>
  <c r="J770" i="1" s="1" a="1"/>
  <c r="J770" i="1" s="1"/>
  <c r="K770" i="1" s="1"/>
  <c r="I820" i="1" a="1"/>
  <c r="I820" i="1" s="1"/>
  <c r="J820" i="1" s="1" a="1"/>
  <c r="J820" i="1" s="1"/>
  <c r="K820" i="1" s="1"/>
  <c r="I869" i="1" a="1"/>
  <c r="I869" i="1" s="1"/>
  <c r="J869" i="1" s="1" a="1"/>
  <c r="J869" i="1" s="1"/>
  <c r="K869" i="1" s="1"/>
  <c r="I963" i="1" a="1"/>
  <c r="I963" i="1" s="1"/>
  <c r="J963" i="1" s="1" a="1"/>
  <c r="J963" i="1" s="1"/>
  <c r="K963" i="1" s="1"/>
  <c r="I996" i="1" a="1"/>
  <c r="I996" i="1" s="1"/>
  <c r="J996" i="1" s="1" a="1"/>
  <c r="J996" i="1" s="1"/>
  <c r="K996" i="1" s="1"/>
  <c r="I1021" i="1" a="1"/>
  <c r="I1021" i="1" s="1"/>
  <c r="J1021" i="1" s="1" a="1"/>
  <c r="J1021" i="1" s="1"/>
  <c r="K1021" i="1" s="1"/>
  <c r="I1043" i="1" a="1"/>
  <c r="I1043" i="1" s="1"/>
  <c r="J1043" i="1" s="1" a="1"/>
  <c r="J1043" i="1" s="1"/>
  <c r="K1043" i="1" s="1"/>
  <c r="I1068" i="1" a="1"/>
  <c r="I1068" i="1" s="1"/>
  <c r="J1068" i="1" s="1" a="1"/>
  <c r="J1068" i="1" s="1"/>
  <c r="K1068" i="1" s="1"/>
  <c r="I1088" i="1" a="1"/>
  <c r="I1088" i="1" s="1"/>
  <c r="J1088" i="1" s="1" a="1"/>
  <c r="J1088" i="1" s="1"/>
  <c r="K1088" i="1" s="1"/>
  <c r="I1104" i="1" a="1"/>
  <c r="I1104" i="1" s="1"/>
  <c r="J1104" i="1" s="1" a="1"/>
  <c r="J1104" i="1" s="1"/>
  <c r="K1104" i="1" s="1"/>
  <c r="I1121" i="1" a="1"/>
  <c r="I1121" i="1" s="1"/>
  <c r="J1121" i="1" s="1" a="1"/>
  <c r="J1121" i="1" s="1"/>
  <c r="K1121" i="1" s="1"/>
  <c r="I1154" i="1" a="1"/>
  <c r="I1154" i="1" s="1"/>
  <c r="J1154" i="1" s="1" a="1"/>
  <c r="J1154" i="1" s="1"/>
  <c r="K1154" i="1" s="1"/>
  <c r="I1167" i="1" a="1"/>
  <c r="I1167" i="1" s="1"/>
  <c r="J1167" i="1" s="1" a="1"/>
  <c r="J1167" i="1" s="1"/>
  <c r="K1167" i="1" s="1"/>
  <c r="I1180" i="1" a="1"/>
  <c r="I1180" i="1" s="1"/>
  <c r="J1180" i="1" s="1" a="1"/>
  <c r="J1180" i="1" s="1"/>
  <c r="K1180" i="1" s="1"/>
  <c r="I1193" i="1" a="1"/>
  <c r="I1193" i="1" s="1"/>
  <c r="J1193" i="1" s="1" a="1"/>
  <c r="J1193" i="1" s="1"/>
  <c r="K1193" i="1" s="1"/>
  <c r="I1205" i="1" a="1"/>
  <c r="I1205" i="1" s="1"/>
  <c r="J1205" i="1" s="1" a="1"/>
  <c r="J1205" i="1" s="1"/>
  <c r="K1205" i="1" s="1"/>
  <c r="I1218" i="1" a="1"/>
  <c r="I1218" i="1" s="1"/>
  <c r="J1218" i="1" s="1" a="1"/>
  <c r="J1218" i="1" s="1"/>
  <c r="K1218" i="1" s="1"/>
  <c r="I1244" i="1" a="1"/>
  <c r="I1244" i="1" s="1"/>
  <c r="J1244" i="1" s="1" a="1"/>
  <c r="J1244" i="1" s="1"/>
  <c r="K1244" i="1" s="1"/>
  <c r="I1258" i="1" a="1"/>
  <c r="I1258" i="1" s="1"/>
  <c r="J1258" i="1" s="1" a="1"/>
  <c r="J1258" i="1" s="1"/>
  <c r="K1258" i="1" s="1"/>
  <c r="I1272" i="1" a="1"/>
  <c r="I1272" i="1" s="1"/>
  <c r="J1272" i="1" s="1" a="1"/>
  <c r="J1272" i="1" s="1"/>
  <c r="K1272" i="1" s="1"/>
  <c r="I1286" i="1" a="1"/>
  <c r="I1286" i="1" s="1"/>
  <c r="J1286" i="1" s="1" a="1"/>
  <c r="J1286" i="1" s="1"/>
  <c r="K1286" i="1" s="1"/>
  <c r="I1300" i="1" a="1"/>
  <c r="I1300" i="1" s="1"/>
  <c r="J1300" i="1" s="1" a="1"/>
  <c r="J1300" i="1" s="1"/>
  <c r="K1300" i="1" s="1"/>
  <c r="I1314" i="1" a="1"/>
  <c r="I1314" i="1" s="1"/>
  <c r="J1314" i="1" s="1" a="1"/>
  <c r="J1314" i="1" s="1"/>
  <c r="K1314" i="1" s="1"/>
  <c r="I1328" i="1" a="1"/>
  <c r="I1328" i="1" s="1"/>
  <c r="J1328" i="1" s="1" a="1"/>
  <c r="J1328" i="1" s="1"/>
  <c r="K1328" i="1" s="1"/>
  <c r="I1342" i="1" a="1"/>
  <c r="I1342" i="1" s="1"/>
  <c r="J1342" i="1" s="1" a="1"/>
  <c r="J1342" i="1" s="1"/>
  <c r="K1342" i="1" s="1"/>
  <c r="I1356" i="1" a="1"/>
  <c r="I1356" i="1" s="1"/>
  <c r="J1356" i="1" s="1" a="1"/>
  <c r="J1356" i="1" s="1"/>
  <c r="K1356" i="1" s="1"/>
  <c r="I1370" i="1" a="1"/>
  <c r="I1370" i="1" s="1"/>
  <c r="J1370" i="1" s="1" a="1"/>
  <c r="J1370" i="1" s="1"/>
  <c r="K1370" i="1" s="1"/>
  <c r="I1383" i="1" a="1"/>
  <c r="I1383" i="1" s="1"/>
  <c r="J1383" i="1" s="1" a="1"/>
  <c r="J1383" i="1" s="1"/>
  <c r="K1383" i="1" s="1"/>
  <c r="I1397" i="1" a="1"/>
  <c r="I1397" i="1" s="1"/>
  <c r="J1397" i="1" s="1" a="1"/>
  <c r="J1397" i="1" s="1"/>
  <c r="K1397" i="1" s="1"/>
  <c r="I1425" i="1" a="1"/>
  <c r="I1425" i="1" s="1"/>
  <c r="J1425" i="1" s="1" a="1"/>
  <c r="J1425" i="1" s="1"/>
  <c r="K1425" i="1" s="1"/>
  <c r="I1453" i="1" a="1"/>
  <c r="I1453" i="1" s="1"/>
  <c r="J1453" i="1" s="1" a="1"/>
  <c r="J1453" i="1" s="1"/>
  <c r="K1453" i="1" s="1"/>
  <c r="I1467" i="1" a="1"/>
  <c r="I1467" i="1" s="1"/>
  <c r="J1467" i="1" s="1" a="1"/>
  <c r="J1467" i="1" s="1"/>
  <c r="K1467" i="1" s="1"/>
  <c r="I1480" i="1" a="1"/>
  <c r="I1480" i="1" s="1"/>
  <c r="J1480" i="1" s="1" a="1"/>
  <c r="J1480" i="1" s="1"/>
  <c r="K1480" i="1" s="1"/>
  <c r="I1494" i="1" a="1"/>
  <c r="I1494" i="1" s="1"/>
  <c r="J1494" i="1" s="1" a="1"/>
  <c r="J1494" i="1" s="1"/>
  <c r="K1494" i="1" s="1"/>
  <c r="I1507" i="1" a="1"/>
  <c r="I1507" i="1" s="1"/>
  <c r="J1507" i="1" s="1" a="1"/>
  <c r="J1507" i="1" s="1"/>
  <c r="K1507" i="1" s="1"/>
  <c r="I1522" i="1" a="1"/>
  <c r="I1522" i="1" s="1"/>
  <c r="J1522" i="1" s="1" a="1"/>
  <c r="J1522" i="1" s="1"/>
  <c r="K1522" i="1" s="1"/>
  <c r="I1535" i="1" a="1"/>
  <c r="I1535" i="1" s="1"/>
  <c r="J1535" i="1" s="1" a="1"/>
  <c r="J1535" i="1" s="1"/>
  <c r="K1535" i="1" s="1"/>
  <c r="I1564" i="1" a="1"/>
  <c r="I1564" i="1" s="1"/>
  <c r="J1564" i="1" s="1" a="1"/>
  <c r="J1564" i="1" s="1"/>
  <c r="K1564" i="1" s="1"/>
  <c r="I1586" i="1" a="1"/>
  <c r="I1586" i="1" s="1"/>
  <c r="J1586" i="1" s="1" a="1"/>
  <c r="J1586" i="1" s="1"/>
  <c r="K1586" i="1" s="1"/>
  <c r="I1597" i="1" a="1"/>
  <c r="I1597" i="1" s="1"/>
  <c r="J1597" i="1" s="1" a="1"/>
  <c r="J1597" i="1" s="1"/>
  <c r="K1597" i="1" s="1"/>
  <c r="I1619" i="1" a="1"/>
  <c r="I1619" i="1" s="1"/>
  <c r="J1619" i="1" s="1" a="1"/>
  <c r="J1619" i="1" s="1"/>
  <c r="K1619" i="1" s="1"/>
  <c r="I1630" i="1" a="1"/>
  <c r="I1630" i="1" s="1"/>
  <c r="J1630" i="1" s="1" a="1"/>
  <c r="J1630" i="1" s="1"/>
  <c r="K1630" i="1" s="1"/>
  <c r="I1642" i="1" a="1"/>
  <c r="I1642" i="1" s="1"/>
  <c r="J1642" i="1" s="1" a="1"/>
  <c r="J1642" i="1" s="1"/>
  <c r="K1642" i="1" s="1"/>
  <c r="I1653" i="1" a="1"/>
  <c r="I1653" i="1" s="1"/>
  <c r="J1653" i="1" s="1" a="1"/>
  <c r="J1653" i="1" s="1"/>
  <c r="K1653" i="1" s="1"/>
  <c r="I1674" i="1" a="1"/>
  <c r="I1674" i="1" s="1"/>
  <c r="J1674" i="1" s="1" a="1"/>
  <c r="J1674" i="1" s="1"/>
  <c r="K1674" i="1" s="1"/>
  <c r="I1695" i="1" a="1"/>
  <c r="I1695" i="1" s="1"/>
  <c r="J1695" i="1" s="1" a="1"/>
  <c r="J1695" i="1" s="1"/>
  <c r="K1695" i="1" s="1"/>
  <c r="I1706" i="1" a="1"/>
  <c r="I1706" i="1" s="1"/>
  <c r="J1706" i="1" s="1" a="1"/>
  <c r="J1706" i="1" s="1"/>
  <c r="K1706" i="1" s="1"/>
  <c r="I1718" i="1" a="1"/>
  <c r="I1718" i="1" s="1"/>
  <c r="J1718" i="1" s="1" a="1"/>
  <c r="J1718" i="1" s="1"/>
  <c r="K1718" i="1" s="1"/>
  <c r="I1752" i="1" a="1"/>
  <c r="I1752" i="1" s="1"/>
  <c r="J1752" i="1" s="1" a="1"/>
  <c r="J1752" i="1" s="1"/>
  <c r="K1752" i="1" s="1"/>
  <c r="I1764" i="1" a="1"/>
  <c r="I1764" i="1" s="1"/>
  <c r="J1764" i="1" s="1" a="1"/>
  <c r="J1764" i="1" s="1"/>
  <c r="K1764" i="1" s="1"/>
  <c r="I1776" i="1" a="1"/>
  <c r="I1776" i="1" s="1"/>
  <c r="J1776" i="1" s="1" a="1"/>
  <c r="J1776" i="1" s="1"/>
  <c r="K1776" i="1" s="1"/>
  <c r="I1786" i="1" a="1"/>
  <c r="I1786" i="1" s="1"/>
  <c r="J1786" i="1" s="1" a="1"/>
  <c r="J1786" i="1" s="1"/>
  <c r="K1786" i="1" s="1"/>
  <c r="I1819" i="1" a="1"/>
  <c r="I1819" i="1" s="1"/>
  <c r="J1819" i="1" s="1" a="1"/>
  <c r="J1819" i="1" s="1"/>
  <c r="K1819" i="1" s="1"/>
  <c r="I1853" i="1" a="1"/>
  <c r="I1853" i="1" s="1"/>
  <c r="J1853" i="1" s="1" a="1"/>
  <c r="J1853" i="1" s="1"/>
  <c r="K1853" i="1" s="1"/>
  <c r="I1875" i="1" a="1"/>
  <c r="I1875" i="1" s="1"/>
  <c r="J1875" i="1" s="1" a="1"/>
  <c r="J1875" i="1" s="1"/>
  <c r="K1875" i="1" s="1"/>
  <c r="I1886" i="1" a="1"/>
  <c r="I1886" i="1" s="1"/>
  <c r="J1886" i="1" s="1" a="1"/>
  <c r="J1886" i="1" s="1"/>
  <c r="K1886" i="1" s="1"/>
  <c r="I1899" i="1" a="1"/>
  <c r="I1899" i="1" s="1"/>
  <c r="J1899" i="1" s="1" a="1"/>
  <c r="J1899" i="1" s="1"/>
  <c r="K1899" i="1" s="1"/>
  <c r="I1931" i="1" a="1"/>
  <c r="I1931" i="1" s="1"/>
  <c r="J1931" i="1" s="1" a="1"/>
  <c r="J1931" i="1" s="1"/>
  <c r="K1931" i="1" s="1"/>
  <c r="I91" i="1" a="1"/>
  <c r="I91" i="1" s="1"/>
  <c r="J91" i="1" s="1" a="1"/>
  <c r="J91" i="1" s="1"/>
  <c r="K91" i="1" s="1"/>
  <c r="I278" i="1" a="1"/>
  <c r="I278" i="1" s="1"/>
  <c r="J278" i="1" s="1" a="1"/>
  <c r="J278" i="1" s="1"/>
  <c r="K278" i="1" s="1"/>
  <c r="I337" i="1" a="1"/>
  <c r="I337" i="1" s="1"/>
  <c r="J337" i="1" s="1" a="1"/>
  <c r="J337" i="1" s="1"/>
  <c r="K337" i="1" s="1"/>
  <c r="I390" i="1" a="1"/>
  <c r="I390" i="1" s="1"/>
  <c r="J390" i="1" s="1" a="1"/>
  <c r="J390" i="1" s="1"/>
  <c r="I446" i="1" a="1"/>
  <c r="I446" i="1" s="1"/>
  <c r="J446" i="1" s="1" a="1"/>
  <c r="J446" i="1" s="1"/>
  <c r="K446" i="1" s="1"/>
  <c r="I502" i="1" a="1"/>
  <c r="I502" i="1" s="1"/>
  <c r="J502" i="1" s="1" a="1"/>
  <c r="J502" i="1" s="1"/>
  <c r="K502" i="1" s="1"/>
  <c r="I558" i="1" a="1"/>
  <c r="I558" i="1" s="1"/>
  <c r="J558" i="1" s="1" a="1"/>
  <c r="J558" i="1" s="1"/>
  <c r="K558" i="1" s="1"/>
  <c r="I608" i="1" a="1"/>
  <c r="I608" i="1" s="1"/>
  <c r="J608" i="1" s="1" a="1"/>
  <c r="J608" i="1" s="1"/>
  <c r="K608" i="1" s="1"/>
  <c r="I665" i="1" a="1"/>
  <c r="I665" i="1" s="1"/>
  <c r="J665" i="1" s="1" a="1"/>
  <c r="J665" i="1" s="1"/>
  <c r="K665" i="1" s="1"/>
  <c r="I782" i="1" a="1"/>
  <c r="I782" i="1" s="1"/>
  <c r="J782" i="1" s="1" a="1"/>
  <c r="J782" i="1" s="1"/>
  <c r="K782" i="1" s="1"/>
  <c r="I831" i="1" a="1"/>
  <c r="I831" i="1" s="1"/>
  <c r="J831" i="1" s="1" a="1"/>
  <c r="J831" i="1" s="1"/>
  <c r="K831" i="1" s="1"/>
  <c r="I877" i="1" a="1"/>
  <c r="I877" i="1" s="1"/>
  <c r="J877" i="1" s="1" a="1"/>
  <c r="J877" i="1" s="1"/>
  <c r="K877" i="1" s="1"/>
  <c r="I922" i="1" a="1"/>
  <c r="I922" i="1" s="1"/>
  <c r="J922" i="1" s="1" a="1"/>
  <c r="J922" i="1" s="1"/>
  <c r="K922" i="1" s="1"/>
  <c r="I969" i="1" a="1"/>
  <c r="I969" i="1" s="1"/>
  <c r="J969" i="1" s="1" a="1"/>
  <c r="J969" i="1" s="1"/>
  <c r="K969" i="1" s="1"/>
  <c r="I1002" i="1" a="1"/>
  <c r="I1002" i="1" s="1"/>
  <c r="J1002" i="1" s="1" a="1"/>
  <c r="J1002" i="1" s="1"/>
  <c r="K1002" i="1" s="1"/>
  <c r="I1026" i="1" a="1"/>
  <c r="I1026" i="1" s="1"/>
  <c r="J1026" i="1" s="1" a="1"/>
  <c r="J1026" i="1" s="1"/>
  <c r="K1026" i="1" s="1"/>
  <c r="I1045" i="1" a="1"/>
  <c r="I1045" i="1" s="1"/>
  <c r="J1045" i="1" s="1" a="1"/>
  <c r="J1045" i="1" s="1"/>
  <c r="K1045" i="1" s="1"/>
  <c r="I1069" i="1" a="1"/>
  <c r="I1069" i="1" s="1"/>
  <c r="J1069" i="1" s="1" a="1"/>
  <c r="J1069" i="1" s="1"/>
  <c r="K1069" i="1" s="1"/>
  <c r="I1092" i="1" a="1"/>
  <c r="I1092" i="1" s="1"/>
  <c r="J1092" i="1" s="1" a="1"/>
  <c r="J1092" i="1" s="1"/>
  <c r="K1092" i="1" s="1"/>
  <c r="I1108" i="1" a="1"/>
  <c r="I1108" i="1" s="1"/>
  <c r="J1108" i="1" s="1" a="1"/>
  <c r="J1108" i="1" s="1"/>
  <c r="K1108" i="1" s="1"/>
  <c r="I1126" i="1" a="1"/>
  <c r="I1126" i="1" s="1"/>
  <c r="J1126" i="1" s="1" a="1"/>
  <c r="J1126" i="1" s="1"/>
  <c r="K1126" i="1" s="1"/>
  <c r="I1141" i="1" a="1"/>
  <c r="I1141" i="1" s="1"/>
  <c r="J1141" i="1" s="1" a="1"/>
  <c r="J1141" i="1" s="1"/>
  <c r="K1141" i="1" s="1"/>
  <c r="I1158" i="1" a="1"/>
  <c r="I1158" i="1" s="1"/>
  <c r="J1158" i="1" s="1" a="1"/>
  <c r="J1158" i="1" s="1"/>
  <c r="K1158" i="1" s="1"/>
  <c r="I1183" i="1" a="1"/>
  <c r="I1183" i="1" s="1"/>
  <c r="J1183" i="1" s="1" a="1"/>
  <c r="J1183" i="1" s="1"/>
  <c r="K1183" i="1" s="1"/>
  <c r="I1196" i="1" a="1"/>
  <c r="I1196" i="1" s="1"/>
  <c r="J1196" i="1" s="1" a="1"/>
  <c r="J1196" i="1" s="1"/>
  <c r="K1196" i="1" s="1"/>
  <c r="I1209" i="1" a="1"/>
  <c r="I1209" i="1" s="1"/>
  <c r="J1209" i="1" s="1" a="1"/>
  <c r="J1209" i="1" s="1"/>
  <c r="K1209" i="1" s="1"/>
  <c r="I1221" i="1" a="1"/>
  <c r="I1221" i="1" s="1"/>
  <c r="J1221" i="1" s="1" a="1"/>
  <c r="J1221" i="1" s="1"/>
  <c r="K1221" i="1" s="1"/>
  <c r="I1234" i="1" a="1"/>
  <c r="I1234" i="1" s="1"/>
  <c r="J1234" i="1" s="1" a="1"/>
  <c r="J1234" i="1" s="1"/>
  <c r="K1234" i="1" s="1"/>
  <c r="I1247" i="1" a="1"/>
  <c r="I1247" i="1" s="1"/>
  <c r="J1247" i="1" s="1" a="1"/>
  <c r="J1247" i="1" s="1"/>
  <c r="K1247" i="1" s="1"/>
  <c r="I1276" i="1" a="1"/>
  <c r="I1276" i="1" s="1"/>
  <c r="J1276" i="1" s="1" a="1"/>
  <c r="J1276" i="1" s="1"/>
  <c r="K1276" i="1" s="1"/>
  <c r="I1290" i="1" a="1"/>
  <c r="I1290" i="1" s="1"/>
  <c r="J1290" i="1" s="1" a="1"/>
  <c r="J1290" i="1" s="1"/>
  <c r="K1290" i="1" s="1"/>
  <c r="I1304" i="1" a="1"/>
  <c r="I1304" i="1" s="1"/>
  <c r="J1304" i="1" s="1" a="1"/>
  <c r="J1304" i="1" s="1"/>
  <c r="K1304" i="1" s="1"/>
  <c r="I1317" i="1" a="1"/>
  <c r="I1317" i="1" s="1"/>
  <c r="J1317" i="1" s="1" a="1"/>
  <c r="J1317" i="1" s="1"/>
  <c r="K1317" i="1" s="1"/>
  <c r="I1331" i="1" a="1"/>
  <c r="I1331" i="1" s="1"/>
  <c r="J1331" i="1" s="1" a="1"/>
  <c r="J1331" i="1" s="1"/>
  <c r="K1331" i="1" s="1"/>
  <c r="I1345" i="1" a="1"/>
  <c r="I1345" i="1" s="1"/>
  <c r="J1345" i="1" s="1" a="1"/>
  <c r="J1345" i="1" s="1"/>
  <c r="K1345" i="1" s="1"/>
  <c r="I1359" i="1" a="1"/>
  <c r="I1359" i="1" s="1"/>
  <c r="J1359" i="1" s="1" a="1"/>
  <c r="J1359" i="1" s="1"/>
  <c r="K1359" i="1" s="1"/>
  <c r="I1387" i="1" a="1"/>
  <c r="I1387" i="1" s="1"/>
  <c r="J1387" i="1" s="1" a="1"/>
  <c r="J1387" i="1" s="1"/>
  <c r="K1387" i="1" s="1"/>
  <c r="I1401" i="1" a="1"/>
  <c r="I1401" i="1" s="1"/>
  <c r="J1401" i="1" s="1" a="1"/>
  <c r="J1401" i="1" s="1"/>
  <c r="K1401" i="1" s="1"/>
  <c r="I1414" i="1" a="1"/>
  <c r="I1414" i="1" s="1"/>
  <c r="J1414" i="1" s="1" a="1"/>
  <c r="J1414" i="1" s="1"/>
  <c r="K1414" i="1" s="1"/>
  <c r="I1428" i="1" a="1"/>
  <c r="I1428" i="1" s="1"/>
  <c r="J1428" i="1" s="1" a="1"/>
  <c r="J1428" i="1" s="1"/>
  <c r="K1428" i="1" s="1"/>
  <c r="I1442" i="1" a="1"/>
  <c r="I1442" i="1" s="1"/>
  <c r="J1442" i="1" s="1" a="1"/>
  <c r="J1442" i="1" s="1"/>
  <c r="K1442" i="1" s="1"/>
  <c r="I1456" i="1" a="1"/>
  <c r="I1456" i="1" s="1"/>
  <c r="J1456" i="1" s="1" a="1"/>
  <c r="J1456" i="1" s="1"/>
  <c r="K1456" i="1" s="1"/>
  <c r="I1470" i="1" a="1"/>
  <c r="I1470" i="1" s="1"/>
  <c r="J1470" i="1" s="1" a="1"/>
  <c r="J1470" i="1" s="1"/>
  <c r="K1470" i="1" s="1"/>
  <c r="I1484" i="1" a="1"/>
  <c r="I1484" i="1" s="1"/>
  <c r="J1484" i="1" s="1" a="1"/>
  <c r="J1484" i="1" s="1"/>
  <c r="K1484" i="1" s="1"/>
  <c r="I1498" i="1" a="1"/>
  <c r="I1498" i="1" s="1"/>
  <c r="J1498" i="1" s="1" a="1"/>
  <c r="J1498" i="1" s="1"/>
  <c r="K1498" i="1" s="1"/>
  <c r="I1511" i="1" a="1"/>
  <c r="I1511" i="1" s="1"/>
  <c r="J1511" i="1" s="1" a="1"/>
  <c r="J1511" i="1" s="1"/>
  <c r="K1511" i="1" s="1"/>
  <c r="I1525" i="1" a="1"/>
  <c r="I1525" i="1" s="1"/>
  <c r="J1525" i="1" s="1" a="1"/>
  <c r="J1525" i="1" s="1"/>
  <c r="K1525" i="1" s="1"/>
  <c r="I1553" i="1" a="1"/>
  <c r="I1553" i="1" s="1"/>
  <c r="J1553" i="1" s="1" a="1"/>
  <c r="J1553" i="1" s="1"/>
  <c r="K1553" i="1" s="1"/>
  <c r="I1577" i="1" a="1"/>
  <c r="I1577" i="1" s="1"/>
  <c r="J1577" i="1" s="1" a="1"/>
  <c r="J1577" i="1" s="1"/>
  <c r="K1577" i="1" s="1"/>
  <c r="I1589" i="1" a="1"/>
  <c r="I1589" i="1" s="1"/>
  <c r="J1589" i="1" s="1" a="1"/>
  <c r="J1589" i="1" s="1"/>
  <c r="K1589" i="1" s="1"/>
  <c r="I1600" i="1" a="1"/>
  <c r="I1600" i="1" s="1"/>
  <c r="J1600" i="1" s="1" a="1"/>
  <c r="J1600" i="1" s="1"/>
  <c r="K1600" i="1" s="1"/>
  <c r="I1612" i="1" a="1"/>
  <c r="I1612" i="1" s="1"/>
  <c r="J1612" i="1" s="1" a="1"/>
  <c r="J1612" i="1" s="1"/>
  <c r="K1612" i="1" s="1"/>
  <c r="I1622" i="1" a="1"/>
  <c r="I1622" i="1" s="1"/>
  <c r="J1622" i="1" s="1" a="1"/>
  <c r="J1622" i="1" s="1"/>
  <c r="K1622" i="1" s="1"/>
  <c r="I1634" i="1" a="1"/>
  <c r="I1634" i="1" s="1"/>
  <c r="J1634" i="1" s="1" a="1"/>
  <c r="J1634" i="1" s="1"/>
  <c r="K1634" i="1" s="1"/>
  <c r="I1645" i="1" a="1"/>
  <c r="I1645" i="1" s="1"/>
  <c r="J1645" i="1" s="1" a="1"/>
  <c r="J1645" i="1" s="1"/>
  <c r="K1645" i="1" s="1"/>
  <c r="I1655" i="1" a="1"/>
  <c r="I1655" i="1" s="1"/>
  <c r="J1655" i="1" s="1" a="1"/>
  <c r="J1655" i="1" s="1"/>
  <c r="K1655" i="1" s="1"/>
  <c r="I1666" i="1" a="1"/>
  <c r="I1666" i="1" s="1"/>
  <c r="J1666" i="1" s="1" a="1"/>
  <c r="J1666" i="1" s="1"/>
  <c r="K1666" i="1" s="1"/>
  <c r="I1678" i="1" a="1"/>
  <c r="I1678" i="1" s="1"/>
  <c r="J1678" i="1" s="1" a="1"/>
  <c r="J1678" i="1" s="1"/>
  <c r="K1678" i="1" s="1"/>
  <c r="I1688" i="1" a="1"/>
  <c r="I1688" i="1" s="1"/>
  <c r="J1688" i="1" s="1" a="1"/>
  <c r="J1688" i="1" s="1"/>
  <c r="K1688" i="1" s="1"/>
  <c r="I1744" i="1" a="1"/>
  <c r="I1744" i="1" s="1"/>
  <c r="J1744" i="1" s="1" a="1"/>
  <c r="J1744" i="1" s="1"/>
  <c r="K1744" i="1" s="1"/>
  <c r="I1755" i="1" a="1"/>
  <c r="I1755" i="1" s="1"/>
  <c r="J1755" i="1" s="1" a="1"/>
  <c r="J1755" i="1" s="1"/>
  <c r="K1755" i="1" s="1"/>
  <c r="I1778" i="1" a="1"/>
  <c r="I1778" i="1" s="1"/>
  <c r="J1778" i="1" s="1" a="1"/>
  <c r="J1778" i="1" s="1"/>
  <c r="K1778" i="1" s="1"/>
  <c r="I1811" i="1" a="1"/>
  <c r="I1811" i="1" s="1"/>
  <c r="J1811" i="1" s="1" a="1"/>
  <c r="J1811" i="1" s="1"/>
  <c r="K1811" i="1" s="1"/>
  <c r="I1832" i="1" a="1"/>
  <c r="I1832" i="1" s="1"/>
  <c r="J1832" i="1" s="1" a="1"/>
  <c r="J1832" i="1" s="1"/>
  <c r="K1832" i="1" s="1"/>
  <c r="I1844" i="1" a="1"/>
  <c r="I1844" i="1" s="1"/>
  <c r="J1844" i="1" s="1" a="1"/>
  <c r="J1844" i="1" s="1"/>
  <c r="K1844" i="1" s="1"/>
  <c r="I1856" i="1" a="1"/>
  <c r="I1856" i="1" s="1"/>
  <c r="J1856" i="1" s="1" a="1"/>
  <c r="J1856" i="1" s="1"/>
  <c r="K1856" i="1" s="1"/>
  <c r="I1868" i="1" a="1"/>
  <c r="I1868" i="1" s="1"/>
  <c r="J1868" i="1" s="1" a="1"/>
  <c r="J1868" i="1" s="1"/>
  <c r="K1868" i="1" s="1"/>
  <c r="I1878" i="1" a="1"/>
  <c r="I1878" i="1" s="1"/>
  <c r="J1878" i="1" s="1" a="1"/>
  <c r="J1878" i="1" s="1"/>
  <c r="K1878" i="1" s="1"/>
  <c r="I1890" i="1" a="1"/>
  <c r="I1890" i="1" s="1"/>
  <c r="J1890" i="1" s="1" a="1"/>
  <c r="J1890" i="1" s="1"/>
  <c r="K1890" i="1" s="1"/>
  <c r="I1902" i="1" a="1"/>
  <c r="I1902" i="1" s="1"/>
  <c r="J1902" i="1" s="1" a="1"/>
  <c r="J1902" i="1" s="1"/>
  <c r="K1902" i="1" s="1"/>
  <c r="I1912" i="1" a="1"/>
  <c r="I1912" i="1" s="1"/>
  <c r="J1912" i="1" s="1" a="1"/>
  <c r="J1912" i="1" s="1"/>
  <c r="K1912" i="1" s="1"/>
  <c r="I1924" i="1" a="1"/>
  <c r="I1924" i="1" s="1"/>
  <c r="J1924" i="1" s="1" a="1"/>
  <c r="J1924" i="1" s="1"/>
  <c r="K1924" i="1" s="1"/>
  <c r="I1934" i="1" a="1"/>
  <c r="I1934" i="1" s="1"/>
  <c r="J1934" i="1" s="1" a="1"/>
  <c r="J1934" i="1" s="1"/>
  <c r="K1934" i="1" s="1"/>
  <c r="I102" i="1" a="1"/>
  <c r="I102" i="1" s="1"/>
  <c r="J102" i="1" s="1" a="1"/>
  <c r="J102" i="1" s="1"/>
  <c r="K102" i="1" s="1"/>
  <c r="I197" i="1" a="1"/>
  <c r="I197" i="1" s="1"/>
  <c r="J197" i="1" s="1" a="1"/>
  <c r="J197" i="1" s="1"/>
  <c r="K197" i="1" s="1"/>
  <c r="I505" i="1" a="1"/>
  <c r="I505" i="1" s="1"/>
  <c r="J505" i="1" s="1" a="1"/>
  <c r="J505" i="1" s="1"/>
  <c r="K505" i="1" s="1"/>
  <c r="I561" i="1" a="1"/>
  <c r="I561" i="1" s="1"/>
  <c r="J561" i="1" s="1" a="1"/>
  <c r="J561" i="1" s="1"/>
  <c r="K561" i="1" s="1"/>
  <c r="I668" i="1" a="1"/>
  <c r="I668" i="1" s="1"/>
  <c r="J668" i="1" s="1" a="1"/>
  <c r="J668" i="1" s="1"/>
  <c r="K668" i="1" s="1"/>
  <c r="I725" i="1" a="1"/>
  <c r="I725" i="1" s="1"/>
  <c r="J725" i="1" s="1" a="1"/>
  <c r="J725" i="1" s="1"/>
  <c r="K725" i="1" s="1"/>
  <c r="I785" i="1" a="1"/>
  <c r="I785" i="1" s="1"/>
  <c r="J785" i="1" s="1" a="1"/>
  <c r="J785" i="1" s="1"/>
  <c r="K785" i="1" s="1"/>
  <c r="I833" i="1" a="1"/>
  <c r="I833" i="1" s="1"/>
  <c r="J833" i="1" s="1" a="1"/>
  <c r="J833" i="1" s="1"/>
  <c r="K833" i="1" s="1"/>
  <c r="I878" i="1" a="1"/>
  <c r="I878" i="1" s="1"/>
  <c r="J878" i="1" s="1" a="1"/>
  <c r="J878" i="1" s="1"/>
  <c r="K878" i="1" s="1"/>
  <c r="I927" i="1" a="1"/>
  <c r="I927" i="1" s="1"/>
  <c r="J927" i="1" s="1" a="1"/>
  <c r="J927" i="1" s="1"/>
  <c r="K927" i="1" s="1"/>
  <c r="I971" i="1" a="1"/>
  <c r="I971" i="1" s="1"/>
  <c r="J971" i="1" s="1" a="1"/>
  <c r="J971" i="1" s="1"/>
  <c r="K971" i="1" s="1"/>
  <c r="I1004" i="1" a="1"/>
  <c r="I1004" i="1" s="1"/>
  <c r="J1004" i="1" s="1" a="1"/>
  <c r="J1004" i="1" s="1"/>
  <c r="K1004" i="1" s="1"/>
  <c r="I1028" i="1" a="1"/>
  <c r="I1028" i="1" s="1"/>
  <c r="J1028" i="1" s="1" a="1"/>
  <c r="J1028" i="1" s="1"/>
  <c r="K1028" i="1" s="1"/>
  <c r="I1051" i="1" a="1"/>
  <c r="I1051" i="1" s="1"/>
  <c r="J1051" i="1" s="1" a="1"/>
  <c r="J1051" i="1" s="1"/>
  <c r="K1051" i="1" s="1"/>
  <c r="I1071" i="1" a="1"/>
  <c r="I1071" i="1" s="1"/>
  <c r="J1071" i="1" s="1" a="1"/>
  <c r="J1071" i="1" s="1"/>
  <c r="K1071" i="1" s="1"/>
  <c r="I1094" i="1" a="1"/>
  <c r="I1094" i="1" s="1"/>
  <c r="J1094" i="1" s="1" a="1"/>
  <c r="J1094" i="1" s="1"/>
  <c r="K1094" i="1" s="1"/>
  <c r="I1109" i="1" a="1"/>
  <c r="I1109" i="1" s="1"/>
  <c r="J1109" i="1" s="1" a="1"/>
  <c r="J1109" i="1" s="1"/>
  <c r="K1109" i="1" s="1"/>
  <c r="I1142" i="1" a="1"/>
  <c r="I1142" i="1" s="1"/>
  <c r="J1142" i="1" s="1" a="1"/>
  <c r="J1142" i="1" s="1"/>
  <c r="K1142" i="1" s="1"/>
  <c r="I1159" i="1" a="1"/>
  <c r="I1159" i="1" s="1"/>
  <c r="J1159" i="1" s="1" a="1"/>
  <c r="J1159" i="1" s="1"/>
  <c r="K1159" i="1" s="1"/>
  <c r="I1171" i="1" a="1"/>
  <c r="I1171" i="1" s="1"/>
  <c r="J1171" i="1" s="1" a="1"/>
  <c r="J1171" i="1" s="1"/>
  <c r="K1171" i="1" s="1"/>
  <c r="I1184" i="1" a="1"/>
  <c r="I1184" i="1" s="1"/>
  <c r="J1184" i="1" s="1" a="1"/>
  <c r="J1184" i="1" s="1"/>
  <c r="K1184" i="1" s="1"/>
  <c r="I1197" i="1" a="1"/>
  <c r="I1197" i="1" s="1"/>
  <c r="J1197" i="1" s="1" a="1"/>
  <c r="J1197" i="1" s="1"/>
  <c r="K1197" i="1" s="1"/>
  <c r="I1222" i="1" a="1"/>
  <c r="I1222" i="1" s="1"/>
  <c r="J1222" i="1" s="1" a="1"/>
  <c r="J1222" i="1" s="1"/>
  <c r="K1222" i="1" s="1"/>
  <c r="I1248" i="1" a="1"/>
  <c r="I1248" i="1" s="1"/>
  <c r="J1248" i="1" s="1" a="1"/>
  <c r="J1248" i="1" s="1"/>
  <c r="K1248" i="1" s="1"/>
  <c r="I1262" i="1" a="1"/>
  <c r="I1262" i="1" s="1"/>
  <c r="J1262" i="1" s="1" a="1"/>
  <c r="J1262" i="1" s="1"/>
  <c r="K1262" i="1" s="1"/>
  <c r="I1277" i="1" a="1"/>
  <c r="I1277" i="1" s="1"/>
  <c r="J1277" i="1" s="1" a="1"/>
  <c r="J1277" i="1" s="1"/>
  <c r="K1277" i="1" s="1"/>
  <c r="I1291" i="1" a="1"/>
  <c r="I1291" i="1" s="1"/>
  <c r="J1291" i="1" s="1" a="1"/>
  <c r="J1291" i="1" s="1"/>
  <c r="K1291" i="1" s="1"/>
  <c r="I1305" i="1" a="1"/>
  <c r="I1305" i="1" s="1"/>
  <c r="J1305" i="1" s="1" a="1"/>
  <c r="J1305" i="1" s="1"/>
  <c r="K1305" i="1" s="1"/>
  <c r="I1318" i="1" a="1"/>
  <c r="I1318" i="1" s="1"/>
  <c r="J1318" i="1" s="1" a="1"/>
  <c r="J1318" i="1" s="1"/>
  <c r="K1318" i="1" s="1"/>
  <c r="I1332" i="1" a="1"/>
  <c r="I1332" i="1" s="1"/>
  <c r="J1332" i="1" s="1" a="1"/>
  <c r="J1332" i="1" s="1"/>
  <c r="K1332" i="1" s="1"/>
  <c r="I1346" i="1" a="1"/>
  <c r="I1346" i="1" s="1"/>
  <c r="J1346" i="1" s="1" a="1"/>
  <c r="J1346" i="1" s="1"/>
  <c r="K1346" i="1" s="1"/>
  <c r="I1360" i="1" a="1"/>
  <c r="I1360" i="1" s="1"/>
  <c r="J1360" i="1" s="1" a="1"/>
  <c r="J1360" i="1" s="1"/>
  <c r="K1360" i="1" s="1"/>
  <c r="I1374" i="1" a="1"/>
  <c r="I1374" i="1" s="1"/>
  <c r="J1374" i="1" s="1" a="1"/>
  <c r="J1374" i="1" s="1"/>
  <c r="K1374" i="1" s="1"/>
  <c r="I1388" i="1" a="1"/>
  <c r="I1388" i="1" s="1"/>
  <c r="J1388" i="1" s="1" a="1"/>
  <c r="J1388" i="1" s="1"/>
  <c r="K1388" i="1" s="1"/>
  <c r="I1402" i="1" a="1"/>
  <c r="I1402" i="1" s="1"/>
  <c r="J1402" i="1" s="1" a="1"/>
  <c r="J1402" i="1" s="1"/>
  <c r="K1402" i="1" s="1"/>
  <c r="I1415" i="1" a="1"/>
  <c r="I1415" i="1" s="1"/>
  <c r="J1415" i="1" s="1" a="1"/>
  <c r="J1415" i="1" s="1"/>
  <c r="K1415" i="1" s="1"/>
  <c r="I1429" i="1" a="1"/>
  <c r="I1429" i="1" s="1"/>
  <c r="J1429" i="1" s="1" a="1"/>
  <c r="J1429" i="1" s="1"/>
  <c r="K1429" i="1" s="1"/>
  <c r="I1457" i="1" a="1"/>
  <c r="I1457" i="1" s="1"/>
  <c r="J1457" i="1" s="1" a="1"/>
  <c r="J1457" i="1" s="1"/>
  <c r="K1457" i="1" s="1"/>
  <c r="I1485" i="1" a="1"/>
  <c r="I1485" i="1" s="1"/>
  <c r="J1485" i="1" s="1" a="1"/>
  <c r="J1485" i="1" s="1"/>
  <c r="K1485" i="1" s="1"/>
  <c r="I1499" i="1" a="1"/>
  <c r="I1499" i="1" s="1"/>
  <c r="J1499" i="1" s="1" a="1"/>
  <c r="J1499" i="1" s="1"/>
  <c r="K1499" i="1" s="1"/>
  <c r="I1512" i="1" a="1"/>
  <c r="I1512" i="1" s="1"/>
  <c r="J1512" i="1" s="1" a="1"/>
  <c r="J1512" i="1" s="1"/>
  <c r="K1512" i="1" s="1"/>
  <c r="I1526" i="1" a="1"/>
  <c r="I1526" i="1" s="1"/>
  <c r="J1526" i="1" s="1" a="1"/>
  <c r="J1526" i="1" s="1"/>
  <c r="K1526" i="1" s="1"/>
  <c r="I1539" i="1" a="1"/>
  <c r="I1539" i="1" s="1"/>
  <c r="J1539" i="1" s="1" a="1"/>
  <c r="J1539" i="1" s="1"/>
  <c r="K1539" i="1" s="1"/>
  <c r="I1554" i="1" a="1"/>
  <c r="I1554" i="1" s="1"/>
  <c r="J1554" i="1" s="1" a="1"/>
  <c r="J1554" i="1" s="1"/>
  <c r="K1554" i="1" s="1"/>
  <c r="I1567" i="1" a="1"/>
  <c r="I1567" i="1" s="1"/>
  <c r="J1567" i="1" s="1" a="1"/>
  <c r="J1567" i="1" s="1"/>
  <c r="K1567" i="1" s="1"/>
  <c r="I1578" i="1" a="1"/>
  <c r="I1578" i="1" s="1"/>
  <c r="J1578" i="1" s="1" a="1"/>
  <c r="J1578" i="1" s="1"/>
  <c r="K1578" i="1" s="1"/>
  <c r="I1601" i="1" a="1"/>
  <c r="I1601" i="1" s="1"/>
  <c r="J1601" i="1" s="1" a="1"/>
  <c r="J1601" i="1" s="1"/>
  <c r="K1601" i="1" s="1"/>
  <c r="I1646" i="1" a="1"/>
  <c r="I1646" i="1" s="1"/>
  <c r="J1646" i="1" s="1" a="1"/>
  <c r="J1646" i="1" s="1"/>
  <c r="K1646" i="1" s="1"/>
  <c r="I1656" i="1" a="1"/>
  <c r="I1656" i="1" s="1"/>
  <c r="J1656" i="1" s="1" a="1"/>
  <c r="J1656" i="1" s="1"/>
  <c r="K1656" i="1" s="1"/>
  <c r="I1689" i="1" a="1"/>
  <c r="I1689" i="1" s="1"/>
  <c r="J1689" i="1" s="1" a="1"/>
  <c r="J1689" i="1" s="1"/>
  <c r="K1689" i="1" s="1"/>
  <c r="I1699" i="1" a="1"/>
  <c r="I1699" i="1" s="1"/>
  <c r="J1699" i="1" s="1" a="1"/>
  <c r="J1699" i="1" s="1"/>
  <c r="K1699" i="1" s="1"/>
  <c r="I1710" i="1" a="1"/>
  <c r="I1710" i="1" s="1"/>
  <c r="J1710" i="1" s="1" a="1"/>
  <c r="J1710" i="1" s="1"/>
  <c r="K1710" i="1" s="1"/>
  <c r="I1722" i="1" a="1"/>
  <c r="I1722" i="1" s="1"/>
  <c r="J1722" i="1" s="1" a="1"/>
  <c r="J1722" i="1" s="1"/>
  <c r="K1722" i="1" s="1"/>
  <c r="I1734" i="1" a="1"/>
  <c r="I1734" i="1" s="1"/>
  <c r="J1734" i="1" s="1" a="1"/>
  <c r="J1734" i="1" s="1"/>
  <c r="K1734" i="1" s="1"/>
  <c r="I1756" i="1" a="1"/>
  <c r="I1756" i="1" s="1"/>
  <c r="J1756" i="1" s="1" a="1"/>
  <c r="J1756" i="1" s="1"/>
  <c r="K1756" i="1" s="1"/>
  <c r="I1767" i="1" a="1"/>
  <c r="I1767" i="1" s="1"/>
  <c r="J1767" i="1" s="1" a="1"/>
  <c r="J1767" i="1" s="1"/>
  <c r="K1767" i="1" s="1"/>
  <c r="I1779" i="1" a="1"/>
  <c r="I1779" i="1" s="1"/>
  <c r="J1779" i="1" s="1" a="1"/>
  <c r="J1779" i="1" s="1"/>
  <c r="K1779" i="1" s="1"/>
  <c r="I1789" i="1" a="1"/>
  <c r="I1789" i="1" s="1"/>
  <c r="J1789" i="1" s="1" a="1"/>
  <c r="J1789" i="1" s="1"/>
  <c r="K1789" i="1" s="1"/>
  <c r="I1799" i="1" a="1"/>
  <c r="I1799" i="1" s="1"/>
  <c r="J1799" i="1" s="1" a="1"/>
  <c r="J1799" i="1" s="1"/>
  <c r="K1799" i="1" s="1"/>
  <c r="I1812" i="1" a="1"/>
  <c r="I1812" i="1" s="1"/>
  <c r="J1812" i="1" s="1" a="1"/>
  <c r="J1812" i="1" s="1"/>
  <c r="K1812" i="1" s="1"/>
  <c r="I1822" i="1" a="1"/>
  <c r="I1822" i="1" s="1"/>
  <c r="J1822" i="1" s="1" a="1"/>
  <c r="J1822" i="1" s="1"/>
  <c r="K1822" i="1" s="1"/>
  <c r="I1857" i="1" a="1"/>
  <c r="I1857" i="1" s="1"/>
  <c r="J1857" i="1" s="1" a="1"/>
  <c r="J1857" i="1" s="1"/>
  <c r="K1857" i="1" s="1"/>
  <c r="I1913" i="1" a="1"/>
  <c r="I1913" i="1" s="1"/>
  <c r="J1913" i="1" s="1" a="1"/>
  <c r="J1913" i="1" s="1"/>
  <c r="K1913" i="1" s="1"/>
  <c r="I21" i="1" a="1"/>
  <c r="I21" i="1" s="1"/>
  <c r="J21" i="1" s="1" a="1"/>
  <c r="J21" i="1" s="1"/>
  <c r="K21" i="1" s="1"/>
  <c r="I114" i="1" a="1"/>
  <c r="I114" i="1" s="1"/>
  <c r="J114" i="1" s="1" a="1"/>
  <c r="J114" i="1" s="1"/>
  <c r="K114" i="1" s="1"/>
  <c r="I208" i="1" a="1"/>
  <c r="I208" i="1" s="1"/>
  <c r="J208" i="1" s="1" a="1"/>
  <c r="J208" i="1" s="1"/>
  <c r="K208" i="1" s="1"/>
  <c r="I301" i="1" a="1"/>
  <c r="I301" i="1" s="1"/>
  <c r="J301" i="1" s="1" a="1"/>
  <c r="J301" i="1" s="1"/>
  <c r="K301" i="1" s="1"/>
  <c r="I348" i="1" a="1"/>
  <c r="I348" i="1" s="1"/>
  <c r="J348" i="1" s="1" a="1"/>
  <c r="J348" i="1" s="1"/>
  <c r="K348" i="1" s="1"/>
  <c r="I404" i="1" a="1"/>
  <c r="I404" i="1" s="1"/>
  <c r="J404" i="1" s="1" a="1"/>
  <c r="J404" i="1" s="1"/>
  <c r="K404" i="1" s="1"/>
  <c r="I460" i="1" a="1"/>
  <c r="I460" i="1" s="1"/>
  <c r="J460" i="1" s="1" a="1"/>
  <c r="J460" i="1" s="1"/>
  <c r="K460" i="1" s="1"/>
  <c r="I516" i="1" a="1"/>
  <c r="I516" i="1" s="1"/>
  <c r="J516" i="1" s="1" a="1"/>
  <c r="J516" i="1" s="1"/>
  <c r="K516" i="1" s="1"/>
  <c r="I571" i="1" a="1"/>
  <c r="I571" i="1" s="1"/>
  <c r="J571" i="1" s="1" a="1"/>
  <c r="J571" i="1" s="1"/>
  <c r="K571" i="1" s="1"/>
  <c r="I622" i="1" a="1"/>
  <c r="I622" i="1" s="1"/>
  <c r="J622" i="1" s="1" a="1"/>
  <c r="J622" i="1" s="1"/>
  <c r="K622" i="1" s="1"/>
  <c r="I679" i="1" a="1"/>
  <c r="I679" i="1" s="1"/>
  <c r="J679" i="1" s="1" a="1"/>
  <c r="J679" i="1" s="1"/>
  <c r="K679" i="1" s="1"/>
  <c r="I737" i="1" a="1"/>
  <c r="I737" i="1" s="1"/>
  <c r="J737" i="1" s="1" a="1"/>
  <c r="J737" i="1" s="1"/>
  <c r="K737" i="1" s="1"/>
  <c r="I797" i="1" a="1"/>
  <c r="I797" i="1" s="1"/>
  <c r="J797" i="1" s="1" a="1"/>
  <c r="J797" i="1" s="1"/>
  <c r="K797" i="1" s="1"/>
  <c r="I841" i="1" a="1"/>
  <c r="I841" i="1" s="1"/>
  <c r="J841" i="1" s="1" a="1"/>
  <c r="J841" i="1" s="1"/>
  <c r="K841" i="1" s="1"/>
  <c r="I889" i="1" a="1"/>
  <c r="I889" i="1" s="1"/>
  <c r="J889" i="1" s="1" a="1"/>
  <c r="J889" i="1" s="1"/>
  <c r="K889" i="1" s="1"/>
  <c r="I935" i="1" a="1"/>
  <c r="I935" i="1" s="1"/>
  <c r="J935" i="1" s="1" a="1"/>
  <c r="J935" i="1" s="1"/>
  <c r="K935" i="1" s="1"/>
  <c r="I977" i="1" a="1"/>
  <c r="I977" i="1" s="1"/>
  <c r="J977" i="1" s="1" a="1"/>
  <c r="J977" i="1" s="1"/>
  <c r="K977" i="1" s="1"/>
  <c r="I1009" i="1" a="1"/>
  <c r="I1009" i="1" s="1"/>
  <c r="J1009" i="1" s="1" a="1"/>
  <c r="J1009" i="1" s="1"/>
  <c r="K1009" i="1" s="1"/>
  <c r="I1030" i="1" a="1"/>
  <c r="I1030" i="1" s="1"/>
  <c r="J1030" i="1" s="1" a="1"/>
  <c r="J1030" i="1" s="1"/>
  <c r="K1030" i="1" s="1"/>
  <c r="I1052" i="1" a="1"/>
  <c r="I1052" i="1" s="1"/>
  <c r="J1052" i="1" s="1" a="1"/>
  <c r="J1052" i="1" s="1"/>
  <c r="K1052" i="1" s="1"/>
  <c r="I1075" i="1" a="1"/>
  <c r="I1075" i="1" s="1"/>
  <c r="J1075" i="1" s="1" a="1"/>
  <c r="J1075" i="1" s="1"/>
  <c r="K1075" i="1" s="1"/>
  <c r="I1110" i="1" a="1"/>
  <c r="I1110" i="1" s="1"/>
  <c r="J1110" i="1" s="1" a="1"/>
  <c r="J1110" i="1" s="1"/>
  <c r="K1110" i="1" s="1"/>
  <c r="I1127" i="1" a="1"/>
  <c r="I1127" i="1" s="1"/>
  <c r="J1127" i="1" s="1" a="1"/>
  <c r="J1127" i="1" s="1"/>
  <c r="K1127" i="1" s="1"/>
  <c r="I1144" i="1" a="1"/>
  <c r="I1144" i="1" s="1"/>
  <c r="J1144" i="1" s="1" a="1"/>
  <c r="J1144" i="1" s="1"/>
  <c r="K1144" i="1" s="1"/>
  <c r="I1160" i="1" a="1"/>
  <c r="I1160" i="1" s="1"/>
  <c r="J1160" i="1" s="1" a="1"/>
  <c r="J1160" i="1" s="1"/>
  <c r="K1160" i="1" s="1"/>
  <c r="I1172" i="1" a="1"/>
  <c r="I1172" i="1" s="1"/>
  <c r="J1172" i="1" s="1" a="1"/>
  <c r="J1172" i="1" s="1"/>
  <c r="K1172" i="1" s="1"/>
  <c r="I1210" i="1" a="1"/>
  <c r="I1210" i="1" s="1"/>
  <c r="J1210" i="1" s="1" a="1"/>
  <c r="J1210" i="1" s="1"/>
  <c r="K1210" i="1" s="1"/>
  <c r="I1223" i="1" a="1"/>
  <c r="I1223" i="1" s="1"/>
  <c r="J1223" i="1" s="1" a="1"/>
  <c r="J1223" i="1" s="1"/>
  <c r="K1223" i="1" s="1"/>
  <c r="I1235" i="1" a="1"/>
  <c r="I1235" i="1" s="1"/>
  <c r="J1235" i="1" s="1" a="1"/>
  <c r="J1235" i="1" s="1"/>
  <c r="K1235" i="1" s="1"/>
  <c r="I1249" i="1" a="1"/>
  <c r="I1249" i="1" s="1"/>
  <c r="J1249" i="1" s="1" a="1"/>
  <c r="J1249" i="1" s="1"/>
  <c r="K1249" i="1" s="1"/>
  <c r="I1263" i="1" a="1"/>
  <c r="I1263" i="1" s="1"/>
  <c r="J1263" i="1" s="1" a="1"/>
  <c r="J1263" i="1" s="1"/>
  <c r="K1263" i="1" s="1"/>
  <c r="I1292" i="1" a="1"/>
  <c r="I1292" i="1" s="1"/>
  <c r="J1292" i="1" s="1" a="1"/>
  <c r="J1292" i="1" s="1"/>
  <c r="K1292" i="1" s="1"/>
  <c r="I1306" i="1" a="1"/>
  <c r="I1306" i="1" s="1"/>
  <c r="J1306" i="1" s="1" a="1"/>
  <c r="J1306" i="1" s="1"/>
  <c r="K1306" i="1" s="1"/>
  <c r="I1319" i="1" a="1"/>
  <c r="I1319" i="1" s="1"/>
  <c r="J1319" i="1" s="1" a="1"/>
  <c r="J1319" i="1" s="1"/>
  <c r="K1319" i="1" s="1"/>
  <c r="I1333" i="1" a="1"/>
  <c r="I1333" i="1" s="1"/>
  <c r="J1333" i="1" s="1" a="1"/>
  <c r="J1333" i="1" s="1"/>
  <c r="K1333" i="1" s="1"/>
  <c r="I1361" i="1" a="1"/>
  <c r="I1361" i="1" s="1"/>
  <c r="J1361" i="1" s="1" a="1"/>
  <c r="J1361" i="1" s="1"/>
  <c r="K1361" i="1" s="1"/>
  <c r="I1389" i="1" a="1"/>
  <c r="I1389" i="1" s="1"/>
  <c r="J1389" i="1" s="1" a="1"/>
  <c r="J1389" i="1" s="1"/>
  <c r="K1389" i="1" s="1"/>
  <c r="I1403" i="1" a="1"/>
  <c r="I1403" i="1" s="1"/>
  <c r="J1403" i="1" s="1" a="1"/>
  <c r="J1403" i="1" s="1"/>
  <c r="K1403" i="1" s="1"/>
  <c r="I1416" i="1" a="1"/>
  <c r="I1416" i="1" s="1"/>
  <c r="J1416" i="1" s="1" a="1"/>
  <c r="J1416" i="1" s="1"/>
  <c r="K1416" i="1" s="1"/>
  <c r="I1430" i="1" a="1"/>
  <c r="I1430" i="1" s="1"/>
  <c r="J1430" i="1" s="1" a="1"/>
  <c r="J1430" i="1" s="1"/>
  <c r="K1430" i="1" s="1"/>
  <c r="I1443" i="1" a="1"/>
  <c r="I1443" i="1" s="1"/>
  <c r="J1443" i="1" s="1" a="1"/>
  <c r="J1443" i="1" s="1"/>
  <c r="K1443" i="1" s="1"/>
  <c r="I1458" i="1" a="1"/>
  <c r="I1458" i="1" s="1"/>
  <c r="J1458" i="1" s="1" a="1"/>
  <c r="J1458" i="1" s="1"/>
  <c r="K1458" i="1" s="1"/>
  <c r="I1471" i="1" a="1"/>
  <c r="I1471" i="1" s="1"/>
  <c r="J1471" i="1" s="1" a="1"/>
  <c r="J1471" i="1" s="1"/>
  <c r="K1471" i="1" s="1"/>
  <c r="I1500" i="1" a="1"/>
  <c r="I1500" i="1" s="1"/>
  <c r="J1500" i="1" s="1" a="1"/>
  <c r="J1500" i="1" s="1"/>
  <c r="K1500" i="1" s="1"/>
  <c r="I1513" i="1" a="1"/>
  <c r="I1513" i="1" s="1"/>
  <c r="J1513" i="1" s="1" a="1"/>
  <c r="J1513" i="1" s="1"/>
  <c r="K1513" i="1" s="1"/>
  <c r="I1527" i="1" a="1"/>
  <c r="I1527" i="1" s="1"/>
  <c r="J1527" i="1" s="1" a="1"/>
  <c r="J1527" i="1" s="1"/>
  <c r="K1527" i="1" s="1"/>
  <c r="I1540" i="1" a="1"/>
  <c r="I1540" i="1" s="1"/>
  <c r="J1540" i="1" s="1" a="1"/>
  <c r="J1540" i="1" s="1"/>
  <c r="K1540" i="1" s="1"/>
  <c r="I1568" i="1" a="1"/>
  <c r="I1568" i="1" s="1"/>
  <c r="J1568" i="1" s="1" a="1"/>
  <c r="J1568" i="1" s="1"/>
  <c r="K1568" i="1" s="1"/>
  <c r="I1579" i="1" a="1"/>
  <c r="I1579" i="1" s="1"/>
  <c r="J1579" i="1" s="1" a="1"/>
  <c r="J1579" i="1" s="1"/>
  <c r="K1579" i="1" s="1"/>
  <c r="I1590" i="1" a="1"/>
  <c r="I1590" i="1" s="1"/>
  <c r="J1590" i="1" s="1" a="1"/>
  <c r="J1590" i="1" s="1"/>
  <c r="K1590" i="1" s="1"/>
  <c r="I1602" i="1" a="1"/>
  <c r="I1602" i="1" s="1"/>
  <c r="J1602" i="1" s="1" a="1"/>
  <c r="J1602" i="1" s="1"/>
  <c r="K1602" i="1" s="1"/>
  <c r="I1613" i="1" a="1"/>
  <c r="I1613" i="1" s="1"/>
  <c r="J1613" i="1" s="1" a="1"/>
  <c r="J1613" i="1" s="1"/>
  <c r="K1613" i="1" s="1"/>
  <c r="I1623" i="1" a="1"/>
  <c r="I1623" i="1" s="1"/>
  <c r="J1623" i="1" s="1" a="1"/>
  <c r="J1623" i="1" s="1"/>
  <c r="K1623" i="1" s="1"/>
  <c r="I1635" i="1" a="1"/>
  <c r="I1635" i="1" s="1"/>
  <c r="J1635" i="1" s="1" a="1"/>
  <c r="J1635" i="1" s="1"/>
  <c r="K1635" i="1" s="1"/>
  <c r="I1657" i="1" a="1"/>
  <c r="I1657" i="1" s="1"/>
  <c r="J1657" i="1" s="1" a="1"/>
  <c r="J1657" i="1" s="1"/>
  <c r="K1657" i="1" s="1"/>
  <c r="I1667" i="1" a="1"/>
  <c r="I1667" i="1" s="1"/>
  <c r="J1667" i="1" s="1" a="1"/>
  <c r="J1667" i="1" s="1"/>
  <c r="K1667" i="1" s="1"/>
  <c r="I1679" i="1" a="1"/>
  <c r="I1679" i="1" s="1"/>
  <c r="J1679" i="1" s="1" a="1"/>
  <c r="J1679" i="1" s="1"/>
  <c r="K1679" i="1" s="1"/>
  <c r="I1700" i="1" a="1"/>
  <c r="I1700" i="1" s="1"/>
  <c r="J1700" i="1" s="1" a="1"/>
  <c r="J1700" i="1" s="1"/>
  <c r="K1700" i="1" s="1"/>
  <c r="I1723" i="1" a="1"/>
  <c r="I1723" i="1" s="1"/>
  <c r="J1723" i="1" s="1" a="1"/>
  <c r="J1723" i="1" s="1"/>
  <c r="K1723" i="1" s="1"/>
  <c r="I1745" i="1" a="1"/>
  <c r="I1745" i="1" s="1"/>
  <c r="J1745" i="1" s="1" a="1"/>
  <c r="J1745" i="1" s="1"/>
  <c r="K1745" i="1" s="1"/>
  <c r="I1768" i="1" a="1"/>
  <c r="I1768" i="1" s="1"/>
  <c r="J1768" i="1" s="1" a="1"/>
  <c r="J1768" i="1" s="1"/>
  <c r="K1768" i="1" s="1"/>
  <c r="I1780" i="1" a="1"/>
  <c r="I1780" i="1" s="1"/>
  <c r="J1780" i="1" s="1" a="1"/>
  <c r="J1780" i="1" s="1"/>
  <c r="K1780" i="1" s="1"/>
  <c r="I1800" i="1" a="1"/>
  <c r="I1800" i="1" s="1"/>
  <c r="J1800" i="1" s="1" a="1"/>
  <c r="J1800" i="1" s="1"/>
  <c r="K1800" i="1" s="1"/>
  <c r="I1833" i="1" a="1"/>
  <c r="I1833" i="1" s="1"/>
  <c r="J1833" i="1" s="1" a="1"/>
  <c r="J1833" i="1" s="1"/>
  <c r="K1833" i="1" s="1"/>
  <c r="I1845" i="1" a="1"/>
  <c r="I1845" i="1" s="1"/>
  <c r="J1845" i="1" s="1" a="1"/>
  <c r="J1845" i="1" s="1"/>
  <c r="K1845" i="1" s="1"/>
  <c r="I1858" i="1" a="1"/>
  <c r="I1858" i="1" s="1"/>
  <c r="J1858" i="1" s="1" a="1"/>
  <c r="J1858" i="1" s="1"/>
  <c r="K1858" i="1" s="1"/>
  <c r="I1869" i="1" a="1"/>
  <c r="I1869" i="1" s="1"/>
  <c r="J1869" i="1" s="1" a="1"/>
  <c r="J1869" i="1" s="1"/>
  <c r="K1869" i="1" s="1"/>
  <c r="I1879" i="1" a="1"/>
  <c r="I1879" i="1" s="1"/>
  <c r="J1879" i="1" s="1" a="1"/>
  <c r="J1879" i="1" s="1"/>
  <c r="K1879" i="1" s="1"/>
  <c r="I1891" i="1" a="1"/>
  <c r="I1891" i="1" s="1"/>
  <c r="J1891" i="1" s="1" a="1"/>
  <c r="J1891" i="1" s="1"/>
  <c r="K1891" i="1" s="1"/>
  <c r="I1903" i="1" a="1"/>
  <c r="I1903" i="1" s="1"/>
  <c r="J1903" i="1" s="1" a="1"/>
  <c r="J1903" i="1" s="1"/>
  <c r="K1903" i="1" s="1"/>
  <c r="I1914" i="1" a="1"/>
  <c r="I1914" i="1" s="1"/>
  <c r="J1914" i="1" s="1" a="1"/>
  <c r="J1914" i="1" s="1"/>
  <c r="K1914" i="1" s="1"/>
  <c r="I1925" i="1" a="1"/>
  <c r="I1925" i="1" s="1"/>
  <c r="J1925" i="1" s="1" a="1"/>
  <c r="J1925" i="1" s="1"/>
  <c r="K1925" i="1" s="1"/>
  <c r="I33" i="1" a="1"/>
  <c r="I33" i="1" s="1"/>
  <c r="J33" i="1" s="1" a="1"/>
  <c r="J33" i="1" s="1"/>
  <c r="K33" i="1" s="1"/>
  <c r="I125" i="1" a="1"/>
  <c r="I125" i="1" s="1"/>
  <c r="J125" i="1" s="1" a="1"/>
  <c r="J125" i="1" s="1"/>
  <c r="K125" i="1" s="1"/>
  <c r="I219" i="1" a="1"/>
  <c r="I219" i="1" s="1"/>
  <c r="J219" i="1" s="1" a="1"/>
  <c r="J219" i="1" s="1"/>
  <c r="K219" i="1" s="1"/>
  <c r="I304" i="1" a="1"/>
  <c r="I304" i="1" s="1"/>
  <c r="J304" i="1" s="1" a="1"/>
  <c r="J304" i="1" s="1"/>
  <c r="K304" i="1" s="1"/>
  <c r="I351" i="1" a="1"/>
  <c r="I351" i="1" s="1"/>
  <c r="J351" i="1" s="1" a="1"/>
  <c r="J351" i="1" s="1"/>
  <c r="K351" i="1" s="1"/>
  <c r="I406" i="1" a="1"/>
  <c r="I406" i="1" s="1"/>
  <c r="J406" i="1" s="1" a="1"/>
  <c r="J406" i="1" s="1"/>
  <c r="K406" i="1" s="1"/>
  <c r="I463" i="1" a="1"/>
  <c r="I463" i="1" s="1"/>
  <c r="J463" i="1" s="1" a="1"/>
  <c r="J463" i="1" s="1"/>
  <c r="K463" i="1" s="1"/>
  <c r="I519" i="1" a="1"/>
  <c r="I519" i="1" s="1"/>
  <c r="J519" i="1" s="1" a="1"/>
  <c r="J519" i="1" s="1"/>
  <c r="K519" i="1" s="1"/>
  <c r="I573" i="1" a="1"/>
  <c r="I573" i="1" s="1"/>
  <c r="J573" i="1" s="1" a="1"/>
  <c r="J573" i="1" s="1"/>
  <c r="K573" i="1" s="1"/>
  <c r="I625" i="1" a="1"/>
  <c r="I625" i="1" s="1"/>
  <c r="J625" i="1" s="1" a="1"/>
  <c r="J625" i="1" s="1"/>
  <c r="K625" i="1" s="1"/>
  <c r="I682" i="1" a="1"/>
  <c r="I682" i="1" s="1"/>
  <c r="J682" i="1" s="1" a="1"/>
  <c r="J682" i="1" s="1"/>
  <c r="K682" i="1" s="1"/>
  <c r="I740" i="1" a="1"/>
  <c r="I740" i="1" s="1"/>
  <c r="J740" i="1" s="1" a="1"/>
  <c r="J740" i="1" s="1"/>
  <c r="K740" i="1" s="1"/>
  <c r="I798" i="1" a="1"/>
  <c r="I798" i="1" s="1"/>
  <c r="J798" i="1" s="1" a="1"/>
  <c r="J798" i="1" s="1"/>
  <c r="K798" i="1" s="1"/>
  <c r="I891" i="1" a="1"/>
  <c r="I891" i="1" s="1"/>
  <c r="J891" i="1" s="1" a="1"/>
  <c r="J891" i="1" s="1"/>
  <c r="K891" i="1" s="1"/>
  <c r="I937" i="1" a="1"/>
  <c r="I937" i="1" s="1"/>
  <c r="J937" i="1" s="1" a="1"/>
  <c r="J937" i="1" s="1"/>
  <c r="K937" i="1" s="1"/>
  <c r="I978" i="1" a="1"/>
  <c r="I978" i="1" s="1"/>
  <c r="J978" i="1" s="1" a="1"/>
  <c r="J978" i="1" s="1"/>
  <c r="K978" i="1" s="1"/>
  <c r="I1035" i="1" a="1"/>
  <c r="I1035" i="1" s="1"/>
  <c r="J1035" i="1" s="1" a="1"/>
  <c r="J1035" i="1" s="1"/>
  <c r="K1035" i="1" s="1"/>
  <c r="I1054" i="1" a="1"/>
  <c r="I1054" i="1" s="1"/>
  <c r="J1054" i="1" s="1" a="1"/>
  <c r="J1054" i="1" s="1"/>
  <c r="K1054" i="1" s="1"/>
  <c r="I1076" i="1" a="1"/>
  <c r="I1076" i="1" s="1"/>
  <c r="J1076" i="1" s="1" a="1"/>
  <c r="J1076" i="1" s="1"/>
  <c r="K1076" i="1" s="1"/>
  <c r="I1096" i="1" a="1"/>
  <c r="I1096" i="1" s="1"/>
  <c r="J1096" i="1" s="1" a="1"/>
  <c r="J1096" i="1" s="1"/>
  <c r="K1096" i="1" s="1"/>
  <c r="I1112" i="1" a="1"/>
  <c r="I1112" i="1" s="1"/>
  <c r="J1112" i="1" s="1" a="1"/>
  <c r="J1112" i="1" s="1"/>
  <c r="K1112" i="1" s="1"/>
  <c r="I1130" i="1" a="1"/>
  <c r="I1130" i="1" s="1"/>
  <c r="J1130" i="1" s="1" a="1"/>
  <c r="J1130" i="1" s="1"/>
  <c r="K1130" i="1" s="1"/>
  <c r="I1146" i="1" a="1"/>
  <c r="I1146" i="1" s="1"/>
  <c r="J1146" i="1" s="1" a="1"/>
  <c r="J1146" i="1" s="1"/>
  <c r="K1146" i="1" s="1"/>
  <c r="I1161" i="1" a="1"/>
  <c r="I1161" i="1" s="1"/>
  <c r="J1161" i="1" s="1" a="1"/>
  <c r="J1161" i="1" s="1"/>
  <c r="K1161" i="1" s="1"/>
  <c r="I1173" i="1" a="1"/>
  <c r="I1173" i="1" s="1"/>
  <c r="J1173" i="1" s="1" a="1"/>
  <c r="J1173" i="1" s="1"/>
  <c r="K1173" i="1" s="1"/>
  <c r="I1186" i="1" a="1"/>
  <c r="I1186" i="1" s="1"/>
  <c r="J1186" i="1" s="1" a="1"/>
  <c r="J1186" i="1" s="1"/>
  <c r="K1186" i="1" s="1"/>
  <c r="I1212" i="1" a="1"/>
  <c r="I1212" i="1" s="1"/>
  <c r="J1212" i="1" s="1" a="1"/>
  <c r="J1212" i="1" s="1"/>
  <c r="K1212" i="1" s="1"/>
  <c r="I1225" i="1" a="1"/>
  <c r="I1225" i="1" s="1"/>
  <c r="J1225" i="1" s="1" a="1"/>
  <c r="J1225" i="1" s="1"/>
  <c r="K1225" i="1" s="1"/>
  <c r="I1237" i="1" a="1"/>
  <c r="I1237" i="1" s="1"/>
  <c r="J1237" i="1" s="1" a="1"/>
  <c r="J1237" i="1" s="1"/>
  <c r="K1237" i="1" s="1"/>
  <c r="I1265" i="1" a="1"/>
  <c r="I1265" i="1" s="1"/>
  <c r="J1265" i="1" s="1" a="1"/>
  <c r="J1265" i="1" s="1"/>
  <c r="K1265" i="1" s="1"/>
  <c r="I1279" i="1" a="1"/>
  <c r="I1279" i="1" s="1"/>
  <c r="J1279" i="1" s="1" a="1"/>
  <c r="J1279" i="1" s="1"/>
  <c r="K1279" i="1" s="1"/>
  <c r="I1308" i="1" a="1"/>
  <c r="I1308" i="1" s="1"/>
  <c r="J1308" i="1" s="1" a="1"/>
  <c r="J1308" i="1" s="1"/>
  <c r="K1308" i="1" s="1"/>
  <c r="I1321" i="1" a="1"/>
  <c r="I1321" i="1" s="1"/>
  <c r="J1321" i="1" s="1" a="1"/>
  <c r="J1321" i="1" s="1"/>
  <c r="K1321" i="1" s="1"/>
  <c r="I1335" i="1" a="1"/>
  <c r="I1335" i="1" s="1"/>
  <c r="J1335" i="1" s="1" a="1"/>
  <c r="J1335" i="1" s="1"/>
  <c r="K1335" i="1" s="1"/>
  <c r="I1348" i="1" a="1"/>
  <c r="I1348" i="1" s="1"/>
  <c r="J1348" i="1" s="1" a="1"/>
  <c r="J1348" i="1" s="1"/>
  <c r="K1348" i="1" s="1"/>
  <c r="I1376" i="1" a="1"/>
  <c r="I1376" i="1" s="1"/>
  <c r="J1376" i="1" s="1" a="1"/>
  <c r="J1376" i="1" s="1"/>
  <c r="K1376" i="1" s="1"/>
  <c r="I1390" i="1" a="1"/>
  <c r="I1390" i="1" s="1"/>
  <c r="J1390" i="1" s="1" a="1"/>
  <c r="J1390" i="1" s="1"/>
  <c r="K1390" i="1" s="1"/>
  <c r="I1405" i="1" a="1"/>
  <c r="I1405" i="1" s="1"/>
  <c r="J1405" i="1" s="1" a="1"/>
  <c r="J1405" i="1" s="1"/>
  <c r="K1405" i="1" s="1"/>
  <c r="I1418" i="1" a="1"/>
  <c r="I1418" i="1" s="1"/>
  <c r="J1418" i="1" s="1" a="1"/>
  <c r="J1418" i="1" s="1"/>
  <c r="K1418" i="1" s="1"/>
  <c r="I1432" i="1" a="1"/>
  <c r="I1432" i="1" s="1"/>
  <c r="J1432" i="1" s="1" a="1"/>
  <c r="J1432" i="1" s="1"/>
  <c r="K1432" i="1" s="1"/>
  <c r="I1445" i="1" a="1"/>
  <c r="I1445" i="1" s="1"/>
  <c r="J1445" i="1" s="1" a="1"/>
  <c r="J1445" i="1" s="1"/>
  <c r="K1445" i="1" s="1"/>
  <c r="I1459" i="1" a="1"/>
  <c r="I1459" i="1" s="1"/>
  <c r="J1459" i="1" s="1" a="1"/>
  <c r="J1459" i="1" s="1"/>
  <c r="K1459" i="1" s="1"/>
  <c r="I1473" i="1" a="1"/>
  <c r="I1473" i="1" s="1"/>
  <c r="J1473" i="1" s="1" a="1"/>
  <c r="J1473" i="1" s="1"/>
  <c r="K1473" i="1" s="1"/>
  <c r="I1487" i="1" a="1"/>
  <c r="I1487" i="1" s="1"/>
  <c r="J1487" i="1" s="1" a="1"/>
  <c r="J1487" i="1" s="1"/>
  <c r="K1487" i="1" s="1"/>
  <c r="I1515" i="1" a="1"/>
  <c r="I1515" i="1" s="1"/>
  <c r="J1515" i="1" s="1" a="1"/>
  <c r="J1515" i="1" s="1"/>
  <c r="K1515" i="1" s="1"/>
  <c r="I1529" i="1" a="1"/>
  <c r="I1529" i="1" s="1"/>
  <c r="J1529" i="1" s="1" a="1"/>
  <c r="J1529" i="1" s="1"/>
  <c r="K1529" i="1" s="1"/>
  <c r="I1542" i="1" a="1"/>
  <c r="I1542" i="1" s="1"/>
  <c r="J1542" i="1" s="1" a="1"/>
  <c r="J1542" i="1" s="1"/>
  <c r="K1542" i="1" s="1"/>
  <c r="I1556" i="1" a="1"/>
  <c r="I1556" i="1" s="1"/>
  <c r="J1556" i="1" s="1" a="1"/>
  <c r="J1556" i="1" s="1"/>
  <c r="K1556" i="1" s="1"/>
  <c r="I1570" i="1" a="1"/>
  <c r="I1570" i="1" s="1"/>
  <c r="J1570" i="1" s="1" a="1"/>
  <c r="J1570" i="1" s="1"/>
  <c r="K1570" i="1" s="1"/>
  <c r="I1581" i="1" a="1"/>
  <c r="I1581" i="1" s="1"/>
  <c r="J1581" i="1" s="1" a="1"/>
  <c r="J1581" i="1" s="1"/>
  <c r="K1581" i="1" s="1"/>
  <c r="I1592" i="1" a="1"/>
  <c r="I1592" i="1" s="1"/>
  <c r="J1592" i="1" s="1" a="1"/>
  <c r="J1592" i="1" s="1"/>
  <c r="K1592" i="1" s="1"/>
  <c r="I1603" i="1" a="1"/>
  <c r="I1603" i="1" s="1"/>
  <c r="J1603" i="1" s="1" a="1"/>
  <c r="J1603" i="1" s="1"/>
  <c r="K1603" i="1" s="1"/>
  <c r="I1614" i="1" a="1"/>
  <c r="I1614" i="1" s="1"/>
  <c r="J1614" i="1" s="1" a="1"/>
  <c r="J1614" i="1" s="1"/>
  <c r="K1614" i="1" s="1"/>
  <c r="I1625" i="1" a="1"/>
  <c r="I1625" i="1" s="1"/>
  <c r="J1625" i="1" s="1" a="1"/>
  <c r="J1625" i="1" s="1"/>
  <c r="K1625" i="1" s="1"/>
  <c r="I1637" i="1" a="1"/>
  <c r="I1637" i="1" s="1"/>
  <c r="J1637" i="1" s="1" a="1"/>
  <c r="J1637" i="1" s="1"/>
  <c r="K1637" i="1" s="1"/>
  <c r="I1648" i="1" a="1"/>
  <c r="I1648" i="1" s="1"/>
  <c r="J1648" i="1" s="1" a="1"/>
  <c r="J1648" i="1" s="1"/>
  <c r="K1648" i="1" s="1"/>
  <c r="I1658" i="1" a="1"/>
  <c r="I1658" i="1" s="1"/>
  <c r="J1658" i="1" s="1" a="1"/>
  <c r="J1658" i="1" s="1"/>
  <c r="K1658" i="1" s="1"/>
  <c r="I1701" i="1" a="1"/>
  <c r="I1701" i="1" s="1"/>
  <c r="J1701" i="1" s="1" a="1"/>
  <c r="J1701" i="1" s="1"/>
  <c r="K1701" i="1" s="1"/>
  <c r="I1712" i="1" a="1"/>
  <c r="I1712" i="1" s="1"/>
  <c r="J1712" i="1" s="1" a="1"/>
  <c r="J1712" i="1" s="1"/>
  <c r="K1712" i="1" s="1"/>
  <c r="I1736" i="1" a="1"/>
  <c r="I1736" i="1" s="1"/>
  <c r="J1736" i="1" s="1" a="1"/>
  <c r="J1736" i="1" s="1"/>
  <c r="K1736" i="1" s="1"/>
  <c r="I1746" i="1" a="1"/>
  <c r="I1746" i="1" s="1"/>
  <c r="J1746" i="1" s="1" a="1"/>
  <c r="J1746" i="1" s="1"/>
  <c r="K1746" i="1" s="1"/>
  <c r="I1770" i="1" a="1"/>
  <c r="I1770" i="1" s="1"/>
  <c r="J1770" i="1" s="1" a="1"/>
  <c r="J1770" i="1" s="1"/>
  <c r="K1770" i="1" s="1"/>
  <c r="I1781" i="1" a="1"/>
  <c r="I1781" i="1" s="1"/>
  <c r="J1781" i="1" s="1" a="1"/>
  <c r="J1781" i="1" s="1"/>
  <c r="K1781" i="1" s="1"/>
  <c r="I1802" i="1" a="1"/>
  <c r="I1802" i="1" s="1"/>
  <c r="J1802" i="1" s="1" a="1"/>
  <c r="J1802" i="1" s="1"/>
  <c r="K1802" i="1" s="1"/>
  <c r="I1824" i="1" a="1"/>
  <c r="I1824" i="1" s="1"/>
  <c r="J1824" i="1" s="1" a="1"/>
  <c r="J1824" i="1" s="1"/>
  <c r="K1824" i="1" s="1"/>
  <c r="I1835" i="1" a="1"/>
  <c r="I1835" i="1" s="1"/>
  <c r="J1835" i="1" s="1" a="1"/>
  <c r="J1835" i="1" s="1"/>
  <c r="K1835" i="1" s="1"/>
  <c r="I1847" i="1" a="1"/>
  <c r="I1847" i="1" s="1"/>
  <c r="J1847" i="1" s="1" a="1"/>
  <c r="J1847" i="1" s="1"/>
  <c r="K1847" i="1" s="1"/>
  <c r="I1859" i="1" a="1"/>
  <c r="I1859" i="1" s="1"/>
  <c r="J1859" i="1" s="1" a="1"/>
  <c r="J1859" i="1" s="1"/>
  <c r="K1859" i="1" s="1"/>
  <c r="I1870" i="1" a="1"/>
  <c r="I1870" i="1" s="1"/>
  <c r="J1870" i="1" s="1" a="1"/>
  <c r="J1870" i="1" s="1"/>
  <c r="K1870" i="1" s="1"/>
  <c r="I1881" i="1" a="1"/>
  <c r="I1881" i="1" s="1"/>
  <c r="J1881" i="1" s="1" a="1"/>
  <c r="J1881" i="1" s="1"/>
  <c r="K1881" i="1" s="1"/>
  <c r="I1893" i="1" a="1"/>
  <c r="I1893" i="1" s="1"/>
  <c r="J1893" i="1" s="1" a="1"/>
  <c r="J1893" i="1" s="1"/>
  <c r="K1893" i="1" s="1"/>
  <c r="I1915" i="1" a="1"/>
  <c r="I1915" i="1" s="1"/>
  <c r="J1915" i="1" s="1" a="1"/>
  <c r="J1915" i="1" s="1"/>
  <c r="K1915" i="1" s="1"/>
  <c r="I1926" i="1" a="1"/>
  <c r="I1926" i="1" s="1"/>
  <c r="J1926" i="1" s="1" a="1"/>
  <c r="J1926" i="1" s="1"/>
  <c r="K1926" i="1" s="1"/>
  <c r="I232" i="1" a="1"/>
  <c r="I232" i="1" s="1"/>
  <c r="J232" i="1" s="1" a="1"/>
  <c r="J232" i="1" s="1"/>
  <c r="K232" i="1" s="1"/>
  <c r="I314" i="1" a="1"/>
  <c r="I314" i="1" s="1"/>
  <c r="J314" i="1" s="1" a="1"/>
  <c r="J314" i="1" s="1"/>
  <c r="K314" i="1" s="1"/>
  <c r="I361" i="1" a="1"/>
  <c r="I361" i="1" s="1"/>
  <c r="J361" i="1" s="1" a="1"/>
  <c r="J361" i="1" s="1"/>
  <c r="K361" i="1" s="1"/>
  <c r="I418" i="1" a="1"/>
  <c r="I418" i="1" s="1"/>
  <c r="J418" i="1" s="1" a="1"/>
  <c r="J418" i="1" s="1"/>
  <c r="K418" i="1" s="1"/>
  <c r="I474" i="1" a="1"/>
  <c r="I474" i="1" s="1"/>
  <c r="J474" i="1" s="1" a="1"/>
  <c r="J474" i="1" s="1"/>
  <c r="K474" i="1" s="1"/>
  <c r="I530" i="1" a="1"/>
  <c r="I530" i="1" s="1"/>
  <c r="J530" i="1" s="1" a="1"/>
  <c r="J530" i="1" s="1"/>
  <c r="K530" i="1" s="1"/>
  <c r="I581" i="1" a="1"/>
  <c r="I581" i="1" s="1"/>
  <c r="J581" i="1" s="1" a="1"/>
  <c r="J581" i="1" s="1"/>
  <c r="K581" i="1" s="1"/>
  <c r="I637" i="1" a="1"/>
  <c r="I637" i="1" s="1"/>
  <c r="J637" i="1" s="1" a="1"/>
  <c r="J637" i="1" s="1"/>
  <c r="K637" i="1" s="1"/>
  <c r="I693" i="1" a="1"/>
  <c r="I693" i="1" s="1"/>
  <c r="J693" i="1" s="1" a="1"/>
  <c r="J693" i="1" s="1"/>
  <c r="K693" i="1" s="1"/>
  <c r="I752" i="1" a="1"/>
  <c r="I752" i="1" s="1"/>
  <c r="J752" i="1" s="1" a="1"/>
  <c r="J752" i="1" s="1"/>
  <c r="K752" i="1" s="1"/>
  <c r="I853" i="1" a="1"/>
  <c r="I853" i="1" s="1"/>
  <c r="J853" i="1" s="1" a="1"/>
  <c r="J853" i="1" s="1"/>
  <c r="K853" i="1" s="1"/>
  <c r="I900" i="1" a="1"/>
  <c r="I900" i="1" s="1"/>
  <c r="J900" i="1" s="1" a="1"/>
  <c r="J900" i="1" s="1"/>
  <c r="K900" i="1" s="1"/>
  <c r="I947" i="1" a="1"/>
  <c r="I947" i="1" s="1"/>
  <c r="J947" i="1" s="1" a="1"/>
  <c r="J947" i="1" s="1"/>
  <c r="K947" i="1" s="1"/>
  <c r="I985" i="1" a="1"/>
  <c r="I985" i="1" s="1"/>
  <c r="J985" i="1" s="1" a="1"/>
  <c r="J985" i="1" s="1"/>
  <c r="K985" i="1" s="1"/>
  <c r="I1012" i="1" a="1"/>
  <c r="I1012" i="1" s="1"/>
  <c r="J1012" i="1" s="1" a="1"/>
  <c r="J1012" i="1" s="1"/>
  <c r="K1012" i="1" s="1"/>
  <c r="I1036" i="1" a="1"/>
  <c r="I1036" i="1" s="1"/>
  <c r="J1036" i="1" s="1" a="1"/>
  <c r="J1036" i="1" s="1"/>
  <c r="K1036" i="1" s="1"/>
  <c r="I1060" i="1" a="1"/>
  <c r="I1060" i="1" s="1"/>
  <c r="J1060" i="1" s="1" a="1"/>
  <c r="J1060" i="1" s="1"/>
  <c r="K1060" i="1" s="1"/>
  <c r="I1079" i="1" a="1"/>
  <c r="I1079" i="1" s="1"/>
  <c r="J1079" i="1" s="1" a="1"/>
  <c r="J1079" i="1" s="1"/>
  <c r="K1079" i="1" s="1"/>
  <c r="I1101" i="1" a="1"/>
  <c r="I1101" i="1" s="1"/>
  <c r="J1101" i="1" s="1" a="1"/>
  <c r="J1101" i="1" s="1"/>
  <c r="K1101" i="1" s="1"/>
  <c r="I1117" i="1" a="1"/>
  <c r="I1117" i="1" s="1"/>
  <c r="J1117" i="1" s="1" a="1"/>
  <c r="J1117" i="1" s="1"/>
  <c r="K1117" i="1" s="1"/>
  <c r="I1150" i="1" a="1"/>
  <c r="I1150" i="1" s="1"/>
  <c r="J1150" i="1" s="1" a="1"/>
  <c r="J1150" i="1" s="1"/>
  <c r="K1150" i="1" s="1"/>
  <c r="I1164" i="1" a="1"/>
  <c r="I1164" i="1" s="1"/>
  <c r="J1164" i="1" s="1" a="1"/>
  <c r="J1164" i="1" s="1"/>
  <c r="K1164" i="1" s="1"/>
  <c r="I1177" i="1" a="1"/>
  <c r="I1177" i="1" s="1"/>
  <c r="J1177" i="1" s="1" a="1"/>
  <c r="J1177" i="1" s="1"/>
  <c r="K1177" i="1" s="1"/>
  <c r="I1189" i="1" a="1"/>
  <c r="I1189" i="1" s="1"/>
  <c r="J1189" i="1" s="1" a="1"/>
  <c r="J1189" i="1" s="1"/>
  <c r="K1189" i="1" s="1"/>
  <c r="I1202" i="1" a="1"/>
  <c r="I1202" i="1" s="1"/>
  <c r="J1202" i="1" s="1" a="1"/>
  <c r="J1202" i="1" s="1"/>
  <c r="K1202" i="1" s="1"/>
  <c r="I1228" i="1" a="1"/>
  <c r="I1228" i="1" s="1"/>
  <c r="J1228" i="1" s="1" a="1"/>
  <c r="J1228" i="1" s="1"/>
  <c r="K1228" i="1" s="1"/>
  <c r="I1241" i="1" a="1"/>
  <c r="I1241" i="1" s="1"/>
  <c r="J1241" i="1" s="1" a="1"/>
  <c r="J1241" i="1" s="1"/>
  <c r="K1241" i="1" s="1"/>
  <c r="I1254" i="1" a="1"/>
  <c r="I1254" i="1" s="1"/>
  <c r="J1254" i="1" s="1" a="1"/>
  <c r="J1254" i="1" s="1"/>
  <c r="K1254" i="1" s="1"/>
  <c r="I1268" i="1" a="1"/>
  <c r="I1268" i="1" s="1"/>
  <c r="J1268" i="1" s="1" a="1"/>
  <c r="J1268" i="1" s="1"/>
  <c r="K1268" i="1" s="1"/>
  <c r="I1297" i="1" a="1"/>
  <c r="I1297" i="1" s="1"/>
  <c r="J1297" i="1" s="1" a="1"/>
  <c r="J1297" i="1" s="1"/>
  <c r="K1297" i="1" s="1"/>
  <c r="I1325" i="1" a="1"/>
  <c r="I1325" i="1" s="1"/>
  <c r="J1325" i="1" s="1" a="1"/>
  <c r="J1325" i="1" s="1"/>
  <c r="K1325" i="1" s="1"/>
  <c r="I1339" i="1" a="1"/>
  <c r="I1339" i="1" s="1"/>
  <c r="J1339" i="1" s="1" a="1"/>
  <c r="J1339" i="1" s="1"/>
  <c r="K1339" i="1" s="1"/>
  <c r="I1352" i="1" a="1"/>
  <c r="I1352" i="1" s="1"/>
  <c r="J1352" i="1" s="1" a="1"/>
  <c r="J1352" i="1" s="1"/>
  <c r="K1352" i="1" s="1"/>
  <c r="I1366" i="1" a="1"/>
  <c r="I1366" i="1" s="1"/>
  <c r="J1366" i="1" s="1" a="1"/>
  <c r="J1366" i="1" s="1"/>
  <c r="K1366" i="1" s="1"/>
  <c r="I1379" i="1" a="1"/>
  <c r="I1379" i="1" s="1"/>
  <c r="J1379" i="1" s="1" a="1"/>
  <c r="J1379" i="1" s="1"/>
  <c r="K1379" i="1" s="1"/>
  <c r="I1394" i="1" a="1"/>
  <c r="I1394" i="1" s="1"/>
  <c r="J1394" i="1" s="1" a="1"/>
  <c r="J1394" i="1" s="1"/>
  <c r="K1394" i="1" s="1"/>
  <c r="I1407" i="1" a="1"/>
  <c r="I1407" i="1" s="1"/>
  <c r="J1407" i="1" s="1" a="1"/>
  <c r="J1407" i="1" s="1"/>
  <c r="K1407" i="1" s="1"/>
  <c r="I1436" i="1" a="1"/>
  <c r="I1436" i="1" s="1"/>
  <c r="J1436" i="1" s="1" a="1"/>
  <c r="J1436" i="1" s="1"/>
  <c r="K1436" i="1" s="1"/>
  <c r="I1449" i="1" a="1"/>
  <c r="I1449" i="1" s="1"/>
  <c r="J1449" i="1" s="1" a="1"/>
  <c r="J1449" i="1" s="1"/>
  <c r="K1449" i="1" s="1"/>
  <c r="I1463" i="1" a="1"/>
  <c r="I1463" i="1" s="1"/>
  <c r="J1463" i="1" s="1" a="1"/>
  <c r="J1463" i="1" s="1"/>
  <c r="K1463" i="1" s="1"/>
  <c r="I1476" i="1" a="1"/>
  <c r="I1476" i="1" s="1"/>
  <c r="J1476" i="1" s="1" a="1"/>
  <c r="J1476" i="1" s="1"/>
  <c r="K1476" i="1" s="1"/>
  <c r="I1504" i="1" a="1"/>
  <c r="I1504" i="1" s="1"/>
  <c r="J1504" i="1" s="1" a="1"/>
  <c r="J1504" i="1" s="1"/>
  <c r="K1504" i="1" s="1"/>
  <c r="I1518" i="1" a="1"/>
  <c r="I1518" i="1" s="1"/>
  <c r="J1518" i="1" s="1" a="1"/>
  <c r="J1518" i="1" s="1"/>
  <c r="K1518" i="1" s="1"/>
  <c r="I1533" i="1" a="1"/>
  <c r="I1533" i="1" s="1"/>
  <c r="J1533" i="1" s="1" a="1"/>
  <c r="J1533" i="1" s="1"/>
  <c r="K1533" i="1" s="1"/>
  <c r="I1546" i="1" a="1"/>
  <c r="I1546" i="1" s="1"/>
  <c r="J1546" i="1" s="1" a="1"/>
  <c r="J1546" i="1" s="1"/>
  <c r="K1546" i="1" s="1"/>
  <c r="I1560" i="1" a="1"/>
  <c r="I1560" i="1" s="1"/>
  <c r="J1560" i="1" s="1" a="1"/>
  <c r="J1560" i="1" s="1"/>
  <c r="K1560" i="1" s="1"/>
  <c r="I1583" i="1" a="1"/>
  <c r="I1583" i="1" s="1"/>
  <c r="J1583" i="1" s="1" a="1"/>
  <c r="J1583" i="1" s="1"/>
  <c r="K1583" i="1" s="1"/>
  <c r="I1606" i="1" a="1"/>
  <c r="I1606" i="1" s="1"/>
  <c r="J1606" i="1" s="1" a="1"/>
  <c r="J1606" i="1" s="1"/>
  <c r="K1606" i="1" s="1"/>
  <c r="I1628" i="1" a="1"/>
  <c r="I1628" i="1" s="1"/>
  <c r="J1628" i="1" s="1" a="1"/>
  <c r="J1628" i="1" s="1"/>
  <c r="K1628" i="1" s="1"/>
  <c r="I1639" i="1" a="1"/>
  <c r="I1639" i="1" s="1"/>
  <c r="J1639" i="1" s="1" a="1"/>
  <c r="J1639" i="1" s="1"/>
  <c r="K1639" i="1" s="1"/>
  <c r="I1650" i="1" a="1"/>
  <c r="I1650" i="1" s="1"/>
  <c r="J1650" i="1" s="1" a="1"/>
  <c r="J1650" i="1" s="1"/>
  <c r="K1650" i="1" s="1"/>
  <c r="I1683" i="1" a="1"/>
  <c r="I1683" i="1" s="1"/>
  <c r="J1683" i="1" s="1" a="1"/>
  <c r="J1683" i="1" s="1"/>
  <c r="K1683" i="1" s="1"/>
  <c r="I1693" i="1" a="1"/>
  <c r="I1693" i="1" s="1"/>
  <c r="J1693" i="1" s="1" a="1"/>
  <c r="J1693" i="1" s="1"/>
  <c r="K1693" i="1" s="1"/>
  <c r="I1703" i="1" a="1"/>
  <c r="I1703" i="1" s="1"/>
  <c r="J1703" i="1" s="1" a="1"/>
  <c r="J1703" i="1" s="1"/>
  <c r="K1703" i="1" s="1"/>
  <c r="I1715" i="1" a="1"/>
  <c r="I1715" i="1" s="1"/>
  <c r="J1715" i="1" s="1" a="1"/>
  <c r="J1715" i="1" s="1"/>
  <c r="K1715" i="1" s="1"/>
  <c r="I1727" i="1" a="1"/>
  <c r="I1727" i="1" s="1"/>
  <c r="J1727" i="1" s="1" a="1"/>
  <c r="J1727" i="1" s="1"/>
  <c r="K1727" i="1" s="1"/>
  <c r="I1739" i="1" a="1"/>
  <c r="I1739" i="1" s="1"/>
  <c r="J1739" i="1" s="1" a="1"/>
  <c r="J1739" i="1" s="1"/>
  <c r="K1739" i="1" s="1"/>
  <c r="I1749" i="1" a="1"/>
  <c r="I1749" i="1" s="1"/>
  <c r="J1749" i="1" s="1" a="1"/>
  <c r="J1749" i="1" s="1"/>
  <c r="K1749" i="1" s="1"/>
  <c r="I1761" i="1" a="1"/>
  <c r="I1761" i="1" s="1"/>
  <c r="J1761" i="1" s="1" a="1"/>
  <c r="J1761" i="1" s="1"/>
  <c r="K1761" i="1" s="1"/>
  <c r="I1773" i="1" a="1"/>
  <c r="I1773" i="1" s="1"/>
  <c r="J1773" i="1" s="1" a="1"/>
  <c r="J1773" i="1" s="1"/>
  <c r="K1773" i="1" s="1"/>
  <c r="I1783" i="1" a="1"/>
  <c r="I1783" i="1" s="1"/>
  <c r="J1783" i="1" s="1" a="1"/>
  <c r="J1783" i="1" s="1"/>
  <c r="K1783" i="1" s="1"/>
  <c r="I1794" i="1" a="1"/>
  <c r="I1794" i="1" s="1"/>
  <c r="J1794" i="1" s="1" a="1"/>
  <c r="J1794" i="1" s="1"/>
  <c r="K1794" i="1" s="1"/>
  <c r="I1806" i="1" a="1"/>
  <c r="I1806" i="1" s="1"/>
  <c r="J1806" i="1" s="1" a="1"/>
  <c r="J1806" i="1" s="1"/>
  <c r="K1806" i="1" s="1"/>
  <c r="I1817" i="1" a="1"/>
  <c r="I1817" i="1" s="1"/>
  <c r="J1817" i="1" s="1" a="1"/>
  <c r="J1817" i="1" s="1"/>
  <c r="K1817" i="1" s="1"/>
  <c r="I57" i="1" a="1"/>
  <c r="I57" i="1" s="1"/>
  <c r="J57" i="1" s="1" a="1"/>
  <c r="J57" i="1" s="1"/>
  <c r="K57" i="1" s="1"/>
  <c r="I150" i="1" a="1"/>
  <c r="I150" i="1" s="1"/>
  <c r="J150" i="1" s="1" a="1"/>
  <c r="J150" i="1" s="1"/>
  <c r="K150" i="1" s="1"/>
  <c r="I243" i="1" a="1"/>
  <c r="I243" i="1" s="1"/>
  <c r="J243" i="1" s="1" a="1"/>
  <c r="J243" i="1" s="1"/>
  <c r="K243" i="1" s="1"/>
  <c r="I364" i="1" a="1"/>
  <c r="I364" i="1" s="1"/>
  <c r="J364" i="1" s="1" a="1"/>
  <c r="J364" i="1" s="1"/>
  <c r="K364" i="1" s="1"/>
  <c r="I477" i="1" a="1"/>
  <c r="I477" i="1" s="1"/>
  <c r="J477" i="1" s="1" a="1"/>
  <c r="J477" i="1" s="1"/>
  <c r="K477" i="1" s="1"/>
  <c r="I583" i="1" a="1"/>
  <c r="I583" i="1" s="1"/>
  <c r="J583" i="1" s="1" a="1"/>
  <c r="J583" i="1" s="1"/>
  <c r="K583" i="1" s="1"/>
  <c r="I639" i="1" a="1"/>
  <c r="I639" i="1" s="1"/>
  <c r="J639" i="1" s="1" a="1"/>
  <c r="J639" i="1" s="1"/>
  <c r="K639" i="1" s="1"/>
  <c r="I696" i="1" a="1"/>
  <c r="I696" i="1" s="1"/>
  <c r="J696" i="1" s="1" a="1"/>
  <c r="J696" i="1" s="1"/>
  <c r="K696" i="1" s="1"/>
  <c r="I755" i="1" a="1"/>
  <c r="I755" i="1" s="1"/>
  <c r="J755" i="1" s="1" a="1"/>
  <c r="J755" i="1" s="1"/>
  <c r="K755" i="1" s="1"/>
  <c r="I811" i="1" a="1"/>
  <c r="I811" i="1" s="1"/>
  <c r="J811" i="1" s="1" a="1"/>
  <c r="J811" i="1" s="1"/>
  <c r="K811" i="1" s="1"/>
  <c r="I855" i="1" a="1"/>
  <c r="I855" i="1" s="1"/>
  <c r="J855" i="1" s="1" a="1"/>
  <c r="J855" i="1" s="1"/>
  <c r="K855" i="1" s="1"/>
  <c r="I904" i="1" a="1"/>
  <c r="I904" i="1" s="1"/>
  <c r="J904" i="1" s="1" a="1"/>
  <c r="J904" i="1" s="1"/>
  <c r="K904" i="1" s="1"/>
  <c r="I949" i="1" a="1"/>
  <c r="I949" i="1" s="1"/>
  <c r="J949" i="1" s="1" a="1"/>
  <c r="J949" i="1" s="1"/>
  <c r="K949" i="1" s="1"/>
  <c r="I987" i="1" a="1"/>
  <c r="I987" i="1" s="1"/>
  <c r="J987" i="1" s="1" a="1"/>
  <c r="J987" i="1" s="1"/>
  <c r="K987" i="1" s="1"/>
  <c r="I1017" i="1" a="1"/>
  <c r="I1017" i="1" s="1"/>
  <c r="J1017" i="1" s="1" a="1"/>
  <c r="J1017" i="1" s="1"/>
  <c r="K1017" i="1" s="1"/>
  <c r="I1061" i="1" a="1"/>
  <c r="I1061" i="1" s="1"/>
  <c r="J1061" i="1" s="1" a="1"/>
  <c r="J1061" i="1" s="1"/>
  <c r="K1061" i="1" s="1"/>
  <c r="I1084" i="1" a="1"/>
  <c r="I1084" i="1" s="1"/>
  <c r="J1084" i="1" s="1" a="1"/>
  <c r="J1084" i="1" s="1"/>
  <c r="K1084" i="1" s="1"/>
  <c r="I1118" i="1" a="1"/>
  <c r="I1118" i="1" s="1"/>
  <c r="J1118" i="1" s="1" a="1"/>
  <c r="J1118" i="1" s="1"/>
  <c r="K1118" i="1" s="1"/>
  <c r="I1134" i="1" a="1"/>
  <c r="I1134" i="1" s="1"/>
  <c r="J1134" i="1" s="1" a="1"/>
  <c r="J1134" i="1" s="1"/>
  <c r="K1134" i="1" s="1"/>
  <c r="I1152" i="1" a="1"/>
  <c r="I1152" i="1" s="1"/>
  <c r="J1152" i="1" s="1" a="1"/>
  <c r="J1152" i="1" s="1"/>
  <c r="K1152" i="1" s="1"/>
  <c r="I1165" i="1" a="1"/>
  <c r="I1165" i="1" s="1"/>
  <c r="J1165" i="1" s="1" a="1"/>
  <c r="J1165" i="1" s="1"/>
  <c r="K1165" i="1" s="1"/>
  <c r="I1178" i="1" a="1"/>
  <c r="I1178" i="1" s="1"/>
  <c r="J1178" i="1" s="1" a="1"/>
  <c r="J1178" i="1" s="1"/>
  <c r="K1178" i="1" s="1"/>
  <c r="I1190" i="1" a="1"/>
  <c r="I1190" i="1" s="1"/>
  <c r="J1190" i="1" s="1" a="1"/>
  <c r="J1190" i="1" s="1"/>
  <c r="K1190" i="1" s="1"/>
  <c r="I1215" i="1" a="1"/>
  <c r="I1215" i="1" s="1"/>
  <c r="J1215" i="1" s="1" a="1"/>
  <c r="J1215" i="1" s="1"/>
  <c r="K1215" i="1" s="1"/>
  <c r="I1229" i="1" a="1"/>
  <c r="I1229" i="1" s="1"/>
  <c r="J1229" i="1" s="1" a="1"/>
  <c r="J1229" i="1" s="1"/>
  <c r="K1229" i="1" s="1"/>
  <c r="I1255" i="1" a="1"/>
  <c r="I1255" i="1" s="1"/>
  <c r="J1255" i="1" s="1" a="1"/>
  <c r="J1255" i="1" s="1"/>
  <c r="K1255" i="1" s="1"/>
  <c r="I1269" i="1" a="1"/>
  <c r="I1269" i="1" s="1"/>
  <c r="J1269" i="1" s="1" a="1"/>
  <c r="J1269" i="1" s="1"/>
  <c r="K1269" i="1" s="1"/>
  <c r="I1283" i="1" a="1"/>
  <c r="I1283" i="1" s="1"/>
  <c r="J1283" i="1" s="1" a="1"/>
  <c r="J1283" i="1" s="1"/>
  <c r="K1283" i="1" s="1"/>
  <c r="I1298" i="1" a="1"/>
  <c r="I1298" i="1" s="1"/>
  <c r="J1298" i="1" s="1" a="1"/>
  <c r="J1298" i="1" s="1"/>
  <c r="K1298" i="1" s="1"/>
  <c r="I1311" i="1" a="1"/>
  <c r="I1311" i="1" s="1"/>
  <c r="J1311" i="1" s="1" a="1"/>
  <c r="J1311" i="1" s="1"/>
  <c r="K1311" i="1" s="1"/>
  <c r="I1340" i="1" a="1"/>
  <c r="I1340" i="1" s="1"/>
  <c r="J1340" i="1" s="1" a="1"/>
  <c r="J1340" i="1" s="1"/>
  <c r="K1340" i="1" s="1"/>
  <c r="I1353" i="1" a="1"/>
  <c r="I1353" i="1" s="1"/>
  <c r="J1353" i="1" s="1" a="1"/>
  <c r="J1353" i="1" s="1"/>
  <c r="K1353" i="1" s="1"/>
  <c r="I1367" i="1" a="1"/>
  <c r="I1367" i="1" s="1"/>
  <c r="J1367" i="1" s="1" a="1"/>
  <c r="J1367" i="1" s="1"/>
  <c r="K1367" i="1" s="1"/>
  <c r="I1380" i="1" a="1"/>
  <c r="I1380" i="1" s="1"/>
  <c r="J1380" i="1" s="1" a="1"/>
  <c r="J1380" i="1" s="1"/>
  <c r="K1380" i="1" s="1"/>
  <c r="I1408" i="1" a="1"/>
  <c r="I1408" i="1" s="1"/>
  <c r="J1408" i="1" s="1" a="1"/>
  <c r="J1408" i="1" s="1"/>
  <c r="K1408" i="1" s="1"/>
  <c r="I1422" i="1" a="1"/>
  <c r="I1422" i="1" s="1"/>
  <c r="J1422" i="1" s="1" a="1"/>
  <c r="J1422" i="1" s="1"/>
  <c r="K1422" i="1" s="1"/>
  <c r="I1437" i="1" a="1"/>
  <c r="I1437" i="1" s="1"/>
  <c r="J1437" i="1" s="1" a="1"/>
  <c r="J1437" i="1" s="1"/>
  <c r="K1437" i="1" s="1"/>
  <c r="I1450" i="1" a="1"/>
  <c r="I1450" i="1" s="1"/>
  <c r="J1450" i="1" s="1" a="1"/>
  <c r="J1450" i="1" s="1"/>
  <c r="K1450" i="1" s="1"/>
  <c r="I1464" i="1" a="1"/>
  <c r="I1464" i="1" s="1"/>
  <c r="J1464" i="1" s="1" a="1"/>
  <c r="J1464" i="1" s="1"/>
  <c r="K1464" i="1" s="1"/>
  <c r="I1477" i="1" a="1"/>
  <c r="I1477" i="1" s="1"/>
  <c r="J1477" i="1" s="1" a="1"/>
  <c r="J1477" i="1" s="1"/>
  <c r="K1477" i="1" s="1"/>
  <c r="I1491" i="1" a="1"/>
  <c r="I1491" i="1" s="1"/>
  <c r="J1491" i="1" s="1" a="1"/>
  <c r="J1491" i="1" s="1"/>
  <c r="K1491" i="1" s="1"/>
  <c r="I1505" i="1" a="1"/>
  <c r="I1505" i="1" s="1"/>
  <c r="J1505" i="1" s="1" a="1"/>
  <c r="J1505" i="1" s="1"/>
  <c r="K1505" i="1" s="1"/>
  <c r="I1519" i="1" a="1"/>
  <c r="I1519" i="1" s="1"/>
  <c r="J1519" i="1" s="1" a="1"/>
  <c r="J1519" i="1" s="1"/>
  <c r="K1519" i="1" s="1"/>
  <c r="I1547" i="1" a="1"/>
  <c r="I1547" i="1" s="1"/>
  <c r="J1547" i="1" s="1" a="1"/>
  <c r="J1547" i="1" s="1"/>
  <c r="K1547" i="1" s="1"/>
  <c r="I1561" i="1" a="1"/>
  <c r="I1561" i="1" s="1"/>
  <c r="J1561" i="1" s="1" a="1"/>
  <c r="J1561" i="1" s="1"/>
  <c r="K1561" i="1" s="1"/>
  <c r="I1573" i="1" a="1"/>
  <c r="I1573" i="1" s="1"/>
  <c r="J1573" i="1" s="1" a="1"/>
  <c r="J1573" i="1" s="1"/>
  <c r="K1573" i="1" s="1"/>
  <c r="I1584" i="1" a="1"/>
  <c r="I1584" i="1" s="1"/>
  <c r="J1584" i="1" s="1" a="1"/>
  <c r="J1584" i="1" s="1"/>
  <c r="K1584" i="1" s="1"/>
  <c r="I1595" i="1" a="1"/>
  <c r="I1595" i="1" s="1"/>
  <c r="J1595" i="1" s="1" a="1"/>
  <c r="J1595" i="1" s="1"/>
  <c r="K1595" i="1" s="1"/>
  <c r="I1617" i="1" a="1"/>
  <c r="I1617" i="1" s="1"/>
  <c r="J1617" i="1" s="1" a="1"/>
  <c r="J1617" i="1" s="1"/>
  <c r="K1617" i="1" s="1"/>
  <c r="I1640" i="1" a="1"/>
  <c r="I1640" i="1" s="1"/>
  <c r="J1640" i="1" s="1" a="1"/>
  <c r="J1640" i="1" s="1"/>
  <c r="K1640" i="1" s="1"/>
  <c r="I1651" i="1" a="1"/>
  <c r="I1651" i="1" s="1"/>
  <c r="J1651" i="1" s="1" a="1"/>
  <c r="J1651" i="1" s="1"/>
  <c r="K1651" i="1" s="1"/>
  <c r="I1661" i="1" a="1"/>
  <c r="I1661" i="1" s="1"/>
  <c r="J1661" i="1" s="1" a="1"/>
  <c r="J1661" i="1" s="1"/>
  <c r="K1661" i="1" s="1"/>
  <c r="I1671" i="1" a="1"/>
  <c r="I1671" i="1" s="1"/>
  <c r="J1671" i="1" s="1" a="1"/>
  <c r="J1671" i="1" s="1"/>
  <c r="K1671" i="1" s="1"/>
  <c r="I1684" i="1" a="1"/>
  <c r="I1684" i="1" s="1"/>
  <c r="J1684" i="1" s="1" a="1"/>
  <c r="J1684" i="1" s="1"/>
  <c r="K1684" i="1" s="1"/>
  <c r="I1704" i="1" a="1"/>
  <c r="I1704" i="1" s="1"/>
  <c r="J1704" i="1" s="1" a="1"/>
  <c r="J1704" i="1" s="1"/>
  <c r="K1704" i="1" s="1"/>
  <c r="I1716" i="1" a="1"/>
  <c r="I1716" i="1" s="1"/>
  <c r="J1716" i="1" s="1" a="1"/>
  <c r="J1716" i="1" s="1"/>
  <c r="K1716" i="1" s="1"/>
  <c r="I1728" i="1" a="1"/>
  <c r="I1728" i="1" s="1"/>
  <c r="J1728" i="1" s="1" a="1"/>
  <c r="J1728" i="1" s="1"/>
  <c r="K1728" i="1" s="1"/>
  <c r="I1740" i="1" a="1"/>
  <c r="I1740" i="1" s="1"/>
  <c r="J1740" i="1" s="1" a="1"/>
  <c r="J1740" i="1" s="1"/>
  <c r="K1740" i="1" s="1"/>
  <c r="I1750" i="1" a="1"/>
  <c r="I1750" i="1" s="1"/>
  <c r="J1750" i="1" s="1" a="1"/>
  <c r="J1750" i="1" s="1"/>
  <c r="K1750" i="1" s="1"/>
  <c r="I1762" i="1" a="1"/>
  <c r="I1762" i="1" s="1"/>
  <c r="J1762" i="1" s="1" a="1"/>
  <c r="J1762" i="1" s="1"/>
  <c r="K1762" i="1" s="1"/>
  <c r="I1774" i="1" a="1"/>
  <c r="I1774" i="1" s="1"/>
  <c r="J1774" i="1" s="1" a="1"/>
  <c r="J1774" i="1" s="1"/>
  <c r="K1774" i="1" s="1"/>
  <c r="I1784" i="1" a="1"/>
  <c r="I1784" i="1" s="1"/>
  <c r="J1784" i="1" s="1" a="1"/>
  <c r="J1784" i="1" s="1"/>
  <c r="K1784" i="1" s="1"/>
  <c r="I1828" i="1" a="1"/>
  <c r="I1828" i="1" s="1"/>
  <c r="J1828" i="1" s="1" a="1"/>
  <c r="J1828" i="1" s="1"/>
  <c r="K1828" i="1" s="1"/>
  <c r="I1851" i="1" a="1"/>
  <c r="I1851" i="1" s="1"/>
  <c r="J1851" i="1" s="1" a="1"/>
  <c r="J1851" i="1" s="1"/>
  <c r="K1851" i="1" s="1"/>
  <c r="I1873" i="1" a="1"/>
  <c r="I1873" i="1" s="1"/>
  <c r="J1873" i="1" s="1" a="1"/>
  <c r="J1873" i="1" s="1"/>
  <c r="K1873" i="1" s="1"/>
  <c r="I1896" i="1" a="1"/>
  <c r="I1896" i="1" s="1"/>
  <c r="J1896" i="1" s="1" a="1"/>
  <c r="J1896" i="1" s="1"/>
  <c r="K1896" i="1" s="1"/>
  <c r="I1908" i="1" a="1"/>
  <c r="I1908" i="1" s="1"/>
  <c r="J1908" i="1" s="1" a="1"/>
  <c r="J1908" i="1" s="1"/>
  <c r="K1908" i="1" s="1"/>
  <c r="I1929" i="1" a="1"/>
  <c r="I1929" i="1" s="1"/>
  <c r="J1929" i="1" s="1" a="1"/>
  <c r="J1929" i="1" s="1"/>
  <c r="K1929" i="1" s="1"/>
  <c r="I1895" i="1" a="1"/>
  <c r="I1895" i="1" s="1"/>
  <c r="J1895" i="1" s="1" a="1"/>
  <c r="J1895" i="1" s="1"/>
  <c r="K1895" i="1" s="1"/>
  <c r="I1850" i="1" a="1"/>
  <c r="I1850" i="1" s="1"/>
  <c r="J1850" i="1" s="1" a="1"/>
  <c r="J1850" i="1" s="1"/>
  <c r="K1850" i="1" s="1"/>
  <c r="I1785" i="1" a="1"/>
  <c r="I1785" i="1" s="1"/>
  <c r="J1785" i="1" s="1" a="1"/>
  <c r="J1785" i="1" s="1"/>
  <c r="K1785" i="1" s="1"/>
  <c r="I1694" i="1" a="1"/>
  <c r="I1694" i="1" s="1"/>
  <c r="J1694" i="1" s="1" a="1"/>
  <c r="J1694" i="1" s="1"/>
  <c r="K1694" i="1" s="1"/>
  <c r="I1607" i="1" a="1"/>
  <c r="I1607" i="1" s="1"/>
  <c r="J1607" i="1" s="1" a="1"/>
  <c r="J1607" i="1" s="1"/>
  <c r="K1607" i="1" s="1"/>
  <c r="I1506" i="1" a="1"/>
  <c r="I1506" i="1" s="1"/>
  <c r="J1506" i="1" s="1" a="1"/>
  <c r="J1506" i="1" s="1"/>
  <c r="K1506" i="1" s="1"/>
  <c r="I1395" i="1" a="1"/>
  <c r="I1395" i="1" s="1"/>
  <c r="J1395" i="1" s="1" a="1"/>
  <c r="J1395" i="1" s="1"/>
  <c r="K1395" i="1" s="1"/>
  <c r="I1284" i="1" a="1"/>
  <c r="I1284" i="1" s="1"/>
  <c r="J1284" i="1" s="1" a="1"/>
  <c r="J1284" i="1" s="1"/>
  <c r="K1284" i="1" s="1"/>
  <c r="I1042" i="1" a="1"/>
  <c r="I1042" i="1" s="1"/>
  <c r="J1042" i="1" s="1" a="1"/>
  <c r="J1042" i="1" s="1"/>
  <c r="K1042" i="1" s="1"/>
  <c r="I707" i="1" a="1"/>
  <c r="I707" i="1" s="1"/>
  <c r="J707" i="1" s="1" a="1"/>
  <c r="J707" i="1" s="1"/>
  <c r="K707" i="1" s="1"/>
  <c r="I255" i="1" a="1"/>
  <c r="I255" i="1" s="1"/>
  <c r="J255" i="1" s="1" a="1"/>
  <c r="J255" i="1" s="1"/>
  <c r="K255" i="1" s="1"/>
  <c r="I1918" i="1" a="1"/>
  <c r="I1918" i="1" s="1"/>
  <c r="J1918" i="1" s="1" a="1"/>
  <c r="J1918" i="1" s="1"/>
  <c r="K1918" i="1" s="1"/>
  <c r="I1562" i="1" a="1"/>
  <c r="I1562" i="1" s="1"/>
  <c r="J1562" i="1" s="1" a="1"/>
  <c r="J1562" i="1" s="1"/>
  <c r="K1562" i="1" s="1"/>
  <c r="I1341" i="1" a="1"/>
  <c r="I1341" i="1" s="1"/>
  <c r="J1341" i="1" s="1" a="1"/>
  <c r="J1341" i="1" s="1"/>
  <c r="K1341" i="1" s="1"/>
  <c r="I912" i="1" a="1"/>
  <c r="I912" i="1" s="1"/>
  <c r="J912" i="1" s="1" a="1"/>
  <c r="J912" i="1" s="1"/>
  <c r="K912" i="1" s="1"/>
  <c r="I1818" i="1" a="1"/>
  <c r="I1818" i="1" s="1"/>
  <c r="J1818" i="1" s="1" a="1"/>
  <c r="J1818" i="1" s="1"/>
  <c r="K1818" i="1" s="1"/>
  <c r="I1885" i="1" a="1"/>
  <c r="I1885" i="1" s="1"/>
  <c r="J1885" i="1" s="1" a="1"/>
  <c r="J1885" i="1" s="1"/>
  <c r="K1885" i="1" s="1"/>
  <c r="I1839" i="1" a="1"/>
  <c r="I1839" i="1" s="1"/>
  <c r="J1839" i="1" s="1" a="1"/>
  <c r="J1839" i="1" s="1"/>
  <c r="K1839" i="1" s="1"/>
  <c r="I1596" i="1" a="1"/>
  <c r="I1596" i="1" s="1"/>
  <c r="J1596" i="1" s="1" a="1"/>
  <c r="J1596" i="1" s="1"/>
  <c r="K1596" i="1" s="1"/>
  <c r="I1492" i="1" a="1"/>
  <c r="I1492" i="1" s="1"/>
  <c r="J1492" i="1" s="1" a="1"/>
  <c r="J1492" i="1" s="1"/>
  <c r="K1492" i="1" s="1"/>
  <c r="I1381" i="1" a="1"/>
  <c r="I1381" i="1" s="1"/>
  <c r="J1381" i="1" s="1" a="1"/>
  <c r="J1381" i="1" s="1"/>
  <c r="K1381" i="1" s="1"/>
  <c r="I1270" i="1" a="1"/>
  <c r="I1270" i="1" s="1"/>
  <c r="J1270" i="1" s="1" a="1"/>
  <c r="J1270" i="1" s="1"/>
  <c r="K1270" i="1" s="1"/>
  <c r="I1166" i="1" a="1"/>
  <c r="I1166" i="1" s="1"/>
  <c r="J1166" i="1" s="1" a="1"/>
  <c r="J1166" i="1" s="1"/>
  <c r="K1166" i="1" s="1"/>
  <c r="I1018" i="1" a="1"/>
  <c r="I1018" i="1" s="1"/>
  <c r="J1018" i="1" s="1" a="1"/>
  <c r="J1018" i="1" s="1"/>
  <c r="K1018" i="1" s="1"/>
  <c r="I651" i="1" a="1"/>
  <c r="I651" i="1" s="1"/>
  <c r="J651" i="1" s="1" a="1"/>
  <c r="J651" i="1" s="1"/>
  <c r="K651" i="1" s="1"/>
  <c r="I162" i="1" a="1"/>
  <c r="I162" i="1" s="1"/>
  <c r="J162" i="1" s="1" a="1"/>
  <c r="J162" i="1" s="1"/>
  <c r="K162" i="1" s="1"/>
  <c r="B7" i="5"/>
  <c r="B6" i="5"/>
  <c r="B8" i="5"/>
  <c r="B9" i="5"/>
  <c r="B5" i="5"/>
  <c r="K388" i="1" l="1"/>
  <c r="C5" i="5"/>
  <c r="C7" i="5"/>
  <c r="K390" i="1"/>
  <c r="K391" i="1"/>
  <c r="C8" i="5"/>
  <c r="K389" i="1"/>
  <c r="C6" i="5"/>
  <c r="K387" i="1"/>
  <c r="C4" i="5"/>
  <c r="K392" i="1"/>
  <c r="C9" i="5"/>
  <c r="K393" i="1"/>
  <c r="C10" i="5"/>
  <c r="K386" i="1"/>
  <c r="C3" i="5"/>
  <c r="C2" i="5"/>
  <c r="B3" i="5"/>
  <c r="B4" i="5"/>
  <c r="B2" i="5"/>
  <c r="B1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tc={31265709-E6EF-6A4C-A1D7-2325ADB40A62}</author>
  </authors>
  <commentList>
    <comment ref="E1" authorId="0" shapeId="0" xr:uid="{31265709-E6EF-6A4C-A1D7-2325ADB40A6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all schools appeared in our list of contributions. Tried to match as many as possible with a marker of “1”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<sst xmlns="http://schemas.openxmlformats.org/spreadsheetml/2006/main" count="8107" uniqueCount="579">
  <si>
    <t>STATE OF NEVADA</t>
  </si>
  <si>
    <t>NV BD OF VET MEDICAL EXAM</t>
  </si>
  <si>
    <t>BD OF EXAM FOR SOC WORKER</t>
  </si>
  <si>
    <t>BD OF CHIROPRACTIC EXAMIN</t>
  </si>
  <si>
    <t>ST BD OF DENTAL EXAMINERS</t>
  </si>
  <si>
    <t>NV BD OF DISPENSING OPT</t>
  </si>
  <si>
    <t>COSMETOLOGY BOARD</t>
  </si>
  <si>
    <t>LIQ PET GAS BD</t>
  </si>
  <si>
    <t>BOARD OF NURSING</t>
  </si>
  <si>
    <t>ACCOUNTANCY BOARD</t>
  </si>
  <si>
    <t>LEGISLATIVE COUNSEL</t>
  </si>
  <si>
    <t>NV ST BOARD OF PHARMACY</t>
  </si>
  <si>
    <t>NV ST BOARD ARCHITECTURE</t>
  </si>
  <si>
    <t>ST BD OF MEDICAL EXAMINER</t>
  </si>
  <si>
    <t>NV RURAL HOUSING</t>
  </si>
  <si>
    <t>STATE BOARD OF OPTOMETRY</t>
  </si>
  <si>
    <t>BOARD OF OSTEOPATHIC MED</t>
  </si>
  <si>
    <t>UNIVERSITY OF NEVADA-RENO</t>
  </si>
  <si>
    <t>UNLV</t>
  </si>
  <si>
    <t>CHURCHILL CO SCHOOL DIST</t>
  </si>
  <si>
    <t>CLARK CO SCHOOL DISTRICT</t>
  </si>
  <si>
    <t>DOUGLAS CO SCHOOL DIST</t>
  </si>
  <si>
    <t>ELKO CO SCHOOL DISTRICT</t>
  </si>
  <si>
    <t>ESMERALDA CO SCHOOL DIST</t>
  </si>
  <si>
    <t>EUREKA CO SCHOOL DISTRICT</t>
  </si>
  <si>
    <t>HUMBOLDT CO SCHOOL DIST</t>
  </si>
  <si>
    <t>LANDER CO SCHOOL DISTRICT</t>
  </si>
  <si>
    <t>LINCOLN CO SCHOOL DIST</t>
  </si>
  <si>
    <t>LYON CO SCHOOL DISTRICT</t>
  </si>
  <si>
    <t>MINERAL CO SCHOOL DIST</t>
  </si>
  <si>
    <t>NYE COUNTY SCHOOL DIST</t>
  </si>
  <si>
    <t>CARSON CITY SCHOOL</t>
  </si>
  <si>
    <t>PERSHING CO SCHOOL DIST</t>
  </si>
  <si>
    <t>STOREY CO SCHOOL DISTRICT</t>
  </si>
  <si>
    <t>WASHOE CO SCHOOL-CERT</t>
  </si>
  <si>
    <t>WASHOE CO SCHOOL-CLASS</t>
  </si>
  <si>
    <t>WHITE PINE CO SCHOOL DIST</t>
  </si>
  <si>
    <t>ICDA CHARTER HIGH SCHOOL</t>
  </si>
  <si>
    <t>ODYSSEY CHARTER SCHOOL</t>
  </si>
  <si>
    <t>SIERRA NEVADA ACADEMY</t>
  </si>
  <si>
    <t>CORAL ACADEMY OF SCIENCE</t>
  </si>
  <si>
    <t>employer_code</t>
  </si>
  <si>
    <t>employer_name</t>
  </si>
  <si>
    <t>100</t>
  </si>
  <si>
    <t>161</t>
  </si>
  <si>
    <t>162</t>
  </si>
  <si>
    <t>163</t>
  </si>
  <si>
    <t>164</t>
  </si>
  <si>
    <t>165</t>
  </si>
  <si>
    <t>170</t>
  </si>
  <si>
    <t>171</t>
  </si>
  <si>
    <t>174</t>
  </si>
  <si>
    <t>175</t>
  </si>
  <si>
    <t>176</t>
  </si>
  <si>
    <t>179</t>
  </si>
  <si>
    <t>181</t>
  </si>
  <si>
    <t>182</t>
  </si>
  <si>
    <t>187</t>
  </si>
  <si>
    <t>188</t>
  </si>
  <si>
    <t>189</t>
  </si>
  <si>
    <t>190</t>
  </si>
  <si>
    <t>191</t>
  </si>
  <si>
    <t>201</t>
  </si>
  <si>
    <t>202</t>
  </si>
  <si>
    <t>203</t>
  </si>
  <si>
    <t>204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</si>
  <si>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</si>
  <si>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</si>
  <si>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</si>
  <si>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</si>
  <si>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</si>
  <si>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</si>
  <si>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</si>
  <si>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</si>
  <si>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</si>
  <si>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</si>
  <si>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217</t>
  </si>
  <si>
    <t>218</t>
  </si>
  <si>
    <t>219</t>
  </si>
  <si>
    <t>220</t>
  </si>
  <si>
    <t>221</t>
  </si>
  <si>
    <t>223</t>
  </si>
  <si>
    <t>225</t>
  </si>
  <si>
    <t>227</t>
  </si>
  <si>
    <t>BAILEY CHARTER SCHOOL</t>
  </si>
  <si>
    <t>ANDRE AGASSI PREP ACDMY</t>
  </si>
  <si>
    <t>EXPLORE KNOWLEDGE CHARTER</t>
  </si>
  <si>
    <t>MARIPOSA ACADEMY</t>
  </si>
  <si>
    <t>ACADEMY FOR CAREER ED</t>
  </si>
  <si>
    <t>HIGH DSRT MONTESSORI SCH</t>
  </si>
  <si>
    <t>RAINSHADOW COM CHARTER HS</t>
  </si>
  <si>
    <t>SILVER STATE HIGH SCHOOL</t>
  </si>
  <si>
    <t>NEVADA STATE HIGH SCHOOL</t>
  </si>
  <si>
    <t>CARSON MONTESSORI SCHOOL</t>
  </si>
  <si>
    <t>100 ACADEMY OF EXCELLENCE</t>
  </si>
  <si>
    <t>INNOVATIONS CHARTER</t>
  </si>
  <si>
    <t>RAINBOW DREAMS ACADEMY</t>
  </si>
  <si>
    <t>THE DELTA ACADEMY</t>
  </si>
  <si>
    <t>CORAL ACADEMY LAS VEGAS</t>
  </si>
  <si>
    <t>NV VIRTUAL ACADEMY</t>
  </si>
  <si>
    <t>NV CONNECTIONS ACADEMY</t>
  </si>
  <si>
    <t>QUEST ACADEMY CHARTER SCHOOL</t>
  </si>
  <si>
    <t>BEACON ACADEMY OF NV</t>
  </si>
  <si>
    <t>ELKO INST ACADEMIC ACH</t>
  </si>
  <si>
    <t>SILVER SANDS MONTESSORI</t>
  </si>
  <si>
    <t>ALPINE ACADEMY CHARTER</t>
  </si>
  <si>
    <t>OASIS ACADEMY</t>
  </si>
  <si>
    <t>SOMERSET ACADEMY OF LV</t>
  </si>
  <si>
    <t>DISCOVERY CHARTER SCHOOL</t>
  </si>
  <si>
    <t>IMAGINE SCHOOL AT MT VIEW</t>
  </si>
  <si>
    <t>HONORS ACAD OF LITERATURE</t>
  </si>
  <si>
    <t>PINECREST ACADEMY OF NV</t>
  </si>
  <si>
    <t>DORAL ACADEMY OF NV</t>
  </si>
  <si>
    <t>LEARNING BRIDGE CHARTER</t>
  </si>
  <si>
    <t>AMERICAN PREP ACADEMY</t>
  </si>
  <si>
    <t>FOUNDERS ACADEMY</t>
  </si>
  <si>
    <t>MATER ACADEMY OF NV</t>
  </si>
  <si>
    <t>LEADERSHIP ACADEMY OF NV</t>
  </si>
  <si>
    <t>CHURCHILL COUNTY</t>
  </si>
  <si>
    <t>CHURCHILL CO VOL FIRE DPT</t>
  </si>
  <si>
    <t>CLARK COUNTY</t>
  </si>
  <si>
    <t>CLARK CO WATER RECLAM DST</t>
  </si>
  <si>
    <t>SOUTHERN NV HEALTH DIST</t>
  </si>
  <si>
    <t>LV CONV &amp; VISIT AUTH</t>
  </si>
  <si>
    <t>DOUGLAS COUNTY</t>
  </si>
  <si>
    <t>228</t>
  </si>
  <si>
    <t>230</t>
  </si>
  <si>
    <t>231</t>
  </si>
  <si>
    <t>232</t>
  </si>
  <si>
    <t>233</t>
  </si>
  <si>
    <t>234</t>
  </si>
  <si>
    <t>236</t>
  </si>
  <si>
    <t>238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</si>
  <si>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</si>
  <si>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</si>
  <si>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</si>
  <si>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</si>
  <si>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</si>
  <si>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</si>
  <si>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</si>
  <si>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</si>
  <si>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</si>
  <si>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</si>
  <si>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252</t>
  </si>
  <si>
    <t>253</t>
  </si>
  <si>
    <t>254</t>
  </si>
  <si>
    <t>255</t>
  </si>
  <si>
    <t>256</t>
  </si>
  <si>
    <t>257</t>
  </si>
  <si>
    <t>258</t>
  </si>
  <si>
    <t>259</t>
  </si>
  <si>
    <t>261</t>
  </si>
  <si>
    <t>262</t>
  </si>
  <si>
    <t>263</t>
  </si>
  <si>
    <t>264</t>
  </si>
  <si>
    <t>265</t>
  </si>
  <si>
    <t>266</t>
  </si>
  <si>
    <t>267</t>
  </si>
  <si>
    <t>268</t>
  </si>
  <si>
    <t>301</t>
  </si>
  <si>
    <t>302</t>
  </si>
  <si>
    <t>303</t>
  </si>
  <si>
    <t>304</t>
  </si>
  <si>
    <t>305</t>
  </si>
  <si>
    <t>306</t>
  </si>
  <si>
    <t>307</t>
  </si>
  <si>
    <t>ELKO COUNTY</t>
  </si>
  <si>
    <t>ELKO CO AGRICULTURE</t>
  </si>
  <si>
    <t>ESMERALDA COUNTY</t>
  </si>
  <si>
    <t>EUREKA COUNTY</t>
  </si>
  <si>
    <t>HUMBOLDT COUNTY</t>
  </si>
  <si>
    <t>LANDER COUNTY GOVERNMENT</t>
  </si>
  <si>
    <t>LINCOLN COUNTY</t>
  </si>
  <si>
    <t>LYON COUNTY</t>
  </si>
  <si>
    <t>MINERAL COUNTY</t>
  </si>
  <si>
    <t>NYE COUNTY</t>
  </si>
  <si>
    <t>PERSHING COUNTY</t>
  </si>
  <si>
    <t>STOREY COUNTY</t>
  </si>
  <si>
    <t>WASHOE COUNTY</t>
  </si>
  <si>
    <t>RENO/SPARKS CNVNTION AUTH</t>
  </si>
  <si>
    <t>WHITE PINE COUNTY</t>
  </si>
  <si>
    <t>LV METRO POLICE DEPT</t>
  </si>
  <si>
    <t>WHITE PINE CO TOUR &amp; REC</t>
  </si>
  <si>
    <t>LV-CLARK CO LIBRARY DIST</t>
  </si>
  <si>
    <t>UNIV MEDICAL CENTER</t>
  </si>
  <si>
    <t>HUMBOLDT GEN HOSPITAL</t>
  </si>
  <si>
    <t>BATTLE MOUNTAIN GEN HOSP</t>
  </si>
  <si>
    <t>GROVER C DILS MED CENTER</t>
  </si>
  <si>
    <t>MT GRANT GENERAL HOSPITAL</t>
  </si>
  <si>
    <t>PERSHING GENERAL HOSPITAL</t>
  </si>
  <si>
    <t>WM. BEE RIRIE HOSPITAL</t>
  </si>
  <si>
    <t>CC COMMUNICATIONS</t>
  </si>
  <si>
    <t>LOVELOCK MEADOWS WTR</t>
  </si>
  <si>
    <t>LINCOLN CO. POWER DIST.</t>
  </si>
  <si>
    <t>OVERTON POWER DISTRICT #5</t>
  </si>
  <si>
    <t>SUN VALLEY GID</t>
  </si>
  <si>
    <t>MOAPA VALLEY WATER</t>
  </si>
  <si>
    <t>LANDER CO SEWER AND WATER</t>
  </si>
  <si>
    <t>VIRGIN VALLEY WATER DIST</t>
  </si>
  <si>
    <t>ALAMO SEWER &amp; WATER GID</t>
  </si>
  <si>
    <t>CITY OF BOULDER</t>
  </si>
  <si>
    <t>CITY OF CALIENTE</t>
  </si>
  <si>
    <t>CITY OF CARLIN</t>
  </si>
  <si>
    <t>CITY OF CARSON</t>
  </si>
  <si>
    <t>CITY OF ELKO</t>
  </si>
  <si>
    <t>CITY OF ELY</t>
  </si>
  <si>
    <t>CITY OF FALLON</t>
  </si>
  <si>
    <t>308</t>
  </si>
  <si>
    <t>309</t>
  </si>
  <si>
    <t>310</t>
  </si>
  <si>
    <t>311</t>
  </si>
  <si>
    <t>312</t>
  </si>
  <si>
    <t>313</t>
  </si>
  <si>
    <t>314</t>
  </si>
  <si>
    <t>315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</si>
  <si>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</si>
  <si>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</si>
  <si>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</si>
  <si>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</si>
  <si>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</si>
  <si>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</si>
  <si>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</si>
  <si>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</si>
  <si>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</si>
  <si>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327</t>
  </si>
  <si>
    <t>402</t>
  </si>
  <si>
    <t>403</t>
  </si>
  <si>
    <t>404</t>
  </si>
  <si>
    <t>405</t>
  </si>
  <si>
    <t>407</t>
  </si>
  <si>
    <t>410</t>
  </si>
  <si>
    <t>412</t>
  </si>
  <si>
    <t>503</t>
  </si>
  <si>
    <t>504</t>
  </si>
  <si>
    <t>505</t>
  </si>
  <si>
    <t>507</t>
  </si>
  <si>
    <t>509</t>
  </si>
  <si>
    <t>510</t>
  </si>
  <si>
    <t>511</t>
  </si>
  <si>
    <t>514</t>
  </si>
  <si>
    <t>515</t>
  </si>
  <si>
    <t>601</t>
  </si>
  <si>
    <t>602</t>
  </si>
  <si>
    <t>603</t>
  </si>
  <si>
    <t>604</t>
  </si>
  <si>
    <t>605</t>
  </si>
  <si>
    <t>606</t>
  </si>
  <si>
    <t>607</t>
  </si>
  <si>
    <t>CITY OF HENDERSON</t>
  </si>
  <si>
    <t>CITY OF LAS VEGAS</t>
  </si>
  <si>
    <t>CITY OF NORTH LAS VEGAS</t>
  </si>
  <si>
    <t>CITY OF RENO</t>
  </si>
  <si>
    <t>CITY OF SPARKS</t>
  </si>
  <si>
    <t>CITY OF WELLS</t>
  </si>
  <si>
    <t>CITY OF WINNEMUCCA</t>
  </si>
  <si>
    <t>CITY OF YERINGTON</t>
  </si>
  <si>
    <t>CITY OF LOVELOCK</t>
  </si>
  <si>
    <t>CITY OF MESQUITE</t>
  </si>
  <si>
    <t>CITY OF WEST WENDOVER</t>
  </si>
  <si>
    <t>CITY OF FERNLEY</t>
  </si>
  <si>
    <t>TRUCKEE-CARSON IRR DIST</t>
  </si>
  <si>
    <t>WALKER RIVER IRRIG DIST</t>
  </si>
  <si>
    <t>WASHOE CO WATER CON DIST</t>
  </si>
  <si>
    <t>TAHOE-DOUGLAS FIRE PROT</t>
  </si>
  <si>
    <t>N LAKE TAHOE FIRE PRO DST</t>
  </si>
  <si>
    <t>WHITE PINE CO 474 FIRE DT</t>
  </si>
  <si>
    <t>CENTRAL LYON COUNTY FPD</t>
  </si>
  <si>
    <t>TRUCKEE MEADOWS FIRE PD</t>
  </si>
  <si>
    <t>EAST FORK FIRE PROT DIST</t>
  </si>
  <si>
    <t>STOREY COUNTY FIRE PD</t>
  </si>
  <si>
    <t>MT CHARLESTON FPD</t>
  </si>
  <si>
    <t>RENO HOUSING AUTHORITY</t>
  </si>
  <si>
    <t>BEATTY WATER &amp; SAN DIST</t>
  </si>
  <si>
    <t>DOUGLAS CO SEWER DISTRICT</t>
  </si>
  <si>
    <t>TAHOE DOUGLAS DISTRICT</t>
  </si>
  <si>
    <t>ELKO CONV &amp; VISITORS AUTH</t>
  </si>
  <si>
    <t>WINNEMUCCA VOL FIRE DEPT</t>
  </si>
  <si>
    <t>ROUND HILL GID</t>
  </si>
  <si>
    <t>MINDEN-GVILLE SAN DST</t>
  </si>
  <si>
    <t>LOVELOCK VOL FIRE DEPT</t>
  </si>
  <si>
    <t>RENO-TAHOE AIRPORT AUTH</t>
  </si>
  <si>
    <t>ELKO VOL FIRE DEPT</t>
  </si>
  <si>
    <t>PERSHING CO WATER CONS</t>
  </si>
  <si>
    <t>NV ASSOC OF COUNTIES</t>
  </si>
  <si>
    <t>REGIONAL TRANS COMM</t>
  </si>
  <si>
    <t>STAGECOACH G.I.D.</t>
  </si>
  <si>
    <t>CHURCHILL CO MOSQ ABATE</t>
  </si>
  <si>
    <t>MINERAL CO HOUSING AUTH</t>
  </si>
  <si>
    <t>EAST FORK SWIMMING POOL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</si>
  <si>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</si>
  <si>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</si>
  <si>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</si>
  <si>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</si>
  <si>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</si>
  <si>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</si>
  <si>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</si>
  <si>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</si>
  <si>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</si>
  <si>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</si>
  <si>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620</t>
  </si>
  <si>
    <t>621</t>
  </si>
  <si>
    <t>703</t>
  </si>
  <si>
    <t>704</t>
  </si>
  <si>
    <t>705</t>
  </si>
  <si>
    <t>707</t>
  </si>
  <si>
    <t>708</t>
  </si>
  <si>
    <t>711</t>
  </si>
  <si>
    <t>712</t>
  </si>
  <si>
    <t>713</t>
  </si>
  <si>
    <t>714</t>
  </si>
  <si>
    <t>715</t>
  </si>
  <si>
    <t>716</t>
  </si>
  <si>
    <t>902</t>
  </si>
  <si>
    <t>903</t>
  </si>
  <si>
    <t>905</t>
  </si>
  <si>
    <t>911</t>
  </si>
  <si>
    <t>912</t>
  </si>
  <si>
    <t>913</t>
  </si>
  <si>
    <t>914</t>
  </si>
  <si>
    <t>916</t>
  </si>
  <si>
    <t>917</t>
  </si>
  <si>
    <t>919</t>
  </si>
  <si>
    <t>920</t>
  </si>
  <si>
    <t>921</t>
  </si>
  <si>
    <t>923</t>
  </si>
  <si>
    <t>924</t>
  </si>
  <si>
    <t>925</t>
  </si>
  <si>
    <t>926</t>
  </si>
  <si>
    <t>927</t>
  </si>
  <si>
    <t>928</t>
  </si>
  <si>
    <t>PERSHING CO VOL FIRE DPT</t>
  </si>
  <si>
    <t>CITY OF WELLS VL FIRE DPT</t>
  </si>
  <si>
    <t>TRUCKEE MDWS REG PLAN AGY</t>
  </si>
  <si>
    <t>INDIAN HILLS GID</t>
  </si>
  <si>
    <t>GVILLE RANCHOS IMPRO DIST</t>
  </si>
  <si>
    <t>BATTLE MT VOL FIRE DEPT</t>
  </si>
  <si>
    <t>WINNEMUCCA RURAL VOL FIRE</t>
  </si>
  <si>
    <t>KINGSBURY IMPRV DIST</t>
  </si>
  <si>
    <t>AUSTIN VOL FIRE DEPT</t>
  </si>
  <si>
    <t>CONSERVATION DST OF SO NV</t>
  </si>
  <si>
    <t>PALOMINO GID</t>
  </si>
  <si>
    <t>MCGILL-RUTH CONS SWR&amp;WTR</t>
  </si>
  <si>
    <t>CNTRL DISPATCH ADMIN AUTH</t>
  </si>
  <si>
    <t>EXAM ALCOHOL &amp; DRUG COUN</t>
  </si>
  <si>
    <t>WORKFORCE CONNECTIONS</t>
  </si>
  <si>
    <t>TRUCKEE MEADOWS WATER ATH</t>
  </si>
  <si>
    <t>HENDERSON DIST PUB LIBRAR</t>
  </si>
  <si>
    <t>CANYON G I D</t>
  </si>
  <si>
    <t>NV TAHOE CONSERV DIST</t>
  </si>
  <si>
    <t>GRASS VALLEY VOL FIRE DPT</t>
  </si>
  <si>
    <t>BOARD OF PHYSICAL THERAPY</t>
  </si>
  <si>
    <t>GERLACH GID</t>
  </si>
  <si>
    <t>RYE PATCH VOL FIRE DPT</t>
  </si>
  <si>
    <t>NV STATE BD OF MASSAGE</t>
  </si>
  <si>
    <t>RTC OF SOUTHERN NV</t>
  </si>
  <si>
    <t>INCLINE VILLAGE VCB</t>
  </si>
  <si>
    <t>DOUGLAS CO MOSQUITO DIST</t>
  </si>
  <si>
    <t>LAHONTAN CONSER DIST</t>
  </si>
  <si>
    <t>CARSON CITY AIRPORT AUTH</t>
  </si>
  <si>
    <t>SO NV REG HOUSING AUTH</t>
  </si>
  <si>
    <t>929</t>
  </si>
  <si>
    <t>930</t>
  </si>
  <si>
    <t>931</t>
  </si>
  <si>
    <t>932</t>
  </si>
  <si>
    <t>934</t>
  </si>
  <si>
    <t>935</t>
  </si>
  <si>
    <t>936</t>
  </si>
  <si>
    <t>937</t>
  </si>
  <si>
    <t>938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</si>
  <si>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</si>
  <si>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</si>
  <si>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</si>
  <si>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</si>
  <si>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</si>
  <si>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</si>
  <si>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</si>
  <si>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</si>
  <si>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</si>
  <si>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952</t>
  </si>
  <si>
    <t>953</t>
  </si>
  <si>
    <t>954</t>
  </si>
  <si>
    <t>955</t>
  </si>
  <si>
    <t>956</t>
  </si>
  <si>
    <t>957</t>
  </si>
  <si>
    <t>958</t>
  </si>
  <si>
    <t>960</t>
  </si>
  <si>
    <t>961</t>
  </si>
  <si>
    <t>962</t>
  </si>
  <si>
    <t>963</t>
  </si>
  <si>
    <t>964</t>
  </si>
  <si>
    <t>NV BRD MAR, FAM, COU</t>
  </si>
  <si>
    <t>183</t>
  </si>
  <si>
    <t>EQUIPO ACADEMY</t>
  </si>
  <si>
    <t>269</t>
  </si>
  <si>
    <t>TOWN OF KINGSTON</t>
  </si>
  <si>
    <t>SLVR SPGS/STGE HSP D</t>
  </si>
  <si>
    <t>328</t>
  </si>
  <si>
    <t>416</t>
  </si>
  <si>
    <t>MASON VALLEY FIRE DI</t>
  </si>
  <si>
    <t>NORTH LYON CO FIRE D</t>
  </si>
  <si>
    <t>717</t>
  </si>
  <si>
    <t>718</t>
  </si>
  <si>
    <t>LANDER CO FAIR AND R</t>
  </si>
  <si>
    <t>951</t>
  </si>
  <si>
    <t>965</t>
  </si>
  <si>
    <t>STATE BOARD OF PSYCHOLOGICAL EXAMINERS</t>
  </si>
  <si>
    <t>184</t>
  </si>
  <si>
    <t>SLAM ACADEMY OF NEVADA</t>
  </si>
  <si>
    <t>LEGACY TRADITIONAL SCHOOLS-NEVADA, INC.</t>
  </si>
  <si>
    <t>270</t>
  </si>
  <si>
    <t>271</t>
  </si>
  <si>
    <t>FERNLEY SWIMMING POOL</t>
  </si>
  <si>
    <t>NEVADA SYSTEMS OF HIGHER EDUCATION (NSHE)</t>
  </si>
  <si>
    <t>193</t>
  </si>
  <si>
    <t>AMERICAN LEADERSHIP ACADEMY</t>
  </si>
  <si>
    <t>FUTURO ACADEMY</t>
  </si>
  <si>
    <t>MATER ACADEMY OF N. NEVADA</t>
  </si>
  <si>
    <t>DORAL ACADEMY OF N. NEVADA</t>
  </si>
  <si>
    <t>NV STATE HIGH AT SUNRISE</t>
  </si>
  <si>
    <t>272</t>
  </si>
  <si>
    <t>273</t>
  </si>
  <si>
    <t>274</t>
  </si>
  <si>
    <t>275</t>
  </si>
  <si>
    <t>279</t>
  </si>
  <si>
    <t>STATE BOARD OF PHARMACY</t>
  </si>
  <si>
    <t>NEVADA PREPARATORY CHARTER</t>
  </si>
  <si>
    <t>SIGNATURE ACADEMY</t>
  </si>
  <si>
    <t>276</t>
  </si>
  <si>
    <t>277</t>
  </si>
  <si>
    <t>278</t>
  </si>
  <si>
    <t>280</t>
  </si>
  <si>
    <t>TAHOE-DOUGLAS DISTRICT</t>
  </si>
  <si>
    <t>NV STATE HIGH AT MEADOW WOOD</t>
  </si>
  <si>
    <t>NV RISE ACADEMY</t>
  </si>
  <si>
    <t>NV PREPARATORY CHARTER</t>
  </si>
  <si>
    <t>TOWN OF KINGSTON FIRE COMPANY</t>
  </si>
  <si>
    <t>TAHOE-RENO GENERAL IMPROVEMENT DISTRICT</t>
  </si>
  <si>
    <t>967</t>
  </si>
  <si>
    <t>968</t>
  </si>
  <si>
    <t>GIRLS ATHLETIC LEADERSHIP SCHOOL LAS VEGAS</t>
  </si>
  <si>
    <t>PINECREST ACADEMY OF NORTHERN NEVADA</t>
  </si>
  <si>
    <t>DEMOCRACY PREP AT THE AGASSI CAMPUS</t>
  </si>
  <si>
    <t>EXPLORE ACADEMY OF LAS VEGAS</t>
  </si>
  <si>
    <t>281</t>
  </si>
  <si>
    <t>282</t>
  </si>
  <si>
    <t>283</t>
  </si>
  <si>
    <t>284</t>
  </si>
  <si>
    <t>MOAPA VALLEY FIRE DEPARTMENT</t>
  </si>
  <si>
    <t>LAS VEGAS HOUSING AUTHORITY</t>
  </si>
  <si>
    <t>720</t>
  </si>
  <si>
    <t>901</t>
  </si>
  <si>
    <t>PRIVATE INVESTIGATORS LICENSING BOARD</t>
  </si>
  <si>
    <t>194</t>
  </si>
  <si>
    <t>TEACH LAS VEGAS</t>
  </si>
  <si>
    <t>CIVICA NEVADA ACADEMY</t>
  </si>
  <si>
    <t>285</t>
  </si>
  <si>
    <t>286</t>
  </si>
  <si>
    <t>289</t>
  </si>
  <si>
    <t>WESTERN NEVADA REGIONAL YOUTH CENTER</t>
  </si>
  <si>
    <t>329</t>
  </si>
  <si>
    <t>ELKO COUNTY FIRE PROTECTION DISTRICT</t>
  </si>
  <si>
    <t>721</t>
  </si>
  <si>
    <t>969</t>
  </si>
  <si>
    <t>SAGE COLLEGIATE CHARTER</t>
  </si>
  <si>
    <t>EAGLE CHARTER SCHOOL NV</t>
  </si>
  <si>
    <t>YOUNG WOMEN'S LEADERSHIP ACADEMY OF LAS VEGAS</t>
  </si>
  <si>
    <t>BATTLE BORN ACADEMY</t>
  </si>
  <si>
    <t>CLV STRONG START ACADEMY</t>
  </si>
  <si>
    <t>287</t>
  </si>
  <si>
    <t>288</t>
  </si>
  <si>
    <t>290</t>
  </si>
  <si>
    <t>291</t>
  </si>
  <si>
    <t>EIGHTH JUDICIAL DIST COURT</t>
  </si>
  <si>
    <t>330</t>
  </si>
  <si>
    <t>NEVADAWORKS</t>
  </si>
  <si>
    <t>959</t>
  </si>
  <si>
    <t>Employer Contribution Check</t>
  </si>
  <si>
    <t>Year</t>
  </si>
  <si>
    <t>Total Reported</t>
  </si>
  <si>
    <t>Total from Formula</t>
  </si>
  <si>
    <t>Difference</t>
  </si>
  <si>
    <t>Notes</t>
  </si>
  <si>
    <t>LEAID</t>
  </si>
  <si>
    <t>Elementary Schools</t>
  </si>
  <si>
    <t>Democracy Prep At Agassi Elementary</t>
  </si>
  <si>
    <t>Discovery Charter School Sandhill</t>
  </si>
  <si>
    <t>Futuro Academy Elementary</t>
  </si>
  <si>
    <t>Imagine School Mountain View</t>
  </si>
  <si>
    <t>Pinecrest Academy Of Nevada Horizon</t>
  </si>
  <si>
    <t>Middle Schools</t>
  </si>
  <si>
    <t>Democracy Prep At Agassi Middle</t>
  </si>
  <si>
    <t>High Schools</t>
  </si>
  <si>
    <t>Alpine Academy High School</t>
  </si>
  <si>
    <t>Beacon Academy Of Nevada</t>
  </si>
  <si>
    <t>Democracy Prep At Agassi High</t>
  </si>
  <si>
    <t>Nevada Connections Academy</t>
  </si>
  <si>
    <t>Nevada State High School Downtown</t>
  </si>
  <si>
    <t>Nevada State High School Downtown Henderson</t>
  </si>
  <si>
    <t>Nevada State High School Henderson</t>
  </si>
  <si>
    <t>Nevada State High School Ii Meadowwood</t>
  </si>
  <si>
    <t>Nevada State High School Northwest</t>
  </si>
  <si>
    <t>Nevada State High School Southwest</t>
  </si>
  <si>
    <t>Nevada State High School Summerlin</t>
  </si>
  <si>
    <t>Nevada State High School Sunrise</t>
  </si>
  <si>
    <t>Other Schools</t>
  </si>
  <si>
    <t>Coral Academy Cadence</t>
  </si>
  <si>
    <t>Coral Academy Nellis Afb</t>
  </si>
  <si>
    <t>Mater Academy East</t>
  </si>
  <si>
    <t>Mater Bonanza</t>
  </si>
  <si>
    <t>Mater Mountain Vista</t>
  </si>
  <si>
    <t>Amplus Durango</t>
  </si>
  <si>
    <t>Amplus Rainbow</t>
  </si>
  <si>
    <t>Battle Born Academy</t>
  </si>
  <si>
    <t>Civica Academy</t>
  </si>
  <si>
    <t>Coral Academy Centennial Hills</t>
  </si>
  <si>
    <t>Coral Academy Eastgate</t>
  </si>
  <si>
    <t>Coral Academy Tamarus</t>
  </si>
  <si>
    <t>Discovery Charter School Hillpointe</t>
  </si>
  <si>
    <t>Doral Academy Cactus</t>
  </si>
  <si>
    <t>Doral Academy Fire Mesa</t>
  </si>
  <si>
    <t>Doral Academy Of Northern Nevada</t>
  </si>
  <si>
    <t>Doral Academy Red Rock</t>
  </si>
  <si>
    <t>Doral Academy Saddle</t>
  </si>
  <si>
    <t>Doral Academy West Pebble</t>
  </si>
  <si>
    <t>Elko Institute For Academic Achievement</t>
  </si>
  <si>
    <t>Founders Academy Of Las Vegas</t>
  </si>
  <si>
    <t>Freedom Classical Academy K-8</t>
  </si>
  <si>
    <t>Honors Academy Of Literature</t>
  </si>
  <si>
    <t>Learning Bridge</t>
  </si>
  <si>
    <t>Legacy Traditional School Cadence</t>
  </si>
  <si>
    <t>Legacy Traditional School North Valley</t>
  </si>
  <si>
    <t>Legacy Traditional School Southwest Las Vegas</t>
  </si>
  <si>
    <t>Mater Academy Of Northern Nevada</t>
  </si>
  <si>
    <t>Nv Rise Academy Charter School</t>
  </si>
  <si>
    <t>Oasis Academy</t>
  </si>
  <si>
    <t>Piloted Cactus Park</t>
  </si>
  <si>
    <t>Pinecrest Academy Of Nevada Cadence</t>
  </si>
  <si>
    <t>Pinecrest Academy Of Nevada Inspirada</t>
  </si>
  <si>
    <t>Pinecrest Academy Of Nevada Sloan Canyon</t>
  </si>
  <si>
    <t>Pinecrest Academy Of Nevada St Rose</t>
  </si>
  <si>
    <t>Pinecrest Academy Of Northern Nevada</t>
  </si>
  <si>
    <t>Quest Academy Northwest</t>
  </si>
  <si>
    <t>Sage Collegiate Public Charter School</t>
  </si>
  <si>
    <t>Signature Preparatory</t>
  </si>
  <si>
    <t>Silver Sands Montessori</t>
  </si>
  <si>
    <t>Somerset Academy Aliante</t>
  </si>
  <si>
    <t>Somerset Academy Lone Mountain</t>
  </si>
  <si>
    <t>Somerset Academy Losee</t>
  </si>
  <si>
    <t>Somerset Academy North Las Vegas</t>
  </si>
  <si>
    <t>Somerset Academy Skye Canyon</t>
  </si>
  <si>
    <t>Somerset Academy Sky Pointe</t>
  </si>
  <si>
    <t>Somerset Academy Stephanie</t>
  </si>
  <si>
    <t>Sports Leadership And Management Academy</t>
  </si>
  <si>
    <t>Strong Start Academy</t>
  </si>
  <si>
    <t>Teach Las Vegas</t>
  </si>
  <si>
    <t>Coral Academy Windmill</t>
  </si>
  <si>
    <t>Equipo Academy</t>
  </si>
  <si>
    <t>Explore Academy</t>
  </si>
  <si>
    <t>Girls Empowerment Middle School</t>
  </si>
  <si>
    <t>Leadership Academy Of Nevada</t>
  </si>
  <si>
    <t>Nevada Virtual Academy</t>
  </si>
  <si>
    <t>Pinecrest Academy Virtual</t>
  </si>
  <si>
    <t>Young Women'S Leadership Academy Of Las Vegas</t>
  </si>
  <si>
    <t>Coral Academy Sandy Ridge</t>
  </si>
  <si>
    <t>Nevada State High School North Las Vegas</t>
  </si>
  <si>
    <t>Nevada Prep Charter School</t>
  </si>
  <si>
    <t>Quest Academy West Alexander</t>
  </si>
  <si>
    <t>STATE SPONSORED CHARTER SCHOOLS</t>
  </si>
  <si>
    <t>State Sponsored Charters Marker</t>
  </si>
  <si>
    <t>district_contributions</t>
  </si>
  <si>
    <t>state_contributions</t>
  </si>
  <si>
    <t>State Contributions</t>
  </si>
  <si>
    <t>District Contributions</t>
  </si>
  <si>
    <t>district_cont_prop</t>
  </si>
  <si>
    <t>total_contributions</t>
  </si>
  <si>
    <t>State</t>
  </si>
  <si>
    <t>Nevada</t>
  </si>
  <si>
    <t>state_abv</t>
  </si>
  <si>
    <t>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</si>
</sst>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70" formatCode="_(* #,##0_);_(* \(#,##0\);_(* &quot;-&quot;??_);_(@_)"/>
    <numFmt numFmtId="174" formatCode="0.00000%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4"/>
      <color rgb="FF212529"/>
      <name val="Arial"/>
      <family val="2"/>
    </font>
    <font>
      <sz val="12"/>
      <color rgb="FF2D6C9F"/>
      <name val="Arial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7">
    <xf numFmtId="0" fontId="0" fillId="0" borderId="0" xfId="0"/>
    <xf numFmtId="3" fontId="0" fillId="0" borderId="0" xfId="0" applyNumberFormat="1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44" fontId="0" fillId="0" borderId="0" xfId="1" applyFont="1"/>
    <xf numFmtId="0" fontId="1" fillId="0" borderId="0" xfId="0" applyFont="1" applyAlignment="1">
      <alignment horizontal="center"/>
    </xf>
    <xf numFmtId="1" fontId="1" fillId="0" borderId="0" xfId="0" applyNumberFormat="1" applyFont="1"/>
    <xf numFmtId="1" fontId="0" fillId="0" borderId="0" xfId="0" applyNumberFormat="1"/>
    <xf numFmtId="49" fontId="0" fillId="2" borderId="0" xfId="0" applyNumberFormat="1" applyFill="1"/>
    <xf numFmtId="170" fontId="0" fillId="0" borderId="0" xfId="2" applyNumberFormat="1" applyFont="1"/>
    <xf numFmtId="49" fontId="1" fillId="0" borderId="0" xfId="0" applyNumberFormat="1" applyFont="1" applyFill="1"/>
    <xf numFmtId="49" fontId="0" fillId="0" borderId="0" xfId="0" applyNumberFormat="1" applyFill="1"/>
    <xf numFmtId="0" fontId="0" fillId="0" borderId="0" xfId="0" applyFill="1"/>
    <xf numFmtId="0" fontId="3" fillId="0" borderId="0" xfId="0" applyFont="1" applyFill="1"/>
    <xf numFmtId="0" fontId="4" fillId="0" borderId="0" xfId="0" applyFont="1" applyFill="1"/>
    <xf numFmtId="174" fontId="0" fillId="0" borderId="0" xfId="3" applyNumberFormat="1" applyFont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regory Kearney" id="{7405A429-CA65-834F-BA02-54C8F3815C65}" userId="S::gkearne1@stanford.edu::8abaa3ae-42bc-4b74-bc92-dcb5bcde81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02-08T03:07:28.76" personId="{7405A429-CA65-834F-BA02-54C8F3815C65}" id="{31265709-E6EF-6A4C-A1D7-2325ADB40A62}">
    <text>Not all schools appeared in our list of contributions. Tried to match as many as possible with a marker of “1”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2EE58-1C37-B440-960C-AC2460E39B75}">
  <sheetPr>
    <tabColor rgb="FF002060"/>
  </sheetPr>
  <dimension ref="A1:L1965"/>
  <sheetViews>
    <sheetView zoomScale="120" zoomScaleNormal="120" workbookViewId="0">
      <selection activeCell="D6" sqref="D6"/>
    </sheetView>
  </sheetViews>
  <sheetFormatPr baseColWidth="10" defaultColWidth="11" defaultRowHeight="16" x14ac:dyDescent="0.2"/>
  <cols>
    <col min="2" max="2" width="5.1640625" bestFit="1" customWidth="1"/>
    <col min="3" max="3" width="13.6640625" style="4" bestFit="1" customWidth="1"/>
    <col min="4" max="5" width="13.6640625" style="4" customWidth="1"/>
    <col min="6" max="6" width="49.33203125" style="4" bestFit="1" customWidth="1"/>
    <col min="7" max="7" width="19.83203125" style="8" bestFit="1" customWidth="1"/>
    <col min="8" max="8" width="28.83203125" bestFit="1" customWidth="1"/>
    <col min="9" max="9" width="17.33203125" customWidth="1"/>
    <col min="10" max="10" width="21.1640625" bestFit="1" customWidth="1"/>
    <col min="11" max="11" width="17" bestFit="1" customWidth="1"/>
  </cols>
  <sheetData>
    <row r="1" spans="1:12" s="2" customFormat="1" x14ac:dyDescent="0.2">
      <c r="A1" s="2" t="s">
        <v>482</v>
      </c>
      <c r="B1" s="2" t="s">
        <v>477</v>
      </c>
      <c r="C1" s="3" t="s">
        <v>41</v>
      </c>
      <c r="D1" s="3" t="s">
        <v>575</v>
      </c>
      <c r="E1" s="3" t="s">
        <v>577</v>
      </c>
      <c r="F1" s="3" t="s">
        <v>42</v>
      </c>
      <c r="G1" s="7" t="s">
        <v>569</v>
      </c>
      <c r="H1" s="2" t="s">
        <v>568</v>
      </c>
      <c r="I1" s="2" t="s">
        <v>573</v>
      </c>
      <c r="J1" s="2" t="s">
        <v>570</v>
      </c>
      <c r="K1" s="2" t="s">
        <v>574</v>
      </c>
      <c r="L1" s="2" t="s">
        <v>482</v>
      </c>
    </row>
    <row r="2" spans="1:12" x14ac:dyDescent="0.2">
      <c r="A2">
        <v>0</v>
      </c>
      <c r="B2">
        <v>2015</v>
      </c>
      <c r="C2" s="4" t="s">
        <v>43</v>
      </c>
      <c r="D2" s="4" t="s">
        <v>576</v>
      </c>
      <c r="E2" s="4" t="s">
        <v>578</v>
      </c>
      <c r="F2" s="4" t="s">
        <v>0</v>
      </c>
      <c r="G2" s="10">
        <v>248642575</v>
      </c>
      <c r="L2">
        <f>IFERROR(VLOOKUP(F2,'LEAID Match'!$A$2:$B$240,2,FALSE),"")</f>
        <v>0</v>
      </c>
    </row>
    <row r="3" spans="1:12" x14ac:dyDescent="0.2">
      <c r="A3">
        <v>0</v>
      </c>
      <c r="B3">
        <v>2016</v>
      </c>
      <c r="C3" s="4" t="s">
        <v>43</v>
      </c>
      <c r="D3" s="4" t="s">
        <v>576</v>
      </c>
      <c r="E3" s="4" t="s">
        <v>578</v>
      </c>
      <c r="F3" s="4" t="s">
        <v>0</v>
      </c>
      <c r="G3" s="10">
        <v>271203080</v>
      </c>
      <c r="L3">
        <f>IFERROR(VLOOKUP(F3,'LEAID Match'!$A$2:$B$240,2,FALSE),"")</f>
        <v>0</v>
      </c>
    </row>
    <row r="4" spans="1:12" x14ac:dyDescent="0.2">
      <c r="A4">
        <v>0</v>
      </c>
      <c r="B4">
        <v>2017</v>
      </c>
      <c r="C4" s="4" t="s">
        <v>43</v>
      </c>
      <c r="D4" s="4" t="s">
        <v>576</v>
      </c>
      <c r="E4" s="4" t="s">
        <v>578</v>
      </c>
      <c r="F4" s="4" t="s">
        <v>0</v>
      </c>
      <c r="G4" s="10">
        <v>148086587</v>
      </c>
      <c r="L4">
        <f>IFERROR(VLOOKUP(F4,'LEAID Match'!$A$2:$B$240,2,FALSE),"")</f>
        <v>0</v>
      </c>
    </row>
    <row r="5" spans="1:12" x14ac:dyDescent="0.2">
      <c r="A5">
        <v>0</v>
      </c>
      <c r="B5">
        <v>2018</v>
      </c>
      <c r="C5" s="4" t="s">
        <v>43</v>
      </c>
      <c r="D5" s="4" t="s">
        <v>576</v>
      </c>
      <c r="E5" s="4" t="s">
        <v>578</v>
      </c>
      <c r="F5" s="4" t="s">
        <v>0</v>
      </c>
      <c r="G5" s="10">
        <v>150523924</v>
      </c>
      <c r="L5">
        <f>IFERROR(VLOOKUP(F5,'LEAID Match'!$A$2:$B$240,2,FALSE),"")</f>
        <v>0</v>
      </c>
    </row>
    <row r="6" spans="1:12" x14ac:dyDescent="0.2">
      <c r="A6">
        <v>0</v>
      </c>
      <c r="B6">
        <v>2019</v>
      </c>
      <c r="C6" s="4" t="s">
        <v>43</v>
      </c>
      <c r="D6" s="4" t="s">
        <v>576</v>
      </c>
      <c r="E6" s="4" t="s">
        <v>578</v>
      </c>
      <c r="F6" s="4" t="s">
        <v>0</v>
      </c>
      <c r="G6" s="10">
        <v>158028122</v>
      </c>
      <c r="L6">
        <f>IFERROR(VLOOKUP(F6,'LEAID Match'!$A$2:$B$240,2,FALSE),"")</f>
        <v>0</v>
      </c>
    </row>
    <row r="7" spans="1:12" x14ac:dyDescent="0.2">
      <c r="A7">
        <v>0</v>
      </c>
      <c r="B7">
        <v>2020</v>
      </c>
      <c r="C7" s="4" t="s">
        <v>43</v>
      </c>
      <c r="D7" s="4" t="s">
        <v>576</v>
      </c>
      <c r="E7" s="4" t="s">
        <v>578</v>
      </c>
      <c r="F7" s="4" t="s">
        <v>0</v>
      </c>
      <c r="G7" s="10">
        <v>172683894</v>
      </c>
      <c r="L7">
        <f>IFERROR(VLOOKUP(F7,'LEAID Match'!$A$2:$B$240,2,FALSE),"")</f>
        <v>0</v>
      </c>
    </row>
    <row r="8" spans="1:12" x14ac:dyDescent="0.2">
      <c r="A8">
        <v>0</v>
      </c>
      <c r="B8">
        <v>2021</v>
      </c>
      <c r="C8" s="4" t="s">
        <v>43</v>
      </c>
      <c r="D8" s="4" t="s">
        <v>576</v>
      </c>
      <c r="E8" s="4" t="s">
        <v>578</v>
      </c>
      <c r="F8" s="4" t="s">
        <v>0</v>
      </c>
      <c r="G8" s="10">
        <v>171616836</v>
      </c>
      <c r="L8">
        <f>IFERROR(VLOOKUP(F8,'LEAID Match'!$A$2:$B$240,2,FALSE),"")</f>
        <v>0</v>
      </c>
    </row>
    <row r="9" spans="1:12" x14ac:dyDescent="0.2">
      <c r="A9">
        <v>0</v>
      </c>
      <c r="B9">
        <v>2022</v>
      </c>
      <c r="C9" s="4" t="s">
        <v>43</v>
      </c>
      <c r="D9" s="4" t="s">
        <v>576</v>
      </c>
      <c r="E9" s="4" t="s">
        <v>578</v>
      </c>
      <c r="F9" s="4" t="s">
        <v>0</v>
      </c>
      <c r="G9" s="10">
        <v>169585649</v>
      </c>
      <c r="L9">
        <f>IFERROR(VLOOKUP(F9,'LEAID Match'!$A$2:$B$240,2,FALSE),"")</f>
        <v>0</v>
      </c>
    </row>
    <row r="10" spans="1:12" x14ac:dyDescent="0.2">
      <c r="A10">
        <v>0</v>
      </c>
      <c r="B10">
        <v>2023</v>
      </c>
      <c r="C10" s="4" t="s">
        <v>43</v>
      </c>
      <c r="D10" s="4" t="s">
        <v>576</v>
      </c>
      <c r="E10" s="4" t="s">
        <v>578</v>
      </c>
      <c r="F10" s="4" t="s">
        <v>0</v>
      </c>
      <c r="G10" s="10">
        <v>169985319</v>
      </c>
      <c r="L10">
        <f>IFERROR(VLOOKUP(F10,'LEAID Match'!$A$2:$B$240,2,FALSE),"")</f>
        <v>0</v>
      </c>
    </row>
    <row r="11" spans="1:12" x14ac:dyDescent="0.2">
      <c r="A11">
        <v>0</v>
      </c>
      <c r="B11">
        <v>2015</v>
      </c>
      <c r="C11" s="4" t="s">
        <v>44</v>
      </c>
      <c r="D11" s="4" t="s">
        <v>576</v>
      </c>
      <c r="E11" s="4" t="s">
        <v>578</v>
      </c>
      <c r="F11" s="4" t="s">
        <v>1</v>
      </c>
      <c r="G11" s="8">
        <v>42671</v>
      </c>
      <c r="I11" s="16" cm="1">
        <f t="array" ref="I11">_xlfn.IFS(B11=2015,G11/$H$1957,B11=2016,G11/$H$1958,B11=2017,G11/$H$1959,B11=2018,G11/$H$1960,B11=2019,G11/$H$1961,B11=2020,G11/$H$1962,B11=2021,G11/$H$1963,B11=2022,G11/$H$1964,B11=2023,G11/$H$1965)</f>
        <v>3.2953042027860041E-5</v>
      </c>
      <c r="J11" s="10" cm="1">
        <f t="array" ref="J11">_xlfn.IFS(B11=2015,I11*$G$2,B11=2016,I11*$G$3,B11=2017,I11*$G$4,B11=2018,I11*$G$5,B11=2019,I11*$G$6,B11=2020,I11*$G$7,B11=2021,I11*$G$8,B11=2022,I11*$G$9,B11=2023,I11*$G$10)</f>
        <v>8193.5292238903421</v>
      </c>
      <c r="K11" s="8">
        <f>SUM(G11,J11)</f>
        <v>50864.529223890342</v>
      </c>
      <c r="L11">
        <f>IFERROR(VLOOKUP(F11,'LEAID Match'!$A$2:$B$240,2,FALSE),"")</f>
        <v>0</v>
      </c>
    </row>
    <row r="12" spans="1:12" x14ac:dyDescent="0.2">
      <c r="A12">
        <v>0</v>
      </c>
      <c r="B12">
        <v>2016</v>
      </c>
      <c r="C12" s="4" t="s">
        <v>44</v>
      </c>
      <c r="D12" s="4" t="s">
        <v>576</v>
      </c>
      <c r="E12" s="4" t="s">
        <v>578</v>
      </c>
      <c r="F12" s="4" t="s">
        <v>1</v>
      </c>
      <c r="G12" s="8">
        <v>53794</v>
      </c>
      <c r="I12" s="16" cm="1">
        <f t="array" ref="I12">_xlfn.IFS(B12=2015,G12/$H$1957,B12=2016,G12/$H$1958,B12=2017,G12/$H$1959,B12=2018,G12/$H$1960,B12=2019,G12/$H$1961,B12=2020,G12/$H$1962,B12=2021,G12/$H$1963,B12=2022,G12/$H$1964,B12=2023,G12/$H$1965)</f>
        <v>3.7763365002714926E-5</v>
      </c>
      <c r="J12" s="10" cm="1">
        <f t="array" ref="J12">_xlfn.IFS(B12=2015,I12*$G$2,B12=2016,I12*$G$3,B12=2017,I12*$G$4,B12=2018,I12*$G$5,B12=2019,I12*$G$6,B12=2020,I12*$G$7,B12=2021,I12*$G$8,B12=2022,I12*$G$9,B12=2023,I12*$G$10)</f>
        <v>10241.540899900496</v>
      </c>
      <c r="K12" s="8">
        <f t="shared" ref="K12:K75" si="0">SUM(G12,J12)</f>
        <v>64035.540899900494</v>
      </c>
      <c r="L12">
        <f>IFERROR(VLOOKUP(F12,'LEAID Match'!$A$2:$B$240,2,FALSE),"")</f>
        <v>0</v>
      </c>
    </row>
    <row r="13" spans="1:12" x14ac:dyDescent="0.2">
      <c r="A13">
        <v>0</v>
      </c>
      <c r="B13">
        <v>2017</v>
      </c>
      <c r="C13" s="4" t="s">
        <v>44</v>
      </c>
      <c r="D13" s="4" t="s">
        <v>576</v>
      </c>
      <c r="E13" s="4" t="s">
        <v>578</v>
      </c>
      <c r="F13" s="4" t="s">
        <v>1</v>
      </c>
      <c r="G13" s="8">
        <v>26984</v>
      </c>
      <c r="I13" s="16" cm="1">
        <f t="array" ref="I13">_xlfn.IFS(B13=2015,G13/$H$1957,B13=2016,G13/$H$1958,B13=2017,G13/$H$1959,B13=2018,G13/$H$1960,B13=2019,G13/$H$1961,B13=2020,G13/$H$1962,B13=2021,G13/$H$1963,B13=2022,G13/$H$1964,B13=2023,G13/$H$1965)</f>
        <v>3.6002398391616068E-5</v>
      </c>
      <c r="J13" s="10" cm="1">
        <f t="array" ref="J13">_xlfn.IFS(B13=2015,I13*$G$2,B13=2016,I13*$G$3,B13=2017,I13*$G$4,B13=2018,I13*$G$5,B13=2019,I13*$G$6,B13=2020,I13*$G$7,B13=2021,I13*$G$8,B13=2022,I13*$G$9,B13=2023,I13*$G$10)</f>
        <v>5331.4723016287126</v>
      </c>
      <c r="K13" s="8">
        <f t="shared" si="0"/>
        <v>32315.472301628713</v>
      </c>
      <c r="L13">
        <f>IFERROR(VLOOKUP(F13,'LEAID Match'!$A$2:$B$240,2,FALSE),"")</f>
        <v>0</v>
      </c>
    </row>
    <row r="14" spans="1:12" x14ac:dyDescent="0.2">
      <c r="A14">
        <v>0</v>
      </c>
      <c r="B14">
        <v>2018</v>
      </c>
      <c r="C14" s="4" t="s">
        <v>44</v>
      </c>
      <c r="D14" s="4" t="s">
        <v>576</v>
      </c>
      <c r="E14" s="4" t="s">
        <v>578</v>
      </c>
      <c r="F14" s="4" t="s">
        <v>1</v>
      </c>
      <c r="G14" s="8">
        <v>26202</v>
      </c>
      <c r="I14" s="16" cm="1">
        <f t="array" ref="I14">_xlfn.IFS(B14=2015,G14/$H$1957,B14=2016,G14/$H$1958,B14=2017,G14/$H$1959,B14=2018,G14/$H$1960,B14=2019,G14/$H$1961,B14=2020,G14/$H$1962,B14=2021,G14/$H$1963,B14=2022,G14/$H$1964,B14=2023,G14/$H$1965)</f>
        <v>3.3714387142361595E-5</v>
      </c>
      <c r="J14" s="10" cm="1">
        <f t="array" ref="J14">_xlfn.IFS(B14=2015,I14*$G$2,B14=2016,I14*$G$3,B14=2017,I14*$G$4,B14=2018,I14*$G$5,B14=2019,I14*$G$6,B14=2020,I14*$G$7,B14=2021,I14*$G$8,B14=2022,I14*$G$9,B14=2023,I14*$G$10)</f>
        <v>5074.8218479234138</v>
      </c>
      <c r="K14" s="8">
        <f t="shared" si="0"/>
        <v>31276.821847923413</v>
      </c>
      <c r="L14">
        <f>IFERROR(VLOOKUP(F14,'LEAID Match'!$A$2:$B$240,2,FALSE),"")</f>
        <v>0</v>
      </c>
    </row>
    <row r="15" spans="1:12" x14ac:dyDescent="0.2">
      <c r="A15">
        <v>0</v>
      </c>
      <c r="B15">
        <v>2019</v>
      </c>
      <c r="C15" s="4" t="s">
        <v>44</v>
      </c>
      <c r="D15" s="4" t="s">
        <v>576</v>
      </c>
      <c r="E15" s="4" t="s">
        <v>578</v>
      </c>
      <c r="F15" s="4" t="s">
        <v>1</v>
      </c>
      <c r="G15" s="8">
        <v>27126</v>
      </c>
      <c r="I15" s="16" cm="1">
        <f t="array" ref="I15">_xlfn.IFS(B15=2015,G15/$H$1957,B15=2016,G15/$H$1958,B15=2017,G15/$H$1959,B15=2018,G15/$H$1960,B15=2019,G15/$H$1961,B15=2020,G15/$H$1962,B15=2021,G15/$H$1963,B15=2022,G15/$H$1964,B15=2023,G15/$H$1965)</f>
        <v>3.3712101960071271E-5</v>
      </c>
      <c r="J15" s="10" cm="1">
        <f t="array" ref="J15">_xlfn.IFS(B15=2015,I15*$G$2,B15=2016,I15*$G$3,B15=2017,I15*$G$4,B15=2018,I15*$G$5,B15=2019,I15*$G$6,B15=2020,I15*$G$7,B15=2021,I15*$G$8,B15=2022,I15*$G$9,B15=2023,I15*$G$10)</f>
        <v>5327.4601614225821</v>
      </c>
      <c r="K15" s="8">
        <f t="shared" si="0"/>
        <v>32453.460161422583</v>
      </c>
      <c r="L15">
        <f>IFERROR(VLOOKUP(F15,'LEAID Match'!$A$2:$B$240,2,FALSE),"")</f>
        <v>0</v>
      </c>
    </row>
    <row r="16" spans="1:12" x14ac:dyDescent="0.2">
      <c r="A16">
        <v>0</v>
      </c>
      <c r="B16">
        <v>2020</v>
      </c>
      <c r="C16" s="4" t="s">
        <v>44</v>
      </c>
      <c r="D16" s="4" t="s">
        <v>576</v>
      </c>
      <c r="E16" s="4" t="s">
        <v>578</v>
      </c>
      <c r="F16" s="4" t="s">
        <v>1</v>
      </c>
      <c r="G16" s="8">
        <v>27091</v>
      </c>
      <c r="I16" s="16" cm="1">
        <f t="array" ref="I16">_xlfn.IFS(B16=2015,G16/$H$1957,B16=2016,G16/$H$1958,B16=2017,G16/$H$1959,B16=2018,G16/$H$1960,B16=2019,G16/$H$1961,B16=2020,G16/$H$1962,B16=2021,G16/$H$1963,B16=2022,G16/$H$1964,B16=2023,G16/$H$1965)</f>
        <v>3.1159076026787165E-5</v>
      </c>
      <c r="J16" s="10" cm="1">
        <f t="array" ref="J16">_xlfn.IFS(B16=2015,I16*$G$2,B16=2016,I16*$G$3,B16=2017,I16*$G$4,B16=2018,I16*$G$5,B16=2019,I16*$G$6,B16=2020,I16*$G$7,B16=2021,I16*$G$8,B16=2022,I16*$G$9,B16=2023,I16*$G$10)</f>
        <v>5380.6705817476559</v>
      </c>
      <c r="K16" s="8">
        <f t="shared" si="0"/>
        <v>32471.670581747654</v>
      </c>
      <c r="L16">
        <f>IFERROR(VLOOKUP(F16,'LEAID Match'!$A$2:$B$240,2,FALSE),"")</f>
        <v>0</v>
      </c>
    </row>
    <row r="17" spans="1:12" x14ac:dyDescent="0.2">
      <c r="A17">
        <v>0</v>
      </c>
      <c r="B17">
        <v>2021</v>
      </c>
      <c r="C17" s="4" t="s">
        <v>44</v>
      </c>
      <c r="D17" s="4" t="s">
        <v>576</v>
      </c>
      <c r="E17" s="4" t="s">
        <v>578</v>
      </c>
      <c r="F17" s="4" t="s">
        <v>1</v>
      </c>
      <c r="G17" s="8">
        <v>25012</v>
      </c>
      <c r="I17" s="16" cm="1">
        <f t="array" ref="I17">_xlfn.IFS(B17=2015,G17/$H$1957,B17=2016,G17/$H$1958,B17=2017,G17/$H$1959,B17=2018,G17/$H$1960,B17=2019,G17/$H$1961,B17=2020,G17/$H$1962,B17=2021,G17/$H$1963,B17=2022,G17/$H$1964,B17=2023,G17/$H$1965)</f>
        <v>2.8583585819389147E-5</v>
      </c>
      <c r="J17" s="10" cm="1">
        <f t="array" ref="J17">_xlfn.IFS(B17=2015,I17*$G$2,B17=2016,I17*$G$3,B17=2017,I17*$G$4,B17=2018,I17*$G$5,B17=2019,I17*$G$6,B17=2020,I17*$G$7,B17=2021,I17*$G$8,B17=2022,I17*$G$9,B17=2023,I17*$G$10)</f>
        <v>4905.4245598580328</v>
      </c>
      <c r="K17" s="8">
        <f t="shared" si="0"/>
        <v>29917.424559858031</v>
      </c>
      <c r="L17">
        <f>IFERROR(VLOOKUP(F17,'LEAID Match'!$A$2:$B$240,2,FALSE),"")</f>
        <v>0</v>
      </c>
    </row>
    <row r="18" spans="1:12" x14ac:dyDescent="0.2">
      <c r="A18">
        <v>0</v>
      </c>
      <c r="B18">
        <v>2022</v>
      </c>
      <c r="C18" s="4" t="s">
        <v>44</v>
      </c>
      <c r="D18" s="4" t="s">
        <v>576</v>
      </c>
      <c r="E18" s="4" t="s">
        <v>578</v>
      </c>
      <c r="F18" s="4" t="s">
        <v>1</v>
      </c>
      <c r="G18" s="8">
        <v>28072</v>
      </c>
      <c r="I18" s="16" cm="1">
        <f t="array" ref="I18">_xlfn.IFS(B18=2015,G18/$H$1957,B18=2016,G18/$H$1958,B18=2017,G18/$H$1959,B18=2018,G18/$H$1960,B18=2019,G18/$H$1961,B18=2020,G18/$H$1962,B18=2021,G18/$H$1963,B18=2022,G18/$H$1964,B18=2023,G18/$H$1965)</f>
        <v>3.0171850388219508E-5</v>
      </c>
      <c r="J18" s="10" cm="1">
        <f t="array" ref="J18">_xlfn.IFS(B18=2015,I18*$G$2,B18=2016,I18*$G$3,B18=2017,I18*$G$4,B18=2018,I18*$G$5,B18=2019,I18*$G$6,B18=2020,I18*$G$7,B18=2021,I18*$G$8,B18=2022,I18*$G$9,B18=2023,I18*$G$10)</f>
        <v>5116.7128296171068</v>
      </c>
      <c r="K18" s="8">
        <f t="shared" si="0"/>
        <v>33188.712829617107</v>
      </c>
      <c r="L18">
        <f>IFERROR(VLOOKUP(F18,'LEAID Match'!$A$2:$B$240,2,FALSE),"")</f>
        <v>0</v>
      </c>
    </row>
    <row r="19" spans="1:12" x14ac:dyDescent="0.2">
      <c r="A19">
        <v>0</v>
      </c>
      <c r="B19">
        <v>2023</v>
      </c>
      <c r="C19" s="4" t="s">
        <v>44</v>
      </c>
      <c r="D19" s="4" t="s">
        <v>576</v>
      </c>
      <c r="E19" s="4" t="s">
        <v>578</v>
      </c>
      <c r="F19" s="4" t="s">
        <v>1</v>
      </c>
      <c r="G19" s="8">
        <v>27823</v>
      </c>
      <c r="I19" s="16" cm="1">
        <f t="array" ref="I19">_xlfn.IFS(B19=2015,G19/$H$1957,B19=2016,G19/$H$1958,B19=2017,G19/$H$1959,B19=2018,G19/$H$1960,B19=2019,G19/$H$1961,B19=2020,G19/$H$1962,B19=2021,G19/$H$1963,B19=2022,G19/$H$1964,B19=2023,G19/$H$1965)</f>
        <v>2.8170497880871943E-5</v>
      </c>
      <c r="J19" s="10" cm="1">
        <f t="array" ref="J19">_xlfn.IFS(B19=2015,I19*$G$2,B19=2016,I19*$G$3,B19=2017,I19*$G$4,B19=2018,I19*$G$5,B19=2019,I19*$G$6,B19=2020,I19*$G$7,B19=2021,I19*$G$8,B19=2022,I19*$G$9,B19=2023,I19*$G$10)</f>
        <v>4788.5710686688417</v>
      </c>
      <c r="K19" s="8">
        <f t="shared" si="0"/>
        <v>32611.57106866884</v>
      </c>
      <c r="L19">
        <f>IFERROR(VLOOKUP(F19,'LEAID Match'!$A$2:$B$240,2,FALSE),"")</f>
        <v>0</v>
      </c>
    </row>
    <row r="20" spans="1:12" x14ac:dyDescent="0.2">
      <c r="A20">
        <v>0</v>
      </c>
      <c r="B20">
        <v>2015</v>
      </c>
      <c r="C20" s="4" t="s">
        <v>45</v>
      </c>
      <c r="D20" s="4" t="s">
        <v>576</v>
      </c>
      <c r="E20" s="4" t="s">
        <v>578</v>
      </c>
      <c r="F20" s="4" t="s">
        <v>2</v>
      </c>
      <c r="G20" s="8">
        <v>37432</v>
      </c>
      <c r="I20" s="16" cm="1">
        <f t="array" ref="I20">_xlfn.IFS(B20=2015,G20/$H$1957,B20=2016,G20/$H$1958,B20=2017,G20/$H$1959,B20=2018,G20/$H$1960,B20=2019,G20/$H$1961,B20=2020,G20/$H$1962,B20=2021,G20/$H$1963,B20=2022,G20/$H$1964,B20=2023,G20/$H$1965)</f>
        <v>2.8907179798618664E-5</v>
      </c>
      <c r="J20" s="10" cm="1">
        <f t="array" ref="J20">_xlfn.IFS(B20=2015,I20*$G$2,B20=2016,I20*$G$3,B20=2017,I20*$G$4,B20=2018,I20*$G$5,B20=2019,I20*$G$6,B20=2020,I20*$G$7,B20=2021,I20*$G$8,B20=2022,I20*$G$9,B20=2023,I20*$G$10)</f>
        <v>7187.5556211165258</v>
      </c>
      <c r="K20" s="8">
        <f t="shared" si="0"/>
        <v>44619.555621116524</v>
      </c>
      <c r="L20">
        <f>IFERROR(VLOOKUP(F20,'LEAID Match'!$A$2:$B$240,2,FALSE),"")</f>
        <v>0</v>
      </c>
    </row>
    <row r="21" spans="1:12" x14ac:dyDescent="0.2">
      <c r="A21">
        <v>0</v>
      </c>
      <c r="B21">
        <v>2016</v>
      </c>
      <c r="C21" s="4" t="s">
        <v>45</v>
      </c>
      <c r="D21" s="4" t="s">
        <v>576</v>
      </c>
      <c r="E21" s="4" t="s">
        <v>578</v>
      </c>
      <c r="F21" s="4" t="s">
        <v>2</v>
      </c>
      <c r="G21" s="8">
        <v>41228</v>
      </c>
      <c r="I21" s="16" cm="1">
        <f t="array" ref="I21">_xlfn.IFS(B21=2015,G21/$H$1957,B21=2016,G21/$H$1958,B21=2017,G21/$H$1959,B21=2018,G21/$H$1960,B21=2019,G21/$H$1961,B21=2020,G21/$H$1962,B21=2021,G21/$H$1963,B21=2022,G21/$H$1964,B21=2023,G21/$H$1965)</f>
        <v>2.8942038374761703E-5</v>
      </c>
      <c r="J21" s="10" cm="1">
        <f t="array" ref="J21">_xlfn.IFS(B21=2015,I21*$G$2,B21=2016,I21*$G$3,B21=2017,I21*$G$4,B21=2018,I21*$G$5,B21=2019,I21*$G$6,B21=2020,I21*$G$7,B21=2021,I21*$G$8,B21=2022,I21*$G$9,B21=2023,I21*$G$10)</f>
        <v>7849.1699487135684</v>
      </c>
      <c r="K21" s="8">
        <f t="shared" si="0"/>
        <v>49077.16994871357</v>
      </c>
      <c r="L21">
        <f>IFERROR(VLOOKUP(F21,'LEAID Match'!$A$2:$B$240,2,FALSE),"")</f>
        <v>0</v>
      </c>
    </row>
    <row r="22" spans="1:12" x14ac:dyDescent="0.2">
      <c r="A22">
        <v>0</v>
      </c>
      <c r="B22">
        <v>2017</v>
      </c>
      <c r="C22" s="4" t="s">
        <v>45</v>
      </c>
      <c r="D22" s="4" t="s">
        <v>576</v>
      </c>
      <c r="E22" s="4" t="s">
        <v>578</v>
      </c>
      <c r="F22" s="4" t="s">
        <v>2</v>
      </c>
      <c r="G22" s="8">
        <v>22999</v>
      </c>
      <c r="I22" s="16" cm="1">
        <f t="array" ref="I22">_xlfn.IFS(B22=2015,G22/$H$1957,B22=2016,G22/$H$1958,B22=2017,G22/$H$1959,B22=2018,G22/$H$1960,B22=2019,G22/$H$1961,B22=2020,G22/$H$1962,B22=2021,G22/$H$1963,B22=2022,G22/$H$1964,B22=2023,G22/$H$1965)</f>
        <v>3.068556035460932E-5</v>
      </c>
      <c r="J22" s="10" cm="1">
        <f t="array" ref="J22">_xlfn.IFS(B22=2015,I22*$G$2,B22=2016,I22*$G$3,B22=2017,I22*$G$4,B22=2018,I22*$G$5,B22=2019,I22*$G$6,B22=2020,I22*$G$7,B22=2021,I22*$G$8,B22=2022,I22*$G$9,B22=2023,I22*$G$10)</f>
        <v>4544.1199030966036</v>
      </c>
      <c r="K22" s="8">
        <f t="shared" si="0"/>
        <v>27543.119903096602</v>
      </c>
      <c r="L22">
        <f>IFERROR(VLOOKUP(F22,'LEAID Match'!$A$2:$B$240,2,FALSE),"")</f>
        <v>0</v>
      </c>
    </row>
    <row r="23" spans="1:12" x14ac:dyDescent="0.2">
      <c r="A23">
        <v>0</v>
      </c>
      <c r="B23">
        <v>2018</v>
      </c>
      <c r="C23" s="4" t="s">
        <v>45</v>
      </c>
      <c r="D23" s="4" t="s">
        <v>576</v>
      </c>
      <c r="E23" s="4" t="s">
        <v>578</v>
      </c>
      <c r="F23" s="4" t="s">
        <v>2</v>
      </c>
      <c r="G23" s="8">
        <v>34539</v>
      </c>
      <c r="I23" s="16" cm="1">
        <f t="array" ref="I23">_xlfn.IFS(B23=2015,G23/$H$1957,B23=2016,G23/$H$1958,B23=2017,G23/$H$1959,B23=2018,G23/$H$1960,B23=2019,G23/$H$1961,B23=2020,G23/$H$1962,B23=2021,G23/$H$1963,B23=2022,G23/$H$1964,B23=2023,G23/$H$1965)</f>
        <v>4.4441692142203926E-5</v>
      </c>
      <c r="J23" s="10" cm="1">
        <f t="array" ref="J23">_xlfn.IFS(B23=2015,I23*$G$2,B23=2016,I23*$G$3,B23=2017,I23*$G$4,B23=2018,I23*$G$5,B23=2019,I23*$G$6,B23=2020,I23*$G$7,B23=2021,I23*$G$8,B23=2022,I23*$G$9,B23=2023,I23*$G$10)</f>
        <v>6689.5378904445006</v>
      </c>
      <c r="K23" s="8">
        <f t="shared" si="0"/>
        <v>41228.537890444502</v>
      </c>
      <c r="L23">
        <f>IFERROR(VLOOKUP(F23,'LEAID Match'!$A$2:$B$240,2,FALSE),"")</f>
        <v>0</v>
      </c>
    </row>
    <row r="24" spans="1:12" x14ac:dyDescent="0.2">
      <c r="A24">
        <v>0</v>
      </c>
      <c r="B24">
        <v>2019</v>
      </c>
      <c r="C24" s="4" t="s">
        <v>45</v>
      </c>
      <c r="D24" s="4" t="s">
        <v>576</v>
      </c>
      <c r="E24" s="4" t="s">
        <v>578</v>
      </c>
      <c r="F24" s="4" t="s">
        <v>2</v>
      </c>
      <c r="G24" s="8">
        <v>29398</v>
      </c>
      <c r="I24" s="16" cm="1">
        <f t="array" ref="I24">_xlfn.IFS(B24=2015,G24/$H$1957,B24=2016,G24/$H$1958,B24=2017,G24/$H$1959,B24=2018,G24/$H$1960,B24=2019,G24/$H$1961,B24=2020,G24/$H$1962,B24=2021,G24/$H$1963,B24=2022,G24/$H$1964,B24=2023,G24/$H$1965)</f>
        <v>3.6535735951565851E-5</v>
      </c>
      <c r="J24" s="10" cm="1">
        <f t="array" ref="J24">_xlfn.IFS(B24=2015,I24*$G$2,B24=2016,I24*$G$3,B24=2017,I24*$G$4,B24=2018,I24*$G$5,B24=2019,I24*$G$6,B24=2020,I24*$G$7,B24=2021,I24*$G$8,B24=2022,I24*$G$9,B24=2023,I24*$G$10)</f>
        <v>5773.6737383138343</v>
      </c>
      <c r="K24" s="8">
        <f t="shared" si="0"/>
        <v>35171.673738313832</v>
      </c>
      <c r="L24">
        <f>IFERROR(VLOOKUP(F24,'LEAID Match'!$A$2:$B$240,2,FALSE),"")</f>
        <v>0</v>
      </c>
    </row>
    <row r="25" spans="1:12" x14ac:dyDescent="0.2">
      <c r="A25">
        <v>0</v>
      </c>
      <c r="B25">
        <v>2020</v>
      </c>
      <c r="C25" s="4" t="s">
        <v>45</v>
      </c>
      <c r="D25" s="4" t="s">
        <v>576</v>
      </c>
      <c r="E25" s="4" t="s">
        <v>578</v>
      </c>
      <c r="F25" s="4" t="s">
        <v>2</v>
      </c>
      <c r="G25" s="8">
        <v>30650</v>
      </c>
      <c r="I25" s="16" cm="1">
        <f t="array" ref="I25">_xlfn.IFS(B25=2015,G25/$H$1957,B25=2016,G25/$H$1958,B25=2017,G25/$H$1959,B25=2018,G25/$H$1960,B25=2019,G25/$H$1961,B25=2020,G25/$H$1962,B25=2021,G25/$H$1963,B25=2022,G25/$H$1964,B25=2023,G25/$H$1965)</f>
        <v>3.52525074829658E-5</v>
      </c>
      <c r="J25" s="10" cm="1">
        <f t="array" ref="J25">_xlfn.IFS(B25=2015,I25*$G$2,B25=2016,I25*$G$3,B25=2017,I25*$G$4,B25=2018,I25*$G$5,B25=2019,I25*$G$6,B25=2020,I25*$G$7,B25=2021,I25*$G$8,B25=2022,I25*$G$9,B25=2023,I25*$G$10)</f>
        <v>6087.5402654226727</v>
      </c>
      <c r="K25" s="8">
        <f t="shared" si="0"/>
        <v>36737.540265422671</v>
      </c>
      <c r="L25">
        <f>IFERROR(VLOOKUP(F25,'LEAID Match'!$A$2:$B$240,2,FALSE),"")</f>
        <v>0</v>
      </c>
    </row>
    <row r="26" spans="1:12" x14ac:dyDescent="0.2">
      <c r="A26">
        <v>0</v>
      </c>
      <c r="B26">
        <v>2021</v>
      </c>
      <c r="C26" s="4" t="s">
        <v>45</v>
      </c>
      <c r="D26" s="4" t="s">
        <v>576</v>
      </c>
      <c r="E26" s="4" t="s">
        <v>578</v>
      </c>
      <c r="F26" s="4" t="s">
        <v>2</v>
      </c>
      <c r="G26" s="8">
        <v>30793</v>
      </c>
      <c r="I26" s="16" cm="1">
        <f t="array" ref="I26">_xlfn.IFS(B26=2015,G26/$H$1957,B26=2016,G26/$H$1958,B26=2017,G26/$H$1959,B26=2018,G26/$H$1960,B26=2019,G26/$H$1961,B26=2020,G26/$H$1962,B26=2021,G26/$H$1963,B26=2022,G26/$H$1964,B26=2023,G26/$H$1965)</f>
        <v>3.5190083085576925E-5</v>
      </c>
      <c r="J26" s="10" cm="1">
        <f t="array" ref="J26">_xlfn.IFS(B26=2015,I26*$G$2,B26=2016,I26*$G$3,B26=2017,I26*$G$4,B26=2018,I26*$G$5,B26=2019,I26*$G$6,B26=2020,I26*$G$7,B26=2021,I26*$G$8,B26=2022,I26*$G$9,B26=2023,I26*$G$10)</f>
        <v>6039.2107177238295</v>
      </c>
      <c r="K26" s="8">
        <f t="shared" si="0"/>
        <v>36832.210717723829</v>
      </c>
      <c r="L26">
        <f>IFERROR(VLOOKUP(F26,'LEAID Match'!$A$2:$B$240,2,FALSE),"")</f>
        <v>0</v>
      </c>
    </row>
    <row r="27" spans="1:12" x14ac:dyDescent="0.2">
      <c r="A27">
        <v>0</v>
      </c>
      <c r="B27">
        <v>2022</v>
      </c>
      <c r="C27" s="4" t="s">
        <v>45</v>
      </c>
      <c r="D27" s="4" t="s">
        <v>576</v>
      </c>
      <c r="E27" s="4" t="s">
        <v>578</v>
      </c>
      <c r="F27" s="4" t="s">
        <v>2</v>
      </c>
      <c r="G27" s="8">
        <v>32152</v>
      </c>
      <c r="I27" s="16" cm="1">
        <f t="array" ref="I27">_xlfn.IFS(B27=2015,G27/$H$1957,B27=2016,G27/$H$1958,B27=2017,G27/$H$1959,B27=2018,G27/$H$1960,B27=2019,G27/$H$1961,B27=2020,G27/$H$1962,B27=2021,G27/$H$1963,B27=2022,G27/$H$1964,B27=2023,G27/$H$1965)</f>
        <v>3.4557043804575149E-5</v>
      </c>
      <c r="J27" s="10" cm="1">
        <f t="array" ref="J27">_xlfn.IFS(B27=2015,I27*$G$2,B27=2016,I27*$G$3,B27=2017,I27*$G$4,B27=2018,I27*$G$5,B27=2019,I27*$G$6,B27=2020,I27*$G$7,B27=2021,I27*$G$8,B27=2022,I27*$G$9,B27=2023,I27*$G$10)</f>
        <v>5860.3787011203058</v>
      </c>
      <c r="K27" s="8">
        <f t="shared" si="0"/>
        <v>38012.378701120309</v>
      </c>
      <c r="L27">
        <f>IFERROR(VLOOKUP(F27,'LEAID Match'!$A$2:$B$240,2,FALSE),"")</f>
        <v>0</v>
      </c>
    </row>
    <row r="28" spans="1:12" x14ac:dyDescent="0.2">
      <c r="A28">
        <v>0</v>
      </c>
      <c r="B28">
        <v>2023</v>
      </c>
      <c r="C28" s="4" t="s">
        <v>45</v>
      </c>
      <c r="D28" s="4" t="s">
        <v>576</v>
      </c>
      <c r="E28" s="4" t="s">
        <v>578</v>
      </c>
      <c r="F28" s="4" t="s">
        <v>2</v>
      </c>
      <c r="G28" s="8">
        <v>33061</v>
      </c>
      <c r="I28" s="16" cm="1">
        <f t="array" ref="I28">_xlfn.IFS(B28=2015,G28/$H$1957,B28=2016,G28/$H$1958,B28=2017,G28/$H$1959,B28=2018,G28/$H$1960,B28=2019,G28/$H$1961,B28=2020,G28/$H$1962,B28=2021,G28/$H$1963,B28=2022,G28/$H$1964,B28=2023,G28/$H$1965)</f>
        <v>3.3473918356737495E-5</v>
      </c>
      <c r="J28" s="10" cm="1">
        <f t="array" ref="J28">_xlfn.IFS(B28=2015,I28*$G$2,B28=2016,I28*$G$3,B28=2017,I28*$G$4,B28=2018,I28*$G$5,B28=2019,I28*$G$6,B28=2020,I28*$G$7,B28=2021,I28*$G$8,B28=2022,I28*$G$9,B28=2023,I28*$G$10)</f>
        <v>5690.0746900499789</v>
      </c>
      <c r="K28" s="8">
        <f t="shared" si="0"/>
        <v>38751.07469004998</v>
      </c>
      <c r="L28">
        <f>IFERROR(VLOOKUP(F28,'LEAID Match'!$A$2:$B$240,2,FALSE),"")</f>
        <v>0</v>
      </c>
    </row>
    <row r="29" spans="1:12" x14ac:dyDescent="0.2">
      <c r="A29">
        <v>0</v>
      </c>
      <c r="B29">
        <v>2015</v>
      </c>
      <c r="C29" s="4" t="s">
        <v>46</v>
      </c>
      <c r="D29" s="4" t="s">
        <v>576</v>
      </c>
      <c r="E29" s="4" t="s">
        <v>578</v>
      </c>
      <c r="F29" s="4" t="s">
        <v>3</v>
      </c>
      <c r="G29" s="8">
        <v>32175</v>
      </c>
      <c r="I29" s="16" cm="1">
        <f t="array" ref="I29">_xlfn.IFS(B29=2015,G29/$H$1957,B29=2016,G29/$H$1958,B29=2017,G29/$H$1959,B29=2018,G29/$H$1960,B29=2019,G29/$H$1961,B29=2020,G29/$H$1962,B29=2021,G29/$H$1963,B29=2022,G29/$H$1964,B29=2023,G29/$H$1965)</f>
        <v>2.4847416916556835E-5</v>
      </c>
      <c r="J29" s="10" cm="1">
        <f t="array" ref="J29">_xlfn.IFS(B29=2015,I29*$G$2,B29=2016,I29*$G$3,B29=2017,I29*$G$4,B29=2018,I29*$G$5,B29=2019,I29*$G$6,B29=2020,I29*$G$7,B29=2021,I29*$G$8,B29=2022,I29*$G$9,B29=2023,I29*$G$10)</f>
        <v>6178.1257242312513</v>
      </c>
      <c r="K29" s="8">
        <f t="shared" si="0"/>
        <v>38353.125724231249</v>
      </c>
      <c r="L29">
        <f>IFERROR(VLOOKUP(F29,'LEAID Match'!$A$2:$B$240,2,FALSE),"")</f>
        <v>0</v>
      </c>
    </row>
    <row r="30" spans="1:12" x14ac:dyDescent="0.2">
      <c r="A30">
        <v>0</v>
      </c>
      <c r="B30">
        <v>2016</v>
      </c>
      <c r="C30" s="4" t="s">
        <v>46</v>
      </c>
      <c r="D30" s="4" t="s">
        <v>576</v>
      </c>
      <c r="E30" s="4" t="s">
        <v>578</v>
      </c>
      <c r="F30" s="4" t="s">
        <v>3</v>
      </c>
      <c r="G30" s="8">
        <v>32887</v>
      </c>
      <c r="I30" s="16" cm="1">
        <f t="array" ref="I30">_xlfn.IFS(B30=2015,G30/$H$1957,B30=2016,G30/$H$1958,B30=2017,G30/$H$1959,B30=2018,G30/$H$1960,B30=2019,G30/$H$1961,B30=2020,G30/$H$1962,B30=2021,G30/$H$1963,B30=2022,G30/$H$1964,B30=2023,G30/$H$1965)</f>
        <v>2.3086659940593484E-5</v>
      </c>
      <c r="J30" s="10" cm="1">
        <f t="array" ref="J30">_xlfn.IFS(B30=2015,I30*$G$2,B30=2016,I30*$G$3,B30=2017,I30*$G$4,B30=2018,I30*$G$5,B30=2019,I30*$G$6,B30=2020,I30*$G$7,B30=2021,I30*$G$8,B30=2022,I30*$G$9,B30=2023,I30*$G$10)</f>
        <v>6261.1732828015702</v>
      </c>
      <c r="K30" s="8">
        <f t="shared" si="0"/>
        <v>39148.173282801567</v>
      </c>
      <c r="L30">
        <f>IFERROR(VLOOKUP(F30,'LEAID Match'!$A$2:$B$240,2,FALSE),"")</f>
        <v>0</v>
      </c>
    </row>
    <row r="31" spans="1:12" x14ac:dyDescent="0.2">
      <c r="A31">
        <v>0</v>
      </c>
      <c r="B31">
        <v>2017</v>
      </c>
      <c r="C31" s="4" t="s">
        <v>46</v>
      </c>
      <c r="D31" s="4" t="s">
        <v>576</v>
      </c>
      <c r="E31" s="4" t="s">
        <v>578</v>
      </c>
      <c r="F31" s="4" t="s">
        <v>3</v>
      </c>
      <c r="G31" s="8">
        <v>15830</v>
      </c>
      <c r="I31" s="16" cm="1">
        <f t="array" ref="I31">_xlfn.IFS(B31=2015,G31/$H$1957,B31=2016,G31/$H$1958,B31=2017,G31/$H$1959,B31=2018,G31/$H$1960,B31=2019,G31/$H$1961,B31=2020,G31/$H$1962,B31=2021,G31/$H$1963,B31=2022,G31/$H$1964,B31=2023,G31/$H$1965)</f>
        <v>2.1120588739226296E-5</v>
      </c>
      <c r="J31" s="10" cm="1">
        <f t="array" ref="J31">_xlfn.IFS(B31=2015,I31*$G$2,B31=2016,I31*$G$3,B31=2017,I31*$G$4,B31=2018,I31*$G$5,B31=2019,I31*$G$6,B31=2020,I31*$G$7,B31=2021,I31*$G$8,B31=2022,I31*$G$9,B31=2023,I31*$G$10)</f>
        <v>3127.6759018226553</v>
      </c>
      <c r="K31" s="8">
        <f t="shared" si="0"/>
        <v>18957.675901822655</v>
      </c>
      <c r="L31">
        <f>IFERROR(VLOOKUP(F31,'LEAID Match'!$A$2:$B$240,2,FALSE),"")</f>
        <v>0</v>
      </c>
    </row>
    <row r="32" spans="1:12" x14ac:dyDescent="0.2">
      <c r="A32">
        <v>0</v>
      </c>
      <c r="B32">
        <v>2018</v>
      </c>
      <c r="C32" s="4" t="s">
        <v>46</v>
      </c>
      <c r="D32" s="4" t="s">
        <v>576</v>
      </c>
      <c r="E32" s="4" t="s">
        <v>578</v>
      </c>
      <c r="F32" s="4" t="s">
        <v>3</v>
      </c>
      <c r="G32" s="8">
        <v>15819</v>
      </c>
      <c r="I32" s="16" cm="1">
        <f t="array" ref="I32">_xlfn.IFS(B32=2015,G32/$H$1957,B32=2016,G32/$H$1958,B32=2017,G32/$H$1959,B32=2018,G32/$H$1960,B32=2019,G32/$H$1961,B32=2020,G32/$H$1962,B32=2021,G32/$H$1963,B32=2022,G32/$H$1964,B32=2023,G32/$H$1965)</f>
        <v>2.0354472567171137E-5</v>
      </c>
      <c r="J32" s="10" cm="1">
        <f t="array" ref="J32">_xlfn.IFS(B32=2015,I32*$G$2,B32=2016,I32*$G$3,B32=2017,I32*$G$4,B32=2018,I32*$G$5,B32=2019,I32*$G$6,B32=2020,I32*$G$7,B32=2021,I32*$G$8,B32=2022,I32*$G$9,B32=2023,I32*$G$10)</f>
        <v>3063.835081760953</v>
      </c>
      <c r="K32" s="8">
        <f t="shared" si="0"/>
        <v>18882.835081760953</v>
      </c>
      <c r="L32">
        <f>IFERROR(VLOOKUP(F32,'LEAID Match'!$A$2:$B$240,2,FALSE),"")</f>
        <v>0</v>
      </c>
    </row>
    <row r="33" spans="1:12" x14ac:dyDescent="0.2">
      <c r="A33">
        <v>0</v>
      </c>
      <c r="B33">
        <v>2019</v>
      </c>
      <c r="C33" s="4" t="s">
        <v>46</v>
      </c>
      <c r="D33" s="4" t="s">
        <v>576</v>
      </c>
      <c r="E33" s="4" t="s">
        <v>578</v>
      </c>
      <c r="F33" s="4" t="s">
        <v>3</v>
      </c>
      <c r="G33" s="8">
        <v>16125</v>
      </c>
      <c r="I33" s="16" cm="1">
        <f t="array" ref="I33">_xlfn.IFS(B33=2015,G33/$H$1957,B33=2016,G33/$H$1958,B33=2017,G33/$H$1959,B33=2018,G33/$H$1960,B33=2019,G33/$H$1961,B33=2020,G33/$H$1962,B33=2021,G33/$H$1963,B33=2022,G33/$H$1964,B33=2023,G33/$H$1965)</f>
        <v>2.0040096000374152E-5</v>
      </c>
      <c r="J33" s="10" cm="1">
        <f t="array" ref="J33">_xlfn.IFS(B33=2015,I33*$G$2,B33=2016,I33*$G$3,B33=2017,I33*$G$4,B33=2018,I33*$G$5,B33=2019,I33*$G$6,B33=2020,I33*$G$7,B33=2021,I33*$G$8,B33=2022,I33*$G$9,B33=2023,I33*$G$10)</f>
        <v>3166.8987356388384</v>
      </c>
      <c r="K33" s="8">
        <f t="shared" si="0"/>
        <v>19291.898735638839</v>
      </c>
      <c r="L33">
        <f>IFERROR(VLOOKUP(F33,'LEAID Match'!$A$2:$B$240,2,FALSE),"")</f>
        <v>0</v>
      </c>
    </row>
    <row r="34" spans="1:12" x14ac:dyDescent="0.2">
      <c r="A34">
        <v>0</v>
      </c>
      <c r="B34">
        <v>2020</v>
      </c>
      <c r="C34" s="4" t="s">
        <v>46</v>
      </c>
      <c r="D34" s="4" t="s">
        <v>576</v>
      </c>
      <c r="E34" s="4" t="s">
        <v>578</v>
      </c>
      <c r="F34" s="4" t="s">
        <v>3</v>
      </c>
      <c r="G34" s="8">
        <v>17770</v>
      </c>
      <c r="I34" s="16" cm="1">
        <f t="array" ref="I34">_xlfn.IFS(B34=2015,G34/$H$1957,B34=2016,G34/$H$1958,B34=2017,G34/$H$1959,B34=2018,G34/$H$1960,B34=2019,G34/$H$1961,B34=2020,G34/$H$1962,B34=2021,G34/$H$1963,B34=2022,G34/$H$1964,B34=2023,G34/$H$1965)</f>
        <v>2.0438403196486208E-5</v>
      </c>
      <c r="J34" s="10" cm="1">
        <f t="array" ref="J34">_xlfn.IFS(B34=2015,I34*$G$2,B34=2016,I34*$G$3,B34=2017,I34*$G$4,B34=2018,I34*$G$5,B34=2019,I34*$G$6,B34=2020,I34*$G$7,B34=2021,I34*$G$8,B34=2022,I34*$G$9,B34=2023,I34*$G$10)</f>
        <v>3529.3830511112856</v>
      </c>
      <c r="K34" s="8">
        <f t="shared" si="0"/>
        <v>21299.383051111286</v>
      </c>
      <c r="L34">
        <f>IFERROR(VLOOKUP(F34,'LEAID Match'!$A$2:$B$240,2,FALSE),"")</f>
        <v>0</v>
      </c>
    </row>
    <row r="35" spans="1:12" x14ac:dyDescent="0.2">
      <c r="A35">
        <v>0</v>
      </c>
      <c r="B35">
        <v>2021</v>
      </c>
      <c r="C35" s="4" t="s">
        <v>46</v>
      </c>
      <c r="D35" s="4" t="s">
        <v>576</v>
      </c>
      <c r="E35" s="4" t="s">
        <v>578</v>
      </c>
      <c r="F35" s="4" t="s">
        <v>3</v>
      </c>
      <c r="G35" s="8">
        <v>18185</v>
      </c>
      <c r="I35" s="16" cm="1">
        <f t="array" ref="I35">_xlfn.IFS(B35=2015,G35/$H$1957,B35=2016,G35/$H$1958,B35=2017,G35/$H$1959,B35=2018,G35/$H$1960,B35=2019,G35/$H$1961,B35=2020,G35/$H$1962,B35=2021,G35/$H$1963,B35=2022,G35/$H$1964,B35=2023,G35/$H$1965)</f>
        <v>2.0781725096977117E-5</v>
      </c>
      <c r="J35" s="10" cm="1">
        <f t="array" ref="J35">_xlfn.IFS(B35=2015,I35*$G$2,B35=2016,I35*$G$3,B35=2017,I35*$G$4,B35=2018,I35*$G$5,B35=2019,I35*$G$6,B35=2020,I35*$G$7,B35=2021,I35*$G$8,B35=2022,I35*$G$9,B35=2023,I35*$G$10)</f>
        <v>3566.493907765006</v>
      </c>
      <c r="K35" s="8">
        <f t="shared" si="0"/>
        <v>21751.493907765005</v>
      </c>
      <c r="L35">
        <f>IFERROR(VLOOKUP(F35,'LEAID Match'!$A$2:$B$240,2,FALSE),"")</f>
        <v>0</v>
      </c>
    </row>
    <row r="36" spans="1:12" x14ac:dyDescent="0.2">
      <c r="A36">
        <v>0</v>
      </c>
      <c r="B36">
        <v>2022</v>
      </c>
      <c r="C36" s="4" t="s">
        <v>46</v>
      </c>
      <c r="D36" s="4" t="s">
        <v>576</v>
      </c>
      <c r="E36" s="4" t="s">
        <v>578</v>
      </c>
      <c r="F36" s="4" t="s">
        <v>3</v>
      </c>
      <c r="G36" s="8">
        <v>18714</v>
      </c>
      <c r="I36" s="16" cm="1">
        <f t="array" ref="I36">_xlfn.IFS(B36=2015,G36/$H$1957,B36=2016,G36/$H$1958,B36=2017,G36/$H$1959,B36=2018,G36/$H$1960,B36=2019,G36/$H$1961,B36=2020,G36/$H$1962,B36=2021,G36/$H$1963,B36=2022,G36/$H$1964,B36=2023,G36/$H$1965)</f>
        <v>2.011385039060772E-5</v>
      </c>
      <c r="J36" s="10" cm="1">
        <f t="array" ref="J36">_xlfn.IFS(B36=2015,I36*$G$2,B36=2016,I36*$G$3,B36=2017,I36*$G$4,B36=2018,I36*$G$5,B36=2019,I36*$G$6,B36=2020,I36*$G$7,B36=2021,I36*$G$8,B36=2022,I36*$G$9,B36=2023,I36*$G$10)</f>
        <v>3411.0203723801137</v>
      </c>
      <c r="K36" s="8">
        <f t="shared" si="0"/>
        <v>22125.020372380113</v>
      </c>
      <c r="L36">
        <f>IFERROR(VLOOKUP(F36,'LEAID Match'!$A$2:$B$240,2,FALSE),"")</f>
        <v>0</v>
      </c>
    </row>
    <row r="37" spans="1:12" x14ac:dyDescent="0.2">
      <c r="A37">
        <v>0</v>
      </c>
      <c r="B37">
        <v>2023</v>
      </c>
      <c r="C37" s="4" t="s">
        <v>46</v>
      </c>
      <c r="D37" s="4" t="s">
        <v>576</v>
      </c>
      <c r="E37" s="4" t="s">
        <v>578</v>
      </c>
      <c r="F37" s="4" t="s">
        <v>3</v>
      </c>
      <c r="G37" s="8">
        <v>19228</v>
      </c>
      <c r="I37" s="16" cm="1">
        <f t="array" ref="I37">_xlfn.IFS(B37=2015,G37/$H$1957,B37=2016,G37/$H$1958,B37=2017,G37/$H$1959,B37=2018,G37/$H$1960,B37=2019,G37/$H$1961,B37=2020,G37/$H$1962,B37=2021,G37/$H$1963,B37=2022,G37/$H$1964,B37=2023,G37/$H$1965)</f>
        <v>1.946814984916816E-5</v>
      </c>
      <c r="J37" s="10" cm="1">
        <f t="array" ref="J37">_xlfn.IFS(B37=2015,I37*$G$2,B37=2016,I37*$G$3,B37=2017,I37*$G$4,B37=2018,I37*$G$5,B37=2019,I37*$G$6,B37=2020,I37*$G$7,B37=2021,I37*$G$8,B37=2022,I37*$G$9,B37=2023,I37*$G$10)</f>
        <v>3309.2996624506513</v>
      </c>
      <c r="K37" s="8">
        <f t="shared" si="0"/>
        <v>22537.299662450652</v>
      </c>
      <c r="L37">
        <f>IFERROR(VLOOKUP(F37,'LEAID Match'!$A$2:$B$240,2,FALSE),"")</f>
        <v>0</v>
      </c>
    </row>
    <row r="38" spans="1:12" x14ac:dyDescent="0.2">
      <c r="A38">
        <v>0</v>
      </c>
      <c r="B38">
        <v>2015</v>
      </c>
      <c r="C38" s="4" t="s">
        <v>47</v>
      </c>
      <c r="D38" s="4" t="s">
        <v>576</v>
      </c>
      <c r="E38" s="4" t="s">
        <v>578</v>
      </c>
      <c r="F38" s="4" t="s">
        <v>4</v>
      </c>
      <c r="G38" s="8">
        <v>62703</v>
      </c>
      <c r="I38" s="16" cm="1">
        <f t="array" ref="I38">_xlfn.IFS(B38=2015,G38/$H$1957,B38=2016,G38/$H$1958,B38=2017,G38/$H$1959,B38=2018,G38/$H$1960,B38=2019,G38/$H$1961,B38=2020,G38/$H$1962,B38=2021,G38/$H$1963,B38=2022,G38/$H$1964,B38=2023,G38/$H$1965)</f>
        <v>4.8422924100042369E-5</v>
      </c>
      <c r="J38" s="10" cm="1">
        <f t="array" ref="J38">_xlfn.IFS(B38=2015,I38*$G$2,B38=2016,I38*$G$3,B38=2017,I38*$G$4,B38=2018,I38*$G$5,B38=2019,I38*$G$6,B38=2020,I38*$G$7,B38=2021,I38*$G$8,B38=2022,I38*$G$9,B38=2023,I38*$G$10)</f>
        <v>12040.000537264092</v>
      </c>
      <c r="K38" s="8">
        <f t="shared" si="0"/>
        <v>74743.000537264088</v>
      </c>
      <c r="L38">
        <f>IFERROR(VLOOKUP(F38,'LEAID Match'!$A$2:$B$240,2,FALSE),"")</f>
        <v>0</v>
      </c>
    </row>
    <row r="39" spans="1:12" x14ac:dyDescent="0.2">
      <c r="A39">
        <v>0</v>
      </c>
      <c r="B39">
        <v>2016</v>
      </c>
      <c r="C39" s="4" t="s">
        <v>47</v>
      </c>
      <c r="D39" s="4" t="s">
        <v>576</v>
      </c>
      <c r="E39" s="4" t="s">
        <v>578</v>
      </c>
      <c r="F39" s="4" t="s">
        <v>4</v>
      </c>
      <c r="G39" s="8">
        <v>81574</v>
      </c>
      <c r="I39" s="16" cm="1">
        <f t="array" ref="I39">_xlfn.IFS(B39=2015,G39/$H$1957,B39=2016,G39/$H$1958,B39=2017,G39/$H$1959,B39=2018,G39/$H$1960,B39=2019,G39/$H$1961,B39=2020,G39/$H$1962,B39=2021,G39/$H$1963,B39=2022,G39/$H$1964,B39=2023,G39/$H$1965)</f>
        <v>5.7264913126584144E-5</v>
      </c>
      <c r="J39" s="10" cm="1">
        <f t="array" ref="J39">_xlfn.IFS(B39=2015,I39*$G$2,B39=2016,I39*$G$3,B39=2017,I39*$G$4,B39=2018,I39*$G$5,B39=2019,I39*$G$6,B39=2020,I39*$G$7,B39=2021,I39*$G$8,B39=2022,I39*$G$9,B39=2023,I39*$G$10)</f>
        <v>15530.420815862049</v>
      </c>
      <c r="K39" s="8">
        <f t="shared" si="0"/>
        <v>97104.420815862046</v>
      </c>
      <c r="L39">
        <f>IFERROR(VLOOKUP(F39,'LEAID Match'!$A$2:$B$240,2,FALSE),"")</f>
        <v>0</v>
      </c>
    </row>
    <row r="40" spans="1:12" x14ac:dyDescent="0.2">
      <c r="A40">
        <v>0</v>
      </c>
      <c r="B40">
        <v>2017</v>
      </c>
      <c r="C40" s="4" t="s">
        <v>47</v>
      </c>
      <c r="D40" s="4" t="s">
        <v>576</v>
      </c>
      <c r="E40" s="4" t="s">
        <v>578</v>
      </c>
      <c r="F40" s="4" t="s">
        <v>4</v>
      </c>
      <c r="G40" s="8">
        <v>43470</v>
      </c>
      <c r="I40" s="16" cm="1">
        <f t="array" ref="I40">_xlfn.IFS(B40=2015,G40/$H$1957,B40=2016,G40/$H$1958,B40=2017,G40/$H$1959,B40=2018,G40/$H$1960,B40=2019,G40/$H$1961,B40=2020,G40/$H$1962,B40=2021,G40/$H$1963,B40=2022,G40/$H$1964,B40=2023,G40/$H$1965)</f>
        <v>5.7998230732417374E-5</v>
      </c>
      <c r="J40" s="10" cm="1">
        <f t="array" ref="J40">_xlfn.IFS(B40=2015,I40*$G$2,B40=2016,I40*$G$3,B40=2017,I40*$G$4,B40=2018,I40*$G$5,B40=2019,I40*$G$6,B40=2020,I40*$G$7,B40=2021,I40*$G$8,B40=2022,I40*$G$9,B40=2023,I40*$G$10)</f>
        <v>8588.7600412021984</v>
      </c>
      <c r="K40" s="8">
        <f t="shared" si="0"/>
        <v>52058.7600412022</v>
      </c>
      <c r="L40">
        <f>IFERROR(VLOOKUP(F40,'LEAID Match'!$A$2:$B$240,2,FALSE),"")</f>
        <v>0</v>
      </c>
    </row>
    <row r="41" spans="1:12" x14ac:dyDescent="0.2">
      <c r="A41">
        <v>0</v>
      </c>
      <c r="B41">
        <v>2018</v>
      </c>
      <c r="C41" s="4" t="s">
        <v>47</v>
      </c>
      <c r="D41" s="4" t="s">
        <v>576</v>
      </c>
      <c r="E41" s="4" t="s">
        <v>578</v>
      </c>
      <c r="F41" s="4" t="s">
        <v>4</v>
      </c>
      <c r="G41" s="8">
        <v>64474</v>
      </c>
      <c r="I41" s="16" cm="1">
        <f t="array" ref="I41">_xlfn.IFS(B41=2015,G41/$H$1957,B41=2016,G41/$H$1958,B41=2017,G41/$H$1959,B41=2018,G41/$H$1960,B41=2019,G41/$H$1961,B41=2020,G41/$H$1962,B41=2021,G41/$H$1963,B41=2022,G41/$H$1964,B41=2023,G41/$H$1965)</f>
        <v>8.2959369384650854E-5</v>
      </c>
      <c r="J41" s="10" cm="1">
        <f t="array" ref="J41">_xlfn.IFS(B41=2015,I41*$G$2,B41=2016,I41*$G$3,B41=2017,I41*$G$4,B41=2018,I41*$G$5,B41=2019,I41*$G$6,B41=2020,I41*$G$7,B41=2021,I41*$G$8,B41=2022,I41*$G$9,B41=2023,I41*$G$10)</f>
        <v>12487.369812343111</v>
      </c>
      <c r="K41" s="8">
        <f t="shared" si="0"/>
        <v>76961.36981234311</v>
      </c>
      <c r="L41">
        <f>IFERROR(VLOOKUP(F41,'LEAID Match'!$A$2:$B$240,2,FALSE),"")</f>
        <v>0</v>
      </c>
    </row>
    <row r="42" spans="1:12" x14ac:dyDescent="0.2">
      <c r="A42">
        <v>0</v>
      </c>
      <c r="B42">
        <v>2019</v>
      </c>
      <c r="C42" s="4" t="s">
        <v>47</v>
      </c>
      <c r="D42" s="4" t="s">
        <v>576</v>
      </c>
      <c r="E42" s="4" t="s">
        <v>578</v>
      </c>
      <c r="F42" s="4" t="s">
        <v>4</v>
      </c>
      <c r="G42" s="8">
        <v>59522</v>
      </c>
      <c r="I42" s="16" cm="1">
        <f t="array" ref="I42">_xlfn.IFS(B42=2015,G42/$H$1957,B42=2016,G42/$H$1958,B42=2017,G42/$H$1959,B42=2018,G42/$H$1960,B42=2019,G42/$H$1961,B42=2020,G42/$H$1962,B42=2021,G42/$H$1963,B42=2022,G42/$H$1964,B42=2023,G42/$H$1965)</f>
        <v>7.3973742271892732E-5</v>
      </c>
      <c r="J42" s="10" cm="1">
        <f t="array" ref="J42">_xlfn.IFS(B42=2015,I42*$G$2,B42=2016,I42*$G$3,B42=2017,I42*$G$4,B42=2018,I42*$G$5,B42=2019,I42*$G$6,B42=2020,I42*$G$7,B42=2021,I42*$G$8,B42=2022,I42*$G$9,B42=2023,I42*$G$10)</f>
        <v>11689.931568539221</v>
      </c>
      <c r="K42" s="8">
        <f t="shared" si="0"/>
        <v>71211.931568539221</v>
      </c>
      <c r="L42">
        <f>IFERROR(VLOOKUP(F42,'LEAID Match'!$A$2:$B$240,2,FALSE),"")</f>
        <v>0</v>
      </c>
    </row>
    <row r="43" spans="1:12" x14ac:dyDescent="0.2">
      <c r="A43">
        <v>0</v>
      </c>
      <c r="B43">
        <v>2020</v>
      </c>
      <c r="C43" s="4" t="s">
        <v>47</v>
      </c>
      <c r="D43" s="4" t="s">
        <v>576</v>
      </c>
      <c r="E43" s="4" t="s">
        <v>578</v>
      </c>
      <c r="F43" s="4" t="s">
        <v>4</v>
      </c>
      <c r="G43" s="8">
        <v>55613</v>
      </c>
      <c r="I43" s="16" cm="1">
        <f t="array" ref="I43">_xlfn.IFS(B43=2015,G43/$H$1957,B43=2016,G43/$H$1958,B43=2017,G43/$H$1959,B43=2018,G43/$H$1960,B43=2019,G43/$H$1961,B43=2020,G43/$H$1962,B43=2021,G43/$H$1963,B43=2022,G43/$H$1964,B43=2023,G43/$H$1965)</f>
        <v>6.3964035845030245E-5</v>
      </c>
      <c r="J43" s="10" cm="1">
        <f t="array" ref="J43">_xlfn.IFS(B43=2015,I43*$G$2,B43=2016,I43*$G$3,B43=2017,I43*$G$4,B43=2018,I43*$G$5,B43=2019,I43*$G$6,B43=2020,I43*$G$7,B43=2021,I43*$G$8,B43=2022,I43*$G$9,B43=2023,I43*$G$10)</f>
        <v>11045.558785675403</v>
      </c>
      <c r="K43" s="8">
        <f t="shared" si="0"/>
        <v>66658.558785675399</v>
      </c>
      <c r="L43">
        <f>IFERROR(VLOOKUP(F43,'LEAID Match'!$A$2:$B$240,2,FALSE),"")</f>
        <v>0</v>
      </c>
    </row>
    <row r="44" spans="1:12" x14ac:dyDescent="0.2">
      <c r="A44">
        <v>0</v>
      </c>
      <c r="B44">
        <v>2021</v>
      </c>
      <c r="C44" s="4" t="s">
        <v>47</v>
      </c>
      <c r="D44" s="4" t="s">
        <v>576</v>
      </c>
      <c r="E44" s="4" t="s">
        <v>578</v>
      </c>
      <c r="F44" s="4" t="s">
        <v>4</v>
      </c>
      <c r="G44" s="8">
        <v>63917</v>
      </c>
      <c r="I44" s="16" cm="1">
        <f t="array" ref="I44">_xlfn.IFS(B44=2015,G44/$H$1957,B44=2016,G44/$H$1958,B44=2017,G44/$H$1959,B44=2018,G44/$H$1960,B44=2019,G44/$H$1961,B44=2020,G44/$H$1962,B44=2021,G44/$H$1963,B44=2022,G44/$H$1964,B44=2023,G44/$H$1965)</f>
        <v>7.3044021062605802E-5</v>
      </c>
      <c r="J44" s="10" cm="1">
        <f t="array" ref="J44">_xlfn.IFS(B44=2015,I44*$G$2,B44=2016,I44*$G$3,B44=2017,I44*$G$4,B44=2018,I44*$G$5,B44=2019,I44*$G$6,B44=2020,I44*$G$7,B44=2021,I44*$G$8,B44=2022,I44*$G$9,B44=2023,I44*$G$10)</f>
        <v>12535.583783481765</v>
      </c>
      <c r="K44" s="8">
        <f t="shared" si="0"/>
        <v>76452.583783481765</v>
      </c>
      <c r="L44">
        <f>IFERROR(VLOOKUP(F44,'LEAID Match'!$A$2:$B$240,2,FALSE),"")</f>
        <v>0</v>
      </c>
    </row>
    <row r="45" spans="1:12" x14ac:dyDescent="0.2">
      <c r="A45">
        <v>0</v>
      </c>
      <c r="B45">
        <v>2022</v>
      </c>
      <c r="C45" s="4" t="s">
        <v>47</v>
      </c>
      <c r="D45" s="4" t="s">
        <v>576</v>
      </c>
      <c r="E45" s="4" t="s">
        <v>578</v>
      </c>
      <c r="F45" s="4" t="s">
        <v>4</v>
      </c>
      <c r="G45" s="8">
        <v>67187</v>
      </c>
      <c r="I45" s="16" cm="1">
        <f t="array" ref="I45">_xlfn.IFS(B45=2015,G45/$H$1957,B45=2016,G45/$H$1958,B45=2017,G45/$H$1959,B45=2018,G45/$H$1960,B45=2019,G45/$H$1961,B45=2020,G45/$H$1962,B45=2021,G45/$H$1963,B45=2022,G45/$H$1964,B45=2023,G45/$H$1965)</f>
        <v>7.2212742662913364E-5</v>
      </c>
      <c r="J45" s="10" cm="1">
        <f t="array" ref="J45">_xlfn.IFS(B45=2015,I45*$G$2,B45=2016,I45*$G$3,B45=2017,I45*$G$4,B45=2018,I45*$G$5,B45=2019,I45*$G$6,B45=2020,I45*$G$7,B45=2021,I45*$G$8,B45=2022,I45*$G$9,B45=2023,I45*$G$10)</f>
        <v>12246.24483056015</v>
      </c>
      <c r="K45" s="8">
        <f t="shared" si="0"/>
        <v>79433.244830560143</v>
      </c>
      <c r="L45">
        <f>IFERROR(VLOOKUP(F45,'LEAID Match'!$A$2:$B$240,2,FALSE),"")</f>
        <v>0</v>
      </c>
    </row>
    <row r="46" spans="1:12" x14ac:dyDescent="0.2">
      <c r="A46">
        <v>0</v>
      </c>
      <c r="B46">
        <v>2023</v>
      </c>
      <c r="C46" s="4" t="s">
        <v>47</v>
      </c>
      <c r="D46" s="4" t="s">
        <v>576</v>
      </c>
      <c r="E46" s="4" t="s">
        <v>578</v>
      </c>
      <c r="F46" s="4" t="s">
        <v>4</v>
      </c>
      <c r="G46" s="8">
        <v>74541</v>
      </c>
      <c r="I46" s="16" cm="1">
        <f t="array" ref="I46">_xlfn.IFS(B46=2015,G46/$H$1957,B46=2016,G46/$H$1958,B46=2017,G46/$H$1959,B46=2018,G46/$H$1960,B46=2019,G46/$H$1961,B46=2020,G46/$H$1962,B46=2021,G46/$H$1963,B46=2022,G46/$H$1964,B46=2023,G46/$H$1965)</f>
        <v>7.5471986577223003E-5</v>
      </c>
      <c r="J46" s="10" cm="1">
        <f t="array" ref="J46">_xlfn.IFS(B46=2015,I46*$G$2,B46=2016,I46*$G$3,B46=2017,I46*$G$4,B46=2018,I46*$G$5,B46=2019,I46*$G$6,B46=2020,I46*$G$7,B46=2021,I46*$G$8,B46=2022,I46*$G$9,B46=2023,I46*$G$10)</f>
        <v>12829.129713892969</v>
      </c>
      <c r="K46" s="8">
        <f t="shared" si="0"/>
        <v>87370.129713892966</v>
      </c>
      <c r="L46">
        <f>IFERROR(VLOOKUP(F46,'LEAID Match'!$A$2:$B$240,2,FALSE),"")</f>
        <v>0</v>
      </c>
    </row>
    <row r="47" spans="1:12" x14ac:dyDescent="0.2">
      <c r="A47">
        <v>0</v>
      </c>
      <c r="B47">
        <v>2015</v>
      </c>
      <c r="C47" s="4" t="s">
        <v>48</v>
      </c>
      <c r="D47" s="4" t="s">
        <v>576</v>
      </c>
      <c r="E47" s="4" t="s">
        <v>578</v>
      </c>
      <c r="F47" s="4" t="s">
        <v>5</v>
      </c>
      <c r="G47" s="8">
        <v>15137</v>
      </c>
      <c r="I47" s="16" cm="1">
        <f t="array" ref="I47">_xlfn.IFS(B47=2015,G47/$H$1957,B47=2016,G47/$H$1958,B47=2017,G47/$H$1959,B47=2018,G47/$H$1960,B47=2019,G47/$H$1961,B47=2020,G47/$H$1962,B47=2021,G47/$H$1963,B47=2022,G47/$H$1964,B47=2023,G47/$H$1965)</f>
        <v>1.1689676763509583E-5</v>
      </c>
      <c r="J47" s="10" cm="1">
        <f t="array" ref="J47">_xlfn.IFS(B47=2015,I47*$G$2,B47=2016,I47*$G$3,B47=2017,I47*$G$4,B47=2018,I47*$G$5,B47=2019,I47*$G$6,B47=2020,I47*$G$7,B47=2021,I47*$G$8,B47=2022,I47*$G$9,B47=2023,I47*$G$10)</f>
        <v>2906.551331396689</v>
      </c>
      <c r="K47" s="8">
        <f t="shared" si="0"/>
        <v>18043.551331396688</v>
      </c>
      <c r="L47">
        <f>IFERROR(VLOOKUP(F47,'LEAID Match'!$A$2:$B$240,2,FALSE),"")</f>
        <v>0</v>
      </c>
    </row>
    <row r="48" spans="1:12" x14ac:dyDescent="0.2">
      <c r="A48">
        <v>0</v>
      </c>
      <c r="B48">
        <v>2016</v>
      </c>
      <c r="C48" s="4" t="s">
        <v>48</v>
      </c>
      <c r="D48" s="4" t="s">
        <v>576</v>
      </c>
      <c r="E48" s="4" t="s">
        <v>578</v>
      </c>
      <c r="F48" s="4" t="s">
        <v>5</v>
      </c>
      <c r="G48" s="8">
        <v>10916</v>
      </c>
      <c r="I48" s="16" cm="1">
        <f t="array" ref="I48">_xlfn.IFS(B48=2015,G48/$H$1957,B48=2016,G48/$H$1958,B48=2017,G48/$H$1959,B48=2018,G48/$H$1960,B48=2019,G48/$H$1961,B48=2020,G48/$H$1962,B48=2021,G48/$H$1963,B48=2022,G48/$H$1964,B48=2023,G48/$H$1965)</f>
        <v>7.6630273333389624E-6</v>
      </c>
      <c r="J48" s="10" cm="1">
        <f t="array" ref="J48">_xlfn.IFS(B48=2015,I48*$G$2,B48=2016,I48*$G$3,B48=2017,I48*$G$4,B48=2018,I48*$G$5,B48=2019,I48*$G$6,B48=2020,I48*$G$7,B48=2021,I48*$G$8,B48=2022,I48*$G$9,B48=2023,I48*$G$10)</f>
        <v>2078.2366149257132</v>
      </c>
      <c r="K48" s="8">
        <f t="shared" si="0"/>
        <v>12994.236614925714</v>
      </c>
      <c r="L48">
        <f>IFERROR(VLOOKUP(F48,'LEAID Match'!$A$2:$B$240,2,FALSE),"")</f>
        <v>0</v>
      </c>
    </row>
    <row r="49" spans="1:12" x14ac:dyDescent="0.2">
      <c r="A49">
        <v>0</v>
      </c>
      <c r="B49">
        <v>2017</v>
      </c>
      <c r="C49" s="4" t="s">
        <v>48</v>
      </c>
      <c r="D49" s="4" t="s">
        <v>576</v>
      </c>
      <c r="E49" s="4" t="s">
        <v>578</v>
      </c>
      <c r="F49" s="4" t="s">
        <v>5</v>
      </c>
      <c r="G49" s="8">
        <v>7011</v>
      </c>
      <c r="I49" s="16" cm="1">
        <f t="array" ref="I49">_xlfn.IFS(B49=2015,G49/$H$1957,B49=2016,G49/$H$1958,B49=2017,G49/$H$1959,B49=2018,G49/$H$1960,B49=2019,G49/$H$1961,B49=2020,G49/$H$1962,B49=2021,G49/$H$1963,B49=2022,G49/$H$1964,B49=2023,G49/$H$1965)</f>
        <v>9.3541659918329469E-6</v>
      </c>
      <c r="J49" s="10" cm="1">
        <f t="array" ref="J49">_xlfn.IFS(B49=2015,I49*$G$2,B49=2016,I49*$G$3,B49=2017,I49*$G$4,B49=2018,I49*$G$5,B49=2019,I49*$G$6,B49=2020,I49*$G$7,B49=2021,I49*$G$8,B49=2022,I49*$G$9,B49=2023,I49*$G$10)</f>
        <v>1385.226515962011</v>
      </c>
      <c r="K49" s="8">
        <f t="shared" si="0"/>
        <v>8396.226515962011</v>
      </c>
      <c r="L49">
        <f>IFERROR(VLOOKUP(F49,'LEAID Match'!$A$2:$B$240,2,FALSE),"")</f>
        <v>0</v>
      </c>
    </row>
    <row r="50" spans="1:12" x14ac:dyDescent="0.2">
      <c r="A50">
        <v>0</v>
      </c>
      <c r="B50">
        <v>2018</v>
      </c>
      <c r="C50" s="4" t="s">
        <v>48</v>
      </c>
      <c r="D50" s="4" t="s">
        <v>576</v>
      </c>
      <c r="E50" s="4" t="s">
        <v>578</v>
      </c>
      <c r="F50" s="4" t="s">
        <v>5</v>
      </c>
      <c r="G50" s="8">
        <v>7736</v>
      </c>
      <c r="I50" s="16" cm="1">
        <f t="array" ref="I50">_xlfn.IFS(B50=2015,G50/$H$1957,B50=2016,G50/$H$1958,B50=2017,G50/$H$1959,B50=2018,G50/$H$1960,B50=2019,G50/$H$1961,B50=2020,G50/$H$1962,B50=2021,G50/$H$1963,B50=2022,G50/$H$1964,B50=2023,G50/$H$1965)</f>
        <v>9.9539920209644039E-6</v>
      </c>
      <c r="J50" s="10" cm="1">
        <f t="array" ref="J50">_xlfn.IFS(B50=2015,I50*$G$2,B50=2016,I50*$G$3,B50=2017,I50*$G$4,B50=2018,I50*$G$5,B50=2019,I50*$G$6,B50=2020,I50*$G$7,B50=2021,I50*$G$8,B50=2022,I50*$G$9,B50=2023,I50*$G$10)</f>
        <v>1498.3139384602523</v>
      </c>
      <c r="K50" s="8">
        <f t="shared" si="0"/>
        <v>9234.3139384602528</v>
      </c>
      <c r="L50">
        <f>IFERROR(VLOOKUP(F50,'LEAID Match'!$A$2:$B$240,2,FALSE),"")</f>
        <v>0</v>
      </c>
    </row>
    <row r="51" spans="1:12" x14ac:dyDescent="0.2">
      <c r="A51">
        <v>0</v>
      </c>
      <c r="B51">
        <v>2019</v>
      </c>
      <c r="C51" s="4" t="s">
        <v>48</v>
      </c>
      <c r="D51" s="4" t="s">
        <v>576</v>
      </c>
      <c r="E51" s="4" t="s">
        <v>578</v>
      </c>
      <c r="F51" s="4" t="s">
        <v>5</v>
      </c>
      <c r="G51" s="8">
        <v>8136</v>
      </c>
      <c r="I51" s="16" cm="1">
        <f t="array" ref="I51">_xlfn.IFS(B51=2015,G51/$H$1957,B51=2016,G51/$H$1958,B51=2017,G51/$H$1959,B51=2018,G51/$H$1960,B51=2019,G51/$H$1961,B51=2020,G51/$H$1962,B51=2021,G51/$H$1963,B51=2022,G51/$H$1964,B51=2023,G51/$H$1965)</f>
        <v>1.0111393554049247E-5</v>
      </c>
      <c r="J51" s="10" cm="1">
        <f t="array" ref="J51">_xlfn.IFS(B51=2015,I51*$G$2,B51=2016,I51*$G$3,B51=2017,I51*$G$4,B51=2018,I51*$G$5,B51=2019,I51*$G$6,B51=2020,I51*$G$7,B51=2021,I51*$G$8,B51=2022,I51*$G$9,B51=2023,I51*$G$10)</f>
        <v>1597.8845341493079</v>
      </c>
      <c r="K51" s="8">
        <f t="shared" si="0"/>
        <v>9733.884534149307</v>
      </c>
      <c r="L51">
        <f>IFERROR(VLOOKUP(F51,'LEAID Match'!$A$2:$B$240,2,FALSE),"")</f>
        <v>0</v>
      </c>
    </row>
    <row r="52" spans="1:12" x14ac:dyDescent="0.2">
      <c r="A52">
        <v>0</v>
      </c>
      <c r="B52">
        <v>2020</v>
      </c>
      <c r="C52" s="4" t="s">
        <v>48</v>
      </c>
      <c r="D52" s="4" t="s">
        <v>576</v>
      </c>
      <c r="E52" s="4" t="s">
        <v>578</v>
      </c>
      <c r="F52" s="4" t="s">
        <v>5</v>
      </c>
      <c r="G52" s="8">
        <v>8726</v>
      </c>
      <c r="I52" s="16" cm="1">
        <f t="array" ref="I52">_xlfn.IFS(B52=2015,G52/$H$1957,B52=2016,G52/$H$1958,B52=2017,G52/$H$1959,B52=2018,G52/$H$1960,B52=2019,G52/$H$1961,B52=2020,G52/$H$1962,B52=2021,G52/$H$1963,B52=2022,G52/$H$1964,B52=2023,G52/$H$1965)</f>
        <v>1.0036325621414669E-5</v>
      </c>
      <c r="J52" s="10" cm="1">
        <f t="array" ref="J52">_xlfn.IFS(B52=2015,I52*$G$2,B52=2016,I52*$G$3,B52=2017,I52*$G$4,B52=2018,I52*$G$5,B52=2019,I52*$G$6,B52=2020,I52*$G$7,B52=2021,I52*$G$8,B52=2022,I52*$G$9,B52=2023,I52*$G$10)</f>
        <v>1733.1117897578547</v>
      </c>
      <c r="K52" s="8">
        <f t="shared" si="0"/>
        <v>10459.111789757855</v>
      </c>
      <c r="L52">
        <f>IFERROR(VLOOKUP(F52,'LEAID Match'!$A$2:$B$240,2,FALSE),"")</f>
        <v>0</v>
      </c>
    </row>
    <row r="53" spans="1:12" x14ac:dyDescent="0.2">
      <c r="A53">
        <v>0</v>
      </c>
      <c r="B53">
        <v>2021</v>
      </c>
      <c r="C53" s="4" t="s">
        <v>48</v>
      </c>
      <c r="D53" s="4" t="s">
        <v>576</v>
      </c>
      <c r="E53" s="4" t="s">
        <v>578</v>
      </c>
      <c r="F53" s="4" t="s">
        <v>5</v>
      </c>
      <c r="G53" s="8">
        <v>9061</v>
      </c>
      <c r="I53" s="16" cm="1">
        <f t="array" ref="I53">_xlfn.IFS(B53=2015,G53/$H$1957,B53=2016,G53/$H$1958,B53=2017,G53/$H$1959,B53=2018,G53/$H$1960,B53=2019,G53/$H$1961,B53=2020,G53/$H$1962,B53=2021,G53/$H$1963,B53=2022,G53/$H$1964,B53=2023,G53/$H$1965)</f>
        <v>1.0354864509414884E-5</v>
      </c>
      <c r="J53" s="10" cm="1">
        <f t="array" ref="J53">_xlfn.IFS(B53=2015,I53*$G$2,B53=2016,I53*$G$3,B53=2017,I53*$G$4,B53=2018,I53*$G$5,B53=2019,I53*$G$6,B53=2020,I53*$G$7,B53=2021,I53*$G$8,B53=2022,I53*$G$9,B53=2023,I53*$G$10)</f>
        <v>1777.0690843144746</v>
      </c>
      <c r="K53" s="8">
        <f t="shared" si="0"/>
        <v>10838.069084314475</v>
      </c>
      <c r="L53">
        <f>IFERROR(VLOOKUP(F53,'LEAID Match'!$A$2:$B$240,2,FALSE),"")</f>
        <v>0</v>
      </c>
    </row>
    <row r="54" spans="1:12" x14ac:dyDescent="0.2">
      <c r="A54">
        <v>0</v>
      </c>
      <c r="B54">
        <v>2022</v>
      </c>
      <c r="C54" s="4" t="s">
        <v>48</v>
      </c>
      <c r="D54" s="4" t="s">
        <v>576</v>
      </c>
      <c r="E54" s="4" t="s">
        <v>578</v>
      </c>
      <c r="F54" s="4" t="s">
        <v>5</v>
      </c>
      <c r="G54" s="8">
        <v>9440</v>
      </c>
      <c r="I54" s="16" cm="1">
        <f t="array" ref="I54">_xlfn.IFS(B54=2015,G54/$H$1957,B54=2016,G54/$H$1958,B54=2017,G54/$H$1959,B54=2018,G54/$H$1960,B54=2019,G54/$H$1961,B54=2020,G54/$H$1962,B54=2021,G54/$H$1963,B54=2022,G54/$H$1964,B54=2023,G54/$H$1965)</f>
        <v>1.0146133786862074E-5</v>
      </c>
      <c r="J54" s="10" cm="1">
        <f t="array" ref="J54">_xlfn.IFS(B54=2015,I54*$G$2,B54=2016,I54*$G$3,B54=2017,I54*$G$4,B54=2018,I54*$G$5,B54=2019,I54*$G$6,B54=2020,I54*$G$7,B54=2021,I54*$G$8,B54=2022,I54*$G$9,B54=2023,I54*$G$10)</f>
        <v>1720.6386830858326</v>
      </c>
      <c r="K54" s="8">
        <f t="shared" si="0"/>
        <v>11160.638683085832</v>
      </c>
      <c r="L54">
        <f>IFERROR(VLOOKUP(F54,'LEAID Match'!$A$2:$B$240,2,FALSE),"")</f>
        <v>0</v>
      </c>
    </row>
    <row r="55" spans="1:12" x14ac:dyDescent="0.2">
      <c r="A55">
        <v>0</v>
      </c>
      <c r="B55">
        <v>2023</v>
      </c>
      <c r="C55" s="4" t="s">
        <v>48</v>
      </c>
      <c r="D55" s="4" t="s">
        <v>576</v>
      </c>
      <c r="E55" s="4" t="s">
        <v>578</v>
      </c>
      <c r="F55" s="4" t="s">
        <v>5</v>
      </c>
      <c r="G55" s="8">
        <v>9835</v>
      </c>
      <c r="I55" s="16" cm="1">
        <f t="array" ref="I55">_xlfn.IFS(B55=2015,G55/$H$1957,B55=2016,G55/$H$1958,B55=2017,G55/$H$1959,B55=2018,G55/$H$1960,B55=2019,G55/$H$1961,B55=2020,G55/$H$1962,B55=2021,G55/$H$1963,B55=2022,G55/$H$1964,B55=2023,G55/$H$1965)</f>
        <v>9.9578351241194534E-6</v>
      </c>
      <c r="J55" s="10" cm="1">
        <f t="array" ref="J55">_xlfn.IFS(B55=2015,I55*$G$2,B55=2016,I55*$G$3,B55=2017,I55*$G$4,B55=2018,I55*$G$5,B55=2019,I55*$G$6,B55=2020,I55*$G$7,B55=2021,I55*$G$8,B55=2022,I55*$G$9,B55=2023,I55*$G$10)</f>
        <v>1692.6857801228498</v>
      </c>
      <c r="K55" s="8">
        <f t="shared" si="0"/>
        <v>11527.685780122851</v>
      </c>
      <c r="L55">
        <f>IFERROR(VLOOKUP(F55,'LEAID Match'!$A$2:$B$240,2,FALSE),"")</f>
        <v>0</v>
      </c>
    </row>
    <row r="56" spans="1:12" x14ac:dyDescent="0.2">
      <c r="A56">
        <v>0</v>
      </c>
      <c r="B56">
        <v>2015</v>
      </c>
      <c r="C56" s="4" t="s">
        <v>49</v>
      </c>
      <c r="D56" s="4" t="s">
        <v>576</v>
      </c>
      <c r="E56" s="4" t="s">
        <v>578</v>
      </c>
      <c r="F56" s="4" t="s">
        <v>6</v>
      </c>
      <c r="G56" s="8">
        <v>251550</v>
      </c>
      <c r="I56" s="16" cm="1">
        <f t="array" ref="I56">_xlfn.IFS(B56=2015,G56/$H$1957,B56=2016,G56/$H$1958,B56=2017,G56/$H$1959,B56=2018,G56/$H$1960,B56=2019,G56/$H$1961,B56=2020,G56/$H$1962,B56=2021,G56/$H$1963,B56=2022,G56/$H$1964,B56=2023,G56/$H$1965)</f>
        <v>1.9426162316580798E-4</v>
      </c>
      <c r="J56" s="10" cm="1">
        <f t="array" ref="J56">_xlfn.IFS(B56=2015,I56*$G$2,B56=2016,I56*$G$3,B56=2017,I56*$G$4,B56=2018,I56*$G$5,B56=2019,I56*$G$6,B56=2020,I56*$G$7,B56=2021,I56*$G$8,B56=2022,I56*$G$9,B56=2023,I56*$G$10)</f>
        <v>48301.710207626151</v>
      </c>
      <c r="K56" s="8">
        <f t="shared" si="0"/>
        <v>299851.71020762617</v>
      </c>
      <c r="L56">
        <f>IFERROR(VLOOKUP(F56,'LEAID Match'!$A$2:$B$240,2,FALSE),"")</f>
        <v>0</v>
      </c>
    </row>
    <row r="57" spans="1:12" x14ac:dyDescent="0.2">
      <c r="A57">
        <v>0</v>
      </c>
      <c r="B57">
        <v>2016</v>
      </c>
      <c r="C57" s="4" t="s">
        <v>49</v>
      </c>
      <c r="D57" s="4" t="s">
        <v>576</v>
      </c>
      <c r="E57" s="4" t="s">
        <v>578</v>
      </c>
      <c r="F57" s="4" t="s">
        <v>6</v>
      </c>
      <c r="G57" s="8">
        <v>286299</v>
      </c>
      <c r="I57" s="16" cm="1">
        <f t="array" ref="I57">_xlfn.IFS(B57=2015,G57/$H$1957,B57=2016,G57/$H$1958,B57=2017,G57/$H$1959,B57=2018,G57/$H$1960,B57=2019,G57/$H$1961,B57=2020,G57/$H$1962,B57=2021,G57/$H$1963,B57=2022,G57/$H$1964,B57=2023,G57/$H$1965)</f>
        <v>2.0098177560531435E-4</v>
      </c>
      <c r="J57" s="10" cm="1">
        <f t="array" ref="J57">_xlfn.IFS(B57=2015,I57*$G$2,B57=2016,I57*$G$3,B57=2017,I57*$G$4,B57=2018,I57*$G$5,B57=2019,I57*$G$6,B57=2020,I57*$G$7,B57=2021,I57*$G$8,B57=2022,I57*$G$9,B57=2023,I57*$G$10)</f>
        <v>54506.876568030115</v>
      </c>
      <c r="K57" s="8">
        <f t="shared" si="0"/>
        <v>340805.8765680301</v>
      </c>
      <c r="L57">
        <f>IFERROR(VLOOKUP(F57,'LEAID Match'!$A$2:$B$240,2,FALSE),"")</f>
        <v>0</v>
      </c>
    </row>
    <row r="58" spans="1:12" x14ac:dyDescent="0.2">
      <c r="A58">
        <v>0</v>
      </c>
      <c r="B58">
        <v>2017</v>
      </c>
      <c r="C58" s="4" t="s">
        <v>49</v>
      </c>
      <c r="D58" s="4" t="s">
        <v>576</v>
      </c>
      <c r="E58" s="4" t="s">
        <v>578</v>
      </c>
      <c r="F58" s="4" t="s">
        <v>6</v>
      </c>
      <c r="G58" s="8">
        <v>145345</v>
      </c>
      <c r="I58" s="16" cm="1">
        <f t="array" ref="I58">_xlfn.IFS(B58=2015,G58/$H$1957,B58=2016,G58/$H$1958,B58=2017,G58/$H$1959,B58=2018,G58/$H$1960,B58=2019,G58/$H$1961,B58=2020,G58/$H$1962,B58=2021,G58/$H$1963,B58=2022,G58/$H$1964,B58=2023,G58/$H$1965)</f>
        <v>1.9392116047396374E-4</v>
      </c>
      <c r="J58" s="10" cm="1">
        <f t="array" ref="J58">_xlfn.IFS(B58=2015,I58*$G$2,B58=2016,I58*$G$3,B58=2017,I58*$G$4,B58=2018,I58*$G$5,B58=2019,I58*$G$6,B58=2020,I58*$G$7,B58=2021,I58*$G$8,B58=2022,I58*$G$9,B58=2023,I58*$G$10)</f>
        <v>28717.122801668593</v>
      </c>
      <c r="K58" s="8">
        <f t="shared" si="0"/>
        <v>174062.12280166859</v>
      </c>
      <c r="L58">
        <f>IFERROR(VLOOKUP(F58,'LEAID Match'!$A$2:$B$240,2,FALSE),"")</f>
        <v>0</v>
      </c>
    </row>
    <row r="59" spans="1:12" x14ac:dyDescent="0.2">
      <c r="A59">
        <v>0</v>
      </c>
      <c r="B59">
        <v>2018</v>
      </c>
      <c r="C59" s="4" t="s">
        <v>49</v>
      </c>
      <c r="D59" s="4" t="s">
        <v>576</v>
      </c>
      <c r="E59" s="4" t="s">
        <v>578</v>
      </c>
      <c r="F59" s="4" t="s">
        <v>6</v>
      </c>
      <c r="G59" s="8">
        <v>160425</v>
      </c>
      <c r="I59" s="16" cm="1">
        <f t="array" ref="I59">_xlfn.IFS(B59=2015,G59/$H$1957,B59=2016,G59/$H$1958,B59=2017,G59/$H$1959,B59=2018,G59/$H$1960,B59=2019,G59/$H$1961,B59=2020,G59/$H$1962,B59=2021,G59/$H$1963,B59=2022,G59/$H$1964,B59=2023,G59/$H$1965)</f>
        <v>2.0642052352161513E-4</v>
      </c>
      <c r="J59" s="10" cm="1">
        <f t="array" ref="J59">_xlfn.IFS(B59=2015,I59*$G$2,B59=2016,I59*$G$3,B59=2017,I59*$G$4,B59=2018,I59*$G$5,B59=2019,I59*$G$6,B59=2020,I59*$G$7,B59=2021,I59*$G$8,B59=2022,I59*$G$9,B59=2023,I59*$G$10)</f>
        <v>31071.227194607807</v>
      </c>
      <c r="K59" s="8">
        <f t="shared" si="0"/>
        <v>191496.22719460781</v>
      </c>
      <c r="L59">
        <f>IFERROR(VLOOKUP(F59,'LEAID Match'!$A$2:$B$240,2,FALSE),"")</f>
        <v>0</v>
      </c>
    </row>
    <row r="60" spans="1:12" x14ac:dyDescent="0.2">
      <c r="A60">
        <v>0</v>
      </c>
      <c r="B60">
        <v>2019</v>
      </c>
      <c r="C60" s="4" t="s">
        <v>49</v>
      </c>
      <c r="D60" s="4" t="s">
        <v>576</v>
      </c>
      <c r="E60" s="4" t="s">
        <v>578</v>
      </c>
      <c r="F60" s="4" t="s">
        <v>6</v>
      </c>
      <c r="G60" s="8">
        <v>160168</v>
      </c>
      <c r="I60" s="16" cm="1">
        <f t="array" ref="I60">_xlfn.IFS(B60=2015,G60/$H$1957,B60=2016,G60/$H$1958,B60=2017,G60/$H$1959,B60=2018,G60/$H$1960,B60=2019,G60/$H$1961,B60=2020,G60/$H$1962,B60=2021,G60/$H$1963,B60=2022,G60/$H$1964,B60=2023,G60/$H$1965)</f>
        <v>1.9905625402715828E-4</v>
      </c>
      <c r="J60" s="10" cm="1">
        <f t="array" ref="J60">_xlfn.IFS(B60=2015,I60*$G$2,B60=2016,I60*$G$3,B60=2017,I60*$G$4,B60=2018,I60*$G$5,B60=2019,I60*$G$6,B60=2020,I60*$G$7,B60=2021,I60*$G$8,B60=2022,I60*$G$9,B60=2023,I60*$G$10)</f>
        <v>31456.485996266758</v>
      </c>
      <c r="K60" s="8">
        <f t="shared" si="0"/>
        <v>191624.48599626677</v>
      </c>
      <c r="L60">
        <f>IFERROR(VLOOKUP(F60,'LEAID Match'!$A$2:$B$240,2,FALSE),"")</f>
        <v>0</v>
      </c>
    </row>
    <row r="61" spans="1:12" x14ac:dyDescent="0.2">
      <c r="A61">
        <v>0</v>
      </c>
      <c r="B61">
        <v>2020</v>
      </c>
      <c r="C61" s="4" t="s">
        <v>49</v>
      </c>
      <c r="D61" s="4" t="s">
        <v>576</v>
      </c>
      <c r="E61" s="4" t="s">
        <v>578</v>
      </c>
      <c r="F61" s="4" t="s">
        <v>6</v>
      </c>
      <c r="G61" s="8">
        <v>177439</v>
      </c>
      <c r="I61" s="16" cm="1">
        <f t="array" ref="I61">_xlfn.IFS(B61=2015,G61/$H$1957,B61=2016,G61/$H$1958,B61=2017,G61/$H$1959,B61=2018,G61/$H$1960,B61=2019,G61/$H$1961,B61=2020,G61/$H$1962,B61=2021,G61/$H$1963,B61=2022,G61/$H$1964,B61=2023,G61/$H$1965)</f>
        <v>2.0408383932365315E-4</v>
      </c>
      <c r="J61" s="10" cm="1">
        <f t="array" ref="J61">_xlfn.IFS(B61=2015,I61*$G$2,B61=2016,I61*$G$3,B61=2017,I61*$G$4,B61=2018,I61*$G$5,B61=2019,I61*$G$6,B61=2020,I61*$G$7,B61=2021,I61*$G$8,B61=2022,I61*$G$9,B61=2023,I61*$G$10)</f>
        <v>35241.992076878749</v>
      </c>
      <c r="K61" s="8">
        <f t="shared" si="0"/>
        <v>212680.99207687876</v>
      </c>
      <c r="L61">
        <f>IFERROR(VLOOKUP(F61,'LEAID Match'!$A$2:$B$240,2,FALSE),"")</f>
        <v>0</v>
      </c>
    </row>
    <row r="62" spans="1:12" x14ac:dyDescent="0.2">
      <c r="A62">
        <v>0</v>
      </c>
      <c r="B62">
        <v>2021</v>
      </c>
      <c r="C62" s="4" t="s">
        <v>49</v>
      </c>
      <c r="D62" s="4" t="s">
        <v>576</v>
      </c>
      <c r="E62" s="4" t="s">
        <v>578</v>
      </c>
      <c r="F62" s="4" t="s">
        <v>6</v>
      </c>
      <c r="G62" s="8">
        <v>186217</v>
      </c>
      <c r="I62" s="16" cm="1">
        <f t="array" ref="I62">_xlfn.IFS(B62=2015,G62/$H$1957,B62=2016,G62/$H$1958,B62=2017,G62/$H$1959,B62=2018,G62/$H$1960,B62=2019,G62/$H$1961,B62=2020,G62/$H$1962,B62=2021,G62/$H$1963,B62=2022,G62/$H$1964,B62=2023,G62/$H$1965)</f>
        <v>2.1280783625976288E-4</v>
      </c>
      <c r="J62" s="10" cm="1">
        <f t="array" ref="J62">_xlfn.IFS(B62=2015,I62*$G$2,B62=2016,I62*$G$3,B62=2017,I62*$G$4,B62=2018,I62*$G$5,B62=2019,I62*$G$6,B62=2020,I62*$G$7,B62=2021,I62*$G$8,B62=2022,I62*$G$9,B62=2023,I62*$G$10)</f>
        <v>36521.407534906582</v>
      </c>
      <c r="K62" s="8">
        <f t="shared" si="0"/>
        <v>222738.40753490658</v>
      </c>
      <c r="L62">
        <f>IFERROR(VLOOKUP(F62,'LEAID Match'!$A$2:$B$240,2,FALSE),"")</f>
        <v>0</v>
      </c>
    </row>
    <row r="63" spans="1:12" x14ac:dyDescent="0.2">
      <c r="A63">
        <v>0</v>
      </c>
      <c r="B63">
        <v>2022</v>
      </c>
      <c r="C63" s="4" t="s">
        <v>49</v>
      </c>
      <c r="D63" s="4" t="s">
        <v>576</v>
      </c>
      <c r="E63" s="4" t="s">
        <v>578</v>
      </c>
      <c r="F63" s="4" t="s">
        <v>6</v>
      </c>
      <c r="G63" s="8">
        <v>171473</v>
      </c>
      <c r="I63" s="16" cm="1">
        <f t="array" ref="I63">_xlfn.IFS(B63=2015,G63/$H$1957,B63=2016,G63/$H$1958,B63=2017,G63/$H$1959,B63=2018,G63/$H$1960,B63=2019,G63/$H$1961,B63=2020,G63/$H$1962,B63=2021,G63/$H$1963,B63=2022,G63/$H$1964,B63=2023,G63/$H$1965)</f>
        <v>1.8429957614773311E-4</v>
      </c>
      <c r="J63" s="10" cm="1">
        <f t="array" ref="J63">_xlfn.IFS(B63=2015,I63*$G$2,B63=2016,I63*$G$3,B63=2017,I63*$G$4,B63=2018,I63*$G$5,B63=2019,I63*$G$6,B63=2020,I63*$G$7,B63=2021,I63*$G$8,B63=2022,I63*$G$9,B63=2023,I63*$G$10)</f>
        <v>31254.563231438238</v>
      </c>
      <c r="K63" s="8">
        <f t="shared" si="0"/>
        <v>202727.56323143822</v>
      </c>
      <c r="L63">
        <f>IFERROR(VLOOKUP(F63,'LEAID Match'!$A$2:$B$240,2,FALSE),"")</f>
        <v>0</v>
      </c>
    </row>
    <row r="64" spans="1:12" x14ac:dyDescent="0.2">
      <c r="A64">
        <v>0</v>
      </c>
      <c r="B64">
        <v>2023</v>
      </c>
      <c r="C64" s="4" t="s">
        <v>49</v>
      </c>
      <c r="D64" s="4" t="s">
        <v>576</v>
      </c>
      <c r="E64" s="4" t="s">
        <v>578</v>
      </c>
      <c r="F64" s="4" t="s">
        <v>6</v>
      </c>
      <c r="G64" s="8">
        <v>166049</v>
      </c>
      <c r="I64" s="16" cm="1">
        <f t="array" ref="I64">_xlfn.IFS(B64=2015,G64/$H$1957,B64=2016,G64/$H$1958,B64=2017,G64/$H$1959,B64=2018,G64/$H$1960,B64=2019,G64/$H$1961,B64=2020,G64/$H$1962,B64=2021,G64/$H$1963,B64=2022,G64/$H$1964,B64=2023,G64/$H$1965)</f>
        <v>1.6812288403913689E-4</v>
      </c>
      <c r="J64" s="10" cm="1">
        <f t="array" ref="J64">_xlfn.IFS(B64=2015,I64*$G$2,B64=2016,I64*$G$3,B64=2017,I64*$G$4,B64=2018,I64*$G$5,B64=2019,I64*$G$6,B64=2020,I64*$G$7,B64=2021,I64*$G$8,B64=2022,I64*$G$9,B64=2023,I64*$G$10)</f>
        <v>28578.42207459269</v>
      </c>
      <c r="K64" s="8">
        <f t="shared" si="0"/>
        <v>194627.4220745927</v>
      </c>
      <c r="L64">
        <f>IFERROR(VLOOKUP(F64,'LEAID Match'!$A$2:$B$240,2,FALSE),"")</f>
        <v>0</v>
      </c>
    </row>
    <row r="65" spans="1:12" x14ac:dyDescent="0.2">
      <c r="A65">
        <v>0</v>
      </c>
      <c r="B65">
        <v>2015</v>
      </c>
      <c r="C65" s="4" t="s">
        <v>50</v>
      </c>
      <c r="D65" s="4" t="s">
        <v>576</v>
      </c>
      <c r="E65" s="4" t="s">
        <v>578</v>
      </c>
      <c r="F65" s="4" t="s">
        <v>7</v>
      </c>
      <c r="G65" s="8">
        <v>48294</v>
      </c>
      <c r="I65" s="16" cm="1">
        <f t="array" ref="I65">_xlfn.IFS(B65=2015,G65/$H$1957,B65=2016,G65/$H$1958,B65=2017,G65/$H$1959,B65=2018,G65/$H$1960,B65=2019,G65/$H$1961,B65=2020,G65/$H$1962,B65=2021,G65/$H$1963,B65=2022,G65/$H$1964,B65=2023,G65/$H$1965)</f>
        <v>3.7295451517271042E-5</v>
      </c>
      <c r="J65" s="10" cm="1">
        <f t="array" ref="J65">_xlfn.IFS(B65=2015,I65*$G$2,B65=2016,I65*$G$3,B65=2017,I65*$G$4,B65=2018,I65*$G$5,B65=2019,I65*$G$6,B65=2020,I65*$G$7,B65=2021,I65*$G$8,B65=2022,I65*$G$9,B65=2023,I65*$G$10)</f>
        <v>9273.2371010419283</v>
      </c>
      <c r="K65" s="8">
        <f t="shared" si="0"/>
        <v>57567.23710104193</v>
      </c>
      <c r="L65">
        <f>IFERROR(VLOOKUP(F65,'LEAID Match'!$A$2:$B$240,2,FALSE),"")</f>
        <v>0</v>
      </c>
    </row>
    <row r="66" spans="1:12" x14ac:dyDescent="0.2">
      <c r="A66">
        <v>0</v>
      </c>
      <c r="B66">
        <v>2016</v>
      </c>
      <c r="C66" s="4" t="s">
        <v>50</v>
      </c>
      <c r="D66" s="4" t="s">
        <v>576</v>
      </c>
      <c r="E66" s="4" t="s">
        <v>578</v>
      </c>
      <c r="F66" s="4" t="s">
        <v>7</v>
      </c>
      <c r="G66" s="8">
        <v>55381</v>
      </c>
      <c r="I66" s="16" cm="1">
        <f t="array" ref="I66">_xlfn.IFS(B66=2015,G66/$H$1957,B66=2016,G66/$H$1958,B66=2017,G66/$H$1959,B66=2018,G66/$H$1960,B66=2019,G66/$H$1961,B66=2020,G66/$H$1962,B66=2021,G66/$H$1963,B66=2022,G66/$H$1964,B66=2023,G66/$H$1965)</f>
        <v>3.88774383242621E-5</v>
      </c>
      <c r="J66" s="10" cm="1">
        <f t="array" ref="J66">_xlfn.IFS(B66=2015,I66*$G$2,B66=2016,I66*$G$3,B66=2017,I66*$G$4,B66=2018,I66*$G$5,B66=2019,I66*$G$6,B66=2020,I66*$G$7,B66=2021,I66*$G$8,B66=2022,I66*$G$9,B66=2023,I66*$G$10)</f>
        <v>10543.681016049921</v>
      </c>
      <c r="K66" s="8">
        <f t="shared" si="0"/>
        <v>65924.681016049915</v>
      </c>
      <c r="L66">
        <f>IFERROR(VLOOKUP(F66,'LEAID Match'!$A$2:$B$240,2,FALSE),"")</f>
        <v>0</v>
      </c>
    </row>
    <row r="67" spans="1:12" x14ac:dyDescent="0.2">
      <c r="A67">
        <v>0</v>
      </c>
      <c r="B67">
        <v>2017</v>
      </c>
      <c r="C67" s="4" t="s">
        <v>50</v>
      </c>
      <c r="D67" s="4" t="s">
        <v>576</v>
      </c>
      <c r="E67" s="4" t="s">
        <v>578</v>
      </c>
      <c r="F67" s="4" t="s">
        <v>7</v>
      </c>
      <c r="G67" s="8">
        <v>29185</v>
      </c>
      <c r="I67" s="16" cm="1">
        <f t="array" ref="I67">_xlfn.IFS(B67=2015,G67/$H$1957,B67=2016,G67/$H$1958,B67=2017,G67/$H$1959,B67=2018,G67/$H$1960,B67=2019,G67/$H$1961,B67=2020,G67/$H$1962,B67=2021,G67/$H$1963,B67=2022,G67/$H$1964,B67=2023,G67/$H$1965)</f>
        <v>3.8939000780437111E-5</v>
      </c>
      <c r="J67" s="10" cm="1">
        <f t="array" ref="J67">_xlfn.IFS(B67=2015,I67*$G$2,B67=2016,I67*$G$3,B67=2017,I67*$G$4,B67=2018,I67*$G$5,B67=2019,I67*$G$6,B67=2020,I67*$G$7,B67=2021,I67*$G$8,B67=2022,I67*$G$9,B67=2023,I67*$G$10)</f>
        <v>5766.343726765268</v>
      </c>
      <c r="K67" s="8">
        <f t="shared" si="0"/>
        <v>34951.34372676527</v>
      </c>
      <c r="L67">
        <f>IFERROR(VLOOKUP(F67,'LEAID Match'!$A$2:$B$240,2,FALSE),"")</f>
        <v>0</v>
      </c>
    </row>
    <row r="68" spans="1:12" x14ac:dyDescent="0.2">
      <c r="A68">
        <v>0</v>
      </c>
      <c r="B68">
        <v>2018</v>
      </c>
      <c r="C68" s="4" t="s">
        <v>50</v>
      </c>
      <c r="D68" s="4" t="s">
        <v>576</v>
      </c>
      <c r="E68" s="4" t="s">
        <v>578</v>
      </c>
      <c r="F68" s="4" t="s">
        <v>7</v>
      </c>
      <c r="G68" s="8">
        <v>30476</v>
      </c>
      <c r="I68" s="16" cm="1">
        <f t="array" ref="I68">_xlfn.IFS(B68=2015,G68/$H$1957,B68=2016,G68/$H$1958,B68=2017,G68/$H$1959,B68=2018,G68/$H$1960,B68=2019,G68/$H$1961,B68=2020,G68/$H$1962,B68=2021,G68/$H$1963,B68=2022,G68/$H$1964,B68=2023,G68/$H$1965)</f>
        <v>3.9213787594481798E-5</v>
      </c>
      <c r="J68" s="10" cm="1">
        <f t="array" ref="J68">_xlfn.IFS(B68=2015,I68*$G$2,B68=2016,I68*$G$3,B68=2017,I68*$G$4,B68=2018,I68*$G$5,B68=2019,I68*$G$6,B68=2020,I68*$G$7,B68=2021,I68*$G$8,B68=2022,I68*$G$9,B68=2023,I68*$G$10)</f>
        <v>5902.613183623921</v>
      </c>
      <c r="K68" s="8">
        <f t="shared" si="0"/>
        <v>36378.613183623922</v>
      </c>
      <c r="L68">
        <f>IFERROR(VLOOKUP(F68,'LEAID Match'!$A$2:$B$240,2,FALSE),"")</f>
        <v>0</v>
      </c>
    </row>
    <row r="69" spans="1:12" x14ac:dyDescent="0.2">
      <c r="A69">
        <v>0</v>
      </c>
      <c r="B69">
        <v>2019</v>
      </c>
      <c r="C69" s="4" t="s">
        <v>50</v>
      </c>
      <c r="D69" s="4" t="s">
        <v>576</v>
      </c>
      <c r="E69" s="4" t="s">
        <v>578</v>
      </c>
      <c r="F69" s="4" t="s">
        <v>7</v>
      </c>
      <c r="G69" s="8">
        <v>30051</v>
      </c>
      <c r="I69" s="16" cm="1">
        <f t="array" ref="I69">_xlfn.IFS(B69=2015,G69/$H$1957,B69=2016,G69/$H$1958,B69=2017,G69/$H$1959,B69=2018,G69/$H$1960,B69=2019,G69/$H$1961,B69=2020,G69/$H$1962,B69=2021,G69/$H$1963,B69=2022,G69/$H$1964,B69=2023,G69/$H$1965)</f>
        <v>3.7347282164790305E-5</v>
      </c>
      <c r="J69" s="10" cm="1">
        <f t="array" ref="J69">_xlfn.IFS(B69=2015,I69*$G$2,B69=2016,I69*$G$3,B69=2017,I69*$G$4,B69=2018,I69*$G$5,B69=2019,I69*$G$6,B69=2020,I69*$G$7,B69=2021,I69*$G$8,B69=2022,I69*$G$9,B69=2023,I69*$G$10)</f>
        <v>5901.9208623059067</v>
      </c>
      <c r="K69" s="8">
        <f t="shared" si="0"/>
        <v>35952.920862305909</v>
      </c>
      <c r="L69">
        <f>IFERROR(VLOOKUP(F69,'LEAID Match'!$A$2:$B$240,2,FALSE),"")</f>
        <v>0</v>
      </c>
    </row>
    <row r="70" spans="1:12" x14ac:dyDescent="0.2">
      <c r="A70">
        <v>0</v>
      </c>
      <c r="B70">
        <v>2020</v>
      </c>
      <c r="C70" s="4" t="s">
        <v>50</v>
      </c>
      <c r="D70" s="4" t="s">
        <v>576</v>
      </c>
      <c r="E70" s="4" t="s">
        <v>578</v>
      </c>
      <c r="F70" s="4" t="s">
        <v>7</v>
      </c>
      <c r="G70" s="8">
        <v>31970</v>
      </c>
      <c r="I70" s="16" cm="1">
        <f t="array" ref="I70">_xlfn.IFS(B70=2015,G70/$H$1957,B70=2016,G70/$H$1958,B70=2017,G70/$H$1959,B70=2018,G70/$H$1960,B70=2019,G70/$H$1961,B70=2020,G70/$H$1962,B70=2021,G70/$H$1963,B70=2022,G70/$H$1964,B70=2023,G70/$H$1965)</f>
        <v>3.6770723139654706E-5</v>
      </c>
      <c r="J70" s="10" cm="1">
        <f t="array" ref="J70">_xlfn.IFS(B70=2015,I70*$G$2,B70=2016,I70*$G$3,B70=2017,I70*$G$4,B70=2018,I70*$G$5,B70=2019,I70*$G$6,B70=2020,I70*$G$7,B70=2021,I70*$G$8,B70=2022,I70*$G$9,B70=2023,I70*$G$10)</f>
        <v>6349.7116569514801</v>
      </c>
      <c r="K70" s="8">
        <f t="shared" si="0"/>
        <v>38319.711656951476</v>
      </c>
      <c r="L70">
        <f>IFERROR(VLOOKUP(F70,'LEAID Match'!$A$2:$B$240,2,FALSE),"")</f>
        <v>0</v>
      </c>
    </row>
    <row r="71" spans="1:12" x14ac:dyDescent="0.2">
      <c r="A71">
        <v>0</v>
      </c>
      <c r="B71">
        <v>2021</v>
      </c>
      <c r="C71" s="4" t="s">
        <v>50</v>
      </c>
      <c r="D71" s="4" t="s">
        <v>576</v>
      </c>
      <c r="E71" s="4" t="s">
        <v>578</v>
      </c>
      <c r="F71" s="4" t="s">
        <v>7</v>
      </c>
      <c r="G71" s="8">
        <v>32116</v>
      </c>
      <c r="I71" s="16" cm="1">
        <f t="array" ref="I71">_xlfn.IFS(B71=2015,G71/$H$1957,B71=2016,G71/$H$1958,B71=2017,G71/$H$1959,B71=2018,G71/$H$1960,B71=2019,G71/$H$1961,B71=2020,G71/$H$1962,B71=2021,G71/$H$1963,B71=2022,G71/$H$1964,B71=2023,G71/$H$1965)</f>
        <v>3.6702000726671275E-5</v>
      </c>
      <c r="J71" s="10" cm="1">
        <f t="array" ref="J71">_xlfn.IFS(B71=2015,I71*$G$2,B71=2016,I71*$G$3,B71=2017,I71*$G$4,B71=2018,I71*$G$5,B71=2019,I71*$G$6,B71=2020,I71*$G$7,B71=2021,I71*$G$8,B71=2022,I71*$G$9,B71=2023,I71*$G$10)</f>
        <v>6298.6812395810248</v>
      </c>
      <c r="K71" s="8">
        <f t="shared" si="0"/>
        <v>38414.681239581027</v>
      </c>
      <c r="L71">
        <f>IFERROR(VLOOKUP(F71,'LEAID Match'!$A$2:$B$240,2,FALSE),"")</f>
        <v>0</v>
      </c>
    </row>
    <row r="72" spans="1:12" x14ac:dyDescent="0.2">
      <c r="A72">
        <v>0</v>
      </c>
      <c r="B72">
        <v>2022</v>
      </c>
      <c r="C72" s="4" t="s">
        <v>50</v>
      </c>
      <c r="D72" s="4" t="s">
        <v>576</v>
      </c>
      <c r="E72" s="4" t="s">
        <v>578</v>
      </c>
      <c r="F72" s="4" t="s">
        <v>7</v>
      </c>
      <c r="G72" s="8">
        <v>33404</v>
      </c>
      <c r="I72" s="16" cm="1">
        <f t="array" ref="I72">_xlfn.IFS(B72=2015,G72/$H$1957,B72=2016,G72/$H$1958,B72=2017,G72/$H$1959,B72=2018,G72/$H$1960,B72=2019,G72/$H$1961,B72=2020,G72/$H$1962,B72=2021,G72/$H$1963,B72=2022,G72/$H$1964,B72=2023,G72/$H$1965)</f>
        <v>3.5902696294103893E-5</v>
      </c>
      <c r="J72" s="10" cm="1">
        <f t="array" ref="J72">_xlfn.IFS(B72=2015,I72*$G$2,B72=2016,I72*$G$3,B72=2017,I72*$G$4,B72=2018,I72*$G$5,B72=2019,I72*$G$6,B72=2020,I72*$G$7,B72=2021,I72*$G$8,B72=2022,I72*$G$9,B72=2023,I72*$G$10)</f>
        <v>6088.5820518855035</v>
      </c>
      <c r="K72" s="8">
        <f t="shared" si="0"/>
        <v>39492.582051885503</v>
      </c>
      <c r="L72">
        <f>IFERROR(VLOOKUP(F72,'LEAID Match'!$A$2:$B$240,2,FALSE),"")</f>
        <v>0</v>
      </c>
    </row>
    <row r="73" spans="1:12" x14ac:dyDescent="0.2">
      <c r="A73">
        <v>0</v>
      </c>
      <c r="B73">
        <v>2023</v>
      </c>
      <c r="C73" s="4" t="s">
        <v>50</v>
      </c>
      <c r="D73" s="4" t="s">
        <v>576</v>
      </c>
      <c r="E73" s="4" t="s">
        <v>578</v>
      </c>
      <c r="F73" s="4" t="s">
        <v>7</v>
      </c>
      <c r="G73" s="8">
        <v>29421</v>
      </c>
      <c r="I73" s="16" cm="1">
        <f t="array" ref="I73">_xlfn.IFS(B73=2015,G73/$H$1957,B73=2016,G73/$H$1958,B73=2017,G73/$H$1959,B73=2018,G73/$H$1960,B73=2019,G73/$H$1961,B73=2020,G73/$H$1962,B73=2021,G73/$H$1963,B73=2022,G73/$H$1964,B73=2023,G73/$H$1965)</f>
        <v>2.9788456246743107E-5</v>
      </c>
      <c r="J73" s="10" cm="1">
        <f t="array" ref="J73">_xlfn.IFS(B73=2015,I73*$G$2,B73=2016,I73*$G$3,B73=2017,I73*$G$4,B73=2018,I73*$G$5,B73=2019,I73*$G$6,B73=2020,I73*$G$7,B73=2021,I73*$G$8,B73=2022,I73*$G$9,B73=2023,I73*$G$10)</f>
        <v>5063.6002376201695</v>
      </c>
      <c r="K73" s="8">
        <f t="shared" si="0"/>
        <v>34484.600237620172</v>
      </c>
      <c r="L73">
        <f>IFERROR(VLOOKUP(F73,'LEAID Match'!$A$2:$B$240,2,FALSE),"")</f>
        <v>0</v>
      </c>
    </row>
    <row r="74" spans="1:12" x14ac:dyDescent="0.2">
      <c r="A74">
        <v>0</v>
      </c>
      <c r="B74">
        <v>2015</v>
      </c>
      <c r="C74" s="4" t="s">
        <v>51</v>
      </c>
      <c r="D74" s="4" t="s">
        <v>576</v>
      </c>
      <c r="E74" s="4" t="s">
        <v>578</v>
      </c>
      <c r="F74" s="4" t="s">
        <v>8</v>
      </c>
      <c r="G74" s="8">
        <v>371474</v>
      </c>
      <c r="I74" s="16" cm="1">
        <f t="array" ref="I74">_xlfn.IFS(B74=2015,G74/$H$1957,B74=2016,G74/$H$1958,B74=2017,G74/$H$1959,B74=2018,G74/$H$1960,B74=2019,G74/$H$1961,B74=2020,G74/$H$1962,B74=2021,G74/$H$1963,B74=2022,G74/$H$1964,B74=2023,G74/$H$1965)</f>
        <v>2.8687395032357525E-4</v>
      </c>
      <c r="J74" s="10" cm="1">
        <f t="array" ref="J74">_xlfn.IFS(B74=2015,I74*$G$2,B74=2016,I74*$G$3,B74=2017,I74*$G$4,B74=2018,I74*$G$5,B74=2019,I74*$G$6,B74=2020,I74*$G$7,B74=2021,I74*$G$8,B74=2022,I74*$G$9,B74=2023,I74*$G$10)</f>
        <v>71329.077708875833</v>
      </c>
      <c r="K74" s="8">
        <f t="shared" si="0"/>
        <v>442803.07770887582</v>
      </c>
      <c r="L74">
        <f>IFERROR(VLOOKUP(F74,'LEAID Match'!$A$2:$B$240,2,FALSE),"")</f>
        <v>0</v>
      </c>
    </row>
    <row r="75" spans="1:12" x14ac:dyDescent="0.2">
      <c r="A75">
        <v>0</v>
      </c>
      <c r="B75">
        <v>2016</v>
      </c>
      <c r="C75" s="4" t="s">
        <v>51</v>
      </c>
      <c r="D75" s="4" t="s">
        <v>576</v>
      </c>
      <c r="E75" s="4" t="s">
        <v>578</v>
      </c>
      <c r="F75" s="4" t="s">
        <v>8</v>
      </c>
      <c r="G75" s="8">
        <v>414015</v>
      </c>
      <c r="I75" s="16" cm="1">
        <f t="array" ref="I75">_xlfn.IFS(B75=2015,G75/$H$1957,B75=2016,G75/$H$1958,B75=2017,G75/$H$1959,B75=2018,G75/$H$1960,B75=2019,G75/$H$1961,B75=2020,G75/$H$1962,B75=2021,G75/$H$1963,B75=2022,G75/$H$1964,B75=2023,G75/$H$1965)</f>
        <v>2.9063835300589325E-4</v>
      </c>
      <c r="J75" s="10" cm="1">
        <f t="array" ref="J75">_xlfn.IFS(B75=2015,I75*$G$2,B75=2016,I75*$G$3,B75=2017,I75*$G$4,B75=2018,I75*$G$5,B75=2019,I75*$G$6,B75=2020,I75*$G$7,B75=2021,I75*$G$8,B75=2022,I75*$G$9,B75=2023,I75*$G$10)</f>
        <v>78822.016501325503</v>
      </c>
      <c r="K75" s="8">
        <f t="shared" si="0"/>
        <v>492837.01650132553</v>
      </c>
      <c r="L75">
        <f>IFERROR(VLOOKUP(F75,'LEAID Match'!$A$2:$B$240,2,FALSE),"")</f>
        <v>0</v>
      </c>
    </row>
    <row r="76" spans="1:12" x14ac:dyDescent="0.2">
      <c r="A76">
        <v>0</v>
      </c>
      <c r="B76">
        <v>2017</v>
      </c>
      <c r="C76" s="4" t="s">
        <v>51</v>
      </c>
      <c r="D76" s="4" t="s">
        <v>576</v>
      </c>
      <c r="E76" s="4" t="s">
        <v>578</v>
      </c>
      <c r="F76" s="4" t="s">
        <v>8</v>
      </c>
      <c r="G76" s="8">
        <v>216804</v>
      </c>
      <c r="I76" s="16" cm="1">
        <f t="array" ref="I76">_xlfn.IFS(B76=2015,G76/$H$1957,B76=2016,G76/$H$1958,B76=2017,G76/$H$1959,B76=2018,G76/$H$1960,B76=2019,G76/$H$1961,B76=2020,G76/$H$1962,B76=2021,G76/$H$1963,B76=2022,G76/$H$1964,B76=2023,G76/$H$1965)</f>
        <v>2.8926267346931253E-4</v>
      </c>
      <c r="J76" s="10" cm="1">
        <f t="array" ref="J76">_xlfn.IFS(B76=2015,I76*$G$2,B76=2016,I76*$G$3,B76=2017,I76*$G$4,B76=2018,I76*$G$5,B76=2019,I76*$G$6,B76=2020,I76*$G$7,B76=2021,I76*$G$8,B76=2022,I76*$G$9,B76=2023,I76*$G$10)</f>
        <v>42835.922060565943</v>
      </c>
      <c r="K76" s="8">
        <f t="shared" ref="K76:K139" si="1">SUM(G76,J76)</f>
        <v>259639.92206056594</v>
      </c>
      <c r="L76">
        <f>IFERROR(VLOOKUP(F76,'LEAID Match'!$A$2:$B$240,2,FALSE),"")</f>
        <v>0</v>
      </c>
    </row>
    <row r="77" spans="1:12" x14ac:dyDescent="0.2">
      <c r="A77">
        <v>0</v>
      </c>
      <c r="B77">
        <v>2018</v>
      </c>
      <c r="C77" s="4" t="s">
        <v>51</v>
      </c>
      <c r="D77" s="4" t="s">
        <v>576</v>
      </c>
      <c r="E77" s="4" t="s">
        <v>578</v>
      </c>
      <c r="F77" s="4" t="s">
        <v>8</v>
      </c>
      <c r="G77" s="8">
        <v>233987</v>
      </c>
      <c r="I77" s="16" cm="1">
        <f t="array" ref="I77">_xlfn.IFS(B77=2015,G77/$H$1957,B77=2016,G77/$H$1958,B77=2017,G77/$H$1959,B77=2018,G77/$H$1960,B77=2019,G77/$H$1961,B77=2020,G77/$H$1962,B77=2021,G77/$H$1963,B77=2022,G77/$H$1964,B77=2023,G77/$H$1965)</f>
        <v>3.0107351745209388E-4</v>
      </c>
      <c r="J77" s="10" cm="1">
        <f t="array" ref="J77">_xlfn.IFS(B77=2015,I77*$G$2,B77=2016,I77*$G$3,B77=2017,I77*$G$4,B77=2018,I77*$G$5,B77=2019,I77*$G$6,B77=2020,I77*$G$7,B77=2021,I77*$G$8,B77=2022,I77*$G$9,B77=2023,I77*$G$10)</f>
        <v>45318.767259371656</v>
      </c>
      <c r="K77" s="8">
        <f t="shared" si="1"/>
        <v>279305.76725937164</v>
      </c>
      <c r="L77">
        <f>IFERROR(VLOOKUP(F77,'LEAID Match'!$A$2:$B$240,2,FALSE),"")</f>
        <v>0</v>
      </c>
    </row>
    <row r="78" spans="1:12" x14ac:dyDescent="0.2">
      <c r="A78">
        <v>0</v>
      </c>
      <c r="B78">
        <v>2019</v>
      </c>
      <c r="C78" s="4" t="s">
        <v>51</v>
      </c>
      <c r="D78" s="4" t="s">
        <v>576</v>
      </c>
      <c r="E78" s="4" t="s">
        <v>578</v>
      </c>
      <c r="F78" s="4" t="s">
        <v>8</v>
      </c>
      <c r="G78" s="8">
        <v>253163</v>
      </c>
      <c r="I78" s="16" cm="1">
        <f t="array" ref="I78">_xlfn.IFS(B78=2015,G78/$H$1957,B78=2016,G78/$H$1958,B78=2017,G78/$H$1959,B78=2018,G78/$H$1960,B78=2019,G78/$H$1961,B78=2020,G78/$H$1962,B78=2021,G78/$H$1963,B78=2022,G78/$H$1964,B78=2023,G78/$H$1965)</f>
        <v>3.1463012860419976E-4</v>
      </c>
      <c r="J78" s="10" cm="1">
        <f t="array" ref="J78">_xlfn.IFS(B78=2015,I78*$G$2,B78=2016,I78*$G$3,B78=2017,I78*$G$4,B78=2018,I78*$G$5,B78=2019,I78*$G$6,B78=2020,I78*$G$7,B78=2021,I78*$G$8,B78=2022,I78*$G$9,B78=2023,I78*$G$10)</f>
        <v>49720.408347940167</v>
      </c>
      <c r="K78" s="8">
        <f t="shared" si="1"/>
        <v>302883.40834794019</v>
      </c>
      <c r="L78">
        <f>IFERROR(VLOOKUP(F78,'LEAID Match'!$A$2:$B$240,2,FALSE),"")</f>
        <v>0</v>
      </c>
    </row>
    <row r="79" spans="1:12" x14ac:dyDescent="0.2">
      <c r="A79">
        <v>0</v>
      </c>
      <c r="B79">
        <v>2020</v>
      </c>
      <c r="C79" s="4" t="s">
        <v>51</v>
      </c>
      <c r="D79" s="4" t="s">
        <v>576</v>
      </c>
      <c r="E79" s="4" t="s">
        <v>578</v>
      </c>
      <c r="F79" s="4" t="s">
        <v>8</v>
      </c>
      <c r="G79" s="8">
        <v>273493</v>
      </c>
      <c r="I79" s="16" cm="1">
        <f t="array" ref="I79">_xlfn.IFS(B79=2015,G79/$H$1957,B79=2016,G79/$H$1958,B79=2017,G79/$H$1959,B79=2018,G79/$H$1960,B79=2019,G79/$H$1961,B79=2020,G79/$H$1962,B79=2021,G79/$H$1963,B79=2022,G79/$H$1964,B79=2023,G79/$H$1965)</f>
        <v>3.1456163226880148E-4</v>
      </c>
      <c r="J79" s="10" cm="1">
        <f t="array" ref="J79">_xlfn.IFS(B79=2015,I79*$G$2,B79=2016,I79*$G$3,B79=2017,I79*$G$4,B79=2018,I79*$G$5,B79=2019,I79*$G$6,B79=2020,I79*$G$7,B79=2021,I79*$G$8,B79=2022,I79*$G$9,B79=2023,I79*$G$10)</f>
        <v>54319.727563172695</v>
      </c>
      <c r="K79" s="8">
        <f t="shared" si="1"/>
        <v>327812.7275631727</v>
      </c>
      <c r="L79">
        <f>IFERROR(VLOOKUP(F79,'LEAID Match'!$A$2:$B$240,2,FALSE),"")</f>
        <v>0</v>
      </c>
    </row>
    <row r="80" spans="1:12" x14ac:dyDescent="0.2">
      <c r="A80">
        <v>0</v>
      </c>
      <c r="B80">
        <v>2021</v>
      </c>
      <c r="C80" s="4" t="s">
        <v>51</v>
      </c>
      <c r="D80" s="4" t="s">
        <v>576</v>
      </c>
      <c r="E80" s="4" t="s">
        <v>578</v>
      </c>
      <c r="F80" s="4" t="s">
        <v>8</v>
      </c>
      <c r="G80" s="8">
        <v>281389</v>
      </c>
      <c r="I80" s="16" cm="1">
        <f t="array" ref="I80">_xlfn.IFS(B80=2015,G80/$H$1957,B80=2016,G80/$H$1958,B80=2017,G80/$H$1959,B80=2018,G80/$H$1960,B80=2019,G80/$H$1961,B80=2020,G80/$H$1962,B80=2021,G80/$H$1963,B80=2022,G80/$H$1964,B80=2023,G80/$H$1965)</f>
        <v>3.2156991164769284E-4</v>
      </c>
      <c r="J80" s="10" cm="1">
        <f t="array" ref="J80">_xlfn.IFS(B80=2015,I80*$G$2,B80=2016,I80*$G$3,B80=2017,I80*$G$4,B80=2018,I80*$G$5,B80=2019,I80*$G$6,B80=2020,I80*$G$7,B80=2021,I80*$G$8,B80=2022,I80*$G$9,B80=2023,I80*$G$10)</f>
        <v>55186.810789776595</v>
      </c>
      <c r="K80" s="8">
        <f t="shared" si="1"/>
        <v>336575.81078977662</v>
      </c>
      <c r="L80">
        <f>IFERROR(VLOOKUP(F80,'LEAID Match'!$A$2:$B$240,2,FALSE),"")</f>
        <v>0</v>
      </c>
    </row>
    <row r="81" spans="1:12" x14ac:dyDescent="0.2">
      <c r="A81">
        <v>0</v>
      </c>
      <c r="B81">
        <v>2022</v>
      </c>
      <c r="C81" s="4" t="s">
        <v>51</v>
      </c>
      <c r="D81" s="4" t="s">
        <v>576</v>
      </c>
      <c r="E81" s="4" t="s">
        <v>578</v>
      </c>
      <c r="F81" s="4" t="s">
        <v>8</v>
      </c>
      <c r="G81" s="8">
        <v>295323</v>
      </c>
      <c r="I81" s="16" cm="1">
        <f t="array" ref="I81">_xlfn.IFS(B81=2015,G81/$H$1957,B81=2016,G81/$H$1958,B81=2017,G81/$H$1959,B81=2018,G81/$H$1960,B81=2019,G81/$H$1961,B81=2020,G81/$H$1962,B81=2021,G81/$H$1963,B81=2022,G81/$H$1964,B81=2023,G81/$H$1965)</f>
        <v>3.1741384198490129E-4</v>
      </c>
      <c r="J81" s="10" cm="1">
        <f t="array" ref="J81">_xlfn.IFS(B81=2015,I81*$G$2,B81=2016,I81*$G$3,B81=2017,I81*$G$4,B81=2018,I81*$G$5,B81=2019,I81*$G$6,B81=2020,I81*$G$7,B81=2021,I81*$G$8,B81=2022,I81*$G$9,B81=2023,I81*$G$10)</f>
        <v>53828.832394592937</v>
      </c>
      <c r="K81" s="8">
        <f t="shared" si="1"/>
        <v>349151.83239459293</v>
      </c>
      <c r="L81">
        <f>IFERROR(VLOOKUP(F81,'LEAID Match'!$A$2:$B$240,2,FALSE),"")</f>
        <v>0</v>
      </c>
    </row>
    <row r="82" spans="1:12" x14ac:dyDescent="0.2">
      <c r="A82">
        <v>0</v>
      </c>
      <c r="B82">
        <v>2023</v>
      </c>
      <c r="C82" s="4" t="s">
        <v>51</v>
      </c>
      <c r="D82" s="4" t="s">
        <v>576</v>
      </c>
      <c r="E82" s="4" t="s">
        <v>578</v>
      </c>
      <c r="F82" s="4" t="s">
        <v>8</v>
      </c>
      <c r="G82" s="8">
        <v>306171</v>
      </c>
      <c r="I82" s="16" cm="1">
        <f t="array" ref="I82">_xlfn.IFS(B82=2015,G82/$H$1957,B82=2016,G82/$H$1958,B82=2017,G82/$H$1959,B82=2018,G82/$H$1960,B82=2019,G82/$H$1961,B82=2020,G82/$H$1962,B82=2021,G82/$H$1963,B82=2022,G82/$H$1964,B82=2023,G82/$H$1965)</f>
        <v>3.0999495046128901E-4</v>
      </c>
      <c r="J82" s="10" cm="1">
        <f t="array" ref="J82">_xlfn.IFS(B82=2015,I82*$G$2,B82=2016,I82*$G$3,B82=2017,I82*$G$4,B82=2018,I82*$G$5,B82=2019,I82*$G$6,B82=2020,I82*$G$7,B82=2021,I82*$G$8,B82=2022,I82*$G$9,B82=2023,I82*$G$10)</f>
        <v>52694.590542551407</v>
      </c>
      <c r="K82" s="8">
        <f t="shared" si="1"/>
        <v>358865.59054255142</v>
      </c>
      <c r="L82">
        <f>IFERROR(VLOOKUP(F82,'LEAID Match'!$A$2:$B$240,2,FALSE),"")</f>
        <v>0</v>
      </c>
    </row>
    <row r="83" spans="1:12" x14ac:dyDescent="0.2">
      <c r="A83">
        <v>0</v>
      </c>
      <c r="B83">
        <v>2015</v>
      </c>
      <c r="C83" s="4" t="s">
        <v>52</v>
      </c>
      <c r="D83" s="4" t="s">
        <v>576</v>
      </c>
      <c r="E83" s="4" t="s">
        <v>578</v>
      </c>
      <c r="F83" s="4" t="s">
        <v>9</v>
      </c>
      <c r="G83" s="8">
        <v>50264</v>
      </c>
      <c r="I83" s="16" cm="1">
        <f t="array" ref="I83">_xlfn.IFS(B83=2015,G83/$H$1957,B83=2016,G83/$H$1958,B83=2017,G83/$H$1959,B83=2018,G83/$H$1960,B83=2019,G83/$H$1961,B83=2020,G83/$H$1962,B83=2021,G83/$H$1963,B83=2022,G83/$H$1964,B83=2023,G83/$H$1965)</f>
        <v>3.8816800742620447E-5</v>
      </c>
      <c r="J83" s="10" cm="1">
        <f t="array" ref="J83">_xlfn.IFS(B83=2015,I83*$G$2,B83=2016,I83*$G$3,B83=2017,I83*$G$4,B83=2018,I83*$G$5,B83=2019,I83*$G$6,B83=2020,I83*$G$7,B83=2021,I83*$G$8,B83=2022,I83*$G$9,B83=2023,I83*$G$10)</f>
        <v>9651.5092899070605</v>
      </c>
      <c r="K83" s="8">
        <f t="shared" si="1"/>
        <v>59915.509289907059</v>
      </c>
      <c r="L83">
        <f>IFERROR(VLOOKUP(F83,'LEAID Match'!$A$2:$B$240,2,FALSE),"")</f>
        <v>0</v>
      </c>
    </row>
    <row r="84" spans="1:12" x14ac:dyDescent="0.2">
      <c r="A84">
        <v>0</v>
      </c>
      <c r="B84">
        <v>2016</v>
      </c>
      <c r="C84" s="4" t="s">
        <v>52</v>
      </c>
      <c r="D84" s="4" t="s">
        <v>576</v>
      </c>
      <c r="E84" s="4" t="s">
        <v>578</v>
      </c>
      <c r="F84" s="4" t="s">
        <v>9</v>
      </c>
      <c r="G84" s="8">
        <v>58856</v>
      </c>
      <c r="I84" s="16" cm="1">
        <f t="array" ref="I84">_xlfn.IFS(B84=2015,G84/$H$1957,B84=2016,G84/$H$1958,B84=2017,G84/$H$1959,B84=2018,G84/$H$1960,B84=2019,G84/$H$1961,B84=2020,G84/$H$1962,B84=2021,G84/$H$1963,B84=2022,G84/$H$1964,B84=2023,G84/$H$1965)</f>
        <v>4.1316886838676987E-5</v>
      </c>
      <c r="J84" s="10" cm="1">
        <f t="array" ref="J84">_xlfn.IFS(B84=2015,I84*$G$2,B84=2016,I84*$G$3,B84=2017,I84*$G$4,B84=2018,I84*$G$5,B84=2019,I84*$G$6,B84=2020,I84*$G$7,B84=2021,I84*$G$8,B84=2022,I84*$G$9,B84=2023,I84*$G$10)</f>
        <v>11205.266966660662</v>
      </c>
      <c r="K84" s="8">
        <f t="shared" si="1"/>
        <v>70061.266966660667</v>
      </c>
      <c r="L84">
        <f>IFERROR(VLOOKUP(F84,'LEAID Match'!$A$2:$B$240,2,FALSE),"")</f>
        <v>0</v>
      </c>
    </row>
    <row r="85" spans="1:12" x14ac:dyDescent="0.2">
      <c r="A85">
        <v>0</v>
      </c>
      <c r="B85">
        <v>2017</v>
      </c>
      <c r="C85" s="4" t="s">
        <v>52</v>
      </c>
      <c r="D85" s="4" t="s">
        <v>576</v>
      </c>
      <c r="E85" s="4" t="s">
        <v>578</v>
      </c>
      <c r="F85" s="4" t="s">
        <v>9</v>
      </c>
      <c r="G85" s="8">
        <v>30017</v>
      </c>
      <c r="I85" s="16" cm="1">
        <f t="array" ref="I85">_xlfn.IFS(B85=2015,G85/$H$1957,B85=2016,G85/$H$1958,B85=2017,G85/$H$1959,B85=2018,G85/$H$1960,B85=2019,G85/$H$1961,B85=2020,G85/$H$1962,B85=2021,G85/$H$1963,B85=2022,G85/$H$1964,B85=2023,G85/$H$1965)</f>
        <v>4.0049065836093219E-5</v>
      </c>
      <c r="J85" s="10" cm="1">
        <f t="array" ref="J85">_xlfn.IFS(B85=2015,I85*$G$2,B85=2016,I85*$G$3,B85=2017,I85*$G$4,B85=2018,I85*$G$5,B85=2019,I85*$G$6,B85=2020,I85*$G$7,B85=2021,I85*$G$8,B85=2022,I85*$G$9,B85=2023,I85*$G$10)</f>
        <v>5930.7294722053466</v>
      </c>
      <c r="K85" s="8">
        <f t="shared" si="1"/>
        <v>35947.729472205348</v>
      </c>
      <c r="L85">
        <f>IFERROR(VLOOKUP(F85,'LEAID Match'!$A$2:$B$240,2,FALSE),"")</f>
        <v>0</v>
      </c>
    </row>
    <row r="86" spans="1:12" x14ac:dyDescent="0.2">
      <c r="A86">
        <v>0</v>
      </c>
      <c r="B86">
        <v>2018</v>
      </c>
      <c r="C86" s="4" t="s">
        <v>52</v>
      </c>
      <c r="D86" s="4" t="s">
        <v>576</v>
      </c>
      <c r="E86" s="4" t="s">
        <v>578</v>
      </c>
      <c r="F86" s="4" t="s">
        <v>9</v>
      </c>
      <c r="G86" s="8">
        <v>30800</v>
      </c>
      <c r="I86" s="16" cm="1">
        <f t="array" ref="I86">_xlfn.IFS(B86=2015,G86/$H$1957,B86=2016,G86/$H$1958,B86=2017,G86/$H$1959,B86=2018,G86/$H$1960,B86=2019,G86/$H$1961,B86=2020,G86/$H$1962,B86=2021,G86/$H$1963,B86=2022,G86/$H$1964,B86=2023,G86/$H$1965)</f>
        <v>3.9630681779434285E-5</v>
      </c>
      <c r="J86" s="10" cm="1">
        <f t="array" ref="J86">_xlfn.IFS(B86=2015,I86*$G$2,B86=2016,I86*$G$3,B86=2017,I86*$G$4,B86=2018,I86*$G$5,B86=2019,I86*$G$6,B86=2020,I86*$G$7,B86=2021,I86*$G$8,B86=2022,I86*$G$9,B86=2023,I86*$G$10)</f>
        <v>5965.3657322357512</v>
      </c>
      <c r="K86" s="8">
        <f t="shared" si="1"/>
        <v>36765.365732235754</v>
      </c>
      <c r="L86">
        <f>IFERROR(VLOOKUP(F86,'LEAID Match'!$A$2:$B$240,2,FALSE),"")</f>
        <v>0</v>
      </c>
    </row>
    <row r="87" spans="1:12" x14ac:dyDescent="0.2">
      <c r="A87">
        <v>0</v>
      </c>
      <c r="B87">
        <v>2019</v>
      </c>
      <c r="C87" s="4" t="s">
        <v>52</v>
      </c>
      <c r="D87" s="4" t="s">
        <v>576</v>
      </c>
      <c r="E87" s="4" t="s">
        <v>578</v>
      </c>
      <c r="F87" s="4" t="s">
        <v>9</v>
      </c>
      <c r="G87" s="8">
        <v>31224</v>
      </c>
      <c r="I87" s="16" cm="1">
        <f t="array" ref="I87">_xlfn.IFS(B87=2015,G87/$H$1957,B87=2016,G87/$H$1958,B87=2017,G87/$H$1959,B87=2018,G87/$H$1960,B87=2019,G87/$H$1961,B87=2020,G87/$H$1962,B87=2021,G87/$H$1963,B87=2022,G87/$H$1964,B87=2023,G87/$H$1965)</f>
        <v>3.880508263663147E-5</v>
      </c>
      <c r="J87" s="10" cm="1">
        <f t="array" ref="J87">_xlfn.IFS(B87=2015,I87*$G$2,B87=2016,I87*$G$3,B87=2017,I87*$G$4,B87=2018,I87*$G$5,B87=2019,I87*$G$6,B87=2020,I87*$G$7,B87=2021,I87*$G$8,B87=2022,I87*$G$9,B87=2023,I87*$G$10)</f>
        <v>6132.2943331216793</v>
      </c>
      <c r="K87" s="8">
        <f t="shared" si="1"/>
        <v>37356.294333121681</v>
      </c>
      <c r="L87">
        <f>IFERROR(VLOOKUP(F87,'LEAID Match'!$A$2:$B$240,2,FALSE),"")</f>
        <v>0</v>
      </c>
    </row>
    <row r="88" spans="1:12" x14ac:dyDescent="0.2">
      <c r="A88">
        <v>0</v>
      </c>
      <c r="B88">
        <v>2020</v>
      </c>
      <c r="C88" s="4" t="s">
        <v>52</v>
      </c>
      <c r="D88" s="4" t="s">
        <v>576</v>
      </c>
      <c r="E88" s="4" t="s">
        <v>578</v>
      </c>
      <c r="F88" s="4" t="s">
        <v>9</v>
      </c>
      <c r="G88" s="8">
        <v>33239</v>
      </c>
      <c r="I88" s="16" cm="1">
        <f t="array" ref="I88">_xlfn.IFS(B88=2015,G88/$H$1957,B88=2016,G88/$H$1958,B88=2017,G88/$H$1959,B88=2018,G88/$H$1960,B88=2019,G88/$H$1961,B88=2020,G88/$H$1962,B88=2021,G88/$H$1963,B88=2022,G88/$H$1964,B88=2023,G88/$H$1965)</f>
        <v>3.8230280464153351E-5</v>
      </c>
      <c r="J88" s="10" cm="1">
        <f t="array" ref="J88">_xlfn.IFS(B88=2015,I88*$G$2,B88=2016,I88*$G$3,B88=2017,I88*$G$4,B88=2018,I88*$G$5,B88=2019,I88*$G$6,B88=2020,I88*$G$7,B88=2021,I88*$G$8,B88=2022,I88*$G$9,B88=2023,I88*$G$10)</f>
        <v>6601.7536992621281</v>
      </c>
      <c r="K88" s="8">
        <f t="shared" si="1"/>
        <v>39840.753699262132</v>
      </c>
      <c r="L88">
        <f>IFERROR(VLOOKUP(F88,'LEAID Match'!$A$2:$B$240,2,FALSE),"")</f>
        <v>0</v>
      </c>
    </row>
    <row r="89" spans="1:12" x14ac:dyDescent="0.2">
      <c r="A89">
        <v>0</v>
      </c>
      <c r="B89">
        <v>2021</v>
      </c>
      <c r="C89" s="4" t="s">
        <v>52</v>
      </c>
      <c r="D89" s="4" t="s">
        <v>576</v>
      </c>
      <c r="E89" s="4" t="s">
        <v>578</v>
      </c>
      <c r="F89" s="4" t="s">
        <v>9</v>
      </c>
      <c r="G89" s="8">
        <v>33093</v>
      </c>
      <c r="I89" s="16" cm="1">
        <f t="array" ref="I89">_xlfn.IFS(B89=2015,G89/$H$1957,B89=2016,G89/$H$1958,B89=2017,G89/$H$1959,B89=2018,G89/$H$1960,B89=2019,G89/$H$1961,B89=2020,G89/$H$1962,B89=2021,G89/$H$1963,B89=2022,G89/$H$1964,B89=2023,G89/$H$1965)</f>
        <v>3.7818511335400809E-5</v>
      </c>
      <c r="J89" s="10" cm="1">
        <f t="array" ref="J89">_xlfn.IFS(B89=2015,I89*$G$2,B89=2016,I89*$G$3,B89=2017,I89*$G$4,B89=2018,I89*$G$5,B89=2019,I89*$G$6,B89=2020,I89*$G$7,B89=2021,I89*$G$8,B89=2022,I89*$G$9,B89=2023,I89*$G$10)</f>
        <v>6490.2932576116218</v>
      </c>
      <c r="K89" s="8">
        <f t="shared" si="1"/>
        <v>39583.293257611622</v>
      </c>
      <c r="L89">
        <f>IFERROR(VLOOKUP(F89,'LEAID Match'!$A$2:$B$240,2,FALSE),"")</f>
        <v>0</v>
      </c>
    </row>
    <row r="90" spans="1:12" x14ac:dyDescent="0.2">
      <c r="A90">
        <v>0</v>
      </c>
      <c r="B90">
        <v>2022</v>
      </c>
      <c r="C90" s="4" t="s">
        <v>52</v>
      </c>
      <c r="D90" s="4" t="s">
        <v>576</v>
      </c>
      <c r="E90" s="4" t="s">
        <v>578</v>
      </c>
      <c r="F90" s="4" t="s">
        <v>9</v>
      </c>
      <c r="G90" s="8">
        <v>34285</v>
      </c>
      <c r="I90" s="16" cm="1">
        <f t="array" ref="I90">_xlfn.IFS(B90=2015,G90/$H$1957,B90=2016,G90/$H$1958,B90=2017,G90/$H$1959,B90=2018,G90/$H$1960,B90=2019,G90/$H$1961,B90=2020,G90/$H$1962,B90=2021,G90/$H$1963,B90=2022,G90/$H$1964,B90=2023,G90/$H$1965)</f>
        <v>3.6849597127390488E-5</v>
      </c>
      <c r="J90" s="10" cm="1">
        <f t="array" ref="J90">_xlfn.IFS(B90=2015,I90*$G$2,B90=2016,I90*$G$3,B90=2017,I90*$G$4,B90=2018,I90*$G$5,B90=2019,I90*$G$6,B90=2020,I90*$G$7,B90=2021,I90*$G$8,B90=2022,I90*$G$9,B90=2023,I90*$G$10)</f>
        <v>6249.162844237052</v>
      </c>
      <c r="K90" s="8">
        <f t="shared" si="1"/>
        <v>40534.162844237049</v>
      </c>
      <c r="L90">
        <f>IFERROR(VLOOKUP(F90,'LEAID Match'!$A$2:$B$240,2,FALSE),"")</f>
        <v>0</v>
      </c>
    </row>
    <row r="91" spans="1:12" x14ac:dyDescent="0.2">
      <c r="A91">
        <v>0</v>
      </c>
      <c r="B91">
        <v>2023</v>
      </c>
      <c r="C91" s="4" t="s">
        <v>52</v>
      </c>
      <c r="D91" s="4" t="s">
        <v>576</v>
      </c>
      <c r="E91" s="4" t="s">
        <v>578</v>
      </c>
      <c r="F91" s="4" t="s">
        <v>9</v>
      </c>
      <c r="G91" s="8">
        <v>35008</v>
      </c>
      <c r="I91" s="16" cm="1">
        <f t="array" ref="I91">_xlfn.IFS(B91=2015,G91/$H$1957,B91=2016,G91/$H$1958,B91=2017,G91/$H$1959,B91=2018,G91/$H$1960,B91=2019,G91/$H$1961,B91=2020,G91/$H$1962,B91=2021,G91/$H$1963,B91=2022,G91/$H$1964,B91=2023,G91/$H$1965)</f>
        <v>3.5445235589748228E-5</v>
      </c>
      <c r="J91" s="10" cm="1">
        <f t="array" ref="J91">_xlfn.IFS(B91=2015,I91*$G$2,B91=2016,I91*$G$3,B91=2017,I91*$G$4,B91=2018,I91*$G$5,B91=2019,I91*$G$6,B91=2020,I91*$G$7,B91=2021,I91*$G$8,B91=2022,I91*$G$9,B91=2023,I91*$G$10)</f>
        <v>6025.1696787535057</v>
      </c>
      <c r="K91" s="8">
        <f t="shared" si="1"/>
        <v>41033.169678753504</v>
      </c>
      <c r="L91">
        <f>IFERROR(VLOOKUP(F91,'LEAID Match'!$A$2:$B$240,2,FALSE),"")</f>
        <v>0</v>
      </c>
    </row>
    <row r="92" spans="1:12" x14ac:dyDescent="0.2">
      <c r="A92">
        <v>0</v>
      </c>
      <c r="B92">
        <v>2015</v>
      </c>
      <c r="C92" s="4" t="s">
        <v>53</v>
      </c>
      <c r="D92" s="4" t="s">
        <v>576</v>
      </c>
      <c r="E92" s="4" t="s">
        <v>578</v>
      </c>
      <c r="F92" s="4" t="s">
        <v>10</v>
      </c>
      <c r="G92" s="8">
        <v>5290408</v>
      </c>
      <c r="I92" s="16" cm="1">
        <f t="array" ref="I92">_xlfn.IFS(B92=2015,G92/$H$1957,B92=2016,G92/$H$1958,B92=2017,G92/$H$1959,B92=2018,G92/$H$1960,B92=2019,G92/$H$1961,B92=2020,G92/$H$1962,B92=2021,G92/$H$1963,B92=2022,G92/$H$1964,B92=2023,G92/$H$1965)</f>
        <v>4.0855624936965845E-3</v>
      </c>
      <c r="J92" s="10" cm="1">
        <f t="array" ref="J92">_xlfn.IFS(B92=2015,I92*$G$2,B92=2016,I92*$G$3,B92=2017,I92*$G$4,B92=2018,I92*$G$5,B92=2019,I92*$G$6,B92=2020,I92*$G$7,B92=2021,I92*$G$8,B92=2022,I92*$G$9,B92=2023,I92*$G$10)</f>
        <v>1015844.77875614</v>
      </c>
      <c r="K92" s="8">
        <f t="shared" si="1"/>
        <v>6306252.7787561398</v>
      </c>
      <c r="L92">
        <f>IFERROR(VLOOKUP(F92,'LEAID Match'!$A$2:$B$240,2,FALSE),"")</f>
        <v>0</v>
      </c>
    </row>
    <row r="93" spans="1:12" x14ac:dyDescent="0.2">
      <c r="A93">
        <v>0</v>
      </c>
      <c r="B93">
        <v>2016</v>
      </c>
      <c r="C93" s="4" t="s">
        <v>53</v>
      </c>
      <c r="D93" s="4" t="s">
        <v>576</v>
      </c>
      <c r="E93" s="4" t="s">
        <v>578</v>
      </c>
      <c r="F93" s="4" t="s">
        <v>10</v>
      </c>
      <c r="G93" s="8">
        <v>5234310</v>
      </c>
      <c r="I93" s="16" cm="1">
        <f t="array" ref="I93">_xlfn.IFS(B93=2015,G93/$H$1957,B93=2016,G93/$H$1958,B93=2017,G93/$H$1959,B93=2018,G93/$H$1960,B93=2019,G93/$H$1961,B93=2020,G93/$H$1962,B93=2021,G93/$H$1963,B93=2022,G93/$H$1964,B93=2023,G93/$H$1965)</f>
        <v>3.6744833822984118E-3</v>
      </c>
      <c r="J93" s="10" cm="1">
        <f t="array" ref="J93">_xlfn.IFS(B93=2015,I93*$G$2,B93=2016,I93*$G$3,B93=2017,I93*$G$4,B93=2018,I93*$G$5,B93=2019,I93*$G$6,B93=2020,I93*$G$7,B93=2021,I93*$G$8,B93=2022,I93*$G$9,B93=2023,I93*$G$10)</f>
        <v>996531.21068814676</v>
      </c>
      <c r="K93" s="8">
        <f t="shared" si="1"/>
        <v>6230841.2106881468</v>
      </c>
      <c r="L93">
        <f>IFERROR(VLOOKUP(F93,'LEAID Match'!$A$2:$B$240,2,FALSE),"")</f>
        <v>0</v>
      </c>
    </row>
    <row r="94" spans="1:12" x14ac:dyDescent="0.2">
      <c r="A94">
        <v>0</v>
      </c>
      <c r="B94">
        <v>2017</v>
      </c>
      <c r="C94" s="4" t="s">
        <v>53</v>
      </c>
      <c r="D94" s="4" t="s">
        <v>576</v>
      </c>
      <c r="E94" s="4" t="s">
        <v>578</v>
      </c>
      <c r="F94" s="4" t="s">
        <v>10</v>
      </c>
      <c r="G94" s="8">
        <v>3057142</v>
      </c>
      <c r="I94" s="16" cm="1">
        <f t="array" ref="I94">_xlfn.IFS(B94=2015,G94/$H$1957,B94=2016,G94/$H$1958,B94=2017,G94/$H$1959,B94=2018,G94/$H$1960,B94=2019,G94/$H$1961,B94=2020,G94/$H$1962,B94=2021,G94/$H$1963,B94=2022,G94/$H$1964,B94=2023,G94/$H$1965)</f>
        <v>4.0788780100704837E-3</v>
      </c>
      <c r="J94" s="10" cm="1">
        <f t="array" ref="J94">_xlfn.IFS(B94=2015,I94*$G$2,B94=2016,I94*$G$3,B94=2017,I94*$G$4,B94=2018,I94*$G$5,B94=2019,I94*$G$6,B94=2020,I94*$G$7,B94=2021,I94*$G$8,B94=2022,I94*$G$9,B94=2023,I94*$G$10)</f>
        <v>604027.12330068951</v>
      </c>
      <c r="K94" s="8">
        <f t="shared" si="1"/>
        <v>3661169.1233006893</v>
      </c>
      <c r="L94">
        <f>IFERROR(VLOOKUP(F94,'LEAID Match'!$A$2:$B$240,2,FALSE),"")</f>
        <v>0</v>
      </c>
    </row>
    <row r="95" spans="1:12" x14ac:dyDescent="0.2">
      <c r="A95">
        <v>0</v>
      </c>
      <c r="B95">
        <v>2018</v>
      </c>
      <c r="C95" s="4" t="s">
        <v>53</v>
      </c>
      <c r="D95" s="4" t="s">
        <v>576</v>
      </c>
      <c r="E95" s="4" t="s">
        <v>578</v>
      </c>
      <c r="F95" s="4" t="s">
        <v>10</v>
      </c>
      <c r="G95" s="8">
        <v>2852289</v>
      </c>
      <c r="I95" s="16" cm="1">
        <f t="array" ref="I95">_xlfn.IFS(B95=2015,G95/$H$1957,B95=2016,G95/$H$1958,B95=2017,G95/$H$1959,B95=2018,G95/$H$1960,B95=2019,G95/$H$1961,B95=2020,G95/$H$1962,B95=2021,G95/$H$1963,B95=2022,G95/$H$1964,B95=2023,G95/$H$1965)</f>
        <v>3.6700700552591181E-3</v>
      </c>
      <c r="J95" s="10" cm="1">
        <f t="array" ref="J95">_xlfn.IFS(B95=2015,I95*$G$2,B95=2016,I95*$G$3,B95=2017,I95*$G$4,B95=2018,I95*$G$5,B95=2019,I95*$G$6,B95=2020,I95*$G$7,B95=2021,I95*$G$8,B95=2022,I95*$G$9,B95=2023,I95*$G$10)</f>
        <v>552433.34607249929</v>
      </c>
      <c r="K95" s="8">
        <f t="shared" si="1"/>
        <v>3404722.3460724992</v>
      </c>
      <c r="L95">
        <f>IFERROR(VLOOKUP(F95,'LEAID Match'!$A$2:$B$240,2,FALSE),"")</f>
        <v>0</v>
      </c>
    </row>
    <row r="96" spans="1:12" x14ac:dyDescent="0.2">
      <c r="A96">
        <v>0</v>
      </c>
      <c r="B96">
        <v>2019</v>
      </c>
      <c r="C96" s="4" t="s">
        <v>53</v>
      </c>
      <c r="D96" s="4" t="s">
        <v>576</v>
      </c>
      <c r="E96" s="4" t="s">
        <v>578</v>
      </c>
      <c r="F96" s="4" t="s">
        <v>10</v>
      </c>
      <c r="G96" s="8">
        <v>3258677</v>
      </c>
      <c r="I96" s="16" cm="1">
        <f t="array" ref="I96">_xlfn.IFS(B96=2015,G96/$H$1957,B96=2016,G96/$H$1958,B96=2017,G96/$H$1959,B96=2018,G96/$H$1960,B96=2019,G96/$H$1961,B96=2020,G96/$H$1962,B96=2021,G96/$H$1963,B96=2022,G96/$H$1964,B96=2023,G96/$H$1965)</f>
        <v>4.0498728628968212E-3</v>
      </c>
      <c r="J96" s="10" cm="1">
        <f t="array" ref="J96">_xlfn.IFS(B96=2015,I96*$G$2,B96=2016,I96*$G$3,B96=2017,I96*$G$4,B96=2018,I96*$G$5,B96=2019,I96*$G$6,B96=2020,I96*$G$7,B96=2021,I96*$G$8,B96=2022,I96*$G$9,B96=2023,I96*$G$10)</f>
        <v>639993.80286234815</v>
      </c>
      <c r="K96" s="8">
        <f t="shared" si="1"/>
        <v>3898670.802862348</v>
      </c>
      <c r="L96">
        <f>IFERROR(VLOOKUP(F96,'LEAID Match'!$A$2:$B$240,2,FALSE),"")</f>
        <v>0</v>
      </c>
    </row>
    <row r="97" spans="1:12" x14ac:dyDescent="0.2">
      <c r="A97">
        <v>0</v>
      </c>
      <c r="B97">
        <v>2020</v>
      </c>
      <c r="C97" s="4" t="s">
        <v>53</v>
      </c>
      <c r="D97" s="4" t="s">
        <v>576</v>
      </c>
      <c r="E97" s="4" t="s">
        <v>578</v>
      </c>
      <c r="F97" s="4" t="s">
        <v>10</v>
      </c>
      <c r="G97" s="8">
        <v>3265462</v>
      </c>
      <c r="I97" s="16" cm="1">
        <f t="array" ref="I97">_xlfn.IFS(B97=2015,G97/$H$1957,B97=2016,G97/$H$1958,B97=2017,G97/$H$1959,B97=2018,G97/$H$1960,B97=2019,G97/$H$1961,B97=2020,G97/$H$1962,B97=2021,G97/$H$1963,B97=2022,G97/$H$1964,B97=2023,G97/$H$1965)</f>
        <v>3.7558147990323157E-3</v>
      </c>
      <c r="J97" s="10" cm="1">
        <f t="array" ref="J97">_xlfn.IFS(B97=2015,I97*$G$2,B97=2016,I97*$G$3,B97=2017,I97*$G$4,B97=2018,I97*$G$5,B97=2019,I97*$G$6,B97=2020,I97*$G$7,B97=2021,I97*$G$8,B97=2022,I97*$G$9,B97=2023,I97*$G$10)</f>
        <v>648568.72463972773</v>
      </c>
      <c r="K97" s="8">
        <f t="shared" si="1"/>
        <v>3914030.7246397277</v>
      </c>
      <c r="L97">
        <f>IFERROR(VLOOKUP(F97,'LEAID Match'!$A$2:$B$240,2,FALSE),"")</f>
        <v>0</v>
      </c>
    </row>
    <row r="98" spans="1:12" x14ac:dyDescent="0.2">
      <c r="A98">
        <v>0</v>
      </c>
      <c r="B98">
        <v>2021</v>
      </c>
      <c r="C98" s="4" t="s">
        <v>53</v>
      </c>
      <c r="D98" s="4" t="s">
        <v>576</v>
      </c>
      <c r="E98" s="4" t="s">
        <v>578</v>
      </c>
      <c r="F98" s="4" t="s">
        <v>10</v>
      </c>
      <c r="G98" s="8">
        <v>3609769</v>
      </c>
      <c r="I98" s="16" cm="1">
        <f t="array" ref="I98">_xlfn.IFS(B98=2015,G98/$H$1957,B98=2016,G98/$H$1958,B98=2017,G98/$H$1959,B98=2018,G98/$H$1960,B98=2019,G98/$H$1961,B98=2020,G98/$H$1962,B98=2021,G98/$H$1963,B98=2022,G98/$H$1964,B98=2023,G98/$H$1965)</f>
        <v>4.1252255717124002E-3</v>
      </c>
      <c r="J98" s="10" cm="1">
        <f t="array" ref="J98">_xlfn.IFS(B98=2015,I98*$G$2,B98=2016,I98*$G$3,B98=2017,I98*$G$4,B98=2018,I98*$G$5,B98=2019,I98*$G$6,B98=2020,I98*$G$7,B98=2021,I98*$G$8,B98=2022,I98*$G$9,B98=2023,I98*$G$10)</f>
        <v>707958.16040357319</v>
      </c>
      <c r="K98" s="8">
        <f t="shared" si="1"/>
        <v>4317727.160403573</v>
      </c>
      <c r="L98">
        <f>IFERROR(VLOOKUP(F98,'LEAID Match'!$A$2:$B$240,2,FALSE),"")</f>
        <v>0</v>
      </c>
    </row>
    <row r="99" spans="1:12" x14ac:dyDescent="0.2">
      <c r="A99">
        <v>0</v>
      </c>
      <c r="B99">
        <v>2022</v>
      </c>
      <c r="C99" s="4" t="s">
        <v>53</v>
      </c>
      <c r="D99" s="4" t="s">
        <v>576</v>
      </c>
      <c r="E99" s="4" t="s">
        <v>578</v>
      </c>
      <c r="F99" s="4" t="s">
        <v>10</v>
      </c>
      <c r="G99" s="8">
        <v>3437936</v>
      </c>
      <c r="I99" s="16" cm="1">
        <f t="array" ref="I99">_xlfn.IFS(B99=2015,G99/$H$1957,B99=2016,G99/$H$1958,B99=2017,G99/$H$1959,B99=2018,G99/$H$1960,B99=2019,G99/$H$1961,B99=2020,G99/$H$1962,B99=2021,G99/$H$1963,B99=2022,G99/$H$1964,B99=2023,G99/$H$1965)</f>
        <v>3.6951015473166791E-3</v>
      </c>
      <c r="J99" s="10" cm="1">
        <f t="array" ref="J99">_xlfn.IFS(B99=2015,I99*$G$2,B99=2016,I99*$G$3,B99=2017,I99*$G$4,B99=2018,I99*$G$5,B99=2019,I99*$G$6,B99=2020,I99*$G$7,B99=2021,I99*$G$8,B99=2022,I99*$G$9,B99=2023,I99*$G$10)</f>
        <v>626636.19402260322</v>
      </c>
      <c r="K99" s="8">
        <f t="shared" si="1"/>
        <v>4064572.1940226033</v>
      </c>
      <c r="L99">
        <f>IFERROR(VLOOKUP(F99,'LEAID Match'!$A$2:$B$240,2,FALSE),"")</f>
        <v>0</v>
      </c>
    </row>
    <row r="100" spans="1:12" x14ac:dyDescent="0.2">
      <c r="A100">
        <v>0</v>
      </c>
      <c r="B100">
        <v>2023</v>
      </c>
      <c r="C100" s="4" t="s">
        <v>53</v>
      </c>
      <c r="D100" s="4" t="s">
        <v>576</v>
      </c>
      <c r="E100" s="4" t="s">
        <v>578</v>
      </c>
      <c r="F100" s="4" t="s">
        <v>10</v>
      </c>
      <c r="G100" s="8">
        <v>3949926</v>
      </c>
      <c r="I100" s="16" cm="1">
        <f t="array" ref="I100">_xlfn.IFS(B100=2015,G100/$H$1957,B100=2016,G100/$H$1958,B100=2017,G100/$H$1959,B100=2018,G100/$H$1960,B100=2019,G100/$H$1961,B100=2020,G100/$H$1962,B100=2021,G100/$H$1963,B100=2022,G100/$H$1964,B100=2023,G100/$H$1965)</f>
        <v>3.9992589588685977E-3</v>
      </c>
      <c r="J100" s="10" cm="1">
        <f t="array" ref="J100">_xlfn.IFS(B100=2015,I100*$G$2,B100=2016,I100*$G$3,B100=2017,I100*$G$4,B100=2018,I100*$G$5,B100=2019,I100*$G$6,B100=2020,I100*$G$7,B100=2021,I100*$G$8,B100=2022,I100*$G$9,B100=2023,I100*$G$10)</f>
        <v>679815.30988688651</v>
      </c>
      <c r="K100" s="8">
        <f t="shared" si="1"/>
        <v>4629741.3098868867</v>
      </c>
      <c r="L100">
        <f>IFERROR(VLOOKUP(F100,'LEAID Match'!$A$2:$B$240,2,FALSE),"")</f>
        <v>0</v>
      </c>
    </row>
    <row r="101" spans="1:12" x14ac:dyDescent="0.2">
      <c r="A101">
        <v>0</v>
      </c>
      <c r="B101">
        <v>2015</v>
      </c>
      <c r="C101" s="4" t="s">
        <v>54</v>
      </c>
      <c r="D101" s="4" t="s">
        <v>576</v>
      </c>
      <c r="E101" s="4" t="s">
        <v>578</v>
      </c>
      <c r="F101" s="4" t="s">
        <v>11</v>
      </c>
      <c r="G101" s="8">
        <v>272666</v>
      </c>
      <c r="I101" s="16" cm="1">
        <f t="array" ref="I101">_xlfn.IFS(B101=2015,G101/$H$1957,B101=2016,G101/$H$1958,B101=2017,G101/$H$1959,B101=2018,G101/$H$1960,B101=2019,G101/$H$1961,B101=2020,G101/$H$1962,B101=2021,G101/$H$1963,B101=2022,G101/$H$1964,B101=2023,G101/$H$1965)</f>
        <v>2.105686334411775E-4</v>
      </c>
      <c r="J101" s="10" cm="1">
        <f t="array" ref="J101">_xlfn.IFS(B101=2015,I101*$G$2,B101=2016,I101*$G$3,B101=2017,I101*$G$4,B101=2018,I101*$G$5,B101=2019,I101*$G$6,B101=2020,I101*$G$7,B101=2021,I101*$G$8,B101=2022,I101*$G$9,B101=2023,I101*$G$10)</f>
        <v>52356.327233045486</v>
      </c>
      <c r="K101" s="8">
        <f t="shared" si="1"/>
        <v>325022.32723304548</v>
      </c>
      <c r="L101">
        <f>IFERROR(VLOOKUP(F101,'LEAID Match'!$A$2:$B$240,2,FALSE),"")</f>
        <v>0</v>
      </c>
    </row>
    <row r="102" spans="1:12" x14ac:dyDescent="0.2">
      <c r="A102">
        <v>0</v>
      </c>
      <c r="B102">
        <v>2016</v>
      </c>
      <c r="C102" s="4" t="s">
        <v>54</v>
      </c>
      <c r="D102" s="4" t="s">
        <v>576</v>
      </c>
      <c r="E102" s="4" t="s">
        <v>578</v>
      </c>
      <c r="F102" s="4" t="s">
        <v>11</v>
      </c>
      <c r="G102" s="8">
        <v>334477</v>
      </c>
      <c r="I102" s="16" cm="1">
        <f t="array" ref="I102">_xlfn.IFS(B102=2015,G102/$H$1957,B102=2016,G102/$H$1958,B102=2017,G102/$H$1959,B102=2018,G102/$H$1960,B102=2019,G102/$H$1961,B102=2020,G102/$H$1962,B102=2021,G102/$H$1963,B102=2022,G102/$H$1964,B102=2023,G102/$H$1965)</f>
        <v>2.3480271100890585E-4</v>
      </c>
      <c r="J102" s="10" cm="1">
        <f t="array" ref="J102">_xlfn.IFS(B102=2015,I102*$G$2,B102=2016,I102*$G$3,B102=2017,I102*$G$4,B102=2018,I102*$G$5,B102=2019,I102*$G$6,B102=2020,I102*$G$7,B102=2021,I102*$G$8,B102=2022,I102*$G$9,B102=2023,I102*$G$10)</f>
        <v>63679.218417965174</v>
      </c>
      <c r="K102" s="8">
        <f t="shared" si="1"/>
        <v>398156.21841796517</v>
      </c>
      <c r="L102">
        <f>IFERROR(VLOOKUP(F102,'LEAID Match'!$A$2:$B$240,2,FALSE),"")</f>
        <v>0</v>
      </c>
    </row>
    <row r="103" spans="1:12" x14ac:dyDescent="0.2">
      <c r="A103">
        <v>0</v>
      </c>
      <c r="B103">
        <v>2017</v>
      </c>
      <c r="C103" s="4" t="s">
        <v>54</v>
      </c>
      <c r="D103" s="4" t="s">
        <v>576</v>
      </c>
      <c r="E103" s="4" t="s">
        <v>578</v>
      </c>
      <c r="F103" s="4" t="s">
        <v>11</v>
      </c>
      <c r="G103" s="8">
        <v>203179</v>
      </c>
      <c r="I103" s="16" cm="1">
        <f t="array" ref="I103">_xlfn.IFS(B103=2015,G103/$H$1957,B103=2016,G103/$H$1958,B103=2017,G103/$H$1959,B103=2018,G103/$H$1960,B103=2019,G103/$H$1961,B103=2020,G103/$H$1962,B103=2021,G103/$H$1963,B103=2022,G103/$H$1964,B103=2023,G103/$H$1965)</f>
        <v>2.7108402397013642E-4</v>
      </c>
      <c r="J103" s="10" cm="1">
        <f t="array" ref="J103">_xlfn.IFS(B103=2015,I103*$G$2,B103=2016,I103*$G$3,B103=2017,I103*$G$4,B103=2018,I103*$G$5,B103=2019,I103*$G$6,B103=2020,I103*$G$7,B103=2021,I103*$G$8,B103=2022,I103*$G$9,B103=2023,I103*$G$10)</f>
        <v>40143.907899963691</v>
      </c>
      <c r="K103" s="8">
        <f t="shared" si="1"/>
        <v>243322.9078999637</v>
      </c>
      <c r="L103">
        <f>IFERROR(VLOOKUP(F103,'LEAID Match'!$A$2:$B$240,2,FALSE),"")</f>
        <v>0</v>
      </c>
    </row>
    <row r="104" spans="1:12" x14ac:dyDescent="0.2">
      <c r="A104">
        <v>0</v>
      </c>
      <c r="B104">
        <v>2018</v>
      </c>
      <c r="C104" s="4" t="s">
        <v>54</v>
      </c>
      <c r="D104" s="4" t="s">
        <v>576</v>
      </c>
      <c r="E104" s="4" t="s">
        <v>578</v>
      </c>
      <c r="F104" s="4" t="s">
        <v>11</v>
      </c>
      <c r="G104" s="8">
        <v>237423</v>
      </c>
      <c r="I104" s="16" cm="1">
        <f t="array" ref="I104">_xlfn.IFS(B104=2015,G104/$H$1957,B104=2016,G104/$H$1958,B104=2017,G104/$H$1959,B104=2018,G104/$H$1960,B104=2019,G104/$H$1961,B104=2020,G104/$H$1962,B104=2021,G104/$H$1963,B104=2022,G104/$H$1964,B104=2023,G104/$H$1965)</f>
        <v>3.0549465454930605E-4</v>
      </c>
      <c r="J104" s="10" cm="1">
        <f t="array" ref="J104">_xlfn.IFS(B104=2015,I104*$G$2,B104=2016,I104*$G$3,B104=2017,I104*$G$4,B104=2018,I104*$G$5,B104=2019,I104*$G$6,B104=2020,I104*$G$7,B104=2021,I104*$G$8,B104=2022,I104*$G$9,B104=2023,I104*$G$10)</f>
        <v>45984.254163785998</v>
      </c>
      <c r="K104" s="8">
        <f t="shared" si="1"/>
        <v>283407.25416378601</v>
      </c>
      <c r="L104">
        <f>IFERROR(VLOOKUP(F104,'LEAID Match'!$A$2:$B$240,2,FALSE),"")</f>
        <v>0</v>
      </c>
    </row>
    <row r="105" spans="1:12" x14ac:dyDescent="0.2">
      <c r="A105">
        <v>0</v>
      </c>
      <c r="B105">
        <v>2019</v>
      </c>
      <c r="C105" s="4" t="s">
        <v>54</v>
      </c>
      <c r="D105" s="4" t="s">
        <v>576</v>
      </c>
      <c r="E105" s="4" t="s">
        <v>578</v>
      </c>
      <c r="F105" s="4" t="s">
        <v>424</v>
      </c>
      <c r="G105" s="8">
        <v>254976</v>
      </c>
      <c r="I105" s="16" cm="1">
        <f t="array" ref="I105">_xlfn.IFS(B105=2015,G105/$H$1957,B105=2016,G105/$H$1958,B105=2017,G105/$H$1959,B105=2018,G105/$H$1960,B105=2019,G105/$H$1961,B105=2020,G105/$H$1962,B105=2021,G105/$H$1963,B105=2022,G105/$H$1964,B105=2023,G105/$H$1965)</f>
        <v>3.1688331893279999E-4</v>
      </c>
      <c r="J105" s="10" cm="1">
        <f t="array" ref="J105">_xlfn.IFS(B105=2015,I105*$G$2,B105=2016,I105*$G$3,B105=2017,I105*$G$4,B105=2018,I105*$G$5,B105=2019,I105*$G$6,B105=2020,I105*$G$7,B105=2021,I105*$G$8,B105=2022,I105*$G$9,B105=2023,I105*$G$10)</f>
        <v>50076.475784077425</v>
      </c>
      <c r="K105" s="8">
        <f t="shared" si="1"/>
        <v>305052.47578407743</v>
      </c>
      <c r="L105">
        <f>IFERROR(VLOOKUP(F105,'LEAID Match'!$A$2:$B$240,2,FALSE),"")</f>
        <v>0</v>
      </c>
    </row>
    <row r="106" spans="1:12" x14ac:dyDescent="0.2">
      <c r="A106">
        <v>0</v>
      </c>
      <c r="B106">
        <v>2020</v>
      </c>
      <c r="C106" s="4" t="s">
        <v>54</v>
      </c>
      <c r="D106" s="4" t="s">
        <v>576</v>
      </c>
      <c r="E106" s="4" t="s">
        <v>578</v>
      </c>
      <c r="F106" s="4" t="s">
        <v>11</v>
      </c>
      <c r="G106" s="8">
        <v>266075</v>
      </c>
      <c r="I106" s="16" cm="1">
        <f t="array" ref="I106">_xlfn.IFS(B106=2015,G106/$H$1957,B106=2016,G106/$H$1958,B106=2017,G106/$H$1959,B106=2018,G106/$H$1960,B106=2019,G106/$H$1961,B106=2020,G106/$H$1962,B106=2021,G106/$H$1963,B106=2022,G106/$H$1964,B106=2023,G106/$H$1965)</f>
        <v>3.0602972034356039E-4</v>
      </c>
      <c r="J106" s="10" cm="1">
        <f t="array" ref="J106">_xlfn.IFS(B106=2015,I106*$G$2,B106=2016,I106*$G$3,B106=2017,I106*$G$4,B106=2018,I106*$G$5,B106=2019,I106*$G$6,B106=2020,I106*$G$7,B106=2021,I106*$G$8,B106=2022,I106*$G$9,B106=2023,I106*$G$10)</f>
        <v>52846.403788657022</v>
      </c>
      <c r="K106" s="8">
        <f t="shared" si="1"/>
        <v>318921.40378865704</v>
      </c>
      <c r="L106">
        <f>IFERROR(VLOOKUP(F106,'LEAID Match'!$A$2:$B$240,2,FALSE),"")</f>
        <v>0</v>
      </c>
    </row>
    <row r="107" spans="1:12" x14ac:dyDescent="0.2">
      <c r="A107">
        <v>0</v>
      </c>
      <c r="B107">
        <v>2021</v>
      </c>
      <c r="C107" s="4" t="s">
        <v>54</v>
      </c>
      <c r="D107" s="4" t="s">
        <v>576</v>
      </c>
      <c r="E107" s="4" t="s">
        <v>578</v>
      </c>
      <c r="F107" s="4" t="s">
        <v>11</v>
      </c>
      <c r="G107" s="8">
        <v>304004</v>
      </c>
      <c r="I107" s="16" cm="1">
        <f t="array" ref="I107">_xlfn.IFS(B107=2015,G107/$H$1957,B107=2016,G107/$H$1958,B107=2017,G107/$H$1959,B107=2018,G107/$H$1960,B107=2019,G107/$H$1961,B107=2020,G107/$H$1962,B107=2021,G107/$H$1963,B107=2022,G107/$H$1964,B107=2023,G107/$H$1965)</f>
        <v>3.47414218112809E-4</v>
      </c>
      <c r="J107" s="10" cm="1">
        <f t="array" ref="J107">_xlfn.IFS(B107=2015,I107*$G$2,B107=2016,I107*$G$3,B107=2017,I107*$G$4,B107=2018,I107*$G$5,B107=2019,I107*$G$6,B107=2020,I107*$G$7,B107=2021,I107*$G$8,B107=2022,I107*$G$9,B107=2023,I107*$G$10)</f>
        <v>59622.128893934168</v>
      </c>
      <c r="K107" s="8">
        <f t="shared" si="1"/>
        <v>363626.12889393419</v>
      </c>
      <c r="L107">
        <f>IFERROR(VLOOKUP(F107,'LEAID Match'!$A$2:$B$240,2,FALSE),"")</f>
        <v>0</v>
      </c>
    </row>
    <row r="108" spans="1:12" x14ac:dyDescent="0.2">
      <c r="A108">
        <v>0</v>
      </c>
      <c r="B108">
        <v>2022</v>
      </c>
      <c r="C108" s="4" t="s">
        <v>54</v>
      </c>
      <c r="D108" s="4" t="s">
        <v>576</v>
      </c>
      <c r="E108" s="4" t="s">
        <v>578</v>
      </c>
      <c r="F108" s="4" t="s">
        <v>11</v>
      </c>
      <c r="G108" s="8">
        <v>332107</v>
      </c>
      <c r="I108" s="16" cm="1">
        <f t="array" ref="I108">_xlfn.IFS(B108=2015,G108/$H$1957,B108=2016,G108/$H$1958,B108=2017,G108/$H$1959,B108=2018,G108/$H$1960,B108=2019,G108/$H$1961,B108=2020,G108/$H$1962,B108=2021,G108/$H$1963,B108=2022,G108/$H$1964,B108=2023,G108/$H$1965)</f>
        <v>3.5694937007980964E-4</v>
      </c>
      <c r="J108" s="10" cm="1">
        <f t="array" ref="J108">_xlfn.IFS(B108=2015,I108*$G$2,B108=2016,I108*$G$3,B108=2017,I108*$G$4,B108=2018,I108*$G$5,B108=2019,I108*$G$6,B108=2020,I108*$G$7,B108=2021,I108*$G$8,B108=2022,I108*$G$9,B108=2023,I108*$G$10)</f>
        <v>60533.490585125699</v>
      </c>
      <c r="K108" s="8">
        <f t="shared" si="1"/>
        <v>392640.49058512569</v>
      </c>
      <c r="L108">
        <f>IFERROR(VLOOKUP(F108,'LEAID Match'!$A$2:$B$240,2,FALSE),"")</f>
        <v>0</v>
      </c>
    </row>
    <row r="109" spans="1:12" x14ac:dyDescent="0.2">
      <c r="A109">
        <v>0</v>
      </c>
      <c r="B109">
        <v>2023</v>
      </c>
      <c r="C109" s="4" t="s">
        <v>54</v>
      </c>
      <c r="D109" s="4" t="s">
        <v>576</v>
      </c>
      <c r="E109" s="4" t="s">
        <v>578</v>
      </c>
      <c r="F109" s="4" t="s">
        <v>11</v>
      </c>
      <c r="G109" s="8">
        <v>355340</v>
      </c>
      <c r="I109" s="16" cm="1">
        <f t="array" ref="I109">_xlfn.IFS(B109=2015,G109/$H$1957,B109=2016,G109/$H$1958,B109=2017,G109/$H$1959,B109=2018,G109/$H$1960,B109=2019,G109/$H$1961,B109=2020,G109/$H$1962,B109=2021,G109/$H$1963,B109=2022,G109/$H$1964,B109=2023,G109/$H$1965)</f>
        <v>3.5977805114434234E-4</v>
      </c>
      <c r="J109" s="10" cm="1">
        <f t="array" ref="J109">_xlfn.IFS(B109=2015,I109*$G$2,B109=2016,I109*$G$3,B109=2017,I109*$G$4,B109=2018,I109*$G$5,B109=2019,I109*$G$6,B109=2020,I109*$G$7,B109=2021,I109*$G$8,B109=2022,I109*$G$9,B109=2023,I109*$G$10)</f>
        <v>61156.98679296935</v>
      </c>
      <c r="K109" s="8">
        <f t="shared" si="1"/>
        <v>416496.98679296934</v>
      </c>
      <c r="L109">
        <f>IFERROR(VLOOKUP(F109,'LEAID Match'!$A$2:$B$240,2,FALSE),"")</f>
        <v>0</v>
      </c>
    </row>
    <row r="110" spans="1:12" x14ac:dyDescent="0.2">
      <c r="A110">
        <v>0</v>
      </c>
      <c r="B110">
        <v>2015</v>
      </c>
      <c r="C110" s="4" t="s">
        <v>55</v>
      </c>
      <c r="D110" s="4" t="s">
        <v>576</v>
      </c>
      <c r="E110" s="4" t="s">
        <v>578</v>
      </c>
      <c r="F110" s="4" t="s">
        <v>12</v>
      </c>
      <c r="G110" s="8">
        <v>95904</v>
      </c>
      <c r="I110" s="16" cm="1">
        <f t="array" ref="I110">_xlfn.IFS(B110=2015,G110/$H$1957,B110=2016,G110/$H$1958,B110=2017,G110/$H$1959,B110=2018,G110/$H$1960,B110=2019,G110/$H$1961,B110=2020,G110/$H$1962,B110=2021,G110/$H$1963,B110=2022,G110/$H$1964,B110=2023,G110/$H$1965)</f>
        <v>7.4062678227364932E-5</v>
      </c>
      <c r="J110" s="10" cm="1">
        <f t="array" ref="J110">_xlfn.IFS(B110=2015,I110*$G$2,B110=2016,I110*$G$3,B110=2017,I110*$G$4,B110=2018,I110*$G$5,B110=2019,I110*$G$6,B110=2020,I110*$G$7,B110=2021,I110*$G$8,B110=2022,I110*$G$9,B110=2023,I110*$G$10)</f>
        <v>18415.135025848453</v>
      </c>
      <c r="K110" s="8">
        <f t="shared" si="1"/>
        <v>114319.13502584846</v>
      </c>
      <c r="L110">
        <f>IFERROR(VLOOKUP(F110,'LEAID Match'!$A$2:$B$240,2,FALSE),"")</f>
        <v>0</v>
      </c>
    </row>
    <row r="111" spans="1:12" x14ac:dyDescent="0.2">
      <c r="A111">
        <v>0</v>
      </c>
      <c r="B111">
        <v>2016</v>
      </c>
      <c r="C111" s="4" t="s">
        <v>55</v>
      </c>
      <c r="D111" s="4" t="s">
        <v>576</v>
      </c>
      <c r="E111" s="4" t="s">
        <v>578</v>
      </c>
      <c r="F111" s="4" t="s">
        <v>12</v>
      </c>
      <c r="G111" s="8">
        <v>97660</v>
      </c>
      <c r="I111" s="16" cm="1">
        <f t="array" ref="I111">_xlfn.IFS(B111=2015,G111/$H$1957,B111=2016,G111/$H$1958,B111=2017,G111/$H$1959,B111=2018,G111/$H$1960,B111=2019,G111/$H$1961,B111=2020,G111/$H$1962,B111=2021,G111/$H$1963,B111=2022,G111/$H$1964,B111=2023,G111/$H$1965)</f>
        <v>6.8557278249714462E-5</v>
      </c>
      <c r="J111" s="10" cm="1">
        <f t="array" ref="J111">_xlfn.IFS(B111=2015,I111*$G$2,B111=2016,I111*$G$3,B111=2017,I111*$G$4,B111=2018,I111*$G$5,B111=2019,I111*$G$6,B111=2020,I111*$G$7,B111=2021,I111*$G$8,B111=2022,I111*$G$9,B111=2023,I111*$G$10)</f>
        <v>18592.94501773957</v>
      </c>
      <c r="K111" s="8">
        <f t="shared" si="1"/>
        <v>116252.94501773958</v>
      </c>
      <c r="L111">
        <f>IFERROR(VLOOKUP(F111,'LEAID Match'!$A$2:$B$240,2,FALSE),"")</f>
        <v>0</v>
      </c>
    </row>
    <row r="112" spans="1:12" x14ac:dyDescent="0.2">
      <c r="A112">
        <v>0</v>
      </c>
      <c r="B112">
        <v>2017</v>
      </c>
      <c r="C112" s="4" t="s">
        <v>55</v>
      </c>
      <c r="D112" s="4" t="s">
        <v>576</v>
      </c>
      <c r="E112" s="4" t="s">
        <v>578</v>
      </c>
      <c r="F112" s="4" t="s">
        <v>12</v>
      </c>
      <c r="G112" s="8">
        <v>47863</v>
      </c>
      <c r="I112" s="16" cm="1">
        <f t="array" ref="I112">_xlfn.IFS(B112=2015,G112/$H$1957,B112=2016,G112/$H$1958,B112=2017,G112/$H$1959,B112=2018,G112/$H$1960,B112=2019,G112/$H$1961,B112=2020,G112/$H$1962,B112=2021,G112/$H$1963,B112=2022,G112/$H$1964,B112=2023,G112/$H$1965)</f>
        <v>6.385942759479395E-5</v>
      </c>
      <c r="J112" s="10" cm="1">
        <f t="array" ref="J112">_xlfn.IFS(B112=2015,I112*$G$2,B112=2016,I112*$G$3,B112=2017,I112*$G$4,B112=2018,I112*$G$5,B112=2019,I112*$G$6,B112=2020,I112*$G$7,B112=2021,I112*$G$8,B112=2022,I112*$G$9,B112=2023,I112*$G$10)</f>
        <v>9456.7246802866557</v>
      </c>
      <c r="K112" s="8">
        <f t="shared" si="1"/>
        <v>57319.724680286658</v>
      </c>
      <c r="L112">
        <f>IFERROR(VLOOKUP(F112,'LEAID Match'!$A$2:$B$240,2,FALSE),"")</f>
        <v>0</v>
      </c>
    </row>
    <row r="113" spans="1:12" x14ac:dyDescent="0.2">
      <c r="A113">
        <v>0</v>
      </c>
      <c r="B113">
        <v>2018</v>
      </c>
      <c r="C113" s="4" t="s">
        <v>55</v>
      </c>
      <c r="D113" s="4" t="s">
        <v>576</v>
      </c>
      <c r="E113" s="4" t="s">
        <v>578</v>
      </c>
      <c r="F113" s="4" t="s">
        <v>12</v>
      </c>
      <c r="G113" s="8">
        <v>44253</v>
      </c>
      <c r="I113" s="16" cm="1">
        <f t="array" ref="I113">_xlfn.IFS(B113=2015,G113/$H$1957,B113=2016,G113/$H$1958,B113=2017,G113/$H$1959,B113=2018,G113/$H$1960,B113=2019,G113/$H$1961,B113=2020,G113/$H$1962,B113=2021,G113/$H$1963,B113=2022,G113/$H$1964,B113=2023,G113/$H$1965)</f>
        <v>5.6940797428094335E-5</v>
      </c>
      <c r="J113" s="10" cm="1">
        <f t="array" ref="J113">_xlfn.IFS(B113=2015,I113*$G$2,B113=2016,I113*$G$3,B113=2017,I113*$G$4,B113=2018,I113*$G$5,B113=2019,I113*$G$6,B113=2020,I113*$G$7,B113=2021,I113*$G$8,B113=2022,I113*$G$9,B113=2023,I113*$G$10)</f>
        <v>8570.9522645658672</v>
      </c>
      <c r="K113" s="8">
        <f t="shared" si="1"/>
        <v>52823.952264565865</v>
      </c>
      <c r="L113">
        <f>IFERROR(VLOOKUP(F113,'LEAID Match'!$A$2:$B$240,2,FALSE),"")</f>
        <v>0</v>
      </c>
    </row>
    <row r="114" spans="1:12" x14ac:dyDescent="0.2">
      <c r="A114">
        <v>0</v>
      </c>
      <c r="B114">
        <v>2019</v>
      </c>
      <c r="C114" s="4" t="s">
        <v>55</v>
      </c>
      <c r="D114" s="4" t="s">
        <v>576</v>
      </c>
      <c r="E114" s="4" t="s">
        <v>578</v>
      </c>
      <c r="F114" s="4" t="s">
        <v>12</v>
      </c>
      <c r="G114" s="8">
        <v>40430</v>
      </c>
      <c r="I114" s="16" cm="1">
        <f t="array" ref="I114">_xlfn.IFS(B114=2015,G114/$H$1957,B114=2016,G114/$H$1958,B114=2017,G114/$H$1959,B114=2018,G114/$H$1960,B114=2019,G114/$H$1961,B114=2020,G114/$H$1962,B114=2021,G114/$H$1963,B114=2022,G114/$H$1964,B114=2023,G114/$H$1965)</f>
        <v>5.0246268607449732E-5</v>
      </c>
      <c r="J114" s="10" cm="1">
        <f t="array" ref="J114">_xlfn.IFS(B114=2015,I114*$G$2,B114=2016,I114*$G$3,B114=2017,I114*$G$4,B114=2018,I114*$G$5,B114=2019,I114*$G$6,B114=2020,I114*$G$7,B114=2021,I114*$G$8,B114=2022,I114*$G$9,B114=2023,I114*$G$10)</f>
        <v>7940.3234655428359</v>
      </c>
      <c r="K114" s="8">
        <f t="shared" si="1"/>
        <v>48370.323465542839</v>
      </c>
      <c r="L114">
        <f>IFERROR(VLOOKUP(F114,'LEAID Match'!$A$2:$B$240,2,FALSE),"")</f>
        <v>0</v>
      </c>
    </row>
    <row r="115" spans="1:12" x14ac:dyDescent="0.2">
      <c r="A115">
        <v>0</v>
      </c>
      <c r="B115">
        <v>2020</v>
      </c>
      <c r="C115" s="4" t="s">
        <v>55</v>
      </c>
      <c r="D115" s="4" t="s">
        <v>576</v>
      </c>
      <c r="E115" s="4" t="s">
        <v>578</v>
      </c>
      <c r="F115" s="4" t="s">
        <v>12</v>
      </c>
      <c r="G115" s="8">
        <v>45360</v>
      </c>
      <c r="I115" s="16" cm="1">
        <f t="array" ref="I115">_xlfn.IFS(B115=2015,G115/$H$1957,B115=2016,G115/$H$1958,B115=2017,G115/$H$1959,B115=2018,G115/$H$1960,B115=2019,G115/$H$1961,B115=2020,G115/$H$1962,B115=2021,G115/$H$1963,B115=2022,G115/$H$1964,B115=2023,G115/$H$1965)</f>
        <v>5.2171410748036826E-5</v>
      </c>
      <c r="J115" s="10" cm="1">
        <f t="array" ref="J115">_xlfn.IFS(B115=2015,I115*$G$2,B115=2016,I115*$G$3,B115=2017,I115*$G$4,B115=2018,I115*$G$5,B115=2019,I115*$G$6,B115=2020,I115*$G$7,B115=2021,I115*$G$8,B115=2022,I115*$G$9,B115=2023,I115*$G$10)</f>
        <v>9009.1623634444513</v>
      </c>
      <c r="K115" s="8">
        <f t="shared" si="1"/>
        <v>54369.162363444455</v>
      </c>
      <c r="L115">
        <f>IFERROR(VLOOKUP(F115,'LEAID Match'!$A$2:$B$240,2,FALSE),"")</f>
        <v>0</v>
      </c>
    </row>
    <row r="116" spans="1:12" x14ac:dyDescent="0.2">
      <c r="A116">
        <v>0</v>
      </c>
      <c r="B116">
        <v>2021</v>
      </c>
      <c r="C116" s="4" t="s">
        <v>55</v>
      </c>
      <c r="D116" s="4" t="s">
        <v>576</v>
      </c>
      <c r="E116" s="4" t="s">
        <v>578</v>
      </c>
      <c r="F116" s="4" t="s">
        <v>12</v>
      </c>
      <c r="G116" s="8">
        <v>46487</v>
      </c>
      <c r="I116" s="16" cm="1">
        <f t="array" ref="I116">_xlfn.IFS(B116=2015,G116/$H$1957,B116=2016,G116/$H$1958,B116=2017,G116/$H$1959,B116=2018,G116/$H$1960,B116=2019,G116/$H$1961,B116=2020,G116/$H$1962,B116=2021,G116/$H$1963,B116=2022,G116/$H$1964,B116=2023,G116/$H$1965)</f>
        <v>5.3125106108505653E-5</v>
      </c>
      <c r="J116" s="10" cm="1">
        <f t="array" ref="J116">_xlfn.IFS(B116=2015,I116*$G$2,B116=2016,I116*$G$3,B116=2017,I116*$G$4,B116=2018,I116*$G$5,B116=2019,I116*$G$6,B116=2020,I116*$G$7,B116=2021,I116*$G$8,B116=2022,I116*$G$9,B116=2023,I116*$G$10)</f>
        <v>9117.1626225060136</v>
      </c>
      <c r="K116" s="8">
        <f t="shared" si="1"/>
        <v>55604.162622506017</v>
      </c>
      <c r="L116">
        <f>IFERROR(VLOOKUP(F116,'LEAID Match'!$A$2:$B$240,2,FALSE),"")</f>
        <v>0</v>
      </c>
    </row>
    <row r="117" spans="1:12" x14ac:dyDescent="0.2">
      <c r="A117">
        <v>0</v>
      </c>
      <c r="B117">
        <v>2022</v>
      </c>
      <c r="C117" s="4" t="s">
        <v>55</v>
      </c>
      <c r="D117" s="4" t="s">
        <v>576</v>
      </c>
      <c r="E117" s="4" t="s">
        <v>578</v>
      </c>
      <c r="F117" s="4" t="s">
        <v>12</v>
      </c>
      <c r="G117" s="8">
        <v>49472</v>
      </c>
      <c r="I117" s="16" cm="1">
        <f t="array" ref="I117">_xlfn.IFS(B117=2015,G117/$H$1957,B117=2016,G117/$H$1958,B117=2017,G117/$H$1959,B117=2018,G117/$H$1960,B117=2019,G117/$H$1961,B117=2020,G117/$H$1962,B117=2021,G117/$H$1963,B117=2022,G117/$H$1964,B117=2023,G117/$H$1965)</f>
        <v>5.317261977792802E-5</v>
      </c>
      <c r="J117" s="10" cm="1">
        <f t="array" ref="J117">_xlfn.IFS(B117=2015,I117*$G$2,B117=2016,I117*$G$3,B117=2017,I117*$G$4,B117=2018,I117*$G$5,B117=2019,I117*$G$6,B117=2020,I117*$G$7,B117=2021,I117*$G$8,B117=2022,I117*$G$9,B117=2023,I117*$G$10)</f>
        <v>9017.3132340701595</v>
      </c>
      <c r="K117" s="8">
        <f t="shared" si="1"/>
        <v>58489.313234070156</v>
      </c>
      <c r="L117">
        <f>IFERROR(VLOOKUP(F117,'LEAID Match'!$A$2:$B$240,2,FALSE),"")</f>
        <v>0</v>
      </c>
    </row>
    <row r="118" spans="1:12" x14ac:dyDescent="0.2">
      <c r="A118">
        <v>0</v>
      </c>
      <c r="B118">
        <v>2023</v>
      </c>
      <c r="C118" s="4" t="s">
        <v>55</v>
      </c>
      <c r="D118" s="4" t="s">
        <v>576</v>
      </c>
      <c r="E118" s="4" t="s">
        <v>578</v>
      </c>
      <c r="F118" s="4" t="s">
        <v>12</v>
      </c>
      <c r="G118" s="8">
        <v>53111</v>
      </c>
      <c r="I118" s="16" cm="1">
        <f t="array" ref="I118">_xlfn.IFS(B118=2015,G118/$H$1957,B118=2016,G118/$H$1958,B118=2017,G118/$H$1959,B118=2018,G118/$H$1960,B118=2019,G118/$H$1961,B118=2020,G118/$H$1962,B118=2021,G118/$H$1963,B118=2022,G118/$H$1964,B118=2023,G118/$H$1965)</f>
        <v>5.3774334649426365E-5</v>
      </c>
      <c r="J118" s="10" cm="1">
        <f t="array" ref="J118">_xlfn.IFS(B118=2015,I118*$G$2,B118=2016,I118*$G$3,B118=2017,I118*$G$4,B118=2018,I118*$G$5,B118=2019,I118*$G$6,B118=2020,I118*$G$7,B118=2021,I118*$G$8,B118=2022,I118*$G$9,B118=2023,I118*$G$10)</f>
        <v>9140.8474293954932</v>
      </c>
      <c r="K118" s="8">
        <f t="shared" si="1"/>
        <v>62251.847429395493</v>
      </c>
      <c r="L118">
        <f>IFERROR(VLOOKUP(F118,'LEAID Match'!$A$2:$B$240,2,FALSE),"")</f>
        <v>0</v>
      </c>
    </row>
    <row r="119" spans="1:12" x14ac:dyDescent="0.2">
      <c r="A119">
        <v>0</v>
      </c>
      <c r="B119">
        <v>2015</v>
      </c>
      <c r="C119" s="4" t="s">
        <v>56</v>
      </c>
      <c r="D119" s="4" t="s">
        <v>576</v>
      </c>
      <c r="E119" s="4" t="s">
        <v>578</v>
      </c>
      <c r="F119" s="4" t="s">
        <v>13</v>
      </c>
      <c r="G119" s="8">
        <v>445686</v>
      </c>
      <c r="I119" s="16" cm="1">
        <f t="array" ref="I119">_xlfn.IFS(B119=2015,G119/$H$1957,B119=2016,G119/$H$1958,B119=2017,G119/$H$1959,B119=2018,G119/$H$1960,B119=2019,G119/$H$1961,B119=2020,G119/$H$1962,B119=2021,G119/$H$1963,B119=2022,G119/$H$1964,B119=2023,G119/$H$1965)</f>
        <v>3.4418479738531623E-4</v>
      </c>
      <c r="J119" s="10" cm="1">
        <f t="array" ref="J119">_xlfn.IFS(B119=2015,I119*$G$2,B119=2016,I119*$G$3,B119=2017,I119*$G$4,B119=2018,I119*$G$5,B119=2019,I119*$G$6,B119=2020,I119*$G$7,B119=2021,I119*$G$8,B119=2022,I119*$G$9,B119=2023,I119*$G$10)</f>
        <v>85578.994297738289</v>
      </c>
      <c r="K119" s="8">
        <f t="shared" si="1"/>
        <v>531264.9942977383</v>
      </c>
      <c r="L119">
        <f>IFERROR(VLOOKUP(F119,'LEAID Match'!$A$2:$B$240,2,FALSE),"")</f>
        <v>0</v>
      </c>
    </row>
    <row r="120" spans="1:12" x14ac:dyDescent="0.2">
      <c r="A120">
        <v>0</v>
      </c>
      <c r="B120">
        <v>2016</v>
      </c>
      <c r="C120" s="4" t="s">
        <v>56</v>
      </c>
      <c r="D120" s="4" t="s">
        <v>576</v>
      </c>
      <c r="E120" s="4" t="s">
        <v>578</v>
      </c>
      <c r="F120" s="4" t="s">
        <v>13</v>
      </c>
      <c r="G120" s="8">
        <v>500770</v>
      </c>
      <c r="I120" s="16" cm="1">
        <f t="array" ref="I120">_xlfn.IFS(B120=2015,G120/$H$1957,B120=2016,G120/$H$1958,B120=2017,G120/$H$1959,B120=2018,G120/$H$1960,B120=2019,G120/$H$1961,B120=2020,G120/$H$1962,B120=2021,G120/$H$1963,B120=2022,G120/$H$1964,B120=2023,G120/$H$1965)</f>
        <v>3.5154032591756617E-4</v>
      </c>
      <c r="J120" s="10" cm="1">
        <f t="array" ref="J120">_xlfn.IFS(B120=2015,I120*$G$2,B120=2016,I120*$G$3,B120=2017,I120*$G$4,B120=2018,I120*$G$5,B120=2019,I120*$G$6,B120=2020,I120*$G$7,B120=2021,I120*$G$8,B120=2022,I120*$G$9,B120=2023,I120*$G$10)</f>
        <v>95338.819133047771</v>
      </c>
      <c r="K120" s="8">
        <f t="shared" si="1"/>
        <v>596108.81913304771</v>
      </c>
      <c r="L120">
        <f>IFERROR(VLOOKUP(F120,'LEAID Match'!$A$2:$B$240,2,FALSE),"")</f>
        <v>0</v>
      </c>
    </row>
    <row r="121" spans="1:12" x14ac:dyDescent="0.2">
      <c r="A121">
        <v>0</v>
      </c>
      <c r="B121">
        <v>2017</v>
      </c>
      <c r="C121" s="4" t="s">
        <v>56</v>
      </c>
      <c r="D121" s="4" t="s">
        <v>576</v>
      </c>
      <c r="E121" s="4" t="s">
        <v>578</v>
      </c>
      <c r="F121" s="4" t="s">
        <v>13</v>
      </c>
      <c r="G121" s="8">
        <v>289053</v>
      </c>
      <c r="I121" s="16" cm="1">
        <f t="array" ref="I121">_xlfn.IFS(B121=2015,G121/$H$1957,B121=2016,G121/$H$1958,B121=2017,G121/$H$1959,B121=2018,G121/$H$1960,B121=2019,G121/$H$1961,B121=2020,G121/$H$1962,B121=2021,G121/$H$1963,B121=2022,G121/$H$1964,B121=2023,G121/$H$1965)</f>
        <v>3.8565821458241178E-4</v>
      </c>
      <c r="J121" s="10" cm="1">
        <f t="array" ref="J121">_xlfn.IFS(B121=2015,I121*$G$2,B121=2016,I121*$G$3,B121=2017,I121*$G$4,B121=2018,I121*$G$5,B121=2019,I121*$G$6,B121=2020,I121*$G$7,B121=2021,I121*$G$8,B121=2022,I121*$G$9,B121=2023,I121*$G$10)</f>
        <v>57110.808746022987</v>
      </c>
      <c r="K121" s="8">
        <f t="shared" si="1"/>
        <v>346163.80874602299</v>
      </c>
      <c r="L121">
        <f>IFERROR(VLOOKUP(F121,'LEAID Match'!$A$2:$B$240,2,FALSE),"")</f>
        <v>0</v>
      </c>
    </row>
    <row r="122" spans="1:12" x14ac:dyDescent="0.2">
      <c r="A122">
        <v>0</v>
      </c>
      <c r="B122">
        <v>2018</v>
      </c>
      <c r="C122" s="4" t="s">
        <v>56</v>
      </c>
      <c r="D122" s="4" t="s">
        <v>576</v>
      </c>
      <c r="E122" s="4" t="s">
        <v>578</v>
      </c>
      <c r="F122" s="4" t="s">
        <v>13</v>
      </c>
      <c r="G122" s="8">
        <v>328496</v>
      </c>
      <c r="I122" s="16" cm="1">
        <f t="array" ref="I122">_xlfn.IFS(B122=2015,G122/$H$1957,B122=2016,G122/$H$1958,B122=2017,G122/$H$1959,B122=2018,G122/$H$1960,B122=2019,G122/$H$1961,B122=2020,G122/$H$1962,B122=2021,G122/$H$1963,B122=2022,G122/$H$1964,B122=2023,G122/$H$1965)</f>
        <v>4.2267923512393006E-4</v>
      </c>
      <c r="J122" s="10" cm="1">
        <f t="array" ref="J122">_xlfn.IFS(B122=2015,I122*$G$2,B122=2016,I122*$G$3,B122=2017,I122*$G$4,B122=2018,I122*$G$5,B122=2019,I122*$G$6,B122=2020,I122*$G$7,B122=2021,I122*$G$8,B122=2022,I122*$G$9,B122=2023,I122*$G$10)</f>
        <v>63623.337064172578</v>
      </c>
      <c r="K122" s="8">
        <f t="shared" si="1"/>
        <v>392119.33706417261</v>
      </c>
      <c r="L122">
        <f>IFERROR(VLOOKUP(F122,'LEAID Match'!$A$2:$B$240,2,FALSE),"")</f>
        <v>0</v>
      </c>
    </row>
    <row r="123" spans="1:12" x14ac:dyDescent="0.2">
      <c r="A123">
        <v>0</v>
      </c>
      <c r="B123">
        <v>2019</v>
      </c>
      <c r="C123" s="4" t="s">
        <v>56</v>
      </c>
      <c r="D123" s="4" t="s">
        <v>576</v>
      </c>
      <c r="E123" s="4" t="s">
        <v>578</v>
      </c>
      <c r="F123" s="4" t="s">
        <v>13</v>
      </c>
      <c r="G123" s="8">
        <v>336343</v>
      </c>
      <c r="I123" s="16" cm="1">
        <f t="array" ref="I123">_xlfn.IFS(B123=2015,G123/$H$1957,B123=2016,G123/$H$1958,B123=2017,G123/$H$1959,B123=2018,G123/$H$1960,B123=2019,G123/$H$1961,B123=2020,G123/$H$1962,B123=2021,G123/$H$1963,B123=2022,G123/$H$1964,B123=2023,G123/$H$1965)</f>
        <v>4.1800595404985072E-4</v>
      </c>
      <c r="J123" s="10" cm="1">
        <f t="array" ref="J123">_xlfn.IFS(B123=2015,I123*$G$2,B123=2016,I123*$G$3,B123=2017,I123*$G$4,B123=2018,I123*$G$5,B123=2019,I123*$G$6,B123=2020,I123*$G$7,B123=2021,I123*$G$8,B123=2022,I123*$G$9,B123=2023,I123*$G$10)</f>
        <v>66056.695903316198</v>
      </c>
      <c r="K123" s="8">
        <f t="shared" si="1"/>
        <v>402399.6959033162</v>
      </c>
      <c r="L123">
        <f>IFERROR(VLOOKUP(F123,'LEAID Match'!$A$2:$B$240,2,FALSE),"")</f>
        <v>0</v>
      </c>
    </row>
    <row r="124" spans="1:12" x14ac:dyDescent="0.2">
      <c r="A124">
        <v>0</v>
      </c>
      <c r="B124">
        <v>2020</v>
      </c>
      <c r="C124" s="4" t="s">
        <v>56</v>
      </c>
      <c r="D124" s="4" t="s">
        <v>576</v>
      </c>
      <c r="E124" s="4" t="s">
        <v>578</v>
      </c>
      <c r="F124" s="4" t="s">
        <v>13</v>
      </c>
      <c r="G124" s="8">
        <v>343052</v>
      </c>
      <c r="I124" s="16" cm="1">
        <f t="array" ref="I124">_xlfn.IFS(B124=2015,G124/$H$1957,B124=2016,G124/$H$1958,B124=2017,G124/$H$1959,B124=2018,G124/$H$1960,B124=2019,G124/$H$1961,B124=2020,G124/$H$1962,B124=2021,G124/$H$1963,B124=2022,G124/$H$1964,B124=2023,G124/$H$1965)</f>
        <v>3.9456584655942525E-4</v>
      </c>
      <c r="J124" s="10" cm="1">
        <f t="array" ref="J124">_xlfn.IFS(B124=2015,I124*$G$2,B124=2016,I124*$G$3,B124=2017,I124*$G$4,B124=2018,I124*$G$5,B124=2019,I124*$G$6,B124=2020,I124*$G$7,B124=2021,I124*$G$8,B124=2022,I124*$G$9,B124=2023,I124*$G$10)</f>
        <v>68135.166823288047</v>
      </c>
      <c r="K124" s="8">
        <f t="shared" si="1"/>
        <v>411187.16682328808</v>
      </c>
      <c r="L124">
        <f>IFERROR(VLOOKUP(F124,'LEAID Match'!$A$2:$B$240,2,FALSE),"")</f>
        <v>0</v>
      </c>
    </row>
    <row r="125" spans="1:12" x14ac:dyDescent="0.2">
      <c r="A125">
        <v>0</v>
      </c>
      <c r="B125">
        <v>2021</v>
      </c>
      <c r="C125" s="4" t="s">
        <v>56</v>
      </c>
      <c r="D125" s="4" t="s">
        <v>576</v>
      </c>
      <c r="E125" s="4" t="s">
        <v>578</v>
      </c>
      <c r="F125" s="4" t="s">
        <v>13</v>
      </c>
      <c r="G125" s="8">
        <v>366972</v>
      </c>
      <c r="I125" s="16" cm="1">
        <f t="array" ref="I125">_xlfn.IFS(B125=2015,G125/$H$1957,B125=2016,G125/$H$1958,B125=2017,G125/$H$1959,B125=2018,G125/$H$1960,B125=2019,G125/$H$1961,B125=2020,G125/$H$1962,B125=2021,G125/$H$1963,B125=2022,G125/$H$1964,B125=2023,G125/$H$1965)</f>
        <v>4.1937372682363964E-4</v>
      </c>
      <c r="J125" s="10" cm="1">
        <f t="array" ref="J125">_xlfn.IFS(B125=2015,I125*$G$2,B125=2016,I125*$G$3,B125=2017,I125*$G$4,B125=2018,I125*$G$5,B125=2019,I125*$G$6,B125=2020,I125*$G$7,B125=2021,I125*$G$8,B125=2022,I125*$G$9,B125=2023,I125*$G$10)</f>
        <v>71971.592099001369</v>
      </c>
      <c r="K125" s="8">
        <f t="shared" si="1"/>
        <v>438943.5920990014</v>
      </c>
      <c r="L125">
        <f>IFERROR(VLOOKUP(F125,'LEAID Match'!$A$2:$B$240,2,FALSE),"")</f>
        <v>0</v>
      </c>
    </row>
    <row r="126" spans="1:12" x14ac:dyDescent="0.2">
      <c r="A126">
        <v>0</v>
      </c>
      <c r="B126">
        <v>2022</v>
      </c>
      <c r="C126" s="4" t="s">
        <v>56</v>
      </c>
      <c r="D126" s="4" t="s">
        <v>576</v>
      </c>
      <c r="E126" s="4" t="s">
        <v>578</v>
      </c>
      <c r="F126" s="4" t="s">
        <v>13</v>
      </c>
      <c r="G126" s="8">
        <v>407513</v>
      </c>
      <c r="I126" s="16" cm="1">
        <f t="array" ref="I126">_xlfn.IFS(B126=2015,G126/$H$1957,B126=2016,G126/$H$1958,B126=2017,G126/$H$1959,B126=2018,G126/$H$1960,B126=2019,G126/$H$1961,B126=2020,G126/$H$1962,B126=2021,G126/$H$1963,B126=2022,G126/$H$1964,B126=2023,G126/$H$1965)</f>
        <v>4.3799591291160216E-4</v>
      </c>
      <c r="J126" s="10" cm="1">
        <f t="array" ref="J126">_xlfn.IFS(B126=2015,I126*$G$2,B126=2016,I126*$G$3,B126=2017,I126*$G$4,B126=2018,I126*$G$5,B126=2019,I126*$G$6,B126=2020,I126*$G$7,B126=2021,I126*$G$8,B126=2022,I126*$G$9,B126=2023,I126*$G$10)</f>
        <v>74277.821150461532</v>
      </c>
      <c r="K126" s="8">
        <f t="shared" si="1"/>
        <v>481790.82115046156</v>
      </c>
      <c r="L126">
        <f>IFERROR(VLOOKUP(F126,'LEAID Match'!$A$2:$B$240,2,FALSE),"")</f>
        <v>0</v>
      </c>
    </row>
    <row r="127" spans="1:12" x14ac:dyDescent="0.2">
      <c r="A127">
        <v>0</v>
      </c>
      <c r="B127">
        <v>2023</v>
      </c>
      <c r="C127" s="4" t="s">
        <v>56</v>
      </c>
      <c r="D127" s="4" t="s">
        <v>576</v>
      </c>
      <c r="E127" s="4" t="s">
        <v>578</v>
      </c>
      <c r="F127" s="4" t="s">
        <v>13</v>
      </c>
      <c r="G127" s="8">
        <v>432997</v>
      </c>
      <c r="I127" s="16" cm="1">
        <f t="array" ref="I127">_xlfn.IFS(B127=2015,G127/$H$1957,B127=2016,G127/$H$1958,B127=2017,G127/$H$1959,B127=2018,G127/$H$1960,B127=2019,G127/$H$1961,B127=2020,G127/$H$1962,B127=2021,G127/$H$1963,B127=2022,G127/$H$1964,B127=2023,G127/$H$1965)</f>
        <v>4.38404955286055E-4</v>
      </c>
      <c r="J127" s="10" cm="1">
        <f t="array" ref="J127">_xlfn.IFS(B127=2015,I127*$G$2,B127=2016,I127*$G$3,B127=2017,I127*$G$4,B127=2018,I127*$G$5,B127=2019,I127*$G$6,B127=2020,I127*$G$7,B127=2021,I127*$G$8,B127=2022,I127*$G$9,B127=2023,I127*$G$10)</f>
        <v>74522.406175480792</v>
      </c>
      <c r="K127" s="8">
        <f t="shared" si="1"/>
        <v>507519.40617548081</v>
      </c>
      <c r="L127">
        <f>IFERROR(VLOOKUP(F127,'LEAID Match'!$A$2:$B$240,2,FALSE),"")</f>
        <v>0</v>
      </c>
    </row>
    <row r="128" spans="1:12" x14ac:dyDescent="0.2">
      <c r="A128">
        <v>0</v>
      </c>
      <c r="B128">
        <v>2016</v>
      </c>
      <c r="C128" s="4" t="s">
        <v>391</v>
      </c>
      <c r="D128" s="4" t="s">
        <v>576</v>
      </c>
      <c r="E128" s="4" t="s">
        <v>578</v>
      </c>
      <c r="F128" s="4" t="s">
        <v>390</v>
      </c>
      <c r="G128" s="8">
        <v>5428</v>
      </c>
      <c r="I128" s="16" cm="1">
        <f t="array" ref="I128">_xlfn.IFS(B128=2015,G128/$H$1957,B128=2016,G128/$H$1958,B128=2017,G128/$H$1959,B128=2018,G128/$H$1960,B128=2019,G128/$H$1961,B128=2020,G128/$H$1962,B128=2021,G128/$H$1963,B128=2022,G128/$H$1964,B128=2023,G128/$H$1965)</f>
        <v>3.8104536794946765E-6</v>
      </c>
      <c r="J128" s="10" cm="1">
        <f t="array" ref="J128">_xlfn.IFS(B128=2015,I128*$G$2,B128=2016,I128*$G$3,B128=2017,I128*$G$4,B128=2018,I128*$G$5,B128=2019,I128*$G$6,B128=2020,I128*$G$7,B128=2021,I128*$G$8,B128=2022,I128*$G$9,B128=2023,I128*$G$10)</f>
        <v>1033.4067740762891</v>
      </c>
      <c r="K128" s="8">
        <f t="shared" si="1"/>
        <v>6461.4067740762894</v>
      </c>
      <c r="L128">
        <f>IFERROR(VLOOKUP(F128,'LEAID Match'!$A$2:$B$240,2,FALSE),"")</f>
        <v>0</v>
      </c>
    </row>
    <row r="129" spans="1:12" x14ac:dyDescent="0.2">
      <c r="A129">
        <v>0</v>
      </c>
      <c r="B129">
        <v>2017</v>
      </c>
      <c r="C129" s="4" t="s">
        <v>391</v>
      </c>
      <c r="D129" s="4" t="s">
        <v>576</v>
      </c>
      <c r="E129" s="4" t="s">
        <v>578</v>
      </c>
      <c r="F129" s="4" t="s">
        <v>390</v>
      </c>
      <c r="G129" s="8">
        <v>8750</v>
      </c>
      <c r="I129" s="16" cm="1">
        <f t="array" ref="I129">_xlfn.IFS(B129=2015,G129/$H$1957,B129=2016,G129/$H$1958,B129=2017,G129/$H$1959,B129=2018,G129/$H$1960,B129=2019,G129/$H$1961,B129=2020,G129/$H$1962,B129=2021,G129/$H$1963,B129=2022,G129/$H$1964,B129=2023,G129/$H$1965)</f>
        <v>1.1674362063691098E-5</v>
      </c>
      <c r="J129" s="10" cm="1">
        <f t="array" ref="J129">_xlfn.IFS(B129=2015,I129*$G$2,B129=2016,I129*$G$3,B129=2017,I129*$G$4,B129=2018,I129*$G$5,B129=2019,I129*$G$6,B129=2020,I129*$G$7,B129=2021,I129*$G$8,B129=2022,I129*$G$9,B129=2023,I129*$G$10)</f>
        <v>1728.8164334142914</v>
      </c>
      <c r="K129" s="8">
        <f t="shared" si="1"/>
        <v>10478.816433414291</v>
      </c>
      <c r="L129">
        <f>IFERROR(VLOOKUP(F129,'LEAID Match'!$A$2:$B$240,2,FALSE),"")</f>
        <v>0</v>
      </c>
    </row>
    <row r="130" spans="1:12" x14ac:dyDescent="0.2">
      <c r="A130">
        <v>0</v>
      </c>
      <c r="B130">
        <v>2018</v>
      </c>
      <c r="C130" s="4" t="s">
        <v>391</v>
      </c>
      <c r="D130" s="4" t="s">
        <v>576</v>
      </c>
      <c r="E130" s="4" t="s">
        <v>578</v>
      </c>
      <c r="F130" s="4" t="s">
        <v>390</v>
      </c>
      <c r="G130" s="8">
        <v>6939</v>
      </c>
      <c r="I130" s="16" cm="1">
        <f t="array" ref="I130">_xlfn.IFS(B130=2015,G130/$H$1957,B130=2016,G130/$H$1958,B130=2017,G130/$H$1959,B130=2018,G130/$H$1960,B130=2019,G130/$H$1961,B130=2020,G130/$H$1962,B130=2021,G130/$H$1963,B130=2022,G130/$H$1964,B130=2023,G130/$H$1965)</f>
        <v>8.9284837943991732E-6</v>
      </c>
      <c r="J130" s="10" cm="1">
        <f t="array" ref="J130">_xlfn.IFS(B130=2015,I130*$G$2,B130=2016,I130*$G$3,B130=2017,I130*$G$4,B130=2018,I130*$G$5,B130=2019,I130*$G$6,B130=2020,I130*$G$7,B130=2021,I130*$G$8,B130=2022,I130*$G$9,B130=2023,I130*$G$10)</f>
        <v>1343.9504161033728</v>
      </c>
      <c r="K130" s="8">
        <f t="shared" si="1"/>
        <v>8282.9504161033728</v>
      </c>
      <c r="L130">
        <f>IFERROR(VLOOKUP(F130,'LEAID Match'!$A$2:$B$240,2,FALSE),"")</f>
        <v>0</v>
      </c>
    </row>
    <row r="131" spans="1:12" x14ac:dyDescent="0.2">
      <c r="A131">
        <v>0</v>
      </c>
      <c r="B131">
        <v>2019</v>
      </c>
      <c r="C131" s="4" t="s">
        <v>391</v>
      </c>
      <c r="D131" s="4" t="s">
        <v>576</v>
      </c>
      <c r="E131" s="4" t="s">
        <v>578</v>
      </c>
      <c r="F131" s="4" t="s">
        <v>390</v>
      </c>
      <c r="G131" s="8">
        <v>11460</v>
      </c>
      <c r="I131" s="16" cm="1">
        <f t="array" ref="I131">_xlfn.IFS(B131=2015,G131/$H$1957,B131=2016,G131/$H$1958,B131=2017,G131/$H$1959,B131=2018,G131/$H$1960,B131=2019,G131/$H$1961,B131=2020,G131/$H$1962,B131=2021,G131/$H$1963,B131=2022,G131/$H$1964,B131=2023,G131/$H$1965)</f>
        <v>1.424244962259149E-5</v>
      </c>
      <c r="J131" s="10" cm="1">
        <f t="array" ref="J131">_xlfn.IFS(B131=2015,I131*$G$2,B131=2016,I131*$G$3,B131=2017,I131*$G$4,B131=2018,I131*$G$5,B131=2019,I131*$G$6,B131=2020,I131*$G$7,B131=2021,I131*$G$8,B131=2022,I131*$G$9,B131=2023,I131*$G$10)</f>
        <v>2250.707566537742</v>
      </c>
      <c r="K131" s="8">
        <f t="shared" si="1"/>
        <v>13710.707566537742</v>
      </c>
      <c r="L131">
        <f>IFERROR(VLOOKUP(F131,'LEAID Match'!$A$2:$B$240,2,FALSE),"")</f>
        <v>0</v>
      </c>
    </row>
    <row r="132" spans="1:12" x14ac:dyDescent="0.2">
      <c r="A132">
        <v>0</v>
      </c>
      <c r="B132">
        <v>2020</v>
      </c>
      <c r="C132" s="4" t="s">
        <v>391</v>
      </c>
      <c r="D132" s="4" t="s">
        <v>576</v>
      </c>
      <c r="E132" s="4" t="s">
        <v>578</v>
      </c>
      <c r="F132" s="4" t="s">
        <v>390</v>
      </c>
      <c r="G132" s="8">
        <v>18399</v>
      </c>
      <c r="I132" s="16" cm="1">
        <f t="array" ref="I132">_xlfn.IFS(B132=2015,G132/$H$1957,B132=2016,G132/$H$1958,B132=2017,G132/$H$1959,B132=2018,G132/$H$1960,B132=2019,G132/$H$1961,B132=2020,G132/$H$1962,B132=2021,G132/$H$1963,B132=2022,G132/$H$1964,B132=2023,G132/$H$1965)</f>
        <v>2.1161855960165997E-5</v>
      </c>
      <c r="J132" s="10" cm="1">
        <f t="array" ref="J132">_xlfn.IFS(B132=2015,I132*$G$2,B132=2016,I132*$G$3,B132=2017,I132*$G$4,B132=2018,I132*$G$5,B132=2019,I132*$G$6,B132=2020,I132*$G$7,B132=2021,I132*$G$8,B132=2022,I132*$G$9,B132=2023,I132*$G$10)</f>
        <v>3654.3116914685734</v>
      </c>
      <c r="K132" s="8">
        <f t="shared" si="1"/>
        <v>22053.311691468574</v>
      </c>
      <c r="L132">
        <f>IFERROR(VLOOKUP(F132,'LEAID Match'!$A$2:$B$240,2,FALSE),"")</f>
        <v>0</v>
      </c>
    </row>
    <row r="133" spans="1:12" x14ac:dyDescent="0.2">
      <c r="A133">
        <v>0</v>
      </c>
      <c r="B133">
        <v>2021</v>
      </c>
      <c r="C133" s="4" t="s">
        <v>391</v>
      </c>
      <c r="D133" s="4" t="s">
        <v>576</v>
      </c>
      <c r="E133" s="4" t="s">
        <v>578</v>
      </c>
      <c r="F133" s="4" t="s">
        <v>390</v>
      </c>
      <c r="G133" s="8">
        <v>17101</v>
      </c>
      <c r="I133" s="16" cm="1">
        <f t="array" ref="I133">_xlfn.IFS(B133=2015,G133/$H$1957,B133=2016,G133/$H$1958,B133=2017,G133/$H$1959,B133=2018,G133/$H$1960,B133=2019,G133/$H$1961,B133=2020,G133/$H$1962,B133=2021,G133/$H$1963,B133=2022,G133/$H$1964,B133=2023,G133/$H$1965)</f>
        <v>1.9542935434886208E-5</v>
      </c>
      <c r="J133" s="10" cm="1">
        <f t="array" ref="J133">_xlfn.IFS(B133=2015,I133*$G$2,B133=2016,I133*$G$3,B133=2017,I133*$G$4,B133=2018,I133*$G$5,B133=2019,I133*$G$6,B133=2020,I133*$G$7,B133=2021,I133*$G$8,B133=2022,I133*$G$9,B133=2023,I133*$G$10)</f>
        <v>3353.8967454874551</v>
      </c>
      <c r="K133" s="8">
        <f t="shared" si="1"/>
        <v>20454.896745487455</v>
      </c>
      <c r="L133">
        <f>IFERROR(VLOOKUP(F133,'LEAID Match'!$A$2:$B$240,2,FALSE),"")</f>
        <v>0</v>
      </c>
    </row>
    <row r="134" spans="1:12" x14ac:dyDescent="0.2">
      <c r="A134">
        <v>0</v>
      </c>
      <c r="B134">
        <v>2022</v>
      </c>
      <c r="C134" s="4" t="s">
        <v>391</v>
      </c>
      <c r="D134" s="4" t="s">
        <v>576</v>
      </c>
      <c r="E134" s="4" t="s">
        <v>578</v>
      </c>
      <c r="F134" s="4" t="s">
        <v>390</v>
      </c>
      <c r="G134" s="8">
        <v>12492</v>
      </c>
      <c r="I134" s="16" cm="1">
        <f t="array" ref="I134">_xlfn.IFS(B134=2015,G134/$H$1957,B134=2016,G134/$H$1958,B134=2017,G134/$H$1959,B134=2018,G134/$H$1960,B134=2019,G134/$H$1961,B134=2020,G134/$H$1962,B134=2021,G134/$H$1963,B134=2022,G134/$H$1964,B134=2023,G134/$H$1965)</f>
        <v>1.3426430430665363E-5</v>
      </c>
      <c r="J134" s="10" cm="1">
        <f t="array" ref="J134">_xlfn.IFS(B134=2015,I134*$G$2,B134=2016,I134*$G$3,B134=2017,I134*$G$4,B134=2018,I134*$G$5,B134=2019,I134*$G$6,B134=2020,I134*$G$7,B134=2021,I134*$G$8,B134=2022,I134*$G$9,B134=2023,I134*$G$10)</f>
        <v>2276.9299183377352</v>
      </c>
      <c r="K134" s="8">
        <f t="shared" si="1"/>
        <v>14768.929918337735</v>
      </c>
      <c r="L134">
        <f>IFERROR(VLOOKUP(F134,'LEAID Match'!$A$2:$B$240,2,FALSE),"")</f>
        <v>0</v>
      </c>
    </row>
    <row r="135" spans="1:12" x14ac:dyDescent="0.2">
      <c r="A135">
        <v>0</v>
      </c>
      <c r="B135">
        <v>2023</v>
      </c>
      <c r="C135" s="4" t="s">
        <v>391</v>
      </c>
      <c r="D135" s="4" t="s">
        <v>576</v>
      </c>
      <c r="E135" s="4" t="s">
        <v>578</v>
      </c>
      <c r="F135" s="4" t="s">
        <v>390</v>
      </c>
      <c r="G135" s="8">
        <v>15256</v>
      </c>
      <c r="I135" s="16" cm="1">
        <f t="array" ref="I135">_xlfn.IFS(B135=2015,G135/$H$1957,B135=2016,G135/$H$1958,B135=2017,G135/$H$1959,B135=2018,G135/$H$1960,B135=2019,G135/$H$1961,B135=2020,G135/$H$1962,B135=2021,G135/$H$1963,B135=2022,G135/$H$1964,B135=2023,G135/$H$1965)</f>
        <v>1.5446541195075382E-5</v>
      </c>
      <c r="J135" s="10" cm="1">
        <f t="array" ref="J135">_xlfn.IFS(B135=2015,I135*$G$2,B135=2016,I135*$G$3,B135=2017,I135*$G$4,B135=2018,I135*$G$5,B135=2019,I135*$G$6,B135=2020,I135*$G$7,B135=2021,I135*$G$8,B135=2022,I135*$G$9,B135=2023,I135*$G$10)</f>
        <v>2625.6852324915299</v>
      </c>
      <c r="K135" s="8">
        <f t="shared" si="1"/>
        <v>17881.685232491531</v>
      </c>
      <c r="L135">
        <f>IFERROR(VLOOKUP(F135,'LEAID Match'!$A$2:$B$240,2,FALSE),"")</f>
        <v>0</v>
      </c>
    </row>
    <row r="136" spans="1:12" x14ac:dyDescent="0.2">
      <c r="A136">
        <v>0</v>
      </c>
      <c r="B136">
        <v>2017</v>
      </c>
      <c r="C136" s="4" t="s">
        <v>406</v>
      </c>
      <c r="D136" s="4" t="s">
        <v>576</v>
      </c>
      <c r="E136" s="4" t="s">
        <v>578</v>
      </c>
      <c r="F136" s="4" t="s">
        <v>405</v>
      </c>
      <c r="G136" s="8">
        <v>4586</v>
      </c>
      <c r="I136" s="16" cm="1">
        <f t="array" ref="I136">_xlfn.IFS(B136=2015,G136/$H$1957,B136=2016,G136/$H$1958,B136=2017,G136/$H$1959,B136=2018,G136/$H$1960,B136=2019,G136/$H$1961,B136=2020,G136/$H$1962,B136=2021,G136/$H$1963,B136=2022,G136/$H$1964,B136=2023,G136/$H$1965)</f>
        <v>6.1186999341814145E-6</v>
      </c>
      <c r="J136" s="10" cm="1">
        <f t="array" ref="J136">_xlfn.IFS(B136=2015,I136*$G$2,B136=2016,I136*$G$3,B136=2017,I136*$G$4,B136=2018,I136*$G$5,B136=2019,I136*$G$6,B136=2020,I136*$G$7,B136=2021,I136*$G$8,B136=2022,I136*$G$9,B136=2023,I136*$G$10)</f>
        <v>906.09739013005026</v>
      </c>
      <c r="K136" s="8">
        <f t="shared" si="1"/>
        <v>5492.0973901300504</v>
      </c>
      <c r="L136">
        <f>IFERROR(VLOOKUP(F136,'LEAID Match'!$A$2:$B$240,2,FALSE),"")</f>
        <v>0</v>
      </c>
    </row>
    <row r="137" spans="1:12" x14ac:dyDescent="0.2">
      <c r="A137">
        <v>0</v>
      </c>
      <c r="B137">
        <v>2018</v>
      </c>
      <c r="C137" s="4" t="s">
        <v>406</v>
      </c>
      <c r="D137" s="4" t="s">
        <v>576</v>
      </c>
      <c r="E137" s="4" t="s">
        <v>578</v>
      </c>
      <c r="F137" s="4" t="s">
        <v>405</v>
      </c>
      <c r="G137" s="8">
        <v>8819</v>
      </c>
      <c r="I137" s="16" cm="1">
        <f t="array" ref="I137">_xlfn.IFS(B137=2015,G137/$H$1957,B137=2016,G137/$H$1958,B137=2017,G137/$H$1959,B137=2018,G137/$H$1960,B137=2019,G137/$H$1961,B137=2020,G137/$H$1962,B137=2021,G137/$H$1963,B137=2022,G137/$H$1964,B137=2023,G137/$H$1965)</f>
        <v>1.1347499435481525E-5</v>
      </c>
      <c r="J137" s="10" cm="1">
        <f t="array" ref="J137">_xlfn.IFS(B137=2015,I137*$G$2,B137=2016,I137*$G$3,B137=2017,I137*$G$4,B137=2018,I137*$G$5,B137=2019,I137*$G$6,B137=2020,I137*$G$7,B137=2021,I137*$G$8,B137=2022,I137*$G$9,B137=2023,I137*$G$10)</f>
        <v>1708.070142616464</v>
      </c>
      <c r="K137" s="8">
        <f t="shared" si="1"/>
        <v>10527.070142616463</v>
      </c>
      <c r="L137">
        <f>IFERROR(VLOOKUP(F137,'LEAID Match'!$A$2:$B$240,2,FALSE),"")</f>
        <v>0</v>
      </c>
    </row>
    <row r="138" spans="1:12" x14ac:dyDescent="0.2">
      <c r="A138">
        <v>0</v>
      </c>
      <c r="B138">
        <v>2019</v>
      </c>
      <c r="C138" s="4" t="s">
        <v>406</v>
      </c>
      <c r="D138" s="4" t="s">
        <v>576</v>
      </c>
      <c r="E138" s="4" t="s">
        <v>578</v>
      </c>
      <c r="F138" s="4" t="s">
        <v>405</v>
      </c>
      <c r="G138" s="8">
        <v>9171</v>
      </c>
      <c r="I138" s="16" cm="1">
        <f t="array" ref="I138">_xlfn.IFS(B138=2015,G138/$H$1957,B138=2016,G138/$H$1958,B138=2017,G138/$H$1959,B138=2018,G138/$H$1960,B138=2019,G138/$H$1961,B138=2020,G138/$H$1962,B138=2021,G138/$H$1963,B138=2022,G138/$H$1964,B138=2023,G138/$H$1965)</f>
        <v>1.139768808802675E-5</v>
      </c>
      <c r="J138" s="10" cm="1">
        <f t="array" ref="J138">_xlfn.IFS(B138=2015,I138*$G$2,B138=2016,I138*$G$3,B138=2017,I138*$G$4,B138=2018,I138*$G$5,B138=2019,I138*$G$6,B138=2020,I138*$G$7,B138=2021,I138*$G$8,B138=2022,I138*$G$9,B138=2023,I138*$G$10)</f>
        <v>1801.1552436926381</v>
      </c>
      <c r="K138" s="8">
        <f t="shared" si="1"/>
        <v>10972.155243692638</v>
      </c>
      <c r="L138">
        <f>IFERROR(VLOOKUP(F138,'LEAID Match'!$A$2:$B$240,2,FALSE),"")</f>
        <v>0</v>
      </c>
    </row>
    <row r="139" spans="1:12" x14ac:dyDescent="0.2">
      <c r="A139">
        <v>0</v>
      </c>
      <c r="B139">
        <v>2020</v>
      </c>
      <c r="C139" s="4" t="s">
        <v>406</v>
      </c>
      <c r="D139" s="4" t="s">
        <v>576</v>
      </c>
      <c r="E139" s="4" t="s">
        <v>578</v>
      </c>
      <c r="F139" s="4" t="s">
        <v>405</v>
      </c>
      <c r="G139" s="8">
        <v>7599</v>
      </c>
      <c r="I139" s="16" cm="1">
        <f t="array" ref="I139">_xlfn.IFS(B139=2015,G139/$H$1957,B139=2016,G139/$H$1958,B139=2017,G139/$H$1959,B139=2018,G139/$H$1960,B139=2019,G139/$H$1961,B139=2020,G139/$H$1962,B139=2021,G139/$H$1963,B139=2022,G139/$H$1964,B139=2023,G139/$H$1965)</f>
        <v>8.7400914963477037E-6</v>
      </c>
      <c r="J139" s="10" cm="1">
        <f t="array" ref="J139">_xlfn.IFS(B139=2015,I139*$G$2,B139=2016,I139*$G$3,B139=2017,I139*$G$4,B139=2018,I139*$G$5,B139=2019,I139*$G$6,B139=2020,I139*$G$7,B139=2021,I139*$G$8,B139=2022,I139*$G$9,B139=2023,I139*$G$10)</f>
        <v>1509.2730335056083</v>
      </c>
      <c r="K139" s="8">
        <f t="shared" si="1"/>
        <v>9108.2730335056076</v>
      </c>
      <c r="L139">
        <f>IFERROR(VLOOKUP(F139,'LEAID Match'!$A$2:$B$240,2,FALSE),"")</f>
        <v>0</v>
      </c>
    </row>
    <row r="140" spans="1:12" x14ac:dyDescent="0.2">
      <c r="A140">
        <v>0</v>
      </c>
      <c r="B140">
        <v>2021</v>
      </c>
      <c r="C140" s="4" t="s">
        <v>406</v>
      </c>
      <c r="D140" s="4" t="s">
        <v>576</v>
      </c>
      <c r="E140" s="4" t="s">
        <v>578</v>
      </c>
      <c r="F140" s="4" t="s">
        <v>405</v>
      </c>
      <c r="G140" s="8">
        <v>8776</v>
      </c>
      <c r="I140" s="16" cm="1">
        <f t="array" ref="I140">_xlfn.IFS(B140=2015,G140/$H$1957,B140=2016,G140/$H$1958,B140=2017,G140/$H$1959,B140=2018,G140/$H$1960,B140=2019,G140/$H$1961,B140=2020,G140/$H$1962,B140=2021,G140/$H$1963,B140=2022,G140/$H$1964,B140=2023,G140/$H$1965)</f>
        <v>1.0029167965414967E-5</v>
      </c>
      <c r="J140" s="10" cm="1">
        <f t="array" ref="J140">_xlfn.IFS(B140=2015,I140*$G$2,B140=2016,I140*$G$3,B140=2017,I140*$G$4,B140=2018,I140*$G$5,B140=2019,I140*$G$6,B140=2020,I140*$G$7,B140=2021,I140*$G$8,B140=2022,I140*$G$9,B140=2023,I140*$G$10)</f>
        <v>1721.1740739370741</v>
      </c>
      <c r="K140" s="8">
        <f t="shared" ref="K140:K203" si="2">SUM(G140,J140)</f>
        <v>10497.174073937074</v>
      </c>
      <c r="L140">
        <f>IFERROR(VLOOKUP(F140,'LEAID Match'!$A$2:$B$240,2,FALSE),"")</f>
        <v>0</v>
      </c>
    </row>
    <row r="141" spans="1:12" x14ac:dyDescent="0.2">
      <c r="A141">
        <v>0</v>
      </c>
      <c r="B141">
        <v>2022</v>
      </c>
      <c r="C141" s="4" t="s">
        <v>406</v>
      </c>
      <c r="D141" s="4" t="s">
        <v>576</v>
      </c>
      <c r="E141" s="4" t="s">
        <v>578</v>
      </c>
      <c r="F141" s="4" t="s">
        <v>405</v>
      </c>
      <c r="G141" s="8">
        <v>6511</v>
      </c>
      <c r="I141" s="16" cm="1">
        <f t="array" ref="I141">_xlfn.IFS(B141=2015,G141/$H$1957,B141=2016,G141/$H$1958,B141=2017,G141/$H$1959,B141=2018,G141/$H$1960,B141=2019,G141/$H$1961,B141=2020,G141/$H$1962,B141=2021,G141/$H$1963,B141=2022,G141/$H$1964,B141=2023,G141/$H$1965)</f>
        <v>6.9980378269342125E-6</v>
      </c>
      <c r="J141" s="10" cm="1">
        <f t="array" ref="J141">_xlfn.IFS(B141=2015,I141*$G$2,B141=2016,I141*$G$3,B141=2017,I141*$G$4,B141=2018,I141*$G$5,B141=2019,I141*$G$6,B141=2020,I141*$G$7,B141=2021,I141*$G$8,B141=2022,I141*$G$9,B141=2023,I141*$G$10)</f>
        <v>1186.7667866071881</v>
      </c>
      <c r="K141" s="8">
        <f t="shared" si="2"/>
        <v>7697.7667866071879</v>
      </c>
      <c r="L141">
        <f>IFERROR(VLOOKUP(F141,'LEAID Match'!$A$2:$B$240,2,FALSE),"")</f>
        <v>0</v>
      </c>
    </row>
    <row r="142" spans="1:12" x14ac:dyDescent="0.2">
      <c r="A142">
        <v>0</v>
      </c>
      <c r="B142">
        <v>2023</v>
      </c>
      <c r="C142" s="4" t="s">
        <v>406</v>
      </c>
      <c r="D142" s="4" t="s">
        <v>576</v>
      </c>
      <c r="E142" s="4" t="s">
        <v>578</v>
      </c>
      <c r="F142" s="4" t="s">
        <v>405</v>
      </c>
      <c r="G142" s="8">
        <v>9238</v>
      </c>
      <c r="I142" s="16" cm="1">
        <f t="array" ref="I142">_xlfn.IFS(B142=2015,G142/$H$1957,B142=2016,G142/$H$1958,B142=2017,G142/$H$1959,B142=2018,G142/$H$1960,B142=2019,G142/$H$1961,B142=2020,G142/$H$1962,B142=2021,G142/$H$1963,B142=2022,G142/$H$1964,B142=2023,G142/$H$1965)</f>
        <v>9.3533788384967482E-6</v>
      </c>
      <c r="J142" s="10" cm="1">
        <f t="array" ref="J142">_xlfn.IFS(B142=2015,I142*$G$2,B142=2016,I142*$G$3,B142=2017,I142*$G$4,B142=2018,I142*$G$5,B142=2019,I142*$G$6,B142=2020,I142*$G$7,B142=2021,I142*$G$8,B142=2022,I142*$G$9,B142=2023,I142*$G$10)</f>
        <v>1589.9370855897191</v>
      </c>
      <c r="K142" s="8">
        <f t="shared" si="2"/>
        <v>10827.93708558972</v>
      </c>
      <c r="L142">
        <f>IFERROR(VLOOKUP(F142,'LEAID Match'!$A$2:$B$240,2,FALSE),"")</f>
        <v>0</v>
      </c>
    </row>
    <row r="143" spans="1:12" x14ac:dyDescent="0.2">
      <c r="A143">
        <v>0</v>
      </c>
      <c r="B143">
        <v>2015</v>
      </c>
      <c r="C143" s="4" t="s">
        <v>57</v>
      </c>
      <c r="D143" s="4" t="s">
        <v>576</v>
      </c>
      <c r="E143" s="4" t="s">
        <v>578</v>
      </c>
      <c r="F143" s="4" t="s">
        <v>14</v>
      </c>
      <c r="G143" s="8">
        <v>364947</v>
      </c>
      <c r="I143" s="16" cm="1">
        <f t="array" ref="I143">_xlfn.IFS(B143=2015,G143/$H$1957,B143=2016,G143/$H$1958,B143=2017,G143/$H$1959,B143=2018,G143/$H$1960,B143=2019,G143/$H$1961,B143=2020,G143/$H$1962,B143=2021,G143/$H$1963,B143=2022,G143/$H$1964,B143=2023,G143/$H$1965)</f>
        <v>2.8183341915918159E-4</v>
      </c>
      <c r="J143" s="10" cm="1">
        <f t="array" ref="J143">_xlfn.IFS(B143=2015,I143*$G$2,B143=2016,I143*$G$3,B143=2017,I143*$G$4,B143=2018,I143*$G$5,B143=2019,I143*$G$6,B143=2020,I143*$G$7,B143=2021,I143*$G$8,B143=2022,I143*$G$9,B143=2023,I143*$G$10)</f>
        <v>70075.787060793242</v>
      </c>
      <c r="K143" s="8">
        <f t="shared" si="2"/>
        <v>435022.78706079326</v>
      </c>
      <c r="L143">
        <f>IFERROR(VLOOKUP(F143,'LEAID Match'!$A$2:$B$240,2,FALSE),"")</f>
        <v>0</v>
      </c>
    </row>
    <row r="144" spans="1:12" x14ac:dyDescent="0.2">
      <c r="A144">
        <v>0</v>
      </c>
      <c r="B144">
        <v>2016</v>
      </c>
      <c r="C144" s="4" t="s">
        <v>57</v>
      </c>
      <c r="D144" s="4" t="s">
        <v>576</v>
      </c>
      <c r="E144" s="4" t="s">
        <v>578</v>
      </c>
      <c r="F144" s="4" t="s">
        <v>14</v>
      </c>
      <c r="G144" s="8">
        <v>503219</v>
      </c>
      <c r="I144" s="16" cm="1">
        <f t="array" ref="I144">_xlfn.IFS(B144=2015,G144/$H$1957,B144=2016,G144/$H$1958,B144=2017,G144/$H$1959,B144=2018,G144/$H$1960,B144=2019,G144/$H$1961,B144=2020,G144/$H$1962,B144=2021,G144/$H$1963,B144=2022,G144/$H$1964,B144=2023,G144/$H$1965)</f>
        <v>3.5325952287060275E-4</v>
      </c>
      <c r="J144" s="10" cm="1">
        <f t="array" ref="J144">_xlfn.IFS(B144=2015,I144*$G$2,B144=2016,I144*$G$3,B144=2017,I144*$G$4,B144=2018,I144*$G$5,B144=2019,I144*$G$6,B144=2020,I144*$G$7,B144=2021,I144*$G$8,B144=2022,I144*$G$9,B144=2023,I144*$G$10)</f>
        <v>95805.070641837912</v>
      </c>
      <c r="K144" s="8">
        <f t="shared" si="2"/>
        <v>599024.0706418379</v>
      </c>
      <c r="L144">
        <f>IFERROR(VLOOKUP(F144,'LEAID Match'!$A$2:$B$240,2,FALSE),"")</f>
        <v>0</v>
      </c>
    </row>
    <row r="145" spans="1:12" x14ac:dyDescent="0.2">
      <c r="A145">
        <v>0</v>
      </c>
      <c r="B145">
        <v>2017</v>
      </c>
      <c r="C145" s="4" t="s">
        <v>57</v>
      </c>
      <c r="D145" s="4" t="s">
        <v>576</v>
      </c>
      <c r="E145" s="4" t="s">
        <v>578</v>
      </c>
      <c r="F145" s="4" t="s">
        <v>14</v>
      </c>
      <c r="G145" s="8">
        <v>287156</v>
      </c>
      <c r="I145" s="16" cm="1">
        <f t="array" ref="I145">_xlfn.IFS(B145=2015,G145/$H$1957,B145=2016,G145/$H$1958,B145=2017,G145/$H$1959,B145=2018,G145/$H$1960,B145=2019,G145/$H$1961,B145=2020,G145/$H$1962,B145=2021,G145/$H$1963,B145=2022,G145/$H$1964,B145=2023,G145/$H$1965)</f>
        <v>3.8312721288700352E-4</v>
      </c>
      <c r="J145" s="10" cm="1">
        <f t="array" ref="J145">_xlfn.IFS(B145=2015,I145*$G$2,B145=2016,I145*$G$3,B145=2017,I145*$G$4,B145=2018,I145*$G$5,B145=2019,I145*$G$6,B145=2020,I145*$G$7,B145=2021,I145*$G$8,B145=2022,I145*$G$9,B145=2023,I145*$G$10)</f>
        <v>56736.001343258766</v>
      </c>
      <c r="K145" s="8">
        <f t="shared" si="2"/>
        <v>343892.00134325877</v>
      </c>
      <c r="L145">
        <f>IFERROR(VLOOKUP(F145,'LEAID Match'!$A$2:$B$240,2,FALSE),"")</f>
        <v>0</v>
      </c>
    </row>
    <row r="146" spans="1:12" x14ac:dyDescent="0.2">
      <c r="A146">
        <v>0</v>
      </c>
      <c r="B146">
        <v>2018</v>
      </c>
      <c r="C146" s="4" t="s">
        <v>57</v>
      </c>
      <c r="D146" s="4" t="s">
        <v>576</v>
      </c>
      <c r="E146" s="4" t="s">
        <v>578</v>
      </c>
      <c r="F146" s="4" t="s">
        <v>14</v>
      </c>
      <c r="G146" s="8">
        <v>289748</v>
      </c>
      <c r="I146" s="16" cm="1">
        <f t="array" ref="I146">_xlfn.IFS(B146=2015,G146/$H$1957,B146=2016,G146/$H$1958,B146=2017,G146/$H$1959,B146=2018,G146/$H$1960,B146=2019,G146/$H$1961,B146=2020,G146/$H$1962,B146=2021,G146/$H$1963,B146=2022,G146/$H$1964,B146=2023,G146/$H$1965)</f>
        <v>3.7282177870868593E-4</v>
      </c>
      <c r="J146" s="10" cm="1">
        <f t="array" ref="J146">_xlfn.IFS(B146=2015,I146*$G$2,B146=2016,I146*$G$3,B146=2017,I146*$G$4,B146=2018,I146*$G$5,B146=2019,I146*$G$6,B146=2020,I146*$G$7,B146=2021,I146*$G$8,B146=2022,I146*$G$9,B146=2023,I146*$G$10)</f>
        <v>56118.597083891058</v>
      </c>
      <c r="K146" s="8">
        <f t="shared" si="2"/>
        <v>345866.59708389104</v>
      </c>
      <c r="L146">
        <f>IFERROR(VLOOKUP(F146,'LEAID Match'!$A$2:$B$240,2,FALSE),"")</f>
        <v>0</v>
      </c>
    </row>
    <row r="147" spans="1:12" x14ac:dyDescent="0.2">
      <c r="A147">
        <v>0</v>
      </c>
      <c r="B147">
        <v>2019</v>
      </c>
      <c r="C147" s="4" t="s">
        <v>57</v>
      </c>
      <c r="D147" s="4" t="s">
        <v>576</v>
      </c>
      <c r="E147" s="4" t="s">
        <v>578</v>
      </c>
      <c r="F147" s="4" t="s">
        <v>14</v>
      </c>
      <c r="G147" s="8">
        <v>313558</v>
      </c>
      <c r="I147" s="16" cm="1">
        <f t="array" ref="I147">_xlfn.IFS(B147=2015,G147/$H$1957,B147=2016,G147/$H$1958,B147=2017,G147/$H$1959,B147=2018,G147/$H$1960,B147=2019,G147/$H$1961,B147=2020,G147/$H$1962,B147=2021,G147/$H$1963,B147=2022,G147/$H$1964,B147=2023,G147/$H$1965)</f>
        <v>3.8968883235257788E-4</v>
      </c>
      <c r="J147" s="10" cm="1">
        <f t="array" ref="J147">_xlfn.IFS(B147=2015,I147*$G$2,B147=2016,I147*$G$3,B147=2017,I147*$G$4,B147=2018,I147*$G$5,B147=2019,I147*$G$6,B147=2020,I147*$G$7,B147=2021,I147*$G$8,B147=2022,I147*$G$9,B147=2023,I147*$G$10)</f>
        <v>61581.794341050721</v>
      </c>
      <c r="K147" s="8">
        <f t="shared" si="2"/>
        <v>375139.79434105073</v>
      </c>
      <c r="L147">
        <f>IFERROR(VLOOKUP(F147,'LEAID Match'!$A$2:$B$240,2,FALSE),"")</f>
        <v>0</v>
      </c>
    </row>
    <row r="148" spans="1:12" x14ac:dyDescent="0.2">
      <c r="A148">
        <v>0</v>
      </c>
      <c r="B148">
        <v>2020</v>
      </c>
      <c r="C148" s="4" t="s">
        <v>57</v>
      </c>
      <c r="D148" s="4" t="s">
        <v>576</v>
      </c>
      <c r="E148" s="4" t="s">
        <v>578</v>
      </c>
      <c r="F148" s="4" t="s">
        <v>14</v>
      </c>
      <c r="G148" s="8">
        <v>370412</v>
      </c>
      <c r="I148" s="16" cm="1">
        <f t="array" ref="I148">_xlfn.IFS(B148=2015,G148/$H$1957,B148=2016,G148/$H$1958,B148=2017,G148/$H$1959,B148=2018,G148/$H$1960,B148=2019,G148/$H$1961,B148=2020,G148/$H$1962,B148=2021,G148/$H$1963,B148=2022,G148/$H$1964,B148=2023,G148/$H$1965)</f>
        <v>4.2603431653443158E-4</v>
      </c>
      <c r="J148" s="10" cm="1">
        <f t="array" ref="J148">_xlfn.IFS(B148=2015,I148*$G$2,B148=2016,I148*$G$3,B148=2017,I148*$G$4,B148=2018,I148*$G$5,B148=2019,I148*$G$6,B148=2020,I148*$G$7,B148=2021,I148*$G$8,B148=2022,I148*$G$9,B148=2023,I148*$G$10)</f>
        <v>73569.264756794233</v>
      </c>
      <c r="K148" s="8">
        <f t="shared" si="2"/>
        <v>443981.2647567942</v>
      </c>
      <c r="L148">
        <f>IFERROR(VLOOKUP(F148,'LEAID Match'!$A$2:$B$240,2,FALSE),"")</f>
        <v>0</v>
      </c>
    </row>
    <row r="149" spans="1:12" x14ac:dyDescent="0.2">
      <c r="A149">
        <v>0</v>
      </c>
      <c r="B149">
        <v>2021</v>
      </c>
      <c r="C149" s="4" t="s">
        <v>57</v>
      </c>
      <c r="D149" s="4" t="s">
        <v>576</v>
      </c>
      <c r="E149" s="4" t="s">
        <v>578</v>
      </c>
      <c r="F149" s="4" t="s">
        <v>14</v>
      </c>
      <c r="G149" s="8">
        <v>392610</v>
      </c>
      <c r="I149" s="16" cm="1">
        <f t="array" ref="I149">_xlfn.IFS(B149=2015,G149/$H$1957,B149=2016,G149/$H$1958,B149=2017,G149/$H$1959,B149=2018,G149/$H$1960,B149=2019,G149/$H$1961,B149=2020,G149/$H$1962,B149=2021,G149/$H$1963,B149=2022,G149/$H$1964,B149=2023,G149/$H$1965)</f>
        <v>4.4867270224493739E-4</v>
      </c>
      <c r="J149" s="10" cm="1">
        <f t="array" ref="J149">_xlfn.IFS(B149=2015,I149*$G$2,B149=2016,I149*$G$3,B149=2017,I149*$G$4,B149=2018,I149*$G$5,B149=2019,I149*$G$6,B149=2020,I149*$G$7,B149=2021,I149*$G$8,B149=2022,I149*$G$9,B149=2023,I149*$G$10)</f>
        <v>76999.789558846256</v>
      </c>
      <c r="K149" s="8">
        <f t="shared" si="2"/>
        <v>469609.78955884627</v>
      </c>
      <c r="L149">
        <f>IFERROR(VLOOKUP(F149,'LEAID Match'!$A$2:$B$240,2,FALSE),"")</f>
        <v>0</v>
      </c>
    </row>
    <row r="150" spans="1:12" x14ac:dyDescent="0.2">
      <c r="A150">
        <v>0</v>
      </c>
      <c r="B150">
        <v>2022</v>
      </c>
      <c r="C150" s="4" t="s">
        <v>57</v>
      </c>
      <c r="D150" s="4" t="s">
        <v>576</v>
      </c>
      <c r="E150" s="4" t="s">
        <v>578</v>
      </c>
      <c r="F150" s="4" t="s">
        <v>14</v>
      </c>
      <c r="G150" s="8">
        <v>473361</v>
      </c>
      <c r="I150" s="16" cm="1">
        <f t="array" ref="I150">_xlfn.IFS(B150=2015,G150/$H$1957,B150=2016,G150/$H$1958,B150=2017,G150/$H$1959,B150=2018,G150/$H$1960,B150=2019,G150/$H$1961,B150=2020,G150/$H$1962,B150=2021,G150/$H$1963,B150=2022,G150/$H$1964,B150=2023,G150/$H$1965)</f>
        <v>5.0876949528419685E-4</v>
      </c>
      <c r="J150" s="10" cm="1">
        <f t="array" ref="J150">_xlfn.IFS(B150=2015,I150*$G$2,B150=2016,I150*$G$3,B150=2017,I150*$G$4,B150=2018,I150*$G$5,B150=2019,I150*$G$6,B150=2020,I150*$G$7,B150=2021,I150*$G$8,B150=2022,I150*$G$9,B150=2023,I150*$G$10)</f>
        <v>86280.005049172963</v>
      </c>
      <c r="K150" s="8">
        <f t="shared" si="2"/>
        <v>559641.00504917302</v>
      </c>
      <c r="L150">
        <f>IFERROR(VLOOKUP(F150,'LEAID Match'!$A$2:$B$240,2,FALSE),"")</f>
        <v>0</v>
      </c>
    </row>
    <row r="151" spans="1:12" x14ac:dyDescent="0.2">
      <c r="A151">
        <v>0</v>
      </c>
      <c r="B151">
        <v>2023</v>
      </c>
      <c r="C151" s="4" t="s">
        <v>57</v>
      </c>
      <c r="D151" s="4" t="s">
        <v>576</v>
      </c>
      <c r="E151" s="4" t="s">
        <v>578</v>
      </c>
      <c r="F151" s="4" t="s">
        <v>14</v>
      </c>
      <c r="G151" s="8">
        <v>482143</v>
      </c>
      <c r="I151" s="16" cm="1">
        <f t="array" ref="I151">_xlfn.IFS(B151=2015,G151/$H$1957,B151=2016,G151/$H$1958,B151=2017,G151/$H$1959,B151=2018,G151/$H$1960,B151=2019,G151/$H$1961,B151=2020,G151/$H$1962,B151=2021,G151/$H$1963,B151=2022,G151/$H$1964,B151=2023,G151/$H$1965)</f>
        <v>4.8816476870852318E-4</v>
      </c>
      <c r="J151" s="10" cm="1">
        <f t="array" ref="J151">_xlfn.IFS(B151=2015,I151*$G$2,B151=2016,I151*$G$3,B151=2017,I151*$G$4,B151=2018,I151*$G$5,B151=2019,I151*$G$6,B151=2020,I151*$G$7,B151=2021,I151*$G$8,B151=2022,I151*$G$9,B151=2023,I151*$G$10)</f>
        <v>82980.843933479526</v>
      </c>
      <c r="K151" s="8">
        <f t="shared" si="2"/>
        <v>565123.84393347951</v>
      </c>
      <c r="L151">
        <f>IFERROR(VLOOKUP(F151,'LEAID Match'!$A$2:$B$240,2,FALSE),"")</f>
        <v>0</v>
      </c>
    </row>
    <row r="152" spans="1:12" x14ac:dyDescent="0.2">
      <c r="A152">
        <v>0</v>
      </c>
      <c r="B152">
        <v>2015</v>
      </c>
      <c r="C152" s="4" t="s">
        <v>58</v>
      </c>
      <c r="D152" s="4" t="s">
        <v>576</v>
      </c>
      <c r="E152" s="4" t="s">
        <v>578</v>
      </c>
      <c r="F152" s="4" t="s">
        <v>15</v>
      </c>
      <c r="G152" s="8">
        <v>17882</v>
      </c>
      <c r="I152" s="16" cm="1">
        <f t="array" ref="I152">_xlfn.IFS(B152=2015,G152/$H$1957,B152=2016,G152/$H$1958,B152=2017,G152/$H$1959,B152=2018,G152/$H$1960,B152=2019,G152/$H$1961,B152=2020,G152/$H$1962,B152=2021,G152/$H$1963,B152=2022,G152/$H$1964,B152=2023,G152/$H$1965)</f>
        <v>1.3809526318628418E-5</v>
      </c>
      <c r="J152" s="10" cm="1">
        <f t="array" ref="J152">_xlfn.IFS(B152=2015,I152*$G$2,B152=2016,I152*$G$3,B152=2017,I152*$G$4,B152=2018,I152*$G$5,B152=2019,I152*$G$6,B152=2020,I152*$G$7,B152=2021,I152*$G$8,B152=2022,I152*$G$9,B152=2023,I152*$G$10)</f>
        <v>3433.63618339404</v>
      </c>
      <c r="K152" s="8">
        <f t="shared" si="2"/>
        <v>21315.636183394039</v>
      </c>
      <c r="L152">
        <f>IFERROR(VLOOKUP(F152,'LEAID Match'!$A$2:$B$240,2,FALSE),"")</f>
        <v>0</v>
      </c>
    </row>
    <row r="153" spans="1:12" x14ac:dyDescent="0.2">
      <c r="A153">
        <v>0</v>
      </c>
      <c r="B153">
        <v>2016</v>
      </c>
      <c r="C153" s="4" t="s">
        <v>58</v>
      </c>
      <c r="D153" s="4" t="s">
        <v>576</v>
      </c>
      <c r="E153" s="4" t="s">
        <v>578</v>
      </c>
      <c r="F153" s="4" t="s">
        <v>15</v>
      </c>
      <c r="G153" s="8">
        <v>12594</v>
      </c>
      <c r="I153" s="16" cm="1">
        <f t="array" ref="I153">_xlfn.IFS(B153=2015,G153/$H$1957,B153=2016,G153/$H$1958,B153=2017,G153/$H$1959,B153=2018,G153/$H$1960,B153=2019,G153/$H$1961,B153=2020,G153/$H$1962,B153=2021,G153/$H$1963,B153=2022,G153/$H$1964,B153=2023,G153/$H$1965)</f>
        <v>8.8409826159830434E-6</v>
      </c>
      <c r="J153" s="10" cm="1">
        <f t="array" ref="J153">_xlfn.IFS(B153=2015,I153*$G$2,B153=2016,I153*$G$3,B153=2017,I153*$G$4,B153=2018,I153*$G$5,B153=2019,I153*$G$6,B153=2020,I153*$G$7,B153=2021,I153*$G$8,B153=2022,I153*$G$9,B153=2023,I153*$G$10)</f>
        <v>2397.7017156810584</v>
      </c>
      <c r="K153" s="8">
        <f t="shared" si="2"/>
        <v>14991.701715681058</v>
      </c>
      <c r="L153">
        <f>IFERROR(VLOOKUP(F153,'LEAID Match'!$A$2:$B$240,2,FALSE),"")</f>
        <v>0</v>
      </c>
    </row>
    <row r="154" spans="1:12" x14ac:dyDescent="0.2">
      <c r="A154">
        <v>0</v>
      </c>
      <c r="B154">
        <v>2017</v>
      </c>
      <c r="C154" s="4" t="s">
        <v>58</v>
      </c>
      <c r="D154" s="4" t="s">
        <v>576</v>
      </c>
      <c r="E154" s="4" t="s">
        <v>578</v>
      </c>
      <c r="F154" s="4" t="s">
        <v>15</v>
      </c>
      <c r="G154" s="8">
        <v>13888</v>
      </c>
      <c r="I154" s="16" cm="1">
        <f t="array" ref="I154">_xlfn.IFS(B154=2015,G154/$H$1957,B154=2016,G154/$H$1958,B154=2017,G154/$H$1959,B154=2018,G154/$H$1960,B154=2019,G154/$H$1961,B154=2020,G154/$H$1962,B154=2021,G154/$H$1963,B154=2022,G154/$H$1964,B154=2023,G154/$H$1965)</f>
        <v>1.8529547467490512E-5</v>
      </c>
      <c r="J154" s="10" cm="1">
        <f t="array" ref="J154">_xlfn.IFS(B154=2015,I154*$G$2,B154=2016,I154*$G$3,B154=2017,I154*$G$4,B154=2018,I154*$G$5,B154=2019,I154*$G$6,B154=2020,I154*$G$7,B154=2021,I154*$G$8,B154=2022,I154*$G$9,B154=2023,I154*$G$10)</f>
        <v>2743.9774431151636</v>
      </c>
      <c r="K154" s="8">
        <f t="shared" si="2"/>
        <v>16631.977443115164</v>
      </c>
      <c r="L154">
        <f>IFERROR(VLOOKUP(F154,'LEAID Match'!$A$2:$B$240,2,FALSE),"")</f>
        <v>0</v>
      </c>
    </row>
    <row r="155" spans="1:12" x14ac:dyDescent="0.2">
      <c r="A155">
        <v>0</v>
      </c>
      <c r="B155">
        <v>2018</v>
      </c>
      <c r="C155" s="4" t="s">
        <v>58</v>
      </c>
      <c r="D155" s="4" t="s">
        <v>576</v>
      </c>
      <c r="E155" s="4" t="s">
        <v>578</v>
      </c>
      <c r="F155" s="4" t="s">
        <v>15</v>
      </c>
      <c r="G155" s="8">
        <v>20065</v>
      </c>
      <c r="I155" s="16" cm="1">
        <f t="array" ref="I155">_xlfn.IFS(B155=2015,G155/$H$1957,B155=2016,G155/$H$1958,B155=2017,G155/$H$1959,B155=2018,G155/$H$1960,B155=2019,G155/$H$1961,B155=2020,G155/$H$1962,B155=2021,G155/$H$1963,B155=2022,G155/$H$1964,B155=2023,G155/$H$1965)</f>
        <v>2.5817845126764578E-5</v>
      </c>
      <c r="J155" s="10" cm="1">
        <f t="array" ref="J155">_xlfn.IFS(B155=2015,I155*$G$2,B155=2016,I155*$G$3,B155=2017,I155*$G$4,B155=2018,I155*$G$5,B155=2019,I155*$G$6,B155=2020,I155*$G$7,B155=2021,I155*$G$8,B155=2022,I155*$G$9,B155=2023,I155*$G$10)</f>
        <v>3886.2033577048815</v>
      </c>
      <c r="K155" s="8">
        <f t="shared" si="2"/>
        <v>23951.203357704882</v>
      </c>
      <c r="L155">
        <f>IFERROR(VLOOKUP(F155,'LEAID Match'!$A$2:$B$240,2,FALSE),"")</f>
        <v>0</v>
      </c>
    </row>
    <row r="156" spans="1:12" x14ac:dyDescent="0.2">
      <c r="A156">
        <v>0</v>
      </c>
      <c r="B156">
        <v>2019</v>
      </c>
      <c r="C156" s="4" t="s">
        <v>58</v>
      </c>
      <c r="D156" s="4" t="s">
        <v>576</v>
      </c>
      <c r="E156" s="4" t="s">
        <v>578</v>
      </c>
      <c r="F156" s="4" t="s">
        <v>15</v>
      </c>
      <c r="G156" s="8">
        <v>16276</v>
      </c>
      <c r="I156" s="16" cm="1">
        <f t="array" ref="I156">_xlfn.IFS(B156=2015,G156/$H$1957,B156=2016,G156/$H$1958,B156=2017,G156/$H$1959,B156=2018,G156/$H$1960,B156=2019,G156/$H$1961,B156=2020,G156/$H$1962,B156=2021,G156/$H$1963,B156=2022,G156/$H$1964,B156=2023,G156/$H$1965)</f>
        <v>2.0227758294703235E-5</v>
      </c>
      <c r="J156" s="10" cm="1">
        <f t="array" ref="J156">_xlfn.IFS(B156=2015,I156*$G$2,B156=2016,I156*$G$3,B156=2017,I156*$G$4,B156=2018,I156*$G$5,B156=2019,I156*$G$6,B156=2020,I156*$G$7,B156=2021,I156*$G$8,B156=2022,I156*$G$9,B156=2023,I156*$G$10)</f>
        <v>3196.5546555818746</v>
      </c>
      <c r="K156" s="8">
        <f t="shared" si="2"/>
        <v>19472.554655581873</v>
      </c>
      <c r="L156">
        <f>IFERROR(VLOOKUP(F156,'LEAID Match'!$A$2:$B$240,2,FALSE),"")</f>
        <v>0</v>
      </c>
    </row>
    <row r="157" spans="1:12" x14ac:dyDescent="0.2">
      <c r="A157">
        <v>0</v>
      </c>
      <c r="B157">
        <v>2020</v>
      </c>
      <c r="C157" s="4" t="s">
        <v>58</v>
      </c>
      <c r="D157" s="4" t="s">
        <v>576</v>
      </c>
      <c r="E157" s="4" t="s">
        <v>578</v>
      </c>
      <c r="F157" s="4" t="s">
        <v>15</v>
      </c>
      <c r="G157" s="8">
        <v>19824</v>
      </c>
      <c r="I157" s="16" cm="1">
        <f t="array" ref="I157">_xlfn.IFS(B157=2015,G157/$H$1957,B157=2016,G157/$H$1958,B157=2017,G157/$H$1959,B157=2018,G157/$H$1960,B157=2019,G157/$H$1961,B157=2020,G157/$H$1962,B157=2021,G157/$H$1963,B157=2022,G157/$H$1964,B157=2023,G157/$H$1965)</f>
        <v>2.2800838771364242E-5</v>
      </c>
      <c r="J157" s="10" cm="1">
        <f t="array" ref="J157">_xlfn.IFS(B157=2015,I157*$G$2,B157=2016,I157*$G$3,B157=2017,I157*$G$4,B157=2018,I157*$G$5,B157=2019,I157*$G$6,B157=2020,I157*$G$7,B157=2021,I157*$G$8,B157=2022,I157*$G$9,B157=2023,I157*$G$10)</f>
        <v>3937.3376255053531</v>
      </c>
      <c r="K157" s="8">
        <f t="shared" si="2"/>
        <v>23761.337625505352</v>
      </c>
      <c r="L157">
        <f>IFERROR(VLOOKUP(F157,'LEAID Match'!$A$2:$B$240,2,FALSE),"")</f>
        <v>0</v>
      </c>
    </row>
    <row r="158" spans="1:12" x14ac:dyDescent="0.2">
      <c r="A158">
        <v>0</v>
      </c>
      <c r="B158">
        <v>2021</v>
      </c>
      <c r="C158" s="4" t="s">
        <v>58</v>
      </c>
      <c r="D158" s="4" t="s">
        <v>576</v>
      </c>
      <c r="E158" s="4" t="s">
        <v>578</v>
      </c>
      <c r="F158" s="4" t="s">
        <v>15</v>
      </c>
      <c r="G158" s="8">
        <v>20528</v>
      </c>
      <c r="I158" s="16" cm="1">
        <f t="array" ref="I158">_xlfn.IFS(B158=2015,G158/$H$1957,B158=2016,G158/$H$1958,B158=2017,G158/$H$1959,B158=2018,G158/$H$1960,B158=2019,G158/$H$1961,B158=2020,G158/$H$1962,B158=2021,G158/$H$1963,B158=2022,G158/$H$1964,B158=2023,G158/$H$1965)</f>
        <v>2.3459293527123797E-5</v>
      </c>
      <c r="J158" s="10" cm="1">
        <f t="array" ref="J158">_xlfn.IFS(B158=2015,I158*$G$2,B158=2016,I158*$G$3,B158=2017,I158*$G$4,B158=2018,I158*$G$5,B158=2019,I158*$G$6,B158=2020,I158*$G$7,B158=2021,I158*$G$8,B158=2022,I158*$G$9,B158=2023,I158*$G$10)</f>
        <v>4026.0097299202662</v>
      </c>
      <c r="K158" s="8">
        <f t="shared" si="2"/>
        <v>24554.009729920268</v>
      </c>
      <c r="L158">
        <f>IFERROR(VLOOKUP(F158,'LEAID Match'!$A$2:$B$240,2,FALSE),"")</f>
        <v>0</v>
      </c>
    </row>
    <row r="159" spans="1:12" x14ac:dyDescent="0.2">
      <c r="A159">
        <v>0</v>
      </c>
      <c r="B159">
        <v>2022</v>
      </c>
      <c r="C159" s="4" t="s">
        <v>58</v>
      </c>
      <c r="D159" s="4" t="s">
        <v>576</v>
      </c>
      <c r="E159" s="4" t="s">
        <v>578</v>
      </c>
      <c r="F159" s="4" t="s">
        <v>15</v>
      </c>
      <c r="G159" s="8">
        <v>21041</v>
      </c>
      <c r="I159" s="16" cm="1">
        <f t="array" ref="I159">_xlfn.IFS(B159=2015,G159/$H$1957,B159=2016,G159/$H$1958,B159=2017,G159/$H$1959,B159=2018,G159/$H$1960,B159=2019,G159/$H$1961,B159=2020,G159/$H$1962,B159=2021,G159/$H$1963,B159=2022,G159/$H$1964,B159=2023,G159/$H$1965)</f>
        <v>2.2614915361161537E-5</v>
      </c>
      <c r="J159" s="10" cm="1">
        <f t="array" ref="J159">_xlfn.IFS(B159=2015,I159*$G$2,B159=2016,I159*$G$3,B159=2017,I159*$G$4,B159=2018,I159*$G$5,B159=2019,I159*$G$6,B159=2020,I159*$G$7,B159=2021,I159*$G$8,B159=2022,I159*$G$9,B159=2023,I159*$G$10)</f>
        <v>3835.1650986026489</v>
      </c>
      <c r="K159" s="8">
        <f t="shared" si="2"/>
        <v>24876.165098602651</v>
      </c>
      <c r="L159">
        <f>IFERROR(VLOOKUP(F159,'LEAID Match'!$A$2:$B$240,2,FALSE),"")</f>
        <v>0</v>
      </c>
    </row>
    <row r="160" spans="1:12" x14ac:dyDescent="0.2">
      <c r="A160">
        <v>0</v>
      </c>
      <c r="B160">
        <v>2023</v>
      </c>
      <c r="C160" s="4" t="s">
        <v>58</v>
      </c>
      <c r="D160" s="4" t="s">
        <v>576</v>
      </c>
      <c r="E160" s="4" t="s">
        <v>578</v>
      </c>
      <c r="F160" s="4" t="s">
        <v>15</v>
      </c>
      <c r="G160" s="8">
        <v>21570</v>
      </c>
      <c r="I160" s="16" cm="1">
        <f t="array" ref="I160">_xlfn.IFS(B160=2015,G160/$H$1957,B160=2016,G160/$H$1958,B160=2017,G160/$H$1959,B160=2018,G160/$H$1960,B160=2019,G160/$H$1961,B160=2020,G160/$H$1962,B160=2021,G160/$H$1963,B160=2022,G160/$H$1964,B160=2023,G160/$H$1965)</f>
        <v>2.1839400470488726E-5</v>
      </c>
      <c r="J160" s="10" cm="1">
        <f t="array" ref="J160">_xlfn.IFS(B160=2015,I160*$G$2,B160=2016,I160*$G$3,B160=2017,I160*$G$4,B160=2018,I160*$G$5,B160=2019,I160*$G$6,B160=2020,I160*$G$7,B160=2021,I160*$G$8,B160=2022,I160*$G$9,B160=2023,I160*$G$10)</f>
        <v>3712.3774557447764</v>
      </c>
      <c r="K160" s="8">
        <f t="shared" si="2"/>
        <v>25282.377455744776</v>
      </c>
      <c r="L160">
        <f>IFERROR(VLOOKUP(F160,'LEAID Match'!$A$2:$B$240,2,FALSE),"")</f>
        <v>0</v>
      </c>
    </row>
    <row r="161" spans="1:12" x14ac:dyDescent="0.2">
      <c r="A161">
        <v>0</v>
      </c>
      <c r="B161">
        <v>2015</v>
      </c>
      <c r="C161" s="4" t="s">
        <v>59</v>
      </c>
      <c r="D161" s="4" t="s">
        <v>576</v>
      </c>
      <c r="E161" s="4" t="s">
        <v>578</v>
      </c>
      <c r="F161" s="4" t="s">
        <v>16</v>
      </c>
      <c r="G161" s="8">
        <v>60909</v>
      </c>
      <c r="I161" s="16" cm="1">
        <f t="array" ref="I161">_xlfn.IFS(B161=2015,G161/$H$1957,B161=2016,G161/$H$1958,B161=2017,G161/$H$1959,B161=2018,G161/$H$1960,B161=2019,G161/$H$1961,B161=2020,G161/$H$1962,B161=2021,G161/$H$1963,B161=2022,G161/$H$1964,B161=2023,G161/$H$1965)</f>
        <v>4.7037492368937387E-5</v>
      </c>
      <c r="J161" s="10" cm="1">
        <f t="array" ref="J161">_xlfn.IFS(B161=2015,I161*$G$2,B161=2016,I161*$G$3,B161=2017,I161*$G$4,B161=2018,I161*$G$5,B161=2019,I161*$G$6,B161=2020,I161*$G$7,B161=2021,I161*$G$8,B161=2022,I161*$G$9,B161=2023,I161*$G$10)</f>
        <v>11695.523224155442</v>
      </c>
      <c r="K161" s="8">
        <f t="shared" si="2"/>
        <v>72604.523224155448</v>
      </c>
      <c r="L161">
        <f>IFERROR(VLOOKUP(F161,'LEAID Match'!$A$2:$B$240,2,FALSE),"")</f>
        <v>0</v>
      </c>
    </row>
    <row r="162" spans="1:12" x14ac:dyDescent="0.2">
      <c r="A162">
        <v>0</v>
      </c>
      <c r="B162">
        <v>2016</v>
      </c>
      <c r="C162" s="4" t="s">
        <v>59</v>
      </c>
      <c r="D162" s="4" t="s">
        <v>576</v>
      </c>
      <c r="E162" s="4" t="s">
        <v>578</v>
      </c>
      <c r="F162" s="4" t="s">
        <v>16</v>
      </c>
      <c r="G162" s="8">
        <v>70023</v>
      </c>
      <c r="I162" s="16" cm="1">
        <f t="array" ref="I162">_xlfn.IFS(B162=2015,G162/$H$1957,B162=2016,G162/$H$1958,B162=2017,G162/$H$1959,B162=2018,G162/$H$1960,B162=2019,G162/$H$1961,B162=2020,G162/$H$1962,B162=2021,G162/$H$1963,B162=2022,G162/$H$1964,B162=2023,G162/$H$1965)</f>
        <v>4.9156116064711812E-5</v>
      </c>
      <c r="J162" s="10" cm="1">
        <f t="array" ref="J162">_xlfn.IFS(B162=2015,I162*$G$2,B162=2016,I162*$G$3,B162=2017,I162*$G$4,B162=2018,I162*$G$5,B162=2019,I162*$G$6,B162=2020,I162*$G$7,B162=2021,I162*$G$8,B162=2022,I162*$G$9,B162=2023,I162*$G$10)</f>
        <v>13331.290077587322</v>
      </c>
      <c r="K162" s="8">
        <f t="shared" si="2"/>
        <v>83354.290077587328</v>
      </c>
      <c r="L162">
        <f>IFERROR(VLOOKUP(F162,'LEAID Match'!$A$2:$B$240,2,FALSE),"")</f>
        <v>0</v>
      </c>
    </row>
    <row r="163" spans="1:12" x14ac:dyDescent="0.2">
      <c r="A163">
        <v>0</v>
      </c>
      <c r="B163">
        <v>2017</v>
      </c>
      <c r="C163" s="4" t="s">
        <v>59</v>
      </c>
      <c r="D163" s="4" t="s">
        <v>576</v>
      </c>
      <c r="E163" s="4" t="s">
        <v>578</v>
      </c>
      <c r="F163" s="4" t="s">
        <v>16</v>
      </c>
      <c r="G163" s="8">
        <v>36246</v>
      </c>
      <c r="I163" s="16" cm="1">
        <f t="array" ref="I163">_xlfn.IFS(B163=2015,G163/$H$1957,B163=2016,G163/$H$1958,B163=2017,G163/$H$1959,B163=2018,G163/$H$1960,B163=2019,G163/$H$1961,B163=2020,G163/$H$1962,B163=2021,G163/$H$1963,B163=2022,G163/$H$1964,B163=2023,G163/$H$1965)</f>
        <v>4.8359877412634006E-5</v>
      </c>
      <c r="J163" s="10" cm="1">
        <f t="array" ref="J163">_xlfn.IFS(B163=2015,I163*$G$2,B163=2016,I163*$G$3,B163=2017,I163*$G$4,B163=2018,I163*$G$5,B163=2019,I163*$G$6,B163=2020,I163*$G$7,B163=2021,I163*$G$8,B163=2022,I163*$G$9,B163=2023,I163*$G$10)</f>
        <v>7161.449193775361</v>
      </c>
      <c r="K163" s="8">
        <f t="shared" si="2"/>
        <v>43407.449193775363</v>
      </c>
      <c r="L163">
        <f>IFERROR(VLOOKUP(F163,'LEAID Match'!$A$2:$B$240,2,FALSE),"")</f>
        <v>0</v>
      </c>
    </row>
    <row r="164" spans="1:12" x14ac:dyDescent="0.2">
      <c r="A164">
        <v>0</v>
      </c>
      <c r="B164">
        <v>2018</v>
      </c>
      <c r="C164" s="4" t="s">
        <v>59</v>
      </c>
      <c r="D164" s="4" t="s">
        <v>576</v>
      </c>
      <c r="E164" s="4" t="s">
        <v>578</v>
      </c>
      <c r="F164" s="4" t="s">
        <v>16</v>
      </c>
      <c r="G164" s="8">
        <v>32070</v>
      </c>
      <c r="I164" s="16" cm="1">
        <f t="array" ref="I164">_xlfn.IFS(B164=2015,G164/$H$1957,B164=2016,G164/$H$1958,B164=2017,G164/$H$1959,B164=2018,G164/$H$1960,B164=2019,G164/$H$1961,B164=2020,G164/$H$1962,B164=2021,G164/$H$1963,B164=2022,G164/$H$1964,B164=2023,G164/$H$1965)</f>
        <v>4.126480404761226E-5</v>
      </c>
      <c r="J164" s="10" cm="1">
        <f t="array" ref="J164">_xlfn.IFS(B164=2015,I164*$G$2,B164=2016,I164*$G$3,B164=2017,I164*$G$4,B164=2018,I164*$G$5,B164=2019,I164*$G$6,B164=2020,I164*$G$7,B164=2021,I164*$G$8,B164=2022,I164*$G$9,B164=2023,I164*$G$10)</f>
        <v>6211.3402283376799</v>
      </c>
      <c r="K164" s="8">
        <f t="shared" si="2"/>
        <v>38281.340228337678</v>
      </c>
      <c r="L164">
        <f>IFERROR(VLOOKUP(F164,'LEAID Match'!$A$2:$B$240,2,FALSE),"")</f>
        <v>0</v>
      </c>
    </row>
    <row r="165" spans="1:12" x14ac:dyDescent="0.2">
      <c r="A165">
        <v>0</v>
      </c>
      <c r="B165">
        <v>2019</v>
      </c>
      <c r="C165" s="4" t="s">
        <v>59</v>
      </c>
      <c r="D165" s="4" t="s">
        <v>576</v>
      </c>
      <c r="E165" s="4" t="s">
        <v>578</v>
      </c>
      <c r="F165" s="4" t="s">
        <v>16</v>
      </c>
      <c r="G165" s="8">
        <v>29909</v>
      </c>
      <c r="I165" s="16" cm="1">
        <f t="array" ref="I165">_xlfn.IFS(B165=2015,G165/$H$1957,B165=2016,G165/$H$1958,B165=2017,G165/$H$1959,B165=2018,G165/$H$1960,B165=2019,G165/$H$1961,B165=2020,G165/$H$1962,B165=2021,G165/$H$1963,B165=2022,G165/$H$1964,B165=2023,G165/$H$1965)</f>
        <v>3.7170805040321892E-5</v>
      </c>
      <c r="J165" s="10" cm="1">
        <f t="array" ref="J165">_xlfn.IFS(B165=2015,I165*$G$2,B165=2016,I165*$G$3,B165=2017,I165*$G$4,B165=2018,I165*$G$5,B165=2019,I165*$G$6,B165=2020,I165*$G$7,B165=2021,I165*$G$8,B165=2022,I165*$G$9,B165=2023,I165*$G$10)</f>
        <v>5874.0325137502032</v>
      </c>
      <c r="K165" s="8">
        <f t="shared" si="2"/>
        <v>35783.0325137502</v>
      </c>
      <c r="L165">
        <f>IFERROR(VLOOKUP(F165,'LEAID Match'!$A$2:$B$240,2,FALSE),"")</f>
        <v>0</v>
      </c>
    </row>
    <row r="166" spans="1:12" x14ac:dyDescent="0.2">
      <c r="A166">
        <v>0</v>
      </c>
      <c r="B166">
        <v>2020</v>
      </c>
      <c r="C166" s="4" t="s">
        <v>59</v>
      </c>
      <c r="D166" s="4" t="s">
        <v>576</v>
      </c>
      <c r="E166" s="4" t="s">
        <v>578</v>
      </c>
      <c r="F166" s="4" t="s">
        <v>16</v>
      </c>
      <c r="G166" s="8">
        <v>34447</v>
      </c>
      <c r="I166" s="16" cm="1">
        <f t="array" ref="I166">_xlfn.IFS(B166=2015,G166/$H$1957,B166=2016,G166/$H$1958,B166=2017,G166/$H$1959,B166=2018,G166/$H$1960,B166=2019,G166/$H$1961,B166=2020,G166/$H$1962,B166=2021,G166/$H$1963,B166=2022,G166/$H$1964,B166=2023,G166/$H$1965)</f>
        <v>3.9619677822698958E-5</v>
      </c>
      <c r="J166" s="10" cm="1">
        <f t="array" ref="J166">_xlfn.IFS(B166=2015,I166*$G$2,B166=2016,I166*$G$3,B166=2017,I166*$G$4,B166=2018,I166*$G$5,B166=2019,I166*$G$6,B166=2020,I166*$G$7,B166=2021,I166*$G$8,B166=2022,I166*$G$9,B166=2023,I166*$G$10)</f>
        <v>6841.680245449098</v>
      </c>
      <c r="K166" s="8">
        <f t="shared" si="2"/>
        <v>41288.680245449097</v>
      </c>
      <c r="L166">
        <f>IFERROR(VLOOKUP(F166,'LEAID Match'!$A$2:$B$240,2,FALSE),"")</f>
        <v>0</v>
      </c>
    </row>
    <row r="167" spans="1:12" x14ac:dyDescent="0.2">
      <c r="A167">
        <v>0</v>
      </c>
      <c r="B167">
        <v>2021</v>
      </c>
      <c r="C167" s="4" t="s">
        <v>59</v>
      </c>
      <c r="D167" s="4" t="s">
        <v>576</v>
      </c>
      <c r="E167" s="4" t="s">
        <v>578</v>
      </c>
      <c r="F167" s="4" t="s">
        <v>16</v>
      </c>
      <c r="G167" s="8">
        <v>35111</v>
      </c>
      <c r="I167" s="16" cm="1">
        <f t="array" ref="I167">_xlfn.IFS(B167=2015,G167/$H$1957,B167=2016,G167/$H$1958,B167=2017,G167/$H$1959,B167=2018,G167/$H$1960,B167=2019,G167/$H$1961,B167=2020,G167/$H$1962,B167=2021,G167/$H$1963,B167=2022,G167/$H$1964,B167=2023,G167/$H$1965)</f>
        <v>4.0124671425898465E-5</v>
      </c>
      <c r="J167" s="10" cm="1">
        <f t="array" ref="J167">_xlfn.IFS(B167=2015,I167*$G$2,B167=2016,I167*$G$3,B167=2017,I167*$G$4,B167=2018,I167*$G$5,B167=2019,I167*$G$6,B167=2020,I167*$G$7,B167=2021,I167*$G$8,B167=2022,I167*$G$9,B167=2023,I167*$G$10)</f>
        <v>6886.0691556523034</v>
      </c>
      <c r="K167" s="8">
        <f t="shared" si="2"/>
        <v>41997.069155652302</v>
      </c>
      <c r="L167">
        <f>IFERROR(VLOOKUP(F167,'LEAID Match'!$A$2:$B$240,2,FALSE),"")</f>
        <v>0</v>
      </c>
    </row>
    <row r="168" spans="1:12" x14ac:dyDescent="0.2">
      <c r="A168">
        <v>0</v>
      </c>
      <c r="B168">
        <v>2022</v>
      </c>
      <c r="C168" s="4" t="s">
        <v>59</v>
      </c>
      <c r="D168" s="4" t="s">
        <v>576</v>
      </c>
      <c r="E168" s="4" t="s">
        <v>578</v>
      </c>
      <c r="F168" s="4" t="s">
        <v>16</v>
      </c>
      <c r="G168" s="8">
        <v>39121</v>
      </c>
      <c r="I168" s="16" cm="1">
        <f t="array" ref="I168">_xlfn.IFS(B168=2015,G168/$H$1957,B168=2016,G168/$H$1958,B168=2017,G168/$H$1959,B168=2018,G168/$H$1960,B168=2019,G168/$H$1961,B168=2020,G168/$H$1962,B168=2021,G168/$H$1963,B168=2022,G168/$H$1964,B168=2023,G168/$H$1965)</f>
        <v>4.2047341088541444E-5</v>
      </c>
      <c r="J168" s="10" cm="1">
        <f t="array" ref="J168">_xlfn.IFS(B168=2015,I168*$G$2,B168=2016,I168*$G$3,B168=2017,I168*$G$4,B168=2018,I168*$G$5,B168=2019,I168*$G$6,B168=2020,I168*$G$7,B168=2021,I168*$G$8,B168=2022,I168*$G$9,B168=2023,I168*$G$10)</f>
        <v>7130.6256272246674</v>
      </c>
      <c r="K168" s="8">
        <f t="shared" si="2"/>
        <v>46251.625627224668</v>
      </c>
      <c r="L168">
        <f>IFERROR(VLOOKUP(F168,'LEAID Match'!$A$2:$B$240,2,FALSE),"")</f>
        <v>0</v>
      </c>
    </row>
    <row r="169" spans="1:12" x14ac:dyDescent="0.2">
      <c r="A169">
        <v>0</v>
      </c>
      <c r="B169">
        <v>2023</v>
      </c>
      <c r="C169" s="4" t="s">
        <v>59</v>
      </c>
      <c r="D169" s="4" t="s">
        <v>576</v>
      </c>
      <c r="E169" s="4" t="s">
        <v>578</v>
      </c>
      <c r="F169" s="4" t="s">
        <v>16</v>
      </c>
      <c r="G169" s="8">
        <v>41997</v>
      </c>
      <c r="I169" s="16" cm="1">
        <f t="array" ref="I169">_xlfn.IFS(B169=2015,G169/$H$1957,B169=2016,G169/$H$1958,B169=2017,G169/$H$1959,B169=2018,G169/$H$1960,B169=2019,G169/$H$1961,B169=2020,G169/$H$1962,B169=2021,G169/$H$1963,B169=2022,G169/$H$1964,B169=2023,G169/$H$1965)</f>
        <v>4.2521525338855589E-5</v>
      </c>
      <c r="J169" s="10" cm="1">
        <f t="array" ref="J169">_xlfn.IFS(B169=2015,I169*$G$2,B169=2016,I169*$G$3,B169=2017,I169*$G$4,B169=2018,I169*$G$5,B169=2019,I169*$G$6,B169=2020,I169*$G$7,B169=2021,I169*$G$8,B169=2022,I169*$G$9,B169=2023,I169*$G$10)</f>
        <v>7228.03504909195</v>
      </c>
      <c r="K169" s="8">
        <f t="shared" si="2"/>
        <v>49225.035049091952</v>
      </c>
      <c r="L169">
        <f>IFERROR(VLOOKUP(F169,'LEAID Match'!$A$2:$B$240,2,FALSE),"")</f>
        <v>0</v>
      </c>
    </row>
    <row r="170" spans="1:12" x14ac:dyDescent="0.2">
      <c r="A170">
        <v>0</v>
      </c>
      <c r="B170">
        <v>2015</v>
      </c>
      <c r="C170" s="4" t="s">
        <v>60</v>
      </c>
      <c r="D170" s="4" t="s">
        <v>576</v>
      </c>
      <c r="E170" s="4" t="s">
        <v>578</v>
      </c>
      <c r="F170" s="4" t="s">
        <v>17</v>
      </c>
      <c r="G170" s="8">
        <v>23101973</v>
      </c>
      <c r="I170" s="16" cm="1">
        <f t="array" ref="I170">_xlfn.IFS(B170=2015,G170/$H$1957,B170=2016,G170/$H$1958,B170=2017,G170/$H$1959,B170=2018,G170/$H$1960,B170=2019,G170/$H$1961,B170=2020,G170/$H$1962,B170=2021,G170/$H$1963,B170=2022,G170/$H$1964,B170=2023,G170/$H$1965)</f>
        <v>1.7840694785580088E-2</v>
      </c>
      <c r="J170" s="10" cm="1">
        <f t="array" ref="J170">_xlfn.IFS(B170=2015,I170*$G$2,B170=2016,I170*$G$3,B170=2017,I170*$G$4,B170=2018,I170*$G$5,B170=2019,I170*$G$6,B170=2020,I170*$G$7,B170=2021,I170*$G$8,B170=2022,I170*$G$9,B170=2023,I170*$G$10)</f>
        <v>4435956.2912757061</v>
      </c>
      <c r="K170" s="8">
        <f t="shared" si="2"/>
        <v>27537929.291275706</v>
      </c>
      <c r="L170">
        <f>IFERROR(VLOOKUP(F170,'LEAID Match'!$A$2:$B$240,2,FALSE),"")</f>
        <v>0</v>
      </c>
    </row>
    <row r="171" spans="1:12" x14ac:dyDescent="0.2">
      <c r="A171">
        <v>0</v>
      </c>
      <c r="B171">
        <v>2016</v>
      </c>
      <c r="C171" s="4" t="s">
        <v>60</v>
      </c>
      <c r="D171" s="4" t="s">
        <v>576</v>
      </c>
      <c r="E171" s="4" t="s">
        <v>578</v>
      </c>
      <c r="F171" s="4" t="s">
        <v>17</v>
      </c>
      <c r="G171" s="8">
        <v>25918448</v>
      </c>
      <c r="I171" s="16" cm="1">
        <f t="array" ref="I171">_xlfn.IFS(B171=2015,G171/$H$1957,B171=2016,G171/$H$1958,B171=2017,G171/$H$1959,B171=2018,G171/$H$1960,B171=2019,G171/$H$1961,B171=2020,G171/$H$1962,B171=2021,G171/$H$1963,B171=2022,G171/$H$1964,B171=2023,G171/$H$1965)</f>
        <v>1.8194739415694813E-2</v>
      </c>
      <c r="J171" s="10" cm="1">
        <f t="array" ref="J171">_xlfn.IFS(B171=2015,I171*$G$2,B171=2016,I171*$G$3,B171=2017,I171*$G$4,B171=2018,I171*$G$5,B171=2019,I171*$G$6,B171=2020,I171*$G$7,B171=2021,I171*$G$8,B171=2022,I171*$G$9,B171=2023,I171*$G$10)</f>
        <v>4934469.3693338335</v>
      </c>
      <c r="K171" s="8">
        <f t="shared" si="2"/>
        <v>30852917.369333833</v>
      </c>
      <c r="L171">
        <f>IFERROR(VLOOKUP(F171,'LEAID Match'!$A$2:$B$240,2,FALSE),"")</f>
        <v>0</v>
      </c>
    </row>
    <row r="172" spans="1:12" x14ac:dyDescent="0.2">
      <c r="A172">
        <v>0</v>
      </c>
      <c r="B172">
        <v>2017</v>
      </c>
      <c r="C172" s="4" t="s">
        <v>60</v>
      </c>
      <c r="D172" s="4" t="s">
        <v>576</v>
      </c>
      <c r="E172" s="4" t="s">
        <v>578</v>
      </c>
      <c r="F172" s="4" t="s">
        <v>17</v>
      </c>
      <c r="G172" s="8">
        <v>13390309</v>
      </c>
      <c r="I172" s="16" cm="1">
        <f t="array" ref="I172">_xlfn.IFS(B172=2015,G172/$H$1957,B172=2016,G172/$H$1958,B172=2017,G172/$H$1959,B172=2018,G172/$H$1960,B172=2019,G172/$H$1961,B172=2020,G172/$H$1962,B172=2021,G172/$H$1963,B172=2022,G172/$H$1964,B172=2023,G172/$H$1965)</f>
        <v>1.7865521761223028E-2</v>
      </c>
      <c r="J172" s="10" cm="1">
        <f t="array" ref="J172">_xlfn.IFS(B172=2015,I172*$G$2,B172=2016,I172*$G$3,B172=2017,I172*$G$4,B172=2018,I172*$G$5,B172=2019,I172*$G$6,B172=2020,I172*$G$7,B172=2021,I172*$G$8,B172=2022,I172*$G$9,B172=2023,I172*$G$10)</f>
        <v>2645644.142593747</v>
      </c>
      <c r="K172" s="8">
        <f t="shared" si="2"/>
        <v>16035953.142593747</v>
      </c>
      <c r="L172">
        <f>IFERROR(VLOOKUP(F172,'LEAID Match'!$A$2:$B$240,2,FALSE),"")</f>
        <v>0</v>
      </c>
    </row>
    <row r="173" spans="1:12" x14ac:dyDescent="0.2">
      <c r="A173">
        <v>0</v>
      </c>
      <c r="B173">
        <v>2018</v>
      </c>
      <c r="C173" s="4" t="s">
        <v>60</v>
      </c>
      <c r="D173" s="4" t="s">
        <v>576</v>
      </c>
      <c r="E173" s="4" t="s">
        <v>578</v>
      </c>
      <c r="F173" s="4" t="s">
        <v>17</v>
      </c>
      <c r="G173" s="8">
        <v>3456083</v>
      </c>
      <c r="I173" s="16" cm="1">
        <f t="array" ref="I173">_xlfn.IFS(B173=2015,G173/$H$1957,B173=2016,G173/$H$1958,B173=2017,G173/$H$1959,B173=2018,G173/$H$1960,B173=2019,G173/$H$1961,B173=2020,G173/$H$1962,B173=2021,G173/$H$1963,B173=2022,G173/$H$1964,B173=2023,G173/$H$1965)</f>
        <v>4.446978103127032E-3</v>
      </c>
      <c r="J173" s="10" cm="1">
        <f t="array" ref="J173">_xlfn.IFS(B173=2015,I173*$G$2,B173=2016,I173*$G$3,B173=2017,I173*$G$4,B173=2018,I173*$G$5,B173=2019,I173*$G$6,B173=2020,I173*$G$7,B173=2021,I173*$G$8,B173=2022,I173*$G$9,B173=2023,I173*$G$10)</f>
        <v>669376.59402475751</v>
      </c>
      <c r="K173" s="8">
        <f t="shared" si="2"/>
        <v>4125459.5940247574</v>
      </c>
      <c r="L173">
        <f>IFERROR(VLOOKUP(F173,'LEAID Match'!$A$2:$B$240,2,FALSE),"")</f>
        <v>0</v>
      </c>
    </row>
    <row r="174" spans="1:12" x14ac:dyDescent="0.2">
      <c r="A174">
        <v>0</v>
      </c>
      <c r="B174">
        <v>2019</v>
      </c>
      <c r="C174" s="4" t="s">
        <v>60</v>
      </c>
      <c r="D174" s="4" t="s">
        <v>576</v>
      </c>
      <c r="E174" s="4" t="s">
        <v>578</v>
      </c>
      <c r="F174" s="4" t="s">
        <v>17</v>
      </c>
      <c r="G174" s="8">
        <v>4605</v>
      </c>
      <c r="I174" s="16" cm="1">
        <f t="array" ref="I174">_xlfn.IFS(B174=2015,G174/$H$1957,B174=2016,G174/$H$1958,B174=2017,G174/$H$1959,B174=2018,G174/$H$1960,B174=2019,G174/$H$1961,B174=2020,G174/$H$1962,B174=2021,G174/$H$1963,B174=2022,G174/$H$1964,B174=2023,G174/$H$1965)</f>
        <v>5.7230785787115021E-6</v>
      </c>
      <c r="J174" s="10" cm="1">
        <f t="array" ref="J174">_xlfn.IFS(B174=2015,I174*$G$2,B174=2016,I174*$G$3,B174=2017,I174*$G$4,B174=2018,I174*$G$5,B174=2019,I174*$G$6,B174=2020,I174*$G$7,B174=2021,I174*$G$8,B174=2022,I174*$G$9,B174=2023,I174*$G$10)</f>
        <v>904.40735985220783</v>
      </c>
      <c r="K174" s="8">
        <f t="shared" si="2"/>
        <v>5509.4073598522082</v>
      </c>
      <c r="L174">
        <f>IFERROR(VLOOKUP(F174,'LEAID Match'!$A$2:$B$240,2,FALSE),"")</f>
        <v>0</v>
      </c>
    </row>
    <row r="175" spans="1:12" x14ac:dyDescent="0.2">
      <c r="A175">
        <v>0</v>
      </c>
      <c r="B175">
        <v>2020</v>
      </c>
      <c r="C175" s="4" t="s">
        <v>60</v>
      </c>
      <c r="D175" s="4" t="s">
        <v>576</v>
      </c>
      <c r="E175" s="4" t="s">
        <v>578</v>
      </c>
      <c r="F175" s="4" t="s">
        <v>17</v>
      </c>
      <c r="G175" s="8">
        <v>776</v>
      </c>
      <c r="I175" s="16" cm="1">
        <f t="array" ref="I175">_xlfn.IFS(B175=2015,G175/$H$1957,B175=2016,G175/$H$1958,B175=2017,G175/$H$1959,B175=2018,G175/$H$1960,B175=2019,G175/$H$1961,B175=2020,G175/$H$1962,B175=2021,G175/$H$1963,B175=2022,G175/$H$1964,B175=2023,G175/$H$1965)</f>
        <v>8.9252677999286987E-7</v>
      </c>
      <c r="J175" s="10" cm="1">
        <f t="array" ref="J175">_xlfn.IFS(B175=2015,I175*$G$2,B175=2016,I175*$G$3,B175=2017,I175*$G$4,B175=2018,I175*$G$5,B175=2019,I175*$G$6,B175=2020,I175*$G$7,B175=2021,I175*$G$8,B175=2022,I175*$G$9,B175=2023,I175*$G$10)</f>
        <v>154.12499986845006</v>
      </c>
      <c r="K175" s="8">
        <f t="shared" si="2"/>
        <v>930.12499986845</v>
      </c>
      <c r="L175">
        <f>IFERROR(VLOOKUP(F175,'LEAID Match'!$A$2:$B$240,2,FALSE),"")</f>
        <v>0</v>
      </c>
    </row>
    <row r="176" spans="1:12" x14ac:dyDescent="0.2">
      <c r="A176">
        <v>0</v>
      </c>
      <c r="B176">
        <v>2021</v>
      </c>
      <c r="C176" s="4" t="s">
        <v>60</v>
      </c>
      <c r="D176" s="4" t="s">
        <v>576</v>
      </c>
      <c r="E176" s="4" t="s">
        <v>578</v>
      </c>
      <c r="F176" s="4" t="s">
        <v>17</v>
      </c>
      <c r="I176" s="16" cm="1">
        <f t="array" ref="I176">_xlfn.IFS(B176=2015,G176/$H$1957,B176=2016,G176/$H$1958,B176=2017,G176/$H$1959,B176=2018,G176/$H$1960,B176=2019,G176/$H$1961,B176=2020,G176/$H$1962,B176=2021,G176/$H$1963,B176=2022,G176/$H$1964,B176=2023,G176/$H$1965)</f>
        <v>0</v>
      </c>
      <c r="J176" s="10" cm="1">
        <f t="array" ref="J176">_xlfn.IFS(B176=2015,I176*$G$2,B176=2016,I176*$G$3,B176=2017,I176*$G$4,B176=2018,I176*$G$5,B176=2019,I176*$G$6,B176=2020,I176*$G$7,B176=2021,I176*$G$8,B176=2022,I176*$G$9,B176=2023,I176*$G$10)</f>
        <v>0</v>
      </c>
      <c r="K176" s="8">
        <f t="shared" si="2"/>
        <v>0</v>
      </c>
      <c r="L176">
        <f>IFERROR(VLOOKUP(F176,'LEAID Match'!$A$2:$B$240,2,FALSE),"")</f>
        <v>0</v>
      </c>
    </row>
    <row r="177" spans="1:12" x14ac:dyDescent="0.2">
      <c r="A177">
        <v>0</v>
      </c>
      <c r="B177">
        <v>2022</v>
      </c>
      <c r="C177" s="4" t="s">
        <v>60</v>
      </c>
      <c r="D177" s="4" t="s">
        <v>576</v>
      </c>
      <c r="E177" s="4" t="s">
        <v>578</v>
      </c>
      <c r="F177" s="4" t="s">
        <v>17</v>
      </c>
      <c r="I177" s="16" cm="1">
        <f t="array" ref="I177">_xlfn.IFS(B177=2015,G177/$H$1957,B177=2016,G177/$H$1958,B177=2017,G177/$H$1959,B177=2018,G177/$H$1960,B177=2019,G177/$H$1961,B177=2020,G177/$H$1962,B177=2021,G177/$H$1963,B177=2022,G177/$H$1964,B177=2023,G177/$H$1965)</f>
        <v>0</v>
      </c>
      <c r="J177" s="10" cm="1">
        <f t="array" ref="J177">_xlfn.IFS(B177=2015,I177*$G$2,B177=2016,I177*$G$3,B177=2017,I177*$G$4,B177=2018,I177*$G$5,B177=2019,I177*$G$6,B177=2020,I177*$G$7,B177=2021,I177*$G$8,B177=2022,I177*$G$9,B177=2023,I177*$G$10)</f>
        <v>0</v>
      </c>
      <c r="K177" s="8">
        <f t="shared" si="2"/>
        <v>0</v>
      </c>
      <c r="L177">
        <f>IFERROR(VLOOKUP(F177,'LEAID Match'!$A$2:$B$240,2,FALSE),"")</f>
        <v>0</v>
      </c>
    </row>
    <row r="178" spans="1:12" x14ac:dyDescent="0.2">
      <c r="A178">
        <v>0</v>
      </c>
      <c r="B178">
        <v>2023</v>
      </c>
      <c r="C178" s="4" t="s">
        <v>60</v>
      </c>
      <c r="D178" s="4" t="s">
        <v>576</v>
      </c>
      <c r="E178" s="4" t="s">
        <v>578</v>
      </c>
      <c r="F178" s="4" t="s">
        <v>17</v>
      </c>
      <c r="I178" s="16" cm="1">
        <f t="array" ref="I178">_xlfn.IFS(B178=2015,G178/$H$1957,B178=2016,G178/$H$1958,B178=2017,G178/$H$1959,B178=2018,G178/$H$1960,B178=2019,G178/$H$1961,B178=2020,G178/$H$1962,B178=2021,G178/$H$1963,B178=2022,G178/$H$1964,B178=2023,G178/$H$1965)</f>
        <v>0</v>
      </c>
      <c r="J178" s="10" cm="1">
        <f t="array" ref="J178">_xlfn.IFS(B178=2015,I178*$G$2,B178=2016,I178*$G$3,B178=2017,I178*$G$4,B178=2018,I178*$G$5,B178=2019,I178*$G$6,B178=2020,I178*$G$7,B178=2021,I178*$G$8,B178=2022,I178*$G$9,B178=2023,I178*$G$10)</f>
        <v>0</v>
      </c>
      <c r="K178" s="8">
        <f t="shared" si="2"/>
        <v>0</v>
      </c>
      <c r="L178">
        <f>IFERROR(VLOOKUP(F178,'LEAID Match'!$A$2:$B$240,2,FALSE),"")</f>
        <v>0</v>
      </c>
    </row>
    <row r="179" spans="1:12" x14ac:dyDescent="0.2">
      <c r="A179">
        <v>0</v>
      </c>
      <c r="B179">
        <v>2015</v>
      </c>
      <c r="C179" s="4" t="s">
        <v>61</v>
      </c>
      <c r="D179" s="4" t="s">
        <v>576</v>
      </c>
      <c r="E179" s="4" t="s">
        <v>578</v>
      </c>
      <c r="F179" s="4" t="s">
        <v>18</v>
      </c>
      <c r="G179" s="8">
        <v>20634985</v>
      </c>
      <c r="I179" s="16" cm="1">
        <f t="array" ref="I179">_xlfn.IFS(B179=2015,G179/$H$1957,B179=2016,G179/$H$1958,B179=2017,G179/$H$1959,B179=2018,G179/$H$1960,B179=2019,G179/$H$1961,B179=2020,G179/$H$1962,B179=2021,G179/$H$1963,B179=2022,G179/$H$1964,B179=2023,G179/$H$1965)</f>
        <v>1.5935542357790104E-2</v>
      </c>
      <c r="J179" s="10" cm="1">
        <f t="array" ref="J179">_xlfn.IFS(B179=2015,I179*$G$2,B179=2016,I179*$G$3,B179=2017,I179*$G$4,B179=2018,I179*$G$5,B179=2019,I179*$G$6,B179=2020,I179*$G$7,B179=2021,I179*$G$8,B179=2022,I179*$G$9,B179=2023,I179*$G$10)</f>
        <v>3962254.2858625026</v>
      </c>
      <c r="K179" s="8">
        <f t="shared" si="2"/>
        <v>24597239.285862502</v>
      </c>
      <c r="L179">
        <f>IFERROR(VLOOKUP(F179,'LEAID Match'!$A$2:$B$240,2,FALSE),"")</f>
        <v>0</v>
      </c>
    </row>
    <row r="180" spans="1:12" x14ac:dyDescent="0.2">
      <c r="A180">
        <v>0</v>
      </c>
      <c r="B180">
        <v>2016</v>
      </c>
      <c r="C180" s="4" t="s">
        <v>61</v>
      </c>
      <c r="D180" s="4" t="s">
        <v>576</v>
      </c>
      <c r="E180" s="4" t="s">
        <v>578</v>
      </c>
      <c r="F180" s="4" t="s">
        <v>18</v>
      </c>
      <c r="G180" s="8">
        <v>23142993</v>
      </c>
      <c r="I180" s="16" cm="1">
        <f t="array" ref="I180">_xlfn.IFS(B180=2015,G180/$H$1957,B180=2016,G180/$H$1958,B180=2017,G180/$H$1959,B180=2018,G180/$H$1960,B180=2019,G180/$H$1961,B180=2020,G180/$H$1962,B180=2021,G180/$H$1963,B180=2022,G180/$H$1964,B180=2023,G180/$H$1965)</f>
        <v>1.6246371192219885E-2</v>
      </c>
      <c r="J180" s="10" cm="1">
        <f t="array" ref="J180">_xlfn.IFS(B180=2015,I180*$G$2,B180=2016,I180*$G$3,B180=2017,I180*$G$4,B180=2018,I180*$G$5,B180=2019,I180*$G$6,B180=2020,I180*$G$7,B180=2021,I180*$G$8,B180=2022,I180*$G$9,B180=2023,I180*$G$10)</f>
        <v>4406065.9061533045</v>
      </c>
      <c r="K180" s="8">
        <f t="shared" si="2"/>
        <v>27549058.906153306</v>
      </c>
      <c r="L180">
        <f>IFERROR(VLOOKUP(F180,'LEAID Match'!$A$2:$B$240,2,FALSE),"")</f>
        <v>0</v>
      </c>
    </row>
    <row r="181" spans="1:12" x14ac:dyDescent="0.2">
      <c r="A181">
        <v>0</v>
      </c>
      <c r="B181">
        <v>2017</v>
      </c>
      <c r="C181" s="4" t="s">
        <v>61</v>
      </c>
      <c r="D181" s="4" t="s">
        <v>576</v>
      </c>
      <c r="E181" s="4" t="s">
        <v>578</v>
      </c>
      <c r="F181" s="4" t="s">
        <v>18</v>
      </c>
      <c r="G181" s="8">
        <v>12473237</v>
      </c>
      <c r="I181" s="16" cm="1">
        <f t="array" ref="I181">_xlfn.IFS(B181=2015,G181/$H$1957,B181=2016,G181/$H$1958,B181=2017,G181/$H$1959,B181=2018,G181/$H$1960,B181=2019,G181/$H$1961,B181=2020,G181/$H$1962,B181=2021,G181/$H$1963,B181=2022,G181/$H$1964,B181=2023,G181/$H$1965)</f>
        <v>1.6641952553626077E-2</v>
      </c>
      <c r="J181" s="10" cm="1">
        <f t="array" ref="J181">_xlfn.IFS(B181=2015,I181*$G$2,B181=2016,I181*$G$3,B181=2017,I181*$G$4,B181=2018,I181*$G$5,B181=2019,I181*$G$6,B181=2020,I181*$G$7,B181=2021,I181*$G$8,B181=2022,I181*$G$9,B181=2023,I181*$G$10)</f>
        <v>2464449.95468242</v>
      </c>
      <c r="K181" s="8">
        <f t="shared" si="2"/>
        <v>14937686.954682421</v>
      </c>
      <c r="L181">
        <f>IFERROR(VLOOKUP(F181,'LEAID Match'!$A$2:$B$240,2,FALSE),"")</f>
        <v>0</v>
      </c>
    </row>
    <row r="182" spans="1:12" x14ac:dyDescent="0.2">
      <c r="A182">
        <v>0</v>
      </c>
      <c r="B182">
        <v>2018</v>
      </c>
      <c r="C182" s="4" t="s">
        <v>61</v>
      </c>
      <c r="D182" s="4" t="s">
        <v>576</v>
      </c>
      <c r="E182" s="4" t="s">
        <v>578</v>
      </c>
      <c r="F182" s="4" t="s">
        <v>18</v>
      </c>
      <c r="G182" s="8">
        <v>3294268</v>
      </c>
      <c r="I182" s="16" cm="1">
        <f t="array" ref="I182">_xlfn.IFS(B182=2015,G182/$H$1957,B182=2016,G182/$H$1958,B182=2017,G182/$H$1959,B182=2018,G182/$H$1960,B182=2019,G182/$H$1961,B182=2020,G182/$H$1962,B182=2021,G182/$H$1963,B182=2022,G182/$H$1964,B182=2023,G182/$H$1965)</f>
        <v>4.2387690520835526E-3</v>
      </c>
      <c r="J182" s="10" cm="1">
        <f t="array" ref="J182">_xlfn.IFS(B182=2015,I182*$G$2,B182=2016,I182*$G$3,B182=2017,I182*$G$4,B182=2018,I182*$G$5,B182=2019,I182*$G$6,B182=2020,I182*$G$7,B182=2021,I182*$G$8,B182=2022,I182*$G$9,B182=2023,I182*$G$10)</f>
        <v>638036.15064937668</v>
      </c>
      <c r="K182" s="8">
        <f t="shared" si="2"/>
        <v>3932304.1506493767</v>
      </c>
      <c r="L182">
        <f>IFERROR(VLOOKUP(F182,'LEAID Match'!$A$2:$B$240,2,FALSE),"")</f>
        <v>0</v>
      </c>
    </row>
    <row r="183" spans="1:12" x14ac:dyDescent="0.2">
      <c r="A183">
        <v>0</v>
      </c>
      <c r="B183">
        <v>2019</v>
      </c>
      <c r="C183" s="4" t="s">
        <v>61</v>
      </c>
      <c r="D183" s="4" t="s">
        <v>576</v>
      </c>
      <c r="E183" s="4" t="s">
        <v>578</v>
      </c>
      <c r="F183" s="4" t="s">
        <v>18</v>
      </c>
      <c r="G183" s="8">
        <v>649648</v>
      </c>
      <c r="I183" s="16" cm="1">
        <f t="array" ref="I183">_xlfn.IFS(B183=2015,G183/$H$1957,B183=2016,G183/$H$1958,B183=2017,G183/$H$1959,B183=2018,G183/$H$1960,B183=2019,G183/$H$1961,B183=2020,G183/$H$1962,B183=2021,G183/$H$1963,B183=2022,G183/$H$1964,B183=2023,G183/$H$1965)</f>
        <v>8.0738035884967861E-4</v>
      </c>
      <c r="J183" s="10" cm="1">
        <f t="array" ref="J183">_xlfn.IFS(B183=2015,I183*$G$2,B183=2016,I183*$G$3,B183=2017,I183*$G$4,B183=2018,I183*$G$5,B183=2019,I183*$G$6,B183=2020,I183*$G$7,B183=2021,I183*$G$8,B183=2022,I183*$G$9,B183=2023,I183*$G$10)</f>
        <v>127588.80184870079</v>
      </c>
      <c r="K183" s="8">
        <f t="shared" si="2"/>
        <v>777236.80184870074</v>
      </c>
      <c r="L183">
        <f>IFERROR(VLOOKUP(F183,'LEAID Match'!$A$2:$B$240,2,FALSE),"")</f>
        <v>0</v>
      </c>
    </row>
    <row r="184" spans="1:12" x14ac:dyDescent="0.2">
      <c r="A184">
        <v>0</v>
      </c>
      <c r="B184">
        <v>2020</v>
      </c>
      <c r="C184" s="4" t="s">
        <v>61</v>
      </c>
      <c r="D184" s="4" t="s">
        <v>576</v>
      </c>
      <c r="E184" s="4" t="s">
        <v>578</v>
      </c>
      <c r="F184" s="4" t="s">
        <v>18</v>
      </c>
      <c r="I184" s="16" cm="1">
        <f t="array" ref="I184">_xlfn.IFS(B184=2015,G184/$H$1957,B184=2016,G184/$H$1958,B184=2017,G184/$H$1959,B184=2018,G184/$H$1960,B184=2019,G184/$H$1961,B184=2020,G184/$H$1962,B184=2021,G184/$H$1963,B184=2022,G184/$H$1964,B184=2023,G184/$H$1965)</f>
        <v>0</v>
      </c>
      <c r="J184" s="10" cm="1">
        <f t="array" ref="J184">_xlfn.IFS(B184=2015,I184*$G$2,B184=2016,I184*$G$3,B184=2017,I184*$G$4,B184=2018,I184*$G$5,B184=2019,I184*$G$6,B184=2020,I184*$G$7,B184=2021,I184*$G$8,B184=2022,I184*$G$9,B184=2023,I184*$G$10)</f>
        <v>0</v>
      </c>
      <c r="K184" s="8">
        <f t="shared" si="2"/>
        <v>0</v>
      </c>
      <c r="L184">
        <f>IFERROR(VLOOKUP(F184,'LEAID Match'!$A$2:$B$240,2,FALSE),"")</f>
        <v>0</v>
      </c>
    </row>
    <row r="185" spans="1:12" x14ac:dyDescent="0.2">
      <c r="A185">
        <v>0</v>
      </c>
      <c r="B185">
        <v>2021</v>
      </c>
      <c r="C185" s="4" t="s">
        <v>61</v>
      </c>
      <c r="D185" s="4" t="s">
        <v>576</v>
      </c>
      <c r="E185" s="4" t="s">
        <v>578</v>
      </c>
      <c r="F185" s="4" t="s">
        <v>18</v>
      </c>
      <c r="I185" s="16" cm="1">
        <f t="array" ref="I185">_xlfn.IFS(B185=2015,G185/$H$1957,B185=2016,G185/$H$1958,B185=2017,G185/$H$1959,B185=2018,G185/$H$1960,B185=2019,G185/$H$1961,B185=2020,G185/$H$1962,B185=2021,G185/$H$1963,B185=2022,G185/$H$1964,B185=2023,G185/$H$1965)</f>
        <v>0</v>
      </c>
      <c r="J185" s="10" cm="1">
        <f t="array" ref="J185">_xlfn.IFS(B185=2015,I185*$G$2,B185=2016,I185*$G$3,B185=2017,I185*$G$4,B185=2018,I185*$G$5,B185=2019,I185*$G$6,B185=2020,I185*$G$7,B185=2021,I185*$G$8,B185=2022,I185*$G$9,B185=2023,I185*$G$10)</f>
        <v>0</v>
      </c>
      <c r="K185" s="8">
        <f t="shared" si="2"/>
        <v>0</v>
      </c>
      <c r="L185">
        <f>IFERROR(VLOOKUP(F185,'LEAID Match'!$A$2:$B$240,2,FALSE),"")</f>
        <v>0</v>
      </c>
    </row>
    <row r="186" spans="1:12" x14ac:dyDescent="0.2">
      <c r="A186">
        <v>0</v>
      </c>
      <c r="B186">
        <v>2022</v>
      </c>
      <c r="C186" s="4" t="s">
        <v>61</v>
      </c>
      <c r="D186" s="4" t="s">
        <v>576</v>
      </c>
      <c r="E186" s="4" t="s">
        <v>578</v>
      </c>
      <c r="F186" s="4" t="s">
        <v>18</v>
      </c>
      <c r="I186" s="16" cm="1">
        <f t="array" ref="I186">_xlfn.IFS(B186=2015,G186/$H$1957,B186=2016,G186/$H$1958,B186=2017,G186/$H$1959,B186=2018,G186/$H$1960,B186=2019,G186/$H$1961,B186=2020,G186/$H$1962,B186=2021,G186/$H$1963,B186=2022,G186/$H$1964,B186=2023,G186/$H$1965)</f>
        <v>0</v>
      </c>
      <c r="J186" s="10" cm="1">
        <f t="array" ref="J186">_xlfn.IFS(B186=2015,I186*$G$2,B186=2016,I186*$G$3,B186=2017,I186*$G$4,B186=2018,I186*$G$5,B186=2019,I186*$G$6,B186=2020,I186*$G$7,B186=2021,I186*$G$8,B186=2022,I186*$G$9,B186=2023,I186*$G$10)</f>
        <v>0</v>
      </c>
      <c r="K186" s="8">
        <f t="shared" si="2"/>
        <v>0</v>
      </c>
      <c r="L186">
        <f>IFERROR(VLOOKUP(F186,'LEAID Match'!$A$2:$B$240,2,FALSE),"")</f>
        <v>0</v>
      </c>
    </row>
    <row r="187" spans="1:12" x14ac:dyDescent="0.2">
      <c r="A187">
        <v>0</v>
      </c>
      <c r="B187">
        <v>2023</v>
      </c>
      <c r="C187" s="4" t="s">
        <v>61</v>
      </c>
      <c r="D187" s="4" t="s">
        <v>576</v>
      </c>
      <c r="E187" s="4" t="s">
        <v>578</v>
      </c>
      <c r="F187" s="4" t="s">
        <v>18</v>
      </c>
      <c r="I187" s="16" cm="1">
        <f t="array" ref="I187">_xlfn.IFS(B187=2015,G187/$H$1957,B187=2016,G187/$H$1958,B187=2017,G187/$H$1959,B187=2018,G187/$H$1960,B187=2019,G187/$H$1961,B187=2020,G187/$H$1962,B187=2021,G187/$H$1963,B187=2022,G187/$H$1964,B187=2023,G187/$H$1965)</f>
        <v>0</v>
      </c>
      <c r="J187" s="10" cm="1">
        <f t="array" ref="J187">_xlfn.IFS(B187=2015,I187*$G$2,B187=2016,I187*$G$3,B187=2017,I187*$G$4,B187=2018,I187*$G$5,B187=2019,I187*$G$6,B187=2020,I187*$G$7,B187=2021,I187*$G$8,B187=2022,I187*$G$9,B187=2023,I187*$G$10)</f>
        <v>0</v>
      </c>
      <c r="K187" s="8">
        <f t="shared" si="2"/>
        <v>0</v>
      </c>
      <c r="L187">
        <f>IFERROR(VLOOKUP(F187,'LEAID Match'!$A$2:$B$240,2,FALSE),"")</f>
        <v>0</v>
      </c>
    </row>
    <row r="188" spans="1:12" x14ac:dyDescent="0.2">
      <c r="A188">
        <v>0</v>
      </c>
      <c r="B188">
        <v>2018</v>
      </c>
      <c r="C188" s="4" t="s">
        <v>413</v>
      </c>
      <c r="D188" s="4" t="s">
        <v>576</v>
      </c>
      <c r="E188" s="4" t="s">
        <v>578</v>
      </c>
      <c r="F188" s="4" t="s">
        <v>412</v>
      </c>
      <c r="G188" s="8">
        <v>20383578</v>
      </c>
      <c r="I188" s="16" cm="1">
        <f t="array" ref="I188">_xlfn.IFS(B188=2015,G188/$H$1957,B188=2016,G188/$H$1958,B188=2017,G188/$H$1959,B188=2018,G188/$H$1960,B188=2019,G188/$H$1961,B188=2020,G188/$H$1962,B188=2021,G188/$H$1963,B188=2022,G188/$H$1964,B188=2023,G188/$H$1965)</f>
        <v>2.6227762767671352E-2</v>
      </c>
      <c r="J188" s="10" cm="1">
        <f t="array" ref="J188">_xlfn.IFS(B188=2015,I188*$G$2,B188=2016,I188*$G$3,B188=2017,I188*$G$4,B188=2018,I188*$G$5,B188=2019,I188*$G$6,B188=2020,I188*$G$7,B188=2021,I188*$G$8,B188=2022,I188*$G$9,B188=2023,I188*$G$10)</f>
        <v>3947905.769530992</v>
      </c>
      <c r="K188" s="8">
        <f t="shared" si="2"/>
        <v>24331483.769530993</v>
      </c>
      <c r="L188">
        <f>IFERROR(VLOOKUP(F188,'LEAID Match'!$A$2:$B$240,2,FALSE),"")</f>
        <v>0</v>
      </c>
    </row>
    <row r="189" spans="1:12" x14ac:dyDescent="0.2">
      <c r="A189">
        <v>0</v>
      </c>
      <c r="B189">
        <v>2019</v>
      </c>
      <c r="C189" s="4" t="s">
        <v>413</v>
      </c>
      <c r="D189" s="4" t="s">
        <v>576</v>
      </c>
      <c r="E189" s="4" t="s">
        <v>578</v>
      </c>
      <c r="F189" s="4" t="s">
        <v>412</v>
      </c>
      <c r="G189" s="8">
        <v>28575713</v>
      </c>
      <c r="I189" s="16" cm="1">
        <f t="array" ref="I189">_xlfn.IFS(B189=2015,G189/$H$1957,B189=2016,G189/$H$1958,B189=2017,G189/$H$1959,B189=2018,G189/$H$1960,B189=2019,G189/$H$1961,B189=2020,G189/$H$1962,B189=2021,G189/$H$1963,B189=2022,G189/$H$1964,B189=2023,G189/$H$1965)</f>
        <v>3.5513800421652073E-2</v>
      </c>
      <c r="J189" s="10" cm="1">
        <f t="array" ref="J189">_xlfn.IFS(B189=2015,I189*$G$2,B189=2016,I189*$G$3,B189=2017,I189*$G$4,B189=2018,I189*$G$5,B189=2019,I189*$G$6,B189=2020,I189*$G$7,B189=2021,I189*$G$8,B189=2022,I189*$G$9,B189=2023,I189*$G$10)</f>
        <v>5612179.1857164856</v>
      </c>
      <c r="K189" s="8">
        <f t="shared" si="2"/>
        <v>34187892.185716487</v>
      </c>
      <c r="L189">
        <f>IFERROR(VLOOKUP(F189,'LEAID Match'!$A$2:$B$240,2,FALSE),"")</f>
        <v>0</v>
      </c>
    </row>
    <row r="190" spans="1:12" x14ac:dyDescent="0.2">
      <c r="A190">
        <v>0</v>
      </c>
      <c r="B190">
        <v>2020</v>
      </c>
      <c r="C190" s="4" t="s">
        <v>413</v>
      </c>
      <c r="D190" s="4" t="s">
        <v>576</v>
      </c>
      <c r="E190" s="4" t="s">
        <v>578</v>
      </c>
      <c r="F190" s="4" t="s">
        <v>412</v>
      </c>
      <c r="G190" s="8">
        <v>31740945</v>
      </c>
      <c r="I190" s="16" cm="1">
        <f t="array" ref="I190">_xlfn.IFS(B190=2015,G190/$H$1957,B190=2016,G190/$H$1958,B190=2017,G190/$H$1959,B190=2018,G190/$H$1960,B190=2019,G190/$H$1961,B190=2020,G190/$H$1962,B190=2021,G190/$H$1963,B190=2022,G190/$H$1964,B190=2023,G190/$H$1965)</f>
        <v>3.650727246750101E-2</v>
      </c>
      <c r="J190" s="10" cm="1">
        <f t="array" ref="J190">_xlfn.IFS(B190=2015,I190*$G$2,B190=2016,I190*$G$3,B190=2017,I190*$G$4,B190=2018,I190*$G$5,B190=2019,I190*$G$6,B190=2020,I190*$G$7,B190=2021,I190*$G$8,B190=2022,I190*$G$9,B190=2023,I190*$G$10)</f>
        <v>6304217.9690070627</v>
      </c>
      <c r="K190" s="8">
        <f t="shared" si="2"/>
        <v>38045162.96900706</v>
      </c>
      <c r="L190">
        <f>IFERROR(VLOOKUP(F190,'LEAID Match'!$A$2:$B$240,2,FALSE),"")</f>
        <v>0</v>
      </c>
    </row>
    <row r="191" spans="1:12" x14ac:dyDescent="0.2">
      <c r="A191">
        <v>0</v>
      </c>
      <c r="B191">
        <v>2021</v>
      </c>
      <c r="C191" s="4" t="s">
        <v>413</v>
      </c>
      <c r="D191" s="4" t="s">
        <v>576</v>
      </c>
      <c r="E191" s="4" t="s">
        <v>578</v>
      </c>
      <c r="F191" s="4" t="s">
        <v>412</v>
      </c>
      <c r="G191" s="8">
        <v>31330626</v>
      </c>
      <c r="I191" s="16" cm="1">
        <f t="array" ref="I191">_xlfn.IFS(B191=2015,G191/$H$1957,B191=2016,G191/$H$1958,B191=2017,G191/$H$1959,B191=2018,G191/$H$1960,B191=2019,G191/$H$1961,B191=2020,G191/$H$1962,B191=2021,G191/$H$1963,B191=2022,G191/$H$1964,B191=2023,G191/$H$1965)</f>
        <v>3.5804479331768148E-2</v>
      </c>
      <c r="J191" s="10" cm="1">
        <f t="array" ref="J191">_xlfn.IFS(B191=2015,I191*$G$2,B191=2016,I191*$G$3,B191=2017,I191*$G$4,B191=2018,I191*$G$5,B191=2019,I191*$G$6,B191=2020,I191*$G$7,B191=2021,I191*$G$8,B191=2022,I191*$G$9,B191=2023,I191*$G$10)</f>
        <v>6144651.4575454434</v>
      </c>
      <c r="K191" s="8">
        <f t="shared" si="2"/>
        <v>37475277.457545444</v>
      </c>
      <c r="L191">
        <f>IFERROR(VLOOKUP(F191,'LEAID Match'!$A$2:$B$240,2,FALSE),"")</f>
        <v>0</v>
      </c>
    </row>
    <row r="192" spans="1:12" x14ac:dyDescent="0.2">
      <c r="A192">
        <v>0</v>
      </c>
      <c r="B192">
        <v>2022</v>
      </c>
      <c r="C192" s="4" t="s">
        <v>413</v>
      </c>
      <c r="D192" s="4" t="s">
        <v>576</v>
      </c>
      <c r="E192" s="4" t="s">
        <v>578</v>
      </c>
      <c r="F192" s="4" t="s">
        <v>412</v>
      </c>
      <c r="G192" s="8">
        <v>30545880</v>
      </c>
      <c r="I192" s="16" cm="1">
        <f t="array" ref="I192">_xlfn.IFS(B192=2015,G192/$H$1957,B192=2016,G192/$H$1958,B192=2017,G192/$H$1959,B192=2018,G192/$H$1960,B192=2019,G192/$H$1961,B192=2020,G192/$H$1962,B192=2021,G192/$H$1963,B192=2022,G192/$H$1964,B192=2023,G192/$H$1965)</f>
        <v>3.2830782321762127E-2</v>
      </c>
      <c r="J192" s="10" cm="1">
        <f t="array" ref="J192">_xlfn.IFS(B192=2015,I192*$G$2,B192=2016,I192*$G$3,B192=2017,I192*$G$4,B192=2018,I192*$G$5,B192=2019,I192*$G$6,B192=2020,I192*$G$7,B192=2021,I192*$G$8,B192=2022,I192*$G$9,B192=2023,I192*$G$10)</f>
        <v>5567629.5272137569</v>
      </c>
      <c r="K192" s="8">
        <f t="shared" si="2"/>
        <v>36113509.52721376</v>
      </c>
      <c r="L192">
        <f>IFERROR(VLOOKUP(F192,'LEAID Match'!$A$2:$B$240,2,FALSE),"")</f>
        <v>0</v>
      </c>
    </row>
    <row r="193" spans="1:12" x14ac:dyDescent="0.2">
      <c r="A193">
        <v>0</v>
      </c>
      <c r="B193">
        <v>2023</v>
      </c>
      <c r="C193" s="4" t="s">
        <v>413</v>
      </c>
      <c r="D193" s="4" t="s">
        <v>576</v>
      </c>
      <c r="E193" s="4" t="s">
        <v>578</v>
      </c>
      <c r="F193" s="4" t="s">
        <v>412</v>
      </c>
      <c r="G193" s="8">
        <v>32280518</v>
      </c>
      <c r="I193" s="16" cm="1">
        <f t="array" ref="I193">_xlfn.IFS(B193=2015,G193/$H$1957,B193=2016,G193/$H$1958,B193=2017,G193/$H$1959,B193=2018,G193/$H$1960,B193=2019,G193/$H$1961,B193=2020,G193/$H$1962,B193=2021,G193/$H$1963,B193=2022,G193/$H$1964,B193=2023,G193/$H$1965)</f>
        <v>3.2683688456041714E-2</v>
      </c>
      <c r="J193" s="10" cm="1">
        <f t="array" ref="J193">_xlfn.IFS(B193=2015,I193*$G$2,B193=2016,I193*$G$3,B193=2017,I193*$G$4,B193=2018,I193*$G$5,B193=2019,I193*$G$6,B193=2020,I193*$G$7,B193=2021,I193*$G$8,B193=2022,I193*$G$9,B193=2023,I193*$G$10)</f>
        <v>5555747.208296868</v>
      </c>
      <c r="K193" s="8">
        <f t="shared" si="2"/>
        <v>37836265.208296865</v>
      </c>
      <c r="L193">
        <f>IFERROR(VLOOKUP(F193,'LEAID Match'!$A$2:$B$240,2,FALSE),"")</f>
        <v>0</v>
      </c>
    </row>
    <row r="194" spans="1:12" x14ac:dyDescent="0.2">
      <c r="A194">
        <v>0</v>
      </c>
      <c r="B194">
        <v>2022</v>
      </c>
      <c r="C194" s="4" t="s">
        <v>452</v>
      </c>
      <c r="D194" s="4" t="s">
        <v>576</v>
      </c>
      <c r="E194" s="4" t="s">
        <v>578</v>
      </c>
      <c r="F194" s="4" t="s">
        <v>451</v>
      </c>
      <c r="G194" s="8">
        <v>50354</v>
      </c>
      <c r="I194" s="16" cm="1">
        <f t="array" ref="I194">_xlfn.IFS(B194=2015,G194/$H$1957,B194=2016,G194/$H$1958,B194=2017,G194/$H$1959,B194=2018,G194/$H$1960,B194=2019,G194/$H$1961,B194=2020,G194/$H$1962,B194=2021,G194/$H$1963,B194=2022,G194/$H$1964,B194=2023,G194/$H$1965)</f>
        <v>5.4120595413522553E-5</v>
      </c>
      <c r="J194" s="10" cm="1">
        <f t="array" ref="J194">_xlfn.IFS(B194=2015,I194*$G$2,B194=2016,I194*$G$3,B194=2017,I194*$G$4,B194=2018,I194*$G$5,B194=2019,I194*$G$6,B194=2020,I194*$G$7,B194=2021,I194*$G$8,B194=2022,I194*$G$9,B194=2023,I194*$G$10)</f>
        <v>9178.0762974686459</v>
      </c>
      <c r="K194" s="8">
        <f t="shared" si="2"/>
        <v>59532.076297468644</v>
      </c>
      <c r="L194">
        <f>IFERROR(VLOOKUP(F194,'LEAID Match'!$A$2:$B$240,2,FALSE),"")</f>
        <v>0</v>
      </c>
    </row>
    <row r="195" spans="1:12" x14ac:dyDescent="0.2">
      <c r="A195">
        <v>0</v>
      </c>
      <c r="B195">
        <v>2023</v>
      </c>
      <c r="C195" s="4" t="s">
        <v>452</v>
      </c>
      <c r="D195" s="4" t="s">
        <v>576</v>
      </c>
      <c r="E195" s="4" t="s">
        <v>578</v>
      </c>
      <c r="F195" s="4" t="s">
        <v>451</v>
      </c>
      <c r="G195" s="8">
        <v>78841</v>
      </c>
      <c r="I195" s="16" cm="1">
        <f t="array" ref="I195">_xlfn.IFS(B195=2015,G195/$H$1957,B195=2016,G195/$H$1958,B195=2017,G195/$H$1959,B195=2018,G195/$H$1960,B195=2019,G195/$H$1961,B195=2020,G195/$H$1962,B195=2021,G195/$H$1963,B195=2022,G195/$H$1964,B195=2023,G195/$H$1965)</f>
        <v>7.9825691817051538E-5</v>
      </c>
      <c r="J195" s="10" cm="1">
        <f t="array" ref="J195">_xlfn.IFS(B195=2015,I195*$G$2,B195=2016,I195*$G$3,B195=2017,I195*$G$4,B195=2018,I195*$G$5,B195=2019,I195*$G$6,B195=2020,I195*$G$7,B195=2021,I195*$G$8,B195=2022,I195*$G$9,B195=2023,I195*$G$10)</f>
        <v>13569.195687917196</v>
      </c>
      <c r="K195" s="8">
        <f t="shared" si="2"/>
        <v>92410.195687917192</v>
      </c>
      <c r="L195">
        <f>IFERROR(VLOOKUP(F195,'LEAID Match'!$A$2:$B$240,2,FALSE),"")</f>
        <v>0</v>
      </c>
    </row>
    <row r="196" spans="1:12" x14ac:dyDescent="0.2">
      <c r="A196">
        <v>3200030</v>
      </c>
      <c r="B196">
        <v>2015</v>
      </c>
      <c r="C196" s="4" t="s">
        <v>62</v>
      </c>
      <c r="D196" s="4" t="s">
        <v>576</v>
      </c>
      <c r="E196" s="4" t="s">
        <v>578</v>
      </c>
      <c r="F196" s="4" t="s">
        <v>19</v>
      </c>
      <c r="G196" s="8">
        <v>5112214</v>
      </c>
      <c r="I196" s="16" cm="1">
        <f t="array" ref="I196">_xlfn.IFS(B196=2015,G196/$H$1957,B196=2016,G196/$H$1958,B196=2017,G196/$H$1959,B196=2018,G196/$H$1960,B196=2019,G196/$H$1961,B196=2020,G196/$H$1962,B196=2021,G196/$H$1963,B196=2022,G196/$H$1964,B196=2023,G196/$H$1965)</f>
        <v>3.9479506643250563E-3</v>
      </c>
      <c r="J196" s="10" cm="1">
        <f t="array" ref="J196">_xlfn.IFS(B196=2015,I196*$G$2,B196=2016,I196*$G$3,B196=2017,I196*$G$4,B196=2018,I196*$G$5,B196=2019,I196*$G$6,B196=2020,I196*$G$7,B196=2021,I196*$G$8,B196=2022,I196*$G$9,B196=2023,I196*$G$10)</f>
        <v>981628.61915074266</v>
      </c>
      <c r="K196" s="8">
        <f t="shared" si="2"/>
        <v>6093842.6191507429</v>
      </c>
      <c r="L196">
        <f>IFERROR(VLOOKUP(F196,'LEAID Match'!$A$2:$B$240,2,FALSE),"")</f>
        <v>3200030</v>
      </c>
    </row>
    <row r="197" spans="1:12" x14ac:dyDescent="0.2">
      <c r="A197">
        <v>3200030</v>
      </c>
      <c r="B197">
        <v>2016</v>
      </c>
      <c r="C197" s="4" t="s">
        <v>62</v>
      </c>
      <c r="D197" s="4" t="s">
        <v>576</v>
      </c>
      <c r="E197" s="4" t="s">
        <v>578</v>
      </c>
      <c r="F197" s="4" t="s">
        <v>19</v>
      </c>
      <c r="G197" s="8">
        <v>5109301</v>
      </c>
      <c r="I197" s="16" cm="1">
        <f t="array" ref="I197">_xlfn.IFS(B197=2015,G197/$H$1957,B197=2016,G197/$H$1958,B197=2017,G197/$H$1959,B197=2018,G197/$H$1960,B197=2019,G197/$H$1961,B197=2020,G197/$H$1962,B197=2021,G197/$H$1963,B197=2022,G197/$H$1964,B197=2023,G197/$H$1965)</f>
        <v>3.586727117740573E-3</v>
      </c>
      <c r="J197" s="10" cm="1">
        <f t="array" ref="J197">_xlfn.IFS(B197=2015,I197*$G$2,B197=2016,I197*$G$3,B197=2017,I197*$G$4,B197=2018,I197*$G$5,B197=2019,I197*$G$6,B197=2020,I197*$G$7,B197=2021,I197*$G$8,B197=2022,I197*$G$9,B197=2023,I197*$G$10)</f>
        <v>972731.44145076605</v>
      </c>
      <c r="K197" s="8">
        <f t="shared" si="2"/>
        <v>6082032.4414507663</v>
      </c>
      <c r="L197">
        <f>IFERROR(VLOOKUP(F197,'LEAID Match'!$A$2:$B$240,2,FALSE),"")</f>
        <v>3200030</v>
      </c>
    </row>
    <row r="198" spans="1:12" x14ac:dyDescent="0.2">
      <c r="A198">
        <v>3200030</v>
      </c>
      <c r="B198">
        <v>2017</v>
      </c>
      <c r="C198" s="4" t="s">
        <v>62</v>
      </c>
      <c r="D198" s="4" t="s">
        <v>576</v>
      </c>
      <c r="E198" s="4" t="s">
        <v>578</v>
      </c>
      <c r="F198" s="4" t="s">
        <v>19</v>
      </c>
      <c r="G198" s="8">
        <v>2494041</v>
      </c>
      <c r="I198" s="16" cm="1">
        <f t="array" ref="I198">_xlfn.IFS(B198=2015,G198/$H$1957,B198=2016,G198/$H$1958,B198=2017,G198/$H$1959,B198=2018,G198/$H$1960,B198=2019,G198/$H$1961,B198=2020,G198/$H$1962,B198=2021,G198/$H$1963,B198=2022,G198/$H$1964,B198=2023,G198/$H$1965)</f>
        <v>3.3275814440788809E-3</v>
      </c>
      <c r="J198" s="10" cm="1">
        <f t="array" ref="J198">_xlfn.IFS(B198=2015,I198*$G$2,B198=2016,I198*$G$3,B198=2017,I198*$G$4,B198=2018,I198*$G$5,B198=2019,I198*$G$6,B198=2020,I198*$G$7,B198=2021,I198*$G$8,B198=2022,I198*$G$9,B198=2023,I198*$G$10)</f>
        <v>492770.17901817284</v>
      </c>
      <c r="K198" s="8">
        <f t="shared" si="2"/>
        <v>2986811.1790181729</v>
      </c>
      <c r="L198">
        <f>IFERROR(VLOOKUP(F198,'LEAID Match'!$A$2:$B$240,2,FALSE),"")</f>
        <v>3200030</v>
      </c>
    </row>
    <row r="199" spans="1:12" x14ac:dyDescent="0.2">
      <c r="A199">
        <v>3200030</v>
      </c>
      <c r="B199">
        <v>2018</v>
      </c>
      <c r="C199" s="4" t="s">
        <v>62</v>
      </c>
      <c r="D199" s="4" t="s">
        <v>576</v>
      </c>
      <c r="E199" s="4" t="s">
        <v>578</v>
      </c>
      <c r="F199" s="4" t="s">
        <v>19</v>
      </c>
      <c r="G199" s="8">
        <v>2635652</v>
      </c>
      <c r="I199" s="16" cm="1">
        <f t="array" ref="I199">_xlfn.IFS(B199=2015,G199/$H$1957,B199=2016,G199/$H$1958,B199=2017,G199/$H$1959,B199=2018,G199/$H$1960,B199=2019,G199/$H$1961,B199=2020,G199/$H$1962,B199=2021,G199/$H$1963,B199=2022,G199/$H$1964,B199=2023,G199/$H$1965)</f>
        <v>3.3913209640691407E-3</v>
      </c>
      <c r="J199" s="10" cm="1">
        <f t="array" ref="J199">_xlfn.IFS(B199=2015,I199*$G$2,B199=2016,I199*$G$3,B199=2017,I199*$G$4,B199=2018,I199*$G$5,B199=2019,I199*$G$6,B199=2020,I199*$G$7,B199=2021,I199*$G$8,B199=2022,I199*$G$9,B199=2023,I199*$G$10)</f>
        <v>510474.93905515008</v>
      </c>
      <c r="K199" s="8">
        <f t="shared" si="2"/>
        <v>3146126.9390551499</v>
      </c>
      <c r="L199">
        <f>IFERROR(VLOOKUP(F199,'LEAID Match'!$A$2:$B$240,2,FALSE),"")</f>
        <v>3200030</v>
      </c>
    </row>
    <row r="200" spans="1:12" x14ac:dyDescent="0.2">
      <c r="A200">
        <v>3200030</v>
      </c>
      <c r="B200">
        <v>2019</v>
      </c>
      <c r="C200" s="4" t="s">
        <v>62</v>
      </c>
      <c r="D200" s="4" t="s">
        <v>576</v>
      </c>
      <c r="E200" s="4" t="s">
        <v>578</v>
      </c>
      <c r="F200" s="4" t="s">
        <v>19</v>
      </c>
      <c r="G200" s="8">
        <v>2754183</v>
      </c>
      <c r="I200" s="16" cm="1">
        <f t="array" ref="I200">_xlfn.IFS(B200=2015,G200/$H$1957,B200=2016,G200/$H$1958,B200=2017,G200/$H$1959,B200=2018,G200/$H$1960,B200=2019,G200/$H$1961,B200=2020,G200/$H$1962,B200=2021,G200/$H$1963,B200=2022,G200/$H$1964,B200=2023,G200/$H$1965)</f>
        <v>3.422889409153394E-3</v>
      </c>
      <c r="J200" s="10" cm="1">
        <f t="array" ref="J200">_xlfn.IFS(B200=2015,I200*$G$2,B200=2016,I200*$G$3,B200=2017,I200*$G$4,B200=2018,I200*$G$5,B200=2019,I200*$G$6,B200=2020,I200*$G$7,B200=2021,I200*$G$8,B200=2022,I200*$G$9,B200=2023,I200*$G$10)</f>
        <v>540912.78514220042</v>
      </c>
      <c r="K200" s="8">
        <f t="shared" si="2"/>
        <v>3295095.7851422005</v>
      </c>
      <c r="L200">
        <f>IFERROR(VLOOKUP(F200,'LEAID Match'!$A$2:$B$240,2,FALSE),"")</f>
        <v>3200030</v>
      </c>
    </row>
    <row r="201" spans="1:12" x14ac:dyDescent="0.2">
      <c r="A201">
        <v>3200030</v>
      </c>
      <c r="B201">
        <v>2020</v>
      </c>
      <c r="C201" s="4" t="s">
        <v>62</v>
      </c>
      <c r="D201" s="4" t="s">
        <v>576</v>
      </c>
      <c r="E201" s="4" t="s">
        <v>578</v>
      </c>
      <c r="F201" s="4" t="s">
        <v>19</v>
      </c>
      <c r="G201" s="8">
        <v>2731024</v>
      </c>
      <c r="I201" s="16" cm="1">
        <f t="array" ref="I201">_xlfn.IFS(B201=2015,G201/$H$1957,B201=2016,G201/$H$1958,B201=2017,G201/$H$1959,B201=2018,G201/$H$1960,B201=2019,G201/$H$1961,B201=2020,G201/$H$1962,B201=2021,G201/$H$1963,B201=2022,G201/$H$1964,B201=2023,G201/$H$1965)</f>
        <v>3.1411237845402674E-3</v>
      </c>
      <c r="J201" s="10" cm="1">
        <f t="array" ref="J201">_xlfn.IFS(B201=2015,I201*$G$2,B201=2016,I201*$G$3,B201=2017,I201*$G$4,B201=2018,I201*$G$5,B201=2019,I201*$G$6,B201=2020,I201*$G$7,B201=2021,I201*$G$8,B201=2022,I201*$G$9,B201=2023,I201*$G$10)</f>
        <v>542421.48665043036</v>
      </c>
      <c r="K201" s="8">
        <f t="shared" si="2"/>
        <v>3273445.4866504306</v>
      </c>
      <c r="L201">
        <f>IFERROR(VLOOKUP(F201,'LEAID Match'!$A$2:$B$240,2,FALSE),"")</f>
        <v>3200030</v>
      </c>
    </row>
    <row r="202" spans="1:12" x14ac:dyDescent="0.2">
      <c r="A202">
        <v>3200030</v>
      </c>
      <c r="B202">
        <v>2021</v>
      </c>
      <c r="C202" s="4" t="s">
        <v>62</v>
      </c>
      <c r="D202" s="4" t="s">
        <v>576</v>
      </c>
      <c r="E202" s="4" t="s">
        <v>578</v>
      </c>
      <c r="F202" s="4" t="s">
        <v>19</v>
      </c>
      <c r="G202" s="8">
        <v>2893358</v>
      </c>
      <c r="I202" s="16" cm="1">
        <f t="array" ref="I202">_xlfn.IFS(B202=2015,G202/$H$1957,B202=2016,G202/$H$1958,B202=2017,G202/$H$1959,B202=2018,G202/$H$1960,B202=2019,G202/$H$1961,B202=2020,G202/$H$1962,B202=2021,G202/$H$1963,B202=2022,G202/$H$1964,B202=2023,G202/$H$1965)</f>
        <v>3.3065147408930171E-3</v>
      </c>
      <c r="J202" s="10" cm="1">
        <f t="array" ref="J202">_xlfn.IFS(B202=2015,I202*$G$2,B202=2016,I202*$G$3,B202=2017,I202*$G$4,B202=2018,I202*$G$5,B202=2019,I202*$G$6,B202=2020,I202*$G$7,B202=2021,I202*$G$8,B202=2022,I202*$G$9,B202=2023,I202*$G$10)</f>
        <v>567453.59801941935</v>
      </c>
      <c r="K202" s="8">
        <f t="shared" si="2"/>
        <v>3460811.5980194192</v>
      </c>
      <c r="L202">
        <f>IFERROR(VLOOKUP(F202,'LEAID Match'!$A$2:$B$240,2,FALSE),"")</f>
        <v>3200030</v>
      </c>
    </row>
    <row r="203" spans="1:12" x14ac:dyDescent="0.2">
      <c r="A203">
        <v>3200030</v>
      </c>
      <c r="B203">
        <v>2022</v>
      </c>
      <c r="C203" s="4" t="s">
        <v>62</v>
      </c>
      <c r="D203" s="4" t="s">
        <v>576</v>
      </c>
      <c r="E203" s="4" t="s">
        <v>578</v>
      </c>
      <c r="F203" s="4" t="s">
        <v>19</v>
      </c>
      <c r="G203" s="8">
        <v>2745713</v>
      </c>
      <c r="I203" s="16" cm="1">
        <f t="array" ref="I203">_xlfn.IFS(B203=2015,G203/$H$1957,B203=2016,G203/$H$1958,B203=2017,G203/$H$1959,B203=2018,G203/$H$1960,B203=2019,G203/$H$1961,B203=2020,G203/$H$1962,B203=2021,G203/$H$1963,B203=2022,G203/$H$1964,B203=2023,G203/$H$1965)</f>
        <v>2.95109866931424E-3</v>
      </c>
      <c r="J203" s="10" cm="1">
        <f t="array" ref="J203">_xlfn.IFS(B203=2015,I203*$G$2,B203=2016,I203*$G$3,B203=2017,I203*$G$4,B203=2018,I203*$G$5,B203=2019,I203*$G$6,B203=2020,I203*$G$7,B203=2021,I203*$G$8,B203=2022,I203*$G$9,B203=2023,I203*$G$10)</f>
        <v>500463.9830986918</v>
      </c>
      <c r="K203" s="8">
        <f t="shared" si="2"/>
        <v>3246176.9830986918</v>
      </c>
      <c r="L203">
        <f>IFERROR(VLOOKUP(F203,'LEAID Match'!$A$2:$B$240,2,FALSE),"")</f>
        <v>3200030</v>
      </c>
    </row>
    <row r="204" spans="1:12" x14ac:dyDescent="0.2">
      <c r="A204">
        <v>3200030</v>
      </c>
      <c r="B204">
        <v>2023</v>
      </c>
      <c r="C204" s="4" t="s">
        <v>62</v>
      </c>
      <c r="D204" s="4" t="s">
        <v>576</v>
      </c>
      <c r="E204" s="4" t="s">
        <v>578</v>
      </c>
      <c r="F204" s="4" t="s">
        <v>19</v>
      </c>
      <c r="G204" s="8">
        <v>2721922</v>
      </c>
      <c r="I204" s="16" cm="1">
        <f t="array" ref="I204">_xlfn.IFS(B204=2015,G204/$H$1957,B204=2016,G204/$H$1958,B204=2017,G204/$H$1959,B204=2018,G204/$H$1960,B204=2019,G204/$H$1961,B204=2020,G204/$H$1962,B204=2021,G204/$H$1963,B204=2022,G204/$H$1964,B204=2023,G204/$H$1965)</f>
        <v>2.7559176915824576E-3</v>
      </c>
      <c r="J204" s="10" cm="1">
        <f t="array" ref="J204">_xlfn.IFS(B204=2015,I204*$G$2,B204=2016,I204*$G$3,B204=2017,I204*$G$4,B204=2018,I204*$G$5,B204=2019,I204*$G$6,B204=2020,I204*$G$7,B204=2021,I204*$G$8,B204=2022,I204*$G$9,B204=2023,I204*$G$10)</f>
        <v>468465.54794138769</v>
      </c>
      <c r="K204" s="8">
        <f t="shared" ref="K204:K267" si="3">SUM(G204,J204)</f>
        <v>3190387.5479413876</v>
      </c>
      <c r="L204">
        <f>IFERROR(VLOOKUP(F204,'LEAID Match'!$A$2:$B$240,2,FALSE),"")</f>
        <v>3200030</v>
      </c>
    </row>
    <row r="205" spans="1:12" x14ac:dyDescent="0.2">
      <c r="A205">
        <v>3200060</v>
      </c>
      <c r="B205">
        <v>2015</v>
      </c>
      <c r="C205" s="4" t="s">
        <v>63</v>
      </c>
      <c r="D205" s="4" t="s">
        <v>576</v>
      </c>
      <c r="E205" s="4" t="s">
        <v>578</v>
      </c>
      <c r="F205" s="4" t="s">
        <v>20</v>
      </c>
      <c r="G205" s="8">
        <v>376343782</v>
      </c>
      <c r="I205" s="16" cm="1">
        <f t="array" ref="I205">_xlfn.IFS(B205=2015,G205/$H$1957,B205=2016,G205/$H$1958,B205=2017,G205/$H$1959,B205=2018,G205/$H$1960,B205=2019,G205/$H$1961,B205=2020,G205/$H$1962,B205=2021,G205/$H$1963,B205=2022,G205/$H$1964,B205=2023,G205/$H$1965)</f>
        <v>0.29063468081764654</v>
      </c>
      <c r="J205" s="10" cm="1">
        <f t="array" ref="J205">_xlfn.IFS(B205=2015,I205*$G$2,B205=2016,I205*$G$3,B205=2017,I205*$G$4,B205=2018,I205*$G$5,B205=2019,I205*$G$6,B205=2020,I205*$G$7,B205=2021,I205*$G$8,B205=2022,I205*$G$9,B205=2023,I205*$G$10)</f>
        <v>72264155.422802746</v>
      </c>
      <c r="K205" s="8">
        <f t="shared" si="3"/>
        <v>448607937.42280275</v>
      </c>
      <c r="L205">
        <f>IFERROR(VLOOKUP(F205,'LEAID Match'!$A$2:$B$240,2,FALSE),"")</f>
        <v>3200060</v>
      </c>
    </row>
    <row r="206" spans="1:12" x14ac:dyDescent="0.2">
      <c r="A206">
        <v>3200060</v>
      </c>
      <c r="B206">
        <v>2016</v>
      </c>
      <c r="C206" s="4" t="s">
        <v>63</v>
      </c>
      <c r="D206" s="4" t="s">
        <v>576</v>
      </c>
      <c r="E206" s="4" t="s">
        <v>578</v>
      </c>
      <c r="F206" s="4" t="s">
        <v>20</v>
      </c>
      <c r="G206" s="8">
        <v>417916710</v>
      </c>
      <c r="I206" s="16" cm="1">
        <f t="array" ref="I206">_xlfn.IFS(B206=2015,G206/$H$1957,B206=2016,G206/$H$1958,B206=2017,G206/$H$1959,B206=2018,G206/$H$1960,B206=2019,G206/$H$1961,B206=2020,G206/$H$1962,B206=2021,G206/$H$1963,B206=2022,G206/$H$1964,B206=2023,G206/$H$1965)</f>
        <v>0.29337735175788682</v>
      </c>
      <c r="J206" s="10" cm="1">
        <f t="array" ref="J206">_xlfn.IFS(B206=2015,I206*$G$2,B206=2016,I206*$G$3,B206=2017,I206*$G$4,B206=2018,I206*$G$5,B206=2019,I206*$G$6,B206=2020,I206*$G$7,B206=2021,I206*$G$8,B206=2022,I206*$G$9,B206=2023,I206*$G$10)</f>
        <v>79564841.398982316</v>
      </c>
      <c r="K206" s="8">
        <f t="shared" si="3"/>
        <v>497481551.39898229</v>
      </c>
      <c r="L206">
        <f>IFERROR(VLOOKUP(F206,'LEAID Match'!$A$2:$B$240,2,FALSE),"")</f>
        <v>3200060</v>
      </c>
    </row>
    <row r="207" spans="1:12" x14ac:dyDescent="0.2">
      <c r="A207">
        <v>3200060</v>
      </c>
      <c r="B207">
        <v>2017</v>
      </c>
      <c r="C207" s="4" t="s">
        <v>63</v>
      </c>
      <c r="D207" s="4" t="s">
        <v>576</v>
      </c>
      <c r="E207" s="4" t="s">
        <v>578</v>
      </c>
      <c r="F207" s="4" t="s">
        <v>20</v>
      </c>
      <c r="G207" s="8">
        <v>218892224</v>
      </c>
      <c r="I207" s="16" cm="1">
        <f t="array" ref="I207">_xlfn.IFS(B207=2015,G207/$H$1957,B207=2016,G207/$H$1958,B207=2017,G207/$H$1959,B207=2018,G207/$H$1960,B207=2019,G207/$H$1961,B207=2020,G207/$H$1962,B207=2021,G207/$H$1963,B207=2022,G207/$H$1964,B207=2023,G207/$H$1965)</f>
        <v>0.29204880867457989</v>
      </c>
      <c r="J207" s="10" cm="1">
        <f t="array" ref="J207">_xlfn.IFS(B207=2015,I207*$G$2,B207=2016,I207*$G$3,B207=2017,I207*$G$4,B207=2018,I207*$G$5,B207=2019,I207*$G$6,B207=2020,I207*$G$7,B207=2021,I207*$G$8,B207=2022,I207*$G$9,B207=2023,I207*$G$10)</f>
        <v>43248511.314034529</v>
      </c>
      <c r="K207" s="8">
        <f t="shared" si="3"/>
        <v>262140735.31403452</v>
      </c>
      <c r="L207">
        <f>IFERROR(VLOOKUP(F207,'LEAID Match'!$A$2:$B$240,2,FALSE),"")</f>
        <v>3200060</v>
      </c>
    </row>
    <row r="208" spans="1:12" x14ac:dyDescent="0.2">
      <c r="A208">
        <v>3200060</v>
      </c>
      <c r="B208">
        <v>2018</v>
      </c>
      <c r="C208" s="4" t="s">
        <v>63</v>
      </c>
      <c r="D208" s="4" t="s">
        <v>576</v>
      </c>
      <c r="E208" s="4" t="s">
        <v>578</v>
      </c>
      <c r="F208" s="4" t="s">
        <v>20</v>
      </c>
      <c r="G208" s="8">
        <v>223982087</v>
      </c>
      <c r="I208" s="16" cm="1">
        <f t="array" ref="I208">_xlfn.IFS(B208=2015,G208/$H$1957,B208=2016,G208/$H$1958,B208=2017,G208/$H$1959,B208=2018,G208/$H$1960,B208=2019,G208/$H$1961,B208=2020,G208/$H$1962,B208=2021,G208/$H$1963,B208=2022,G208/$H$1964,B208=2023,G208/$H$1965)</f>
        <v>0.28820009136982355</v>
      </c>
      <c r="J208" s="10" cm="1">
        <f t="array" ref="J208">_xlfn.IFS(B208=2015,I208*$G$2,B208=2016,I208*$G$3,B208=2017,I208*$G$4,B208=2018,I208*$G$5,B208=2019,I208*$G$6,B208=2020,I208*$G$7,B208=2021,I208*$G$8,B208=2022,I208*$G$9,B208=2023,I208*$G$10)</f>
        <v>43381008.650144376</v>
      </c>
      <c r="K208" s="8">
        <f t="shared" si="3"/>
        <v>267363095.65014437</v>
      </c>
      <c r="L208">
        <f>IFERROR(VLOOKUP(F208,'LEAID Match'!$A$2:$B$240,2,FALSE),"")</f>
        <v>3200060</v>
      </c>
    </row>
    <row r="209" spans="1:12" x14ac:dyDescent="0.2">
      <c r="A209">
        <v>3200060</v>
      </c>
      <c r="B209">
        <v>2019</v>
      </c>
      <c r="C209" s="4" t="s">
        <v>63</v>
      </c>
      <c r="D209" s="4" t="s">
        <v>576</v>
      </c>
      <c r="E209" s="4" t="s">
        <v>578</v>
      </c>
      <c r="F209" s="4" t="s">
        <v>20</v>
      </c>
      <c r="G209" s="8">
        <v>224960701</v>
      </c>
      <c r="I209" s="16" cm="1">
        <f t="array" ref="I209">_xlfn.IFS(B209=2015,G209/$H$1957,B209=2016,G209/$H$1958,B209=2017,G209/$H$1959,B209=2018,G209/$H$1960,B209=2019,G209/$H$1961,B209=2020,G209/$H$1962,B209=2021,G209/$H$1963,B209=2022,G209/$H$1964,B209=2023,G209/$H$1965)</f>
        <v>0.27958040585125365</v>
      </c>
      <c r="J209" s="10" cm="1">
        <f t="array" ref="J209">_xlfn.IFS(B209=2015,I209*$G$2,B209=2016,I209*$G$3,B209=2017,I209*$G$4,B209=2018,I209*$G$5,B209=2019,I209*$G$6,B209=2020,I209*$G$7,B209=2021,I209*$G$8,B209=2022,I209*$G$9,B209=2023,I209*$G$10)</f>
        <v>44181566.484671429</v>
      </c>
      <c r="K209" s="8">
        <f t="shared" si="3"/>
        <v>269142267.48467141</v>
      </c>
      <c r="L209">
        <f>IFERROR(VLOOKUP(F209,'LEAID Match'!$A$2:$B$240,2,FALSE),"")</f>
        <v>3200060</v>
      </c>
    </row>
    <row r="210" spans="1:12" x14ac:dyDescent="0.2">
      <c r="A210">
        <v>3200060</v>
      </c>
      <c r="B210">
        <v>2020</v>
      </c>
      <c r="C210" s="4" t="s">
        <v>63</v>
      </c>
      <c r="D210" s="4" t="s">
        <v>576</v>
      </c>
      <c r="E210" s="4" t="s">
        <v>578</v>
      </c>
      <c r="F210" s="4" t="s">
        <v>20</v>
      </c>
      <c r="G210" s="8">
        <v>242917198</v>
      </c>
      <c r="I210" s="16" cm="1">
        <f t="array" ref="I210">_xlfn.IFS(B210=2015,G210/$H$1957,B210=2016,G210/$H$1958,B210=2017,G210/$H$1959,B210=2018,G210/$H$1960,B210=2019,G210/$H$1961,B210=2020,G210/$H$1962,B210=2021,G210/$H$1963,B210=2022,G210/$H$1964,B210=2023,G210/$H$1965)</f>
        <v>0.27939446460802886</v>
      </c>
      <c r="J210" s="10" cm="1">
        <f t="array" ref="J210">_xlfn.IFS(B210=2015,I210*$G$2,B210=2016,I210*$G$3,B210=2017,I210*$G$4,B210=2018,I210*$G$5,B210=2019,I210*$G$6,B210=2020,I210*$G$7,B210=2021,I210*$G$8,B210=2022,I210*$G$9,B210=2023,I210*$G$10)</f>
        <v>48246924.110559605</v>
      </c>
      <c r="K210" s="8">
        <f t="shared" si="3"/>
        <v>291164122.11055958</v>
      </c>
      <c r="L210">
        <f>IFERROR(VLOOKUP(F210,'LEAID Match'!$A$2:$B$240,2,FALSE),"")</f>
        <v>3200060</v>
      </c>
    </row>
    <row r="211" spans="1:12" x14ac:dyDescent="0.2">
      <c r="A211">
        <v>3200060</v>
      </c>
      <c r="B211">
        <v>2021</v>
      </c>
      <c r="C211" s="4" t="s">
        <v>63</v>
      </c>
      <c r="D211" s="4" t="s">
        <v>576</v>
      </c>
      <c r="E211" s="4" t="s">
        <v>578</v>
      </c>
      <c r="F211" s="4" t="s">
        <v>20</v>
      </c>
      <c r="G211" s="8">
        <v>248763437</v>
      </c>
      <c r="I211" s="16" cm="1">
        <f t="array" ref="I211">_xlfn.IFS(B211=2015,G211/$H$1957,B211=2016,G211/$H$1958,B211=2017,G211/$H$1959,B211=2018,G211/$H$1960,B211=2019,G211/$H$1961,B211=2020,G211/$H$1962,B211=2021,G211/$H$1963,B211=2022,G211/$H$1964,B211=2023,G211/$H$1965)</f>
        <v>0.28428558492786288</v>
      </c>
      <c r="J211" s="10" cm="1">
        <f t="array" ref="J211">_xlfn.IFS(B211=2015,I211*$G$2,B211=2016,I211*$G$3,B211=2017,I211*$G$4,B211=2018,I211*$G$5,B211=2019,I211*$G$6,B211=2020,I211*$G$7,B211=2021,I211*$G$8,B211=2022,I211*$G$9,B211=2023,I211*$G$10)</f>
        <v>48788192.605729118</v>
      </c>
      <c r="K211" s="8">
        <f t="shared" si="3"/>
        <v>297551629.6057291</v>
      </c>
      <c r="L211">
        <f>IFERROR(VLOOKUP(F211,'LEAID Match'!$A$2:$B$240,2,FALSE),"")</f>
        <v>3200060</v>
      </c>
    </row>
    <row r="212" spans="1:12" x14ac:dyDescent="0.2">
      <c r="A212">
        <v>3200060</v>
      </c>
      <c r="B212">
        <v>2022</v>
      </c>
      <c r="C212" s="4" t="s">
        <v>63</v>
      </c>
      <c r="D212" s="4" t="s">
        <v>576</v>
      </c>
      <c r="E212" s="4" t="s">
        <v>578</v>
      </c>
      <c r="F212" s="4" t="s">
        <v>20</v>
      </c>
      <c r="G212" s="8">
        <v>255489992</v>
      </c>
      <c r="I212" s="16" cm="1">
        <f t="array" ref="I212">_xlfn.IFS(B212=2015,G212/$H$1957,B212=2016,G212/$H$1958,B212=2017,G212/$H$1959,B212=2018,G212/$H$1960,B212=2019,G212/$H$1961,B212=2020,G212/$H$1962,B212=2021,G212/$H$1963,B212=2022,G212/$H$1964,B212=2023,G212/$H$1965)</f>
        <v>0.27460123305469503</v>
      </c>
      <c r="J212" s="10" cm="1">
        <f t="array" ref="J212">_xlfn.IFS(B212=2015,I212*$G$2,B212=2016,I212*$G$3,B212=2017,I212*$G$4,B212=2018,I212*$G$5,B212=2019,I212*$G$6,B212=2020,I212*$G$7,B212=2021,I212*$G$8,B212=2022,I212*$G$9,B212=2023,I212*$G$10)</f>
        <v>46568428.323780708</v>
      </c>
      <c r="K212" s="8">
        <f t="shared" si="3"/>
        <v>302058420.32378072</v>
      </c>
      <c r="L212">
        <f>IFERROR(VLOOKUP(F212,'LEAID Match'!$A$2:$B$240,2,FALSE),"")</f>
        <v>3200060</v>
      </c>
    </row>
    <row r="213" spans="1:12" x14ac:dyDescent="0.2">
      <c r="A213">
        <v>3200060</v>
      </c>
      <c r="B213">
        <v>2023</v>
      </c>
      <c r="C213" s="4" t="s">
        <v>63</v>
      </c>
      <c r="D213" s="4" t="s">
        <v>576</v>
      </c>
      <c r="E213" s="4" t="s">
        <v>578</v>
      </c>
      <c r="F213" s="4" t="s">
        <v>20</v>
      </c>
      <c r="G213" s="8">
        <v>269931536</v>
      </c>
      <c r="I213" s="16" cm="1">
        <f t="array" ref="I213">_xlfn.IFS(B213=2015,G213/$H$1957,B213=2016,G213/$H$1958,B213=2017,G213/$H$1959,B213=2018,G213/$H$1960,B213=2019,G213/$H$1961,B213=2020,G213/$H$1962,B213=2021,G213/$H$1963,B213=2022,G213/$H$1964,B213=2023,G213/$H$1965)</f>
        <v>0.27330287039027096</v>
      </c>
      <c r="J213" s="10" cm="1">
        <f t="array" ref="J213">_xlfn.IFS(B213=2015,I213*$G$2,B213=2016,I213*$G$3,B213=2017,I213*$G$4,B213=2018,I213*$G$5,B213=2019,I213*$G$6,B213=2020,I213*$G$7,B213=2021,I213*$G$8,B213=2022,I213*$G$9,B213=2023,I213*$G$10)</f>
        <v>46457475.606905863</v>
      </c>
      <c r="K213" s="8">
        <f t="shared" si="3"/>
        <v>316389011.60690588</v>
      </c>
      <c r="L213">
        <f>IFERROR(VLOOKUP(F213,'LEAID Match'!$A$2:$B$240,2,FALSE),"")</f>
        <v>3200060</v>
      </c>
    </row>
    <row r="214" spans="1:12" x14ac:dyDescent="0.2">
      <c r="A214">
        <v>3200090</v>
      </c>
      <c r="B214">
        <v>2015</v>
      </c>
      <c r="C214" s="4" t="s">
        <v>64</v>
      </c>
      <c r="D214" s="4" t="s">
        <v>576</v>
      </c>
      <c r="E214" s="4" t="s">
        <v>578</v>
      </c>
      <c r="F214" s="4" t="s">
        <v>21</v>
      </c>
      <c r="G214" s="8">
        <v>9401813</v>
      </c>
      <c r="I214" s="16" cm="1">
        <f t="array" ref="I214">_xlfn.IFS(B214=2015,G214/$H$1957,B214=2016,G214/$H$1958,B214=2017,G214/$H$1959,B214=2018,G214/$H$1960,B214=2019,G214/$H$1961,B214=2020,G214/$H$1962,B214=2021,G214/$H$1963,B214=2022,G214/$H$1964,B214=2023,G214/$H$1965)</f>
        <v>7.2606299108781344E-3</v>
      </c>
      <c r="J214" s="10" cm="1">
        <f t="array" ref="J214">_xlfn.IFS(B214=2015,I214*$G$2,B214=2016,I214*$G$3,B214=2017,I214*$G$4,B214=2018,I214*$G$5,B214=2019,I214*$G$6,B214=2020,I214*$G$7,B214=2021,I214*$G$8,B214=2022,I214*$G$9,B214=2023,I214*$G$10)</f>
        <v>1805301.7171627597</v>
      </c>
      <c r="K214" s="8">
        <f t="shared" si="3"/>
        <v>11207114.71716276</v>
      </c>
      <c r="L214">
        <f>IFERROR(VLOOKUP(F214,'LEAID Match'!$A$2:$B$240,2,FALSE),"")</f>
        <v>3200090</v>
      </c>
    </row>
    <row r="215" spans="1:12" x14ac:dyDescent="0.2">
      <c r="A215">
        <v>3200090</v>
      </c>
      <c r="B215">
        <v>2016</v>
      </c>
      <c r="C215" s="4" t="s">
        <v>64</v>
      </c>
      <c r="D215" s="4" t="s">
        <v>576</v>
      </c>
      <c r="E215" s="4" t="s">
        <v>578</v>
      </c>
      <c r="F215" s="4" t="s">
        <v>21</v>
      </c>
      <c r="G215" s="8">
        <v>9978558</v>
      </c>
      <c r="I215" s="16" cm="1">
        <f t="array" ref="I215">_xlfn.IFS(B215=2015,G215/$H$1957,B215=2016,G215/$H$1958,B215=2017,G215/$H$1959,B215=2018,G215/$H$1960,B215=2019,G215/$H$1961,B215=2020,G215/$H$1962,B215=2021,G215/$H$1963,B215=2022,G215/$H$1964,B215=2023,G215/$H$1965)</f>
        <v>7.0049434501015181E-3</v>
      </c>
      <c r="J215" s="10" cm="1">
        <f t="array" ref="J215">_xlfn.IFS(B215=2015,I215*$G$2,B215=2016,I215*$G$3,B215=2017,I215*$G$4,B215=2018,I215*$G$5,B215=2019,I215*$G$6,B215=2020,I215*$G$7,B215=2021,I215*$G$8,B215=2022,I215*$G$9,B215=2023,I215*$G$10)</f>
        <v>1899762.238893358</v>
      </c>
      <c r="K215" s="8">
        <f t="shared" si="3"/>
        <v>11878320.238893358</v>
      </c>
      <c r="L215">
        <f>IFERROR(VLOOKUP(F215,'LEAID Match'!$A$2:$B$240,2,FALSE),"")</f>
        <v>3200090</v>
      </c>
    </row>
    <row r="216" spans="1:12" x14ac:dyDescent="0.2">
      <c r="A216">
        <v>3200090</v>
      </c>
      <c r="B216">
        <v>2017</v>
      </c>
      <c r="C216" s="4" t="s">
        <v>64</v>
      </c>
      <c r="D216" s="4" t="s">
        <v>576</v>
      </c>
      <c r="E216" s="4" t="s">
        <v>578</v>
      </c>
      <c r="F216" s="4" t="s">
        <v>21</v>
      </c>
      <c r="G216" s="8">
        <v>5138422</v>
      </c>
      <c r="I216" s="16" cm="1">
        <f t="array" ref="I216">_xlfn.IFS(B216=2015,G216/$H$1957,B216=2016,G216/$H$1958,B216=2017,G216/$H$1959,B216=2018,G216/$H$1960,B216=2019,G216/$H$1961,B216=2020,G216/$H$1962,B216=2021,G216/$H$1963,B216=2022,G216/$H$1964,B216=2023,G216/$H$1965)</f>
        <v>6.8557484416040841E-3</v>
      </c>
      <c r="J216" s="10" cm="1">
        <f t="array" ref="J216">_xlfn.IFS(B216=2015,I216*$G$2,B216=2016,I216*$G$3,B216=2017,I216*$G$4,B216=2018,I216*$G$5,B216=2019,I216*$G$6,B216=2020,I216*$G$7,B216=2021,I216*$G$8,B216=2022,I216*$G$9,B216=2023,I216*$G$10)</f>
        <v>1015244.3880477176</v>
      </c>
      <c r="K216" s="8">
        <f t="shared" si="3"/>
        <v>6153666.3880477175</v>
      </c>
      <c r="L216">
        <f>IFERROR(VLOOKUP(F216,'LEAID Match'!$A$2:$B$240,2,FALSE),"")</f>
        <v>3200090</v>
      </c>
    </row>
    <row r="217" spans="1:12" x14ac:dyDescent="0.2">
      <c r="A217">
        <v>3200090</v>
      </c>
      <c r="B217">
        <v>2018</v>
      </c>
      <c r="C217" s="4" t="s">
        <v>64</v>
      </c>
      <c r="D217" s="4" t="s">
        <v>576</v>
      </c>
      <c r="E217" s="4" t="s">
        <v>578</v>
      </c>
      <c r="F217" s="4" t="s">
        <v>21</v>
      </c>
      <c r="G217" s="8">
        <v>4958867</v>
      </c>
      <c r="I217" s="16" cm="1">
        <f t="array" ref="I217">_xlfn.IFS(B217=2015,G217/$H$1957,B217=2016,G217/$H$1958,B217=2017,G217/$H$1959,B217=2018,G217/$H$1960,B217=2019,G217/$H$1961,B217=2020,G217/$H$1962,B217=2021,G217/$H$1963,B217=2022,G217/$H$1964,B217=2023,G217/$H$1965)</f>
        <v>6.3806259760888955E-3</v>
      </c>
      <c r="J217" s="10" cm="1">
        <f t="array" ref="J217">_xlfn.IFS(B217=2015,I217*$G$2,B217=2016,I217*$G$3,B217=2017,I217*$G$4,B217=2018,I217*$G$5,B217=2019,I217*$G$6,B217=2020,I217*$G$7,B217=2021,I217*$G$8,B217=2022,I217*$G$9,B217=2023,I217*$G$10)</f>
        <v>960436.85949723073</v>
      </c>
      <c r="K217" s="8">
        <f t="shared" si="3"/>
        <v>5919303.8594972305</v>
      </c>
      <c r="L217">
        <f>IFERROR(VLOOKUP(F217,'LEAID Match'!$A$2:$B$240,2,FALSE),"")</f>
        <v>3200090</v>
      </c>
    </row>
    <row r="218" spans="1:12" x14ac:dyDescent="0.2">
      <c r="A218">
        <v>3200090</v>
      </c>
      <c r="B218">
        <v>2019</v>
      </c>
      <c r="C218" s="4" t="s">
        <v>64</v>
      </c>
      <c r="D218" s="4" t="s">
        <v>576</v>
      </c>
      <c r="E218" s="4" t="s">
        <v>578</v>
      </c>
      <c r="F218" s="4" t="s">
        <v>21</v>
      </c>
      <c r="G218" s="8">
        <v>5025730</v>
      </c>
      <c r="I218" s="16" cm="1">
        <f t="array" ref="I218">_xlfn.IFS(B218=2015,G218/$H$1957,B218=2016,G218/$H$1958,B218=2017,G218/$H$1959,B218=2018,G218/$H$1960,B218=2019,G218/$H$1961,B218=2020,G218/$H$1962,B218=2021,G218/$H$1963,B218=2022,G218/$H$1964,B218=2023,G218/$H$1965)</f>
        <v>6.245960413764985E-3</v>
      </c>
      <c r="J218" s="10" cm="1">
        <f t="array" ref="J218">_xlfn.IFS(B218=2015,I218*$G$2,B218=2016,I218*$G$3,B218=2017,I218*$G$4,B218=2018,I218*$G$5,B218=2019,I218*$G$6,B218=2020,I218*$G$7,B218=2021,I218*$G$8,B218=2022,I218*$G$9,B218=2023,I218*$G$10)</f>
        <v>987037.39427362347</v>
      </c>
      <c r="K218" s="8">
        <f t="shared" si="3"/>
        <v>6012767.3942736238</v>
      </c>
      <c r="L218">
        <f>IFERROR(VLOOKUP(F218,'LEAID Match'!$A$2:$B$240,2,FALSE),"")</f>
        <v>3200090</v>
      </c>
    </row>
    <row r="219" spans="1:12" x14ac:dyDescent="0.2">
      <c r="A219">
        <v>3200090</v>
      </c>
      <c r="B219">
        <v>2020</v>
      </c>
      <c r="C219" s="4" t="s">
        <v>64</v>
      </c>
      <c r="D219" s="4" t="s">
        <v>576</v>
      </c>
      <c r="E219" s="4" t="s">
        <v>578</v>
      </c>
      <c r="F219" s="4" t="s">
        <v>21</v>
      </c>
      <c r="G219" s="8">
        <v>5396337</v>
      </c>
      <c r="I219" s="16" cm="1">
        <f t="array" ref="I219">_xlfn.IFS(B219=2015,G219/$H$1957,B219=2016,G219/$H$1958,B219=2017,G219/$H$1959,B219=2018,G219/$H$1960,B219=2019,G219/$H$1961,B219=2020,G219/$H$1962,B219=2021,G219/$H$1963,B219=2022,G219/$H$1964,B219=2023,G219/$H$1965)</f>
        <v>6.206669183461834E-3</v>
      </c>
      <c r="J219" s="10" cm="1">
        <f t="array" ref="J219">_xlfn.IFS(B219=2015,I219*$G$2,B219=2016,I219*$G$3,B219=2017,I219*$G$4,B219=2018,I219*$G$5,B219=2019,I219*$G$6,B219=2020,I219*$G$7,B219=2021,I219*$G$8,B219=2022,I219*$G$9,B219=2023,I219*$G$10)</f>
        <v>1071791.8033699899</v>
      </c>
      <c r="K219" s="8">
        <f t="shared" si="3"/>
        <v>6468128.8033699896</v>
      </c>
      <c r="L219">
        <f>IFERROR(VLOOKUP(F219,'LEAID Match'!$A$2:$B$240,2,FALSE),"")</f>
        <v>3200090</v>
      </c>
    </row>
    <row r="220" spans="1:12" x14ac:dyDescent="0.2">
      <c r="A220">
        <v>3200090</v>
      </c>
      <c r="B220">
        <v>2021</v>
      </c>
      <c r="C220" s="4" t="s">
        <v>64</v>
      </c>
      <c r="D220" s="4" t="s">
        <v>576</v>
      </c>
      <c r="E220" s="4" t="s">
        <v>578</v>
      </c>
      <c r="F220" s="4" t="s">
        <v>21</v>
      </c>
      <c r="G220" s="8">
        <v>5382689</v>
      </c>
      <c r="I220" s="16" cm="1">
        <f t="array" ref="I220">_xlfn.IFS(B220=2015,G220/$H$1957,B220=2016,G220/$H$1958,B220=2017,G220/$H$1959,B220=2018,G220/$H$1960,B220=2019,G220/$H$1961,B220=2020,G220/$H$1962,B220=2021,G220/$H$1963,B220=2022,G220/$H$1964,B220=2023,G220/$H$1965)</f>
        <v>6.1513094902679493E-3</v>
      </c>
      <c r="J220" s="10" cm="1">
        <f t="array" ref="J220">_xlfn.IFS(B220=2015,I220*$G$2,B220=2016,I220*$G$3,B220=2017,I220*$G$4,B220=2018,I220*$G$5,B220=2019,I220*$G$6,B220=2020,I220*$G$7,B220=2021,I220*$G$8,B220=2022,I220*$G$9,B220=2023,I220*$G$10)</f>
        <v>1055668.2719765583</v>
      </c>
      <c r="K220" s="8">
        <f t="shared" si="3"/>
        <v>6438357.2719765585</v>
      </c>
      <c r="L220">
        <f>IFERROR(VLOOKUP(F220,'LEAID Match'!$A$2:$B$240,2,FALSE),"")</f>
        <v>3200090</v>
      </c>
    </row>
    <row r="221" spans="1:12" x14ac:dyDescent="0.2">
      <c r="A221">
        <v>3200090</v>
      </c>
      <c r="B221">
        <v>2022</v>
      </c>
      <c r="C221" s="4" t="s">
        <v>64</v>
      </c>
      <c r="D221" s="4" t="s">
        <v>576</v>
      </c>
      <c r="E221" s="4" t="s">
        <v>578</v>
      </c>
      <c r="F221" s="4" t="s">
        <v>21</v>
      </c>
      <c r="G221" s="8">
        <v>5383899</v>
      </c>
      <c r="I221" s="16" cm="1">
        <f t="array" ref="I221">_xlfn.IFS(B221=2015,G221/$H$1957,B221=2016,G221/$H$1958,B221=2017,G221/$H$1959,B221=2018,G221/$H$1960,B221=2019,G221/$H$1961,B221=2020,G221/$H$1962,B221=2021,G221/$H$1963,B221=2022,G221/$H$1964,B221=2023,G221/$H$1965)</f>
        <v>5.7866270708636586E-3</v>
      </c>
      <c r="J221" s="10" cm="1">
        <f t="array" ref="J221">_xlfn.IFS(B221=2015,I221*$G$2,B221=2016,I221*$G$3,B221=2017,I221*$G$4,B221=2018,I221*$G$5,B221=2019,I221*$G$6,B221=2020,I221*$G$7,B221=2021,I221*$G$8,B221=2022,I221*$G$9,B221=2023,I221*$G$10)</f>
        <v>981328.90733338252</v>
      </c>
      <c r="K221" s="8">
        <f t="shared" si="3"/>
        <v>6365227.9073333824</v>
      </c>
      <c r="L221">
        <f>IFERROR(VLOOKUP(F221,'LEAID Match'!$A$2:$B$240,2,FALSE),"")</f>
        <v>3200090</v>
      </c>
    </row>
    <row r="222" spans="1:12" x14ac:dyDescent="0.2">
      <c r="A222">
        <v>3200090</v>
      </c>
      <c r="B222">
        <v>2023</v>
      </c>
      <c r="C222" s="4" t="s">
        <v>64</v>
      </c>
      <c r="D222" s="4" t="s">
        <v>576</v>
      </c>
      <c r="E222" s="4" t="s">
        <v>578</v>
      </c>
      <c r="F222" s="4" t="s">
        <v>21</v>
      </c>
      <c r="G222" s="8">
        <v>5442971</v>
      </c>
      <c r="I222" s="16" cm="1">
        <f t="array" ref="I222">_xlfn.IFS(B222=2015,G222/$H$1957,B222=2016,G222/$H$1958,B222=2017,G222/$H$1959,B222=2018,G222/$H$1960,B222=2019,G222/$H$1961,B222=2020,G222/$H$1962,B222=2021,G222/$H$1963,B222=2022,G222/$H$1964,B222=2023,G222/$H$1965)</f>
        <v>5.5109514797522709E-3</v>
      </c>
      <c r="J222" s="10" cm="1">
        <f t="array" ref="J222">_xlfn.IFS(B222=2015,I222*$G$2,B222=2016,I222*$G$3,B222=2017,I222*$G$4,B222=2018,I222*$G$5,B222=2019,I222*$G$6,B222=2020,I222*$G$7,B222=2021,I222*$G$8,B222=2022,I222*$G$9,B222=2023,I222*$G$10)</f>
        <v>936780.84527921176</v>
      </c>
      <c r="K222" s="8">
        <f t="shared" si="3"/>
        <v>6379751.8452792121</v>
      </c>
      <c r="L222">
        <f>IFERROR(VLOOKUP(F222,'LEAID Match'!$A$2:$B$240,2,FALSE),"")</f>
        <v>3200090</v>
      </c>
    </row>
    <row r="223" spans="1:12" x14ac:dyDescent="0.2">
      <c r="A223">
        <v>3200120</v>
      </c>
      <c r="B223">
        <v>2015</v>
      </c>
      <c r="C223" s="4" t="s">
        <v>65</v>
      </c>
      <c r="D223" s="4" t="s">
        <v>576</v>
      </c>
      <c r="E223" s="4" t="s">
        <v>578</v>
      </c>
      <c r="F223" s="4" t="s">
        <v>22</v>
      </c>
      <c r="G223" s="8">
        <v>13171593</v>
      </c>
      <c r="I223" s="16" cm="1">
        <f t="array" ref="I223">_xlfn.IFS(B223=2015,G223/$H$1957,B223=2016,G223/$H$1958,B223=2017,G223/$H$1959,B223=2018,G223/$H$1960,B223=2019,G223/$H$1961,B223=2020,G223/$H$1962,B223=2021,G223/$H$1963,B223=2022,G223/$H$1964,B223=2023,G223/$H$1965)</f>
        <v>1.0171874521404868E-2</v>
      </c>
      <c r="J223" s="10" cm="1">
        <f t="array" ref="J223">_xlfn.IFS(B223=2015,I223*$G$2,B223=2016,I223*$G$3,B223=2017,I223*$G$4,B223=2018,I223*$G$5,B223=2019,I223*$G$6,B223=2020,I223*$G$7,B223=2021,I223*$G$8,B223=2022,I223*$G$9,B223=2023,I223*$G$10)</f>
        <v>2529161.0735789989</v>
      </c>
      <c r="K223" s="8">
        <f t="shared" si="3"/>
        <v>15700754.073578998</v>
      </c>
      <c r="L223">
        <f>IFERROR(VLOOKUP(F223,'LEAID Match'!$A$2:$B$240,2,FALSE),"")</f>
        <v>3200120</v>
      </c>
    </row>
    <row r="224" spans="1:12" x14ac:dyDescent="0.2">
      <c r="A224">
        <v>3200120</v>
      </c>
      <c r="B224">
        <v>2016</v>
      </c>
      <c r="C224" s="4" t="s">
        <v>65</v>
      </c>
      <c r="D224" s="4" t="s">
        <v>576</v>
      </c>
      <c r="E224" s="4" t="s">
        <v>578</v>
      </c>
      <c r="F224" s="4" t="s">
        <v>22</v>
      </c>
      <c r="G224" s="8">
        <v>15175050</v>
      </c>
      <c r="I224" s="16" cm="1">
        <f t="array" ref="I224">_xlfn.IFS(B224=2015,G224/$H$1957,B224=2016,G224/$H$1958,B224=2017,G224/$H$1959,B224=2018,G224/$H$1960,B224=2019,G224/$H$1961,B224=2020,G224/$H$1962,B224=2021,G224/$H$1963,B224=2022,G224/$H$1964,B224=2023,G224/$H$1965)</f>
        <v>1.0652878612567371E-2</v>
      </c>
      <c r="J224" s="10" cm="1">
        <f t="array" ref="J224">_xlfn.IFS(B224=2015,I224*$G$2,B224=2016,I224*$G$3,B224=2017,I224*$G$4,B224=2018,I224*$G$5,B224=2019,I224*$G$6,B224=2020,I224*$G$7,B224=2021,I224*$G$8,B224=2022,I224*$G$9,B224=2023,I224*$G$10)</f>
        <v>2889093.4905943978</v>
      </c>
      <c r="K224" s="8">
        <f t="shared" si="3"/>
        <v>18064143.490594398</v>
      </c>
      <c r="L224">
        <f>IFERROR(VLOOKUP(F224,'LEAID Match'!$A$2:$B$240,2,FALSE),"")</f>
        <v>3200120</v>
      </c>
    </row>
    <row r="225" spans="1:12" x14ac:dyDescent="0.2">
      <c r="A225">
        <v>3200120</v>
      </c>
      <c r="B225">
        <v>2017</v>
      </c>
      <c r="C225" s="4" t="s">
        <v>65</v>
      </c>
      <c r="D225" s="4" t="s">
        <v>576</v>
      </c>
      <c r="E225" s="4" t="s">
        <v>578</v>
      </c>
      <c r="F225" s="4" t="s">
        <v>22</v>
      </c>
      <c r="G225" s="8">
        <v>8125857</v>
      </c>
      <c r="I225" s="16" cm="1">
        <f t="array" ref="I225">_xlfn.IFS(B225=2015,G225/$H$1957,B225=2016,G225/$H$1958,B225=2017,G225/$H$1959,B225=2018,G225/$H$1960,B225=2019,G225/$H$1961,B225=2020,G225/$H$1962,B225=2021,G225/$H$1963,B225=2022,G225/$H$1964,B225=2023,G225/$H$1965)</f>
        <v>1.0841622479517572E-2</v>
      </c>
      <c r="J225" s="10" cm="1">
        <f t="array" ref="J225">_xlfn.IFS(B225=2015,I225*$G$2,B225=2016,I225*$G$3,B225=2017,I225*$G$4,B225=2018,I225*$G$5,B225=2019,I225*$G$6,B225=2020,I225*$G$7,B225=2021,I225*$G$8,B225=2022,I225*$G$9,B225=2023,I225*$G$10)</f>
        <v>1605498.8705342347</v>
      </c>
      <c r="K225" s="8">
        <f t="shared" si="3"/>
        <v>9731355.8705342337</v>
      </c>
      <c r="L225">
        <f>IFERROR(VLOOKUP(F225,'LEAID Match'!$A$2:$B$240,2,FALSE),"")</f>
        <v>3200120</v>
      </c>
    </row>
    <row r="226" spans="1:12" x14ac:dyDescent="0.2">
      <c r="A226">
        <v>3200120</v>
      </c>
      <c r="B226">
        <v>2018</v>
      </c>
      <c r="C226" s="4" t="s">
        <v>65</v>
      </c>
      <c r="D226" s="4" t="s">
        <v>576</v>
      </c>
      <c r="E226" s="4" t="s">
        <v>578</v>
      </c>
      <c r="F226" s="4" t="s">
        <v>22</v>
      </c>
      <c r="G226" s="8">
        <v>8042097</v>
      </c>
      <c r="I226" s="16" cm="1">
        <f t="array" ref="I226">_xlfn.IFS(B226=2015,G226/$H$1957,B226=2016,G226/$H$1958,B226=2017,G226/$H$1959,B226=2018,G226/$H$1960,B226=2019,G226/$H$1961,B226=2020,G226/$H$1962,B226=2021,G226/$H$1963,B226=2022,G226/$H$1964,B226=2023,G226/$H$1965)</f>
        <v>1.0347850228777374E-2</v>
      </c>
      <c r="J226" s="10" cm="1">
        <f t="array" ref="J226">_xlfn.IFS(B226=2015,I226*$G$2,B226=2016,I226*$G$3,B226=2017,I226*$G$4,B226=2018,I226*$G$5,B226=2019,I226*$G$6,B226=2020,I226*$G$7,B226=2021,I226*$G$8,B226=2022,I226*$G$9,B226=2023,I226*$G$10)</f>
        <v>1557599.0213998682</v>
      </c>
      <c r="K226" s="8">
        <f t="shared" si="3"/>
        <v>9599696.0213998687</v>
      </c>
      <c r="L226">
        <f>IFERROR(VLOOKUP(F226,'LEAID Match'!$A$2:$B$240,2,FALSE),"")</f>
        <v>3200120</v>
      </c>
    </row>
    <row r="227" spans="1:12" x14ac:dyDescent="0.2">
      <c r="A227">
        <v>3200120</v>
      </c>
      <c r="B227">
        <v>2019</v>
      </c>
      <c r="C227" s="4" t="s">
        <v>65</v>
      </c>
      <c r="D227" s="4" t="s">
        <v>576</v>
      </c>
      <c r="E227" s="4" t="s">
        <v>578</v>
      </c>
      <c r="F227" s="4" t="s">
        <v>22</v>
      </c>
      <c r="G227" s="8">
        <v>8056552</v>
      </c>
      <c r="I227" s="16" cm="1">
        <f t="array" ref="I227">_xlfn.IFS(B227=2015,G227/$H$1957,B227=2016,G227/$H$1958,B227=2017,G227/$H$1959,B227=2018,G227/$H$1960,B227=2019,G227/$H$1961,B227=2020,G227/$H$1962,B227=2021,G227/$H$1963,B227=2022,G227/$H$1964,B227=2023,G227/$H$1965)</f>
        <v>1.0012655845705822E-2</v>
      </c>
      <c r="J227" s="10" cm="1">
        <f t="array" ref="J227">_xlfn.IFS(B227=2015,I227*$G$2,B227=2016,I227*$G$3,B227=2017,I227*$G$4,B227=2018,I227*$G$5,B227=2019,I227*$G$6,B227=2020,I227*$G$7,B227=2021,I227*$G$8,B227=2022,I227*$G$9,B227=2023,I227*$G$10)</f>
        <v>1582281.1995292129</v>
      </c>
      <c r="K227" s="8">
        <f t="shared" si="3"/>
        <v>9638833.199529212</v>
      </c>
      <c r="L227">
        <f>IFERROR(VLOOKUP(F227,'LEAID Match'!$A$2:$B$240,2,FALSE),"")</f>
        <v>3200120</v>
      </c>
    </row>
    <row r="228" spans="1:12" x14ac:dyDescent="0.2">
      <c r="A228">
        <v>3200120</v>
      </c>
      <c r="B228">
        <v>2020</v>
      </c>
      <c r="C228" s="4" t="s">
        <v>65</v>
      </c>
      <c r="D228" s="4" t="s">
        <v>576</v>
      </c>
      <c r="E228" s="4" t="s">
        <v>578</v>
      </c>
      <c r="F228" s="4" t="s">
        <v>22</v>
      </c>
      <c r="G228" s="8">
        <v>8974601</v>
      </c>
      <c r="I228" s="16" cm="1">
        <f t="array" ref="I228">_xlfn.IFS(B228=2015,G228/$H$1957,B228=2016,G228/$H$1958,B228=2017,G228/$H$1959,B228=2018,G228/$H$1960,B228=2019,G228/$H$1961,B228=2020,G228/$H$1962,B228=2021,G228/$H$1963,B228=2022,G228/$H$1964,B228=2023,G228/$H$1965)</f>
        <v>1.0322257386921121E-2</v>
      </c>
      <c r="J228" s="10" cm="1">
        <f t="array" ref="J228">_xlfn.IFS(B228=2015,I228*$G$2,B228=2016,I228*$G$3,B228=2017,I228*$G$4,B228=2018,I228*$G$5,B228=2019,I228*$G$6,B228=2020,I228*$G$7,B228=2021,I228*$G$8,B228=2022,I228*$G$9,B228=2023,I228*$G$10)</f>
        <v>1782487.6004438039</v>
      </c>
      <c r="K228" s="8">
        <f t="shared" si="3"/>
        <v>10757088.600443805</v>
      </c>
      <c r="L228">
        <f>IFERROR(VLOOKUP(F228,'LEAID Match'!$A$2:$B$240,2,FALSE),"")</f>
        <v>3200120</v>
      </c>
    </row>
    <row r="229" spans="1:12" x14ac:dyDescent="0.2">
      <c r="A229">
        <v>3200120</v>
      </c>
      <c r="B229">
        <v>2021</v>
      </c>
      <c r="C229" s="4" t="s">
        <v>65</v>
      </c>
      <c r="D229" s="4" t="s">
        <v>576</v>
      </c>
      <c r="E229" s="4" t="s">
        <v>578</v>
      </c>
      <c r="F229" s="4" t="s">
        <v>22</v>
      </c>
      <c r="G229" s="8">
        <v>9006261</v>
      </c>
      <c r="I229" s="16" cm="1">
        <f t="array" ref="I229">_xlfn.IFS(B229=2015,G229/$H$1957,B229=2016,G229/$H$1958,B229=2017,G229/$H$1959,B229=2018,G229/$H$1960,B229=2019,G229/$H$1961,B229=2020,G229/$H$1962,B229=2021,G229/$H$1963,B229=2022,G229/$H$1964,B229=2023,G229/$H$1965)</f>
        <v>1.0292309059863966E-2</v>
      </c>
      <c r="J229" s="10" cm="1">
        <f t="array" ref="J229">_xlfn.IFS(B229=2015,I229*$G$2,B229=2016,I229*$G$3,B229=2017,I229*$G$4,B229=2018,I229*$G$5,B229=2019,I229*$G$6,B229=2020,I229*$G$7,B229=2021,I229*$G$8,B229=2022,I229*$G$9,B229=2023,I229*$G$10)</f>
        <v>1766333.5159879883</v>
      </c>
      <c r="K229" s="8">
        <f t="shared" si="3"/>
        <v>10772594.515987989</v>
      </c>
      <c r="L229">
        <f>IFERROR(VLOOKUP(F229,'LEAID Match'!$A$2:$B$240,2,FALSE),"")</f>
        <v>3200120</v>
      </c>
    </row>
    <row r="230" spans="1:12" x14ac:dyDescent="0.2">
      <c r="A230">
        <v>3200120</v>
      </c>
      <c r="B230">
        <v>2022</v>
      </c>
      <c r="C230" s="4" t="s">
        <v>65</v>
      </c>
      <c r="D230" s="4" t="s">
        <v>576</v>
      </c>
      <c r="E230" s="4" t="s">
        <v>578</v>
      </c>
      <c r="F230" s="4" t="s">
        <v>22</v>
      </c>
      <c r="G230" s="8">
        <v>9266863</v>
      </c>
      <c r="I230" s="16" cm="1">
        <f t="array" ref="I230">_xlfn.IFS(B230=2015,G230/$H$1957,B230=2016,G230/$H$1958,B230=2017,G230/$H$1959,B230=2018,G230/$H$1960,B230=2019,G230/$H$1961,B230=2020,G230/$H$1962,B230=2021,G230/$H$1963,B230=2022,G230/$H$1964,B230=2023,G230/$H$1965)</f>
        <v>9.9600457396739443E-3</v>
      </c>
      <c r="J230" s="10" cm="1">
        <f t="array" ref="J230">_xlfn.IFS(B230=2015,I230*$G$2,B230=2016,I230*$G$3,B230=2017,I230*$G$4,B230=2018,I230*$G$5,B230=2019,I230*$G$6,B230=2020,I230*$G$7,B230=2021,I230*$G$8,B230=2022,I230*$G$9,B230=2023,I230*$G$10)</f>
        <v>1689080.8208322909</v>
      </c>
      <c r="K230" s="8">
        <f t="shared" si="3"/>
        <v>10955943.820832292</v>
      </c>
      <c r="L230">
        <f>IFERROR(VLOOKUP(F230,'LEAID Match'!$A$2:$B$240,2,FALSE),"")</f>
        <v>3200120</v>
      </c>
    </row>
    <row r="231" spans="1:12" x14ac:dyDescent="0.2">
      <c r="A231">
        <v>3200120</v>
      </c>
      <c r="B231">
        <v>2023</v>
      </c>
      <c r="C231" s="4" t="s">
        <v>65</v>
      </c>
      <c r="D231" s="4" t="s">
        <v>576</v>
      </c>
      <c r="E231" s="4" t="s">
        <v>578</v>
      </c>
      <c r="F231" s="4" t="s">
        <v>22</v>
      </c>
      <c r="G231" s="8">
        <v>9359054</v>
      </c>
      <c r="I231" s="16" cm="1">
        <f t="array" ref="I231">_xlfn.IFS(B231=2015,G231/$H$1957,B231=2016,G231/$H$1958,B231=2017,G231/$H$1959,B231=2018,G231/$H$1960,B231=2019,G231/$H$1961,B231=2020,G231/$H$1962,B231=2021,G231/$H$1963,B231=2022,G231/$H$1964,B231=2023,G231/$H$1965)</f>
        <v>9.4759447534042366E-3</v>
      </c>
      <c r="J231" s="10" cm="1">
        <f t="array" ref="J231">_xlfn.IFS(B231=2015,I231*$G$2,B231=2016,I231*$G$3,B231=2017,I231*$G$4,B231=2018,I231*$G$5,B231=2019,I231*$G$6,B231=2020,I231*$G$7,B231=2021,I231*$G$8,B231=2022,I231*$G$9,B231=2023,I231*$G$10)</f>
        <v>1610771.4917337955</v>
      </c>
      <c r="K231" s="8">
        <f t="shared" si="3"/>
        <v>10969825.491733795</v>
      </c>
      <c r="L231">
        <f>IFERROR(VLOOKUP(F231,'LEAID Match'!$A$2:$B$240,2,FALSE),"")</f>
        <v>3200120</v>
      </c>
    </row>
    <row r="232" spans="1:12" x14ac:dyDescent="0.2">
      <c r="A232">
        <v>3200150</v>
      </c>
      <c r="B232">
        <v>2015</v>
      </c>
      <c r="C232" s="4" t="s">
        <v>66</v>
      </c>
      <c r="D232" s="4" t="s">
        <v>576</v>
      </c>
      <c r="E232" s="4" t="s">
        <v>578</v>
      </c>
      <c r="F232" s="4" t="s">
        <v>23</v>
      </c>
      <c r="G232" s="8">
        <v>219449</v>
      </c>
      <c r="I232" s="16" cm="1">
        <f t="array" ref="I232">_xlfn.IFS(B232=2015,G232/$H$1957,B232=2016,G232/$H$1958,B232=2017,G232/$H$1959,B232=2018,G232/$H$1960,B232=2019,G232/$H$1961,B232=2020,G232/$H$1962,B232=2021,G232/$H$1963,B232=2022,G232/$H$1964,B232=2023,G232/$H$1965)</f>
        <v>1.6947135337751302E-4</v>
      </c>
      <c r="J232" s="10" cm="1">
        <f t="array" ref="J232">_xlfn.IFS(B232=2015,I232*$G$2,B232=2016,I232*$G$3,B232=2017,I232*$G$4,B232=2018,I232*$G$5,B232=2019,I232*$G$6,B232=2020,I232*$G$7,B232=2021,I232*$G$8,B232=2022,I232*$G$9,B232=2023,I232*$G$10)</f>
        <v>42137.793692519786</v>
      </c>
      <c r="K232" s="8">
        <f t="shared" si="3"/>
        <v>261586.79369251977</v>
      </c>
      <c r="L232">
        <f>IFERROR(VLOOKUP(F232,'LEAID Match'!$A$2:$B$240,2,FALSE),"")</f>
        <v>3200150</v>
      </c>
    </row>
    <row r="233" spans="1:12" x14ac:dyDescent="0.2">
      <c r="A233">
        <v>3200150</v>
      </c>
      <c r="B233">
        <v>2016</v>
      </c>
      <c r="C233" s="4" t="s">
        <v>66</v>
      </c>
      <c r="D233" s="4" t="s">
        <v>576</v>
      </c>
      <c r="E233" s="4" t="s">
        <v>578</v>
      </c>
      <c r="F233" s="4" t="s">
        <v>23</v>
      </c>
      <c r="G233" s="8">
        <v>238267</v>
      </c>
      <c r="I233" s="16" cm="1">
        <f t="array" ref="I233">_xlfn.IFS(B233=2015,G233/$H$1957,B233=2016,G233/$H$1958,B233=2017,G233/$H$1959,B233=2018,G233/$H$1960,B233=2019,G233/$H$1961,B233=2020,G233/$H$1962,B233=2021,G233/$H$1963,B233=2022,G233/$H$1964,B233=2023,G233/$H$1965)</f>
        <v>1.6726333213930693E-4</v>
      </c>
      <c r="J233" s="10" cm="1">
        <f t="array" ref="J233">_xlfn.IFS(B233=2015,I233*$G$2,B233=2016,I233*$G$3,B233=2017,I233*$G$4,B233=2018,I233*$G$5,B233=2019,I233*$G$6,B233=2020,I233*$G$7,B233=2021,I233*$G$8,B233=2022,I233*$G$9,B233=2023,I233*$G$10)</f>
        <v>45362.330847243029</v>
      </c>
      <c r="K233" s="8">
        <f t="shared" si="3"/>
        <v>283629.33084724302</v>
      </c>
      <c r="L233">
        <f>IFERROR(VLOOKUP(F233,'LEAID Match'!$A$2:$B$240,2,FALSE),"")</f>
        <v>3200150</v>
      </c>
    </row>
    <row r="234" spans="1:12" x14ac:dyDescent="0.2">
      <c r="A234">
        <v>3200150</v>
      </c>
      <c r="B234">
        <v>2017</v>
      </c>
      <c r="C234" s="4" t="s">
        <v>66</v>
      </c>
      <c r="D234" s="4" t="s">
        <v>576</v>
      </c>
      <c r="E234" s="4" t="s">
        <v>578</v>
      </c>
      <c r="F234" s="4" t="s">
        <v>23</v>
      </c>
      <c r="G234" s="8">
        <v>138380</v>
      </c>
      <c r="I234" s="16" cm="1">
        <f t="array" ref="I234">_xlfn.IFS(B234=2015,G234/$H$1957,B234=2016,G234/$H$1958,B234=2017,G234/$H$1959,B234=2018,G234/$H$1960,B234=2019,G234/$H$1961,B234=2020,G234/$H$1962,B234=2021,G234/$H$1963,B234=2022,G234/$H$1964,B234=2023,G234/$H$1965)</f>
        <v>1.8462836827126561E-4</v>
      </c>
      <c r="J234" s="10" cm="1">
        <f t="array" ref="J234">_xlfn.IFS(B234=2015,I234*$G$2,B234=2016,I234*$G$3,B234=2017,I234*$G$4,B234=2018,I234*$G$5,B234=2019,I234*$G$6,B234=2020,I234*$G$7,B234=2021,I234*$G$8,B234=2022,I234*$G$9,B234=2023,I234*$G$10)</f>
        <v>27340.984920670813</v>
      </c>
      <c r="K234" s="8">
        <f t="shared" si="3"/>
        <v>165720.9849206708</v>
      </c>
      <c r="L234">
        <f>IFERROR(VLOOKUP(F234,'LEAID Match'!$A$2:$B$240,2,FALSE),"")</f>
        <v>3200150</v>
      </c>
    </row>
    <row r="235" spans="1:12" x14ac:dyDescent="0.2">
      <c r="A235">
        <v>3200150</v>
      </c>
      <c r="B235">
        <v>2018</v>
      </c>
      <c r="C235" s="4" t="s">
        <v>66</v>
      </c>
      <c r="D235" s="4" t="s">
        <v>576</v>
      </c>
      <c r="E235" s="4" t="s">
        <v>578</v>
      </c>
      <c r="F235" s="4" t="s">
        <v>23</v>
      </c>
      <c r="G235" s="8">
        <v>140636</v>
      </c>
      <c r="I235" s="16" cm="1">
        <f t="array" ref="I235">_xlfn.IFS(B235=2015,G235/$H$1957,B235=2016,G235/$H$1958,B235=2017,G235/$H$1959,B235=2018,G235/$H$1960,B235=2019,G235/$H$1961,B235=2020,G235/$H$1962,B235=2021,G235/$H$1963,B235=2022,G235/$H$1964,B235=2023,G235/$H$1965)</f>
        <v>1.8095781047832858E-4</v>
      </c>
      <c r="J235" s="10" cm="1">
        <f t="array" ref="J235">_xlfn.IFS(B235=2015,I235*$G$2,B235=2016,I235*$G$3,B235=2017,I235*$G$4,B235=2018,I235*$G$5,B235=2019,I235*$G$6,B235=2020,I235*$G$7,B235=2021,I235*$G$8,B235=2022,I235*$G$9,B235=2023,I235*$G$10)</f>
        <v>27238.479711646334</v>
      </c>
      <c r="K235" s="8">
        <f t="shared" si="3"/>
        <v>167874.47971164633</v>
      </c>
      <c r="L235">
        <f>IFERROR(VLOOKUP(F235,'LEAID Match'!$A$2:$B$240,2,FALSE),"")</f>
        <v>3200150</v>
      </c>
    </row>
    <row r="236" spans="1:12" x14ac:dyDescent="0.2">
      <c r="A236">
        <v>3200150</v>
      </c>
      <c r="B236">
        <v>2019</v>
      </c>
      <c r="C236" s="4" t="s">
        <v>66</v>
      </c>
      <c r="D236" s="4" t="s">
        <v>576</v>
      </c>
      <c r="E236" s="4" t="s">
        <v>578</v>
      </c>
      <c r="F236" s="4" t="s">
        <v>23</v>
      </c>
      <c r="G236" s="8">
        <v>164753</v>
      </c>
      <c r="I236" s="16" cm="1">
        <f t="array" ref="I236">_xlfn.IFS(B236=2015,G236/$H$1957,B236=2016,G236/$H$1958,B236=2017,G236/$H$1959,B236=2018,G236/$H$1960,B236=2019,G236/$H$1961,B236=2020,G236/$H$1962,B236=2021,G236/$H$1963,B236=2022,G236/$H$1964,B236=2023,G236/$H$1965)</f>
        <v>2.0475447667284605E-4</v>
      </c>
      <c r="J236" s="10" cm="1">
        <f t="array" ref="J236">_xlfn.IFS(B236=2015,I236*$G$2,B236=2016,I236*$G$3,B236=2017,I236*$G$4,B236=2018,I236*$G$5,B236=2019,I236*$G$6,B236=2020,I236*$G$7,B236=2021,I236*$G$8,B236=2022,I236*$G$9,B236=2023,I236*$G$10)</f>
        <v>32356.965419702668</v>
      </c>
      <c r="K236" s="8">
        <f t="shared" si="3"/>
        <v>197109.96541970267</v>
      </c>
      <c r="L236">
        <f>IFERROR(VLOOKUP(F236,'LEAID Match'!$A$2:$B$240,2,FALSE),"")</f>
        <v>3200150</v>
      </c>
    </row>
    <row r="237" spans="1:12" x14ac:dyDescent="0.2">
      <c r="A237">
        <v>3200150</v>
      </c>
      <c r="B237">
        <v>2020</v>
      </c>
      <c r="C237" s="4" t="s">
        <v>66</v>
      </c>
      <c r="D237" s="4" t="s">
        <v>576</v>
      </c>
      <c r="E237" s="4" t="s">
        <v>578</v>
      </c>
      <c r="F237" s="4" t="s">
        <v>23</v>
      </c>
      <c r="G237" s="8">
        <v>191328</v>
      </c>
      <c r="I237" s="16" cm="1">
        <f t="array" ref="I237">_xlfn.IFS(B237=2015,G237/$H$1957,B237=2016,G237/$H$1958,B237=2017,G237/$H$1959,B237=2018,G237/$H$1960,B237=2019,G237/$H$1961,B237=2020,G237/$H$1962,B237=2021,G237/$H$1963,B237=2022,G237/$H$1964,B237=2023,G237/$H$1965)</f>
        <v>2.2005845845679873E-4</v>
      </c>
      <c r="J237" s="10" cm="1">
        <f t="array" ref="J237">_xlfn.IFS(B237=2015,I237*$G$2,B237=2016,I237*$G$3,B237=2017,I237*$G$4,B237=2018,I237*$G$5,B237=2019,I237*$G$6,B237=2020,I237*$G$7,B237=2021,I237*$G$8,B237=2022,I237*$G$9,B237=2023,I237*$G$10)</f>
        <v>38000.551513957238</v>
      </c>
      <c r="K237" s="8">
        <f t="shared" si="3"/>
        <v>229328.55151395724</v>
      </c>
      <c r="L237">
        <f>IFERROR(VLOOKUP(F237,'LEAID Match'!$A$2:$B$240,2,FALSE),"")</f>
        <v>3200150</v>
      </c>
    </row>
    <row r="238" spans="1:12" x14ac:dyDescent="0.2">
      <c r="A238">
        <v>3200150</v>
      </c>
      <c r="B238">
        <v>2021</v>
      </c>
      <c r="C238" s="4" t="s">
        <v>66</v>
      </c>
      <c r="D238" s="4" t="s">
        <v>576</v>
      </c>
      <c r="E238" s="4" t="s">
        <v>578</v>
      </c>
      <c r="F238" s="4" t="s">
        <v>23</v>
      </c>
      <c r="G238" s="8">
        <v>190071</v>
      </c>
      <c r="I238" s="16" cm="1">
        <f t="array" ref="I238">_xlfn.IFS(B238=2015,G238/$H$1957,B238=2016,G238/$H$1958,B238=2017,G238/$H$1959,B238=2018,G238/$H$1960,B238=2019,G238/$H$1961,B238=2020,G238/$H$1962,B238=2021,G238/$H$1963,B238=2022,G238/$H$1964,B238=2023,G238/$H$1965)</f>
        <v>2.1721216777055471E-4</v>
      </c>
      <c r="J238" s="10" cm="1">
        <f t="array" ref="J238">_xlfn.IFS(B238=2015,I238*$G$2,B238=2016,I238*$G$3,B238=2017,I238*$G$4,B238=2018,I238*$G$5,B238=2019,I238*$G$6,B238=2020,I238*$G$7,B238=2021,I238*$G$8,B238=2022,I238*$G$9,B238=2023,I238*$G$10)</f>
        <v>37277.264973483776</v>
      </c>
      <c r="K238" s="8">
        <f t="shared" si="3"/>
        <v>227348.26497348378</v>
      </c>
      <c r="L238">
        <f>IFERROR(VLOOKUP(F238,'LEAID Match'!$A$2:$B$240,2,FALSE),"")</f>
        <v>3200150</v>
      </c>
    </row>
    <row r="239" spans="1:12" x14ac:dyDescent="0.2">
      <c r="A239">
        <v>3200150</v>
      </c>
      <c r="B239">
        <v>2022</v>
      </c>
      <c r="C239" s="4" t="s">
        <v>66</v>
      </c>
      <c r="D239" s="4" t="s">
        <v>576</v>
      </c>
      <c r="E239" s="4" t="s">
        <v>578</v>
      </c>
      <c r="F239" s="4" t="s">
        <v>23</v>
      </c>
      <c r="G239" s="8">
        <v>194860</v>
      </c>
      <c r="I239" s="16" cm="1">
        <f t="array" ref="I239">_xlfn.IFS(B239=2015,G239/$H$1957,B239=2016,G239/$H$1958,B239=2017,G239/$H$1959,B239=2018,G239/$H$1960,B239=2019,G239/$H$1961,B239=2020,G239/$H$1962,B239=2021,G239/$H$1963,B239=2022,G239/$H$1964,B239=2023,G239/$H$1965)</f>
        <v>2.0943597772329914E-4</v>
      </c>
      <c r="J239" s="10" cm="1">
        <f t="array" ref="J239">_xlfn.IFS(B239=2015,I239*$G$2,B239=2016,I239*$G$3,B239=2017,I239*$G$4,B239=2018,I239*$G$5,B239=2019,I239*$G$6,B239=2020,I239*$G$7,B239=2021,I239*$G$8,B239=2022,I239*$G$9,B239=2023,I239*$G$10)</f>
        <v>35517.336206155225</v>
      </c>
      <c r="K239" s="8">
        <f t="shared" si="3"/>
        <v>230377.33620615522</v>
      </c>
      <c r="L239">
        <f>IFERROR(VLOOKUP(F239,'LEAID Match'!$A$2:$B$240,2,FALSE),"")</f>
        <v>3200150</v>
      </c>
    </row>
    <row r="240" spans="1:12" x14ac:dyDescent="0.2">
      <c r="A240">
        <v>3200150</v>
      </c>
      <c r="B240">
        <v>2023</v>
      </c>
      <c r="C240" s="4" t="s">
        <v>66</v>
      </c>
      <c r="D240" s="4" t="s">
        <v>576</v>
      </c>
      <c r="E240" s="4" t="s">
        <v>578</v>
      </c>
      <c r="F240" s="4" t="s">
        <v>23</v>
      </c>
      <c r="G240" s="8">
        <v>173005</v>
      </c>
      <c r="I240" s="16" cm="1">
        <f t="array" ref="I240">_xlfn.IFS(B240=2015,G240/$H$1957,B240=2016,G240/$H$1958,B240=2017,G240/$H$1959,B240=2018,G240/$H$1960,B240=2019,G240/$H$1961,B240=2020,G240/$H$1962,B240=2021,G240/$H$1963,B240=2022,G240/$H$1964,B240=2023,G240/$H$1965)</f>
        <v>1.7516576163175253E-4</v>
      </c>
      <c r="J240" s="10" cm="1">
        <f t="array" ref="J240">_xlfn.IFS(B240=2015,I240*$G$2,B240=2016,I240*$G$3,B240=2017,I240*$G$4,B240=2018,I240*$G$5,B240=2019,I240*$G$6,B240=2020,I240*$G$7,B240=2021,I240*$G$8,B240=2022,I240*$G$9,B240=2023,I240*$G$10)</f>
        <v>29775.607868851414</v>
      </c>
      <c r="K240" s="8">
        <f t="shared" si="3"/>
        <v>202780.60786885142</v>
      </c>
      <c r="L240">
        <f>IFERROR(VLOOKUP(F240,'LEAID Match'!$A$2:$B$240,2,FALSE),"")</f>
        <v>3200150</v>
      </c>
    </row>
    <row r="241" spans="1:12" x14ac:dyDescent="0.2">
      <c r="A241">
        <v>3200180</v>
      </c>
      <c r="B241">
        <v>2015</v>
      </c>
      <c r="C241" s="4" t="s">
        <v>67</v>
      </c>
      <c r="D241" s="4" t="s">
        <v>576</v>
      </c>
      <c r="E241" s="4" t="s">
        <v>578</v>
      </c>
      <c r="F241" s="4" t="s">
        <v>24</v>
      </c>
      <c r="G241" s="8">
        <v>1029722</v>
      </c>
      <c r="I241" s="16" cm="1">
        <f t="array" ref="I241">_xlfn.IFS(B241=2015,G241/$H$1957,B241=2016,G241/$H$1958,B241=2017,G241/$H$1959,B241=2018,G241/$H$1960,B241=2019,G241/$H$1961,B241=2020,G241/$H$1962,B241=2021,G241/$H$1963,B241=2022,G241/$H$1964,B241=2023,G241/$H$1965)</f>
        <v>7.9521155686560179E-4</v>
      </c>
      <c r="J241" s="10" cm="1">
        <f t="array" ref="J241">_xlfn.IFS(B241=2015,I241*$G$2,B241=2016,I241*$G$3,B241=2017,I241*$G$4,B241=2018,I241*$G$5,B241=2019,I241*$G$6,B241=2020,I241*$G$7,B241=2021,I241*$G$8,B241=2022,I241*$G$9,B241=2023,I241*$G$10)</f>
        <v>197723.44916882215</v>
      </c>
      <c r="K241" s="8">
        <f t="shared" si="3"/>
        <v>1227445.4491688223</v>
      </c>
      <c r="L241">
        <f>IFERROR(VLOOKUP(F241,'LEAID Match'!$A$2:$B$240,2,FALSE),"")</f>
        <v>3200180</v>
      </c>
    </row>
    <row r="242" spans="1:12" x14ac:dyDescent="0.2">
      <c r="A242">
        <v>3200180</v>
      </c>
      <c r="B242">
        <v>2016</v>
      </c>
      <c r="C242" s="4" t="s">
        <v>67</v>
      </c>
      <c r="D242" s="4" t="s">
        <v>576</v>
      </c>
      <c r="E242" s="4" t="s">
        <v>578</v>
      </c>
      <c r="F242" s="4" t="s">
        <v>24</v>
      </c>
      <c r="G242" s="8">
        <v>1118042</v>
      </c>
      <c r="I242" s="16" cm="1">
        <f t="array" ref="I242">_xlfn.IFS(B242=2015,G242/$H$1957,B242=2016,G242/$H$1958,B242=2017,G242/$H$1959,B242=2018,G242/$H$1960,B242=2019,G242/$H$1961,B242=2020,G242/$H$1962,B242=2021,G242/$H$1963,B242=2022,G242/$H$1964,B242=2023,G242/$H$1965)</f>
        <v>7.8486500602976917E-4</v>
      </c>
      <c r="J242" s="10" cm="1">
        <f t="array" ref="J242">_xlfn.IFS(B242=2015,I242*$G$2,B242=2016,I242*$G$3,B242=2017,I242*$G$4,B242=2018,I242*$G$5,B242=2019,I242*$G$6,B242=2020,I242*$G$7,B242=2021,I242*$G$8,B242=2022,I242*$G$9,B242=2023,I242*$G$10)</f>
        <v>212857.80701949197</v>
      </c>
      <c r="K242" s="8">
        <f t="shared" si="3"/>
        <v>1330899.8070194919</v>
      </c>
      <c r="L242">
        <f>IFERROR(VLOOKUP(F242,'LEAID Match'!$A$2:$B$240,2,FALSE),"")</f>
        <v>3200180</v>
      </c>
    </row>
    <row r="243" spans="1:12" x14ac:dyDescent="0.2">
      <c r="A243">
        <v>3200180</v>
      </c>
      <c r="B243">
        <v>2017</v>
      </c>
      <c r="C243" s="4" t="s">
        <v>67</v>
      </c>
      <c r="D243" s="4" t="s">
        <v>576</v>
      </c>
      <c r="E243" s="4" t="s">
        <v>578</v>
      </c>
      <c r="F243" s="4" t="s">
        <v>24</v>
      </c>
      <c r="G243" s="8">
        <v>598528</v>
      </c>
      <c r="I243" s="16" cm="1">
        <f t="array" ref="I243">_xlfn.IFS(B243=2015,G243/$H$1957,B243=2016,G243/$H$1958,B243=2017,G243/$H$1959,B243=2018,G243/$H$1960,B243=2019,G243/$H$1961,B243=2020,G243/$H$1962,B243=2021,G243/$H$1963,B243=2022,G243/$H$1964,B243=2023,G243/$H$1965)</f>
        <v>7.9856372311507494E-4</v>
      </c>
      <c r="J243" s="10" cm="1">
        <f t="array" ref="J243">_xlfn.IFS(B243=2015,I243*$G$2,B243=2016,I243*$G$3,B243=2017,I243*$G$4,B243=2018,I243*$G$5,B243=2019,I243*$G$6,B243=2020,I243*$G$7,B243=2021,I243*$G$8,B243=2022,I243*$G$9,B243=2023,I243*$G$10)</f>
        <v>118256.57625812446</v>
      </c>
      <c r="K243" s="8">
        <f t="shared" si="3"/>
        <v>716784.57625812443</v>
      </c>
      <c r="L243">
        <f>IFERROR(VLOOKUP(F243,'LEAID Match'!$A$2:$B$240,2,FALSE),"")</f>
        <v>3200180</v>
      </c>
    </row>
    <row r="244" spans="1:12" x14ac:dyDescent="0.2">
      <c r="A244">
        <v>3200180</v>
      </c>
      <c r="B244">
        <v>2018</v>
      </c>
      <c r="C244" s="4" t="s">
        <v>67</v>
      </c>
      <c r="D244" s="4" t="s">
        <v>576</v>
      </c>
      <c r="E244" s="4" t="s">
        <v>578</v>
      </c>
      <c r="F244" s="4" t="s">
        <v>24</v>
      </c>
      <c r="G244" s="8">
        <v>618249</v>
      </c>
      <c r="I244" s="16" cm="1">
        <f t="array" ref="I244">_xlfn.IFS(B244=2015,G244/$H$1957,B244=2016,G244/$H$1958,B244=2017,G244/$H$1959,B244=2018,G244/$H$1960,B244=2019,G244/$H$1961,B244=2020,G244/$H$1962,B244=2021,G244/$H$1963,B244=2022,G244/$H$1964,B244=2023,G244/$H$1965)</f>
        <v>7.9550744738485289E-4</v>
      </c>
      <c r="J244" s="10" cm="1">
        <f t="array" ref="J244">_xlfn.IFS(B244=2015,I244*$G$2,B244=2016,I244*$G$3,B244=2017,I244*$G$4,B244=2018,I244*$G$5,B244=2019,I244*$G$6,B244=2020,I244*$G$7,B244=2021,I244*$G$8,B244=2022,I244*$G$9,B244=2023,I244*$G$10)</f>
        <v>119742.9025515916</v>
      </c>
      <c r="K244" s="8">
        <f t="shared" si="3"/>
        <v>737991.90255159163</v>
      </c>
      <c r="L244">
        <f>IFERROR(VLOOKUP(F244,'LEAID Match'!$A$2:$B$240,2,FALSE),"")</f>
        <v>3200180</v>
      </c>
    </row>
    <row r="245" spans="1:12" x14ac:dyDescent="0.2">
      <c r="A245">
        <v>3200180</v>
      </c>
      <c r="B245">
        <v>2019</v>
      </c>
      <c r="C245" s="4" t="s">
        <v>67</v>
      </c>
      <c r="D245" s="4" t="s">
        <v>576</v>
      </c>
      <c r="E245" s="4" t="s">
        <v>578</v>
      </c>
      <c r="F245" s="4" t="s">
        <v>24</v>
      </c>
      <c r="G245" s="8">
        <v>653544</v>
      </c>
      <c r="I245" s="16" cm="1">
        <f t="array" ref="I245">_xlfn.IFS(B245=2015,G245/$H$1957,B245=2016,G245/$H$1958,B245=2017,G245/$H$1959,B245=2018,G245/$H$1960,B245=2019,G245/$H$1961,B245=2020,G245/$H$1962,B245=2021,G245/$H$1963,B245=2022,G245/$H$1964,B245=2023,G245/$H$1965)</f>
        <v>8.1222229460269915E-4</v>
      </c>
      <c r="J245" s="10" cm="1">
        <f t="array" ref="J245">_xlfn.IFS(B245=2015,I245*$G$2,B245=2016,I245*$G$3,B245=2017,I245*$G$4,B245=2018,I245*$G$5,B245=2019,I245*$G$6,B245=2020,I245*$G$7,B245=2021,I245*$G$8,B245=2022,I245*$G$9,B245=2023,I245*$G$10)</f>
        <v>128353.96386259528</v>
      </c>
      <c r="K245" s="8">
        <f t="shared" si="3"/>
        <v>781897.96386259526</v>
      </c>
      <c r="L245">
        <f>IFERROR(VLOOKUP(F245,'LEAID Match'!$A$2:$B$240,2,FALSE),"")</f>
        <v>3200180</v>
      </c>
    </row>
    <row r="246" spans="1:12" x14ac:dyDescent="0.2">
      <c r="A246">
        <v>3200180</v>
      </c>
      <c r="B246">
        <v>2020</v>
      </c>
      <c r="C246" s="4" t="s">
        <v>67</v>
      </c>
      <c r="D246" s="4" t="s">
        <v>576</v>
      </c>
      <c r="E246" s="4" t="s">
        <v>578</v>
      </c>
      <c r="F246" s="4" t="s">
        <v>24</v>
      </c>
      <c r="G246" s="8">
        <v>690119</v>
      </c>
      <c r="I246" s="16" cm="1">
        <f t="array" ref="I246">_xlfn.IFS(B246=2015,G246/$H$1957,B246=2016,G246/$H$1958,B246=2017,G246/$H$1959,B246=2018,G246/$H$1960,B246=2019,G246/$H$1961,B246=2020,G246/$H$1962,B246=2021,G246/$H$1963,B246=2022,G246/$H$1964,B246=2023,G246/$H$1965)</f>
        <v>7.9374959907461257E-4</v>
      </c>
      <c r="J246" s="10" cm="1">
        <f t="array" ref="J246">_xlfn.IFS(B246=2015,I246*$G$2,B246=2016,I246*$G$3,B246=2017,I246*$G$4,B246=2018,I246*$G$5,B246=2019,I246*$G$6,B246=2020,I246*$G$7,B246=2021,I246*$G$8,B246=2022,I246*$G$9,B246=2023,I246*$G$10)</f>
        <v>137067.7716291429</v>
      </c>
      <c r="K246" s="8">
        <f t="shared" si="3"/>
        <v>827186.77162914292</v>
      </c>
      <c r="L246">
        <f>IFERROR(VLOOKUP(F246,'LEAID Match'!$A$2:$B$240,2,FALSE),"")</f>
        <v>3200180</v>
      </c>
    </row>
    <row r="247" spans="1:12" x14ac:dyDescent="0.2">
      <c r="A247">
        <v>3200180</v>
      </c>
      <c r="B247">
        <v>2021</v>
      </c>
      <c r="C247" s="4" t="s">
        <v>67</v>
      </c>
      <c r="D247" s="4" t="s">
        <v>576</v>
      </c>
      <c r="E247" s="4" t="s">
        <v>578</v>
      </c>
      <c r="F247" s="4" t="s">
        <v>24</v>
      </c>
      <c r="G247" s="8">
        <v>680614</v>
      </c>
      <c r="I247" s="16" cm="1">
        <f t="array" ref="I247">_xlfn.IFS(B247=2015,G247/$H$1957,B247=2016,G247/$H$1958,B247=2017,G247/$H$1959,B247=2018,G247/$H$1960,B247=2019,G247/$H$1961,B247=2020,G247/$H$1962,B247=2021,G247/$H$1963,B247=2022,G247/$H$1964,B247=2023,G247/$H$1965)</f>
        <v>7.7780220209810189E-4</v>
      </c>
      <c r="J247" s="10" cm="1">
        <f t="array" ref="J247">_xlfn.IFS(B247=2015,I247*$G$2,B247=2016,I247*$G$3,B247=2017,I247*$G$4,B247=2018,I247*$G$5,B247=2019,I247*$G$6,B247=2020,I247*$G$7,B247=2021,I247*$G$8,B247=2022,I247*$G$9,B247=2023,I247*$G$10)</f>
        <v>133483.9529579088</v>
      </c>
      <c r="K247" s="8">
        <f t="shared" si="3"/>
        <v>814097.95295790886</v>
      </c>
      <c r="L247">
        <f>IFERROR(VLOOKUP(F247,'LEAID Match'!$A$2:$B$240,2,FALSE),"")</f>
        <v>3200180</v>
      </c>
    </row>
    <row r="248" spans="1:12" x14ac:dyDescent="0.2">
      <c r="A248">
        <v>3200180</v>
      </c>
      <c r="B248">
        <v>2022</v>
      </c>
      <c r="C248" s="4" t="s">
        <v>67</v>
      </c>
      <c r="D248" s="4" t="s">
        <v>576</v>
      </c>
      <c r="E248" s="4" t="s">
        <v>578</v>
      </c>
      <c r="F248" s="4" t="s">
        <v>24</v>
      </c>
      <c r="G248" s="8">
        <v>757120</v>
      </c>
      <c r="I248" s="16" cm="1">
        <f t="array" ref="I248">_xlfn.IFS(B248=2015,G248/$H$1957,B248=2016,G248/$H$1958,B248=2017,G248/$H$1959,B248=2018,G248/$H$1960,B248=2019,G248/$H$1961,B248=2020,G248/$H$1962,B248=2021,G248/$H$1963,B248=2022,G248/$H$1964,B248=2023,G248/$H$1965)</f>
        <v>8.1375432338019217E-4</v>
      </c>
      <c r="J248" s="10" cm="1">
        <f t="array" ref="J248">_xlfn.IFS(B248=2015,I248*$G$2,B248=2016,I248*$G$3,B248=2017,I248*$G$4,B248=2018,I248*$G$5,B248=2019,I248*$G$6,B248=2020,I248*$G$7,B248=2021,I248*$G$8,B248=2022,I248*$G$9,B248=2023,I248*$G$10)</f>
        <v>138001.05505698576</v>
      </c>
      <c r="K248" s="8">
        <f t="shared" si="3"/>
        <v>895121.0550569857</v>
      </c>
      <c r="L248">
        <f>IFERROR(VLOOKUP(F248,'LEAID Match'!$A$2:$B$240,2,FALSE),"")</f>
        <v>3200180</v>
      </c>
    </row>
    <row r="249" spans="1:12" x14ac:dyDescent="0.2">
      <c r="A249">
        <v>3200180</v>
      </c>
      <c r="B249">
        <v>2023</v>
      </c>
      <c r="C249" s="4" t="s">
        <v>67</v>
      </c>
      <c r="D249" s="4" t="s">
        <v>576</v>
      </c>
      <c r="E249" s="4" t="s">
        <v>578</v>
      </c>
      <c r="F249" s="4" t="s">
        <v>24</v>
      </c>
      <c r="G249" s="8">
        <v>749076</v>
      </c>
      <c r="I249" s="16" cm="1">
        <f t="array" ref="I249">_xlfn.IFS(B249=2015,G249/$H$1957,B249=2016,G249/$H$1958,B249=2017,G249/$H$1959,B249=2018,G249/$H$1960,B249=2019,G249/$H$1961,B249=2020,G249/$H$1962,B249=2021,G249/$H$1963,B249=2022,G249/$H$1964,B249=2023,G249/$H$1965)</f>
        <v>7.5843165261158148E-4</v>
      </c>
      <c r="J249" s="10" cm="1">
        <f t="array" ref="J249">_xlfn.IFS(B249=2015,I249*$G$2,B249=2016,I249*$G$3,B249=2017,I249*$G$4,B249=2018,I249*$G$5,B249=2019,I249*$G$6,B249=2020,I249*$G$7,B249=2021,I249*$G$8,B249=2022,I249*$G$9,B249=2023,I249*$G$10)</f>
        <v>128922.24640887686</v>
      </c>
      <c r="K249" s="8">
        <f t="shared" si="3"/>
        <v>877998.24640887685</v>
      </c>
      <c r="L249">
        <f>IFERROR(VLOOKUP(F249,'LEAID Match'!$A$2:$B$240,2,FALSE),"")</f>
        <v>3200180</v>
      </c>
    </row>
    <row r="250" spans="1:12" x14ac:dyDescent="0.2">
      <c r="A250">
        <v>3200210</v>
      </c>
      <c r="B250">
        <v>2015</v>
      </c>
      <c r="C250" s="4" t="s">
        <v>68</v>
      </c>
      <c r="D250" s="4" t="s">
        <v>576</v>
      </c>
      <c r="E250" s="4" t="s">
        <v>578</v>
      </c>
      <c r="F250" s="4" t="s">
        <v>25</v>
      </c>
      <c r="G250" s="8">
        <v>4983849</v>
      </c>
      <c r="I250" s="16" cm="1">
        <f t="array" ref="I250">_xlfn.IFS(B250=2015,G250/$H$1957,B250=2016,G250/$H$1958,B250=2017,G250/$H$1959,B250=2018,G250/$H$1960,B250=2019,G250/$H$1961,B250=2020,G250/$H$1962,B250=2021,G250/$H$1963,B250=2022,G250/$H$1964,B250=2023,G250/$H$1965)</f>
        <v>3.8488197032529874E-3</v>
      </c>
      <c r="J250" s="10" cm="1">
        <f t="array" ref="J250">_xlfn.IFS(B250=2015,I250*$G$2,B250=2016,I250*$G$3,B250=2017,I250*$G$4,B250=2018,I250*$G$5,B250=2019,I250*$G$6,B250=2020,I250*$G$7,B250=2021,I250*$G$8,B250=2022,I250*$G$9,B250=2023,I250*$G$10)</f>
        <v>956980.44172755862</v>
      </c>
      <c r="K250" s="8">
        <f t="shared" si="3"/>
        <v>5940829.4417275582</v>
      </c>
      <c r="L250">
        <f>IFERROR(VLOOKUP(F250,'LEAID Match'!$A$2:$B$240,2,FALSE),"")</f>
        <v>3200210</v>
      </c>
    </row>
    <row r="251" spans="1:12" x14ac:dyDescent="0.2">
      <c r="A251">
        <v>3200210</v>
      </c>
      <c r="B251">
        <v>2016</v>
      </c>
      <c r="C251" s="4" t="s">
        <v>68</v>
      </c>
      <c r="D251" s="4" t="s">
        <v>576</v>
      </c>
      <c r="E251" s="4" t="s">
        <v>578</v>
      </c>
      <c r="F251" s="4" t="s">
        <v>25</v>
      </c>
      <c r="G251" s="8">
        <v>5665933</v>
      </c>
      <c r="I251" s="16" cm="1">
        <f t="array" ref="I251">_xlfn.IFS(B251=2015,G251/$H$1957,B251=2016,G251/$H$1958,B251=2017,G251/$H$1959,B251=2018,G251/$H$1960,B251=2019,G251/$H$1961,B251=2020,G251/$H$1962,B251=2021,G251/$H$1963,B251=2022,G251/$H$1964,B251=2023,G251/$H$1965)</f>
        <v>3.9774825437767702E-3</v>
      </c>
      <c r="J251" s="10" cm="1">
        <f t="array" ref="J251">_xlfn.IFS(B251=2015,I251*$G$2,B251=2016,I251*$G$3,B251=2017,I251*$G$4,B251=2018,I251*$G$5,B251=2019,I251*$G$6,B251=2020,I251*$G$7,B251=2021,I251*$G$8,B251=2022,I251*$G$9,B251=2023,I251*$G$10)</f>
        <v>1078705.5165184948</v>
      </c>
      <c r="K251" s="8">
        <f t="shared" si="3"/>
        <v>6744638.516518495</v>
      </c>
      <c r="L251">
        <f>IFERROR(VLOOKUP(F251,'LEAID Match'!$A$2:$B$240,2,FALSE),"")</f>
        <v>3200210</v>
      </c>
    </row>
    <row r="252" spans="1:12" x14ac:dyDescent="0.2">
      <c r="A252">
        <v>3200210</v>
      </c>
      <c r="B252">
        <v>2017</v>
      </c>
      <c r="C252" s="4" t="s">
        <v>68</v>
      </c>
      <c r="D252" s="4" t="s">
        <v>576</v>
      </c>
      <c r="E252" s="4" t="s">
        <v>578</v>
      </c>
      <c r="F252" s="4" t="s">
        <v>25</v>
      </c>
      <c r="G252" s="8">
        <v>2890909</v>
      </c>
      <c r="I252" s="16" cm="1">
        <f t="array" ref="I252">_xlfn.IFS(B252=2015,G252/$H$1957,B252=2016,G252/$H$1958,B252=2017,G252/$H$1959,B252=2018,G252/$H$1960,B252=2019,G252/$H$1961,B252=2020,G252/$H$1962,B252=2021,G252/$H$1963,B252=2022,G252/$H$1964,B252=2023,G252/$H$1965)</f>
        <v>3.8570878124780765E-3</v>
      </c>
      <c r="J252" s="10" cm="1">
        <f t="array" ref="J252">_xlfn.IFS(B252=2015,I252*$G$2,B252=2016,I252*$G$3,B252=2017,I252*$G$4,B252=2018,I252*$G$5,B252=2019,I252*$G$6,B252=2020,I252*$G$7,B252=2021,I252*$G$8,B252=2022,I252*$G$9,B252=2023,I252*$G$10)</f>
        <v>571182.96990917437</v>
      </c>
      <c r="K252" s="8">
        <f t="shared" si="3"/>
        <v>3462091.9699091744</v>
      </c>
      <c r="L252">
        <f>IFERROR(VLOOKUP(F252,'LEAID Match'!$A$2:$B$240,2,FALSE),"")</f>
        <v>3200210</v>
      </c>
    </row>
    <row r="253" spans="1:12" x14ac:dyDescent="0.2">
      <c r="A253">
        <v>3200210</v>
      </c>
      <c r="B253">
        <v>2018</v>
      </c>
      <c r="C253" s="4" t="s">
        <v>68</v>
      </c>
      <c r="D253" s="4" t="s">
        <v>576</v>
      </c>
      <c r="E253" s="4" t="s">
        <v>578</v>
      </c>
      <c r="F253" s="4" t="s">
        <v>25</v>
      </c>
      <c r="G253" s="8">
        <v>3075804</v>
      </c>
      <c r="I253" s="16" cm="1">
        <f t="array" ref="I253">_xlfn.IFS(B253=2015,G253/$H$1957,B253=2016,G253/$H$1958,B253=2017,G253/$H$1959,B253=2018,G253/$H$1960,B253=2019,G253/$H$1961,B253=2020,G253/$H$1962,B253=2021,G253/$H$1963,B253=2022,G253/$H$1964,B253=2023,G253/$H$1965)</f>
        <v>3.9576691409062047E-3</v>
      </c>
      <c r="J253" s="10" cm="1">
        <f t="array" ref="J253">_xlfn.IFS(B253=2015,I253*$G$2,B253=2016,I253*$G$3,B253=2017,I253*$G$4,B253=2018,I253*$G$5,B253=2019,I253*$G$6,B253=2020,I253*$G$7,B253=2021,I253*$G$8,B253=2022,I253*$G$9,B253=2023,I253*$G$10)</f>
        <v>595723.8889829109</v>
      </c>
      <c r="K253" s="8">
        <f t="shared" si="3"/>
        <v>3671527.8889829107</v>
      </c>
      <c r="L253">
        <f>IFERROR(VLOOKUP(F253,'LEAID Match'!$A$2:$B$240,2,FALSE),"")</f>
        <v>3200210</v>
      </c>
    </row>
    <row r="254" spans="1:12" x14ac:dyDescent="0.2">
      <c r="A254">
        <v>3200210</v>
      </c>
      <c r="B254">
        <v>2019</v>
      </c>
      <c r="C254" s="4" t="s">
        <v>68</v>
      </c>
      <c r="D254" s="4" t="s">
        <v>576</v>
      </c>
      <c r="E254" s="4" t="s">
        <v>578</v>
      </c>
      <c r="F254" s="4" t="s">
        <v>25</v>
      </c>
      <c r="G254" s="8">
        <v>3179487</v>
      </c>
      <c r="I254" s="16" cm="1">
        <f t="array" ref="I254">_xlfn.IFS(B254=2015,G254/$H$1957,B254=2016,G254/$H$1958,B254=2017,G254/$H$1959,B254=2018,G254/$H$1960,B254=2019,G254/$H$1961,B254=2020,G254/$H$1962,B254=2021,G254/$H$1963,B254=2022,G254/$H$1964,B254=2023,G254/$H$1965)</f>
        <v>3.9514557960894023E-3</v>
      </c>
      <c r="J254" s="10" cm="1">
        <f t="array" ref="J254">_xlfn.IFS(B254=2015,I254*$G$2,B254=2016,I254*$G$3,B254=2017,I254*$G$4,B254=2018,I254*$G$5,B254=2019,I254*$G$6,B254=2020,I254*$G$7,B254=2021,I254*$G$8,B254=2022,I254*$G$9,B254=2023,I254*$G$10)</f>
        <v>624441.13862202317</v>
      </c>
      <c r="K254" s="8">
        <f t="shared" si="3"/>
        <v>3803928.1386220232</v>
      </c>
      <c r="L254">
        <f>IFERROR(VLOOKUP(F254,'LEAID Match'!$A$2:$B$240,2,FALSE),"")</f>
        <v>3200210</v>
      </c>
    </row>
    <row r="255" spans="1:12" x14ac:dyDescent="0.2">
      <c r="A255">
        <v>3200210</v>
      </c>
      <c r="B255">
        <v>2020</v>
      </c>
      <c r="C255" s="4" t="s">
        <v>68</v>
      </c>
      <c r="D255" s="4" t="s">
        <v>576</v>
      </c>
      <c r="E255" s="4" t="s">
        <v>578</v>
      </c>
      <c r="F255" s="4" t="s">
        <v>25</v>
      </c>
      <c r="G255" s="8">
        <v>3402448</v>
      </c>
      <c r="I255" s="16" cm="1">
        <f t="array" ref="I255">_xlfn.IFS(B255=2015,G255/$H$1957,B255=2016,G255/$H$1958,B255=2017,G255/$H$1959,B255=2018,G255/$H$1960,B255=2019,G255/$H$1961,B255=2020,G255/$H$1962,B255=2021,G255/$H$1963,B255=2022,G255/$H$1964,B255=2023,G255/$H$1965)</f>
        <v>3.9133710792953356E-3</v>
      </c>
      <c r="J255" s="10" cm="1">
        <f t="array" ref="J255">_xlfn.IFS(B255=2015,I255*$G$2,B255=2016,I255*$G$3,B255=2017,I255*$G$4,B255=2018,I255*$G$5,B255=2019,I255*$G$6,B255=2020,I255*$G$7,B255=2021,I255*$G$8,B255=2022,I255*$G$9,B255=2023,I255*$G$10)</f>
        <v>675776.15663970134</v>
      </c>
      <c r="K255" s="8">
        <f t="shared" si="3"/>
        <v>4078224.1566397012</v>
      </c>
      <c r="L255">
        <f>IFERROR(VLOOKUP(F255,'LEAID Match'!$A$2:$B$240,2,FALSE),"")</f>
        <v>3200210</v>
      </c>
    </row>
    <row r="256" spans="1:12" x14ac:dyDescent="0.2">
      <c r="A256">
        <v>3200210</v>
      </c>
      <c r="B256">
        <v>2021</v>
      </c>
      <c r="C256" s="4" t="s">
        <v>68</v>
      </c>
      <c r="D256" s="4" t="s">
        <v>576</v>
      </c>
      <c r="E256" s="4" t="s">
        <v>578</v>
      </c>
      <c r="F256" s="4" t="s">
        <v>25</v>
      </c>
      <c r="G256" s="8">
        <v>3667355</v>
      </c>
      <c r="I256" s="16" cm="1">
        <f t="array" ref="I256">_xlfn.IFS(B256=2015,G256/$H$1957,B256=2016,G256/$H$1958,B256=2017,G256/$H$1959,B256=2018,G256/$H$1960,B256=2019,G256/$H$1961,B256=2020,G256/$H$1962,B256=2021,G256/$H$1963,B256=2022,G256/$H$1964,B256=2023,G256/$H$1965)</f>
        <v>4.1910345583186428E-3</v>
      </c>
      <c r="J256" s="10" cm="1">
        <f t="array" ref="J256">_xlfn.IFS(B256=2015,I256*$G$2,B256=2016,I256*$G$3,B256=2017,I256*$G$4,B256=2018,I256*$G$5,B256=2019,I256*$G$6,B256=2020,I256*$G$7,B256=2021,I256*$G$8,B256=2022,I256*$G$9,B256=2023,I256*$G$10)</f>
        <v>719252.09046530293</v>
      </c>
      <c r="K256" s="8">
        <f t="shared" si="3"/>
        <v>4386607.0904653026</v>
      </c>
      <c r="L256">
        <f>IFERROR(VLOOKUP(F256,'LEAID Match'!$A$2:$B$240,2,FALSE),"")</f>
        <v>3200210</v>
      </c>
    </row>
    <row r="257" spans="1:12" x14ac:dyDescent="0.2">
      <c r="A257">
        <v>3200210</v>
      </c>
      <c r="B257">
        <v>2022</v>
      </c>
      <c r="C257" s="4" t="s">
        <v>68</v>
      </c>
      <c r="D257" s="4" t="s">
        <v>576</v>
      </c>
      <c r="E257" s="4" t="s">
        <v>578</v>
      </c>
      <c r="F257" s="4" t="s">
        <v>25</v>
      </c>
      <c r="G257" s="8">
        <v>3540258</v>
      </c>
      <c r="I257" s="16" cm="1">
        <f t="array" ref="I257">_xlfn.IFS(B257=2015,G257/$H$1957,B257=2016,G257/$H$1958,B257=2017,G257/$H$1959,B257=2018,G257/$H$1960,B257=2019,G257/$H$1961,B257=2020,G257/$H$1962,B257=2021,G257/$H$1963,B257=2022,G257/$H$1964,B257=2023,G257/$H$1965)</f>
        <v>3.805077469068724E-3</v>
      </c>
      <c r="J257" s="10" cm="1">
        <f t="array" ref="J257">_xlfn.IFS(B257=2015,I257*$G$2,B257=2016,I257*$G$3,B257=2017,I257*$G$4,B257=2018,I257*$G$5,B257=2019,I257*$G$6,B257=2020,I257*$G$7,B257=2021,I257*$G$8,B257=2022,I257*$G$9,B257=2023,I257*$G$10)</f>
        <v>645286.53208729695</v>
      </c>
      <c r="K257" s="8">
        <f t="shared" si="3"/>
        <v>4185544.5320872972</v>
      </c>
      <c r="L257">
        <f>IFERROR(VLOOKUP(F257,'LEAID Match'!$A$2:$B$240,2,FALSE),"")</f>
        <v>3200210</v>
      </c>
    </row>
    <row r="258" spans="1:12" x14ac:dyDescent="0.2">
      <c r="A258">
        <v>3200210</v>
      </c>
      <c r="B258">
        <v>2023</v>
      </c>
      <c r="C258" s="4" t="s">
        <v>68</v>
      </c>
      <c r="D258" s="4" t="s">
        <v>576</v>
      </c>
      <c r="E258" s="4" t="s">
        <v>578</v>
      </c>
      <c r="F258" s="4" t="s">
        <v>25</v>
      </c>
      <c r="G258" s="8">
        <v>3611525</v>
      </c>
      <c r="I258" s="16" cm="1">
        <f t="array" ref="I258">_xlfn.IFS(B258=2015,G258/$H$1957,B258=2016,G258/$H$1958,B258=2017,G258/$H$1959,B258=2018,G258/$H$1960,B258=2019,G258/$H$1961,B258=2020,G258/$H$1962,B258=2021,G258/$H$1963,B258=2022,G258/$H$1964,B258=2023,G258/$H$1965)</f>
        <v>3.6566314689004077E-3</v>
      </c>
      <c r="J258" s="10" cm="1">
        <f t="array" ref="J258">_xlfn.IFS(B258=2015,I258*$G$2,B258=2016,I258*$G$3,B258=2017,I258*$G$4,B258=2018,I258*$G$5,B258=2019,I258*$G$6,B258=2020,I258*$G$7,B258=2021,I258*$G$8,B258=2022,I258*$G$9,B258=2023,I258*$G$10)</f>
        <v>621573.66670647438</v>
      </c>
      <c r="K258" s="8">
        <f t="shared" si="3"/>
        <v>4233098.6667064745</v>
      </c>
      <c r="L258">
        <f>IFERROR(VLOOKUP(F258,'LEAID Match'!$A$2:$B$240,2,FALSE),"")</f>
        <v>3200210</v>
      </c>
    </row>
    <row r="259" spans="1:12" x14ac:dyDescent="0.2">
      <c r="A259">
        <v>3200240</v>
      </c>
      <c r="B259">
        <v>2015</v>
      </c>
      <c r="C259" s="4" t="s">
        <v>69</v>
      </c>
      <c r="D259" s="4" t="s">
        <v>576</v>
      </c>
      <c r="E259" s="4" t="s">
        <v>578</v>
      </c>
      <c r="F259" s="4" t="s">
        <v>26</v>
      </c>
      <c r="G259" s="8">
        <v>1627937</v>
      </c>
      <c r="I259" s="16" cm="1">
        <f t="array" ref="I259">_xlfn.IFS(B259=2015,G259/$H$1957,B259=2016,G259/$H$1958,B259=2017,G259/$H$1959,B259=2018,G259/$H$1960,B259=2019,G259/$H$1961,B259=2020,G259/$H$1962,B259=2021,G259/$H$1963,B259=2022,G259/$H$1964,B259=2023,G259/$H$1965)</f>
        <v>1.257188169475953E-3</v>
      </c>
      <c r="J259" s="10" cm="1">
        <f t="array" ref="J259">_xlfn.IFS(B259=2015,I259*$G$2,B259=2016,I259*$G$3,B259=2017,I259*$G$4,B259=2018,I259*$G$5,B259=2019,I259*$G$6,B259=2020,I259*$G$7,B259=2021,I259*$G$8,B259=2022,I259*$G$9,B259=2023,I259*$G$10)</f>
        <v>312590.50371803739</v>
      </c>
      <c r="K259" s="8">
        <f t="shared" si="3"/>
        <v>1940527.5037180374</v>
      </c>
      <c r="L259">
        <f>IFERROR(VLOOKUP(F259,'LEAID Match'!$A$2:$B$240,2,FALSE),"")</f>
        <v>3200240</v>
      </c>
    </row>
    <row r="260" spans="1:12" x14ac:dyDescent="0.2">
      <c r="A260">
        <v>3200240</v>
      </c>
      <c r="B260">
        <v>2016</v>
      </c>
      <c r="C260" s="4" t="s">
        <v>69</v>
      </c>
      <c r="D260" s="4" t="s">
        <v>576</v>
      </c>
      <c r="E260" s="4" t="s">
        <v>578</v>
      </c>
      <c r="F260" s="4" t="s">
        <v>26</v>
      </c>
      <c r="G260" s="8">
        <v>1823358</v>
      </c>
      <c r="I260" s="16" cm="1">
        <f t="array" ref="I260">_xlfn.IFS(B260=2015,G260/$H$1957,B260=2016,G260/$H$1958,B260=2017,G260/$H$1959,B260=2018,G260/$H$1960,B260=2019,G260/$H$1961,B260=2020,G260/$H$1962,B260=2021,G260/$H$1963,B260=2022,G260/$H$1964,B260=2023,G260/$H$1965)</f>
        <v>1.2799965365025891E-3</v>
      </c>
      <c r="J260" s="10" cm="1">
        <f t="array" ref="J260">_xlfn.IFS(B260=2015,I260*$G$2,B260=2016,I260*$G$3,B260=2017,I260*$G$4,B260=2018,I260*$G$5,B260=2019,I260*$G$6,B260=2020,I260*$G$7,B260=2021,I260*$G$8,B260=2022,I260*$G$9,B260=2023,I260*$G$10)</f>
        <v>347139.00308883458</v>
      </c>
      <c r="K260" s="8">
        <f t="shared" si="3"/>
        <v>2170497.0030888347</v>
      </c>
      <c r="L260">
        <f>IFERROR(VLOOKUP(F260,'LEAID Match'!$A$2:$B$240,2,FALSE),"")</f>
        <v>3200240</v>
      </c>
    </row>
    <row r="261" spans="1:12" x14ac:dyDescent="0.2">
      <c r="A261">
        <v>3200240</v>
      </c>
      <c r="B261">
        <v>2017</v>
      </c>
      <c r="C261" s="4" t="s">
        <v>69</v>
      </c>
      <c r="D261" s="4" t="s">
        <v>576</v>
      </c>
      <c r="E261" s="4" t="s">
        <v>578</v>
      </c>
      <c r="F261" s="4" t="s">
        <v>26</v>
      </c>
      <c r="G261" s="8">
        <v>877967</v>
      </c>
      <c r="I261" s="16" cm="1">
        <f t="array" ref="I261">_xlfn.IFS(B261=2015,G261/$H$1957,B261=2016,G261/$H$1958,B261=2017,G261/$H$1959,B261=2018,G261/$H$1960,B261=2019,G261/$H$1961,B261=2020,G261/$H$1962,B261=2021,G261/$H$1963,B261=2022,G261/$H$1964,B261=2023,G261/$H$1965)</f>
        <v>1.1713948157683065E-3</v>
      </c>
      <c r="J261" s="10" cm="1">
        <f t="array" ref="J261">_xlfn.IFS(B261=2015,I261*$G$2,B261=2016,I261*$G$3,B261=2017,I261*$G$4,B261=2018,I261*$G$5,B261=2019,I261*$G$6,B261=2020,I261*$G$7,B261=2021,I261*$G$8,B261=2022,I261*$G$9,B261=2023,I261*$G$10)</f>
        <v>173467.8602966223</v>
      </c>
      <c r="K261" s="8">
        <f t="shared" si="3"/>
        <v>1051434.8602966224</v>
      </c>
      <c r="L261">
        <f>IFERROR(VLOOKUP(F261,'LEAID Match'!$A$2:$B$240,2,FALSE),"")</f>
        <v>3200240</v>
      </c>
    </row>
    <row r="262" spans="1:12" x14ac:dyDescent="0.2">
      <c r="A262">
        <v>3200240</v>
      </c>
      <c r="B262">
        <v>2018</v>
      </c>
      <c r="C262" s="4" t="s">
        <v>69</v>
      </c>
      <c r="D262" s="4" t="s">
        <v>576</v>
      </c>
      <c r="E262" s="4" t="s">
        <v>578</v>
      </c>
      <c r="F262" s="4" t="s">
        <v>26</v>
      </c>
      <c r="G262" s="8">
        <v>813808</v>
      </c>
      <c r="I262" s="16" cm="1">
        <f t="array" ref="I262">_xlfn.IFS(B262=2015,G262/$H$1957,B262=2016,G262/$H$1958,B262=2017,G262/$H$1959,B262=2018,G262/$H$1960,B262=2019,G262/$H$1961,B262=2020,G262/$H$1962,B262=2021,G262/$H$1963,B262=2022,G262/$H$1964,B262=2023,G262/$H$1965)</f>
        <v>1.0471352557648655E-3</v>
      </c>
      <c r="J262" s="10" cm="1">
        <f t="array" ref="J262">_xlfn.IFS(B262=2015,I262*$G$2,B262=2016,I262*$G$3,B262=2017,I262*$G$4,B262=2018,I262*$G$5,B262=2019,I262*$G$6,B262=2020,I262*$G$7,B262=2021,I262*$G$8,B262=2022,I262*$G$9,B262=2023,I262*$G$10)</f>
        <v>157618.90765647119</v>
      </c>
      <c r="K262" s="8">
        <f t="shared" si="3"/>
        <v>971426.90765647124</v>
      </c>
      <c r="L262">
        <f>IFERROR(VLOOKUP(F262,'LEAID Match'!$A$2:$B$240,2,FALSE),"")</f>
        <v>3200240</v>
      </c>
    </row>
    <row r="263" spans="1:12" x14ac:dyDescent="0.2">
      <c r="A263">
        <v>3200240</v>
      </c>
      <c r="B263">
        <v>2019</v>
      </c>
      <c r="C263" s="4" t="s">
        <v>69</v>
      </c>
      <c r="D263" s="4" t="s">
        <v>576</v>
      </c>
      <c r="E263" s="4" t="s">
        <v>578</v>
      </c>
      <c r="F263" s="4" t="s">
        <v>26</v>
      </c>
      <c r="G263" s="8">
        <v>814561</v>
      </c>
      <c r="I263" s="16" cm="1">
        <f t="array" ref="I263">_xlfn.IFS(B263=2015,G263/$H$1957,B263=2016,G263/$H$1958,B263=2017,G263/$H$1959,B263=2018,G263/$H$1960,B263=2019,G263/$H$1961,B263=2020,G263/$H$1962,B263=2021,G263/$H$1963,B263=2022,G263/$H$1964,B263=2023,G263/$H$1965)</f>
        <v>1.0123336829867143E-3</v>
      </c>
      <c r="J263" s="10" cm="1">
        <f t="array" ref="J263">_xlfn.IFS(B263=2015,I263*$G$2,B263=2016,I263*$G$3,B263=2017,I263*$G$4,B263=2018,I263*$G$5,B263=2019,I263*$G$6,B263=2020,I263*$G$7,B263=2021,I263*$G$8,B263=2022,I263*$G$9,B263=2023,I263*$G$10)</f>
        <v>159977.19075973381</v>
      </c>
      <c r="K263" s="8">
        <f t="shared" si="3"/>
        <v>974538.19075973378</v>
      </c>
      <c r="L263">
        <f>IFERROR(VLOOKUP(F263,'LEAID Match'!$A$2:$B$240,2,FALSE),"")</f>
        <v>3200240</v>
      </c>
    </row>
    <row r="264" spans="1:12" x14ac:dyDescent="0.2">
      <c r="A264">
        <v>3200240</v>
      </c>
      <c r="B264">
        <v>2020</v>
      </c>
      <c r="C264" s="4" t="s">
        <v>69</v>
      </c>
      <c r="D264" s="4" t="s">
        <v>576</v>
      </c>
      <c r="E264" s="4" t="s">
        <v>578</v>
      </c>
      <c r="F264" s="4" t="s">
        <v>26</v>
      </c>
      <c r="G264" s="8">
        <v>937779</v>
      </c>
      <c r="I264" s="16" cm="1">
        <f t="array" ref="I264">_xlfn.IFS(B264=2015,G264/$H$1957,B264=2016,G264/$H$1958,B264=2017,G264/$H$1959,B264=2018,G264/$H$1960,B264=2019,G264/$H$1961,B264=2020,G264/$H$1962,B264=2021,G264/$H$1963,B264=2022,G264/$H$1964,B264=2023,G264/$H$1965)</f>
        <v>1.0785990608439865E-3</v>
      </c>
      <c r="J264" s="10" cm="1">
        <f t="array" ref="J264">_xlfn.IFS(B264=2015,I264*$G$2,B264=2016,I264*$G$3,B264=2017,I264*$G$4,B264=2018,I264*$G$5,B264=2019,I264*$G$6,B264=2020,I264*$G$7,B264=2021,I264*$G$8,B264=2022,I264*$G$9,B264=2023,I264*$G$10)</f>
        <v>186256.68589128251</v>
      </c>
      <c r="K264" s="8">
        <f t="shared" si="3"/>
        <v>1124035.6858912825</v>
      </c>
      <c r="L264">
        <f>IFERROR(VLOOKUP(F264,'LEAID Match'!$A$2:$B$240,2,FALSE),"")</f>
        <v>3200240</v>
      </c>
    </row>
    <row r="265" spans="1:12" x14ac:dyDescent="0.2">
      <c r="A265">
        <v>3200240</v>
      </c>
      <c r="B265">
        <v>2021</v>
      </c>
      <c r="C265" s="4" t="s">
        <v>69</v>
      </c>
      <c r="D265" s="4" t="s">
        <v>576</v>
      </c>
      <c r="E265" s="4" t="s">
        <v>578</v>
      </c>
      <c r="F265" s="4" t="s">
        <v>26</v>
      </c>
      <c r="G265" s="8">
        <v>964366</v>
      </c>
      <c r="I265" s="16" cm="1">
        <f t="array" ref="I265">_xlfn.IFS(B265=2015,G265/$H$1957,B265=2016,G265/$H$1958,B265=2017,G265/$H$1959,B265=2018,G265/$H$1960,B265=2019,G265/$H$1961,B265=2020,G265/$H$1962,B265=2021,G265/$H$1963,B265=2022,G265/$H$1964,B265=2023,G265/$H$1965)</f>
        <v>1.102072538073766E-3</v>
      </c>
      <c r="J265" s="10" cm="1">
        <f t="array" ref="J265">_xlfn.IFS(B265=2015,I265*$G$2,B265=2016,I265*$G$3,B265=2017,I265*$G$4,B265=2018,I265*$G$5,B265=2019,I265*$G$6,B265=2020,I265*$G$7,B265=2021,I265*$G$8,B265=2022,I265*$G$9,B265=2023,I265*$G$10)</f>
        <v>189134.20202670927</v>
      </c>
      <c r="K265" s="8">
        <f t="shared" si="3"/>
        <v>1153500.2020267092</v>
      </c>
      <c r="L265">
        <f>IFERROR(VLOOKUP(F265,'LEAID Match'!$A$2:$B$240,2,FALSE),"")</f>
        <v>3200240</v>
      </c>
    </row>
    <row r="266" spans="1:12" x14ac:dyDescent="0.2">
      <c r="A266">
        <v>3200240</v>
      </c>
      <c r="B266">
        <v>2022</v>
      </c>
      <c r="C266" s="4" t="s">
        <v>69</v>
      </c>
      <c r="D266" s="4" t="s">
        <v>576</v>
      </c>
      <c r="E266" s="4" t="s">
        <v>578</v>
      </c>
      <c r="F266" s="4" t="s">
        <v>26</v>
      </c>
      <c r="G266" s="8">
        <v>1071684</v>
      </c>
      <c r="I266" s="16" cm="1">
        <f t="array" ref="I266">_xlfn.IFS(B266=2015,G266/$H$1957,B266=2016,G266/$H$1958,B266=2017,G266/$H$1959,B266=2018,G266/$H$1960,B266=2019,G266/$H$1961,B266=2020,G266/$H$1962,B266=2021,G266/$H$1963,B266=2022,G266/$H$1964,B266=2023,G266/$H$1965)</f>
        <v>1.1518484365719804E-3</v>
      </c>
      <c r="J266" s="10" cm="1">
        <f t="array" ref="J266">_xlfn.IFS(B266=2015,I266*$G$2,B266=2016,I266*$G$3,B266=2017,I266*$G$4,B266=2018,I266*$G$5,B266=2019,I266*$G$6,B266=2020,I266*$G$7,B266=2021,I266*$G$8,B266=2022,I266*$G$9,B266=2023,I266*$G$10)</f>
        <v>195336.96466569463</v>
      </c>
      <c r="K266" s="8">
        <f t="shared" si="3"/>
        <v>1267020.9646656946</v>
      </c>
      <c r="L266">
        <f>IFERROR(VLOOKUP(F266,'LEAID Match'!$A$2:$B$240,2,FALSE),"")</f>
        <v>3200240</v>
      </c>
    </row>
    <row r="267" spans="1:12" x14ac:dyDescent="0.2">
      <c r="A267">
        <v>3200240</v>
      </c>
      <c r="B267">
        <v>2023</v>
      </c>
      <c r="C267" s="4" t="s">
        <v>69</v>
      </c>
      <c r="D267" s="4" t="s">
        <v>576</v>
      </c>
      <c r="E267" s="4" t="s">
        <v>578</v>
      </c>
      <c r="F267" s="4" t="s">
        <v>26</v>
      </c>
      <c r="G267" s="8">
        <v>1057839</v>
      </c>
      <c r="I267" s="16" cm="1">
        <f t="array" ref="I267">_xlfn.IFS(B267=2015,G267/$H$1957,B267=2016,G267/$H$1958,B267=2017,G267/$H$1959,B267=2018,G267/$H$1960,B267=2019,G267/$H$1961,B267=2020,G267/$H$1962,B267=2021,G267/$H$1963,B267=2022,G267/$H$1964,B267=2023,G267/$H$1965)</f>
        <v>1.0710509760918554E-3</v>
      </c>
      <c r="J267" s="10" cm="1">
        <f t="array" ref="J267">_xlfn.IFS(B267=2015,I267*$G$2,B267=2016,I267*$G$3,B267=2017,I267*$G$4,B267=2018,I267*$G$5,B267=2019,I267*$G$6,B267=2020,I267*$G$7,B267=2021,I267*$G$8,B267=2022,I267*$G$9,B267=2023,I267*$G$10)</f>
        <v>182062.9418362354</v>
      </c>
      <c r="K267" s="8">
        <f t="shared" si="3"/>
        <v>1239901.9418362353</v>
      </c>
      <c r="L267">
        <f>IFERROR(VLOOKUP(F267,'LEAID Match'!$A$2:$B$240,2,FALSE),"")</f>
        <v>3200240</v>
      </c>
    </row>
    <row r="268" spans="1:12" x14ac:dyDescent="0.2">
      <c r="A268">
        <v>3200270</v>
      </c>
      <c r="B268">
        <v>2015</v>
      </c>
      <c r="C268" s="4" t="s">
        <v>70</v>
      </c>
      <c r="D268" s="4" t="s">
        <v>576</v>
      </c>
      <c r="E268" s="4" t="s">
        <v>578</v>
      </c>
      <c r="F268" s="4" t="s">
        <v>27</v>
      </c>
      <c r="G268" s="8">
        <v>1780239</v>
      </c>
      <c r="I268" s="16" cm="1">
        <f t="array" ref="I268">_xlfn.IFS(B268=2015,G268/$H$1957,B268=2016,G268/$H$1958,B268=2017,G268/$H$1959,B268=2018,G268/$H$1960,B268=2019,G268/$H$1961,B268=2020,G268/$H$1962,B268=2021,G268/$H$1963,B268=2022,G268/$H$1964,B268=2023,G268/$H$1965)</f>
        <v>1.3748046820237522E-3</v>
      </c>
      <c r="J268" s="10" cm="1">
        <f t="array" ref="J268">_xlfn.IFS(B268=2015,I268*$G$2,B268=2016,I268*$G$3,B268=2017,I268*$G$4,B268=2018,I268*$G$5,B268=2019,I268*$G$6,B268=2020,I268*$G$7,B268=2021,I268*$G$8,B268=2022,I268*$G$9,B268=2023,I268*$G$10)</f>
        <v>341834.97626044194</v>
      </c>
      <c r="K268" s="8">
        <f t="shared" ref="K268:K331" si="4">SUM(G268,J268)</f>
        <v>2122073.9762604418</v>
      </c>
      <c r="L268">
        <f>IFERROR(VLOOKUP(F268,'LEAID Match'!$A$2:$B$240,2,FALSE),"")</f>
        <v>3200270</v>
      </c>
    </row>
    <row r="269" spans="1:12" x14ac:dyDescent="0.2">
      <c r="A269">
        <v>3200270</v>
      </c>
      <c r="B269">
        <v>2016</v>
      </c>
      <c r="C269" s="4" t="s">
        <v>70</v>
      </c>
      <c r="D269" s="4" t="s">
        <v>576</v>
      </c>
      <c r="E269" s="4" t="s">
        <v>578</v>
      </c>
      <c r="F269" s="4" t="s">
        <v>27</v>
      </c>
      <c r="G269" s="8">
        <v>2064800</v>
      </c>
      <c r="I269" s="16" cm="1">
        <f t="array" ref="I269">_xlfn.IFS(B269=2015,G269/$H$1957,B269=2016,G269/$H$1958,B269=2017,G269/$H$1959,B269=2018,G269/$H$1960,B269=2019,G269/$H$1961,B269=2020,G269/$H$1962,B269=2021,G269/$H$1963,B269=2022,G269/$H$1964,B269=2023,G269/$H$1965)</f>
        <v>1.449488717284563E-3</v>
      </c>
      <c r="J269" s="10" cm="1">
        <f t="array" ref="J269">_xlfn.IFS(B269=2015,I269*$G$2,B269=2016,I269*$G$3,B269=2017,I269*$G$4,B269=2018,I269*$G$5,B269=2019,I269*$G$6,B269=2020,I269*$G$7,B269=2021,I269*$G$8,B269=2022,I269*$G$9,B269=2023,I269*$G$10)</f>
        <v>393105.80455282272</v>
      </c>
      <c r="K269" s="8">
        <f t="shared" si="4"/>
        <v>2457905.8045528228</v>
      </c>
      <c r="L269">
        <f>IFERROR(VLOOKUP(F269,'LEAID Match'!$A$2:$B$240,2,FALSE),"")</f>
        <v>3200270</v>
      </c>
    </row>
    <row r="270" spans="1:12" x14ac:dyDescent="0.2">
      <c r="A270">
        <v>3200270</v>
      </c>
      <c r="B270">
        <v>2017</v>
      </c>
      <c r="C270" s="4" t="s">
        <v>70</v>
      </c>
      <c r="D270" s="4" t="s">
        <v>576</v>
      </c>
      <c r="E270" s="4" t="s">
        <v>578</v>
      </c>
      <c r="F270" s="4" t="s">
        <v>27</v>
      </c>
      <c r="G270" s="8">
        <v>1096475</v>
      </c>
      <c r="I270" s="16" cm="1">
        <f t="array" ref="I270">_xlfn.IFS(B270=2015,G270/$H$1957,B270=2016,G270/$H$1958,B270=2017,G270/$H$1959,B270=2018,G270/$H$1960,B270=2019,G270/$H$1961,B270=2020,G270/$H$1962,B270=2021,G270/$H$1963,B270=2022,G270/$H$1964,B270=2023,G270/$H$1965)</f>
        <v>1.4629309878612224E-3</v>
      </c>
      <c r="J270" s="10" cm="1">
        <f t="array" ref="J270">_xlfn.IFS(B270=2015,I270*$G$2,B270=2016,I270*$G$3,B270=2017,I270*$G$4,B270=2018,I270*$G$5,B270=2019,I270*$G$6,B270=2020,I270*$G$7,B270=2021,I270*$G$8,B270=2022,I270*$G$9,B270=2023,I270*$G$10)</f>
        <v>216640.45700890684</v>
      </c>
      <c r="K270" s="8">
        <f t="shared" si="4"/>
        <v>1313115.4570089069</v>
      </c>
      <c r="L270">
        <f>IFERROR(VLOOKUP(F270,'LEAID Match'!$A$2:$B$240,2,FALSE),"")</f>
        <v>3200270</v>
      </c>
    </row>
    <row r="271" spans="1:12" x14ac:dyDescent="0.2">
      <c r="A271">
        <v>3200270</v>
      </c>
      <c r="B271">
        <v>2018</v>
      </c>
      <c r="C271" s="4" t="s">
        <v>70</v>
      </c>
      <c r="D271" s="4" t="s">
        <v>576</v>
      </c>
      <c r="E271" s="4" t="s">
        <v>578</v>
      </c>
      <c r="F271" s="4" t="s">
        <v>27</v>
      </c>
      <c r="G271" s="8">
        <v>1086796</v>
      </c>
      <c r="I271" s="16" cm="1">
        <f t="array" ref="I271">_xlfn.IFS(B271=2015,G271/$H$1957,B271=2016,G271/$H$1958,B271=2017,G271/$H$1959,B271=2018,G271/$H$1960,B271=2019,G271/$H$1961,B271=2020,G271/$H$1962,B271=2021,G271/$H$1963,B271=2022,G271/$H$1964,B271=2023,G271/$H$1965)</f>
        <v>1.3983917673753917E-3</v>
      </c>
      <c r="J271" s="10" cm="1">
        <f t="array" ref="J271">_xlfn.IFS(B271=2015,I271*$G$2,B271=2016,I271*$G$3,B271=2017,I271*$G$4,B271=2018,I271*$G$5,B271=2019,I271*$G$6,B271=2020,I271*$G$7,B271=2021,I271*$G$8,B271=2022,I271*$G$9,B271=2023,I271*$G$10)</f>
        <v>210491.41611463914</v>
      </c>
      <c r="K271" s="8">
        <f t="shared" si="4"/>
        <v>1297287.416114639</v>
      </c>
      <c r="L271">
        <f>IFERROR(VLOOKUP(F271,'LEAID Match'!$A$2:$B$240,2,FALSE),"")</f>
        <v>3200270</v>
      </c>
    </row>
    <row r="272" spans="1:12" x14ac:dyDescent="0.2">
      <c r="A272">
        <v>3200270</v>
      </c>
      <c r="B272">
        <v>2019</v>
      </c>
      <c r="C272" s="4" t="s">
        <v>70</v>
      </c>
      <c r="D272" s="4" t="s">
        <v>576</v>
      </c>
      <c r="E272" s="4" t="s">
        <v>578</v>
      </c>
      <c r="F272" s="4" t="s">
        <v>27</v>
      </c>
      <c r="G272" s="8">
        <v>1085672</v>
      </c>
      <c r="I272" s="16" cm="1">
        <f t="array" ref="I272">_xlfn.IFS(B272=2015,G272/$H$1957,B272=2016,G272/$H$1958,B272=2017,G272/$H$1959,B272=2018,G272/$H$1960,B272=2019,G272/$H$1961,B272=2020,G272/$H$1962,B272=2021,G272/$H$1963,B272=2022,G272/$H$1964,B272=2023,G272/$H$1965)</f>
        <v>1.3492695258864003E-3</v>
      </c>
      <c r="J272" s="10" cm="1">
        <f t="array" ref="J272">_xlfn.IFS(B272=2015,I272*$G$2,B272=2016,I272*$G$3,B272=2017,I272*$G$4,B272=2018,I272*$G$5,B272=2019,I272*$G$6,B272=2020,I272*$G$7,B272=2021,I272*$G$8,B272=2022,I272*$G$9,B272=2023,I272*$G$10)</f>
        <v>213222.52924765824</v>
      </c>
      <c r="K272" s="8">
        <f t="shared" si="4"/>
        <v>1298894.5292476583</v>
      </c>
      <c r="L272">
        <f>IFERROR(VLOOKUP(F272,'LEAID Match'!$A$2:$B$240,2,FALSE),"")</f>
        <v>3200270</v>
      </c>
    </row>
    <row r="273" spans="1:12" x14ac:dyDescent="0.2">
      <c r="A273">
        <v>3200270</v>
      </c>
      <c r="B273">
        <v>2020</v>
      </c>
      <c r="C273" s="4" t="s">
        <v>70</v>
      </c>
      <c r="D273" s="4" t="s">
        <v>576</v>
      </c>
      <c r="E273" s="4" t="s">
        <v>578</v>
      </c>
      <c r="F273" s="4" t="s">
        <v>27</v>
      </c>
      <c r="G273" s="8">
        <v>1162976</v>
      </c>
      <c r="I273" s="16" cm="1">
        <f t="array" ref="I273">_xlfn.IFS(B273=2015,G273/$H$1957,B273=2016,G273/$H$1958,B273=2017,G273/$H$1959,B273=2018,G273/$H$1960,B273=2019,G273/$H$1961,B273=2020,G273/$H$1962,B273=2021,G273/$H$1963,B273=2022,G273/$H$1964,B273=2023,G273/$H$1965)</f>
        <v>1.3376124026919947E-3</v>
      </c>
      <c r="J273" s="10" cm="1">
        <f t="array" ref="J273">_xlfn.IFS(B273=2015,I273*$G$2,B273=2016,I273*$G$3,B273=2017,I273*$G$4,B273=2018,I273*$G$5,B273=2019,I273*$G$6,B273=2020,I273*$G$7,B273=2021,I273*$G$8,B273=2022,I273*$G$9,B273=2023,I273*$G$10)</f>
        <v>230984.11835954973</v>
      </c>
      <c r="K273" s="8">
        <f t="shared" si="4"/>
        <v>1393960.1183595497</v>
      </c>
      <c r="L273">
        <f>IFERROR(VLOOKUP(F273,'LEAID Match'!$A$2:$B$240,2,FALSE),"")</f>
        <v>3200270</v>
      </c>
    </row>
    <row r="274" spans="1:12" x14ac:dyDescent="0.2">
      <c r="A274">
        <v>3200270</v>
      </c>
      <c r="B274">
        <v>2021</v>
      </c>
      <c r="C274" s="4" t="s">
        <v>70</v>
      </c>
      <c r="D274" s="4" t="s">
        <v>576</v>
      </c>
      <c r="E274" s="4" t="s">
        <v>578</v>
      </c>
      <c r="F274" s="4" t="s">
        <v>27</v>
      </c>
      <c r="G274" s="8">
        <v>1126758</v>
      </c>
      <c r="I274" s="16" cm="1">
        <f t="array" ref="I274">_xlfn.IFS(B274=2015,G274/$H$1957,B274=2016,G274/$H$1958,B274=2017,G274/$H$1959,B274=2018,G274/$H$1960,B274=2019,G274/$H$1961,B274=2020,G274/$H$1962,B274=2021,G274/$H$1963,B274=2022,G274/$H$1964,B274=2023,G274/$H$1965)</f>
        <v>1.2876532860500271E-3</v>
      </c>
      <c r="J274" s="10" cm="1">
        <f t="array" ref="J274">_xlfn.IFS(B274=2015,I274*$G$2,B274=2016,I274*$G$3,B274=2017,I274*$G$4,B274=2018,I274*$G$5,B274=2019,I274*$G$6,B274=2020,I274*$G$7,B274=2021,I274*$G$8,B274=2022,I274*$G$9,B274=2023,I274*$G$10)</f>
        <v>220982.9828169086</v>
      </c>
      <c r="K274" s="8">
        <f t="shared" si="4"/>
        <v>1347740.9828169085</v>
      </c>
      <c r="L274">
        <f>IFERROR(VLOOKUP(F274,'LEAID Match'!$A$2:$B$240,2,FALSE),"")</f>
        <v>3200270</v>
      </c>
    </row>
    <row r="275" spans="1:12" x14ac:dyDescent="0.2">
      <c r="A275">
        <v>3200270</v>
      </c>
      <c r="B275">
        <v>2022</v>
      </c>
      <c r="C275" s="4" t="s">
        <v>70</v>
      </c>
      <c r="D275" s="4" t="s">
        <v>576</v>
      </c>
      <c r="E275" s="4" t="s">
        <v>578</v>
      </c>
      <c r="F275" s="4" t="s">
        <v>27</v>
      </c>
      <c r="G275" s="8">
        <v>1107537</v>
      </c>
      <c r="I275" s="16" cm="1">
        <f t="array" ref="I275">_xlfn.IFS(B275=2015,G275/$H$1957,B275=2016,G275/$H$1958,B275=2017,G275/$H$1959,B275=2018,G275/$H$1960,B275=2019,G275/$H$1961,B275=2020,G275/$H$1962,B275=2021,G275/$H$1963,B275=2022,G275/$H$1964,B275=2023,G275/$H$1965)</f>
        <v>1.1903833237182056E-3</v>
      </c>
      <c r="J275" s="10" cm="1">
        <f t="array" ref="J275">_xlfn.IFS(B275=2015,I275*$G$2,B275=2016,I275*$G$3,B275=2017,I275*$G$4,B275=2018,I275*$G$5,B275=2019,I275*$G$6,B275=2020,I275*$G$7,B275=2021,I275*$G$8,B275=2022,I275*$G$9,B275=2023,I275*$G$10)</f>
        <v>201871.928511529</v>
      </c>
      <c r="K275" s="8">
        <f t="shared" si="4"/>
        <v>1309408.928511529</v>
      </c>
      <c r="L275">
        <f>IFERROR(VLOOKUP(F275,'LEAID Match'!$A$2:$B$240,2,FALSE),"")</f>
        <v>3200270</v>
      </c>
    </row>
    <row r="276" spans="1:12" x14ac:dyDescent="0.2">
      <c r="A276">
        <v>3200270</v>
      </c>
      <c r="B276">
        <v>2023</v>
      </c>
      <c r="C276" s="4" t="s">
        <v>70</v>
      </c>
      <c r="D276" s="4" t="s">
        <v>576</v>
      </c>
      <c r="E276" s="4" t="s">
        <v>578</v>
      </c>
      <c r="F276" s="4" t="s">
        <v>27</v>
      </c>
      <c r="G276" s="8">
        <v>1078124</v>
      </c>
      <c r="I276" s="16" cm="1">
        <f t="array" ref="I276">_xlfn.IFS(B276=2015,G276/$H$1957,B276=2016,G276/$H$1958,B276=2017,G276/$H$1959,B276=2018,G276/$H$1960,B276=2019,G276/$H$1961,B276=2020,G276/$H$1962,B276=2021,G276/$H$1963,B276=2022,G276/$H$1964,B276=2023,G276/$H$1965)</f>
        <v>1.091589327438349E-3</v>
      </c>
      <c r="J276" s="10" cm="1">
        <f t="array" ref="J276">_xlfn.IFS(B276=2015,I276*$G$2,B276=2016,I276*$G$3,B276=2017,I276*$G$4,B276=2018,I276*$G$5,B276=2019,I276*$G$6,B276=2020,I276*$G$7,B276=2021,I276*$G$8,B276=2022,I276*$G$9,B276=2023,I276*$G$10)</f>
        <v>185554.1600416032</v>
      </c>
      <c r="K276" s="8">
        <f t="shared" si="4"/>
        <v>1263678.1600416033</v>
      </c>
      <c r="L276">
        <f>IFERROR(VLOOKUP(F276,'LEAID Match'!$A$2:$B$240,2,FALSE),"")</f>
        <v>3200270</v>
      </c>
    </row>
    <row r="277" spans="1:12" x14ac:dyDescent="0.2">
      <c r="A277">
        <v>3200300</v>
      </c>
      <c r="B277">
        <v>2015</v>
      </c>
      <c r="C277" s="4" t="s">
        <v>71</v>
      </c>
      <c r="D277" s="4" t="s">
        <v>576</v>
      </c>
      <c r="E277" s="4" t="s">
        <v>578</v>
      </c>
      <c r="F277" s="4" t="s">
        <v>28</v>
      </c>
      <c r="G277" s="8">
        <v>11436993</v>
      </c>
      <c r="I277" s="16" cm="1">
        <f t="array" ref="I277">_xlfn.IFS(B277=2015,G277/$H$1957,B277=2016,G277/$H$1958,B277=2017,G277/$H$1959,B277=2018,G277/$H$1960,B277=2019,G277/$H$1961,B277=2020,G277/$H$1962,B277=2021,G277/$H$1963,B277=2022,G277/$H$1964,B277=2023,G277/$H$1965)</f>
        <v>8.8323149446073689E-3</v>
      </c>
      <c r="J277" s="10" cm="1">
        <f t="array" ref="J277">_xlfn.IFS(B277=2015,I277*$G$2,B277=2016,I277*$G$3,B277=2017,I277*$G$4,B277=2018,I277*$G$5,B277=2019,I277*$G$6,B277=2020,I277*$G$7,B277=2021,I277*$G$8,B277=2022,I277*$G$9,B277=2023,I277*$G$10)</f>
        <v>2196089.5310381586</v>
      </c>
      <c r="K277" s="8">
        <f t="shared" si="4"/>
        <v>13633082.531038158</v>
      </c>
      <c r="L277">
        <f>IFERROR(VLOOKUP(F277,'LEAID Match'!$A$2:$B$240,2,FALSE),"")</f>
        <v>3200300</v>
      </c>
    </row>
    <row r="278" spans="1:12" x14ac:dyDescent="0.2">
      <c r="A278">
        <v>3200300</v>
      </c>
      <c r="B278">
        <v>2016</v>
      </c>
      <c r="C278" s="4" t="s">
        <v>71</v>
      </c>
      <c r="D278" s="4" t="s">
        <v>576</v>
      </c>
      <c r="E278" s="4" t="s">
        <v>578</v>
      </c>
      <c r="F278" s="4" t="s">
        <v>28</v>
      </c>
      <c r="G278" s="8">
        <v>12845515</v>
      </c>
      <c r="I278" s="16" cm="1">
        <f t="array" ref="I278">_xlfn.IFS(B278=2015,G278/$H$1957,B278=2016,G278/$H$1958,B278=2017,G278/$H$1959,B278=2018,G278/$H$1960,B278=2019,G278/$H$1961,B278=2020,G278/$H$1962,B278=2021,G278/$H$1963,B278=2022,G278/$H$1964,B278=2023,G278/$H$1965)</f>
        <v>9.0175460384587427E-3</v>
      </c>
      <c r="J278" s="10" cm="1">
        <f t="array" ref="J278">_xlfn.IFS(B278=2015,I278*$G$2,B278=2016,I278*$G$3,B278=2017,I278*$G$4,B278=2018,I278*$G$5,B278=2019,I278*$G$6,B278=2020,I278*$G$7,B278=2021,I278*$G$8,B278=2022,I278*$G$9,B278=2023,I278*$G$10)</f>
        <v>2445586.2596718096</v>
      </c>
      <c r="K278" s="8">
        <f t="shared" si="4"/>
        <v>15291101.259671809</v>
      </c>
      <c r="L278">
        <f>IFERROR(VLOOKUP(F278,'LEAID Match'!$A$2:$B$240,2,FALSE),"")</f>
        <v>3200300</v>
      </c>
    </row>
    <row r="279" spans="1:12" x14ac:dyDescent="0.2">
      <c r="A279">
        <v>3200300</v>
      </c>
      <c r="B279">
        <v>2017</v>
      </c>
      <c r="C279" s="4" t="s">
        <v>71</v>
      </c>
      <c r="D279" s="4" t="s">
        <v>576</v>
      </c>
      <c r="E279" s="4" t="s">
        <v>578</v>
      </c>
      <c r="F279" s="4" t="s">
        <v>28</v>
      </c>
      <c r="G279" s="8">
        <v>6629952</v>
      </c>
      <c r="I279" s="16" cm="1">
        <f t="array" ref="I279">_xlfn.IFS(B279=2015,G279/$H$1957,B279=2016,G279/$H$1958,B279=2017,G279/$H$1959,B279=2018,G279/$H$1960,B279=2019,G279/$H$1961,B279=2020,G279/$H$1962,B279=2021,G279/$H$1963,B279=2022,G279/$H$1964,B279=2023,G279/$H$1965)</f>
        <v>8.8457668700449056E-3</v>
      </c>
      <c r="J279" s="10" cm="1">
        <f t="array" ref="J279">_xlfn.IFS(B279=2015,I279*$G$2,B279=2016,I279*$G$3,B279=2017,I279*$G$4,B279=2018,I279*$G$5,B279=2019,I279*$G$6,B279=2020,I279*$G$7,B279=2021,I279*$G$8,B279=2022,I279*$G$9,B279=2023,I279*$G$10)</f>
        <v>1309939.4251826226</v>
      </c>
      <c r="K279" s="8">
        <f t="shared" si="4"/>
        <v>7939891.4251826229</v>
      </c>
      <c r="L279">
        <f>IFERROR(VLOOKUP(F279,'LEAID Match'!$A$2:$B$240,2,FALSE),"")</f>
        <v>3200300</v>
      </c>
    </row>
    <row r="280" spans="1:12" x14ac:dyDescent="0.2">
      <c r="A280">
        <v>3200300</v>
      </c>
      <c r="B280">
        <v>2018</v>
      </c>
      <c r="C280" s="4" t="s">
        <v>71</v>
      </c>
      <c r="D280" s="4" t="s">
        <v>576</v>
      </c>
      <c r="E280" s="4" t="s">
        <v>578</v>
      </c>
      <c r="F280" s="4" t="s">
        <v>28</v>
      </c>
      <c r="G280" s="8">
        <v>6843198</v>
      </c>
      <c r="I280" s="16" cm="1">
        <f t="array" ref="I280">_xlfn.IFS(B280=2015,G280/$H$1957,B280=2016,G280/$H$1958,B280=2017,G280/$H$1959,B280=2018,G280/$H$1960,B280=2019,G280/$H$1961,B280=2020,G280/$H$1962,B280=2021,G280/$H$1963,B280=2022,G280/$H$1964,B280=2023,G280/$H$1965)</f>
        <v>8.8052143601188692E-3</v>
      </c>
      <c r="J280" s="10" cm="1">
        <f t="array" ref="J280">_xlfn.IFS(B280=2015,I280*$G$2,B280=2016,I280*$G$3,B280=2017,I280*$G$4,B280=2018,I280*$G$5,B280=2019,I280*$G$6,B280=2020,I280*$G$7,B280=2021,I280*$G$8,B280=2022,I280*$G$9,B280=2023,I280*$G$10)</f>
        <v>1325395.4171462413</v>
      </c>
      <c r="K280" s="8">
        <f t="shared" si="4"/>
        <v>8168593.4171462413</v>
      </c>
      <c r="L280">
        <f>IFERROR(VLOOKUP(F280,'LEAID Match'!$A$2:$B$240,2,FALSE),"")</f>
        <v>3200300</v>
      </c>
    </row>
    <row r="281" spans="1:12" x14ac:dyDescent="0.2">
      <c r="A281">
        <v>3200300</v>
      </c>
      <c r="B281">
        <v>2019</v>
      </c>
      <c r="C281" s="4" t="s">
        <v>71</v>
      </c>
      <c r="D281" s="4" t="s">
        <v>576</v>
      </c>
      <c r="E281" s="4" t="s">
        <v>578</v>
      </c>
      <c r="F281" s="4" t="s">
        <v>28</v>
      </c>
      <c r="G281" s="8">
        <v>7066478</v>
      </c>
      <c r="I281" s="16" cm="1">
        <f t="array" ref="I281">_xlfn.IFS(B281=2015,G281/$H$1957,B281=2016,G281/$H$1958,B281=2017,G281/$H$1959,B281=2018,G281/$H$1960,B281=2019,G281/$H$1961,B281=2020,G281/$H$1962,B281=2021,G281/$H$1963,B281=2022,G281/$H$1964,B281=2023,G281/$H$1965)</f>
        <v>8.7821951940795003E-3</v>
      </c>
      <c r="J281" s="10" cm="1">
        <f t="array" ref="J281">_xlfn.IFS(B281=2015,I281*$G$2,B281=2016,I281*$G$3,B281=2017,I281*$G$4,B281=2018,I281*$G$5,B281=2019,I281*$G$6,B281=2020,I281*$G$7,B281=2021,I281*$G$8,B281=2022,I281*$G$9,B281=2023,I281*$G$10)</f>
        <v>1387833.813557809</v>
      </c>
      <c r="K281" s="8">
        <f t="shared" si="4"/>
        <v>8454311.8135578092</v>
      </c>
      <c r="L281">
        <f>IFERROR(VLOOKUP(F281,'LEAID Match'!$A$2:$B$240,2,FALSE),"")</f>
        <v>3200300</v>
      </c>
    </row>
    <row r="282" spans="1:12" x14ac:dyDescent="0.2">
      <c r="A282">
        <v>3200300</v>
      </c>
      <c r="B282">
        <v>2020</v>
      </c>
      <c r="C282" s="4" t="s">
        <v>71</v>
      </c>
      <c r="D282" s="4" t="s">
        <v>576</v>
      </c>
      <c r="E282" s="4" t="s">
        <v>578</v>
      </c>
      <c r="F282" s="4" t="s">
        <v>28</v>
      </c>
      <c r="G282" s="8">
        <v>8091490</v>
      </c>
      <c r="I282" s="16" cm="1">
        <f t="array" ref="I282">_xlfn.IFS(B282=2015,G282/$H$1957,B282=2016,G282/$H$1958,B282=2017,G282/$H$1959,B282=2018,G282/$H$1960,B282=2019,G282/$H$1961,B282=2020,G282/$H$1962,B282=2021,G282/$H$1963,B282=2022,G282/$H$1964,B282=2023,G282/$H$1965)</f>
        <v>9.3065354575315815E-3</v>
      </c>
      <c r="J282" s="10" cm="1">
        <f t="array" ref="J282">_xlfn.IFS(B282=2015,I282*$G$2,B282=2016,I282*$G$3,B282=2017,I282*$G$4,B282=2018,I282*$G$5,B282=2019,I282*$G$6,B282=2020,I282*$G$7,B282=2021,I282*$G$8,B282=2022,I282*$G$9,B282=2023,I282*$G$10)</f>
        <v>1607088.782455625</v>
      </c>
      <c r="K282" s="8">
        <f t="shared" si="4"/>
        <v>9698578.782455625</v>
      </c>
      <c r="L282">
        <f>IFERROR(VLOOKUP(F282,'LEAID Match'!$A$2:$B$240,2,FALSE),"")</f>
        <v>3200300</v>
      </c>
    </row>
    <row r="283" spans="1:12" x14ac:dyDescent="0.2">
      <c r="A283">
        <v>3200300</v>
      </c>
      <c r="B283">
        <v>2021</v>
      </c>
      <c r="C283" s="4" t="s">
        <v>71</v>
      </c>
      <c r="D283" s="4" t="s">
        <v>576</v>
      </c>
      <c r="E283" s="4" t="s">
        <v>578</v>
      </c>
      <c r="F283" s="4" t="s">
        <v>28</v>
      </c>
      <c r="G283" s="8">
        <v>7663104</v>
      </c>
      <c r="I283" s="16" cm="1">
        <f t="array" ref="I283">_xlfn.IFS(B283=2015,G283/$H$1957,B283=2016,G283/$H$1958,B283=2017,G283/$H$1959,B283=2018,G283/$H$1960,B283=2019,G283/$H$1961,B283=2020,G283/$H$1962,B283=2021,G283/$H$1963,B283=2022,G283/$H$1964,B283=2023,G283/$H$1965)</f>
        <v>8.7573561021471406E-3</v>
      </c>
      <c r="J283" s="10" cm="1">
        <f t="array" ref="J283">_xlfn.IFS(B283=2015,I283*$G$2,B283=2016,I283*$G$3,B283=2017,I283*$G$4,B283=2018,I283*$G$5,B283=2019,I283*$G$6,B283=2020,I283*$G$7,B283=2021,I283*$G$8,B283=2022,I283*$G$9,B283=2023,I283*$G$10)</f>
        <v>1502909.745975785</v>
      </c>
      <c r="K283" s="8">
        <f t="shared" si="4"/>
        <v>9166013.745975785</v>
      </c>
      <c r="L283">
        <f>IFERROR(VLOOKUP(F283,'LEAID Match'!$A$2:$B$240,2,FALSE),"")</f>
        <v>3200300</v>
      </c>
    </row>
    <row r="284" spans="1:12" x14ac:dyDescent="0.2">
      <c r="A284">
        <v>3200300</v>
      </c>
      <c r="B284">
        <v>2022</v>
      </c>
      <c r="C284" s="4" t="s">
        <v>71</v>
      </c>
      <c r="D284" s="4" t="s">
        <v>576</v>
      </c>
      <c r="E284" s="4" t="s">
        <v>578</v>
      </c>
      <c r="F284" s="4" t="s">
        <v>28</v>
      </c>
      <c r="G284" s="8">
        <v>7774066</v>
      </c>
      <c r="I284" s="16" cm="1">
        <f t="array" ref="I284">_xlfn.IFS(B284=2015,G284/$H$1957,B284=2016,G284/$H$1958,B284=2017,G284/$H$1959,B284=2018,G284/$H$1960,B284=2019,G284/$H$1961,B284=2020,G284/$H$1962,B284=2021,G284/$H$1963,B284=2022,G284/$H$1964,B284=2023,G284/$H$1965)</f>
        <v>8.3555840788025106E-3</v>
      </c>
      <c r="J284" s="10" cm="1">
        <f t="array" ref="J284">_xlfn.IFS(B284=2015,I284*$G$2,B284=2016,I284*$G$3,B284=2017,I284*$G$4,B284=2018,I284*$G$5,B284=2019,I284*$G$6,B284=2020,I284*$G$7,B284=2021,I284*$G$8,B284=2022,I284*$G$9,B284=2023,I284*$G$10)</f>
        <v>1416987.1487777908</v>
      </c>
      <c r="K284" s="8">
        <f t="shared" si="4"/>
        <v>9191053.1487777904</v>
      </c>
      <c r="L284">
        <f>IFERROR(VLOOKUP(F284,'LEAID Match'!$A$2:$B$240,2,FALSE),"")</f>
        <v>3200300</v>
      </c>
    </row>
    <row r="285" spans="1:12" x14ac:dyDescent="0.2">
      <c r="A285">
        <v>3200300</v>
      </c>
      <c r="B285">
        <v>2023</v>
      </c>
      <c r="C285" s="4" t="s">
        <v>71</v>
      </c>
      <c r="D285" s="4" t="s">
        <v>576</v>
      </c>
      <c r="E285" s="4" t="s">
        <v>578</v>
      </c>
      <c r="F285" s="4" t="s">
        <v>28</v>
      </c>
      <c r="G285" s="8">
        <v>7874193</v>
      </c>
      <c r="I285" s="16" cm="1">
        <f t="array" ref="I285">_xlfn.IFS(B285=2015,G285/$H$1957,B285=2016,G285/$H$1958,B285=2017,G285/$H$1959,B285=2018,G285/$H$1960,B285=2019,G285/$H$1961,B285=2020,G285/$H$1962,B285=2021,G285/$H$1963,B285=2022,G285/$H$1964,B285=2023,G285/$H$1965)</f>
        <v>7.9725384473305072E-3</v>
      </c>
      <c r="J285" s="10" cm="1">
        <f t="array" ref="J285">_xlfn.IFS(B285=2015,I285*$G$2,B285=2016,I285*$G$3,B285=2017,I285*$G$4,B285=2018,I285*$G$5,B285=2019,I285*$G$6,B285=2020,I285*$G$7,B285=2021,I285*$G$8,B285=2022,I285*$G$9,B285=2023,I285*$G$10)</f>
        <v>1355214.4912092409</v>
      </c>
      <c r="K285" s="8">
        <f t="shared" si="4"/>
        <v>9229407.4912092406</v>
      </c>
      <c r="L285">
        <f>IFERROR(VLOOKUP(F285,'LEAID Match'!$A$2:$B$240,2,FALSE),"")</f>
        <v>3200300</v>
      </c>
    </row>
    <row r="286" spans="1:12" x14ac:dyDescent="0.2">
      <c r="A286">
        <v>3200330</v>
      </c>
      <c r="B286">
        <v>2015</v>
      </c>
      <c r="C286" s="4" t="s">
        <v>72</v>
      </c>
      <c r="D286" s="4" t="s">
        <v>576</v>
      </c>
      <c r="E286" s="4" t="s">
        <v>578</v>
      </c>
      <c r="F286" s="4" t="s">
        <v>29</v>
      </c>
      <c r="G286" s="8">
        <v>891867</v>
      </c>
      <c r="I286" s="16" cm="1">
        <f t="array" ref="I286">_xlfn.IFS(B286=2015,G286/$H$1957,B286=2016,G286/$H$1958,B286=2017,G286/$H$1959,B286=2018,G286/$H$1960,B286=2019,G286/$H$1961,B286=2020,G286/$H$1962,B286=2021,G286/$H$1963,B286=2022,G286/$H$1964,B286=2023,G286/$H$1965)</f>
        <v>6.8875186272319489E-4</v>
      </c>
      <c r="J286" s="10" cm="1">
        <f t="array" ref="J286">_xlfn.IFS(B286=2015,I286*$G$2,B286=2016,I286*$G$3,B286=2017,I286*$G$4,B286=2018,I286*$G$5,B286=2019,I286*$G$6,B286=2020,I286*$G$7,B286=2021,I286*$G$8,B286=2022,I286*$G$9,B286=2023,I286*$G$10)</f>
        <v>171253.03668354169</v>
      </c>
      <c r="K286" s="8">
        <f t="shared" si="4"/>
        <v>1063120.0366835417</v>
      </c>
      <c r="L286">
        <f>IFERROR(VLOOKUP(F286,'LEAID Match'!$A$2:$B$240,2,FALSE),"")</f>
        <v>3200330</v>
      </c>
    </row>
    <row r="287" spans="1:12" x14ac:dyDescent="0.2">
      <c r="A287">
        <v>3200330</v>
      </c>
      <c r="B287">
        <v>2016</v>
      </c>
      <c r="C287" s="4" t="s">
        <v>72</v>
      </c>
      <c r="D287" s="4" t="s">
        <v>576</v>
      </c>
      <c r="E287" s="4" t="s">
        <v>578</v>
      </c>
      <c r="F287" s="4" t="s">
        <v>29</v>
      </c>
      <c r="G287" s="8">
        <v>960642</v>
      </c>
      <c r="I287" s="16" cm="1">
        <f t="array" ref="I287">_xlfn.IFS(B287=2015,G287/$H$1957,B287=2016,G287/$H$1958,B287=2017,G287/$H$1959,B287=2018,G287/$H$1960,B287=2019,G287/$H$1961,B287=2020,G287/$H$1962,B287=2021,G287/$H$1963,B287=2022,G287/$H$1964,B287=2023,G287/$H$1965)</f>
        <v>6.743702733192935E-4</v>
      </c>
      <c r="J287" s="10" cm="1">
        <f t="array" ref="J287">_xlfn.IFS(B287=2015,I287*$G$2,B287=2016,I287*$G$3,B287=2017,I287*$G$4,B287=2018,I287*$G$5,B287=2019,I287*$G$6,B287=2020,I287*$G$7,B287=2021,I287*$G$8,B287=2022,I287*$G$9,B287=2023,I287*$G$10)</f>
        <v>182891.29518463422</v>
      </c>
      <c r="K287" s="8">
        <f t="shared" si="4"/>
        <v>1143533.2951846342</v>
      </c>
      <c r="L287">
        <f>IFERROR(VLOOKUP(F287,'LEAID Match'!$A$2:$B$240,2,FALSE),"")</f>
        <v>3200330</v>
      </c>
    </row>
    <row r="288" spans="1:12" x14ac:dyDescent="0.2">
      <c r="A288">
        <v>3200330</v>
      </c>
      <c r="B288">
        <v>2017</v>
      </c>
      <c r="C288" s="4" t="s">
        <v>72</v>
      </c>
      <c r="D288" s="4" t="s">
        <v>576</v>
      </c>
      <c r="E288" s="4" t="s">
        <v>578</v>
      </c>
      <c r="F288" s="4" t="s">
        <v>29</v>
      </c>
      <c r="G288" s="8">
        <v>510072</v>
      </c>
      <c r="I288" s="16" cm="1">
        <f t="array" ref="I288">_xlfn.IFS(B288=2015,G288/$H$1957,B288=2016,G288/$H$1958,B288=2017,G288/$H$1959,B288=2018,G288/$H$1960,B288=2019,G288/$H$1961,B288=2020,G288/$H$1962,B288=2021,G288/$H$1963,B288=2022,G288/$H$1964,B288=2023,G288/$H$1965)</f>
        <v>6.8054459503440526E-4</v>
      </c>
      <c r="J288" s="10" cm="1">
        <f t="array" ref="J288">_xlfn.IFS(B288=2015,I288*$G$2,B288=2016,I288*$G$3,B288=2017,I288*$G$4,B288=2018,I288*$G$5,B288=2019,I288*$G$6,B288=2020,I288*$G$7,B288=2021,I288*$G$8,B288=2022,I288*$G$9,B288=2023,I288*$G$10)</f>
        <v>100779.52637994222</v>
      </c>
      <c r="K288" s="8">
        <f t="shared" si="4"/>
        <v>610851.5263799422</v>
      </c>
      <c r="L288">
        <f>IFERROR(VLOOKUP(F288,'LEAID Match'!$A$2:$B$240,2,FALSE),"")</f>
        <v>3200330</v>
      </c>
    </row>
    <row r="289" spans="1:12" x14ac:dyDescent="0.2">
      <c r="A289">
        <v>3200330</v>
      </c>
      <c r="B289">
        <v>2018</v>
      </c>
      <c r="C289" s="4" t="s">
        <v>72</v>
      </c>
      <c r="D289" s="4" t="s">
        <v>576</v>
      </c>
      <c r="E289" s="4" t="s">
        <v>578</v>
      </c>
      <c r="F289" s="4" t="s">
        <v>29</v>
      </c>
      <c r="G289" s="8">
        <v>547859</v>
      </c>
      <c r="I289" s="16" cm="1">
        <f t="array" ref="I289">_xlfn.IFS(B289=2015,G289/$H$1957,B289=2016,G289/$H$1958,B289=2017,G289/$H$1959,B289=2018,G289/$H$1960,B289=2019,G289/$H$1961,B289=2020,G289/$H$1962,B289=2021,G289/$H$1963,B289=2022,G289/$H$1964,B289=2023,G289/$H$1965)</f>
        <v>7.0493589899347695E-4</v>
      </c>
      <c r="J289" s="10" cm="1">
        <f t="array" ref="J289">_xlfn.IFS(B289=2015,I289*$G$2,B289=2016,I289*$G$3,B289=2017,I289*$G$4,B289=2018,I289*$G$5,B289=2019,I289*$G$6,B289=2020,I289*$G$7,B289=2021,I289*$G$8,B289=2022,I289*$G$9,B289=2023,I289*$G$10)</f>
        <v>106109.7176849658</v>
      </c>
      <c r="K289" s="8">
        <f t="shared" si="4"/>
        <v>653968.71768496581</v>
      </c>
      <c r="L289">
        <f>IFERROR(VLOOKUP(F289,'LEAID Match'!$A$2:$B$240,2,FALSE),"")</f>
        <v>3200330</v>
      </c>
    </row>
    <row r="290" spans="1:12" x14ac:dyDescent="0.2">
      <c r="A290">
        <v>3200330</v>
      </c>
      <c r="B290">
        <v>2019</v>
      </c>
      <c r="C290" s="4" t="s">
        <v>72</v>
      </c>
      <c r="D290" s="4" t="s">
        <v>576</v>
      </c>
      <c r="E290" s="4" t="s">
        <v>578</v>
      </c>
      <c r="F290" s="4" t="s">
        <v>29</v>
      </c>
      <c r="G290" s="8">
        <v>541526</v>
      </c>
      <c r="I290" s="16" cm="1">
        <f t="array" ref="I290">_xlfn.IFS(B290=2015,G290/$H$1957,B290=2016,G290/$H$1958,B290=2017,G290/$H$1959,B290=2018,G290/$H$1960,B290=2019,G290/$H$1961,B290=2020,G290/$H$1962,B290=2021,G290/$H$1963,B290=2022,G290/$H$1964,B290=2023,G290/$H$1965)</f>
        <v>6.730066993301465E-4</v>
      </c>
      <c r="J290" s="10" cm="1">
        <f t="array" ref="J290">_xlfn.IFS(B290=2015,I290*$G$2,B290=2016,I290*$G$3,B290=2017,I290*$G$4,B290=2018,I290*$G$5,B290=2019,I290*$G$6,B290=2020,I290*$G$7,B290=2021,I290*$G$8,B290=2022,I290*$G$9,B290=2023,I290*$G$10)</f>
        <v>106353.98478856171</v>
      </c>
      <c r="K290" s="8">
        <f t="shared" si="4"/>
        <v>647879.98478856171</v>
      </c>
      <c r="L290">
        <f>IFERROR(VLOOKUP(F290,'LEAID Match'!$A$2:$B$240,2,FALSE),"")</f>
        <v>3200330</v>
      </c>
    </row>
    <row r="291" spans="1:12" x14ac:dyDescent="0.2">
      <c r="A291">
        <v>3200330</v>
      </c>
      <c r="B291">
        <v>2020</v>
      </c>
      <c r="C291" s="4" t="s">
        <v>72</v>
      </c>
      <c r="D291" s="4" t="s">
        <v>576</v>
      </c>
      <c r="E291" s="4" t="s">
        <v>578</v>
      </c>
      <c r="F291" s="4" t="s">
        <v>29</v>
      </c>
      <c r="G291" s="8">
        <v>564126</v>
      </c>
      <c r="I291" s="16" cm="1">
        <f t="array" ref="I291">_xlfn.IFS(B291=2015,G291/$H$1957,B291=2016,G291/$H$1958,B291=2017,G291/$H$1959,B291=2018,G291/$H$1960,B291=2019,G291/$H$1961,B291=2020,G291/$H$1962,B291=2021,G291/$H$1963,B291=2022,G291/$H$1964,B291=2023,G291/$H$1965)</f>
        <v>6.4883706480703309E-4</v>
      </c>
      <c r="J291" s="10" cm="1">
        <f t="array" ref="J291">_xlfn.IFS(B291=2015,I291*$G$2,B291=2016,I291*$G$3,B291=2017,I291*$G$4,B291=2018,I291*$G$5,B291=2019,I291*$G$6,B291=2020,I291*$G$7,B291=2021,I291*$G$8,B291=2022,I291*$G$9,B291=2023,I291*$G$10)</f>
        <v>112043.71092240883</v>
      </c>
      <c r="K291" s="8">
        <f t="shared" si="4"/>
        <v>676169.71092240885</v>
      </c>
      <c r="L291">
        <f>IFERROR(VLOOKUP(F291,'LEAID Match'!$A$2:$B$240,2,FALSE),"")</f>
        <v>3200330</v>
      </c>
    </row>
    <row r="292" spans="1:12" x14ac:dyDescent="0.2">
      <c r="A292">
        <v>3200330</v>
      </c>
      <c r="B292">
        <v>2021</v>
      </c>
      <c r="C292" s="4" t="s">
        <v>72</v>
      </c>
      <c r="D292" s="4" t="s">
        <v>576</v>
      </c>
      <c r="E292" s="4" t="s">
        <v>578</v>
      </c>
      <c r="F292" s="4" t="s">
        <v>29</v>
      </c>
      <c r="G292" s="8">
        <v>569230</v>
      </c>
      <c r="I292" s="16" cm="1">
        <f t="array" ref="I292">_xlfn.IFS(B292=2015,G292/$H$1957,B292=2016,G292/$H$1958,B292=2017,G292/$H$1959,B292=2018,G292/$H$1960,B292=2019,G292/$H$1961,B292=2020,G292/$H$1962,B292=2021,G292/$H$1963,B292=2022,G292/$H$1964,B292=2023,G292/$H$1965)</f>
        <v>6.5051313593358722E-4</v>
      </c>
      <c r="J292" s="10" cm="1">
        <f t="array" ref="J292">_xlfn.IFS(B292=2015,I292*$G$2,B292=2016,I292*$G$3,B292=2017,I292*$G$4,B292=2018,I292*$G$5,B292=2019,I292*$G$6,B292=2020,I292*$G$7,B292=2021,I292*$G$8,B292=2022,I292*$G$9,B292=2023,I292*$G$10)</f>
        <v>111639.00616536014</v>
      </c>
      <c r="K292" s="8">
        <f t="shared" si="4"/>
        <v>680869.0061653601</v>
      </c>
      <c r="L292">
        <f>IFERROR(VLOOKUP(F292,'LEAID Match'!$A$2:$B$240,2,FALSE),"")</f>
        <v>3200330</v>
      </c>
    </row>
    <row r="293" spans="1:12" x14ac:dyDescent="0.2">
      <c r="A293">
        <v>3200330</v>
      </c>
      <c r="B293">
        <v>2022</v>
      </c>
      <c r="C293" s="4" t="s">
        <v>72</v>
      </c>
      <c r="D293" s="4" t="s">
        <v>576</v>
      </c>
      <c r="E293" s="4" t="s">
        <v>578</v>
      </c>
      <c r="F293" s="4" t="s">
        <v>29</v>
      </c>
      <c r="G293" s="8">
        <v>623424</v>
      </c>
      <c r="I293" s="16" cm="1">
        <f t="array" ref="I293">_xlfn.IFS(B293=2015,G293/$H$1957,B293=2016,G293/$H$1958,B293=2017,G293/$H$1959,B293=2018,G293/$H$1960,B293=2019,G293/$H$1961,B293=2020,G293/$H$1962,B293=2021,G293/$H$1963,B293=2022,G293/$H$1964,B293=2023,G293/$H$1965)</f>
        <v>6.7005755401914214E-4</v>
      </c>
      <c r="J293" s="10" cm="1">
        <f t="array" ref="J293">_xlfn.IFS(B293=2015,I293*$G$2,B293=2016,I293*$G$3,B293=2017,I293*$G$4,B293=2018,I293*$G$5,B293=2019,I293*$G$6,B293=2020,I293*$G$7,B293=2021,I293*$G$8,B293=2022,I293*$G$9,B293=2023,I293*$G$10)</f>
        <v>113632.14516568878</v>
      </c>
      <c r="K293" s="8">
        <f t="shared" si="4"/>
        <v>737056.14516568882</v>
      </c>
      <c r="L293">
        <f>IFERROR(VLOOKUP(F293,'LEAID Match'!$A$2:$B$240,2,FALSE),"")</f>
        <v>3200330</v>
      </c>
    </row>
    <row r="294" spans="1:12" x14ac:dyDescent="0.2">
      <c r="A294">
        <v>3200330</v>
      </c>
      <c r="B294">
        <v>2023</v>
      </c>
      <c r="C294" s="4" t="s">
        <v>72</v>
      </c>
      <c r="D294" s="4" t="s">
        <v>576</v>
      </c>
      <c r="E294" s="4" t="s">
        <v>578</v>
      </c>
      <c r="F294" s="4" t="s">
        <v>29</v>
      </c>
      <c r="G294" s="8">
        <v>672357</v>
      </c>
      <c r="I294" s="16" cm="1">
        <f t="array" ref="I294">_xlfn.IFS(B294=2015,G294/$H$1957,B294=2016,G294/$H$1958,B294=2017,G294/$H$1959,B294=2018,G294/$H$1960,B294=2019,G294/$H$1961,B294=2020,G294/$H$1962,B294=2021,G294/$H$1963,B294=2022,G294/$H$1964,B294=2023,G294/$H$1965)</f>
        <v>6.8075446370590581E-4</v>
      </c>
      <c r="J294" s="10" cm="1">
        <f t="array" ref="J294">_xlfn.IFS(B294=2015,I294*$G$2,B294=2016,I294*$G$3,B294=2017,I294*$G$4,B294=2018,I294*$G$5,B294=2019,I294*$G$6,B294=2020,I294*$G$7,B294=2021,I294*$G$8,B294=2022,I294*$G$9,B294=2023,I294*$G$10)</f>
        <v>115718.26467372233</v>
      </c>
      <c r="K294" s="8">
        <f t="shared" si="4"/>
        <v>788075.26467372233</v>
      </c>
      <c r="L294">
        <f>IFERROR(VLOOKUP(F294,'LEAID Match'!$A$2:$B$240,2,FALSE),"")</f>
        <v>3200330</v>
      </c>
    </row>
    <row r="295" spans="1:12" x14ac:dyDescent="0.2">
      <c r="A295">
        <v>3200360</v>
      </c>
      <c r="B295">
        <v>2015</v>
      </c>
      <c r="C295" s="4" t="s">
        <v>73</v>
      </c>
      <c r="D295" s="4" t="s">
        <v>576</v>
      </c>
      <c r="E295" s="4" t="s">
        <v>578</v>
      </c>
      <c r="F295" s="4" t="s">
        <v>30</v>
      </c>
      <c r="G295" s="8">
        <v>7460009</v>
      </c>
      <c r="I295" s="16" cm="1">
        <f t="array" ref="I295">_xlfn.IFS(B295=2015,G295/$H$1957,B295=2016,G295/$H$1958,B295=2017,G295/$H$1959,B295=2018,G295/$H$1960,B295=2019,G295/$H$1961,B295=2020,G295/$H$1962,B295=2021,G295/$H$1963,B295=2022,G295/$H$1964,B295=2023,G295/$H$1965)</f>
        <v>5.7610552859134806E-3</v>
      </c>
      <c r="J295" s="10" cm="1">
        <f t="array" ref="J295">_xlfn.IFS(B295=2015,I295*$G$2,B295=2016,I295*$G$3,B295=2017,I295*$G$4,B295=2018,I295*$G$5,B295=2019,I295*$G$6,B295=2020,I295*$G$7,B295=2021,I295*$G$8,B295=2022,I295*$G$9,B295=2023,I295*$G$10)</f>
        <v>1432443.621006889</v>
      </c>
      <c r="K295" s="8">
        <f t="shared" si="4"/>
        <v>8892452.6210068893</v>
      </c>
      <c r="L295">
        <f>IFERROR(VLOOKUP(F295,'LEAID Match'!$A$2:$B$240,2,FALSE),"")</f>
        <v>3200360</v>
      </c>
    </row>
    <row r="296" spans="1:12" x14ac:dyDescent="0.2">
      <c r="A296">
        <v>3200360</v>
      </c>
      <c r="B296">
        <v>2016</v>
      </c>
      <c r="C296" s="4" t="s">
        <v>73</v>
      </c>
      <c r="D296" s="4" t="s">
        <v>576</v>
      </c>
      <c r="E296" s="4" t="s">
        <v>578</v>
      </c>
      <c r="F296" s="4" t="s">
        <v>30</v>
      </c>
      <c r="G296" s="8">
        <v>8418189</v>
      </c>
      <c r="I296" s="16" cm="1">
        <f t="array" ref="I296">_xlfn.IFS(B296=2015,G296/$H$1957,B296=2016,G296/$H$1958,B296=2017,G296/$H$1959,B296=2018,G296/$H$1960,B296=2019,G296/$H$1961,B296=2020,G296/$H$1962,B296=2021,G296/$H$1963,B296=2022,G296/$H$1964,B296=2023,G296/$H$1965)</f>
        <v>5.9095650791694196E-3</v>
      </c>
      <c r="J296" s="10" cm="1">
        <f t="array" ref="J296">_xlfn.IFS(B296=2015,I296*$G$2,B296=2016,I296*$G$3,B296=2017,I296*$G$4,B296=2018,I296*$G$5,B296=2019,I296*$G$6,B296=2020,I296*$G$7,B296=2021,I296*$G$8,B296=2022,I296*$G$9,B296=2023,I296*$G$10)</f>
        <v>1602692.2509311903</v>
      </c>
      <c r="K296" s="8">
        <f t="shared" si="4"/>
        <v>10020881.25093119</v>
      </c>
      <c r="L296">
        <f>IFERROR(VLOOKUP(F296,'LEAID Match'!$A$2:$B$240,2,FALSE),"")</f>
        <v>3200360</v>
      </c>
    </row>
    <row r="297" spans="1:12" x14ac:dyDescent="0.2">
      <c r="A297">
        <v>3200360</v>
      </c>
      <c r="B297">
        <v>2017</v>
      </c>
      <c r="C297" s="4" t="s">
        <v>73</v>
      </c>
      <c r="D297" s="4" t="s">
        <v>576</v>
      </c>
      <c r="E297" s="4" t="s">
        <v>578</v>
      </c>
      <c r="F297" s="4" t="s">
        <v>30</v>
      </c>
      <c r="G297" s="8">
        <v>4350909</v>
      </c>
      <c r="I297" s="16" cm="1">
        <f t="array" ref="I297">_xlfn.IFS(B297=2015,G297/$H$1957,B297=2016,G297/$H$1958,B297=2017,G297/$H$1959,B297=2018,G297/$H$1960,B297=2019,G297/$H$1961,B297=2020,G297/$H$1962,B297=2021,G297/$H$1963,B297=2022,G297/$H$1964,B297=2023,G297/$H$1965)</f>
        <v>5.8050385111053909E-3</v>
      </c>
      <c r="J297" s="10" cm="1">
        <f t="array" ref="J297">_xlfn.IFS(B297=2015,I297*$G$2,B297=2016,I297*$G$3,B297=2017,I297*$G$4,B297=2018,I297*$G$5,B297=2019,I297*$G$6,B297=2020,I297*$G$7,B297=2021,I297*$G$8,B297=2022,I297*$G$9,B297=2023,I297*$G$10)</f>
        <v>859648.34051315894</v>
      </c>
      <c r="K297" s="8">
        <f t="shared" si="4"/>
        <v>5210557.3405131586</v>
      </c>
      <c r="L297">
        <f>IFERROR(VLOOKUP(F297,'LEAID Match'!$A$2:$B$240,2,FALSE),"")</f>
        <v>3200360</v>
      </c>
    </row>
    <row r="298" spans="1:12" x14ac:dyDescent="0.2">
      <c r="A298">
        <v>3200360</v>
      </c>
      <c r="B298">
        <v>2018</v>
      </c>
      <c r="C298" s="4" t="s">
        <v>73</v>
      </c>
      <c r="D298" s="4" t="s">
        <v>576</v>
      </c>
      <c r="E298" s="4" t="s">
        <v>578</v>
      </c>
      <c r="F298" s="4" t="s">
        <v>30</v>
      </c>
      <c r="G298" s="8">
        <v>4470534</v>
      </c>
      <c r="I298" s="16" cm="1">
        <f t="array" ref="I298">_xlfn.IFS(B298=2015,G298/$H$1957,B298=2016,G298/$H$1958,B298=2017,G298/$H$1959,B298=2018,G298/$H$1960,B298=2019,G298/$H$1961,B298=2020,G298/$H$1962,B298=2021,G298/$H$1963,B298=2022,G298/$H$1964,B298=2023,G298/$H$1965)</f>
        <v>5.7522828031864115E-3</v>
      </c>
      <c r="J298" s="10" cm="1">
        <f t="array" ref="J298">_xlfn.IFS(B298=2015,I298*$G$2,B298=2016,I298*$G$3,B298=2017,I298*$G$4,B298=2018,I298*$G$5,B298=2019,I298*$G$6,B298=2020,I298*$G$7,B298=2021,I298*$G$8,B298=2022,I298*$G$9,B298=2023,I298*$G$10)</f>
        <v>865856.17949333834</v>
      </c>
      <c r="K298" s="8">
        <f t="shared" si="4"/>
        <v>5336390.1794933379</v>
      </c>
      <c r="L298">
        <f>IFERROR(VLOOKUP(F298,'LEAID Match'!$A$2:$B$240,2,FALSE),"")</f>
        <v>3200360</v>
      </c>
    </row>
    <row r="299" spans="1:12" x14ac:dyDescent="0.2">
      <c r="A299">
        <v>3200360</v>
      </c>
      <c r="B299">
        <v>2019</v>
      </c>
      <c r="C299" s="4" t="s">
        <v>73</v>
      </c>
      <c r="D299" s="4" t="s">
        <v>576</v>
      </c>
      <c r="E299" s="4" t="s">
        <v>578</v>
      </c>
      <c r="F299" s="4" t="s">
        <v>30</v>
      </c>
      <c r="G299" s="8">
        <v>4660125</v>
      </c>
      <c r="I299" s="16" cm="1">
        <f t="array" ref="I299">_xlfn.IFS(B299=2015,G299/$H$1957,B299=2016,G299/$H$1958,B299=2017,G299/$H$1959,B299=2018,G299/$H$1960,B299=2019,G299/$H$1961,B299=2020,G299/$H$1962,B299=2021,G299/$H$1963,B299=2022,G299/$H$1964,B299=2023,G299/$H$1965)</f>
        <v>5.7915877441081301E-3</v>
      </c>
      <c r="J299" s="10" cm="1">
        <f t="array" ref="J299">_xlfn.IFS(B299=2015,I299*$G$2,B299=2016,I299*$G$3,B299=2017,I299*$G$4,B299=2018,I299*$G$5,B299=2019,I299*$G$6,B299=2020,I299*$G$7,B299=2021,I299*$G$8,B299=2022,I299*$G$9,B299=2023,I299*$G$10)</f>
        <v>915233.73459962441</v>
      </c>
      <c r="K299" s="8">
        <f t="shared" si="4"/>
        <v>5575358.7345996248</v>
      </c>
      <c r="L299">
        <f>IFERROR(VLOOKUP(F299,'LEAID Match'!$A$2:$B$240,2,FALSE),"")</f>
        <v>3200360</v>
      </c>
    </row>
    <row r="300" spans="1:12" x14ac:dyDescent="0.2">
      <c r="A300">
        <v>3200360</v>
      </c>
      <c r="B300">
        <v>2020</v>
      </c>
      <c r="C300" s="4" t="s">
        <v>73</v>
      </c>
      <c r="D300" s="4" t="s">
        <v>576</v>
      </c>
      <c r="E300" s="4" t="s">
        <v>578</v>
      </c>
      <c r="F300" s="4" t="s">
        <v>30</v>
      </c>
      <c r="G300" s="8">
        <v>4929187</v>
      </c>
      <c r="I300" s="16" cm="1">
        <f t="array" ref="I300">_xlfn.IFS(B300=2015,G300/$H$1957,B300=2016,G300/$H$1958,B300=2017,G300/$H$1959,B300=2018,G300/$H$1960,B300=2019,G300/$H$1961,B300=2020,G300/$H$1962,B300=2021,G300/$H$1963,B300=2022,G300/$H$1964,B300=2023,G300/$H$1965)</f>
        <v>5.6693703622328791E-3</v>
      </c>
      <c r="J300" s="10" cm="1">
        <f t="array" ref="J300">_xlfn.IFS(B300=2015,I300*$G$2,B300=2016,I300*$G$3,B300=2017,I300*$G$4,B300=2018,I300*$G$5,B300=2019,I300*$G$6,B300=2020,I300*$G$7,B300=2021,I300*$G$8,B300=2022,I300*$G$9,B300=2023,I300*$G$10)</f>
        <v>979008.95067856414</v>
      </c>
      <c r="K300" s="8">
        <f t="shared" si="4"/>
        <v>5908195.9506785646</v>
      </c>
      <c r="L300">
        <f>IFERROR(VLOOKUP(F300,'LEAID Match'!$A$2:$B$240,2,FALSE),"")</f>
        <v>3200360</v>
      </c>
    </row>
    <row r="301" spans="1:12" x14ac:dyDescent="0.2">
      <c r="A301">
        <v>3200360</v>
      </c>
      <c r="B301">
        <v>2021</v>
      </c>
      <c r="C301" s="4" t="s">
        <v>73</v>
      </c>
      <c r="D301" s="4" t="s">
        <v>576</v>
      </c>
      <c r="E301" s="4" t="s">
        <v>578</v>
      </c>
      <c r="F301" s="4" t="s">
        <v>30</v>
      </c>
      <c r="G301" s="8">
        <v>5096786</v>
      </c>
      <c r="I301" s="16" cm="1">
        <f t="array" ref="I301">_xlfn.IFS(B301=2015,G301/$H$1957,B301=2016,G301/$H$1958,B301=2017,G301/$H$1959,B301=2018,G301/$H$1960,B301=2019,G301/$H$1961,B301=2020,G301/$H$1962,B301=2021,G301/$H$1963,B301=2022,G301/$H$1964,B301=2023,G301/$H$1965)</f>
        <v>5.8245810024812545E-3</v>
      </c>
      <c r="J301" s="10" cm="1">
        <f t="array" ref="J301">_xlfn.IFS(B301=2015,I301*$G$2,B301=2016,I301*$G$3,B301=2017,I301*$G$4,B301=2018,I301*$G$5,B301=2019,I301*$G$6,B301=2020,I301*$G$7,B301=2021,I301*$G$8,B301=2022,I301*$G$9,B301=2023,I301*$G$10)</f>
        <v>999596.1626715411</v>
      </c>
      <c r="K301" s="8">
        <f t="shared" si="4"/>
        <v>6096382.1626715409</v>
      </c>
      <c r="L301">
        <f>IFERROR(VLOOKUP(F301,'LEAID Match'!$A$2:$B$240,2,FALSE),"")</f>
        <v>3200360</v>
      </c>
    </row>
    <row r="302" spans="1:12" x14ac:dyDescent="0.2">
      <c r="A302">
        <v>3200360</v>
      </c>
      <c r="B302">
        <v>2022</v>
      </c>
      <c r="C302" s="4" t="s">
        <v>73</v>
      </c>
      <c r="D302" s="4" t="s">
        <v>576</v>
      </c>
      <c r="E302" s="4" t="s">
        <v>578</v>
      </c>
      <c r="F302" s="4" t="s">
        <v>30</v>
      </c>
      <c r="G302" s="8">
        <v>5410585</v>
      </c>
      <c r="I302" s="16" cm="1">
        <f t="array" ref="I302">_xlfn.IFS(B302=2015,G302/$H$1957,B302=2016,G302/$H$1958,B302=2017,G302/$H$1959,B302=2018,G302/$H$1960,B302=2019,G302/$H$1961,B302=2020,G302/$H$1962,B302=2021,G302/$H$1963,B302=2022,G302/$H$1964,B302=2023,G302/$H$1965)</f>
        <v>5.8153092452530863E-3</v>
      </c>
      <c r="J302" s="10" cm="1">
        <f t="array" ref="J302">_xlfn.IFS(B302=2015,I302*$G$2,B302=2016,I302*$G$3,B302=2017,I302*$G$4,B302=2018,I302*$G$5,B302=2019,I302*$G$6,B302=2020,I302*$G$7,B302=2021,I302*$G$8,B302=2022,I302*$G$9,B302=2023,I302*$G$10)</f>
        <v>986192.99249194481</v>
      </c>
      <c r="K302" s="8">
        <f t="shared" si="4"/>
        <v>6396777.9924919447</v>
      </c>
      <c r="L302">
        <f>IFERROR(VLOOKUP(F302,'LEAID Match'!$A$2:$B$240,2,FALSE),"")</f>
        <v>3200360</v>
      </c>
    </row>
    <row r="303" spans="1:12" x14ac:dyDescent="0.2">
      <c r="A303">
        <v>3200360</v>
      </c>
      <c r="B303">
        <v>2023</v>
      </c>
      <c r="C303" s="4" t="s">
        <v>73</v>
      </c>
      <c r="D303" s="4" t="s">
        <v>576</v>
      </c>
      <c r="E303" s="4" t="s">
        <v>578</v>
      </c>
      <c r="F303" s="4" t="s">
        <v>30</v>
      </c>
      <c r="G303" s="8">
        <v>5619179</v>
      </c>
      <c r="I303" s="16" cm="1">
        <f t="array" ref="I303">_xlfn.IFS(B303=2015,G303/$H$1957,B303=2016,G303/$H$1958,B303=2017,G303/$H$1959,B303=2018,G303/$H$1960,B303=2019,G303/$H$1961,B303=2020,G303/$H$1962,B303=2021,G303/$H$1963,B303=2022,G303/$H$1964,B303=2023,G303/$H$1965)</f>
        <v>5.6893602455429003E-3</v>
      </c>
      <c r="J303" s="10" cm="1">
        <f t="array" ref="J303">_xlfn.IFS(B303=2015,I303*$G$2,B303=2016,I303*$G$3,B303=2017,I303*$G$4,B303=2018,I303*$G$5,B303=2019,I303*$G$6,B303=2020,I303*$G$7,B303=2021,I303*$G$8,B303=2022,I303*$G$9,B303=2023,I303*$G$10)</f>
        <v>967107.71624452819</v>
      </c>
      <c r="K303" s="8">
        <f t="shared" si="4"/>
        <v>6586286.7162445281</v>
      </c>
      <c r="L303">
        <f>IFERROR(VLOOKUP(F303,'LEAID Match'!$A$2:$B$240,2,FALSE),"")</f>
        <v>3200360</v>
      </c>
    </row>
    <row r="304" spans="1:12" x14ac:dyDescent="0.2">
      <c r="A304">
        <v>3200390</v>
      </c>
      <c r="B304">
        <v>2015</v>
      </c>
      <c r="C304" s="4" t="s">
        <v>74</v>
      </c>
      <c r="D304" s="4" t="s">
        <v>576</v>
      </c>
      <c r="E304" s="4" t="s">
        <v>578</v>
      </c>
      <c r="F304" s="4" t="s">
        <v>31</v>
      </c>
      <c r="G304" s="8">
        <v>10155501</v>
      </c>
      <c r="I304" s="16" cm="1">
        <f t="array" ref="I304">_xlfn.IFS(B304=2015,G304/$H$1957,B304=2016,G304/$H$1958,B304=2017,G304/$H$1959,B304=2018,G304/$H$1960,B304=2019,G304/$H$1961,B304=2020,G304/$H$1962,B304=2021,G304/$H$1963,B304=2022,G304/$H$1964,B304=2023,G304/$H$1965)</f>
        <v>7.8426718677081543E-3</v>
      </c>
      <c r="J304" s="10" cm="1">
        <f t="array" ref="J304">_xlfn.IFS(B304=2015,I304*$G$2,B304=2016,I304*$G$3,B304=2017,I304*$G$4,B304=2018,I304*$G$5,B304=2019,I304*$G$6,B304=2020,I304*$G$7,B304=2021,I304*$G$8,B304=2022,I304*$G$9,B304=2023,I304*$G$10)</f>
        <v>1950022.1280670147</v>
      </c>
      <c r="K304" s="8">
        <f t="shared" si="4"/>
        <v>12105523.128067015</v>
      </c>
      <c r="L304">
        <f>IFERROR(VLOOKUP(F304,'LEAID Match'!$A$2:$B$240,2,FALSE),"")</f>
        <v>3200390</v>
      </c>
    </row>
    <row r="305" spans="1:12" x14ac:dyDescent="0.2">
      <c r="A305">
        <v>3200390</v>
      </c>
      <c r="B305">
        <v>2016</v>
      </c>
      <c r="C305" s="4" t="s">
        <v>74</v>
      </c>
      <c r="D305" s="4" t="s">
        <v>576</v>
      </c>
      <c r="E305" s="4" t="s">
        <v>578</v>
      </c>
      <c r="F305" s="4" t="s">
        <v>31</v>
      </c>
      <c r="G305" s="8">
        <v>11288917</v>
      </c>
      <c r="I305" s="16" cm="1">
        <f t="array" ref="I305">_xlfn.IFS(B305=2015,G305/$H$1957,B305=2016,G305/$H$1958,B305=2017,G305/$H$1959,B305=2018,G305/$H$1960,B305=2019,G305/$H$1961,B305=2020,G305/$H$1962,B305=2021,G305/$H$1963,B305=2022,G305/$H$1964,B305=2023,G305/$H$1965)</f>
        <v>7.9248149079145184E-3</v>
      </c>
      <c r="J305" s="10" cm="1">
        <f t="array" ref="J305">_xlfn.IFS(B305=2015,I305*$G$2,B305=2016,I305*$G$3,B305=2017,I305*$G$4,B305=2018,I305*$G$5,B305=2019,I305*$G$6,B305=2020,I305*$G$7,B305=2021,I305*$G$8,B305=2022,I305*$G$9,B305=2023,I305*$G$10)</f>
        <v>2149234.2114563338</v>
      </c>
      <c r="K305" s="8">
        <f t="shared" si="4"/>
        <v>13438151.211456334</v>
      </c>
      <c r="L305">
        <f>IFERROR(VLOOKUP(F305,'LEAID Match'!$A$2:$B$240,2,FALSE),"")</f>
        <v>3200390</v>
      </c>
    </row>
    <row r="306" spans="1:12" x14ac:dyDescent="0.2">
      <c r="A306">
        <v>3200390</v>
      </c>
      <c r="B306">
        <v>2017</v>
      </c>
      <c r="C306" s="4" t="s">
        <v>74</v>
      </c>
      <c r="D306" s="4" t="s">
        <v>576</v>
      </c>
      <c r="E306" s="4" t="s">
        <v>578</v>
      </c>
      <c r="F306" s="4" t="s">
        <v>31</v>
      </c>
      <c r="G306" s="8">
        <v>5793562</v>
      </c>
      <c r="I306" s="16" cm="1">
        <f t="array" ref="I306">_xlfn.IFS(B306=2015,G306/$H$1957,B306=2016,G306/$H$1958,B306=2017,G306/$H$1959,B306=2018,G306/$H$1960,B306=2019,G306/$H$1961,B306=2020,G306/$H$1962,B306=2021,G306/$H$1963,B306=2022,G306/$H$1964,B306=2023,G306/$H$1965)</f>
        <v>7.7298446201648375E-3</v>
      </c>
      <c r="J306" s="10" cm="1">
        <f t="array" ref="J306">_xlfn.IFS(B306=2015,I306*$G$2,B306=2016,I306*$G$3,B306=2017,I306*$G$4,B306=2018,I306*$G$5,B306=2019,I306*$G$6,B306=2020,I306*$G$7,B306=2021,I306*$G$8,B306=2022,I306*$G$9,B306=2023,I306*$G$10)</f>
        <v>1144686.3078405221</v>
      </c>
      <c r="K306" s="8">
        <f t="shared" si="4"/>
        <v>6938248.3078405224</v>
      </c>
      <c r="L306">
        <f>IFERROR(VLOOKUP(F306,'LEAID Match'!$A$2:$B$240,2,FALSE),"")</f>
        <v>3200390</v>
      </c>
    </row>
    <row r="307" spans="1:12" x14ac:dyDescent="0.2">
      <c r="A307">
        <v>3200390</v>
      </c>
      <c r="B307">
        <v>2018</v>
      </c>
      <c r="C307" s="4" t="s">
        <v>74</v>
      </c>
      <c r="D307" s="4" t="s">
        <v>576</v>
      </c>
      <c r="E307" s="4" t="s">
        <v>578</v>
      </c>
      <c r="F307" s="4" t="s">
        <v>31</v>
      </c>
      <c r="G307" s="8">
        <v>6102308</v>
      </c>
      <c r="I307" s="16" cm="1">
        <f t="array" ref="I307">_xlfn.IFS(B307=2015,G307/$H$1957,B307=2016,G307/$H$1958,B307=2017,G307/$H$1959,B307=2018,G307/$H$1960,B307=2019,G307/$H$1961,B307=2020,G307/$H$1962,B307=2021,G307/$H$1963,B307=2022,G307/$H$1964,B307=2023,G307/$H$1965)</f>
        <v>7.8519034567563657E-3</v>
      </c>
      <c r="J307" s="10" cm="1">
        <f t="array" ref="J307">_xlfn.IFS(B307=2015,I307*$G$2,B307=2016,I307*$G$3,B307=2017,I307*$G$4,B307=2018,I307*$G$5,B307=2019,I307*$G$6,B307=2020,I307*$G$7,B307=2021,I307*$G$8,B307=2022,I307*$G$9,B307=2023,I307*$G$10)</f>
        <v>1181899.3191801326</v>
      </c>
      <c r="K307" s="8">
        <f t="shared" si="4"/>
        <v>7284207.3191801328</v>
      </c>
      <c r="L307">
        <f>IFERROR(VLOOKUP(F307,'LEAID Match'!$A$2:$B$240,2,FALSE),"")</f>
        <v>3200390</v>
      </c>
    </row>
    <row r="308" spans="1:12" x14ac:dyDescent="0.2">
      <c r="A308">
        <v>3200390</v>
      </c>
      <c r="B308">
        <v>2019</v>
      </c>
      <c r="C308" s="4" t="s">
        <v>74</v>
      </c>
      <c r="D308" s="4" t="s">
        <v>576</v>
      </c>
      <c r="E308" s="4" t="s">
        <v>578</v>
      </c>
      <c r="F308" s="4" t="s">
        <v>31</v>
      </c>
      <c r="G308" s="8">
        <v>6915287</v>
      </c>
      <c r="I308" s="16" cm="1">
        <f t="array" ref="I308">_xlfn.IFS(B308=2015,G308/$H$1957,B308=2016,G308/$H$1958,B308=2017,G308/$H$1959,B308=2018,G308/$H$1960,B308=2019,G308/$H$1961,B308=2020,G308/$H$1962,B308=2021,G308/$H$1963,B308=2022,G308/$H$1964,B308=2023,G308/$H$1965)</f>
        <v>8.5942955255900386E-3</v>
      </c>
      <c r="J308" s="10" cm="1">
        <f t="array" ref="J308">_xlfn.IFS(B308=2015,I308*$G$2,B308=2016,I308*$G$3,B308=2017,I308*$G$4,B308=2018,I308*$G$5,B308=2019,I308*$G$6,B308=2020,I308*$G$7,B308=2021,I308*$G$8,B308=2022,I308*$G$9,B308=2023,I308*$G$10)</f>
        <v>1358140.3818219968</v>
      </c>
      <c r="K308" s="8">
        <f t="shared" si="4"/>
        <v>8273427.3818219965</v>
      </c>
      <c r="L308">
        <f>IFERROR(VLOOKUP(F308,'LEAID Match'!$A$2:$B$240,2,FALSE),"")</f>
        <v>3200390</v>
      </c>
    </row>
    <row r="309" spans="1:12" x14ac:dyDescent="0.2">
      <c r="A309">
        <v>3200390</v>
      </c>
      <c r="B309">
        <v>2020</v>
      </c>
      <c r="C309" s="4" t="s">
        <v>74</v>
      </c>
      <c r="D309" s="4" t="s">
        <v>576</v>
      </c>
      <c r="E309" s="4" t="s">
        <v>578</v>
      </c>
      <c r="F309" s="4" t="s">
        <v>31</v>
      </c>
      <c r="G309" s="8">
        <v>6937074</v>
      </c>
      <c r="I309" s="16" cm="1">
        <f t="array" ref="I309">_xlfn.IFS(B309=2015,G309/$H$1957,B309=2016,G309/$H$1958,B309=2017,G309/$H$1959,B309=2018,G309/$H$1960,B309=2019,G309/$H$1961,B309=2020,G309/$H$1962,B309=2021,G309/$H$1963,B309=2022,G309/$H$1964,B309=2023,G309/$H$1965)</f>
        <v>7.9787684533405377E-3</v>
      </c>
      <c r="J309" s="10" cm="1">
        <f t="array" ref="J309">_xlfn.IFS(B309=2015,I309*$G$2,B309=2016,I309*$G$3,B309=2017,I309*$G$4,B309=2018,I309*$G$5,B309=2019,I309*$G$6,B309=2020,I309*$G$7,B309=2021,I309*$G$8,B309=2022,I309*$G$9,B309=2023,I309*$G$10)</f>
        <v>1377804.8058472013</v>
      </c>
      <c r="K309" s="8">
        <f t="shared" si="4"/>
        <v>8314878.8058472015</v>
      </c>
      <c r="L309">
        <f>IFERROR(VLOOKUP(F309,'LEAID Match'!$A$2:$B$240,2,FALSE),"")</f>
        <v>3200390</v>
      </c>
    </row>
    <row r="310" spans="1:12" x14ac:dyDescent="0.2">
      <c r="A310">
        <v>3200390</v>
      </c>
      <c r="B310">
        <v>2021</v>
      </c>
      <c r="C310" s="4" t="s">
        <v>74</v>
      </c>
      <c r="D310" s="4" t="s">
        <v>576</v>
      </c>
      <c r="E310" s="4" t="s">
        <v>578</v>
      </c>
      <c r="F310" s="4" t="s">
        <v>31</v>
      </c>
      <c r="G310" s="8">
        <v>6726754</v>
      </c>
      <c r="I310" s="16" cm="1">
        <f t="array" ref="I310">_xlfn.IFS(B310=2015,G310/$H$1957,B310=2016,G310/$H$1958,B310=2017,G310/$H$1959,B310=2018,G310/$H$1960,B310=2019,G310/$H$1961,B310=2020,G310/$H$1962,B310=2021,G310/$H$1963,B310=2022,G310/$H$1964,B310=2023,G310/$H$1965)</f>
        <v>7.6873001057460111E-3</v>
      </c>
      <c r="J310" s="10" cm="1">
        <f t="array" ref="J310">_xlfn.IFS(B310=2015,I310*$G$2,B310=2016,I310*$G$3,B310=2017,I310*$G$4,B310=2018,I310*$G$5,B310=2019,I310*$G$6,B310=2020,I310*$G$7,B310=2021,I310*$G$8,B310=2022,I310*$G$9,B310=2023,I310*$G$10)</f>
        <v>1319270.1215305959</v>
      </c>
      <c r="K310" s="8">
        <f t="shared" si="4"/>
        <v>8046024.1215305962</v>
      </c>
      <c r="L310">
        <f>IFERROR(VLOOKUP(F310,'LEAID Match'!$A$2:$B$240,2,FALSE),"")</f>
        <v>3200390</v>
      </c>
    </row>
    <row r="311" spans="1:12" x14ac:dyDescent="0.2">
      <c r="A311">
        <v>3200390</v>
      </c>
      <c r="B311">
        <v>2022</v>
      </c>
      <c r="C311" s="4" t="s">
        <v>74</v>
      </c>
      <c r="D311" s="4" t="s">
        <v>576</v>
      </c>
      <c r="E311" s="4" t="s">
        <v>578</v>
      </c>
      <c r="F311" s="4" t="s">
        <v>31</v>
      </c>
      <c r="G311" s="8">
        <v>6833576</v>
      </c>
      <c r="I311" s="16" cm="1">
        <f t="array" ref="I311">_xlfn.IFS(B311=2015,G311/$H$1957,B311=2016,G311/$H$1958,B311=2017,G311/$H$1959,B311=2018,G311/$H$1960,B311=2019,G311/$H$1961,B311=2020,G311/$H$1962,B311=2021,G311/$H$1963,B311=2022,G311/$H$1964,B311=2023,G311/$H$1965)</f>
        <v>7.3447432562171386E-3</v>
      </c>
      <c r="J311" s="10" cm="1">
        <f t="array" ref="J311">_xlfn.IFS(B311=2015,I311*$G$2,B311=2016,I311*$G$3,B311=2017,I311*$G$4,B311=2018,I311*$G$5,B311=2019,I311*$G$6,B311=2020,I311*$G$7,B311=2021,I311*$G$8,B311=2022,I311*$G$9,B311=2023,I311*$G$10)</f>
        <v>1245563.0518439568</v>
      </c>
      <c r="K311" s="8">
        <f t="shared" si="4"/>
        <v>8079139.051843957</v>
      </c>
      <c r="L311">
        <f>IFERROR(VLOOKUP(F311,'LEAID Match'!$A$2:$B$240,2,FALSE),"")</f>
        <v>3200390</v>
      </c>
    </row>
    <row r="312" spans="1:12" x14ac:dyDescent="0.2">
      <c r="A312">
        <v>3200390</v>
      </c>
      <c r="B312">
        <v>2023</v>
      </c>
      <c r="C312" s="4" t="s">
        <v>74</v>
      </c>
      <c r="D312" s="4" t="s">
        <v>576</v>
      </c>
      <c r="E312" s="4" t="s">
        <v>578</v>
      </c>
      <c r="F312" s="4" t="s">
        <v>31</v>
      </c>
      <c r="G312" s="8">
        <v>6634396</v>
      </c>
      <c r="I312" s="16" cm="1">
        <f t="array" ref="I312">_xlfn.IFS(B312=2015,G312/$H$1957,B312=2016,G312/$H$1958,B312=2017,G312/$H$1959,B312=2018,G312/$H$1960,B312=2019,G312/$H$1961,B312=2020,G312/$H$1962,B312=2021,G312/$H$1963,B312=2022,G312/$H$1964,B312=2023,G312/$H$1965)</f>
        <v>6.717256890301739E-3</v>
      </c>
      <c r="J312" s="10" cm="1">
        <f t="array" ref="J312">_xlfn.IFS(B312=2015,I312*$G$2,B312=2016,I312*$G$3,B312=2017,I312*$G$4,B312=2018,I312*$G$5,B312=2019,I312*$G$6,B312=2020,I312*$G$7,B312=2021,I312*$G$8,B312=2022,I312*$G$9,B312=2023,I312*$G$10)</f>
        <v>1141835.0553028891</v>
      </c>
      <c r="K312" s="8">
        <f t="shared" si="4"/>
        <v>7776231.0553028891</v>
      </c>
      <c r="L312">
        <f>IFERROR(VLOOKUP(F312,'LEAID Match'!$A$2:$B$240,2,FALSE),"")</f>
        <v>3200390</v>
      </c>
    </row>
    <row r="313" spans="1:12" x14ac:dyDescent="0.2">
      <c r="A313">
        <v>3200420</v>
      </c>
      <c r="B313">
        <v>2015</v>
      </c>
      <c r="C313" s="4" t="s">
        <v>75</v>
      </c>
      <c r="D313" s="4" t="s">
        <v>576</v>
      </c>
      <c r="E313" s="4" t="s">
        <v>578</v>
      </c>
      <c r="F313" s="4" t="s">
        <v>32</v>
      </c>
      <c r="G313" s="8">
        <v>1477032</v>
      </c>
      <c r="I313" s="16" cm="1">
        <f t="array" ref="I313">_xlfn.IFS(B313=2015,G313/$H$1957,B313=2016,G313/$H$1958,B313=2017,G313/$H$1959,B313=2018,G313/$H$1960,B313=2019,G313/$H$1961,B313=2020,G313/$H$1962,B313=2021,G313/$H$1963,B313=2022,G313/$H$1964,B313=2023,G313/$H$1965)</f>
        <v>1.1406505020387188E-3</v>
      </c>
      <c r="J313" s="10" cm="1">
        <f t="array" ref="J313">_xlfn.IFS(B313=2015,I313*$G$2,B313=2016,I313*$G$3,B313=2017,I313*$G$4,B313=2018,I313*$G$5,B313=2019,I313*$G$6,B313=2020,I313*$G$7,B313=2021,I313*$G$8,B313=2022,I313*$G$9,B313=2023,I313*$G$10)</f>
        <v>283614.27800194977</v>
      </c>
      <c r="K313" s="8">
        <f t="shared" si="4"/>
        <v>1760646.2780019497</v>
      </c>
      <c r="L313">
        <f>IFERROR(VLOOKUP(F313,'LEAID Match'!$A$2:$B$240,2,FALSE),"")</f>
        <v>3200420</v>
      </c>
    </row>
    <row r="314" spans="1:12" x14ac:dyDescent="0.2">
      <c r="A314">
        <v>3200420</v>
      </c>
      <c r="B314">
        <v>2016</v>
      </c>
      <c r="C314" s="4" t="s">
        <v>75</v>
      </c>
      <c r="D314" s="4" t="s">
        <v>576</v>
      </c>
      <c r="E314" s="4" t="s">
        <v>578</v>
      </c>
      <c r="F314" s="4" t="s">
        <v>32</v>
      </c>
      <c r="G314" s="8">
        <v>1666940</v>
      </c>
      <c r="I314" s="16" cm="1">
        <f t="array" ref="I314">_xlfn.IFS(B314=2015,G314/$H$1957,B314=2016,G314/$H$1958,B314=2017,G314/$H$1959,B314=2018,G314/$H$1960,B314=2019,G314/$H$1961,B314=2020,G314/$H$1962,B314=2021,G314/$H$1963,B314=2022,G314/$H$1964,B314=2023,G314/$H$1965)</f>
        <v>1.1701911673723021E-3</v>
      </c>
      <c r="J314" s="10" cm="1">
        <f t="array" ref="J314">_xlfn.IFS(B314=2015,I314*$G$2,B314=2016,I314*$G$3,B314=2017,I314*$G$4,B314=2018,I314*$G$5,B314=2019,I314*$G$6,B314=2020,I314*$G$7,B314=2021,I314*$G$8,B314=2022,I314*$G$9,B314=2023,I314*$G$10)</f>
        <v>317359.44878016383</v>
      </c>
      <c r="K314" s="8">
        <f t="shared" si="4"/>
        <v>1984299.4487801639</v>
      </c>
      <c r="L314">
        <f>IFERROR(VLOOKUP(F314,'LEAID Match'!$A$2:$B$240,2,FALSE),"")</f>
        <v>3200420</v>
      </c>
    </row>
    <row r="315" spans="1:12" x14ac:dyDescent="0.2">
      <c r="A315">
        <v>3200420</v>
      </c>
      <c r="B315">
        <v>2017</v>
      </c>
      <c r="C315" s="4" t="s">
        <v>75</v>
      </c>
      <c r="D315" s="4" t="s">
        <v>576</v>
      </c>
      <c r="E315" s="4" t="s">
        <v>578</v>
      </c>
      <c r="F315" s="4" t="s">
        <v>32</v>
      </c>
      <c r="G315" s="8">
        <v>863474</v>
      </c>
      <c r="I315" s="16" cm="1">
        <f t="array" ref="I315">_xlfn.IFS(B315=2015,G315/$H$1957,B315=2016,G315/$H$1958,B315=2017,G315/$H$1959,B315=2018,G315/$H$1960,B315=2019,G315/$H$1961,B315=2020,G315/$H$1962,B315=2021,G315/$H$1963,B315=2022,G315/$H$1964,B315=2023,G315/$H$1965)</f>
        <v>1.1520580695524123E-3</v>
      </c>
      <c r="J315" s="10" cm="1">
        <f t="array" ref="J315">_xlfn.IFS(B315=2015,I315*$G$2,B315=2016,I315*$G$3,B315=2017,I315*$G$4,B315=2018,I315*$G$5,B315=2019,I315*$G$6,B315=2020,I315*$G$7,B315=2021,I315*$G$8,B315=2022,I315*$G$9,B315=2023,I315*$G$10)</f>
        <v>170604.34754582535</v>
      </c>
      <c r="K315" s="8">
        <f t="shared" si="4"/>
        <v>1034078.3475458254</v>
      </c>
      <c r="L315">
        <f>IFERROR(VLOOKUP(F315,'LEAID Match'!$A$2:$B$240,2,FALSE),"")</f>
        <v>3200420</v>
      </c>
    </row>
    <row r="316" spans="1:12" x14ac:dyDescent="0.2">
      <c r="A316">
        <v>3200420</v>
      </c>
      <c r="B316">
        <v>2018</v>
      </c>
      <c r="C316" s="4" t="s">
        <v>75</v>
      </c>
      <c r="D316" s="4" t="s">
        <v>576</v>
      </c>
      <c r="E316" s="4" t="s">
        <v>578</v>
      </c>
      <c r="F316" s="4" t="s">
        <v>32</v>
      </c>
      <c r="G316" s="8">
        <v>872778</v>
      </c>
      <c r="I316" s="16" cm="1">
        <f t="array" ref="I316">_xlfn.IFS(B316=2015,G316/$H$1957,B316=2016,G316/$H$1958,B316=2017,G316/$H$1959,B316=2018,G316/$H$1960,B316=2019,G316/$H$1961,B316=2020,G316/$H$1962,B316=2021,G316/$H$1963,B316=2022,G316/$H$1964,B316=2023,G316/$H$1965)</f>
        <v>1.1230125708471136E-3</v>
      </c>
      <c r="J316" s="10" cm="1">
        <f t="array" ref="J316">_xlfn.IFS(B316=2015,I316*$G$2,B316=2016,I316*$G$3,B316=2017,I316*$G$4,B316=2018,I316*$G$5,B316=2019,I316*$G$6,B316=2020,I316*$G$7,B316=2021,I316*$G$8,B316=2022,I316*$G$9,B316=2023,I316*$G$10)</f>
        <v>169040.25886523555</v>
      </c>
      <c r="K316" s="8">
        <f t="shared" si="4"/>
        <v>1041818.2588652356</v>
      </c>
      <c r="L316">
        <f>IFERROR(VLOOKUP(F316,'LEAID Match'!$A$2:$B$240,2,FALSE),"")</f>
        <v>3200420</v>
      </c>
    </row>
    <row r="317" spans="1:12" x14ac:dyDescent="0.2">
      <c r="A317">
        <v>3200420</v>
      </c>
      <c r="B317">
        <v>2019</v>
      </c>
      <c r="C317" s="4" t="s">
        <v>75</v>
      </c>
      <c r="D317" s="4" t="s">
        <v>576</v>
      </c>
      <c r="E317" s="4" t="s">
        <v>578</v>
      </c>
      <c r="F317" s="4" t="s">
        <v>32</v>
      </c>
      <c r="G317" s="8">
        <v>893024</v>
      </c>
      <c r="I317" s="16" cm="1">
        <f t="array" ref="I317">_xlfn.IFS(B317=2015,G317/$H$1957,B317=2016,G317/$H$1958,B317=2017,G317/$H$1959,B317=2018,G317/$H$1960,B317=2019,G317/$H$1961,B317=2020,G317/$H$1962,B317=2021,G317/$H$1963,B317=2022,G317/$H$1964,B317=2023,G317/$H$1965)</f>
        <v>1.1098472366287209E-3</v>
      </c>
      <c r="J317" s="10" cm="1">
        <f t="array" ref="J317">_xlfn.IFS(B317=2015,I317*$G$2,B317=2016,I317*$G$3,B317=2017,I317*$G$4,B317=2018,I317*$G$5,B317=2019,I317*$G$6,B317=2020,I317*$G$7,B317=2021,I317*$G$8,B317=2022,I317*$G$9,B317=2023,I317*$G$10)</f>
        <v>175387.07451132638</v>
      </c>
      <c r="K317" s="8">
        <f t="shared" si="4"/>
        <v>1068411.0745113264</v>
      </c>
      <c r="L317">
        <f>IFERROR(VLOOKUP(F317,'LEAID Match'!$A$2:$B$240,2,FALSE),"")</f>
        <v>3200420</v>
      </c>
    </row>
    <row r="318" spans="1:12" x14ac:dyDescent="0.2">
      <c r="A318">
        <v>3200420</v>
      </c>
      <c r="B318">
        <v>2020</v>
      </c>
      <c r="C318" s="4" t="s">
        <v>75</v>
      </c>
      <c r="D318" s="4" t="s">
        <v>576</v>
      </c>
      <c r="E318" s="4" t="s">
        <v>578</v>
      </c>
      <c r="F318" s="4" t="s">
        <v>32</v>
      </c>
      <c r="G318" s="8">
        <v>959077</v>
      </c>
      <c r="I318" s="16" cm="1">
        <f t="array" ref="I318">_xlfn.IFS(B318=2015,G318/$H$1957,B318=2016,G318/$H$1958,B318=2017,G318/$H$1959,B318=2018,G318/$H$1960,B318=2019,G318/$H$1961,B318=2020,G318/$H$1962,B318=2021,G318/$H$1963,B318=2022,G318/$H$1964,B318=2023,G318/$H$1965)</f>
        <v>1.1030952404319867E-3</v>
      </c>
      <c r="J318" s="10" cm="1">
        <f t="array" ref="J318">_xlfn.IFS(B318=2015,I318*$G$2,B318=2016,I318*$G$3,B318=2017,I318*$G$4,B318=2018,I318*$G$5,B318=2019,I318*$G$6,B318=2020,I318*$G$7,B318=2021,I318*$G$8,B318=2022,I318*$G$9,B318=2023,I318*$G$10)</f>
        <v>190486.7815706617</v>
      </c>
      <c r="K318" s="8">
        <f t="shared" si="4"/>
        <v>1149563.7815706618</v>
      </c>
      <c r="L318">
        <f>IFERROR(VLOOKUP(F318,'LEAID Match'!$A$2:$B$240,2,FALSE),"")</f>
        <v>3200420</v>
      </c>
    </row>
    <row r="319" spans="1:12" x14ac:dyDescent="0.2">
      <c r="A319">
        <v>3200420</v>
      </c>
      <c r="B319">
        <v>2021</v>
      </c>
      <c r="C319" s="4" t="s">
        <v>75</v>
      </c>
      <c r="D319" s="4" t="s">
        <v>576</v>
      </c>
      <c r="E319" s="4" t="s">
        <v>578</v>
      </c>
      <c r="F319" s="4" t="s">
        <v>32</v>
      </c>
      <c r="G319" s="8">
        <v>1024913</v>
      </c>
      <c r="I319" s="16" cm="1">
        <f t="array" ref="I319">_xlfn.IFS(B319=2015,G319/$H$1957,B319=2016,G319/$H$1958,B319=2017,G319/$H$1959,B319=2018,G319/$H$1960,B319=2019,G319/$H$1961,B319=2020,G319/$H$1962,B319=2021,G319/$H$1963,B319=2022,G319/$H$1964,B319=2023,G319/$H$1965)</f>
        <v>1.1712653403529341E-3</v>
      </c>
      <c r="J319" s="10" cm="1">
        <f t="array" ref="J319">_xlfn.IFS(B319=2015,I319*$G$2,B319=2016,I319*$G$3,B319=2017,I319*$G$4,B319=2018,I319*$G$5,B319=2019,I319*$G$6,B319=2020,I319*$G$7,B319=2021,I319*$G$8,B319=2022,I319*$G$9,B319=2023,I319*$G$10)</f>
        <v>201008.85182783369</v>
      </c>
      <c r="K319" s="8">
        <f t="shared" si="4"/>
        <v>1225921.8518278338</v>
      </c>
      <c r="L319">
        <f>IFERROR(VLOOKUP(F319,'LEAID Match'!$A$2:$B$240,2,FALSE),"")</f>
        <v>3200420</v>
      </c>
    </row>
    <row r="320" spans="1:12" x14ac:dyDescent="0.2">
      <c r="A320">
        <v>3200420</v>
      </c>
      <c r="B320">
        <v>2022</v>
      </c>
      <c r="C320" s="4" t="s">
        <v>75</v>
      </c>
      <c r="D320" s="4" t="s">
        <v>576</v>
      </c>
      <c r="E320" s="4" t="s">
        <v>578</v>
      </c>
      <c r="F320" s="4" t="s">
        <v>32</v>
      </c>
      <c r="G320" s="8">
        <v>930568</v>
      </c>
      <c r="I320" s="16" cm="1">
        <f t="array" ref="I320">_xlfn.IFS(B320=2015,G320/$H$1957,B320=2016,G320/$H$1958,B320=2017,G320/$H$1959,B320=2018,G320/$H$1960,B320=2019,G320/$H$1961,B320=2020,G320/$H$1962,B320=2021,G320/$H$1963,B320=2022,G320/$H$1964,B320=2023,G320/$H$1965)</f>
        <v>1.0001766340860876E-3</v>
      </c>
      <c r="J320" s="10" cm="1">
        <f t="array" ref="J320">_xlfn.IFS(B320=2015,I320*$G$2,B320=2016,I320*$G$3,B320=2017,I320*$G$4,B320=2018,I320*$G$5,B320=2019,I320*$G$6,B320=2020,I320*$G$7,B320=2021,I320*$G$8,B320=2022,I320*$G$9,B320=2023,I320*$G$10)</f>
        <v>169615.6036061247</v>
      </c>
      <c r="K320" s="8">
        <f t="shared" si="4"/>
        <v>1100183.6036061246</v>
      </c>
      <c r="L320">
        <f>IFERROR(VLOOKUP(F320,'LEAID Match'!$A$2:$B$240,2,FALSE),"")</f>
        <v>3200420</v>
      </c>
    </row>
    <row r="321" spans="1:12" x14ac:dyDescent="0.2">
      <c r="A321">
        <v>3200420</v>
      </c>
      <c r="B321">
        <v>2023</v>
      </c>
      <c r="C321" s="4" t="s">
        <v>75</v>
      </c>
      <c r="D321" s="4" t="s">
        <v>576</v>
      </c>
      <c r="E321" s="4" t="s">
        <v>578</v>
      </c>
      <c r="F321" s="4" t="s">
        <v>32</v>
      </c>
      <c r="G321" s="8">
        <v>975514</v>
      </c>
      <c r="I321" s="16" cm="1">
        <f t="array" ref="I321">_xlfn.IFS(B321=2015,G321/$H$1957,B321=2016,G321/$H$1958,B321=2017,G321/$H$1959,B321=2018,G321/$H$1960,B321=2019,G321/$H$1961,B321=2020,G321/$H$1962,B321=2021,G321/$H$1963,B321=2022,G321/$H$1964,B321=2023,G321/$H$1965)</f>
        <v>9.8769777054095228E-4</v>
      </c>
      <c r="J321" s="10" cm="1">
        <f t="array" ref="J321">_xlfn.IFS(B321=2015,I321*$G$2,B321=2016,I321*$G$3,B321=2017,I321*$G$4,B321=2018,I321*$G$5,B321=2019,I321*$G$6,B321=2020,I321*$G$7,B321=2021,I321*$G$8,B321=2022,I321*$G$9,B321=2023,I321*$G$10)</f>
        <v>167894.12060099258</v>
      </c>
      <c r="K321" s="8">
        <f t="shared" si="4"/>
        <v>1143408.1206009926</v>
      </c>
      <c r="L321">
        <f>IFERROR(VLOOKUP(F321,'LEAID Match'!$A$2:$B$240,2,FALSE),"")</f>
        <v>3200420</v>
      </c>
    </row>
    <row r="322" spans="1:12" x14ac:dyDescent="0.2">
      <c r="A322">
        <v>3200450</v>
      </c>
      <c r="B322">
        <v>2015</v>
      </c>
      <c r="C322" s="4" t="s">
        <v>76</v>
      </c>
      <c r="D322" s="4" t="s">
        <v>576</v>
      </c>
      <c r="E322" s="4" t="s">
        <v>578</v>
      </c>
      <c r="F322" s="4" t="s">
        <v>33</v>
      </c>
      <c r="G322" s="8">
        <v>876586</v>
      </c>
      <c r="I322" s="16" cm="1">
        <f t="array" ref="I322">_xlfn.IFS(B322=2015,G322/$H$1957,B322=2016,G322/$H$1958,B322=2017,G322/$H$1959,B322=2018,G322/$H$1960,B322=2019,G322/$H$1961,B322=2020,G322/$H$1962,B322=2021,G322/$H$1963,B322=2022,G322/$H$1964,B322=2023,G322/$H$1965)</f>
        <v>6.7695098073712167E-4</v>
      </c>
      <c r="J322" s="10" cm="1">
        <f t="array" ref="J322">_xlfn.IFS(B322=2015,I322*$G$2,B322=2016,I322*$G$3,B322=2017,I322*$G$4,B322=2018,I322*$G$5,B322=2019,I322*$G$6,B322=2020,I322*$G$7,B322=2021,I322*$G$8,B322=2022,I322*$G$9,B322=2023,I322*$G$10)</f>
        <v>168318.83499925333</v>
      </c>
      <c r="K322" s="8">
        <f t="shared" si="4"/>
        <v>1044904.8349992533</v>
      </c>
      <c r="L322">
        <f>IFERROR(VLOOKUP(F322,'LEAID Match'!$A$2:$B$240,2,FALSE),"")</f>
        <v>3200450</v>
      </c>
    </row>
    <row r="323" spans="1:12" x14ac:dyDescent="0.2">
      <c r="A323">
        <v>3200450</v>
      </c>
      <c r="B323">
        <v>2016</v>
      </c>
      <c r="C323" s="4" t="s">
        <v>76</v>
      </c>
      <c r="D323" s="4" t="s">
        <v>576</v>
      </c>
      <c r="E323" s="4" t="s">
        <v>578</v>
      </c>
      <c r="F323" s="4" t="s">
        <v>33</v>
      </c>
      <c r="G323" s="8">
        <v>950788</v>
      </c>
      <c r="I323" s="16" cm="1">
        <f t="array" ref="I323">_xlfn.IFS(B323=2015,G323/$H$1957,B323=2016,G323/$H$1958,B323=2017,G323/$H$1959,B323=2018,G323/$H$1960,B323=2019,G323/$H$1961,B323=2020,G323/$H$1962,B323=2021,G323/$H$1963,B323=2022,G323/$H$1964,B323=2023,G323/$H$1965)</f>
        <v>6.6745276953194264E-4</v>
      </c>
      <c r="J323" s="10" cm="1">
        <f t="array" ref="J323">_xlfn.IFS(B323=2015,I323*$G$2,B323=2016,I323*$G$3,B323=2017,I323*$G$4,B323=2018,I323*$G$5,B323=2019,I323*$G$6,B323=2020,I323*$G$7,B323=2021,I323*$G$8,B323=2022,I323*$G$9,B323=2023,I323*$G$10)</f>
        <v>181015.24685159299</v>
      </c>
      <c r="K323" s="8">
        <f t="shared" si="4"/>
        <v>1131803.246851593</v>
      </c>
      <c r="L323">
        <f>IFERROR(VLOOKUP(F323,'LEAID Match'!$A$2:$B$240,2,FALSE),"")</f>
        <v>3200450</v>
      </c>
    </row>
    <row r="324" spans="1:12" x14ac:dyDescent="0.2">
      <c r="A324">
        <v>3200450</v>
      </c>
      <c r="B324">
        <v>2017</v>
      </c>
      <c r="C324" s="4" t="s">
        <v>76</v>
      </c>
      <c r="D324" s="4" t="s">
        <v>576</v>
      </c>
      <c r="E324" s="4" t="s">
        <v>578</v>
      </c>
      <c r="F324" s="4" t="s">
        <v>33</v>
      </c>
      <c r="G324" s="8">
        <v>460840</v>
      </c>
      <c r="I324" s="16" cm="1">
        <f t="array" ref="I324">_xlfn.IFS(B324=2015,G324/$H$1957,B324=2016,G324/$H$1958,B324=2017,G324/$H$1959,B324=2018,G324/$H$1960,B324=2019,G324/$H$1961,B324=2020,G324/$H$1962,B324=2021,G324/$H$1963,B324=2022,G324/$H$1964,B324=2023,G324/$H$1965)</f>
        <v>6.1485863010644632E-4</v>
      </c>
      <c r="J324" s="10" cm="1">
        <f t="array" ref="J324">_xlfn.IFS(B324=2015,I324*$G$2,B324=2016,I324*$G$3,B324=2017,I324*$G$4,B324=2018,I324*$G$5,B324=2019,I324*$G$6,B324=2020,I324*$G$7,B324=2021,I324*$G$8,B324=2022,I324*$G$9,B324=2023,I324*$G$10)</f>
        <v>91052.316019959078</v>
      </c>
      <c r="K324" s="8">
        <f t="shared" si="4"/>
        <v>551892.31601995905</v>
      </c>
      <c r="L324">
        <f>IFERROR(VLOOKUP(F324,'LEAID Match'!$A$2:$B$240,2,FALSE),"")</f>
        <v>3200450</v>
      </c>
    </row>
    <row r="325" spans="1:12" x14ac:dyDescent="0.2">
      <c r="A325">
        <v>3200450</v>
      </c>
      <c r="B325">
        <v>2018</v>
      </c>
      <c r="C325" s="4" t="s">
        <v>76</v>
      </c>
      <c r="D325" s="4" t="s">
        <v>576</v>
      </c>
      <c r="E325" s="4" t="s">
        <v>578</v>
      </c>
      <c r="F325" s="4" t="s">
        <v>33</v>
      </c>
      <c r="G325" s="8">
        <v>442794</v>
      </c>
      <c r="I325" s="16" cm="1">
        <f t="array" ref="I325">_xlfn.IFS(B325=2015,G325/$H$1957,B325=2016,G325/$H$1958,B325=2017,G325/$H$1959,B325=2018,G325/$H$1960,B325=2019,G325/$H$1961,B325=2020,G325/$H$1962,B325=2021,G325/$H$1963,B325=2022,G325/$H$1964,B325=2023,G325/$H$1965)</f>
        <v>5.6974766583905284E-4</v>
      </c>
      <c r="J325" s="10" cm="1">
        <f t="array" ref="J325">_xlfn.IFS(B325=2015,I325*$G$2,B325=2016,I325*$G$3,B325=2017,I325*$G$4,B325=2018,I325*$G$5,B325=2019,I325*$G$6,B325=2020,I325*$G$7,B325=2021,I325*$G$8,B325=2022,I325*$G$9,B325=2023,I325*$G$10)</f>
        <v>85760.65435193498</v>
      </c>
      <c r="K325" s="8">
        <f t="shared" si="4"/>
        <v>528554.65435193502</v>
      </c>
      <c r="L325">
        <f>IFERROR(VLOOKUP(F325,'LEAID Match'!$A$2:$B$240,2,FALSE),"")</f>
        <v>3200450</v>
      </c>
    </row>
    <row r="326" spans="1:12" x14ac:dyDescent="0.2">
      <c r="A326">
        <v>3200450</v>
      </c>
      <c r="B326">
        <v>2019</v>
      </c>
      <c r="C326" s="4" t="s">
        <v>76</v>
      </c>
      <c r="D326" s="4" t="s">
        <v>576</v>
      </c>
      <c r="E326" s="4" t="s">
        <v>578</v>
      </c>
      <c r="F326" s="4" t="s">
        <v>33</v>
      </c>
      <c r="G326" s="8">
        <v>453497</v>
      </c>
      <c r="I326" s="16" cm="1">
        <f t="array" ref="I326">_xlfn.IFS(B326=2015,G326/$H$1957,B326=2016,G326/$H$1958,B326=2017,G326/$H$1959,B326=2018,G326/$H$1960,B326=2019,G326/$H$1961,B326=2020,G326/$H$1962,B326=2021,G326/$H$1963,B326=2022,G326/$H$1964,B326=2023,G326/$H$1965)</f>
        <v>5.6360455292289464E-4</v>
      </c>
      <c r="J326" s="10" cm="1">
        <f t="array" ref="J326">_xlfn.IFS(B326=2015,I326*$G$2,B326=2016,I326*$G$3,B326=2017,I326*$G$4,B326=2018,I326*$G$5,B326=2019,I326*$G$6,B326=2020,I326*$G$7,B326=2021,I326*$G$8,B326=2022,I326*$G$9,B326=2023,I326*$G$10)</f>
        <v>89065.369049054643</v>
      </c>
      <c r="K326" s="8">
        <f t="shared" si="4"/>
        <v>542562.36904905469</v>
      </c>
      <c r="L326">
        <f>IFERROR(VLOOKUP(F326,'LEAID Match'!$A$2:$B$240,2,FALSE),"")</f>
        <v>3200450</v>
      </c>
    </row>
    <row r="327" spans="1:12" x14ac:dyDescent="0.2">
      <c r="A327">
        <v>3200450</v>
      </c>
      <c r="B327">
        <v>2020</v>
      </c>
      <c r="C327" s="4" t="s">
        <v>76</v>
      </c>
      <c r="D327" s="4" t="s">
        <v>576</v>
      </c>
      <c r="E327" s="4" t="s">
        <v>578</v>
      </c>
      <c r="F327" s="4" t="s">
        <v>33</v>
      </c>
      <c r="G327" s="8">
        <v>501614</v>
      </c>
      <c r="I327" s="16" cm="1">
        <f t="array" ref="I327">_xlfn.IFS(B327=2015,G327/$H$1957,B327=2016,G327/$H$1958,B327=2017,G327/$H$1959,B327=2018,G327/$H$1960,B327=2019,G327/$H$1961,B327=2020,G327/$H$1962,B327=2021,G327/$H$1963,B327=2022,G327/$H$1964,B327=2023,G327/$H$1965)</f>
        <v>5.7693805182905086E-4</v>
      </c>
      <c r="J327" s="10" cm="1">
        <f t="array" ref="J327">_xlfn.IFS(B327=2015,I327*$G$2,B327=2016,I327*$G$3,B327=2017,I327*$G$4,B327=2018,I327*$G$5,B327=2019,I327*$G$6,B327=2020,I327*$G$7,B327=2021,I327*$G$8,B327=2022,I327*$G$9,B327=2023,I327*$G$10)</f>
        <v>99627.909386614323</v>
      </c>
      <c r="K327" s="8">
        <f t="shared" si="4"/>
        <v>601241.90938661434</v>
      </c>
      <c r="L327">
        <f>IFERROR(VLOOKUP(F327,'LEAID Match'!$A$2:$B$240,2,FALSE),"")</f>
        <v>3200450</v>
      </c>
    </row>
    <row r="328" spans="1:12" x14ac:dyDescent="0.2">
      <c r="A328">
        <v>3200450</v>
      </c>
      <c r="B328">
        <v>2021</v>
      </c>
      <c r="C328" s="4" t="s">
        <v>76</v>
      </c>
      <c r="D328" s="4" t="s">
        <v>576</v>
      </c>
      <c r="E328" s="4" t="s">
        <v>578</v>
      </c>
      <c r="F328" s="4" t="s">
        <v>33</v>
      </c>
      <c r="G328" s="8">
        <v>515784</v>
      </c>
      <c r="I328" s="16" cm="1">
        <f t="array" ref="I328">_xlfn.IFS(B328=2015,G328/$H$1957,B328=2016,G328/$H$1958,B328=2017,G328/$H$1959,B328=2018,G328/$H$1960,B328=2019,G328/$H$1961,B328=2020,G328/$H$1962,B328=2021,G328/$H$1963,B328=2022,G328/$H$1964,B328=2023,G328/$H$1965)</f>
        <v>5.8943532017702749E-4</v>
      </c>
      <c r="J328" s="10" cm="1">
        <f t="array" ref="J328">_xlfn.IFS(B328=2015,I328*$G$2,B328=2016,I328*$G$3,B328=2017,I328*$G$4,B328=2018,I328*$G$5,B328=2019,I328*$G$6,B328=2020,I328*$G$7,B328=2021,I328*$G$8,B328=2022,I328*$G$9,B328=2023,I328*$G$10)</f>
        <v>101157.02467542842</v>
      </c>
      <c r="K328" s="8">
        <f t="shared" si="4"/>
        <v>616941.0246754284</v>
      </c>
      <c r="L328">
        <f>IFERROR(VLOOKUP(F328,'LEAID Match'!$A$2:$B$240,2,FALSE),"")</f>
        <v>3200450</v>
      </c>
    </row>
    <row r="329" spans="1:12" x14ac:dyDescent="0.2">
      <c r="A329">
        <v>3200450</v>
      </c>
      <c r="B329">
        <v>2022</v>
      </c>
      <c r="C329" s="4" t="s">
        <v>76</v>
      </c>
      <c r="D329" s="4" t="s">
        <v>576</v>
      </c>
      <c r="E329" s="4" t="s">
        <v>578</v>
      </c>
      <c r="F329" s="4" t="s">
        <v>33</v>
      </c>
      <c r="G329" s="8">
        <v>540007</v>
      </c>
      <c r="I329" s="16" cm="1">
        <f t="array" ref="I329">_xlfn.IFS(B329=2015,G329/$H$1957,B329=2016,G329/$H$1958,B329=2017,G329/$H$1959,B329=2018,G329/$H$1960,B329=2019,G329/$H$1961,B329=2020,G329/$H$1962,B329=2021,G329/$H$1963,B329=2022,G329/$H$1964,B329=2023,G329/$H$1965)</f>
        <v>5.8040076989851995E-4</v>
      </c>
      <c r="J329" s="10" cm="1">
        <f t="array" ref="J329">_xlfn.IFS(B329=2015,I329*$G$2,B329=2016,I329*$G$3,B329=2017,I329*$G$4,B329=2018,I329*$G$5,B329=2019,I329*$G$6,B329=2020,I329*$G$7,B329=2021,I329*$G$8,B329=2022,I329*$G$9,B329=2023,I329*$G$10)</f>
        <v>98427.641243340171</v>
      </c>
      <c r="K329" s="8">
        <f t="shared" si="4"/>
        <v>638434.64124334021</v>
      </c>
      <c r="L329">
        <f>IFERROR(VLOOKUP(F329,'LEAID Match'!$A$2:$B$240,2,FALSE),"")</f>
        <v>3200450</v>
      </c>
    </row>
    <row r="330" spans="1:12" x14ac:dyDescent="0.2">
      <c r="A330">
        <v>3200450</v>
      </c>
      <c r="B330">
        <v>2023</v>
      </c>
      <c r="C330" s="4" t="s">
        <v>76</v>
      </c>
      <c r="D330" s="4" t="s">
        <v>576</v>
      </c>
      <c r="E330" s="4" t="s">
        <v>578</v>
      </c>
      <c r="F330" s="4" t="s">
        <v>33</v>
      </c>
      <c r="G330" s="8">
        <v>548295</v>
      </c>
      <c r="I330" s="16" cm="1">
        <f t="array" ref="I330">_xlfn.IFS(B330=2015,G330/$H$1957,B330=2016,G330/$H$1958,B330=2017,G330/$H$1959,B330=2018,G330/$H$1960,B330=2019,G330/$H$1961,B330=2020,G330/$H$1962,B330=2021,G330/$H$1963,B330=2022,G330/$H$1964,B330=2023,G330/$H$1965)</f>
        <v>5.5514298010971789E-4</v>
      </c>
      <c r="J330" s="10" cm="1">
        <f t="array" ref="J330">_xlfn.IFS(B330=2015,I330*$G$2,B330=2016,I330*$G$3,B330=2017,I330*$G$4,B330=2018,I330*$G$5,B330=2019,I330*$G$6,B330=2020,I330*$G$7,B330=2021,I330*$G$8,B330=2022,I330*$G$9,B330=2023,I330*$G$10)</f>
        <v>94366.156564561054</v>
      </c>
      <c r="K330" s="8">
        <f t="shared" si="4"/>
        <v>642661.15656456107</v>
      </c>
      <c r="L330">
        <f>IFERROR(VLOOKUP(F330,'LEAID Match'!$A$2:$B$240,2,FALSE),"")</f>
        <v>3200450</v>
      </c>
    </row>
    <row r="331" spans="1:12" x14ac:dyDescent="0.2">
      <c r="A331">
        <v>3200480</v>
      </c>
      <c r="B331">
        <v>2015</v>
      </c>
      <c r="C331" s="4" t="s">
        <v>77</v>
      </c>
      <c r="D331" s="4" t="s">
        <v>576</v>
      </c>
      <c r="E331" s="4" t="s">
        <v>578</v>
      </c>
      <c r="F331" s="4" t="s">
        <v>34</v>
      </c>
      <c r="G331" s="8">
        <v>63943578</v>
      </c>
      <c r="I331" s="16" cm="1">
        <f t="array" ref="I331">_xlfn.IFS(B331=2015,G331/$H$1957,B331=2016,G331/$H$1958,B331=2017,G331/$H$1959,B331=2018,G331/$H$1960,B331=2019,G331/$H$1961,B331=2020,G331/$H$1962,B331=2021,G331/$H$1963,B331=2022,G331/$H$1964,B331=2023,G331/$H$1965)</f>
        <v>4.9380970993080697E-2</v>
      </c>
      <c r="J331" s="10" cm="1">
        <f t="array" ref="J331">_xlfn.IFS(B331=2015,I331*$G$2,B331=2016,I331*$G$3,B331=2017,I331*$G$4,B331=2018,I331*$G$5,B331=2019,I331*$G$6,B331=2020,I331*$G$7,B331=2021,I331*$G$8,B331=2022,I331*$G$9,B331=2023,I331*$G$10)</f>
        <v>12278211.783719892</v>
      </c>
      <c r="K331" s="8">
        <f t="shared" si="4"/>
        <v>76221789.783719897</v>
      </c>
      <c r="L331">
        <f>IFERROR(VLOOKUP(F331,'LEAID Match'!$A$2:$B$240,2,FALSE),"")</f>
        <v>3200480</v>
      </c>
    </row>
    <row r="332" spans="1:12" x14ac:dyDescent="0.2">
      <c r="A332">
        <v>3200480</v>
      </c>
      <c r="B332">
        <v>2016</v>
      </c>
      <c r="C332" s="4" t="s">
        <v>77</v>
      </c>
      <c r="D332" s="4" t="s">
        <v>576</v>
      </c>
      <c r="E332" s="4" t="s">
        <v>578</v>
      </c>
      <c r="F332" s="4" t="s">
        <v>34</v>
      </c>
      <c r="G332" s="8">
        <v>71435243</v>
      </c>
      <c r="I332" s="16" cm="1">
        <f t="array" ref="I332">_xlfn.IFS(B332=2015,G332/$H$1957,B332=2016,G332/$H$1958,B332=2017,G332/$H$1959,B332=2018,G332/$H$1960,B332=2019,G332/$H$1961,B332=2020,G332/$H$1962,B332=2021,G332/$H$1963,B332=2022,G332/$H$1964,B332=2023,G332/$H$1965)</f>
        <v>5.0147510046968741E-2</v>
      </c>
      <c r="J332" s="10" cm="1">
        <f t="array" ref="J332">_xlfn.IFS(B332=2015,I332*$G$2,B332=2016,I332*$G$3,B332=2017,I332*$G$4,B332=2018,I332*$G$5,B332=2019,I332*$G$6,B332=2020,I332*$G$7,B332=2021,I332*$G$8,B332=2022,I332*$G$9,B332=2023,I332*$G$10)</f>
        <v>13600159.179068867</v>
      </c>
      <c r="K332" s="8">
        <f t="shared" ref="K332:K395" si="5">SUM(G332,J332)</f>
        <v>85035402.179068863</v>
      </c>
      <c r="L332">
        <f>IFERROR(VLOOKUP(F332,'LEAID Match'!$A$2:$B$240,2,FALSE),"")</f>
        <v>3200480</v>
      </c>
    </row>
    <row r="333" spans="1:12" x14ac:dyDescent="0.2">
      <c r="A333">
        <v>3200480</v>
      </c>
      <c r="B333">
        <v>2017</v>
      </c>
      <c r="C333" s="4" t="s">
        <v>77</v>
      </c>
      <c r="D333" s="4" t="s">
        <v>576</v>
      </c>
      <c r="E333" s="4" t="s">
        <v>578</v>
      </c>
      <c r="F333" s="4" t="s">
        <v>34</v>
      </c>
      <c r="G333" s="8">
        <v>37293828</v>
      </c>
      <c r="I333" s="16" cm="1">
        <f t="array" ref="I333">_xlfn.IFS(B333=2015,G333/$H$1957,B333=2016,G333/$H$1958,B333=2017,G333/$H$1959,B333=2018,G333/$H$1960,B333=2019,G333/$H$1961,B333=2020,G333/$H$1962,B333=2021,G333/$H$1963,B333=2022,G333/$H$1964,B333=2023,G333/$H$1965)</f>
        <v>4.9757902950059524E-2</v>
      </c>
      <c r="J333" s="10" cm="1">
        <f t="array" ref="J333">_xlfn.IFS(B333=2015,I333*$G$2,B333=2016,I333*$G$3,B333=2017,I333*$G$4,B333=2018,I333*$G$5,B333=2019,I333*$G$6,B333=2020,I333*$G$7,B333=2021,I333*$G$8,B333=2022,I333*$G$9,B333=2023,I333*$G$10)</f>
        <v>7368478.0241515459</v>
      </c>
      <c r="K333" s="8">
        <f t="shared" si="5"/>
        <v>44662306.024151549</v>
      </c>
      <c r="L333">
        <f>IFERROR(VLOOKUP(F333,'LEAID Match'!$A$2:$B$240,2,FALSE),"")</f>
        <v>3200480</v>
      </c>
    </row>
    <row r="334" spans="1:12" x14ac:dyDescent="0.2">
      <c r="A334">
        <v>3200480</v>
      </c>
      <c r="B334">
        <v>2018</v>
      </c>
      <c r="C334" s="4" t="s">
        <v>77</v>
      </c>
      <c r="D334" s="4" t="s">
        <v>576</v>
      </c>
      <c r="E334" s="4" t="s">
        <v>578</v>
      </c>
      <c r="F334" s="4" t="s">
        <v>34</v>
      </c>
      <c r="G334" s="8">
        <v>37041813</v>
      </c>
      <c r="I334" s="16" cm="1">
        <f t="array" ref="I334">_xlfn.IFS(B334=2015,G334/$H$1957,B334=2016,G334/$H$1958,B334=2017,G334/$H$1959,B334=2018,G334/$H$1960,B334=2019,G334/$H$1961,B334=2020,G334/$H$1962,B334=2021,G334/$H$1963,B334=2022,G334/$H$1964,B334=2023,G334/$H$1965)</f>
        <v>4.7662087777152994E-2</v>
      </c>
      <c r="J334" s="10" cm="1">
        <f t="array" ref="J334">_xlfn.IFS(B334=2015,I334*$G$2,B334=2016,I334*$G$3,B334=2017,I334*$G$4,B334=2018,I334*$G$5,B334=2019,I334*$G$6,B334=2020,I334*$G$7,B334=2021,I334*$G$8,B334=2022,I334*$G$9,B334=2023,I334*$G$10)</f>
        <v>7174284.4782495061</v>
      </c>
      <c r="K334" s="8">
        <f t="shared" si="5"/>
        <v>44216097.478249505</v>
      </c>
      <c r="L334">
        <f>IFERROR(VLOOKUP(F334,'LEAID Match'!$A$2:$B$240,2,FALSE),"")</f>
        <v>3200480</v>
      </c>
    </row>
    <row r="335" spans="1:12" x14ac:dyDescent="0.2">
      <c r="A335">
        <v>3200480</v>
      </c>
      <c r="B335">
        <v>2019</v>
      </c>
      <c r="C335" s="4" t="s">
        <v>77</v>
      </c>
      <c r="D335" s="4" t="s">
        <v>576</v>
      </c>
      <c r="E335" s="4" t="s">
        <v>578</v>
      </c>
      <c r="F335" s="4" t="s">
        <v>34</v>
      </c>
      <c r="G335" s="8">
        <v>37918961</v>
      </c>
      <c r="I335" s="16" cm="1">
        <f t="array" ref="I335">_xlfn.IFS(B335=2015,G335/$H$1957,B335=2016,G335/$H$1958,B335=2017,G335/$H$1959,B335=2018,G335/$H$1960,B335=2019,G335/$H$1961,B335=2020,G335/$H$1962,B335=2021,G335/$H$1963,B335=2022,G335/$H$1964,B335=2023,G335/$H$1965)</f>
        <v>4.7125557747252307E-2</v>
      </c>
      <c r="J335" s="10" cm="1">
        <f t="array" ref="J335">_xlfn.IFS(B335=2015,I335*$G$2,B335=2016,I335*$G$3,B335=2017,I335*$G$4,B335=2018,I335*$G$5,B335=2019,I335*$G$6,B335=2020,I335*$G$7,B335=2021,I335*$G$8,B335=2022,I335*$G$9,B335=2023,I335*$G$10)</f>
        <v>7447163.389000833</v>
      </c>
      <c r="K335" s="8">
        <f t="shared" si="5"/>
        <v>45366124.389000833</v>
      </c>
      <c r="L335">
        <f>IFERROR(VLOOKUP(F335,'LEAID Match'!$A$2:$B$240,2,FALSE),"")</f>
        <v>3200480</v>
      </c>
    </row>
    <row r="336" spans="1:12" x14ac:dyDescent="0.2">
      <c r="A336">
        <v>3200480</v>
      </c>
      <c r="B336">
        <v>2020</v>
      </c>
      <c r="C336" s="4" t="s">
        <v>77</v>
      </c>
      <c r="D336" s="4" t="s">
        <v>576</v>
      </c>
      <c r="E336" s="4" t="s">
        <v>578</v>
      </c>
      <c r="F336" s="4" t="s">
        <v>34</v>
      </c>
      <c r="G336" s="8">
        <v>40963456</v>
      </c>
      <c r="I336" s="16" cm="1">
        <f t="array" ref="I336">_xlfn.IFS(B336=2015,G336/$H$1957,B336=2016,G336/$H$1958,B336=2017,G336/$H$1959,B336=2018,G336/$H$1960,B336=2019,G336/$H$1961,B336=2020,G336/$H$1962,B336=2021,G336/$H$1963,B336=2022,G336/$H$1964,B336=2023,G336/$H$1965)</f>
        <v>4.7114666857035574E-2</v>
      </c>
      <c r="J336" s="10" cm="1">
        <f t="array" ref="J336">_xlfn.IFS(B336=2015,I336*$G$2,B336=2016,I336*$G$3,B336=2017,I336*$G$4,B336=2018,I336*$G$5,B336=2019,I336*$G$6,B336=2020,I336*$G$7,B336=2021,I336*$G$8,B336=2022,I336*$G$9,B336=2023,I336*$G$10)</f>
        <v>8135944.137385644</v>
      </c>
      <c r="K336" s="8">
        <f t="shared" si="5"/>
        <v>49099400.137385644</v>
      </c>
      <c r="L336">
        <f>IFERROR(VLOOKUP(F336,'LEAID Match'!$A$2:$B$240,2,FALSE),"")</f>
        <v>3200480</v>
      </c>
    </row>
    <row r="337" spans="1:12" x14ac:dyDescent="0.2">
      <c r="A337">
        <v>3200480</v>
      </c>
      <c r="B337">
        <v>2021</v>
      </c>
      <c r="C337" s="4" t="s">
        <v>77</v>
      </c>
      <c r="D337" s="4" t="s">
        <v>576</v>
      </c>
      <c r="E337" s="4" t="s">
        <v>578</v>
      </c>
      <c r="F337" s="4" t="s">
        <v>34</v>
      </c>
      <c r="G337" s="8">
        <v>41244626</v>
      </c>
      <c r="I337" s="16" cm="1">
        <f t="array" ref="I337">_xlfn.IFS(B337=2015,G337/$H$1957,B337=2016,G337/$H$1958,B337=2017,G337/$H$1959,B337=2018,G337/$H$1960,B337=2019,G337/$H$1961,B337=2020,G337/$H$1962,B337=2021,G337/$H$1963,B337=2022,G337/$H$1964,B337=2023,G337/$H$1965)</f>
        <v>4.7134147883400326E-2</v>
      </c>
      <c r="J337" s="10" cm="1">
        <f t="array" ref="J337">_xlfn.IFS(B337=2015,I337*$G$2,B337=2016,I337*$G$3,B337=2017,I337*$G$4,B337=2018,I337*$G$5,B337=2019,I337*$G$6,B337=2020,I337*$G$7,B337=2021,I337*$G$8,B337=2022,I337*$G$9,B337=2023,I337*$G$10)</f>
        <v>8089013.327305261</v>
      </c>
      <c r="K337" s="8">
        <f t="shared" si="5"/>
        <v>49333639.327305257</v>
      </c>
      <c r="L337">
        <f>IFERROR(VLOOKUP(F337,'LEAID Match'!$A$2:$B$240,2,FALSE),"")</f>
        <v>3200480</v>
      </c>
    </row>
    <row r="338" spans="1:12" x14ac:dyDescent="0.2">
      <c r="A338">
        <v>3200480</v>
      </c>
      <c r="B338">
        <v>2022</v>
      </c>
      <c r="C338" s="4" t="s">
        <v>77</v>
      </c>
      <c r="D338" s="4" t="s">
        <v>576</v>
      </c>
      <c r="E338" s="4" t="s">
        <v>578</v>
      </c>
      <c r="F338" s="4" t="s">
        <v>34</v>
      </c>
      <c r="G338" s="8">
        <v>42707542</v>
      </c>
      <c r="I338" s="16" cm="1">
        <f t="array" ref="I338">_xlfn.IFS(B338=2015,G338/$H$1957,B338=2016,G338/$H$1958,B338=2017,G338/$H$1959,B338=2018,G338/$H$1960,B338=2019,G338/$H$1961,B338=2020,G338/$H$1962,B338=2021,G338/$H$1963,B338=2022,G338/$H$1964,B338=2023,G338/$H$1965)</f>
        <v>4.5902164707630415E-2</v>
      </c>
      <c r="J338" s="10" cm="1">
        <f t="array" ref="J338">_xlfn.IFS(B338=2015,I338*$G$2,B338=2016,I338*$G$3,B338=2017,I338*$G$4,B338=2018,I338*$G$5,B338=2019,I338*$G$6,B338=2020,I338*$G$7,B338=2021,I338*$G$8,B338=2022,I338*$G$9,B338=2023,I338*$G$10)</f>
        <v>7784348.3924483992</v>
      </c>
      <c r="K338" s="8">
        <f t="shared" si="5"/>
        <v>50491890.392448395</v>
      </c>
      <c r="L338">
        <f>IFERROR(VLOOKUP(F338,'LEAID Match'!$A$2:$B$240,2,FALSE),"")</f>
        <v>3200480</v>
      </c>
    </row>
    <row r="339" spans="1:12" x14ac:dyDescent="0.2">
      <c r="A339">
        <v>3200480</v>
      </c>
      <c r="B339">
        <v>2023</v>
      </c>
      <c r="C339" s="4" t="s">
        <v>77</v>
      </c>
      <c r="D339" s="4" t="s">
        <v>576</v>
      </c>
      <c r="E339" s="4" t="s">
        <v>578</v>
      </c>
      <c r="F339" s="4" t="s">
        <v>34</v>
      </c>
      <c r="G339" s="8">
        <v>42946260</v>
      </c>
      <c r="I339" s="16" cm="1">
        <f t="array" ref="I339">_xlfn.IFS(B339=2015,G339/$H$1957,B339=2016,G339/$H$1958,B339=2017,G339/$H$1959,B339=2018,G339/$H$1960,B339=2019,G339/$H$1961,B339=2020,G339/$H$1962,B339=2021,G339/$H$1963,B339=2022,G339/$H$1964,B339=2023,G339/$H$1965)</f>
        <v>4.3482641207683408E-2</v>
      </c>
      <c r="J339" s="10" cm="1">
        <f t="array" ref="J339">_xlfn.IFS(B339=2015,I339*$G$2,B339=2016,I339*$G$3,B339=2017,I339*$G$4,B339=2018,I339*$G$5,B339=2019,I339*$G$6,B339=2020,I339*$G$7,B339=2021,I339*$G$8,B339=2022,I339*$G$9,B339=2023,I339*$G$10)</f>
        <v>7391410.6366506089</v>
      </c>
      <c r="K339" s="8">
        <f t="shared" si="5"/>
        <v>50337670.636650607</v>
      </c>
      <c r="L339">
        <f>IFERROR(VLOOKUP(F339,'LEAID Match'!$A$2:$B$240,2,FALSE),"")</f>
        <v>3200480</v>
      </c>
    </row>
    <row r="340" spans="1:12" x14ac:dyDescent="0.2">
      <c r="A340">
        <v>0</v>
      </c>
      <c r="B340">
        <v>2015</v>
      </c>
      <c r="C340" s="4" t="s">
        <v>78</v>
      </c>
      <c r="D340" s="4" t="s">
        <v>576</v>
      </c>
      <c r="E340" s="4" t="s">
        <v>578</v>
      </c>
      <c r="F340" s="4" t="s">
        <v>35</v>
      </c>
      <c r="G340" s="8">
        <v>20170919</v>
      </c>
      <c r="I340" s="16" cm="1">
        <f t="array" ref="I340">_xlfn.IFS(B340=2015,G340/$H$1957,B340=2016,G340/$H$1958,B340=2017,G340/$H$1959,B340=2018,G340/$H$1960,B340=2019,G340/$H$1961,B340=2020,G340/$H$1962,B340=2021,G340/$H$1963,B340=2022,G340/$H$1964,B340=2023,G340/$H$1965)</f>
        <v>1.5577163449358125E-2</v>
      </c>
      <c r="J340" s="10" cm="1">
        <f t="array" ref="J340">_xlfn.IFS(B340=2015,I340*$G$2,B340=2016,I340*$G$3,B340=2017,I340*$G$4,B340=2018,I340*$G$5,B340=2019,I340*$G$6,B340=2020,I340*$G$7,B340=2021,I340*$G$8,B340=2022,I340*$G$9,B340=2023,I340*$G$10)</f>
        <v>3873146.0312442863</v>
      </c>
      <c r="K340" s="8">
        <f t="shared" si="5"/>
        <v>24044065.031244285</v>
      </c>
      <c r="L340">
        <f>IFERROR(VLOOKUP(F340,'LEAID Match'!$A$2:$B$240,2,FALSE),"")</f>
        <v>0</v>
      </c>
    </row>
    <row r="341" spans="1:12" x14ac:dyDescent="0.2">
      <c r="A341">
        <v>0</v>
      </c>
      <c r="B341">
        <v>2016</v>
      </c>
      <c r="C341" s="4" t="s">
        <v>78</v>
      </c>
      <c r="D341" s="4" t="s">
        <v>576</v>
      </c>
      <c r="E341" s="4" t="s">
        <v>578</v>
      </c>
      <c r="F341" s="4" t="s">
        <v>35</v>
      </c>
      <c r="G341" s="8">
        <v>23004362</v>
      </c>
      <c r="I341" s="16" cm="1">
        <f t="array" ref="I341">_xlfn.IFS(B341=2015,G341/$H$1957,B341=2016,G341/$H$1958,B341=2017,G341/$H$1959,B341=2018,G341/$H$1960,B341=2019,G341/$H$1961,B341=2020,G341/$H$1962,B341=2021,G341/$H$1963,B341=2022,G341/$H$1964,B341=2023,G341/$H$1965)</f>
        <v>1.614905228948554E-2</v>
      </c>
      <c r="J341" s="10" cm="1">
        <f t="array" ref="J341">_xlfn.IFS(B341=2015,I341*$G$2,B341=2016,I341*$G$3,B341=2017,I341*$G$4,B341=2018,I341*$G$5,B341=2019,I341*$G$6,B341=2020,I341*$G$7,B341=2021,I341*$G$8,B341=2022,I341*$G$9,B341=2023,I341*$G$10)</f>
        <v>4379672.7199895298</v>
      </c>
      <c r="K341" s="8">
        <f t="shared" si="5"/>
        <v>27384034.719989531</v>
      </c>
      <c r="L341">
        <f>IFERROR(VLOOKUP(F341,'LEAID Match'!$A$2:$B$240,2,FALSE),"")</f>
        <v>0</v>
      </c>
    </row>
    <row r="342" spans="1:12" x14ac:dyDescent="0.2">
      <c r="A342">
        <v>0</v>
      </c>
      <c r="B342">
        <v>2017</v>
      </c>
      <c r="C342" s="4" t="s">
        <v>78</v>
      </c>
      <c r="D342" s="4" t="s">
        <v>576</v>
      </c>
      <c r="E342" s="4" t="s">
        <v>578</v>
      </c>
      <c r="F342" s="4" t="s">
        <v>35</v>
      </c>
      <c r="G342" s="8">
        <v>12250243</v>
      </c>
      <c r="I342" s="16" cm="1">
        <f t="array" ref="I342">_xlfn.IFS(B342=2015,G342/$H$1957,B342=2016,G342/$H$1958,B342=2017,G342/$H$1959,B342=2018,G342/$H$1960,B342=2019,G342/$H$1961,B342=2020,G342/$H$1962,B342=2021,G342/$H$1963,B342=2022,G342/$H$1964,B342=2023,G342/$H$1965)</f>
        <v>1.6344431102879704E-2</v>
      </c>
      <c r="J342" s="10" cm="1">
        <f t="array" ref="J342">_xlfn.IFS(B342=2015,I342*$G$2,B342=2016,I342*$G$3,B342=2017,I342*$G$4,B342=2018,I342*$G$5,B342=2019,I342*$G$6,B342=2020,I342*$G$7,B342=2021,I342*$G$8,B342=2022,I342*$G$9,B342=2023,I342*$G$10)</f>
        <v>2420391.0184821011</v>
      </c>
      <c r="K342" s="8">
        <f t="shared" si="5"/>
        <v>14670634.0184821</v>
      </c>
      <c r="L342">
        <f>IFERROR(VLOOKUP(F342,'LEAID Match'!$A$2:$B$240,2,FALSE),"")</f>
        <v>0</v>
      </c>
    </row>
    <row r="343" spans="1:12" x14ac:dyDescent="0.2">
      <c r="A343">
        <v>0</v>
      </c>
      <c r="B343">
        <v>2018</v>
      </c>
      <c r="C343" s="4" t="s">
        <v>78</v>
      </c>
      <c r="D343" s="4" t="s">
        <v>576</v>
      </c>
      <c r="E343" s="4" t="s">
        <v>578</v>
      </c>
      <c r="F343" s="4" t="s">
        <v>35</v>
      </c>
      <c r="G343" s="8">
        <v>12477314</v>
      </c>
      <c r="I343" s="16" cm="1">
        <f t="array" ref="I343">_xlfn.IFS(B343=2015,G343/$H$1957,B343=2016,G343/$H$1958,B343=2017,G343/$H$1959,B343=2018,G343/$H$1960,B343=2019,G343/$H$1961,B343=2020,G343/$H$1962,B343=2021,G343/$H$1963,B343=2022,G343/$H$1964,B343=2023,G343/$H$1965)</f>
        <v>1.6054690279093519E-2</v>
      </c>
      <c r="J343" s="10" cm="1">
        <f t="array" ref="J343">_xlfn.IFS(B343=2015,I343*$G$2,B343=2016,I343*$G$3,B343=2017,I343*$G$4,B343=2018,I343*$G$5,B343=2019,I343*$G$6,B343=2020,I343*$G$7,B343=2021,I343*$G$8,B343=2022,I343*$G$9,B343=2023,I343*$G$10)</f>
        <v>2416614.9794138116</v>
      </c>
      <c r="K343" s="8">
        <f t="shared" si="5"/>
        <v>14893928.979413811</v>
      </c>
      <c r="L343">
        <f>IFERROR(VLOOKUP(F343,'LEAID Match'!$A$2:$B$240,2,FALSE),"")</f>
        <v>0</v>
      </c>
    </row>
    <row r="344" spans="1:12" x14ac:dyDescent="0.2">
      <c r="A344">
        <v>0</v>
      </c>
      <c r="B344">
        <v>2019</v>
      </c>
      <c r="C344" s="4" t="s">
        <v>78</v>
      </c>
      <c r="D344" s="4" t="s">
        <v>576</v>
      </c>
      <c r="E344" s="4" t="s">
        <v>578</v>
      </c>
      <c r="F344" s="4" t="s">
        <v>35</v>
      </c>
      <c r="G344" s="8">
        <v>12642057</v>
      </c>
      <c r="I344" s="16" cm="1">
        <f t="array" ref="I344">_xlfn.IFS(B344=2015,G344/$H$1957,B344=2016,G344/$H$1958,B344=2017,G344/$H$1959,B344=2018,G344/$H$1960,B344=2019,G344/$H$1961,B344=2020,G344/$H$1962,B344=2021,G344/$H$1963,B344=2022,G344/$H$1964,B344=2023,G344/$H$1965)</f>
        <v>1.5711506103702453E-2</v>
      </c>
      <c r="J344" s="10" cm="1">
        <f t="array" ref="J344">_xlfn.IFS(B344=2015,I344*$G$2,B344=2016,I344*$G$3,B344=2017,I344*$G$4,B344=2018,I344*$G$5,B344=2019,I344*$G$6,B344=2020,I344*$G$7,B344=2021,I344*$G$8,B344=2022,I344*$G$9,B344=2023,I344*$G$10)</f>
        <v>2482859.8033596361</v>
      </c>
      <c r="K344" s="8">
        <f t="shared" si="5"/>
        <v>15124916.803359635</v>
      </c>
      <c r="L344">
        <f>IFERROR(VLOOKUP(F344,'LEAID Match'!$A$2:$B$240,2,FALSE),"")</f>
        <v>0</v>
      </c>
    </row>
    <row r="345" spans="1:12" x14ac:dyDescent="0.2">
      <c r="A345">
        <v>0</v>
      </c>
      <c r="B345">
        <v>2020</v>
      </c>
      <c r="C345" s="4" t="s">
        <v>78</v>
      </c>
      <c r="D345" s="4" t="s">
        <v>576</v>
      </c>
      <c r="E345" s="4" t="s">
        <v>578</v>
      </c>
      <c r="F345" s="4" t="s">
        <v>35</v>
      </c>
      <c r="G345" s="8">
        <v>13878013</v>
      </c>
      <c r="I345" s="16" cm="1">
        <f t="array" ref="I345">_xlfn.IFS(B345=2015,G345/$H$1957,B345=2016,G345/$H$1958,B345=2017,G345/$H$1959,B345=2018,G345/$H$1960,B345=2019,G345/$H$1961,B345=2020,G345/$H$1962,B345=2021,G345/$H$1963,B345=2022,G345/$H$1964,B345=2023,G345/$H$1965)</f>
        <v>1.5961982288130398E-2</v>
      </c>
      <c r="J345" s="10" cm="1">
        <f t="array" ref="J345">_xlfn.IFS(B345=2015,I345*$G$2,B345=2016,I345*$G$3,B345=2017,I345*$G$4,B345=2018,I345*$G$5,B345=2019,I345*$G$6,B345=2020,I345*$G$7,B345=2021,I345*$G$8,B345=2022,I345*$G$9,B345=2023,I345*$G$10)</f>
        <v>2756377.2574733868</v>
      </c>
      <c r="K345" s="8">
        <f t="shared" si="5"/>
        <v>16634390.257473387</v>
      </c>
      <c r="L345">
        <f>IFERROR(VLOOKUP(F345,'LEAID Match'!$A$2:$B$240,2,FALSE),"")</f>
        <v>0</v>
      </c>
    </row>
    <row r="346" spans="1:12" x14ac:dyDescent="0.2">
      <c r="A346">
        <v>0</v>
      </c>
      <c r="B346">
        <v>2021</v>
      </c>
      <c r="C346" s="4" t="s">
        <v>78</v>
      </c>
      <c r="D346" s="4" t="s">
        <v>576</v>
      </c>
      <c r="E346" s="4" t="s">
        <v>578</v>
      </c>
      <c r="F346" s="4" t="s">
        <v>35</v>
      </c>
      <c r="G346" s="8">
        <v>13849488</v>
      </c>
      <c r="I346" s="16" cm="1">
        <f t="array" ref="I346">_xlfn.IFS(B346=2015,G346/$H$1957,B346=2016,G346/$H$1958,B346=2017,G346/$H$1959,B346=2018,G346/$H$1960,B346=2019,G346/$H$1961,B346=2020,G346/$H$1962,B346=2021,G346/$H$1963,B346=2022,G346/$H$1964,B346=2023,G346/$H$1965)</f>
        <v>1.5827124132520399E-2</v>
      </c>
      <c r="J346" s="10" cm="1">
        <f t="array" ref="J346">_xlfn.IFS(B346=2015,I346*$G$2,B346=2016,I346*$G$3,B346=2017,I346*$G$4,B346=2018,I346*$G$5,B346=2019,I346*$G$6,B346=2020,I346*$G$7,B346=2021,I346*$G$8,B346=2022,I346*$G$9,B346=2023,I346*$G$10)</f>
        <v>2716200.9666023958</v>
      </c>
      <c r="K346" s="8">
        <f t="shared" si="5"/>
        <v>16565688.966602396</v>
      </c>
      <c r="L346">
        <f>IFERROR(VLOOKUP(F346,'LEAID Match'!$A$2:$B$240,2,FALSE),"")</f>
        <v>0</v>
      </c>
    </row>
    <row r="347" spans="1:12" x14ac:dyDescent="0.2">
      <c r="A347">
        <v>0</v>
      </c>
      <c r="B347">
        <v>2022</v>
      </c>
      <c r="C347" s="4" t="s">
        <v>78</v>
      </c>
      <c r="D347" s="4" t="s">
        <v>576</v>
      </c>
      <c r="E347" s="4" t="s">
        <v>578</v>
      </c>
      <c r="F347" s="4" t="s">
        <v>35</v>
      </c>
      <c r="G347" s="8">
        <v>13944099</v>
      </c>
      <c r="I347" s="16" cm="1">
        <f t="array" ref="I347">_xlfn.IFS(B347=2015,G347/$H$1957,B347=2016,G347/$H$1958,B347=2017,G347/$H$1959,B347=2018,G347/$H$1960,B347=2019,G347/$H$1961,B347=2020,G347/$H$1962,B347=2021,G347/$H$1963,B347=2022,G347/$H$1964,B347=2023,G347/$H$1965)</f>
        <v>1.4987149787208651E-2</v>
      </c>
      <c r="J347" s="10" cm="1">
        <f t="array" ref="J347">_xlfn.IFS(B347=2015,I347*$G$2,B347=2016,I347*$G$3,B347=2017,I347*$G$4,B347=2018,I347*$G$5,B347=2019,I347*$G$6,B347=2020,I347*$G$7,B347=2021,I347*$G$8,B347=2022,I347*$G$9,B347=2023,I347*$G$10)</f>
        <v>2541605.5233239909</v>
      </c>
      <c r="K347" s="8">
        <f t="shared" si="5"/>
        <v>16485704.52332399</v>
      </c>
      <c r="L347">
        <f>IFERROR(VLOOKUP(F347,'LEAID Match'!$A$2:$B$240,2,FALSE),"")</f>
        <v>0</v>
      </c>
    </row>
    <row r="348" spans="1:12" x14ac:dyDescent="0.2">
      <c r="A348">
        <v>0</v>
      </c>
      <c r="B348">
        <v>2023</v>
      </c>
      <c r="C348" s="4" t="s">
        <v>78</v>
      </c>
      <c r="D348" s="4" t="s">
        <v>576</v>
      </c>
      <c r="E348" s="4" t="s">
        <v>578</v>
      </c>
      <c r="F348" s="4" t="s">
        <v>35</v>
      </c>
      <c r="G348" s="8">
        <v>15037061</v>
      </c>
      <c r="I348" s="16" cm="1">
        <f t="array" ref="I348">_xlfn.IFS(B348=2015,G348/$H$1957,B348=2016,G348/$H$1958,B348=2017,G348/$H$1959,B348=2018,G348/$H$1960,B348=2019,G348/$H$1961,B348=2020,G348/$H$1962,B348=2021,G348/$H$1963,B348=2022,G348/$H$1964,B348=2023,G348/$H$1965)</f>
        <v>1.5224867736586354E-2</v>
      </c>
      <c r="J348" s="10" cm="1">
        <f t="array" ref="J348">_xlfn.IFS(B348=2015,I348*$G$2,B348=2016,I348*$G$3,B348=2017,I348*$G$4,B348=2018,I348*$G$5,B348=2019,I348*$G$6,B348=2020,I348*$G$7,B348=2021,I348*$G$8,B348=2022,I348*$G$9,B348=2023,I348*$G$10)</f>
        <v>2588003.9989364394</v>
      </c>
      <c r="K348" s="8">
        <f t="shared" si="5"/>
        <v>17625064.998936441</v>
      </c>
      <c r="L348">
        <f>IFERROR(VLOOKUP(F348,'LEAID Match'!$A$2:$B$240,2,FALSE),"")</f>
        <v>0</v>
      </c>
    </row>
    <row r="349" spans="1:12" x14ac:dyDescent="0.2">
      <c r="A349">
        <v>3200510</v>
      </c>
      <c r="B349">
        <v>2015</v>
      </c>
      <c r="C349" s="4" t="s">
        <v>79</v>
      </c>
      <c r="D349" s="4" t="s">
        <v>576</v>
      </c>
      <c r="E349" s="4" t="s">
        <v>578</v>
      </c>
      <c r="F349" s="4" t="s">
        <v>36</v>
      </c>
      <c r="G349" s="8">
        <v>2115097</v>
      </c>
      <c r="I349" s="16" cm="1">
        <f t="array" ref="I349">_xlfn.IFS(B349=2015,G349/$H$1957,B349=2016,G349/$H$1958,B349=2017,G349/$H$1959,B349=2018,G349/$H$1960,B349=2019,G349/$H$1961,B349=2020,G349/$H$1962,B349=2021,G349/$H$1963,B349=2022,G349/$H$1964,B349=2023,G349/$H$1965)</f>
        <v>1.6334016154765693E-3</v>
      </c>
      <c r="J349" s="10" cm="1">
        <f t="array" ref="J349">_xlfn.IFS(B349=2015,I349*$G$2,B349=2016,I349*$G$3,B349=2017,I349*$G$4,B349=2018,I349*$G$5,B349=2019,I349*$G$6,B349=2020,I349*$G$7,B349=2021,I349*$G$8,B349=2022,I349*$G$9,B349=2023,I349*$G$10)</f>
        <v>406133.18368125404</v>
      </c>
      <c r="K349" s="8">
        <f t="shared" si="5"/>
        <v>2521230.1836812543</v>
      </c>
      <c r="L349">
        <f>IFERROR(VLOOKUP(F349,'LEAID Match'!$A$2:$B$240,2,FALSE),"")</f>
        <v>3200510</v>
      </c>
    </row>
    <row r="350" spans="1:12" x14ac:dyDescent="0.2">
      <c r="A350">
        <v>3200510</v>
      </c>
      <c r="B350">
        <v>2016</v>
      </c>
      <c r="C350" s="4" t="s">
        <v>79</v>
      </c>
      <c r="D350" s="4" t="s">
        <v>576</v>
      </c>
      <c r="E350" s="4" t="s">
        <v>578</v>
      </c>
      <c r="F350" s="4" t="s">
        <v>36</v>
      </c>
      <c r="G350" s="8">
        <v>2066228</v>
      </c>
      <c r="I350" s="16" cm="1">
        <f t="array" ref="I350">_xlfn.IFS(B350=2015,G350/$H$1957,B350=2016,G350/$H$1958,B350=2017,G350/$H$1959,B350=2018,G350/$H$1960,B350=2019,G350/$H$1961,B350=2020,G350/$H$1962,B350=2021,G350/$H$1963,B350=2022,G350/$H$1964,B350=2023,G350/$H$1965)</f>
        <v>1.4504911726740837E-3</v>
      </c>
      <c r="J350" s="10" cm="1">
        <f t="array" ref="J350">_xlfn.IFS(B350=2015,I350*$G$2,B350=2016,I350*$G$3,B350=2017,I350*$G$4,B350=2018,I350*$G$5,B350=2019,I350*$G$6,B350=2020,I350*$G$7,B350=2021,I350*$G$8,B350=2022,I350*$G$9,B350=2023,I350*$G$10)</f>
        <v>393377.67354202335</v>
      </c>
      <c r="K350" s="8">
        <f t="shared" si="5"/>
        <v>2459605.6735420232</v>
      </c>
      <c r="L350">
        <f>IFERROR(VLOOKUP(F350,'LEAID Match'!$A$2:$B$240,2,FALSE),"")</f>
        <v>3200510</v>
      </c>
    </row>
    <row r="351" spans="1:12" x14ac:dyDescent="0.2">
      <c r="A351">
        <v>3200510</v>
      </c>
      <c r="B351">
        <v>2017</v>
      </c>
      <c r="C351" s="4" t="s">
        <v>79</v>
      </c>
      <c r="D351" s="4" t="s">
        <v>576</v>
      </c>
      <c r="E351" s="4" t="s">
        <v>578</v>
      </c>
      <c r="F351" s="4" t="s">
        <v>36</v>
      </c>
      <c r="G351" s="8">
        <v>991413</v>
      </c>
      <c r="I351" s="16" cm="1">
        <f t="array" ref="I351">_xlfn.IFS(B351=2015,G351/$H$1957,B351=2016,G351/$H$1958,B351=2017,G351/$H$1959,B351=2018,G351/$H$1960,B351=2019,G351/$H$1961,B351=2020,G351/$H$1962,B351=2021,G351/$H$1963,B351=2022,G351/$H$1964,B351=2023,G351/$H$1965)</f>
        <v>1.3227559219028779E-3</v>
      </c>
      <c r="J351" s="10" cm="1">
        <f t="array" ref="J351">_xlfn.IFS(B351=2015,I351*$G$2,B351=2016,I351*$G$3,B351=2017,I351*$G$4,B351=2018,I351*$G$5,B351=2019,I351*$G$6,B351=2020,I351*$G$7,B351=2021,I351*$G$8,B351=2022,I351*$G$9,B351=2023,I351*$G$10)</f>
        <v>195882.40990863575</v>
      </c>
      <c r="K351" s="8">
        <f t="shared" si="5"/>
        <v>1187295.4099086358</v>
      </c>
      <c r="L351">
        <f>IFERROR(VLOOKUP(F351,'LEAID Match'!$A$2:$B$240,2,FALSE),"")</f>
        <v>3200510</v>
      </c>
    </row>
    <row r="352" spans="1:12" x14ac:dyDescent="0.2">
      <c r="A352">
        <v>3200510</v>
      </c>
      <c r="B352">
        <v>2018</v>
      </c>
      <c r="C352" s="4" t="s">
        <v>79</v>
      </c>
      <c r="D352" s="4" t="s">
        <v>576</v>
      </c>
      <c r="E352" s="4" t="s">
        <v>578</v>
      </c>
      <c r="F352" s="4" t="s">
        <v>36</v>
      </c>
      <c r="G352" s="8">
        <v>1032790</v>
      </c>
      <c r="I352" s="16" cm="1">
        <f t="array" ref="I352">_xlfn.IFS(B352=2015,G352/$H$1957,B352=2016,G352/$H$1958,B352=2017,G352/$H$1959,B352=2018,G352/$H$1960,B352=2019,G352/$H$1961,B352=2020,G352/$H$1962,B352=2021,G352/$H$1963,B352=2022,G352/$H$1964,B352=2023,G352/$H$1965)</f>
        <v>1.328901682953959E-3</v>
      </c>
      <c r="J352" s="10" cm="1">
        <f t="array" ref="J352">_xlfn.IFS(B352=2015,I352*$G$2,B352=2016,I352*$G$3,B352=2017,I352*$G$4,B352=2018,I352*$G$5,B352=2019,I352*$G$6,B352=2020,I352*$G$7,B352=2021,I352*$G$8,B352=2022,I352*$G$9,B352=2023,I352*$G$10)</f>
        <v>200031.49592843381</v>
      </c>
      <c r="K352" s="8">
        <f t="shared" si="5"/>
        <v>1232821.4959284337</v>
      </c>
      <c r="L352">
        <f>IFERROR(VLOOKUP(F352,'LEAID Match'!$A$2:$B$240,2,FALSE),"")</f>
        <v>3200510</v>
      </c>
    </row>
    <row r="353" spans="1:12" x14ac:dyDescent="0.2">
      <c r="A353">
        <v>3200510</v>
      </c>
      <c r="B353">
        <v>2019</v>
      </c>
      <c r="C353" s="4" t="s">
        <v>79</v>
      </c>
      <c r="D353" s="4" t="s">
        <v>576</v>
      </c>
      <c r="E353" s="4" t="s">
        <v>578</v>
      </c>
      <c r="F353" s="4" t="s">
        <v>36</v>
      </c>
      <c r="G353" s="8">
        <v>1103003</v>
      </c>
      <c r="I353" s="16" cm="1">
        <f t="array" ref="I353">_xlfn.IFS(B353=2015,G353/$H$1957,B353=2016,G353/$H$1958,B353=2017,G353/$H$1959,B353=2018,G353/$H$1960,B353=2019,G353/$H$1961,B353=2020,G353/$H$1962,B353=2021,G353/$H$1963,B353=2022,G353/$H$1964,B353=2023,G353/$H$1965)</f>
        <v>1.3708084346481049E-3</v>
      </c>
      <c r="J353" s="10" cm="1">
        <f t="array" ref="J353">_xlfn.IFS(B353=2015,I353*$G$2,B353=2016,I353*$G$3,B353=2017,I353*$G$4,B353=2018,I353*$G$5,B353=2019,I353*$G$6,B353=2020,I353*$G$7,B353=2021,I353*$G$8,B353=2022,I353*$G$9,B353=2023,I353*$G$10)</f>
        <v>216626.28254919974</v>
      </c>
      <c r="K353" s="8">
        <f t="shared" si="5"/>
        <v>1319629.2825491996</v>
      </c>
      <c r="L353">
        <f>IFERROR(VLOOKUP(F353,'LEAID Match'!$A$2:$B$240,2,FALSE),"")</f>
        <v>3200510</v>
      </c>
    </row>
    <row r="354" spans="1:12" x14ac:dyDescent="0.2">
      <c r="A354">
        <v>3200510</v>
      </c>
      <c r="B354">
        <v>2020</v>
      </c>
      <c r="C354" s="4" t="s">
        <v>79</v>
      </c>
      <c r="D354" s="4" t="s">
        <v>576</v>
      </c>
      <c r="E354" s="4" t="s">
        <v>578</v>
      </c>
      <c r="F354" s="4" t="s">
        <v>36</v>
      </c>
      <c r="G354" s="8">
        <v>1255839</v>
      </c>
      <c r="I354" s="16" cm="1">
        <f t="array" ref="I354">_xlfn.IFS(B354=2015,G354/$H$1957,B354=2016,G354/$H$1958,B354=2017,G354/$H$1959,B354=2018,G354/$H$1960,B354=2019,G354/$H$1961,B354=2020,G354/$H$1962,B354=2021,G354/$H$1963,B354=2022,G354/$H$1964,B354=2023,G354/$H$1965)</f>
        <v>1.4444200243034352E-3</v>
      </c>
      <c r="J354" s="10" cm="1">
        <f t="array" ref="J354">_xlfn.IFS(B354=2015,I354*$G$2,B354=2016,I354*$G$3,B354=2017,I354*$G$4,B354=2018,I354*$G$5,B354=2019,I354*$G$6,B354=2020,I354*$G$7,B354=2021,I354*$G$8,B354=2022,I354*$G$9,B354=2023,I354*$G$10)</f>
        <v>249428.07436829183</v>
      </c>
      <c r="K354" s="8">
        <f t="shared" si="5"/>
        <v>1505267.0743682918</v>
      </c>
      <c r="L354">
        <f>IFERROR(VLOOKUP(F354,'LEAID Match'!$A$2:$B$240,2,FALSE),"")</f>
        <v>3200510</v>
      </c>
    </row>
    <row r="355" spans="1:12" x14ac:dyDescent="0.2">
      <c r="A355">
        <v>3200510</v>
      </c>
      <c r="B355">
        <v>2021</v>
      </c>
      <c r="C355" s="4" t="s">
        <v>79</v>
      </c>
      <c r="D355" s="4" t="s">
        <v>576</v>
      </c>
      <c r="E355" s="4" t="s">
        <v>578</v>
      </c>
      <c r="F355" s="4" t="s">
        <v>36</v>
      </c>
      <c r="G355" s="8">
        <v>1254316</v>
      </c>
      <c r="I355" s="16" cm="1">
        <f t="array" ref="I355">_xlfn.IFS(B355=2015,G355/$H$1957,B355=2016,G355/$H$1958,B355=2017,G355/$H$1959,B355=2018,G355/$H$1960,B355=2019,G355/$H$1961,B355=2020,G355/$H$1962,B355=2021,G355/$H$1963,B355=2022,G355/$H$1964,B355=2023,G355/$H$1965)</f>
        <v>1.4334259167852598E-3</v>
      </c>
      <c r="J355" s="10" cm="1">
        <f t="array" ref="J355">_xlfn.IFS(B355=2015,I355*$G$2,B355=2016,I355*$G$3,B355=2017,I355*$G$4,B355=2018,I355*$G$5,B355=2019,I355*$G$6,B355=2020,I355*$G$7,B355=2021,I355*$G$8,B355=2022,I355*$G$9,B355=2023,I355*$G$10)</f>
        <v>246000.02047908556</v>
      </c>
      <c r="K355" s="8">
        <f t="shared" si="5"/>
        <v>1500316.0204790856</v>
      </c>
      <c r="L355">
        <f>IFERROR(VLOOKUP(F355,'LEAID Match'!$A$2:$B$240,2,FALSE),"")</f>
        <v>3200510</v>
      </c>
    </row>
    <row r="356" spans="1:12" x14ac:dyDescent="0.2">
      <c r="A356">
        <v>3200510</v>
      </c>
      <c r="B356">
        <v>2022</v>
      </c>
      <c r="C356" s="4" t="s">
        <v>79</v>
      </c>
      <c r="D356" s="4" t="s">
        <v>576</v>
      </c>
      <c r="E356" s="4" t="s">
        <v>578</v>
      </c>
      <c r="F356" s="4" t="s">
        <v>36</v>
      </c>
      <c r="G356" s="8">
        <v>1415196</v>
      </c>
      <c r="I356" s="16" cm="1">
        <f t="array" ref="I356">_xlfn.IFS(B356=2015,G356/$H$1957,B356=2016,G356/$H$1958,B356=2017,G356/$H$1959,B356=2018,G356/$H$1960,B356=2019,G356/$H$1961,B356=2020,G356/$H$1962,B356=2021,G356/$H$1963,B356=2022,G356/$H$1964,B356=2023,G356/$H$1965)</f>
        <v>1.5210559269737351E-3</v>
      </c>
      <c r="J356" s="10" cm="1">
        <f t="array" ref="J356">_xlfn.IFS(B356=2015,I356*$G$2,B356=2016,I356*$G$3,B356=2017,I356*$G$4,B356=2018,I356*$G$5,B356=2019,I356*$G$6,B356=2020,I356*$G$7,B356=2021,I356*$G$8,B356=2022,I356*$G$9,B356=2023,I356*$G$10)</f>
        <v>257949.25654113747</v>
      </c>
      <c r="K356" s="8">
        <f t="shared" si="5"/>
        <v>1673145.2565411376</v>
      </c>
      <c r="L356">
        <f>IFERROR(VLOOKUP(F356,'LEAID Match'!$A$2:$B$240,2,FALSE),"")</f>
        <v>3200510</v>
      </c>
    </row>
    <row r="357" spans="1:12" x14ac:dyDescent="0.2">
      <c r="A357">
        <v>3200510</v>
      </c>
      <c r="B357">
        <v>2023</v>
      </c>
      <c r="C357" s="4" t="s">
        <v>79</v>
      </c>
      <c r="D357" s="4" t="s">
        <v>576</v>
      </c>
      <c r="E357" s="4" t="s">
        <v>578</v>
      </c>
      <c r="F357" s="4" t="s">
        <v>36</v>
      </c>
      <c r="G357" s="8">
        <v>1545478</v>
      </c>
      <c r="I357" s="16" cm="1">
        <f t="array" ref="I357">_xlfn.IFS(B357=2015,G357/$H$1957,B357=2016,G357/$H$1958,B357=2017,G357/$H$1959,B357=2018,G357/$H$1960,B357=2019,G357/$H$1961,B357=2020,G357/$H$1962,B357=2021,G357/$H$1963,B357=2022,G357/$H$1964,B357=2023,G357/$H$1965)</f>
        <v>1.5647803875906341E-3</v>
      </c>
      <c r="J357" s="10" cm="1">
        <f t="array" ref="J357">_xlfn.IFS(B357=2015,I357*$G$2,B357=2016,I357*$G$3,B357=2017,I357*$G$4,B357=2018,I357*$G$5,B357=2019,I357*$G$6,B357=2020,I357*$G$7,B357=2021,I357*$G$8,B357=2022,I357*$G$9,B357=2023,I357*$G$10)</f>
        <v>265989.69334953756</v>
      </c>
      <c r="K357" s="8">
        <f t="shared" si="5"/>
        <v>1811467.6933495374</v>
      </c>
      <c r="L357">
        <f>IFERROR(VLOOKUP(F357,'LEAID Match'!$A$2:$B$240,2,FALSE),"")</f>
        <v>3200510</v>
      </c>
    </row>
    <row r="358" spans="1:12" x14ac:dyDescent="0.2">
      <c r="A358">
        <v>0</v>
      </c>
      <c r="B358">
        <v>2015</v>
      </c>
      <c r="C358" s="4" t="s">
        <v>80</v>
      </c>
      <c r="D358" s="4" t="s">
        <v>576</v>
      </c>
      <c r="E358" s="4" t="s">
        <v>578</v>
      </c>
      <c r="F358" s="4" t="s">
        <v>37</v>
      </c>
      <c r="G358" s="8">
        <v>234652</v>
      </c>
      <c r="I358" s="16" cm="1">
        <f t="array" ref="I358">_xlfn.IFS(B358=2015,G358/$H$1957,B358=2016,G358/$H$1958,B358=2017,G358/$H$1959,B358=2018,G358/$H$1960,B358=2019,G358/$H$1961,B358=2020,G358/$H$1962,B358=2021,G358/$H$1963,B358=2022,G358/$H$1964,B358=2023,G358/$H$1965)</f>
        <v>1.8121199920136425E-4</v>
      </c>
      <c r="J358" s="10" cm="1">
        <f t="array" ref="J358">_xlfn.IFS(B358=2015,I358*$G$2,B358=2016,I358*$G$3,B358=2017,I358*$G$4,B358=2018,I358*$G$5,B358=2019,I358*$G$6,B358=2020,I358*$G$7,B358=2021,I358*$G$8,B358=2022,I358*$G$9,B358=2023,I358*$G$10)</f>
        <v>45057.01810232515</v>
      </c>
      <c r="K358" s="8">
        <f t="shared" si="5"/>
        <v>279709.01810232515</v>
      </c>
      <c r="L358">
        <f>IFERROR(VLOOKUP(F358,'LEAID Match'!$A$2:$B$240,2,FALSE),"")</f>
        <v>0</v>
      </c>
    </row>
    <row r="359" spans="1:12" x14ac:dyDescent="0.2">
      <c r="A359">
        <v>0</v>
      </c>
      <c r="B359">
        <v>2016</v>
      </c>
      <c r="C359" s="4" t="s">
        <v>80</v>
      </c>
      <c r="D359" s="4" t="s">
        <v>576</v>
      </c>
      <c r="E359" s="4" t="s">
        <v>578</v>
      </c>
      <c r="F359" s="4" t="s">
        <v>37</v>
      </c>
      <c r="G359" s="8">
        <v>241020</v>
      </c>
      <c r="I359" s="16" cm="1">
        <f t="array" ref="I359">_xlfn.IFS(B359=2015,G359/$H$1957,B359=2016,G359/$H$1958,B359=2017,G359/$H$1959,B359=2018,G359/$H$1960,B359=2019,G359/$H$1961,B359=2020,G359/$H$1962,B359=2021,G359/$H$1963,B359=2022,G359/$H$1964,B359=2023,G359/$H$1965)</f>
        <v>1.6919593696238154E-4</v>
      </c>
      <c r="J359" s="10" cm="1">
        <f t="array" ref="J359">_xlfn.IFS(B359=2015,I359*$G$2,B359=2016,I359*$G$3,B359=2017,I359*$G$4,B359=2018,I359*$G$5,B359=2019,I359*$G$6,B359=2020,I359*$G$7,B359=2021,I359*$G$8,B359=2022,I359*$G$9,B359=2023,I359*$G$10)</f>
        <v>45886.459227683714</v>
      </c>
      <c r="K359" s="8">
        <f t="shared" si="5"/>
        <v>286906.45922768372</v>
      </c>
      <c r="L359">
        <f>IFERROR(VLOOKUP(F359,'LEAID Match'!$A$2:$B$240,2,FALSE),"")</f>
        <v>0</v>
      </c>
    </row>
    <row r="360" spans="1:12" x14ac:dyDescent="0.2">
      <c r="A360">
        <v>0</v>
      </c>
      <c r="B360">
        <v>2017</v>
      </c>
      <c r="C360" s="4" t="s">
        <v>80</v>
      </c>
      <c r="D360" s="4" t="s">
        <v>576</v>
      </c>
      <c r="E360" s="4" t="s">
        <v>578</v>
      </c>
      <c r="F360" s="4" t="s">
        <v>37</v>
      </c>
      <c r="G360" s="8">
        <v>101756</v>
      </c>
      <c r="I360" s="16" cm="1">
        <f t="array" ref="I360">_xlfn.IFS(B360=2015,G360/$H$1957,B360=2016,G360/$H$1958,B360=2017,G360/$H$1959,B360=2018,G360/$H$1960,B360=2019,G360/$H$1961,B360=2020,G360/$H$1962,B360=2021,G360/$H$1963,B360=2022,G360/$H$1964,B360=2023,G360/$H$1965)</f>
        <v>1.3576415841748017E-4</v>
      </c>
      <c r="J360" s="10" cm="1">
        <f t="array" ref="J360">_xlfn.IFS(B360=2015,I360*$G$2,B360=2016,I360*$G$3,B360=2017,I360*$G$4,B360=2018,I360*$G$5,B360=2019,I360*$G$6,B360=2020,I360*$G$7,B360=2021,I360*$G$8,B360=2022,I360*$G$9,B360=2023,I360*$G$10)</f>
        <v>20104.85085697196</v>
      </c>
      <c r="K360" s="8">
        <f t="shared" si="5"/>
        <v>121860.85085697196</v>
      </c>
      <c r="L360">
        <f>IFERROR(VLOOKUP(F360,'LEAID Match'!$A$2:$B$240,2,FALSE),"")</f>
        <v>0</v>
      </c>
    </row>
    <row r="361" spans="1:12" x14ac:dyDescent="0.2">
      <c r="A361">
        <v>0</v>
      </c>
      <c r="B361">
        <v>2018</v>
      </c>
      <c r="C361" s="4" t="s">
        <v>80</v>
      </c>
      <c r="D361" s="4" t="s">
        <v>576</v>
      </c>
      <c r="E361" s="4" t="s">
        <v>578</v>
      </c>
      <c r="F361" s="4" t="s">
        <v>37</v>
      </c>
      <c r="G361" s="8">
        <v>106158</v>
      </c>
      <c r="I361" s="16" cm="1">
        <f t="array" ref="I361">_xlfn.IFS(B361=2015,G361/$H$1957,B361=2016,G361/$H$1958,B361=2017,G361/$H$1959,B361=2018,G361/$H$1960,B361=2019,G361/$H$1961,B361=2020,G361/$H$1962,B361=2021,G361/$H$1963,B361=2022,G361/$H$1964,B361=2023,G361/$H$1965)</f>
        <v>1.3659460767341511E-4</v>
      </c>
      <c r="J361" s="10" cm="1">
        <f t="array" ref="J361">_xlfn.IFS(B361=2015,I361*$G$2,B361=2016,I361*$G$3,B361=2017,I361*$G$4,B361=2018,I361*$G$5,B361=2019,I361*$G$6,B361=2020,I361*$G$7,B361=2021,I361*$G$8,B361=2022,I361*$G$9,B361=2023,I361*$G$10)</f>
        <v>20560.756344242953</v>
      </c>
      <c r="K361" s="8">
        <f t="shared" si="5"/>
        <v>126718.75634424295</v>
      </c>
      <c r="L361">
        <f>IFERROR(VLOOKUP(F361,'LEAID Match'!$A$2:$B$240,2,FALSE),"")</f>
        <v>0</v>
      </c>
    </row>
    <row r="362" spans="1:12" x14ac:dyDescent="0.2">
      <c r="A362">
        <v>0</v>
      </c>
      <c r="B362">
        <v>2019</v>
      </c>
      <c r="C362" s="4" t="s">
        <v>80</v>
      </c>
      <c r="D362" s="4" t="s">
        <v>576</v>
      </c>
      <c r="E362" s="4" t="s">
        <v>578</v>
      </c>
      <c r="F362" s="4" t="s">
        <v>37</v>
      </c>
      <c r="G362" s="8">
        <v>87628</v>
      </c>
      <c r="I362" s="16" cm="1">
        <f t="array" ref="I362">_xlfn.IFS(B362=2015,G362/$H$1957,B362=2016,G362/$H$1958,B362=2017,G362/$H$1959,B362=2018,G362/$H$1960,B362=2019,G362/$H$1961,B362=2020,G362/$H$1962,B362=2021,G362/$H$1963,B362=2022,G362/$H$1964,B362=2023,G362/$H$1965)</f>
        <v>1.0890378495012627E-4</v>
      </c>
      <c r="J362" s="10" cm="1">
        <f t="array" ref="J362">_xlfn.IFS(B362=2015,I362*$G$2,B362=2016,I362*$G$3,B362=2017,I362*$G$4,B362=2018,I362*$G$5,B362=2019,I362*$G$6,B362=2020,I362*$G$7,B362=2021,I362*$G$8,B362=2022,I362*$G$9,B362=2023,I362*$G$10)</f>
        <v>17209.860614360317</v>
      </c>
      <c r="K362" s="8">
        <f t="shared" si="5"/>
        <v>104837.86061436031</v>
      </c>
      <c r="L362">
        <f>IFERROR(VLOOKUP(F362,'LEAID Match'!$A$2:$B$240,2,FALSE),"")</f>
        <v>0</v>
      </c>
    </row>
    <row r="363" spans="1:12" x14ac:dyDescent="0.2">
      <c r="A363">
        <v>0</v>
      </c>
      <c r="B363">
        <v>2020</v>
      </c>
      <c r="C363" s="4" t="s">
        <v>80</v>
      </c>
      <c r="D363" s="4" t="s">
        <v>576</v>
      </c>
      <c r="E363" s="4" t="s">
        <v>578</v>
      </c>
      <c r="F363" s="4" t="s">
        <v>37</v>
      </c>
      <c r="G363" s="8">
        <v>7599</v>
      </c>
      <c r="I363" s="16" cm="1">
        <f t="array" ref="I363">_xlfn.IFS(B363=2015,G363/$H$1957,B363=2016,G363/$H$1958,B363=2017,G363/$H$1959,B363=2018,G363/$H$1960,B363=2019,G363/$H$1961,B363=2020,G363/$H$1962,B363=2021,G363/$H$1963,B363=2022,G363/$H$1964,B363=2023,G363/$H$1965)</f>
        <v>8.7400914963477037E-6</v>
      </c>
      <c r="J363" s="10" cm="1">
        <f t="array" ref="J363">_xlfn.IFS(B363=2015,I363*$G$2,B363=2016,I363*$G$3,B363=2017,I363*$G$4,B363=2018,I363*$G$5,B363=2019,I363*$G$6,B363=2020,I363*$G$7,B363=2021,I363*$G$8,B363=2022,I363*$G$9,B363=2023,I363*$G$10)</f>
        <v>1509.2730335056083</v>
      </c>
      <c r="K363" s="8">
        <f t="shared" si="5"/>
        <v>9108.2730335056076</v>
      </c>
      <c r="L363">
        <f>IFERROR(VLOOKUP(F363,'LEAID Match'!$A$2:$B$240,2,FALSE),"")</f>
        <v>0</v>
      </c>
    </row>
    <row r="364" spans="1:12" x14ac:dyDescent="0.2">
      <c r="A364">
        <v>0</v>
      </c>
      <c r="B364">
        <v>2021</v>
      </c>
      <c r="C364" s="4" t="s">
        <v>80</v>
      </c>
      <c r="D364" s="4" t="s">
        <v>576</v>
      </c>
      <c r="E364" s="4" t="s">
        <v>578</v>
      </c>
      <c r="F364" s="4" t="s">
        <v>37</v>
      </c>
      <c r="I364" s="16" cm="1">
        <f t="array" ref="I364">_xlfn.IFS(B364=2015,G364/$H$1957,B364=2016,G364/$H$1958,B364=2017,G364/$H$1959,B364=2018,G364/$H$1960,B364=2019,G364/$H$1961,B364=2020,G364/$H$1962,B364=2021,G364/$H$1963,B364=2022,G364/$H$1964,B364=2023,G364/$H$1965)</f>
        <v>0</v>
      </c>
      <c r="J364" s="10" cm="1">
        <f t="array" ref="J364">_xlfn.IFS(B364=2015,I364*$G$2,B364=2016,I364*$G$3,B364=2017,I364*$G$4,B364=2018,I364*$G$5,B364=2019,I364*$G$6,B364=2020,I364*$G$7,B364=2021,I364*$G$8,B364=2022,I364*$G$9,B364=2023,I364*$G$10)</f>
        <v>0</v>
      </c>
      <c r="K364" s="8">
        <f t="shared" si="5"/>
        <v>0</v>
      </c>
      <c r="L364">
        <f>IFERROR(VLOOKUP(F364,'LEAID Match'!$A$2:$B$240,2,FALSE),"")</f>
        <v>0</v>
      </c>
    </row>
    <row r="365" spans="1:12" x14ac:dyDescent="0.2">
      <c r="A365">
        <v>0</v>
      </c>
      <c r="B365">
        <v>2022</v>
      </c>
      <c r="C365" s="4" t="s">
        <v>80</v>
      </c>
      <c r="D365" s="4" t="s">
        <v>576</v>
      </c>
      <c r="E365" s="4" t="s">
        <v>578</v>
      </c>
      <c r="F365" s="4" t="s">
        <v>37</v>
      </c>
      <c r="I365" s="16" cm="1">
        <f t="array" ref="I365">_xlfn.IFS(B365=2015,G365/$H$1957,B365=2016,G365/$H$1958,B365=2017,G365/$H$1959,B365=2018,G365/$H$1960,B365=2019,G365/$H$1961,B365=2020,G365/$H$1962,B365=2021,G365/$H$1963,B365=2022,G365/$H$1964,B365=2023,G365/$H$1965)</f>
        <v>0</v>
      </c>
      <c r="J365" s="10" cm="1">
        <f t="array" ref="J365">_xlfn.IFS(B365=2015,I365*$G$2,B365=2016,I365*$G$3,B365=2017,I365*$G$4,B365=2018,I365*$G$5,B365=2019,I365*$G$6,B365=2020,I365*$G$7,B365=2021,I365*$G$8,B365=2022,I365*$G$9,B365=2023,I365*$G$10)</f>
        <v>0</v>
      </c>
      <c r="K365" s="8">
        <f t="shared" si="5"/>
        <v>0</v>
      </c>
      <c r="L365">
        <f>IFERROR(VLOOKUP(F365,'LEAID Match'!$A$2:$B$240,2,FALSE),"")</f>
        <v>0</v>
      </c>
    </row>
    <row r="366" spans="1:12" x14ac:dyDescent="0.2">
      <c r="A366">
        <v>0</v>
      </c>
      <c r="B366">
        <v>2023</v>
      </c>
      <c r="C366" s="4" t="s">
        <v>80</v>
      </c>
      <c r="D366" s="4" t="s">
        <v>576</v>
      </c>
      <c r="E366" s="4" t="s">
        <v>578</v>
      </c>
      <c r="F366" s="4" t="s">
        <v>37</v>
      </c>
      <c r="I366" s="16" cm="1">
        <f t="array" ref="I366">_xlfn.IFS(B366=2015,G366/$H$1957,B366=2016,G366/$H$1958,B366=2017,G366/$H$1959,B366=2018,G366/$H$1960,B366=2019,G366/$H$1961,B366=2020,G366/$H$1962,B366=2021,G366/$H$1963,B366=2022,G366/$H$1964,B366=2023,G366/$H$1965)</f>
        <v>0</v>
      </c>
      <c r="J366" s="10" cm="1">
        <f t="array" ref="J366">_xlfn.IFS(B366=2015,I366*$G$2,B366=2016,I366*$G$3,B366=2017,I366*$G$4,B366=2018,I366*$G$5,B366=2019,I366*$G$6,B366=2020,I366*$G$7,B366=2021,I366*$G$8,B366=2022,I366*$G$9,B366=2023,I366*$G$10)</f>
        <v>0</v>
      </c>
      <c r="K366" s="8">
        <f t="shared" si="5"/>
        <v>0</v>
      </c>
      <c r="L366">
        <f>IFERROR(VLOOKUP(F366,'LEAID Match'!$A$2:$B$240,2,FALSE),"")</f>
        <v>0</v>
      </c>
    </row>
    <row r="367" spans="1:12" x14ac:dyDescent="0.2">
      <c r="A367">
        <v>0</v>
      </c>
      <c r="B367">
        <v>2015</v>
      </c>
      <c r="C367" s="4" t="s">
        <v>81</v>
      </c>
      <c r="D367" s="4" t="s">
        <v>576</v>
      </c>
      <c r="E367" s="4" t="s">
        <v>578</v>
      </c>
      <c r="F367" s="4" t="s">
        <v>38</v>
      </c>
      <c r="G367" s="8">
        <v>1628536</v>
      </c>
      <c r="I367" s="16" cm="1">
        <f t="array" ref="I367">_xlfn.IFS(B367=2015,G367/$H$1957,B367=2016,G367/$H$1958,B367=2017,G367/$H$1959,B367=2018,G367/$H$1960,B367=2019,G367/$H$1961,B367=2020,G367/$H$1962,B367=2021,G367/$H$1963,B367=2022,G367/$H$1964,B367=2023,G367/$H$1965)</f>
        <v>1.257650752311478E-3</v>
      </c>
      <c r="J367" s="10" cm="1">
        <f t="array" ref="J367">_xlfn.IFS(B367=2015,I367*$G$2,B367=2016,I367*$G$3,B367=2017,I367*$G$4,B367=2018,I367*$G$5,B367=2019,I367*$G$6,B367=2020,I367*$G$7,B367=2021,I367*$G$8,B367=2022,I367*$G$9,B367=2023,I367*$G$10)</f>
        <v>312705.52150541311</v>
      </c>
      <c r="K367" s="8">
        <f t="shared" si="5"/>
        <v>1941241.5215054131</v>
      </c>
      <c r="L367">
        <f>IFERROR(VLOOKUP(F367,'LEAID Match'!$A$2:$B$240,2,FALSE),"")</f>
        <v>0</v>
      </c>
    </row>
    <row r="368" spans="1:12" x14ac:dyDescent="0.2">
      <c r="A368">
        <v>0</v>
      </c>
      <c r="B368">
        <v>2016</v>
      </c>
      <c r="C368" s="4" t="s">
        <v>81</v>
      </c>
      <c r="D368" s="4" t="s">
        <v>576</v>
      </c>
      <c r="E368" s="4" t="s">
        <v>578</v>
      </c>
      <c r="F368" s="4" t="s">
        <v>38</v>
      </c>
      <c r="G368" s="8">
        <v>1833379</v>
      </c>
      <c r="I368" s="16" cm="1">
        <f t="array" ref="I368">_xlfn.IFS(B368=2015,G368/$H$1957,B368=2016,G368/$H$1958,B368=2017,G368/$H$1959,B368=2018,G368/$H$1960,B368=2019,G368/$H$1961,B368=2020,G368/$H$1962,B368=2021,G368/$H$1963,B368=2022,G368/$H$1964,B368=2023,G368/$H$1965)</f>
        <v>1.2870312742185464E-3</v>
      </c>
      <c r="J368" s="10" cm="1">
        <f t="array" ref="J368">_xlfn.IFS(B368=2015,I368*$G$2,B368=2016,I368*$G$3,B368=2017,I368*$G$4,B368=2018,I368*$G$5,B368=2019,I368*$G$6,B368=2020,I368*$G$7,B368=2021,I368*$G$8,B368=2022,I368*$G$9,B368=2023,I368*$G$10)</f>
        <v>349046.84562439437</v>
      </c>
      <c r="K368" s="8">
        <f t="shared" si="5"/>
        <v>2182425.8456243942</v>
      </c>
      <c r="L368">
        <f>IFERROR(VLOOKUP(F368,'LEAID Match'!$A$2:$B$240,2,FALSE),"")</f>
        <v>0</v>
      </c>
    </row>
    <row r="369" spans="1:12" x14ac:dyDescent="0.2">
      <c r="A369">
        <v>0</v>
      </c>
      <c r="B369">
        <v>2017</v>
      </c>
      <c r="C369" s="4" t="s">
        <v>81</v>
      </c>
      <c r="D369" s="4" t="s">
        <v>576</v>
      </c>
      <c r="E369" s="4" t="s">
        <v>578</v>
      </c>
      <c r="F369" s="4" t="s">
        <v>38</v>
      </c>
      <c r="G369" s="8">
        <v>959979</v>
      </c>
      <c r="I369" s="16" cm="1">
        <f t="array" ref="I369">_xlfn.IFS(B369=2015,G369/$H$1957,B369=2016,G369/$H$1958,B369=2017,G369/$H$1959,B369=2018,G369/$H$1960,B369=2019,G369/$H$1961,B369=2020,G369/$H$1962,B369=2021,G369/$H$1963,B369=2022,G369/$H$1964,B369=2023,G369/$H$1965)</f>
        <v>1.2808162765188705E-3</v>
      </c>
      <c r="J369" s="10" cm="1">
        <f t="array" ref="J369">_xlfn.IFS(B369=2015,I369*$G$2,B369=2016,I369*$G$3,B369=2017,I369*$G$4,B369=2018,I369*$G$5,B369=2019,I369*$G$6,B369=2020,I369*$G$7,B369=2021,I369*$G$8,B369=2022,I369*$G$9,B369=2023,I369*$G$10)</f>
        <v>189671.71096372776</v>
      </c>
      <c r="K369" s="8">
        <f t="shared" si="5"/>
        <v>1149650.7109637277</v>
      </c>
      <c r="L369">
        <f>IFERROR(VLOOKUP(F369,'LEAID Match'!$A$2:$B$240,2,FALSE),"")</f>
        <v>0</v>
      </c>
    </row>
    <row r="370" spans="1:12" x14ac:dyDescent="0.2">
      <c r="A370">
        <v>0</v>
      </c>
      <c r="B370">
        <v>2018</v>
      </c>
      <c r="C370" s="4" t="s">
        <v>81</v>
      </c>
      <c r="D370" s="4" t="s">
        <v>576</v>
      </c>
      <c r="E370" s="4" t="s">
        <v>578</v>
      </c>
      <c r="F370" s="4" t="s">
        <v>38</v>
      </c>
      <c r="G370" s="8">
        <v>1029628</v>
      </c>
      <c r="I370" s="16" cm="1">
        <f t="array" ref="I370">_xlfn.IFS(B370=2015,G370/$H$1957,B370=2016,G370/$H$1958,B370=2017,G370/$H$1959,B370=2018,G370/$H$1960,B370=2019,G370/$H$1961,B370=2020,G370/$H$1962,B370=2021,G370/$H$1963,B370=2022,G370/$H$1964,B370=2023,G370/$H$1965)</f>
        <v>1.3248331045193301E-3</v>
      </c>
      <c r="J370" s="10" cm="1">
        <f t="array" ref="J370">_xlfn.IFS(B370=2015,I370*$G$2,B370=2016,I370*$G$3,B370=2017,I370*$G$4,B370=2018,I370*$G$5,B370=2019,I370*$G$6,B370=2020,I370*$G$7,B370=2021,I370*$G$8,B370=2022,I370*$G$9,B370=2023,I370*$G$10)</f>
        <v>199419.0775373517</v>
      </c>
      <c r="K370" s="8">
        <f t="shared" si="5"/>
        <v>1229047.0775373518</v>
      </c>
      <c r="L370">
        <f>IFERROR(VLOOKUP(F370,'LEAID Match'!$A$2:$B$240,2,FALSE),"")</f>
        <v>0</v>
      </c>
    </row>
    <row r="371" spans="1:12" x14ac:dyDescent="0.2">
      <c r="A371">
        <v>0</v>
      </c>
      <c r="B371">
        <v>2019</v>
      </c>
      <c r="C371" s="4" t="s">
        <v>81</v>
      </c>
      <c r="D371" s="4" t="s">
        <v>576</v>
      </c>
      <c r="E371" s="4" t="s">
        <v>578</v>
      </c>
      <c r="F371" s="4" t="s">
        <v>38</v>
      </c>
      <c r="G371" s="8">
        <v>1045375</v>
      </c>
      <c r="I371" s="16" cm="1">
        <f t="array" ref="I371">_xlfn.IFS(B371=2015,G371/$H$1957,B371=2016,G371/$H$1958,B371=2017,G371/$H$1959,B371=2018,G371/$H$1960,B371=2019,G371/$H$1961,B371=2020,G371/$H$1962,B371=2021,G371/$H$1963,B371=2022,G371/$H$1964,B371=2023,G371/$H$1965)</f>
        <v>1.2991885492335583E-3</v>
      </c>
      <c r="J371" s="10" cm="1">
        <f t="array" ref="J371">_xlfn.IFS(B371=2015,I371*$G$2,B371=2016,I371*$G$3,B371=2017,I371*$G$4,B371=2018,I371*$G$5,B371=2019,I371*$G$6,B371=2020,I371*$G$7,B371=2021,I371*$G$8,B371=2022,I371*$G$9,B371=2023,I371*$G$10)</f>
        <v>205308.32655928377</v>
      </c>
      <c r="K371" s="8">
        <f t="shared" si="5"/>
        <v>1250683.3265592838</v>
      </c>
      <c r="L371">
        <f>IFERROR(VLOOKUP(F371,'LEAID Match'!$A$2:$B$240,2,FALSE),"")</f>
        <v>0</v>
      </c>
    </row>
    <row r="372" spans="1:12" x14ac:dyDescent="0.2">
      <c r="A372">
        <v>0</v>
      </c>
      <c r="B372">
        <v>2020</v>
      </c>
      <c r="C372" s="4" t="s">
        <v>81</v>
      </c>
      <c r="D372" s="4" t="s">
        <v>576</v>
      </c>
      <c r="E372" s="4" t="s">
        <v>578</v>
      </c>
      <c r="F372" s="4" t="s">
        <v>38</v>
      </c>
      <c r="G372" s="8">
        <v>1166170</v>
      </c>
      <c r="I372" s="16" cm="1">
        <f t="array" ref="I372">_xlfn.IFS(B372=2015,G372/$H$1957,B372=2016,G372/$H$1958,B372=2017,G372/$H$1959,B372=2018,G372/$H$1960,B372=2019,G372/$H$1961,B372=2020,G372/$H$1962,B372=2021,G372/$H$1963,B372=2022,G372/$H$1964,B372=2023,G372/$H$1965)</f>
        <v>1.3412860245158313E-3</v>
      </c>
      <c r="J372" s="10" cm="1">
        <f t="array" ref="J372">_xlfn.IFS(B372=2015,I372*$G$2,B372=2016,I372*$G$3,B372=2017,I372*$G$4,B372=2018,I372*$G$5,B372=2019,I372*$G$6,B372=2020,I372*$G$7,B372=2021,I372*$G$8,B372=2022,I372*$G$9,B372=2023,I372*$G$10)</f>
        <v>231618.49368117322</v>
      </c>
      <c r="K372" s="8">
        <f t="shared" si="5"/>
        <v>1397788.4936811733</v>
      </c>
      <c r="L372">
        <f>IFERROR(VLOOKUP(F372,'LEAID Match'!$A$2:$B$240,2,FALSE),"")</f>
        <v>0</v>
      </c>
    </row>
    <row r="373" spans="1:12" x14ac:dyDescent="0.2">
      <c r="A373">
        <v>0</v>
      </c>
      <c r="B373">
        <v>2021</v>
      </c>
      <c r="C373" s="4" t="s">
        <v>81</v>
      </c>
      <c r="D373" s="4" t="s">
        <v>576</v>
      </c>
      <c r="E373" s="4" t="s">
        <v>578</v>
      </c>
      <c r="F373" s="4" t="s">
        <v>38</v>
      </c>
      <c r="G373" s="8">
        <v>1267630</v>
      </c>
      <c r="I373" s="16" cm="1">
        <f t="array" ref="I373">_xlfn.IFS(B373=2015,G373/$H$1957,B373=2016,G373/$H$1958,B373=2017,G373/$H$1959,B373=2018,G373/$H$1960,B373=2019,G373/$H$1961,B373=2020,G373/$H$1962,B373=2021,G373/$H$1963,B373=2022,G373/$H$1964,B373=2023,G373/$H$1965)</f>
        <v>1.4486410879670664E-3</v>
      </c>
      <c r="J373" s="10" cm="1">
        <f t="array" ref="J373">_xlfn.IFS(B373=2015,I373*$G$2,B373=2016,I373*$G$3,B373=2017,I373*$G$4,B373=2018,I373*$G$5,B373=2019,I373*$G$6,B373=2020,I373*$G$7,B373=2021,I373*$G$8,B373=2022,I373*$G$9,B373=2023,I373*$G$10)</f>
        <v>248611.20001650561</v>
      </c>
      <c r="K373" s="8">
        <f t="shared" si="5"/>
        <v>1516241.2000165056</v>
      </c>
      <c r="L373">
        <f>IFERROR(VLOOKUP(F373,'LEAID Match'!$A$2:$B$240,2,FALSE),"")</f>
        <v>0</v>
      </c>
    </row>
    <row r="374" spans="1:12" x14ac:dyDescent="0.2">
      <c r="A374">
        <v>0</v>
      </c>
      <c r="B374">
        <v>2022</v>
      </c>
      <c r="C374" s="4" t="s">
        <v>81</v>
      </c>
      <c r="D374" s="4" t="s">
        <v>576</v>
      </c>
      <c r="E374" s="4" t="s">
        <v>578</v>
      </c>
      <c r="F374" s="4" t="s">
        <v>38</v>
      </c>
      <c r="G374" s="8">
        <v>1282924</v>
      </c>
      <c r="I374" s="16" cm="1">
        <f t="array" ref="I374">_xlfn.IFS(B374=2015,G374/$H$1957,B374=2016,G374/$H$1958,B374=2017,G374/$H$1959,B374=2018,G374/$H$1960,B374=2019,G374/$H$1961,B374=2020,G374/$H$1962,B374=2021,G374/$H$1963,B374=2022,G374/$H$1964,B374=2023,G374/$H$1965)</f>
        <v>1.3788896760991778E-3</v>
      </c>
      <c r="J374" s="10" cm="1">
        <f t="array" ref="J374">_xlfn.IFS(B374=2015,I374*$G$2,B374=2016,I374*$G$3,B374=2017,I374*$G$4,B374=2018,I374*$G$5,B374=2019,I374*$G$6,B374=2020,I374*$G$7,B374=2021,I374*$G$8,B374=2022,I374*$G$9,B374=2023,I374*$G$10)</f>
        <v>233839.90062067888</v>
      </c>
      <c r="K374" s="8">
        <f t="shared" si="5"/>
        <v>1516763.9006206789</v>
      </c>
      <c r="L374">
        <f>IFERROR(VLOOKUP(F374,'LEAID Match'!$A$2:$B$240,2,FALSE),"")</f>
        <v>0</v>
      </c>
    </row>
    <row r="375" spans="1:12" x14ac:dyDescent="0.2">
      <c r="A375">
        <v>0</v>
      </c>
      <c r="B375">
        <v>2023</v>
      </c>
      <c r="C375" s="4" t="s">
        <v>81</v>
      </c>
      <c r="D375" s="4" t="s">
        <v>576</v>
      </c>
      <c r="E375" s="4" t="s">
        <v>578</v>
      </c>
      <c r="F375" s="4" t="s">
        <v>38</v>
      </c>
      <c r="G375" s="8">
        <v>1360966</v>
      </c>
      <c r="I375" s="16" cm="1">
        <f t="array" ref="I375">_xlfn.IFS(B375=2015,G375/$H$1957,B375=2016,G375/$H$1958,B375=2017,G375/$H$1959,B375=2018,G375/$H$1960,B375=2019,G375/$H$1961,B375=2020,G375/$H$1962,B375=2021,G375/$H$1963,B375=2022,G375/$H$1964,B375=2023,G375/$H$1965)</f>
        <v>1.3779639082391821E-3</v>
      </c>
      <c r="J375" s="10" cm="1">
        <f t="array" ref="J375">_xlfn.IFS(B375=2015,I375*$G$2,B375=2016,I375*$G$3,B375=2017,I375*$G$4,B375=2018,I375*$G$5,B375=2019,I375*$G$6,B375=2020,I375*$G$7,B375=2021,I375*$G$8,B375=2022,I375*$G$9,B375=2023,I375*$G$10)</f>
        <v>234233.63451252409</v>
      </c>
      <c r="K375" s="8">
        <f t="shared" si="5"/>
        <v>1595199.6345125241</v>
      </c>
      <c r="L375">
        <f>IFERROR(VLOOKUP(F375,'LEAID Match'!$A$2:$B$240,2,FALSE),"")</f>
        <v>0</v>
      </c>
    </row>
    <row r="376" spans="1:12" x14ac:dyDescent="0.2">
      <c r="A376">
        <v>0</v>
      </c>
      <c r="B376">
        <v>2015</v>
      </c>
      <c r="C376" s="4" t="s">
        <v>82</v>
      </c>
      <c r="D376" s="4" t="s">
        <v>576</v>
      </c>
      <c r="E376" s="4" t="s">
        <v>578</v>
      </c>
      <c r="F376" s="4" t="s">
        <v>39</v>
      </c>
      <c r="G376" s="8">
        <v>222380</v>
      </c>
      <c r="I376" s="16" cm="1">
        <f t="array" ref="I376">_xlfn.IFS(B376=2015,G376/$H$1957,B376=2016,G376/$H$1958,B376=2017,G376/$H$1959,B376=2018,G376/$H$1960,B376=2019,G376/$H$1961,B376=2020,G376/$H$1962,B376=2021,G376/$H$1963,B376=2022,G376/$H$1964,B376=2023,G376/$H$1965)</f>
        <v>1.7173484301177651E-4</v>
      </c>
      <c r="J376" s="10" cm="1">
        <f t="array" ref="J376">_xlfn.IFS(B376=2015,I376*$G$2,B376=2016,I376*$G$3,B376=2017,I376*$G$4,B376=2018,I376*$G$5,B376=2019,I376*$G$6,B376=2020,I376*$G$7,B376=2021,I376*$G$8,B376=2022,I376*$G$9,B376=2023,I376*$G$10)</f>
        <v>42700.593583668866</v>
      </c>
      <c r="K376" s="8">
        <f t="shared" si="5"/>
        <v>265080.59358366887</v>
      </c>
      <c r="L376">
        <f>IFERROR(VLOOKUP(F376,'LEAID Match'!$A$2:$B$240,2,FALSE),"")</f>
        <v>0</v>
      </c>
    </row>
    <row r="377" spans="1:12" x14ac:dyDescent="0.2">
      <c r="A377">
        <v>0</v>
      </c>
      <c r="B377">
        <v>2016</v>
      </c>
      <c r="C377" s="4" t="s">
        <v>82</v>
      </c>
      <c r="D377" s="4" t="s">
        <v>576</v>
      </c>
      <c r="E377" s="4" t="s">
        <v>578</v>
      </c>
      <c r="F377" s="4" t="s">
        <v>39</v>
      </c>
      <c r="G377" s="8">
        <v>279235</v>
      </c>
      <c r="I377" s="16" cm="1">
        <f t="array" ref="I377">_xlfn.IFS(B377=2015,G377/$H$1957,B377=2016,G377/$H$1958,B377=2017,G377/$H$1959,B377=2018,G377/$H$1960,B377=2019,G377/$H$1961,B377=2020,G377/$H$1962,B377=2021,G377/$H$1963,B377=2022,G377/$H$1964,B377=2023,G377/$H$1965)</f>
        <v>1.9602285062522034E-4</v>
      </c>
      <c r="J377" s="10" cm="1">
        <f t="array" ref="J377">_xlfn.IFS(B377=2015,I377*$G$2,B377=2016,I377*$G$3,B377=2017,I377*$G$4,B377=2018,I377*$G$5,B377=2019,I377*$G$6,B377=2020,I377*$G$7,B377=2021,I377*$G$8,B377=2022,I377*$G$9,B377=2023,I377*$G$10)</f>
        <v>53162.000839939683</v>
      </c>
      <c r="K377" s="8">
        <f t="shared" si="5"/>
        <v>332397.00083993969</v>
      </c>
      <c r="L377">
        <f>IFERROR(VLOOKUP(F377,'LEAID Match'!$A$2:$B$240,2,FALSE),"")</f>
        <v>0</v>
      </c>
    </row>
    <row r="378" spans="1:12" x14ac:dyDescent="0.2">
      <c r="A378">
        <v>0</v>
      </c>
      <c r="B378">
        <v>2017</v>
      </c>
      <c r="C378" s="4" t="s">
        <v>82</v>
      </c>
      <c r="D378" s="4" t="s">
        <v>576</v>
      </c>
      <c r="E378" s="4" t="s">
        <v>578</v>
      </c>
      <c r="F378" s="4" t="s">
        <v>39</v>
      </c>
      <c r="G378" s="8">
        <v>151611</v>
      </c>
      <c r="I378" s="16" cm="1">
        <f t="array" ref="I378">_xlfn.IFS(B378=2015,G378/$H$1957,B378=2016,G378/$H$1958,B378=2017,G378/$H$1959,B378=2018,G378/$H$1960,B378=2019,G378/$H$1961,B378=2020,G378/$H$1962,B378=2021,G378/$H$1963,B378=2022,G378/$H$1964,B378=2023,G378/$H$1965)</f>
        <v>2.0228133792437382E-4</v>
      </c>
      <c r="J378" s="10" cm="1">
        <f t="array" ref="J378">_xlfn.IFS(B378=2015,I378*$G$2,B378=2016,I378*$G$3,B378=2017,I378*$G$4,B378=2018,I378*$G$5,B378=2019,I378*$G$6,B378=2020,I378*$G$7,B378=2021,I378*$G$8,B378=2022,I378*$G$9,B378=2023,I378*$G$10)</f>
        <v>29955.152947014183</v>
      </c>
      <c r="K378" s="8">
        <f t="shared" si="5"/>
        <v>181566.1529470142</v>
      </c>
      <c r="L378">
        <f>IFERROR(VLOOKUP(F378,'LEAID Match'!$A$2:$B$240,2,FALSE),"")</f>
        <v>0</v>
      </c>
    </row>
    <row r="379" spans="1:12" x14ac:dyDescent="0.2">
      <c r="A379">
        <v>0</v>
      </c>
      <c r="B379">
        <v>2018</v>
      </c>
      <c r="C379" s="4" t="s">
        <v>82</v>
      </c>
      <c r="D379" s="4" t="s">
        <v>576</v>
      </c>
      <c r="E379" s="4" t="s">
        <v>578</v>
      </c>
      <c r="F379" s="4" t="s">
        <v>39</v>
      </c>
      <c r="G379" s="8">
        <v>175253</v>
      </c>
      <c r="I379" s="16" cm="1">
        <f t="array" ref="I379">_xlfn.IFS(B379=2015,G379/$H$1957,B379=2016,G379/$H$1958,B379=2017,G379/$H$1959,B379=2018,G379/$H$1960,B379=2019,G379/$H$1961,B379=2020,G379/$H$1962,B379=2021,G379/$H$1963,B379=2022,G379/$H$1964,B379=2023,G379/$H$1965)</f>
        <v>2.2549986603542847E-4</v>
      </c>
      <c r="J379" s="10" cm="1">
        <f t="array" ref="J379">_xlfn.IFS(B379=2015,I379*$G$2,B379=2016,I379*$G$3,B379=2017,I379*$G$4,B379=2018,I379*$G$5,B379=2019,I379*$G$6,B379=2020,I379*$G$7,B379=2021,I379*$G$8,B379=2022,I379*$G$9,B379=2023,I379*$G$10)</f>
        <v>33943.124697127016</v>
      </c>
      <c r="K379" s="8">
        <f t="shared" si="5"/>
        <v>209196.12469712703</v>
      </c>
      <c r="L379">
        <f>IFERROR(VLOOKUP(F379,'LEAID Match'!$A$2:$B$240,2,FALSE),"")</f>
        <v>0</v>
      </c>
    </row>
    <row r="380" spans="1:12" x14ac:dyDescent="0.2">
      <c r="A380">
        <v>0</v>
      </c>
      <c r="B380">
        <v>2019</v>
      </c>
      <c r="C380" s="4" t="s">
        <v>82</v>
      </c>
      <c r="D380" s="4" t="s">
        <v>576</v>
      </c>
      <c r="E380" s="4" t="s">
        <v>578</v>
      </c>
      <c r="F380" s="4" t="s">
        <v>39</v>
      </c>
      <c r="G380" s="8">
        <v>199606</v>
      </c>
      <c r="I380" s="16" cm="1">
        <f t="array" ref="I380">_xlfn.IFS(B380=2015,G380/$H$1957,B380=2016,G380/$H$1958,B380=2017,G380/$H$1959,B380=2018,G380/$H$1960,B380=2019,G380/$H$1961,B380=2020,G380/$H$1962,B380=2021,G380/$H$1963,B380=2022,G380/$H$1964,B380=2023,G380/$H$1965)</f>
        <v>2.480696683566315E-4</v>
      </c>
      <c r="J380" s="10" cm="1">
        <f t="array" ref="J380">_xlfn.IFS(B380=2015,I380*$G$2,B380=2016,I380*$G$3,B380=2017,I380*$G$4,B380=2018,I380*$G$5,B380=2019,I380*$G$6,B380=2020,I380*$G$7,B380=2021,I380*$G$8,B380=2022,I380*$G$9,B380=2023,I380*$G$10)</f>
        <v>39201.983815561303</v>
      </c>
      <c r="K380" s="8">
        <f t="shared" si="5"/>
        <v>238807.98381556131</v>
      </c>
      <c r="L380">
        <f>IFERROR(VLOOKUP(F380,'LEAID Match'!$A$2:$B$240,2,FALSE),"")</f>
        <v>0</v>
      </c>
    </row>
    <row r="381" spans="1:12" x14ac:dyDescent="0.2">
      <c r="A381">
        <v>0</v>
      </c>
      <c r="B381">
        <v>2020</v>
      </c>
      <c r="C381" s="4" t="s">
        <v>82</v>
      </c>
      <c r="D381" s="4" t="s">
        <v>576</v>
      </c>
      <c r="E381" s="4" t="s">
        <v>578</v>
      </c>
      <c r="F381" s="4" t="s">
        <v>39</v>
      </c>
      <c r="G381" s="8">
        <v>219677</v>
      </c>
      <c r="I381" s="16" cm="1">
        <f t="array" ref="I381">_xlfn.IFS(B381=2015,G381/$H$1957,B381=2016,G381/$H$1958,B381=2017,G381/$H$1959,B381=2018,G381/$H$1960,B381=2019,G381/$H$1961,B381=2020,G381/$H$1962,B381=2021,G381/$H$1963,B381=2022,G381/$H$1964,B381=2023,G381/$H$1965)</f>
        <v>2.5266444001094548E-4</v>
      </c>
      <c r="J381" s="10" cm="1">
        <f t="array" ref="J381">_xlfn.IFS(B381=2015,I381*$G$2,B381=2016,I381*$G$3,B381=2017,I381*$G$4,B381=2018,I381*$G$5,B381=2019,I381*$G$6,B381=2020,I381*$G$7,B381=2021,I381*$G$8,B381=2022,I381*$G$9,B381=2023,I381*$G$10)</f>
        <v>43631.079376419468</v>
      </c>
      <c r="K381" s="8">
        <f t="shared" si="5"/>
        <v>263308.07937641948</v>
      </c>
      <c r="L381">
        <f>IFERROR(VLOOKUP(F381,'LEAID Match'!$A$2:$B$240,2,FALSE),"")</f>
        <v>0</v>
      </c>
    </row>
    <row r="382" spans="1:12" x14ac:dyDescent="0.2">
      <c r="A382">
        <v>0</v>
      </c>
      <c r="B382">
        <v>2021</v>
      </c>
      <c r="C382" s="4" t="s">
        <v>82</v>
      </c>
      <c r="D382" s="4" t="s">
        <v>576</v>
      </c>
      <c r="E382" s="4" t="s">
        <v>578</v>
      </c>
      <c r="F382" s="4" t="s">
        <v>39</v>
      </c>
      <c r="G382" s="8">
        <v>223347</v>
      </c>
      <c r="I382" s="16" cm="1">
        <f t="array" ref="I382">_xlfn.IFS(B382=2015,G382/$H$1957,B382=2016,G382/$H$1958,B382=2017,G382/$H$1959,B382=2018,G382/$H$1960,B382=2019,G382/$H$1961,B382=2020,G382/$H$1962,B382=2021,G382/$H$1963,B382=2022,G382/$H$1964,B382=2023,G382/$H$1965)</f>
        <v>2.5523981057105021E-4</v>
      </c>
      <c r="J382" s="10" cm="1">
        <f t="array" ref="J382">_xlfn.IFS(B382=2015,I382*$G$2,B382=2016,I382*$G$3,B382=2017,I382*$G$4,B382=2018,I382*$G$5,B382=2019,I382*$G$6,B382=2020,I382*$G$7,B382=2021,I382*$G$8,B382=2022,I382*$G$9,B382=2023,I382*$G$10)</f>
        <v>43803.448711442987</v>
      </c>
      <c r="K382" s="8">
        <f t="shared" si="5"/>
        <v>267150.44871144299</v>
      </c>
      <c r="L382">
        <f>IFERROR(VLOOKUP(F382,'LEAID Match'!$A$2:$B$240,2,FALSE),"")</f>
        <v>0</v>
      </c>
    </row>
    <row r="383" spans="1:12" x14ac:dyDescent="0.2">
      <c r="A383">
        <v>0</v>
      </c>
      <c r="B383">
        <v>2022</v>
      </c>
      <c r="C383" s="4" t="s">
        <v>82</v>
      </c>
      <c r="D383" s="4" t="s">
        <v>576</v>
      </c>
      <c r="E383" s="4" t="s">
        <v>578</v>
      </c>
      <c r="F383" s="4" t="s">
        <v>39</v>
      </c>
      <c r="G383" s="8">
        <v>215175</v>
      </c>
      <c r="I383" s="16" cm="1">
        <f t="array" ref="I383">_xlfn.IFS(B383=2015,G383/$H$1957,B383=2016,G383/$H$1958,B383=2017,G383/$H$1959,B383=2018,G383/$H$1960,B383=2019,G383/$H$1961,B383=2020,G383/$H$1962,B383=2021,G383/$H$1963,B383=2022,G383/$H$1964,B383=2023,G383/$H$1965)</f>
        <v>2.3127058660890327E-4</v>
      </c>
      <c r="J383" s="10" cm="1">
        <f t="array" ref="J383">_xlfn.IFS(B383=2015,I383*$G$2,B383=2016,I383*$G$3,B383=2017,I383*$G$4,B383=2018,I383*$G$5,B383=2019,I383*$G$6,B383=2020,I383*$G$7,B383=2021,I383*$G$8,B383=2022,I383*$G$9,B383=2023,I383*$G$10)</f>
        <v>39220.172524681569</v>
      </c>
      <c r="K383" s="8">
        <f t="shared" si="5"/>
        <v>254395.17252468158</v>
      </c>
      <c r="L383">
        <f>IFERROR(VLOOKUP(F383,'LEAID Match'!$A$2:$B$240,2,FALSE),"")</f>
        <v>0</v>
      </c>
    </row>
    <row r="384" spans="1:12" x14ac:dyDescent="0.2">
      <c r="A384">
        <v>0</v>
      </c>
      <c r="B384">
        <v>2023</v>
      </c>
      <c r="C384" s="4" t="s">
        <v>82</v>
      </c>
      <c r="D384" s="4" t="s">
        <v>576</v>
      </c>
      <c r="E384" s="4" t="s">
        <v>578</v>
      </c>
      <c r="F384" s="4" t="s">
        <v>39</v>
      </c>
      <c r="G384" s="8">
        <v>208240</v>
      </c>
      <c r="I384" s="16" cm="1">
        <f t="array" ref="I384">_xlfn.IFS(B384=2015,G384/$H$1957,B384=2016,G384/$H$1958,B384=2017,G384/$H$1959,B384=2018,G384/$H$1960,B384=2019,G384/$H$1961,B384=2020,G384/$H$1962,B384=2021,G384/$H$1963,B384=2022,G384/$H$1964,B384=2023,G384/$H$1965)</f>
        <v>2.1084083235858007E-4</v>
      </c>
      <c r="J384" s="10" cm="1">
        <f t="array" ref="J384">_xlfn.IFS(B384=2015,I384*$G$2,B384=2016,I384*$G$3,B384=2017,I384*$G$4,B384=2018,I384*$G$5,B384=2019,I384*$G$6,B384=2020,I384*$G$7,B384=2021,I384*$G$8,B384=2022,I384*$G$9,B384=2023,I384*$G$10)</f>
        <v>35839.846146698757</v>
      </c>
      <c r="K384" s="8">
        <f t="shared" si="5"/>
        <v>244079.84614669875</v>
      </c>
      <c r="L384">
        <f>IFERROR(VLOOKUP(F384,'LEAID Match'!$A$2:$B$240,2,FALSE),"")</f>
        <v>0</v>
      </c>
    </row>
    <row r="385" spans="1:12" x14ac:dyDescent="0.2">
      <c r="A385">
        <v>0</v>
      </c>
      <c r="B385">
        <v>2015</v>
      </c>
      <c r="C385" s="4" t="s">
        <v>83</v>
      </c>
      <c r="D385" s="4" t="s">
        <v>576</v>
      </c>
      <c r="E385" s="4" t="s">
        <v>578</v>
      </c>
      <c r="F385" s="9" t="s">
        <v>40</v>
      </c>
      <c r="G385" s="8">
        <v>871819</v>
      </c>
      <c r="H385">
        <v>1</v>
      </c>
      <c r="I385" s="16" cm="1">
        <f t="array" ref="I385">_xlfn.IFS(B385=2015,G385/$H$1957,B385=2016,G385/$H$1958,B385=2017,G385/$H$1959,B385=2018,G385/$H$1960,B385=2019,G385/$H$1961,B385=2020,G385/$H$1962,B385=2021,G385/$H$1963,B385=2022,G385/$H$1964,B385=2023,G385/$H$1965)</f>
        <v>6.7326962451517221E-4</v>
      </c>
      <c r="J385" s="10" cm="1">
        <f t="array" ref="J385">_xlfn.IFS(B385=2015,I385*$G$2,B385=2016,I385*$G$3,B385=2017,I385*$G$4,B385=2018,I385*$G$5,B385=2019,I385*$G$6,B385=2020,I385*$G$7,B385=2021,I385*$G$8,B385=2022,I385*$G$9,B385=2023,I385*$G$10)</f>
        <v>167403.49310873554</v>
      </c>
      <c r="K385" s="8">
        <f t="shared" si="5"/>
        <v>1039222.4931087355</v>
      </c>
      <c r="L385">
        <f>IFERROR(VLOOKUP(F385,'LEAID Match'!$A$2:$B$240,2,FALSE),"")</f>
        <v>0</v>
      </c>
    </row>
    <row r="386" spans="1:12" x14ac:dyDescent="0.2">
      <c r="A386">
        <v>0</v>
      </c>
      <c r="B386">
        <v>2016</v>
      </c>
      <c r="C386" s="4" t="s">
        <v>83</v>
      </c>
      <c r="D386" s="4" t="s">
        <v>576</v>
      </c>
      <c r="E386" s="4" t="s">
        <v>578</v>
      </c>
      <c r="F386" s="9" t="s">
        <v>40</v>
      </c>
      <c r="G386" s="8">
        <v>1123970</v>
      </c>
      <c r="H386">
        <v>1</v>
      </c>
      <c r="I386" s="16" cm="1">
        <f t="array" ref="I386">_xlfn.IFS(B386=2015,G386/$H$1957,B386=2016,G386/$H$1958,B386=2017,G386/$H$1959,B386=2018,G386/$H$1960,B386=2019,G386/$H$1961,B386=2020,G386/$H$1962,B386=2021,G386/$H$1963,B386=2022,G386/$H$1964,B386=2023,G386/$H$1965)</f>
        <v>7.8902645949551061E-4</v>
      </c>
      <c r="J386" s="10" cm="1">
        <f t="array" ref="J386">_xlfn.IFS(B386=2015,I386*$G$2,B386=2016,I386*$G$3,B386=2017,I386*$G$4,B386=2018,I386*$G$5,B386=2019,I386*$G$6,B386=2020,I386*$G$7,B386=2021,I386*$G$8,B386=2022,I386*$G$9,B386=2023,I386*$G$10)</f>
        <v>213986.40601667773</v>
      </c>
      <c r="K386" s="8">
        <f t="shared" si="5"/>
        <v>1337956.4060166776</v>
      </c>
      <c r="L386">
        <f>IFERROR(VLOOKUP(F386,'LEAID Match'!$A$2:$B$240,2,FALSE),"")</f>
        <v>0</v>
      </c>
    </row>
    <row r="387" spans="1:12" x14ac:dyDescent="0.2">
      <c r="A387">
        <v>0</v>
      </c>
      <c r="B387">
        <v>2017</v>
      </c>
      <c r="C387" s="4" t="s">
        <v>83</v>
      </c>
      <c r="D387" s="4" t="s">
        <v>576</v>
      </c>
      <c r="E387" s="4" t="s">
        <v>578</v>
      </c>
      <c r="F387" s="9" t="s">
        <v>40</v>
      </c>
      <c r="G387" s="8">
        <v>651892</v>
      </c>
      <c r="H387">
        <v>1</v>
      </c>
      <c r="I387" s="16" cm="1">
        <f t="array" ref="I387">_xlfn.IFS(B387=2015,G387/$H$1957,B387=2016,G387/$H$1958,B387=2017,G387/$H$1959,B387=2018,G387/$H$1960,B387=2019,G387/$H$1961,B387=2020,G387/$H$1962,B387=2021,G387/$H$1963,B387=2022,G387/$H$1964,B387=2023,G387/$H$1965)</f>
        <v>8.6976265536271055E-4</v>
      </c>
      <c r="J387" s="10" cm="1">
        <f t="array" ref="J387">_xlfn.IFS(B387=2015,I387*$G$2,B387=2016,I387*$G$3,B387=2017,I387*$G$4,B387=2018,I387*$G$5,B387=2019,I387*$G$6,B387=2020,I387*$G$7,B387=2021,I387*$G$8,B387=2022,I387*$G$9,B387=2023,I387*$G$10)</f>
        <v>128800.18313272105</v>
      </c>
      <c r="K387" s="8">
        <f t="shared" si="5"/>
        <v>780692.18313272111</v>
      </c>
      <c r="L387">
        <f>IFERROR(VLOOKUP(F387,'LEAID Match'!$A$2:$B$240,2,FALSE),"")</f>
        <v>0</v>
      </c>
    </row>
    <row r="388" spans="1:12" x14ac:dyDescent="0.2">
      <c r="A388">
        <v>0</v>
      </c>
      <c r="B388">
        <v>2018</v>
      </c>
      <c r="C388" s="4" t="s">
        <v>83</v>
      </c>
      <c r="D388" s="4" t="s">
        <v>576</v>
      </c>
      <c r="E388" s="4" t="s">
        <v>578</v>
      </c>
      <c r="F388" s="9" t="s">
        <v>40</v>
      </c>
      <c r="G388" s="8">
        <v>713311</v>
      </c>
      <c r="H388">
        <v>1</v>
      </c>
      <c r="I388" s="16" cm="1">
        <f t="array" ref="I388">_xlfn.IFS(B388=2015,G388/$H$1957,B388=2016,G388/$H$1958,B388=2017,G388/$H$1959,B388=2018,G388/$H$1960,B388=2019,G388/$H$1961,B388=2020,G388/$H$1962,B388=2021,G388/$H$1963,B388=2022,G388/$H$1964,B388=2023,G388/$H$1965)</f>
        <v>9.1782471593409253E-4</v>
      </c>
      <c r="J388" s="10" cm="1">
        <f t="array" ref="J388">_xlfn.IFS(B388=2015,I388*$G$2,B388=2016,I388*$G$3,B388=2017,I388*$G$4,B388=2018,I388*$G$5,B388=2019,I388*$G$6,B388=2020,I388*$G$7,B388=2021,I388*$G$8,B388=2022,I388*$G$9,B388=2023,I388*$G$10)</f>
        <v>138154.57778658494</v>
      </c>
      <c r="K388" s="8">
        <f t="shared" si="5"/>
        <v>851465.57778658497</v>
      </c>
      <c r="L388">
        <f>IFERROR(VLOOKUP(F388,'LEAID Match'!$A$2:$B$240,2,FALSE),"")</f>
        <v>0</v>
      </c>
    </row>
    <row r="389" spans="1:12" x14ac:dyDescent="0.2">
      <c r="A389">
        <v>0</v>
      </c>
      <c r="B389">
        <v>2019</v>
      </c>
      <c r="C389" s="4" t="s">
        <v>83</v>
      </c>
      <c r="D389" s="4" t="s">
        <v>576</v>
      </c>
      <c r="E389" s="4" t="s">
        <v>578</v>
      </c>
      <c r="F389" s="9" t="s">
        <v>40</v>
      </c>
      <c r="G389" s="8">
        <v>738991</v>
      </c>
      <c r="H389">
        <v>1</v>
      </c>
      <c r="I389" s="16" cm="1">
        <f t="array" ref="I389">_xlfn.IFS(B389=2015,G389/$H$1957,B389=2016,G389/$H$1958,B389=2017,G389/$H$1959,B389=2018,G389/$H$1960,B389=2019,G389/$H$1961,B389=2020,G389/$H$1962,B389=2021,G389/$H$1963,B389=2022,G389/$H$1964,B389=2023,G389/$H$1965)</f>
        <v>9.1841554005658876E-4</v>
      </c>
      <c r="J389" s="10" cm="1">
        <f t="array" ref="J389">_xlfn.IFS(B389=2015,I389*$G$2,B389=2016,I389*$G$3,B389=2017,I389*$G$4,B389=2018,I389*$G$5,B389=2019,I389*$G$6,B389=2020,I389*$G$7,B389=2021,I389*$G$8,B389=2022,I389*$G$9,B389=2023,I389*$G$10)</f>
        <v>145135.4830107585</v>
      </c>
      <c r="K389" s="8">
        <f t="shared" si="5"/>
        <v>884126.48301075853</v>
      </c>
      <c r="L389">
        <f>IFERROR(VLOOKUP(F389,'LEAID Match'!$A$2:$B$240,2,FALSE),"")</f>
        <v>0</v>
      </c>
    </row>
    <row r="390" spans="1:12" x14ac:dyDescent="0.2">
      <c r="A390">
        <v>0</v>
      </c>
      <c r="B390">
        <v>2020</v>
      </c>
      <c r="C390" s="4" t="s">
        <v>83</v>
      </c>
      <c r="D390" s="4" t="s">
        <v>576</v>
      </c>
      <c r="E390" s="4" t="s">
        <v>578</v>
      </c>
      <c r="F390" s="9" t="s">
        <v>40</v>
      </c>
      <c r="G390" s="8">
        <v>830113</v>
      </c>
      <c r="H390">
        <v>1</v>
      </c>
      <c r="I390" s="16" cm="1">
        <f t="array" ref="I390">_xlfn.IFS(B390=2015,G390/$H$1957,B390=2016,G390/$H$1958,B390=2017,G390/$H$1959,B390=2018,G390/$H$1960,B390=2019,G390/$H$1961,B390=2020,G390/$H$1962,B390=2021,G390/$H$1963,B390=2022,G390/$H$1964,B390=2023,G390/$H$1965)</f>
        <v>9.5476557077348089E-4</v>
      </c>
      <c r="J390" s="10" cm="1">
        <f t="array" ref="J390">_xlfn.IFS(B390=2015,I390*$G$2,B390=2016,I390*$G$3,B390=2017,I390*$G$4,B390=2018,I390*$G$5,B390=2019,I390*$G$6,B390=2020,I390*$G$7,B390=2021,I390*$G$8,B390=2022,I390*$G$9,B390=2023,I390*$G$10)</f>
        <v>164872.63661829729</v>
      </c>
      <c r="K390" s="8">
        <f t="shared" si="5"/>
        <v>994985.63661829731</v>
      </c>
      <c r="L390">
        <f>IFERROR(VLOOKUP(F390,'LEAID Match'!$A$2:$B$240,2,FALSE),"")</f>
        <v>0</v>
      </c>
    </row>
    <row r="391" spans="1:12" x14ac:dyDescent="0.2">
      <c r="A391">
        <v>0</v>
      </c>
      <c r="B391">
        <v>2021</v>
      </c>
      <c r="C391" s="4" t="s">
        <v>83</v>
      </c>
      <c r="D391" s="4" t="s">
        <v>576</v>
      </c>
      <c r="E391" s="4" t="s">
        <v>578</v>
      </c>
      <c r="F391" s="9" t="s">
        <v>40</v>
      </c>
      <c r="G391" s="8">
        <v>824158</v>
      </c>
      <c r="H391">
        <v>1</v>
      </c>
      <c r="I391" s="16" cm="1">
        <f t="array" ref="I391">_xlfn.IFS(B391=2015,G391/$H$1957,B391=2016,G391/$H$1958,B391=2017,G391/$H$1959,B391=2018,G391/$H$1960,B391=2019,G391/$H$1961,B391=2020,G391/$H$1962,B391=2021,G391/$H$1963,B391=2022,G391/$H$1964,B391=2023,G391/$H$1965)</f>
        <v>9.4184355196450192E-4</v>
      </c>
      <c r="J391" s="10" cm="1">
        <f t="array" ref="J391">_xlfn.IFS(B391=2015,I391*$G$2,B391=2016,I391*$G$3,B391=2017,I391*$G$4,B391=2018,I391*$G$5,B391=2019,I391*$G$6,B391=2020,I391*$G$7,B391=2021,I391*$G$8,B391=2022,I391*$G$9,B391=2023,I391*$G$10)</f>
        <v>161636.21039514939</v>
      </c>
      <c r="K391" s="8">
        <f t="shared" si="5"/>
        <v>985794.21039514942</v>
      </c>
      <c r="L391">
        <f>IFERROR(VLOOKUP(F391,'LEAID Match'!$A$2:$B$240,2,FALSE),"")</f>
        <v>0</v>
      </c>
    </row>
    <row r="392" spans="1:12" x14ac:dyDescent="0.2">
      <c r="A392">
        <v>0</v>
      </c>
      <c r="B392">
        <v>2022</v>
      </c>
      <c r="C392" s="4" t="s">
        <v>83</v>
      </c>
      <c r="D392" s="4" t="s">
        <v>576</v>
      </c>
      <c r="E392" s="4" t="s">
        <v>578</v>
      </c>
      <c r="F392" s="9" t="s">
        <v>40</v>
      </c>
      <c r="G392" s="8">
        <v>930846</v>
      </c>
      <c r="H392">
        <v>1</v>
      </c>
      <c r="I392" s="16" cm="1">
        <f t="array" ref="I392">_xlfn.IFS(B392=2015,G392/$H$1957,B392=2016,G392/$H$1958,B392=2017,G392/$H$1959,B392=2018,G392/$H$1960,B392=2019,G392/$H$1961,B392=2020,G392/$H$1962,B392=2021,G392/$H$1963,B392=2022,G392/$H$1964,B392=2023,G392/$H$1965)</f>
        <v>1.0004754291276922E-3</v>
      </c>
      <c r="J392" s="10" cm="1">
        <f t="array" ref="J392">_xlfn.IFS(B392=2015,I392*$G$2,B392=2016,I392*$G$3,B392=2017,I392*$G$4,B392=2018,I392*$G$5,B392=2019,I392*$G$6,B392=2020,I392*$G$7,B392=2021,I392*$G$8,B392=2022,I392*$G$9,B392=2023,I392*$G$10)</f>
        <v>169666.27495717318</v>
      </c>
      <c r="K392" s="8">
        <f t="shared" si="5"/>
        <v>1100512.2749571733</v>
      </c>
      <c r="L392">
        <f>IFERROR(VLOOKUP(F392,'LEAID Match'!$A$2:$B$240,2,FALSE),"")</f>
        <v>0</v>
      </c>
    </row>
    <row r="393" spans="1:12" x14ac:dyDescent="0.2">
      <c r="A393">
        <v>0</v>
      </c>
      <c r="B393">
        <v>2023</v>
      </c>
      <c r="C393" s="4" t="s">
        <v>83</v>
      </c>
      <c r="D393" s="4" t="s">
        <v>576</v>
      </c>
      <c r="E393" s="4" t="s">
        <v>578</v>
      </c>
      <c r="F393" s="9" t="s">
        <v>40</v>
      </c>
      <c r="G393" s="8">
        <v>1095445</v>
      </c>
      <c r="H393">
        <v>1</v>
      </c>
      <c r="I393" s="16" cm="1">
        <f t="array" ref="I393">_xlfn.IFS(B393=2015,G393/$H$1957,B393=2016,G393/$H$1958,B393=2017,G393/$H$1959,B393=2018,G393/$H$1960,B393=2019,G393/$H$1961,B393=2020,G393/$H$1962,B393=2021,G393/$H$1963,B393=2022,G393/$H$1964,B393=2023,G393/$H$1965)</f>
        <v>1.1091266596381327E-3</v>
      </c>
      <c r="J393" s="10" cm="1">
        <f t="array" ref="J393">_xlfn.IFS(B393=2015,I393*$G$2,B393=2016,I393*$G$3,B393=2017,I393*$G$4,B393=2018,I393*$G$5,B393=2019,I393*$G$6,B393=2020,I393*$G$7,B393=2021,I393*$G$8,B393=2022,I393*$G$9,B393=2023,I393*$G$10)</f>
        <v>188535.24904999242</v>
      </c>
      <c r="K393" s="8">
        <f t="shared" si="5"/>
        <v>1283980.2490499923</v>
      </c>
      <c r="L393">
        <f>IFERROR(VLOOKUP(F393,'LEAID Match'!$A$2:$B$240,2,FALSE),"")</f>
        <v>0</v>
      </c>
    </row>
    <row r="394" spans="1:12" x14ac:dyDescent="0.2">
      <c r="A394">
        <v>0</v>
      </c>
      <c r="B394">
        <v>2015</v>
      </c>
      <c r="C394" s="4" t="s">
        <v>125</v>
      </c>
      <c r="D394" s="4" t="s">
        <v>576</v>
      </c>
      <c r="E394" s="4" t="s">
        <v>578</v>
      </c>
      <c r="F394" s="4" t="s">
        <v>84</v>
      </c>
      <c r="G394" s="8">
        <v>245208</v>
      </c>
      <c r="I394" s="16" cm="1">
        <f t="array" ref="I394">_xlfn.IFS(B394=2015,G394/$H$1957,B394=2016,G394/$H$1958,B394=2017,G394/$H$1959,B394=2018,G394/$H$1960,B394=2019,G394/$H$1961,B394=2020,G394/$H$1962,B394=2021,G394/$H$1963,B394=2022,G394/$H$1964,B394=2023,G394/$H$1965)</f>
        <v>1.8936395982206895E-4</v>
      </c>
      <c r="J394" s="10" cm="1">
        <f t="array" ref="J394">_xlfn.IFS(B394=2015,I394*$G$2,B394=2016,I394*$G$3,B394=2017,I394*$G$4,B394=2018,I394*$G$5,B394=2019,I394*$G$6,B394=2020,I394*$G$7,B394=2021,I394*$G$8,B394=2022,I394*$G$9,B394=2023,I394*$G$10)</f>
        <v>47083.942582355769</v>
      </c>
      <c r="K394" s="8">
        <f t="shared" si="5"/>
        <v>292291.94258235575</v>
      </c>
      <c r="L394">
        <f>IFERROR(VLOOKUP(F394,'LEAID Match'!$A$2:$B$240,2,FALSE),"")</f>
        <v>0</v>
      </c>
    </row>
    <row r="395" spans="1:12" x14ac:dyDescent="0.2">
      <c r="A395">
        <v>0</v>
      </c>
      <c r="B395">
        <v>2016</v>
      </c>
      <c r="C395" s="4" t="s">
        <v>125</v>
      </c>
      <c r="D395" s="4" t="s">
        <v>576</v>
      </c>
      <c r="E395" s="4" t="s">
        <v>578</v>
      </c>
      <c r="F395" s="4" t="s">
        <v>84</v>
      </c>
      <c r="G395" s="8">
        <v>326940</v>
      </c>
      <c r="I395" s="16" cm="1">
        <f t="array" ref="I395">_xlfn.IFS(B395=2015,G395/$H$1957,B395=2016,G395/$H$1958,B395=2017,G395/$H$1959,B395=2018,G395/$H$1960,B395=2019,G395/$H$1961,B395=2020,G395/$H$1962,B395=2021,G395/$H$1963,B395=2022,G395/$H$1964,B395=2023,G395/$H$1965)</f>
        <v>2.295117402310224E-4</v>
      </c>
      <c r="J395" s="10" cm="1">
        <f t="array" ref="J395">_xlfn.IFS(B395=2015,I395*$G$2,B395=2016,I395*$G$3,B395=2017,I395*$G$4,B395=2018,I395*$G$5,B395=2019,I395*$G$6,B395=2020,I395*$G$7,B395=2021,I395*$G$8,B395=2022,I395*$G$9,B395=2023,I395*$G$10)</f>
        <v>62244.290846813186</v>
      </c>
      <c r="K395" s="8">
        <f t="shared" si="5"/>
        <v>389184.29084681318</v>
      </c>
      <c r="L395">
        <f>IFERROR(VLOOKUP(F395,'LEAID Match'!$A$2:$B$240,2,FALSE),"")</f>
        <v>0</v>
      </c>
    </row>
    <row r="396" spans="1:12" x14ac:dyDescent="0.2">
      <c r="A396">
        <v>0</v>
      </c>
      <c r="B396">
        <v>2017</v>
      </c>
      <c r="C396" s="4" t="s">
        <v>125</v>
      </c>
      <c r="D396" s="4" t="s">
        <v>576</v>
      </c>
      <c r="E396" s="4" t="s">
        <v>578</v>
      </c>
      <c r="F396" s="4" t="s">
        <v>84</v>
      </c>
      <c r="G396" s="8">
        <v>176433</v>
      </c>
      <c r="I396" s="16" cm="1">
        <f t="array" ref="I396">_xlfn.IFS(B396=2015,G396/$H$1957,B396=2016,G396/$H$1958,B396=2017,G396/$H$1959,B396=2018,G396/$H$1960,B396=2019,G396/$H$1961,B396=2020,G396/$H$1962,B396=2021,G396/$H$1963,B396=2022,G396/$H$1964,B396=2023,G396/$H$1965)</f>
        <v>2.3539916822665273E-4</v>
      </c>
      <c r="J396" s="10" cm="1">
        <f t="array" ref="J396">_xlfn.IFS(B396=2015,I396*$G$2,B396=2016,I396*$G$3,B396=2017,I396*$G$4,B396=2018,I396*$G$5,B396=2019,I396*$G$6,B396=2020,I396*$G$7,B396=2021,I396*$G$8,B396=2022,I396*$G$9,B396=2023,I396*$G$10)</f>
        <v>34859.459405323847</v>
      </c>
      <c r="K396" s="8">
        <f t="shared" ref="K396:K459" si="6">SUM(G396,J396)</f>
        <v>211292.45940532384</v>
      </c>
      <c r="L396">
        <f>IFERROR(VLOOKUP(F396,'LEAID Match'!$A$2:$B$240,2,FALSE),"")</f>
        <v>0</v>
      </c>
    </row>
    <row r="397" spans="1:12" x14ac:dyDescent="0.2">
      <c r="A397">
        <v>0</v>
      </c>
      <c r="B397">
        <v>2018</v>
      </c>
      <c r="C397" s="4" t="s">
        <v>125</v>
      </c>
      <c r="D397" s="4" t="s">
        <v>576</v>
      </c>
      <c r="E397" s="4" t="s">
        <v>578</v>
      </c>
      <c r="F397" s="4" t="s">
        <v>84</v>
      </c>
      <c r="G397" s="8">
        <v>181602</v>
      </c>
      <c r="I397" s="16" cm="1">
        <f t="array" ref="I397">_xlfn.IFS(B397=2015,G397/$H$1957,B397=2016,G397/$H$1958,B397=2017,G397/$H$1959,B397=2018,G397/$H$1960,B397=2019,G397/$H$1961,B397=2020,G397/$H$1962,B397=2021,G397/$H$1963,B397=2022,G397/$H$1964,B397=2023,G397/$H$1965)</f>
        <v>2.3366919066587097E-4</v>
      </c>
      <c r="J397" s="10" cm="1">
        <f t="array" ref="J397">_xlfn.IFS(B397=2015,I397*$G$2,B397=2016,I397*$G$3,B397=2017,I397*$G$4,B397=2018,I397*$G$5,B397=2019,I397*$G$6,B397=2020,I397*$G$7,B397=2021,I397*$G$8,B397=2022,I397*$G$9,B397=2023,I397*$G$10)</f>
        <v>35172.803496931068</v>
      </c>
      <c r="K397" s="8">
        <f t="shared" si="6"/>
        <v>216774.80349693107</v>
      </c>
      <c r="L397">
        <f>IFERROR(VLOOKUP(F397,'LEAID Match'!$A$2:$B$240,2,FALSE),"")</f>
        <v>0</v>
      </c>
    </row>
    <row r="398" spans="1:12" x14ac:dyDescent="0.2">
      <c r="A398">
        <v>0</v>
      </c>
      <c r="B398">
        <v>2019</v>
      </c>
      <c r="C398" s="4" t="s">
        <v>125</v>
      </c>
      <c r="D398" s="4" t="s">
        <v>576</v>
      </c>
      <c r="E398" s="4" t="s">
        <v>578</v>
      </c>
      <c r="F398" s="4" t="s">
        <v>84</v>
      </c>
      <c r="G398" s="8">
        <v>168655</v>
      </c>
      <c r="I398" s="16" cm="1">
        <f t="array" ref="I398">_xlfn.IFS(B398=2015,G398/$H$1957,B398=2016,G398/$H$1958,B398=2017,G398/$H$1959,B398=2018,G398/$H$1960,B398=2019,G398/$H$1961,B398=2020,G398/$H$1962,B398=2021,G398/$H$1963,B398=2022,G398/$H$1964,B398=2023,G398/$H$1965)</f>
        <v>2.0960386920577381E-4</v>
      </c>
      <c r="J398" s="10" cm="1">
        <f t="array" ref="J398">_xlfn.IFS(B398=2015,I398*$G$2,B398=2016,I398*$G$3,B398=2017,I398*$G$4,B398=2018,I398*$G$5,B398=2019,I398*$G$6,B398=2020,I398*$G$7,B398=2021,I398*$G$8,B398=2022,I398*$G$9,B398=2023,I398*$G$10)</f>
        <v>33123.305814522064</v>
      </c>
      <c r="K398" s="8">
        <f t="shared" si="6"/>
        <v>201778.30581452206</v>
      </c>
      <c r="L398">
        <f>IFERROR(VLOOKUP(F398,'LEAID Match'!$A$2:$B$240,2,FALSE),"")</f>
        <v>0</v>
      </c>
    </row>
    <row r="399" spans="1:12" x14ac:dyDescent="0.2">
      <c r="A399">
        <v>0</v>
      </c>
      <c r="B399">
        <v>2020</v>
      </c>
      <c r="C399" s="4" t="s">
        <v>125</v>
      </c>
      <c r="D399" s="4" t="s">
        <v>576</v>
      </c>
      <c r="E399" s="4" t="s">
        <v>578</v>
      </c>
      <c r="F399" s="4" t="s">
        <v>84</v>
      </c>
      <c r="G399" s="8">
        <v>171761</v>
      </c>
      <c r="I399" s="16" cm="1">
        <f t="array" ref="I399">_xlfn.IFS(B399=2015,G399/$H$1957,B399=2016,G399/$H$1958,B399=2017,G399/$H$1959,B399=2018,G399/$H$1960,B399=2019,G399/$H$1961,B399=2020,G399/$H$1962,B399=2021,G399/$H$1963,B399=2022,G399/$H$1964,B399=2023,G399/$H$1965)</f>
        <v>1.975532116731383E-4</v>
      </c>
      <c r="J399" s="10" cm="1">
        <f t="array" ref="J399">_xlfn.IFS(B399=2015,I399*$G$2,B399=2016,I399*$G$3,B399=2017,I399*$G$4,B399=2018,I399*$G$5,B399=2019,I399*$G$6,B399=2020,I399*$G$7,B399=2021,I399*$G$8,B399=2022,I399*$G$9,B399=2023,I399*$G$10)</f>
        <v>34114.257863923776</v>
      </c>
      <c r="K399" s="8">
        <f t="shared" si="6"/>
        <v>205875.25786392379</v>
      </c>
      <c r="L399">
        <f>IFERROR(VLOOKUP(F399,'LEAID Match'!$A$2:$B$240,2,FALSE),"")</f>
        <v>0</v>
      </c>
    </row>
    <row r="400" spans="1:12" x14ac:dyDescent="0.2">
      <c r="A400">
        <v>0</v>
      </c>
      <c r="B400">
        <v>2021</v>
      </c>
      <c r="C400" s="4" t="s">
        <v>125</v>
      </c>
      <c r="D400" s="4" t="s">
        <v>576</v>
      </c>
      <c r="E400" s="4" t="s">
        <v>578</v>
      </c>
      <c r="F400" s="4" t="s">
        <v>84</v>
      </c>
      <c r="G400" s="8">
        <v>129864</v>
      </c>
      <c r="I400" s="16" cm="1">
        <f t="array" ref="I400">_xlfn.IFS(B400=2015,G400/$H$1957,B400=2016,G400/$H$1958,B400=2017,G400/$H$1959,B400=2018,G400/$H$1960,B400=2019,G400/$H$1961,B400=2020,G400/$H$1962,B400=2021,G400/$H$1963,B400=2022,G400/$H$1964,B400=2023,G400/$H$1965)</f>
        <v>1.4840791575440398E-4</v>
      </c>
      <c r="J400" s="10" cm="1">
        <f t="array" ref="J400">_xlfn.IFS(B400=2015,I400*$G$2,B400=2016,I400*$G$3,B400=2017,I400*$G$4,B400=2018,I400*$G$5,B400=2019,I400*$G$6,B400=2020,I400*$G$7,B400=2021,I400*$G$8,B400=2022,I400*$G$9,B400=2023,I400*$G$10)</f>
        <v>25469.296939125365</v>
      </c>
      <c r="K400" s="8">
        <f t="shared" si="6"/>
        <v>155333.29693912537</v>
      </c>
      <c r="L400">
        <f>IFERROR(VLOOKUP(F400,'LEAID Match'!$A$2:$B$240,2,FALSE),"")</f>
        <v>0</v>
      </c>
    </row>
    <row r="401" spans="1:12" x14ac:dyDescent="0.2">
      <c r="A401">
        <v>0</v>
      </c>
      <c r="B401">
        <v>2022</v>
      </c>
      <c r="C401" s="4" t="s">
        <v>125</v>
      </c>
      <c r="D401" s="4" t="s">
        <v>576</v>
      </c>
      <c r="E401" s="4" t="s">
        <v>578</v>
      </c>
      <c r="F401" s="4" t="s">
        <v>84</v>
      </c>
      <c r="G401" s="8">
        <v>155222</v>
      </c>
      <c r="I401" s="16" cm="1">
        <f t="array" ref="I401">_xlfn.IFS(B401=2015,G401/$H$1957,B401=2016,G401/$H$1958,B401=2017,G401/$H$1959,B401=2018,G401/$H$1960,B401=2019,G401/$H$1961,B401=2020,G401/$H$1962,B401=2021,G401/$H$1963,B401=2022,G401/$H$1964,B401=2023,G401/$H$1965)</f>
        <v>1.6683296384155773E-4</v>
      </c>
      <c r="J401" s="10" cm="1">
        <f t="array" ref="J401">_xlfn.IFS(B401=2015,I401*$G$2,B401=2016,I401*$G$3,B401=2017,I401*$G$4,B401=2018,I401*$G$5,B401=2019,I401*$G$6,B401=2020,I401*$G$7,B401=2021,I401*$G$8,B401=2022,I401*$G$9,B401=2023,I401*$G$10)</f>
        <v>28292.476447664099</v>
      </c>
      <c r="K401" s="8">
        <f t="shared" si="6"/>
        <v>183514.47644766408</v>
      </c>
      <c r="L401">
        <f>IFERROR(VLOOKUP(F401,'LEAID Match'!$A$2:$B$240,2,FALSE),"")</f>
        <v>0</v>
      </c>
    </row>
    <row r="402" spans="1:12" x14ac:dyDescent="0.2">
      <c r="A402">
        <v>0</v>
      </c>
      <c r="B402">
        <v>2023</v>
      </c>
      <c r="C402" s="4" t="s">
        <v>125</v>
      </c>
      <c r="D402" s="4" t="s">
        <v>576</v>
      </c>
      <c r="E402" s="4" t="s">
        <v>578</v>
      </c>
      <c r="F402" s="4" t="s">
        <v>84</v>
      </c>
      <c r="G402" s="8">
        <v>176016</v>
      </c>
      <c r="I402" s="16" cm="1">
        <f t="array" ref="I402">_xlfn.IFS(B402=2015,G402/$H$1957,B402=2016,G402/$H$1958,B402=2017,G402/$H$1959,B402=2018,G402/$H$1960,B402=2019,G402/$H$1961,B402=2020,G402/$H$1962,B402=2021,G402/$H$1963,B402=2022,G402/$H$1964,B402=2023,G402/$H$1965)</f>
        <v>1.7821436778922315E-4</v>
      </c>
      <c r="J402" s="10" cm="1">
        <f t="array" ref="J402">_xlfn.IFS(B402=2015,I402*$G$2,B402=2016,I402*$G$3,B402=2017,I402*$G$4,B402=2018,I402*$G$5,B402=2019,I402*$G$6,B402=2020,I402*$G$7,B402=2021,I402*$G$8,B402=2022,I402*$G$9,B402=2023,I402*$G$10)</f>
        <v>30293.826159034423</v>
      </c>
      <c r="K402" s="8">
        <f t="shared" si="6"/>
        <v>206309.82615903442</v>
      </c>
      <c r="L402">
        <f>IFERROR(VLOOKUP(F402,'LEAID Match'!$A$2:$B$240,2,FALSE),"")</f>
        <v>0</v>
      </c>
    </row>
    <row r="403" spans="1:12" x14ac:dyDescent="0.2">
      <c r="A403">
        <v>0</v>
      </c>
      <c r="B403">
        <v>2015</v>
      </c>
      <c r="C403" s="4" t="s">
        <v>126</v>
      </c>
      <c r="D403" s="4" t="s">
        <v>576</v>
      </c>
      <c r="E403" s="4" t="s">
        <v>578</v>
      </c>
      <c r="F403" s="4" t="s">
        <v>85</v>
      </c>
      <c r="G403" s="8">
        <v>1599402</v>
      </c>
      <c r="I403" s="16" cm="1">
        <f t="array" ref="I403">_xlfn.IFS(B403=2015,G403/$H$1957,B403=2016,G403/$H$1958,B403=2017,G403/$H$1959,B403=2018,G403/$H$1960,B403=2019,G403/$H$1961,B403=2020,G403/$H$1962,B403=2021,G403/$H$1963,B403=2022,G403/$H$1964,B403=2023,G403/$H$1965)</f>
        <v>1.2351517734630873E-3</v>
      </c>
      <c r="J403" s="10" cm="1">
        <f t="array" ref="J403">_xlfn.IFS(B403=2015,I403*$G$2,B403=2016,I403*$G$3,B403=2017,I403*$G$4,B403=2018,I403*$G$5,B403=2019,I403*$G$6,B403=2020,I403*$G$7,B403=2021,I403*$G$8,B403=2022,I403*$G$9,B403=2023,I403*$G$10)</f>
        <v>307111.3174696787</v>
      </c>
      <c r="K403" s="8">
        <f t="shared" si="6"/>
        <v>1906513.3174696788</v>
      </c>
      <c r="L403">
        <f>IFERROR(VLOOKUP(F403,'LEAID Match'!$A$2:$B$240,2,FALSE),"")</f>
        <v>0</v>
      </c>
    </row>
    <row r="404" spans="1:12" x14ac:dyDescent="0.2">
      <c r="A404">
        <v>0</v>
      </c>
      <c r="B404">
        <v>2016</v>
      </c>
      <c r="C404" s="4" t="s">
        <v>126</v>
      </c>
      <c r="D404" s="4" t="s">
        <v>576</v>
      </c>
      <c r="E404" s="4" t="s">
        <v>578</v>
      </c>
      <c r="F404" s="4" t="s">
        <v>85</v>
      </c>
      <c r="G404" s="8">
        <v>1774231</v>
      </c>
      <c r="I404" s="16" cm="1">
        <f t="array" ref="I404">_xlfn.IFS(B404=2015,G404/$H$1957,B404=2016,G404/$H$1958,B404=2017,G404/$H$1959,B404=2018,G404/$H$1960,B404=2019,G404/$H$1961,B404=2020,G404/$H$1962,B404=2021,G404/$H$1963,B404=2022,G404/$H$1964,B404=2023,G404/$H$1965)</f>
        <v>1.2455094035047013E-3</v>
      </c>
      <c r="J404" s="10" cm="1">
        <f t="array" ref="J404">_xlfn.IFS(B404=2015,I404*$G$2,B404=2016,I404*$G$3,B404=2017,I404*$G$4,B404=2018,I404*$G$5,B404=2019,I404*$G$6,B404=2020,I404*$G$7,B404=2021,I404*$G$8,B404=2022,I404*$G$9,B404=2023,I404*$G$10)</f>
        <v>337785.98639943782</v>
      </c>
      <c r="K404" s="8">
        <f t="shared" si="6"/>
        <v>2112016.9863994378</v>
      </c>
      <c r="L404">
        <f>IFERROR(VLOOKUP(F404,'LEAID Match'!$A$2:$B$240,2,FALSE),"")</f>
        <v>0</v>
      </c>
    </row>
    <row r="405" spans="1:12" x14ac:dyDescent="0.2">
      <c r="A405">
        <v>0</v>
      </c>
      <c r="B405">
        <v>2017</v>
      </c>
      <c r="C405" s="4" t="s">
        <v>126</v>
      </c>
      <c r="D405" s="4" t="s">
        <v>576</v>
      </c>
      <c r="E405" s="4" t="s">
        <v>578</v>
      </c>
      <c r="F405" s="4" t="s">
        <v>85</v>
      </c>
      <c r="G405" s="8">
        <v>1020451</v>
      </c>
      <c r="I405" s="16" cm="1">
        <f t="array" ref="I405">_xlfn.IFS(B405=2015,G405/$H$1957,B405=2016,G405/$H$1958,B405=2017,G405/$H$1959,B405=2018,G405/$H$1960,B405=2019,G405/$H$1961,B405=2020,G405/$H$1962,B405=2021,G405/$H$1963,B405=2022,G405/$H$1964,B405=2023,G405/$H$1965)</f>
        <v>1.3614987934006451E-3</v>
      </c>
      <c r="J405" s="10" cm="1">
        <f t="array" ref="J405">_xlfn.IFS(B405=2015,I405*$G$2,B405=2016,I405*$G$3,B405=2017,I405*$G$4,B405=2018,I405*$G$5,B405=2019,I405*$G$6,B405=2020,I405*$G$7,B405=2021,I405*$G$8,B405=2022,I405*$G$9,B405=2023,I405*$G$10)</f>
        <v>201619.70951931967</v>
      </c>
      <c r="K405" s="8">
        <f t="shared" si="6"/>
        <v>1222070.7095193197</v>
      </c>
      <c r="L405">
        <f>IFERROR(VLOOKUP(F405,'LEAID Match'!$A$2:$B$240,2,FALSE),"")</f>
        <v>0</v>
      </c>
    </row>
    <row r="406" spans="1:12" x14ac:dyDescent="0.2">
      <c r="A406">
        <v>0</v>
      </c>
      <c r="B406">
        <v>2018</v>
      </c>
      <c r="C406" s="4" t="s">
        <v>126</v>
      </c>
      <c r="D406" s="4" t="s">
        <v>576</v>
      </c>
      <c r="E406" s="4" t="s">
        <v>578</v>
      </c>
      <c r="F406" s="4" t="s">
        <v>85</v>
      </c>
      <c r="G406" s="8">
        <v>12667</v>
      </c>
      <c r="I406" s="16" cm="1">
        <f t="array" ref="I406">_xlfn.IFS(B406=2015,G406/$H$1957,B406=2016,G406/$H$1958,B406=2017,G406/$H$1959,B406=2018,G406/$H$1960,B406=2019,G406/$H$1961,B406=2020,G406/$H$1962,B406=2021,G406/$H$1963,B406=2022,G406/$H$1964,B406=2023,G406/$H$1965)</f>
        <v>1.6298761237016042E-5</v>
      </c>
      <c r="J406" s="10" cm="1">
        <f t="array" ref="J406">_xlfn.IFS(B406=2015,I406*$G$2,B406=2016,I406*$G$3,B406=2017,I406*$G$4,B406=2018,I406*$G$5,B406=2019,I406*$G$6,B406=2020,I406*$G$7,B406=2021,I406*$G$8,B406=2022,I406*$G$9,B406=2023,I406*$G$10)</f>
        <v>2453.3534977347485</v>
      </c>
      <c r="K406" s="8">
        <f t="shared" si="6"/>
        <v>15120.353497734748</v>
      </c>
      <c r="L406">
        <f>IFERROR(VLOOKUP(F406,'LEAID Match'!$A$2:$B$240,2,FALSE),"")</f>
        <v>0</v>
      </c>
    </row>
    <row r="407" spans="1:12" x14ac:dyDescent="0.2">
      <c r="A407">
        <v>0</v>
      </c>
      <c r="B407">
        <v>2019</v>
      </c>
      <c r="C407" s="4" t="s">
        <v>126</v>
      </c>
      <c r="D407" s="4" t="s">
        <v>576</v>
      </c>
      <c r="E407" s="4" t="s">
        <v>578</v>
      </c>
      <c r="F407" s="4" t="s">
        <v>85</v>
      </c>
      <c r="I407" s="16" cm="1">
        <f t="array" ref="I407">_xlfn.IFS(B407=2015,G407/$H$1957,B407=2016,G407/$H$1958,B407=2017,G407/$H$1959,B407=2018,G407/$H$1960,B407=2019,G407/$H$1961,B407=2020,G407/$H$1962,B407=2021,G407/$H$1963,B407=2022,G407/$H$1964,B407=2023,G407/$H$1965)</f>
        <v>0</v>
      </c>
      <c r="J407" s="10" cm="1">
        <f t="array" ref="J407">_xlfn.IFS(B407=2015,I407*$G$2,B407=2016,I407*$G$3,B407=2017,I407*$G$4,B407=2018,I407*$G$5,B407=2019,I407*$G$6,B407=2020,I407*$G$7,B407=2021,I407*$G$8,B407=2022,I407*$G$9,B407=2023,I407*$G$10)</f>
        <v>0</v>
      </c>
      <c r="K407" s="8">
        <f t="shared" si="6"/>
        <v>0</v>
      </c>
      <c r="L407">
        <f>IFERROR(VLOOKUP(F407,'LEAID Match'!$A$2:$B$240,2,FALSE),"")</f>
        <v>0</v>
      </c>
    </row>
    <row r="408" spans="1:12" x14ac:dyDescent="0.2">
      <c r="A408">
        <v>0</v>
      </c>
      <c r="B408">
        <v>2020</v>
      </c>
      <c r="C408" s="4" t="s">
        <v>126</v>
      </c>
      <c r="D408" s="4" t="s">
        <v>576</v>
      </c>
      <c r="E408" s="4" t="s">
        <v>578</v>
      </c>
      <c r="F408" s="4" t="s">
        <v>85</v>
      </c>
      <c r="I408" s="16" cm="1">
        <f t="array" ref="I408">_xlfn.IFS(B408=2015,G408/$H$1957,B408=2016,G408/$H$1958,B408=2017,G408/$H$1959,B408=2018,G408/$H$1960,B408=2019,G408/$H$1961,B408=2020,G408/$H$1962,B408=2021,G408/$H$1963,B408=2022,G408/$H$1964,B408=2023,G408/$H$1965)</f>
        <v>0</v>
      </c>
      <c r="J408" s="10" cm="1">
        <f t="array" ref="J408">_xlfn.IFS(B408=2015,I408*$G$2,B408=2016,I408*$G$3,B408=2017,I408*$G$4,B408=2018,I408*$G$5,B408=2019,I408*$G$6,B408=2020,I408*$G$7,B408=2021,I408*$G$8,B408=2022,I408*$G$9,B408=2023,I408*$G$10)</f>
        <v>0</v>
      </c>
      <c r="K408" s="8">
        <f t="shared" si="6"/>
        <v>0</v>
      </c>
      <c r="L408">
        <f>IFERROR(VLOOKUP(F408,'LEAID Match'!$A$2:$B$240,2,FALSE),"")</f>
        <v>0</v>
      </c>
    </row>
    <row r="409" spans="1:12" x14ac:dyDescent="0.2">
      <c r="A409">
        <v>0</v>
      </c>
      <c r="B409">
        <v>2021</v>
      </c>
      <c r="C409" s="4" t="s">
        <v>126</v>
      </c>
      <c r="D409" s="4" t="s">
        <v>576</v>
      </c>
      <c r="E409" s="4" t="s">
        <v>578</v>
      </c>
      <c r="F409" s="4" t="s">
        <v>85</v>
      </c>
      <c r="I409" s="16" cm="1">
        <f t="array" ref="I409">_xlfn.IFS(B409=2015,G409/$H$1957,B409=2016,G409/$H$1958,B409=2017,G409/$H$1959,B409=2018,G409/$H$1960,B409=2019,G409/$H$1961,B409=2020,G409/$H$1962,B409=2021,G409/$H$1963,B409=2022,G409/$H$1964,B409=2023,G409/$H$1965)</f>
        <v>0</v>
      </c>
      <c r="J409" s="10" cm="1">
        <f t="array" ref="J409">_xlfn.IFS(B409=2015,I409*$G$2,B409=2016,I409*$G$3,B409=2017,I409*$G$4,B409=2018,I409*$G$5,B409=2019,I409*$G$6,B409=2020,I409*$G$7,B409=2021,I409*$G$8,B409=2022,I409*$G$9,B409=2023,I409*$G$10)</f>
        <v>0</v>
      </c>
      <c r="K409" s="8">
        <f t="shared" si="6"/>
        <v>0</v>
      </c>
      <c r="L409">
        <f>IFERROR(VLOOKUP(F409,'LEAID Match'!$A$2:$B$240,2,FALSE),"")</f>
        <v>0</v>
      </c>
    </row>
    <row r="410" spans="1:12" x14ac:dyDescent="0.2">
      <c r="A410">
        <v>0</v>
      </c>
      <c r="B410">
        <v>2022</v>
      </c>
      <c r="C410" s="4" t="s">
        <v>126</v>
      </c>
      <c r="D410" s="4" t="s">
        <v>576</v>
      </c>
      <c r="E410" s="4" t="s">
        <v>578</v>
      </c>
      <c r="F410" s="4" t="s">
        <v>85</v>
      </c>
      <c r="I410" s="16" cm="1">
        <f t="array" ref="I410">_xlfn.IFS(B410=2015,G410/$H$1957,B410=2016,G410/$H$1958,B410=2017,G410/$H$1959,B410=2018,G410/$H$1960,B410=2019,G410/$H$1961,B410=2020,G410/$H$1962,B410=2021,G410/$H$1963,B410=2022,G410/$H$1964,B410=2023,G410/$H$1965)</f>
        <v>0</v>
      </c>
      <c r="J410" s="10" cm="1">
        <f t="array" ref="J410">_xlfn.IFS(B410=2015,I410*$G$2,B410=2016,I410*$G$3,B410=2017,I410*$G$4,B410=2018,I410*$G$5,B410=2019,I410*$G$6,B410=2020,I410*$G$7,B410=2021,I410*$G$8,B410=2022,I410*$G$9,B410=2023,I410*$G$10)</f>
        <v>0</v>
      </c>
      <c r="K410" s="8">
        <f t="shared" si="6"/>
        <v>0</v>
      </c>
      <c r="L410">
        <f>IFERROR(VLOOKUP(F410,'LEAID Match'!$A$2:$B$240,2,FALSE),"")</f>
        <v>0</v>
      </c>
    </row>
    <row r="411" spans="1:12" x14ac:dyDescent="0.2">
      <c r="A411">
        <v>0</v>
      </c>
      <c r="B411">
        <v>2023</v>
      </c>
      <c r="C411" s="4" t="s">
        <v>126</v>
      </c>
      <c r="D411" s="4" t="s">
        <v>576</v>
      </c>
      <c r="E411" s="4" t="s">
        <v>578</v>
      </c>
      <c r="F411" s="4" t="s">
        <v>85</v>
      </c>
      <c r="I411" s="16" cm="1">
        <f t="array" ref="I411">_xlfn.IFS(B411=2015,G411/$H$1957,B411=2016,G411/$H$1958,B411=2017,G411/$H$1959,B411=2018,G411/$H$1960,B411=2019,G411/$H$1961,B411=2020,G411/$H$1962,B411=2021,G411/$H$1963,B411=2022,G411/$H$1964,B411=2023,G411/$H$1965)</f>
        <v>0</v>
      </c>
      <c r="J411" s="10" cm="1">
        <f t="array" ref="J411">_xlfn.IFS(B411=2015,I411*$G$2,B411=2016,I411*$G$3,B411=2017,I411*$G$4,B411=2018,I411*$G$5,B411=2019,I411*$G$6,B411=2020,I411*$G$7,B411=2021,I411*$G$8,B411=2022,I411*$G$9,B411=2023,I411*$G$10)</f>
        <v>0</v>
      </c>
      <c r="K411" s="8">
        <f t="shared" si="6"/>
        <v>0</v>
      </c>
      <c r="L411">
        <f>IFERROR(VLOOKUP(F411,'LEAID Match'!$A$2:$B$240,2,FALSE),"")</f>
        <v>0</v>
      </c>
    </row>
    <row r="412" spans="1:12" x14ac:dyDescent="0.2">
      <c r="A412">
        <v>0</v>
      </c>
      <c r="B412">
        <v>2015</v>
      </c>
      <c r="C412" s="4" t="s">
        <v>127</v>
      </c>
      <c r="D412" s="4" t="s">
        <v>576</v>
      </c>
      <c r="E412" s="4" t="s">
        <v>578</v>
      </c>
      <c r="F412" s="4" t="s">
        <v>86</v>
      </c>
      <c r="G412" s="8">
        <v>663739</v>
      </c>
      <c r="I412" s="16" cm="1">
        <f t="array" ref="I412">_xlfn.IFS(B412=2015,G412/$H$1957,B412=2016,G412/$H$1958,B412=2017,G412/$H$1959,B412=2018,G412/$H$1960,B412=2019,G412/$H$1961,B412=2020,G412/$H$1962,B412=2021,G412/$H$1963,B412=2022,G412/$H$1964,B412=2023,G412/$H$1965)</f>
        <v>5.1257807791075421E-4</v>
      </c>
      <c r="J412" s="10" cm="1">
        <f t="array" ref="J412">_xlfn.IFS(B412=2015,I412*$G$2,B412=2016,I412*$G$3,B412=2017,I412*$G$4,B412=2018,I412*$G$5,B412=2019,I412*$G$6,B412=2020,I412*$G$7,B412=2021,I412*$G$8,B412=2022,I412*$G$9,B412=2023,I412*$G$10)</f>
        <v>127448.73318028054</v>
      </c>
      <c r="K412" s="8">
        <f t="shared" si="6"/>
        <v>791187.73318028054</v>
      </c>
      <c r="L412">
        <f>IFERROR(VLOOKUP(F412,'LEAID Match'!$A$2:$B$240,2,FALSE),"")</f>
        <v>0</v>
      </c>
    </row>
    <row r="413" spans="1:12" x14ac:dyDescent="0.2">
      <c r="A413">
        <v>0</v>
      </c>
      <c r="B413">
        <v>2016</v>
      </c>
      <c r="C413" s="4" t="s">
        <v>127</v>
      </c>
      <c r="D413" s="4" t="s">
        <v>576</v>
      </c>
      <c r="E413" s="4" t="s">
        <v>578</v>
      </c>
      <c r="F413" s="4" t="s">
        <v>86</v>
      </c>
      <c r="G413" s="8">
        <v>714341</v>
      </c>
      <c r="I413" s="16" cm="1">
        <f t="array" ref="I413">_xlfn.IFS(B413=2015,G413/$H$1957,B413=2016,G413/$H$1958,B413=2017,G413/$H$1959,B413=2018,G413/$H$1960,B413=2019,G413/$H$1961,B413=2020,G413/$H$1962,B413=2021,G413/$H$1963,B413=2022,G413/$H$1964,B413=2023,G413/$H$1965)</f>
        <v>5.0146707661457386E-4</v>
      </c>
      <c r="J413" s="10" cm="1">
        <f t="array" ref="J413">_xlfn.IFS(B413=2015,I413*$G$2,B413=2016,I413*$G$3,B413=2017,I413*$G$4,B413=2018,I413*$G$5,B413=2019,I413*$G$6,B413=2020,I413*$G$7,B413=2021,I413*$G$8,B413=2022,I413*$G$9,B413=2023,I413*$G$10)</f>
        <v>135999.41569646841</v>
      </c>
      <c r="K413" s="8">
        <f t="shared" si="6"/>
        <v>850340.41569646844</v>
      </c>
      <c r="L413">
        <f>IFERROR(VLOOKUP(F413,'LEAID Match'!$A$2:$B$240,2,FALSE),"")</f>
        <v>0</v>
      </c>
    </row>
    <row r="414" spans="1:12" x14ac:dyDescent="0.2">
      <c r="A414">
        <v>0</v>
      </c>
      <c r="B414">
        <v>2017</v>
      </c>
      <c r="C414" s="4" t="s">
        <v>127</v>
      </c>
      <c r="D414" s="4" t="s">
        <v>576</v>
      </c>
      <c r="E414" s="4" t="s">
        <v>578</v>
      </c>
      <c r="F414" s="4" t="s">
        <v>86</v>
      </c>
      <c r="G414" s="8">
        <v>375068</v>
      </c>
      <c r="I414" s="16" cm="1">
        <f t="array" ref="I414">_xlfn.IFS(B414=2015,G414/$H$1957,B414=2016,G414/$H$1958,B414=2017,G414/$H$1959,B414=2018,G414/$H$1960,B414=2019,G414/$H$1961,B414=2020,G414/$H$1962,B414=2021,G414/$H$1963,B414=2022,G414/$H$1964,B414=2023,G414/$H$1965)</f>
        <v>5.004205292005135E-4</v>
      </c>
      <c r="J414" s="10" cm="1">
        <f t="array" ref="J414">_xlfn.IFS(B414=2015,I414*$G$2,B414=2016,I414*$G$3,B414=2017,I414*$G$4,B414=2018,I414*$G$5,B414=2019,I414*$G$6,B414=2020,I414*$G$7,B414=2021,I414*$G$8,B414=2022,I414*$G$9,B414=2023,I414*$G$10)</f>
        <v>74105.568234037884</v>
      </c>
      <c r="K414" s="8">
        <f t="shared" si="6"/>
        <v>449173.5682340379</v>
      </c>
      <c r="L414">
        <f>IFERROR(VLOOKUP(F414,'LEAID Match'!$A$2:$B$240,2,FALSE),"")</f>
        <v>0</v>
      </c>
    </row>
    <row r="415" spans="1:12" x14ac:dyDescent="0.2">
      <c r="A415">
        <v>0</v>
      </c>
      <c r="B415">
        <v>2018</v>
      </c>
      <c r="C415" s="4" t="s">
        <v>127</v>
      </c>
      <c r="D415" s="4" t="s">
        <v>576</v>
      </c>
      <c r="E415" s="4" t="s">
        <v>578</v>
      </c>
      <c r="F415" s="4" t="s">
        <v>86</v>
      </c>
      <c r="G415" s="8">
        <v>430851</v>
      </c>
      <c r="I415" s="16" cm="1">
        <f t="array" ref="I415">_xlfn.IFS(B415=2015,G415/$H$1957,B415=2016,G415/$H$1958,B415=2017,G415/$H$1959,B415=2018,G415/$H$1960,B415=2019,G415/$H$1961,B415=2020,G415/$H$1962,B415=2021,G415/$H$1963,B415=2022,G415/$H$1964,B415=2023,G415/$H$1965)</f>
        <v>5.5438048296594289E-4</v>
      </c>
      <c r="J415" s="10" cm="1">
        <f t="array" ref="J415">_xlfn.IFS(B415=2015,I415*$G$2,B415=2016,I415*$G$3,B415=2017,I415*$G$4,B415=2018,I415*$G$5,B415=2019,I415*$G$6,B415=2020,I415*$G$7,B415=2021,I415*$G$8,B415=2022,I415*$G$9,B415=2023,I415*$G$10)</f>
        <v>83447.52568504888</v>
      </c>
      <c r="K415" s="8">
        <f t="shared" si="6"/>
        <v>514298.52568504889</v>
      </c>
      <c r="L415">
        <f>IFERROR(VLOOKUP(F415,'LEAID Match'!$A$2:$B$240,2,FALSE),"")</f>
        <v>0</v>
      </c>
    </row>
    <row r="416" spans="1:12" x14ac:dyDescent="0.2">
      <c r="A416">
        <v>0</v>
      </c>
      <c r="B416">
        <v>2019</v>
      </c>
      <c r="C416" s="4" t="s">
        <v>127</v>
      </c>
      <c r="D416" s="4" t="s">
        <v>576</v>
      </c>
      <c r="E416" s="4" t="s">
        <v>578</v>
      </c>
      <c r="F416" s="4" t="s">
        <v>86</v>
      </c>
      <c r="G416" s="8">
        <v>425652</v>
      </c>
      <c r="I416" s="16" cm="1">
        <f t="array" ref="I416">_xlfn.IFS(B416=2015,G416/$H$1957,B416=2016,G416/$H$1958,B416=2017,G416/$H$1959,B416=2018,G416/$H$1960,B416=2019,G416/$H$1961,B416=2020,G416/$H$1962,B416=2021,G416/$H$1963,B416=2022,G416/$H$1964,B416=2023,G416/$H$1965)</f>
        <v>5.2899888017062067E-4</v>
      </c>
      <c r="J416" s="10" cm="1">
        <f t="array" ref="J416">_xlfn.IFS(B416=2015,I416*$G$2,B416=2016,I416*$G$3,B416=2017,I416*$G$4,B416=2018,I416*$G$5,B416=2019,I416*$G$6,B416=2020,I416*$G$7,B416=2021,I416*$G$8,B416=2022,I416*$G$9,B416=2023,I416*$G$10)</f>
        <v>83596.69957346622</v>
      </c>
      <c r="K416" s="8">
        <f t="shared" si="6"/>
        <v>509248.69957346621</v>
      </c>
      <c r="L416">
        <f>IFERROR(VLOOKUP(F416,'LEAID Match'!$A$2:$B$240,2,FALSE),"")</f>
        <v>0</v>
      </c>
    </row>
    <row r="417" spans="1:12" x14ac:dyDescent="0.2">
      <c r="A417">
        <v>0</v>
      </c>
      <c r="B417">
        <v>2020</v>
      </c>
      <c r="C417" s="4" t="s">
        <v>127</v>
      </c>
      <c r="D417" s="4" t="s">
        <v>576</v>
      </c>
      <c r="E417" s="4" t="s">
        <v>578</v>
      </c>
      <c r="F417" s="4" t="s">
        <v>86</v>
      </c>
      <c r="G417" s="8">
        <v>469145</v>
      </c>
      <c r="I417" s="16" cm="1">
        <f t="array" ref="I417">_xlfn.IFS(B417=2015,G417/$H$1957,B417=2016,G417/$H$1958,B417=2017,G417/$H$1959,B417=2018,G417/$H$1960,B417=2019,G417/$H$1961,B417=2020,G417/$H$1962,B417=2021,G417/$H$1963,B417=2022,G417/$H$1964,B417=2023,G417/$H$1965)</f>
        <v>5.3959339716463267E-4</v>
      </c>
      <c r="J417" s="10" cm="1">
        <f t="array" ref="J417">_xlfn.IFS(B417=2015,I417*$G$2,B417=2016,I417*$G$3,B417=2017,I417*$G$4,B417=2018,I417*$G$5,B417=2019,I417*$G$6,B417=2020,I417*$G$7,B417=2021,I417*$G$8,B417=2022,I417*$G$9,B417=2023,I417*$G$10)</f>
        <v>93179.088999077328</v>
      </c>
      <c r="K417" s="8">
        <f t="shared" si="6"/>
        <v>562324.08899907733</v>
      </c>
      <c r="L417">
        <f>IFERROR(VLOOKUP(F417,'LEAID Match'!$A$2:$B$240,2,FALSE),"")</f>
        <v>0</v>
      </c>
    </row>
    <row r="418" spans="1:12" x14ac:dyDescent="0.2">
      <c r="A418">
        <v>0</v>
      </c>
      <c r="B418">
        <v>2021</v>
      </c>
      <c r="C418" s="4" t="s">
        <v>127</v>
      </c>
      <c r="D418" s="4" t="s">
        <v>576</v>
      </c>
      <c r="E418" s="4" t="s">
        <v>578</v>
      </c>
      <c r="F418" s="4" t="s">
        <v>86</v>
      </c>
      <c r="G418" s="8">
        <v>409488</v>
      </c>
      <c r="I418" s="16" cm="1">
        <f t="array" ref="I418">_xlfn.IFS(B418=2015,G418/$H$1957,B418=2016,G418/$H$1958,B418=2017,G418/$H$1959,B418=2018,G418/$H$1960,B418=2019,G418/$H$1961,B418=2020,G418/$H$1962,B418=2021,G418/$H$1963,B418=2022,G418/$H$1964,B418=2023,G418/$H$1965)</f>
        <v>4.6796079441907979E-4</v>
      </c>
      <c r="J418" s="10" cm="1">
        <f t="array" ref="J418">_xlfn.IFS(B418=2015,I418*$G$2,B418=2016,I418*$G$3,B418=2017,I418*$G$4,B418=2018,I418*$G$5,B418=2019,I418*$G$6,B418=2020,I418*$G$7,B418=2021,I418*$G$8,B418=2022,I418*$G$9,B418=2023,I418*$G$10)</f>
        <v>80309.950910248939</v>
      </c>
      <c r="K418" s="8">
        <f t="shared" si="6"/>
        <v>489797.95091024891</v>
      </c>
      <c r="L418">
        <f>IFERROR(VLOOKUP(F418,'LEAID Match'!$A$2:$B$240,2,FALSE),"")</f>
        <v>0</v>
      </c>
    </row>
    <row r="419" spans="1:12" x14ac:dyDescent="0.2">
      <c r="A419">
        <v>0</v>
      </c>
      <c r="B419">
        <v>2022</v>
      </c>
      <c r="C419" s="4" t="s">
        <v>127</v>
      </c>
      <c r="D419" s="4" t="s">
        <v>576</v>
      </c>
      <c r="E419" s="4" t="s">
        <v>578</v>
      </c>
      <c r="F419" s="4" t="s">
        <v>86</v>
      </c>
      <c r="G419" s="8">
        <v>451424</v>
      </c>
      <c r="I419" s="16" cm="1">
        <f t="array" ref="I419">_xlfn.IFS(B419=2015,G419/$H$1957,B419=2016,G419/$H$1958,B419=2017,G419/$H$1959,B419=2018,G419/$H$1960,B419=2019,G419/$H$1961,B419=2020,G419/$H$1962,B419=2021,G419/$H$1963,B419=2022,G419/$H$1964,B419=2023,G419/$H$1965)</f>
        <v>4.8519155705512978E-4</v>
      </c>
      <c r="J419" s="10" cm="1">
        <f t="array" ref="J419">_xlfn.IFS(B419=2015,I419*$G$2,B419=2016,I419*$G$3,B419=2017,I419*$G$4,B419=2018,I419*$G$5,B419=2019,I419*$G$6,B419=2020,I419*$G$7,B419=2021,I419*$G$8,B419=2022,I419*$G$9,B419=2023,I419*$G$10)</f>
        <v>82281.525092514712</v>
      </c>
      <c r="K419" s="8">
        <f t="shared" si="6"/>
        <v>533705.5250925147</v>
      </c>
      <c r="L419">
        <f>IFERROR(VLOOKUP(F419,'LEAID Match'!$A$2:$B$240,2,FALSE),"")</f>
        <v>0</v>
      </c>
    </row>
    <row r="420" spans="1:12" x14ac:dyDescent="0.2">
      <c r="A420">
        <v>0</v>
      </c>
      <c r="B420">
        <v>2023</v>
      </c>
      <c r="C420" s="4" t="s">
        <v>127</v>
      </c>
      <c r="D420" s="4" t="s">
        <v>576</v>
      </c>
      <c r="E420" s="4" t="s">
        <v>578</v>
      </c>
      <c r="F420" s="4" t="s">
        <v>86</v>
      </c>
      <c r="G420" s="8">
        <v>507154</v>
      </c>
      <c r="I420" s="16" cm="1">
        <f t="array" ref="I420">_xlfn.IFS(B420=2015,G420/$H$1957,B420=2016,G420/$H$1958,B420=2017,G420/$H$1959,B420=2018,G420/$H$1960,B420=2019,G420/$H$1961,B420=2020,G420/$H$1962,B420=2021,G420/$H$1963,B420=2022,G420/$H$1964,B420=2023,G420/$H$1965)</f>
        <v>5.134881458604654E-4</v>
      </c>
      <c r="J420" s="10" cm="1">
        <f t="array" ref="J420">_xlfn.IFS(B420=2015,I420*$G$2,B420=2016,I420*$G$3,B420=2017,I420*$G$4,B420=2018,I420*$G$5,B420=2019,I420*$G$6,B420=2020,I420*$G$7,B420=2021,I420*$G$8,B420=2022,I420*$G$9,B420=2023,I420*$G$10)</f>
        <v>87285.446276809744</v>
      </c>
      <c r="K420" s="8">
        <f t="shared" si="6"/>
        <v>594439.44627680979</v>
      </c>
      <c r="L420">
        <f>IFERROR(VLOOKUP(F420,'LEAID Match'!$A$2:$B$240,2,FALSE),"")</f>
        <v>0</v>
      </c>
    </row>
    <row r="421" spans="1:12" x14ac:dyDescent="0.2">
      <c r="A421">
        <v>0</v>
      </c>
      <c r="B421">
        <v>2015</v>
      </c>
      <c r="C421" s="4" t="s">
        <v>128</v>
      </c>
      <c r="D421" s="4" t="s">
        <v>576</v>
      </c>
      <c r="E421" s="4" t="s">
        <v>578</v>
      </c>
      <c r="F421" s="4" t="s">
        <v>87</v>
      </c>
      <c r="G421" s="8">
        <v>136404</v>
      </c>
      <c r="I421" s="16" cm="1">
        <f t="array" ref="I421">_xlfn.IFS(B421=2015,G421/$H$1957,B421=2016,G421/$H$1958,B421=2017,G421/$H$1959,B421=2018,G421/$H$1960,B421=2019,G421/$H$1961,B421=2020,G421/$H$1962,B421=2021,G421/$H$1963,B421=2022,G421/$H$1964,B421=2023,G421/$H$1965)</f>
        <v>1.0533914707338054E-4</v>
      </c>
      <c r="J421" s="10" cm="1">
        <f t="array" ref="J421">_xlfn.IFS(B421=2015,I421*$G$2,B421=2016,I421*$G$3,B421=2017,I421*$G$4,B421=2018,I421*$G$5,B421=2019,I421*$G$6,B421=2020,I421*$G$7,B421=2021,I421*$G$8,B421=2022,I421*$G$9,B421=2023,I421*$G$10)</f>
        <v>26191.796776629049</v>
      </c>
      <c r="K421" s="8">
        <f t="shared" si="6"/>
        <v>162595.79677662905</v>
      </c>
      <c r="L421">
        <f>IFERROR(VLOOKUP(F421,'LEAID Match'!$A$2:$B$240,2,FALSE),"")</f>
        <v>0</v>
      </c>
    </row>
    <row r="422" spans="1:12" x14ac:dyDescent="0.2">
      <c r="A422">
        <v>0</v>
      </c>
      <c r="B422">
        <v>2016</v>
      </c>
      <c r="C422" s="4" t="s">
        <v>128</v>
      </c>
      <c r="D422" s="4" t="s">
        <v>576</v>
      </c>
      <c r="E422" s="4" t="s">
        <v>578</v>
      </c>
      <c r="F422" s="4" t="s">
        <v>87</v>
      </c>
      <c r="G422" s="8">
        <v>156306</v>
      </c>
      <c r="I422" s="16" cm="1">
        <f t="array" ref="I422">_xlfn.IFS(B422=2015,G422/$H$1957,B422=2016,G422/$H$1958,B422=2017,G422/$H$1959,B422=2018,G422/$H$1960,B422=2019,G422/$H$1961,B422=2020,G422/$H$1962,B422=2021,G422/$H$1963,B422=2022,G422/$H$1964,B422=2023,G422/$H$1965)</f>
        <v>1.0972674517816781E-4</v>
      </c>
      <c r="J422" s="10" cm="1">
        <f t="array" ref="J422">_xlfn.IFS(B422=2015,I422*$G$2,B422=2016,I422*$G$3,B422=2017,I422*$G$4,B422=2018,I422*$G$5,B422=2019,I422*$G$6,B422=2020,I422*$G$7,B422=2021,I422*$G$8,B422=2022,I422*$G$9,B422=2023,I422*$G$10)</f>
        <v>29758.231250694262</v>
      </c>
      <c r="K422" s="8">
        <f t="shared" si="6"/>
        <v>186064.23125069425</v>
      </c>
      <c r="L422">
        <f>IFERROR(VLOOKUP(F422,'LEAID Match'!$A$2:$B$240,2,FALSE),"")</f>
        <v>0</v>
      </c>
    </row>
    <row r="423" spans="1:12" x14ac:dyDescent="0.2">
      <c r="A423">
        <v>0</v>
      </c>
      <c r="B423">
        <v>2017</v>
      </c>
      <c r="C423" s="4" t="s">
        <v>128</v>
      </c>
      <c r="D423" s="4" t="s">
        <v>576</v>
      </c>
      <c r="E423" s="4" t="s">
        <v>578</v>
      </c>
      <c r="F423" s="4" t="s">
        <v>87</v>
      </c>
      <c r="G423" s="8">
        <v>107728</v>
      </c>
      <c r="I423" s="16" cm="1">
        <f t="array" ref="I423">_xlfn.IFS(B423=2015,G423/$H$1957,B423=2016,G423/$H$1958,B423=2017,G423/$H$1959,B423=2018,G423/$H$1960,B423=2019,G423/$H$1961,B423=2020,G423/$H$1962,B423=2021,G423/$H$1963,B423=2022,G423/$H$1964,B423=2023,G423/$H$1965)</f>
        <v>1.4373207730255025E-4</v>
      </c>
      <c r="J423" s="10" cm="1">
        <f t="array" ref="J423">_xlfn.IFS(B423=2015,I423*$G$2,B423=2016,I423*$G$3,B423=2017,I423*$G$4,B423=2018,I423*$G$5,B423=2019,I423*$G$6,B423=2020,I423*$G$7,B423=2021,I423*$G$8,B423=2022,I423*$G$9,B423=2023,I423*$G$10)</f>
        <v>21284.792770154832</v>
      </c>
      <c r="K423" s="8">
        <f t="shared" si="6"/>
        <v>129012.79277015483</v>
      </c>
      <c r="L423">
        <f>IFERROR(VLOOKUP(F423,'LEAID Match'!$A$2:$B$240,2,FALSE),"")</f>
        <v>0</v>
      </c>
    </row>
    <row r="424" spans="1:12" x14ac:dyDescent="0.2">
      <c r="A424">
        <v>0</v>
      </c>
      <c r="B424">
        <v>2018</v>
      </c>
      <c r="C424" s="4" t="s">
        <v>128</v>
      </c>
      <c r="D424" s="4" t="s">
        <v>576</v>
      </c>
      <c r="E424" s="4" t="s">
        <v>578</v>
      </c>
      <c r="F424" s="4" t="s">
        <v>87</v>
      </c>
      <c r="G424" s="8">
        <v>103677</v>
      </c>
      <c r="I424" s="16" cm="1">
        <f t="array" ref="I424">_xlfn.IFS(B424=2015,G424/$H$1957,B424=2016,G424/$H$1958,B424=2017,G424/$H$1959,B424=2018,G424/$H$1960,B424=2019,G424/$H$1961,B424=2020,G424/$H$1962,B424=2021,G424/$H$1963,B424=2022,G424/$H$1964,B424=2023,G424/$H$1965)</f>
        <v>1.3340227905345482E-4</v>
      </c>
      <c r="J424" s="10" cm="1">
        <f t="array" ref="J424">_xlfn.IFS(B424=2015,I424*$G$2,B424=2016,I424*$G$3,B424=2017,I424*$G$4,B424=2018,I424*$G$5,B424=2019,I424*$G$6,B424=2020,I424*$G$7,B424=2021,I424*$G$8,B424=2022,I424*$G$9,B424=2023,I424*$G$10)</f>
        <v>20080.234513669024</v>
      </c>
      <c r="K424" s="8">
        <f t="shared" si="6"/>
        <v>123757.23451366903</v>
      </c>
      <c r="L424">
        <f>IFERROR(VLOOKUP(F424,'LEAID Match'!$A$2:$B$240,2,FALSE),"")</f>
        <v>0</v>
      </c>
    </row>
    <row r="425" spans="1:12" x14ac:dyDescent="0.2">
      <c r="A425">
        <v>0</v>
      </c>
      <c r="B425">
        <v>2019</v>
      </c>
      <c r="C425" s="4" t="s">
        <v>128</v>
      </c>
      <c r="D425" s="4" t="s">
        <v>576</v>
      </c>
      <c r="E425" s="4" t="s">
        <v>578</v>
      </c>
      <c r="F425" s="4" t="s">
        <v>87</v>
      </c>
      <c r="G425" s="8">
        <v>129271</v>
      </c>
      <c r="I425" s="16" cm="1">
        <f t="array" ref="I425">_xlfn.IFS(B425=2015,G425/$H$1957,B425=2016,G425/$H$1958,B425=2017,G425/$H$1959,B425=2018,G425/$H$1960,B425=2019,G425/$H$1961,B425=2020,G425/$H$1962,B425=2021,G425/$H$1963,B425=2022,G425/$H$1964,B425=2023,G425/$H$1965)</f>
        <v>1.6065756589546461E-4</v>
      </c>
      <c r="J425" s="10" cm="1">
        <f t="array" ref="J425">_xlfn.IFS(B425=2015,I425*$G$2,B425=2016,I425*$G$3,B425=2017,I425*$G$4,B425=2018,I425*$G$5,B425=2019,I425*$G$6,B425=2020,I425*$G$7,B425=2021,I425*$G$8,B425=2022,I425*$G$9,B425=2023,I425*$G$10)</f>
        <v>25388.413423551519</v>
      </c>
      <c r="K425" s="8">
        <f t="shared" si="6"/>
        <v>154659.41342355151</v>
      </c>
      <c r="L425">
        <f>IFERROR(VLOOKUP(F425,'LEAID Match'!$A$2:$B$240,2,FALSE),"")</f>
        <v>0</v>
      </c>
    </row>
    <row r="426" spans="1:12" x14ac:dyDescent="0.2">
      <c r="A426">
        <v>0</v>
      </c>
      <c r="B426">
        <v>2020</v>
      </c>
      <c r="C426" s="4" t="s">
        <v>128</v>
      </c>
      <c r="D426" s="4" t="s">
        <v>576</v>
      </c>
      <c r="E426" s="4" t="s">
        <v>578</v>
      </c>
      <c r="F426" s="4" t="s">
        <v>87</v>
      </c>
      <c r="G426" s="8">
        <v>147455</v>
      </c>
      <c r="I426" s="16" cm="1">
        <f t="array" ref="I426">_xlfn.IFS(B426=2015,G426/$H$1957,B426=2016,G426/$H$1958,B426=2017,G426/$H$1959,B426=2018,G426/$H$1960,B426=2019,G426/$H$1961,B426=2020,G426/$H$1962,B426=2021,G426/$H$1963,B426=2022,G426/$H$1964,B426=2023,G426/$H$1965)</f>
        <v>1.6959734064928947E-4</v>
      </c>
      <c r="J426" s="10" cm="1">
        <f t="array" ref="J426">_xlfn.IFS(B426=2015,I426*$G$2,B426=2016,I426*$G$3,B426=2017,I426*$G$4,B426=2018,I426*$G$5,B426=2019,I426*$G$6,B426=2020,I426*$G$7,B426=2021,I426*$G$8,B426=2022,I426*$G$9,B426=2023,I426*$G$10)</f>
        <v>29286.729195363794</v>
      </c>
      <c r="K426" s="8">
        <f t="shared" si="6"/>
        <v>176741.72919536379</v>
      </c>
      <c r="L426">
        <f>IFERROR(VLOOKUP(F426,'LEAID Match'!$A$2:$B$240,2,FALSE),"")</f>
        <v>0</v>
      </c>
    </row>
    <row r="427" spans="1:12" x14ac:dyDescent="0.2">
      <c r="A427">
        <v>0</v>
      </c>
      <c r="B427">
        <v>2021</v>
      </c>
      <c r="C427" s="4" t="s">
        <v>128</v>
      </c>
      <c r="D427" s="4" t="s">
        <v>576</v>
      </c>
      <c r="E427" s="4" t="s">
        <v>578</v>
      </c>
      <c r="F427" s="4" t="s">
        <v>87</v>
      </c>
      <c r="G427" s="8">
        <v>150837</v>
      </c>
      <c r="I427" s="16" cm="1">
        <f t="array" ref="I427">_xlfn.IFS(B427=2015,G427/$H$1957,B427=2016,G427/$H$1958,B427=2017,G427/$H$1959,B427=2018,G427/$H$1960,B427=2019,G427/$H$1961,B427=2020,G427/$H$1962,B427=2021,G427/$H$1963,B427=2022,G427/$H$1964,B427=2023,G427/$H$1965)</f>
        <v>1.7237575300812415E-4</v>
      </c>
      <c r="J427" s="10" cm="1">
        <f t="array" ref="J427">_xlfn.IFS(B427=2015,I427*$G$2,B427=2016,I427*$G$3,B427=2017,I427*$G$4,B427=2018,I427*$G$5,B427=2019,I427*$G$6,B427=2020,I427*$G$7,B427=2021,I427*$G$8,B427=2022,I427*$G$9,B427=2023,I427*$G$10)</f>
        <v>29582.581334371749</v>
      </c>
      <c r="K427" s="8">
        <f t="shared" si="6"/>
        <v>180419.58133437176</v>
      </c>
      <c r="L427">
        <f>IFERROR(VLOOKUP(F427,'LEAID Match'!$A$2:$B$240,2,FALSE),"")</f>
        <v>0</v>
      </c>
    </row>
    <row r="428" spans="1:12" x14ac:dyDescent="0.2">
      <c r="A428">
        <v>0</v>
      </c>
      <c r="B428">
        <v>2022</v>
      </c>
      <c r="C428" s="4" t="s">
        <v>128</v>
      </c>
      <c r="D428" s="4" t="s">
        <v>576</v>
      </c>
      <c r="E428" s="4" t="s">
        <v>578</v>
      </c>
      <c r="F428" s="4" t="s">
        <v>87</v>
      </c>
      <c r="G428" s="8">
        <v>146646</v>
      </c>
      <c r="I428" s="16" cm="1">
        <f t="array" ref="I428">_xlfn.IFS(B428=2015,G428/$H$1957,B428=2016,G428/$H$1958,B428=2017,G428/$H$1959,B428=2018,G428/$H$1960,B428=2019,G428/$H$1961,B428=2020,G428/$H$1962,B428=2021,G428/$H$1963,B428=2022,G428/$H$1964,B428=2023,G428/$H$1965)</f>
        <v>1.5761545924874743E-4</v>
      </c>
      <c r="J428" s="10" cm="1">
        <f t="array" ref="J428">_xlfn.IFS(B428=2015,I428*$G$2,B428=2016,I428*$G$3,B428=2017,I428*$G$4,B428=2018,I428*$G$5,B428=2019,I428*$G$6,B428=2020,I428*$G$7,B428=2021,I428*$G$8,B428=2022,I428*$G$9,B428=2023,I428*$G$10)</f>
        <v>26729.319949131885</v>
      </c>
      <c r="K428" s="8">
        <f t="shared" si="6"/>
        <v>173375.3199491319</v>
      </c>
      <c r="L428">
        <f>IFERROR(VLOOKUP(F428,'LEAID Match'!$A$2:$B$240,2,FALSE),"")</f>
        <v>0</v>
      </c>
    </row>
    <row r="429" spans="1:12" x14ac:dyDescent="0.2">
      <c r="A429">
        <v>0</v>
      </c>
      <c r="B429">
        <v>2023</v>
      </c>
      <c r="C429" s="4" t="s">
        <v>128</v>
      </c>
      <c r="D429" s="4" t="s">
        <v>576</v>
      </c>
      <c r="E429" s="4" t="s">
        <v>578</v>
      </c>
      <c r="F429" s="4" t="s">
        <v>87</v>
      </c>
      <c r="G429" s="8">
        <v>137944</v>
      </c>
      <c r="I429" s="16" cm="1">
        <f t="array" ref="I429">_xlfn.IFS(B429=2015,G429/$H$1957,B429=2016,G429/$H$1958,B429=2017,G429/$H$1959,B429=2018,G429/$H$1960,B429=2019,G429/$H$1961,B429=2020,G429/$H$1962,B429=2021,G429/$H$1963,B429=2022,G429/$H$1964,B429=2023,G429/$H$1965)</f>
        <v>1.3966686409369944E-4</v>
      </c>
      <c r="J429" s="10" cm="1">
        <f t="array" ref="J429">_xlfn.IFS(B429=2015,I429*$G$2,B429=2016,I429*$G$3,B429=2017,I429*$G$4,B429=2018,I429*$G$5,B429=2019,I429*$G$6,B429=2020,I429*$G$7,B429=2021,I429*$G$8,B429=2022,I429*$G$9,B429=2023,I429*$G$10)</f>
        <v>23741.316446697147</v>
      </c>
      <c r="K429" s="8">
        <f t="shared" si="6"/>
        <v>161685.31644669714</v>
      </c>
      <c r="L429">
        <f>IFERROR(VLOOKUP(F429,'LEAID Match'!$A$2:$B$240,2,FALSE),"")</f>
        <v>0</v>
      </c>
    </row>
    <row r="430" spans="1:12" x14ac:dyDescent="0.2">
      <c r="A430">
        <v>0</v>
      </c>
      <c r="B430">
        <v>2015</v>
      </c>
      <c r="C430" s="4" t="s">
        <v>129</v>
      </c>
      <c r="D430" s="4" t="s">
        <v>576</v>
      </c>
      <c r="E430" s="4" t="s">
        <v>578</v>
      </c>
      <c r="F430" s="4" t="s">
        <v>88</v>
      </c>
      <c r="G430" s="8">
        <v>204524</v>
      </c>
      <c r="I430" s="16" cm="1">
        <f t="array" ref="I430">_xlfn.IFS(B430=2015,G430/$H$1957,B430=2016,G430/$H$1958,B430=2017,G430/$H$1959,B430=2018,G430/$H$1960,B430=2019,G430/$H$1961,B430=2020,G430/$H$1962,B430=2021,G430/$H$1963,B430=2022,G430/$H$1964,B430=2023,G430/$H$1965)</f>
        <v>1.5794539541388875E-4</v>
      </c>
      <c r="J430" s="10" cm="1">
        <f t="array" ref="J430">_xlfn.IFS(B430=2015,I430*$G$2,B430=2016,I430*$G$3,B430=2017,I430*$G$4,B430=2018,I430*$G$5,B430=2019,I430*$G$6,B430=2020,I430*$G$7,B430=2021,I430*$G$8,B430=2022,I430*$G$9,B430=2023,I430*$G$10)</f>
        <v>39271.949825102485</v>
      </c>
      <c r="K430" s="8">
        <f t="shared" si="6"/>
        <v>243795.94982510249</v>
      </c>
      <c r="L430">
        <f>IFERROR(VLOOKUP(F430,'LEAID Match'!$A$2:$B$240,2,FALSE),"")</f>
        <v>0</v>
      </c>
    </row>
    <row r="431" spans="1:12" x14ac:dyDescent="0.2">
      <c r="A431">
        <v>0</v>
      </c>
      <c r="B431">
        <v>2016</v>
      </c>
      <c r="C431" s="4" t="s">
        <v>129</v>
      </c>
      <c r="D431" s="4" t="s">
        <v>576</v>
      </c>
      <c r="E431" s="4" t="s">
        <v>578</v>
      </c>
      <c r="F431" s="4" t="s">
        <v>88</v>
      </c>
      <c r="G431" s="8">
        <v>228456</v>
      </c>
      <c r="I431" s="16" cm="1">
        <f t="array" ref="I431">_xlfn.IFS(B431=2015,G431/$H$1957,B431=2016,G431/$H$1958,B431=2017,G431/$H$1959,B431=2018,G431/$H$1960,B431=2019,G431/$H$1961,B431=2020,G431/$H$1962,B431=2021,G431/$H$1963,B431=2022,G431/$H$1964,B431=2023,G431/$H$1965)</f>
        <v>1.6037601433357328E-4</v>
      </c>
      <c r="J431" s="10" cm="1">
        <f t="array" ref="J431">_xlfn.IFS(B431=2015,I431*$G$2,B431=2016,I431*$G$3,B431=2017,I431*$G$4,B431=2018,I431*$G$5,B431=2019,I431*$G$6,B431=2020,I431*$G$7,B431=2021,I431*$G$8,B431=2022,I431*$G$9,B431=2023,I431*$G$10)</f>
        <v>43494.469045389218</v>
      </c>
      <c r="K431" s="8">
        <f t="shared" si="6"/>
        <v>271950.46904538921</v>
      </c>
      <c r="L431">
        <f>IFERROR(VLOOKUP(F431,'LEAID Match'!$A$2:$B$240,2,FALSE),"")</f>
        <v>0</v>
      </c>
    </row>
    <row r="432" spans="1:12" x14ac:dyDescent="0.2">
      <c r="A432">
        <v>0</v>
      </c>
      <c r="B432">
        <v>2017</v>
      </c>
      <c r="C432" s="4" t="s">
        <v>129</v>
      </c>
      <c r="D432" s="4" t="s">
        <v>576</v>
      </c>
      <c r="E432" s="4" t="s">
        <v>578</v>
      </c>
      <c r="F432" s="4" t="s">
        <v>88</v>
      </c>
      <c r="G432" s="8">
        <v>121038</v>
      </c>
      <c r="I432" s="16" cm="1">
        <f t="array" ref="I432">_xlfn.IFS(B432=2015,G432/$H$1957,B432=2016,G432/$H$1958,B432=2017,G432/$H$1959,B432=2018,G432/$H$1960,B432=2019,G432/$H$1961,B432=2020,G432/$H$1962,B432=2021,G432/$H$1963,B432=2022,G432/$H$1964,B432=2023,G432/$H$1965)</f>
        <v>1.614904497674335E-4</v>
      </c>
      <c r="J432" s="10" cm="1">
        <f t="array" ref="J432">_xlfn.IFS(B432=2015,I432*$G$2,B432=2016,I432*$G$3,B432=2017,I432*$G$4,B432=2018,I432*$G$5,B432=2019,I432*$G$6,B432=2020,I432*$G$7,B432=2021,I432*$G$8,B432=2022,I432*$G$9,B432=2023,I432*$G$10)</f>
        <v>23914.56953915417</v>
      </c>
      <c r="K432" s="8">
        <f t="shared" si="6"/>
        <v>144952.56953915418</v>
      </c>
      <c r="L432">
        <f>IFERROR(VLOOKUP(F432,'LEAID Match'!$A$2:$B$240,2,FALSE),"")</f>
        <v>0</v>
      </c>
    </row>
    <row r="433" spans="1:12" x14ac:dyDescent="0.2">
      <c r="A433">
        <v>0</v>
      </c>
      <c r="B433">
        <v>2018</v>
      </c>
      <c r="C433" s="4" t="s">
        <v>129</v>
      </c>
      <c r="D433" s="4" t="s">
        <v>576</v>
      </c>
      <c r="E433" s="4" t="s">
        <v>578</v>
      </c>
      <c r="F433" s="4" t="s">
        <v>88</v>
      </c>
      <c r="G433" s="8">
        <v>118263</v>
      </c>
      <c r="I433" s="16" cm="1">
        <f t="array" ref="I433">_xlfn.IFS(B433=2015,G433/$H$1957,B433=2016,G433/$H$1958,B433=2017,G433/$H$1959,B433=2018,G433/$H$1960,B433=2019,G433/$H$1961,B433=2020,G433/$H$1962,B433=2021,G433/$H$1963,B433=2022,G433/$H$1964,B433=2023,G433/$H$1965)</f>
        <v>1.521702376390012E-4</v>
      </c>
      <c r="J433" s="10" cm="1">
        <f t="array" ref="J433">_xlfn.IFS(B433=2015,I433*$G$2,B433=2016,I433*$G$3,B433=2017,I433*$G$4,B433=2018,I433*$G$5,B433=2019,I433*$G$6,B433=2020,I433*$G$7,B433=2021,I433*$G$8,B433=2022,I433*$G$9,B433=2023,I433*$G$10)</f>
        <v>22905.261285434957</v>
      </c>
      <c r="K433" s="8">
        <f t="shared" si="6"/>
        <v>141168.26128543494</v>
      </c>
      <c r="L433">
        <f>IFERROR(VLOOKUP(F433,'LEAID Match'!$A$2:$B$240,2,FALSE),"")</f>
        <v>0</v>
      </c>
    </row>
    <row r="434" spans="1:12" x14ac:dyDescent="0.2">
      <c r="A434">
        <v>0</v>
      </c>
      <c r="B434">
        <v>2019</v>
      </c>
      <c r="C434" s="4" t="s">
        <v>129</v>
      </c>
      <c r="D434" s="4" t="s">
        <v>576</v>
      </c>
      <c r="E434" s="4" t="s">
        <v>578</v>
      </c>
      <c r="F434" s="4" t="s">
        <v>88</v>
      </c>
      <c r="G434" s="8">
        <v>118202</v>
      </c>
      <c r="I434" s="16" cm="1">
        <f t="array" ref="I434">_xlfn.IFS(B434=2015,G434/$H$1957,B434=2016,G434/$H$1958,B434=2017,G434/$H$1959,B434=2018,G434/$H$1960,B434=2019,G434/$H$1961,B434=2020,G434/$H$1962,B434=2021,G434/$H$1963,B434=2022,G434/$H$1964,B434=2023,G434/$H$1965)</f>
        <v>1.4690104976348685E-4</v>
      </c>
      <c r="J434" s="10" cm="1">
        <f t="array" ref="J434">_xlfn.IFS(B434=2015,I434*$G$2,B434=2016,I434*$G$3,B434=2017,I434*$G$4,B434=2018,I434*$G$5,B434=2019,I434*$G$6,B434=2020,I434*$G$7,B434=2021,I434*$G$8,B434=2022,I434*$G$9,B434=2023,I434*$G$10)</f>
        <v>23214.497013952372</v>
      </c>
      <c r="K434" s="8">
        <f t="shared" si="6"/>
        <v>141416.49701395238</v>
      </c>
      <c r="L434">
        <f>IFERROR(VLOOKUP(F434,'LEAID Match'!$A$2:$B$240,2,FALSE),"")</f>
        <v>0</v>
      </c>
    </row>
    <row r="435" spans="1:12" x14ac:dyDescent="0.2">
      <c r="A435">
        <v>0</v>
      </c>
      <c r="B435">
        <v>2020</v>
      </c>
      <c r="C435" s="4" t="s">
        <v>129</v>
      </c>
      <c r="D435" s="4" t="s">
        <v>576</v>
      </c>
      <c r="E435" s="4" t="s">
        <v>578</v>
      </c>
      <c r="F435" s="4" t="s">
        <v>88</v>
      </c>
      <c r="G435" s="8">
        <v>134339</v>
      </c>
      <c r="I435" s="16" cm="1">
        <f t="array" ref="I435">_xlfn.IFS(B435=2015,G435/$H$1957,B435=2016,G435/$H$1958,B435=2017,G435/$H$1959,B435=2018,G435/$H$1960,B435=2019,G435/$H$1961,B435=2020,G435/$H$1962,B435=2021,G435/$H$1963,B435=2022,G435/$H$1964,B435=2023,G435/$H$1965)</f>
        <v>1.5451179780600791E-4</v>
      </c>
      <c r="J435" s="10" cm="1">
        <f t="array" ref="J435">_xlfn.IFS(B435=2015,I435*$G$2,B435=2016,I435*$G$3,B435=2017,I435*$G$4,B435=2018,I435*$G$5,B435=2019,I435*$G$6,B435=2020,I435*$G$7,B435=2021,I435*$G$8,B435=2022,I435*$G$9,B435=2023,I435*$G$10)</f>
        <v>26681.698914082102</v>
      </c>
      <c r="K435" s="8">
        <f t="shared" si="6"/>
        <v>161020.69891408211</v>
      </c>
      <c r="L435">
        <f>IFERROR(VLOOKUP(F435,'LEAID Match'!$A$2:$B$240,2,FALSE),"")</f>
        <v>0</v>
      </c>
    </row>
    <row r="436" spans="1:12" x14ac:dyDescent="0.2">
      <c r="A436">
        <v>0</v>
      </c>
      <c r="B436">
        <v>2021</v>
      </c>
      <c r="C436" s="4" t="s">
        <v>129</v>
      </c>
      <c r="D436" s="4" t="s">
        <v>576</v>
      </c>
      <c r="E436" s="4" t="s">
        <v>578</v>
      </c>
      <c r="F436" s="4" t="s">
        <v>88</v>
      </c>
      <c r="G436" s="8">
        <v>126773</v>
      </c>
      <c r="I436" s="16" cm="1">
        <f t="array" ref="I436">_xlfn.IFS(B436=2015,G436/$H$1957,B436=2016,G436/$H$1958,B436=2017,G436/$H$1959,B436=2018,G436/$H$1960,B436=2019,G436/$H$1961,B436=2020,G436/$H$1962,B436=2021,G436/$H$1963,B436=2022,G436/$H$1964,B436=2023,G436/$H$1965)</f>
        <v>1.4487553674561891E-4</v>
      </c>
      <c r="J436" s="10" cm="1">
        <f t="array" ref="J436">_xlfn.IFS(B436=2015,I436*$G$2,B436=2016,I436*$G$3,B436=2017,I436*$G$4,B436=2018,I436*$G$5,B436=2019,I436*$G$6,B436=2020,I436*$G$7,B436=2021,I436*$G$8,B436=2022,I436*$G$9,B436=2023,I436*$G$10)</f>
        <v>24863.081230084856</v>
      </c>
      <c r="K436" s="8">
        <f t="shared" si="6"/>
        <v>151636.08123008485</v>
      </c>
      <c r="L436">
        <f>IFERROR(VLOOKUP(F436,'LEAID Match'!$A$2:$B$240,2,FALSE),"")</f>
        <v>0</v>
      </c>
    </row>
    <row r="437" spans="1:12" x14ac:dyDescent="0.2">
      <c r="A437">
        <v>0</v>
      </c>
      <c r="B437">
        <v>2022</v>
      </c>
      <c r="C437" s="4" t="s">
        <v>129</v>
      </c>
      <c r="D437" s="4" t="s">
        <v>576</v>
      </c>
      <c r="E437" s="4" t="s">
        <v>578</v>
      </c>
      <c r="F437" s="4" t="s">
        <v>88</v>
      </c>
      <c r="G437" s="8">
        <v>133473</v>
      </c>
      <c r="I437" s="16" cm="1">
        <f t="array" ref="I437">_xlfn.IFS(B437=2015,G437/$H$1957,B437=2016,G437/$H$1958,B437=2017,G437/$H$1959,B437=2018,G437/$H$1960,B437=2019,G437/$H$1961,B437=2020,G437/$H$1962,B437=2021,G437/$H$1963,B437=2022,G437/$H$1964,B437=2023,G437/$H$1965)</f>
        <v>1.4345708844638153E-4</v>
      </c>
      <c r="J437" s="10" cm="1">
        <f t="array" ref="J437">_xlfn.IFS(B437=2015,I437*$G$2,B437=2016,I437*$G$3,B437=2017,I437*$G$4,B437=2018,I437*$G$5,B437=2019,I437*$G$6,B437=2020,I437*$G$7,B437=2021,I437*$G$8,B437=2022,I437*$G$9,B437=2023,I437*$G$10)</f>
        <v>24328.263447830013</v>
      </c>
      <c r="K437" s="8">
        <f t="shared" si="6"/>
        <v>157801.26344783002</v>
      </c>
      <c r="L437">
        <f>IFERROR(VLOOKUP(F437,'LEAID Match'!$A$2:$B$240,2,FALSE),"")</f>
        <v>0</v>
      </c>
    </row>
    <row r="438" spans="1:12" x14ac:dyDescent="0.2">
      <c r="A438">
        <v>0</v>
      </c>
      <c r="B438">
        <v>2023</v>
      </c>
      <c r="C438" s="4" t="s">
        <v>129</v>
      </c>
      <c r="D438" s="4" t="s">
        <v>576</v>
      </c>
      <c r="E438" s="4" t="s">
        <v>578</v>
      </c>
      <c r="F438" s="4" t="s">
        <v>88</v>
      </c>
      <c r="G438" s="8">
        <v>142737</v>
      </c>
      <c r="I438" s="16" cm="1">
        <f t="array" ref="I438">_xlfn.IFS(B438=2015,G438/$H$1957,B438=2016,G438/$H$1958,B438=2017,G438/$H$1959,B438=2018,G438/$H$1960,B438=2019,G438/$H$1961,B438=2020,G438/$H$1962,B438=2021,G438/$H$1963,B438=2022,G438/$H$1964,B438=2023,G438/$H$1965)</f>
        <v>1.4451972670172225E-4</v>
      </c>
      <c r="J438" s="10" cm="1">
        <f t="array" ref="J438">_xlfn.IFS(B438=2015,I438*$G$2,B438=2016,I438*$G$3,B438=2017,I438*$G$4,B438=2018,I438*$G$5,B438=2019,I438*$G$6,B438=2020,I438*$G$7,B438=2021,I438*$G$8,B438=2022,I438*$G$9,B438=2023,I438*$G$10)</f>
        <v>24566.231845185073</v>
      </c>
      <c r="K438" s="8">
        <f t="shared" si="6"/>
        <v>167303.23184518507</v>
      </c>
      <c r="L438">
        <f>IFERROR(VLOOKUP(F438,'LEAID Match'!$A$2:$B$240,2,FALSE),"")</f>
        <v>0</v>
      </c>
    </row>
    <row r="439" spans="1:12" x14ac:dyDescent="0.2">
      <c r="A439">
        <v>0</v>
      </c>
      <c r="B439">
        <v>2015</v>
      </c>
      <c r="C439" s="4" t="s">
        <v>130</v>
      </c>
      <c r="D439" s="4" t="s">
        <v>576</v>
      </c>
      <c r="E439" s="4" t="s">
        <v>578</v>
      </c>
      <c r="F439" s="4" t="s">
        <v>89</v>
      </c>
      <c r="G439" s="8">
        <v>356055</v>
      </c>
      <c r="I439" s="16" cm="1">
        <f t="array" ref="I439">_xlfn.IFS(B439=2015,G439/$H$1957,B439=2016,G439/$H$1958,B439=2017,G439/$H$1959,B439=2018,G439/$H$1960,B439=2019,G439/$H$1961,B439=2020,G439/$H$1962,B439=2021,G439/$H$1963,B439=2022,G439/$H$1964,B439=2023,G439/$H$1965)</f>
        <v>2.7496649666587859E-4</v>
      </c>
      <c r="J439" s="10" cm="1">
        <f t="array" ref="J439">_xlfn.IFS(B439=2015,I439*$G$2,B439=2016,I439*$G$3,B439=2017,I439*$G$4,B439=2018,I439*$G$5,B439=2019,I439*$G$6,B439=2020,I439*$G$7,B439=2021,I439*$G$8,B439=2022,I439*$G$9,B439=2023,I439*$G$10)</f>
        <v>68368.377769732964</v>
      </c>
      <c r="K439" s="8">
        <f t="shared" si="6"/>
        <v>424423.37776973296</v>
      </c>
      <c r="L439">
        <f>IFERROR(VLOOKUP(F439,'LEAID Match'!$A$2:$B$240,2,FALSE),"")</f>
        <v>0</v>
      </c>
    </row>
    <row r="440" spans="1:12" x14ac:dyDescent="0.2">
      <c r="A440">
        <v>0</v>
      </c>
      <c r="B440">
        <v>2016</v>
      </c>
      <c r="C440" s="4" t="s">
        <v>130</v>
      </c>
      <c r="D440" s="4" t="s">
        <v>576</v>
      </c>
      <c r="E440" s="4" t="s">
        <v>578</v>
      </c>
      <c r="F440" s="4" t="s">
        <v>89</v>
      </c>
      <c r="G440" s="8">
        <v>415065</v>
      </c>
      <c r="I440" s="16" cm="1">
        <f t="array" ref="I440">_xlfn.IFS(B440=2015,G440/$H$1957,B440=2016,G440/$H$1958,B440=2017,G440/$H$1959,B440=2018,G440/$H$1960,B440=2019,G440/$H$1961,B440=2020,G440/$H$1962,B440=2021,G440/$H$1963,B440=2022,G440/$H$1964,B440=2023,G440/$H$1965)</f>
        <v>2.9137545255701142E-4</v>
      </c>
      <c r="J440" s="10" cm="1">
        <f t="array" ref="J440">_xlfn.IFS(B440=2015,I440*$G$2,B440=2016,I440*$G$3,B440=2017,I440*$G$4,B440=2018,I440*$G$5,B440=2019,I440*$G$6,B440=2020,I440*$G$7,B440=2021,I440*$G$8,B440=2022,I440*$G$9,B440=2023,I440*$G$10)</f>
        <v>79021.920169855366</v>
      </c>
      <c r="K440" s="8">
        <f t="shared" si="6"/>
        <v>494086.92016985535</v>
      </c>
      <c r="L440">
        <f>IFERROR(VLOOKUP(F440,'LEAID Match'!$A$2:$B$240,2,FALSE),"")</f>
        <v>0</v>
      </c>
    </row>
    <row r="441" spans="1:12" x14ac:dyDescent="0.2">
      <c r="A441">
        <v>0</v>
      </c>
      <c r="B441">
        <v>2017</v>
      </c>
      <c r="C441" s="4" t="s">
        <v>130</v>
      </c>
      <c r="D441" s="4" t="s">
        <v>576</v>
      </c>
      <c r="E441" s="4" t="s">
        <v>578</v>
      </c>
      <c r="F441" s="4" t="s">
        <v>89</v>
      </c>
      <c r="G441" s="8">
        <v>212972</v>
      </c>
      <c r="I441" s="16" cm="1">
        <f t="array" ref="I441">_xlfn.IFS(B441=2015,G441/$H$1957,B441=2016,G441/$H$1958,B441=2017,G441/$H$1959,B441=2018,G441/$H$1960,B441=2019,G441/$H$1961,B441=2020,G441/$H$1962,B441=2021,G441/$H$1963,B441=2022,G441/$H$1964,B441=2023,G441/$H$1965)</f>
        <v>2.8414996999181948E-4</v>
      </c>
      <c r="J441" s="10" cm="1">
        <f t="array" ref="J441">_xlfn.IFS(B441=2015,I441*$G$2,B441=2016,I441*$G$3,B441=2017,I441*$G$4,B441=2018,I441*$G$5,B441=2019,I441*$G$6,B441=2020,I441*$G$7,B441=2021,I441*$G$8,B441=2022,I441*$G$9,B441=2023,I441*$G$10)</f>
        <v>42078.799252240962</v>
      </c>
      <c r="K441" s="8">
        <f t="shared" si="6"/>
        <v>255050.79925224098</v>
      </c>
      <c r="L441">
        <f>IFERROR(VLOOKUP(F441,'LEAID Match'!$A$2:$B$240,2,FALSE),"")</f>
        <v>0</v>
      </c>
    </row>
    <row r="442" spans="1:12" x14ac:dyDescent="0.2">
      <c r="A442">
        <v>0</v>
      </c>
      <c r="B442">
        <v>2018</v>
      </c>
      <c r="C442" s="4" t="s">
        <v>130</v>
      </c>
      <c r="D442" s="4" t="s">
        <v>576</v>
      </c>
      <c r="E442" s="4" t="s">
        <v>578</v>
      </c>
      <c r="F442" s="4" t="s">
        <v>89</v>
      </c>
      <c r="G442" s="8">
        <v>221872</v>
      </c>
      <c r="I442" s="16" cm="1">
        <f t="array" ref="I442">_xlfn.IFS(B442=2015,G442/$H$1957,B442=2016,G442/$H$1958,B442=2017,G442/$H$1959,B442=2018,G442/$H$1960,B442=2019,G442/$H$1961,B442=2020,G442/$H$1962,B442=2021,G442/$H$1963,B442=2022,G442/$H$1964,B442=2023,G442/$H$1965)</f>
        <v>2.8548502038203388E-4</v>
      </c>
      <c r="J442" s="10" cm="1">
        <f t="array" ref="J442">_xlfn.IFS(B442=2015,I442*$G$2,B442=2016,I442*$G$3,B442=2017,I442*$G$4,B442=2018,I442*$G$5,B442=2019,I442*$G$6,B442=2020,I442*$G$7,B442=2021,I442*$G$8,B442=2022,I442*$G$9,B442=2023,I442*$G$10)</f>
        <v>42972.325511123716</v>
      </c>
      <c r="K442" s="8">
        <f t="shared" si="6"/>
        <v>264844.32551112369</v>
      </c>
      <c r="L442">
        <f>IFERROR(VLOOKUP(F442,'LEAID Match'!$A$2:$B$240,2,FALSE),"")</f>
        <v>0</v>
      </c>
    </row>
    <row r="443" spans="1:12" x14ac:dyDescent="0.2">
      <c r="A443">
        <v>0</v>
      </c>
      <c r="B443">
        <v>2019</v>
      </c>
      <c r="C443" s="4" t="s">
        <v>130</v>
      </c>
      <c r="D443" s="4" t="s">
        <v>576</v>
      </c>
      <c r="E443" s="4" t="s">
        <v>578</v>
      </c>
      <c r="F443" s="4" t="s">
        <v>89</v>
      </c>
      <c r="G443" s="8">
        <v>224579</v>
      </c>
      <c r="I443" s="16" cm="1">
        <f t="array" ref="I443">_xlfn.IFS(B443=2015,G443/$H$1957,B443=2016,G443/$H$1958,B443=2017,G443/$H$1959,B443=2018,G443/$H$1960,B443=2019,G443/$H$1961,B443=2020,G443/$H$1962,B443=2021,G443/$H$1963,B443=2022,G443/$H$1964,B443=2023,G443/$H$1965)</f>
        <v>2.7910602912669931E-4</v>
      </c>
      <c r="J443" s="10" cm="1">
        <f t="array" ref="J443">_xlfn.IFS(B443=2015,I443*$G$2,B443=2016,I443*$G$3,B443=2017,I443*$G$4,B443=2018,I443*$G$5,B443=2019,I443*$G$6,B443=2020,I443*$G$7,B443=2021,I443*$G$8,B443=2022,I443*$G$9,B443=2023,I443*$G$10)</f>
        <v>44106.601621769594</v>
      </c>
      <c r="K443" s="8">
        <f t="shared" si="6"/>
        <v>268685.6016217696</v>
      </c>
      <c r="L443">
        <f>IFERROR(VLOOKUP(F443,'LEAID Match'!$A$2:$B$240,2,FALSE),"")</f>
        <v>0</v>
      </c>
    </row>
    <row r="444" spans="1:12" x14ac:dyDescent="0.2">
      <c r="A444">
        <v>0</v>
      </c>
      <c r="B444">
        <v>2020</v>
      </c>
      <c r="C444" s="4" t="s">
        <v>130</v>
      </c>
      <c r="D444" s="4" t="s">
        <v>576</v>
      </c>
      <c r="E444" s="4" t="s">
        <v>578</v>
      </c>
      <c r="F444" s="4" t="s">
        <v>89</v>
      </c>
      <c r="G444" s="8">
        <v>211662</v>
      </c>
      <c r="I444" s="16" cm="1">
        <f t="array" ref="I444">_xlfn.IFS(B444=2015,G444/$H$1957,B444=2016,G444/$H$1958,B444=2017,G444/$H$1959,B444=2018,G444/$H$1960,B444=2019,G444/$H$1961,B444=2020,G444/$H$1962,B444=2021,G444/$H$1963,B444=2022,G444/$H$1964,B444=2023,G444/$H$1965)</f>
        <v>2.4344588055006549E-4</v>
      </c>
      <c r="J444" s="10" cm="1">
        <f t="array" ref="J444">_xlfn.IFS(B444=2015,I444*$G$2,B444=2016,I444*$G$3,B444=2017,I444*$G$4,B444=2018,I444*$G$5,B444=2019,I444*$G$6,B444=2020,I444*$G$7,B444=2021,I444*$G$8,B444=2022,I444*$G$9,B444=2023,I444*$G$10)</f>
        <v>42039.182631644173</v>
      </c>
      <c r="K444" s="8">
        <f t="shared" si="6"/>
        <v>253701.18263164419</v>
      </c>
      <c r="L444">
        <f>IFERROR(VLOOKUP(F444,'LEAID Match'!$A$2:$B$240,2,FALSE),"")</f>
        <v>0</v>
      </c>
    </row>
    <row r="445" spans="1:12" x14ac:dyDescent="0.2">
      <c r="A445">
        <v>0</v>
      </c>
      <c r="B445">
        <v>2021</v>
      </c>
      <c r="C445" s="4" t="s">
        <v>130</v>
      </c>
      <c r="D445" s="4" t="s">
        <v>576</v>
      </c>
      <c r="E445" s="4" t="s">
        <v>578</v>
      </c>
      <c r="F445" s="4" t="s">
        <v>89</v>
      </c>
      <c r="G445" s="8">
        <v>250771</v>
      </c>
      <c r="I445" s="16" cm="1">
        <f t="array" ref="I445">_xlfn.IFS(B445=2015,G445/$H$1957,B445=2016,G445/$H$1958,B445=2017,G445/$H$1959,B445=2018,G445/$H$1960,B445=2019,G445/$H$1961,B445=2020,G445/$H$1962,B445=2021,G445/$H$1963,B445=2022,G445/$H$1964,B445=2023,G445/$H$1965)</f>
        <v>2.8657981766808078E-4</v>
      </c>
      <c r="J445" s="10" cm="1">
        <f t="array" ref="J445">_xlfn.IFS(B445=2015,I445*$G$2,B445=2016,I445*$G$3,B445=2017,I445*$G$4,B445=2018,I445*$G$5,B445=2019,I445*$G$6,B445=2020,I445*$G$7,B445=2021,I445*$G$8,B445=2022,I445*$G$9,B445=2023,I445*$G$10)</f>
        <v>49181.921569652921</v>
      </c>
      <c r="K445" s="8">
        <f t="shared" si="6"/>
        <v>299952.92156965291</v>
      </c>
      <c r="L445">
        <f>IFERROR(VLOOKUP(F445,'LEAID Match'!$A$2:$B$240,2,FALSE),"")</f>
        <v>0</v>
      </c>
    </row>
    <row r="446" spans="1:12" x14ac:dyDescent="0.2">
      <c r="A446">
        <v>0</v>
      </c>
      <c r="B446">
        <v>2022</v>
      </c>
      <c r="C446" s="4" t="s">
        <v>130</v>
      </c>
      <c r="D446" s="4" t="s">
        <v>576</v>
      </c>
      <c r="E446" s="4" t="s">
        <v>578</v>
      </c>
      <c r="F446" s="4" t="s">
        <v>89</v>
      </c>
      <c r="G446" s="8">
        <v>283835</v>
      </c>
      <c r="I446" s="16" cm="1">
        <f t="array" ref="I446">_xlfn.IFS(B446=2015,G446/$H$1957,B446=2016,G446/$H$1958,B446=2017,G446/$H$1959,B446=2018,G446/$H$1960,B446=2019,G446/$H$1961,B446=2020,G446/$H$1962,B446=2021,G446/$H$1963,B446=2022,G446/$H$1964,B446=2023,G446/$H$1965)</f>
        <v>3.0506651307139797E-4</v>
      </c>
      <c r="J446" s="10" cm="1">
        <f t="array" ref="J446">_xlfn.IFS(B446=2015,I446*$G$2,B446=2016,I446*$G$3,B446=2017,I446*$G$4,B446=2018,I446*$G$5,B446=2019,I446*$G$6,B446=2020,I446*$G$7,B446=2021,I446*$G$8,B446=2022,I446*$G$9,B446=2023,I446*$G$10)</f>
        <v>51734.902607380005</v>
      </c>
      <c r="K446" s="8">
        <f t="shared" si="6"/>
        <v>335569.90260738001</v>
      </c>
      <c r="L446">
        <f>IFERROR(VLOOKUP(F446,'LEAID Match'!$A$2:$B$240,2,FALSE),"")</f>
        <v>0</v>
      </c>
    </row>
    <row r="447" spans="1:12" x14ac:dyDescent="0.2">
      <c r="A447">
        <v>0</v>
      </c>
      <c r="B447">
        <v>2023</v>
      </c>
      <c r="C447" s="4" t="s">
        <v>130</v>
      </c>
      <c r="D447" s="4" t="s">
        <v>576</v>
      </c>
      <c r="E447" s="4" t="s">
        <v>578</v>
      </c>
      <c r="F447" s="4" t="s">
        <v>89</v>
      </c>
      <c r="G447" s="8">
        <v>343321</v>
      </c>
      <c r="I447" s="16" cm="1">
        <f t="array" ref="I447">_xlfn.IFS(B447=2015,G447/$H$1957,B447=2016,G447/$H$1958,B447=2017,G447/$H$1959,B447=2018,G447/$H$1960,B447=2019,G447/$H$1961,B447=2020,G447/$H$1962,B447=2021,G447/$H$1963,B447=2022,G447/$H$1964,B447=2023,G447/$H$1965)</f>
        <v>3.4760893875422622E-4</v>
      </c>
      <c r="J447" s="10" cm="1">
        <f t="array" ref="J447">_xlfn.IFS(B447=2015,I447*$G$2,B447=2016,I447*$G$3,B447=2017,I447*$G$4,B447=2018,I447*$G$5,B447=2019,I447*$G$6,B447=2020,I447*$G$7,B447=2021,I447*$G$8,B447=2022,I447*$G$9,B447=2023,I447*$G$10)</f>
        <v>59088.416341388605</v>
      </c>
      <c r="K447" s="8">
        <f t="shared" si="6"/>
        <v>402409.4163413886</v>
      </c>
      <c r="L447">
        <f>IFERROR(VLOOKUP(F447,'LEAID Match'!$A$2:$B$240,2,FALSE),"")</f>
        <v>0</v>
      </c>
    </row>
    <row r="448" spans="1:12" x14ac:dyDescent="0.2">
      <c r="A448">
        <v>0</v>
      </c>
      <c r="B448">
        <v>2015</v>
      </c>
      <c r="C448" s="4" t="s">
        <v>131</v>
      </c>
      <c r="D448" s="4" t="s">
        <v>576</v>
      </c>
      <c r="E448" s="4" t="s">
        <v>578</v>
      </c>
      <c r="F448" s="4" t="s">
        <v>90</v>
      </c>
      <c r="G448" s="8">
        <v>101559</v>
      </c>
      <c r="I448" s="16" cm="1">
        <f t="array" ref="I448">_xlfn.IFS(B448=2015,G448/$H$1957,B448=2016,G448/$H$1958,B448=2017,G448/$H$1959,B448=2018,G448/$H$1960,B448=2019,G448/$H$1961,B448=2020,G448/$H$1962,B448=2021,G448/$H$1963,B448=2022,G448/$H$1964,B448=2023,G448/$H$1965)</f>
        <v>7.8429799988456749E-5</v>
      </c>
      <c r="J448" s="10" cm="1">
        <f t="array" ref="J448">_xlfn.IFS(B448=2015,I448*$G$2,B448=2016,I448*$G$3,B448=2017,I448*$G$4,B448=2018,I448*$G$5,B448=2019,I448*$G$6,B448=2020,I448*$G$7,B448=2021,I448*$G$8,B448=2022,I448*$G$9,B448=2023,I448*$G$10)</f>
        <v>19500.987425864856</v>
      </c>
      <c r="K448" s="8">
        <f t="shared" si="6"/>
        <v>121059.98742586485</v>
      </c>
      <c r="L448">
        <f>IFERROR(VLOOKUP(F448,'LEAID Match'!$A$2:$B$240,2,FALSE),"")</f>
        <v>0</v>
      </c>
    </row>
    <row r="449" spans="1:12" x14ac:dyDescent="0.2">
      <c r="A449">
        <v>0</v>
      </c>
      <c r="B449">
        <v>2016</v>
      </c>
      <c r="C449" s="4" t="s">
        <v>131</v>
      </c>
      <c r="D449" s="4" t="s">
        <v>576</v>
      </c>
      <c r="E449" s="4" t="s">
        <v>578</v>
      </c>
      <c r="F449" s="4" t="s">
        <v>90</v>
      </c>
      <c r="G449" s="8">
        <v>108656</v>
      </c>
      <c r="I449" s="16" cm="1">
        <f t="array" ref="I449">_xlfn.IFS(B449=2015,G449/$H$1957,B449=2016,G449/$H$1958,B449=2017,G449/$H$1959,B449=2018,G449/$H$1960,B449=2019,G449/$H$1961,B449=2020,G449/$H$1962,B449=2021,G449/$H$1963,B449=2022,G449/$H$1964,B449=2023,G449/$H$1965)</f>
        <v>7.6276465548852899E-5</v>
      </c>
      <c r="J449" s="10" cm="1">
        <f t="array" ref="J449">_xlfn.IFS(B449=2015,I449*$G$2,B449=2016,I449*$G$3,B449=2017,I449*$G$4,B449=2018,I449*$G$5,B449=2019,I449*$G$6,B449=2020,I449*$G$7,B449=2021,I449*$G$8,B449=2022,I449*$G$9,B449=2023,I449*$G$10)</f>
        <v>20686.412388362798</v>
      </c>
      <c r="K449" s="8">
        <f t="shared" si="6"/>
        <v>129342.41238836281</v>
      </c>
      <c r="L449">
        <f>IFERROR(VLOOKUP(F449,'LEAID Match'!$A$2:$B$240,2,FALSE),"")</f>
        <v>0</v>
      </c>
    </row>
    <row r="450" spans="1:12" x14ac:dyDescent="0.2">
      <c r="A450">
        <v>0</v>
      </c>
      <c r="B450">
        <v>2017</v>
      </c>
      <c r="C450" s="4" t="s">
        <v>131</v>
      </c>
      <c r="D450" s="4" t="s">
        <v>576</v>
      </c>
      <c r="E450" s="4" t="s">
        <v>578</v>
      </c>
      <c r="F450" s="4" t="s">
        <v>90</v>
      </c>
      <c r="G450" s="8">
        <v>54469</v>
      </c>
      <c r="I450" s="16" cm="1">
        <f t="array" ref="I450">_xlfn.IFS(B450=2015,G450/$H$1957,B450=2016,G450/$H$1958,B450=2017,G450/$H$1959,B450=2018,G450/$H$1960,B450=2019,G450/$H$1961,B450=2020,G450/$H$1962,B450=2021,G450/$H$1963,B450=2022,G450/$H$1964,B450=2023,G450/$H$1965)</f>
        <v>7.2673237399678908E-5</v>
      </c>
      <c r="J450" s="10" cm="1">
        <f t="array" ref="J450">_xlfn.IFS(B450=2015,I450*$G$2,B450=2016,I450*$G$3,B450=2017,I450*$G$4,B450=2018,I450*$G$5,B450=2019,I450*$G$6,B450=2020,I450*$G$7,B450=2021,I450*$G$8,B450=2022,I450*$G$9,B450=2023,I450*$G$10)</f>
        <v>10761.931692759204</v>
      </c>
      <c r="K450" s="8">
        <f t="shared" si="6"/>
        <v>65230.931692759201</v>
      </c>
      <c r="L450">
        <f>IFERROR(VLOOKUP(F450,'LEAID Match'!$A$2:$B$240,2,FALSE),"")</f>
        <v>0</v>
      </c>
    </row>
    <row r="451" spans="1:12" x14ac:dyDescent="0.2">
      <c r="A451">
        <v>0</v>
      </c>
      <c r="B451">
        <v>2018</v>
      </c>
      <c r="C451" s="4" t="s">
        <v>131</v>
      </c>
      <c r="D451" s="4" t="s">
        <v>576</v>
      </c>
      <c r="E451" s="4" t="s">
        <v>578</v>
      </c>
      <c r="F451" s="4" t="s">
        <v>90</v>
      </c>
      <c r="G451" s="8">
        <v>65221</v>
      </c>
      <c r="I451" s="16" cm="1">
        <f t="array" ref="I451">_xlfn.IFS(B451=2015,G451/$H$1957,B451=2016,G451/$H$1958,B451=2017,G451/$H$1959,B451=2018,G451/$H$1960,B451=2019,G451/$H$1961,B451=2020,G451/$H$1962,B451=2021,G451/$H$1963,B451=2022,G451/$H$1964,B451=2023,G451/$H$1965)</f>
        <v>8.392054208884687E-5</v>
      </c>
      <c r="J451" s="10" cm="1">
        <f t="array" ref="J451">_xlfn.IFS(B451=2015,I451*$G$2,B451=2016,I451*$G$3,B451=2017,I451*$G$4,B451=2018,I451*$G$5,B451=2019,I451*$G$6,B451=2020,I451*$G$7,B451=2021,I451*$G$8,B451=2022,I451*$G$9,B451=2023,I451*$G$10)</f>
        <v>12632.049299420387</v>
      </c>
      <c r="K451" s="8">
        <f t="shared" si="6"/>
        <v>77853.049299420381</v>
      </c>
      <c r="L451">
        <f>IFERROR(VLOOKUP(F451,'LEAID Match'!$A$2:$B$240,2,FALSE),"")</f>
        <v>0</v>
      </c>
    </row>
    <row r="452" spans="1:12" x14ac:dyDescent="0.2">
      <c r="A452">
        <v>0</v>
      </c>
      <c r="B452">
        <v>2019</v>
      </c>
      <c r="C452" s="4" t="s">
        <v>131</v>
      </c>
      <c r="D452" s="4" t="s">
        <v>576</v>
      </c>
      <c r="E452" s="4" t="s">
        <v>578</v>
      </c>
      <c r="F452" s="4" t="s">
        <v>90</v>
      </c>
      <c r="G452" s="8">
        <v>74267</v>
      </c>
      <c r="I452" s="16" cm="1">
        <f t="array" ref="I452">_xlfn.IFS(B452=2015,G452/$H$1957,B452=2016,G452/$H$1958,B452=2017,G452/$H$1959,B452=2018,G452/$H$1960,B452=2019,G452/$H$1961,B452=2020,G452/$H$1962,B452=2021,G452/$H$1963,B452=2022,G452/$H$1964,B452=2023,G452/$H$1965)</f>
        <v>9.2298778893630206E-5</v>
      </c>
      <c r="J452" s="10" cm="1">
        <f t="array" ref="J452">_xlfn.IFS(B452=2015,I452*$G$2,B452=2016,I452*$G$3,B452=2017,I452*$G$4,B452=2018,I452*$G$5,B452=2019,I452*$G$6,B452=2020,I452*$G$7,B452=2021,I452*$G$8,B452=2022,I452*$G$9,B452=2023,I452*$G$10)</f>
        <v>14585.802691453619</v>
      </c>
      <c r="K452" s="8">
        <f t="shared" si="6"/>
        <v>88852.802691453617</v>
      </c>
      <c r="L452">
        <f>IFERROR(VLOOKUP(F452,'LEAID Match'!$A$2:$B$240,2,FALSE),"")</f>
        <v>0</v>
      </c>
    </row>
    <row r="453" spans="1:12" x14ac:dyDescent="0.2">
      <c r="A453">
        <v>0</v>
      </c>
      <c r="B453">
        <v>2020</v>
      </c>
      <c r="C453" s="4" t="s">
        <v>131</v>
      </c>
      <c r="D453" s="4" t="s">
        <v>576</v>
      </c>
      <c r="E453" s="4" t="s">
        <v>578</v>
      </c>
      <c r="F453" s="4" t="s">
        <v>90</v>
      </c>
      <c r="G453" s="8">
        <v>88989</v>
      </c>
      <c r="I453" s="16" cm="1">
        <f t="array" ref="I453">_xlfn.IFS(B453=2015,G453/$H$1957,B453=2016,G453/$H$1958,B453=2017,G453/$H$1959,B453=2018,G453/$H$1960,B453=2019,G453/$H$1961,B453=2020,G453/$H$1962,B453=2021,G453/$H$1963,B453=2022,G453/$H$1964,B453=2023,G453/$H$1965)</f>
        <v>1.0235188869173389E-4</v>
      </c>
      <c r="J453" s="10" cm="1">
        <f t="array" ref="J453">_xlfn.IFS(B453=2015,I453*$G$2,B453=2016,I453*$G$3,B453=2017,I453*$G$4,B453=2018,I453*$G$5,B453=2019,I453*$G$6,B453=2020,I453*$G$7,B453=2021,I453*$G$8,B453=2022,I453*$G$9,B453=2023,I453*$G$10)</f>
        <v>17674.522697543172</v>
      </c>
      <c r="K453" s="8">
        <f t="shared" si="6"/>
        <v>106663.52269754317</v>
      </c>
      <c r="L453">
        <f>IFERROR(VLOOKUP(F453,'LEAID Match'!$A$2:$B$240,2,FALSE),"")</f>
        <v>0</v>
      </c>
    </row>
    <row r="454" spans="1:12" x14ac:dyDescent="0.2">
      <c r="A454">
        <v>0</v>
      </c>
      <c r="B454">
        <v>2021</v>
      </c>
      <c r="C454" s="4" t="s">
        <v>131</v>
      </c>
      <c r="D454" s="4" t="s">
        <v>576</v>
      </c>
      <c r="E454" s="4" t="s">
        <v>578</v>
      </c>
      <c r="F454" s="4" t="s">
        <v>90</v>
      </c>
      <c r="G454" s="8">
        <v>85424</v>
      </c>
      <c r="I454" s="16" cm="1">
        <f t="array" ref="I454">_xlfn.IFS(B454=2015,G454/$H$1957,B454=2016,G454/$H$1958,B454=2017,G454/$H$1959,B454=2018,G454/$H$1960,B454=2019,G454/$H$1961,B454=2020,G454/$H$1962,B454=2021,G454/$H$1963,B454=2022,G454/$H$1964,B454=2023,G454/$H$1965)</f>
        <v>9.7622110788241585E-5</v>
      </c>
      <c r="J454" s="10" cm="1">
        <f t="array" ref="J454">_xlfn.IFS(B454=2015,I454*$G$2,B454=2016,I454*$G$3,B454=2017,I454*$G$4,B454=2018,I454*$G$5,B454=2019,I454*$G$6,B454=2020,I454*$G$7,B454=2021,I454*$G$8,B454=2022,I454*$G$9,B454=2023,I454*$G$10)</f>
        <v>16753.597777119488</v>
      </c>
      <c r="K454" s="8">
        <f t="shared" si="6"/>
        <v>102177.59777711949</v>
      </c>
      <c r="L454">
        <f>IFERROR(VLOOKUP(F454,'LEAID Match'!$A$2:$B$240,2,FALSE),"")</f>
        <v>0</v>
      </c>
    </row>
    <row r="455" spans="1:12" x14ac:dyDescent="0.2">
      <c r="A455">
        <v>0</v>
      </c>
      <c r="B455">
        <v>2022</v>
      </c>
      <c r="C455" s="4" t="s">
        <v>131</v>
      </c>
      <c r="D455" s="4" t="s">
        <v>576</v>
      </c>
      <c r="E455" s="4" t="s">
        <v>578</v>
      </c>
      <c r="F455" s="4" t="s">
        <v>90</v>
      </c>
      <c r="G455" s="8">
        <v>94518</v>
      </c>
      <c r="I455" s="16" cm="1">
        <f t="array" ref="I455">_xlfn.IFS(B455=2015,G455/$H$1957,B455=2016,G455/$H$1958,B455=2017,G455/$H$1959,B455=2018,G455/$H$1960,B455=2019,G455/$H$1961,B455=2020,G455/$H$1962,B455=2021,G455/$H$1963,B455=2022,G455/$H$1964,B455=2023,G455/$H$1965)</f>
        <v>1.0158816454095652E-4</v>
      </c>
      <c r="J455" s="10" cm="1">
        <f t="array" ref="J455">_xlfn.IFS(B455=2015,I455*$G$2,B455=2016,I455*$G$3,B455=2017,I455*$G$4,B455=2018,I455*$G$5,B455=2019,I455*$G$6,B455=2020,I455*$G$7,B455=2021,I455*$G$8,B455=2022,I455*$G$9,B455=2023,I455*$G$10)</f>
        <v>17227.894814396899</v>
      </c>
      <c r="K455" s="8">
        <f t="shared" si="6"/>
        <v>111745.8948143969</v>
      </c>
      <c r="L455">
        <f>IFERROR(VLOOKUP(F455,'LEAID Match'!$A$2:$B$240,2,FALSE),"")</f>
        <v>0</v>
      </c>
    </row>
    <row r="456" spans="1:12" x14ac:dyDescent="0.2">
      <c r="A456">
        <v>0</v>
      </c>
      <c r="B456">
        <v>2023</v>
      </c>
      <c r="C456" s="4" t="s">
        <v>131</v>
      </c>
      <c r="D456" s="4" t="s">
        <v>576</v>
      </c>
      <c r="E456" s="4" t="s">
        <v>578</v>
      </c>
      <c r="F456" s="4" t="s">
        <v>90</v>
      </c>
      <c r="G456" s="8">
        <v>90203</v>
      </c>
      <c r="I456" s="16" cm="1">
        <f t="array" ref="I456">_xlfn.IFS(B456=2015,G456/$H$1957,B456=2016,G456/$H$1958,B456=2017,G456/$H$1959,B456=2018,G456/$H$1960,B456=2019,G456/$H$1961,B456=2020,G456/$H$1962,B456=2021,G456/$H$1963,B456=2022,G456/$H$1964,B456=2023,G456/$H$1965)</f>
        <v>9.1329598546105453E-5</v>
      </c>
      <c r="J456" s="10" cm="1">
        <f t="array" ref="J456">_xlfn.IFS(B456=2015,I456*$G$2,B456=2016,I456*$G$3,B456=2017,I456*$G$4,B456=2018,I456*$G$5,B456=2019,I456*$G$6,B456=2020,I456*$G$7,B456=2021,I456*$G$8,B456=2022,I456*$G$9,B456=2023,I456*$G$10)</f>
        <v>15524.690943001671</v>
      </c>
      <c r="K456" s="8">
        <f t="shared" si="6"/>
        <v>105727.69094300167</v>
      </c>
      <c r="L456">
        <f>IFERROR(VLOOKUP(F456,'LEAID Match'!$A$2:$B$240,2,FALSE),"")</f>
        <v>0</v>
      </c>
    </row>
    <row r="457" spans="1:12" x14ac:dyDescent="0.2">
      <c r="A457">
        <v>0</v>
      </c>
      <c r="B457">
        <v>2015</v>
      </c>
      <c r="C457" s="4" t="s">
        <v>132</v>
      </c>
      <c r="D457" s="4" t="s">
        <v>576</v>
      </c>
      <c r="E457" s="4" t="s">
        <v>578</v>
      </c>
      <c r="F457" s="4" t="s">
        <v>91</v>
      </c>
      <c r="G457" s="8">
        <v>430593</v>
      </c>
      <c r="I457" s="16" cm="1">
        <f t="array" ref="I457">_xlfn.IFS(B457=2015,G457/$H$1957,B457=2016,G457/$H$1958,B457=2017,G457/$H$1959,B457=2018,G457/$H$1960,B457=2019,G457/$H$1961,B457=2020,G457/$H$1962,B457=2021,G457/$H$1963,B457=2022,G457/$H$1964,B457=2023,G457/$H$1965)</f>
        <v>3.3252909999536775E-4</v>
      </c>
      <c r="J457" s="10" cm="1">
        <f t="array" ref="J457">_xlfn.IFS(B457=2015,I457*$G$2,B457=2016,I457*$G$3,B457=2017,I457*$G$4,B457=2018,I457*$G$5,B457=2019,I457*$G$6,B457=2020,I457*$G$7,B457=2021,I457*$G$8,B457=2022,I457*$G$9,B457=2023,I457*$G$10)</f>
        <v>82680.891685280731</v>
      </c>
      <c r="K457" s="8">
        <f t="shared" si="6"/>
        <v>513273.89168528072</v>
      </c>
      <c r="L457">
        <f>IFERROR(VLOOKUP(F457,'LEAID Match'!$A$2:$B$240,2,FALSE),"")</f>
        <v>0</v>
      </c>
    </row>
    <row r="458" spans="1:12" x14ac:dyDescent="0.2">
      <c r="A458">
        <v>0</v>
      </c>
      <c r="B458">
        <v>2016</v>
      </c>
      <c r="C458" s="4" t="s">
        <v>132</v>
      </c>
      <c r="D458" s="4" t="s">
        <v>576</v>
      </c>
      <c r="E458" s="4" t="s">
        <v>578</v>
      </c>
      <c r="F458" s="4" t="s">
        <v>91</v>
      </c>
      <c r="G458" s="8">
        <v>423987</v>
      </c>
      <c r="I458" s="16" cm="1">
        <f t="array" ref="I458">_xlfn.IFS(B458=2015,G458/$H$1957,B458=2016,G458/$H$1958,B458=2017,G458/$H$1959,B458=2018,G458/$H$1960,B458=2019,G458/$H$1961,B458=2020,G458/$H$1962,B458=2021,G458/$H$1963,B458=2022,G458/$H$1964,B458=2023,G458/$H$1965)</f>
        <v>2.9763869274279832E-4</v>
      </c>
      <c r="J458" s="10" cm="1">
        <f t="array" ref="J458">_xlfn.IFS(B458=2015,I458*$G$2,B458=2016,I458*$G$3,B458=2017,I458*$G$4,B458=2018,I458*$G$5,B458=2019,I458*$G$6,B458=2020,I458*$G$7,B458=2021,I458*$G$8,B458=2022,I458*$G$9,B458=2023,I458*$G$10)</f>
        <v>80720.530199020548</v>
      </c>
      <c r="K458" s="8">
        <f t="shared" si="6"/>
        <v>504707.53019902052</v>
      </c>
      <c r="L458">
        <f>IFERROR(VLOOKUP(F458,'LEAID Match'!$A$2:$B$240,2,FALSE),"")</f>
        <v>0</v>
      </c>
    </row>
    <row r="459" spans="1:12" x14ac:dyDescent="0.2">
      <c r="A459">
        <v>0</v>
      </c>
      <c r="B459">
        <v>2017</v>
      </c>
      <c r="C459" s="4" t="s">
        <v>132</v>
      </c>
      <c r="D459" s="4" t="s">
        <v>576</v>
      </c>
      <c r="E459" s="4" t="s">
        <v>578</v>
      </c>
      <c r="F459" s="4" t="s">
        <v>91</v>
      </c>
      <c r="G459" s="8">
        <v>147548</v>
      </c>
      <c r="I459" s="16" cm="1">
        <f t="array" ref="I459">_xlfn.IFS(B459=2015,G459/$H$1957,B459=2016,G459/$H$1958,B459=2017,G459/$H$1959,B459=2018,G459/$H$1960,B459=2019,G459/$H$1961,B459=2020,G459/$H$1962,B459=2021,G459/$H$1963,B459=2022,G459/$H$1964,B459=2023,G459/$H$1965)</f>
        <v>1.9686043128839932E-4</v>
      </c>
      <c r="J459" s="10" cm="1">
        <f t="array" ref="J459">_xlfn.IFS(B459=2015,I459*$G$2,B459=2016,I459*$G$3,B459=2017,I459*$G$4,B459=2018,I459*$G$5,B459=2019,I459*$G$6,B459=2020,I459*$G$7,B459=2021,I459*$G$8,B459=2022,I459*$G$9,B459=2023,I459*$G$10)</f>
        <v>29152.389384847069</v>
      </c>
      <c r="K459" s="8">
        <f t="shared" si="6"/>
        <v>176700.38938484708</v>
      </c>
      <c r="L459">
        <f>IFERROR(VLOOKUP(F459,'LEAID Match'!$A$2:$B$240,2,FALSE),"")</f>
        <v>0</v>
      </c>
    </row>
    <row r="460" spans="1:12" x14ac:dyDescent="0.2">
      <c r="A460">
        <v>0</v>
      </c>
      <c r="B460">
        <v>2018</v>
      </c>
      <c r="C460" s="4" t="s">
        <v>132</v>
      </c>
      <c r="D460" s="4" t="s">
        <v>576</v>
      </c>
      <c r="E460" s="4" t="s">
        <v>578</v>
      </c>
      <c r="F460" s="4" t="s">
        <v>91</v>
      </c>
      <c r="G460" s="8">
        <v>99459</v>
      </c>
      <c r="I460" s="16" cm="1">
        <f t="array" ref="I460">_xlfn.IFS(B460=2015,G460/$H$1957,B460=2016,G460/$H$1958,B460=2017,G460/$H$1959,B460=2018,G460/$H$1960,B460=2019,G460/$H$1961,B460=2020,G460/$H$1962,B460=2021,G460/$H$1963,B460=2022,G460/$H$1964,B460=2023,G460/$H$1965)</f>
        <v>1.2797493438638813E-4</v>
      </c>
      <c r="J460" s="10" cm="1">
        <f t="array" ref="J460">_xlfn.IFS(B460=2015,I460*$G$2,B460=2016,I460*$G$3,B460=2017,I460*$G$4,B460=2018,I460*$G$5,B460=2019,I460*$G$6,B460=2020,I460*$G$7,B460=2021,I460*$G$8,B460=2022,I460*$G$9,B460=2023,I460*$G$10)</f>
        <v>19263.289297481675</v>
      </c>
      <c r="K460" s="8">
        <f t="shared" ref="K460:K523" si="7">SUM(G460,J460)</f>
        <v>118722.28929748168</v>
      </c>
      <c r="L460">
        <f>IFERROR(VLOOKUP(F460,'LEAID Match'!$A$2:$B$240,2,FALSE),"")</f>
        <v>0</v>
      </c>
    </row>
    <row r="461" spans="1:12" x14ac:dyDescent="0.2">
      <c r="A461">
        <v>0</v>
      </c>
      <c r="B461">
        <v>2019</v>
      </c>
      <c r="C461" s="4" t="s">
        <v>132</v>
      </c>
      <c r="D461" s="4" t="s">
        <v>576</v>
      </c>
      <c r="E461" s="4" t="s">
        <v>578</v>
      </c>
      <c r="F461" s="4" t="s">
        <v>91</v>
      </c>
      <c r="G461" s="8">
        <v>35627</v>
      </c>
      <c r="I461" s="16" cm="1">
        <f t="array" ref="I461">_xlfn.IFS(B461=2015,G461/$H$1957,B461=2016,G461/$H$1958,B461=2017,G461/$H$1959,B461=2018,G461/$H$1960,B461=2019,G461/$H$1961,B461=2020,G461/$H$1962,B461=2021,G461/$H$1963,B461=2022,G461/$H$1964,B461=2023,G461/$H$1965)</f>
        <v>4.4277116291803406E-5</v>
      </c>
      <c r="J461" s="10" cm="1">
        <f t="array" ref="J461">_xlfn.IFS(B461=2015,I461*$G$2,B461=2016,I461*$G$3,B461=2017,I461*$G$4,B461=2018,I461*$G$5,B461=2019,I461*$G$6,B461=2020,I461*$G$7,B461=2021,I461*$G$8,B461=2022,I461*$G$9,B461=2023,I461*$G$10)</f>
        <v>6997.0295351692967</v>
      </c>
      <c r="K461" s="8">
        <f t="shared" si="7"/>
        <v>42624.029535169298</v>
      </c>
      <c r="L461">
        <f>IFERROR(VLOOKUP(F461,'LEAID Match'!$A$2:$B$240,2,FALSE),"")</f>
        <v>0</v>
      </c>
    </row>
    <row r="462" spans="1:12" x14ac:dyDescent="0.2">
      <c r="A462">
        <v>0</v>
      </c>
      <c r="B462">
        <v>2020</v>
      </c>
      <c r="C462" s="4" t="s">
        <v>132</v>
      </c>
      <c r="D462" s="4" t="s">
        <v>576</v>
      </c>
      <c r="E462" s="4" t="s">
        <v>578</v>
      </c>
      <c r="F462" s="4" t="s">
        <v>91</v>
      </c>
      <c r="I462" s="16" cm="1">
        <f t="array" ref="I462">_xlfn.IFS(B462=2015,G462/$H$1957,B462=2016,G462/$H$1958,B462=2017,G462/$H$1959,B462=2018,G462/$H$1960,B462=2019,G462/$H$1961,B462=2020,G462/$H$1962,B462=2021,G462/$H$1963,B462=2022,G462/$H$1964,B462=2023,G462/$H$1965)</f>
        <v>0</v>
      </c>
      <c r="J462" s="10" cm="1">
        <f t="array" ref="J462">_xlfn.IFS(B462=2015,I462*$G$2,B462=2016,I462*$G$3,B462=2017,I462*$G$4,B462=2018,I462*$G$5,B462=2019,I462*$G$6,B462=2020,I462*$G$7,B462=2021,I462*$G$8,B462=2022,I462*$G$9,B462=2023,I462*$G$10)</f>
        <v>0</v>
      </c>
      <c r="K462" s="8">
        <f t="shared" si="7"/>
        <v>0</v>
      </c>
      <c r="L462">
        <f>IFERROR(VLOOKUP(F462,'LEAID Match'!$A$2:$B$240,2,FALSE),"")</f>
        <v>0</v>
      </c>
    </row>
    <row r="463" spans="1:12" x14ac:dyDescent="0.2">
      <c r="A463">
        <v>0</v>
      </c>
      <c r="B463">
        <v>2021</v>
      </c>
      <c r="C463" s="4" t="s">
        <v>132</v>
      </c>
      <c r="D463" s="4" t="s">
        <v>576</v>
      </c>
      <c r="E463" s="4" t="s">
        <v>578</v>
      </c>
      <c r="F463" s="4" t="s">
        <v>91</v>
      </c>
      <c r="I463" s="16" cm="1">
        <f t="array" ref="I463">_xlfn.IFS(B463=2015,G463/$H$1957,B463=2016,G463/$H$1958,B463=2017,G463/$H$1959,B463=2018,G463/$H$1960,B463=2019,G463/$H$1961,B463=2020,G463/$H$1962,B463=2021,G463/$H$1963,B463=2022,G463/$H$1964,B463=2023,G463/$H$1965)</f>
        <v>0</v>
      </c>
      <c r="J463" s="10" cm="1">
        <f t="array" ref="J463">_xlfn.IFS(B463=2015,I463*$G$2,B463=2016,I463*$G$3,B463=2017,I463*$G$4,B463=2018,I463*$G$5,B463=2019,I463*$G$6,B463=2020,I463*$G$7,B463=2021,I463*$G$8,B463=2022,I463*$G$9,B463=2023,I463*$G$10)</f>
        <v>0</v>
      </c>
      <c r="K463" s="8">
        <f t="shared" si="7"/>
        <v>0</v>
      </c>
      <c r="L463">
        <f>IFERROR(VLOOKUP(F463,'LEAID Match'!$A$2:$B$240,2,FALSE),"")</f>
        <v>0</v>
      </c>
    </row>
    <row r="464" spans="1:12" x14ac:dyDescent="0.2">
      <c r="A464">
        <v>0</v>
      </c>
      <c r="B464">
        <v>2022</v>
      </c>
      <c r="C464" s="4" t="s">
        <v>132</v>
      </c>
      <c r="D464" s="4" t="s">
        <v>576</v>
      </c>
      <c r="E464" s="4" t="s">
        <v>578</v>
      </c>
      <c r="F464" s="4" t="s">
        <v>91</v>
      </c>
      <c r="I464" s="16" cm="1">
        <f t="array" ref="I464">_xlfn.IFS(B464=2015,G464/$H$1957,B464=2016,G464/$H$1958,B464=2017,G464/$H$1959,B464=2018,G464/$H$1960,B464=2019,G464/$H$1961,B464=2020,G464/$H$1962,B464=2021,G464/$H$1963,B464=2022,G464/$H$1964,B464=2023,G464/$H$1965)</f>
        <v>0</v>
      </c>
      <c r="J464" s="10" cm="1">
        <f t="array" ref="J464">_xlfn.IFS(B464=2015,I464*$G$2,B464=2016,I464*$G$3,B464=2017,I464*$G$4,B464=2018,I464*$G$5,B464=2019,I464*$G$6,B464=2020,I464*$G$7,B464=2021,I464*$G$8,B464=2022,I464*$G$9,B464=2023,I464*$G$10)</f>
        <v>0</v>
      </c>
      <c r="K464" s="8">
        <f t="shared" si="7"/>
        <v>0</v>
      </c>
      <c r="L464">
        <f>IFERROR(VLOOKUP(F464,'LEAID Match'!$A$2:$B$240,2,FALSE),"")</f>
        <v>0</v>
      </c>
    </row>
    <row r="465" spans="1:12" x14ac:dyDescent="0.2">
      <c r="A465">
        <v>0</v>
      </c>
      <c r="B465">
        <v>2023</v>
      </c>
      <c r="C465" s="4" t="s">
        <v>132</v>
      </c>
      <c r="D465" s="4" t="s">
        <v>576</v>
      </c>
      <c r="E465" s="4" t="s">
        <v>578</v>
      </c>
      <c r="F465" s="4" t="s">
        <v>91</v>
      </c>
      <c r="I465" s="16" cm="1">
        <f t="array" ref="I465">_xlfn.IFS(B465=2015,G465/$H$1957,B465=2016,G465/$H$1958,B465=2017,G465/$H$1959,B465=2018,G465/$H$1960,B465=2019,G465/$H$1961,B465=2020,G465/$H$1962,B465=2021,G465/$H$1963,B465=2022,G465/$H$1964,B465=2023,G465/$H$1965)</f>
        <v>0</v>
      </c>
      <c r="J465" s="10" cm="1">
        <f t="array" ref="J465">_xlfn.IFS(B465=2015,I465*$G$2,B465=2016,I465*$G$3,B465=2017,I465*$G$4,B465=2018,I465*$G$5,B465=2019,I465*$G$6,B465=2020,I465*$G$7,B465=2021,I465*$G$8,B465=2022,I465*$G$9,B465=2023,I465*$G$10)</f>
        <v>0</v>
      </c>
      <c r="K465" s="8">
        <f t="shared" si="7"/>
        <v>0</v>
      </c>
      <c r="L465">
        <f>IFERROR(VLOOKUP(F465,'LEAID Match'!$A$2:$B$240,2,FALSE),"")</f>
        <v>0</v>
      </c>
    </row>
    <row r="466" spans="1:12" x14ac:dyDescent="0.2">
      <c r="A466">
        <v>0</v>
      </c>
      <c r="B466">
        <v>2015</v>
      </c>
      <c r="C466" s="4" t="s">
        <v>133</v>
      </c>
      <c r="D466" s="4" t="s">
        <v>576</v>
      </c>
      <c r="E466" s="4" t="s">
        <v>578</v>
      </c>
      <c r="F466" s="9" t="s">
        <v>92</v>
      </c>
      <c r="G466" s="8">
        <v>108285</v>
      </c>
      <c r="H466">
        <v>1</v>
      </c>
      <c r="I466" s="16" cm="1">
        <f t="array" ref="I466">_xlfn.IFS(B466=2015,G466/$H$1957,B466=2016,G466/$H$1958,B466=2017,G466/$H$1959,B466=2018,G466/$H$1960,B466=2019,G466/$H$1961,B466=2020,G466/$H$1962,B466=2021,G466/$H$1963,B466=2022,G466/$H$1964,B466=2023,G466/$H$1965)</f>
        <v>8.3624010592365402E-5</v>
      </c>
      <c r="J466" s="10" cm="1">
        <f t="array" ref="J466">_xlfn.IFS(B466=2015,I466*$G$2,B466=2016,I466*$G$3,B466=2017,I466*$G$4,B466=2018,I466*$G$5,B466=2019,I466*$G$6,B466=2020,I466*$G$7,B466=2021,I466*$G$8,B466=2022,I466*$G$9,B466=2023,I466*$G$10)</f>
        <v>20792.489325513008</v>
      </c>
      <c r="K466" s="8">
        <f t="shared" si="7"/>
        <v>129077.48932551302</v>
      </c>
      <c r="L466">
        <f>IFERROR(VLOOKUP(F466,'LEAID Match'!$A$2:$B$240,2,FALSE),"")</f>
        <v>0</v>
      </c>
    </row>
    <row r="467" spans="1:12" x14ac:dyDescent="0.2">
      <c r="A467">
        <v>0</v>
      </c>
      <c r="B467">
        <v>2016</v>
      </c>
      <c r="C467" s="4" t="s">
        <v>133</v>
      </c>
      <c r="D467" s="4" t="s">
        <v>576</v>
      </c>
      <c r="E467" s="4" t="s">
        <v>578</v>
      </c>
      <c r="F467" s="9" t="s">
        <v>92</v>
      </c>
      <c r="G467" s="8">
        <v>141486</v>
      </c>
      <c r="H467">
        <v>1</v>
      </c>
      <c r="I467" s="16" cm="1">
        <f t="array" ref="I467">_xlfn.IFS(B467=2015,G467/$H$1957,B467=2016,G467/$H$1958,B467=2017,G467/$H$1959,B467=2018,G467/$H$1960,B467=2019,G467/$H$1961,B467=2020,G467/$H$1962,B467=2021,G467/$H$1963,B467=2022,G467/$H$1964,B467=2023,G467/$H$1965)</f>
        <v>9.9323111513814253E-5</v>
      </c>
      <c r="J467" s="10" cm="1">
        <f t="array" ref="J467">_xlfn.IFS(B467=2015,I467*$G$2,B467=2016,I467*$G$3,B467=2017,I467*$G$4,B467=2018,I467*$G$5,B467=2019,I467*$G$6,B467=2020,I467*$G$7,B467=2021,I467*$G$8,B467=2022,I467*$G$9,B467=2023,I467*$G$10)</f>
        <v>26936.733757729889</v>
      </c>
      <c r="K467" s="8">
        <f t="shared" si="7"/>
        <v>168422.73375772987</v>
      </c>
      <c r="L467">
        <f>IFERROR(VLOOKUP(F467,'LEAID Match'!$A$2:$B$240,2,FALSE),"")</f>
        <v>0</v>
      </c>
    </row>
    <row r="468" spans="1:12" x14ac:dyDescent="0.2">
      <c r="A468">
        <v>0</v>
      </c>
      <c r="B468">
        <v>2017</v>
      </c>
      <c r="C468" s="4" t="s">
        <v>133</v>
      </c>
      <c r="D468" s="4" t="s">
        <v>576</v>
      </c>
      <c r="E468" s="4" t="s">
        <v>578</v>
      </c>
      <c r="F468" s="9" t="s">
        <v>92</v>
      </c>
      <c r="G468" s="8">
        <v>84218</v>
      </c>
      <c r="H468">
        <v>1</v>
      </c>
      <c r="I468" s="16" cm="1">
        <f t="array" ref="I468">_xlfn.IFS(B468=2015,G468/$H$1957,B468=2016,G468/$H$1958,B468=2017,G468/$H$1959,B468=2018,G468/$H$1960,B468=2019,G468/$H$1961,B468=2020,G468/$H$1962,B468=2021,G468/$H$1963,B468=2022,G468/$H$1964,B468=2023,G468/$H$1965)</f>
        <v>1.1236473420342136E-4</v>
      </c>
      <c r="J468" s="10" cm="1">
        <f t="array" ref="J468">_xlfn.IFS(B468=2015,I468*$G$2,B468=2016,I468*$G$3,B468=2017,I468*$G$4,B468=2018,I468*$G$5,B468=2019,I468*$G$6,B468=2020,I468*$G$7,B468=2021,I468*$G$8,B468=2022,I468*$G$9,B468=2023,I468*$G$10)</f>
        <v>16639.709987346832</v>
      </c>
      <c r="K468" s="8">
        <f t="shared" si="7"/>
        <v>100857.70998734684</v>
      </c>
      <c r="L468">
        <f>IFERROR(VLOOKUP(F468,'LEAID Match'!$A$2:$B$240,2,FALSE),"")</f>
        <v>0</v>
      </c>
    </row>
    <row r="469" spans="1:12" x14ac:dyDescent="0.2">
      <c r="A469">
        <v>0</v>
      </c>
      <c r="B469">
        <v>2018</v>
      </c>
      <c r="C469" s="4" t="s">
        <v>133</v>
      </c>
      <c r="D469" s="4" t="s">
        <v>576</v>
      </c>
      <c r="E469" s="4" t="s">
        <v>578</v>
      </c>
      <c r="F469" s="9" t="s">
        <v>92</v>
      </c>
      <c r="G469" s="8">
        <v>106397</v>
      </c>
      <c r="H469">
        <v>1</v>
      </c>
      <c r="I469" s="16" cm="1">
        <f t="array" ref="I469">_xlfn.IFS(B469=2015,G469/$H$1957,B469=2016,G469/$H$1958,B469=2017,G469/$H$1959,B469=2018,G469/$H$1960,B469=2019,G469/$H$1961,B469=2020,G469/$H$1962,B469=2021,G469/$H$1963,B469=2022,G469/$H$1964,B469=2023,G469/$H$1965)</f>
        <v>1.3690213147033993E-4</v>
      </c>
      <c r="J469" s="10" cm="1">
        <f t="array" ref="J469">_xlfn.IFS(B469=2015,I469*$G$2,B469=2016,I469*$G$3,B469=2017,I469*$G$4,B469=2018,I469*$G$5,B469=2019,I469*$G$6,B469=2020,I469*$G$7,B469=2021,I469*$G$8,B469=2022,I469*$G$9,B469=2023,I469*$G$10)</f>
        <v>20607.046032879454</v>
      </c>
      <c r="K469" s="8">
        <f t="shared" si="7"/>
        <v>127004.04603287946</v>
      </c>
      <c r="L469">
        <f>IFERROR(VLOOKUP(F469,'LEAID Match'!$A$2:$B$240,2,FALSE),"")</f>
        <v>0</v>
      </c>
    </row>
    <row r="470" spans="1:12" x14ac:dyDescent="0.2">
      <c r="A470">
        <v>0</v>
      </c>
      <c r="B470">
        <v>2019</v>
      </c>
      <c r="C470" s="4" t="s">
        <v>133</v>
      </c>
      <c r="D470" s="4" t="s">
        <v>576</v>
      </c>
      <c r="E470" s="4" t="s">
        <v>578</v>
      </c>
      <c r="F470" s="9" t="s">
        <v>92</v>
      </c>
      <c r="G470" s="8">
        <v>158150</v>
      </c>
      <c r="H470">
        <v>1</v>
      </c>
      <c r="I470" s="16" cm="1">
        <f t="array" ref="I470">_xlfn.IFS(B470=2015,G470/$H$1957,B470=2016,G470/$H$1958,B470=2017,G470/$H$1959,B470=2018,G470/$H$1960,B470=2019,G470/$H$1961,B470=2020,G470/$H$1962,B470=2021,G470/$H$1963,B470=2022,G470/$H$1964,B470=2023,G470/$H$1965)</f>
        <v>1.9654829038506493E-4</v>
      </c>
      <c r="J470" s="10" cm="1">
        <f t="array" ref="J470">_xlfn.IFS(B470=2015,I470*$G$2,B470=2016,I470*$G$3,B470=2017,I470*$G$4,B470=2018,I470*$G$5,B470=2019,I470*$G$6,B470=2020,I470*$G$7,B470=2021,I470*$G$8,B470=2022,I470*$G$9,B470=2023,I470*$G$10)</f>
        <v>31060.157211862468</v>
      </c>
      <c r="K470" s="8">
        <f t="shared" si="7"/>
        <v>189210.15721186248</v>
      </c>
      <c r="L470">
        <f>IFERROR(VLOOKUP(F470,'LEAID Match'!$A$2:$B$240,2,FALSE),"")</f>
        <v>0</v>
      </c>
    </row>
    <row r="471" spans="1:12" x14ac:dyDescent="0.2">
      <c r="A471">
        <v>0</v>
      </c>
      <c r="B471">
        <v>2020</v>
      </c>
      <c r="C471" s="4" t="s">
        <v>133</v>
      </c>
      <c r="D471" s="4" t="s">
        <v>576</v>
      </c>
      <c r="E471" s="4" t="s">
        <v>578</v>
      </c>
      <c r="F471" s="9" t="s">
        <v>92</v>
      </c>
      <c r="G471" s="8">
        <v>231539</v>
      </c>
      <c r="H471">
        <v>1</v>
      </c>
      <c r="I471" s="16" cm="1">
        <f t="array" ref="I471">_xlfn.IFS(B471=2015,G471/$H$1957,B471=2016,G471/$H$1958,B471=2017,G471/$H$1959,B471=2018,G471/$H$1960,B471=2019,G471/$H$1961,B471=2020,G471/$H$1962,B471=2021,G471/$H$1963,B471=2022,G471/$H$1964,B471=2023,G471/$H$1965)</f>
        <v>2.6630767798037255E-4</v>
      </c>
      <c r="J471" s="10" cm="1">
        <f t="array" ref="J471">_xlfn.IFS(B471=2015,I471*$G$2,B471=2016,I471*$G$3,B471=2017,I471*$G$4,B471=2018,I471*$G$5,B471=2019,I471*$G$6,B471=2020,I471*$G$7,B471=2021,I471*$G$8,B471=2022,I471*$G$9,B471=2023,I471*$G$10)</f>
        <v>45987.046835748784</v>
      </c>
      <c r="K471" s="8">
        <f t="shared" si="7"/>
        <v>277526.04683574877</v>
      </c>
      <c r="L471">
        <f>IFERROR(VLOOKUP(F471,'LEAID Match'!$A$2:$B$240,2,FALSE),"")</f>
        <v>0</v>
      </c>
    </row>
    <row r="472" spans="1:12" x14ac:dyDescent="0.2">
      <c r="A472">
        <v>0</v>
      </c>
      <c r="B472">
        <v>2021</v>
      </c>
      <c r="C472" s="4" t="s">
        <v>133</v>
      </c>
      <c r="D472" s="4" t="s">
        <v>576</v>
      </c>
      <c r="E472" s="4" t="s">
        <v>578</v>
      </c>
      <c r="F472" s="9" t="s">
        <v>92</v>
      </c>
      <c r="G472" s="8">
        <v>257915</v>
      </c>
      <c r="H472">
        <v>1</v>
      </c>
      <c r="I472" s="16" cm="1">
        <f t="array" ref="I472">_xlfn.IFS(B472=2015,G472/$H$1957,B472=2016,G472/$H$1958,B472=2017,G472/$H$1959,B472=2018,G472/$H$1960,B472=2019,G472/$H$1961,B472=2020,G472/$H$1962,B472=2021,G472/$H$1963,B472=2022,G472/$H$1964,B472=2023,G472/$H$1965)</f>
        <v>2.9474394437101198E-4</v>
      </c>
      <c r="J472" s="10" cm="1">
        <f t="array" ref="J472">_xlfn.IFS(B472=2015,I472*$G$2,B472=2016,I472*$G$3,B472=2017,I472*$G$4,B472=2018,I472*$G$5,B472=2019,I472*$G$6,B472=2020,I472*$G$7,B472=2021,I472*$G$8,B472=2022,I472*$G$9,B472=2023,I472*$G$10)</f>
        <v>50583.023163113088</v>
      </c>
      <c r="K472" s="8">
        <f t="shared" si="7"/>
        <v>308498.0231631131</v>
      </c>
      <c r="L472">
        <f>IFERROR(VLOOKUP(F472,'LEAID Match'!$A$2:$B$240,2,FALSE),"")</f>
        <v>0</v>
      </c>
    </row>
    <row r="473" spans="1:12" x14ac:dyDescent="0.2">
      <c r="A473">
        <v>0</v>
      </c>
      <c r="B473">
        <v>2022</v>
      </c>
      <c r="C473" s="4" t="s">
        <v>133</v>
      </c>
      <c r="D473" s="4" t="s">
        <v>576</v>
      </c>
      <c r="E473" s="4" t="s">
        <v>578</v>
      </c>
      <c r="F473" s="9" t="s">
        <v>92</v>
      </c>
      <c r="G473" s="8">
        <v>323490</v>
      </c>
      <c r="H473">
        <v>1</v>
      </c>
      <c r="I473" s="16" cm="1">
        <f t="array" ref="I473">_xlfn.IFS(B473=2015,G473/$H$1957,B473=2016,G473/$H$1958,B473=2017,G473/$H$1959,B473=2018,G473/$H$1960,B473=2019,G473/$H$1961,B473=2020,G473/$H$1962,B473=2021,G473/$H$1963,B473=2022,G473/$H$1964,B473=2023,G473/$H$1965)</f>
        <v>3.476877985923742E-4</v>
      </c>
      <c r="J473" s="10" cm="1">
        <f t="array" ref="J473">_xlfn.IFS(B473=2015,I473*$G$2,B473=2016,I473*$G$3,B473=2017,I473*$G$4,B473=2018,I473*$G$5,B473=2019,I473*$G$6,B473=2020,I473*$G$7,B473=2021,I473*$G$8,B473=2022,I473*$G$9,B473=2023,I473*$G$10)</f>
        <v>58962.860973669063</v>
      </c>
      <c r="K473" s="8">
        <f t="shared" si="7"/>
        <v>382452.86097366904</v>
      </c>
      <c r="L473">
        <f>IFERROR(VLOOKUP(F473,'LEAID Match'!$A$2:$B$240,2,FALSE),"")</f>
        <v>0</v>
      </c>
    </row>
    <row r="474" spans="1:12" x14ac:dyDescent="0.2">
      <c r="A474">
        <v>0</v>
      </c>
      <c r="B474">
        <v>2023</v>
      </c>
      <c r="C474" s="4" t="s">
        <v>133</v>
      </c>
      <c r="D474" s="4" t="s">
        <v>576</v>
      </c>
      <c r="E474" s="4" t="s">
        <v>578</v>
      </c>
      <c r="F474" s="9" t="s">
        <v>92</v>
      </c>
      <c r="G474" s="8">
        <v>286724</v>
      </c>
      <c r="H474">
        <v>1</v>
      </c>
      <c r="I474" s="16" cm="1">
        <f t="array" ref="I474">_xlfn.IFS(B474=2015,G474/$H$1957,B474=2016,G474/$H$1958,B474=2017,G474/$H$1959,B474=2018,G474/$H$1960,B474=2019,G474/$H$1961,B474=2020,G474/$H$1962,B474=2021,G474/$H$1963,B474=2022,G474/$H$1964,B474=2023,G474/$H$1965)</f>
        <v>2.903050653917668E-4</v>
      </c>
      <c r="J474" s="10" cm="1">
        <f t="array" ref="J474">_xlfn.IFS(B474=2015,I474*$G$2,B474=2016,I474*$G$3,B474=2017,I474*$G$4,B474=2018,I474*$G$5,B474=2019,I474*$G$6,B474=2020,I474*$G$7,B474=2021,I474*$G$8,B474=2022,I474*$G$9,B474=2023,I474*$G$10)</f>
        <v>49347.59914793534</v>
      </c>
      <c r="K474" s="8">
        <f t="shared" si="7"/>
        <v>336071.59914793534</v>
      </c>
      <c r="L474">
        <f>IFERROR(VLOOKUP(F474,'LEAID Match'!$A$2:$B$240,2,FALSE),"")</f>
        <v>0</v>
      </c>
    </row>
    <row r="475" spans="1:12" x14ac:dyDescent="0.2">
      <c r="A475">
        <v>0</v>
      </c>
      <c r="B475">
        <v>2015</v>
      </c>
      <c r="C475" s="4" t="s">
        <v>134</v>
      </c>
      <c r="D475" s="4" t="s">
        <v>576</v>
      </c>
      <c r="E475" s="4" t="s">
        <v>578</v>
      </c>
      <c r="F475" s="4" t="s">
        <v>93</v>
      </c>
      <c r="G475" s="8">
        <v>207862</v>
      </c>
      <c r="I475" s="16" cm="1">
        <f t="array" ref="I475">_xlfn.IFS(B475=2015,G475/$H$1957,B475=2016,G475/$H$1958,B475=2017,G475/$H$1959,B475=2018,G475/$H$1960,B475=2019,G475/$H$1961,B475=2020,G475/$H$1962,B475=2021,G475/$H$1963,B475=2022,G475/$H$1964,B475=2023,G475/$H$1965)</f>
        <v>1.6052319425359244E-4</v>
      </c>
      <c r="J475" s="10" cm="1">
        <f t="array" ref="J475">_xlfn.IFS(B475=2015,I475*$G$2,B475=2016,I475*$G$3,B475=2017,I475*$G$4,B475=2018,I475*$G$5,B475=2019,I475*$G$6,B475=2020,I475*$G$7,B475=2021,I475*$G$8,B475=2022,I475*$G$9,B475=2023,I475*$G$10)</f>
        <v>39912.900366438429</v>
      </c>
      <c r="K475" s="8">
        <f t="shared" si="7"/>
        <v>247774.90036643844</v>
      </c>
      <c r="L475">
        <f>IFERROR(VLOOKUP(F475,'LEAID Match'!$A$2:$B$240,2,FALSE),"")</f>
        <v>0</v>
      </c>
    </row>
    <row r="476" spans="1:12" x14ac:dyDescent="0.2">
      <c r="A476">
        <v>0</v>
      </c>
      <c r="B476">
        <v>2016</v>
      </c>
      <c r="C476" s="4" t="s">
        <v>134</v>
      </c>
      <c r="D476" s="4" t="s">
        <v>576</v>
      </c>
      <c r="E476" s="4" t="s">
        <v>578</v>
      </c>
      <c r="F476" s="4" t="s">
        <v>93</v>
      </c>
      <c r="G476" s="8">
        <v>260861</v>
      </c>
      <c r="I476" s="16" cm="1">
        <f t="array" ref="I476">_xlfn.IFS(B476=2015,G476/$H$1957,B476=2016,G476/$H$1958,B476=2017,G476/$H$1959,B476=2018,G476/$H$1960,B476=2019,G476/$H$1961,B476=2020,G476/$H$1962,B476=2021,G476/$H$1963,B476=2022,G476/$H$1964,B476=2023,G476/$H$1965)</f>
        <v>1.8312431048022489E-4</v>
      </c>
      <c r="J476" s="10" cm="1">
        <f t="array" ref="J476">_xlfn.IFS(B476=2015,I476*$G$2,B476=2016,I476*$G$3,B476=2017,I476*$G$4,B476=2018,I476*$G$5,B476=2019,I476*$G$6,B476=2020,I476*$G$7,B476=2021,I476*$G$8,B476=2022,I476*$G$9,B476=2023,I476*$G$10)</f>
        <v>49663.877025113274</v>
      </c>
      <c r="K476" s="8">
        <f t="shared" si="7"/>
        <v>310524.87702511327</v>
      </c>
      <c r="L476">
        <f>IFERROR(VLOOKUP(F476,'LEAID Match'!$A$2:$B$240,2,FALSE),"")</f>
        <v>0</v>
      </c>
    </row>
    <row r="477" spans="1:12" x14ac:dyDescent="0.2">
      <c r="A477">
        <v>0</v>
      </c>
      <c r="B477">
        <v>2017</v>
      </c>
      <c r="C477" s="4" t="s">
        <v>134</v>
      </c>
      <c r="D477" s="4" t="s">
        <v>576</v>
      </c>
      <c r="E477" s="4" t="s">
        <v>578</v>
      </c>
      <c r="F477" s="4" t="s">
        <v>93</v>
      </c>
      <c r="G477" s="8">
        <v>153104</v>
      </c>
      <c r="I477" s="16" cm="1">
        <f t="array" ref="I477">_xlfn.IFS(B477=2015,G477/$H$1957,B477=2016,G477/$H$1958,B477=2017,G477/$H$1959,B477=2018,G477/$H$1960,B477=2019,G477/$H$1961,B477=2020,G477/$H$1962,B477=2021,G477/$H$1963,B477=2022,G477/$H$1964,B477=2023,G477/$H$1965)</f>
        <v>2.0427331764564136E-4</v>
      </c>
      <c r="J477" s="10" cm="1">
        <f t="array" ref="J477">_xlfn.IFS(B477=2015,I477*$G$2,B477=2016,I477*$G$3,B477=2017,I477*$G$4,B477=2018,I477*$G$5,B477=2019,I477*$G$6,B477=2020,I477*$G$7,B477=2021,I477*$G$8,B477=2022,I477*$G$9,B477=2023,I477*$G$10)</f>
        <v>30250.138425309906</v>
      </c>
      <c r="K477" s="8">
        <f t="shared" si="7"/>
        <v>183354.13842530991</v>
      </c>
      <c r="L477">
        <f>IFERROR(VLOOKUP(F477,'LEAID Match'!$A$2:$B$240,2,FALSE),"")</f>
        <v>0</v>
      </c>
    </row>
    <row r="478" spans="1:12" x14ac:dyDescent="0.2">
      <c r="A478">
        <v>0</v>
      </c>
      <c r="B478">
        <v>2018</v>
      </c>
      <c r="C478" s="4" t="s">
        <v>134</v>
      </c>
      <c r="D478" s="4" t="s">
        <v>576</v>
      </c>
      <c r="E478" s="4" t="s">
        <v>578</v>
      </c>
      <c r="F478" s="4" t="s">
        <v>93</v>
      </c>
      <c r="G478" s="8">
        <v>163625</v>
      </c>
      <c r="I478" s="16" cm="1">
        <f t="array" ref="I478">_xlfn.IFS(B478=2015,G478/$H$1957,B478=2016,G478/$H$1958,B478=2017,G478/$H$1959,B478=2018,G478/$H$1960,B478=2019,G478/$H$1961,B478=2020,G478/$H$1962,B478=2021,G478/$H$1963,B478=2022,G478/$H$1964,B478=2023,G478/$H$1965)</f>
        <v>2.1053799695324466E-4</v>
      </c>
      <c r="J478" s="10" cm="1">
        <f t="array" ref="J478">_xlfn.IFS(B478=2015,I478*$G$2,B478=2016,I478*$G$3,B478=2017,I478*$G$4,B478=2018,I478*$G$5,B478=2019,I478*$G$6,B478=2020,I478*$G$7,B478=2021,I478*$G$8,B478=2022,I478*$G$9,B478=2023,I478*$G$10)</f>
        <v>31691.005452502432</v>
      </c>
      <c r="K478" s="8">
        <f t="shared" si="7"/>
        <v>195316.00545250243</v>
      </c>
      <c r="L478">
        <f>IFERROR(VLOOKUP(F478,'LEAID Match'!$A$2:$B$240,2,FALSE),"")</f>
        <v>0</v>
      </c>
    </row>
    <row r="479" spans="1:12" x14ac:dyDescent="0.2">
      <c r="A479">
        <v>0</v>
      </c>
      <c r="B479">
        <v>2019</v>
      </c>
      <c r="C479" s="4" t="s">
        <v>134</v>
      </c>
      <c r="D479" s="4" t="s">
        <v>576</v>
      </c>
      <c r="E479" s="4" t="s">
        <v>578</v>
      </c>
      <c r="F479" s="4" t="s">
        <v>93</v>
      </c>
      <c r="G479" s="8">
        <v>179271</v>
      </c>
      <c r="I479" s="16" cm="1">
        <f t="array" ref="I479">_xlfn.IFS(B479=2015,G479/$H$1957,B479=2016,G479/$H$1958,B479=2017,G479/$H$1959,B479=2018,G479/$H$1960,B479=2019,G479/$H$1961,B479=2020,G479/$H$1962,B479=2021,G479/$H$1963,B479=2022,G479/$H$1964,B479=2023,G479/$H$1965)</f>
        <v>2.227973984547643E-4</v>
      </c>
      <c r="J479" s="10" cm="1">
        <f t="array" ref="J479">_xlfn.IFS(B479=2015,I479*$G$2,B479=2016,I479*$G$3,B479=2017,I479*$G$4,B479=2018,I479*$G$5,B479=2019,I479*$G$6,B479=2020,I479*$G$7,B479=2021,I479*$G$8,B479=2022,I479*$G$9,B479=2023,I479*$G$10)</f>
        <v>35208.254464292106</v>
      </c>
      <c r="K479" s="8">
        <f t="shared" si="7"/>
        <v>214479.25446429211</v>
      </c>
      <c r="L479">
        <f>IFERROR(VLOOKUP(F479,'LEAID Match'!$A$2:$B$240,2,FALSE),"")</f>
        <v>0</v>
      </c>
    </row>
    <row r="480" spans="1:12" x14ac:dyDescent="0.2">
      <c r="A480">
        <v>0</v>
      </c>
      <c r="B480">
        <v>2020</v>
      </c>
      <c r="C480" s="4" t="s">
        <v>134</v>
      </c>
      <c r="D480" s="4" t="s">
        <v>576</v>
      </c>
      <c r="E480" s="4" t="s">
        <v>578</v>
      </c>
      <c r="F480" s="4" t="s">
        <v>93</v>
      </c>
      <c r="G480" s="8">
        <v>174853</v>
      </c>
      <c r="I480" s="16" cm="1">
        <f t="array" ref="I480">_xlfn.IFS(B480=2015,G480/$H$1957,B480=2016,G480/$H$1958,B480=2017,G480/$H$1959,B480=2018,G480/$H$1960,B480=2019,G480/$H$1961,B480=2020,G480/$H$1962,B480=2021,G480/$H$1963,B480=2022,G480/$H$1964,B480=2023,G480/$H$1965)</f>
        <v>2.0110951683259442E-4</v>
      </c>
      <c r="J480" s="10" cm="1">
        <f t="array" ref="J480">_xlfn.IFS(B480=2015,I480*$G$2,B480=2016,I480*$G$3,B480=2017,I480*$G$4,B480=2018,I480*$G$5,B480=2019,I480*$G$6,B480=2020,I480*$G$7,B480=2021,I480*$G$8,B480=2022,I480*$G$9,B480=2023,I480*$G$10)</f>
        <v>34728.374487110952</v>
      </c>
      <c r="K480" s="8">
        <f t="shared" si="7"/>
        <v>209581.37448711094</v>
      </c>
      <c r="L480">
        <f>IFERROR(VLOOKUP(F480,'LEAID Match'!$A$2:$B$240,2,FALSE),"")</f>
        <v>0</v>
      </c>
    </row>
    <row r="481" spans="1:12" x14ac:dyDescent="0.2">
      <c r="A481">
        <v>0</v>
      </c>
      <c r="B481">
        <v>2021</v>
      </c>
      <c r="C481" s="4" t="s">
        <v>134</v>
      </c>
      <c r="D481" s="4" t="s">
        <v>576</v>
      </c>
      <c r="E481" s="4" t="s">
        <v>578</v>
      </c>
      <c r="F481" s="4" t="s">
        <v>93</v>
      </c>
      <c r="G481" s="8">
        <v>182453</v>
      </c>
      <c r="I481" s="16" cm="1">
        <f t="array" ref="I481">_xlfn.IFS(B481=2015,G481/$H$1957,B481=2016,G481/$H$1958,B481=2017,G481/$H$1959,B481=2018,G481/$H$1960,B481=2019,G481/$H$1961,B481=2020,G481/$H$1962,B481=2021,G481/$H$1963,B481=2022,G481/$H$1964,B481=2023,G481/$H$1965)</f>
        <v>2.0850635628918152E-4</v>
      </c>
      <c r="J481" s="10" cm="1">
        <f t="array" ref="J481">_xlfn.IFS(B481=2015,I481*$G$2,B481=2016,I481*$G$3,B481=2017,I481*$G$4,B481=2018,I481*$G$5,B481=2019,I481*$G$6,B481=2020,I481*$G$7,B481=2021,I481*$G$8,B481=2022,I481*$G$9,B481=2023,I481*$G$10)</f>
        <v>35783.201152238034</v>
      </c>
      <c r="K481" s="8">
        <f t="shared" si="7"/>
        <v>218236.20115223803</v>
      </c>
      <c r="L481">
        <f>IFERROR(VLOOKUP(F481,'LEAID Match'!$A$2:$B$240,2,FALSE),"")</f>
        <v>0</v>
      </c>
    </row>
    <row r="482" spans="1:12" x14ac:dyDescent="0.2">
      <c r="A482">
        <v>0</v>
      </c>
      <c r="B482">
        <v>2022</v>
      </c>
      <c r="C482" s="4" t="s">
        <v>134</v>
      </c>
      <c r="D482" s="4" t="s">
        <v>576</v>
      </c>
      <c r="E482" s="4" t="s">
        <v>578</v>
      </c>
      <c r="F482" s="4" t="s">
        <v>93</v>
      </c>
      <c r="G482" s="8">
        <v>203245</v>
      </c>
      <c r="I482" s="16" cm="1">
        <f t="array" ref="I482">_xlfn.IFS(B482=2015,G482/$H$1957,B482=2016,G482/$H$1958,B482=2017,G482/$H$1959,B482=2018,G482/$H$1960,B482=2019,G482/$H$1961,B482=2020,G482/$H$1962,B482=2021,G482/$H$1963,B482=2022,G482/$H$1964,B482=2023,G482/$H$1965)</f>
        <v>2.1844819507529472E-4</v>
      </c>
      <c r="J482" s="10" cm="1">
        <f t="array" ref="J482">_xlfn.IFS(B482=2015,I482*$G$2,B482=2016,I482*$G$3,B482=2017,I482*$G$4,B482=2018,I482*$G$5,B482=2019,I482*$G$6,B482=2020,I482*$G$7,B482=2021,I482*$G$8,B482=2022,I482*$G$9,B482=2023,I482*$G$10)</f>
        <v>37045.678934722462</v>
      </c>
      <c r="K482" s="8">
        <f t="shared" si="7"/>
        <v>240290.67893472247</v>
      </c>
      <c r="L482">
        <f>IFERROR(VLOOKUP(F482,'LEAID Match'!$A$2:$B$240,2,FALSE),"")</f>
        <v>0</v>
      </c>
    </row>
    <row r="483" spans="1:12" x14ac:dyDescent="0.2">
      <c r="A483">
        <v>0</v>
      </c>
      <c r="B483">
        <v>2023</v>
      </c>
      <c r="C483" s="4" t="s">
        <v>134</v>
      </c>
      <c r="D483" s="4" t="s">
        <v>576</v>
      </c>
      <c r="E483" s="4" t="s">
        <v>578</v>
      </c>
      <c r="F483" s="4" t="s">
        <v>93</v>
      </c>
      <c r="G483" s="8">
        <v>216293</v>
      </c>
      <c r="I483" s="16" cm="1">
        <f t="array" ref="I483">_xlfn.IFS(B483=2015,G483/$H$1957,B483=2016,G483/$H$1958,B483=2017,G483/$H$1959,B483=2018,G483/$H$1960,B483=2019,G483/$H$1961,B483=2020,G483/$H$1962,B483=2021,G483/$H$1963,B483=2022,G483/$H$1964,B483=2023,G483/$H$1965)</f>
        <v>2.1899441103214733E-4</v>
      </c>
      <c r="J483" s="10" cm="1">
        <f t="array" ref="J483">_xlfn.IFS(B483=2015,I483*$G$2,B483=2016,I483*$G$3,B483=2017,I483*$G$4,B483=2018,I483*$G$5,B483=2019,I483*$G$6,B483=2020,I483*$G$7,B483=2021,I483*$G$8,B483=2022,I483*$G$9,B483=2023,I483*$G$10)</f>
        <v>37225.834818516683</v>
      </c>
      <c r="K483" s="8">
        <f t="shared" si="7"/>
        <v>253518.83481851668</v>
      </c>
      <c r="L483">
        <f>IFERROR(VLOOKUP(F483,'LEAID Match'!$A$2:$B$240,2,FALSE),"")</f>
        <v>0</v>
      </c>
    </row>
    <row r="484" spans="1:12" x14ac:dyDescent="0.2">
      <c r="A484">
        <v>0</v>
      </c>
      <c r="B484">
        <v>2015</v>
      </c>
      <c r="C484" s="4" t="s">
        <v>135</v>
      </c>
      <c r="D484" s="4" t="s">
        <v>576</v>
      </c>
      <c r="E484" s="4" t="s">
        <v>578</v>
      </c>
      <c r="F484" s="4" t="s">
        <v>94</v>
      </c>
      <c r="G484" s="8">
        <v>387160</v>
      </c>
      <c r="I484" s="16" cm="1">
        <f t="array" ref="I484">_xlfn.IFS(B484=2015,G484/$H$1957,B484=2016,G484/$H$1958,B484=2017,G484/$H$1959,B484=2018,G484/$H$1960,B484=2019,G484/$H$1961,B484=2020,G484/$H$1962,B484=2021,G484/$H$1963,B484=2022,G484/$H$1964,B484=2023,G484/$H$1965)</f>
        <v>2.9898759699810862E-4</v>
      </c>
      <c r="J484" s="10" cm="1">
        <f t="array" ref="J484">_xlfn.IFS(B484=2015,I484*$G$2,B484=2016,I484*$G$3,B484=2017,I484*$G$4,B484=2018,I484*$G$5,B484=2019,I484*$G$6,B484=2020,I484*$G$7,B484=2021,I484*$G$8,B484=2022,I484*$G$9,B484=2023,I484*$G$10)</f>
        <v>74341.046010671998</v>
      </c>
      <c r="K484" s="8">
        <f t="shared" si="7"/>
        <v>461501.046010672</v>
      </c>
      <c r="L484">
        <f>IFERROR(VLOOKUP(F484,'LEAID Match'!$A$2:$B$240,2,FALSE),"")</f>
        <v>0</v>
      </c>
    </row>
    <row r="485" spans="1:12" x14ac:dyDescent="0.2">
      <c r="A485">
        <v>0</v>
      </c>
      <c r="B485">
        <v>2016</v>
      </c>
      <c r="C485" s="4" t="s">
        <v>135</v>
      </c>
      <c r="D485" s="4" t="s">
        <v>576</v>
      </c>
      <c r="E485" s="4" t="s">
        <v>578</v>
      </c>
      <c r="F485" s="4" t="s">
        <v>94</v>
      </c>
      <c r="G485" s="8">
        <v>401143</v>
      </c>
      <c r="I485" s="16" cm="1">
        <f t="array" ref="I485">_xlfn.IFS(B485=2015,G485/$H$1957,B485=2016,G485/$H$1958,B485=2017,G485/$H$1959,B485=2018,G485/$H$1960,B485=2019,G485/$H$1961,B485=2020,G485/$H$1962,B485=2021,G485/$H$1963,B485=2022,G485/$H$1964,B485=2023,G485/$H$1965)</f>
        <v>2.8160221450875699E-4</v>
      </c>
      <c r="J485" s="10" cm="1">
        <f t="array" ref="J485">_xlfn.IFS(B485=2015,I485*$G$2,B485=2016,I485*$G$3,B485=2017,I485*$G$4,B485=2018,I485*$G$5,B485=2019,I485*$G$6,B485=2020,I485*$G$7,B485=2021,I485*$G$8,B485=2022,I485*$G$9,B485=2023,I485*$G$10)</f>
        <v>76371.387909595578</v>
      </c>
      <c r="K485" s="8">
        <f t="shared" si="7"/>
        <v>477514.38790959556</v>
      </c>
      <c r="L485">
        <f>IFERROR(VLOOKUP(F485,'LEAID Match'!$A$2:$B$240,2,FALSE),"")</f>
        <v>0</v>
      </c>
    </row>
    <row r="486" spans="1:12" x14ac:dyDescent="0.2">
      <c r="A486">
        <v>0</v>
      </c>
      <c r="B486">
        <v>2017</v>
      </c>
      <c r="C486" s="4" t="s">
        <v>135</v>
      </c>
      <c r="D486" s="4" t="s">
        <v>576</v>
      </c>
      <c r="E486" s="4" t="s">
        <v>578</v>
      </c>
      <c r="F486" s="4" t="s">
        <v>94</v>
      </c>
      <c r="G486" s="8">
        <v>196045</v>
      </c>
      <c r="I486" s="16" cm="1">
        <f t="array" ref="I486">_xlfn.IFS(B486=2015,G486/$H$1957,B486=2016,G486/$H$1958,B486=2017,G486/$H$1959,B486=2018,G486/$H$1960,B486=2019,G486/$H$1961,B486=2020,G486/$H$1962,B486=2021,G486/$H$1963,B486=2022,G486/$H$1964,B486=2023,G486/$H$1965)</f>
        <v>2.6156574980300815E-4</v>
      </c>
      <c r="J486" s="10" cm="1">
        <f t="array" ref="J486">_xlfn.IFS(B486=2015,I486*$G$2,B486=2016,I486*$G$3,B486=2017,I486*$G$4,B486=2018,I486*$G$5,B486=2019,I486*$G$6,B486=2020,I486*$G$7,B486=2021,I486*$G$8,B486=2022,I486*$G$9,B486=2023,I486*$G$10)</f>
        <v>38734.379164423401</v>
      </c>
      <c r="K486" s="8">
        <f t="shared" si="7"/>
        <v>234779.37916442339</v>
      </c>
      <c r="L486">
        <f>IFERROR(VLOOKUP(F486,'LEAID Match'!$A$2:$B$240,2,FALSE),"")</f>
        <v>0</v>
      </c>
    </row>
    <row r="487" spans="1:12" x14ac:dyDescent="0.2">
      <c r="A487">
        <v>0</v>
      </c>
      <c r="B487">
        <v>2018</v>
      </c>
      <c r="C487" s="4" t="s">
        <v>135</v>
      </c>
      <c r="D487" s="4" t="s">
        <v>576</v>
      </c>
      <c r="E487" s="4" t="s">
        <v>578</v>
      </c>
      <c r="F487" s="4" t="s">
        <v>94</v>
      </c>
      <c r="G487" s="8">
        <v>183288</v>
      </c>
      <c r="I487" s="16" cm="1">
        <f t="array" ref="I487">_xlfn.IFS(B487=2015,G487/$H$1957,B487=2016,G487/$H$1958,B487=2017,G487/$H$1959,B487=2018,G487/$H$1960,B487=2019,G487/$H$1961,B487=2020,G487/$H$1962,B487=2021,G487/$H$1963,B487=2022,G487/$H$1964,B487=2023,G487/$H$1965)</f>
        <v>2.3583858448016076E-4</v>
      </c>
      <c r="J487" s="10" cm="1">
        <f t="array" ref="J487">_xlfn.IFS(B487=2015,I487*$G$2,B487=2016,I487*$G$3,B487=2017,I487*$G$4,B487=2018,I487*$G$5,B487=2019,I487*$G$6,B487=2020,I487*$G$7,B487=2021,I487*$G$8,B487=2022,I487*$G$9,B487=2023,I487*$G$10)</f>
        <v>35499.349166559296</v>
      </c>
      <c r="K487" s="8">
        <f t="shared" si="7"/>
        <v>218787.34916655929</v>
      </c>
      <c r="L487">
        <f>IFERROR(VLOOKUP(F487,'LEAID Match'!$A$2:$B$240,2,FALSE),"")</f>
        <v>0</v>
      </c>
    </row>
    <row r="488" spans="1:12" x14ac:dyDescent="0.2">
      <c r="A488">
        <v>0</v>
      </c>
      <c r="B488">
        <v>2019</v>
      </c>
      <c r="C488" s="4" t="s">
        <v>135</v>
      </c>
      <c r="D488" s="4" t="s">
        <v>576</v>
      </c>
      <c r="E488" s="4" t="s">
        <v>578</v>
      </c>
      <c r="F488" s="4" t="s">
        <v>94</v>
      </c>
      <c r="G488" s="8">
        <v>210389</v>
      </c>
      <c r="I488" s="16" cm="1">
        <f t="array" ref="I488">_xlfn.IFS(B488=2015,G488/$H$1957,B488=2016,G488/$H$1958,B488=2017,G488/$H$1959,B488=2018,G488/$H$1960,B488=2019,G488/$H$1961,B488=2020,G488/$H$1962,B488=2021,G488/$H$1963,B488=2022,G488/$H$1964,B488=2023,G488/$H$1965)</f>
        <v>2.6147074464637009E-4</v>
      </c>
      <c r="J488" s="10" cm="1">
        <f t="array" ref="J488">_xlfn.IFS(B488=2015,I488*$G$2,B488=2016,I488*$G$3,B488=2017,I488*$G$4,B488=2018,I488*$G$5,B488=2019,I488*$G$6,B488=2020,I488*$G$7,B488=2021,I488*$G$8,B488=2022,I488*$G$9,B488=2023,I488*$G$10)</f>
        <v>41319.730734407422</v>
      </c>
      <c r="K488" s="8">
        <f t="shared" si="7"/>
        <v>251708.73073440744</v>
      </c>
      <c r="L488">
        <f>IFERROR(VLOOKUP(F488,'LEAID Match'!$A$2:$B$240,2,FALSE),"")</f>
        <v>0</v>
      </c>
    </row>
    <row r="489" spans="1:12" x14ac:dyDescent="0.2">
      <c r="A489">
        <v>0</v>
      </c>
      <c r="B489">
        <v>2020</v>
      </c>
      <c r="C489" s="4" t="s">
        <v>135</v>
      </c>
      <c r="D489" s="4" t="s">
        <v>576</v>
      </c>
      <c r="E489" s="4" t="s">
        <v>578</v>
      </c>
      <c r="F489" s="4" t="s">
        <v>94</v>
      </c>
      <c r="G489" s="8">
        <v>186647</v>
      </c>
      <c r="I489" s="16" cm="1">
        <f t="array" ref="I489">_xlfn.IFS(B489=2015,G489/$H$1957,B489=2016,G489/$H$1958,B489=2017,G489/$H$1959,B489=2018,G489/$H$1960,B489=2019,G489/$H$1961,B489=2020,G489/$H$1962,B489=2021,G489/$H$1963,B489=2022,G489/$H$1964,B489=2023,G489/$H$1965)</f>
        <v>2.1467454369243451E-4</v>
      </c>
      <c r="J489" s="10" cm="1">
        <f t="array" ref="J489">_xlfn.IFS(B489=2015,I489*$G$2,B489=2016,I489*$G$3,B489=2017,I489*$G$4,B489=2018,I489*$G$5,B489=2019,I489*$G$6,B489=2020,I489*$G$7,B489=2021,I489*$G$8,B489=2022,I489*$G$9,B489=2023,I489*$G$10)</f>
        <v>37070.836147482732</v>
      </c>
      <c r="K489" s="8">
        <f t="shared" si="7"/>
        <v>223717.83614748274</v>
      </c>
      <c r="L489">
        <f>IFERROR(VLOOKUP(F489,'LEAID Match'!$A$2:$B$240,2,FALSE),"")</f>
        <v>0</v>
      </c>
    </row>
    <row r="490" spans="1:12" x14ac:dyDescent="0.2">
      <c r="A490">
        <v>0</v>
      </c>
      <c r="B490">
        <v>2021</v>
      </c>
      <c r="C490" s="4" t="s">
        <v>135</v>
      </c>
      <c r="D490" s="4" t="s">
        <v>576</v>
      </c>
      <c r="E490" s="4" t="s">
        <v>578</v>
      </c>
      <c r="F490" s="4" t="s">
        <v>94</v>
      </c>
      <c r="G490" s="8">
        <v>171003</v>
      </c>
      <c r="I490" s="16" cm="1">
        <f t="array" ref="I490">_xlfn.IFS(B490=2015,G490/$H$1957,B490=2016,G490/$H$1958,B490=2017,G490/$H$1959,B490=2018,G490/$H$1960,B490=2019,G490/$H$1961,B490=2020,G490/$H$1962,B490=2021,G490/$H$1963,B490=2022,G490/$H$1964,B490=2023,G490/$H$1965)</f>
        <v>1.9542135478462348E-4</v>
      </c>
      <c r="J490" s="10" cm="1">
        <f t="array" ref="J490">_xlfn.IFS(B490=2015,I490*$G$2,B490=2016,I490*$G$3,B490=2017,I490*$G$4,B490=2018,I490*$G$5,B490=2019,I490*$G$6,B490=2020,I490*$G$7,B490=2021,I490*$G$8,B490=2022,I490*$G$9,B490=2023,I490*$G$10)</f>
        <v>33537.594594970542</v>
      </c>
      <c r="K490" s="8">
        <f t="shared" si="7"/>
        <v>204540.59459497055</v>
      </c>
      <c r="L490">
        <f>IFERROR(VLOOKUP(F490,'LEAID Match'!$A$2:$B$240,2,FALSE),"")</f>
        <v>0</v>
      </c>
    </row>
    <row r="491" spans="1:12" x14ac:dyDescent="0.2">
      <c r="A491">
        <v>0</v>
      </c>
      <c r="B491">
        <v>2022</v>
      </c>
      <c r="C491" s="4" t="s">
        <v>135</v>
      </c>
      <c r="D491" s="4" t="s">
        <v>576</v>
      </c>
      <c r="E491" s="4" t="s">
        <v>578</v>
      </c>
      <c r="F491" s="4" t="s">
        <v>94</v>
      </c>
      <c r="G491" s="8">
        <v>155540</v>
      </c>
      <c r="I491" s="16" cm="1">
        <f t="array" ref="I491">_xlfn.IFS(B491=2015,G491/$H$1957,B491=2016,G491/$H$1958,B491=2017,G491/$H$1959,B491=2018,G491/$H$1960,B491=2019,G491/$H$1961,B491=2020,G491/$H$1962,B491=2021,G491/$H$1963,B491=2022,G491/$H$1964,B491=2023,G491/$H$1965)</f>
        <v>1.6717475097547955E-4</v>
      </c>
      <c r="J491" s="10" cm="1">
        <f t="array" ref="J491">_xlfn.IFS(B491=2015,I491*$G$2,B491=2016,I491*$G$3,B491=2017,I491*$G$4,B491=2018,I491*$G$5,B491=2019,I491*$G$6,B491=2020,I491*$G$7,B491=2021,I491*$G$8,B491=2022,I491*$G$9,B491=2023,I491*$G$10)</f>
        <v>28350.438640590084</v>
      </c>
      <c r="K491" s="8">
        <f t="shared" si="7"/>
        <v>183890.43864059009</v>
      </c>
      <c r="L491">
        <f>IFERROR(VLOOKUP(F491,'LEAID Match'!$A$2:$B$240,2,FALSE),"")</f>
        <v>0</v>
      </c>
    </row>
    <row r="492" spans="1:12" x14ac:dyDescent="0.2">
      <c r="A492">
        <v>0</v>
      </c>
      <c r="B492">
        <v>2023</v>
      </c>
      <c r="C492" s="4" t="s">
        <v>135</v>
      </c>
      <c r="D492" s="4" t="s">
        <v>576</v>
      </c>
      <c r="E492" s="4" t="s">
        <v>578</v>
      </c>
      <c r="F492" s="4" t="s">
        <v>94</v>
      </c>
      <c r="G492" s="8">
        <v>148102</v>
      </c>
      <c r="I492" s="16" cm="1">
        <f t="array" ref="I492">_xlfn.IFS(B492=2015,G492/$H$1957,B492=2016,G492/$H$1958,B492=2017,G492/$H$1959,B492=2018,G492/$H$1960,B492=2019,G492/$H$1961,B492=2020,G492/$H$1962,B492=2021,G492/$H$1963,B492=2022,G492/$H$1964,B492=2023,G492/$H$1965)</f>
        <v>1.4995173335560134E-4</v>
      </c>
      <c r="J492" s="10" cm="1">
        <f t="array" ref="J492">_xlfn.IFS(B492=2015,I492*$G$2,B492=2016,I492*$G$3,B492=2017,I492*$G$4,B492=2018,I492*$G$5,B492=2019,I492*$G$6,B492=2020,I492*$G$7,B492=2021,I492*$G$8,B492=2022,I492*$G$9,B492=2023,I492*$G$10)</f>
        <v>25489.593229054834</v>
      </c>
      <c r="K492" s="8">
        <f t="shared" si="7"/>
        <v>173591.59322905482</v>
      </c>
      <c r="L492">
        <f>IFERROR(VLOOKUP(F492,'LEAID Match'!$A$2:$B$240,2,FALSE),"")</f>
        <v>0</v>
      </c>
    </row>
    <row r="493" spans="1:12" x14ac:dyDescent="0.2">
      <c r="A493">
        <v>0</v>
      </c>
      <c r="B493">
        <v>2015</v>
      </c>
      <c r="C493" s="4" t="s">
        <v>136</v>
      </c>
      <c r="D493" s="4" t="s">
        <v>576</v>
      </c>
      <c r="E493" s="4" t="s">
        <v>578</v>
      </c>
      <c r="F493" s="4" t="s">
        <v>95</v>
      </c>
      <c r="G493" s="8">
        <v>737216</v>
      </c>
      <c r="I493" s="16" cm="1">
        <f t="array" ref="I493">_xlfn.IFS(B493=2015,G493/$H$1957,B493=2016,G493/$H$1958,B493=2017,G493/$H$1959,B493=2018,G493/$H$1960,B493=2019,G493/$H$1961,B493=2020,G493/$H$1962,B493=2021,G493/$H$1963,B493=2022,G493/$H$1964,B493=2023,G493/$H$1965)</f>
        <v>5.6932131498232681E-4</v>
      </c>
      <c r="J493" s="10" cm="1">
        <f t="array" ref="J493">_xlfn.IFS(B493=2015,I493*$G$2,B493=2016,I493*$G$3,B493=2017,I493*$G$4,B493=2018,I493*$G$5,B493=2019,I493*$G$6,B493=2020,I493*$G$7,B493=2021,I493*$G$8,B493=2022,I493*$G$9,B493=2023,I493*$G$10)</f>
        <v>141557.51775959181</v>
      </c>
      <c r="K493" s="8">
        <f t="shared" si="7"/>
        <v>878773.51775959181</v>
      </c>
      <c r="L493">
        <f>IFERROR(VLOOKUP(F493,'LEAID Match'!$A$2:$B$240,2,FALSE),"")</f>
        <v>0</v>
      </c>
    </row>
    <row r="494" spans="1:12" x14ac:dyDescent="0.2">
      <c r="A494">
        <v>0</v>
      </c>
      <c r="B494">
        <v>2016</v>
      </c>
      <c r="C494" s="4" t="s">
        <v>136</v>
      </c>
      <c r="D494" s="4" t="s">
        <v>576</v>
      </c>
      <c r="E494" s="4" t="s">
        <v>578</v>
      </c>
      <c r="F494" s="4" t="s">
        <v>95</v>
      </c>
      <c r="G494" s="8">
        <v>931698</v>
      </c>
      <c r="I494" s="16" cm="1">
        <f t="array" ref="I494">_xlfn.IFS(B494=2015,G494/$H$1957,B494=2016,G494/$H$1958,B494=2017,G494/$H$1959,B494=2018,G494/$H$1960,B494=2019,G494/$H$1961,B494=2020,G494/$H$1962,B494=2021,G494/$H$1963,B494=2022,G494/$H$1964,B494=2023,G494/$H$1965)</f>
        <v>6.5405159769304187E-4</v>
      </c>
      <c r="J494" s="10" cm="1">
        <f t="array" ref="J494">_xlfn.IFS(B494=2015,I494*$G$2,B494=2016,I494*$G$3,B494=2017,I494*$G$4,B494=2018,I494*$G$5,B494=2019,I494*$G$6,B494=2020,I494*$G$7,B494=2021,I494*$G$8,B494=2022,I494*$G$9,B494=2023,I494*$G$10)</f>
        <v>177380.80777327385</v>
      </c>
      <c r="K494" s="8">
        <f t="shared" si="7"/>
        <v>1109078.8077732739</v>
      </c>
      <c r="L494">
        <f>IFERROR(VLOOKUP(F494,'LEAID Match'!$A$2:$B$240,2,FALSE),"")</f>
        <v>0</v>
      </c>
    </row>
    <row r="495" spans="1:12" x14ac:dyDescent="0.2">
      <c r="A495">
        <v>0</v>
      </c>
      <c r="B495">
        <v>2017</v>
      </c>
      <c r="C495" s="4" t="s">
        <v>136</v>
      </c>
      <c r="D495" s="4" t="s">
        <v>576</v>
      </c>
      <c r="E495" s="4" t="s">
        <v>578</v>
      </c>
      <c r="F495" s="4" t="s">
        <v>95</v>
      </c>
      <c r="G495" s="8">
        <v>530339</v>
      </c>
      <c r="I495" s="16" cm="1">
        <f t="array" ref="I495">_xlfn.IFS(B495=2015,G495/$H$1957,B495=2016,G495/$H$1958,B495=2017,G495/$H$1959,B495=2018,G495/$H$1960,B495=2019,G495/$H$1961,B495=2020,G495/$H$1962,B495=2021,G495/$H$1963,B495=2022,G495/$H$1964,B495=2023,G495/$H$1965)</f>
        <v>7.075850859995284E-4</v>
      </c>
      <c r="J495" s="10" cm="1">
        <f t="array" ref="J495">_xlfn.IFS(B495=2015,I495*$G$2,B495=2016,I495*$G$3,B495=2017,I495*$G$4,B495=2018,I495*$G$5,B495=2019,I495*$G$6,B495=2020,I495*$G$7,B495=2021,I495*$G$8,B495=2022,I495*$G$9,B495=2023,I495*$G$10)</f>
        <v>104783.86039777164</v>
      </c>
      <c r="K495" s="8">
        <f t="shared" si="7"/>
        <v>635122.8603977717</v>
      </c>
      <c r="L495">
        <f>IFERROR(VLOOKUP(F495,'LEAID Match'!$A$2:$B$240,2,FALSE),"")</f>
        <v>0</v>
      </c>
    </row>
    <row r="496" spans="1:12" x14ac:dyDescent="0.2">
      <c r="A496">
        <v>0</v>
      </c>
      <c r="B496">
        <v>2018</v>
      </c>
      <c r="C496" s="4" t="s">
        <v>136</v>
      </c>
      <c r="D496" s="4" t="s">
        <v>576</v>
      </c>
      <c r="E496" s="4" t="s">
        <v>578</v>
      </c>
      <c r="F496" s="4" t="s">
        <v>95</v>
      </c>
      <c r="G496" s="8">
        <v>518392</v>
      </c>
      <c r="I496" s="16" cm="1">
        <f t="array" ref="I496">_xlfn.IFS(B496=2015,G496/$H$1957,B496=2016,G496/$H$1958,B496=2017,G496/$H$1959,B496=2018,G496/$H$1960,B496=2019,G496/$H$1961,B496=2020,G496/$H$1962,B496=2021,G496/$H$1963,B496=2022,G496/$H$1964,B496=2023,G496/$H$1965)</f>
        <v>6.6702040224040585E-4</v>
      </c>
      <c r="J496" s="10" cm="1">
        <f t="array" ref="J496">_xlfn.IFS(B496=2015,I496*$G$2,B496=2016,I496*$G$3,B496=2017,I496*$G$4,B496=2018,I496*$G$5,B496=2019,I496*$G$6,B496=2020,I496*$G$7,B496=2021,I496*$G$8,B496=2022,I496*$G$9,B496=2023,I496*$G$10)</f>
        <v>100402.52833328428</v>
      </c>
      <c r="K496" s="8">
        <f t="shared" si="7"/>
        <v>618794.52833328431</v>
      </c>
      <c r="L496">
        <f>IFERROR(VLOOKUP(F496,'LEAID Match'!$A$2:$B$240,2,FALSE),"")</f>
        <v>0</v>
      </c>
    </row>
    <row r="497" spans="1:12" x14ac:dyDescent="0.2">
      <c r="A497">
        <v>0</v>
      </c>
      <c r="B497">
        <v>2019</v>
      </c>
      <c r="C497" s="4" t="s">
        <v>136</v>
      </c>
      <c r="D497" s="4" t="s">
        <v>576</v>
      </c>
      <c r="E497" s="4" t="s">
        <v>578</v>
      </c>
      <c r="F497" s="4" t="s">
        <v>95</v>
      </c>
      <c r="G497" s="8">
        <v>509099</v>
      </c>
      <c r="I497" s="16" cm="1">
        <f t="array" ref="I497">_xlfn.IFS(B497=2015,G497/$H$1957,B497=2016,G497/$H$1958,B497=2017,G497/$H$1959,B497=2018,G497/$H$1960,B497=2019,G497/$H$1961,B497=2020,G497/$H$1962,B497=2021,G497/$H$1963,B497=2022,G497/$H$1964,B497=2023,G497/$H$1965)</f>
        <v>6.3270653232213832E-4</v>
      </c>
      <c r="J497" s="10" cm="1">
        <f t="array" ref="J497">_xlfn.IFS(B497=2015,I497*$G$2,B497=2016,I497*$G$3,B497=2017,I497*$G$4,B497=2018,I497*$G$5,B497=2019,I497*$G$6,B497=2020,I497*$G$7,B497=2021,I497*$G$8,B497=2022,I497*$G$9,B497=2023,I497*$G$10)</f>
        <v>99985.425079999812</v>
      </c>
      <c r="K497" s="8">
        <f t="shared" si="7"/>
        <v>609084.42507999984</v>
      </c>
      <c r="L497">
        <f>IFERROR(VLOOKUP(F497,'LEAID Match'!$A$2:$B$240,2,FALSE),"")</f>
        <v>0</v>
      </c>
    </row>
    <row r="498" spans="1:12" x14ac:dyDescent="0.2">
      <c r="A498">
        <v>0</v>
      </c>
      <c r="B498">
        <v>2020</v>
      </c>
      <c r="C498" s="4" t="s">
        <v>136</v>
      </c>
      <c r="D498" s="4" t="s">
        <v>576</v>
      </c>
      <c r="E498" s="4" t="s">
        <v>578</v>
      </c>
      <c r="F498" s="4" t="s">
        <v>95</v>
      </c>
      <c r="G498" s="8">
        <v>513843</v>
      </c>
      <c r="I498" s="16" cm="1">
        <f t="array" ref="I498">_xlfn.IFS(B498=2015,G498/$H$1957,B498=2016,G498/$H$1958,B498=2017,G498/$H$1959,B498=2018,G498/$H$1960,B498=2019,G498/$H$1961,B498=2020,G498/$H$1962,B498=2021,G498/$H$1963,B498=2022,G498/$H$1964,B498=2023,G498/$H$1965)</f>
        <v>5.9100339975757252E-4</v>
      </c>
      <c r="J498" s="10" cm="1">
        <f t="array" ref="J498">_xlfn.IFS(B498=2015,I498*$G$2,B498=2016,I498*$G$3,B498=2017,I498*$G$4,B498=2018,I498*$G$5,B498=2019,I498*$G$6,B498=2020,I498*$G$7,B498=2021,I498*$G$8,B498=2022,I498*$G$9,B498=2023,I498*$G$10)</f>
        <v>102056.76843737627</v>
      </c>
      <c r="K498" s="8">
        <f t="shared" si="7"/>
        <v>615899.76843737625</v>
      </c>
      <c r="L498">
        <f>IFERROR(VLOOKUP(F498,'LEAID Match'!$A$2:$B$240,2,FALSE),"")</f>
        <v>0</v>
      </c>
    </row>
    <row r="499" spans="1:12" x14ac:dyDescent="0.2">
      <c r="A499">
        <v>0</v>
      </c>
      <c r="B499">
        <v>2021</v>
      </c>
      <c r="C499" s="4" t="s">
        <v>136</v>
      </c>
      <c r="D499" s="4" t="s">
        <v>576</v>
      </c>
      <c r="E499" s="4" t="s">
        <v>578</v>
      </c>
      <c r="F499" s="4" t="s">
        <v>95</v>
      </c>
      <c r="G499" s="8">
        <v>487416</v>
      </c>
      <c r="I499" s="16" cm="1">
        <f t="array" ref="I499">_xlfn.IFS(B499=2015,G499/$H$1957,B499=2016,G499/$H$1958,B499=2017,G499/$H$1959,B499=2018,G499/$H$1960,B499=2019,G499/$H$1961,B499=2020,G499/$H$1962,B499=2021,G499/$H$1963,B499=2022,G499/$H$1964,B499=2023,G499/$H$1965)</f>
        <v>5.5701651470267796E-4</v>
      </c>
      <c r="J499" s="10" cm="1">
        <f t="array" ref="J499">_xlfn.IFS(B499=2015,I499*$G$2,B499=2016,I499*$G$3,B499=2017,I499*$G$4,B499=2018,I499*$G$5,B499=2019,I499*$G$6,B499=2020,I499*$G$7,B499=2021,I499*$G$8,B499=2022,I499*$G$9,B499=2023,I499*$G$10)</f>
        <v>95593.411853021069</v>
      </c>
      <c r="K499" s="8">
        <f t="shared" si="7"/>
        <v>583009.41185302101</v>
      </c>
      <c r="L499">
        <f>IFERROR(VLOOKUP(F499,'LEAID Match'!$A$2:$B$240,2,FALSE),"")</f>
        <v>0</v>
      </c>
    </row>
    <row r="500" spans="1:12" x14ac:dyDescent="0.2">
      <c r="A500">
        <v>0</v>
      </c>
      <c r="B500">
        <v>2022</v>
      </c>
      <c r="C500" s="4" t="s">
        <v>136</v>
      </c>
      <c r="D500" s="4" t="s">
        <v>576</v>
      </c>
      <c r="E500" s="4" t="s">
        <v>578</v>
      </c>
      <c r="F500" s="4" t="s">
        <v>95</v>
      </c>
      <c r="G500" s="8">
        <v>491223</v>
      </c>
      <c r="I500" s="16" cm="1">
        <f t="array" ref="I500">_xlfn.IFS(B500=2015,G500/$H$1957,B500=2016,G500/$H$1958,B500=2017,G500/$H$1959,B500=2018,G500/$H$1960,B500=2019,G500/$H$1961,B500=2020,G500/$H$1962,B500=2021,G500/$H$1963,B500=2022,G500/$H$1964,B500=2023,G500/$H$1965)</f>
        <v>5.2796761410844797E-4</v>
      </c>
      <c r="J500" s="10" cm="1">
        <f t="array" ref="J500">_xlfn.IFS(B500=2015,I500*$G$2,B500=2016,I500*$G$3,B500=2017,I500*$G$4,B500=2018,I500*$G$5,B500=2019,I500*$G$6,B500=2020,I500*$G$7,B500=2021,I500*$G$8,B500=2022,I500*$G$9,B500=2023,I500*$G$10)</f>
        <v>89535.730489562702</v>
      </c>
      <c r="K500" s="8">
        <f t="shared" si="7"/>
        <v>580758.73048956273</v>
      </c>
      <c r="L500">
        <f>IFERROR(VLOOKUP(F500,'LEAID Match'!$A$2:$B$240,2,FALSE),"")</f>
        <v>0</v>
      </c>
    </row>
    <row r="501" spans="1:12" x14ac:dyDescent="0.2">
      <c r="A501">
        <v>0</v>
      </c>
      <c r="B501">
        <v>2023</v>
      </c>
      <c r="C501" s="4" t="s">
        <v>136</v>
      </c>
      <c r="D501" s="4" t="s">
        <v>576</v>
      </c>
      <c r="E501" s="4" t="s">
        <v>578</v>
      </c>
      <c r="F501" s="4" t="s">
        <v>95</v>
      </c>
      <c r="G501" s="8">
        <v>515869</v>
      </c>
      <c r="I501" s="16" cm="1">
        <f t="array" ref="I501">_xlfn.IFS(B501=2015,G501/$H$1957,B501=2016,G501/$H$1958,B501=2017,G501/$H$1959,B501=2018,G501/$H$1960,B501=2019,G501/$H$1961,B501=2020,G501/$H$1962,B501=2021,G501/$H$1963,B501=2022,G501/$H$1964,B501=2023,G501/$H$1965)</f>
        <v>5.2231199264304818E-4</v>
      </c>
      <c r="J501" s="10" cm="1">
        <f t="array" ref="J501">_xlfn.IFS(B501=2015,I501*$G$2,B501=2016,I501*$G$3,B501=2017,I501*$G$4,B501=2018,I501*$G$5,B501=2019,I501*$G$6,B501=2020,I501*$G$7,B501=2021,I501*$G$8,B501=2022,I501*$G$9,B501=2023,I501*$G$10)</f>
        <v>88785.370686954193</v>
      </c>
      <c r="K501" s="8">
        <f t="shared" si="7"/>
        <v>604654.37068695424</v>
      </c>
      <c r="L501">
        <f>IFERROR(VLOOKUP(F501,'LEAID Match'!$A$2:$B$240,2,FALSE),"")</f>
        <v>0</v>
      </c>
    </row>
    <row r="502" spans="1:12" x14ac:dyDescent="0.2">
      <c r="A502">
        <v>0</v>
      </c>
      <c r="B502">
        <v>2015</v>
      </c>
      <c r="C502" s="4" t="s">
        <v>137</v>
      </c>
      <c r="D502" s="4" t="s">
        <v>576</v>
      </c>
      <c r="E502" s="4" t="s">
        <v>578</v>
      </c>
      <c r="F502" s="4" t="s">
        <v>96</v>
      </c>
      <c r="G502" s="8">
        <v>115349</v>
      </c>
      <c r="I502" s="16" cm="1">
        <f t="array" ref="I502">_xlfn.IFS(B502=2015,G502/$H$1957,B502=2016,G502/$H$1958,B502=2017,G502/$H$1959,B502=2018,G502/$H$1960,B502=2019,G502/$H$1961,B502=2020,G502/$H$1962,B502=2021,G502/$H$1963,B502=2022,G502/$H$1964,B502=2023,G502/$H$1965)</f>
        <v>8.9079244565902542E-5</v>
      </c>
      <c r="J502" s="10" cm="1">
        <f t="array" ref="J502">_xlfn.IFS(B502=2015,I502*$G$2,B502=2016,I502*$G$3,B502=2017,I502*$G$4,B502=2018,I502*$G$5,B502=2019,I502*$G$6,B502=2020,I502*$G$7,B502=2021,I502*$G$8,B502=2022,I502*$G$9,B502=2023,I502*$G$10)</f>
        <v>22148.892747920767</v>
      </c>
      <c r="K502" s="8">
        <f t="shared" si="7"/>
        <v>137497.89274792076</v>
      </c>
      <c r="L502">
        <f>IFERROR(VLOOKUP(F502,'LEAID Match'!$A$2:$B$240,2,FALSE),"")</f>
        <v>0</v>
      </c>
    </row>
    <row r="503" spans="1:12" x14ac:dyDescent="0.2">
      <c r="A503">
        <v>0</v>
      </c>
      <c r="B503">
        <v>2016</v>
      </c>
      <c r="C503" s="4" t="s">
        <v>137</v>
      </c>
      <c r="D503" s="4" t="s">
        <v>576</v>
      </c>
      <c r="E503" s="4" t="s">
        <v>578</v>
      </c>
      <c r="F503" s="4" t="s">
        <v>96</v>
      </c>
      <c r="G503" s="8">
        <v>150333</v>
      </c>
      <c r="I503" s="16" cm="1">
        <f t="array" ref="I503">_xlfn.IFS(B503=2015,G503/$H$1957,B503=2016,G503/$H$1958,B503=2017,G503/$H$1959,B503=2018,G503/$H$1960,B503=2019,G503/$H$1961,B503=2020,G503/$H$1962,B503=2021,G503/$H$1963,B503=2022,G503/$H$1964,B503=2023,G503/$H$1965)</f>
        <v>1.0553370173166419E-4</v>
      </c>
      <c r="J503" s="10" cm="1">
        <f t="array" ref="J503">_xlfn.IFS(B503=2015,I503*$G$2,B503=2016,I503*$G$3,B503=2017,I503*$G$4,B503=2018,I503*$G$5,B503=2019,I503*$G$6,B503=2020,I503*$G$7,B503=2021,I503*$G$8,B503=2022,I503*$G$9,B503=2023,I503*$G$10)</f>
        <v>28621.06495342866</v>
      </c>
      <c r="K503" s="8">
        <f t="shared" si="7"/>
        <v>178954.06495342866</v>
      </c>
      <c r="L503">
        <f>IFERROR(VLOOKUP(F503,'LEAID Match'!$A$2:$B$240,2,FALSE),"")</f>
        <v>0</v>
      </c>
    </row>
    <row r="504" spans="1:12" x14ac:dyDescent="0.2">
      <c r="A504">
        <v>0</v>
      </c>
      <c r="B504">
        <v>2017</v>
      </c>
      <c r="C504" s="4" t="s">
        <v>137</v>
      </c>
      <c r="D504" s="4" t="s">
        <v>576</v>
      </c>
      <c r="E504" s="4" t="s">
        <v>578</v>
      </c>
      <c r="F504" s="4" t="s">
        <v>96</v>
      </c>
      <c r="G504" s="8">
        <v>142399</v>
      </c>
      <c r="I504" s="16" cm="1">
        <f t="array" ref="I504">_xlfn.IFS(B504=2015,G504/$H$1957,B504=2016,G504/$H$1958,B504=2017,G504/$H$1959,B504=2018,G504/$H$1960,B504=2019,G504/$H$1961,B504=2020,G504/$H$1962,B504=2021,G504/$H$1963,B504=2022,G504/$H$1964,B504=2023,G504/$H$1965)</f>
        <v>1.8999056954371985E-4</v>
      </c>
      <c r="J504" s="10" cm="1">
        <f t="array" ref="J504">_xlfn.IFS(B504=2015,I504*$G$2,B504=2016,I504*$G$3,B504=2017,I504*$G$4,B504=2018,I504*$G$5,B504=2019,I504*$G$6,B504=2020,I504*$G$7,B504=2021,I504*$G$8,B504=2022,I504*$G$9,B504=2023,I504*$G$10)</f>
        <v>28135.055005915619</v>
      </c>
      <c r="K504" s="8">
        <f t="shared" si="7"/>
        <v>170534.05500591561</v>
      </c>
      <c r="L504">
        <f>IFERROR(VLOOKUP(F504,'LEAID Match'!$A$2:$B$240,2,FALSE),"")</f>
        <v>0</v>
      </c>
    </row>
    <row r="505" spans="1:12" x14ac:dyDescent="0.2">
      <c r="A505">
        <v>0</v>
      </c>
      <c r="B505">
        <v>2018</v>
      </c>
      <c r="C505" s="4" t="s">
        <v>137</v>
      </c>
      <c r="D505" s="4" t="s">
        <v>576</v>
      </c>
      <c r="E505" s="4" t="s">
        <v>578</v>
      </c>
      <c r="F505" s="4" t="s">
        <v>96</v>
      </c>
      <c r="G505" s="8">
        <v>152083</v>
      </c>
      <c r="I505" s="16" cm="1">
        <f t="array" ref="I505">_xlfn.IFS(B505=2015,G505/$H$1957,B505=2016,G505/$H$1958,B505=2017,G505/$H$1959,B505=2018,G505/$H$1960,B505=2019,G505/$H$1961,B505=2020,G505/$H$1962,B505=2021,G505/$H$1963,B505=2022,G505/$H$1964,B505=2023,G505/$H$1965)</f>
        <v>1.9568678496953586E-4</v>
      </c>
      <c r="J505" s="10" cm="1">
        <f t="array" ref="J505">_xlfn.IFS(B505=2015,I505*$G$2,B505=2016,I505*$G$3,B505=2017,I505*$G$4,B505=2018,I505*$G$5,B505=2019,I505*$G$6,B505=2020,I505*$G$7,B505=2021,I505*$G$8,B505=2022,I505*$G$9,B505=2023,I505*$G$10)</f>
        <v>29455.542748558757</v>
      </c>
      <c r="K505" s="8">
        <f t="shared" si="7"/>
        <v>181538.54274855874</v>
      </c>
      <c r="L505">
        <f>IFERROR(VLOOKUP(F505,'LEAID Match'!$A$2:$B$240,2,FALSE),"")</f>
        <v>0</v>
      </c>
    </row>
    <row r="506" spans="1:12" x14ac:dyDescent="0.2">
      <c r="A506">
        <v>0</v>
      </c>
      <c r="B506">
        <v>2019</v>
      </c>
      <c r="C506" s="4" t="s">
        <v>137</v>
      </c>
      <c r="D506" s="4" t="s">
        <v>576</v>
      </c>
      <c r="E506" s="4" t="s">
        <v>578</v>
      </c>
      <c r="F506" s="4" t="s">
        <v>96</v>
      </c>
      <c r="G506" s="8">
        <v>133303</v>
      </c>
      <c r="I506" s="16" cm="1">
        <f t="array" ref="I506">_xlfn.IFS(B506=2015,G506/$H$1957,B506=2016,G506/$H$1958,B506=2017,G506/$H$1959,B506=2018,G506/$H$1960,B506=2019,G506/$H$1961,B506=2020,G506/$H$1962,B506=2021,G506/$H$1963,B506=2022,G506/$H$1964,B506=2023,G506/$H$1965)</f>
        <v>1.6566852199304655E-4</v>
      </c>
      <c r="J506" s="10" cm="1">
        <f t="array" ref="J506">_xlfn.IFS(B506=2015,I506*$G$2,B506=2016,I506*$G$3,B506=2017,I506*$G$4,B506=2018,I506*$G$5,B506=2019,I506*$G$6,B506=2020,I506*$G$7,B506=2021,I506*$G$8,B506=2022,I506*$G$9,B506=2023,I506*$G$10)</f>
        <v>26180.285405076844</v>
      </c>
      <c r="K506" s="8">
        <f t="shared" si="7"/>
        <v>159483.28540507684</v>
      </c>
      <c r="L506">
        <f>IFERROR(VLOOKUP(F506,'LEAID Match'!$A$2:$B$240,2,FALSE),"")</f>
        <v>0</v>
      </c>
    </row>
    <row r="507" spans="1:12" x14ac:dyDescent="0.2">
      <c r="A507">
        <v>0</v>
      </c>
      <c r="B507">
        <v>2020</v>
      </c>
      <c r="C507" s="4" t="s">
        <v>137</v>
      </c>
      <c r="D507" s="4" t="s">
        <v>576</v>
      </c>
      <c r="E507" s="4" t="s">
        <v>578</v>
      </c>
      <c r="F507" s="4" t="s">
        <v>96</v>
      </c>
      <c r="G507" s="8">
        <v>138667</v>
      </c>
      <c r="I507" s="16" cm="1">
        <f t="array" ref="I507">_xlfn.IFS(B507=2015,G507/$H$1957,B507=2016,G507/$H$1958,B507=2017,G507/$H$1959,B507=2018,G507/$H$1960,B507=2019,G507/$H$1961,B507=2020,G507/$H$1962,B507=2021,G507/$H$1963,B507=2022,G507/$H$1964,B507=2023,G507/$H$1965)</f>
        <v>1.5948970489854548E-4</v>
      </c>
      <c r="J507" s="10" cm="1">
        <f t="array" ref="J507">_xlfn.IFS(B507=2015,I507*$G$2,B507=2016,I507*$G$3,B507=2017,I507*$G$4,B507=2018,I507*$G$5,B507=2019,I507*$G$6,B507=2020,I507*$G$7,B507=2021,I507*$G$8,B507=2022,I507*$G$9,B507=2023,I507*$G$10)</f>
        <v>27541.303294791709</v>
      </c>
      <c r="K507" s="8">
        <f t="shared" si="7"/>
        <v>166208.30329479172</v>
      </c>
      <c r="L507">
        <f>IFERROR(VLOOKUP(F507,'LEAID Match'!$A$2:$B$240,2,FALSE),"")</f>
        <v>0</v>
      </c>
    </row>
    <row r="508" spans="1:12" x14ac:dyDescent="0.2">
      <c r="A508">
        <v>0</v>
      </c>
      <c r="B508">
        <v>2021</v>
      </c>
      <c r="C508" s="4" t="s">
        <v>137</v>
      </c>
      <c r="D508" s="4" t="s">
        <v>576</v>
      </c>
      <c r="E508" s="4" t="s">
        <v>578</v>
      </c>
      <c r="F508" s="4" t="s">
        <v>96</v>
      </c>
      <c r="G508" s="8">
        <v>84735</v>
      </c>
      <c r="I508" s="16" cm="1">
        <f t="array" ref="I508">_xlfn.IFS(B508=2015,G508/$H$1957,B508=2016,G508/$H$1958,B508=2017,G508/$H$1959,B508=2018,G508/$H$1960,B508=2019,G508/$H$1961,B508=2020,G508/$H$1962,B508=2021,G508/$H$1963,B508=2022,G508/$H$1964,B508=2023,G508/$H$1965)</f>
        <v>9.6834725108185655E-5</v>
      </c>
      <c r="J508" s="10" cm="1">
        <f t="array" ref="J508">_xlfn.IFS(B508=2015,I508*$G$2,B508=2016,I508*$G$3,B508=2017,I508*$G$4,B508=2018,I508*$G$5,B508=2019,I508*$G$6,B508=2020,I508*$G$7,B508=2021,I508*$G$8,B508=2022,I508*$G$9,B508=2023,I508*$G$10)</f>
        <v>16618.469137996581</v>
      </c>
      <c r="K508" s="8">
        <f t="shared" si="7"/>
        <v>101353.46913799658</v>
      </c>
      <c r="L508">
        <f>IFERROR(VLOOKUP(F508,'LEAID Match'!$A$2:$B$240,2,FALSE),"")</f>
        <v>0</v>
      </c>
    </row>
    <row r="509" spans="1:12" x14ac:dyDescent="0.2">
      <c r="A509">
        <v>0</v>
      </c>
      <c r="B509">
        <v>2022</v>
      </c>
      <c r="C509" s="4" t="s">
        <v>137</v>
      </c>
      <c r="D509" s="4" t="s">
        <v>576</v>
      </c>
      <c r="E509" s="4" t="s">
        <v>578</v>
      </c>
      <c r="F509" s="4" t="s">
        <v>96</v>
      </c>
      <c r="G509" s="8">
        <v>177415</v>
      </c>
      <c r="I509" s="16" cm="1">
        <f t="array" ref="I509">_xlfn.IFS(B509=2015,G509/$H$1957,B509=2016,G509/$H$1958,B509=2017,G509/$H$1959,B509=2018,G509/$H$1960,B509=2019,G509/$H$1961,B509=2020,G509/$H$1962,B509=2021,G509/$H$1963,B509=2022,G509/$H$1964,B509=2023,G509/$H$1965)</f>
        <v>1.9068605146145497E-4</v>
      </c>
      <c r="J509" s="10" cm="1">
        <f t="array" ref="J509">_xlfn.IFS(B509=2015,I509*$G$2,B509=2016,I509*$G$3,B509=2017,I509*$G$4,B509=2018,I509*$G$5,B509=2019,I509*$G$6,B509=2020,I509*$G$7,B509=2021,I509*$G$8,B509=2022,I509*$G$9,B509=2023,I509*$G$10)</f>
        <v>32337.617792338238</v>
      </c>
      <c r="K509" s="8">
        <f t="shared" si="7"/>
        <v>209752.61779233825</v>
      </c>
      <c r="L509">
        <f>IFERROR(VLOOKUP(F509,'LEAID Match'!$A$2:$B$240,2,FALSE),"")</f>
        <v>0</v>
      </c>
    </row>
    <row r="510" spans="1:12" x14ac:dyDescent="0.2">
      <c r="A510">
        <v>0</v>
      </c>
      <c r="B510">
        <v>2023</v>
      </c>
      <c r="C510" s="4" t="s">
        <v>137</v>
      </c>
      <c r="D510" s="4" t="s">
        <v>576</v>
      </c>
      <c r="E510" s="4" t="s">
        <v>578</v>
      </c>
      <c r="F510" s="4" t="s">
        <v>96</v>
      </c>
      <c r="G510" s="8">
        <v>164418</v>
      </c>
      <c r="I510" s="16" cm="1">
        <f t="array" ref="I510">_xlfn.IFS(B510=2015,G510/$H$1957,B510=2016,G510/$H$1958,B510=2017,G510/$H$1959,B510=2018,G510/$H$1960,B510=2019,G510/$H$1961,B510=2020,G510/$H$1962,B510=2021,G510/$H$1963,B510=2022,G510/$H$1964,B510=2023,G510/$H$1965)</f>
        <v>1.6647151351677401E-4</v>
      </c>
      <c r="J510" s="10" cm="1">
        <f t="array" ref="J510">_xlfn.IFS(B510=2015,I510*$G$2,B510=2016,I510*$G$3,B510=2017,I510*$G$4,B510=2018,I510*$G$5,B510=2019,I510*$G$6,B510=2020,I510*$G$7,B510=2021,I510*$G$8,B510=2022,I510*$G$9,B510=2023,I510*$G$10)</f>
        <v>28297.71332956164</v>
      </c>
      <c r="K510" s="8">
        <f t="shared" si="7"/>
        <v>192715.71332956164</v>
      </c>
      <c r="L510">
        <f>IFERROR(VLOOKUP(F510,'LEAID Match'!$A$2:$B$240,2,FALSE),"")</f>
        <v>0</v>
      </c>
    </row>
    <row r="511" spans="1:12" x14ac:dyDescent="0.2">
      <c r="A511">
        <v>0</v>
      </c>
      <c r="B511">
        <v>2015</v>
      </c>
      <c r="C511" s="4" t="s">
        <v>138</v>
      </c>
      <c r="D511" s="4" t="s">
        <v>576</v>
      </c>
      <c r="E511" s="4" t="s">
        <v>578</v>
      </c>
      <c r="F511" s="4" t="s">
        <v>97</v>
      </c>
      <c r="G511" s="8">
        <v>164688</v>
      </c>
      <c r="I511" s="16" cm="1">
        <f t="array" ref="I511">_xlfn.IFS(B511=2015,G511/$H$1957,B511=2016,G511/$H$1958,B511=2017,G511/$H$1959,B511=2018,G511/$H$1960,B511=2019,G511/$H$1961,B511=2020,G511/$H$1962,B511=2021,G511/$H$1963,B511=2022,G511/$H$1964,B511=2023,G511/$H$1965)</f>
        <v>1.271817062052498E-4</v>
      </c>
      <c r="J511" s="10" cm="1">
        <f t="array" ref="J511">_xlfn.IFS(B511=2015,I511*$G$2,B511=2016,I511*$G$3,B511=2017,I511*$G$4,B511=2018,I511*$G$5,B511=2019,I511*$G$6,B511=2020,I511*$G$7,B511=2021,I511*$G$8,B511=2022,I511*$G$9,B511=2023,I511*$G$10)</f>
        <v>31622.786923766787</v>
      </c>
      <c r="K511" s="8">
        <f t="shared" si="7"/>
        <v>196310.78692376678</v>
      </c>
      <c r="L511">
        <f>IFERROR(VLOOKUP(F511,'LEAID Match'!$A$2:$B$240,2,FALSE),"")</f>
        <v>0</v>
      </c>
    </row>
    <row r="512" spans="1:12" x14ac:dyDescent="0.2">
      <c r="A512">
        <v>0</v>
      </c>
      <c r="B512">
        <v>2016</v>
      </c>
      <c r="C512" s="4" t="s">
        <v>138</v>
      </c>
      <c r="D512" s="4" t="s">
        <v>576</v>
      </c>
      <c r="E512" s="4" t="s">
        <v>578</v>
      </c>
      <c r="F512" s="4" t="s">
        <v>97</v>
      </c>
      <c r="G512" s="8">
        <v>176295</v>
      </c>
      <c r="I512" s="16" cm="1">
        <f t="array" ref="I512">_xlfn.IFS(B512=2015,G512/$H$1957,B512=2016,G512/$H$1958,B512=2017,G512/$H$1959,B512=2018,G512/$H$1960,B512=2019,G512/$H$1961,B512=2020,G512/$H$1962,B512=2021,G512/$H$1963,B512=2022,G512/$H$1964,B512=2023,G512/$H$1965)</f>
        <v>1.2375901463274023E-4</v>
      </c>
      <c r="J512" s="10" cm="1">
        <f t="array" ref="J512">_xlfn.IFS(B512=2015,I512*$G$2,B512=2016,I512*$G$3,B512=2017,I512*$G$4,B512=2018,I512*$G$5,B512=2019,I512*$G$6,B512=2020,I512*$G$7,B512=2021,I512*$G$8,B512=2022,I512*$G$9,B512=2023,I512*$G$10)</f>
        <v>33563.825946164216</v>
      </c>
      <c r="K512" s="8">
        <f t="shared" si="7"/>
        <v>209858.8259461642</v>
      </c>
      <c r="L512">
        <f>IFERROR(VLOOKUP(F512,'LEAID Match'!$A$2:$B$240,2,FALSE),"")</f>
        <v>0</v>
      </c>
    </row>
    <row r="513" spans="1:12" x14ac:dyDescent="0.2">
      <c r="A513">
        <v>0</v>
      </c>
      <c r="B513">
        <v>2017</v>
      </c>
      <c r="C513" s="4" t="s">
        <v>138</v>
      </c>
      <c r="D513" s="4" t="s">
        <v>576</v>
      </c>
      <c r="E513" s="4" t="s">
        <v>578</v>
      </c>
      <c r="F513" s="4" t="s">
        <v>97</v>
      </c>
      <c r="G513" s="8">
        <v>95655</v>
      </c>
      <c r="I513" s="16" cm="1">
        <f t="array" ref="I513">_xlfn.IFS(B513=2015,G513/$H$1957,B513=2016,G513/$H$1958,B513=2017,G513/$H$1959,B513=2018,G513/$H$1960,B513=2019,G513/$H$1961,B513=2020,G513/$H$1962,B513=2021,G513/$H$1963,B513=2022,G513/$H$1964,B513=2023,G513/$H$1965)</f>
        <v>1.2762412608027107E-4</v>
      </c>
      <c r="J513" s="10" cm="1">
        <f t="array" ref="J513">_xlfn.IFS(B513=2015,I513*$G$2,B513=2016,I513*$G$3,B513=2017,I513*$G$4,B513=2018,I513*$G$5,B513=2019,I513*$G$6,B513=2020,I513*$G$7,B513=2021,I513*$G$8,B513=2022,I513*$G$9,B513=2023,I513*$G$10)</f>
        <v>18899.42125008503</v>
      </c>
      <c r="K513" s="8">
        <f t="shared" si="7"/>
        <v>114554.42125008503</v>
      </c>
      <c r="L513">
        <f>IFERROR(VLOOKUP(F513,'LEAID Match'!$A$2:$B$240,2,FALSE),"")</f>
        <v>0</v>
      </c>
    </row>
    <row r="514" spans="1:12" x14ac:dyDescent="0.2">
      <c r="A514">
        <v>0</v>
      </c>
      <c r="B514">
        <v>2018</v>
      </c>
      <c r="C514" s="4" t="s">
        <v>138</v>
      </c>
      <c r="D514" s="4" t="s">
        <v>576</v>
      </c>
      <c r="E514" s="4" t="s">
        <v>578</v>
      </c>
      <c r="F514" s="4" t="s">
        <v>97</v>
      </c>
      <c r="G514" s="8">
        <v>122012</v>
      </c>
      <c r="I514" s="16" cm="1">
        <f t="array" ref="I514">_xlfn.IFS(B514=2015,G514/$H$1957,B514=2016,G514/$H$1958,B514=2017,G514/$H$1959,B514=2018,G514/$H$1960,B514=2019,G514/$H$1961,B514=2020,G514/$H$1962,B514=2021,G514/$H$1963,B514=2022,G514/$H$1964,B514=2023,G514/$H$1965)</f>
        <v>1.5699411510624469E-4</v>
      </c>
      <c r="J514" s="10" cm="1">
        <f t="array" ref="J514">_xlfn.IFS(B514=2015,I514*$G$2,B514=2016,I514*$G$3,B514=2017,I514*$G$4,B514=2018,I514*$G$5,B514=2019,I514*$G$6,B514=2020,I514*$G$7,B514=2021,I514*$G$8,B514=2022,I514*$G$9,B514=2023,I514*$G$10)</f>
        <v>23631.370250699627</v>
      </c>
      <c r="K514" s="8">
        <f t="shared" si="7"/>
        <v>145643.37025069963</v>
      </c>
      <c r="L514">
        <f>IFERROR(VLOOKUP(F514,'LEAID Match'!$A$2:$B$240,2,FALSE),"")</f>
        <v>0</v>
      </c>
    </row>
    <row r="515" spans="1:12" x14ac:dyDescent="0.2">
      <c r="A515">
        <v>0</v>
      </c>
      <c r="B515">
        <v>2019</v>
      </c>
      <c r="C515" s="4" t="s">
        <v>138</v>
      </c>
      <c r="D515" s="4" t="s">
        <v>576</v>
      </c>
      <c r="E515" s="4" t="s">
        <v>578</v>
      </c>
      <c r="F515" s="4" t="s">
        <v>97</v>
      </c>
      <c r="G515" s="8">
        <v>138153</v>
      </c>
      <c r="I515" s="16" cm="1">
        <f t="array" ref="I515">_xlfn.IFS(B515=2015,G515/$H$1957,B515=2016,G515/$H$1958,B515=2017,G515/$H$1959,B515=2018,G515/$H$1960,B515=2019,G515/$H$1961,B515=2020,G515/$H$1962,B515=2021,G515/$H$1963,B515=2022,G515/$H$1964,B515=2023,G515/$H$1965)</f>
        <v>1.716960857512986E-4</v>
      </c>
      <c r="J515" s="10" cm="1">
        <f t="array" ref="J515">_xlfn.IFS(B515=2015,I515*$G$2,B515=2016,I515*$G$3,B515=2017,I515*$G$4,B515=2018,I515*$G$5,B515=2019,I515*$G$6,B515=2020,I515*$G$7,B515=2021,I515*$G$8,B515=2022,I515*$G$9,B515=2023,I515*$G$10)</f>
        <v>27132.809986028678</v>
      </c>
      <c r="K515" s="8">
        <f t="shared" si="7"/>
        <v>165285.80998602867</v>
      </c>
      <c r="L515">
        <f>IFERROR(VLOOKUP(F515,'LEAID Match'!$A$2:$B$240,2,FALSE),"")</f>
        <v>0</v>
      </c>
    </row>
    <row r="516" spans="1:12" x14ac:dyDescent="0.2">
      <c r="A516">
        <v>0</v>
      </c>
      <c r="B516">
        <v>2020</v>
      </c>
      <c r="C516" s="4" t="s">
        <v>138</v>
      </c>
      <c r="D516" s="4" t="s">
        <v>576</v>
      </c>
      <c r="E516" s="4" t="s">
        <v>578</v>
      </c>
      <c r="F516" s="4" t="s">
        <v>97</v>
      </c>
      <c r="G516" s="8">
        <v>146798</v>
      </c>
      <c r="I516" s="16" cm="1">
        <f t="array" ref="I516">_xlfn.IFS(B516=2015,G516/$H$1957,B516=2016,G516/$H$1958,B516=2017,G516/$H$1959,B516=2018,G516/$H$1960,B516=2019,G516/$H$1961,B516=2020,G516/$H$1962,B516=2021,G516/$H$1963,B516=2022,G516/$H$1964,B516=2023,G516/$H$1965)</f>
        <v>1.6884168331107385E-4</v>
      </c>
      <c r="J516" s="10" cm="1">
        <f t="array" ref="J516">_xlfn.IFS(B516=2015,I516*$G$2,B516=2016,I516*$G$3,B516=2017,I516*$G$4,B516=2018,I516*$G$5,B516=2019,I516*$G$6,B516=2020,I516*$G$7,B516=2021,I516*$G$8,B516=2022,I516*$G$9,B516=2023,I516*$G$10)</f>
        <v>29156.239343671044</v>
      </c>
      <c r="K516" s="8">
        <f t="shared" si="7"/>
        <v>175954.23934367104</v>
      </c>
      <c r="L516">
        <f>IFERROR(VLOOKUP(F516,'LEAID Match'!$A$2:$B$240,2,FALSE),"")</f>
        <v>0</v>
      </c>
    </row>
    <row r="517" spans="1:12" x14ac:dyDescent="0.2">
      <c r="A517">
        <v>0</v>
      </c>
      <c r="B517">
        <v>2021</v>
      </c>
      <c r="C517" s="4" t="s">
        <v>138</v>
      </c>
      <c r="D517" s="4" t="s">
        <v>576</v>
      </c>
      <c r="E517" s="4" t="s">
        <v>578</v>
      </c>
      <c r="F517" s="4" t="s">
        <v>97</v>
      </c>
      <c r="G517" s="8">
        <v>174545</v>
      </c>
      <c r="I517" s="16" cm="1">
        <f t="array" ref="I517">_xlfn.IFS(B517=2015,G517/$H$1957,B517=2016,G517/$H$1958,B517=2017,G517/$H$1959,B517=2018,G517/$H$1960,B517=2019,G517/$H$1961,B517=2020,G517/$H$1962,B517=2021,G517/$H$1963,B517=2022,G517/$H$1964,B517=2023,G517/$H$1965)</f>
        <v>1.9946913428935226E-4</v>
      </c>
      <c r="J517" s="10" cm="1">
        <f t="array" ref="J517">_xlfn.IFS(B517=2015,I517*$G$2,B517=2016,I517*$G$3,B517=2017,I517*$G$4,B517=2018,I517*$G$5,B517=2019,I517*$G$6,B517=2020,I517*$G$7,B517=2021,I517*$G$8,B517=2022,I517*$G$9,B517=2023,I517*$G$10)</f>
        <v>34232.261706397745</v>
      </c>
      <c r="K517" s="8">
        <f t="shared" si="7"/>
        <v>208777.26170639775</v>
      </c>
      <c r="L517">
        <f>IFERROR(VLOOKUP(F517,'LEAID Match'!$A$2:$B$240,2,FALSE),"")</f>
        <v>0</v>
      </c>
    </row>
    <row r="518" spans="1:12" x14ac:dyDescent="0.2">
      <c r="A518">
        <v>0</v>
      </c>
      <c r="B518">
        <v>2022</v>
      </c>
      <c r="C518" s="4" t="s">
        <v>138</v>
      </c>
      <c r="D518" s="4" t="s">
        <v>576</v>
      </c>
      <c r="E518" s="4" t="s">
        <v>578</v>
      </c>
      <c r="F518" s="4" t="s">
        <v>97</v>
      </c>
      <c r="G518" s="8">
        <v>222485</v>
      </c>
      <c r="I518" s="16" cm="1">
        <f t="array" ref="I518">_xlfn.IFS(B518=2015,G518/$H$1957,B518=2016,G518/$H$1958,B518=2017,G518/$H$1959,B518=2018,G518/$H$1960,B518=2019,G518/$H$1961,B518=2020,G518/$H$1962,B518=2021,G518/$H$1963,B518=2022,G518/$H$1964,B518=2023,G518/$H$1965)</f>
        <v>2.391273914798738E-4</v>
      </c>
      <c r="J518" s="10" cm="1">
        <f t="array" ref="J518">_xlfn.IFS(B518=2015,I518*$G$2,B518=2016,I518*$G$3,B518=2017,I518*$G$4,B518=2018,I518*$G$5,B518=2019,I518*$G$6,B518=2020,I518*$G$7,B518=2021,I518*$G$8,B518=2022,I518*$G$9,B518=2023,I518*$G$10)</f>
        <v>40552.573877791467</v>
      </c>
      <c r="K518" s="8">
        <f t="shared" si="7"/>
        <v>263037.57387779147</v>
      </c>
      <c r="L518">
        <f>IFERROR(VLOOKUP(F518,'LEAID Match'!$A$2:$B$240,2,FALSE),"")</f>
        <v>0</v>
      </c>
    </row>
    <row r="519" spans="1:12" x14ac:dyDescent="0.2">
      <c r="A519">
        <v>0</v>
      </c>
      <c r="B519">
        <v>2023</v>
      </c>
      <c r="C519" s="4" t="s">
        <v>138</v>
      </c>
      <c r="D519" s="4" t="s">
        <v>576</v>
      </c>
      <c r="E519" s="4" t="s">
        <v>578</v>
      </c>
      <c r="F519" s="4" t="s">
        <v>97</v>
      </c>
      <c r="G519" s="8">
        <v>259694</v>
      </c>
      <c r="I519" s="16" cm="1">
        <f t="array" ref="I519">_xlfn.IFS(B519=2015,G519/$H$1957,B519=2016,G519/$H$1958,B519=2017,G519/$H$1959,B519=2018,G519/$H$1960,B519=2019,G519/$H$1961,B519=2020,G519/$H$1962,B519=2021,G519/$H$1963,B519=2022,G519/$H$1964,B519=2023,G519/$H$1965)</f>
        <v>2.6293747175628647E-4</v>
      </c>
      <c r="J519" s="10" cm="1">
        <f t="array" ref="J519">_xlfn.IFS(B519=2015,I519*$G$2,B519=2016,I519*$G$3,B519=2017,I519*$G$4,B519=2018,I519*$G$5,B519=2019,I519*$G$6,B519=2020,I519*$G$7,B519=2021,I519*$G$8,B519=2022,I519*$G$9,B519=2023,I519*$G$10)</f>
        <v>44695.510013545849</v>
      </c>
      <c r="K519" s="8">
        <f t="shared" si="7"/>
        <v>304389.51001354586</v>
      </c>
      <c r="L519">
        <f>IFERROR(VLOOKUP(F519,'LEAID Match'!$A$2:$B$240,2,FALSE),"")</f>
        <v>0</v>
      </c>
    </row>
    <row r="520" spans="1:12" x14ac:dyDescent="0.2">
      <c r="A520">
        <v>0</v>
      </c>
      <c r="B520">
        <v>2015</v>
      </c>
      <c r="C520" s="4" t="s">
        <v>139</v>
      </c>
      <c r="D520" s="4" t="s">
        <v>576</v>
      </c>
      <c r="E520" s="4" t="s">
        <v>578</v>
      </c>
      <c r="F520" s="9" t="s">
        <v>98</v>
      </c>
      <c r="G520" s="8">
        <v>1205981</v>
      </c>
      <c r="H520">
        <v>1</v>
      </c>
      <c r="I520" s="16" cm="1">
        <f t="array" ref="I520">_xlfn.IFS(B520=2015,G520/$H$1957,B520=2016,G520/$H$1958,B520=2017,G520/$H$1959,B520=2018,G520/$H$1960,B520=2019,G520/$H$1961,B520=2020,G520/$H$1962,B520=2021,G520/$H$1963,B520=2022,G520/$H$1964,B520=2023,G520/$H$1965)</f>
        <v>9.3132906605893182E-4</v>
      </c>
      <c r="J520" s="10" cm="1">
        <f t="array" ref="J520">_xlfn.IFS(B520=2015,I520*$G$2,B520=2016,I520*$G$3,B520=2017,I520*$G$4,B520=2018,I520*$G$5,B520=2019,I520*$G$6,B520=2020,I520*$G$7,B520=2021,I520*$G$8,B520=2022,I520*$G$9,B520=2023,I520*$G$10)</f>
        <v>231568.0571572379</v>
      </c>
      <c r="K520" s="8">
        <f t="shared" si="7"/>
        <v>1437549.057157238</v>
      </c>
      <c r="L520">
        <f>IFERROR(VLOOKUP(F520,'LEAID Match'!$A$2:$B$240,2,FALSE),"")</f>
        <v>0</v>
      </c>
    </row>
    <row r="521" spans="1:12" x14ac:dyDescent="0.2">
      <c r="A521">
        <v>0</v>
      </c>
      <c r="B521">
        <v>2016</v>
      </c>
      <c r="C521" s="4" t="s">
        <v>139</v>
      </c>
      <c r="D521" s="4" t="s">
        <v>576</v>
      </c>
      <c r="E521" s="4" t="s">
        <v>578</v>
      </c>
      <c r="F521" s="9" t="s">
        <v>98</v>
      </c>
      <c r="G521" s="8">
        <v>1489778</v>
      </c>
      <c r="H521">
        <v>1</v>
      </c>
      <c r="I521" s="16" cm="1">
        <f t="array" ref="I521">_xlfn.IFS(B521=2015,G521/$H$1957,B521=2016,G521/$H$1958,B521=2017,G521/$H$1959,B521=2018,G521/$H$1960,B521=2019,G521/$H$1961,B521=2020,G521/$H$1962,B521=2021,G521/$H$1963,B521=2022,G521/$H$1964,B521=2023,G521/$H$1965)</f>
        <v>1.0458235191102101E-3</v>
      </c>
      <c r="J521" s="10" cm="1">
        <f t="array" ref="J521">_xlfn.IFS(B521=2015,I521*$G$2,B521=2016,I521*$G$3,B521=2017,I521*$G$4,B521=2018,I521*$G$5,B521=2019,I521*$G$6,B521=2020,I521*$G$7,B521=2021,I521*$G$8,B521=2022,I521*$G$9,B521=2023,I521*$G$10)</f>
        <v>283630.55951912783</v>
      </c>
      <c r="K521" s="8">
        <f t="shared" si="7"/>
        <v>1773408.5595191279</v>
      </c>
      <c r="L521">
        <f>IFERROR(VLOOKUP(F521,'LEAID Match'!$A$2:$B$240,2,FALSE),"")</f>
        <v>0</v>
      </c>
    </row>
    <row r="522" spans="1:12" x14ac:dyDescent="0.2">
      <c r="A522">
        <v>0</v>
      </c>
      <c r="B522">
        <v>2017</v>
      </c>
      <c r="C522" s="4" t="s">
        <v>139</v>
      </c>
      <c r="D522" s="4" t="s">
        <v>576</v>
      </c>
      <c r="E522" s="4" t="s">
        <v>578</v>
      </c>
      <c r="F522" s="9" t="s">
        <v>98</v>
      </c>
      <c r="G522" s="8">
        <v>1275805</v>
      </c>
      <c r="H522">
        <v>1</v>
      </c>
      <c r="I522" s="16" cm="1">
        <f t="array" ref="I522">_xlfn.IFS(B522=2015,G522/$H$1957,B522=2016,G522/$H$1958,B522=2017,G522/$H$1959,B522=2018,G522/$H$1960,B522=2019,G522/$H$1961,B522=2020,G522/$H$1962,B522=2021,G522/$H$1963,B522=2022,G522/$H$1964,B522=2023,G522/$H$1965)</f>
        <v>1.7021953705905625E-3</v>
      </c>
      <c r="J522" s="10" cm="1">
        <f t="array" ref="J522">_xlfn.IFS(B522=2015,I522*$G$2,B522=2016,I522*$G$3,B522=2017,I522*$G$4,B522=2018,I522*$G$5,B522=2019,I522*$G$6,B522=2020,I522*$G$7,B522=2021,I522*$G$8,B522=2022,I522*$G$9,B522=2023,I522*$G$10)</f>
        <v>252072.30283795658</v>
      </c>
      <c r="K522" s="8">
        <f t="shared" si="7"/>
        <v>1527877.3028379567</v>
      </c>
      <c r="L522">
        <f>IFERROR(VLOOKUP(F522,'LEAID Match'!$A$2:$B$240,2,FALSE),"")</f>
        <v>0</v>
      </c>
    </row>
    <row r="523" spans="1:12" x14ac:dyDescent="0.2">
      <c r="A523">
        <v>0</v>
      </c>
      <c r="B523">
        <v>2018</v>
      </c>
      <c r="C523" s="4" t="s">
        <v>139</v>
      </c>
      <c r="D523" s="4" t="s">
        <v>576</v>
      </c>
      <c r="E523" s="4" t="s">
        <v>578</v>
      </c>
      <c r="F523" s="9" t="s">
        <v>98</v>
      </c>
      <c r="G523" s="8">
        <v>1455973</v>
      </c>
      <c r="H523">
        <v>1</v>
      </c>
      <c r="I523" s="16" cm="1">
        <f t="array" ref="I523">_xlfn.IFS(B523=2015,G523/$H$1957,B523=2016,G523/$H$1958,B523=2017,G523/$H$1959,B523=2018,G523/$H$1960,B523=2019,G523/$H$1961,B523=2020,G523/$H$1962,B523=2021,G523/$H$1963,B523=2022,G523/$H$1964,B523=2023,G523/$H$1965)</f>
        <v>1.8734156702093596E-3</v>
      </c>
      <c r="J523" s="10" cm="1">
        <f t="array" ref="J523">_xlfn.IFS(B523=2015,I523*$G$2,B523=2016,I523*$G$3,B523=2017,I523*$G$4,B523=2018,I523*$G$5,B523=2019,I523*$G$6,B523=2020,I523*$G$7,B523=2021,I523*$G$8,B523=2022,I523*$G$9,B523=2023,I523*$G$10)</f>
        <v>281993.87796300271</v>
      </c>
      <c r="K523" s="8">
        <f t="shared" si="7"/>
        <v>1737966.8779630028</v>
      </c>
      <c r="L523">
        <f>IFERROR(VLOOKUP(F523,'LEAID Match'!$A$2:$B$240,2,FALSE),"")</f>
        <v>0</v>
      </c>
    </row>
    <row r="524" spans="1:12" x14ac:dyDescent="0.2">
      <c r="A524">
        <v>0</v>
      </c>
      <c r="B524">
        <v>2019</v>
      </c>
      <c r="C524" s="4" t="s">
        <v>139</v>
      </c>
      <c r="D524" s="4" t="s">
        <v>576</v>
      </c>
      <c r="E524" s="4" t="s">
        <v>578</v>
      </c>
      <c r="F524" s="9" t="s">
        <v>98</v>
      </c>
      <c r="G524" s="8">
        <v>1834900</v>
      </c>
      <c r="H524">
        <v>1</v>
      </c>
      <c r="I524" s="16" cm="1">
        <f t="array" ref="I524">_xlfn.IFS(B524=2015,G524/$H$1957,B524=2016,G524/$H$1958,B524=2017,G524/$H$1959,B524=2018,G524/$H$1960,B524=2019,G524/$H$1961,B524=2020,G524/$H$1962,B524=2021,G524/$H$1963,B524=2022,G524/$H$1964,B524=2023,G524/$H$1965)</f>
        <v>2.2804075752611802E-3</v>
      </c>
      <c r="J524" s="10" cm="1">
        <f t="array" ref="J524">_xlfn.IFS(B524=2015,I524*$G$2,B524=2016,I524*$G$3,B524=2017,I524*$G$4,B524=2018,I524*$G$5,B524=2019,I524*$G$6,B524=2020,I524*$G$7,B524=2021,I524*$G$8,B524=2022,I524*$G$9,B524=2023,I524*$G$10)</f>
        <v>360368.52651309798</v>
      </c>
      <c r="K524" s="8">
        <f t="shared" ref="K524:K587" si="8">SUM(G524,J524)</f>
        <v>2195268.5265130978</v>
      </c>
      <c r="L524">
        <f>IFERROR(VLOOKUP(F524,'LEAID Match'!$A$2:$B$240,2,FALSE),"")</f>
        <v>0</v>
      </c>
    </row>
    <row r="525" spans="1:12" x14ac:dyDescent="0.2">
      <c r="A525">
        <v>0</v>
      </c>
      <c r="B525">
        <v>2020</v>
      </c>
      <c r="C525" s="4" t="s">
        <v>139</v>
      </c>
      <c r="D525" s="4" t="s">
        <v>576</v>
      </c>
      <c r="E525" s="4" t="s">
        <v>578</v>
      </c>
      <c r="F525" s="9" t="s">
        <v>98</v>
      </c>
      <c r="G525" s="8">
        <v>2168546</v>
      </c>
      <c r="H525">
        <v>1</v>
      </c>
      <c r="I525" s="16" cm="1">
        <f t="array" ref="I525">_xlfn.IFS(B525=2015,G525/$H$1957,B525=2016,G525/$H$1958,B525=2017,G525/$H$1959,B525=2018,G525/$H$1960,B525=2019,G525/$H$1961,B525=2020,G525/$H$1962,B525=2021,G525/$H$1963,B525=2022,G525/$H$1964,B525=2023,G525/$H$1965)</f>
        <v>2.4941821889773426E-3</v>
      </c>
      <c r="J525" s="10" cm="1">
        <f t="array" ref="J525">_xlfn.IFS(B525=2015,I525*$G$2,B525=2016,I525*$G$3,B525=2017,I525*$G$4,B525=2018,I525*$G$5,B525=2019,I525*$G$6,B525=2020,I525*$G$7,B525=2021,I525*$G$8,B525=2022,I525*$G$9,B525=2023,I525*$G$10)</f>
        <v>430705.09273805137</v>
      </c>
      <c r="K525" s="8">
        <f t="shared" si="8"/>
        <v>2599251.0927380514</v>
      </c>
      <c r="L525">
        <f>IFERROR(VLOOKUP(F525,'LEAID Match'!$A$2:$B$240,2,FALSE),"")</f>
        <v>0</v>
      </c>
    </row>
    <row r="526" spans="1:12" x14ac:dyDescent="0.2">
      <c r="A526">
        <v>0</v>
      </c>
      <c r="B526">
        <v>2021</v>
      </c>
      <c r="C526" s="4" t="s">
        <v>139</v>
      </c>
      <c r="D526" s="4" t="s">
        <v>576</v>
      </c>
      <c r="E526" s="4" t="s">
        <v>578</v>
      </c>
      <c r="F526" s="9" t="s">
        <v>98</v>
      </c>
      <c r="G526" s="8">
        <v>2116663</v>
      </c>
      <c r="H526">
        <v>1</v>
      </c>
      <c r="I526" s="16" cm="1">
        <f t="array" ref="I526">_xlfn.IFS(B526=2015,G526/$H$1957,B526=2016,G526/$H$1958,B526=2017,G526/$H$1959,B526=2018,G526/$H$1960,B526=2019,G526/$H$1961,B526=2020,G526/$H$1962,B526=2021,G526/$H$1963,B526=2022,G526/$H$1964,B526=2023,G526/$H$1965)</f>
        <v>2.4189116628508594E-3</v>
      </c>
      <c r="J526" s="10" cm="1">
        <f t="array" ref="J526">_xlfn.IFS(B526=2015,I526*$G$2,B526=2016,I526*$G$3,B526=2017,I526*$G$4,B526=2018,I526*$G$5,B526=2019,I526*$G$6,B526=2020,I526*$G$7,B526=2021,I526*$G$8,B526=2022,I526*$G$9,B526=2023,I526*$G$10)</f>
        <v>415125.96614196326</v>
      </c>
      <c r="K526" s="8">
        <f t="shared" si="8"/>
        <v>2531788.9661419634</v>
      </c>
      <c r="L526">
        <f>IFERROR(VLOOKUP(F526,'LEAID Match'!$A$2:$B$240,2,FALSE),"")</f>
        <v>0</v>
      </c>
    </row>
    <row r="527" spans="1:12" x14ac:dyDescent="0.2">
      <c r="A527">
        <v>0</v>
      </c>
      <c r="B527">
        <v>2022</v>
      </c>
      <c r="C527" s="4" t="s">
        <v>139</v>
      </c>
      <c r="D527" s="4" t="s">
        <v>576</v>
      </c>
      <c r="E527" s="4" t="s">
        <v>578</v>
      </c>
      <c r="F527" s="9" t="s">
        <v>98</v>
      </c>
      <c r="G527" s="8">
        <v>2371315</v>
      </c>
      <c r="H527">
        <v>1</v>
      </c>
      <c r="I527" s="16" cm="1">
        <f t="array" ref="I527">_xlfn.IFS(B527=2015,G527/$H$1957,B527=2016,G527/$H$1958,B527=2017,G527/$H$1959,B527=2018,G527/$H$1960,B527=2019,G527/$H$1961,B527=2020,G527/$H$1962,B527=2021,G527/$H$1963,B527=2022,G527/$H$1964,B527=2023,G527/$H$1965)</f>
        <v>2.5486948348297498E-3</v>
      </c>
      <c r="J527" s="10" cm="1">
        <f t="array" ref="J527">_xlfn.IFS(B527=2015,I527*$G$2,B527=2016,I527*$G$3,B527=2017,I527*$G$4,B527=2018,I527*$G$5,B527=2019,I527*$G$6,B527=2020,I527*$G$7,B527=2021,I527*$G$8,B527=2022,I527*$G$9,B527=2023,I527*$G$10)</f>
        <v>432222.06766755093</v>
      </c>
      <c r="K527" s="8">
        <f t="shared" si="8"/>
        <v>2803537.0676675509</v>
      </c>
      <c r="L527">
        <f>IFERROR(VLOOKUP(F527,'LEAID Match'!$A$2:$B$240,2,FALSE),"")</f>
        <v>0</v>
      </c>
    </row>
    <row r="528" spans="1:12" x14ac:dyDescent="0.2">
      <c r="A528">
        <v>0</v>
      </c>
      <c r="B528">
        <v>2023</v>
      </c>
      <c r="C528" s="4" t="s">
        <v>139</v>
      </c>
      <c r="D528" s="4" t="s">
        <v>576</v>
      </c>
      <c r="E528" s="4" t="s">
        <v>578</v>
      </c>
      <c r="F528" s="9" t="s">
        <v>98</v>
      </c>
      <c r="G528" s="8">
        <v>3452537</v>
      </c>
      <c r="H528">
        <v>1</v>
      </c>
      <c r="I528" s="16" cm="1">
        <f t="array" ref="I528">_xlfn.IFS(B528=2015,G528/$H$1957,B528=2016,G528/$H$1958,B528=2017,G528/$H$1959,B528=2018,G528/$H$1960,B528=2019,G528/$H$1961,B528=2020,G528/$H$1962,B528=2021,G528/$H$1963,B528=2022,G528/$H$1964,B528=2023,G528/$H$1965)</f>
        <v>3.4956577738609056E-3</v>
      </c>
      <c r="J528" s="10" cm="1">
        <f t="array" ref="J528">_xlfn.IFS(B528=2015,I528*$G$2,B528=2016,I528*$G$3,B528=2017,I528*$G$4,B528=2018,I528*$G$5,B528=2019,I528*$G$6,B528=2020,I528*$G$7,B528=2021,I528*$G$8,B528=2022,I528*$G$9,B528=2023,I528*$G$10)</f>
        <v>594210.50180457591</v>
      </c>
      <c r="K528" s="8">
        <f t="shared" si="8"/>
        <v>4046747.5018045758</v>
      </c>
      <c r="L528">
        <f>IFERROR(VLOOKUP(F528,'LEAID Match'!$A$2:$B$240,2,FALSE),"")</f>
        <v>0</v>
      </c>
    </row>
    <row r="529" spans="1:12" x14ac:dyDescent="0.2">
      <c r="A529">
        <v>0</v>
      </c>
      <c r="B529">
        <v>2015</v>
      </c>
      <c r="C529" s="4" t="s">
        <v>140</v>
      </c>
      <c r="D529" s="4" t="s">
        <v>576</v>
      </c>
      <c r="E529" s="4" t="s">
        <v>578</v>
      </c>
      <c r="F529" s="9" t="s">
        <v>99</v>
      </c>
      <c r="G529" s="8">
        <v>1548823</v>
      </c>
      <c r="H529">
        <v>1</v>
      </c>
      <c r="I529" s="16" cm="1">
        <f t="array" ref="I529">_xlfn.IFS(B529=2015,G529/$H$1957,B529=2016,G529/$H$1958,B529=2017,G529/$H$1959,B529=2018,G529/$H$1960,B529=2019,G529/$H$1961,B529=2020,G529/$H$1962,B529=2021,G529/$H$1963,B529=2022,G529/$H$1964,B529=2023,G529/$H$1965)</f>
        <v>1.1960917112961091E-3</v>
      </c>
      <c r="J529" s="10" cm="1">
        <f t="array" ref="J529">_xlfn.IFS(B529=2015,I529*$G$2,B529=2016,I529*$G$3,B529=2017,I529*$G$4,B529=2018,I529*$G$5,B529=2019,I529*$G$6,B529=2020,I529*$G$7,B529=2021,I529*$G$8,B529=2022,I529*$G$9,B529=2023,I529*$G$10)</f>
        <v>297399.32303282112</v>
      </c>
      <c r="K529" s="8">
        <f t="shared" si="8"/>
        <v>1846222.3230328211</v>
      </c>
      <c r="L529">
        <f>IFERROR(VLOOKUP(F529,'LEAID Match'!$A$2:$B$240,2,FALSE),"")</f>
        <v>0</v>
      </c>
    </row>
    <row r="530" spans="1:12" x14ac:dyDescent="0.2">
      <c r="A530">
        <v>0</v>
      </c>
      <c r="B530">
        <v>2016</v>
      </c>
      <c r="C530" s="4" t="s">
        <v>140</v>
      </c>
      <c r="D530" s="4" t="s">
        <v>576</v>
      </c>
      <c r="E530" s="4" t="s">
        <v>578</v>
      </c>
      <c r="F530" s="9" t="s">
        <v>99</v>
      </c>
      <c r="G530" s="8">
        <v>1532679</v>
      </c>
      <c r="H530">
        <v>1</v>
      </c>
      <c r="I530" s="16" cm="1">
        <f t="array" ref="I530">_xlfn.IFS(B530=2015,G530/$H$1957,B530=2016,G530/$H$1958,B530=2017,G530/$H$1959,B530=2018,G530/$H$1960,B530=2019,G530/$H$1961,B530=2020,G530/$H$1962,B530=2021,G530/$H$1963,B530=2022,G530/$H$1964,B530=2023,G530/$H$1965)</f>
        <v>1.0759400027697534E-3</v>
      </c>
      <c r="J530" s="10" cm="1">
        <f t="array" ref="J530">_xlfn.IFS(B530=2015,I530*$G$2,B530=2016,I530*$G$3,B530=2017,I530*$G$4,B530=2018,I530*$G$5,B530=2019,I530*$G$6,B530=2020,I530*$G$7,B530=2021,I530*$G$8,B530=2022,I530*$G$9,B530=2023,I530*$G$10)</f>
        <v>291798.24264636566</v>
      </c>
      <c r="K530" s="8">
        <f t="shared" si="8"/>
        <v>1824477.2426463657</v>
      </c>
      <c r="L530">
        <f>IFERROR(VLOOKUP(F530,'LEAID Match'!$A$2:$B$240,2,FALSE),"")</f>
        <v>0</v>
      </c>
    </row>
    <row r="531" spans="1:12" x14ac:dyDescent="0.2">
      <c r="A531">
        <v>0</v>
      </c>
      <c r="B531">
        <v>2017</v>
      </c>
      <c r="C531" s="4" t="s">
        <v>140</v>
      </c>
      <c r="D531" s="4" t="s">
        <v>576</v>
      </c>
      <c r="E531" s="4" t="s">
        <v>578</v>
      </c>
      <c r="F531" s="9" t="s">
        <v>99</v>
      </c>
      <c r="G531" s="8">
        <v>759796</v>
      </c>
      <c r="H531">
        <v>1</v>
      </c>
      <c r="I531" s="16" cm="1">
        <f t="array" ref="I531">_xlfn.IFS(B531=2015,G531/$H$1957,B531=2016,G531/$H$1958,B531=2017,G531/$H$1959,B531=2018,G531/$H$1960,B531=2019,G531/$H$1961,B531=2020,G531/$H$1962,B531=2021,G531/$H$1963,B531=2022,G531/$H$1964,B531=2023,G531/$H$1965)</f>
        <v>1.0137295541193419E-3</v>
      </c>
      <c r="J531" s="10" cm="1">
        <f t="array" ref="J531">_xlfn.IFS(B531=2015,I531*$G$2,B531=2016,I531*$G$3,B531=2017,I531*$G$4,B531=2018,I531*$G$5,B531=2019,I531*$G$6,B531=2020,I531*$G$7,B531=2021,I531*$G$8,B531=2022,I531*$G$9,B531=2023,I531*$G$10)</f>
        <v>150119.74981056512</v>
      </c>
      <c r="K531" s="8">
        <f t="shared" si="8"/>
        <v>909915.74981056515</v>
      </c>
      <c r="L531">
        <f>IFERROR(VLOOKUP(F531,'LEAID Match'!$A$2:$B$240,2,FALSE),"")</f>
        <v>0</v>
      </c>
    </row>
    <row r="532" spans="1:12" x14ac:dyDescent="0.2">
      <c r="A532">
        <v>0</v>
      </c>
      <c r="B532">
        <v>2018</v>
      </c>
      <c r="C532" s="4" t="s">
        <v>140</v>
      </c>
      <c r="D532" s="4" t="s">
        <v>576</v>
      </c>
      <c r="E532" s="4" t="s">
        <v>578</v>
      </c>
      <c r="F532" s="9" t="s">
        <v>99</v>
      </c>
      <c r="G532" s="8">
        <v>714360</v>
      </c>
      <c r="H532">
        <v>1</v>
      </c>
      <c r="I532" s="16" cm="1">
        <f t="array" ref="I532">_xlfn.IFS(B532=2015,G532/$H$1957,B532=2016,G532/$H$1958,B532=2017,G532/$H$1959,B532=2018,G532/$H$1960,B532=2019,G532/$H$1961,B532=2020,G532/$H$1962,B532=2021,G532/$H$1963,B532=2022,G532/$H$1964,B532=2023,G532/$H$1965)</f>
        <v>9.1917447519339866E-4</v>
      </c>
      <c r="J532" s="10" cm="1">
        <f t="array" ref="J532">_xlfn.IFS(B532=2015,I532*$G$2,B532=2016,I532*$G$3,B532=2017,I532*$G$4,B532=2018,I532*$G$5,B532=2019,I532*$G$6,B532=2020,I532*$G$7,B532=2021,I532*$G$8,B532=2022,I532*$G$9,B532=2023,I532*$G$10)</f>
        <v>138357.74884675103</v>
      </c>
      <c r="K532" s="8">
        <f t="shared" si="8"/>
        <v>852717.74884675106</v>
      </c>
      <c r="L532">
        <f>IFERROR(VLOOKUP(F532,'LEAID Match'!$A$2:$B$240,2,FALSE),"")</f>
        <v>0</v>
      </c>
    </row>
    <row r="533" spans="1:12" x14ac:dyDescent="0.2">
      <c r="A533">
        <v>0</v>
      </c>
      <c r="B533">
        <v>2019</v>
      </c>
      <c r="C533" s="4" t="s">
        <v>140</v>
      </c>
      <c r="D533" s="4" t="s">
        <v>576</v>
      </c>
      <c r="E533" s="4" t="s">
        <v>578</v>
      </c>
      <c r="F533" s="9" t="s">
        <v>99</v>
      </c>
      <c r="G533" s="8">
        <v>671185</v>
      </c>
      <c r="H533">
        <v>1</v>
      </c>
      <c r="I533" s="16" cm="1">
        <f t="array" ref="I533">_xlfn.IFS(B533=2015,G533/$H$1957,B533=2016,G533/$H$1958,B533=2017,G533/$H$1959,B533=2018,G533/$H$1960,B533=2019,G533/$H$1961,B533=2020,G533/$H$1962,B533=2021,G533/$H$1963,B533=2022,G533/$H$1964,B533=2023,G533/$H$1965)</f>
        <v>8.3414647032627133E-4</v>
      </c>
      <c r="J533" s="10" cm="1">
        <f t="array" ref="J533">_xlfn.IFS(B533=2015,I533*$G$2,B533=2016,I533*$G$3,B533=2017,I533*$G$4,B533=2018,I533*$G$5,B533=2019,I533*$G$6,B533=2020,I533*$G$7,B533=2021,I533*$G$8,B533=2022,I533*$G$9,B533=2023,I533*$G$10)</f>
        <v>131818.60017858937</v>
      </c>
      <c r="K533" s="8">
        <f t="shared" si="8"/>
        <v>803003.60017858935</v>
      </c>
      <c r="L533">
        <f>IFERROR(VLOOKUP(F533,'LEAID Match'!$A$2:$B$240,2,FALSE),"")</f>
        <v>0</v>
      </c>
    </row>
    <row r="534" spans="1:12" x14ac:dyDescent="0.2">
      <c r="A534">
        <v>0</v>
      </c>
      <c r="B534">
        <v>2020</v>
      </c>
      <c r="C534" s="4" t="s">
        <v>140</v>
      </c>
      <c r="D534" s="4" t="s">
        <v>576</v>
      </c>
      <c r="E534" s="4" t="s">
        <v>578</v>
      </c>
      <c r="F534" s="9" t="s">
        <v>99</v>
      </c>
      <c r="G534" s="8">
        <v>635615</v>
      </c>
      <c r="H534">
        <v>1</v>
      </c>
      <c r="I534" s="16" cm="1">
        <f t="array" ref="I534">_xlfn.IFS(B534=2015,G534/$H$1957,B534=2016,G534/$H$1958,B534=2017,G534/$H$1959,B534=2018,G534/$H$1960,B534=2019,G534/$H$1961,B534=2020,G534/$H$1962,B534=2021,G534/$H$1963,B534=2022,G534/$H$1964,B534=2023,G534/$H$1965)</f>
        <v>7.3106109441387632E-4</v>
      </c>
      <c r="J534" s="10" cm="1">
        <f t="array" ref="J534">_xlfn.IFS(B534=2015,I534*$G$2,B534=2016,I534*$G$3,B534=2017,I534*$G$4,B534=2018,I534*$G$5,B534=2019,I534*$G$6,B534=2020,I534*$G$7,B534=2021,I534*$G$8,B534=2022,I534*$G$9,B534=2023,I534*$G$10)</f>
        <v>126242.47653528981</v>
      </c>
      <c r="K534" s="8">
        <f t="shared" si="8"/>
        <v>761857.47653528978</v>
      </c>
      <c r="L534">
        <f>IFERROR(VLOOKUP(F534,'LEAID Match'!$A$2:$B$240,2,FALSE),"")</f>
        <v>0</v>
      </c>
    </row>
    <row r="535" spans="1:12" x14ac:dyDescent="0.2">
      <c r="A535">
        <v>0</v>
      </c>
      <c r="B535">
        <v>2021</v>
      </c>
      <c r="C535" s="4" t="s">
        <v>140</v>
      </c>
      <c r="D535" s="4" t="s">
        <v>576</v>
      </c>
      <c r="E535" s="4" t="s">
        <v>578</v>
      </c>
      <c r="F535" s="9" t="s">
        <v>99</v>
      </c>
      <c r="G535" s="8">
        <v>741043</v>
      </c>
      <c r="H535">
        <v>1</v>
      </c>
      <c r="I535" s="16" cm="1">
        <f t="array" ref="I535">_xlfn.IFS(B535=2015,G535/$H$1957,B535=2016,G535/$H$1958,B535=2017,G535/$H$1959,B535=2018,G535/$H$1960,B535=2019,G535/$H$1961,B535=2020,G535/$H$1962,B535=2021,G535/$H$1963,B535=2022,G535/$H$1964,B535=2023,G535/$H$1965)</f>
        <v>8.4686015458010529E-4</v>
      </c>
      <c r="J535" s="10" cm="1">
        <f t="array" ref="J535">_xlfn.IFS(B535=2015,I535*$G$2,B535=2016,I535*$G$3,B535=2017,I535*$G$4,B535=2018,I535*$G$5,B535=2019,I535*$G$6,B535=2020,I535*$G$7,B535=2021,I535*$G$8,B535=2022,I535*$G$9,B535=2023,I535*$G$10)</f>
        <v>145335.46026350858</v>
      </c>
      <c r="K535" s="8">
        <f t="shared" si="8"/>
        <v>886378.4602635086</v>
      </c>
      <c r="L535">
        <f>IFERROR(VLOOKUP(F535,'LEAID Match'!$A$2:$B$240,2,FALSE),"")</f>
        <v>0</v>
      </c>
    </row>
    <row r="536" spans="1:12" x14ac:dyDescent="0.2">
      <c r="A536">
        <v>0</v>
      </c>
      <c r="B536">
        <v>2022</v>
      </c>
      <c r="C536" s="4" t="s">
        <v>140</v>
      </c>
      <c r="D536" s="4" t="s">
        <v>576</v>
      </c>
      <c r="E536" s="4" t="s">
        <v>578</v>
      </c>
      <c r="F536" s="9" t="s">
        <v>99</v>
      </c>
      <c r="G536" s="8">
        <v>815135</v>
      </c>
      <c r="H536">
        <v>1</v>
      </c>
      <c r="I536" s="16" cm="1">
        <f t="array" ref="I536">_xlfn.IFS(B536=2015,G536/$H$1957,B536=2016,G536/$H$1958,B536=2017,G536/$H$1959,B536=2018,G536/$H$1960,B536=2019,G536/$H$1961,B536=2020,G536/$H$1962,B536=2021,G536/$H$1963,B536=2022,G536/$H$1964,B536=2023,G536/$H$1965)</f>
        <v>8.7610897927476871E-4</v>
      </c>
      <c r="J536" s="10" cm="1">
        <f t="array" ref="J536">_xlfn.IFS(B536=2015,I536*$G$2,B536=2016,I536*$G$3,B536=2017,I536*$G$4,B536=2018,I536*$G$5,B536=2019,I536*$G$6,B536=2020,I536*$G$7,B536=2021,I536*$G$8,B536=2022,I536*$G$9,B536=2023,I536*$G$10)</f>
        <v>148575.5098450392</v>
      </c>
      <c r="K536" s="8">
        <f t="shared" si="8"/>
        <v>963710.50984503923</v>
      </c>
      <c r="L536">
        <f>IFERROR(VLOOKUP(F536,'LEAID Match'!$A$2:$B$240,2,FALSE),"")</f>
        <v>0</v>
      </c>
    </row>
    <row r="537" spans="1:12" x14ac:dyDescent="0.2">
      <c r="A537">
        <v>0</v>
      </c>
      <c r="B537">
        <v>2023</v>
      </c>
      <c r="C537" s="4" t="s">
        <v>140</v>
      </c>
      <c r="D537" s="4" t="s">
        <v>576</v>
      </c>
      <c r="E537" s="4" t="s">
        <v>578</v>
      </c>
      <c r="F537" s="9" t="s">
        <v>99</v>
      </c>
      <c r="G537" s="8">
        <v>935924</v>
      </c>
      <c r="H537">
        <v>1</v>
      </c>
      <c r="I537" s="16" cm="1">
        <f t="array" ref="I537">_xlfn.IFS(B537=2015,G537/$H$1957,B537=2016,G537/$H$1958,B537=2017,G537/$H$1959,B537=2018,G537/$H$1960,B537=2019,G537/$H$1961,B537=2020,G537/$H$1962,B537=2021,G537/$H$1963,B537=2022,G537/$H$1964,B537=2023,G537/$H$1965)</f>
        <v>9.4761330764680986E-4</v>
      </c>
      <c r="J537" s="10" cm="1">
        <f t="array" ref="J537">_xlfn.IFS(B537=2015,I537*$G$2,B537=2016,I537*$G$3,B537=2017,I537*$G$4,B537=2018,I537*$G$5,B537=2019,I537*$G$6,B537=2020,I537*$G$7,B537=2021,I537*$G$8,B537=2022,I537*$G$9,B537=2023,I537*$G$10)</f>
        <v>161080.35038898812</v>
      </c>
      <c r="K537" s="8">
        <f t="shared" si="8"/>
        <v>1097004.3503889882</v>
      </c>
      <c r="L537">
        <f>IFERROR(VLOOKUP(F537,'LEAID Match'!$A$2:$B$240,2,FALSE),"")</f>
        <v>0</v>
      </c>
    </row>
    <row r="538" spans="1:12" x14ac:dyDescent="0.2">
      <c r="A538">
        <v>0</v>
      </c>
      <c r="B538">
        <v>2015</v>
      </c>
      <c r="C538" s="4" t="s">
        <v>141</v>
      </c>
      <c r="D538" s="4" t="s">
        <v>576</v>
      </c>
      <c r="E538" s="4" t="s">
        <v>578</v>
      </c>
      <c r="F538" s="9" t="s">
        <v>100</v>
      </c>
      <c r="G538" s="8">
        <v>709474</v>
      </c>
      <c r="H538">
        <v>1</v>
      </c>
      <c r="I538" s="16" cm="1">
        <f t="array" ref="I538">_xlfn.IFS(B538=2015,G538/$H$1957,B538=2016,G538/$H$1958,B538=2017,G538/$H$1959,B538=2018,G538/$H$1960,B538=2019,G538/$H$1961,B538=2020,G538/$H$1962,B538=2021,G538/$H$1963,B538=2022,G538/$H$1964,B538=2023,G538/$H$1965)</f>
        <v>5.4789731995205117E-4</v>
      </c>
      <c r="J538" s="10" cm="1">
        <f t="array" ref="J538">_xlfn.IFS(B538=2015,I538*$G$2,B538=2016,I538*$G$3,B538=2017,I538*$G$4,B538=2018,I538*$G$5,B538=2019,I538*$G$6,B538=2020,I538*$G$7,B538=2021,I538*$G$8,B538=2022,I538*$G$9,B538=2023,I538*$G$10)</f>
        <v>136230.60046847688</v>
      </c>
      <c r="K538" s="8">
        <f t="shared" si="8"/>
        <v>845704.60046847688</v>
      </c>
      <c r="L538">
        <f>IFERROR(VLOOKUP(F538,'LEAID Match'!$A$2:$B$240,2,FALSE),"")</f>
        <v>0</v>
      </c>
    </row>
    <row r="539" spans="1:12" x14ac:dyDescent="0.2">
      <c r="A539">
        <v>0</v>
      </c>
      <c r="B539">
        <v>2016</v>
      </c>
      <c r="C539" s="4" t="s">
        <v>141</v>
      </c>
      <c r="D539" s="4" t="s">
        <v>576</v>
      </c>
      <c r="E539" s="4" t="s">
        <v>578</v>
      </c>
      <c r="F539" s="9" t="s">
        <v>100</v>
      </c>
      <c r="G539" s="8">
        <v>996666</v>
      </c>
      <c r="H539">
        <v>1</v>
      </c>
      <c r="I539" s="16" cm="1">
        <f t="array" ref="I539">_xlfn.IFS(B539=2015,G539/$H$1957,B539=2016,G539/$H$1958,B539=2017,G539/$H$1959,B539=2018,G539/$H$1960,B539=2019,G539/$H$1961,B539=2020,G539/$H$1962,B539=2021,G539/$H$1963,B539=2022,G539/$H$1964,B539=2023,G539/$H$1965)</f>
        <v>6.9965910591879906E-4</v>
      </c>
      <c r="J539" s="10" cm="1">
        <f t="array" ref="J539">_xlfn.IFS(B539=2015,I539*$G$2,B539=2016,I539*$G$3,B539=2017,I539*$G$4,B539=2018,I539*$G$5,B539=2019,I539*$G$6,B539=2020,I539*$G$7,B539=2021,I539*$G$8,B539=2022,I539*$G$9,B539=2023,I539*$G$10)</f>
        <v>189749.70447522454</v>
      </c>
      <c r="K539" s="8">
        <f t="shared" si="8"/>
        <v>1186415.7044752245</v>
      </c>
      <c r="L539">
        <f>IFERROR(VLOOKUP(F539,'LEAID Match'!$A$2:$B$240,2,FALSE),"")</f>
        <v>0</v>
      </c>
    </row>
    <row r="540" spans="1:12" x14ac:dyDescent="0.2">
      <c r="A540">
        <v>0</v>
      </c>
      <c r="B540">
        <v>2017</v>
      </c>
      <c r="C540" s="4" t="s">
        <v>141</v>
      </c>
      <c r="D540" s="4" t="s">
        <v>576</v>
      </c>
      <c r="E540" s="4" t="s">
        <v>578</v>
      </c>
      <c r="F540" s="9" t="s">
        <v>100</v>
      </c>
      <c r="G540" s="8">
        <v>578820</v>
      </c>
      <c r="H540">
        <v>1</v>
      </c>
      <c r="I540" s="16" cm="1">
        <f t="array" ref="I540">_xlfn.IFS(B540=2015,G540/$H$1957,B540=2016,G540/$H$1958,B540=2017,G540/$H$1959,B540=2018,G540/$H$1960,B540=2019,G540/$H$1961,B540=2020,G540/$H$1962,B540=2021,G540/$H$1963,B540=2022,G540/$H$1964,B540=2023,G540/$H$1965)</f>
        <v>7.7226905710922069E-4</v>
      </c>
      <c r="J540" s="10" cm="1">
        <f t="array" ref="J540">_xlfn.IFS(B540=2015,I540*$G$2,B540=2016,I540*$G$3,B540=2017,I540*$G$4,B540=2018,I540*$G$5,B540=2019,I540*$G$6,B540=2020,I540*$G$7,B540=2021,I540*$G$8,B540=2022,I540*$G$9,B540=2023,I540*$G$10)</f>
        <v>114362.68891301258</v>
      </c>
      <c r="K540" s="8">
        <f t="shared" si="8"/>
        <v>693182.68891301262</v>
      </c>
      <c r="L540">
        <f>IFERROR(VLOOKUP(F540,'LEAID Match'!$A$2:$B$240,2,FALSE),"")</f>
        <v>0</v>
      </c>
    </row>
    <row r="541" spans="1:12" x14ac:dyDescent="0.2">
      <c r="A541">
        <v>0</v>
      </c>
      <c r="B541">
        <v>2018</v>
      </c>
      <c r="C541" s="4" t="s">
        <v>141</v>
      </c>
      <c r="D541" s="4" t="s">
        <v>576</v>
      </c>
      <c r="E541" s="4" t="s">
        <v>578</v>
      </c>
      <c r="F541" s="9" t="s">
        <v>100</v>
      </c>
      <c r="G541" s="8">
        <v>641287</v>
      </c>
      <c r="H541">
        <v>1</v>
      </c>
      <c r="I541" s="16" cm="1">
        <f t="array" ref="I541">_xlfn.IFS(B541=2015,G541/$H$1957,B541=2016,G541/$H$1958,B541=2017,G541/$H$1959,B541=2018,G541/$H$1960,B541=2019,G541/$H$1961,B541=2020,G541/$H$1962,B541=2021,G541/$H$1963,B541=2022,G541/$H$1964,B541=2023,G541/$H$1965)</f>
        <v>8.2515068267169074E-4</v>
      </c>
      <c r="J541" s="10" cm="1">
        <f t="array" ref="J541">_xlfn.IFS(B541=2015,I541*$G$2,B541=2016,I541*$G$3,B541=2017,I541*$G$4,B541=2018,I541*$G$5,B541=2019,I541*$G$6,B541=2020,I541*$G$7,B541=2021,I541*$G$8,B541=2022,I541*$G$9,B541=2023,I541*$G$10)</f>
        <v>124204.9186470217</v>
      </c>
      <c r="K541" s="8">
        <f t="shared" si="8"/>
        <v>765491.91864702175</v>
      </c>
      <c r="L541">
        <f>IFERROR(VLOOKUP(F541,'LEAID Match'!$A$2:$B$240,2,FALSE),"")</f>
        <v>0</v>
      </c>
    </row>
    <row r="542" spans="1:12" x14ac:dyDescent="0.2">
      <c r="A542">
        <v>0</v>
      </c>
      <c r="B542">
        <v>2019</v>
      </c>
      <c r="C542" s="4" t="s">
        <v>141</v>
      </c>
      <c r="D542" s="4" t="s">
        <v>576</v>
      </c>
      <c r="E542" s="4" t="s">
        <v>578</v>
      </c>
      <c r="F542" s="9" t="s">
        <v>100</v>
      </c>
      <c r="G542" s="8">
        <v>619527</v>
      </c>
      <c r="H542">
        <v>1</v>
      </c>
      <c r="I542" s="16" cm="1">
        <f t="array" ref="I542">_xlfn.IFS(B542=2015,G542/$H$1957,B542=2016,G542/$H$1958,B542=2017,G542/$H$1959,B542=2018,G542/$H$1960,B542=2019,G542/$H$1961,B542=2020,G542/$H$1962,B542=2021,G542/$H$1963,B542=2022,G542/$H$1964,B542=2023,G542/$H$1965)</f>
        <v>7.699460809193052E-4</v>
      </c>
      <c r="J542" s="10" cm="1">
        <f t="array" ref="J542">_xlfn.IFS(B542=2015,I542*$G$2,B542=2016,I542*$G$3,B542=2017,I542*$G$4,B542=2018,I542*$G$5,B542=2019,I542*$G$6,B542=2020,I542*$G$7,B542=2021,I542*$G$8,B542=2022,I542*$G$9,B542=2023,I542*$G$10)</f>
        <v>121673.13320893783</v>
      </c>
      <c r="K542" s="8">
        <f t="shared" si="8"/>
        <v>741200.13320893783</v>
      </c>
      <c r="L542">
        <f>IFERROR(VLOOKUP(F542,'LEAID Match'!$A$2:$B$240,2,FALSE),"")</f>
        <v>0</v>
      </c>
    </row>
    <row r="543" spans="1:12" x14ac:dyDescent="0.2">
      <c r="A543">
        <v>0</v>
      </c>
      <c r="B543">
        <v>2020</v>
      </c>
      <c r="C543" s="4" t="s">
        <v>141</v>
      </c>
      <c r="D543" s="4" t="s">
        <v>576</v>
      </c>
      <c r="E543" s="4" t="s">
        <v>578</v>
      </c>
      <c r="F543" s="9" t="s">
        <v>100</v>
      </c>
      <c r="G543" s="8">
        <v>798336</v>
      </c>
      <c r="H543">
        <v>1</v>
      </c>
      <c r="I543" s="16" cm="1">
        <f t="array" ref="I543">_xlfn.IFS(B543=2015,G543/$H$1957,B543=2016,G543/$H$1958,B543=2017,G543/$H$1959,B543=2018,G543/$H$1960,B543=2019,G543/$H$1961,B543=2020,G543/$H$1962,B543=2021,G543/$H$1963,B543=2022,G543/$H$1964,B543=2023,G543/$H$1965)</f>
        <v>9.1821682916544813E-4</v>
      </c>
      <c r="J543" s="10" cm="1">
        <f t="array" ref="J543">_xlfn.IFS(B543=2015,I543*$G$2,B543=2016,I543*$G$3,B543=2017,I543*$G$4,B543=2018,I543*$G$5,B543=2019,I543*$G$6,B543=2020,I543*$G$7,B543=2021,I543*$G$8,B543=2022,I543*$G$9,B543=2023,I543*$G$10)</f>
        <v>158561.25759662237</v>
      </c>
      <c r="K543" s="8">
        <f t="shared" si="8"/>
        <v>956897.25759662234</v>
      </c>
      <c r="L543">
        <f>IFERROR(VLOOKUP(F543,'LEAID Match'!$A$2:$B$240,2,FALSE),"")</f>
        <v>0</v>
      </c>
    </row>
    <row r="544" spans="1:12" x14ac:dyDescent="0.2">
      <c r="A544">
        <v>0</v>
      </c>
      <c r="B544">
        <v>2021</v>
      </c>
      <c r="C544" s="4" t="s">
        <v>141</v>
      </c>
      <c r="D544" s="4" t="s">
        <v>576</v>
      </c>
      <c r="E544" s="4" t="s">
        <v>578</v>
      </c>
      <c r="F544" s="9" t="s">
        <v>100</v>
      </c>
      <c r="G544" s="8">
        <v>424470</v>
      </c>
      <c r="H544">
        <v>1</v>
      </c>
      <c r="I544" s="16" cm="1">
        <f t="array" ref="I544">_xlfn.IFS(B544=2015,G544/$H$1957,B544=2016,G544/$H$1958,B544=2017,G544/$H$1959,B544=2018,G544/$H$1960,B544=2019,G544/$H$1961,B544=2020,G544/$H$1962,B544=2021,G544/$H$1963,B544=2022,G544/$H$1964,B544=2023,G544/$H$1965)</f>
        <v>4.8508214747945434E-4</v>
      </c>
      <c r="J544" s="10" cm="1">
        <f t="array" ref="J544">_xlfn.IFS(B544=2015,I544*$G$2,B544=2016,I544*$G$3,B544=2017,I544*$G$4,B544=2018,I544*$G$5,B544=2019,I544*$G$6,B544=2020,I544*$G$7,B544=2021,I544*$G$8,B544=2022,I544*$G$9,B544=2023,I544*$G$10)</f>
        <v>83248.263350509325</v>
      </c>
      <c r="K544" s="8">
        <f t="shared" si="8"/>
        <v>507718.26335050934</v>
      </c>
      <c r="L544">
        <f>IFERROR(VLOOKUP(F544,'LEAID Match'!$A$2:$B$240,2,FALSE),"")</f>
        <v>0</v>
      </c>
    </row>
    <row r="545" spans="1:12" x14ac:dyDescent="0.2">
      <c r="A545">
        <v>0</v>
      </c>
      <c r="B545">
        <v>2022</v>
      </c>
      <c r="C545" s="4" t="s">
        <v>141</v>
      </c>
      <c r="D545" s="4" t="s">
        <v>576</v>
      </c>
      <c r="E545" s="4" t="s">
        <v>578</v>
      </c>
      <c r="F545" s="9" t="s">
        <v>100</v>
      </c>
      <c r="G545" s="8">
        <v>432077</v>
      </c>
      <c r="H545">
        <v>1</v>
      </c>
      <c r="I545" s="16" cm="1">
        <f t="array" ref="I545">_xlfn.IFS(B545=2015,G545/$H$1957,B545=2016,G545/$H$1958,B545=2017,G545/$H$1959,B545=2018,G545/$H$1960,B545=2019,G545/$H$1961,B545=2020,G545/$H$1962,B545=2021,G545/$H$1963,B545=2022,G545/$H$1964,B545=2023,G545/$H$1965)</f>
        <v>4.6439735680360215E-4</v>
      </c>
      <c r="J545" s="10" cm="1">
        <f t="array" ref="J545">_xlfn.IFS(B545=2015,I545*$G$2,B545=2016,I545*$G$3,B545=2017,I545*$G$4,B545=2018,I545*$G$5,B545=2019,I545*$G$6,B545=2020,I545*$G$7,B545=2021,I545*$G$8,B545=2022,I545*$G$9,B545=2023,I545*$G$10)</f>
        <v>78755.127147423438</v>
      </c>
      <c r="K545" s="8">
        <f t="shared" si="8"/>
        <v>510832.12714742345</v>
      </c>
      <c r="L545">
        <f>IFERROR(VLOOKUP(F545,'LEAID Match'!$A$2:$B$240,2,FALSE),"")</f>
        <v>0</v>
      </c>
    </row>
    <row r="546" spans="1:12" x14ac:dyDescent="0.2">
      <c r="A546">
        <v>0</v>
      </c>
      <c r="B546">
        <v>2023</v>
      </c>
      <c r="C546" s="4" t="s">
        <v>141</v>
      </c>
      <c r="D546" s="4" t="s">
        <v>576</v>
      </c>
      <c r="E546" s="4" t="s">
        <v>578</v>
      </c>
      <c r="F546" s="9" t="s">
        <v>100</v>
      </c>
      <c r="G546" s="8">
        <v>398882</v>
      </c>
      <c r="H546">
        <v>1</v>
      </c>
      <c r="I546" s="16" cm="1">
        <f t="array" ref="I546">_xlfn.IFS(B546=2015,G546/$H$1957,B546=2016,G546/$H$1958,B546=2017,G546/$H$1959,B546=2018,G546/$H$1960,B546=2019,G546/$H$1961,B546=2020,G546/$H$1962,B546=2021,G546/$H$1963,B546=2022,G546/$H$1964,B546=2023,G546/$H$1965)</f>
        <v>4.0386387290076422E-4</v>
      </c>
      <c r="J546" s="10" cm="1">
        <f t="array" ref="J546">_xlfn.IFS(B546=2015,I546*$G$2,B546=2016,I546*$G$3,B546=2017,I546*$G$4,B546=2018,I546*$G$5,B546=2019,I546*$G$6,B546=2020,I546*$G$7,B546=2021,I546*$G$8,B546=2022,I546*$G$9,B546=2023,I546*$G$10)</f>
        <v>68650.929267611864</v>
      </c>
      <c r="K546" s="8">
        <f t="shared" si="8"/>
        <v>467532.92926761188</v>
      </c>
      <c r="L546">
        <f>IFERROR(VLOOKUP(F546,'LEAID Match'!$A$2:$B$240,2,FALSE),"")</f>
        <v>0</v>
      </c>
    </row>
    <row r="547" spans="1:12" x14ac:dyDescent="0.2">
      <c r="A547">
        <v>0</v>
      </c>
      <c r="B547">
        <v>2015</v>
      </c>
      <c r="C547" s="4" t="s">
        <v>142</v>
      </c>
      <c r="D547" s="4" t="s">
        <v>576</v>
      </c>
      <c r="E547" s="4" t="s">
        <v>578</v>
      </c>
      <c r="F547" s="9" t="s">
        <v>101</v>
      </c>
      <c r="G547" s="8">
        <v>1258907</v>
      </c>
      <c r="H547">
        <v>1</v>
      </c>
      <c r="I547" s="16" cm="1">
        <f t="array" ref="I547">_xlfn.IFS(B547=2015,G547/$H$1957,B547=2016,G547/$H$1958,B547=2017,G547/$H$1959,B547=2018,G547/$H$1960,B547=2019,G547/$H$1961,B547=2020,G547/$H$1962,B547=2021,G547/$H$1963,B547=2022,G547/$H$1964,B547=2023,G547/$H$1965)</f>
        <v>9.72201618901999E-4</v>
      </c>
      <c r="J547" s="10" cm="1">
        <f t="array" ref="J547">_xlfn.IFS(B547=2015,I547*$G$2,B547=2016,I547*$G$3,B547=2017,I547*$G$4,B547=2018,I547*$G$5,B547=2019,I547*$G$6,B547=2020,I547*$G$7,B547=2021,I547*$G$8,B547=2022,I547*$G$9,B547=2023,I547*$G$10)</f>
        <v>241730.71394296171</v>
      </c>
      <c r="K547" s="8">
        <f t="shared" si="8"/>
        <v>1500637.7139429618</v>
      </c>
      <c r="L547">
        <f>IFERROR(VLOOKUP(F547,'LEAID Match'!$A$2:$B$240,2,FALSE),"")</f>
        <v>0</v>
      </c>
    </row>
    <row r="548" spans="1:12" x14ac:dyDescent="0.2">
      <c r="A548">
        <v>0</v>
      </c>
      <c r="B548">
        <v>2016</v>
      </c>
      <c r="C548" s="4" t="s">
        <v>142</v>
      </c>
      <c r="D548" s="4" t="s">
        <v>576</v>
      </c>
      <c r="E548" s="4" t="s">
        <v>578</v>
      </c>
      <c r="F548" s="9" t="s">
        <v>101</v>
      </c>
      <c r="G548" s="8">
        <v>1325702</v>
      </c>
      <c r="H548">
        <v>1</v>
      </c>
      <c r="I548" s="16" cm="1">
        <f t="array" ref="I548">_xlfn.IFS(B548=2015,G548/$H$1957,B548=2016,G548/$H$1958,B548=2017,G548/$H$1959,B548=2018,G548/$H$1960,B548=2019,G548/$H$1961,B548=2020,G548/$H$1962,B548=2021,G548/$H$1963,B548=2022,G548/$H$1964,B548=2023,G548/$H$1965)</f>
        <v>9.3064223725376782E-4</v>
      </c>
      <c r="J548" s="10" cm="1">
        <f t="array" ref="J548">_xlfn.IFS(B548=2015,I548*$G$2,B548=2016,I548*$G$3,B548=2017,I548*$G$4,B548=2018,I548*$G$5,B548=2019,I548*$G$6,B548=2020,I548*$G$7,B548=2021,I548*$G$8,B548=2022,I548*$G$9,B548=2023,I548*$G$10)</f>
        <v>252393.04112131256</v>
      </c>
      <c r="K548" s="8">
        <f t="shared" si="8"/>
        <v>1578095.0411213126</v>
      </c>
      <c r="L548">
        <f>IFERROR(VLOOKUP(F548,'LEAID Match'!$A$2:$B$240,2,FALSE),"")</f>
        <v>0</v>
      </c>
    </row>
    <row r="549" spans="1:12" x14ac:dyDescent="0.2">
      <c r="A549">
        <v>0</v>
      </c>
      <c r="B549">
        <v>2017</v>
      </c>
      <c r="C549" s="4" t="s">
        <v>142</v>
      </c>
      <c r="D549" s="4" t="s">
        <v>576</v>
      </c>
      <c r="E549" s="4" t="s">
        <v>578</v>
      </c>
      <c r="F549" s="9" t="s">
        <v>101</v>
      </c>
      <c r="G549" s="8">
        <v>523021</v>
      </c>
      <c r="H549">
        <v>1</v>
      </c>
      <c r="I549" s="16" cm="1">
        <f t="array" ref="I549">_xlfn.IFS(B549=2015,G549/$H$1957,B549=2016,G549/$H$1958,B549=2017,G549/$H$1959,B549=2018,G549/$H$1960,B549=2019,G549/$H$1961,B549=2020,G549/$H$1962,B549=2021,G549/$H$1963,B549=2022,G549/$H$1964,B549=2023,G549/$H$1965)</f>
        <v>6.9782131667586072E-4</v>
      </c>
      <c r="J549" s="10" cm="1">
        <f t="array" ref="J549">_xlfn.IFS(B549=2015,I549*$G$2,B549=2016,I549*$G$3,B549=2017,I549*$G$4,B549=2018,I549*$G$5,B549=2019,I549*$G$6,B549=2020,I549*$G$7,B549=2021,I549*$G$8,B549=2022,I549*$G$9,B549=2023,I549*$G$10)</f>
        <v>103337.9771223744</v>
      </c>
      <c r="K549" s="8">
        <f t="shared" si="8"/>
        <v>626358.97712237434</v>
      </c>
      <c r="L549">
        <f>IFERROR(VLOOKUP(F549,'LEAID Match'!$A$2:$B$240,2,FALSE),"")</f>
        <v>0</v>
      </c>
    </row>
    <row r="550" spans="1:12" x14ac:dyDescent="0.2">
      <c r="A550">
        <v>0</v>
      </c>
      <c r="B550">
        <v>2018</v>
      </c>
      <c r="C550" s="4" t="s">
        <v>142</v>
      </c>
      <c r="D550" s="4" t="s">
        <v>576</v>
      </c>
      <c r="E550" s="4" t="s">
        <v>578</v>
      </c>
      <c r="F550" s="9" t="s">
        <v>101</v>
      </c>
      <c r="G550" s="8">
        <v>449980</v>
      </c>
      <c r="H550">
        <v>1</v>
      </c>
      <c r="I550" s="16" cm="1">
        <f t="array" ref="I550">_xlfn.IFS(B550=2015,G550/$H$1957,B550=2016,G550/$H$1958,B550=2017,G550/$H$1959,B550=2018,G550/$H$1960,B550=2019,G550/$H$1961,B550=2020,G550/$H$1962,B550=2021,G550/$H$1963,B550=2022,G550/$H$1964,B550=2023,G550/$H$1965)</f>
        <v>5.7899396711395584E-4</v>
      </c>
      <c r="J550" s="10" cm="1">
        <f t="array" ref="J550">_xlfn.IFS(B550=2015,I550*$G$2,B550=2016,I550*$G$3,B550=2017,I550*$G$4,B550=2018,I550*$G$5,B550=2019,I550*$G$6,B550=2020,I550*$G$7,B550=2021,I550*$G$8,B550=2022,I550*$G$9,B550=2023,I550*$G$10)</f>
        <v>87152.443902319588</v>
      </c>
      <c r="K550" s="8">
        <f t="shared" si="8"/>
        <v>537132.44390231953</v>
      </c>
      <c r="L550">
        <f>IFERROR(VLOOKUP(F550,'LEAID Match'!$A$2:$B$240,2,FALSE),"")</f>
        <v>0</v>
      </c>
    </row>
    <row r="551" spans="1:12" x14ac:dyDescent="0.2">
      <c r="A551">
        <v>0</v>
      </c>
      <c r="B551">
        <v>2019</v>
      </c>
      <c r="C551" s="4" t="s">
        <v>142</v>
      </c>
      <c r="D551" s="4" t="s">
        <v>576</v>
      </c>
      <c r="E551" s="4" t="s">
        <v>578</v>
      </c>
      <c r="F551" s="9" t="s">
        <v>101</v>
      </c>
      <c r="G551" s="8">
        <v>365243</v>
      </c>
      <c r="H551">
        <v>1</v>
      </c>
      <c r="I551" s="16" cm="1">
        <f t="array" ref="I551">_xlfn.IFS(B551=2015,G551/$H$1957,B551=2016,G551/$H$1958,B551=2017,G551/$H$1959,B551=2018,G551/$H$1960,B551=2019,G551/$H$1961,B551=2020,G551/$H$1962,B551=2021,G551/$H$1963,B551=2022,G551/$H$1964,B551=2023,G551/$H$1965)</f>
        <v>4.5392277726912596E-4</v>
      </c>
      <c r="J551" s="10" cm="1">
        <f t="array" ref="J551">_xlfn.IFS(B551=2015,I551*$G$2,B551=2016,I551*$G$3,B551=2017,I551*$G$4,B551=2018,I551*$G$5,B551=2019,I551*$G$6,B551=2020,I551*$G$7,B551=2021,I551*$G$8,B551=2022,I551*$G$9,B551=2023,I551*$G$10)</f>
        <v>71732.564024864259</v>
      </c>
      <c r="K551" s="8">
        <f t="shared" si="8"/>
        <v>436975.56402486423</v>
      </c>
      <c r="L551">
        <f>IFERROR(VLOOKUP(F551,'LEAID Match'!$A$2:$B$240,2,FALSE),"")</f>
        <v>0</v>
      </c>
    </row>
    <row r="552" spans="1:12" x14ac:dyDescent="0.2">
      <c r="A552">
        <v>0</v>
      </c>
      <c r="B552">
        <v>2020</v>
      </c>
      <c r="C552" s="4" t="s">
        <v>142</v>
      </c>
      <c r="D552" s="4" t="s">
        <v>576</v>
      </c>
      <c r="E552" s="4" t="s">
        <v>578</v>
      </c>
      <c r="F552" s="9" t="s">
        <v>101</v>
      </c>
      <c r="G552" s="8">
        <v>339007</v>
      </c>
      <c r="H552">
        <v>1</v>
      </c>
      <c r="I552" s="16" cm="1">
        <f t="array" ref="I552">_xlfn.IFS(B552=2015,G552/$H$1957,B552=2016,G552/$H$1958,B552=2017,G552/$H$1959,B552=2018,G552/$H$1960,B552=2019,G552/$H$1961,B552=2020,G552/$H$1962,B552=2021,G552/$H$1963,B552=2022,G552/$H$1964,B552=2023,G552/$H$1965)</f>
        <v>3.8991343570237482E-4</v>
      </c>
      <c r="J552" s="10" cm="1">
        <f t="array" ref="J552">_xlfn.IFS(B552=2015,I552*$G$2,B552=2016,I552*$G$3,B552=2017,I552*$G$4,B552=2018,I552*$G$5,B552=2019,I552*$G$6,B552=2020,I552*$G$7,B552=2021,I552*$G$8,B552=2022,I552*$G$9,B552=2023,I552*$G$10)</f>
        <v>67331.770400004709</v>
      </c>
      <c r="K552" s="8">
        <f t="shared" si="8"/>
        <v>406338.77040000469</v>
      </c>
      <c r="L552">
        <f>IFERROR(VLOOKUP(F552,'LEAID Match'!$A$2:$B$240,2,FALSE),"")</f>
        <v>0</v>
      </c>
    </row>
    <row r="553" spans="1:12" x14ac:dyDescent="0.2">
      <c r="A553">
        <v>0</v>
      </c>
      <c r="B553">
        <v>2021</v>
      </c>
      <c r="C553" s="4" t="s">
        <v>142</v>
      </c>
      <c r="D553" s="4" t="s">
        <v>576</v>
      </c>
      <c r="E553" s="4" t="s">
        <v>578</v>
      </c>
      <c r="F553" s="9" t="s">
        <v>101</v>
      </c>
      <c r="G553" s="8">
        <v>292094</v>
      </c>
      <c r="H553">
        <v>1</v>
      </c>
      <c r="I553" s="16" cm="1">
        <f t="array" ref="I553">_xlfn.IFS(B553=2015,G553/$H$1957,B553=2016,G553/$H$1958,B553=2017,G553/$H$1959,B553=2018,G553/$H$1960,B553=2019,G553/$H$1961,B553=2020,G553/$H$1962,B553=2021,G553/$H$1963,B553=2022,G553/$H$1964,B553=2023,G553/$H$1965)</f>
        <v>3.3380353095828616E-4</v>
      </c>
      <c r="J553" s="10" cm="1">
        <f t="array" ref="J553">_xlfn.IFS(B553=2015,I553*$G$2,B553=2016,I553*$G$3,B553=2017,I553*$G$4,B553=2018,I553*$G$5,B553=2019,I553*$G$6,B553=2020,I553*$G$7,B553=2021,I553*$G$8,B553=2022,I553*$G$9,B553=2023,I553*$G$10)</f>
        <v>57286.305828689117</v>
      </c>
      <c r="K553" s="8">
        <f t="shared" si="8"/>
        <v>349380.30582868913</v>
      </c>
      <c r="L553">
        <f>IFERROR(VLOOKUP(F553,'LEAID Match'!$A$2:$B$240,2,FALSE),"")</f>
        <v>0</v>
      </c>
    </row>
    <row r="554" spans="1:12" x14ac:dyDescent="0.2">
      <c r="A554">
        <v>0</v>
      </c>
      <c r="B554">
        <v>2022</v>
      </c>
      <c r="C554" s="4" t="s">
        <v>142</v>
      </c>
      <c r="D554" s="4" t="s">
        <v>576</v>
      </c>
      <c r="E554" s="4" t="s">
        <v>578</v>
      </c>
      <c r="F554" s="9" t="s">
        <v>101</v>
      </c>
      <c r="G554" s="8">
        <v>313284</v>
      </c>
      <c r="H554">
        <v>1</v>
      </c>
      <c r="I554" s="16" cm="1">
        <f t="array" ref="I554">_xlfn.IFS(B554=2015,G554/$H$1957,B554=2016,G554/$H$1958,B554=2017,G554/$H$1959,B554=2018,G554/$H$1960,B554=2019,G554/$H$1961,B554=2020,G554/$H$1962,B554=2021,G554/$H$1963,B554=2022,G554/$H$1964,B554=2023,G554/$H$1965)</f>
        <v>3.367183662376375E-4</v>
      </c>
      <c r="J554" s="10" cm="1">
        <f t="array" ref="J554">_xlfn.IFS(B554=2015,I554*$G$2,B554=2016,I554*$G$3,B554=2017,I554*$G$4,B554=2018,I554*$G$5,B554=2019,I554*$G$6,B554=2020,I554*$G$7,B554=2021,I554*$G$8,B554=2022,I554*$G$9,B554=2023,I554*$G$10)</f>
        <v>57102.602668629443</v>
      </c>
      <c r="K554" s="8">
        <f t="shared" si="8"/>
        <v>370386.60266862944</v>
      </c>
      <c r="L554">
        <f>IFERROR(VLOOKUP(F554,'LEAID Match'!$A$2:$B$240,2,FALSE),"")</f>
        <v>0</v>
      </c>
    </row>
    <row r="555" spans="1:12" x14ac:dyDescent="0.2">
      <c r="A555">
        <v>0</v>
      </c>
      <c r="B555">
        <v>2023</v>
      </c>
      <c r="C555" s="4" t="s">
        <v>142</v>
      </c>
      <c r="D555" s="4" t="s">
        <v>576</v>
      </c>
      <c r="E555" s="4" t="s">
        <v>578</v>
      </c>
      <c r="F555" s="9" t="s">
        <v>101</v>
      </c>
      <c r="G555" s="8">
        <v>286725</v>
      </c>
      <c r="H555">
        <v>1</v>
      </c>
      <c r="I555" s="16" cm="1">
        <f t="array" ref="I555">_xlfn.IFS(B555=2015,G555/$H$1957,B555=2016,G555/$H$1958,B555=2017,G555/$H$1959,B555=2018,G555/$H$1960,B555=2019,G555/$H$1961,B555=2020,G555/$H$1962,B555=2021,G555/$H$1963,B555=2022,G555/$H$1964,B555=2023,G555/$H$1965)</f>
        <v>2.9030607788135745E-4</v>
      </c>
      <c r="J555" s="10" cm="1">
        <f t="array" ref="J555">_xlfn.IFS(B555=2015,I555*$G$2,B555=2016,I555*$G$3,B555=2017,I555*$G$4,B555=2018,I555*$G$5,B555=2019,I555*$G$6,B555=2020,I555*$G$7,B555=2021,I555*$G$8,B555=2022,I555*$G$9,B555=2023,I555*$G$10)</f>
        <v>49347.771256301392</v>
      </c>
      <c r="K555" s="8">
        <f t="shared" si="8"/>
        <v>336072.77125630138</v>
      </c>
      <c r="L555">
        <f>IFERROR(VLOOKUP(F555,'LEAID Match'!$A$2:$B$240,2,FALSE),"")</f>
        <v>0</v>
      </c>
    </row>
    <row r="556" spans="1:12" x14ac:dyDescent="0.2">
      <c r="A556">
        <v>0</v>
      </c>
      <c r="B556">
        <v>2015</v>
      </c>
      <c r="C556" s="4" t="s">
        <v>143</v>
      </c>
      <c r="D556" s="4" t="s">
        <v>576</v>
      </c>
      <c r="E556" s="4" t="s">
        <v>578</v>
      </c>
      <c r="F556" s="9" t="s">
        <v>102</v>
      </c>
      <c r="G556" s="8">
        <v>414831</v>
      </c>
      <c r="H556">
        <v>1</v>
      </c>
      <c r="I556" s="16" cm="1">
        <f t="array" ref="I556">_xlfn.IFS(B556=2015,G556/$H$1957,B556=2016,G556/$H$1958,B556=2017,G556/$H$1959,B556=2018,G556/$H$1960,B556=2019,G556/$H$1961,B556=2020,G556/$H$1962,B556=2021,G556/$H$1963,B556=2022,G556/$H$1964,B556=2023,G556/$H$1965)</f>
        <v>3.2035676167559249E-4</v>
      </c>
      <c r="J556" s="10" cm="1">
        <f t="array" ref="J556">_xlfn.IFS(B556=2015,I556*$G$2,B556=2016,I556*$G$3,B556=2017,I556*$G$4,B556=2018,I556*$G$5,B556=2019,I556*$G$6,B556=2020,I556*$G$7,B556=2021,I556*$G$8,B556=2022,I556*$G$9,B556=2023,I556*$G$10)</f>
        <v>79654.330141680635</v>
      </c>
      <c r="K556" s="8">
        <f t="shared" si="8"/>
        <v>494485.33014168066</v>
      </c>
      <c r="L556">
        <f>IFERROR(VLOOKUP(F556,'LEAID Match'!$A$2:$B$240,2,FALSE),"")</f>
        <v>0</v>
      </c>
    </row>
    <row r="557" spans="1:12" x14ac:dyDescent="0.2">
      <c r="A557">
        <v>0</v>
      </c>
      <c r="B557">
        <v>2016</v>
      </c>
      <c r="C557" s="4" t="s">
        <v>143</v>
      </c>
      <c r="D557" s="4" t="s">
        <v>576</v>
      </c>
      <c r="E557" s="4" t="s">
        <v>578</v>
      </c>
      <c r="F557" s="9" t="s">
        <v>102</v>
      </c>
      <c r="G557" s="8">
        <v>368415</v>
      </c>
      <c r="H557">
        <v>1</v>
      </c>
      <c r="I557" s="16" cm="1">
        <f t="array" ref="I557">_xlfn.IFS(B557=2015,G557/$H$1957,B557=2016,G557/$H$1958,B557=2017,G557/$H$1959,B557=2018,G557/$H$1960,B557=2019,G557/$H$1961,B557=2020,G557/$H$1962,B557=2021,G557/$H$1963,B557=2022,G557/$H$1964,B557=2023,G557/$H$1965)</f>
        <v>2.5862717250018996E-4</v>
      </c>
      <c r="J557" s="10" cm="1">
        <f t="array" ref="J557">_xlfn.IFS(B557=2015,I557*$G$2,B557=2016,I557*$G$3,B557=2017,I557*$G$4,B557=2018,I557*$G$5,B557=2019,I557*$G$6,B557=2020,I557*$G$7,B557=2021,I557*$G$8,B557=2022,I557*$G$9,B557=2023,I557*$G$10)</f>
        <v>70140.485753742818</v>
      </c>
      <c r="K557" s="8">
        <f t="shared" si="8"/>
        <v>438555.4857537428</v>
      </c>
      <c r="L557">
        <f>IFERROR(VLOOKUP(F557,'LEAID Match'!$A$2:$B$240,2,FALSE),"")</f>
        <v>0</v>
      </c>
    </row>
    <row r="558" spans="1:12" x14ac:dyDescent="0.2">
      <c r="A558">
        <v>0</v>
      </c>
      <c r="B558">
        <v>2017</v>
      </c>
      <c r="C558" s="4" t="s">
        <v>143</v>
      </c>
      <c r="D558" s="4" t="s">
        <v>576</v>
      </c>
      <c r="E558" s="4" t="s">
        <v>578</v>
      </c>
      <c r="F558" s="9" t="s">
        <v>102</v>
      </c>
      <c r="G558" s="8">
        <v>174164</v>
      </c>
      <c r="H558">
        <v>1</v>
      </c>
      <c r="I558" s="16" cm="1">
        <f t="array" ref="I558">_xlfn.IFS(B558=2015,G558/$H$1957,B558=2016,G558/$H$1958,B558=2017,G558/$H$1959,B558=2018,G558/$H$1960,B558=2019,G558/$H$1961,B558=2020,G558/$H$1962,B558=2021,G558/$H$1963,B558=2022,G558/$H$1964,B558=2023,G558/$H$1965)</f>
        <v>2.3237183936693673E-4</v>
      </c>
      <c r="J558" s="10" cm="1">
        <f t="array" ref="J558">_xlfn.IFS(B558=2015,I558*$G$2,B558=2016,I558*$G$3,B558=2017,I558*$G$4,B558=2018,I558*$G$5,B558=2019,I558*$G$6,B558=2020,I558*$G$7,B558=2021,I558*$G$8,B558=2022,I558*$G$9,B558=2023,I558*$G$10)</f>
        <v>34411.152606761898</v>
      </c>
      <c r="K558" s="8">
        <f t="shared" si="8"/>
        <v>208575.1526067619</v>
      </c>
      <c r="L558">
        <f>IFERROR(VLOOKUP(F558,'LEAID Match'!$A$2:$B$240,2,FALSE),"")</f>
        <v>0</v>
      </c>
    </row>
    <row r="559" spans="1:12" x14ac:dyDescent="0.2">
      <c r="A559">
        <v>0</v>
      </c>
      <c r="B559">
        <v>2018</v>
      </c>
      <c r="C559" s="4" t="s">
        <v>143</v>
      </c>
      <c r="D559" s="4" t="s">
        <v>576</v>
      </c>
      <c r="E559" s="4" t="s">
        <v>578</v>
      </c>
      <c r="F559" s="9" t="s">
        <v>102</v>
      </c>
      <c r="G559" s="8">
        <v>205061</v>
      </c>
      <c r="H559">
        <v>1</v>
      </c>
      <c r="I559" s="16" cm="1">
        <f t="array" ref="I559">_xlfn.IFS(B559=2015,G559/$H$1957,B559=2016,G559/$H$1958,B559=2017,G559/$H$1959,B559=2018,G559/$H$1960,B559=2019,G559/$H$1961,B559=2020,G559/$H$1962,B559=2021,G559/$H$1963,B559=2022,G559/$H$1964,B559=2023,G559/$H$1965)</f>
        <v>2.6385413105105759E-4</v>
      </c>
      <c r="J559" s="10" cm="1">
        <f t="array" ref="J559">_xlfn.IFS(B559=2015,I559*$G$2,B559=2016,I559*$G$3,B559=2017,I559*$G$4,B559=2018,I559*$G$5,B559=2019,I559*$G$6,B559=2020,I559*$G$7,B559=2021,I559*$G$8,B559=2022,I559*$G$9,B559=2023,I559*$G$10)</f>
        <v>39716.359169415431</v>
      </c>
      <c r="K559" s="8">
        <f t="shared" si="8"/>
        <v>244777.35916941543</v>
      </c>
      <c r="L559">
        <f>IFERROR(VLOOKUP(F559,'LEAID Match'!$A$2:$B$240,2,FALSE),"")</f>
        <v>0</v>
      </c>
    </row>
    <row r="560" spans="1:12" x14ac:dyDescent="0.2">
      <c r="A560">
        <v>0</v>
      </c>
      <c r="B560">
        <v>2019</v>
      </c>
      <c r="C560" s="4" t="s">
        <v>143</v>
      </c>
      <c r="D560" s="4" t="s">
        <v>576</v>
      </c>
      <c r="E560" s="4" t="s">
        <v>578</v>
      </c>
      <c r="F560" s="9" t="s">
        <v>102</v>
      </c>
      <c r="G560" s="8">
        <v>228891</v>
      </c>
      <c r="H560">
        <v>1</v>
      </c>
      <c r="I560" s="16" cm="1">
        <f t="array" ref="I560">_xlfn.IFS(B560=2015,G560/$H$1957,B560=2016,G560/$H$1958,B560=2017,G560/$H$1959,B560=2018,G560/$H$1960,B560=2019,G560/$H$1961,B560=2020,G560/$H$1962,B560=2021,G560/$H$1963,B560=2022,G560/$H$1964,B560=2023,G560/$H$1965)</f>
        <v>2.8446496828661333E-4</v>
      </c>
      <c r="J560" s="10" cm="1">
        <f t="array" ref="J560">_xlfn.IFS(B560=2015,I560*$G$2,B560=2016,I560*$G$3,B560=2017,I560*$G$4,B560=2018,I560*$G$5,B560=2019,I560*$G$6,B560=2020,I560*$G$7,B560=2021,I560*$G$8,B560=2022,I560*$G$9,B560=2023,I560*$G$10)</f>
        <v>44953.464713123059</v>
      </c>
      <c r="K560" s="8">
        <f t="shared" si="8"/>
        <v>273844.46471312304</v>
      </c>
      <c r="L560">
        <f>IFERROR(VLOOKUP(F560,'LEAID Match'!$A$2:$B$240,2,FALSE),"")</f>
        <v>0</v>
      </c>
    </row>
    <row r="561" spans="1:12" x14ac:dyDescent="0.2">
      <c r="A561">
        <v>0</v>
      </c>
      <c r="B561">
        <v>2020</v>
      </c>
      <c r="C561" s="4" t="s">
        <v>143</v>
      </c>
      <c r="D561" s="4" t="s">
        <v>576</v>
      </c>
      <c r="E561" s="4" t="s">
        <v>578</v>
      </c>
      <c r="F561" s="9" t="s">
        <v>102</v>
      </c>
      <c r="G561" s="8">
        <v>270403</v>
      </c>
      <c r="H561">
        <v>1</v>
      </c>
      <c r="I561" s="16" cm="1">
        <f t="array" ref="I561">_xlfn.IFS(B561=2015,G561/$H$1957,B561=2016,G561/$H$1958,B561=2017,G561/$H$1959,B561=2018,G561/$H$1960,B561=2019,G561/$H$1961,B561=2020,G561/$H$1962,B561=2021,G561/$H$1963,B561=2022,G561/$H$1964,B561=2023,G561/$H$1965)</f>
        <v>3.1100762743609795E-4</v>
      </c>
      <c r="J561" s="10" cm="1">
        <f t="array" ref="J561">_xlfn.IFS(B561=2015,I561*$G$2,B561=2016,I561*$G$3,B561=2017,I561*$G$4,B561=2018,I561*$G$5,B561=2019,I561*$G$6,B561=2020,I561*$G$7,B561=2021,I561*$G$8,B561=2022,I561*$G$9,B561=2023,I561*$G$10)</f>
        <v>53706.008169366629</v>
      </c>
      <c r="K561" s="8">
        <f t="shared" si="8"/>
        <v>324109.00816936663</v>
      </c>
      <c r="L561">
        <f>IFERROR(VLOOKUP(F561,'LEAID Match'!$A$2:$B$240,2,FALSE),"")</f>
        <v>0</v>
      </c>
    </row>
    <row r="562" spans="1:12" x14ac:dyDescent="0.2">
      <c r="A562">
        <v>0</v>
      </c>
      <c r="B562">
        <v>2021</v>
      </c>
      <c r="C562" s="4" t="s">
        <v>143</v>
      </c>
      <c r="D562" s="4" t="s">
        <v>576</v>
      </c>
      <c r="E562" s="4" t="s">
        <v>578</v>
      </c>
      <c r="F562" s="9" t="s">
        <v>102</v>
      </c>
      <c r="G562" s="8">
        <v>250259</v>
      </c>
      <c r="H562">
        <v>1</v>
      </c>
      <c r="I562" s="16" cm="1">
        <f t="array" ref="I562">_xlfn.IFS(B562=2015,G562/$H$1957,B562=2016,G562/$H$1958,B562=2017,G562/$H$1959,B562=2018,G562/$H$1960,B562=2019,G562/$H$1961,B562=2020,G562/$H$1962,B562=2021,G562/$H$1963,B562=2022,G562/$H$1964,B562=2023,G562/$H$1965)</f>
        <v>2.8599470668377213E-4</v>
      </c>
      <c r="J562" s="10" cm="1">
        <f t="array" ref="J562">_xlfn.IFS(B562=2015,I562*$G$2,B562=2016,I562*$G$3,B562=2017,I562*$G$4,B562=2018,I562*$G$5,B562=2019,I562*$G$6,B562=2020,I562*$G$7,B562=2021,I562*$G$8,B562=2022,I562*$G$9,B562=2023,I562*$G$10)</f>
        <v>49081.506673817028</v>
      </c>
      <c r="K562" s="8">
        <f t="shared" si="8"/>
        <v>299340.50667381706</v>
      </c>
      <c r="L562">
        <f>IFERROR(VLOOKUP(F562,'LEAID Match'!$A$2:$B$240,2,FALSE),"")</f>
        <v>0</v>
      </c>
    </row>
    <row r="563" spans="1:12" x14ac:dyDescent="0.2">
      <c r="A563">
        <v>0</v>
      </c>
      <c r="B563">
        <v>2022</v>
      </c>
      <c r="C563" s="4" t="s">
        <v>143</v>
      </c>
      <c r="D563" s="4" t="s">
        <v>576</v>
      </c>
      <c r="E563" s="4" t="s">
        <v>578</v>
      </c>
      <c r="F563" s="9" t="s">
        <v>102</v>
      </c>
      <c r="G563" s="8">
        <v>365914</v>
      </c>
      <c r="H563">
        <v>1</v>
      </c>
      <c r="I563" s="16" cm="1">
        <f t="array" ref="I563">_xlfn.IFS(B563=2015,G563/$H$1957,B563=2016,G563/$H$1958,B563=2017,G563/$H$1959,B563=2018,G563/$H$1960,B563=2019,G563/$H$1961,B563=2020,G563/$H$1962,B563=2021,G563/$H$1963,B563=2022,G563/$H$1964,B563=2023,G563/$H$1965)</f>
        <v>3.9328521170400941E-4</v>
      </c>
      <c r="J563" s="10" cm="1">
        <f t="array" ref="J563">_xlfn.IFS(B563=2015,I563*$G$2,B563=2016,I563*$G$3,B563=2017,I563*$G$4,B563=2018,I563*$G$5,B563=2019,I563*$G$6,B563=2020,I563*$G$7,B563=2021,I563*$G$8,B563=2022,I563*$G$9,B563=2023,I563*$G$10)</f>
        <v>66695.527868926831</v>
      </c>
      <c r="K563" s="8">
        <f t="shared" si="8"/>
        <v>432609.52786892682</v>
      </c>
      <c r="L563">
        <f>IFERROR(VLOOKUP(F563,'LEAID Match'!$A$2:$B$240,2,FALSE),"")</f>
        <v>0</v>
      </c>
    </row>
    <row r="564" spans="1:12" x14ac:dyDescent="0.2">
      <c r="A564">
        <v>0</v>
      </c>
      <c r="B564">
        <v>2023</v>
      </c>
      <c r="C564" s="4" t="s">
        <v>143</v>
      </c>
      <c r="D564" s="4" t="s">
        <v>576</v>
      </c>
      <c r="E564" s="4" t="s">
        <v>578</v>
      </c>
      <c r="F564" s="9" t="s">
        <v>102</v>
      </c>
      <c r="G564" s="8">
        <v>500773</v>
      </c>
      <c r="H564">
        <v>1</v>
      </c>
      <c r="I564" s="16" cm="1">
        <f t="array" ref="I564">_xlfn.IFS(B564=2015,G564/$H$1957,B564=2016,G564/$H$1958,B564=2017,G564/$H$1959,B564=2018,G564/$H$1960,B564=2019,G564/$H$1961,B564=2020,G564/$H$1962,B564=2021,G564/$H$1963,B564=2022,G564/$H$1964,B564=2023,G564/$H$1965)</f>
        <v>5.0702744978247804E-4</v>
      </c>
      <c r="J564" s="10" cm="1">
        <f t="array" ref="J564">_xlfn.IFS(B564=2015,I564*$G$2,B564=2016,I564*$G$3,B564=2017,I564*$G$4,B564=2018,I564*$G$5,B564=2019,I564*$G$6,B564=2020,I564*$G$7,B564=2021,I564*$G$8,B564=2022,I564*$G$9,B564=2023,I564*$G$10)</f>
        <v>86187.222793031004</v>
      </c>
      <c r="K564" s="8">
        <f t="shared" si="8"/>
        <v>586960.22279303102</v>
      </c>
      <c r="L564">
        <f>IFERROR(VLOOKUP(F564,'LEAID Match'!$A$2:$B$240,2,FALSE),"")</f>
        <v>0</v>
      </c>
    </row>
    <row r="565" spans="1:12" x14ac:dyDescent="0.2">
      <c r="A565">
        <v>0</v>
      </c>
      <c r="B565">
        <v>2015</v>
      </c>
      <c r="C565" s="4" t="s">
        <v>144</v>
      </c>
      <c r="D565" s="4" t="s">
        <v>576</v>
      </c>
      <c r="E565" s="4" t="s">
        <v>578</v>
      </c>
      <c r="F565" s="9" t="s">
        <v>103</v>
      </c>
      <c r="G565" s="8">
        <v>165990</v>
      </c>
      <c r="H565">
        <v>1</v>
      </c>
      <c r="I565" s="16" cm="1">
        <f t="array" ref="I565">_xlfn.IFS(B565=2015,G565/$H$1957,B565=2016,G565/$H$1958,B565=2017,G565/$H$1959,B565=2018,G565/$H$1960,B565=2019,G565/$H$1961,B565=2020,G565/$H$1962,B565=2021,G565/$H$1963,B565=2022,G565/$H$1964,B565=2023,G565/$H$1965)</f>
        <v>1.2818718675926244E-4</v>
      </c>
      <c r="J565" s="10" cm="1">
        <f t="array" ref="J565">_xlfn.IFS(B565=2015,I565*$G$2,B565=2016,I565*$G$3,B565=2017,I565*$G$4,B565=2018,I565*$G$5,B565=2019,I565*$G$6,B565=2020,I565*$G$7,B565=2021,I565*$G$8,B565=2022,I565*$G$9,B565=2023,I565*$G$10)</f>
        <v>31872.79219782892</v>
      </c>
      <c r="K565" s="8">
        <f t="shared" si="8"/>
        <v>197862.79219782891</v>
      </c>
      <c r="L565">
        <f>IFERROR(VLOOKUP(F565,'LEAID Match'!$A$2:$B$240,2,FALSE),"")</f>
        <v>0</v>
      </c>
    </row>
    <row r="566" spans="1:12" x14ac:dyDescent="0.2">
      <c r="A566">
        <v>0</v>
      </c>
      <c r="B566">
        <v>2016</v>
      </c>
      <c r="C566" s="4" t="s">
        <v>144</v>
      </c>
      <c r="D566" s="4" t="s">
        <v>576</v>
      </c>
      <c r="E566" s="4" t="s">
        <v>578</v>
      </c>
      <c r="F566" s="9" t="s">
        <v>103</v>
      </c>
      <c r="G566" s="8">
        <v>194319</v>
      </c>
      <c r="H566">
        <v>1</v>
      </c>
      <c r="I566" s="16" cm="1">
        <f t="array" ref="I566">_xlfn.IFS(B566=2015,G566/$H$1957,B566=2016,G566/$H$1958,B566=2017,G566/$H$1959,B566=2018,G566/$H$1960,B566=2019,G566/$H$1961,B566=2020,G566/$H$1962,B566=2021,G566/$H$1963,B566=2022,G566/$H$1964,B566=2023,G566/$H$1965)</f>
        <v>1.3641185492736294E-4</v>
      </c>
      <c r="J566" s="10" cm="1">
        <f t="array" ref="J566">_xlfn.IFS(B566=2015,I566*$G$2,B566=2016,I566*$G$3,B566=2017,I566*$G$4,B566=2018,I566*$G$5,B566=2019,I566*$G$6,B566=2020,I566*$G$7,B566=2021,I566*$G$8,B566=2022,I566*$G$9,B566=2023,I566*$G$10)</f>
        <v>36995.315204814004</v>
      </c>
      <c r="K566" s="8">
        <f t="shared" si="8"/>
        <v>231314.31520481402</v>
      </c>
      <c r="L566">
        <f>IFERROR(VLOOKUP(F566,'LEAID Match'!$A$2:$B$240,2,FALSE),"")</f>
        <v>0</v>
      </c>
    </row>
    <row r="567" spans="1:12" x14ac:dyDescent="0.2">
      <c r="A567">
        <v>0</v>
      </c>
      <c r="B567">
        <v>2017</v>
      </c>
      <c r="C567" s="4" t="s">
        <v>144</v>
      </c>
      <c r="D567" s="4" t="s">
        <v>576</v>
      </c>
      <c r="E567" s="4" t="s">
        <v>578</v>
      </c>
      <c r="F567" s="9" t="s">
        <v>103</v>
      </c>
      <c r="G567" s="8">
        <v>115014</v>
      </c>
      <c r="H567">
        <v>1</v>
      </c>
      <c r="I567" s="16" cm="1">
        <f t="array" ref="I567">_xlfn.IFS(B567=2015,G567/$H$1957,B567=2016,G567/$H$1958,B567=2017,G567/$H$1959,B567=2018,G567/$H$1960,B567=2019,G567/$H$1961,B567=2020,G567/$H$1962,B567=2021,G567/$H$1963,B567=2022,G567/$H$1964,B567=2023,G567/$H$1965)</f>
        <v>1.5345315181638491E-4</v>
      </c>
      <c r="J567" s="10" cm="1">
        <f t="array" ref="J567">_xlfn.IFS(B567=2015,I567*$G$2,B567=2016,I567*$G$3,B567=2017,I567*$G$4,B567=2018,I567*$G$5,B567=2019,I567*$G$6,B567=2020,I567*$G$7,B567=2021,I567*$G$8,B567=2022,I567*$G$9,B567=2023,I567*$G$10)</f>
        <v>22724.353516881292</v>
      </c>
      <c r="K567" s="8">
        <f t="shared" si="8"/>
        <v>137738.3535168813</v>
      </c>
      <c r="L567">
        <f>IFERROR(VLOOKUP(F567,'LEAID Match'!$A$2:$B$240,2,FALSE),"")</f>
        <v>0</v>
      </c>
    </row>
    <row r="568" spans="1:12" x14ac:dyDescent="0.2">
      <c r="A568">
        <v>0</v>
      </c>
      <c r="B568">
        <v>2018</v>
      </c>
      <c r="C568" s="4" t="s">
        <v>144</v>
      </c>
      <c r="D568" s="4" t="s">
        <v>576</v>
      </c>
      <c r="E568" s="4" t="s">
        <v>578</v>
      </c>
      <c r="F568" s="9" t="s">
        <v>103</v>
      </c>
      <c r="G568" s="8">
        <v>120262</v>
      </c>
      <c r="H568">
        <v>1</v>
      </c>
      <c r="I568" s="16" cm="1">
        <f t="array" ref="I568">_xlfn.IFS(B568=2015,G568/$H$1957,B568=2016,G568/$H$1958,B568=2017,G568/$H$1959,B568=2018,G568/$H$1960,B568=2019,G568/$H$1961,B568=2020,G568/$H$1962,B568=2021,G568/$H$1963,B568=2022,G568/$H$1964,B568=2023,G568/$H$1965)</f>
        <v>1.5474237182332227E-4</v>
      </c>
      <c r="J568" s="10" cm="1">
        <f t="array" ref="J568">_xlfn.IFS(B568=2015,I568*$G$2,B568=2016,I568*$G$3,B568=2017,I568*$G$4,B568=2018,I568*$G$5,B568=2019,I568*$G$6,B568=2020,I568*$G$7,B568=2021,I568*$G$8,B568=2022,I568*$G$9,B568=2023,I568*$G$10)</f>
        <v>23292.429015913502</v>
      </c>
      <c r="K568" s="8">
        <f t="shared" si="8"/>
        <v>143554.42901591351</v>
      </c>
      <c r="L568">
        <f>IFERROR(VLOOKUP(F568,'LEAID Match'!$A$2:$B$240,2,FALSE),"")</f>
        <v>0</v>
      </c>
    </row>
    <row r="569" spans="1:12" x14ac:dyDescent="0.2">
      <c r="A569">
        <v>0</v>
      </c>
      <c r="B569">
        <v>2019</v>
      </c>
      <c r="C569" s="4" t="s">
        <v>144</v>
      </c>
      <c r="D569" s="4" t="s">
        <v>576</v>
      </c>
      <c r="E569" s="4" t="s">
        <v>578</v>
      </c>
      <c r="F569" s="9" t="s">
        <v>103</v>
      </c>
      <c r="G569" s="8">
        <v>136443</v>
      </c>
      <c r="H569">
        <v>1</v>
      </c>
      <c r="I569" s="16" cm="1">
        <f t="array" ref="I569">_xlfn.IFS(B569=2015,G569/$H$1957,B569=2016,G569/$H$1958,B569=2017,G569/$H$1959,B569=2018,G569/$H$1960,B569=2019,G569/$H$1961,B569=2020,G569/$H$1962,B569=2021,G569/$H$1963,B569=2022,G569/$H$1964,B569=2023,G569/$H$1965)</f>
        <v>1.6957090347777056E-4</v>
      </c>
      <c r="J569" s="10" cm="1">
        <f t="array" ref="J569">_xlfn.IFS(B569=2015,I569*$G$2,B569=2016,I569*$G$3,B569=2017,I569*$G$4,B569=2018,I569*$G$5,B569=2019,I569*$G$6,B569=2020,I569*$G$7,B569=2021,I569*$G$8,B569=2022,I569*$G$9,B569=2023,I569*$G$10)</f>
        <v>26796.971422435352</v>
      </c>
      <c r="K569" s="8">
        <f t="shared" si="8"/>
        <v>163239.97142243537</v>
      </c>
      <c r="L569">
        <f>IFERROR(VLOOKUP(F569,'LEAID Match'!$A$2:$B$240,2,FALSE),"")</f>
        <v>0</v>
      </c>
    </row>
    <row r="570" spans="1:12" x14ac:dyDescent="0.2">
      <c r="A570">
        <v>0</v>
      </c>
      <c r="B570">
        <v>2020</v>
      </c>
      <c r="C570" s="4" t="s">
        <v>144</v>
      </c>
      <c r="D570" s="4" t="s">
        <v>576</v>
      </c>
      <c r="E570" s="4" t="s">
        <v>578</v>
      </c>
      <c r="F570" s="9" t="s">
        <v>103</v>
      </c>
      <c r="G570" s="8">
        <v>138324</v>
      </c>
      <c r="H570">
        <v>1</v>
      </c>
      <c r="I570" s="16" cm="1">
        <f t="array" ref="I570">_xlfn.IFS(B570=2015,G570/$H$1957,B570=2016,G570/$H$1958,B570=2017,G570/$H$1959,B570=2018,G570/$H$1960,B570=2019,G570/$H$1961,B570=2020,G570/$H$1962,B570=2021,G570/$H$1963,B570=2022,G570/$H$1964,B570=2023,G570/$H$1965)</f>
        <v>1.5909519886048162E-4</v>
      </c>
      <c r="J570" s="10" cm="1">
        <f t="array" ref="J570">_xlfn.IFS(B570=2015,I570*$G$2,B570=2016,I570*$G$3,B570=2017,I570*$G$4,B570=2018,I570*$G$5,B570=2019,I570*$G$6,B570=2020,I570*$G$7,B570=2021,I570*$G$8,B570=2022,I570*$G$9,B570=2023,I570*$G$10)</f>
        <v>27473.178455932328</v>
      </c>
      <c r="K570" s="8">
        <f t="shared" si="8"/>
        <v>165797.17845593233</v>
      </c>
      <c r="L570">
        <f>IFERROR(VLOOKUP(F570,'LEAID Match'!$A$2:$B$240,2,FALSE),"")</f>
        <v>0</v>
      </c>
    </row>
    <row r="571" spans="1:12" x14ac:dyDescent="0.2">
      <c r="A571">
        <v>0</v>
      </c>
      <c r="B571">
        <v>2021</v>
      </c>
      <c r="C571" s="4" t="s">
        <v>144</v>
      </c>
      <c r="D571" s="4" t="s">
        <v>576</v>
      </c>
      <c r="E571" s="4" t="s">
        <v>578</v>
      </c>
      <c r="F571" s="9" t="s">
        <v>103</v>
      </c>
      <c r="G571" s="8">
        <v>133767</v>
      </c>
      <c r="H571">
        <v>1</v>
      </c>
      <c r="I571" s="16" cm="1">
        <f t="array" ref="I571">_xlfn.IFS(B571=2015,G571/$H$1957,B571=2016,G571/$H$1958,B571=2017,G571/$H$1959,B571=2018,G571/$H$1960,B571=2019,G571/$H$1961,B571=2020,G571/$H$1962,B571=2021,G571/$H$1963,B571=2022,G571/$H$1964,B571=2023,G571/$H$1965)</f>
        <v>1.5286824421486598E-4</v>
      </c>
      <c r="J571" s="10" cm="1">
        <f t="array" ref="J571">_xlfn.IFS(B571=2015,I571*$G$2,B571=2016,I571*$G$3,B571=2017,I571*$G$4,B571=2018,I571*$G$5,B571=2019,I571*$G$6,B571=2020,I571*$G$7,B571=2021,I571*$G$8,B571=2022,I571*$G$9,B571=2023,I571*$G$10)</f>
        <v>26234.764397030605</v>
      </c>
      <c r="K571" s="8">
        <f t="shared" si="8"/>
        <v>160001.76439703061</v>
      </c>
      <c r="L571">
        <f>IFERROR(VLOOKUP(F571,'LEAID Match'!$A$2:$B$240,2,FALSE),"")</f>
        <v>0</v>
      </c>
    </row>
    <row r="572" spans="1:12" x14ac:dyDescent="0.2">
      <c r="A572">
        <v>0</v>
      </c>
      <c r="B572">
        <v>2022</v>
      </c>
      <c r="C572" s="4" t="s">
        <v>144</v>
      </c>
      <c r="D572" s="4" t="s">
        <v>576</v>
      </c>
      <c r="E572" s="4" t="s">
        <v>578</v>
      </c>
      <c r="F572" s="9" t="s">
        <v>103</v>
      </c>
      <c r="G572" s="8">
        <v>137125</v>
      </c>
      <c r="H572">
        <v>1</v>
      </c>
      <c r="I572" s="16" cm="1">
        <f t="array" ref="I572">_xlfn.IFS(B572=2015,G572/$H$1957,B572=2016,G572/$H$1958,B572=2017,G572/$H$1959,B572=2018,G572/$H$1960,B572=2019,G572/$H$1961,B572=2020,G572/$H$1962,B572=2021,G572/$H$1963,B572=2022,G572/$H$1964,B572=2023,G572/$H$1965)</f>
        <v>1.4738226647494299E-4</v>
      </c>
      <c r="J572" s="10" cm="1">
        <f t="array" ref="J572">_xlfn.IFS(B572=2015,I572*$G$2,B572=2016,I572*$G$3,B572=2017,I572*$G$4,B572=2018,I572*$G$5,B572=2019,I572*$G$6,B572=2020,I572*$G$7,B572=2021,I572*$G$8,B572=2022,I572*$G$9,B572=2023,I572*$G$10)</f>
        <v>24993.917311244149</v>
      </c>
      <c r="K572" s="8">
        <f t="shared" si="8"/>
        <v>162118.91731124415</v>
      </c>
      <c r="L572">
        <f>IFERROR(VLOOKUP(F572,'LEAID Match'!$A$2:$B$240,2,FALSE),"")</f>
        <v>0</v>
      </c>
    </row>
    <row r="573" spans="1:12" x14ac:dyDescent="0.2">
      <c r="A573">
        <v>0</v>
      </c>
      <c r="B573">
        <v>2023</v>
      </c>
      <c r="C573" s="4" t="s">
        <v>144</v>
      </c>
      <c r="D573" s="4" t="s">
        <v>576</v>
      </c>
      <c r="E573" s="4" t="s">
        <v>578</v>
      </c>
      <c r="F573" s="9" t="s">
        <v>103</v>
      </c>
      <c r="G573" s="8">
        <v>157747</v>
      </c>
      <c r="H573">
        <v>1</v>
      </c>
      <c r="I573" s="16" cm="1">
        <f t="array" ref="I573">_xlfn.IFS(B573=2015,G573/$H$1957,B573=2016,G573/$H$1958,B573=2017,G573/$H$1959,B573=2018,G573/$H$1960,B573=2019,G573/$H$1961,B573=2020,G573/$H$1962,B573=2021,G573/$H$1963,B573=2022,G573/$H$1964,B573=2023,G573/$H$1965)</f>
        <v>1.5971719545749581E-4</v>
      </c>
      <c r="J573" s="10" cm="1">
        <f t="array" ref="J573">_xlfn.IFS(B573=2015,I573*$G$2,B573=2016,I573*$G$3,B573=2017,I573*$G$4,B573=2018,I573*$G$5,B573=2019,I573*$G$6,B573=2020,I573*$G$7,B573=2021,I573*$G$8,B573=2022,I573*$G$9,B573=2023,I573*$G$10)</f>
        <v>27149.578419627778</v>
      </c>
      <c r="K573" s="8">
        <f t="shared" si="8"/>
        <v>184896.57841962777</v>
      </c>
      <c r="L573">
        <f>IFERROR(VLOOKUP(F573,'LEAID Match'!$A$2:$B$240,2,FALSE),"")</f>
        <v>0</v>
      </c>
    </row>
    <row r="574" spans="1:12" x14ac:dyDescent="0.2">
      <c r="A574">
        <v>0</v>
      </c>
      <c r="B574">
        <v>2015</v>
      </c>
      <c r="C574" s="4" t="s">
        <v>145</v>
      </c>
      <c r="D574" s="4" t="s">
        <v>576</v>
      </c>
      <c r="E574" s="4" t="s">
        <v>578</v>
      </c>
      <c r="F574" s="9" t="s">
        <v>104</v>
      </c>
      <c r="G574" s="8">
        <v>152109</v>
      </c>
      <c r="H574">
        <v>1</v>
      </c>
      <c r="I574" s="16" cm="1">
        <f t="array" ref="I574">_xlfn.IFS(B574=2015,G574/$H$1957,B574=2016,G574/$H$1958,B574=2017,G574/$H$1959,B574=2018,G574/$H$1960,B574=2019,G574/$H$1961,B574=2020,G574/$H$1962,B574=2021,G574/$H$1963,B574=2022,G574/$H$1964,B574=2023,G574/$H$1965)</f>
        <v>1.1746746665922436E-4</v>
      </c>
      <c r="J574" s="10" cm="1">
        <f t="array" ref="J574">_xlfn.IFS(B574=2015,I574*$G$2,B574=2016,I574*$G$3,B574=2017,I574*$G$4,B574=2018,I574*$G$5,B574=2019,I574*$G$6,B574=2020,I574*$G$7,B574=2021,I574*$G$8,B574=2022,I574*$G$9,B574=2023,I574*$G$10)</f>
        <v>29207.41338887619</v>
      </c>
      <c r="K574" s="8">
        <f t="shared" si="8"/>
        <v>181316.41338887619</v>
      </c>
      <c r="L574">
        <f>IFERROR(VLOOKUP(F574,'LEAID Match'!$A$2:$B$240,2,FALSE),"")</f>
        <v>0</v>
      </c>
    </row>
    <row r="575" spans="1:12" x14ac:dyDescent="0.2">
      <c r="A575">
        <v>0</v>
      </c>
      <c r="B575">
        <v>2016</v>
      </c>
      <c r="C575" s="4" t="s">
        <v>145</v>
      </c>
      <c r="D575" s="4" t="s">
        <v>576</v>
      </c>
      <c r="E575" s="4" t="s">
        <v>578</v>
      </c>
      <c r="F575" s="9" t="s">
        <v>104</v>
      </c>
      <c r="G575" s="8">
        <v>194486</v>
      </c>
      <c r="H575">
        <v>1</v>
      </c>
      <c r="I575" s="16" cm="1">
        <f t="array" ref="I575">_xlfn.IFS(B575=2015,G575/$H$1957,B575=2016,G575/$H$1958,B575=2017,G575/$H$1959,B575=2018,G575/$H$1960,B575=2019,G575/$H$1961,B575=2020,G575/$H$1962,B575=2021,G575/$H$1963,B575=2022,G575/$H$1964,B575=2023,G575/$H$1965)</f>
        <v>1.3652908885596936E-4</v>
      </c>
      <c r="J575" s="10" cm="1">
        <f t="array" ref="J575">_xlfn.IFS(B575=2015,I575*$G$2,B575=2016,I575*$G$3,B575=2017,I575*$G$4,B575=2018,I575*$G$5,B575=2019,I575*$G$6,B575=2020,I575*$G$7,B575=2021,I575*$G$8,B575=2022,I575*$G$9,B575=2023,I575*$G$10)</f>
        <v>37027.109407332566</v>
      </c>
      <c r="K575" s="8">
        <f t="shared" si="8"/>
        <v>231513.10940733255</v>
      </c>
      <c r="L575">
        <f>IFERROR(VLOOKUP(F575,'LEAID Match'!$A$2:$B$240,2,FALSE),"")</f>
        <v>0</v>
      </c>
    </row>
    <row r="576" spans="1:12" x14ac:dyDescent="0.2">
      <c r="A576">
        <v>0</v>
      </c>
      <c r="B576">
        <v>2017</v>
      </c>
      <c r="C576" s="4" t="s">
        <v>145</v>
      </c>
      <c r="D576" s="4" t="s">
        <v>576</v>
      </c>
      <c r="E576" s="4" t="s">
        <v>578</v>
      </c>
      <c r="F576" s="9" t="s">
        <v>104</v>
      </c>
      <c r="G576" s="8">
        <v>99664</v>
      </c>
      <c r="H576">
        <v>1</v>
      </c>
      <c r="I576" s="16" cm="1">
        <f t="array" ref="I576">_xlfn.IFS(B576=2015,G576/$H$1957,B576=2016,G576/$H$1958,B576=2017,G576/$H$1959,B576=2018,G576/$H$1960,B576=2019,G576/$H$1961,B576=2020,G576/$H$1962,B576=2021,G576/$H$1963,B576=2022,G576/$H$1964,B576=2023,G576/$H$1965)</f>
        <v>1.3297298522465251E-4</v>
      </c>
      <c r="J576" s="10" cm="1">
        <f t="array" ref="J576">_xlfn.IFS(B576=2015,I576*$G$2,B576=2016,I576*$G$3,B576=2017,I576*$G$4,B576=2018,I576*$G$5,B576=2019,I576*$G$6,B576=2020,I576*$G$7,B576=2021,I576*$G$8,B576=2022,I576*$G$9,B576=2023,I576*$G$10)</f>
        <v>19691.515545120219</v>
      </c>
      <c r="K576" s="8">
        <f t="shared" si="8"/>
        <v>119355.51554512022</v>
      </c>
      <c r="L576">
        <f>IFERROR(VLOOKUP(F576,'LEAID Match'!$A$2:$B$240,2,FALSE),"")</f>
        <v>0</v>
      </c>
    </row>
    <row r="577" spans="1:12" x14ac:dyDescent="0.2">
      <c r="A577">
        <v>0</v>
      </c>
      <c r="B577">
        <v>2018</v>
      </c>
      <c r="C577" s="4" t="s">
        <v>145</v>
      </c>
      <c r="D577" s="4" t="s">
        <v>576</v>
      </c>
      <c r="E577" s="4" t="s">
        <v>578</v>
      </c>
      <c r="F577" s="9" t="s">
        <v>104</v>
      </c>
      <c r="G577" s="8">
        <v>100681</v>
      </c>
      <c r="H577">
        <v>1</v>
      </c>
      <c r="I577" s="16" cm="1">
        <f t="array" ref="I577">_xlfn.IFS(B577=2015,G577/$H$1957,B577=2016,G577/$H$1958,B577=2017,G577/$H$1959,B577=2018,G577/$H$1960,B577=2019,G577/$H$1961,B577=2020,G577/$H$1962,B577=2021,G577/$H$1963,B577=2022,G577/$H$1964,B577=2023,G577/$H$1965)</f>
        <v>1.2954729455309167E-4</v>
      </c>
      <c r="J577" s="10" cm="1">
        <f t="array" ref="J577">_xlfn.IFS(B577=2015,I577*$G$2,B577=2016,I577*$G$3,B577=2017,I577*$G$4,B577=2018,I577*$G$5,B577=2019,I577*$G$6,B577=2020,I577*$G$7,B577=2021,I577*$G$8,B577=2022,I577*$G$9,B577=2023,I577*$G$10)</f>
        <v>19499.967119715184</v>
      </c>
      <c r="K577" s="8">
        <f t="shared" si="8"/>
        <v>120180.96711971518</v>
      </c>
      <c r="L577">
        <f>IFERROR(VLOOKUP(F577,'LEAID Match'!$A$2:$B$240,2,FALSE),"")</f>
        <v>0</v>
      </c>
    </row>
    <row r="578" spans="1:12" x14ac:dyDescent="0.2">
      <c r="A578">
        <v>0</v>
      </c>
      <c r="B578">
        <v>2019</v>
      </c>
      <c r="C578" s="4" t="s">
        <v>145</v>
      </c>
      <c r="D578" s="4" t="s">
        <v>576</v>
      </c>
      <c r="E578" s="4" t="s">
        <v>578</v>
      </c>
      <c r="F578" s="9" t="s">
        <v>104</v>
      </c>
      <c r="G578" s="8">
        <v>114475</v>
      </c>
      <c r="H578">
        <v>1</v>
      </c>
      <c r="I578" s="16" cm="1">
        <f t="array" ref="I578">_xlfn.IFS(B578=2015,G578/$H$1957,B578=2016,G578/$H$1958,B578=2017,G578/$H$1959,B578=2018,G578/$H$1960,B578=2019,G578/$H$1961,B578=2020,G578/$H$1962,B578=2021,G578/$H$1963,B578=2022,G578/$H$1964,B578=2023,G578/$H$1965)</f>
        <v>1.4226914664451664E-4</v>
      </c>
      <c r="J578" s="10" cm="1">
        <f t="array" ref="J578">_xlfn.IFS(B578=2015,I578*$G$2,B578=2016,I578*$G$3,B578=2017,I578*$G$4,B578=2018,I578*$G$5,B578=2019,I578*$G$6,B578=2020,I578*$G$7,B578=2021,I578*$G$8,B578=2022,I578*$G$9,B578=2023,I578*$G$10)</f>
        <v>22482.526062775567</v>
      </c>
      <c r="K578" s="8">
        <f t="shared" si="8"/>
        <v>136957.52606277558</v>
      </c>
      <c r="L578">
        <f>IFERROR(VLOOKUP(F578,'LEAID Match'!$A$2:$B$240,2,FALSE),"")</f>
        <v>0</v>
      </c>
    </row>
    <row r="579" spans="1:12" x14ac:dyDescent="0.2">
      <c r="A579">
        <v>0</v>
      </c>
      <c r="B579">
        <v>2020</v>
      </c>
      <c r="C579" s="4" t="s">
        <v>145</v>
      </c>
      <c r="D579" s="4" t="s">
        <v>576</v>
      </c>
      <c r="E579" s="4" t="s">
        <v>578</v>
      </c>
      <c r="F579" s="9" t="s">
        <v>104</v>
      </c>
      <c r="G579" s="8">
        <v>115203</v>
      </c>
      <c r="H579">
        <v>1</v>
      </c>
      <c r="I579" s="16" cm="1">
        <f t="array" ref="I579">_xlfn.IFS(B579=2015,G579/$H$1957,B579=2016,G579/$H$1958,B579=2017,G579/$H$1959,B579=2018,G579/$H$1960,B579=2019,G579/$H$1961,B579=2020,G579/$H$1962,B579=2021,G579/$H$1963,B579=2022,G579/$H$1964,B579=2023,G579/$H$1965)</f>
        <v>1.3250227143752396E-4</v>
      </c>
      <c r="J579" s="10" cm="1">
        <f t="array" ref="J579">_xlfn.IFS(B579=2015,I579*$G$2,B579=2016,I579*$G$3,B579=2017,I579*$G$4,B579=2018,I579*$G$5,B579=2019,I579*$G$6,B579=2020,I579*$G$7,B579=2021,I579*$G$8,B579=2022,I579*$G$9,B579=2023,I579*$G$10)</f>
        <v>22881.008195676615</v>
      </c>
      <c r="K579" s="8">
        <f t="shared" si="8"/>
        <v>138084.00819567661</v>
      </c>
      <c r="L579">
        <f>IFERROR(VLOOKUP(F579,'LEAID Match'!$A$2:$B$240,2,FALSE),"")</f>
        <v>0</v>
      </c>
    </row>
    <row r="580" spans="1:12" x14ac:dyDescent="0.2">
      <c r="A580">
        <v>0</v>
      </c>
      <c r="B580">
        <v>2021</v>
      </c>
      <c r="C580" s="4" t="s">
        <v>145</v>
      </c>
      <c r="D580" s="4" t="s">
        <v>576</v>
      </c>
      <c r="E580" s="4" t="s">
        <v>578</v>
      </c>
      <c r="F580" s="9" t="s">
        <v>104</v>
      </c>
      <c r="G580" s="8">
        <v>128969</v>
      </c>
      <c r="H580">
        <v>1</v>
      </c>
      <c r="I580" s="16" cm="1">
        <f t="array" ref="I580">_xlfn.IFS(B580=2015,G580/$H$1957,B580=2016,G580/$H$1958,B580=2017,G580/$H$1959,B580=2018,G580/$H$1960,B580=2019,G580/$H$1961,B580=2020,G580/$H$1962,B580=2021,G580/$H$1963,B580=2022,G580/$H$1964,B580=2023,G580/$H$1965)</f>
        <v>1.4738511432675511E-4</v>
      </c>
      <c r="J580" s="10" cm="1">
        <f t="array" ref="J580">_xlfn.IFS(B580=2015,I580*$G$2,B580=2016,I580*$G$3,B580=2017,I580*$G$4,B580=2018,I580*$G$5,B580=2019,I580*$G$6,B580=2020,I580*$G$7,B580=2021,I580*$G$8,B580=2022,I580*$G$9,B580=2023,I580*$G$10)</f>
        <v>25293.766994255981</v>
      </c>
      <c r="K580" s="8">
        <f t="shared" si="8"/>
        <v>154262.76699425597</v>
      </c>
      <c r="L580">
        <f>IFERROR(VLOOKUP(F580,'LEAID Match'!$A$2:$B$240,2,FALSE),"")</f>
        <v>0</v>
      </c>
    </row>
    <row r="581" spans="1:12" x14ac:dyDescent="0.2">
      <c r="A581">
        <v>0</v>
      </c>
      <c r="B581">
        <v>2022</v>
      </c>
      <c r="C581" s="4" t="s">
        <v>145</v>
      </c>
      <c r="D581" s="4" t="s">
        <v>576</v>
      </c>
      <c r="E581" s="4" t="s">
        <v>578</v>
      </c>
      <c r="F581" s="9" t="s">
        <v>104</v>
      </c>
      <c r="G581" s="8">
        <v>128523</v>
      </c>
      <c r="H581">
        <v>1</v>
      </c>
      <c r="I581" s="16" cm="1">
        <f t="array" ref="I581">_xlfn.IFS(B581=2015,G581/$H$1957,B581=2016,G581/$H$1958,B581=2017,G581/$H$1959,B581=2018,G581/$H$1960,B581=2019,G581/$H$1961,B581=2020,G581/$H$1962,B581=2021,G581/$H$1963,B581=2022,G581/$H$1964,B581=2023,G581/$H$1965)</f>
        <v>1.3813681702212651E-4</v>
      </c>
      <c r="J581" s="10" cm="1">
        <f t="array" ref="J581">_xlfn.IFS(B581=2015,I581*$G$2,B581=2016,I581*$G$3,B581=2017,I581*$G$4,B581=2018,I581*$G$5,B581=2019,I581*$G$6,B581=2020,I581*$G$7,B581=2021,I581*$G$8,B581=2022,I581*$G$9,B581=2023,I581*$G$10)</f>
        <v>23426.021765491572</v>
      </c>
      <c r="K581" s="8">
        <f t="shared" si="8"/>
        <v>151949.02176549158</v>
      </c>
      <c r="L581">
        <f>IFERROR(VLOOKUP(F581,'LEAID Match'!$A$2:$B$240,2,FALSE),"")</f>
        <v>0</v>
      </c>
    </row>
    <row r="582" spans="1:12" x14ac:dyDescent="0.2">
      <c r="A582">
        <v>0</v>
      </c>
      <c r="B582">
        <v>2023</v>
      </c>
      <c r="C582" s="4" t="s">
        <v>145</v>
      </c>
      <c r="D582" s="4" t="s">
        <v>576</v>
      </c>
      <c r="E582" s="4" t="s">
        <v>578</v>
      </c>
      <c r="F582" s="9" t="s">
        <v>104</v>
      </c>
      <c r="G582" s="8">
        <v>118654</v>
      </c>
      <c r="H582">
        <v>1</v>
      </c>
      <c r="I582" s="16" cm="1">
        <f t="array" ref="I582">_xlfn.IFS(B582=2015,G582/$H$1957,B582=2016,G582/$H$1958,B582=2017,G582/$H$1959,B582=2018,G582/$H$1960,B582=2019,G582/$H$1961,B582=2020,G582/$H$1962,B582=2021,G582/$H$1963,B582=2022,G582/$H$1964,B582=2023,G582/$H$1965)</f>
        <v>1.2013593988991049E-4</v>
      </c>
      <c r="J582" s="10" cm="1">
        <f t="array" ref="J582">_xlfn.IFS(B582=2015,I582*$G$2,B582=2016,I582*$G$3,B582=2017,I582*$G$4,B582=2018,I582*$G$5,B582=2019,I582*$G$6,B582=2020,I582*$G$7,B582=2021,I582*$G$8,B582=2022,I582*$G$9,B582=2023,I582*$G$10)</f>
        <v>20421.346065551261</v>
      </c>
      <c r="K582" s="8">
        <f t="shared" si="8"/>
        <v>139075.34606555128</v>
      </c>
      <c r="L582">
        <f>IFERROR(VLOOKUP(F582,'LEAID Match'!$A$2:$B$240,2,FALSE),"")</f>
        <v>0</v>
      </c>
    </row>
    <row r="583" spans="1:12" x14ac:dyDescent="0.2">
      <c r="A583">
        <v>0</v>
      </c>
      <c r="B583">
        <v>2015</v>
      </c>
      <c r="C583" s="4" t="s">
        <v>146</v>
      </c>
      <c r="D583" s="4" t="s">
        <v>576</v>
      </c>
      <c r="E583" s="4" t="s">
        <v>578</v>
      </c>
      <c r="F583" s="9" t="s">
        <v>105</v>
      </c>
      <c r="G583" s="8">
        <v>92234</v>
      </c>
      <c r="H583">
        <v>1</v>
      </c>
      <c r="I583" s="16" cm="1">
        <f t="array" ref="I583">_xlfn.IFS(B583=2015,G583/$H$1957,B583=2016,G583/$H$1958,B583=2017,G583/$H$1959,B583=2018,G583/$H$1960,B583=2019,G583/$H$1961,B583=2020,G583/$H$1962,B583=2021,G583/$H$1963,B583=2022,G583/$H$1964,B583=2023,G583/$H$1965)</f>
        <v>7.1228489568972902E-5</v>
      </c>
      <c r="J583" s="10" cm="1">
        <f t="array" ref="J583">_xlfn.IFS(B583=2015,I583*$G$2,B583=2016,I583*$G$3,B583=2017,I583*$G$4,B583=2018,I583*$G$5,B583=2019,I583*$G$6,B583=2020,I583*$G$7,B583=2021,I583*$G$8,B583=2022,I583*$G$9,B583=2023,I583*$G$10)</f>
        <v>17710.435059790063</v>
      </c>
      <c r="K583" s="8">
        <f t="shared" si="8"/>
        <v>109944.43505979006</v>
      </c>
      <c r="L583">
        <f>IFERROR(VLOOKUP(F583,'LEAID Match'!$A$2:$B$240,2,FALSE),"")</f>
        <v>0</v>
      </c>
    </row>
    <row r="584" spans="1:12" x14ac:dyDescent="0.2">
      <c r="A584">
        <v>0</v>
      </c>
      <c r="B584">
        <v>2016</v>
      </c>
      <c r="C584" s="4" t="s">
        <v>146</v>
      </c>
      <c r="D584" s="4" t="s">
        <v>576</v>
      </c>
      <c r="E584" s="4" t="s">
        <v>578</v>
      </c>
      <c r="F584" s="9" t="s">
        <v>105</v>
      </c>
      <c r="G584" s="8">
        <v>119086</v>
      </c>
      <c r="H584">
        <v>1</v>
      </c>
      <c r="I584" s="16" cm="1">
        <f t="array" ref="I584">_xlfn.IFS(B584=2015,G584/$H$1957,B584=2016,G584/$H$1958,B584=2017,G584/$H$1959,B584=2018,G584/$H$1960,B584=2019,G584/$H$1961,B584=2020,G584/$H$1962,B584=2021,G584/$H$1963,B584=2022,G584/$H$1964,B584=2023,G584/$H$1965)</f>
        <v>8.3598321089960035E-5</v>
      </c>
      <c r="J584" s="10" cm="1">
        <f t="array" ref="J584">_xlfn.IFS(B584=2015,I584*$G$2,B584=2016,I584*$G$3,B584=2017,I584*$G$4,B584=2018,I584*$G$5,B584=2019,I584*$G$6,B584=2020,I584*$G$7,B584=2021,I584*$G$8,B584=2022,I584*$G$9,B584=2023,I584*$G$10)</f>
        <v>22672.12216242612</v>
      </c>
      <c r="K584" s="8">
        <f t="shared" si="8"/>
        <v>141758.12216242612</v>
      </c>
      <c r="L584">
        <f>IFERROR(VLOOKUP(F584,'LEAID Match'!$A$2:$B$240,2,FALSE),"")</f>
        <v>0</v>
      </c>
    </row>
    <row r="585" spans="1:12" x14ac:dyDescent="0.2">
      <c r="A585">
        <v>0</v>
      </c>
      <c r="B585">
        <v>2017</v>
      </c>
      <c r="C585" s="4" t="s">
        <v>146</v>
      </c>
      <c r="D585" s="4" t="s">
        <v>576</v>
      </c>
      <c r="E585" s="4" t="s">
        <v>578</v>
      </c>
      <c r="F585" s="9" t="s">
        <v>105</v>
      </c>
      <c r="G585" s="8">
        <v>61541</v>
      </c>
      <c r="H585">
        <v>1</v>
      </c>
      <c r="I585" s="16" cm="1">
        <f t="array" ref="I585">_xlfn.IFS(B585=2015,G585/$H$1957,B585=2016,G585/$H$1958,B585=2017,G585/$H$1959,B585=2018,G585/$H$1960,B585=2019,G585/$H$1961,B585=2020,G585/$H$1962,B585=2021,G585/$H$1963,B585=2022,G585/$H$1964,B585=2023,G585/$H$1965)</f>
        <v>8.2108790372755871E-5</v>
      </c>
      <c r="J585" s="10" cm="1">
        <f t="array" ref="J585">_xlfn.IFS(B585=2015,I585*$G$2,B585=2016,I585*$G$3,B585=2017,I585*$G$4,B585=2018,I585*$G$5,B585=2019,I585*$G$6,B585=2020,I585*$G$7,B585=2021,I585*$G$8,B585=2022,I585*$G$9,B585=2023,I585*$G$10)</f>
        <v>12159.210528999874</v>
      </c>
      <c r="K585" s="8">
        <f t="shared" si="8"/>
        <v>73700.210528999873</v>
      </c>
      <c r="L585">
        <f>IFERROR(VLOOKUP(F585,'LEAID Match'!$A$2:$B$240,2,FALSE),"")</f>
        <v>0</v>
      </c>
    </row>
    <row r="586" spans="1:12" x14ac:dyDescent="0.2">
      <c r="A586">
        <v>0</v>
      </c>
      <c r="B586">
        <v>2018</v>
      </c>
      <c r="C586" s="4" t="s">
        <v>146</v>
      </c>
      <c r="D586" s="4" t="s">
        <v>576</v>
      </c>
      <c r="E586" s="4" t="s">
        <v>578</v>
      </c>
      <c r="F586" s="9" t="s">
        <v>105</v>
      </c>
      <c r="G586" s="8">
        <v>69643</v>
      </c>
      <c r="H586">
        <v>1</v>
      </c>
      <c r="I586" s="16" cm="1">
        <f t="array" ref="I586">_xlfn.IFS(B586=2015,G586/$H$1957,B586=2016,G586/$H$1958,B586=2017,G586/$H$1959,B586=2018,G586/$H$1960,B586=2019,G586/$H$1961,B586=2020,G586/$H$1962,B586=2021,G586/$H$1963,B586=2022,G586/$H$1964,B586=2023,G586/$H$1965)</f>
        <v>8.9610375687179937E-5</v>
      </c>
      <c r="J586" s="10" cm="1">
        <f t="array" ref="J586">_xlfn.IFS(B586=2015,I586*$G$2,B586=2016,I586*$G$3,B586=2017,I586*$G$4,B586=2018,I586*$G$5,B586=2019,I586*$G$6,B586=2020,I586*$G$7,B586=2021,I586*$G$8,B586=2022,I586*$G$9,B586=2023,I586*$G$10)</f>
        <v>13488.50537954852</v>
      </c>
      <c r="K586" s="8">
        <f t="shared" si="8"/>
        <v>83131.505379548515</v>
      </c>
      <c r="L586">
        <f>IFERROR(VLOOKUP(F586,'LEAID Match'!$A$2:$B$240,2,FALSE),"")</f>
        <v>0</v>
      </c>
    </row>
    <row r="587" spans="1:12" x14ac:dyDescent="0.2">
      <c r="A587">
        <v>0</v>
      </c>
      <c r="B587">
        <v>2019</v>
      </c>
      <c r="C587" s="4" t="s">
        <v>146</v>
      </c>
      <c r="D587" s="4" t="s">
        <v>576</v>
      </c>
      <c r="E587" s="4" t="s">
        <v>578</v>
      </c>
      <c r="F587" s="9" t="s">
        <v>105</v>
      </c>
      <c r="G587" s="8">
        <v>71890</v>
      </c>
      <c r="H587">
        <v>1</v>
      </c>
      <c r="I587" s="16" cm="1">
        <f t="array" ref="I587">_xlfn.IFS(B587=2015,G587/$H$1957,B587=2016,G587/$H$1958,B587=2017,G587/$H$1959,B587=2018,G587/$H$1960,B587=2019,G587/$H$1961,B587=2020,G587/$H$1962,B587=2021,G587/$H$1963,B587=2022,G587/$H$1964,B587=2023,G587/$H$1965)</f>
        <v>8.9344651253761101E-5</v>
      </c>
      <c r="J587" s="10" cm="1">
        <f t="array" ref="J587">_xlfn.IFS(B587=2015,I587*$G$2,B587=2016,I587*$G$3,B587=2017,I587*$G$4,B587=2018,I587*$G$5,B587=2019,I587*$G$6,B587=2020,I587*$G$7,B587=2021,I587*$G$8,B587=2022,I587*$G$9,B587=2023,I587*$G$10)</f>
        <v>14118.967448376812</v>
      </c>
      <c r="K587" s="8">
        <f t="shared" si="8"/>
        <v>86008.967448376818</v>
      </c>
      <c r="L587">
        <f>IFERROR(VLOOKUP(F587,'LEAID Match'!$A$2:$B$240,2,FALSE),"")</f>
        <v>0</v>
      </c>
    </row>
    <row r="588" spans="1:12" x14ac:dyDescent="0.2">
      <c r="A588">
        <v>0</v>
      </c>
      <c r="B588">
        <v>2020</v>
      </c>
      <c r="C588" s="4" t="s">
        <v>146</v>
      </c>
      <c r="D588" s="4" t="s">
        <v>576</v>
      </c>
      <c r="E588" s="4" t="s">
        <v>578</v>
      </c>
      <c r="F588" s="9" t="s">
        <v>105</v>
      </c>
      <c r="G588" s="8">
        <v>68876</v>
      </c>
      <c r="H588">
        <v>1</v>
      </c>
      <c r="I588" s="16" cm="1">
        <f t="array" ref="I588">_xlfn.IFS(B588=2015,G588/$H$1957,B588=2016,G588/$H$1958,B588=2017,G588/$H$1959,B588=2018,G588/$H$1960,B588=2019,G588/$H$1961,B588=2020,G588/$H$1962,B588=2021,G588/$H$1963,B588=2022,G588/$H$1964,B588=2023,G588/$H$1965)</f>
        <v>7.9218652704624886E-5</v>
      </c>
      <c r="J588" s="10" cm="1">
        <f t="array" ref="J588">_xlfn.IFS(B588=2015,I588*$G$2,B588=2016,I588*$G$3,B588=2017,I588*$G$4,B588=2018,I588*$G$5,B588=2019,I588*$G$6,B588=2020,I588*$G$7,B588=2021,I588*$G$8,B588=2022,I588*$G$9,B588=2023,I588*$G$10)</f>
        <v>13679.785426468257</v>
      </c>
      <c r="K588" s="8">
        <f t="shared" ref="K588:K651" si="9">SUM(G588,J588)</f>
        <v>82555.785426468254</v>
      </c>
      <c r="L588">
        <f>IFERROR(VLOOKUP(F588,'LEAID Match'!$A$2:$B$240,2,FALSE),"")</f>
        <v>0</v>
      </c>
    </row>
    <row r="589" spans="1:12" x14ac:dyDescent="0.2">
      <c r="A589">
        <v>0</v>
      </c>
      <c r="B589">
        <v>2021</v>
      </c>
      <c r="C589" s="4" t="s">
        <v>146</v>
      </c>
      <c r="D589" s="4" t="s">
        <v>576</v>
      </c>
      <c r="E589" s="4" t="s">
        <v>578</v>
      </c>
      <c r="F589" s="9" t="s">
        <v>105</v>
      </c>
      <c r="G589" s="8">
        <v>60762</v>
      </c>
      <c r="H589">
        <v>1</v>
      </c>
      <c r="I589" s="16" cm="1">
        <f t="array" ref="I589">_xlfn.IFS(B589=2015,G589/$H$1957,B589=2016,G589/$H$1958,B589=2017,G589/$H$1959,B589=2018,G589/$H$1960,B589=2019,G589/$H$1961,B589=2020,G589/$H$1962,B589=2021,G589/$H$1963,B589=2022,G589/$H$1964,B589=2023,G589/$H$1965)</f>
        <v>6.9438503180782165E-5</v>
      </c>
      <c r="J589" s="10" cm="1">
        <f t="array" ref="J589">_xlfn.IFS(B589=2015,I589*$G$2,B589=2016,I589*$G$3,B589=2017,I589*$G$4,B589=2018,I589*$G$5,B589=2019,I589*$G$6,B589=2020,I589*$G$7,B589=2021,I589*$G$8,B589=2022,I589*$G$9,B589=2023,I589*$G$10)</f>
        <v>11916.816212461772</v>
      </c>
      <c r="K589" s="8">
        <f t="shared" si="9"/>
        <v>72678.816212461767</v>
      </c>
      <c r="L589">
        <f>IFERROR(VLOOKUP(F589,'LEAID Match'!$A$2:$B$240,2,FALSE),"")</f>
        <v>0</v>
      </c>
    </row>
    <row r="590" spans="1:12" x14ac:dyDescent="0.2">
      <c r="A590">
        <v>0</v>
      </c>
      <c r="B590">
        <v>2022</v>
      </c>
      <c r="C590" s="4" t="s">
        <v>146</v>
      </c>
      <c r="D590" s="4" t="s">
        <v>576</v>
      </c>
      <c r="E590" s="4" t="s">
        <v>578</v>
      </c>
      <c r="F590" s="9" t="s">
        <v>105</v>
      </c>
      <c r="G590" s="8">
        <v>75730</v>
      </c>
      <c r="H590">
        <v>1</v>
      </c>
      <c r="I590" s="16" cm="1">
        <f t="array" ref="I590">_xlfn.IFS(B590=2015,G590/$H$1957,B590=2016,G590/$H$1958,B590=2017,G590/$H$1959,B590=2018,G590/$H$1960,B590=2019,G590/$H$1961,B590=2020,G590/$H$1962,B590=2021,G590/$H$1963,B590=2022,G590/$H$1964,B590=2023,G590/$H$1965)</f>
        <v>8.1394778779561957E-5</v>
      </c>
      <c r="J590" s="10" cm="1">
        <f t="array" ref="J590">_xlfn.IFS(B590=2015,I590*$G$2,B590=2016,I590*$G$3,B590=2017,I590*$G$4,B590=2018,I590*$G$5,B590=2019,I590*$G$6,B590=2020,I590*$G$7,B590=2021,I590*$G$8,B590=2022,I590*$G$9,B590=2023,I590*$G$10)</f>
        <v>13803.386384543443</v>
      </c>
      <c r="K590" s="8">
        <f t="shared" si="9"/>
        <v>89533.386384543439</v>
      </c>
      <c r="L590">
        <f>IFERROR(VLOOKUP(F590,'LEAID Match'!$A$2:$B$240,2,FALSE),"")</f>
        <v>0</v>
      </c>
    </row>
    <row r="591" spans="1:12" x14ac:dyDescent="0.2">
      <c r="A591">
        <v>0</v>
      </c>
      <c r="B591">
        <v>2023</v>
      </c>
      <c r="C591" s="4" t="s">
        <v>146</v>
      </c>
      <c r="D591" s="4" t="s">
        <v>576</v>
      </c>
      <c r="E591" s="4" t="s">
        <v>578</v>
      </c>
      <c r="F591" s="9" t="s">
        <v>105</v>
      </c>
      <c r="G591" s="8">
        <v>75956</v>
      </c>
      <c r="H591">
        <v>1</v>
      </c>
      <c r="I591" s="16" cm="1">
        <f t="array" ref="I591">_xlfn.IFS(B591=2015,G591/$H$1957,B591=2016,G591/$H$1958,B591=2017,G591/$H$1959,B591=2018,G591/$H$1960,B591=2019,G591/$H$1961,B591=2020,G591/$H$1962,B591=2021,G591/$H$1963,B591=2022,G591/$H$1964,B591=2023,G591/$H$1965)</f>
        <v>7.6904659348003788E-5</v>
      </c>
      <c r="J591" s="10" cm="1">
        <f t="array" ref="J591">_xlfn.IFS(B591=2015,I591*$G$2,B591=2016,I591*$G$3,B591=2017,I591*$G$4,B591=2018,I591*$G$5,B591=2019,I591*$G$6,B591=2020,I591*$G$7,B591=2021,I591*$G$8,B591=2022,I591*$G$9,B591=2023,I591*$G$10)</f>
        <v>13072.663051856756</v>
      </c>
      <c r="K591" s="8">
        <f t="shared" si="9"/>
        <v>89028.663051856754</v>
      </c>
      <c r="L591">
        <f>IFERROR(VLOOKUP(F591,'LEAID Match'!$A$2:$B$240,2,FALSE),"")</f>
        <v>0</v>
      </c>
    </row>
    <row r="592" spans="1:12" x14ac:dyDescent="0.2">
      <c r="A592">
        <v>0</v>
      </c>
      <c r="B592">
        <v>2015</v>
      </c>
      <c r="C592" s="4" t="s">
        <v>147</v>
      </c>
      <c r="D592" s="4" t="s">
        <v>576</v>
      </c>
      <c r="E592" s="4" t="s">
        <v>578</v>
      </c>
      <c r="F592" s="9" t="s">
        <v>106</v>
      </c>
      <c r="G592" s="8">
        <v>282362</v>
      </c>
      <c r="H592">
        <v>1</v>
      </c>
      <c r="I592" s="16" cm="1">
        <f t="array" ref="I592">_xlfn.IFS(B592=2015,G592/$H$1957,B592=2016,G592/$H$1958,B592=2017,G592/$H$1959,B592=2018,G592/$H$1960,B592=2019,G592/$H$1961,B592=2020,G592/$H$1962,B592=2021,G592/$H$1963,B592=2022,G592/$H$1964,B592=2023,G592/$H$1965)</f>
        <v>2.1805645176046064E-4</v>
      </c>
      <c r="J592" s="10" cm="1">
        <f t="array" ref="J592">_xlfn.IFS(B592=2015,I592*$G$2,B592=2016,I592*$G$3,B592=2017,I592*$G$4,B592=2018,I592*$G$5,B592=2019,I592*$G$6,B592=2020,I592*$G$7,B592=2021,I592*$G$8,B592=2022,I592*$G$9,B592=2023,I592*$G$10)</f>
        <v>54218.117661084216</v>
      </c>
      <c r="K592" s="8">
        <f t="shared" si="9"/>
        <v>336580.11766108422</v>
      </c>
      <c r="L592">
        <f>IFERROR(VLOOKUP(F592,'LEAID Match'!$A$2:$B$240,2,FALSE),"")</f>
        <v>0</v>
      </c>
    </row>
    <row r="593" spans="1:12" x14ac:dyDescent="0.2">
      <c r="A593">
        <v>0</v>
      </c>
      <c r="B593">
        <v>2016</v>
      </c>
      <c r="C593" s="4" t="s">
        <v>147</v>
      </c>
      <c r="D593" s="4" t="s">
        <v>576</v>
      </c>
      <c r="E593" s="4" t="s">
        <v>578</v>
      </c>
      <c r="F593" s="9" t="s">
        <v>106</v>
      </c>
      <c r="G593" s="8">
        <v>454787</v>
      </c>
      <c r="H593">
        <v>1</v>
      </c>
      <c r="I593" s="16" cm="1">
        <f t="array" ref="I593">_xlfn.IFS(B593=2015,G593/$H$1957,B593=2016,G593/$H$1958,B593=2017,G593/$H$1959,B593=2018,G593/$H$1960,B593=2019,G593/$H$1961,B593=2020,G593/$H$1962,B593=2021,G593/$H$1963,B593=2022,G593/$H$1964,B593=2023,G593/$H$1965)</f>
        <v>3.1926027957559789E-4</v>
      </c>
      <c r="J593" s="10" cm="1">
        <f t="array" ref="J593">_xlfn.IFS(B593=2015,I593*$G$2,B593=2016,I593*$G$3,B593=2017,I593*$G$4,B593=2018,I593*$G$5,B593=2019,I593*$G$6,B593=2020,I593*$G$7,B593=2021,I593*$G$8,B593=2022,I593*$G$9,B593=2023,I593*$G$10)</f>
        <v>86584.371142563235</v>
      </c>
      <c r="K593" s="8">
        <f t="shared" si="9"/>
        <v>541371.37114256318</v>
      </c>
      <c r="L593">
        <f>IFERROR(VLOOKUP(F593,'LEAID Match'!$A$2:$B$240,2,FALSE),"")</f>
        <v>0</v>
      </c>
    </row>
    <row r="594" spans="1:12" x14ac:dyDescent="0.2">
      <c r="A594">
        <v>0</v>
      </c>
      <c r="B594">
        <v>2017</v>
      </c>
      <c r="C594" s="4" t="s">
        <v>147</v>
      </c>
      <c r="D594" s="4" t="s">
        <v>576</v>
      </c>
      <c r="E594" s="4" t="s">
        <v>578</v>
      </c>
      <c r="F594" s="9" t="s">
        <v>106</v>
      </c>
      <c r="G594" s="8">
        <v>256331</v>
      </c>
      <c r="H594">
        <v>1</v>
      </c>
      <c r="I594" s="16" cm="1">
        <f t="array" ref="I594">_xlfn.IFS(B594=2015,G594/$H$1957,B594=2016,G594/$H$1958,B594=2017,G594/$H$1959,B594=2018,G594/$H$1960,B594=2019,G594/$H$1961,B594=2020,G594/$H$1962,B594=2021,G594/$H$1963,B594=2022,G594/$H$1964,B594=2023,G594/$H$1965)</f>
        <v>3.4200010310262888E-4</v>
      </c>
      <c r="J594" s="10" cm="1">
        <f t="array" ref="J594">_xlfn.IFS(B594=2015,I594*$G$2,B594=2016,I594*$G$3,B594=2017,I594*$G$4,B594=2018,I594*$G$5,B594=2019,I594*$G$6,B594=2020,I594*$G$7,B594=2021,I594*$G$8,B594=2022,I594*$G$9,B594=2023,I594*$G$10)</f>
        <v>50645.62802211642</v>
      </c>
      <c r="K594" s="8">
        <f t="shared" si="9"/>
        <v>306976.62802211643</v>
      </c>
      <c r="L594">
        <f>IFERROR(VLOOKUP(F594,'LEAID Match'!$A$2:$B$240,2,FALSE),"")</f>
        <v>0</v>
      </c>
    </row>
    <row r="595" spans="1:12" x14ac:dyDescent="0.2">
      <c r="A595">
        <v>0</v>
      </c>
      <c r="B595">
        <v>2018</v>
      </c>
      <c r="C595" s="4" t="s">
        <v>147</v>
      </c>
      <c r="D595" s="4" t="s">
        <v>576</v>
      </c>
      <c r="E595" s="4" t="s">
        <v>578</v>
      </c>
      <c r="F595" s="9" t="s">
        <v>106</v>
      </c>
      <c r="G595" s="8">
        <v>284246</v>
      </c>
      <c r="H595">
        <v>1</v>
      </c>
      <c r="I595" s="16" cm="1">
        <f t="array" ref="I595">_xlfn.IFS(B595=2015,G595/$H$1957,B595=2016,G595/$H$1958,B595=2017,G595/$H$1959,B595=2018,G595/$H$1960,B595=2019,G595/$H$1961,B595=2020,G595/$H$1962,B595=2021,G595/$H$1963,B595=2022,G595/$H$1964,B595=2023,G595/$H$1965)</f>
        <v>3.6574229782717786E-4</v>
      </c>
      <c r="J595" s="10" cm="1">
        <f t="array" ref="J595">_xlfn.IFS(B595=2015,I595*$G$2,B595=2016,I595*$G$3,B595=2017,I595*$G$4,B595=2018,I595*$G$5,B595=2019,I595*$G$6,B595=2020,I595*$G$7,B595=2021,I595*$G$8,B595=2022,I595*$G$9,B595=2023,I595*$G$10)</f>
        <v>55052.965841723482</v>
      </c>
      <c r="K595" s="8">
        <f t="shared" si="9"/>
        <v>339298.96584172349</v>
      </c>
      <c r="L595">
        <f>IFERROR(VLOOKUP(F595,'LEAID Match'!$A$2:$B$240,2,FALSE),"")</f>
        <v>0</v>
      </c>
    </row>
    <row r="596" spans="1:12" x14ac:dyDescent="0.2">
      <c r="A596">
        <v>0</v>
      </c>
      <c r="B596">
        <v>2019</v>
      </c>
      <c r="C596" s="4" t="s">
        <v>147</v>
      </c>
      <c r="D596" s="4" t="s">
        <v>576</v>
      </c>
      <c r="E596" s="4" t="s">
        <v>578</v>
      </c>
      <c r="F596" s="9" t="s">
        <v>106</v>
      </c>
      <c r="G596" s="8">
        <v>304302</v>
      </c>
      <c r="H596">
        <v>1</v>
      </c>
      <c r="I596" s="16" cm="1">
        <f t="array" ref="I596">_xlfn.IFS(B596=2015,G596/$H$1957,B596=2016,G596/$H$1958,B596=2017,G596/$H$1959,B596=2018,G596/$H$1960,B596=2019,G596/$H$1961,B596=2020,G596/$H$1962,B596=2021,G596/$H$1963,B596=2022,G596/$H$1964,B596=2023,G596/$H$1965)</f>
        <v>3.7818550654920033E-4</v>
      </c>
      <c r="J596" s="10" cm="1">
        <f t="array" ref="J596">_xlfn.IFS(B596=2015,I596*$G$2,B596=2016,I596*$G$3,B596=2017,I596*$G$4,B596=2018,I596*$G$5,B596=2019,I596*$G$6,B596=2020,I596*$G$7,B596=2021,I596*$G$8,B596=2022,I596*$G$9,B596=2023,I596*$G$10)</f>
        <v>59763.945367588829</v>
      </c>
      <c r="K596" s="8">
        <f t="shared" si="9"/>
        <v>364065.94536758884</v>
      </c>
      <c r="L596">
        <f>IFERROR(VLOOKUP(F596,'LEAID Match'!$A$2:$B$240,2,FALSE),"")</f>
        <v>0</v>
      </c>
    </row>
    <row r="597" spans="1:12" x14ac:dyDescent="0.2">
      <c r="A597">
        <v>0</v>
      </c>
      <c r="B597">
        <v>2020</v>
      </c>
      <c r="C597" s="4" t="s">
        <v>147</v>
      </c>
      <c r="D597" s="4" t="s">
        <v>576</v>
      </c>
      <c r="E597" s="4" t="s">
        <v>578</v>
      </c>
      <c r="F597" s="9" t="s">
        <v>106</v>
      </c>
      <c r="G597" s="8">
        <v>373861</v>
      </c>
      <c r="H597">
        <v>1</v>
      </c>
      <c r="I597" s="16" cm="1">
        <f t="array" ref="I597">_xlfn.IFS(B597=2015,G597/$H$1957,B597=2016,G597/$H$1958,B597=2017,G597/$H$1959,B597=2018,G597/$H$1960,B597=2019,G597/$H$1961,B597=2020,G597/$H$1962,B597=2021,G597/$H$1963,B597=2022,G597/$H$1964,B597=2023,G597/$H$1965)</f>
        <v>4.300012300192195E-4</v>
      </c>
      <c r="J597" s="10" cm="1">
        <f t="array" ref="J597">_xlfn.IFS(B597=2015,I597*$G$2,B597=2016,I597*$G$3,B597=2017,I597*$G$4,B597=2018,I597*$G$5,B597=2019,I597*$G$6,B597=2020,I597*$G$7,B597=2021,I597*$G$8,B597=2022,I597*$G$9,B597=2023,I597*$G$10)</f>
        <v>74254.286824508512</v>
      </c>
      <c r="K597" s="8">
        <f t="shared" si="9"/>
        <v>448115.28682450851</v>
      </c>
      <c r="L597">
        <f>IFERROR(VLOOKUP(F597,'LEAID Match'!$A$2:$B$240,2,FALSE),"")</f>
        <v>0</v>
      </c>
    </row>
    <row r="598" spans="1:12" x14ac:dyDescent="0.2">
      <c r="A598">
        <v>0</v>
      </c>
      <c r="B598">
        <v>2021</v>
      </c>
      <c r="C598" s="4" t="s">
        <v>147</v>
      </c>
      <c r="D598" s="4" t="s">
        <v>576</v>
      </c>
      <c r="E598" s="4" t="s">
        <v>578</v>
      </c>
      <c r="F598" s="9" t="s">
        <v>106</v>
      </c>
      <c r="G598" s="8">
        <v>411299</v>
      </c>
      <c r="H598">
        <v>1</v>
      </c>
      <c r="I598" s="16" cm="1">
        <f t="array" ref="I598">_xlfn.IFS(B598=2015,G598/$H$1957,B598=2016,G598/$H$1958,B598=2017,G598/$H$1959,B598=2018,G598/$H$1960,B598=2019,G598/$H$1961,B598=2020,G598/$H$1962,B598=2021,G598/$H$1963,B598=2022,G598/$H$1964,B598=2023,G598/$H$1965)</f>
        <v>4.7003039596709329E-4</v>
      </c>
      <c r="J598" s="10" cm="1">
        <f t="array" ref="J598">_xlfn.IFS(B598=2015,I598*$G$2,B598=2016,I598*$G$3,B598=2017,I598*$G$4,B598=2018,I598*$G$5,B598=2019,I598*$G$6,B598=2020,I598*$G$7,B598=2021,I598*$G$8,B598=2022,I598*$G$9,B598=2023,I598*$G$10)</f>
        <v>80665.129379699705</v>
      </c>
      <c r="K598" s="8">
        <f t="shared" si="9"/>
        <v>491964.12937969971</v>
      </c>
      <c r="L598">
        <f>IFERROR(VLOOKUP(F598,'LEAID Match'!$A$2:$B$240,2,FALSE),"")</f>
        <v>0</v>
      </c>
    </row>
    <row r="599" spans="1:12" x14ac:dyDescent="0.2">
      <c r="A599">
        <v>0</v>
      </c>
      <c r="B599">
        <v>2022</v>
      </c>
      <c r="C599" s="4" t="s">
        <v>147</v>
      </c>
      <c r="D599" s="4" t="s">
        <v>576</v>
      </c>
      <c r="E599" s="4" t="s">
        <v>578</v>
      </c>
      <c r="F599" s="9" t="s">
        <v>106</v>
      </c>
      <c r="G599" s="8">
        <v>483480</v>
      </c>
      <c r="H599">
        <v>1</v>
      </c>
      <c r="I599" s="16" cm="1">
        <f t="array" ref="I599">_xlfn.IFS(B599=2015,G599/$H$1957,B599=2016,G599/$H$1958,B599=2017,G599/$H$1959,B599=2018,G599/$H$1960,B599=2019,G599/$H$1961,B599=2020,G599/$H$1962,B599=2021,G599/$H$1963,B599=2022,G599/$H$1964,B599=2023,G599/$H$1965)</f>
        <v>5.1964541983814364E-4</v>
      </c>
      <c r="J599" s="10" cm="1">
        <f t="array" ref="J599">_xlfn.IFS(B599=2015,I599*$G$2,B599=2016,I599*$G$3,B599=2017,I599*$G$4,B599=2018,I599*$G$5,B599=2019,I599*$G$6,B599=2020,I599*$G$7,B599=2021,I599*$G$8,B599=2022,I599*$G$9,B599=2023,I599*$G$10)</f>
        <v>88124.405773129067</v>
      </c>
      <c r="K599" s="8">
        <f t="shared" si="9"/>
        <v>571604.40577312908</v>
      </c>
      <c r="L599">
        <f>IFERROR(VLOOKUP(F599,'LEAID Match'!$A$2:$B$240,2,FALSE),"")</f>
        <v>0</v>
      </c>
    </row>
    <row r="600" spans="1:12" x14ac:dyDescent="0.2">
      <c r="A600">
        <v>0</v>
      </c>
      <c r="B600">
        <v>2023</v>
      </c>
      <c r="C600" s="4" t="s">
        <v>147</v>
      </c>
      <c r="D600" s="4" t="s">
        <v>576</v>
      </c>
      <c r="E600" s="4" t="s">
        <v>578</v>
      </c>
      <c r="F600" s="9" t="s">
        <v>106</v>
      </c>
      <c r="G600" s="8">
        <v>547835</v>
      </c>
      <c r="H600">
        <v>1</v>
      </c>
      <c r="I600" s="16" cm="1">
        <f t="array" ref="I600">_xlfn.IFS(B600=2015,G600/$H$1957,B600=2016,G600/$H$1958,B600=2017,G600/$H$1959,B600=2018,G600/$H$1960,B600=2019,G600/$H$1961,B600=2020,G600/$H$1962,B600=2021,G600/$H$1963,B600=2022,G600/$H$1964,B600=2023,G600/$H$1965)</f>
        <v>5.5467723489801537E-4</v>
      </c>
      <c r="J600" s="10" cm="1">
        <f t="array" ref="J600">_xlfn.IFS(B600=2015,I600*$G$2,B600=2016,I600*$G$3,B600=2017,I600*$G$4,B600=2018,I600*$G$5,B600=2019,I600*$G$6,B600=2020,I600*$G$7,B600=2021,I600*$G$8,B600=2022,I600*$G$9,B600=2023,I600*$G$10)</f>
        <v>94286.986716177082</v>
      </c>
      <c r="K600" s="8">
        <f t="shared" si="9"/>
        <v>642121.98671617708</v>
      </c>
      <c r="L600">
        <f>IFERROR(VLOOKUP(F600,'LEAID Match'!$A$2:$B$240,2,FALSE),"")</f>
        <v>0</v>
      </c>
    </row>
    <row r="601" spans="1:12" x14ac:dyDescent="0.2">
      <c r="A601">
        <v>0</v>
      </c>
      <c r="B601">
        <v>2015</v>
      </c>
      <c r="C601" s="4" t="s">
        <v>148</v>
      </c>
      <c r="D601" s="4" t="s">
        <v>576</v>
      </c>
      <c r="E601" s="4" t="s">
        <v>578</v>
      </c>
      <c r="F601" s="9" t="s">
        <v>107</v>
      </c>
      <c r="G601" s="8">
        <v>2535762</v>
      </c>
      <c r="H601">
        <v>1</v>
      </c>
      <c r="I601" s="16" cm="1">
        <f t="array" ref="I601">_xlfn.IFS(B601=2015,G601/$H$1957,B601=2016,G601/$H$1958,B601=2017,G601/$H$1959,B601=2018,G601/$H$1960,B601=2019,G601/$H$1961,B601=2020,G601/$H$1962,B601=2021,G601/$H$1963,B601=2022,G601/$H$1964,B601=2023,G601/$H$1965)</f>
        <v>1.9582637331829679E-3</v>
      </c>
      <c r="J601" s="10" cm="1">
        <f t="array" ref="J601">_xlfn.IFS(B601=2015,I601*$G$2,B601=2016,I601*$G$3,B601=2017,I601*$G$4,B601=2018,I601*$G$5,B601=2019,I601*$G$6,B601=2020,I601*$G$7,B601=2021,I601*$G$8,B601=2022,I601*$G$9,B601=2023,I601*$G$10)</f>
        <v>486907.73714772606</v>
      </c>
      <c r="K601" s="8">
        <f t="shared" si="9"/>
        <v>3022669.7371477261</v>
      </c>
      <c r="L601">
        <f>IFERROR(VLOOKUP(F601,'LEAID Match'!$A$2:$B$240,2,FALSE),"")</f>
        <v>0</v>
      </c>
    </row>
    <row r="602" spans="1:12" x14ac:dyDescent="0.2">
      <c r="A602">
        <v>0</v>
      </c>
      <c r="B602">
        <v>2016</v>
      </c>
      <c r="C602" s="4" t="s">
        <v>148</v>
      </c>
      <c r="D602" s="4" t="s">
        <v>576</v>
      </c>
      <c r="E602" s="4" t="s">
        <v>578</v>
      </c>
      <c r="F602" s="9" t="s">
        <v>107</v>
      </c>
      <c r="G602" s="8">
        <v>3936769</v>
      </c>
      <c r="H602">
        <v>1</v>
      </c>
      <c r="I602" s="16" cm="1">
        <f t="array" ref="I602">_xlfn.IFS(B602=2015,G602/$H$1957,B602=2016,G602/$H$1958,B602=2017,G602/$H$1959,B602=2018,G602/$H$1960,B602=2019,G602/$H$1961,B602=2020,G602/$H$1962,B602=2021,G602/$H$1963,B602=2022,G602/$H$1964,B602=2023,G602/$H$1965)</f>
        <v>2.7636101550056334E-3</v>
      </c>
      <c r="J602" s="10" cm="1">
        <f t="array" ref="J602">_xlfn.IFS(B602=2015,I602*$G$2,B602=2016,I602*$G$3,B602=2017,I602*$G$4,B602=2018,I602*$G$5,B602=2019,I602*$G$6,B602=2020,I602*$G$7,B602=2021,I602*$G$8,B602=2022,I602*$G$9,B602=2023,I602*$G$10)</f>
        <v>749499.58595680515</v>
      </c>
      <c r="K602" s="8">
        <f t="shared" si="9"/>
        <v>4686268.5859568054</v>
      </c>
      <c r="L602">
        <f>IFERROR(VLOOKUP(F602,'LEAID Match'!$A$2:$B$240,2,FALSE),"")</f>
        <v>0</v>
      </c>
    </row>
    <row r="603" spans="1:12" x14ac:dyDescent="0.2">
      <c r="A603">
        <v>0</v>
      </c>
      <c r="B603">
        <v>2017</v>
      </c>
      <c r="C603" s="4" t="s">
        <v>148</v>
      </c>
      <c r="D603" s="4" t="s">
        <v>576</v>
      </c>
      <c r="E603" s="4" t="s">
        <v>578</v>
      </c>
      <c r="F603" s="9" t="s">
        <v>107</v>
      </c>
      <c r="G603" s="8">
        <v>2427803</v>
      </c>
      <c r="H603">
        <v>1</v>
      </c>
      <c r="I603" s="16" cm="1">
        <f t="array" ref="I603">_xlfn.IFS(B603=2015,G603/$H$1957,B603=2016,G603/$H$1958,B603=2017,G603/$H$1959,B603=2018,G603/$H$1960,B603=2019,G603/$H$1961,B603=2020,G603/$H$1962,B603=2021,G603/$H$1963,B603=2022,G603/$H$1964,B603=2023,G603/$H$1965)</f>
        <v>3.2392058561503357E-3</v>
      </c>
      <c r="J603" s="10" cm="1">
        <f t="array" ref="J603">_xlfn.IFS(B603=2015,I603*$G$2,B603=2016,I603*$G$3,B603=2017,I603*$G$4,B603=2018,I603*$G$5,B603=2019,I603*$G$6,B603=2020,I603*$G$7,B603=2021,I603*$G$8,B603=2022,I603*$G$9,B603=2023,I603*$G$10)</f>
        <v>479682.93982771615</v>
      </c>
      <c r="K603" s="8">
        <f t="shared" si="9"/>
        <v>2907485.939827716</v>
      </c>
      <c r="L603">
        <f>IFERROR(VLOOKUP(F603,'LEAID Match'!$A$2:$B$240,2,FALSE),"")</f>
        <v>0</v>
      </c>
    </row>
    <row r="604" spans="1:12" x14ac:dyDescent="0.2">
      <c r="A604">
        <v>0</v>
      </c>
      <c r="B604">
        <v>2018</v>
      </c>
      <c r="C604" s="4" t="s">
        <v>148</v>
      </c>
      <c r="D604" s="4" t="s">
        <v>576</v>
      </c>
      <c r="E604" s="4" t="s">
        <v>578</v>
      </c>
      <c r="F604" s="9" t="s">
        <v>107</v>
      </c>
      <c r="G604" s="8">
        <v>2795108</v>
      </c>
      <c r="H604">
        <v>1</v>
      </c>
      <c r="I604" s="16" cm="1">
        <f t="array" ref="I604">_xlfn.IFS(B604=2015,G604/$H$1957,B604=2016,G604/$H$1958,B604=2017,G604/$H$1959,B604=2018,G604/$H$1960,B604=2019,G604/$H$1961,B604=2020,G604/$H$1962,B604=2021,G604/$H$1963,B604=2022,G604/$H$1964,B604=2023,G604/$H$1965)</f>
        <v>3.5964946651672407E-3</v>
      </c>
      <c r="J604" s="10" cm="1">
        <f t="array" ref="J604">_xlfn.IFS(B604=2015,I604*$G$2,B604=2016,I604*$G$3,B604=2017,I604*$G$4,B604=2018,I604*$G$5,B604=2019,I604*$G$6,B604=2020,I604*$G$7,B604=2021,I604*$G$8,B604=2022,I604*$G$9,B604=2023,I604*$G$10)</f>
        <v>541358.4896460392</v>
      </c>
      <c r="K604" s="8">
        <f t="shared" si="9"/>
        <v>3336466.489646039</v>
      </c>
      <c r="L604">
        <f>IFERROR(VLOOKUP(F604,'LEAID Match'!$A$2:$B$240,2,FALSE),"")</f>
        <v>0</v>
      </c>
    </row>
    <row r="605" spans="1:12" x14ac:dyDescent="0.2">
      <c r="A605">
        <v>0</v>
      </c>
      <c r="B605">
        <v>2019</v>
      </c>
      <c r="C605" s="4" t="s">
        <v>148</v>
      </c>
      <c r="D605" s="4" t="s">
        <v>576</v>
      </c>
      <c r="E605" s="4" t="s">
        <v>578</v>
      </c>
      <c r="F605" s="9" t="s">
        <v>107</v>
      </c>
      <c r="G605" s="8">
        <v>3540135</v>
      </c>
      <c r="H605">
        <v>1</v>
      </c>
      <c r="I605" s="16" cm="1">
        <f t="array" ref="I605">_xlfn.IFS(B605=2015,G605/$H$1957,B605=2016,G605/$H$1958,B605=2017,G605/$H$1959,B605=2018,G605/$H$1960,B605=2019,G605/$H$1961,B605=2020,G605/$H$1962,B605=2021,G605/$H$1963,B605=2022,G605/$H$1964,B605=2023,G605/$H$1965)</f>
        <v>4.3996679227463285E-3</v>
      </c>
      <c r="J605" s="10" cm="1">
        <f t="array" ref="J605">_xlfn.IFS(B605=2015,I605*$G$2,B605=2016,I605*$G$3,B605=2017,I605*$G$4,B605=2018,I605*$G$5,B605=2019,I605*$G$6,B605=2020,I605*$G$7,B605=2021,I605*$G$8,B605=2022,I605*$G$9,B605=2023,I605*$G$10)</f>
        <v>695271.25925524335</v>
      </c>
      <c r="K605" s="8">
        <f t="shared" si="9"/>
        <v>4235406.2592552435</v>
      </c>
      <c r="L605">
        <f>IFERROR(VLOOKUP(F605,'LEAID Match'!$A$2:$B$240,2,FALSE),"")</f>
        <v>0</v>
      </c>
    </row>
    <row r="606" spans="1:12" x14ac:dyDescent="0.2">
      <c r="A606">
        <v>0</v>
      </c>
      <c r="B606">
        <v>2020</v>
      </c>
      <c r="C606" s="4" t="s">
        <v>148</v>
      </c>
      <c r="D606" s="4" t="s">
        <v>576</v>
      </c>
      <c r="E606" s="4" t="s">
        <v>578</v>
      </c>
      <c r="F606" s="9" t="s">
        <v>107</v>
      </c>
      <c r="G606" s="8">
        <v>4143021</v>
      </c>
      <c r="H606">
        <v>1</v>
      </c>
      <c r="I606" s="16" cm="1">
        <f t="array" ref="I606">_xlfn.IFS(B606=2015,G606/$H$1957,B606=2016,G606/$H$1958,B606=2017,G606/$H$1959,B606=2018,G606/$H$1960,B606=2019,G606/$H$1961,B606=2020,G606/$H$1962,B606=2021,G606/$H$1963,B606=2022,G606/$H$1964,B606=2023,G606/$H$1965)</f>
        <v>4.7651510213567519E-3</v>
      </c>
      <c r="J606" s="10" cm="1">
        <f t="array" ref="J606">_xlfn.IFS(B606=2015,I606*$G$2,B606=2016,I606*$G$3,B606=2017,I606*$G$4,B606=2018,I606*$G$5,B606=2019,I606*$G$6,B606=2020,I606*$G$7,B606=2021,I606*$G$8,B606=2022,I606*$G$9,B606=2023,I606*$G$10)</f>
        <v>822864.83386596106</v>
      </c>
      <c r="K606" s="8">
        <f t="shared" si="9"/>
        <v>4965885.8338659611</v>
      </c>
      <c r="L606">
        <f>IFERROR(VLOOKUP(F606,'LEAID Match'!$A$2:$B$240,2,FALSE),"")</f>
        <v>0</v>
      </c>
    </row>
    <row r="607" spans="1:12" x14ac:dyDescent="0.2">
      <c r="A607">
        <v>0</v>
      </c>
      <c r="B607">
        <v>2021</v>
      </c>
      <c r="C607" s="4" t="s">
        <v>148</v>
      </c>
      <c r="D607" s="4" t="s">
        <v>576</v>
      </c>
      <c r="E607" s="4" t="s">
        <v>578</v>
      </c>
      <c r="F607" s="9" t="s">
        <v>107</v>
      </c>
      <c r="G607" s="8">
        <v>4168624</v>
      </c>
      <c r="H607">
        <v>1</v>
      </c>
      <c r="I607" s="16" cm="1">
        <f t="array" ref="I607">_xlfn.IFS(B607=2015,G607/$H$1957,B607=2016,G607/$H$1958,B607=2017,G607/$H$1959,B607=2018,G607/$H$1960,B607=2019,G607/$H$1961,B607=2020,G607/$H$1962,B607=2021,G607/$H$1963,B607=2022,G607/$H$1964,B607=2023,G607/$H$1965)</f>
        <v>4.7638822106494992E-3</v>
      </c>
      <c r="J607" s="10" cm="1">
        <f t="array" ref="J607">_xlfn.IFS(B607=2015,I607*$G$2,B607=2016,I607*$G$3,B607=2017,I607*$G$4,B607=2018,I607*$G$5,B607=2019,I607*$G$6,B607=2020,I607*$G$7,B607=2021,I607*$G$8,B607=2022,I607*$G$9,B607=2023,I607*$G$10)</f>
        <v>817562.39206835255</v>
      </c>
      <c r="K607" s="8">
        <f t="shared" si="9"/>
        <v>4986186.3920683526</v>
      </c>
      <c r="L607">
        <f>IFERROR(VLOOKUP(F607,'LEAID Match'!$A$2:$B$240,2,FALSE),"")</f>
        <v>0</v>
      </c>
    </row>
    <row r="608" spans="1:12" x14ac:dyDescent="0.2">
      <c r="A608">
        <v>0</v>
      </c>
      <c r="B608">
        <v>2022</v>
      </c>
      <c r="C608" s="4" t="s">
        <v>148</v>
      </c>
      <c r="D608" s="4" t="s">
        <v>576</v>
      </c>
      <c r="E608" s="4" t="s">
        <v>578</v>
      </c>
      <c r="F608" s="9" t="s">
        <v>107</v>
      </c>
      <c r="G608" s="8">
        <v>4634282</v>
      </c>
      <c r="H608">
        <v>1</v>
      </c>
      <c r="I608" s="16" cm="1">
        <f t="array" ref="I608">_xlfn.IFS(B608=2015,G608/$H$1957,B608=2016,G608/$H$1958,B608=2017,G608/$H$1959,B608=2018,G608/$H$1960,B608=2019,G608/$H$1961,B608=2020,G608/$H$1962,B608=2021,G608/$H$1963,B608=2022,G608/$H$1964,B608=2023,G608/$H$1965)</f>
        <v>4.980936989199867E-3</v>
      </c>
      <c r="J608" s="10" cm="1">
        <f t="array" ref="J608">_xlfn.IFS(B608=2015,I608*$G$2,B608=2016,I608*$G$3,B608=2017,I608*$G$4,B608=2018,I608*$G$5,B608=2019,I608*$G$6,B608=2020,I608*$G$7,B608=2021,I608*$G$8,B608=2022,I608*$G$9,B608=2023,I608*$G$10)</f>
        <v>844695.43194156548</v>
      </c>
      <c r="K608" s="8">
        <f t="shared" si="9"/>
        <v>5478977.4319415651</v>
      </c>
      <c r="L608">
        <f>IFERROR(VLOOKUP(F608,'LEAID Match'!$A$2:$B$240,2,FALSE),"")</f>
        <v>0</v>
      </c>
    </row>
    <row r="609" spans="1:12" x14ac:dyDescent="0.2">
      <c r="A609">
        <v>0</v>
      </c>
      <c r="B609">
        <v>2023</v>
      </c>
      <c r="C609" s="4" t="s">
        <v>148</v>
      </c>
      <c r="D609" s="4" t="s">
        <v>576</v>
      </c>
      <c r="E609" s="4" t="s">
        <v>578</v>
      </c>
      <c r="F609" s="9" t="s">
        <v>107</v>
      </c>
      <c r="G609" s="8">
        <v>4951267</v>
      </c>
      <c r="H609">
        <v>1</v>
      </c>
      <c r="I609" s="16" cm="1">
        <f t="array" ref="I609">_xlfn.IFS(B609=2015,G609/$H$1957,B609=2016,G609/$H$1958,B609=2017,G609/$H$1959,B609=2018,G609/$H$1960,B609=2019,G609/$H$1961,B609=2020,G609/$H$1962,B609=2021,G609/$H$1963,B609=2022,G609/$H$1964,B609=2023,G609/$H$1965)</f>
        <v>5.013106298067469E-3</v>
      </c>
      <c r="J609" s="10" cm="1">
        <f t="array" ref="J609">_xlfn.IFS(B609=2015,I609*$G$2,B609=2016,I609*$G$3,B609=2017,I609*$G$4,B609=2018,I609*$G$5,B609=2019,I609*$G$6,B609=2020,I609*$G$7,B609=2021,I609*$G$8,B609=2022,I609*$G$9,B609=2023,I609*$G$10)</f>
        <v>852154.47325790778</v>
      </c>
      <c r="K609" s="8">
        <f t="shared" si="9"/>
        <v>5803421.4732579077</v>
      </c>
      <c r="L609">
        <f>IFERROR(VLOOKUP(F609,'LEAID Match'!$A$2:$B$240,2,FALSE),"")</f>
        <v>0</v>
      </c>
    </row>
    <row r="610" spans="1:12" x14ac:dyDescent="0.2">
      <c r="A610">
        <v>0</v>
      </c>
      <c r="B610">
        <v>2015</v>
      </c>
      <c r="C610" s="4" t="s">
        <v>149</v>
      </c>
      <c r="D610" s="4" t="s">
        <v>576</v>
      </c>
      <c r="E610" s="4" t="s">
        <v>578</v>
      </c>
      <c r="F610" s="9" t="s">
        <v>108</v>
      </c>
      <c r="G610" s="8">
        <v>261068</v>
      </c>
      <c r="H610">
        <v>1</v>
      </c>
      <c r="I610" s="16" cm="1">
        <f t="array" ref="I610">_xlfn.IFS(B610=2015,G610/$H$1957,B610=2016,G610/$H$1958,B610=2017,G610/$H$1959,B610=2018,G610/$H$1960,B610=2019,G610/$H$1961,B610=2020,G610/$H$1962,B610=2021,G610/$H$1963,B610=2022,G610/$H$1964,B610=2023,G610/$H$1965)</f>
        <v>2.0161197947386668E-4</v>
      </c>
      <c r="J610" s="10" cm="1">
        <f t="array" ref="J610">_xlfn.IFS(B610=2015,I610*$G$2,B610=2016,I610*$G$3,B610=2017,I610*$G$4,B610=2018,I610*$G$5,B610=2019,I610*$G$6,B610=2020,I610*$G$7,B610=2021,I610*$G$8,B610=2022,I610*$G$9,B610=2023,I610*$G$10)</f>
        <v>50129.321727229355</v>
      </c>
      <c r="K610" s="8">
        <f t="shared" si="9"/>
        <v>311197.32172722934</v>
      </c>
      <c r="L610">
        <f>IFERROR(VLOOKUP(F610,'LEAID Match'!$A$2:$B$240,2,FALSE),"")</f>
        <v>0</v>
      </c>
    </row>
    <row r="611" spans="1:12" x14ac:dyDescent="0.2">
      <c r="A611">
        <v>0</v>
      </c>
      <c r="B611">
        <v>2016</v>
      </c>
      <c r="C611" s="4" t="s">
        <v>149</v>
      </c>
      <c r="D611" s="4" t="s">
        <v>576</v>
      </c>
      <c r="E611" s="4" t="s">
        <v>578</v>
      </c>
      <c r="F611" s="9" t="s">
        <v>108</v>
      </c>
      <c r="G611" s="8">
        <v>289714</v>
      </c>
      <c r="H611">
        <v>1</v>
      </c>
      <c r="I611" s="16" cm="1">
        <f t="array" ref="I611">_xlfn.IFS(B611=2015,G611/$H$1957,B611=2016,G611/$H$1958,B611=2017,G611/$H$1959,B611=2018,G611/$H$1960,B611=2019,G611/$H$1961,B611=2020,G611/$H$1962,B611=2021,G611/$H$1963,B611=2022,G611/$H$1964,B611=2023,G611/$H$1965)</f>
        <v>2.0337910414537964E-4</v>
      </c>
      <c r="J611" s="10" cm="1">
        <f t="array" ref="J611">_xlfn.IFS(B611=2015,I611*$G$2,B611=2016,I611*$G$3,B611=2017,I611*$G$4,B611=2018,I611*$G$5,B611=2019,I611*$G$6,B611=2020,I611*$G$7,B611=2021,I611*$G$8,B611=2022,I611*$G$9,B611=2023,I611*$G$10)</f>
        <v>55157.039451867728</v>
      </c>
      <c r="K611" s="8">
        <f t="shared" si="9"/>
        <v>344871.03945186775</v>
      </c>
      <c r="L611">
        <f>IFERROR(VLOOKUP(F611,'LEAID Match'!$A$2:$B$240,2,FALSE),"")</f>
        <v>0</v>
      </c>
    </row>
    <row r="612" spans="1:12" x14ac:dyDescent="0.2">
      <c r="A612">
        <v>0</v>
      </c>
      <c r="B612">
        <v>2017</v>
      </c>
      <c r="C612" s="4" t="s">
        <v>149</v>
      </c>
      <c r="D612" s="4" t="s">
        <v>576</v>
      </c>
      <c r="E612" s="4" t="s">
        <v>578</v>
      </c>
      <c r="F612" s="9" t="s">
        <v>108</v>
      </c>
      <c r="G612" s="8">
        <v>143496</v>
      </c>
      <c r="H612">
        <v>1</v>
      </c>
      <c r="I612" s="16" cm="1">
        <f t="array" ref="I612">_xlfn.IFS(B612=2015,G612/$H$1957,B612=2016,G612/$H$1958,B612=2017,G612/$H$1959,B612=2018,G612/$H$1960,B612=2019,G612/$H$1961,B612=2020,G612/$H$1962,B612=2021,G612/$H$1963,B612=2022,G612/$H$1964,B612=2023,G612/$H$1965)</f>
        <v>1.914542009933049E-4</v>
      </c>
      <c r="J612" s="10" cm="1">
        <f t="array" ref="J612">_xlfn.IFS(B612=2015,I612*$G$2,B612=2016,I612*$G$3,B612=2017,I612*$G$4,B612=2018,I612*$G$5,B612=2019,I612*$G$6,B612=2020,I612*$G$7,B612=2021,I612*$G$8,B612=2022,I612*$G$9,B612=2023,I612*$G$10)</f>
        <v>28351.799191910533</v>
      </c>
      <c r="K612" s="8">
        <f t="shared" si="9"/>
        <v>171847.79919191054</v>
      </c>
      <c r="L612">
        <f>IFERROR(VLOOKUP(F612,'LEAID Match'!$A$2:$B$240,2,FALSE),"")</f>
        <v>0</v>
      </c>
    </row>
    <row r="613" spans="1:12" x14ac:dyDescent="0.2">
      <c r="A613">
        <v>0</v>
      </c>
      <c r="B613">
        <v>2018</v>
      </c>
      <c r="C613" s="4" t="s">
        <v>149</v>
      </c>
      <c r="D613" s="4" t="s">
        <v>576</v>
      </c>
      <c r="E613" s="4" t="s">
        <v>578</v>
      </c>
      <c r="F613" s="9" t="s">
        <v>108</v>
      </c>
      <c r="G613" s="8">
        <v>178475</v>
      </c>
      <c r="H613">
        <v>1</v>
      </c>
      <c r="I613" s="16" cm="1">
        <f t="array" ref="I613">_xlfn.IFS(B613=2015,G613/$H$1957,B613=2016,G613/$H$1958,B613=2017,G613/$H$1959,B613=2018,G613/$H$1960,B613=2019,G613/$H$1961,B613=2020,G613/$H$1962,B613=2021,G613/$H$1963,B613=2022,G613/$H$1964,B613=2023,G613/$H$1965)</f>
        <v>2.2964564709690048E-4</v>
      </c>
      <c r="J613" s="10" cm="1">
        <f t="array" ref="J613">_xlfn.IFS(B613=2015,I613*$G$2,B613=2016,I613*$G$3,B613=2017,I613*$G$4,B613=2018,I613*$G$5,B613=2019,I613*$G$6,B613=2020,I613*$G$7,B613=2021,I613*$G$8,B613=2022,I613*$G$9,B613=2023,I613*$G$10)</f>
        <v>34567.163930544666</v>
      </c>
      <c r="K613" s="8">
        <f t="shared" si="9"/>
        <v>213042.16393054466</v>
      </c>
      <c r="L613">
        <f>IFERROR(VLOOKUP(F613,'LEAID Match'!$A$2:$B$240,2,FALSE),"")</f>
        <v>0</v>
      </c>
    </row>
    <row r="614" spans="1:12" x14ac:dyDescent="0.2">
      <c r="A614">
        <v>0</v>
      </c>
      <c r="B614">
        <v>2019</v>
      </c>
      <c r="C614" s="4" t="s">
        <v>149</v>
      </c>
      <c r="D614" s="4" t="s">
        <v>576</v>
      </c>
      <c r="E614" s="4" t="s">
        <v>578</v>
      </c>
      <c r="F614" s="9" t="s">
        <v>108</v>
      </c>
      <c r="G614" s="8">
        <v>207807</v>
      </c>
      <c r="H614">
        <v>1</v>
      </c>
      <c r="I614" s="16" cm="1">
        <f t="array" ref="I614">_xlfn.IFS(B614=2015,G614/$H$1957,B614=2016,G614/$H$1958,B614=2017,G614/$H$1959,B614=2018,G614/$H$1960,B614=2019,G614/$H$1961,B614=2020,G614/$H$1962,B614=2021,G614/$H$1963,B614=2022,G614/$H$1964,B614=2023,G614/$H$1965)</f>
        <v>2.5826184369300784E-4</v>
      </c>
      <c r="J614" s="10" cm="1">
        <f t="array" ref="J614">_xlfn.IFS(B614=2015,I614*$G$2,B614=2016,I614*$G$3,B614=2017,I614*$G$4,B614=2018,I614*$G$5,B614=2019,I614*$G$6,B614=2020,I614*$G$7,B614=2021,I614*$G$8,B614=2022,I614*$G$9,B614=2023,I614*$G$10)</f>
        <v>40812.634143063573</v>
      </c>
      <c r="K614" s="8">
        <f t="shared" si="9"/>
        <v>248619.63414306357</v>
      </c>
      <c r="L614">
        <f>IFERROR(VLOOKUP(F614,'LEAID Match'!$A$2:$B$240,2,FALSE),"")</f>
        <v>0</v>
      </c>
    </row>
    <row r="615" spans="1:12" x14ac:dyDescent="0.2">
      <c r="A615">
        <v>0</v>
      </c>
      <c r="B615">
        <v>2020</v>
      </c>
      <c r="C615" s="4" t="s">
        <v>149</v>
      </c>
      <c r="D615" s="4" t="s">
        <v>576</v>
      </c>
      <c r="E615" s="4" t="s">
        <v>578</v>
      </c>
      <c r="F615" s="9" t="s">
        <v>108</v>
      </c>
      <c r="G615" s="8">
        <v>173957</v>
      </c>
      <c r="H615">
        <v>1</v>
      </c>
      <c r="I615" s="16" cm="1">
        <f t="array" ref="I615">_xlfn.IFS(B615=2015,G615/$H$1957,B615=2016,G615/$H$1958,B615=2017,G615/$H$1959,B615=2018,G615/$H$1960,B615=2019,G615/$H$1961,B615=2020,G615/$H$1962,B615=2021,G615/$H$1963,B615=2022,G615/$H$1964,B615=2023,G615/$H$1965)</f>
        <v>2.0007897044744803E-4</v>
      </c>
      <c r="J615" s="10" cm="1">
        <f t="array" ref="J615">_xlfn.IFS(B615=2015,I615*$G$2,B615=2016,I615*$G$3,B615=2017,I615*$G$4,B615=2018,I615*$G$5,B615=2019,I615*$G$6,B615=2020,I615*$G$7,B615=2021,I615*$G$8,B615=2022,I615*$G$9,B615=2023,I615*$G$10)</f>
        <v>34550.415724376246</v>
      </c>
      <c r="K615" s="8">
        <f t="shared" si="9"/>
        <v>208507.41572437625</v>
      </c>
      <c r="L615">
        <f>IFERROR(VLOOKUP(F615,'LEAID Match'!$A$2:$B$240,2,FALSE),"")</f>
        <v>0</v>
      </c>
    </row>
    <row r="616" spans="1:12" x14ac:dyDescent="0.2">
      <c r="A616">
        <v>0</v>
      </c>
      <c r="B616">
        <v>2021</v>
      </c>
      <c r="C616" s="4" t="s">
        <v>149</v>
      </c>
      <c r="D616" s="4" t="s">
        <v>576</v>
      </c>
      <c r="E616" s="4" t="s">
        <v>578</v>
      </c>
      <c r="F616" s="9" t="s">
        <v>108</v>
      </c>
      <c r="G616" s="8">
        <v>212028</v>
      </c>
      <c r="H616">
        <v>1</v>
      </c>
      <c r="I616" s="16" cm="1">
        <f t="array" ref="I616">_xlfn.IFS(B616=2015,G616/$H$1957,B616=2016,G616/$H$1958,B616=2017,G616/$H$1959,B616=2018,G616/$H$1960,B616=2019,G616/$H$1961,B616=2020,G616/$H$1962,B616=2021,G616/$H$1963,B616=2022,G616/$H$1964,B616=2023,G616/$H$1965)</f>
        <v>2.4230451519724301E-4</v>
      </c>
      <c r="J616" s="10" cm="1">
        <f t="array" ref="J616">_xlfn.IFS(B616=2015,I616*$G$2,B616=2016,I616*$G$3,B616=2017,I616*$G$4,B616=2018,I616*$G$5,B616=2019,I616*$G$6,B616=2020,I616*$G$7,B616=2021,I616*$G$8,B616=2022,I616*$G$9,B616=2023,I616*$G$10)</f>
        <v>41583.534246664763</v>
      </c>
      <c r="K616" s="8">
        <f t="shared" si="9"/>
        <v>253611.53424666476</v>
      </c>
      <c r="L616">
        <f>IFERROR(VLOOKUP(F616,'LEAID Match'!$A$2:$B$240,2,FALSE),"")</f>
        <v>0</v>
      </c>
    </row>
    <row r="617" spans="1:12" x14ac:dyDescent="0.2">
      <c r="A617">
        <v>0</v>
      </c>
      <c r="B617">
        <v>2022</v>
      </c>
      <c r="C617" s="4" t="s">
        <v>149</v>
      </c>
      <c r="D617" s="4" t="s">
        <v>576</v>
      </c>
      <c r="E617" s="4" t="s">
        <v>578</v>
      </c>
      <c r="F617" s="9" t="s">
        <v>108</v>
      </c>
      <c r="G617" s="8">
        <v>220225</v>
      </c>
      <c r="H617">
        <v>1</v>
      </c>
      <c r="I617" s="16" cm="1">
        <f t="array" ref="I617">_xlfn.IFS(B617=2015,G617/$H$1957,B617=2016,G617/$H$1958,B617=2017,G617/$H$1959,B617=2018,G617/$H$1960,B617=2019,G617/$H$1961,B617=2020,G617/$H$1962,B617=2021,G617/$H$1963,B617=2022,G617/$H$1964,B617=2023,G617/$H$1965)</f>
        <v>2.366983382639513E-4</v>
      </c>
      <c r="J617" s="10" cm="1">
        <f t="array" ref="J617">_xlfn.IFS(B617=2015,I617*$G$2,B617=2016,I617*$G$3,B617=2017,I617*$G$4,B617=2018,I617*$G$5,B617=2019,I617*$G$6,B617=2020,I617*$G$7,B617=2021,I617*$G$8,B617=2022,I617*$G$9,B617=2023,I617*$G$10)</f>
        <v>40140.641311713713</v>
      </c>
      <c r="K617" s="8">
        <f t="shared" si="9"/>
        <v>260365.64131171373</v>
      </c>
      <c r="L617">
        <f>IFERROR(VLOOKUP(F617,'LEAID Match'!$A$2:$B$240,2,FALSE),"")</f>
        <v>0</v>
      </c>
    </row>
    <row r="618" spans="1:12" x14ac:dyDescent="0.2">
      <c r="A618">
        <v>0</v>
      </c>
      <c r="B618">
        <v>2023</v>
      </c>
      <c r="C618" s="4" t="s">
        <v>149</v>
      </c>
      <c r="D618" s="4" t="s">
        <v>576</v>
      </c>
      <c r="E618" s="4" t="s">
        <v>578</v>
      </c>
      <c r="F618" s="9" t="s">
        <v>108</v>
      </c>
      <c r="G618" s="8">
        <v>227437</v>
      </c>
      <c r="H618">
        <v>1</v>
      </c>
      <c r="I618" s="16" cm="1">
        <f t="array" ref="I618">_xlfn.IFS(B618=2015,G618/$H$1957,B618=2016,G618/$H$1958,B618=2017,G618/$H$1959,B618=2018,G618/$H$1960,B618=2019,G618/$H$1961,B618=2020,G618/$H$1962,B618=2021,G618/$H$1963,B618=2022,G618/$H$1964,B618=2023,G618/$H$1965)</f>
        <v>2.3027759503043785E-4</v>
      </c>
      <c r="J618" s="10" cm="1">
        <f t="array" ref="J618">_xlfn.IFS(B618=2015,I618*$G$2,B618=2016,I618*$G$3,B618=2017,I618*$G$4,B618=2018,I618*$G$5,B618=2019,I618*$G$6,B618=2020,I618*$G$7,B618=2021,I618*$G$8,B618=2022,I618*$G$9,B618=2023,I618*$G$10)</f>
        <v>39143.810449801793</v>
      </c>
      <c r="K618" s="8">
        <f t="shared" si="9"/>
        <v>266580.81044980179</v>
      </c>
      <c r="L618">
        <f>IFERROR(VLOOKUP(F618,'LEAID Match'!$A$2:$B$240,2,FALSE),"")</f>
        <v>0</v>
      </c>
    </row>
    <row r="619" spans="1:12" x14ac:dyDescent="0.2">
      <c r="A619">
        <v>0</v>
      </c>
      <c r="B619">
        <v>2015</v>
      </c>
      <c r="C619" s="4" t="s">
        <v>150</v>
      </c>
      <c r="D619" s="4" t="s">
        <v>576</v>
      </c>
      <c r="E619" s="4" t="s">
        <v>578</v>
      </c>
      <c r="F619" s="9" t="s">
        <v>109</v>
      </c>
      <c r="G619" s="8">
        <v>246980</v>
      </c>
      <c r="H619">
        <v>1</v>
      </c>
      <c r="I619" s="16" cm="1">
        <f t="array" ref="I619">_xlfn.IFS(B619=2015,G619/$H$1957,B619=2016,G619/$H$1958,B619=2017,G619/$H$1959,B619=2018,G619/$H$1960,B619=2019,G619/$H$1961,B619=2020,G619/$H$1962,B619=2021,G619/$H$1963,B619=2022,G619/$H$1964,B619=2023,G619/$H$1965)</f>
        <v>1.907324018663934E-4</v>
      </c>
      <c r="J619" s="10" cm="1">
        <f t="array" ref="J619">_xlfn.IFS(B619=2015,I619*$G$2,B619=2016,I619*$G$3,B619=2017,I619*$G$4,B619=2018,I619*$G$5,B619=2019,I619*$G$6,B619=2020,I619*$G$7,B619=2021,I619*$G$8,B619=2022,I619*$G$9,B619=2023,I619*$G$10)</f>
        <v>47424.195535994862</v>
      </c>
      <c r="K619" s="8">
        <f t="shared" si="9"/>
        <v>294404.19553599483</v>
      </c>
      <c r="L619">
        <f>IFERROR(VLOOKUP(F619,'LEAID Match'!$A$2:$B$240,2,FALSE),"")</f>
        <v>0</v>
      </c>
    </row>
    <row r="620" spans="1:12" x14ac:dyDescent="0.2">
      <c r="A620">
        <v>0</v>
      </c>
      <c r="B620">
        <v>2016</v>
      </c>
      <c r="C620" s="4" t="s">
        <v>150</v>
      </c>
      <c r="D620" s="4" t="s">
        <v>576</v>
      </c>
      <c r="E620" s="4" t="s">
        <v>578</v>
      </c>
      <c r="F620" s="9" t="s">
        <v>109</v>
      </c>
      <c r="G620" s="8">
        <v>307447</v>
      </c>
      <c r="H620">
        <v>1</v>
      </c>
      <c r="I620" s="16" cm="1">
        <f t="array" ref="I620">_xlfn.IFS(B620=2015,G620/$H$1957,B620=2016,G620/$H$1958,B620=2017,G620/$H$1959,B620=2018,G620/$H$1960,B620=2019,G620/$H$1961,B620=2020,G620/$H$1962,B620=2021,G620/$H$1963,B620=2022,G620/$H$1964,B620=2023,G620/$H$1965)</f>
        <v>2.1582766256440675E-4</v>
      </c>
      <c r="J620" s="10" cm="1">
        <f t="array" ref="J620">_xlfn.IFS(B620=2015,I620*$G$2,B620=2016,I620*$G$3,B620=2017,I620*$G$4,B620=2018,I620*$G$5,B620=2019,I620*$G$6,B620=2020,I620*$G$7,B620=2021,I620*$G$8,B620=2022,I620*$G$9,B620=2023,I620*$G$10)</f>
        <v>58533.126836667805</v>
      </c>
      <c r="K620" s="8">
        <f t="shared" si="9"/>
        <v>365980.12683666783</v>
      </c>
      <c r="L620">
        <f>IFERROR(VLOOKUP(F620,'LEAID Match'!$A$2:$B$240,2,FALSE),"")</f>
        <v>0</v>
      </c>
    </row>
    <row r="621" spans="1:12" x14ac:dyDescent="0.2">
      <c r="A621">
        <v>0</v>
      </c>
      <c r="B621">
        <v>2017</v>
      </c>
      <c r="C621" s="4" t="s">
        <v>150</v>
      </c>
      <c r="D621" s="4" t="s">
        <v>576</v>
      </c>
      <c r="E621" s="4" t="s">
        <v>578</v>
      </c>
      <c r="F621" s="9" t="s">
        <v>109</v>
      </c>
      <c r="G621" s="8">
        <v>154380</v>
      </c>
      <c r="H621">
        <v>1</v>
      </c>
      <c r="I621" s="16" cm="1">
        <f t="array" ref="I621">_xlfn.IFS(B621=2015,G621/$H$1957,B621=2016,G621/$H$1958,B621=2017,G621/$H$1959,B621=2018,G621/$H$1960,B621=2019,G621/$H$1961,B621=2020,G621/$H$1962,B621=2021,G621/$H$1963,B621=2022,G621/$H$1964,B621=2023,G621/$H$1965)</f>
        <v>2.0597577318772934E-4</v>
      </c>
      <c r="J621" s="10" cm="1">
        <f t="array" ref="J621">_xlfn.IFS(B621=2015,I621*$G$2,B621=2016,I621*$G$3,B621=2017,I621*$G$4,B621=2018,I621*$G$5,B621=2019,I621*$G$6,B621=2020,I621*$G$7,B621=2021,I621*$G$8,B621=2022,I621*$G$9,B621=2023,I621*$G$10)</f>
        <v>30502.249256056948</v>
      </c>
      <c r="K621" s="8">
        <f t="shared" si="9"/>
        <v>184882.24925605694</v>
      </c>
      <c r="L621">
        <f>IFERROR(VLOOKUP(F621,'LEAID Match'!$A$2:$B$240,2,FALSE),"")</f>
        <v>0</v>
      </c>
    </row>
    <row r="622" spans="1:12" x14ac:dyDescent="0.2">
      <c r="A622">
        <v>0</v>
      </c>
      <c r="B622">
        <v>2018</v>
      </c>
      <c r="C622" s="4" t="s">
        <v>150</v>
      </c>
      <c r="D622" s="4" t="s">
        <v>576</v>
      </c>
      <c r="E622" s="4" t="s">
        <v>578</v>
      </c>
      <c r="F622" s="9" t="s">
        <v>109</v>
      </c>
      <c r="G622" s="8">
        <v>180798</v>
      </c>
      <c r="H622">
        <v>1</v>
      </c>
      <c r="I622" s="16" cm="1">
        <f t="array" ref="I622">_xlfn.IFS(B622=2015,G622/$H$1957,B622=2016,G622/$H$1958,B622=2017,G622/$H$1959,B622=2018,G622/$H$1960,B622=2019,G622/$H$1961,B622=2020,G622/$H$1962,B622=2021,G622/$H$1963,B622=2022,G622/$H$1964,B622=2023,G622/$H$1965)</f>
        <v>2.3263467546617402E-4</v>
      </c>
      <c r="J622" s="10" cm="1">
        <f t="array" ref="J622">_xlfn.IFS(B622=2015,I622*$G$2,B622=2016,I622*$G$3,B622=2017,I622*$G$4,B622=2018,I622*$G$5,B622=2019,I622*$G$6,B622=2020,I622*$G$7,B622=2021,I622*$G$8,B622=2022,I622*$G$9,B622=2023,I622*$G$10)</f>
        <v>35017.084209635046</v>
      </c>
      <c r="K622" s="8">
        <f t="shared" si="9"/>
        <v>215815.08420963504</v>
      </c>
      <c r="L622">
        <f>IFERROR(VLOOKUP(F622,'LEAID Match'!$A$2:$B$240,2,FALSE),"")</f>
        <v>0</v>
      </c>
    </row>
    <row r="623" spans="1:12" x14ac:dyDescent="0.2">
      <c r="A623">
        <v>0</v>
      </c>
      <c r="B623">
        <v>2019</v>
      </c>
      <c r="C623" s="4" t="s">
        <v>150</v>
      </c>
      <c r="D623" s="4" t="s">
        <v>576</v>
      </c>
      <c r="E623" s="4" t="s">
        <v>578</v>
      </c>
      <c r="F623" s="9" t="s">
        <v>109</v>
      </c>
      <c r="G623" s="8">
        <v>190438</v>
      </c>
      <c r="H623">
        <v>1</v>
      </c>
      <c r="I623" s="16" cm="1">
        <f t="array" ref="I623">_xlfn.IFS(B623=2015,G623/$H$1957,B623=2016,G623/$H$1958,B623=2017,G623/$H$1959,B623=2018,G623/$H$1960,B623=2019,G623/$H$1961,B623=2020,G623/$H$1962,B623=2021,G623/$H$1963,B623=2022,G623/$H$1964,B623=2023,G623/$H$1965)</f>
        <v>2.3667570865855831E-4</v>
      </c>
      <c r="J623" s="10" cm="1">
        <f t="array" ref="J623">_xlfn.IFS(B623=2015,I623*$G$2,B623=2016,I623*$G$3,B623=2017,I623*$G$4,B623=2018,I623*$G$5,B623=2019,I623*$G$6,B623=2020,I623*$G$7,B623=2021,I623*$G$8,B623=2022,I623*$G$9,B623=2023,I623*$G$10)</f>
        <v>37401.417762331112</v>
      </c>
      <c r="K623" s="8">
        <f t="shared" si="9"/>
        <v>227839.41776233111</v>
      </c>
      <c r="L623">
        <f>IFERROR(VLOOKUP(F623,'LEAID Match'!$A$2:$B$240,2,FALSE),"")</f>
        <v>0</v>
      </c>
    </row>
    <row r="624" spans="1:12" x14ac:dyDescent="0.2">
      <c r="A624">
        <v>0</v>
      </c>
      <c r="B624">
        <v>2020</v>
      </c>
      <c r="C624" s="4" t="s">
        <v>150</v>
      </c>
      <c r="D624" s="4" t="s">
        <v>576</v>
      </c>
      <c r="E624" s="4" t="s">
        <v>578</v>
      </c>
      <c r="F624" s="9" t="s">
        <v>109</v>
      </c>
      <c r="G624" s="8">
        <v>210695</v>
      </c>
      <c r="H624">
        <v>1</v>
      </c>
      <c r="I624" s="16" cm="1">
        <f t="array" ref="I624">_xlfn.IFS(B624=2015,G624/$H$1957,B624=2016,G624/$H$1958,B624=2017,G624/$H$1959,B624=2018,G624/$H$1960,B624=2019,G624/$H$1961,B624=2020,G624/$H$1962,B624=2021,G624/$H$1963,B624=2022,G624/$H$1964,B624=2023,G624/$H$1965)</f>
        <v>2.4233367256520325E-4</v>
      </c>
      <c r="J624" s="10" cm="1">
        <f t="array" ref="J624">_xlfn.IFS(B624=2015,I624*$G$2,B624=2016,I624*$G$3,B624=2017,I624*$G$4,B624=2018,I624*$G$5,B624=2019,I624*$G$6,B624=2020,I624*$G$7,B624=2021,I624*$G$8,B624=2022,I624*$G$9,B624=2023,I624*$G$10)</f>
        <v>41847.122225880266</v>
      </c>
      <c r="K624" s="8">
        <f t="shared" si="9"/>
        <v>252542.12222588027</v>
      </c>
      <c r="L624">
        <f>IFERROR(VLOOKUP(F624,'LEAID Match'!$A$2:$B$240,2,FALSE),"")</f>
        <v>0</v>
      </c>
    </row>
    <row r="625" spans="1:12" x14ac:dyDescent="0.2">
      <c r="A625">
        <v>0</v>
      </c>
      <c r="B625">
        <v>2021</v>
      </c>
      <c r="C625" s="4" t="s">
        <v>150</v>
      </c>
      <c r="D625" s="4" t="s">
        <v>576</v>
      </c>
      <c r="E625" s="4" t="s">
        <v>578</v>
      </c>
      <c r="F625" s="9" t="s">
        <v>109</v>
      </c>
      <c r="G625" s="8">
        <v>224991</v>
      </c>
      <c r="H625">
        <v>1</v>
      </c>
      <c r="I625" s="16" cm="1">
        <f t="array" ref="I625">_xlfn.IFS(B625=2015,G625/$H$1957,B625=2016,G625/$H$1958,B625=2017,G625/$H$1959,B625=2018,G625/$H$1960,B625=2019,G625/$H$1961,B625=2020,G625/$H$1962,B625=2021,G625/$H$1963,B625=2022,G625/$H$1964,B625=2023,G625/$H$1965)</f>
        <v>2.5711856537222866E-4</v>
      </c>
      <c r="J625" s="10" cm="1">
        <f t="array" ref="J625">_xlfn.IFS(B625=2015,I625*$G$2,B625=2016,I625*$G$3,B625=2017,I625*$G$4,B625=2018,I625*$G$5,B625=2019,I625*$G$6,B625=2020,I625*$G$7,B625=2021,I625*$G$8,B625=2022,I625*$G$9,B625=2023,I625*$G$10)</f>
        <v>44125.874666041047</v>
      </c>
      <c r="K625" s="8">
        <f t="shared" si="9"/>
        <v>269116.87466604105</v>
      </c>
      <c r="L625">
        <f>IFERROR(VLOOKUP(F625,'LEAID Match'!$A$2:$B$240,2,FALSE),"")</f>
        <v>0</v>
      </c>
    </row>
    <row r="626" spans="1:12" x14ac:dyDescent="0.2">
      <c r="A626">
        <v>0</v>
      </c>
      <c r="B626">
        <v>2022</v>
      </c>
      <c r="C626" s="4" t="s">
        <v>150</v>
      </c>
      <c r="D626" s="4" t="s">
        <v>576</v>
      </c>
      <c r="E626" s="4" t="s">
        <v>578</v>
      </c>
      <c r="F626" s="9" t="s">
        <v>109</v>
      </c>
      <c r="G626" s="8">
        <v>210528</v>
      </c>
      <c r="H626">
        <v>1</v>
      </c>
      <c r="I626" s="16" cm="1">
        <f t="array" ref="I626">_xlfn.IFS(B626=2015,G626/$H$1957,B626=2016,G626/$H$1958,B626=2017,G626/$H$1959,B626=2018,G626/$H$1960,B626=2019,G626/$H$1961,B626=2020,G626/$H$1962,B626=2021,G626/$H$1963,B626=2022,G626/$H$1964,B626=2023,G626/$H$1965)</f>
        <v>2.2627598028395114E-4</v>
      </c>
      <c r="J626" s="10" cm="1">
        <f t="array" ref="J626">_xlfn.IFS(B626=2015,I626*$G$2,B626=2016,I626*$G$3,B626=2017,I626*$G$4,B626=2018,I626*$G$5,B626=2019,I626*$G$6,B626=2020,I626*$G$7,B626=2021,I626*$G$8,B626=2022,I626*$G$9,B626=2023,I626*$G$10)</f>
        <v>38373.158969565055</v>
      </c>
      <c r="K626" s="8">
        <f t="shared" si="9"/>
        <v>248901.15896956506</v>
      </c>
      <c r="L626">
        <f>IFERROR(VLOOKUP(F626,'LEAID Match'!$A$2:$B$240,2,FALSE),"")</f>
        <v>0</v>
      </c>
    </row>
    <row r="627" spans="1:12" x14ac:dyDescent="0.2">
      <c r="A627">
        <v>0</v>
      </c>
      <c r="B627">
        <v>2023</v>
      </c>
      <c r="C627" s="4" t="s">
        <v>150</v>
      </c>
      <c r="D627" s="4" t="s">
        <v>576</v>
      </c>
      <c r="E627" s="4" t="s">
        <v>578</v>
      </c>
      <c r="F627" s="9" t="s">
        <v>109</v>
      </c>
      <c r="G627" s="8">
        <v>212852</v>
      </c>
      <c r="H627">
        <v>1</v>
      </c>
      <c r="I627" s="16" cm="1">
        <f t="array" ref="I627">_xlfn.IFS(B627=2015,G627/$H$1957,B627=2016,G627/$H$1958,B627=2017,G627/$H$1959,B627=2018,G627/$H$1960,B627=2019,G627/$H$1961,B627=2020,G627/$H$1962,B627=2021,G627/$H$1963,B627=2022,G627/$H$1964,B627=2023,G627/$H$1965)</f>
        <v>2.1551043435069384E-4</v>
      </c>
      <c r="J627" s="10" cm="1">
        <f t="array" ref="J627">_xlfn.IFS(B627=2015,I627*$G$2,B627=2016,I627*$G$3,B627=2017,I627*$G$4,B627=2018,I627*$G$5,B627=2019,I627*$G$6,B627=2020,I627*$G$7,B627=2021,I627*$G$8,B627=2022,I627*$G$9,B627=2023,I627*$G$10)</f>
        <v>36633.609930931249</v>
      </c>
      <c r="K627" s="8">
        <f t="shared" si="9"/>
        <v>249485.60993093124</v>
      </c>
      <c r="L627">
        <f>IFERROR(VLOOKUP(F627,'LEAID Match'!$A$2:$B$240,2,FALSE),"")</f>
        <v>0</v>
      </c>
    </row>
    <row r="628" spans="1:12" x14ac:dyDescent="0.2">
      <c r="A628">
        <v>0</v>
      </c>
      <c r="B628">
        <v>2015</v>
      </c>
      <c r="C628" s="4" t="s">
        <v>151</v>
      </c>
      <c r="D628" s="4" t="s">
        <v>576</v>
      </c>
      <c r="E628" s="4" t="s">
        <v>578</v>
      </c>
      <c r="F628" s="9" t="s">
        <v>110</v>
      </c>
      <c r="G628" s="8">
        <v>184424</v>
      </c>
      <c r="H628">
        <v>1</v>
      </c>
      <c r="I628" s="16" cm="1">
        <f t="array" ref="I628">_xlfn.IFS(B628=2015,G628/$H$1957,B628=2016,G628/$H$1958,B628=2017,G628/$H$1959,B628=2018,G628/$H$1960,B628=2019,G628/$H$1961,B628=2020,G628/$H$1962,B628=2021,G628/$H$1963,B628=2022,G628/$H$1964,B628=2023,G628/$H$1965)</f>
        <v>1.4242299976438471E-4</v>
      </c>
      <c r="J628" s="10" cm="1">
        <f t="array" ref="J628">_xlfn.IFS(B628=2015,I628*$G$2,B628=2016,I628*$G$3,B628=2017,I628*$G$4,B628=2018,I628*$G$5,B628=2019,I628*$G$6,B628=2020,I628*$G$7,B628=2021,I628*$G$8,B628=2022,I628*$G$9,B628=2023,I628*$G$10)</f>
        <v>35412.421400641004</v>
      </c>
      <c r="K628" s="8">
        <f t="shared" si="9"/>
        <v>219836.421400641</v>
      </c>
      <c r="L628">
        <f>IFERROR(VLOOKUP(F628,'LEAID Match'!$A$2:$B$240,2,FALSE),"")</f>
        <v>0</v>
      </c>
    </row>
    <row r="629" spans="1:12" x14ac:dyDescent="0.2">
      <c r="A629">
        <v>0</v>
      </c>
      <c r="B629">
        <v>2016</v>
      </c>
      <c r="C629" s="4" t="s">
        <v>151</v>
      </c>
      <c r="D629" s="4" t="s">
        <v>576</v>
      </c>
      <c r="E629" s="4" t="s">
        <v>578</v>
      </c>
      <c r="F629" s="9" t="s">
        <v>110</v>
      </c>
      <c r="G629" s="8">
        <v>199231</v>
      </c>
      <c r="H629">
        <v>1</v>
      </c>
      <c r="I629" s="16" cm="1">
        <f t="array" ref="I629">_xlfn.IFS(B629=2015,G629/$H$1957,B629=2016,G629/$H$1958,B629=2017,G629/$H$1959,B629=2018,G629/$H$1960,B629=2019,G629/$H$1961,B629=2020,G629/$H$1962,B629=2021,G629/$H$1963,B629=2022,G629/$H$1964,B629=2023,G629/$H$1965)</f>
        <v>1.3986007682745098E-4</v>
      </c>
      <c r="J629" s="10" cm="1">
        <f t="array" ref="J629">_xlfn.IFS(B629=2015,I629*$G$2,B629=2016,I629*$G$3,B629=2017,I629*$G$4,B629=2018,I629*$G$5,B629=2019,I629*$G$6,B629=2020,I629*$G$7,B629=2021,I629*$G$8,B629=2022,I629*$G$9,B629=2023,I629*$G$10)</f>
        <v>37930.483604641333</v>
      </c>
      <c r="K629" s="8">
        <f t="shared" si="9"/>
        <v>237161.48360464134</v>
      </c>
      <c r="L629">
        <f>IFERROR(VLOOKUP(F629,'LEAID Match'!$A$2:$B$240,2,FALSE),"")</f>
        <v>0</v>
      </c>
    </row>
    <row r="630" spans="1:12" x14ac:dyDescent="0.2">
      <c r="A630">
        <v>0</v>
      </c>
      <c r="B630">
        <v>2017</v>
      </c>
      <c r="C630" s="4" t="s">
        <v>151</v>
      </c>
      <c r="D630" s="4" t="s">
        <v>576</v>
      </c>
      <c r="E630" s="4" t="s">
        <v>578</v>
      </c>
      <c r="F630" s="9" t="s">
        <v>110</v>
      </c>
      <c r="G630" s="8">
        <v>120638</v>
      </c>
      <c r="H630">
        <v>1</v>
      </c>
      <c r="I630" s="16" cm="1">
        <f t="array" ref="I630">_xlfn.IFS(B630=2015,G630/$H$1957,B630=2016,G630/$H$1958,B630=2017,G630/$H$1959,B630=2018,G630/$H$1960,B630=2019,G630/$H$1961,B630=2020,G630/$H$1962,B630=2021,G630/$H$1963,B630=2022,G630/$H$1964,B630=2023,G630/$H$1965)</f>
        <v>1.609567646445219E-4</v>
      </c>
      <c r="J630" s="10" cm="1">
        <f t="array" ref="J630">_xlfn.IFS(B630=2015,I630*$G$2,B630=2016,I630*$G$3,B630=2017,I630*$G$4,B630=2018,I630*$G$5,B630=2019,I630*$G$6,B630=2020,I630*$G$7,B630=2021,I630*$G$8,B630=2022,I630*$G$9,B630=2023,I630*$G$10)</f>
        <v>23835.537930769518</v>
      </c>
      <c r="K630" s="8">
        <f t="shared" si="9"/>
        <v>144473.53793076953</v>
      </c>
      <c r="L630">
        <f>IFERROR(VLOOKUP(F630,'LEAID Match'!$A$2:$B$240,2,FALSE),"")</f>
        <v>0</v>
      </c>
    </row>
    <row r="631" spans="1:12" x14ac:dyDescent="0.2">
      <c r="A631">
        <v>0</v>
      </c>
      <c r="B631">
        <v>2018</v>
      </c>
      <c r="C631" s="4" t="s">
        <v>151</v>
      </c>
      <c r="D631" s="4" t="s">
        <v>576</v>
      </c>
      <c r="E631" s="4" t="s">
        <v>578</v>
      </c>
      <c r="F631" s="9" t="s">
        <v>110</v>
      </c>
      <c r="G631" s="8">
        <v>115948</v>
      </c>
      <c r="H631">
        <v>1</v>
      </c>
      <c r="I631" s="16" cm="1">
        <f t="array" ref="I631">_xlfn.IFS(B631=2015,G631/$H$1957,B631=2016,G631/$H$1958,B631=2017,G631/$H$1959,B631=2018,G631/$H$1960,B631=2019,G631/$H$1961,B631=2020,G631/$H$1962,B631=2021,G631/$H$1963,B631=2022,G631/$H$1964,B631=2023,G631/$H$1965)</f>
        <v>1.491915029533067E-4</v>
      </c>
      <c r="J631" s="10" cm="1">
        <f t="array" ref="J631">_xlfn.IFS(B631=2015,I631*$G$2,B631=2016,I631*$G$3,B631=2017,I631*$G$4,B631=2018,I631*$G$5,B631=2019,I631*$G$6,B631=2020,I631*$G$7,B631=2021,I631*$G$8,B631=2022,I631*$G$9,B631=2023,I631*$G$10)</f>
        <v>22456.890451989315</v>
      </c>
      <c r="K631" s="8">
        <f t="shared" si="9"/>
        <v>138404.89045198931</v>
      </c>
      <c r="L631">
        <f>IFERROR(VLOOKUP(F631,'LEAID Match'!$A$2:$B$240,2,FALSE),"")</f>
        <v>0</v>
      </c>
    </row>
    <row r="632" spans="1:12" x14ac:dyDescent="0.2">
      <c r="A632">
        <v>0</v>
      </c>
      <c r="B632">
        <v>2019</v>
      </c>
      <c r="C632" s="4" t="s">
        <v>151</v>
      </c>
      <c r="D632" s="4" t="s">
        <v>576</v>
      </c>
      <c r="E632" s="4" t="s">
        <v>578</v>
      </c>
      <c r="F632" s="9" t="s">
        <v>110</v>
      </c>
      <c r="G632" s="8">
        <v>124058</v>
      </c>
      <c r="H632">
        <v>1</v>
      </c>
      <c r="I632" s="16" cm="1">
        <f t="array" ref="I632">_xlfn.IFS(B632=2015,G632/$H$1957,B632=2016,G632/$H$1958,B632=2017,G632/$H$1959,B632=2018,G632/$H$1960,B632=2019,G632/$H$1961,B632=2020,G632/$H$1962,B632=2021,G632/$H$1963,B632=2022,G632/$H$1964,B632=2023,G632/$H$1965)</f>
        <v>1.5417886695283202E-4</v>
      </c>
      <c r="J632" s="10" cm="1">
        <f t="array" ref="J632">_xlfn.IFS(B632=2015,I632*$G$2,B632=2016,I632*$G$3,B632=2017,I632*$G$4,B632=2018,I632*$G$5,B632=2019,I632*$G$6,B632=2020,I632*$G$7,B632=2021,I632*$G$8,B632=2022,I632*$G$9,B632=2023,I632*$G$10)</f>
        <v>24364.596796643906</v>
      </c>
      <c r="K632" s="8">
        <f t="shared" si="9"/>
        <v>148422.59679664392</v>
      </c>
      <c r="L632">
        <f>IFERROR(VLOOKUP(F632,'LEAID Match'!$A$2:$B$240,2,FALSE),"")</f>
        <v>0</v>
      </c>
    </row>
    <row r="633" spans="1:12" x14ac:dyDescent="0.2">
      <c r="A633">
        <v>0</v>
      </c>
      <c r="B633">
        <v>2020</v>
      </c>
      <c r="C633" s="4" t="s">
        <v>151</v>
      </c>
      <c r="D633" s="4" t="s">
        <v>576</v>
      </c>
      <c r="E633" s="4" t="s">
        <v>578</v>
      </c>
      <c r="F633" s="9" t="s">
        <v>110</v>
      </c>
      <c r="G633" s="8">
        <v>137661</v>
      </c>
      <c r="H633">
        <v>1</v>
      </c>
      <c r="I633" s="16" cm="1">
        <f t="array" ref="I633">_xlfn.IFS(B633=2015,G633/$H$1957,B633=2016,G633/$H$1958,B633=2017,G633/$H$1959,B633=2018,G633/$H$1960,B633=2019,G633/$H$1961,B633=2020,G633/$H$1962,B633=2021,G633/$H$1963,B633=2022,G633/$H$1964,B633=2023,G633/$H$1965)</f>
        <v>1.5833264054200834E-4</v>
      </c>
      <c r="J633" s="10" cm="1">
        <f t="array" ref="J633">_xlfn.IFS(B633=2015,I633*$G$2,B633=2016,I633*$G$3,B633=2017,I633*$G$4,B633=2018,I633*$G$5,B633=2019,I633*$G$6,B633=2020,I633*$G$7,B633=2021,I633*$G$8,B633=2022,I633*$G$9,B633=2023,I633*$G$10)</f>
        <v>27341.496916096272</v>
      </c>
      <c r="K633" s="8">
        <f t="shared" si="9"/>
        <v>165002.49691609628</v>
      </c>
      <c r="L633">
        <f>IFERROR(VLOOKUP(F633,'LEAID Match'!$A$2:$B$240,2,FALSE),"")</f>
        <v>0</v>
      </c>
    </row>
    <row r="634" spans="1:12" x14ac:dyDescent="0.2">
      <c r="A634">
        <v>0</v>
      </c>
      <c r="B634">
        <v>2021</v>
      </c>
      <c r="C634" s="4" t="s">
        <v>151</v>
      </c>
      <c r="D634" s="4" t="s">
        <v>576</v>
      </c>
      <c r="E634" s="4" t="s">
        <v>578</v>
      </c>
      <c r="F634" s="9" t="s">
        <v>110</v>
      </c>
      <c r="G634" s="8">
        <v>128407</v>
      </c>
      <c r="H634">
        <v>1</v>
      </c>
      <c r="I634" s="16" cm="1">
        <f t="array" ref="I634">_xlfn.IFS(B634=2015,G634/$H$1957,B634=2016,G634/$H$1958,B634=2017,G634/$H$1959,B634=2018,G634/$H$1960,B634=2019,G634/$H$1961,B634=2020,G634/$H$1962,B634=2021,G634/$H$1963,B634=2022,G634/$H$1964,B634=2023,G634/$H$1965)</f>
        <v>1.467428635978851E-4</v>
      </c>
      <c r="J634" s="10" cm="1">
        <f t="array" ref="J634">_xlfn.IFS(B634=2015,I634*$G$2,B634=2016,I634*$G$3,B634=2017,I634*$G$4,B634=2018,I634*$G$5,B634=2019,I634*$G$6,B634=2020,I634*$G$7,B634=2021,I634*$G$8,B634=2022,I634*$G$9,B634=2023,I634*$G$10)</f>
        <v>25183.545956248618</v>
      </c>
      <c r="K634" s="8">
        <f t="shared" si="9"/>
        <v>153590.54595624862</v>
      </c>
      <c r="L634">
        <f>IFERROR(VLOOKUP(F634,'LEAID Match'!$A$2:$B$240,2,FALSE),"")</f>
        <v>0</v>
      </c>
    </row>
    <row r="635" spans="1:12" x14ac:dyDescent="0.2">
      <c r="A635">
        <v>0</v>
      </c>
      <c r="B635">
        <v>2022</v>
      </c>
      <c r="C635" s="4" t="s">
        <v>151</v>
      </c>
      <c r="D635" s="4" t="s">
        <v>576</v>
      </c>
      <c r="E635" s="4" t="s">
        <v>578</v>
      </c>
      <c r="F635" s="9" t="s">
        <v>110</v>
      </c>
      <c r="G635" s="8">
        <v>121117</v>
      </c>
      <c r="H635">
        <v>1</v>
      </c>
      <c r="I635" s="16" cm="1">
        <f t="array" ref="I635">_xlfn.IFS(B635=2015,G635/$H$1957,B635=2016,G635/$H$1958,B635=2017,G635/$H$1959,B635=2018,G635/$H$1960,B635=2019,G635/$H$1961,B635=2020,G635/$H$1962,B635=2021,G635/$H$1963,B635=2022,G635/$H$1964,B635=2023,G635/$H$1965)</f>
        <v>1.3017683112959469E-4</v>
      </c>
      <c r="J635" s="10" cm="1">
        <f t="array" ref="J635">_xlfn.IFS(B635=2015,I635*$G$2,B635=2016,I635*$G$3,B635=2017,I635*$G$4,B635=2018,I635*$G$5,B635=2019,I635*$G$6,B635=2020,I635*$G$7,B635=2021,I635*$G$8,B635=2022,I635*$G$9,B635=2023,I635*$G$10)</f>
        <v>22076.12239187572</v>
      </c>
      <c r="K635" s="8">
        <f t="shared" si="9"/>
        <v>143193.12239187572</v>
      </c>
      <c r="L635">
        <f>IFERROR(VLOOKUP(F635,'LEAID Match'!$A$2:$B$240,2,FALSE),"")</f>
        <v>0</v>
      </c>
    </row>
    <row r="636" spans="1:12" x14ac:dyDescent="0.2">
      <c r="A636">
        <v>0</v>
      </c>
      <c r="B636">
        <v>2023</v>
      </c>
      <c r="C636" s="4" t="s">
        <v>151</v>
      </c>
      <c r="D636" s="4" t="s">
        <v>576</v>
      </c>
      <c r="E636" s="4" t="s">
        <v>578</v>
      </c>
      <c r="F636" s="9" t="s">
        <v>110</v>
      </c>
      <c r="G636" s="8">
        <v>134735</v>
      </c>
      <c r="H636">
        <v>1</v>
      </c>
      <c r="I636" s="16" cm="1">
        <f t="array" ref="I636">_xlfn.IFS(B636=2015,G636/$H$1957,B636=2016,G636/$H$1958,B636=2017,G636/$H$1959,B636=2018,G636/$H$1960,B636=2019,G636/$H$1961,B636=2020,G636/$H$1962,B636=2021,G636/$H$1963,B636=2022,G636/$H$1964,B636=2023,G636/$H$1965)</f>
        <v>1.3641778499727856E-4</v>
      </c>
      <c r="J636" s="10" cm="1">
        <f t="array" ref="J636">_xlfn.IFS(B636=2015,I636*$G$2,B636=2016,I636*$G$3,B636=2017,I636*$G$4,B636=2018,I636*$G$5,B636=2019,I636*$G$6,B636=2020,I636*$G$7,B636=2021,I636*$G$8,B636=2022,I636*$G$9,B636=2023,I636*$G$10)</f>
        <v>23189.02070003581</v>
      </c>
      <c r="K636" s="8">
        <f t="shared" si="9"/>
        <v>157924.02070003582</v>
      </c>
      <c r="L636">
        <f>IFERROR(VLOOKUP(F636,'LEAID Match'!$A$2:$B$240,2,FALSE),"")</f>
        <v>0</v>
      </c>
    </row>
    <row r="637" spans="1:12" x14ac:dyDescent="0.2">
      <c r="A637">
        <v>0</v>
      </c>
      <c r="B637">
        <v>2015</v>
      </c>
      <c r="C637" s="4" t="s">
        <v>152</v>
      </c>
      <c r="D637" s="4" t="s">
        <v>576</v>
      </c>
      <c r="E637" s="4" t="s">
        <v>578</v>
      </c>
      <c r="F637" s="9" t="s">
        <v>111</v>
      </c>
      <c r="G637" s="8">
        <v>562488</v>
      </c>
      <c r="H637">
        <v>1</v>
      </c>
      <c r="I637" s="16" cm="1">
        <f t="array" ref="I637">_xlfn.IFS(B637=2015,G637/$H$1957,B637=2016,G637/$H$1958,B637=2017,G637/$H$1959,B637=2018,G637/$H$1960,B637=2019,G637/$H$1961,B637=2020,G637/$H$1962,B637=2021,G637/$H$1963,B637=2022,G637/$H$1964,B637=2023,G637/$H$1965)</f>
        <v>4.3438613353722521E-4</v>
      </c>
      <c r="J637" s="10" cm="1">
        <f t="array" ref="J637">_xlfn.IFS(B637=2015,I637*$G$2,B637=2016,I637*$G$3,B637=2017,I637*$G$4,B637=2018,I637*$G$5,B637=2019,I637*$G$6,B637=2020,I637*$G$7,B637=2021,I637*$G$8,B637=2022,I637*$G$9,B637=2023,I637*$G$10)</f>
        <v>108006.88678698953</v>
      </c>
      <c r="K637" s="8">
        <f t="shared" si="9"/>
        <v>670494.88678698952</v>
      </c>
      <c r="L637">
        <f>IFERROR(VLOOKUP(F637,'LEAID Match'!$A$2:$B$240,2,FALSE),"")</f>
        <v>0</v>
      </c>
    </row>
    <row r="638" spans="1:12" x14ac:dyDescent="0.2">
      <c r="A638">
        <v>0</v>
      </c>
      <c r="B638">
        <v>2016</v>
      </c>
      <c r="C638" s="4" t="s">
        <v>152</v>
      </c>
      <c r="D638" s="4" t="s">
        <v>576</v>
      </c>
      <c r="E638" s="4" t="s">
        <v>578</v>
      </c>
      <c r="F638" s="9" t="s">
        <v>111</v>
      </c>
      <c r="G638" s="8">
        <v>1699437</v>
      </c>
      <c r="H638">
        <v>1</v>
      </c>
      <c r="I638" s="16" cm="1">
        <f t="array" ref="I638">_xlfn.IFS(B638=2015,G638/$H$1957,B638=2016,G638/$H$1958,B638=2017,G638/$H$1959,B638=2018,G638/$H$1960,B638=2019,G638/$H$1961,B638=2020,G638/$H$1962,B638=2021,G638/$H$1963,B638=2022,G638/$H$1964,B638=2023,G638/$H$1965)</f>
        <v>1.1930040474796232E-3</v>
      </c>
      <c r="J638" s="10" cm="1">
        <f t="array" ref="J638">_xlfn.IFS(B638=2015,I638*$G$2,B638=2016,I638*$G$3,B638=2017,I638*$G$4,B638=2018,I638*$G$5,B638=2019,I638*$G$6,B638=2020,I638*$G$7,B638=2021,I638*$G$8,B638=2022,I638*$G$9,B638=2023,I638*$G$10)</f>
        <v>323546.37212894007</v>
      </c>
      <c r="K638" s="8">
        <f t="shared" si="9"/>
        <v>2022983.3721289402</v>
      </c>
      <c r="L638">
        <f>IFERROR(VLOOKUP(F638,'LEAID Match'!$A$2:$B$240,2,FALSE),"")</f>
        <v>0</v>
      </c>
    </row>
    <row r="639" spans="1:12" x14ac:dyDescent="0.2">
      <c r="A639">
        <v>0</v>
      </c>
      <c r="B639">
        <v>2017</v>
      </c>
      <c r="C639" s="4" t="s">
        <v>152</v>
      </c>
      <c r="D639" s="4" t="s">
        <v>576</v>
      </c>
      <c r="E639" s="4" t="s">
        <v>578</v>
      </c>
      <c r="F639" s="9" t="s">
        <v>111</v>
      </c>
      <c r="G639" s="8">
        <v>1421405</v>
      </c>
      <c r="H639">
        <v>1</v>
      </c>
      <c r="I639" s="16" cm="1">
        <f t="array" ref="I639">_xlfn.IFS(B639=2015,G639/$H$1957,B639=2016,G639/$H$1958,B639=2017,G639/$H$1959,B639=2018,G639/$H$1960,B639=2019,G639/$H$1961,B639=2020,G639/$H$1962,B639=2021,G639/$H$1963,B639=2022,G639/$H$1964,B639=2023,G639/$H$1965)</f>
        <v>1.8964567553303824E-3</v>
      </c>
      <c r="J639" s="10" cm="1">
        <f t="array" ref="J639">_xlfn.IFS(B639=2015,I639*$G$2,B639=2016,I639*$G$3,B639=2017,I639*$G$4,B639=2018,I639*$G$5,B639=2019,I639*$G$6,B639=2020,I639*$G$7,B639=2021,I639*$G$8,B639=2022,I639*$G$9,B639=2023,I639*$G$10)</f>
        <v>280839.80828997039</v>
      </c>
      <c r="K639" s="8">
        <f t="shared" si="9"/>
        <v>1702244.8082899703</v>
      </c>
      <c r="L639">
        <f>IFERROR(VLOOKUP(F639,'LEAID Match'!$A$2:$B$240,2,FALSE),"")</f>
        <v>0</v>
      </c>
    </row>
    <row r="640" spans="1:12" x14ac:dyDescent="0.2">
      <c r="A640">
        <v>0</v>
      </c>
      <c r="B640">
        <v>2018</v>
      </c>
      <c r="C640" s="4" t="s">
        <v>152</v>
      </c>
      <c r="D640" s="4" t="s">
        <v>576</v>
      </c>
      <c r="E640" s="4" t="s">
        <v>578</v>
      </c>
      <c r="F640" s="9" t="s">
        <v>111</v>
      </c>
      <c r="G640" s="8">
        <v>1872910</v>
      </c>
      <c r="H640">
        <v>1</v>
      </c>
      <c r="I640" s="16" cm="1">
        <f t="array" ref="I640">_xlfn.IFS(B640=2015,G640/$H$1957,B640=2016,G640/$H$1958,B640=2017,G640/$H$1959,B640=2018,G640/$H$1960,B640=2019,G640/$H$1961,B640=2020,G640/$H$1962,B640=2021,G640/$H$1963,B640=2022,G640/$H$1964,B640=2023,G640/$H$1965)</f>
        <v>2.4098928640103982E-3</v>
      </c>
      <c r="J640" s="10" cm="1">
        <f t="array" ref="J640">_xlfn.IFS(B640=2015,I640*$G$2,B640=2016,I640*$G$3,B640=2017,I640*$G$4,B640=2018,I640*$G$5,B640=2019,I640*$G$6,B640=2020,I640*$G$7,B640=2021,I640*$G$8,B640=2022,I640*$G$9,B640=2023,I640*$G$10)</f>
        <v>362746.53031044354</v>
      </c>
      <c r="K640" s="8">
        <f t="shared" si="9"/>
        <v>2235656.5303104436</v>
      </c>
      <c r="L640">
        <f>IFERROR(VLOOKUP(F640,'LEAID Match'!$A$2:$B$240,2,FALSE),"")</f>
        <v>0</v>
      </c>
    </row>
    <row r="641" spans="1:12" x14ac:dyDescent="0.2">
      <c r="A641">
        <v>0</v>
      </c>
      <c r="B641">
        <v>2019</v>
      </c>
      <c r="C641" s="4" t="s">
        <v>152</v>
      </c>
      <c r="D641" s="4" t="s">
        <v>576</v>
      </c>
      <c r="E641" s="4" t="s">
        <v>578</v>
      </c>
      <c r="F641" s="9" t="s">
        <v>111</v>
      </c>
      <c r="G641" s="8">
        <v>2023209</v>
      </c>
      <c r="H641">
        <v>1</v>
      </c>
      <c r="I641" s="16" cm="1">
        <f t="array" ref="I641">_xlfn.IFS(B641=2015,G641/$H$1957,B641=2016,G641/$H$1958,B641=2017,G641/$H$1959,B641=2018,G641/$H$1960,B641=2019,G641/$H$1961,B641=2020,G641/$H$1962,B641=2021,G641/$H$1963,B641=2022,G641/$H$1964,B641=2023,G641/$H$1965)</f>
        <v>2.5144373698493634E-3</v>
      </c>
      <c r="J641" s="10" cm="1">
        <f t="array" ref="J641">_xlfn.IFS(B641=2015,I641*$G$2,B641=2016,I641*$G$3,B641=2017,I641*$G$4,B641=2018,I641*$G$5,B641=2019,I641*$G$6,B641=2020,I641*$G$7,B641=2021,I641*$G$8,B641=2022,I641*$G$9,B641=2023,I641*$G$10)</f>
        <v>397351.81544391433</v>
      </c>
      <c r="K641" s="8">
        <f t="shared" si="9"/>
        <v>2420560.8154439144</v>
      </c>
      <c r="L641">
        <f>IFERROR(VLOOKUP(F641,'LEAID Match'!$A$2:$B$240,2,FALSE),"")</f>
        <v>0</v>
      </c>
    </row>
    <row r="642" spans="1:12" x14ac:dyDescent="0.2">
      <c r="A642">
        <v>0</v>
      </c>
      <c r="B642">
        <v>2020</v>
      </c>
      <c r="C642" s="4" t="s">
        <v>152</v>
      </c>
      <c r="D642" s="4" t="s">
        <v>576</v>
      </c>
      <c r="E642" s="4" t="s">
        <v>578</v>
      </c>
      <c r="F642" s="9" t="s">
        <v>111</v>
      </c>
      <c r="G642" s="8">
        <v>2773440</v>
      </c>
      <c r="H642">
        <v>1</v>
      </c>
      <c r="I642" s="16" cm="1">
        <f t="array" ref="I642">_xlfn.IFS(B642=2015,G642/$H$1957,B642=2016,G642/$H$1958,B642=2017,G642/$H$1959,B642=2018,G642/$H$1960,B642=2019,G642/$H$1961,B642=2020,G642/$H$1962,B642=2021,G642/$H$1963,B642=2022,G642/$H$1964,B642=2023,G642/$H$1965)</f>
        <v>3.1899091143085373E-3</v>
      </c>
      <c r="J642" s="10" cm="1">
        <f t="array" ref="J642">_xlfn.IFS(B642=2015,I642*$G$2,B642=2016,I642*$G$3,B642=2017,I642*$G$4,B642=2018,I642*$G$5,B642=2019,I642*$G$6,B642=2020,I642*$G$7,B642=2021,I642*$G$8,B642=2022,I642*$G$9,B642=2023,I642*$G$10)</f>
        <v>550845.9273648893</v>
      </c>
      <c r="K642" s="8">
        <f t="shared" si="9"/>
        <v>3324285.9273648895</v>
      </c>
      <c r="L642">
        <f>IFERROR(VLOOKUP(F642,'LEAID Match'!$A$2:$B$240,2,FALSE),"")</f>
        <v>0</v>
      </c>
    </row>
    <row r="643" spans="1:12" x14ac:dyDescent="0.2">
      <c r="A643">
        <v>0</v>
      </c>
      <c r="B643">
        <v>2021</v>
      </c>
      <c r="C643" s="4" t="s">
        <v>152</v>
      </c>
      <c r="D643" s="4" t="s">
        <v>576</v>
      </c>
      <c r="E643" s="4" t="s">
        <v>578</v>
      </c>
      <c r="F643" s="9" t="s">
        <v>111</v>
      </c>
      <c r="G643" s="8">
        <v>3057424</v>
      </c>
      <c r="H643">
        <v>1</v>
      </c>
      <c r="I643" s="16" cm="1">
        <f t="array" ref="I643">_xlfn.IFS(B643=2015,G643/$H$1957,B643=2016,G643/$H$1958,B643=2017,G643/$H$1959,B643=2018,G643/$H$1960,B643=2019,G643/$H$1961,B643=2020,G643/$H$1962,B643=2021,G643/$H$1963,B643=2022,G643/$H$1964,B643=2023,G643/$H$1965)</f>
        <v>3.4940085275171938E-3</v>
      </c>
      <c r="J643" s="10" cm="1">
        <f t="array" ref="J643">_xlfn.IFS(B643=2015,I643*$G$2,B643=2016,I643*$G$3,B643=2017,I643*$G$4,B643=2018,I643*$G$5,B643=2019,I643*$G$6,B643=2020,I643*$G$7,B643=2021,I643*$G$8,B643=2022,I643*$G$9,B643=2023,I643*$G$10)</f>
        <v>599630.68844951969</v>
      </c>
      <c r="K643" s="8">
        <f t="shared" si="9"/>
        <v>3657054.6884495197</v>
      </c>
      <c r="L643">
        <f>IFERROR(VLOOKUP(F643,'LEAID Match'!$A$2:$B$240,2,FALSE),"")</f>
        <v>0</v>
      </c>
    </row>
    <row r="644" spans="1:12" x14ac:dyDescent="0.2">
      <c r="A644">
        <v>0</v>
      </c>
      <c r="B644">
        <v>2022</v>
      </c>
      <c r="C644" s="4" t="s">
        <v>152</v>
      </c>
      <c r="D644" s="4" t="s">
        <v>576</v>
      </c>
      <c r="E644" s="4" t="s">
        <v>578</v>
      </c>
      <c r="F644" s="9" t="s">
        <v>111</v>
      </c>
      <c r="G644" s="8">
        <v>3422574</v>
      </c>
      <c r="H644">
        <v>1</v>
      </c>
      <c r="I644" s="16" cm="1">
        <f t="array" ref="I644">_xlfn.IFS(B644=2015,G644/$H$1957,B644=2016,G644/$H$1958,B644=2017,G644/$H$1959,B644=2018,G644/$H$1960,B644=2019,G644/$H$1961,B644=2020,G644/$H$1962,B644=2021,G644/$H$1963,B644=2022,G644/$H$1964,B644=2023,G644/$H$1965)</f>
        <v>3.678590434262254E-3</v>
      </c>
      <c r="J644" s="10" cm="1">
        <f t="array" ref="J644">_xlfn.IFS(B644=2015,I644*$G$2,B644=2016,I644*$G$3,B644=2017,I644*$G$4,B644=2018,I644*$G$5,B644=2019,I644*$G$6,B644=2020,I644*$G$7,B644=2021,I644*$G$8,B644=2022,I644*$G$9,B644=2023,I644*$G$10)</f>
        <v>623836.14619955618</v>
      </c>
      <c r="K644" s="8">
        <f t="shared" si="9"/>
        <v>4046410.1461995561</v>
      </c>
      <c r="L644">
        <f>IFERROR(VLOOKUP(F644,'LEAID Match'!$A$2:$B$240,2,FALSE),"")</f>
        <v>0</v>
      </c>
    </row>
    <row r="645" spans="1:12" x14ac:dyDescent="0.2">
      <c r="A645">
        <v>0</v>
      </c>
      <c r="B645">
        <v>2023</v>
      </c>
      <c r="C645" s="4" t="s">
        <v>152</v>
      </c>
      <c r="D645" s="4" t="s">
        <v>576</v>
      </c>
      <c r="E645" s="4" t="s">
        <v>578</v>
      </c>
      <c r="F645" s="9" t="s">
        <v>111</v>
      </c>
      <c r="G645" s="8">
        <v>3969721</v>
      </c>
      <c r="H645">
        <v>1</v>
      </c>
      <c r="I645" s="16" cm="1">
        <f t="array" ref="I645">_xlfn.IFS(B645=2015,G645/$H$1957,B645=2016,G645/$H$1958,B645=2017,G645/$H$1959,B645=2018,G645/$H$1960,B645=2019,G645/$H$1961,B645=2020,G645/$H$1962,B645=2021,G645/$H$1963,B645=2022,G645/$H$1964,B645=2023,G645/$H$1965)</f>
        <v>4.0193011903156689E-3</v>
      </c>
      <c r="J645" s="10" cm="1">
        <f t="array" ref="J645">_xlfn.IFS(B645=2015,I645*$G$2,B645=2016,I645*$G$3,B645=2017,I645*$G$4,B645=2018,I645*$G$5,B645=2019,I645*$G$6,B645=2020,I645*$G$7,B645=2021,I645*$G$8,B645=2022,I645*$G$9,B645=2023,I645*$G$10)</f>
        <v>683222.19499288872</v>
      </c>
      <c r="K645" s="8">
        <f t="shared" si="9"/>
        <v>4652943.1949928887</v>
      </c>
      <c r="L645">
        <f>IFERROR(VLOOKUP(F645,'LEAID Match'!$A$2:$B$240,2,FALSE),"")</f>
        <v>0</v>
      </c>
    </row>
    <row r="646" spans="1:12" x14ac:dyDescent="0.2">
      <c r="A646">
        <v>0</v>
      </c>
      <c r="B646">
        <v>2015</v>
      </c>
      <c r="C646" s="4" t="s">
        <v>153</v>
      </c>
      <c r="D646" s="4" t="s">
        <v>576</v>
      </c>
      <c r="E646" s="4" t="s">
        <v>578</v>
      </c>
      <c r="F646" s="9" t="s">
        <v>112</v>
      </c>
      <c r="G646" s="8">
        <v>928727</v>
      </c>
      <c r="H646">
        <v>1</v>
      </c>
      <c r="I646" s="16" cm="1">
        <f t="array" ref="I646">_xlfn.IFS(B646=2015,G646/$H$1957,B646=2016,G646/$H$1958,B646=2017,G646/$H$1959,B646=2018,G646/$H$1960,B646=2019,G646/$H$1961,B646=2020,G646/$H$1962,B646=2021,G646/$H$1963,B646=2022,G646/$H$1964,B646=2023,G646/$H$1965)</f>
        <v>7.1721731066551916E-4</v>
      </c>
      <c r="J646" s="10" cm="1">
        <f t="array" ref="J646">_xlfn.IFS(B646=2015,I646*$G$2,B646=2016,I646*$G$3,B646=2017,I646*$G$4,B646=2018,I646*$G$5,B646=2019,I646*$G$6,B646=2020,I646*$G$7,B646=2021,I646*$G$8,B646=2022,I646*$G$9,B646=2023,I646*$G$10)</f>
        <v>178330.75895844965</v>
      </c>
      <c r="K646" s="8">
        <f t="shared" si="9"/>
        <v>1107057.7589584496</v>
      </c>
      <c r="L646">
        <f>IFERROR(VLOOKUP(F646,'LEAID Match'!$A$2:$B$240,2,FALSE),"")</f>
        <v>0</v>
      </c>
    </row>
    <row r="647" spans="1:12" x14ac:dyDescent="0.2">
      <c r="A647">
        <v>0</v>
      </c>
      <c r="B647">
        <v>2016</v>
      </c>
      <c r="C647" s="4" t="s">
        <v>153</v>
      </c>
      <c r="D647" s="4" t="s">
        <v>576</v>
      </c>
      <c r="E647" s="4" t="s">
        <v>578</v>
      </c>
      <c r="F647" s="9" t="s">
        <v>112</v>
      </c>
      <c r="G647" s="8">
        <v>1826964</v>
      </c>
      <c r="H647">
        <v>1</v>
      </c>
      <c r="I647" s="16" cm="1">
        <f t="array" ref="I647">_xlfn.IFS(B647=2015,G647/$H$1957,B647=2016,G647/$H$1958,B647=2017,G647/$H$1959,B647=2018,G647/$H$1960,B647=2019,G647/$H$1961,B647=2020,G647/$H$1962,B647=2021,G647/$H$1963,B647=2022,G647/$H$1964,B647=2023,G647/$H$1965)</f>
        <v>1.2825279469610008E-3</v>
      </c>
      <c r="J647" s="10" cm="1">
        <f t="array" ref="J647">_xlfn.IFS(B647=2015,I647*$G$2,B647=2016,I647*$G$3,B647=2017,I647*$G$4,B647=2018,I647*$G$5,B647=2019,I647*$G$6,B647=2020,I647*$G$7,B647=2021,I647*$G$8,B647=2022,I647*$G$9,B647=2023,I647*$G$10)</f>
        <v>347825.52940190007</v>
      </c>
      <c r="K647" s="8">
        <f t="shared" si="9"/>
        <v>2174789.5294019002</v>
      </c>
      <c r="L647">
        <f>IFERROR(VLOOKUP(F647,'LEAID Match'!$A$2:$B$240,2,FALSE),"")</f>
        <v>0</v>
      </c>
    </row>
    <row r="648" spans="1:12" x14ac:dyDescent="0.2">
      <c r="A648">
        <v>0</v>
      </c>
      <c r="B648">
        <v>2017</v>
      </c>
      <c r="C648" s="4" t="s">
        <v>153</v>
      </c>
      <c r="D648" s="4" t="s">
        <v>576</v>
      </c>
      <c r="E648" s="4" t="s">
        <v>578</v>
      </c>
      <c r="F648" s="9" t="s">
        <v>112</v>
      </c>
      <c r="G648" s="8">
        <v>1510438</v>
      </c>
      <c r="H648">
        <v>1</v>
      </c>
      <c r="I648" s="16" cm="1">
        <f t="array" ref="I648">_xlfn.IFS(B648=2015,G648/$H$1957,B648=2016,G648/$H$1958,B648=2017,G648/$H$1959,B648=2018,G648/$H$1960,B648=2019,G648/$H$1961,B648=2020,G648/$H$1962,B648=2021,G648/$H$1963,B648=2022,G648/$H$1964,B648=2023,G648/$H$1965)</f>
        <v>2.0152457242008518E-3</v>
      </c>
      <c r="J648" s="10" cm="1">
        <f t="array" ref="J648">_xlfn.IFS(B648=2015,I648*$G$2,B648=2016,I648*$G$3,B648=2017,I648*$G$4,B648=2018,I648*$G$5,B648=2019,I648*$G$6,B648=2020,I648*$G$7,B648=2021,I648*$G$8,B648=2022,I648*$G$9,B648=2023,I648*$G$10)</f>
        <v>298430.86126324744</v>
      </c>
      <c r="K648" s="8">
        <f t="shared" si="9"/>
        <v>1808868.8612632474</v>
      </c>
      <c r="L648">
        <f>IFERROR(VLOOKUP(F648,'LEAID Match'!$A$2:$B$240,2,FALSE),"")</f>
        <v>0</v>
      </c>
    </row>
    <row r="649" spans="1:12" x14ac:dyDescent="0.2">
      <c r="A649">
        <v>0</v>
      </c>
      <c r="B649">
        <v>2018</v>
      </c>
      <c r="C649" s="4" t="s">
        <v>153</v>
      </c>
      <c r="D649" s="4" t="s">
        <v>576</v>
      </c>
      <c r="E649" s="4" t="s">
        <v>578</v>
      </c>
      <c r="F649" s="9" t="s">
        <v>112</v>
      </c>
      <c r="G649" s="8">
        <v>2067269</v>
      </c>
      <c r="H649">
        <v>1</v>
      </c>
      <c r="I649" s="16" cm="1">
        <f t="array" ref="I649">_xlfn.IFS(B649=2015,G649/$H$1957,B649=2016,G649/$H$1958,B649=2017,G649/$H$1959,B649=2018,G649/$H$1960,B649=2019,G649/$H$1961,B649=2020,G649/$H$1962,B649=2021,G649/$H$1963,B649=2022,G649/$H$1964,B649=2023,G649/$H$1965)</f>
        <v>2.6599766198535501E-3</v>
      </c>
      <c r="J649" s="10" cm="1">
        <f t="array" ref="J649">_xlfn.IFS(B649=2015,I649*$G$2,B649=2016,I649*$G$3,B649=2017,I649*$G$4,B649=2018,I649*$G$5,B649=2019,I649*$G$6,B649=2020,I649*$G$7,B649=2021,I649*$G$8,B649=2022,I649*$G$9,B649=2023,I649*$G$10)</f>
        <v>400390.11856861267</v>
      </c>
      <c r="K649" s="8">
        <f t="shared" si="9"/>
        <v>2467659.1185686127</v>
      </c>
      <c r="L649">
        <f>IFERROR(VLOOKUP(F649,'LEAID Match'!$A$2:$B$240,2,FALSE),"")</f>
        <v>0</v>
      </c>
    </row>
    <row r="650" spans="1:12" x14ac:dyDescent="0.2">
      <c r="A650">
        <v>0</v>
      </c>
      <c r="B650">
        <v>2019</v>
      </c>
      <c r="C650" s="4" t="s">
        <v>153</v>
      </c>
      <c r="D650" s="4" t="s">
        <v>576</v>
      </c>
      <c r="E650" s="4" t="s">
        <v>578</v>
      </c>
      <c r="F650" s="9" t="s">
        <v>112</v>
      </c>
      <c r="G650" s="8">
        <v>2242512</v>
      </c>
      <c r="H650">
        <v>1</v>
      </c>
      <c r="I650" s="16" cm="1">
        <f t="array" ref="I650">_xlfn.IFS(B650=2015,G650/$H$1957,B650=2016,G650/$H$1958,B650=2017,G650/$H$1959,B650=2018,G650/$H$1960,B650=2019,G650/$H$1961,B650=2020,G650/$H$1962,B650=2021,G650/$H$1963,B650=2022,G650/$H$1964,B650=2023,G650/$H$1965)</f>
        <v>2.7869864038444054E-3</v>
      </c>
      <c r="J650" s="10" cm="1">
        <f t="array" ref="J650">_xlfn.IFS(B650=2015,I650*$G$2,B650=2016,I650*$G$3,B650=2017,I650*$G$4,B650=2018,I650*$G$5,B650=2019,I650*$G$6,B650=2020,I650*$G$7,B650=2021,I650*$G$8,B650=2022,I650*$G$9,B650=2023,I650*$G$10)</f>
        <v>440422.22743906494</v>
      </c>
      <c r="K650" s="8">
        <f t="shared" si="9"/>
        <v>2682934.227439065</v>
      </c>
      <c r="L650">
        <f>IFERROR(VLOOKUP(F650,'LEAID Match'!$A$2:$B$240,2,FALSE),"")</f>
        <v>0</v>
      </c>
    </row>
    <row r="651" spans="1:12" x14ac:dyDescent="0.2">
      <c r="A651">
        <v>0</v>
      </c>
      <c r="B651">
        <v>2020</v>
      </c>
      <c r="C651" s="4" t="s">
        <v>153</v>
      </c>
      <c r="D651" s="4" t="s">
        <v>576</v>
      </c>
      <c r="E651" s="4" t="s">
        <v>578</v>
      </c>
      <c r="F651" s="9" t="s">
        <v>112</v>
      </c>
      <c r="G651" s="8">
        <v>2535894</v>
      </c>
      <c r="H651">
        <v>1</v>
      </c>
      <c r="I651" s="16" cm="1">
        <f t="array" ref="I651">_xlfn.IFS(B651=2015,G651/$H$1957,B651=2016,G651/$H$1958,B651=2017,G651/$H$1959,B651=2018,G651/$H$1960,B651=2019,G651/$H$1961,B651=2020,G651/$H$1962,B651=2021,G651/$H$1963,B651=2022,G651/$H$1964,B651=2023,G651/$H$1965)</f>
        <v>2.916692404926854E-3</v>
      </c>
      <c r="J651" s="10" cm="1">
        <f t="array" ref="J651">_xlfn.IFS(B651=2015,I651*$G$2,B651=2016,I651*$G$3,B651=2017,I651*$G$4,B651=2018,I651*$G$5,B651=2019,I651*$G$6,B651=2020,I651*$G$7,B651=2021,I651*$G$8,B651=2022,I651*$G$9,B651=2023,I651*$G$10)</f>
        <v>503665.80208299396</v>
      </c>
      <c r="K651" s="8">
        <f t="shared" si="9"/>
        <v>3039559.802082994</v>
      </c>
      <c r="L651">
        <f>IFERROR(VLOOKUP(F651,'LEAID Match'!$A$2:$B$240,2,FALSE),"")</f>
        <v>0</v>
      </c>
    </row>
    <row r="652" spans="1:12" x14ac:dyDescent="0.2">
      <c r="A652">
        <v>0</v>
      </c>
      <c r="B652">
        <v>2021</v>
      </c>
      <c r="C652" s="4" t="s">
        <v>153</v>
      </c>
      <c r="D652" s="4" t="s">
        <v>576</v>
      </c>
      <c r="E652" s="4" t="s">
        <v>578</v>
      </c>
      <c r="F652" s="9" t="s">
        <v>112</v>
      </c>
      <c r="G652" s="8">
        <v>2743584</v>
      </c>
      <c r="H652">
        <v>1</v>
      </c>
      <c r="I652" s="16" cm="1">
        <f t="array" ref="I652">_xlfn.IFS(B652=2015,G652/$H$1957,B652=2016,G652/$H$1958,B652=2017,G652/$H$1959,B652=2018,G652/$H$1960,B652=2019,G652/$H$1961,B652=2020,G652/$H$1962,B652=2021,G652/$H$1963,B652=2022,G652/$H$1964,B652=2023,G652/$H$1965)</f>
        <v>3.1353537788542684E-3</v>
      </c>
      <c r="J652" s="10" cm="1">
        <f t="array" ref="J652">_xlfn.IFS(B652=2015,I652*$G$2,B652=2016,I652*$G$3,B652=2017,I652*$G$4,B652=2018,I652*$G$5,B652=2019,I652*$G$6,B652=2020,I652*$G$7,B652=2021,I652*$G$8,B652=2022,I652*$G$9,B652=2023,I652*$G$10)</f>
        <v>538079.49526761321</v>
      </c>
      <c r="K652" s="8">
        <f t="shared" ref="K652:K715" si="10">SUM(G652,J652)</f>
        <v>3281663.4952676133</v>
      </c>
      <c r="L652">
        <f>IFERROR(VLOOKUP(F652,'LEAID Match'!$A$2:$B$240,2,FALSE),"")</f>
        <v>0</v>
      </c>
    </row>
    <row r="653" spans="1:12" x14ac:dyDescent="0.2">
      <c r="A653">
        <v>0</v>
      </c>
      <c r="B653">
        <v>2022</v>
      </c>
      <c r="C653" s="4" t="s">
        <v>153</v>
      </c>
      <c r="D653" s="4" t="s">
        <v>576</v>
      </c>
      <c r="E653" s="4" t="s">
        <v>578</v>
      </c>
      <c r="F653" s="9" t="s">
        <v>112</v>
      </c>
      <c r="G653" s="8">
        <v>3102546</v>
      </c>
      <c r="H653">
        <v>1</v>
      </c>
      <c r="I653" s="16" cm="1">
        <f t="array" ref="I653">_xlfn.IFS(B653=2015,G653/$H$1957,B653=2016,G653/$H$1958,B653=2017,G653/$H$1959,B653=2018,G653/$H$1960,B653=2019,G653/$H$1961,B653=2020,G653/$H$1962,B653=2021,G653/$H$1963,B653=2022,G653/$H$1964,B653=2023,G653/$H$1965)</f>
        <v>3.3346236012599343E-3</v>
      </c>
      <c r="J653" s="10" cm="1">
        <f t="array" ref="J653">_xlfn.IFS(B653=2015,I653*$G$2,B653=2016,I653*$G$3,B653=2017,I653*$G$4,B653=2018,I653*$G$5,B653=2019,I653*$G$6,B653=2020,I653*$G$7,B653=2021,I653*$G$8,B653=2022,I653*$G$9,B653=2023,I653*$G$10)</f>
        <v>565504.30759038322</v>
      </c>
      <c r="K653" s="8">
        <f t="shared" si="10"/>
        <v>3668050.3075903831</v>
      </c>
      <c r="L653">
        <f>IFERROR(VLOOKUP(F653,'LEAID Match'!$A$2:$B$240,2,FALSE),"")</f>
        <v>0</v>
      </c>
    </row>
    <row r="654" spans="1:12" x14ac:dyDescent="0.2">
      <c r="A654">
        <v>0</v>
      </c>
      <c r="B654">
        <v>2023</v>
      </c>
      <c r="C654" s="4" t="s">
        <v>153</v>
      </c>
      <c r="D654" s="4" t="s">
        <v>576</v>
      </c>
      <c r="E654" s="4" t="s">
        <v>578</v>
      </c>
      <c r="F654" s="9" t="s">
        <v>112</v>
      </c>
      <c r="G654" s="8">
        <v>3325068</v>
      </c>
      <c r="H654">
        <v>1</v>
      </c>
      <c r="I654" s="16" cm="1">
        <f t="array" ref="I654">_xlfn.IFS(B654=2015,G654/$H$1957,B654=2016,G654/$H$1958,B654=2017,G654/$H$1959,B654=2018,G654/$H$1960,B654=2019,G654/$H$1961,B654=2020,G654/$H$1962,B654=2021,G654/$H$1963,B654=2022,G654/$H$1964,B654=2023,G654/$H$1965)</f>
        <v>3.3665967382293465E-3</v>
      </c>
      <c r="J654" s="10" cm="1">
        <f t="array" ref="J654">_xlfn.IFS(B654=2015,I654*$G$2,B654=2016,I654*$G$3,B654=2017,I654*$G$4,B654=2018,I654*$G$5,B654=2019,I654*$G$6,B654=2020,I654*$G$7,B654=2021,I654*$G$8,B654=2022,I654*$G$9,B654=2023,I654*$G$10)</f>
        <v>572272.02049227501</v>
      </c>
      <c r="K654" s="8">
        <f t="shared" si="10"/>
        <v>3897340.0204922752</v>
      </c>
      <c r="L654">
        <f>IFERROR(VLOOKUP(F654,'LEAID Match'!$A$2:$B$240,2,FALSE),"")</f>
        <v>0</v>
      </c>
    </row>
    <row r="655" spans="1:12" x14ac:dyDescent="0.2">
      <c r="A655">
        <v>0</v>
      </c>
      <c r="B655">
        <v>2015</v>
      </c>
      <c r="C655" s="4" t="s">
        <v>154</v>
      </c>
      <c r="D655" s="4" t="s">
        <v>576</v>
      </c>
      <c r="E655" s="4" t="s">
        <v>578</v>
      </c>
      <c r="F655" s="9" t="s">
        <v>113</v>
      </c>
      <c r="G655" s="8">
        <v>104903</v>
      </c>
      <c r="H655">
        <v>1</v>
      </c>
      <c r="I655" s="16" cm="1">
        <f t="array" ref="I655">_xlfn.IFS(B655=2015,G655/$H$1957,B655=2016,G655/$H$1958,B655=2017,G655/$H$1959,B655=2018,G655/$H$1960,B655=2019,G655/$H$1961,B655=2020,G655/$H$1962,B655=2021,G655/$H$1963,B655=2022,G655/$H$1964,B655=2023,G655/$H$1965)</f>
        <v>8.1012232379100598E-5</v>
      </c>
      <c r="J655" s="10" cm="1">
        <f t="array" ref="J655">_xlfn.IFS(B655=2015,I655*$G$2,B655=2016,I655*$G$3,B655=2017,I655*$G$4,B655=2018,I655*$G$5,B655=2019,I655*$G$6,B655=2020,I655*$G$7,B655=2021,I655*$G$8,B655=2022,I655*$G$9,B655=2023,I655*$G$10)</f>
        <v>20143.09006523795</v>
      </c>
      <c r="K655" s="8">
        <f t="shared" si="10"/>
        <v>125046.09006523795</v>
      </c>
      <c r="L655">
        <f>IFERROR(VLOOKUP(F655,'LEAID Match'!$A$2:$B$240,2,FALSE),"")</f>
        <v>0</v>
      </c>
    </row>
    <row r="656" spans="1:12" x14ac:dyDescent="0.2">
      <c r="A656">
        <v>0</v>
      </c>
      <c r="B656">
        <v>2016</v>
      </c>
      <c r="C656" s="4" t="s">
        <v>154</v>
      </c>
      <c r="D656" s="4" t="s">
        <v>576</v>
      </c>
      <c r="E656" s="4" t="s">
        <v>578</v>
      </c>
      <c r="F656" s="9" t="s">
        <v>113</v>
      </c>
      <c r="G656" s="8">
        <v>131085</v>
      </c>
      <c r="H656">
        <v>1</v>
      </c>
      <c r="I656" s="16" cm="1">
        <f t="array" ref="I656">_xlfn.IFS(B656=2015,G656/$H$1957,B656=2016,G656/$H$1958,B656=2017,G656/$H$1959,B656=2018,G656/$H$1960,B656=2019,G656/$H$1961,B656=2020,G656/$H$1962,B656=2021,G656/$H$1963,B656=2022,G656/$H$1964,B656=2023,G656/$H$1965)</f>
        <v>9.2021613960309451E-5</v>
      </c>
      <c r="J656" s="10" cm="1">
        <f t="array" ref="J656">_xlfn.IFS(B656=2015,I656*$G$2,B656=2016,I656*$G$3,B656=2017,I656*$G$4,B656=2018,I656*$G$5,B656=2019,I656*$G$6,B656=2020,I656*$G$7,B656=2021,I656*$G$8,B656=2022,I656*$G$9,B656=2023,I656*$G$10)</f>
        <v>24956.54513260692</v>
      </c>
      <c r="K656" s="8">
        <f t="shared" si="10"/>
        <v>156041.54513260693</v>
      </c>
      <c r="L656">
        <f>IFERROR(VLOOKUP(F656,'LEAID Match'!$A$2:$B$240,2,FALSE),"")</f>
        <v>0</v>
      </c>
    </row>
    <row r="657" spans="1:12" x14ac:dyDescent="0.2">
      <c r="A657">
        <v>0</v>
      </c>
      <c r="B657">
        <v>2017</v>
      </c>
      <c r="C657" s="4" t="s">
        <v>154</v>
      </c>
      <c r="D657" s="4" t="s">
        <v>576</v>
      </c>
      <c r="E657" s="4" t="s">
        <v>578</v>
      </c>
      <c r="F657" s="9" t="s">
        <v>113</v>
      </c>
      <c r="G657" s="8">
        <v>77504</v>
      </c>
      <c r="H657">
        <v>1</v>
      </c>
      <c r="I657" s="16" cm="1">
        <f t="array" ref="I657">_xlfn.IFS(B657=2015,G657/$H$1957,B657=2016,G657/$H$1958,B657=2017,G657/$H$1959,B657=2018,G657/$H$1960,B657=2019,G657/$H$1961,B657=2020,G657/$H$1962,B657=2021,G657/$H$1963,B657=2022,G657/$H$1964,B657=2023,G657/$H$1965)</f>
        <v>1.0340682941535026E-4</v>
      </c>
      <c r="J657" s="10" cm="1">
        <f t="array" ref="J657">_xlfn.IFS(B657=2015,I657*$G$2,B657=2016,I657*$G$3,B657=2017,I657*$G$4,B657=2018,I657*$G$5,B657=2019,I657*$G$6,B657=2020,I657*$G$7,B657=2021,I657*$G$8,B657=2022,I657*$G$9,B657=2023,I657*$G$10)</f>
        <v>15313.164440610426</v>
      </c>
      <c r="K657" s="8">
        <f t="shared" si="10"/>
        <v>92817.164440610431</v>
      </c>
      <c r="L657">
        <f>IFERROR(VLOOKUP(F657,'LEAID Match'!$A$2:$B$240,2,FALSE),"")</f>
        <v>0</v>
      </c>
    </row>
    <row r="658" spans="1:12" x14ac:dyDescent="0.2">
      <c r="A658">
        <v>0</v>
      </c>
      <c r="B658">
        <v>2018</v>
      </c>
      <c r="C658" s="4" t="s">
        <v>154</v>
      </c>
      <c r="D658" s="4" t="s">
        <v>576</v>
      </c>
      <c r="E658" s="4" t="s">
        <v>578</v>
      </c>
      <c r="F658" s="9" t="s">
        <v>113</v>
      </c>
      <c r="G658" s="8">
        <v>89354</v>
      </c>
      <c r="H658">
        <v>1</v>
      </c>
      <c r="I658" s="16" cm="1">
        <f t="array" ref="I658">_xlfn.IFS(B658=2015,G658/$H$1957,B658=2016,G658/$H$1958,B658=2017,G658/$H$1959,B658=2018,G658/$H$1960,B658=2019,G658/$H$1961,B658=2020,G658/$H$1962,B658=2021,G658/$H$1963,B658=2022,G658/$H$1964,B658=2023,G658/$H$1965)</f>
        <v>1.149727253155705E-4</v>
      </c>
      <c r="J658" s="10" cm="1">
        <f t="array" ref="J658">_xlfn.IFS(B658=2015,I658*$G$2,B658=2016,I658*$G$3,B658=2017,I658*$G$4,B658=2018,I658*$G$5,B658=2019,I658*$G$6,B658=2020,I658*$G$7,B658=2021,I658*$G$8,B658=2022,I658*$G$9,B658=2023,I658*$G$10)</f>
        <v>17306.145767473809</v>
      </c>
      <c r="K658" s="8">
        <f t="shared" si="10"/>
        <v>106660.1457674738</v>
      </c>
      <c r="L658">
        <f>IFERROR(VLOOKUP(F658,'LEAID Match'!$A$2:$B$240,2,FALSE),"")</f>
        <v>0</v>
      </c>
    </row>
    <row r="659" spans="1:12" x14ac:dyDescent="0.2">
      <c r="A659">
        <v>0</v>
      </c>
      <c r="B659">
        <v>2019</v>
      </c>
      <c r="C659" s="4" t="s">
        <v>154</v>
      </c>
      <c r="D659" s="4" t="s">
        <v>576</v>
      </c>
      <c r="E659" s="4" t="s">
        <v>578</v>
      </c>
      <c r="F659" s="9" t="s">
        <v>113</v>
      </c>
      <c r="G659" s="8">
        <v>95325</v>
      </c>
      <c r="H659">
        <v>1</v>
      </c>
      <c r="I659" s="16" cm="1">
        <f t="array" ref="I659">_xlfn.IFS(B659=2015,G659/$H$1957,B659=2016,G659/$H$1958,B659=2017,G659/$H$1959,B659=2018,G659/$H$1960,B659=2019,G659/$H$1961,B659=2020,G659/$H$1962,B659=2021,G659/$H$1963,B659=2022,G659/$H$1964,B659=2023,G659/$H$1965)</f>
        <v>1.1846959077430486E-4</v>
      </c>
      <c r="J659" s="10" cm="1">
        <f t="array" ref="J659">_xlfn.IFS(B659=2015,I659*$G$2,B659=2016,I659*$G$3,B659=2017,I659*$G$4,B659=2018,I659*$G$5,B659=2019,I659*$G$6,B659=2020,I659*$G$7,B659=2021,I659*$G$8,B659=2022,I659*$G$9,B659=2023,I659*$G$10)</f>
        <v>18721.526944171925</v>
      </c>
      <c r="K659" s="8">
        <f t="shared" si="10"/>
        <v>114046.52694417193</v>
      </c>
      <c r="L659">
        <f>IFERROR(VLOOKUP(F659,'LEAID Match'!$A$2:$B$240,2,FALSE),"")</f>
        <v>0</v>
      </c>
    </row>
    <row r="660" spans="1:12" x14ac:dyDescent="0.2">
      <c r="A660">
        <v>0</v>
      </c>
      <c r="B660">
        <v>2020</v>
      </c>
      <c r="C660" s="4" t="s">
        <v>154</v>
      </c>
      <c r="D660" s="4" t="s">
        <v>576</v>
      </c>
      <c r="E660" s="4" t="s">
        <v>578</v>
      </c>
      <c r="F660" s="9" t="s">
        <v>113</v>
      </c>
      <c r="G660" s="8">
        <v>117933</v>
      </c>
      <c r="H660">
        <v>1</v>
      </c>
      <c r="I660" s="16" cm="1">
        <f t="array" ref="I660">_xlfn.IFS(B660=2015,G660/$H$1957,B660=2016,G660/$H$1958,B660=2017,G660/$H$1959,B660=2018,G660/$H$1960,B660=2019,G660/$H$1961,B660=2020,G660/$H$1962,B660=2021,G660/$H$1963,B660=2022,G660/$H$1964,B660=2023,G660/$H$1965)</f>
        <v>1.3564221745476692E-4</v>
      </c>
      <c r="J660" s="10" cm="1">
        <f t="array" ref="J660">_xlfn.IFS(B660=2015,I660*$G$2,B660=2016,I660*$G$3,B660=2017,I660*$G$4,B660=2018,I660*$G$5,B660=2019,I660*$G$6,B660=2020,I660*$G$7,B660=2021,I660*$G$8,B660=2022,I660*$G$9,B660=2023,I660*$G$10)</f>
        <v>23423.226300883922</v>
      </c>
      <c r="K660" s="8">
        <f t="shared" si="10"/>
        <v>141356.22630088392</v>
      </c>
      <c r="L660">
        <f>IFERROR(VLOOKUP(F660,'LEAID Match'!$A$2:$B$240,2,FALSE),"")</f>
        <v>0</v>
      </c>
    </row>
    <row r="661" spans="1:12" x14ac:dyDescent="0.2">
      <c r="A661">
        <v>0</v>
      </c>
      <c r="B661">
        <v>2021</v>
      </c>
      <c r="C661" s="4" t="s">
        <v>154</v>
      </c>
      <c r="D661" s="4" t="s">
        <v>576</v>
      </c>
      <c r="E661" s="4" t="s">
        <v>578</v>
      </c>
      <c r="F661" s="9" t="s">
        <v>113</v>
      </c>
      <c r="G661" s="8">
        <v>125086</v>
      </c>
      <c r="H661">
        <v>1</v>
      </c>
      <c r="I661" s="16" cm="1">
        <f t="array" ref="I661">_xlfn.IFS(B661=2015,G661/$H$1957,B661=2016,G661/$H$1958,B661=2017,G661/$H$1959,B661=2018,G661/$H$1960,B661=2019,G661/$H$1961,B661=2020,G661/$H$1962,B661=2021,G661/$H$1963,B661=2022,G661/$H$1964,B661=2023,G661/$H$1965)</f>
        <v>1.4294764176411766E-4</v>
      </c>
      <c r="J661" s="10" cm="1">
        <f t="array" ref="J661">_xlfn.IFS(B661=2015,I661*$G$2,B661=2016,I661*$G$3,B661=2017,I661*$G$4,B661=2018,I661*$G$5,B661=2019,I661*$G$6,B661=2020,I661*$G$7,B661=2021,I661*$G$8,B661=2022,I661*$G$9,B661=2023,I661*$G$10)</f>
        <v>24532.221993219333</v>
      </c>
      <c r="K661" s="8">
        <f t="shared" si="10"/>
        <v>149618.22199321934</v>
      </c>
      <c r="L661">
        <f>IFERROR(VLOOKUP(F661,'LEAID Match'!$A$2:$B$240,2,FALSE),"")</f>
        <v>0</v>
      </c>
    </row>
    <row r="662" spans="1:12" x14ac:dyDescent="0.2">
      <c r="A662">
        <v>0</v>
      </c>
      <c r="B662">
        <v>2022</v>
      </c>
      <c r="C662" s="4" t="s">
        <v>154</v>
      </c>
      <c r="D662" s="4" t="s">
        <v>576</v>
      </c>
      <c r="E662" s="4" t="s">
        <v>578</v>
      </c>
      <c r="F662" s="9" t="s">
        <v>113</v>
      </c>
      <c r="G662" s="8">
        <v>123790</v>
      </c>
      <c r="H662">
        <v>1</v>
      </c>
      <c r="I662" s="16" cm="1">
        <f t="array" ref="I662">_xlfn.IFS(B662=2015,G662/$H$1957,B662=2016,G662/$H$1958,B662=2017,G662/$H$1959,B662=2018,G662/$H$1960,B662=2019,G662/$H$1961,B662=2020,G662/$H$1962,B662=2021,G662/$H$1963,B662=2022,G662/$H$1964,B662=2023,G662/$H$1965)</f>
        <v>1.3304977769869238E-4</v>
      </c>
      <c r="J662" s="10" cm="1">
        <f t="array" ref="J662">_xlfn.IFS(B662=2015,I662*$G$2,B662=2016,I662*$G$3,B662=2017,I662*$G$4,B662=2018,I662*$G$5,B662=2019,I662*$G$6,B662=2020,I662*$G$7,B662=2021,I662*$G$8,B662=2022,I662*$G$9,B662=2023,I662*$G$10)</f>
        <v>22563.332900338475</v>
      </c>
      <c r="K662" s="8">
        <f t="shared" si="10"/>
        <v>146353.33290033849</v>
      </c>
      <c r="L662">
        <f>IFERROR(VLOOKUP(F662,'LEAID Match'!$A$2:$B$240,2,FALSE),"")</f>
        <v>0</v>
      </c>
    </row>
    <row r="663" spans="1:12" x14ac:dyDescent="0.2">
      <c r="A663">
        <v>0</v>
      </c>
      <c r="B663">
        <v>2023</v>
      </c>
      <c r="C663" s="4" t="s">
        <v>154</v>
      </c>
      <c r="D663" s="4" t="s">
        <v>576</v>
      </c>
      <c r="E663" s="4" t="s">
        <v>578</v>
      </c>
      <c r="F663" s="9" t="s">
        <v>113</v>
      </c>
      <c r="G663" s="8">
        <v>118865</v>
      </c>
      <c r="H663">
        <v>1</v>
      </c>
      <c r="I663" s="16" cm="1">
        <f t="array" ref="I663">_xlfn.IFS(B663=2015,G663/$H$1957,B663=2016,G663/$H$1958,B663=2017,G663/$H$1959,B663=2018,G663/$H$1960,B663=2019,G663/$H$1961,B663=2020,G663/$H$1962,B663=2021,G663/$H$1963,B663=2022,G663/$H$1964,B663=2023,G663/$H$1965)</f>
        <v>1.2034957519353928E-4</v>
      </c>
      <c r="J663" s="10" cm="1">
        <f t="array" ref="J663">_xlfn.IFS(B663=2015,I663*$G$2,B663=2016,I663*$G$3,B663=2017,I663*$G$4,B663=2018,I663*$G$5,B663=2019,I663*$G$6,B663=2020,I663*$G$7,B663=2021,I663*$G$8,B663=2022,I663*$G$9,B663=2023,I663*$G$10)</f>
        <v>20457.660930788261</v>
      </c>
      <c r="K663" s="8">
        <f t="shared" si="10"/>
        <v>139322.66093078826</v>
      </c>
      <c r="L663">
        <f>IFERROR(VLOOKUP(F663,'LEAID Match'!$A$2:$B$240,2,FALSE),"")</f>
        <v>0</v>
      </c>
    </row>
    <row r="664" spans="1:12" x14ac:dyDescent="0.2">
      <c r="A664">
        <v>0</v>
      </c>
      <c r="B664">
        <v>2015</v>
      </c>
      <c r="C664" s="4" t="s">
        <v>155</v>
      </c>
      <c r="D664" s="4" t="s">
        <v>576</v>
      </c>
      <c r="E664" s="4" t="s">
        <v>578</v>
      </c>
      <c r="F664" s="4" t="s">
        <v>114</v>
      </c>
      <c r="G664" s="8">
        <v>129083</v>
      </c>
      <c r="I664" s="16" cm="1">
        <f t="array" ref="I664">_xlfn.IFS(B664=2015,G664/$H$1957,B664=2016,G664/$H$1958,B664=2017,G664/$H$1959,B664=2018,G664/$H$1960,B664=2019,G664/$H$1961,B664=2020,G664/$H$1962,B664=2021,G664/$H$1963,B664=2022,G664/$H$1964,B664=2023,G664/$H$1965)</f>
        <v>9.9685442667906947E-5</v>
      </c>
      <c r="J664" s="10" cm="1">
        <f t="array" ref="J664">_xlfn.IFS(B664=2015,I664*$G$2,B664=2016,I664*$G$3,B664=2017,I664*$G$4,B664=2018,I664*$G$5,B664=2019,I664*$G$6,B664=2020,I664*$G$7,B664=2021,I664*$G$8,B664=2022,I664*$G$9,B664=2023,I664*$G$10)</f>
        <v>24786.045154963253</v>
      </c>
      <c r="K664" s="8">
        <f t="shared" si="10"/>
        <v>153869.04515496324</v>
      </c>
      <c r="L664">
        <f>IFERROR(VLOOKUP(F664,'LEAID Match'!$A$2:$B$240,2,FALSE),"")</f>
        <v>0</v>
      </c>
    </row>
    <row r="665" spans="1:12" x14ac:dyDescent="0.2">
      <c r="A665">
        <v>0</v>
      </c>
      <c r="B665">
        <v>2016</v>
      </c>
      <c r="C665" s="4" t="s">
        <v>155</v>
      </c>
      <c r="D665" s="4" t="s">
        <v>576</v>
      </c>
      <c r="E665" s="4" t="s">
        <v>578</v>
      </c>
      <c r="F665" s="4" t="s">
        <v>114</v>
      </c>
      <c r="G665" s="8">
        <v>473828</v>
      </c>
      <c r="I665" s="16" cm="1">
        <f t="array" ref="I665">_xlfn.IFS(B665=2015,G665/$H$1957,B665=2016,G665/$H$1958,B665=2017,G665/$H$1959,B665=2018,G665/$H$1960,B665=2019,G665/$H$1961,B665=2020,G665/$H$1962,B665=2021,G665/$H$1963,B665=2022,G665/$H$1964,B665=2023,G665/$H$1965)</f>
        <v>3.326270534354465E-4</v>
      </c>
      <c r="J665" s="10" cm="1">
        <f t="array" ref="J665">_xlfn.IFS(B665=2015,I665*$G$2,B665=2016,I665*$G$3,B665=2017,I665*$G$4,B665=2018,I665*$G$5,B665=2019,I665*$G$6,B665=2020,I665*$G$7,B665=2021,I665*$G$8,B665=2022,I665*$G$9,B665=2023,I665*$G$10)</f>
        <v>90209.481383017672</v>
      </c>
      <c r="K665" s="8">
        <f t="shared" si="10"/>
        <v>564037.48138301773</v>
      </c>
      <c r="L665">
        <f>IFERROR(VLOOKUP(F665,'LEAID Match'!$A$2:$B$240,2,FALSE),"")</f>
        <v>0</v>
      </c>
    </row>
    <row r="666" spans="1:12" x14ac:dyDescent="0.2">
      <c r="A666">
        <v>0</v>
      </c>
      <c r="B666">
        <v>2017</v>
      </c>
      <c r="C666" s="4" t="s">
        <v>155</v>
      </c>
      <c r="D666" s="4" t="s">
        <v>576</v>
      </c>
      <c r="E666" s="4" t="s">
        <v>578</v>
      </c>
      <c r="F666" s="4" t="s">
        <v>114</v>
      </c>
      <c r="G666" s="8">
        <v>457318</v>
      </c>
      <c r="I666" s="16" cm="1">
        <f t="array" ref="I666">_xlfn.IFS(B666=2015,G666/$H$1957,B666=2016,G666/$H$1958,B666=2017,G666/$H$1959,B666=2018,G666/$H$1960,B666=2019,G666/$H$1961,B666=2020,G666/$H$1962,B666=2021,G666/$H$1963,B666=2022,G666/$H$1964,B666=2023,G666/$H$1965)</f>
        <v>6.1015953259920973E-4</v>
      </c>
      <c r="J666" s="10" cm="1">
        <f t="array" ref="J666">_xlfn.IFS(B666=2015,I666*$G$2,B666=2016,I666*$G$3,B666=2017,I666*$G$4,B666=2018,I666*$G$5,B666=2019,I666*$G$6,B666=2020,I666*$G$7,B666=2021,I666*$G$8,B666=2022,I666*$G$9,B666=2023,I666*$G$10)</f>
        <v>90356.442708132206</v>
      </c>
      <c r="K666" s="8">
        <f t="shared" si="10"/>
        <v>547674.44270813221</v>
      </c>
      <c r="L666">
        <f>IFERROR(VLOOKUP(F666,'LEAID Match'!$A$2:$B$240,2,FALSE),"")</f>
        <v>0</v>
      </c>
    </row>
    <row r="667" spans="1:12" x14ac:dyDescent="0.2">
      <c r="A667">
        <v>0</v>
      </c>
      <c r="B667">
        <v>2018</v>
      </c>
      <c r="C667" s="4" t="s">
        <v>155</v>
      </c>
      <c r="D667" s="4" t="s">
        <v>576</v>
      </c>
      <c r="E667" s="4" t="s">
        <v>578</v>
      </c>
      <c r="F667" s="4" t="s">
        <v>114</v>
      </c>
      <c r="G667" s="8">
        <v>470060</v>
      </c>
      <c r="I667" s="16" cm="1">
        <f t="array" ref="I667">_xlfn.IFS(B667=2015,G667/$H$1957,B667=2016,G667/$H$1958,B667=2017,G667/$H$1959,B667=2018,G667/$H$1960,B667=2019,G667/$H$1961,B667=2020,G667/$H$1962,B667=2021,G667/$H$1963,B667=2022,G667/$H$1964,B667=2023,G667/$H$1965)</f>
        <v>6.0483111289743121E-4</v>
      </c>
      <c r="J667" s="10" cm="1">
        <f t="array" ref="J667">_xlfn.IFS(B667=2015,I667*$G$2,B667=2016,I667*$G$3,B667=2017,I667*$G$4,B667=2018,I667*$G$5,B667=2019,I667*$G$6,B667=2020,I667*$G$7,B667=2021,I667*$G$8,B667=2022,I667*$G$9,B667=2023,I667*$G$10)</f>
        <v>91041.552470608352</v>
      </c>
      <c r="K667" s="8">
        <f t="shared" si="10"/>
        <v>561101.55247060838</v>
      </c>
      <c r="L667">
        <f>IFERROR(VLOOKUP(F667,'LEAID Match'!$A$2:$B$240,2,FALSE),"")</f>
        <v>0</v>
      </c>
    </row>
    <row r="668" spans="1:12" x14ac:dyDescent="0.2">
      <c r="A668">
        <v>0</v>
      </c>
      <c r="B668">
        <v>2019</v>
      </c>
      <c r="C668" s="4" t="s">
        <v>155</v>
      </c>
      <c r="D668" s="4" t="s">
        <v>576</v>
      </c>
      <c r="E668" s="4" t="s">
        <v>578</v>
      </c>
      <c r="F668" s="4" t="s">
        <v>114</v>
      </c>
      <c r="G668" s="8">
        <v>472907</v>
      </c>
      <c r="I668" s="16" cm="1">
        <f t="array" ref="I668">_xlfn.IFS(B668=2015,G668/$H$1957,B668=2016,G668/$H$1958,B668=2017,G668/$H$1959,B668=2018,G668/$H$1960,B668=2019,G668/$H$1961,B668=2020,G668/$H$1962,B668=2021,G668/$H$1963,B668=2022,G668/$H$1964,B668=2023,G668/$H$1965)</f>
        <v>5.8772723592241476E-4</v>
      </c>
      <c r="J668" s="10" cm="1">
        <f t="array" ref="J668">_xlfn.IFS(B668=2015,I668*$G$2,B668=2016,I668*$G$3,B668=2017,I668*$G$4,B668=2018,I668*$G$5,B668=2019,I668*$G$6,B668=2020,I668*$G$7,B668=2021,I668*$G$8,B668=2022,I668*$G$9,B668=2023,I668*$G$10)</f>
        <v>92877.431341070143</v>
      </c>
      <c r="K668" s="8">
        <f t="shared" si="10"/>
        <v>565784.4313410701</v>
      </c>
      <c r="L668">
        <f>IFERROR(VLOOKUP(F668,'LEAID Match'!$A$2:$B$240,2,FALSE),"")</f>
        <v>0</v>
      </c>
    </row>
    <row r="669" spans="1:12" x14ac:dyDescent="0.2">
      <c r="A669">
        <v>0</v>
      </c>
      <c r="B669">
        <v>2020</v>
      </c>
      <c r="C669" s="4" t="s">
        <v>155</v>
      </c>
      <c r="D669" s="4" t="s">
        <v>576</v>
      </c>
      <c r="E669" s="4" t="s">
        <v>578</v>
      </c>
      <c r="F669" s="4" t="s">
        <v>114</v>
      </c>
      <c r="G669" s="8">
        <v>576902</v>
      </c>
      <c r="I669" s="16" cm="1">
        <f t="array" ref="I669">_xlfn.IFS(B669=2015,G669/$H$1957,B669=2016,G669/$H$1958,B669=2017,G669/$H$1959,B669=2018,G669/$H$1960,B669=2019,G669/$H$1961,B669=2020,G669/$H$1962,B669=2021,G669/$H$1963,B669=2022,G669/$H$1964,B669=2023,G669/$H$1965)</f>
        <v>6.6353155210237963E-4</v>
      </c>
      <c r="J669" s="10" cm="1">
        <f t="array" ref="J669">_xlfn.IFS(B669=2015,I669*$G$2,B669=2016,I669*$G$3,B669=2017,I669*$G$4,B669=2018,I669*$G$5,B669=2019,I669*$G$6,B669=2020,I669*$G$7,B669=2021,I669*$G$8,B669=2022,I669*$G$9,B669=2023,I669*$G$10)</f>
        <v>114581.2122089028</v>
      </c>
      <c r="K669" s="8">
        <f t="shared" si="10"/>
        <v>691483.21220890281</v>
      </c>
      <c r="L669">
        <f>IFERROR(VLOOKUP(F669,'LEAID Match'!$A$2:$B$240,2,FALSE),"")</f>
        <v>0</v>
      </c>
    </row>
    <row r="670" spans="1:12" x14ac:dyDescent="0.2">
      <c r="A670">
        <v>0</v>
      </c>
      <c r="B670">
        <v>2021</v>
      </c>
      <c r="C670" s="4" t="s">
        <v>155</v>
      </c>
      <c r="D670" s="4" t="s">
        <v>576</v>
      </c>
      <c r="E670" s="4" t="s">
        <v>578</v>
      </c>
      <c r="F670" s="4" t="s">
        <v>114</v>
      </c>
      <c r="G670" s="8">
        <v>948746</v>
      </c>
      <c r="I670" s="16" cm="1">
        <f t="array" ref="I670">_xlfn.IFS(B670=2015,G670/$H$1957,B670=2016,G670/$H$1958,B670=2017,G670/$H$1959,B670=2018,G670/$H$1960,B670=2019,G670/$H$1961,B670=2020,G670/$H$1962,B670=2021,G670/$H$1963,B670=2022,G670/$H$1964,B670=2023,G670/$H$1965)</f>
        <v>1.0842220818727882E-3</v>
      </c>
      <c r="J670" s="10" cm="1">
        <f t="array" ref="J670">_xlfn.IFS(B670=2015,I670*$G$2,B670=2016,I670*$G$3,B670=2017,I670*$G$4,B670=2018,I670*$G$5,B670=2019,I670*$G$6,B670=2020,I670*$G$7,B670=2021,I670*$G$8,B670=2022,I670*$G$9,B670=2023,I670*$G$10)</f>
        <v>186070.76321234085</v>
      </c>
      <c r="K670" s="8">
        <f t="shared" si="10"/>
        <v>1134816.7632123409</v>
      </c>
      <c r="L670">
        <f>IFERROR(VLOOKUP(F670,'LEAID Match'!$A$2:$B$240,2,FALSE),"")</f>
        <v>0</v>
      </c>
    </row>
    <row r="671" spans="1:12" x14ac:dyDescent="0.2">
      <c r="A671">
        <v>0</v>
      </c>
      <c r="B671">
        <v>2022</v>
      </c>
      <c r="C671" s="4" t="s">
        <v>155</v>
      </c>
      <c r="D671" s="4" t="s">
        <v>576</v>
      </c>
      <c r="E671" s="4" t="s">
        <v>578</v>
      </c>
      <c r="F671" s="4" t="s">
        <v>114</v>
      </c>
      <c r="G671" s="8">
        <v>1210182</v>
      </c>
      <c r="I671" s="16" cm="1">
        <f t="array" ref="I671">_xlfn.IFS(B671=2015,G671/$H$1957,B671=2016,G671/$H$1958,B671=2017,G671/$H$1959,B671=2018,G671/$H$1960,B671=2019,G671/$H$1961,B671=2020,G671/$H$1962,B671=2021,G671/$H$1963,B671=2022,G671/$H$1964,B671=2023,G671/$H$1965)</f>
        <v>1.3007064066157118E-3</v>
      </c>
      <c r="J671" s="10" cm="1">
        <f t="array" ref="J671">_xlfn.IFS(B671=2015,I671*$G$2,B671=2016,I671*$G$3,B671=2017,I671*$G$4,B671=2018,I671*$G$5,B671=2019,I671*$G$6,B671=2020,I671*$G$7,B671=2021,I671*$G$8,B671=2022,I671*$G$9,B671=2023,I671*$G$10)</f>
        <v>220581.14012438338</v>
      </c>
      <c r="K671" s="8">
        <f t="shared" si="10"/>
        <v>1430763.1401243834</v>
      </c>
      <c r="L671">
        <f>IFERROR(VLOOKUP(F671,'LEAID Match'!$A$2:$B$240,2,FALSE),"")</f>
        <v>0</v>
      </c>
    </row>
    <row r="672" spans="1:12" x14ac:dyDescent="0.2">
      <c r="A672">
        <v>0</v>
      </c>
      <c r="B672">
        <v>2023</v>
      </c>
      <c r="C672" s="4" t="s">
        <v>155</v>
      </c>
      <c r="D672" s="4" t="s">
        <v>576</v>
      </c>
      <c r="E672" s="4" t="s">
        <v>578</v>
      </c>
      <c r="F672" s="4" t="s">
        <v>114</v>
      </c>
      <c r="G672" s="8">
        <v>1282481</v>
      </c>
      <c r="I672" s="16" cm="1">
        <f t="array" ref="I672">_xlfn.IFS(B672=2015,G672/$H$1957,B672=2016,G672/$H$1958,B672=2017,G672/$H$1959,B672=2018,G672/$H$1960,B672=2019,G672/$H$1961,B672=2020,G672/$H$1962,B672=2021,G672/$H$1963,B672=2022,G672/$H$1964,B672=2023,G672/$H$1965)</f>
        <v>1.2984986627164047E-3</v>
      </c>
      <c r="J672" s="10" cm="1">
        <f t="array" ref="J672">_xlfn.IFS(B672=2015,I672*$G$2,B672=2016,I672*$G$3,B672=2017,I672*$G$4,B672=2018,I672*$G$5,B672=2019,I672*$G$6,B672=2020,I672*$G$7,B672=2021,I672*$G$8,B672=2022,I672*$G$9,B672=2023,I672*$G$10)</f>
        <v>220725.70940292146</v>
      </c>
      <c r="K672" s="8">
        <f t="shared" si="10"/>
        <v>1503206.7094029214</v>
      </c>
      <c r="L672">
        <f>IFERROR(VLOOKUP(F672,'LEAID Match'!$A$2:$B$240,2,FALSE),"")</f>
        <v>0</v>
      </c>
    </row>
    <row r="673" spans="1:12" x14ac:dyDescent="0.2">
      <c r="A673">
        <v>0</v>
      </c>
      <c r="B673">
        <v>2015</v>
      </c>
      <c r="C673" s="4" t="s">
        <v>156</v>
      </c>
      <c r="D673" s="4" t="s">
        <v>576</v>
      </c>
      <c r="E673" s="4" t="s">
        <v>578</v>
      </c>
      <c r="F673" s="9" t="s">
        <v>115</v>
      </c>
      <c r="G673" s="8">
        <v>272852</v>
      </c>
      <c r="H673">
        <v>1</v>
      </c>
      <c r="I673" s="16" cm="1">
        <f t="array" ref="I673">_xlfn.IFS(B673=2015,G673/$H$1957,B673=2016,G673/$H$1958,B673=2017,G673/$H$1959,B673=2018,G673/$H$1960,B673=2019,G673/$H$1961,B673=2020,G673/$H$1962,B673=2021,G673/$H$1963,B673=2022,G673/$H$1964,B673=2023,G673/$H$1965)</f>
        <v>2.1071227352032217E-4</v>
      </c>
      <c r="J673" s="10" cm="1">
        <f t="array" ref="J673">_xlfn.IFS(B673=2015,I673*$G$2,B673=2016,I673*$G$3,B673=2017,I673*$G$4,B673=2018,I673*$G$5,B673=2019,I673*$G$6,B673=2020,I673*$G$7,B673=2021,I673*$G$8,B673=2022,I673*$G$9,B673=2023,I673*$G$10)</f>
        <v>52392.042272197221</v>
      </c>
      <c r="K673" s="8">
        <f t="shared" si="10"/>
        <v>325244.0422721972</v>
      </c>
      <c r="L673">
        <f>IFERROR(VLOOKUP(F673,'LEAID Match'!$A$2:$B$240,2,FALSE),"")</f>
        <v>0</v>
      </c>
    </row>
    <row r="674" spans="1:12" x14ac:dyDescent="0.2">
      <c r="A674">
        <v>0</v>
      </c>
      <c r="B674">
        <v>2016</v>
      </c>
      <c r="C674" s="4" t="s">
        <v>156</v>
      </c>
      <c r="D674" s="4" t="s">
        <v>576</v>
      </c>
      <c r="E674" s="4" t="s">
        <v>578</v>
      </c>
      <c r="F674" s="9" t="s">
        <v>115</v>
      </c>
      <c r="G674" s="8">
        <v>391668</v>
      </c>
      <c r="H674">
        <v>1</v>
      </c>
      <c r="I674" s="16" cm="1">
        <f t="array" ref="I674">_xlfn.IFS(B674=2015,G674/$H$1957,B674=2016,G674/$H$1958,B674=2017,G674/$H$1959,B674=2018,G674/$H$1960,B674=2019,G674/$H$1961,B674=2020,G674/$H$1962,B674=2021,G674/$H$1963,B674=2022,G674/$H$1964,B674=2023,G674/$H$1965)</f>
        <v>2.7495076855938116E-4</v>
      </c>
      <c r="J674" s="10" cm="1">
        <f t="array" ref="J674">_xlfn.IFS(B674=2015,I674*$G$2,B674=2016,I674*$G$3,B674=2017,I674*$G$4,B674=2018,I674*$G$5,B674=2019,I674*$G$6,B674=2020,I674*$G$7,B674=2021,I674*$G$8,B674=2022,I674*$G$9,B674=2023,I674*$G$10)</f>
        <v>74567.495281671334</v>
      </c>
      <c r="K674" s="8">
        <f t="shared" si="10"/>
        <v>466235.49528167135</v>
      </c>
      <c r="L674">
        <f>IFERROR(VLOOKUP(F674,'LEAID Match'!$A$2:$B$240,2,FALSE),"")</f>
        <v>0</v>
      </c>
    </row>
    <row r="675" spans="1:12" x14ac:dyDescent="0.2">
      <c r="A675">
        <v>0</v>
      </c>
      <c r="B675">
        <v>2017</v>
      </c>
      <c r="C675" s="4" t="s">
        <v>156</v>
      </c>
      <c r="D675" s="4" t="s">
        <v>576</v>
      </c>
      <c r="E675" s="4" t="s">
        <v>578</v>
      </c>
      <c r="F675" s="9" t="s">
        <v>115</v>
      </c>
      <c r="G675" s="8">
        <v>205382</v>
      </c>
      <c r="H675">
        <v>1</v>
      </c>
      <c r="I675" s="16" cm="1">
        <f t="array" ref="I675">_xlfn.IFS(B675=2015,G675/$H$1957,B675=2016,G675/$H$1958,B675=2017,G675/$H$1959,B675=2018,G675/$H$1960,B675=2019,G675/$H$1961,B675=2020,G675/$H$1962,B675=2021,G675/$H$1963,B675=2022,G675/$H$1964,B675=2023,G675/$H$1965)</f>
        <v>2.74023294784572E-4</v>
      </c>
      <c r="J675" s="10" cm="1">
        <f t="array" ref="J675">_xlfn.IFS(B675=2015,I675*$G$2,B675=2016,I675*$G$3,B675=2017,I675*$G$4,B675=2018,I675*$G$5,B675=2019,I675*$G$6,B675=2020,I675*$G$7,B675=2021,I675*$G$8,B675=2022,I675*$G$9,B675=2023,I675*$G$10)</f>
        <v>40579.174483142167</v>
      </c>
      <c r="K675" s="8">
        <f t="shared" si="10"/>
        <v>245961.17448314215</v>
      </c>
      <c r="L675">
        <f>IFERROR(VLOOKUP(F675,'LEAID Match'!$A$2:$B$240,2,FALSE),"")</f>
        <v>0</v>
      </c>
    </row>
    <row r="676" spans="1:12" x14ac:dyDescent="0.2">
      <c r="A676">
        <v>0</v>
      </c>
      <c r="B676">
        <v>2018</v>
      </c>
      <c r="C676" s="4" t="s">
        <v>156</v>
      </c>
      <c r="D676" s="4" t="s">
        <v>576</v>
      </c>
      <c r="E676" s="4" t="s">
        <v>578</v>
      </c>
      <c r="F676" s="9" t="s">
        <v>115</v>
      </c>
      <c r="G676" s="8">
        <v>232769</v>
      </c>
      <c r="H676">
        <v>1</v>
      </c>
      <c r="I676" s="16" cm="1">
        <f t="array" ref="I676">_xlfn.IFS(B676=2015,G676/$H$1957,B676=2016,G676/$H$1958,B676=2017,G676/$H$1959,B676=2018,G676/$H$1960,B676=2019,G676/$H$1961,B676=2020,G676/$H$1962,B676=2021,G676/$H$1963,B676=2022,G676/$H$1964,B676=2023,G676/$H$1965)</f>
        <v>2.9950630412717988E-4</v>
      </c>
      <c r="J676" s="10" cm="1">
        <f t="array" ref="J676">_xlfn.IFS(B676=2015,I676*$G$2,B676=2016,I676*$G$3,B676=2017,I676*$G$4,B676=2018,I676*$G$5,B676=2019,I676*$G$6,B676=2020,I676*$G$7,B676=2021,I676*$G$8,B676=2022,I676*$G$9,B676=2023,I676*$G$10)</f>
        <v>45082.864159960511</v>
      </c>
      <c r="K676" s="8">
        <f t="shared" si="10"/>
        <v>277851.86415996053</v>
      </c>
      <c r="L676">
        <f>IFERROR(VLOOKUP(F676,'LEAID Match'!$A$2:$B$240,2,FALSE),"")</f>
        <v>0</v>
      </c>
    </row>
    <row r="677" spans="1:12" x14ac:dyDescent="0.2">
      <c r="A677">
        <v>0</v>
      </c>
      <c r="B677">
        <v>2019</v>
      </c>
      <c r="C677" s="4" t="s">
        <v>156</v>
      </c>
      <c r="D677" s="4" t="s">
        <v>576</v>
      </c>
      <c r="E677" s="4" t="s">
        <v>578</v>
      </c>
      <c r="F677" s="9" t="s">
        <v>115</v>
      </c>
      <c r="G677" s="8">
        <v>297858</v>
      </c>
      <c r="H677">
        <v>1</v>
      </c>
      <c r="I677" s="16" cm="1">
        <f t="array" ref="I677">_xlfn.IFS(B677=2015,G677/$H$1957,B677=2016,G677/$H$1958,B677=2017,G677/$H$1959,B677=2018,G677/$H$1960,B677=2019,G677/$H$1961,B677=2020,G677/$H$1962,B677=2021,G677/$H$1963,B677=2022,G677/$H$1964,B677=2023,G677/$H$1965)</f>
        <v>3.7017692492895775E-4</v>
      </c>
      <c r="J677" s="10" cm="1">
        <f t="array" ref="J677">_xlfn.IFS(B677=2015,I677*$G$2,B677=2016,I677*$G$3,B677=2017,I677*$G$4,B677=2018,I677*$G$5,B677=2019,I677*$G$6,B677=2020,I677*$G$7,B677=2021,I677*$G$8,B677=2022,I677*$G$9,B677=2023,I677*$G$10)</f>
        <v>58498.36425425818</v>
      </c>
      <c r="K677" s="8">
        <f t="shared" si="10"/>
        <v>356356.36425425817</v>
      </c>
      <c r="L677">
        <f>IFERROR(VLOOKUP(F677,'LEAID Match'!$A$2:$B$240,2,FALSE),"")</f>
        <v>0</v>
      </c>
    </row>
    <row r="678" spans="1:12" x14ac:dyDescent="0.2">
      <c r="A678">
        <v>0</v>
      </c>
      <c r="B678">
        <v>2020</v>
      </c>
      <c r="C678" s="4" t="s">
        <v>156</v>
      </c>
      <c r="D678" s="4" t="s">
        <v>576</v>
      </c>
      <c r="E678" s="4" t="s">
        <v>578</v>
      </c>
      <c r="F678" s="9" t="s">
        <v>115</v>
      </c>
      <c r="G678" s="8">
        <v>318862</v>
      </c>
      <c r="H678">
        <v>1</v>
      </c>
      <c r="I678" s="16" cm="1">
        <f t="array" ref="I678">_xlfn.IFS(B678=2015,G678/$H$1957,B678=2016,G678/$H$1958,B678=2017,G678/$H$1959,B678=2018,G678/$H$1960,B678=2019,G678/$H$1961,B678=2020,G678/$H$1962,B678=2021,G678/$H$1963,B678=2022,G678/$H$1964,B678=2023,G678/$H$1965)</f>
        <v>3.6674339448722484E-4</v>
      </c>
      <c r="J678" s="10" cm="1">
        <f t="array" ref="J678">_xlfn.IFS(B678=2015,I678*$G$2,B678=2016,I678*$G$3,B678=2017,I678*$G$4,B678=2018,I678*$G$5,B678=2019,I678*$G$6,B678=2020,I678*$G$7,B678=2021,I678*$G$8,B678=2022,I678*$G$9,B678=2023,I678*$G$10)</f>
        <v>63330.67745883212</v>
      </c>
      <c r="K678" s="8">
        <f t="shared" si="10"/>
        <v>382192.6774588321</v>
      </c>
      <c r="L678">
        <f>IFERROR(VLOOKUP(F678,'LEAID Match'!$A$2:$B$240,2,FALSE),"")</f>
        <v>0</v>
      </c>
    </row>
    <row r="679" spans="1:12" x14ac:dyDescent="0.2">
      <c r="A679">
        <v>0</v>
      </c>
      <c r="B679">
        <v>2021</v>
      </c>
      <c r="C679" s="4" t="s">
        <v>156</v>
      </c>
      <c r="D679" s="4" t="s">
        <v>576</v>
      </c>
      <c r="E679" s="4" t="s">
        <v>578</v>
      </c>
      <c r="F679" s="9" t="s">
        <v>115</v>
      </c>
      <c r="G679" s="8">
        <v>396458</v>
      </c>
      <c r="H679">
        <v>1</v>
      </c>
      <c r="I679" s="16" cm="1">
        <f t="array" ref="I679">_xlfn.IFS(B679=2015,G679/$H$1957,B679=2016,G679/$H$1958,B679=2017,G679/$H$1959,B679=2018,G679/$H$1960,B679=2019,G679/$H$1961,B679=2020,G679/$H$1962,B679=2021,G679/$H$1963,B679=2022,G679/$H$1964,B679=2023,G679/$H$1965)</f>
        <v>4.5307017698638185E-4</v>
      </c>
      <c r="J679" s="10" cm="1">
        <f t="array" ref="J679">_xlfn.IFS(B679=2015,I679*$G$2,B679=2016,I679*$G$3,B679=2017,I679*$G$4,B679=2018,I679*$G$5,B679=2019,I679*$G$6,B679=2020,I679*$G$7,B679=2021,I679*$G$8,B679=2022,I679*$G$9,B679=2023,I679*$G$10)</f>
        <v>77754.470260362868</v>
      </c>
      <c r="K679" s="8">
        <f t="shared" si="10"/>
        <v>474212.47026036284</v>
      </c>
      <c r="L679">
        <f>IFERROR(VLOOKUP(F679,'LEAID Match'!$A$2:$B$240,2,FALSE),"")</f>
        <v>0</v>
      </c>
    </row>
    <row r="680" spans="1:12" x14ac:dyDescent="0.2">
      <c r="A680">
        <v>0</v>
      </c>
      <c r="B680">
        <v>2022</v>
      </c>
      <c r="C680" s="4" t="s">
        <v>156</v>
      </c>
      <c r="D680" s="4" t="s">
        <v>576</v>
      </c>
      <c r="E680" s="4" t="s">
        <v>578</v>
      </c>
      <c r="F680" s="9" t="s">
        <v>115</v>
      </c>
      <c r="G680" s="8">
        <v>438196</v>
      </c>
      <c r="H680">
        <v>1</v>
      </c>
      <c r="I680" s="16" cm="1">
        <f t="array" ref="I680">_xlfn.IFS(B680=2015,G680/$H$1957,B680=2016,G680/$H$1958,B680=2017,G680/$H$1959,B680=2018,G680/$H$1960,B680=2019,G680/$H$1961,B680=2020,G680/$H$1962,B680=2021,G680/$H$1963,B680=2022,G680/$H$1964,B680=2023,G680/$H$1965)</f>
        <v>4.709740721258277E-4</v>
      </c>
      <c r="J680" s="10" cm="1">
        <f t="array" ref="J680">_xlfn.IFS(B680=2015,I680*$G$2,B680=2016,I680*$G$3,B680=2017,I680*$G$4,B680=2018,I680*$G$5,B680=2019,I680*$G$6,B680=2020,I680*$G$7,B680=2021,I680*$G$8,B680=2022,I680*$G$9,B680=2023,I680*$G$10)</f>
        <v>79870.443683631296</v>
      </c>
      <c r="K680" s="8">
        <f t="shared" si="10"/>
        <v>518066.44368363131</v>
      </c>
      <c r="L680">
        <f>IFERROR(VLOOKUP(F680,'LEAID Match'!$A$2:$B$240,2,FALSE),"")</f>
        <v>0</v>
      </c>
    </row>
    <row r="681" spans="1:12" x14ac:dyDescent="0.2">
      <c r="A681">
        <v>0</v>
      </c>
      <c r="B681">
        <v>2023</v>
      </c>
      <c r="C681" s="4" t="s">
        <v>156</v>
      </c>
      <c r="D681" s="4" t="s">
        <v>576</v>
      </c>
      <c r="E681" s="4" t="s">
        <v>578</v>
      </c>
      <c r="F681" s="9" t="s">
        <v>115</v>
      </c>
      <c r="G681" s="8">
        <v>539223</v>
      </c>
      <c r="H681">
        <v>1</v>
      </c>
      <c r="I681" s="16" cm="1">
        <f t="array" ref="I681">_xlfn.IFS(B681=2015,G681/$H$1957,B681=2016,G681/$H$1958,B681=2017,G681/$H$1959,B681=2018,G681/$H$1960,B681=2019,G681/$H$1961,B681=2020,G681/$H$1962,B681=2021,G681/$H$1963,B681=2022,G681/$H$1964,B681=2023,G681/$H$1965)</f>
        <v>5.4595767454327033E-4</v>
      </c>
      <c r="J681" s="10" cm="1">
        <f t="array" ref="J681">_xlfn.IFS(B681=2015,I681*$G$2,B681=2016,I681*$G$3,B681=2017,I681*$G$4,B681=2018,I681*$G$5,B681=2019,I681*$G$6,B681=2020,I681*$G$7,B681=2021,I681*$G$8,B681=2022,I681*$G$9,B681=2023,I681*$G$10)</f>
        <v>92804.789467735987</v>
      </c>
      <c r="K681" s="8">
        <f t="shared" si="10"/>
        <v>632027.78946773603</v>
      </c>
      <c r="L681">
        <f>IFERROR(VLOOKUP(F681,'LEAID Match'!$A$2:$B$240,2,FALSE),"")</f>
        <v>0</v>
      </c>
    </row>
    <row r="682" spans="1:12" x14ac:dyDescent="0.2">
      <c r="A682">
        <v>0</v>
      </c>
      <c r="B682">
        <v>2015</v>
      </c>
      <c r="C682" s="4" t="s">
        <v>157</v>
      </c>
      <c r="D682" s="4" t="s">
        <v>576</v>
      </c>
      <c r="E682" s="4" t="s">
        <v>578</v>
      </c>
      <c r="F682" s="9" t="s">
        <v>116</v>
      </c>
      <c r="G682" s="8">
        <v>179143</v>
      </c>
      <c r="H682">
        <v>1</v>
      </c>
      <c r="I682" s="16" cm="1">
        <f t="array" ref="I682">_xlfn.IFS(B682=2015,G682/$H$1957,B682=2016,G682/$H$1958,B682=2017,G682/$H$1959,B682=2018,G682/$H$1960,B682=2019,G682/$H$1961,B682=2020,G682/$H$1962,B682=2021,G682/$H$1963,B682=2022,G682/$H$1964,B682=2023,G682/$H$1965)</f>
        <v>1.3834470267856227E-4</v>
      </c>
      <c r="J682" s="10" cm="1">
        <f t="array" ref="J682">_xlfn.IFS(B682=2015,I682*$G$2,B682=2016,I682*$G$3,B682=2017,I682*$G$4,B682=2018,I682*$G$5,B682=2019,I682*$G$6,B682=2020,I682*$G$7,B682=2021,I682*$G$8,B682=2022,I682*$G$9,B682=2023,I682*$G$10)</f>
        <v>34398.383111607123</v>
      </c>
      <c r="K682" s="8">
        <f t="shared" si="10"/>
        <v>213541.38311160711</v>
      </c>
      <c r="L682">
        <f>IFERROR(VLOOKUP(F682,'LEAID Match'!$A$2:$B$240,2,FALSE),"")</f>
        <v>0</v>
      </c>
    </row>
    <row r="683" spans="1:12" x14ac:dyDescent="0.2">
      <c r="A683">
        <v>0</v>
      </c>
      <c r="B683">
        <v>2016</v>
      </c>
      <c r="C683" s="4" t="s">
        <v>157</v>
      </c>
      <c r="D683" s="4" t="s">
        <v>576</v>
      </c>
      <c r="E683" s="4" t="s">
        <v>578</v>
      </c>
      <c r="F683" s="9" t="s">
        <v>116</v>
      </c>
      <c r="G683" s="8">
        <v>586827</v>
      </c>
      <c r="H683">
        <v>1</v>
      </c>
      <c r="I683" s="16" cm="1">
        <f t="array" ref="I683">_xlfn.IFS(B683=2015,G683/$H$1957,B683=2016,G683/$H$1958,B683=2017,G683/$H$1959,B683=2018,G683/$H$1960,B683=2019,G683/$H$1961,B683=2020,G683/$H$1962,B683=2021,G683/$H$1963,B683=2022,G683/$H$1964,B683=2023,G683/$H$1965)</f>
        <v>4.1195230312763865E-4</v>
      </c>
      <c r="J683" s="10" cm="1">
        <f t="array" ref="J683">_xlfn.IFS(B683=2015,I683*$G$2,B683=2016,I683*$G$3,B683=2017,I683*$G$4,B683=2018,I683*$G$5,B683=2019,I683*$G$6,B683=2020,I683*$G$7,B683=2021,I683*$G$8,B683=2022,I683*$G$9,B683=2023,I683*$G$10)</f>
        <v>111722.73342130924</v>
      </c>
      <c r="K683" s="8">
        <f t="shared" si="10"/>
        <v>698549.73342130927</v>
      </c>
      <c r="L683">
        <f>IFERROR(VLOOKUP(F683,'LEAID Match'!$A$2:$B$240,2,FALSE),"")</f>
        <v>0</v>
      </c>
    </row>
    <row r="684" spans="1:12" x14ac:dyDescent="0.2">
      <c r="A684">
        <v>0</v>
      </c>
      <c r="B684">
        <v>2017</v>
      </c>
      <c r="C684" s="4" t="s">
        <v>157</v>
      </c>
      <c r="D684" s="4" t="s">
        <v>576</v>
      </c>
      <c r="E684" s="4" t="s">
        <v>578</v>
      </c>
      <c r="F684" s="9" t="s">
        <v>116</v>
      </c>
      <c r="G684" s="8">
        <v>501601</v>
      </c>
      <c r="H684">
        <v>1</v>
      </c>
      <c r="I684" s="16" cm="1">
        <f t="array" ref="I684">_xlfn.IFS(B684=2015,G684/$H$1957,B684=2016,G684/$H$1958,B684=2017,G684/$H$1959,B684=2018,G684/$H$1960,B684=2019,G684/$H$1961,B684=2020,G684/$H$1962,B684=2021,G684/$H$1963,B684=2022,G684/$H$1964,B684=2023,G684/$H$1965)</f>
        <v>6.6924247834394498E-4</v>
      </c>
      <c r="J684" s="10" cm="1">
        <f t="array" ref="J684">_xlfn.IFS(B684=2015,I684*$G$2,B684=2016,I684*$G$3,B684=2017,I684*$G$4,B684=2018,I684*$G$5,B684=2019,I684*$G$6,B684=2020,I684*$G$7,B684=2021,I684*$G$8,B684=2022,I684*$G$9,B684=2023,I684*$G$10)</f>
        <v>99105.834493376227</v>
      </c>
      <c r="K684" s="8">
        <f t="shared" si="10"/>
        <v>600706.8344933762</v>
      </c>
      <c r="L684">
        <f>IFERROR(VLOOKUP(F684,'LEAID Match'!$A$2:$B$240,2,FALSE),"")</f>
        <v>0</v>
      </c>
    </row>
    <row r="685" spans="1:12" x14ac:dyDescent="0.2">
      <c r="A685">
        <v>0</v>
      </c>
      <c r="B685">
        <v>2018</v>
      </c>
      <c r="C685" s="4" t="s">
        <v>157</v>
      </c>
      <c r="D685" s="4" t="s">
        <v>576</v>
      </c>
      <c r="E685" s="4" t="s">
        <v>578</v>
      </c>
      <c r="F685" s="9" t="s">
        <v>116</v>
      </c>
      <c r="G685" s="8">
        <v>892742</v>
      </c>
      <c r="H685">
        <v>1</v>
      </c>
      <c r="I685" s="16" cm="1">
        <f t="array" ref="I685">_xlfn.IFS(B685=2015,G685/$H$1957,B685=2016,G685/$H$1958,B685=2017,G685/$H$1959,B685=2018,G685/$H$1960,B685=2019,G685/$H$1961,B685=2020,G685/$H$1962,B685=2021,G685/$H$1963,B685=2022,G685/$H$1964,B685=2023,G685/$H$1965)</f>
        <v>1.1487004582186923E-3</v>
      </c>
      <c r="J685" s="10" cm="1">
        <f t="array" ref="J685">_xlfn.IFS(B685=2015,I685*$G$2,B685=2016,I685*$G$3,B685=2017,I685*$G$4,B685=2018,I685*$G$5,B685=2019,I685*$G$6,B685=2020,I685*$G$7,B685=2021,I685*$G$8,B685=2022,I685*$G$9,B685=2023,I685*$G$10)</f>
        <v>172906.90047167562</v>
      </c>
      <c r="K685" s="8">
        <f t="shared" si="10"/>
        <v>1065648.9004716757</v>
      </c>
      <c r="L685">
        <f>IFERROR(VLOOKUP(F685,'LEAID Match'!$A$2:$B$240,2,FALSE),"")</f>
        <v>0</v>
      </c>
    </row>
    <row r="686" spans="1:12" x14ac:dyDescent="0.2">
      <c r="A686">
        <v>0</v>
      </c>
      <c r="B686">
        <v>2019</v>
      </c>
      <c r="C686" s="4" t="s">
        <v>157</v>
      </c>
      <c r="D686" s="4" t="s">
        <v>576</v>
      </c>
      <c r="E686" s="4" t="s">
        <v>578</v>
      </c>
      <c r="F686" s="9" t="s">
        <v>116</v>
      </c>
      <c r="G686" s="8">
        <v>1012871</v>
      </c>
      <c r="H686">
        <v>1</v>
      </c>
      <c r="I686" s="16" cm="1">
        <f t="array" ref="I686">_xlfn.IFS(B686=2015,G686/$H$1957,B686=2016,G686/$H$1958,B686=2017,G686/$H$1959,B686=2018,G686/$H$1960,B686=2019,G686/$H$1961,B686=2020,G686/$H$1962,B686=2021,G686/$H$1963,B686=2022,G686/$H$1964,B686=2023,G686/$H$1965)</f>
        <v>1.2587926868834088E-3</v>
      </c>
      <c r="J686" s="10" cm="1">
        <f t="array" ref="J686">_xlfn.IFS(B686=2015,I686*$G$2,B686=2016,I686*$G$3,B686=2017,I686*$G$4,B686=2018,I686*$G$5,B686=2019,I686*$G$6,B686=2020,I686*$G$7,B686=2021,I686*$G$8,B686=2022,I686*$G$9,B686=2023,I686*$G$10)</f>
        <v>198924.64429551913</v>
      </c>
      <c r="K686" s="8">
        <f t="shared" si="10"/>
        <v>1211795.6442955192</v>
      </c>
      <c r="L686">
        <f>IFERROR(VLOOKUP(F686,'LEAID Match'!$A$2:$B$240,2,FALSE),"")</f>
        <v>0</v>
      </c>
    </row>
    <row r="687" spans="1:12" x14ac:dyDescent="0.2">
      <c r="A687">
        <v>0</v>
      </c>
      <c r="B687">
        <v>2020</v>
      </c>
      <c r="C687" s="4" t="s">
        <v>157</v>
      </c>
      <c r="D687" s="4" t="s">
        <v>576</v>
      </c>
      <c r="E687" s="4" t="s">
        <v>578</v>
      </c>
      <c r="F687" s="9" t="s">
        <v>116</v>
      </c>
      <c r="G687" s="8">
        <v>1237464</v>
      </c>
      <c r="H687">
        <v>1</v>
      </c>
      <c r="I687" s="16" cm="1">
        <f t="array" ref="I687">_xlfn.IFS(B687=2015,G687/$H$1957,B687=2016,G687/$H$1958,B687=2017,G687/$H$1959,B687=2018,G687/$H$1960,B687=2019,G687/$H$1961,B687=2020,G687/$H$1962,B687=2021,G687/$H$1963,B687=2022,G687/$H$1964,B687=2023,G687/$H$1965)</f>
        <v>1.4232857722642999E-3</v>
      </c>
      <c r="J687" s="10" cm="1">
        <f t="array" ref="J687">_xlfn.IFS(B687=2015,I687*$G$2,B687=2016,I687*$G$3,B687=2017,I687*$G$4,B687=2018,I687*$G$5,B687=2019,I687*$G$6,B687=2020,I687*$G$7,B687=2021,I687*$G$8,B687=2022,I687*$G$9,B687=2023,I687*$G$10)</f>
        <v>245778.5294293965</v>
      </c>
      <c r="K687" s="8">
        <f t="shared" si="10"/>
        <v>1483242.5294293966</v>
      </c>
      <c r="L687">
        <f>IFERROR(VLOOKUP(F687,'LEAID Match'!$A$2:$B$240,2,FALSE),"")</f>
        <v>0</v>
      </c>
    </row>
    <row r="688" spans="1:12" x14ac:dyDescent="0.2">
      <c r="A688">
        <v>0</v>
      </c>
      <c r="B688">
        <v>2021</v>
      </c>
      <c r="C688" s="4" t="s">
        <v>157</v>
      </c>
      <c r="D688" s="4" t="s">
        <v>576</v>
      </c>
      <c r="E688" s="4" t="s">
        <v>578</v>
      </c>
      <c r="F688" s="9" t="s">
        <v>116</v>
      </c>
      <c r="G688" s="8">
        <v>1899124</v>
      </c>
      <c r="H688">
        <v>1</v>
      </c>
      <c r="I688" s="16" cm="1">
        <f t="array" ref="I688">_xlfn.IFS(B688=2015,G688/$H$1957,B688=2016,G688/$H$1958,B688=2017,G688/$H$1959,B688=2018,G688/$H$1960,B688=2019,G688/$H$1961,B688=2020,G688/$H$1962,B688=2021,G688/$H$1963,B688=2022,G688/$H$1964,B688=2023,G688/$H$1965)</f>
        <v>2.17030920500806E-3</v>
      </c>
      <c r="J688" s="10" cm="1">
        <f t="array" ref="J688">_xlfn.IFS(B688=2015,I688*$G$2,B688=2016,I688*$G$3,B688=2017,I688*$G$4,B688=2018,I688*$G$5,B688=2019,I688*$G$6,B688=2020,I688*$G$7,B688=2021,I688*$G$8,B688=2022,I688*$G$9,B688=2023,I688*$G$10)</f>
        <v>372461.59890515864</v>
      </c>
      <c r="K688" s="8">
        <f t="shared" si="10"/>
        <v>2271585.5989051587</v>
      </c>
      <c r="L688">
        <f>IFERROR(VLOOKUP(F688,'LEAID Match'!$A$2:$B$240,2,FALSE),"")</f>
        <v>0</v>
      </c>
    </row>
    <row r="689" spans="1:12" x14ac:dyDescent="0.2">
      <c r="A689">
        <v>0</v>
      </c>
      <c r="B689">
        <v>2022</v>
      </c>
      <c r="C689" s="4" t="s">
        <v>157</v>
      </c>
      <c r="D689" s="4" t="s">
        <v>576</v>
      </c>
      <c r="E689" s="4" t="s">
        <v>578</v>
      </c>
      <c r="F689" s="9" t="s">
        <v>116</v>
      </c>
      <c r="G689" s="8">
        <v>2519356</v>
      </c>
      <c r="H689">
        <v>1</v>
      </c>
      <c r="I689" s="16" cm="1">
        <f t="array" ref="I689">_xlfn.IFS(B689=2015,G689/$H$1957,B689=2016,G689/$H$1958,B689=2017,G689/$H$1959,B689=2018,G689/$H$1960,B689=2019,G689/$H$1961,B689=2020,G689/$H$1962,B689=2021,G689/$H$1963,B689=2022,G689/$H$1964,B689=2023,G689/$H$1965)</f>
        <v>2.70780964329806E-3</v>
      </c>
      <c r="J689" s="10" cm="1">
        <f t="array" ref="J689">_xlfn.IFS(B689=2015,I689*$G$2,B689=2016,I689*$G$3,B689=2017,I689*$G$4,B689=2018,I689*$G$5,B689=2019,I689*$G$6,B689=2020,I689*$G$7,B689=2021,I689*$G$8,B689=2022,I689*$G$9,B689=2023,I689*$G$10)</f>
        <v>459205.65572715999</v>
      </c>
      <c r="K689" s="8">
        <f t="shared" si="10"/>
        <v>2978561.6557271602</v>
      </c>
      <c r="L689">
        <f>IFERROR(VLOOKUP(F689,'LEAID Match'!$A$2:$B$240,2,FALSE),"")</f>
        <v>0</v>
      </c>
    </row>
    <row r="690" spans="1:12" x14ac:dyDescent="0.2">
      <c r="A690">
        <v>0</v>
      </c>
      <c r="B690">
        <v>2023</v>
      </c>
      <c r="C690" s="4" t="s">
        <v>157</v>
      </c>
      <c r="D690" s="4" t="s">
        <v>576</v>
      </c>
      <c r="E690" s="4" t="s">
        <v>578</v>
      </c>
      <c r="F690" s="9" t="s">
        <v>116</v>
      </c>
      <c r="G690" s="8">
        <v>3081119</v>
      </c>
      <c r="H690">
        <v>1</v>
      </c>
      <c r="I690" s="16" cm="1">
        <f t="array" ref="I690">_xlfn.IFS(B690=2015,G690/$H$1957,B690=2016,G690/$H$1958,B690=2017,G690/$H$1959,B690=2018,G690/$H$1960,B690=2019,G690/$H$1961,B690=2020,G690/$H$1962,B690=2021,G690/$H$1963,B690=2022,G690/$H$1964,B690=2023,G690/$H$1965)</f>
        <v>3.1196009150779671E-3</v>
      </c>
      <c r="J690" s="10" cm="1">
        <f t="array" ref="J690">_xlfn.IFS(B690=2015,I690*$G$2,B690=2016,I690*$G$3,B690=2017,I690*$G$4,B690=2018,I690*$G$5,B690=2019,I690*$G$6,B690=2020,I690*$G$7,B690=2021,I690*$G$8,B690=2022,I690*$G$9,B690=2023,I690*$G$10)</f>
        <v>530286.35670222016</v>
      </c>
      <c r="K690" s="8">
        <f t="shared" si="10"/>
        <v>3611405.3567022202</v>
      </c>
      <c r="L690">
        <f>IFERROR(VLOOKUP(F690,'LEAID Match'!$A$2:$B$240,2,FALSE),"")</f>
        <v>0</v>
      </c>
    </row>
    <row r="691" spans="1:12" x14ac:dyDescent="0.2">
      <c r="A691">
        <v>0</v>
      </c>
      <c r="B691">
        <v>2015</v>
      </c>
      <c r="C691" s="4" t="s">
        <v>158</v>
      </c>
      <c r="D691" s="4" t="s">
        <v>576</v>
      </c>
      <c r="E691" s="4" t="s">
        <v>578</v>
      </c>
      <c r="F691" s="9" t="s">
        <v>117</v>
      </c>
      <c r="G691" s="8">
        <v>26569</v>
      </c>
      <c r="H691">
        <v>1</v>
      </c>
      <c r="I691" s="16" cm="1">
        <f t="array" ref="I691">_xlfn.IFS(B691=2015,G691/$H$1957,B691=2016,G691/$H$1958,B691=2017,G691/$H$1959,B691=2018,G691/$H$1960,B691=2019,G691/$H$1961,B691=2020,G691/$H$1962,B691=2021,G691/$H$1963,B691=2022,G691/$H$1964,B691=2023,G691/$H$1965)</f>
        <v>2.0518135821476257E-5</v>
      </c>
      <c r="J691" s="10" cm="1">
        <f t="array" ref="J691">_xlfn.IFS(B691=2015,I691*$G$2,B691=2016,I691*$G$3,B691=2017,I691*$G$4,B691=2018,I691*$G$5,B691=2019,I691*$G$6,B691=2020,I691*$G$7,B691=2021,I691*$G$8,B691=2022,I691*$G$9,B691=2023,I691*$G$10)</f>
        <v>5101.6821248515971</v>
      </c>
      <c r="K691" s="8">
        <f t="shared" si="10"/>
        <v>31670.682124851599</v>
      </c>
      <c r="L691">
        <f>IFERROR(VLOOKUP(F691,'LEAID Match'!$A$2:$B$240,2,FALSE),"")</f>
        <v>0</v>
      </c>
    </row>
    <row r="692" spans="1:12" x14ac:dyDescent="0.2">
      <c r="A692">
        <v>0</v>
      </c>
      <c r="B692">
        <v>2016</v>
      </c>
      <c r="C692" s="4" t="s">
        <v>158</v>
      </c>
      <c r="D692" s="4" t="s">
        <v>576</v>
      </c>
      <c r="E692" s="4" t="s">
        <v>578</v>
      </c>
      <c r="F692" s="9" t="s">
        <v>117</v>
      </c>
      <c r="G692" s="8">
        <v>61570</v>
      </c>
      <c r="H692">
        <v>1</v>
      </c>
      <c r="I692" s="16" cm="1">
        <f t="array" ref="I692">_xlfn.IFS(B692=2015,G692/$H$1957,B692=2016,G692/$H$1958,B692=2017,G692/$H$1959,B692=2018,G692/$H$1960,B692=2019,G692/$H$1961,B692=2020,G692/$H$1962,B692=2021,G692/$H$1963,B692=2022,G692/$H$1964,B692=2023,G692/$H$1965)</f>
        <v>4.3222113678424327E-5</v>
      </c>
      <c r="J692" s="10" cm="1">
        <f t="array" ref="J692">_xlfn.IFS(B692=2015,I692*$G$2,B692=2016,I692*$G$3,B692=2017,I692*$G$4,B692=2018,I692*$G$5,B692=2019,I692*$G$6,B692=2020,I692*$G$7,B692=2021,I692*$G$8,B692=2022,I692*$G$9,B692=2023,I692*$G$10)</f>
        <v>11721.970353698807</v>
      </c>
      <c r="K692" s="8">
        <f t="shared" si="10"/>
        <v>73291.970353698809</v>
      </c>
      <c r="L692">
        <f>IFERROR(VLOOKUP(F692,'LEAID Match'!$A$2:$B$240,2,FALSE),"")</f>
        <v>0</v>
      </c>
    </row>
    <row r="693" spans="1:12" x14ac:dyDescent="0.2">
      <c r="A693">
        <v>0</v>
      </c>
      <c r="B693">
        <v>2017</v>
      </c>
      <c r="C693" s="4" t="s">
        <v>158</v>
      </c>
      <c r="D693" s="4" t="s">
        <v>576</v>
      </c>
      <c r="E693" s="4" t="s">
        <v>578</v>
      </c>
      <c r="F693" s="9" t="s">
        <v>117</v>
      </c>
      <c r="G693" s="8">
        <v>39673</v>
      </c>
      <c r="H693">
        <v>1</v>
      </c>
      <c r="I693" s="16" cm="1">
        <f t="array" ref="I693">_xlfn.IFS(B693=2015,G693/$H$1957,B693=2016,G693/$H$1958,B693=2017,G693/$H$1959,B693=2018,G693/$H$1960,B693=2019,G693/$H$1961,B693=2020,G693/$H$1962,B693=2021,G693/$H$1963,B693=2022,G693/$H$1964,B693=2023,G693/$H$1965)</f>
        <v>5.2932224703179079E-5</v>
      </c>
      <c r="J693" s="10" cm="1">
        <f t="array" ref="J693">_xlfn.IFS(B693=2015,I693*$G$2,B693=2016,I693*$G$3,B693=2017,I693*$G$4,B693=2018,I693*$G$5,B693=2019,I693*$G$6,B693=2020,I693*$G$7,B693=2021,I693*$G$8,B693=2022,I693*$G$9,B693=2023,I693*$G$10)</f>
        <v>7838.5524986108776</v>
      </c>
      <c r="K693" s="8">
        <f t="shared" si="10"/>
        <v>47511.552498610879</v>
      </c>
      <c r="L693">
        <f>IFERROR(VLOOKUP(F693,'LEAID Match'!$A$2:$B$240,2,FALSE),"")</f>
        <v>0</v>
      </c>
    </row>
    <row r="694" spans="1:12" x14ac:dyDescent="0.2">
      <c r="A694">
        <v>0</v>
      </c>
      <c r="B694">
        <v>2018</v>
      </c>
      <c r="C694" s="4" t="s">
        <v>158</v>
      </c>
      <c r="D694" s="4" t="s">
        <v>576</v>
      </c>
      <c r="E694" s="4" t="s">
        <v>578</v>
      </c>
      <c r="F694" s="9" t="s">
        <v>117</v>
      </c>
      <c r="G694" s="8">
        <v>43725</v>
      </c>
      <c r="H694">
        <v>1</v>
      </c>
      <c r="I694" s="16" cm="1">
        <f t="array" ref="I694">_xlfn.IFS(B694=2015,G694/$H$1957,B694=2016,G694/$H$1958,B694=2017,G694/$H$1959,B694=2018,G694/$H$1960,B694=2019,G694/$H$1961,B694=2020,G694/$H$1962,B694=2021,G694/$H$1963,B694=2022,G694/$H$1964,B694=2023,G694/$H$1965)</f>
        <v>5.6261414311875459E-5</v>
      </c>
      <c r="J694" s="10" cm="1">
        <f t="array" ref="J694">_xlfn.IFS(B694=2015,I694*$G$2,B694=2016,I694*$G$3,B694=2017,I694*$G$4,B694=2018,I694*$G$5,B694=2019,I694*$G$6,B694=2020,I694*$G$7,B694=2021,I694*$G$8,B694=2022,I694*$G$9,B694=2023,I694*$G$10)</f>
        <v>8468.6888520132543</v>
      </c>
      <c r="K694" s="8">
        <f t="shared" si="10"/>
        <v>52193.688852013256</v>
      </c>
      <c r="L694">
        <f>IFERROR(VLOOKUP(F694,'LEAID Match'!$A$2:$B$240,2,FALSE),"")</f>
        <v>0</v>
      </c>
    </row>
    <row r="695" spans="1:12" x14ac:dyDescent="0.2">
      <c r="A695">
        <v>0</v>
      </c>
      <c r="B695">
        <v>2019</v>
      </c>
      <c r="C695" s="4" t="s">
        <v>158</v>
      </c>
      <c r="D695" s="4" t="s">
        <v>576</v>
      </c>
      <c r="E695" s="4" t="s">
        <v>578</v>
      </c>
      <c r="F695" s="9" t="s">
        <v>117</v>
      </c>
      <c r="G695" s="8">
        <v>54785</v>
      </c>
      <c r="H695">
        <v>1</v>
      </c>
      <c r="I695" s="16" cm="1">
        <f t="array" ref="I695">_xlfn.IFS(B695=2015,G695/$H$1957,B695=2016,G695/$H$1958,B695=2017,G695/$H$1959,B695=2018,G695/$H$1960,B695=2019,G695/$H$1961,B695=2020,G695/$H$1962,B695=2021,G695/$H$1963,B695=2022,G695/$H$1964,B695=2023,G695/$H$1965)</f>
        <v>6.8086614535224681E-5</v>
      </c>
      <c r="J695" s="10" cm="1">
        <f t="array" ref="J695">_xlfn.IFS(B695=2015,I695*$G$2,B695=2016,I695*$G$3,B695=2017,I695*$G$4,B695=2018,I695*$G$5,B695=2019,I695*$G$6,B695=2020,I695*$G$7,B695=2021,I695*$G$8,B695=2022,I695*$G$9,B695=2023,I695*$G$10)</f>
        <v>10759.599828339458</v>
      </c>
      <c r="K695" s="8">
        <f t="shared" si="10"/>
        <v>65544.599828339458</v>
      </c>
      <c r="L695">
        <f>IFERROR(VLOOKUP(F695,'LEAID Match'!$A$2:$B$240,2,FALSE),"")</f>
        <v>0</v>
      </c>
    </row>
    <row r="696" spans="1:12" x14ac:dyDescent="0.2">
      <c r="A696">
        <v>0</v>
      </c>
      <c r="B696">
        <v>2020</v>
      </c>
      <c r="C696" s="4" t="s">
        <v>158</v>
      </c>
      <c r="D696" s="4" t="s">
        <v>576</v>
      </c>
      <c r="E696" s="4" t="s">
        <v>578</v>
      </c>
      <c r="F696" s="9" t="s">
        <v>117</v>
      </c>
      <c r="G696" s="8">
        <v>122150</v>
      </c>
      <c r="H696">
        <v>1</v>
      </c>
      <c r="I696" s="16" cm="1">
        <f t="array" ref="I696">_xlfn.IFS(B696=2015,G696/$H$1957,B696=2016,G696/$H$1958,B696=2017,G696/$H$1959,B696=2018,G696/$H$1960,B696=2019,G696/$H$1961,B696=2020,G696/$H$1962,B696=2021,G696/$H$1963,B696=2022,G696/$H$1964,B696=2023,G696/$H$1965)</f>
        <v>1.4049245641253744E-4</v>
      </c>
      <c r="J696" s="10" cm="1">
        <f t="array" ref="J696">_xlfn.IFS(B696=2015,I696*$G$2,B696=2016,I696*$G$3,B696=2017,I696*$G$4,B696=2018,I696*$G$5,B696=2019,I696*$G$6,B696=2020,I696*$G$7,B696=2021,I696*$G$8,B696=2022,I696*$G$9,B696=2023,I696*$G$10)</f>
        <v>24260.784450942236</v>
      </c>
      <c r="K696" s="8">
        <f t="shared" si="10"/>
        <v>146410.78445094224</v>
      </c>
      <c r="L696">
        <f>IFERROR(VLOOKUP(F696,'LEAID Match'!$A$2:$B$240,2,FALSE),"")</f>
        <v>0</v>
      </c>
    </row>
    <row r="697" spans="1:12" x14ac:dyDescent="0.2">
      <c r="A697">
        <v>0</v>
      </c>
      <c r="B697">
        <v>2021</v>
      </c>
      <c r="C697" s="4" t="s">
        <v>158</v>
      </c>
      <c r="D697" s="4" t="s">
        <v>576</v>
      </c>
      <c r="E697" s="4" t="s">
        <v>578</v>
      </c>
      <c r="F697" s="9" t="s">
        <v>117</v>
      </c>
      <c r="G697" s="8">
        <v>174561</v>
      </c>
      <c r="H697">
        <v>1</v>
      </c>
      <c r="I697" s="16" cm="1">
        <f t="array" ref="I697">_xlfn.IFS(B697=2015,G697/$H$1957,B697=2016,G697/$H$1958,B697=2017,G697/$H$1959,B697=2018,G697/$H$1960,B697=2019,G697/$H$1961,B697=2020,G697/$H$1962,B697=2021,G697/$H$1963,B697=2022,G697/$H$1964,B697=2023,G697/$H$1965)</f>
        <v>1.994874190076119E-4</v>
      </c>
      <c r="J697" s="10" cm="1">
        <f t="array" ref="J697">_xlfn.IFS(B697=2015,I697*$G$2,B697=2016,I697*$G$3,B697=2017,I697*$G$4,B697=2018,I697*$G$5,B697=2019,I697*$G$6,B697=2020,I697*$G$7,B697=2021,I697*$G$8,B697=2022,I697*$G$9,B697=2023,I697*$G$10)</f>
        <v>34235.399671892614</v>
      </c>
      <c r="K697" s="8">
        <f t="shared" si="10"/>
        <v>208796.39967189261</v>
      </c>
      <c r="L697">
        <f>IFERROR(VLOOKUP(F697,'LEAID Match'!$A$2:$B$240,2,FALSE),"")</f>
        <v>0</v>
      </c>
    </row>
    <row r="698" spans="1:12" x14ac:dyDescent="0.2">
      <c r="A698">
        <v>0</v>
      </c>
      <c r="B698">
        <v>2022</v>
      </c>
      <c r="C698" s="4" t="s">
        <v>158</v>
      </c>
      <c r="D698" s="4" t="s">
        <v>576</v>
      </c>
      <c r="E698" s="4" t="s">
        <v>578</v>
      </c>
      <c r="F698" s="9" t="s">
        <v>117</v>
      </c>
      <c r="G698" s="8">
        <v>175658</v>
      </c>
      <c r="H698">
        <v>1</v>
      </c>
      <c r="I698" s="16" cm="1">
        <f t="array" ref="I698">_xlfn.IFS(B698=2015,G698/$H$1957,B698=2016,G698/$H$1958,B698=2017,G698/$H$1959,B698=2018,G698/$H$1960,B698=2019,G698/$H$1961,B698=2020,G698/$H$1962,B698=2021,G698/$H$1963,B698=2022,G698/$H$1964,B698=2023,G698/$H$1965)</f>
        <v>1.8879762380642141E-4</v>
      </c>
      <c r="J698" s="10" cm="1">
        <f t="array" ref="J698">_xlfn.IFS(B698=2015,I698*$G$2,B698=2016,I698*$G$3,B698=2017,I698*$G$4,B698=2018,I698*$G$5,B698=2019,I698*$G$6,B698=2020,I698*$G$7,B698=2021,I698*$G$8,B698=2022,I698*$G$9,B698=2023,I698*$G$10)</f>
        <v>32017.367562869826</v>
      </c>
      <c r="K698" s="8">
        <f t="shared" si="10"/>
        <v>207675.36756286983</v>
      </c>
      <c r="L698">
        <f>IFERROR(VLOOKUP(F698,'LEAID Match'!$A$2:$B$240,2,FALSE),"")</f>
        <v>0</v>
      </c>
    </row>
    <row r="699" spans="1:12" x14ac:dyDescent="0.2">
      <c r="A699">
        <v>0</v>
      </c>
      <c r="B699">
        <v>2023</v>
      </c>
      <c r="C699" s="4" t="s">
        <v>158</v>
      </c>
      <c r="D699" s="4" t="s">
        <v>576</v>
      </c>
      <c r="E699" s="4" t="s">
        <v>578</v>
      </c>
      <c r="F699" s="9" t="s">
        <v>117</v>
      </c>
      <c r="G699" s="8">
        <v>203951</v>
      </c>
      <c r="H699">
        <v>1</v>
      </c>
      <c r="I699" s="16" cm="1">
        <f t="array" ref="I699">_xlfn.IFS(B699=2015,G699/$H$1957,B699=2016,G699/$H$1958,B699=2017,G699/$H$1959,B699=2018,G699/$H$1960,B699=2019,G699/$H$1961,B699=2020,G699/$H$1962,B699=2021,G699/$H$1963,B699=2022,G699/$H$1964,B699=2023,G699/$H$1965)</f>
        <v>2.0649826450424877E-4</v>
      </c>
      <c r="J699" s="10" cm="1">
        <f t="array" ref="J699">_xlfn.IFS(B699=2015,I699*$G$2,B699=2016,I699*$G$3,B699=2017,I699*$G$4,B699=2018,I699*$G$5,B699=2019,I699*$G$6,B699=2020,I699*$G$7,B699=2021,I699*$G$8,B699=2022,I699*$G$9,B699=2023,I699*$G$10)</f>
        <v>35101.673364701106</v>
      </c>
      <c r="K699" s="8">
        <f t="shared" si="10"/>
        <v>239052.6733647011</v>
      </c>
      <c r="L699">
        <f>IFERROR(VLOOKUP(F699,'LEAID Match'!$A$2:$B$240,2,FALSE),"")</f>
        <v>0</v>
      </c>
    </row>
    <row r="700" spans="1:12" x14ac:dyDescent="0.2">
      <c r="A700">
        <v>0</v>
      </c>
      <c r="B700">
        <v>2016</v>
      </c>
      <c r="C700" s="4" t="s">
        <v>393</v>
      </c>
      <c r="D700" s="4" t="s">
        <v>576</v>
      </c>
      <c r="E700" s="4" t="s">
        <v>578</v>
      </c>
      <c r="F700" s="9" t="s">
        <v>392</v>
      </c>
      <c r="G700" s="8">
        <v>273134</v>
      </c>
      <c r="H700">
        <v>1</v>
      </c>
      <c r="I700" s="16" cm="1">
        <f t="array" ref="I700">_xlfn.IFS(B700=2015,G700/$H$1957,B700=2016,G700/$H$1958,B700=2017,G700/$H$1959,B700=2018,G700/$H$1960,B700=2019,G700/$H$1961,B700=2020,G700/$H$1962,B700=2021,G700/$H$1963,B700=2022,G700/$H$1964,B700=2023,G700/$H$1965)</f>
        <v>1.9173995123343755E-4</v>
      </c>
      <c r="J700" s="10" cm="1">
        <f t="array" ref="J700">_xlfn.IFS(B700=2015,I700*$G$2,B700=2016,I700*$G$3,B700=2017,I700*$G$4,B700=2018,I700*$G$5,B700=2019,I700*$G$6,B700=2020,I700*$G$7,B700=2021,I700*$G$8,B700=2022,I700*$G$9,B700=2023,I700*$G$10)</f>
        <v>52000.465333558059</v>
      </c>
      <c r="K700" s="8">
        <f t="shared" si="10"/>
        <v>325134.46533355804</v>
      </c>
      <c r="L700">
        <f>IFERROR(VLOOKUP(F700,'LEAID Match'!$A$2:$B$240,2,FALSE),"")</f>
        <v>0</v>
      </c>
    </row>
    <row r="701" spans="1:12" x14ac:dyDescent="0.2">
      <c r="A701">
        <v>0</v>
      </c>
      <c r="B701">
        <v>2017</v>
      </c>
      <c r="C701" s="4" t="s">
        <v>393</v>
      </c>
      <c r="D701" s="4" t="s">
        <v>576</v>
      </c>
      <c r="E701" s="4" t="s">
        <v>578</v>
      </c>
      <c r="F701" s="9" t="s">
        <v>392</v>
      </c>
      <c r="G701" s="8">
        <v>258780</v>
      </c>
      <c r="H701">
        <v>1</v>
      </c>
      <c r="I701" s="16" cm="1">
        <f t="array" ref="I701">_xlfn.IFS(B701=2015,G701/$H$1957,B701=2016,G701/$H$1958,B701=2017,G701/$H$1959,B701=2018,G701/$H$1960,B701=2019,G701/$H$1961,B701=2020,G701/$H$1962,B701=2021,G701/$H$1963,B701=2022,G701/$H$1964,B701=2023,G701/$H$1965)</f>
        <v>3.4526759026765513E-4</v>
      </c>
      <c r="J701" s="10" cm="1">
        <f t="array" ref="J701">_xlfn.IFS(B701=2015,I701*$G$2,B701=2016,I701*$G$3,B701=2017,I701*$G$4,B701=2018,I701*$G$5,B701=2019,I701*$G$6,B701=2020,I701*$G$7,B701=2021,I701*$G$8,B701=2022,I701*$G$9,B701=2023,I701*$G$10)</f>
        <v>51129.499044451462</v>
      </c>
      <c r="K701" s="8">
        <f t="shared" si="10"/>
        <v>309909.49904445146</v>
      </c>
      <c r="L701">
        <f>IFERROR(VLOOKUP(F701,'LEAID Match'!$A$2:$B$240,2,FALSE),"")</f>
        <v>0</v>
      </c>
    </row>
    <row r="702" spans="1:12" x14ac:dyDescent="0.2">
      <c r="A702">
        <v>0</v>
      </c>
      <c r="B702">
        <v>2018</v>
      </c>
      <c r="C702" s="4" t="s">
        <v>393</v>
      </c>
      <c r="D702" s="4" t="s">
        <v>576</v>
      </c>
      <c r="E702" s="4" t="s">
        <v>578</v>
      </c>
      <c r="F702" s="9" t="s">
        <v>392</v>
      </c>
      <c r="G702" s="8">
        <v>328234</v>
      </c>
      <c r="H702">
        <v>1</v>
      </c>
      <c r="I702" s="16" cm="1">
        <f t="array" ref="I702">_xlfn.IFS(B702=2015,G702/$H$1957,B702=2016,G702/$H$1958,B702=2017,G702/$H$1959,B702=2018,G702/$H$1960,B702=2019,G702/$H$1961,B702=2020,G702/$H$1962,B702=2021,G702/$H$1963,B702=2022,G702/$H$1964,B702=2023,G702/$H$1965)</f>
        <v>4.2234211698671538E-4</v>
      </c>
      <c r="J702" s="10" cm="1">
        <f t="array" ref="J702">_xlfn.IFS(B702=2015,I702*$G$2,B702=2016,I702*$G$3,B702=2017,I702*$G$4,B702=2018,I702*$G$5,B702=2019,I702*$G$6,B702=2020,I702*$G$7,B702=2021,I702*$G$8,B702=2022,I702*$G$9,B702=2023,I702*$G$10)</f>
        <v>63572.592719307453</v>
      </c>
      <c r="K702" s="8">
        <f t="shared" si="10"/>
        <v>391806.59271930746</v>
      </c>
      <c r="L702">
        <f>IFERROR(VLOOKUP(F702,'LEAID Match'!$A$2:$B$240,2,FALSE),"")</f>
        <v>0</v>
      </c>
    </row>
    <row r="703" spans="1:12" x14ac:dyDescent="0.2">
      <c r="A703">
        <v>0</v>
      </c>
      <c r="B703">
        <v>2019</v>
      </c>
      <c r="C703" s="4" t="s">
        <v>393</v>
      </c>
      <c r="D703" s="4" t="s">
        <v>576</v>
      </c>
      <c r="E703" s="4" t="s">
        <v>578</v>
      </c>
      <c r="F703" s="9" t="s">
        <v>392</v>
      </c>
      <c r="G703" s="8">
        <v>366453</v>
      </c>
      <c r="H703">
        <v>1</v>
      </c>
      <c r="I703" s="16" cm="1">
        <f t="array" ref="I703">_xlfn.IFS(B703=2015,G703/$H$1957,B703=2016,G703/$H$1958,B703=2017,G703/$H$1959,B703=2018,G703/$H$1960,B703=2019,G703/$H$1961,B703=2020,G703/$H$1962,B703=2021,G703/$H$1963,B703=2022,G703/$H$1964,B703=2023,G703/$H$1965)</f>
        <v>4.5542656121706104E-4</v>
      </c>
      <c r="J703" s="10" cm="1">
        <f t="array" ref="J703">_xlfn.IFS(B703=2015,I703*$G$2,B703=2016,I703*$G$3,B703=2017,I703*$G$4,B703=2018,I703*$G$5,B703=2019,I703*$G$6,B703=2020,I703*$G$7,B703=2021,I703*$G$8,B703=2022,I703*$G$9,B703=2023,I703*$G$10)</f>
        <v>71970.20417805019</v>
      </c>
      <c r="K703" s="8">
        <f t="shared" si="10"/>
        <v>438423.20417805016</v>
      </c>
      <c r="L703">
        <f>IFERROR(VLOOKUP(F703,'LEAID Match'!$A$2:$B$240,2,FALSE),"")</f>
        <v>0</v>
      </c>
    </row>
    <row r="704" spans="1:12" x14ac:dyDescent="0.2">
      <c r="A704">
        <v>0</v>
      </c>
      <c r="B704">
        <v>2020</v>
      </c>
      <c r="C704" s="4" t="s">
        <v>393</v>
      </c>
      <c r="D704" s="4" t="s">
        <v>576</v>
      </c>
      <c r="E704" s="4" t="s">
        <v>578</v>
      </c>
      <c r="F704" s="9" t="s">
        <v>392</v>
      </c>
      <c r="G704" s="8">
        <v>446959</v>
      </c>
      <c r="H704">
        <v>1</v>
      </c>
      <c r="I704" s="16" cm="1">
        <f t="array" ref="I704">_xlfn.IFS(B704=2015,G704/$H$1957,B704=2016,G704/$H$1958,B704=2017,G704/$H$1959,B704=2018,G704/$H$1960,B704=2019,G704/$H$1961,B704=2020,G704/$H$1962,B704=2021,G704/$H$1963,B704=2022,G704/$H$1964,B704=2023,G704/$H$1965)</f>
        <v>5.1407587249849632E-4</v>
      </c>
      <c r="J704" s="10" cm="1">
        <f t="array" ref="J704">_xlfn.IFS(B704=2015,I704*$G$2,B704=2016,I704*$G$3,B704=2017,I704*$G$4,B704=2018,I704*$G$5,B704=2019,I704*$G$6,B704=2020,I704*$G$7,B704=2021,I704*$G$8,B704=2022,I704*$G$9,B704=2023,I704*$G$10)</f>
        <v>88772.62347448786</v>
      </c>
      <c r="K704" s="8">
        <f t="shared" si="10"/>
        <v>535731.6234744878</v>
      </c>
      <c r="L704">
        <f>IFERROR(VLOOKUP(F704,'LEAID Match'!$A$2:$B$240,2,FALSE),"")</f>
        <v>0</v>
      </c>
    </row>
    <row r="705" spans="1:12" x14ac:dyDescent="0.2">
      <c r="A705">
        <v>0</v>
      </c>
      <c r="B705">
        <v>2021</v>
      </c>
      <c r="C705" s="4" t="s">
        <v>393</v>
      </c>
      <c r="D705" s="4" t="s">
        <v>576</v>
      </c>
      <c r="E705" s="4" t="s">
        <v>578</v>
      </c>
      <c r="F705" s="9" t="s">
        <v>392</v>
      </c>
      <c r="G705" s="8">
        <v>510205</v>
      </c>
      <c r="H705">
        <v>1</v>
      </c>
      <c r="I705" s="16" cm="1">
        <f t="array" ref="I705">_xlfn.IFS(B705=2015,G705/$H$1957,B705=2016,G705/$H$1958,B705=2017,G705/$H$1959,B705=2018,G705/$H$1960,B705=2019,G705/$H$1961,B705=2020,G705/$H$1962,B705=2021,G705/$H$1963,B705=2022,G705/$H$1964,B705=2023,G705/$H$1965)</f>
        <v>5.8305966747886778E-4</v>
      </c>
      <c r="J705" s="10" cm="1">
        <f t="array" ref="J705">_xlfn.IFS(B705=2015,I705*$G$2,B705=2016,I705*$G$3,B705=2017,I705*$G$4,B705=2018,I705*$G$5,B705=2019,I705*$G$6,B705=2020,I705*$G$7,B705=2021,I705*$G$8,B705=2022,I705*$G$9,B705=2023,I705*$G$10)</f>
        <v>100062.85533193538</v>
      </c>
      <c r="K705" s="8">
        <f t="shared" si="10"/>
        <v>610267.85533193534</v>
      </c>
      <c r="L705">
        <f>IFERROR(VLOOKUP(F705,'LEAID Match'!$A$2:$B$240,2,FALSE),"")</f>
        <v>0</v>
      </c>
    </row>
    <row r="706" spans="1:12" x14ac:dyDescent="0.2">
      <c r="A706">
        <v>0</v>
      </c>
      <c r="B706">
        <v>2022</v>
      </c>
      <c r="C706" s="4" t="s">
        <v>393</v>
      </c>
      <c r="D706" s="4" t="s">
        <v>576</v>
      </c>
      <c r="E706" s="4" t="s">
        <v>578</v>
      </c>
      <c r="F706" s="9" t="s">
        <v>392</v>
      </c>
      <c r="G706" s="8">
        <v>577975</v>
      </c>
      <c r="H706">
        <v>1</v>
      </c>
      <c r="I706" s="16" cm="1">
        <f t="array" ref="I706">_xlfn.IFS(B706=2015,G706/$H$1957,B706=2016,G706/$H$1958,B706=2017,G706/$H$1959,B706=2018,G706/$H$1960,B706=2019,G706/$H$1961,B706=2020,G706/$H$1962,B706=2021,G706/$H$1963,B706=2022,G706/$H$1964,B706=2023,G706/$H$1965)</f>
        <v>6.2120886392601769E-4</v>
      </c>
      <c r="J706" s="10" cm="1">
        <f t="array" ref="J706">_xlfn.IFS(B706=2015,I706*$G$2,B706=2016,I706*$G$3,B706=2017,I706*$G$4,B706=2018,I706*$G$5,B706=2019,I706*$G$6,B706=2020,I706*$G$7,B706=2021,I706*$G$8,B706=2022,I706*$G$9,B706=2023,I706*$G$10)</f>
        <v>105348.1083534464</v>
      </c>
      <c r="K706" s="8">
        <f t="shared" si="10"/>
        <v>683323.10835344635</v>
      </c>
      <c r="L706">
        <f>IFERROR(VLOOKUP(F706,'LEAID Match'!$A$2:$B$240,2,FALSE),"")</f>
        <v>0</v>
      </c>
    </row>
    <row r="707" spans="1:12" x14ac:dyDescent="0.2">
      <c r="A707">
        <v>0</v>
      </c>
      <c r="B707">
        <v>2023</v>
      </c>
      <c r="C707" s="4" t="s">
        <v>393</v>
      </c>
      <c r="D707" s="4" t="s">
        <v>576</v>
      </c>
      <c r="E707" s="4" t="s">
        <v>578</v>
      </c>
      <c r="F707" s="9" t="s">
        <v>392</v>
      </c>
      <c r="G707" s="8">
        <v>571580</v>
      </c>
      <c r="H707">
        <v>1</v>
      </c>
      <c r="I707" s="16" cm="1">
        <f t="array" ref="I707">_xlfn.IFS(B707=2015,G707/$H$1957,B707=2016,G707/$H$1958,B707=2017,G707/$H$1959,B707=2018,G707/$H$1960,B707=2019,G707/$H$1961,B707=2020,G707/$H$1962,B707=2021,G707/$H$1963,B707=2022,G707/$H$1964,B707=2023,G707/$H$1965)</f>
        <v>5.7871880022818481E-4</v>
      </c>
      <c r="J707" s="10" cm="1">
        <f t="array" ref="J707">_xlfn.IFS(B707=2015,I707*$G$2,B707=2016,I707*$G$3,B707=2017,I707*$G$4,B707=2018,I707*$G$5,B707=2019,I707*$G$6,B707=2020,I707*$G$7,B707=2021,I707*$G$8,B707=2022,I707*$G$9,B707=2023,I707*$G$10)</f>
        <v>98373.69986808527</v>
      </c>
      <c r="K707" s="8">
        <f t="shared" si="10"/>
        <v>669953.69986808533</v>
      </c>
      <c r="L707">
        <f>IFERROR(VLOOKUP(F707,'LEAID Match'!$A$2:$B$240,2,FALSE),"")</f>
        <v>0</v>
      </c>
    </row>
    <row r="708" spans="1:12" x14ac:dyDescent="0.2">
      <c r="A708">
        <v>0</v>
      </c>
      <c r="B708">
        <v>2017</v>
      </c>
      <c r="C708" s="4" t="s">
        <v>409</v>
      </c>
      <c r="D708" s="4" t="s">
        <v>576</v>
      </c>
      <c r="E708" s="4" t="s">
        <v>578</v>
      </c>
      <c r="F708" s="4" t="s">
        <v>407</v>
      </c>
      <c r="G708" s="8">
        <v>144392</v>
      </c>
      <c r="I708" s="16" cm="1">
        <f t="array" ref="I708">_xlfn.IFS(B708=2015,G708/$H$1957,B708=2016,G708/$H$1958,B708=2017,G708/$H$1959,B708=2018,G708/$H$1960,B708=2019,G708/$H$1961,B708=2020,G708/$H$1962,B708=2021,G708/$H$1963,B708=2022,G708/$H$1964,B708=2023,G708/$H$1965)</f>
        <v>1.9264965566862685E-4</v>
      </c>
      <c r="J708" s="10" cm="1">
        <f t="array" ref="J708">_xlfn.IFS(B708=2015,I708*$G$2,B708=2016,I708*$G$3,B708=2017,I708*$G$4,B708=2018,I708*$G$5,B708=2019,I708*$G$6,B708=2020,I708*$G$7,B708=2021,I708*$G$8,B708=2022,I708*$G$9,B708=2023,I708*$G$10)</f>
        <v>28528.829994692154</v>
      </c>
      <c r="K708" s="8">
        <f t="shared" si="10"/>
        <v>172920.82999469215</v>
      </c>
      <c r="L708">
        <f>IFERROR(VLOOKUP(F708,'LEAID Match'!$A$2:$B$240,2,FALSE),"")</f>
        <v>0</v>
      </c>
    </row>
    <row r="709" spans="1:12" x14ac:dyDescent="0.2">
      <c r="A709">
        <v>0</v>
      </c>
      <c r="B709">
        <v>2018</v>
      </c>
      <c r="C709" s="4" t="s">
        <v>409</v>
      </c>
      <c r="D709" s="4" t="s">
        <v>576</v>
      </c>
      <c r="E709" s="4" t="s">
        <v>578</v>
      </c>
      <c r="F709" s="4" t="s">
        <v>407</v>
      </c>
      <c r="G709" s="8">
        <v>258333</v>
      </c>
      <c r="I709" s="16" cm="1">
        <f t="array" ref="I709">_xlfn.IFS(B709=2015,G709/$H$1957,B709=2016,G709/$H$1958,B709=2017,G709/$H$1959,B709=2018,G709/$H$1960,B709=2019,G709/$H$1961,B709=2020,G709/$H$1962,B709=2021,G709/$H$1963,B709=2022,G709/$H$1964,B709=2023,G709/$H$1965)</f>
        <v>3.3239977000411032E-4</v>
      </c>
      <c r="J709" s="10" cm="1">
        <f t="array" ref="J709">_xlfn.IFS(B709=2015,I709*$G$2,B709=2016,I709*$G$3,B709=2017,I709*$G$4,B709=2018,I709*$G$5,B709=2019,I709*$G$6,B709=2020,I709*$G$7,B709=2021,I709*$G$8,B709=2022,I709*$G$9,B709=2023,I709*$G$10)</f>
        <v>50034.117717716181</v>
      </c>
      <c r="K709" s="8">
        <f t="shared" si="10"/>
        <v>308367.1177177162</v>
      </c>
      <c r="L709">
        <f>IFERROR(VLOOKUP(F709,'LEAID Match'!$A$2:$B$240,2,FALSE),"")</f>
        <v>0</v>
      </c>
    </row>
    <row r="710" spans="1:12" x14ac:dyDescent="0.2">
      <c r="A710">
        <v>0</v>
      </c>
      <c r="B710">
        <v>2019</v>
      </c>
      <c r="C710" s="4" t="s">
        <v>409</v>
      </c>
      <c r="D710" s="4" t="s">
        <v>576</v>
      </c>
      <c r="E710" s="4" t="s">
        <v>578</v>
      </c>
      <c r="F710" s="4" t="s">
        <v>407</v>
      </c>
      <c r="G710" s="8">
        <v>347910</v>
      </c>
      <c r="I710" s="16" cm="1">
        <f t="array" ref="I710">_xlfn.IFS(B710=2015,G710/$H$1957,B710=2016,G710/$H$1958,B710=2017,G710/$H$1959,B710=2018,G710/$H$1960,B710=2019,G710/$H$1961,B710=2020,G710/$H$1962,B710=2021,G710/$H$1963,B710=2022,G710/$H$1964,B710=2023,G710/$H$1965)</f>
        <v>4.3238138291411911E-4</v>
      </c>
      <c r="J710" s="10" cm="1">
        <f t="array" ref="J710">_xlfn.IFS(B710=2015,I710*$G$2,B710=2016,I710*$G$3,B710=2017,I710*$G$4,B710=2018,I710*$G$5,B710=2019,I710*$G$6,B710=2020,I710*$G$7,B710=2021,I710*$G$8,B710=2022,I710*$G$9,B710=2023,I710*$G$10)</f>
        <v>68328.417929681134</v>
      </c>
      <c r="K710" s="8">
        <f t="shared" si="10"/>
        <v>416238.41792968113</v>
      </c>
      <c r="L710">
        <f>IFERROR(VLOOKUP(F710,'LEAID Match'!$A$2:$B$240,2,FALSE),"")</f>
        <v>0</v>
      </c>
    </row>
    <row r="711" spans="1:12" x14ac:dyDescent="0.2">
      <c r="A711">
        <v>0</v>
      </c>
      <c r="B711">
        <v>2020</v>
      </c>
      <c r="C711" s="4" t="s">
        <v>409</v>
      </c>
      <c r="D711" s="4" t="s">
        <v>576</v>
      </c>
      <c r="E711" s="4" t="s">
        <v>578</v>
      </c>
      <c r="F711" s="4" t="s">
        <v>407</v>
      </c>
      <c r="G711" s="8">
        <v>496440</v>
      </c>
      <c r="I711" s="16" cm="1">
        <f t="array" ref="I711">_xlfn.IFS(B711=2015,G711/$H$1957,B711=2016,G711/$H$1958,B711=2017,G711/$H$1959,B711=2018,G711/$H$1960,B711=2019,G711/$H$1961,B711=2020,G711/$H$1962,B711=2021,G711/$H$1963,B711=2022,G711/$H$1964,B711=2023,G711/$H$1965)</f>
        <v>5.7098710652018082E-4</v>
      </c>
      <c r="J711" s="10" cm="1">
        <f t="array" ref="J711">_xlfn.IFS(B711=2015,I711*$G$2,B711=2016,I711*$G$3,B711=2017,I711*$G$4,B711=2018,I711*$G$5,B711=2019,I711*$G$6,B711=2020,I711*$G$7,B711=2021,I711*$G$8,B711=2022,I711*$G$9,B711=2023,I711*$G$10)</f>
        <v>98600.27697769762</v>
      </c>
      <c r="K711" s="8">
        <f t="shared" si="10"/>
        <v>595040.27697769762</v>
      </c>
      <c r="L711">
        <f>IFERROR(VLOOKUP(F711,'LEAID Match'!$A$2:$B$240,2,FALSE),"")</f>
        <v>0</v>
      </c>
    </row>
    <row r="712" spans="1:12" x14ac:dyDescent="0.2">
      <c r="A712">
        <v>0</v>
      </c>
      <c r="B712">
        <v>2021</v>
      </c>
      <c r="C712" s="4" t="s">
        <v>409</v>
      </c>
      <c r="D712" s="4" t="s">
        <v>576</v>
      </c>
      <c r="E712" s="4" t="s">
        <v>578</v>
      </c>
      <c r="F712" s="4" t="s">
        <v>407</v>
      </c>
      <c r="G712" s="8">
        <v>506290</v>
      </c>
      <c r="I712" s="16" cm="1">
        <f t="array" ref="I712">_xlfn.IFS(B712=2015,G712/$H$1957,B712=2016,G712/$H$1958,B712=2017,G712/$H$1959,B712=2018,G712/$H$1960,B712=2019,G712/$H$1961,B712=2020,G712/$H$1962,B712=2021,G712/$H$1963,B712=2022,G712/$H$1964,B712=2023,G712/$H$1965)</f>
        <v>5.7858562547971105E-4</v>
      </c>
      <c r="J712" s="10" cm="1">
        <f t="array" ref="J712">_xlfn.IFS(B712=2015,I712*$G$2,B712=2016,I712*$G$3,B712=2017,I712*$G$4,B712=2018,I712*$G$5,B712=2019,I712*$G$6,B712=2020,I712*$G$7,B712=2021,I712*$G$8,B712=2022,I712*$G$9,B712=2023,I712*$G$10)</f>
        <v>99295.034399908996</v>
      </c>
      <c r="K712" s="8">
        <f t="shared" si="10"/>
        <v>605585.03439990897</v>
      </c>
      <c r="L712">
        <f>IFERROR(VLOOKUP(F712,'LEAID Match'!$A$2:$B$240,2,FALSE),"")</f>
        <v>0</v>
      </c>
    </row>
    <row r="713" spans="1:12" x14ac:dyDescent="0.2">
      <c r="A713">
        <v>0</v>
      </c>
      <c r="B713">
        <v>2022</v>
      </c>
      <c r="C713" s="4" t="s">
        <v>409</v>
      </c>
      <c r="D713" s="4" t="s">
        <v>576</v>
      </c>
      <c r="E713" s="4" t="s">
        <v>578</v>
      </c>
      <c r="F713" s="4" t="s">
        <v>407</v>
      </c>
      <c r="G713" s="8">
        <v>792379</v>
      </c>
      <c r="I713" s="16" cm="1">
        <f t="array" ref="I713">_xlfn.IFS(B713=2015,G713/$H$1957,B713=2016,G713/$H$1958,B713=2017,G713/$H$1959,B713=2018,G713/$H$1960,B713=2019,G713/$H$1961,B713=2020,G713/$H$1962,B713=2021,G713/$H$1963,B713=2022,G713/$H$1964,B713=2023,G713/$H$1965)</f>
        <v>8.5165077795550667E-4</v>
      </c>
      <c r="J713" s="10" cm="1">
        <f t="array" ref="J713">_xlfn.IFS(B713=2015,I713*$G$2,B713=2016,I713*$G$3,B713=2017,I713*$G$4,B713=2018,I713*$G$5,B713=2019,I713*$G$6,B713=2020,I713*$G$7,B713=2021,I713*$G$8,B713=2022,I713*$G$9,B713=2023,I713*$G$10)</f>
        <v>144427.7499009395</v>
      </c>
      <c r="K713" s="8">
        <f t="shared" si="10"/>
        <v>936806.74990093953</v>
      </c>
      <c r="L713">
        <f>IFERROR(VLOOKUP(F713,'LEAID Match'!$A$2:$B$240,2,FALSE),"")</f>
        <v>0</v>
      </c>
    </row>
    <row r="714" spans="1:12" x14ac:dyDescent="0.2">
      <c r="A714">
        <v>0</v>
      </c>
      <c r="B714">
        <v>2023</v>
      </c>
      <c r="C714" s="4" t="s">
        <v>409</v>
      </c>
      <c r="D714" s="4" t="s">
        <v>576</v>
      </c>
      <c r="E714" s="4" t="s">
        <v>578</v>
      </c>
      <c r="F714" s="4" t="s">
        <v>407</v>
      </c>
      <c r="G714" s="8">
        <v>972437</v>
      </c>
      <c r="I714" s="16" cm="1">
        <f t="array" ref="I714">_xlfn.IFS(B714=2015,G714/$H$1957,B714=2016,G714/$H$1958,B714=2017,G714/$H$1959,B714=2018,G714/$H$1960,B714=2019,G714/$H$1961,B714=2020,G714/$H$1962,B714=2021,G714/$H$1963,B714=2022,G714/$H$1964,B714=2023,G714/$H$1965)</f>
        <v>9.8458234007049814E-4</v>
      </c>
      <c r="J714" s="10" cm="1">
        <f t="array" ref="J714">_xlfn.IFS(B714=2015,I714*$G$2,B714=2016,I714*$G$3,B714=2017,I714*$G$4,B714=2018,I714*$G$5,B714=2019,I714*$G$6,B714=2020,I714*$G$7,B714=2021,I714*$G$8,B714=2022,I714*$G$9,B714=2023,I714*$G$10)</f>
        <v>167364.54315865011</v>
      </c>
      <c r="K714" s="8">
        <f t="shared" si="10"/>
        <v>1139801.5431586502</v>
      </c>
      <c r="L714">
        <f>IFERROR(VLOOKUP(F714,'LEAID Match'!$A$2:$B$240,2,FALSE),"")</f>
        <v>0</v>
      </c>
    </row>
    <row r="715" spans="1:12" x14ac:dyDescent="0.2">
      <c r="A715">
        <v>0</v>
      </c>
      <c r="B715">
        <v>2017</v>
      </c>
      <c r="C715" s="4" t="s">
        <v>410</v>
      </c>
      <c r="D715" s="4" t="s">
        <v>576</v>
      </c>
      <c r="E715" s="4" t="s">
        <v>578</v>
      </c>
      <c r="F715" s="9" t="s">
        <v>408</v>
      </c>
      <c r="G715" s="8">
        <v>6770</v>
      </c>
      <c r="H715">
        <v>1</v>
      </c>
      <c r="I715" s="16" cm="1">
        <f t="array" ref="I715">_xlfn.IFS(B715=2015,G715/$H$1957,B715=2016,G715/$H$1958,B715=2017,G715/$H$1959,B715=2018,G715/$H$1960,B715=2019,G715/$H$1961,B715=2020,G715/$H$1962,B715=2021,G715/$H$1963,B715=2022,G715/$H$1964,B715=2023,G715/$H$1965)</f>
        <v>9.0326207052787126E-6</v>
      </c>
      <c r="J715" s="10" cm="1">
        <f t="array" ref="J715">_xlfn.IFS(B715=2015,I715*$G$2,B715=2016,I715*$G$3,B715=2017,I715*$G$4,B715=2018,I715*$G$5,B715=2019,I715*$G$6,B715=2020,I715*$G$7,B715=2021,I715*$G$8,B715=2022,I715*$G$9,B715=2023,I715*$G$10)</f>
        <v>1337.6099719102574</v>
      </c>
      <c r="K715" s="8">
        <f t="shared" si="10"/>
        <v>8107.6099719102576</v>
      </c>
      <c r="L715">
        <f>IFERROR(VLOOKUP(F715,'LEAID Match'!$A$2:$B$240,2,FALSE),"")</f>
        <v>0</v>
      </c>
    </row>
    <row r="716" spans="1:12" x14ac:dyDescent="0.2">
      <c r="A716">
        <v>0</v>
      </c>
      <c r="B716">
        <v>2018</v>
      </c>
      <c r="C716" s="4" t="s">
        <v>410</v>
      </c>
      <c r="D716" s="4" t="s">
        <v>576</v>
      </c>
      <c r="E716" s="4" t="s">
        <v>578</v>
      </c>
      <c r="F716" s="9" t="s">
        <v>408</v>
      </c>
      <c r="G716" s="8">
        <v>502619</v>
      </c>
      <c r="H716">
        <v>1</v>
      </c>
      <c r="I716" s="16" cm="1">
        <f t="array" ref="I716">_xlfn.IFS(B716=2015,G716/$H$1957,B716=2016,G716/$H$1958,B716=2017,G716/$H$1959,B716=2018,G716/$H$1960,B716=2019,G716/$H$1961,B716=2020,G716/$H$1962,B716=2021,G716/$H$1963,B716=2022,G716/$H$1964,B716=2023,G716/$H$1965)</f>
        <v>6.4672511835381439E-4</v>
      </c>
      <c r="J716" s="10" cm="1">
        <f t="array" ref="J716">_xlfn.IFS(B716=2015,I716*$G$2,B716=2016,I716*$G$3,B716=2017,I716*$G$4,B716=2018,I716*$G$5,B716=2019,I716*$G$6,B716=2020,I716*$G$7,B716=2021,I716*$G$8,B716=2022,I716*$G$9,B716=2023,I716*$G$10)</f>
        <v>97347.602563980559</v>
      </c>
      <c r="K716" s="8">
        <f t="shared" ref="K716:K779" si="11">SUM(G716,J716)</f>
        <v>599966.6025639805</v>
      </c>
      <c r="L716">
        <f>IFERROR(VLOOKUP(F716,'LEAID Match'!$A$2:$B$240,2,FALSE),"")</f>
        <v>0</v>
      </c>
    </row>
    <row r="717" spans="1:12" x14ac:dyDescent="0.2">
      <c r="A717">
        <v>0</v>
      </c>
      <c r="B717">
        <v>2019</v>
      </c>
      <c r="C717" s="4" t="s">
        <v>410</v>
      </c>
      <c r="D717" s="4" t="s">
        <v>576</v>
      </c>
      <c r="E717" s="4" t="s">
        <v>578</v>
      </c>
      <c r="F717" s="9" t="s">
        <v>408</v>
      </c>
      <c r="G717" s="8">
        <v>1055001</v>
      </c>
      <c r="H717">
        <v>1</v>
      </c>
      <c r="I717" s="16" cm="1">
        <f t="array" ref="I717">_xlfn.IFS(B717=2015,G717/$H$1957,B717=2016,G717/$H$1958,B717=2017,G717/$H$1959,B717=2018,G717/$H$1960,B717=2019,G717/$H$1961,B717=2020,G717/$H$1962,B717=2021,G717/$H$1963,B717=2022,G717/$H$1964,B717=2023,G717/$H$1965)</f>
        <v>1.3111517097978748E-3</v>
      </c>
      <c r="J717" s="10" cm="1">
        <f t="array" ref="J717">_xlfn.IFS(B717=2015,I717*$G$2,B717=2016,I717*$G$3,B717=2017,I717*$G$4,B717=2018,I717*$G$5,B717=2019,I717*$G$6,B717=2020,I717*$G$7,B717=2021,I717*$G$8,B717=2022,I717*$G$9,B717=2023,I717*$G$10)</f>
        <v>207198.84235644716</v>
      </c>
      <c r="K717" s="8">
        <f t="shared" si="11"/>
        <v>1262199.8423564471</v>
      </c>
      <c r="L717">
        <f>IFERROR(VLOOKUP(F717,'LEAID Match'!$A$2:$B$240,2,FALSE),"")</f>
        <v>0</v>
      </c>
    </row>
    <row r="718" spans="1:12" x14ac:dyDescent="0.2">
      <c r="A718">
        <v>0</v>
      </c>
      <c r="B718">
        <v>2020</v>
      </c>
      <c r="C718" s="4" t="s">
        <v>410</v>
      </c>
      <c r="D718" s="4" t="s">
        <v>576</v>
      </c>
      <c r="E718" s="4" t="s">
        <v>578</v>
      </c>
      <c r="F718" s="9" t="s">
        <v>408</v>
      </c>
      <c r="G718" s="8">
        <v>1866425</v>
      </c>
      <c r="H718">
        <v>1</v>
      </c>
      <c r="I718" s="16" cm="1">
        <f t="array" ref="I718">_xlfn.IFS(B718=2015,G718/$H$1957,B718=2016,G718/$H$1958,B718=2017,G718/$H$1959,B718=2018,G718/$H$1960,B718=2019,G718/$H$1961,B718=2020,G718/$H$1962,B718=2021,G718/$H$1963,B718=2022,G718/$H$1964,B718=2023,G718/$H$1965)</f>
        <v>2.1466936795724125E-3</v>
      </c>
      <c r="J718" s="10" cm="1">
        <f t="array" ref="J718">_xlfn.IFS(B718=2015,I718*$G$2,B718=2016,I718*$G$3,B718=2017,I718*$G$4,B718=2018,I718*$G$5,B718=2019,I718*$G$6,B718=2020,I718*$G$7,B718=2021,I718*$G$8,B718=2022,I718*$G$9,B718=2023,I718*$G$10)</f>
        <v>370699.42381375242</v>
      </c>
      <c r="K718" s="8">
        <f t="shared" si="11"/>
        <v>2237124.4238137524</v>
      </c>
      <c r="L718">
        <f>IFERROR(VLOOKUP(F718,'LEAID Match'!$A$2:$B$240,2,FALSE),"")</f>
        <v>0</v>
      </c>
    </row>
    <row r="719" spans="1:12" x14ac:dyDescent="0.2">
      <c r="A719">
        <v>0</v>
      </c>
      <c r="B719">
        <v>2021</v>
      </c>
      <c r="C719" s="4" t="s">
        <v>410</v>
      </c>
      <c r="D719" s="4" t="s">
        <v>576</v>
      </c>
      <c r="E719" s="4" t="s">
        <v>578</v>
      </c>
      <c r="F719" s="9" t="s">
        <v>408</v>
      </c>
      <c r="G719" s="8">
        <v>1997435</v>
      </c>
      <c r="H719">
        <v>1</v>
      </c>
      <c r="I719" s="16" cm="1">
        <f t="array" ref="I719">_xlfn.IFS(B719=2015,G719/$H$1957,B719=2016,G719/$H$1958,B719=2017,G719/$H$1959,B719=2018,G719/$H$1960,B719=2019,G719/$H$1961,B719=2020,G719/$H$1962,B719=2021,G719/$H$1963,B719=2022,G719/$H$1964,B719=2023,G719/$H$1965)</f>
        <v>2.2826585135595537E-3</v>
      </c>
      <c r="J719" s="10" cm="1">
        <f t="array" ref="J719">_xlfn.IFS(B719=2015,I719*$G$2,B719=2016,I719*$G$3,B719=2017,I719*$G$4,B719=2018,I719*$G$5,B719=2019,I719*$G$6,B719=2020,I719*$G$7,B719=2021,I719*$G$8,B719=2022,I719*$G$9,B719=2023,I719*$G$10)</f>
        <v>391742.63176555373</v>
      </c>
      <c r="K719" s="8">
        <f t="shared" si="11"/>
        <v>2389177.6317655537</v>
      </c>
      <c r="L719">
        <f>IFERROR(VLOOKUP(F719,'LEAID Match'!$A$2:$B$240,2,FALSE),"")</f>
        <v>0</v>
      </c>
    </row>
    <row r="720" spans="1:12" x14ac:dyDescent="0.2">
      <c r="A720">
        <v>0</v>
      </c>
      <c r="B720">
        <v>2022</v>
      </c>
      <c r="C720" s="4" t="s">
        <v>410</v>
      </c>
      <c r="D720" s="4" t="s">
        <v>576</v>
      </c>
      <c r="E720" s="4" t="s">
        <v>578</v>
      </c>
      <c r="F720" s="9" t="s">
        <v>408</v>
      </c>
      <c r="G720" s="8">
        <v>1954198</v>
      </c>
      <c r="H720">
        <v>1</v>
      </c>
      <c r="I720" s="16" cm="1">
        <f t="array" ref="I720">_xlfn.IFS(B720=2015,G720/$H$1957,B720=2016,G720/$H$1958,B720=2017,G720/$H$1959,B720=2018,G720/$H$1960,B720=2019,G720/$H$1961,B720=2020,G720/$H$1962,B720=2021,G720/$H$1963,B720=2022,G720/$H$1964,B720=2023,G720/$H$1965)</f>
        <v>2.1003765205527851E-3</v>
      </c>
      <c r="J720" s="10" cm="1">
        <f t="array" ref="J720">_xlfn.IFS(B720=2015,I720*$G$2,B720=2016,I720*$G$3,B720=2017,I720*$G$4,B720=2018,I720*$G$5,B720=2019,I720*$G$6,B720=2020,I720*$G$7,B720=2021,I720*$G$8,B720=2022,I720*$G$9,B720=2023,I720*$G$10)</f>
        <v>356193.71538230591</v>
      </c>
      <c r="K720" s="8">
        <f t="shared" si="11"/>
        <v>2310391.7153823059</v>
      </c>
      <c r="L720">
        <f>IFERROR(VLOOKUP(F720,'LEAID Match'!$A$2:$B$240,2,FALSE),"")</f>
        <v>0</v>
      </c>
    </row>
    <row r="721" spans="1:12" x14ac:dyDescent="0.2">
      <c r="A721">
        <v>0</v>
      </c>
      <c r="B721">
        <v>2023</v>
      </c>
      <c r="C721" s="4" t="s">
        <v>410</v>
      </c>
      <c r="D721" s="4" t="s">
        <v>576</v>
      </c>
      <c r="E721" s="4" t="s">
        <v>578</v>
      </c>
      <c r="F721" s="9" t="s">
        <v>408</v>
      </c>
      <c r="G721" s="8">
        <v>2169843</v>
      </c>
      <c r="H721">
        <v>1</v>
      </c>
      <c r="I721" s="16" cm="1">
        <f t="array" ref="I721">_xlfn.IFS(B721=2015,G721/$H$1957,B721=2016,G721/$H$1958,B721=2017,G721/$H$1959,B721=2018,G721/$H$1960,B721=2019,G721/$H$1961,B721=2020,G721/$H$1962,B721=2021,G721/$H$1963,B721=2022,G721/$H$1964,B721=2023,G721/$H$1965)</f>
        <v>2.1969434508616907E-3</v>
      </c>
      <c r="J721" s="10" cm="1">
        <f t="array" ref="J721">_xlfn.IFS(B721=2015,I721*$G$2,B721=2016,I721*$G$3,B721=2017,I721*$G$4,B721=2018,I721*$G$5,B721=2019,I721*$G$6,B721=2020,I721*$G$7,B721=2021,I721*$G$8,B721=2022,I721*$G$9,B721=2023,I721*$G$10)</f>
        <v>373448.13331968529</v>
      </c>
      <c r="K721" s="8">
        <f t="shared" si="11"/>
        <v>2543291.1333196852</v>
      </c>
      <c r="L721">
        <f>IFERROR(VLOOKUP(F721,'LEAID Match'!$A$2:$B$240,2,FALSE),"")</f>
        <v>0</v>
      </c>
    </row>
    <row r="722" spans="1:12" x14ac:dyDescent="0.2">
      <c r="A722">
        <v>0</v>
      </c>
      <c r="B722">
        <v>2018</v>
      </c>
      <c r="C722" s="4" t="s">
        <v>419</v>
      </c>
      <c r="D722" s="4" t="s">
        <v>576</v>
      </c>
      <c r="E722" s="4" t="s">
        <v>578</v>
      </c>
      <c r="F722" s="4" t="s">
        <v>414</v>
      </c>
      <c r="G722" s="8">
        <v>355062</v>
      </c>
      <c r="I722" s="16" cm="1">
        <f t="array" ref="I722">_xlfn.IFS(B722=2015,G722/$H$1957,B722=2016,G722/$H$1958,B722=2017,G722/$H$1959,B722=2018,G722/$H$1960,B722=2019,G722/$H$1961,B722=2020,G722/$H$1962,B722=2021,G722/$H$1963,B722=2022,G722/$H$1964,B722=2023,G722/$H$1965)</f>
        <v>4.568619848691395E-4</v>
      </c>
      <c r="J722" s="10" cm="1">
        <f t="array" ref="J722">_xlfn.IFS(B722=2015,I722*$G$2,B722=2016,I722*$G$3,B722=2017,I722*$G$4,B722=2018,I722*$G$5,B722=2019,I722*$G$6,B722=2020,I722*$G$7,B722=2021,I722*$G$8,B722=2022,I722*$G$9,B722=2023,I722*$G$10)</f>
        <v>68768.658688931508</v>
      </c>
      <c r="K722" s="8">
        <f t="shared" si="11"/>
        <v>423830.65868893149</v>
      </c>
      <c r="L722">
        <f>IFERROR(VLOOKUP(F722,'LEAID Match'!$A$2:$B$240,2,FALSE),"")</f>
        <v>0</v>
      </c>
    </row>
    <row r="723" spans="1:12" x14ac:dyDescent="0.2">
      <c r="A723">
        <v>0</v>
      </c>
      <c r="B723">
        <v>2019</v>
      </c>
      <c r="C723" s="4" t="s">
        <v>419</v>
      </c>
      <c r="D723" s="4" t="s">
        <v>576</v>
      </c>
      <c r="E723" s="4" t="s">
        <v>578</v>
      </c>
      <c r="F723" s="4" t="s">
        <v>414</v>
      </c>
      <c r="G723" s="8">
        <v>407884</v>
      </c>
      <c r="I723" s="16" cm="1">
        <f t="array" ref="I723">_xlfn.IFS(B723=2015,G723/$H$1957,B723=2016,G723/$H$1958,B723=2017,G723/$H$1959,B723=2018,G723/$H$1960,B723=2019,G723/$H$1961,B723=2020,G723/$H$1962,B723=2021,G723/$H$1963,B723=2022,G723/$H$1964,B723=2023,G723/$H$1965)</f>
        <v>5.0691686927234795E-4</v>
      </c>
      <c r="J723" s="10" cm="1">
        <f t="array" ref="J723">_xlfn.IFS(B723=2015,I723*$G$2,B723=2016,I723*$G$3,B723=2017,I723*$G$4,B723=2018,I723*$G$5,B723=2019,I723*$G$6,B723=2020,I723*$G$7,B723=2021,I723*$G$8,B723=2022,I723*$G$9,B723=2023,I723*$G$10)</f>
        <v>80107.120861228657</v>
      </c>
      <c r="K723" s="8">
        <f t="shared" si="11"/>
        <v>487991.12086122867</v>
      </c>
      <c r="L723">
        <f>IFERROR(VLOOKUP(F723,'LEAID Match'!$A$2:$B$240,2,FALSE),"")</f>
        <v>0</v>
      </c>
    </row>
    <row r="724" spans="1:12" x14ac:dyDescent="0.2">
      <c r="A724">
        <v>0</v>
      </c>
      <c r="B724">
        <v>2020</v>
      </c>
      <c r="C724" s="4" t="s">
        <v>419</v>
      </c>
      <c r="D724" s="4" t="s">
        <v>576</v>
      </c>
      <c r="E724" s="4" t="s">
        <v>578</v>
      </c>
      <c r="F724" s="4" t="s">
        <v>414</v>
      </c>
      <c r="G724" s="8">
        <v>423282</v>
      </c>
      <c r="I724" s="16" cm="1">
        <f t="array" ref="I724">_xlfn.IFS(B724=2015,G724/$H$1957,B724=2016,G724/$H$1958,B724=2017,G724/$H$1959,B724=2018,G724/$H$1960,B724=2019,G724/$H$1961,B724=2020,G724/$H$1962,B724=2021,G724/$H$1963,B724=2022,G724/$H$1964,B724=2023,G724/$H$1965)</f>
        <v>4.8684345423832728E-4</v>
      </c>
      <c r="J724" s="10" cm="1">
        <f t="array" ref="J724">_xlfn.IFS(B724=2015,I724*$G$2,B724=2016,I724*$G$3,B724=2017,I724*$G$4,B724=2018,I724*$G$5,B724=2019,I724*$G$6,B724=2020,I724*$G$7,B724=2021,I724*$G$8,B724=2022,I724*$G$9,B724=2023,I724*$G$10)</f>
        <v>84070.023446285151</v>
      </c>
      <c r="K724" s="8">
        <f t="shared" si="11"/>
        <v>507352.02344628517</v>
      </c>
      <c r="L724">
        <f>IFERROR(VLOOKUP(F724,'LEAID Match'!$A$2:$B$240,2,FALSE),"")</f>
        <v>0</v>
      </c>
    </row>
    <row r="725" spans="1:12" x14ac:dyDescent="0.2">
      <c r="A725">
        <v>0</v>
      </c>
      <c r="B725">
        <v>2021</v>
      </c>
      <c r="C725" s="4" t="s">
        <v>419</v>
      </c>
      <c r="D725" s="4" t="s">
        <v>576</v>
      </c>
      <c r="E725" s="4" t="s">
        <v>578</v>
      </c>
      <c r="F725" s="4" t="s">
        <v>414</v>
      </c>
      <c r="G725" s="8">
        <v>433372</v>
      </c>
      <c r="I725" s="16" cm="1">
        <f t="array" ref="I725">_xlfn.IFS(B725=2015,G725/$H$1957,B725=2016,G725/$H$1958,B725=2017,G725/$H$1959,B725=2018,G725/$H$1960,B725=2019,G725/$H$1961,B725=2020,G725/$H$1962,B725=2021,G725/$H$1963,B725=2022,G725/$H$1964,B725=2023,G725/$H$1965)</f>
        <v>4.9525530760116405E-4</v>
      </c>
      <c r="J725" s="10" cm="1">
        <f t="array" ref="J725">_xlfn.IFS(B725=2015,I725*$G$2,B725=2016,I725*$G$3,B725=2017,I725*$G$4,B725=2018,I725*$G$5,B725=2019,I725*$G$6,B725=2020,I725*$G$7,B725=2021,I725*$G$8,B725=2022,I725*$G$9,B725=2023,I725*$G$10)</f>
        <v>84994.148902718531</v>
      </c>
      <c r="K725" s="8">
        <f t="shared" si="11"/>
        <v>518366.14890271856</v>
      </c>
      <c r="L725">
        <f>IFERROR(VLOOKUP(F725,'LEAID Match'!$A$2:$B$240,2,FALSE),"")</f>
        <v>0</v>
      </c>
    </row>
    <row r="726" spans="1:12" x14ac:dyDescent="0.2">
      <c r="A726">
        <v>0</v>
      </c>
      <c r="B726">
        <v>2022</v>
      </c>
      <c r="C726" s="4" t="s">
        <v>419</v>
      </c>
      <c r="D726" s="4" t="s">
        <v>576</v>
      </c>
      <c r="E726" s="4" t="s">
        <v>578</v>
      </c>
      <c r="F726" s="4" t="s">
        <v>414</v>
      </c>
      <c r="G726" s="8">
        <v>467964</v>
      </c>
      <c r="I726" s="16" cm="1">
        <f t="array" ref="I726">_xlfn.IFS(B726=2015,G726/$H$1957,B726=2016,G726/$H$1958,B726=2017,G726/$H$1959,B726=2018,G726/$H$1960,B726=2019,G726/$H$1961,B726=2020,G726/$H$1962,B726=2021,G726/$H$1963,B726=2022,G726/$H$1964,B726=2023,G726/$H$1965)</f>
        <v>5.0296878722829699E-4</v>
      </c>
      <c r="J726" s="10" cm="1">
        <f t="array" ref="J726">_xlfn.IFS(B726=2015,I726*$G$2,B726=2016,I726*$G$3,B726=2017,I726*$G$4,B726=2018,I726*$G$5,B726=2019,I726*$G$6,B726=2020,I726*$G$7,B726=2021,I726*$G$8,B726=2022,I726*$G$9,B726=2023,I726*$G$10)</f>
        <v>85296.288208853657</v>
      </c>
      <c r="K726" s="8">
        <f t="shared" si="11"/>
        <v>553260.28820885369</v>
      </c>
      <c r="L726">
        <f>IFERROR(VLOOKUP(F726,'LEAID Match'!$A$2:$B$240,2,FALSE),"")</f>
        <v>0</v>
      </c>
    </row>
    <row r="727" spans="1:12" x14ac:dyDescent="0.2">
      <c r="A727">
        <v>0</v>
      </c>
      <c r="B727">
        <v>2023</v>
      </c>
      <c r="C727" s="4" t="s">
        <v>419</v>
      </c>
      <c r="D727" s="4" t="s">
        <v>576</v>
      </c>
      <c r="E727" s="4" t="s">
        <v>578</v>
      </c>
      <c r="F727" s="4" t="s">
        <v>414</v>
      </c>
      <c r="G727" s="8">
        <v>492045</v>
      </c>
      <c r="I727" s="16" cm="1">
        <f t="array" ref="I727">_xlfn.IFS(B727=2015,G727/$H$1957,B727=2016,G727/$H$1958,B727=2017,G727/$H$1959,B727=2018,G727/$H$1960,B727=2019,G727/$H$1961,B727=2020,G727/$H$1962,B727=2021,G727/$H$1963,B727=2022,G727/$H$1964,B727=2023,G727/$H$1965)</f>
        <v>4.9819044063521671E-4</v>
      </c>
      <c r="J727" s="10" cm="1">
        <f t="array" ref="J727">_xlfn.IFS(B727=2015,I727*$G$2,B727=2016,I727*$G$3,B727=2017,I727*$G$4,B727=2018,I727*$G$5,B727=2019,I727*$G$6,B727=2020,I727*$G$7,B727=2021,I727*$G$8,B727=2022,I727*$G$9,B727=2023,I727*$G$10)</f>
        <v>84685.060974127875</v>
      </c>
      <c r="K727" s="8">
        <f t="shared" si="11"/>
        <v>576730.06097412785</v>
      </c>
      <c r="L727">
        <f>IFERROR(VLOOKUP(F727,'LEAID Match'!$A$2:$B$240,2,FALSE),"")</f>
        <v>0</v>
      </c>
    </row>
    <row r="728" spans="1:12" x14ac:dyDescent="0.2">
      <c r="A728">
        <v>0</v>
      </c>
      <c r="B728">
        <v>2018</v>
      </c>
      <c r="C728" s="4" t="s">
        <v>420</v>
      </c>
      <c r="D728" s="4" t="s">
        <v>576</v>
      </c>
      <c r="E728" s="4" t="s">
        <v>578</v>
      </c>
      <c r="F728" s="9" t="s">
        <v>415</v>
      </c>
      <c r="G728" s="8">
        <v>66883</v>
      </c>
      <c r="H728">
        <v>1</v>
      </c>
      <c r="I728" s="16" cm="1">
        <f t="array" ref="I728">_xlfn.IFS(B728=2015,G728/$H$1957,B728=2016,G728/$H$1958,B728=2017,G728/$H$1959,B728=2018,G728/$H$1960,B728=2019,G728/$H$1961,B728=2020,G728/$H$1962,B728=2021,G728/$H$1963,B728=2022,G728/$H$1964,B728=2023,G728/$H$1965)</f>
        <v>8.6059054852399462E-5</v>
      </c>
      <c r="J728" s="10" cm="1">
        <f t="array" ref="J728">_xlfn.IFS(B728=2015,I728*$G$2,B728=2016,I728*$G$3,B728=2017,I728*$G$4,B728=2018,I728*$G$5,B728=2019,I728*$G$6,B728=2020,I728*$G$7,B728=2021,I728*$G$8,B728=2022,I728*$G$9,B728=2023,I728*$G$10)</f>
        <v>12953.946632114408</v>
      </c>
      <c r="K728" s="8">
        <f t="shared" si="11"/>
        <v>79836.946632114414</v>
      </c>
      <c r="L728">
        <f>IFERROR(VLOOKUP(F728,'LEAID Match'!$A$2:$B$240,2,FALSE),"")</f>
        <v>0</v>
      </c>
    </row>
    <row r="729" spans="1:12" x14ac:dyDescent="0.2">
      <c r="A729">
        <v>0</v>
      </c>
      <c r="B729">
        <v>2019</v>
      </c>
      <c r="C729" s="4" t="s">
        <v>420</v>
      </c>
      <c r="D729" s="4" t="s">
        <v>576</v>
      </c>
      <c r="E729" s="4" t="s">
        <v>578</v>
      </c>
      <c r="F729" s="9" t="s">
        <v>415</v>
      </c>
      <c r="G729" s="8">
        <v>114530</v>
      </c>
      <c r="H729">
        <v>1</v>
      </c>
      <c r="I729" s="16" cm="1">
        <f t="array" ref="I729">_xlfn.IFS(B729=2015,G729/$H$1957,B729=2016,G729/$H$1958,B729=2017,G729/$H$1959,B729=2018,G729/$H$1960,B729=2019,G729/$H$1961,B729=2020,G729/$H$1962,B729=2021,G729/$H$1963,B729=2022,G729/$H$1964,B729=2023,G729/$H$1965)</f>
        <v>1.4233750046033187E-4</v>
      </c>
      <c r="J729" s="10" cm="1">
        <f t="array" ref="J729">_xlfn.IFS(B729=2015,I729*$G$2,B729=2016,I729*$G$3,B729=2017,I729*$G$4,B729=2018,I729*$G$5,B729=2019,I729*$G$6,B729=2020,I729*$G$7,B729=2021,I729*$G$8,B729=2022,I729*$G$9,B729=2023,I729*$G$10)</f>
        <v>22493.327887920383</v>
      </c>
      <c r="K729" s="8">
        <f t="shared" si="11"/>
        <v>137023.32788792037</v>
      </c>
      <c r="L729">
        <f>IFERROR(VLOOKUP(F729,'LEAID Match'!$A$2:$B$240,2,FALSE),"")</f>
        <v>0</v>
      </c>
    </row>
    <row r="730" spans="1:12" x14ac:dyDescent="0.2">
      <c r="A730">
        <v>0</v>
      </c>
      <c r="B730">
        <v>2020</v>
      </c>
      <c r="C730" s="4" t="s">
        <v>420</v>
      </c>
      <c r="D730" s="4" t="s">
        <v>576</v>
      </c>
      <c r="E730" s="4" t="s">
        <v>578</v>
      </c>
      <c r="F730" s="9" t="s">
        <v>415</v>
      </c>
      <c r="G730" s="8">
        <v>170251</v>
      </c>
      <c r="H730">
        <v>1</v>
      </c>
      <c r="I730" s="16" cm="1">
        <f t="array" ref="I730">_xlfn.IFS(B730=2015,G730/$H$1957,B730=2016,G730/$H$1958,B730=2017,G730/$H$1959,B730=2018,G730/$H$1960,B730=2019,G730/$H$1961,B730=2020,G730/$H$1962,B730=2021,G730/$H$1963,B730=2022,G730/$H$1964,B730=2023,G730/$H$1965)</f>
        <v>1.9581646497495629E-4</v>
      </c>
      <c r="J730" s="10" cm="1">
        <f t="array" ref="J730">_xlfn.IFS(B730=2015,I730*$G$2,B730=2016,I730*$G$3,B730=2017,I730*$G$4,B730=2018,I730*$G$5,B730=2019,I730*$G$6,B730=2020,I730*$G$7,B730=2021,I730*$G$8,B730=2022,I730*$G$9,B730=2023,I730*$G$10)</f>
        <v>33814.349681190062</v>
      </c>
      <c r="K730" s="8">
        <f t="shared" si="11"/>
        <v>204065.34968119007</v>
      </c>
      <c r="L730">
        <f>IFERROR(VLOOKUP(F730,'LEAID Match'!$A$2:$B$240,2,FALSE),"")</f>
        <v>0</v>
      </c>
    </row>
    <row r="731" spans="1:12" x14ac:dyDescent="0.2">
      <c r="A731">
        <v>0</v>
      </c>
      <c r="B731">
        <v>2021</v>
      </c>
      <c r="C731" s="4" t="s">
        <v>420</v>
      </c>
      <c r="D731" s="4" t="s">
        <v>576</v>
      </c>
      <c r="E731" s="4" t="s">
        <v>578</v>
      </c>
      <c r="F731" s="9" t="s">
        <v>415</v>
      </c>
      <c r="G731" s="8">
        <v>212196</v>
      </c>
      <c r="H731">
        <v>1</v>
      </c>
      <c r="I731" s="16" cm="1">
        <f t="array" ref="I731">_xlfn.IFS(B731=2015,G731/$H$1957,B731=2016,G731/$H$1958,B731=2017,G731/$H$1959,B731=2018,G731/$H$1960,B731=2019,G731/$H$1961,B731=2020,G731/$H$1962,B731=2021,G731/$H$1963,B731=2022,G731/$H$1964,B731=2023,G731/$H$1965)</f>
        <v>2.4249650473896929E-4</v>
      </c>
      <c r="J731" s="10" cm="1">
        <f t="array" ref="J731">_xlfn.IFS(B731=2015,I731*$G$2,B731=2016,I731*$G$3,B731=2017,I731*$G$4,B731=2018,I731*$G$5,B731=2019,I731*$G$6,B731=2020,I731*$G$7,B731=2021,I731*$G$8,B731=2022,I731*$G$9,B731=2023,I731*$G$10)</f>
        <v>41616.482884360914</v>
      </c>
      <c r="K731" s="8">
        <f t="shared" si="11"/>
        <v>253812.48288436091</v>
      </c>
      <c r="L731">
        <f>IFERROR(VLOOKUP(F731,'LEAID Match'!$A$2:$B$240,2,FALSE),"")</f>
        <v>0</v>
      </c>
    </row>
    <row r="732" spans="1:12" x14ac:dyDescent="0.2">
      <c r="A732">
        <v>0</v>
      </c>
      <c r="B732">
        <v>2022</v>
      </c>
      <c r="C732" s="4" t="s">
        <v>420</v>
      </c>
      <c r="D732" s="4" t="s">
        <v>576</v>
      </c>
      <c r="E732" s="4" t="s">
        <v>578</v>
      </c>
      <c r="F732" s="9" t="s">
        <v>415</v>
      </c>
      <c r="G732" s="8">
        <v>296636</v>
      </c>
      <c r="H732">
        <v>1</v>
      </c>
      <c r="I732" s="16" cm="1">
        <f t="array" ref="I732">_xlfn.IFS(B732=2015,G732/$H$1957,B732=2016,G732/$H$1958,B732=2017,G732/$H$1959,B732=2018,G732/$H$1960,B732=2019,G732/$H$1961,B732=2020,G732/$H$1962,B732=2021,G732/$H$1963,B732=2022,G732/$H$1964,B732=2023,G732/$H$1965)</f>
        <v>3.1882505741521382E-4</v>
      </c>
      <c r="J732" s="10" cm="1">
        <f t="array" ref="J732">_xlfn.IFS(B732=2015,I732*$G$2,B732=2016,I732*$G$3,B732=2017,I732*$G$4,B732=2018,I732*$G$5,B732=2019,I732*$G$6,B732=2020,I732*$G$7,B732=2021,I732*$G$8,B732=2022,I732*$G$9,B732=2023,I732*$G$10)</f>
        <v>54068.1542792213</v>
      </c>
      <c r="K732" s="8">
        <f t="shared" si="11"/>
        <v>350704.15427922131</v>
      </c>
      <c r="L732">
        <f>IFERROR(VLOOKUP(F732,'LEAID Match'!$A$2:$B$240,2,FALSE),"")</f>
        <v>0</v>
      </c>
    </row>
    <row r="733" spans="1:12" x14ac:dyDescent="0.2">
      <c r="A733">
        <v>0</v>
      </c>
      <c r="B733">
        <v>2023</v>
      </c>
      <c r="C733" s="4" t="s">
        <v>420</v>
      </c>
      <c r="D733" s="4" t="s">
        <v>576</v>
      </c>
      <c r="E733" s="4" t="s">
        <v>578</v>
      </c>
      <c r="F733" s="9" t="s">
        <v>415</v>
      </c>
      <c r="G733" s="8">
        <v>312155</v>
      </c>
      <c r="H733">
        <v>1</v>
      </c>
      <c r="I733" s="16" cm="1">
        <f t="array" ref="I733">_xlfn.IFS(B733=2015,G733/$H$1957,B733=2016,G733/$H$1958,B733=2017,G733/$H$1959,B733=2018,G733/$H$1960,B733=2019,G733/$H$1961,B733=2020,G733/$H$1962,B733=2021,G733/$H$1963,B733=2022,G733/$H$1964,B733=2023,G733/$H$1965)</f>
        <v>3.1605368817178524E-4</v>
      </c>
      <c r="J733" s="10" cm="1">
        <f t="array" ref="J733">_xlfn.IFS(B733=2015,I733*$G$2,B733=2016,I733*$G$3,B733=2017,I733*$G$4,B733=2018,I733*$G$5,B733=2019,I733*$G$6,B733=2020,I733*$G$7,B733=2021,I733*$G$8,B733=2022,I733*$G$9,B733=2023,I733*$G$10)</f>
        <v>53724.487005007439</v>
      </c>
      <c r="K733" s="8">
        <f t="shared" si="11"/>
        <v>365879.48700500745</v>
      </c>
      <c r="L733">
        <f>IFERROR(VLOOKUP(F733,'LEAID Match'!$A$2:$B$240,2,FALSE),"")</f>
        <v>0</v>
      </c>
    </row>
    <row r="734" spans="1:12" x14ac:dyDescent="0.2">
      <c r="A734">
        <v>0</v>
      </c>
      <c r="B734">
        <v>2018</v>
      </c>
      <c r="C734" s="4" t="s">
        <v>421</v>
      </c>
      <c r="D734" s="4" t="s">
        <v>576</v>
      </c>
      <c r="E734" s="4" t="s">
        <v>578</v>
      </c>
      <c r="F734" s="9" t="s">
        <v>416</v>
      </c>
      <c r="G734" s="8">
        <v>98662</v>
      </c>
      <c r="H734">
        <v>1</v>
      </c>
      <c r="I734" s="16" cm="1">
        <f t="array" ref="I734">_xlfn.IFS(B734=2015,G734/$H$1957,B734=2016,G734/$H$1958,B734=2017,G734/$H$1959,B734=2018,G734/$H$1960,B734=2019,G734/$H$1961,B734=2020,G734/$H$1962,B734=2021,G734/$H$1963,B734=2022,G734/$H$1964,B734=2023,G734/$H$1965)</f>
        <v>1.2694942615982291E-4</v>
      </c>
      <c r="J734" s="10" cm="1">
        <f t="array" ref="J734">_xlfn.IFS(B734=2015,I734*$G$2,B734=2016,I734*$G$3,B734=2017,I734*$G$4,B734=2018,I734*$G$5,B734=2019,I734*$G$6,B734=2020,I734*$G$7,B734=2021,I734*$G$8,B734=2022,I734*$G$9,B734=2023,I734*$G$10)</f>
        <v>19108.925775124793</v>
      </c>
      <c r="K734" s="8">
        <f t="shared" si="11"/>
        <v>117770.92577512479</v>
      </c>
      <c r="L734">
        <f>IFERROR(VLOOKUP(F734,'LEAID Match'!$A$2:$B$240,2,FALSE),"")</f>
        <v>0</v>
      </c>
    </row>
    <row r="735" spans="1:12" x14ac:dyDescent="0.2">
      <c r="A735">
        <v>0</v>
      </c>
      <c r="B735">
        <v>2019</v>
      </c>
      <c r="C735" s="4" t="s">
        <v>421</v>
      </c>
      <c r="D735" s="4" t="s">
        <v>576</v>
      </c>
      <c r="E735" s="4" t="s">
        <v>578</v>
      </c>
      <c r="F735" s="9" t="s">
        <v>416</v>
      </c>
      <c r="G735" s="8">
        <v>159232</v>
      </c>
      <c r="H735">
        <v>1</v>
      </c>
      <c r="I735" s="16" cm="1">
        <f t="array" ref="I735">_xlfn.IFS(B735=2015,G735/$H$1957,B735=2016,G735/$H$1958,B735=2017,G735/$H$1959,B735=2018,G735/$H$1960,B735=2019,G735/$H$1961,B735=2020,G735/$H$1962,B735=2021,G735/$H$1963,B735=2022,G735/$H$1964,B735=2023,G735/$H$1965)</f>
        <v>1.9789299636164818E-4</v>
      </c>
      <c r="J735" s="10" cm="1">
        <f t="array" ref="J735">_xlfn.IFS(B735=2015,I735*$G$2,B735=2016,I735*$G$3,B735=2017,I735*$G$4,B735=2018,I735*$G$5,B735=2019,I735*$G$6,B735=2020,I735*$G$7,B735=2021,I735*$G$8,B735=2022,I735*$G$9,B735=2023,I735*$G$10)</f>
        <v>31272.658571984095</v>
      </c>
      <c r="K735" s="8">
        <f t="shared" si="11"/>
        <v>190504.6585719841</v>
      </c>
      <c r="L735">
        <f>IFERROR(VLOOKUP(F735,'LEAID Match'!$A$2:$B$240,2,FALSE),"")</f>
        <v>0</v>
      </c>
    </row>
    <row r="736" spans="1:12" x14ac:dyDescent="0.2">
      <c r="A736">
        <v>0</v>
      </c>
      <c r="B736">
        <v>2020</v>
      </c>
      <c r="C736" s="4" t="s">
        <v>421</v>
      </c>
      <c r="D736" s="4" t="s">
        <v>576</v>
      </c>
      <c r="E736" s="4" t="s">
        <v>578</v>
      </c>
      <c r="F736" s="9" t="s">
        <v>416</v>
      </c>
      <c r="G736" s="8">
        <v>216414</v>
      </c>
      <c r="H736">
        <v>1</v>
      </c>
      <c r="I736" s="16" cm="1">
        <f t="array" ref="I736">_xlfn.IFS(B736=2015,G736/$H$1957,B736=2016,G736/$H$1958,B736=2017,G736/$H$1959,B736=2018,G736/$H$1960,B736=2019,G736/$H$1961,B736=2020,G736/$H$1962,B736=2021,G736/$H$1963,B736=2022,G736/$H$1964,B736=2023,G736/$H$1965)</f>
        <v>2.4891145691414556E-4</v>
      </c>
      <c r="J736" s="10" cm="1">
        <f t="array" ref="J736">_xlfn.IFS(B736=2015,I736*$G$2,B736=2016,I736*$G$3,B736=2017,I736*$G$4,B736=2018,I736*$G$5,B736=2019,I736*$G$6,B736=2020,I736*$G$7,B736=2021,I736*$G$8,B736=2022,I736*$G$9,B736=2023,I736*$G$10)</f>
        <v>42982.999641147879</v>
      </c>
      <c r="K736" s="8">
        <f t="shared" si="11"/>
        <v>259396.99964114788</v>
      </c>
      <c r="L736">
        <f>IFERROR(VLOOKUP(F736,'LEAID Match'!$A$2:$B$240,2,FALSE),"")</f>
        <v>0</v>
      </c>
    </row>
    <row r="737" spans="1:12" x14ac:dyDescent="0.2">
      <c r="A737">
        <v>0</v>
      </c>
      <c r="B737">
        <v>2021</v>
      </c>
      <c r="C737" s="4" t="s">
        <v>421</v>
      </c>
      <c r="D737" s="4" t="s">
        <v>576</v>
      </c>
      <c r="E737" s="4" t="s">
        <v>578</v>
      </c>
      <c r="F737" s="9" t="s">
        <v>416</v>
      </c>
      <c r="G737" s="8">
        <v>254639</v>
      </c>
      <c r="H737">
        <v>1</v>
      </c>
      <c r="I737" s="16" cm="1">
        <f t="array" ref="I737">_xlfn.IFS(B737=2015,G737/$H$1957,B737=2016,G737/$H$1958,B737=2017,G737/$H$1959,B737=2018,G737/$H$1960,B737=2019,G737/$H$1961,B737=2020,G737/$H$1962,B737=2021,G737/$H$1963,B737=2022,G737/$H$1964,B737=2023,G737/$H$1965)</f>
        <v>2.9100014830734983E-4</v>
      </c>
      <c r="J737" s="10" cm="1">
        <f t="array" ref="J737">_xlfn.IFS(B737=2015,I737*$G$2,B737=2016,I737*$G$3,B737=2017,I737*$G$4,B737=2018,I737*$G$5,B737=2019,I737*$G$6,B737=2020,I737*$G$7,B737=2021,I737*$G$8,B737=2022,I737*$G$9,B737=2023,I737*$G$10)</f>
        <v>49940.52472803813</v>
      </c>
      <c r="K737" s="8">
        <f t="shared" si="11"/>
        <v>304579.52472803812</v>
      </c>
      <c r="L737">
        <f>IFERROR(VLOOKUP(F737,'LEAID Match'!$A$2:$B$240,2,FALSE),"")</f>
        <v>0</v>
      </c>
    </row>
    <row r="738" spans="1:12" x14ac:dyDescent="0.2">
      <c r="A738">
        <v>0</v>
      </c>
      <c r="B738">
        <v>2022</v>
      </c>
      <c r="C738" s="4" t="s">
        <v>421</v>
      </c>
      <c r="D738" s="4" t="s">
        <v>576</v>
      </c>
      <c r="E738" s="4" t="s">
        <v>578</v>
      </c>
      <c r="F738" s="9" t="s">
        <v>416</v>
      </c>
      <c r="G738" s="8">
        <v>308621</v>
      </c>
      <c r="H738">
        <v>1</v>
      </c>
      <c r="I738" s="16" cm="1">
        <f t="array" ref="I738">_xlfn.IFS(B738=2015,G738/$H$1957,B738=2016,G738/$H$1958,B738=2017,G738/$H$1959,B738=2018,G738/$H$1960,B738=2019,G738/$H$1961,B738=2020,G738/$H$1962,B738=2021,G738/$H$1963,B738=2022,G738/$H$1964,B738=2023,G738/$H$1965)</f>
        <v>3.3170656307575852E-4</v>
      </c>
      <c r="J738" s="10" cm="1">
        <f t="array" ref="J738">_xlfn.IFS(B738=2015,I738*$G$2,B738=2016,I738*$G$3,B738=2017,I738*$G$4,B738=2018,I738*$G$5,B738=2019,I738*$G$6,B738=2020,I738*$G$7,B738=2021,I738*$G$8,B738=2022,I738*$G$9,B738=2023,I738*$G$10)</f>
        <v>56252.672776761945</v>
      </c>
      <c r="K738" s="8">
        <f t="shared" si="11"/>
        <v>364873.67277676193</v>
      </c>
      <c r="L738">
        <f>IFERROR(VLOOKUP(F738,'LEAID Match'!$A$2:$B$240,2,FALSE),"")</f>
        <v>0</v>
      </c>
    </row>
    <row r="739" spans="1:12" x14ac:dyDescent="0.2">
      <c r="A739">
        <v>0</v>
      </c>
      <c r="B739">
        <v>2023</v>
      </c>
      <c r="C739" s="4" t="s">
        <v>421</v>
      </c>
      <c r="D739" s="4" t="s">
        <v>576</v>
      </c>
      <c r="E739" s="4" t="s">
        <v>578</v>
      </c>
      <c r="F739" s="9" t="s">
        <v>416</v>
      </c>
      <c r="G739" s="8">
        <v>358892</v>
      </c>
      <c r="H739">
        <v>1</v>
      </c>
      <c r="I739" s="16" cm="1">
        <f t="array" ref="I739">_xlfn.IFS(B739=2015,G739/$H$1957,B739=2016,G739/$H$1958,B739=2017,G739/$H$1959,B739=2018,G739/$H$1960,B739=2019,G739/$H$1961,B739=2020,G739/$H$1962,B739=2021,G739/$H$1963,B739=2022,G739/$H$1964,B739=2023,G739/$H$1965)</f>
        <v>3.6337441417035884E-4</v>
      </c>
      <c r="J739" s="10" cm="1">
        <f t="array" ref="J739">_xlfn.IFS(B739=2015,I739*$G$2,B739=2016,I739*$G$3,B739=2017,I739*$G$4,B739=2018,I739*$G$5,B739=2019,I739*$G$6,B739=2020,I739*$G$7,B739=2021,I739*$G$8,B739=2022,I739*$G$9,B739=2023,I739*$G$10)</f>
        <v>61768.315709186565</v>
      </c>
      <c r="K739" s="8">
        <f t="shared" si="11"/>
        <v>420660.31570918654</v>
      </c>
      <c r="L739">
        <f>IFERROR(VLOOKUP(F739,'LEAID Match'!$A$2:$B$240,2,FALSE),"")</f>
        <v>0</v>
      </c>
    </row>
    <row r="740" spans="1:12" x14ac:dyDescent="0.2">
      <c r="A740">
        <v>0</v>
      </c>
      <c r="B740">
        <v>2018</v>
      </c>
      <c r="C740" s="4" t="s">
        <v>422</v>
      </c>
      <c r="D740" s="4" t="s">
        <v>576</v>
      </c>
      <c r="E740" s="4" t="s">
        <v>578</v>
      </c>
      <c r="F740" s="9" t="s">
        <v>417</v>
      </c>
      <c r="G740" s="8">
        <v>76965</v>
      </c>
      <c r="H740">
        <v>1</v>
      </c>
      <c r="I740" s="16" cm="1">
        <f t="array" ref="I740">_xlfn.IFS(B740=2015,G740/$H$1957,B740=2016,G740/$H$1958,B740=2017,G740/$H$1959,B740=2018,G740/$H$1960,B740=2019,G740/$H$1961,B740=2020,G740/$H$1962,B740=2021,G740/$H$1963,B740=2022,G740/$H$1964,B740=2023,G740/$H$1965)</f>
        <v>9.9031669582927266E-5</v>
      </c>
      <c r="J740" s="10" cm="1">
        <f t="array" ref="J740">_xlfn.IFS(B740=2015,I740*$G$2,B740=2016,I740*$G$3,B740=2017,I740*$G$4,B740=2018,I740*$G$5,B740=2019,I740*$G$6,B740=2020,I740*$G$7,B740=2021,I740*$G$8,B740=2022,I740*$G$9,B740=2023,I740*$G$10)</f>
        <v>14906.635505893655</v>
      </c>
      <c r="K740" s="8">
        <f t="shared" si="11"/>
        <v>91871.635505893661</v>
      </c>
      <c r="L740">
        <f>IFERROR(VLOOKUP(F740,'LEAID Match'!$A$2:$B$240,2,FALSE),"")</f>
        <v>0</v>
      </c>
    </row>
    <row r="741" spans="1:12" x14ac:dyDescent="0.2">
      <c r="A741">
        <v>0</v>
      </c>
      <c r="B741">
        <v>2019</v>
      </c>
      <c r="C741" s="4" t="s">
        <v>422</v>
      </c>
      <c r="D741" s="4" t="s">
        <v>576</v>
      </c>
      <c r="E741" s="4" t="s">
        <v>578</v>
      </c>
      <c r="F741" s="9" t="s">
        <v>417</v>
      </c>
      <c r="G741" s="8">
        <v>211344</v>
      </c>
      <c r="H741">
        <v>1</v>
      </c>
      <c r="I741" s="16" cm="1">
        <f t="array" ref="I741">_xlfn.IFS(B741=2015,G741/$H$1957,B741=2016,G741/$H$1958,B741=2017,G741/$H$1959,B741=2018,G741/$H$1960,B741=2019,G741/$H$1961,B741=2020,G741/$H$1962,B741=2021,G741/$H$1963,B741=2022,G741/$H$1964,B741=2023,G741/$H$1965)</f>
        <v>2.6265761544825271E-4</v>
      </c>
      <c r="J741" s="10" cm="1">
        <f t="array" ref="J741">_xlfn.IFS(B741=2015,I741*$G$2,B741=2016,I741*$G$3,B741=2017,I741*$G$4,B741=2018,I741*$G$5,B741=2019,I741*$G$6,B741=2020,I741*$G$7,B741=2021,I741*$G$8,B741=2022,I741*$G$9,B741=2023,I741*$G$10)</f>
        <v>41507.28969828556</v>
      </c>
      <c r="K741" s="8">
        <f t="shared" si="11"/>
        <v>252851.28969828557</v>
      </c>
      <c r="L741">
        <f>IFERROR(VLOOKUP(F741,'LEAID Match'!$A$2:$B$240,2,FALSE),"")</f>
        <v>0</v>
      </c>
    </row>
    <row r="742" spans="1:12" x14ac:dyDescent="0.2">
      <c r="A742">
        <v>0</v>
      </c>
      <c r="B742">
        <v>2020</v>
      </c>
      <c r="C742" s="4" t="s">
        <v>422</v>
      </c>
      <c r="D742" s="4" t="s">
        <v>576</v>
      </c>
      <c r="E742" s="4" t="s">
        <v>578</v>
      </c>
      <c r="F742" s="9" t="s">
        <v>417</v>
      </c>
      <c r="G742" s="8">
        <v>346120</v>
      </c>
      <c r="H742">
        <v>1</v>
      </c>
      <c r="I742" s="16" cm="1">
        <f t="array" ref="I742">_xlfn.IFS(B742=2015,G742/$H$1957,B742=2016,G742/$H$1958,B742=2017,G742/$H$1959,B742=2018,G742/$H$1960,B742=2019,G742/$H$1961,B742=2020,G742/$H$1962,B742=2021,G742/$H$1963,B742=2022,G742/$H$1964,B742=2023,G742/$H$1965)</f>
        <v>3.9809454779785069E-4</v>
      </c>
      <c r="J742" s="10" cm="1">
        <f t="array" ref="J742">_xlfn.IFS(B742=2015,I742*$G$2,B742=2016,I742*$G$3,B742=2017,I742*$G$4,B742=2018,I742*$G$5,B742=2019,I742*$G$6,B742=2020,I742*$G$7,B742=2021,I742*$G$8,B742=2022,I742*$G$9,B742=2023,I742*$G$10)</f>
        <v>68744.516693901984</v>
      </c>
      <c r="K742" s="8">
        <f t="shared" si="11"/>
        <v>414864.51669390197</v>
      </c>
      <c r="L742">
        <f>IFERROR(VLOOKUP(F742,'LEAID Match'!$A$2:$B$240,2,FALSE),"")</f>
        <v>0</v>
      </c>
    </row>
    <row r="743" spans="1:12" x14ac:dyDescent="0.2">
      <c r="A743">
        <v>0</v>
      </c>
      <c r="B743">
        <v>2021</v>
      </c>
      <c r="C743" s="4" t="s">
        <v>422</v>
      </c>
      <c r="D743" s="4" t="s">
        <v>576</v>
      </c>
      <c r="E743" s="4" t="s">
        <v>578</v>
      </c>
      <c r="F743" s="9" t="s">
        <v>417</v>
      </c>
      <c r="G743" s="8">
        <v>383194</v>
      </c>
      <c r="H743">
        <v>1</v>
      </c>
      <c r="I743" s="16" cm="1">
        <f t="array" ref="I743">_xlfn.IFS(B743=2015,G743/$H$1957,B743=2016,G743/$H$1958,B743=2017,G743/$H$1959,B743=2018,G743/$H$1960,B743=2019,G743/$H$1961,B743=2020,G743/$H$1962,B743=2021,G743/$H$1963,B743=2022,G743/$H$1964,B743=2023,G743/$H$1965)</f>
        <v>4.3791214554913664E-4</v>
      </c>
      <c r="J743" s="10" cm="1">
        <f t="array" ref="J743">_xlfn.IFS(B743=2015,I743*$G$2,B743=2016,I743*$G$3,B743=2017,I743*$G$4,B743=2018,I743*$G$5,B743=2019,I743*$G$6,B743=2020,I743*$G$7,B743=2021,I743*$G$8,B743=2022,I743*$G$9,B743=2023,I743*$G$10)</f>
        <v>75153.096865114319</v>
      </c>
      <c r="K743" s="8">
        <f t="shared" si="11"/>
        <v>458347.09686511429</v>
      </c>
      <c r="L743">
        <f>IFERROR(VLOOKUP(F743,'LEAID Match'!$A$2:$B$240,2,FALSE),"")</f>
        <v>0</v>
      </c>
    </row>
    <row r="744" spans="1:12" x14ac:dyDescent="0.2">
      <c r="A744">
        <v>0</v>
      </c>
      <c r="B744">
        <v>2022</v>
      </c>
      <c r="C744" s="4" t="s">
        <v>422</v>
      </c>
      <c r="D744" s="4" t="s">
        <v>576</v>
      </c>
      <c r="E744" s="4" t="s">
        <v>578</v>
      </c>
      <c r="F744" s="9" t="s">
        <v>417</v>
      </c>
      <c r="G744" s="8">
        <v>434910</v>
      </c>
      <c r="H744">
        <v>1</v>
      </c>
      <c r="I744" s="16" cm="1">
        <f t="array" ref="I744">_xlfn.IFS(B744=2015,G744/$H$1957,B744=2016,G744/$H$1958,B744=2017,G744/$H$1959,B744=2018,G744/$H$1960,B744=2019,G744/$H$1961,B744=2020,G744/$H$1962,B744=2021,G744/$H$1963,B744=2022,G744/$H$1964,B744=2023,G744/$H$1965)</f>
        <v>4.674422717419687E-4</v>
      </c>
      <c r="J744" s="10" cm="1">
        <f t="array" ref="J744">_xlfn.IFS(B744=2015,I744*$G$2,B744=2016,I744*$G$3,B744=2017,I744*$G$4,B744=2018,I744*$G$5,B744=2019,I744*$G$6,B744=2020,I744*$G$7,B744=2021,I744*$G$8,B744=2022,I744*$G$9,B744=2023,I744*$G$10)</f>
        <v>79271.501023396122</v>
      </c>
      <c r="K744" s="8">
        <f t="shared" si="11"/>
        <v>514181.50102339615</v>
      </c>
      <c r="L744">
        <f>IFERROR(VLOOKUP(F744,'LEAID Match'!$A$2:$B$240,2,FALSE),"")</f>
        <v>0</v>
      </c>
    </row>
    <row r="745" spans="1:12" x14ac:dyDescent="0.2">
      <c r="A745">
        <v>0</v>
      </c>
      <c r="B745">
        <v>2023</v>
      </c>
      <c r="C745" s="4" t="s">
        <v>422</v>
      </c>
      <c r="D745" s="4" t="s">
        <v>576</v>
      </c>
      <c r="E745" s="4" t="s">
        <v>578</v>
      </c>
      <c r="F745" s="9" t="s">
        <v>417</v>
      </c>
      <c r="G745" s="8">
        <v>457194</v>
      </c>
      <c r="H745">
        <v>1</v>
      </c>
      <c r="I745" s="16" cm="1">
        <f t="array" ref="I745">_xlfn.IFS(B745=2015,G745/$H$1957,B745=2016,G745/$H$1958,B745=2017,G745/$H$1959,B745=2018,G745/$H$1960,B745=2019,G745/$H$1961,B745=2020,G745/$H$1962,B745=2021,G745/$H$1963,B745=2022,G745/$H$1964,B745=2023,G745/$H$1965)</f>
        <v>4.6290416591120175E-4</v>
      </c>
      <c r="J745" s="10" cm="1">
        <f t="array" ref="J745">_xlfn.IFS(B745=2015,I745*$G$2,B745=2016,I745*$G$3,B745=2017,I745*$G$4,B745=2018,I745*$G$5,B745=2019,I745*$G$6,B745=2020,I745*$G$7,B745=2021,I745*$G$8,B745=2022,I745*$G$9,B745=2023,I745*$G$10)</f>
        <v>78686.912308844563</v>
      </c>
      <c r="K745" s="8">
        <f t="shared" si="11"/>
        <v>535880.9123088445</v>
      </c>
      <c r="L745">
        <f>IFERROR(VLOOKUP(F745,'LEAID Match'!$A$2:$B$240,2,FALSE),"")</f>
        <v>0</v>
      </c>
    </row>
    <row r="746" spans="1:12" x14ac:dyDescent="0.2">
      <c r="A746">
        <v>0</v>
      </c>
      <c r="B746">
        <v>2019</v>
      </c>
      <c r="C746" s="4" t="s">
        <v>427</v>
      </c>
      <c r="D746" s="4" t="s">
        <v>576</v>
      </c>
      <c r="E746" s="4" t="s">
        <v>578</v>
      </c>
      <c r="F746" s="9" t="s">
        <v>432</v>
      </c>
      <c r="G746" s="8">
        <v>6056</v>
      </c>
      <c r="H746">
        <v>1</v>
      </c>
      <c r="I746" s="16" cm="1">
        <f t="array" ref="I746">_xlfn.IFS(B746=2015,G746/$H$1957,B746=2016,G746/$H$1958,B746=2017,G746/$H$1959,B746=2018,G746/$H$1960,B746=2019,G746/$H$1961,B746=2020,G746/$H$1962,B746=2021,G746/$H$1963,B746=2022,G746/$H$1964,B746=2023,G746/$H$1965)</f>
        <v>7.5263765195823789E-6</v>
      </c>
      <c r="J746" s="10" cm="1">
        <f t="array" ref="J746">_xlfn.IFS(B746=2015,I746*$G$2,B746=2016,I746*$G$3,B746=2017,I746*$G$4,B746=2018,I746*$G$5,B746=2019,I746*$G$6,B746=2020,I746*$G$7,B746=2021,I746*$G$8,B746=2022,I746*$G$9,B746=2023,I746*$G$10)</f>
        <v>1189.3791468544996</v>
      </c>
      <c r="K746" s="8">
        <f t="shared" si="11"/>
        <v>7245.3791468544996</v>
      </c>
      <c r="L746">
        <f>IFERROR(VLOOKUP(F746,'LEAID Match'!$A$2:$B$240,2,FALSE),"")</f>
        <v>0</v>
      </c>
    </row>
    <row r="747" spans="1:12" x14ac:dyDescent="0.2">
      <c r="A747">
        <v>0</v>
      </c>
      <c r="B747">
        <v>2020</v>
      </c>
      <c r="C747" s="4" t="s">
        <v>427</v>
      </c>
      <c r="D747" s="4" t="s">
        <v>576</v>
      </c>
      <c r="E747" s="4" t="s">
        <v>578</v>
      </c>
      <c r="F747" s="9" t="s">
        <v>432</v>
      </c>
      <c r="G747" s="8">
        <v>8820</v>
      </c>
      <c r="H747">
        <v>1</v>
      </c>
      <c r="I747" s="16" cm="1">
        <f t="array" ref="I747">_xlfn.IFS(B747=2015,G747/$H$1957,B747=2016,G747/$H$1958,B747=2017,G747/$H$1959,B747=2018,G747/$H$1960,B747=2019,G747/$H$1961,B747=2020,G747/$H$1962,B747=2021,G747/$H$1963,B747=2022,G747/$H$1964,B747=2023,G747/$H$1965)</f>
        <v>1.0144440978784938E-5</v>
      </c>
      <c r="J747" s="10" cm="1">
        <f t="array" ref="J747">_xlfn.IFS(B747=2015,I747*$G$2,B747=2016,I747*$G$3,B747=2017,I747*$G$4,B747=2018,I747*$G$5,B747=2019,I747*$G$6,B747=2020,I747*$G$7,B747=2021,I747*$G$8,B747=2022,I747*$G$9,B747=2023,I747*$G$10)</f>
        <v>1751.7815706697545</v>
      </c>
      <c r="K747" s="8">
        <f t="shared" si="11"/>
        <v>10571.781570669755</v>
      </c>
      <c r="L747">
        <f>IFERROR(VLOOKUP(F747,'LEAID Match'!$A$2:$B$240,2,FALSE),"")</f>
        <v>0</v>
      </c>
    </row>
    <row r="748" spans="1:12" x14ac:dyDescent="0.2">
      <c r="A748">
        <v>0</v>
      </c>
      <c r="B748">
        <v>2021</v>
      </c>
      <c r="C748" s="4" t="s">
        <v>427</v>
      </c>
      <c r="D748" s="4" t="s">
        <v>576</v>
      </c>
      <c r="E748" s="4" t="s">
        <v>578</v>
      </c>
      <c r="F748" s="9" t="s">
        <v>432</v>
      </c>
      <c r="G748" s="8">
        <v>15716</v>
      </c>
      <c r="H748">
        <v>1</v>
      </c>
      <c r="I748" s="16" cm="1">
        <f t="array" ref="I748">_xlfn.IFS(B748=2015,G748/$H$1957,B748=2016,G748/$H$1958,B748=2017,G748/$H$1959,B748=2018,G748/$H$1960,B748=2019,G748/$H$1961,B748=2020,G748/$H$1962,B748=2021,G748/$H$1963,B748=2022,G748/$H$1964,B748=2023,G748/$H$1965)</f>
        <v>1.7960164510535735E-5</v>
      </c>
      <c r="J748" s="10" cm="1">
        <f t="array" ref="J748">_xlfn.IFS(B748=2015,I748*$G$2,B748=2016,I748*$G$3,B748=2017,I748*$G$4,B748=2018,I748*$G$5,B748=2019,I748*$G$6,B748=2020,I748*$G$7,B748=2021,I748*$G$8,B748=2022,I748*$G$9,B748=2023,I748*$G$10)</f>
        <v>3082.2666073376317</v>
      </c>
      <c r="K748" s="8">
        <f t="shared" si="11"/>
        <v>18798.266607337631</v>
      </c>
      <c r="L748">
        <f>IFERROR(VLOOKUP(F748,'LEAID Match'!$A$2:$B$240,2,FALSE),"")</f>
        <v>0</v>
      </c>
    </row>
    <row r="749" spans="1:12" x14ac:dyDescent="0.2">
      <c r="A749">
        <v>0</v>
      </c>
      <c r="B749">
        <v>2022</v>
      </c>
      <c r="C749" s="4" t="s">
        <v>427</v>
      </c>
      <c r="D749" s="4" t="s">
        <v>576</v>
      </c>
      <c r="E749" s="4" t="s">
        <v>578</v>
      </c>
      <c r="F749" s="9" t="s">
        <v>432</v>
      </c>
      <c r="G749" s="8">
        <v>11165</v>
      </c>
      <c r="H749">
        <v>1</v>
      </c>
      <c r="I749" s="16" cm="1">
        <f t="array" ref="I749">_xlfn.IFS(B749=2015,G749/$H$1957,B749=2016,G749/$H$1958,B749=2017,G749/$H$1959,B749=2018,G749/$H$1960,B749=2019,G749/$H$1961,B749=2020,G749/$H$1962,B749=2021,G749/$H$1963,B749=2022,G749/$H$1964,B749=2023,G749/$H$1965)</f>
        <v>1.200016776804185E-5</v>
      </c>
      <c r="J749" s="10" cm="1">
        <f t="array" ref="J749">_xlfn.IFS(B749=2015,I749*$G$2,B749=2016,I749*$G$3,B749=2017,I749*$G$4,B749=2018,I749*$G$5,B749=2019,I749*$G$6,B749=2020,I749*$G$7,B749=2021,I749*$G$8,B749=2022,I749*$G$9,B749=2023,I749*$G$10)</f>
        <v>2035.0562390522587</v>
      </c>
      <c r="K749" s="8">
        <f t="shared" si="11"/>
        <v>13200.056239052259</v>
      </c>
      <c r="L749">
        <f>IFERROR(VLOOKUP(F749,'LEAID Match'!$A$2:$B$240,2,FALSE),"")</f>
        <v>0</v>
      </c>
    </row>
    <row r="750" spans="1:12" x14ac:dyDescent="0.2">
      <c r="A750">
        <v>0</v>
      </c>
      <c r="B750">
        <v>2023</v>
      </c>
      <c r="C750" s="4" t="s">
        <v>427</v>
      </c>
      <c r="D750" s="4" t="s">
        <v>576</v>
      </c>
      <c r="E750" s="4" t="s">
        <v>578</v>
      </c>
      <c r="F750" s="9" t="s">
        <v>432</v>
      </c>
      <c r="G750" s="8">
        <v>7419</v>
      </c>
      <c r="H750">
        <v>1</v>
      </c>
      <c r="I750" s="16" cm="1">
        <f t="array" ref="I750">_xlfn.IFS(B750=2015,G750/$H$1957,B750=2016,G750/$H$1958,B750=2017,G750/$H$1959,B750=2018,G750/$H$1960,B750=2019,G750/$H$1961,B750=2020,G750/$H$1962,B750=2021,G750/$H$1963,B750=2022,G750/$H$1964,B750=2023,G750/$H$1965)</f>
        <v>7.5116602730902113E-6</v>
      </c>
      <c r="J750" s="10" cm="1">
        <f t="array" ref="J750">_xlfn.IFS(B750=2015,I750*$G$2,B750=2016,I750*$G$3,B750=2017,I750*$G$4,B750=2018,I750*$G$5,B750=2019,I750*$G$6,B750=2020,I750*$G$7,B750=2021,I750*$G$8,B750=2022,I750*$G$9,B750=2023,I750*$G$10)</f>
        <v>1276.8719677408667</v>
      </c>
      <c r="K750" s="8">
        <f t="shared" si="11"/>
        <v>8695.8719677408662</v>
      </c>
      <c r="L750">
        <f>IFERROR(VLOOKUP(F750,'LEAID Match'!$A$2:$B$240,2,FALSE),"")</f>
        <v>0</v>
      </c>
    </row>
    <row r="751" spans="1:12" x14ac:dyDescent="0.2">
      <c r="A751">
        <v>0</v>
      </c>
      <c r="B751">
        <v>2019</v>
      </c>
      <c r="C751" s="4" t="s">
        <v>428</v>
      </c>
      <c r="D751" s="4" t="s">
        <v>576</v>
      </c>
      <c r="E751" s="4" t="s">
        <v>578</v>
      </c>
      <c r="F751" s="9" t="s">
        <v>433</v>
      </c>
      <c r="G751" s="8">
        <v>58646</v>
      </c>
      <c r="H751">
        <v>1</v>
      </c>
      <c r="I751" s="16" cm="1">
        <f t="array" ref="I751">_xlfn.IFS(B751=2015,G751/$H$1957,B751=2016,G751/$H$1958,B751=2017,G751/$H$1959,B751=2018,G751/$H$1960,B751=2019,G751/$H$1961,B751=2020,G751/$H$1962,B751=2021,G751/$H$1963,B751=2022,G751/$H$1964,B751=2023,G751/$H$1965)</f>
        <v>7.2885052405453801E-5</v>
      </c>
      <c r="J751" s="10" cm="1">
        <f t="array" ref="J751">_xlfn.IFS(B751=2015,I751*$G$2,B751=2016,I751*$G$3,B751=2017,I751*$G$4,B751=2018,I751*$G$5,B751=2019,I751*$G$6,B751=2020,I751*$G$7,B751=2021,I751*$G$8,B751=2022,I751*$G$9,B751=2023,I751*$G$10)</f>
        <v>11517.887953505448</v>
      </c>
      <c r="K751" s="8">
        <f t="shared" si="11"/>
        <v>70163.887953505444</v>
      </c>
      <c r="L751">
        <f>IFERROR(VLOOKUP(F751,'LEAID Match'!$A$2:$B$240,2,FALSE),"")</f>
        <v>0</v>
      </c>
    </row>
    <row r="752" spans="1:12" x14ac:dyDescent="0.2">
      <c r="A752">
        <v>0</v>
      </c>
      <c r="B752">
        <v>2020</v>
      </c>
      <c r="C752" s="4" t="s">
        <v>428</v>
      </c>
      <c r="D752" s="4" t="s">
        <v>576</v>
      </c>
      <c r="E752" s="4" t="s">
        <v>578</v>
      </c>
      <c r="F752" s="9" t="s">
        <v>433</v>
      </c>
      <c r="G752" s="8">
        <v>113060</v>
      </c>
      <c r="H752">
        <v>1</v>
      </c>
      <c r="I752" s="16" cm="1">
        <f t="array" ref="I752">_xlfn.IFS(B752=2015,G752/$H$1957,B752=2016,G752/$H$1958,B752=2017,G752/$H$1959,B752=2018,G752/$H$1960,B752=2019,G752/$H$1961,B752=2020,G752/$H$1962,B752=2021,G752/$H$1963,B752=2022,G752/$H$1964,B752=2023,G752/$H$1965)</f>
        <v>1.3003747132215706E-4</v>
      </c>
      <c r="J752" s="10" cm="1">
        <f t="array" ref="J752">_xlfn.IFS(B752=2015,I752*$G$2,B752=2016,I752*$G$3,B752=2017,I752*$G$4,B752=2018,I752*$G$5,B752=2019,I752*$G$6,B752=2020,I752*$G$7,B752=2021,I752*$G$8,B752=2022,I752*$G$9,B752=2023,I752*$G$10)</f>
        <v>22455.376913823409</v>
      </c>
      <c r="K752" s="8">
        <f t="shared" si="11"/>
        <v>135515.37691382342</v>
      </c>
      <c r="L752">
        <f>IFERROR(VLOOKUP(F752,'LEAID Match'!$A$2:$B$240,2,FALSE),"")</f>
        <v>0</v>
      </c>
    </row>
    <row r="753" spans="1:12" x14ac:dyDescent="0.2">
      <c r="A753">
        <v>0</v>
      </c>
      <c r="B753">
        <v>2021</v>
      </c>
      <c r="C753" s="4" t="s">
        <v>428</v>
      </c>
      <c r="D753" s="4" t="s">
        <v>576</v>
      </c>
      <c r="E753" s="4" t="s">
        <v>578</v>
      </c>
      <c r="F753" s="9" t="s">
        <v>433</v>
      </c>
      <c r="G753" s="8">
        <v>148827</v>
      </c>
      <c r="H753">
        <v>1</v>
      </c>
      <c r="I753" s="16" cm="1">
        <f t="array" ref="I753">_xlfn.IFS(B753=2015,G753/$H$1957,B753=2016,G753/$H$1958,B753=2017,G753/$H$1959,B753=2018,G753/$H$1960,B753=2019,G753/$H$1961,B753=2020,G753/$H$1962,B753=2021,G753/$H$1963,B753=2022,G753/$H$1964,B753=2023,G753/$H$1965)</f>
        <v>1.700787352767563E-4</v>
      </c>
      <c r="J753" s="10" cm="1">
        <f t="array" ref="J753">_xlfn.IFS(B753=2015,I753*$G$2,B753=2016,I753*$G$3,B753=2017,I753*$G$4,B753=2018,I753*$G$5,B753=2019,I753*$G$6,B753=2020,I753*$G$7,B753=2021,I753*$G$8,B753=2022,I753*$G$9,B753=2023,I753*$G$10)</f>
        <v>29188.3744190785</v>
      </c>
      <c r="K753" s="8">
        <f t="shared" si="11"/>
        <v>178015.37441907849</v>
      </c>
      <c r="L753">
        <f>IFERROR(VLOOKUP(F753,'LEAID Match'!$A$2:$B$240,2,FALSE),"")</f>
        <v>0</v>
      </c>
    </row>
    <row r="754" spans="1:12" x14ac:dyDescent="0.2">
      <c r="A754">
        <v>0</v>
      </c>
      <c r="B754">
        <v>2022</v>
      </c>
      <c r="C754" s="4" t="s">
        <v>428</v>
      </c>
      <c r="D754" s="4" t="s">
        <v>576</v>
      </c>
      <c r="E754" s="4" t="s">
        <v>578</v>
      </c>
      <c r="F754" s="9" t="s">
        <v>433</v>
      </c>
      <c r="G754" s="8">
        <v>230664</v>
      </c>
      <c r="H754">
        <v>1</v>
      </c>
      <c r="I754" s="16" cm="1">
        <f t="array" ref="I754">_xlfn.IFS(B754=2015,G754/$H$1957,B754=2016,G754/$H$1958,B754=2017,G754/$H$1959,B754=2018,G754/$H$1960,B754=2019,G754/$H$1961,B754=2020,G754/$H$1962,B754=2021,G754/$H$1963,B754=2022,G754/$H$1964,B754=2023,G754/$H$1965)</f>
        <v>2.4791819955643574E-4</v>
      </c>
      <c r="J754" s="10" cm="1">
        <f t="array" ref="J754">_xlfn.IFS(B754=2015,I754*$G$2,B754=2016,I754*$G$3,B754=2017,I754*$G$4,B754=2018,I754*$G$5,B754=2019,I754*$G$6,B754=2020,I754*$G$7,B754=2021,I754*$G$8,B754=2022,I754*$G$9,B754=2023,I754*$G$10)</f>
        <v>42043.368770689667</v>
      </c>
      <c r="K754" s="8">
        <f t="shared" si="11"/>
        <v>272707.36877068965</v>
      </c>
      <c r="L754">
        <f>IFERROR(VLOOKUP(F754,'LEAID Match'!$A$2:$B$240,2,FALSE),"")</f>
        <v>0</v>
      </c>
    </row>
    <row r="755" spans="1:12" x14ac:dyDescent="0.2">
      <c r="A755">
        <v>0</v>
      </c>
      <c r="B755">
        <v>2023</v>
      </c>
      <c r="C755" s="4" t="s">
        <v>428</v>
      </c>
      <c r="D755" s="4" t="s">
        <v>576</v>
      </c>
      <c r="E755" s="4" t="s">
        <v>578</v>
      </c>
      <c r="F755" s="9" t="s">
        <v>433</v>
      </c>
      <c r="G755" s="8">
        <v>286089</v>
      </c>
      <c r="H755">
        <v>1</v>
      </c>
      <c r="I755" s="16" cm="1">
        <f t="array" ref="I755">_xlfn.IFS(B755=2015,G755/$H$1957,B755=2016,G755/$H$1958,B755=2017,G755/$H$1959,B755=2018,G755/$H$1960,B755=2019,G755/$H$1961,B755=2020,G755/$H$1962,B755=2021,G755/$H$1963,B755=2022,G755/$H$1964,B755=2023,G755/$H$1965)</f>
        <v>2.8966213450169905E-4</v>
      </c>
      <c r="J755" s="10" cm="1">
        <f t="array" ref="J755">_xlfn.IFS(B755=2015,I755*$G$2,B755=2016,I755*$G$3,B755=2017,I755*$G$4,B755=2018,I755*$G$5,B755=2019,I755*$G$6,B755=2020,I755*$G$7,B755=2021,I755*$G$8,B755=2022,I755*$G$9,B755=2023,I755*$G$10)</f>
        <v>49238.31033549222</v>
      </c>
      <c r="K755" s="8">
        <f t="shared" si="11"/>
        <v>335327.31033549225</v>
      </c>
      <c r="L755">
        <f>IFERROR(VLOOKUP(F755,'LEAID Match'!$A$2:$B$240,2,FALSE),"")</f>
        <v>0</v>
      </c>
    </row>
    <row r="756" spans="1:12" x14ac:dyDescent="0.2">
      <c r="A756">
        <v>0</v>
      </c>
      <c r="B756">
        <v>2019</v>
      </c>
      <c r="C756" s="4" t="s">
        <v>429</v>
      </c>
      <c r="D756" s="4" t="s">
        <v>576</v>
      </c>
      <c r="E756" s="4" t="s">
        <v>578</v>
      </c>
      <c r="F756" s="9" t="s">
        <v>434</v>
      </c>
      <c r="G756" s="8">
        <v>62469</v>
      </c>
      <c r="H756">
        <v>1</v>
      </c>
      <c r="I756" s="16" cm="1">
        <f t="array" ref="I756">_xlfn.IFS(B756=2015,G756/$H$1957,B756=2016,G756/$H$1958,B756=2017,G756/$H$1959,B756=2018,G756/$H$1960,B756=2019,G756/$H$1961,B756=2020,G756/$H$1962,B756=2021,G756/$H$1963,B756=2022,G756/$H$1964,B756=2023,G756/$H$1965)</f>
        <v>7.7636264002937851E-5</v>
      </c>
      <c r="J756" s="10" cm="1">
        <f t="array" ref="J756">_xlfn.IFS(B756=2015,I756*$G$2,B756=2016,I756*$G$3,B756=2017,I756*$G$4,B756=2018,I756*$G$5,B756=2019,I756*$G$6,B756=2020,I756*$G$7,B756=2021,I756*$G$8,B756=2022,I756*$G$9,B756=2023,I756*$G$10)</f>
        <v>12268.712999480471</v>
      </c>
      <c r="K756" s="8">
        <f t="shared" si="11"/>
        <v>74737.712999480471</v>
      </c>
      <c r="L756">
        <f>IFERROR(VLOOKUP(F756,'LEAID Match'!$A$2:$B$240,2,FALSE),"")</f>
        <v>0</v>
      </c>
    </row>
    <row r="757" spans="1:12" x14ac:dyDescent="0.2">
      <c r="A757">
        <v>0</v>
      </c>
      <c r="B757">
        <v>2020</v>
      </c>
      <c r="C757" s="4" t="s">
        <v>429</v>
      </c>
      <c r="D757" s="4" t="s">
        <v>576</v>
      </c>
      <c r="E757" s="4" t="s">
        <v>578</v>
      </c>
      <c r="F757" s="9" t="s">
        <v>434</v>
      </c>
      <c r="G757" s="8">
        <v>82251</v>
      </c>
      <c r="H757">
        <v>1</v>
      </c>
      <c r="I757" s="16" cm="1">
        <f t="array" ref="I757">_xlfn.IFS(B757=2015,G757/$H$1957,B757=2016,G757/$H$1958,B757=2017,G757/$H$1959,B757=2018,G757/$H$1960,B757=2019,G757/$H$1961,B757=2020,G757/$H$1962,B757=2021,G757/$H$1963,B757=2022,G757/$H$1964,B757=2023,G757/$H$1965)</f>
        <v>9.4602087862362812E-5</v>
      </c>
      <c r="J757" s="10" cm="1">
        <f t="array" ref="J757">_xlfn.IFS(B757=2015,I757*$G$2,B757=2016,I757*$G$3,B757=2017,I757*$G$4,B757=2018,I757*$G$5,B757=2019,I757*$G$6,B757=2020,I757*$G$7,B757=2021,I757*$G$8,B757=2022,I757*$G$9,B757=2023,I757*$G$10)</f>
        <v>16336.256912602947</v>
      </c>
      <c r="K757" s="8">
        <f t="shared" si="11"/>
        <v>98587.256912602941</v>
      </c>
      <c r="L757">
        <f>IFERROR(VLOOKUP(F757,'LEAID Match'!$A$2:$B$240,2,FALSE),"")</f>
        <v>0</v>
      </c>
    </row>
    <row r="758" spans="1:12" x14ac:dyDescent="0.2">
      <c r="A758">
        <v>0</v>
      </c>
      <c r="B758">
        <v>2021</v>
      </c>
      <c r="C758" s="4" t="s">
        <v>429</v>
      </c>
      <c r="D758" s="4" t="s">
        <v>576</v>
      </c>
      <c r="E758" s="4" t="s">
        <v>578</v>
      </c>
      <c r="F758" s="9" t="s">
        <v>434</v>
      </c>
      <c r="G758" s="8">
        <v>130833</v>
      </c>
      <c r="H758">
        <v>1</v>
      </c>
      <c r="I758" s="16" cm="1">
        <f t="array" ref="I758">_xlfn.IFS(B758=2015,G758/$H$1957,B758=2016,G758/$H$1958,B758=2017,G758/$H$1959,B758=2018,G758/$H$1960,B758=2019,G758/$H$1961,B758=2020,G758/$H$1962,B758=2021,G758/$H$1963,B758=2022,G758/$H$1964,B758=2023,G758/$H$1965)</f>
        <v>1.4951528400400369E-4</v>
      </c>
      <c r="J758" s="10" cm="1">
        <f t="array" ref="J758">_xlfn.IFS(B758=2015,I758*$G$2,B758=2016,I758*$G$3,B758=2017,I758*$G$4,B758=2018,I758*$G$5,B758=2019,I758*$G$6,B758=2020,I758*$G$7,B758=2021,I758*$G$8,B758=2022,I758*$G$9,B758=2023,I758*$G$10)</f>
        <v>25659.339974408525</v>
      </c>
      <c r="K758" s="8">
        <f t="shared" si="11"/>
        <v>156492.33997440853</v>
      </c>
      <c r="L758">
        <f>IFERROR(VLOOKUP(F758,'LEAID Match'!$A$2:$B$240,2,FALSE),"")</f>
        <v>0</v>
      </c>
    </row>
    <row r="759" spans="1:12" x14ac:dyDescent="0.2">
      <c r="A759">
        <v>0</v>
      </c>
      <c r="B759">
        <v>2022</v>
      </c>
      <c r="C759" s="4" t="s">
        <v>429</v>
      </c>
      <c r="D759" s="4" t="s">
        <v>576</v>
      </c>
      <c r="E759" s="4" t="s">
        <v>578</v>
      </c>
      <c r="F759" s="9" t="s">
        <v>434</v>
      </c>
      <c r="G759" s="8">
        <v>139511</v>
      </c>
      <c r="H759">
        <v>1</v>
      </c>
      <c r="I759" s="16" cm="1">
        <f t="array" ref="I759">_xlfn.IFS(B759=2015,G759/$H$1957,B759=2016,G759/$H$1958,B759=2017,G759/$H$1959,B759=2018,G759/$H$1960,B759=2019,G759/$H$1961,B759=2020,G759/$H$1962,B759=2021,G759/$H$1963,B759=2022,G759/$H$1964,B759=2023,G759/$H$1965)</f>
        <v>1.499467447816647E-4</v>
      </c>
      <c r="J759" s="10" cm="1">
        <f t="array" ref="J759">_xlfn.IFS(B759=2015,I759*$G$2,B759=2016,I759*$G$3,B759=2017,I759*$G$4,B759=2018,I759*$G$5,B759=2019,I759*$G$6,B759=2020,I759*$G$7,B759=2021,I759*$G$8,B759=2022,I759*$G$9,B759=2023,I759*$G$10)</f>
        <v>25428.816029235972</v>
      </c>
      <c r="K759" s="8">
        <f t="shared" si="11"/>
        <v>164939.81602923598</v>
      </c>
      <c r="L759">
        <f>IFERROR(VLOOKUP(F759,'LEAID Match'!$A$2:$B$240,2,FALSE),"")</f>
        <v>0</v>
      </c>
    </row>
    <row r="760" spans="1:12" x14ac:dyDescent="0.2">
      <c r="A760">
        <v>0</v>
      </c>
      <c r="B760">
        <v>2023</v>
      </c>
      <c r="C760" s="4" t="s">
        <v>429</v>
      </c>
      <c r="D760" s="4" t="s">
        <v>576</v>
      </c>
      <c r="E760" s="4" t="s">
        <v>578</v>
      </c>
      <c r="F760" s="9" t="s">
        <v>434</v>
      </c>
      <c r="G760" s="8">
        <v>234337</v>
      </c>
      <c r="H760">
        <v>1</v>
      </c>
      <c r="I760" s="16" cm="1">
        <f t="array" ref="I760">_xlfn.IFS(B760=2015,G760/$H$1957,B760=2016,G760/$H$1958,B760=2017,G760/$H$1959,B760=2018,G760/$H$1960,B760=2019,G760/$H$1961,B760=2020,G760/$H$1962,B760=2021,G760/$H$1963,B760=2022,G760/$H$1964,B760=2023,G760/$H$1965)</f>
        <v>2.3726377320597666E-4</v>
      </c>
      <c r="J760" s="10" cm="1">
        <f t="array" ref="J760">_xlfn.IFS(B760=2015,I760*$G$2,B760=2016,I760*$G$3,B760=2017,I760*$G$4,B760=2018,I760*$G$5,B760=2019,I760*$G$6,B760=2020,I760*$G$7,B760=2021,I760*$G$8,B760=2022,I760*$G$9,B760=2023,I760*$G$10)</f>
        <v>40331.358175561596</v>
      </c>
      <c r="K760" s="8">
        <f t="shared" si="11"/>
        <v>274668.35817556159</v>
      </c>
      <c r="L760">
        <f>IFERROR(VLOOKUP(F760,'LEAID Match'!$A$2:$B$240,2,FALSE),"")</f>
        <v>0</v>
      </c>
    </row>
    <row r="761" spans="1:12" x14ac:dyDescent="0.2">
      <c r="A761">
        <v>0</v>
      </c>
      <c r="B761">
        <v>2018</v>
      </c>
      <c r="C761" s="4" t="s">
        <v>423</v>
      </c>
      <c r="D761" s="4" t="s">
        <v>576</v>
      </c>
      <c r="E761" s="4" t="s">
        <v>578</v>
      </c>
      <c r="F761" s="9" t="s">
        <v>418</v>
      </c>
      <c r="G761" s="8">
        <v>548</v>
      </c>
      <c r="H761">
        <v>1</v>
      </c>
      <c r="I761" s="16" cm="1">
        <f t="array" ref="I761">_xlfn.IFS(B761=2015,G761/$H$1957,B761=2016,G761/$H$1958,B761=2017,G761/$H$1959,B761=2018,G761/$H$1960,B761=2019,G761/$H$1961,B761=2020,G761/$H$1962,B761=2021,G761/$H$1963,B761=2022,G761/$H$1964,B761=2023,G761/$H$1965)</f>
        <v>7.0511732516655811E-7</v>
      </c>
      <c r="J761" s="10" cm="1">
        <f t="array" ref="J761">_xlfn.IFS(B761=2015,I761*$G$2,B761=2016,I761*$G$3,B761=2017,I761*$G$4,B761=2018,I761*$G$5,B761=2019,I761*$G$6,B761=2020,I761*$G$7,B761=2021,I761*$G$8,B761=2022,I761*$G$9,B761=2023,I761*$G$10)</f>
        <v>106.13702666445428</v>
      </c>
      <c r="K761" s="8">
        <f t="shared" si="11"/>
        <v>654.13702666445431</v>
      </c>
      <c r="L761">
        <f>IFERROR(VLOOKUP(F761,'LEAID Match'!$A$2:$B$240,2,FALSE),"")</f>
        <v>0</v>
      </c>
    </row>
    <row r="762" spans="1:12" x14ac:dyDescent="0.2">
      <c r="A762">
        <v>0</v>
      </c>
      <c r="B762">
        <v>2019</v>
      </c>
      <c r="C762" s="4" t="s">
        <v>423</v>
      </c>
      <c r="D762" s="4" t="s">
        <v>576</v>
      </c>
      <c r="E762" s="4" t="s">
        <v>578</v>
      </c>
      <c r="F762" s="9" t="s">
        <v>418</v>
      </c>
      <c r="G762" s="8">
        <v>4787</v>
      </c>
      <c r="H762">
        <v>1</v>
      </c>
      <c r="I762" s="16" cm="1">
        <f t="array" ref="I762">_xlfn.IFS(B762=2015,G762/$H$1957,B762=2016,G762/$H$1958,B762=2017,G762/$H$1959,B762=2018,G762/$H$1960,B762=2019,G762/$H$1961,B762=2020,G762/$H$1962,B762=2021,G762/$H$1963,B762=2022,G762/$H$1964,B762=2023,G762/$H$1965)</f>
        <v>5.9492675692273525E-6</v>
      </c>
      <c r="J762" s="10" cm="1">
        <f t="array" ref="J762">_xlfn.IFS(B762=2015,I762*$G$2,B762=2016,I762*$G$3,B762=2017,I762*$G$4,B762=2018,I762*$G$5,B762=2019,I762*$G$6,B762=2020,I762*$G$7,B762=2021,I762*$G$8,B762=2022,I762*$G$9,B762=2023,I762*$G$10)</f>
        <v>940.15158124050345</v>
      </c>
      <c r="K762" s="8">
        <f t="shared" si="11"/>
        <v>5727.1515812405032</v>
      </c>
      <c r="L762">
        <f>IFERROR(VLOOKUP(F762,'LEAID Match'!$A$2:$B$240,2,FALSE),"")</f>
        <v>0</v>
      </c>
    </row>
    <row r="763" spans="1:12" x14ac:dyDescent="0.2">
      <c r="A763">
        <v>0</v>
      </c>
      <c r="B763">
        <v>2020</v>
      </c>
      <c r="C763" s="4" t="s">
        <v>423</v>
      </c>
      <c r="D763" s="4" t="s">
        <v>576</v>
      </c>
      <c r="E763" s="4" t="s">
        <v>578</v>
      </c>
      <c r="F763" s="9" t="s">
        <v>418</v>
      </c>
      <c r="G763" s="8">
        <v>17823</v>
      </c>
      <c r="H763">
        <v>1</v>
      </c>
      <c r="I763" s="16" cm="1">
        <f t="array" ref="I763">_xlfn.IFS(B763=2015,G763/$H$1957,B763=2016,G763/$H$1958,B763=2017,G763/$H$1959,B763=2018,G763/$H$1960,B763=2019,G763/$H$1961,B763=2020,G763/$H$1962,B763=2021,G763/$H$1963,B763=2022,G763/$H$1964,B763=2023,G763/$H$1965)</f>
        <v>2.0499361855429021E-5</v>
      </c>
      <c r="J763" s="10" cm="1">
        <f t="array" ref="J763">_xlfn.IFS(B763=2015,I763*$G$2,B763=2016,I763*$G$3,B763=2017,I763*$G$4,B763=2018,I763*$G$5,B763=2019,I763*$G$6,B763=2020,I763*$G$7,B763=2021,I763*$G$8,B763=2022,I763*$G$9,B763=2023,I763*$G$10)</f>
        <v>3539.9096297105484</v>
      </c>
      <c r="K763" s="8">
        <f t="shared" si="11"/>
        <v>21362.90962971055</v>
      </c>
      <c r="L763">
        <f>IFERROR(VLOOKUP(F763,'LEAID Match'!$A$2:$B$240,2,FALSE),"")</f>
        <v>0</v>
      </c>
    </row>
    <row r="764" spans="1:12" x14ac:dyDescent="0.2">
      <c r="A764">
        <v>0</v>
      </c>
      <c r="B764">
        <v>2021</v>
      </c>
      <c r="C764" s="4" t="s">
        <v>423</v>
      </c>
      <c r="D764" s="4" t="s">
        <v>576</v>
      </c>
      <c r="E764" s="4" t="s">
        <v>578</v>
      </c>
      <c r="F764" s="9" t="s">
        <v>418</v>
      </c>
      <c r="G764" s="8">
        <v>20977</v>
      </c>
      <c r="H764">
        <v>1</v>
      </c>
      <c r="I764" s="16" cm="1">
        <f t="array" ref="I764">_xlfn.IFS(B764=2015,G764/$H$1957,B764=2016,G764/$H$1958,B764=2017,G764/$H$1959,B764=2018,G764/$H$1960,B764=2019,G764/$H$1961,B764=2020,G764/$H$1962,B764=2021,G764/$H$1963,B764=2022,G764/$H$1964,B764=2023,G764/$H$1965)</f>
        <v>2.397240843328507E-5</v>
      </c>
      <c r="J764" s="10" cm="1">
        <f t="array" ref="J764">_xlfn.IFS(B764=2015,I764*$G$2,B764=2016,I764*$G$3,B764=2017,I764*$G$4,B764=2018,I764*$G$5,B764=2019,I764*$G$6,B764=2020,I764*$G$7,B764=2021,I764*$G$8,B764=2022,I764*$G$9,B764=2023,I764*$G$10)</f>
        <v>4114.0688866201008</v>
      </c>
      <c r="K764" s="8">
        <f t="shared" si="11"/>
        <v>25091.068886620102</v>
      </c>
      <c r="L764">
        <f>IFERROR(VLOOKUP(F764,'LEAID Match'!$A$2:$B$240,2,FALSE),"")</f>
        <v>0</v>
      </c>
    </row>
    <row r="765" spans="1:12" x14ac:dyDescent="0.2">
      <c r="A765">
        <v>0</v>
      </c>
      <c r="B765">
        <v>2022</v>
      </c>
      <c r="C765" s="4" t="s">
        <v>423</v>
      </c>
      <c r="D765" s="4" t="s">
        <v>576</v>
      </c>
      <c r="E765" s="4" t="s">
        <v>578</v>
      </c>
      <c r="F765" s="9" t="s">
        <v>418</v>
      </c>
      <c r="H765">
        <v>1</v>
      </c>
      <c r="I765" s="16" cm="1">
        <f t="array" ref="I765">_xlfn.IFS(B765=2015,G765/$H$1957,B765=2016,G765/$H$1958,B765=2017,G765/$H$1959,B765=2018,G765/$H$1960,B765=2019,G765/$H$1961,B765=2020,G765/$H$1962,B765=2021,G765/$H$1963,B765=2022,G765/$H$1964,B765=2023,G765/$H$1965)</f>
        <v>0</v>
      </c>
      <c r="J765" s="10" cm="1">
        <f t="array" ref="J765">_xlfn.IFS(B765=2015,I765*$G$2,B765=2016,I765*$G$3,B765=2017,I765*$G$4,B765=2018,I765*$G$5,B765=2019,I765*$G$6,B765=2020,I765*$G$7,B765=2021,I765*$G$8,B765=2022,I765*$G$9,B765=2023,I765*$G$10)</f>
        <v>0</v>
      </c>
      <c r="K765" s="8">
        <f t="shared" si="11"/>
        <v>0</v>
      </c>
      <c r="L765">
        <f>IFERROR(VLOOKUP(F765,'LEAID Match'!$A$2:$B$240,2,FALSE),"")</f>
        <v>0</v>
      </c>
    </row>
    <row r="766" spans="1:12" x14ac:dyDescent="0.2">
      <c r="A766">
        <v>0</v>
      </c>
      <c r="B766">
        <v>2023</v>
      </c>
      <c r="C766" s="4" t="s">
        <v>423</v>
      </c>
      <c r="D766" s="4" t="s">
        <v>576</v>
      </c>
      <c r="E766" s="4" t="s">
        <v>578</v>
      </c>
      <c r="F766" s="9" t="s">
        <v>418</v>
      </c>
      <c r="H766">
        <v>1</v>
      </c>
      <c r="I766" s="16" cm="1">
        <f t="array" ref="I766">_xlfn.IFS(B766=2015,G766/$H$1957,B766=2016,G766/$H$1958,B766=2017,G766/$H$1959,B766=2018,G766/$H$1960,B766=2019,G766/$H$1961,B766=2020,G766/$H$1962,B766=2021,G766/$H$1963,B766=2022,G766/$H$1964,B766=2023,G766/$H$1965)</f>
        <v>0</v>
      </c>
      <c r="J766" s="10" cm="1">
        <f t="array" ref="J766">_xlfn.IFS(B766=2015,I766*$G$2,B766=2016,I766*$G$3,B766=2017,I766*$G$4,B766=2018,I766*$G$5,B766=2019,I766*$G$6,B766=2020,I766*$G$7,B766=2021,I766*$G$8,B766=2022,I766*$G$9,B766=2023,I766*$G$10)</f>
        <v>0</v>
      </c>
      <c r="K766" s="8">
        <f t="shared" si="11"/>
        <v>0</v>
      </c>
      <c r="L766">
        <f>IFERROR(VLOOKUP(F766,'LEAID Match'!$A$2:$B$240,2,FALSE),"")</f>
        <v>0</v>
      </c>
    </row>
    <row r="767" spans="1:12" x14ac:dyDescent="0.2">
      <c r="A767">
        <v>0</v>
      </c>
      <c r="B767">
        <v>2019</v>
      </c>
      <c r="C767" s="4" t="s">
        <v>430</v>
      </c>
      <c r="D767" s="4" t="s">
        <v>576</v>
      </c>
      <c r="E767" s="4" t="s">
        <v>578</v>
      </c>
      <c r="F767" s="9" t="s">
        <v>426</v>
      </c>
      <c r="G767" s="8">
        <v>9239</v>
      </c>
      <c r="H767">
        <v>1</v>
      </c>
      <c r="I767" s="16" cm="1">
        <f t="array" ref="I767">_xlfn.IFS(B767=2015,G767/$H$1957,B767=2016,G767/$H$1958,B767=2017,G767/$H$1959,B767=2018,G767/$H$1960,B767=2019,G767/$H$1961,B767=2020,G767/$H$1962,B767=2021,G767/$H$1963,B767=2022,G767/$H$1964,B767=2023,G767/$H$1965)</f>
        <v>1.1482198260307397E-5</v>
      </c>
      <c r="J767" s="10" cm="1">
        <f t="array" ref="J767">_xlfn.IFS(B767=2015,I767*$G$2,B767=2016,I767*$G$3,B767=2017,I767*$G$4,B767=2018,I767*$G$5,B767=2019,I767*$G$6,B767=2020,I767*$G$7,B767=2021,I767*$G$8,B767=2022,I767*$G$9,B767=2023,I767*$G$10)</f>
        <v>1814.5102275080451</v>
      </c>
      <c r="K767" s="8">
        <f t="shared" si="11"/>
        <v>11053.510227508044</v>
      </c>
      <c r="L767">
        <f>IFERROR(VLOOKUP(F767,'LEAID Match'!$A$2:$B$240,2,FALSE),"")</f>
        <v>0</v>
      </c>
    </row>
    <row r="768" spans="1:12" x14ac:dyDescent="0.2">
      <c r="A768">
        <v>0</v>
      </c>
      <c r="B768">
        <v>2020</v>
      </c>
      <c r="C768" s="4" t="s">
        <v>430</v>
      </c>
      <c r="D768" s="4" t="s">
        <v>576</v>
      </c>
      <c r="E768" s="4" t="s">
        <v>578</v>
      </c>
      <c r="F768" s="9" t="s">
        <v>426</v>
      </c>
      <c r="G768" s="8">
        <v>338588</v>
      </c>
      <c r="H768">
        <v>1</v>
      </c>
      <c r="I768" s="16" cm="1">
        <f t="array" ref="I768">_xlfn.IFS(B768=2015,G768/$H$1957,B768=2016,G768/$H$1958,B768=2017,G768/$H$1959,B768=2018,G768/$H$1960,B768=2019,G768/$H$1961,B768=2020,G768/$H$1962,B768=2021,G768/$H$1963,B768=2022,G768/$H$1964,B768=2023,G768/$H$1965)</f>
        <v>3.8943151724771371E-4</v>
      </c>
      <c r="J768" s="10" cm="1">
        <f t="array" ref="J768">_xlfn.IFS(B768=2015,I768*$G$2,B768=2016,I768*$G$3,B768=2017,I768*$G$4,B768=2018,I768*$G$5,B768=2019,I768*$G$6,B768=2020,I768*$G$7,B768=2021,I768*$G$8,B768=2022,I768*$G$9,B768=2023,I768*$G$10)</f>
        <v>67248.550844663361</v>
      </c>
      <c r="K768" s="8">
        <f t="shared" si="11"/>
        <v>405836.55084466335</v>
      </c>
      <c r="L768">
        <f>IFERROR(VLOOKUP(F768,'LEAID Match'!$A$2:$B$240,2,FALSE),"")</f>
        <v>0</v>
      </c>
    </row>
    <row r="769" spans="1:12" x14ac:dyDescent="0.2">
      <c r="A769">
        <v>0</v>
      </c>
      <c r="B769">
        <v>2021</v>
      </c>
      <c r="C769" s="4" t="s">
        <v>430</v>
      </c>
      <c r="D769" s="4" t="s">
        <v>576</v>
      </c>
      <c r="E769" s="4" t="s">
        <v>578</v>
      </c>
      <c r="F769" s="9" t="s">
        <v>426</v>
      </c>
      <c r="G769" s="8">
        <v>402275</v>
      </c>
      <c r="H769">
        <v>1</v>
      </c>
      <c r="I769" s="16" cm="1">
        <f t="array" ref="I769">_xlfn.IFS(B769=2015,G769/$H$1957,B769=2016,G769/$H$1958,B769=2017,G769/$H$1959,B769=2018,G769/$H$1960,B769=2019,G769/$H$1961,B769=2020,G769/$H$1962,B769=2021,G769/$H$1963,B769=2022,G769/$H$1964,B769=2023,G769/$H$1965)</f>
        <v>4.5971781486865384E-4</v>
      </c>
      <c r="J769" s="10" cm="1">
        <f t="array" ref="J769">_xlfn.IFS(B769=2015,I769*$G$2,B769=2016,I769*$G$3,B769=2017,I769*$G$4,B769=2018,I769*$G$5,B769=2019,I769*$G$6,B769=2020,I769*$G$7,B769=2021,I769*$G$8,B769=2022,I769*$G$9,B769=2023,I769*$G$10)</f>
        <v>78895.316840592131</v>
      </c>
      <c r="K769" s="8">
        <f t="shared" si="11"/>
        <v>481170.31684059213</v>
      </c>
      <c r="L769">
        <f>IFERROR(VLOOKUP(F769,'LEAID Match'!$A$2:$B$240,2,FALSE),"")</f>
        <v>0</v>
      </c>
    </row>
    <row r="770" spans="1:12" x14ac:dyDescent="0.2">
      <c r="A770">
        <v>0</v>
      </c>
      <c r="B770">
        <v>2022</v>
      </c>
      <c r="C770" s="4" t="s">
        <v>430</v>
      </c>
      <c r="D770" s="4" t="s">
        <v>576</v>
      </c>
      <c r="E770" s="4" t="s">
        <v>578</v>
      </c>
      <c r="F770" s="9" t="s">
        <v>426</v>
      </c>
      <c r="G770" s="8">
        <v>483485</v>
      </c>
      <c r="H770">
        <v>1</v>
      </c>
      <c r="I770" s="16" cm="1">
        <f t="array" ref="I770">_xlfn.IFS(B770=2015,G770/$H$1957,B770=2016,G770/$H$1958,B770=2017,G770/$H$1959,B770=2018,G770/$H$1960,B770=2019,G770/$H$1961,B770=2020,G770/$H$1962,B770=2021,G770/$H$1963,B770=2022,G770/$H$1964,B770=2023,G770/$H$1965)</f>
        <v>5.1965079384968323E-4</v>
      </c>
      <c r="J770" s="10" cm="1">
        <f t="array" ref="J770">_xlfn.IFS(B770=2015,I770*$G$2,B770=2016,I770*$G$3,B770=2017,I770*$G$4,B770=2018,I770*$G$5,B770=2019,I770*$G$6,B770=2020,I770*$G$7,B770=2021,I770*$G$8,B770=2022,I770*$G$9,B770=2023,I770*$G$10)</f>
        <v>88125.317128363735</v>
      </c>
      <c r="K770" s="8">
        <f t="shared" si="11"/>
        <v>571610.31712836376</v>
      </c>
      <c r="L770">
        <f>IFERROR(VLOOKUP(F770,'LEAID Match'!$A$2:$B$240,2,FALSE),"")</f>
        <v>0</v>
      </c>
    </row>
    <row r="771" spans="1:12" x14ac:dyDescent="0.2">
      <c r="A771">
        <v>0</v>
      </c>
      <c r="B771">
        <v>2023</v>
      </c>
      <c r="C771" s="4" t="s">
        <v>430</v>
      </c>
      <c r="D771" s="4" t="s">
        <v>576</v>
      </c>
      <c r="E771" s="4" t="s">
        <v>578</v>
      </c>
      <c r="F771" s="9" t="s">
        <v>426</v>
      </c>
      <c r="G771" s="8">
        <v>533956</v>
      </c>
      <c r="H771">
        <v>1</v>
      </c>
      <c r="I771" s="16" cm="1">
        <f t="array" ref="I771">_xlfn.IFS(B771=2015,G771/$H$1957,B771=2016,G771/$H$1958,B771=2017,G771/$H$1959,B771=2018,G771/$H$1960,B771=2019,G771/$H$1961,B771=2020,G771/$H$1962,B771=2021,G771/$H$1963,B771=2022,G771/$H$1964,B771=2023,G771/$H$1965)</f>
        <v>5.4062489186927577E-4</v>
      </c>
      <c r="J771" s="10" cm="1">
        <f t="array" ref="J771">_xlfn.IFS(B771=2015,I771*$G$2,B771=2016,I771*$G$3,B771=2017,I771*$G$4,B771=2018,I771*$G$5,B771=2019,I771*$G$6,B771=2020,I771*$G$7,B771=2021,I771*$G$8,B771=2022,I771*$G$9,B771=2023,I771*$G$10)</f>
        <v>91898.294703739346</v>
      </c>
      <c r="K771" s="8">
        <f t="shared" si="11"/>
        <v>625854.29470373935</v>
      </c>
      <c r="L771">
        <f>IFERROR(VLOOKUP(F771,'LEAID Match'!$A$2:$B$240,2,FALSE),"")</f>
        <v>0</v>
      </c>
    </row>
    <row r="772" spans="1:12" x14ac:dyDescent="0.2">
      <c r="A772">
        <v>0</v>
      </c>
      <c r="B772">
        <v>2021</v>
      </c>
      <c r="C772" s="4" t="s">
        <v>443</v>
      </c>
      <c r="D772" s="4" t="s">
        <v>576</v>
      </c>
      <c r="E772" s="4" t="s">
        <v>578</v>
      </c>
      <c r="F772" s="4" t="s">
        <v>439</v>
      </c>
      <c r="G772" s="8">
        <v>44176</v>
      </c>
      <c r="I772" s="16" cm="1">
        <f t="array" ref="I772">_xlfn.IFS(B772=2015,G772/$H$1957,B772=2016,G772/$H$1958,B772=2017,G772/$H$1959,B772=2018,G772/$H$1960,B772=2019,G772/$H$1961,B772=2020,G772/$H$1962,B772=2021,G772/$H$1963,B772=2022,G772/$H$1964,B772=2023,G772/$H$1965)</f>
        <v>5.048410711487826E-5</v>
      </c>
      <c r="J772" s="10" cm="1">
        <f t="array" ref="J772">_xlfn.IFS(B772=2015,I772*$G$2,B772=2016,I772*$G$3,B772=2017,I772*$G$4,B772=2018,I772*$G$5,B772=2019,I772*$G$6,B772=2020,I772*$G$7,B772=2021,I772*$G$8,B772=2022,I772*$G$9,B772=2023,I772*$G$10)</f>
        <v>8663.9227313404954</v>
      </c>
      <c r="K772" s="8">
        <f t="shared" si="11"/>
        <v>52839.922731340499</v>
      </c>
      <c r="L772">
        <f>IFERROR(VLOOKUP(F772,'LEAID Match'!$A$2:$B$240,2,FALSE),"")</f>
        <v>0</v>
      </c>
    </row>
    <row r="773" spans="1:12" x14ac:dyDescent="0.2">
      <c r="A773">
        <v>0</v>
      </c>
      <c r="B773">
        <v>2022</v>
      </c>
      <c r="C773" s="4" t="s">
        <v>443</v>
      </c>
      <c r="D773" s="4" t="s">
        <v>576</v>
      </c>
      <c r="E773" s="4" t="s">
        <v>578</v>
      </c>
      <c r="F773" s="4" t="s">
        <v>439</v>
      </c>
      <c r="G773" s="8">
        <v>45284</v>
      </c>
      <c r="I773" s="16" cm="1">
        <f t="array" ref="I773">_xlfn.IFS(B773=2015,G773/$H$1957,B773=2016,G773/$H$1958,B773=2017,G773/$H$1959,B773=2018,G773/$H$1960,B773=2019,G773/$H$1961,B773=2020,G773/$H$1962,B773=2021,G773/$H$1963,B773=2022,G773/$H$1964,B773=2023,G773/$H$1965)</f>
        <v>4.8671347712315906E-5</v>
      </c>
      <c r="J773" s="10" cm="1">
        <f t="array" ref="J773">_xlfn.IFS(B773=2015,I773*$G$2,B773=2016,I773*$G$3,B773=2017,I773*$G$4,B773=2018,I773*$G$5,B773=2019,I773*$G$6,B773=2020,I773*$G$7,B773=2021,I773*$G$8,B773=2022,I773*$G$9,B773=2023,I773*$G$10)</f>
        <v>8253.9620894977579</v>
      </c>
      <c r="K773" s="8">
        <f t="shared" si="11"/>
        <v>53537.962089497756</v>
      </c>
      <c r="L773">
        <f>IFERROR(VLOOKUP(F773,'LEAID Match'!$A$2:$B$240,2,FALSE),"")</f>
        <v>0</v>
      </c>
    </row>
    <row r="774" spans="1:12" x14ac:dyDescent="0.2">
      <c r="A774">
        <v>0</v>
      </c>
      <c r="B774">
        <v>2023</v>
      </c>
      <c r="C774" s="4" t="s">
        <v>443</v>
      </c>
      <c r="D774" s="4" t="s">
        <v>576</v>
      </c>
      <c r="E774" s="4" t="s">
        <v>578</v>
      </c>
      <c r="F774" s="4" t="s">
        <v>439</v>
      </c>
      <c r="G774" s="8">
        <v>53844</v>
      </c>
      <c r="I774" s="16" cm="1">
        <f t="array" ref="I774">_xlfn.IFS(B774=2015,G774/$H$1957,B774=2016,G774/$H$1958,B774=2017,G774/$H$1959,B774=2018,G774/$H$1960,B774=2019,G774/$H$1961,B774=2020,G774/$H$1962,B774=2021,G774/$H$1963,B774=2022,G774/$H$1964,B774=2023,G774/$H$1965)</f>
        <v>5.4516489519378535E-5</v>
      </c>
      <c r="J774" s="10" cm="1">
        <f t="array" ref="J774">_xlfn.IFS(B774=2015,I774*$G$2,B774=2016,I774*$G$3,B774=2017,I774*$G$4,B774=2018,I774*$G$5,B774=2019,I774*$G$6,B774=2020,I774*$G$7,B774=2021,I774*$G$8,B774=2022,I774*$G$9,B774=2023,I774*$G$10)</f>
        <v>9267.0028617117168</v>
      </c>
      <c r="K774" s="8">
        <f t="shared" si="11"/>
        <v>63111.00286171172</v>
      </c>
      <c r="L774">
        <f>IFERROR(VLOOKUP(F774,'LEAID Match'!$A$2:$B$240,2,FALSE),"")</f>
        <v>0</v>
      </c>
    </row>
    <row r="775" spans="1:12" x14ac:dyDescent="0.2">
      <c r="A775">
        <v>0</v>
      </c>
      <c r="B775">
        <v>2021</v>
      </c>
      <c r="C775" s="4" t="s">
        <v>444</v>
      </c>
      <c r="D775" s="4" t="s">
        <v>576</v>
      </c>
      <c r="E775" s="4" t="s">
        <v>578</v>
      </c>
      <c r="F775" s="9" t="s">
        <v>440</v>
      </c>
      <c r="G775" s="8">
        <v>313628</v>
      </c>
      <c r="H775">
        <v>1</v>
      </c>
      <c r="I775" s="16" cm="1">
        <f t="array" ref="I775">_xlfn.IFS(B775=2015,G775/$H$1957,B775=2016,G775/$H$1958,B775=2017,G775/$H$1959,B775=2018,G775/$H$1960,B775=2019,G775/$H$1961,B775=2020,G775/$H$1962,B775=2021,G775/$H$1963,B775=2022,G775/$H$1964,B775=2023,G775/$H$1965)</f>
        <v>3.5841247614598512E-4</v>
      </c>
      <c r="J775" s="10" cm="1">
        <f t="array" ref="J775">_xlfn.IFS(B775=2015,I775*$G$2,B775=2016,I775*$G$3,B775=2017,I775*$G$4,B775=2018,I775*$G$5,B775=2019,I775*$G$6,B775=2020,I775*$G$7,B775=2021,I775*$G$8,B775=2022,I775*$G$9,B775=2023,I775*$G$10)</f>
        <v>61509.615139099442</v>
      </c>
      <c r="K775" s="8">
        <f t="shared" si="11"/>
        <v>375137.61513909942</v>
      </c>
      <c r="L775">
        <f>IFERROR(VLOOKUP(F775,'LEAID Match'!$A$2:$B$240,2,FALSE),"")</f>
        <v>0</v>
      </c>
    </row>
    <row r="776" spans="1:12" x14ac:dyDescent="0.2">
      <c r="A776">
        <v>0</v>
      </c>
      <c r="B776">
        <v>2022</v>
      </c>
      <c r="C776" s="4" t="s">
        <v>444</v>
      </c>
      <c r="D776" s="4" t="s">
        <v>576</v>
      </c>
      <c r="E776" s="4" t="s">
        <v>578</v>
      </c>
      <c r="F776" s="9" t="s">
        <v>440</v>
      </c>
      <c r="G776" s="8">
        <v>391411</v>
      </c>
      <c r="H776">
        <v>1</v>
      </c>
      <c r="I776" s="16" cm="1">
        <f t="array" ref="I776">_xlfn.IFS(B776=2015,G776/$H$1957,B776=2016,G776/$H$1958,B776=2017,G776/$H$1959,B776=2018,G776/$H$1960,B776=2019,G776/$H$1961,B776=2020,G776/$H$1962,B776=2021,G776/$H$1963,B776=2022,G776/$H$1964,B776=2023,G776/$H$1965)</f>
        <v>4.2068944614930838E-4</v>
      </c>
      <c r="J776" s="10" cm="1">
        <f t="array" ref="J776">_xlfn.IFS(B776=2015,I776*$G$2,B776=2016,I776*$G$3,B776=2017,I776*$G$4,B776=2018,I776*$G$5,B776=2019,I776*$G$6,B776=2020,I776*$G$7,B776=2021,I776*$G$8,B776=2022,I776*$G$9,B776=2023,I776*$G$10)</f>
        <v>71342.892752681015</v>
      </c>
      <c r="K776" s="8">
        <f t="shared" si="11"/>
        <v>462753.89275268104</v>
      </c>
      <c r="L776">
        <f>IFERROR(VLOOKUP(F776,'LEAID Match'!$A$2:$B$240,2,FALSE),"")</f>
        <v>0</v>
      </c>
    </row>
    <row r="777" spans="1:12" x14ac:dyDescent="0.2">
      <c r="A777">
        <v>0</v>
      </c>
      <c r="B777">
        <v>2023</v>
      </c>
      <c r="C777" s="4" t="s">
        <v>444</v>
      </c>
      <c r="D777" s="4" t="s">
        <v>576</v>
      </c>
      <c r="E777" s="4" t="s">
        <v>578</v>
      </c>
      <c r="F777" s="9" t="s">
        <v>440</v>
      </c>
      <c r="G777" s="8">
        <v>488741</v>
      </c>
      <c r="H777">
        <v>1</v>
      </c>
      <c r="I777" s="16" cm="1">
        <f t="array" ref="I777">_xlfn.IFS(B777=2015,G777/$H$1957,B777=2016,G777/$H$1958,B777=2017,G777/$H$1959,B777=2018,G777/$H$1960,B777=2019,G777/$H$1961,B777=2020,G777/$H$1962,B777=2021,G777/$H$1963,B777=2022,G777/$H$1964,B777=2023,G777/$H$1965)</f>
        <v>4.9484517502768337E-4</v>
      </c>
      <c r="J777" s="10" cm="1">
        <f t="array" ref="J777">_xlfn.IFS(B777=2015,I777*$G$2,B777=2016,I777*$G$3,B777=2017,I777*$G$4,B777=2018,I777*$G$5,B777=2019,I777*$G$6,B777=2020,I777*$G$7,B777=2021,I777*$G$8,B777=2022,I777*$G$9,B777=2023,I777*$G$10)</f>
        <v>84116.414932691594</v>
      </c>
      <c r="K777" s="8">
        <f t="shared" si="11"/>
        <v>572857.41493269161</v>
      </c>
      <c r="L777">
        <f>IFERROR(VLOOKUP(F777,'LEAID Match'!$A$2:$B$240,2,FALSE),"")</f>
        <v>0</v>
      </c>
    </row>
    <row r="778" spans="1:12" x14ac:dyDescent="0.2">
      <c r="A778">
        <v>0</v>
      </c>
      <c r="B778">
        <v>2021</v>
      </c>
      <c r="C778" s="4" t="s">
        <v>445</v>
      </c>
      <c r="D778" s="4" t="s">
        <v>576</v>
      </c>
      <c r="E778" s="4" t="s">
        <v>578</v>
      </c>
      <c r="F778" s="9" t="s">
        <v>441</v>
      </c>
      <c r="G778" s="8">
        <v>387229</v>
      </c>
      <c r="H778">
        <v>1</v>
      </c>
      <c r="I778" s="16" cm="1">
        <f t="array" ref="I778">_xlfn.IFS(B778=2015,G778/$H$1957,B778=2016,G778/$H$1958,B778=2017,G778/$H$1959,B778=2018,G778/$H$1960,B778=2019,G778/$H$1961,B778=2020,G778/$H$1962,B778=2021,G778/$H$1963,B778=2022,G778/$H$1964,B778=2023,G778/$H$1965)</f>
        <v>4.4252332293524073E-4</v>
      </c>
      <c r="J778" s="10" cm="1">
        <f t="array" ref="J778">_xlfn.IFS(B778=2015,I778*$G$2,B778=2016,I778*$G$3,B778=2017,I778*$G$4,B778=2018,I778*$G$5,B778=2019,I778*$G$6,B778=2020,I778*$G$7,B778=2021,I778*$G$8,B778=2022,I778*$G$9,B778=2023,I778*$G$10)</f>
        <v>75944.452538352241</v>
      </c>
      <c r="K778" s="8">
        <f t="shared" si="11"/>
        <v>463173.45253835223</v>
      </c>
      <c r="L778">
        <f>IFERROR(VLOOKUP(F778,'LEAID Match'!$A$2:$B$240,2,FALSE),"")</f>
        <v>0</v>
      </c>
    </row>
    <row r="779" spans="1:12" x14ac:dyDescent="0.2">
      <c r="A779">
        <v>0</v>
      </c>
      <c r="B779">
        <v>2022</v>
      </c>
      <c r="C779" s="4" t="s">
        <v>445</v>
      </c>
      <c r="D779" s="4" t="s">
        <v>576</v>
      </c>
      <c r="E779" s="4" t="s">
        <v>578</v>
      </c>
      <c r="F779" s="9" t="s">
        <v>441</v>
      </c>
      <c r="G779" s="8">
        <v>430245</v>
      </c>
      <c r="H779">
        <v>1</v>
      </c>
      <c r="I779" s="16" cm="1">
        <f t="array" ref="I779">_xlfn.IFS(B779=2015,G779/$H$1957,B779=2016,G779/$H$1958,B779=2017,G779/$H$1959,B779=2018,G779/$H$1960,B779=2019,G779/$H$1961,B779=2020,G779/$H$1962,B779=2021,G779/$H$1963,B779=2022,G779/$H$1964,B779=2023,G779/$H$1965)</f>
        <v>4.6242831897547383E-4</v>
      </c>
      <c r="J779" s="10" cm="1">
        <f t="array" ref="J779">_xlfn.IFS(B779=2015,I779*$G$2,B779=2016,I779*$G$3,B779=2017,I779*$G$4,B779=2018,I779*$G$5,B779=2019,I779*$G$6,B779=2020,I779*$G$7,B779=2021,I779*$G$8,B779=2022,I779*$G$9,B779=2023,I779*$G$10)</f>
        <v>78421.206589434747</v>
      </c>
      <c r="K779" s="8">
        <f t="shared" si="11"/>
        <v>508666.20658943476</v>
      </c>
      <c r="L779">
        <f>IFERROR(VLOOKUP(F779,'LEAID Match'!$A$2:$B$240,2,FALSE),"")</f>
        <v>0</v>
      </c>
    </row>
    <row r="780" spans="1:12" x14ac:dyDescent="0.2">
      <c r="A780">
        <v>0</v>
      </c>
      <c r="B780">
        <v>2023</v>
      </c>
      <c r="C780" s="4" t="s">
        <v>445</v>
      </c>
      <c r="D780" s="4" t="s">
        <v>576</v>
      </c>
      <c r="E780" s="4" t="s">
        <v>578</v>
      </c>
      <c r="F780" s="9" t="s">
        <v>441</v>
      </c>
      <c r="G780" s="8">
        <v>415343</v>
      </c>
      <c r="H780">
        <v>1</v>
      </c>
      <c r="I780" s="16" cm="1">
        <f t="array" ref="I780">_xlfn.IFS(B780=2015,G780/$H$1957,B780=2016,G780/$H$1958,B780=2017,G780/$H$1959,B780=2018,G780/$H$1960,B780=2019,G780/$H$1961,B780=2020,G780/$H$1962,B780=2021,G780/$H$1963,B780=2022,G780/$H$1964,B780=2023,G780/$H$1965)</f>
        <v>4.2053046405258224E-4</v>
      </c>
      <c r="J780" s="10" cm="1">
        <f t="array" ref="J780">_xlfn.IFS(B780=2015,I780*$G$2,B780=2016,I780*$G$3,B780=2017,I780*$G$4,B780=2018,I780*$G$5,B780=2019,I780*$G$6,B780=2020,I780*$G$7,B780=2021,I780*$G$8,B780=2022,I780*$G$9,B780=2023,I780*$G$10)</f>
        <v>71484.005081196228</v>
      </c>
      <c r="K780" s="8">
        <f t="shared" ref="K780:K843" si="12">SUM(G780,J780)</f>
        <v>486827.0050811962</v>
      </c>
      <c r="L780">
        <f>IFERROR(VLOOKUP(F780,'LEAID Match'!$A$2:$B$240,2,FALSE),"")</f>
        <v>0</v>
      </c>
    </row>
    <row r="781" spans="1:12" x14ac:dyDescent="0.2">
      <c r="A781">
        <v>0</v>
      </c>
      <c r="B781">
        <v>2021</v>
      </c>
      <c r="C781" s="4" t="s">
        <v>446</v>
      </c>
      <c r="D781" s="4" t="s">
        <v>576</v>
      </c>
      <c r="E781" s="4" t="s">
        <v>578</v>
      </c>
      <c r="F781" s="9" t="s">
        <v>442</v>
      </c>
      <c r="G781" s="8">
        <v>71652</v>
      </c>
      <c r="H781">
        <v>1</v>
      </c>
      <c r="I781" s="16" cm="1">
        <f t="array" ref="I781">_xlfn.IFS(B781=2015,G781/$H$1957,B781=2016,G781/$H$1958,B781=2017,G781/$H$1959,B781=2018,G781/$H$1960,B781=2019,G781/$H$1961,B781=2020,G781/$H$1962,B781=2021,G781/$H$1963,B781=2022,G781/$H$1964,B781=2023,G781/$H$1965)</f>
        <v>8.1883539546252648E-5</v>
      </c>
      <c r="J781" s="10" cm="1">
        <f t="array" ref="J781">_xlfn.IFS(B781=2015,I781*$G$2,B781=2016,I781*$G$3,B781=2017,I781*$G$4,B781=2018,I781*$G$5,B781=2019,I781*$G$6,B781=2020,I781*$G$7,B781=2021,I781*$G$8,B781=2022,I781*$G$9,B781=2023,I781*$G$10)</f>
        <v>14052.593977408755</v>
      </c>
      <c r="K781" s="8">
        <f t="shared" si="12"/>
        <v>85704.59397740876</v>
      </c>
      <c r="L781">
        <f>IFERROR(VLOOKUP(F781,'LEAID Match'!$A$2:$B$240,2,FALSE),"")</f>
        <v>0</v>
      </c>
    </row>
    <row r="782" spans="1:12" x14ac:dyDescent="0.2">
      <c r="A782">
        <v>0</v>
      </c>
      <c r="B782">
        <v>2022</v>
      </c>
      <c r="C782" s="4" t="s">
        <v>446</v>
      </c>
      <c r="D782" s="4" t="s">
        <v>576</v>
      </c>
      <c r="E782" s="4" t="s">
        <v>578</v>
      </c>
      <c r="F782" s="9" t="s">
        <v>442</v>
      </c>
      <c r="G782" s="8">
        <v>122051</v>
      </c>
      <c r="H782">
        <v>1</v>
      </c>
      <c r="I782" s="16" cm="1">
        <f t="array" ref="I782">_xlfn.IFS(B782=2015,G782/$H$1957,B782=2016,G782/$H$1958,B782=2017,G782/$H$1959,B782=2018,G782/$H$1960,B782=2019,G782/$H$1961,B782=2020,G782/$H$1962,B782=2021,G782/$H$1963,B782=2022,G782/$H$1964,B782=2023,G782/$H$1965)</f>
        <v>1.311806964852016E-4</v>
      </c>
      <c r="J782" s="10" cm="1">
        <f t="array" ref="J782">_xlfn.IFS(B782=2015,I782*$G$2,B782=2016,I782*$G$3,B782=2017,I782*$G$4,B782=2018,I782*$G$5,B782=2019,I782*$G$6,B782=2020,I782*$G$7,B782=2021,I782*$G$8,B782=2022,I782*$G$9,B782=2023,I782*$G$10)</f>
        <v>22246.363549714933</v>
      </c>
      <c r="K782" s="8">
        <f t="shared" si="12"/>
        <v>144297.36354971494</v>
      </c>
      <c r="L782">
        <f>IFERROR(VLOOKUP(F782,'LEAID Match'!$A$2:$B$240,2,FALSE),"")</f>
        <v>0</v>
      </c>
    </row>
    <row r="783" spans="1:12" x14ac:dyDescent="0.2">
      <c r="A783">
        <v>0</v>
      </c>
      <c r="B783">
        <v>2023</v>
      </c>
      <c r="C783" s="4" t="s">
        <v>446</v>
      </c>
      <c r="D783" s="4" t="s">
        <v>576</v>
      </c>
      <c r="E783" s="4" t="s">
        <v>578</v>
      </c>
      <c r="F783" s="9" t="s">
        <v>442</v>
      </c>
      <c r="G783" s="8">
        <v>176905</v>
      </c>
      <c r="H783">
        <v>1</v>
      </c>
      <c r="I783" s="16" cm="1">
        <f t="array" ref="I783">_xlfn.IFS(B783=2015,G783/$H$1957,B783=2016,G783/$H$1958,B783=2017,G783/$H$1959,B783=2018,G783/$H$1960,B783=2019,G783/$H$1961,B783=2020,G783/$H$1962,B783=2021,G783/$H$1963,B783=2022,G783/$H$1964,B783=2023,G783/$H$1965)</f>
        <v>1.7911447103531795E-4</v>
      </c>
      <c r="J783" s="10" cm="1">
        <f t="array" ref="J783">_xlfn.IFS(B783=2015,I783*$G$2,B783=2016,I783*$G$3,B783=2017,I783*$G$4,B783=2018,I783*$G$5,B783=2019,I783*$G$6,B783=2020,I783*$G$7,B783=2021,I783*$G$8,B783=2022,I783*$G$9,B783=2023,I783*$G$10)</f>
        <v>30446.830496454782</v>
      </c>
      <c r="K783" s="8">
        <f t="shared" si="12"/>
        <v>207351.83049645479</v>
      </c>
      <c r="L783">
        <f>IFERROR(VLOOKUP(F783,'LEAID Match'!$A$2:$B$240,2,FALSE),"")</f>
        <v>0</v>
      </c>
    </row>
    <row r="784" spans="1:12" x14ac:dyDescent="0.2">
      <c r="A784">
        <v>0</v>
      </c>
      <c r="B784">
        <v>2022</v>
      </c>
      <c r="C784" s="4" t="s">
        <v>455</v>
      </c>
      <c r="D784" s="4" t="s">
        <v>576</v>
      </c>
      <c r="E784" s="4" t="s">
        <v>578</v>
      </c>
      <c r="F784" s="9" t="s">
        <v>453</v>
      </c>
      <c r="G784" s="8">
        <v>88923</v>
      </c>
      <c r="H784">
        <v>1</v>
      </c>
      <c r="I784" s="16" cm="1">
        <f t="array" ref="I784">_xlfn.IFS(B784=2015,G784/$H$1957,B784=2016,G784/$H$1958,B784=2017,G784/$H$1959,B784=2018,G784/$H$1960,B784=2019,G784/$H$1961,B784=2020,G784/$H$1962,B784=2021,G784/$H$1963,B784=2022,G784/$H$1964,B784=2023,G784/$H$1965)</f>
        <v>9.5574645628086465E-5</v>
      </c>
      <c r="J784" s="10" cm="1">
        <f t="array" ref="J784">_xlfn.IFS(B784=2015,I784*$G$2,B784=2016,I784*$G$3,B784=2017,I784*$G$4,B784=2018,I784*$G$5,B784=2019,I784*$G$6,B784=2020,I784*$G$7,B784=2021,I784*$G$8,B784=2022,I784*$G$9,B784=2023,I784*$G$10)</f>
        <v>16208.088306784055</v>
      </c>
      <c r="K784" s="8">
        <f t="shared" si="12"/>
        <v>105131.08830678405</v>
      </c>
      <c r="L784">
        <f>IFERROR(VLOOKUP(F784,'LEAID Match'!$A$2:$B$240,2,FALSE),"")</f>
        <v>0</v>
      </c>
    </row>
    <row r="785" spans="1:12" x14ac:dyDescent="0.2">
      <c r="A785">
        <v>0</v>
      </c>
      <c r="B785">
        <v>2023</v>
      </c>
      <c r="C785" s="4" t="s">
        <v>455</v>
      </c>
      <c r="D785" s="4" t="s">
        <v>576</v>
      </c>
      <c r="E785" s="4" t="s">
        <v>578</v>
      </c>
      <c r="F785" s="9" t="s">
        <v>453</v>
      </c>
      <c r="G785" s="8">
        <v>255982</v>
      </c>
      <c r="H785">
        <v>1</v>
      </c>
      <c r="I785" s="16" cm="1">
        <f t="array" ref="I785">_xlfn.IFS(B785=2015,G785/$H$1957,B785=2016,G785/$H$1958,B785=2017,G785/$H$1959,B785=2018,G785/$H$1960,B785=2019,G785/$H$1961,B785=2020,G785/$H$1962,B785=2021,G785/$H$1963,B785=2022,G785/$H$1964,B785=2023,G785/$H$1965)</f>
        <v>2.5917911039576469E-4</v>
      </c>
      <c r="J785" s="10" cm="1">
        <f t="array" ref="J785">_xlfn.IFS(B785=2015,I785*$G$2,B785=2016,I785*$G$3,B785=2017,I785*$G$4,B785=2018,I785*$G$5,B785=2019,I785*$G$6,B785=2020,I785*$G$7,B785=2021,I785*$G$8,B785=2022,I785*$G$9,B785=2023,I785*$G$10)</f>
        <v>44056.643758760278</v>
      </c>
      <c r="K785" s="8">
        <f t="shared" si="12"/>
        <v>300038.6437587603</v>
      </c>
      <c r="L785">
        <f>IFERROR(VLOOKUP(F785,'LEAID Match'!$A$2:$B$240,2,FALSE),"")</f>
        <v>0</v>
      </c>
    </row>
    <row r="786" spans="1:12" x14ac:dyDescent="0.2">
      <c r="A786">
        <v>0</v>
      </c>
      <c r="B786">
        <v>2022</v>
      </c>
      <c r="C786" s="4" t="s">
        <v>456</v>
      </c>
      <c r="D786" s="4" t="s">
        <v>576</v>
      </c>
      <c r="E786" s="4" t="s">
        <v>578</v>
      </c>
      <c r="F786" s="9" t="s">
        <v>454</v>
      </c>
      <c r="G786" s="8">
        <v>314768</v>
      </c>
      <c r="H786">
        <v>1</v>
      </c>
      <c r="I786" s="16" cm="1">
        <f t="array" ref="I786">_xlfn.IFS(B786=2015,G786/$H$1957,B786=2016,G786/$H$1958,B786=2017,G786/$H$1959,B786=2018,G786/$H$1960,B786=2019,G786/$H$1961,B786=2020,G786/$H$1962,B786=2021,G786/$H$1963,B786=2022,G786/$H$1964,B786=2023,G786/$H$1965)</f>
        <v>3.383133728626061E-4</v>
      </c>
      <c r="J786" s="10" cm="1">
        <f t="array" ref="J786">_xlfn.IFS(B786=2015,I786*$G$2,B786=2016,I786*$G$3,B786=2017,I786*$G$4,B786=2018,I786*$G$5,B786=2019,I786*$G$6,B786=2020,I786*$G$7,B786=2021,I786*$G$8,B786=2022,I786*$G$9,B786=2023,I786*$G$10)</f>
        <v>57373.092902284043</v>
      </c>
      <c r="K786" s="8">
        <f t="shared" si="12"/>
        <v>372141.09290228406</v>
      </c>
      <c r="L786">
        <f>IFERROR(VLOOKUP(F786,'LEAID Match'!$A$2:$B$240,2,FALSE),"")</f>
        <v>0</v>
      </c>
    </row>
    <row r="787" spans="1:12" x14ac:dyDescent="0.2">
      <c r="A787">
        <v>0</v>
      </c>
      <c r="B787">
        <v>2023</v>
      </c>
      <c r="C787" s="4" t="s">
        <v>456</v>
      </c>
      <c r="D787" s="4" t="s">
        <v>576</v>
      </c>
      <c r="E787" s="4" t="s">
        <v>578</v>
      </c>
      <c r="F787" s="9" t="s">
        <v>454</v>
      </c>
      <c r="G787" s="8">
        <v>375669</v>
      </c>
      <c r="H787">
        <v>1</v>
      </c>
      <c r="I787" s="16" cm="1">
        <f t="array" ref="I787">_xlfn.IFS(B787=2015,G787/$H$1957,B787=2016,G787/$H$1958,B787=2017,G787/$H$1959,B787=2018,G787/$H$1960,B787=2019,G787/$H$1961,B787=2020,G787/$H$1962,B787=2021,G787/$H$1963,B787=2022,G787/$H$1964,B787=2023,G787/$H$1965)</f>
        <v>3.803609520328247E-4</v>
      </c>
      <c r="J787" s="10" cm="1">
        <f t="array" ref="J787">_xlfn.IFS(B787=2015,I787*$G$2,B787=2016,I787*$G$3,B787=2017,I787*$G$4,B787=2018,I787*$G$5,B787=2019,I787*$G$6,B787=2020,I787*$G$7,B787=2021,I787*$G$8,B787=2022,I787*$G$9,B787=2023,I787*$G$10)</f>
        <v>64655.777766443403</v>
      </c>
      <c r="K787" s="8">
        <f t="shared" si="12"/>
        <v>440324.77776644338</v>
      </c>
      <c r="L787">
        <f>IFERROR(VLOOKUP(F787,'LEAID Match'!$A$2:$B$240,2,FALSE),"")</f>
        <v>0</v>
      </c>
    </row>
    <row r="788" spans="1:12" x14ac:dyDescent="0.2">
      <c r="A788">
        <v>0</v>
      </c>
      <c r="B788">
        <v>2023</v>
      </c>
      <c r="C788" s="4" t="s">
        <v>468</v>
      </c>
      <c r="D788" s="4" t="s">
        <v>576</v>
      </c>
      <c r="E788" s="4" t="s">
        <v>578</v>
      </c>
      <c r="F788" s="9" t="s">
        <v>463</v>
      </c>
      <c r="G788" s="8">
        <v>102845</v>
      </c>
      <c r="H788">
        <v>1</v>
      </c>
      <c r="I788" s="16" cm="1">
        <f t="array" ref="I788">_xlfn.IFS(B788=2015,G788/$H$1957,B788=2016,G788/$H$1958,B788=2017,G788/$H$1959,B788=2018,G788/$H$1960,B788=2019,G788/$H$1961,B788=2020,G788/$H$1962,B788=2021,G788/$H$1963,B788=2022,G788/$H$1964,B788=2023,G788/$H$1965)</f>
        <v>1.0412949195120134E-4</v>
      </c>
      <c r="J788" s="10" cm="1">
        <f t="array" ref="J788">_xlfn.IFS(B788=2015,I788*$G$2,B788=2016,I788*$G$3,B788=2017,I788*$G$4,B788=2018,I788*$G$5,B788=2019,I788*$G$6,B788=2020,I788*$G$7,B788=2021,I788*$G$8,B788=2022,I788*$G$9,B788=2023,I788*$G$10)</f>
        <v>17700.484906632893</v>
      </c>
      <c r="K788" s="8">
        <f t="shared" si="12"/>
        <v>120545.48490663289</v>
      </c>
      <c r="L788">
        <f>IFERROR(VLOOKUP(F788,'LEAID Match'!$A$2:$B$240,2,FALSE),"")</f>
        <v>0</v>
      </c>
    </row>
    <row r="789" spans="1:12" x14ac:dyDescent="0.2">
      <c r="A789">
        <v>0</v>
      </c>
      <c r="B789">
        <v>2023</v>
      </c>
      <c r="C789" s="4" t="s">
        <v>469</v>
      </c>
      <c r="D789" s="4" t="s">
        <v>576</v>
      </c>
      <c r="E789" s="4" t="s">
        <v>578</v>
      </c>
      <c r="F789" s="4" t="s">
        <v>464</v>
      </c>
      <c r="G789" s="8">
        <v>77381</v>
      </c>
      <c r="I789" s="16" cm="1">
        <f t="array" ref="I789">_xlfn.IFS(B789=2015,G789/$H$1957,B789=2016,G789/$H$1958,B789=2017,G789/$H$1959,B789=2018,G789/$H$1960,B789=2019,G789/$H$1961,B789=2020,G789/$H$1962,B789=2021,G789/$H$1963,B789=2022,G789/$H$1964,B789=2023,G789/$H$1965)</f>
        <v>7.8347457014691147E-5</v>
      </c>
      <c r="J789" s="10" cm="1">
        <f t="array" ref="J789">_xlfn.IFS(B789=2015,I789*$G$2,B789=2016,I789*$G$3,B789=2017,I789*$G$4,B789=2018,I789*$G$5,B789=2019,I789*$G$6,B789=2020,I789*$G$7,B789=2021,I789*$G$8,B789=2022,I789*$G$9,B789=2023,I789*$G$10)</f>
        <v>13317.917473481062</v>
      </c>
      <c r="K789" s="8">
        <f t="shared" si="12"/>
        <v>90698.917473481066</v>
      </c>
      <c r="L789">
        <f>IFERROR(VLOOKUP(F789,'LEAID Match'!$A$2:$B$240,2,FALSE),"")</f>
        <v>0</v>
      </c>
    </row>
    <row r="790" spans="1:12" x14ac:dyDescent="0.2">
      <c r="A790">
        <v>0</v>
      </c>
      <c r="B790">
        <v>2022</v>
      </c>
      <c r="C790" s="4" t="s">
        <v>457</v>
      </c>
      <c r="D790" s="4" t="s">
        <v>576</v>
      </c>
      <c r="E790" s="4" t="s">
        <v>578</v>
      </c>
      <c r="F790" s="9" t="s">
        <v>465</v>
      </c>
      <c r="G790" s="8">
        <v>788</v>
      </c>
      <c r="H790">
        <v>1</v>
      </c>
      <c r="I790" s="16" cm="1">
        <f t="array" ref="I790">_xlfn.IFS(B790=2015,G790/$H$1957,B790=2016,G790/$H$1958,B790=2017,G790/$H$1959,B790=2018,G790/$H$1960,B790=2019,G790/$H$1961,B790=2020,G790/$H$1962,B790=2021,G790/$H$1963,B790=2022,G790/$H$1964,B790=2023,G790/$H$1965)</f>
        <v>8.4694421864907996E-7</v>
      </c>
      <c r="J790" s="10" cm="1">
        <f t="array" ref="J790">_xlfn.IFS(B790=2015,I790*$G$2,B790=2016,I790*$G$3,B790=2017,I790*$G$4,B790=2018,I790*$G$5,B790=2019,I790*$G$6,B790=2020,I790*$G$7,B790=2021,I790*$G$8,B790=2022,I790*$G$9,B790=2023,I790*$G$10)</f>
        <v>143.62958498640214</v>
      </c>
      <c r="K790" s="8">
        <f t="shared" si="12"/>
        <v>931.62958498640216</v>
      </c>
      <c r="L790">
        <f>IFERROR(VLOOKUP(F790,'LEAID Match'!$A$2:$B$240,2,FALSE),"")</f>
        <v>0</v>
      </c>
    </row>
    <row r="791" spans="1:12" x14ac:dyDescent="0.2">
      <c r="A791">
        <v>0</v>
      </c>
      <c r="B791">
        <v>2023</v>
      </c>
      <c r="C791" s="4" t="s">
        <v>457</v>
      </c>
      <c r="D791" s="4" t="s">
        <v>576</v>
      </c>
      <c r="E791" s="4" t="s">
        <v>578</v>
      </c>
      <c r="F791" s="9" t="s">
        <v>465</v>
      </c>
      <c r="G791" s="8">
        <v>60654</v>
      </c>
      <c r="H791">
        <v>1</v>
      </c>
      <c r="I791" s="16" cm="1">
        <f t="array" ref="I791">_xlfn.IFS(B791=2015,G791/$H$1957,B791=2016,G791/$H$1958,B791=2017,G791/$H$1959,B791=2018,G791/$H$1960,B791=2019,G791/$H$1961,B791=2020,G791/$H$1962,B791=2021,G791/$H$1963,B791=2022,G791/$H$1964,B791=2023,G791/$H$1965)</f>
        <v>6.1411543631758139E-5</v>
      </c>
      <c r="J791" s="10" cm="1">
        <f t="array" ref="J791">_xlfn.IFS(B791=2015,I791*$G$2,B791=2016,I791*$G$3,B791=2017,I791*$G$4,B791=2018,I791*$G$5,B791=2019,I791*$G$6,B791=2020,I791*$G$7,B791=2021,I791*$G$8,B791=2022,I791*$G$9,B791=2023,I791*$G$10)</f>
        <v>10439.060834526827</v>
      </c>
      <c r="K791" s="8">
        <f t="shared" si="12"/>
        <v>71093.060834526827</v>
      </c>
      <c r="L791">
        <f>IFERROR(VLOOKUP(F791,'LEAID Match'!$A$2:$B$240,2,FALSE),"")</f>
        <v>0</v>
      </c>
    </row>
    <row r="792" spans="1:12" x14ac:dyDescent="0.2">
      <c r="A792">
        <v>0</v>
      </c>
      <c r="B792">
        <v>2023</v>
      </c>
      <c r="C792" s="4" t="s">
        <v>470</v>
      </c>
      <c r="D792" s="4" t="s">
        <v>576</v>
      </c>
      <c r="E792" s="4" t="s">
        <v>578</v>
      </c>
      <c r="F792" s="9" t="s">
        <v>466</v>
      </c>
      <c r="G792" s="8">
        <v>112764</v>
      </c>
      <c r="H792">
        <v>1</v>
      </c>
      <c r="I792" s="16" cm="1">
        <f t="array" ref="I792">_xlfn.IFS(B792=2015,G792/$H$1957,B792=2016,G792/$H$1958,B792=2017,G792/$H$1959,B792=2018,G792/$H$1960,B792=2019,G792/$H$1961,B792=2020,G792/$H$1962,B792=2021,G792/$H$1963,B792=2022,G792/$H$1964,B792=2023,G792/$H$1965)</f>
        <v>1.1417237620093605E-4</v>
      </c>
      <c r="J792" s="10" cm="1">
        <f t="array" ref="J792">_xlfn.IFS(B792=2015,I792*$G$2,B792=2016,I792*$G$3,B792=2017,I792*$G$4,B792=2018,I792*$G$5,B792=2019,I792*$G$6,B792=2020,I792*$G$7,B792=2021,I792*$G$8,B792=2022,I792*$G$9,B792=2023,I792*$G$10)</f>
        <v>19407.627789504124</v>
      </c>
      <c r="K792" s="8">
        <f t="shared" si="12"/>
        <v>132171.62778950413</v>
      </c>
      <c r="L792">
        <f>IFERROR(VLOOKUP(F792,'LEAID Match'!$A$2:$B$240,2,FALSE),"")</f>
        <v>0</v>
      </c>
    </row>
    <row r="793" spans="1:12" x14ac:dyDescent="0.2">
      <c r="A793">
        <v>0</v>
      </c>
      <c r="B793">
        <v>2023</v>
      </c>
      <c r="C793" s="4" t="s">
        <v>471</v>
      </c>
      <c r="D793" s="4" t="s">
        <v>576</v>
      </c>
      <c r="E793" s="4" t="s">
        <v>578</v>
      </c>
      <c r="F793" s="9" t="s">
        <v>467</v>
      </c>
      <c r="G793" s="8">
        <v>148909</v>
      </c>
      <c r="H793">
        <v>1</v>
      </c>
      <c r="I793" s="16" cm="1">
        <f t="array" ref="I793">_xlfn.IFS(B793=2015,G793/$H$1957,B793=2016,G793/$H$1958,B793=2017,G793/$H$1959,B793=2018,G793/$H$1960,B793=2019,G793/$H$1961,B793=2020,G793/$H$1962,B793=2021,G793/$H$1963,B793=2022,G793/$H$1964,B793=2023,G793/$H$1965)</f>
        <v>1.5076881245526221E-4</v>
      </c>
      <c r="J793" s="10" cm="1">
        <f t="array" ref="J793">_xlfn.IFS(B793=2015,I793*$G$2,B793=2016,I793*$G$3,B793=2017,I793*$G$4,B793=2018,I793*$G$5,B793=2019,I793*$G$6,B793=2020,I793*$G$7,B793=2021,I793*$G$8,B793=2022,I793*$G$9,B793=2023,I793*$G$10)</f>
        <v>25628.484680458922</v>
      </c>
      <c r="K793" s="8">
        <f t="shared" si="12"/>
        <v>174537.48468045893</v>
      </c>
      <c r="L793">
        <f>IFERROR(VLOOKUP(F793,'LEAID Match'!$A$2:$B$240,2,FALSE),"")</f>
        <v>0</v>
      </c>
    </row>
    <row r="794" spans="1:12" x14ac:dyDescent="0.2">
      <c r="A794">
        <v>0</v>
      </c>
      <c r="B794">
        <v>2015</v>
      </c>
      <c r="C794" s="4" t="s">
        <v>159</v>
      </c>
      <c r="D794" s="4" t="s">
        <v>576</v>
      </c>
      <c r="E794" s="4" t="s">
        <v>578</v>
      </c>
      <c r="F794" s="4" t="s">
        <v>118</v>
      </c>
      <c r="G794" s="8">
        <v>2863118</v>
      </c>
      <c r="I794" s="16" cm="1">
        <f t="array" ref="I794">_xlfn.IFS(B794=2015,G794/$H$1957,B794=2016,G794/$H$1958,B794=2017,G794/$H$1959,B794=2018,G794/$H$1960,B794=2019,G794/$H$1961,B794=2020,G794/$H$1962,B794=2021,G794/$H$1963,B794=2022,G794/$H$1964,B794=2023,G794/$H$1965)</f>
        <v>2.2110671834436168E-3</v>
      </c>
      <c r="J794" s="10" cm="1">
        <f t="array" ref="J794">_xlfn.IFS(B794=2015,I794*$G$2,B794=2016,I794*$G$3,B794=2017,I794*$G$4,B794=2018,I794*$G$5,B794=2019,I794*$G$6,B794=2020,I794*$G$7,B794=2021,I794*$G$8,B794=2022,I794*$G$9,B794=2023,I794*$G$10)</f>
        <v>549765.43798941828</v>
      </c>
      <c r="K794" s="8">
        <f t="shared" si="12"/>
        <v>3412883.4379894184</v>
      </c>
      <c r="L794">
        <f>IFERROR(VLOOKUP(F794,'LEAID Match'!$A$2:$B$240,2,FALSE),"")</f>
        <v>0</v>
      </c>
    </row>
    <row r="795" spans="1:12" x14ac:dyDescent="0.2">
      <c r="A795">
        <v>0</v>
      </c>
      <c r="B795">
        <v>2016</v>
      </c>
      <c r="C795" s="4" t="s">
        <v>159</v>
      </c>
      <c r="D795" s="4" t="s">
        <v>576</v>
      </c>
      <c r="E795" s="4" t="s">
        <v>578</v>
      </c>
      <c r="F795" s="4" t="s">
        <v>118</v>
      </c>
      <c r="G795" s="8">
        <v>3136418</v>
      </c>
      <c r="I795" s="16" cm="1">
        <f t="array" ref="I795">_xlfn.IFS(B795=2015,G795/$H$1957,B795=2016,G795/$H$1958,B795=2017,G795/$H$1959,B795=2018,G795/$H$1960,B795=2019,G795/$H$1961,B795=2020,G795/$H$1962,B795=2021,G795/$H$1963,B795=2022,G795/$H$1964,B795=2023,G795/$H$1965)</f>
        <v>2.2017640951608941E-3</v>
      </c>
      <c r="J795" s="10" cm="1">
        <f t="array" ref="J795">_xlfn.IFS(B795=2015,I795*$G$2,B795=2016,I795*$G$3,B795=2017,I795*$G$4,B795=2018,I795*$G$5,B795=2019,I795*$G$6,B795=2020,I795*$G$7,B795=2021,I795*$G$8,B795=2022,I795*$G$9,B795=2023,I795*$G$10)</f>
        <v>597125.2040410476</v>
      </c>
      <c r="K795" s="8">
        <f t="shared" si="12"/>
        <v>3733543.2040410475</v>
      </c>
      <c r="L795">
        <f>IFERROR(VLOOKUP(F795,'LEAID Match'!$A$2:$B$240,2,FALSE),"")</f>
        <v>0</v>
      </c>
    </row>
    <row r="796" spans="1:12" x14ac:dyDescent="0.2">
      <c r="A796">
        <v>0</v>
      </c>
      <c r="B796">
        <v>2017</v>
      </c>
      <c r="C796" s="4" t="s">
        <v>159</v>
      </c>
      <c r="D796" s="4" t="s">
        <v>576</v>
      </c>
      <c r="E796" s="4" t="s">
        <v>578</v>
      </c>
      <c r="F796" s="4" t="s">
        <v>118</v>
      </c>
      <c r="G796" s="8">
        <v>1629255</v>
      </c>
      <c r="I796" s="16" cm="1">
        <f t="array" ref="I796">_xlfn.IFS(B796=2015,G796/$H$1957,B796=2016,G796/$H$1958,B796=2017,G796/$H$1959,B796=2018,G796/$H$1960,B796=2019,G796/$H$1961,B796=2020,G796/$H$1962,B796=2021,G796/$H$1963,B796=2022,G796/$H$1964,B796=2023,G796/$H$1965)</f>
        <v>2.173772887323319E-3</v>
      </c>
      <c r="J796" s="10" cm="1">
        <f t="array" ref="J796">_xlfn.IFS(B796=2015,I796*$G$2,B796=2016,I796*$G$3,B796=2017,I796*$G$4,B796=2018,I796*$G$5,B796=2019,I796*$G$6,B796=2020,I796*$G$7,B796=2021,I796*$G$8,B796=2022,I796*$G$9,B796=2023,I796*$G$10)</f>
        <v>321906.6077968459</v>
      </c>
      <c r="K796" s="8">
        <f t="shared" si="12"/>
        <v>1951161.607796846</v>
      </c>
      <c r="L796">
        <f>IFERROR(VLOOKUP(F796,'LEAID Match'!$A$2:$B$240,2,FALSE),"")</f>
        <v>0</v>
      </c>
    </row>
    <row r="797" spans="1:12" x14ac:dyDescent="0.2">
      <c r="A797">
        <v>0</v>
      </c>
      <c r="B797">
        <v>2018</v>
      </c>
      <c r="C797" s="4" t="s">
        <v>159</v>
      </c>
      <c r="D797" s="4" t="s">
        <v>576</v>
      </c>
      <c r="E797" s="4" t="s">
        <v>578</v>
      </c>
      <c r="F797" s="4" t="s">
        <v>118</v>
      </c>
      <c r="G797" s="8">
        <v>1648325</v>
      </c>
      <c r="I797" s="16" cm="1">
        <f t="array" ref="I797">_xlfn.IFS(B797=2015,G797/$H$1957,B797=2016,G797/$H$1958,B797=2017,G797/$H$1959,B797=2018,G797/$H$1960,B797=2019,G797/$H$1961,B797=2020,G797/$H$1962,B797=2021,G797/$H$1963,B797=2022,G797/$H$1964,B797=2023,G797/$H$1965)</f>
        <v>2.120916998184611E-3</v>
      </c>
      <c r="J797" s="10" cm="1">
        <f t="array" ref="J797">_xlfn.IFS(B797=2015,I797*$G$2,B797=2016,I797*$G$3,B797=2017,I797*$G$4,B797=2018,I797*$G$5,B797=2019,I797*$G$6,B797=2020,I797*$G$7,B797=2021,I797*$G$8,B797=2022,I797*$G$9,B797=2023,I797*$G$10)</f>
        <v>319248.74904504849</v>
      </c>
      <c r="K797" s="8">
        <f t="shared" si="12"/>
        <v>1967573.7490450484</v>
      </c>
      <c r="L797">
        <f>IFERROR(VLOOKUP(F797,'LEAID Match'!$A$2:$B$240,2,FALSE),"")</f>
        <v>0</v>
      </c>
    </row>
    <row r="798" spans="1:12" x14ac:dyDescent="0.2">
      <c r="A798">
        <v>0</v>
      </c>
      <c r="B798">
        <v>2019</v>
      </c>
      <c r="C798" s="4" t="s">
        <v>159</v>
      </c>
      <c r="D798" s="4" t="s">
        <v>576</v>
      </c>
      <c r="E798" s="4" t="s">
        <v>578</v>
      </c>
      <c r="F798" s="4" t="s">
        <v>118</v>
      </c>
      <c r="G798" s="8">
        <v>1661940</v>
      </c>
      <c r="I798" s="16" cm="1">
        <f t="array" ref="I798">_xlfn.IFS(B798=2015,G798/$H$1957,B798=2016,G798/$H$1958,B798=2017,G798/$H$1959,B798=2018,G798/$H$1960,B798=2019,G798/$H$1961,B798=2020,G798/$H$1962,B798=2021,G798/$H$1963,B798=2022,G798/$H$1964,B798=2023,G798/$H$1965)</f>
        <v>2.0654534664720507E-3</v>
      </c>
      <c r="J798" s="10" cm="1">
        <f t="array" ref="J798">_xlfn.IFS(B798=2015,I798*$G$2,B798=2016,I798*$G$3,B798=2017,I798*$G$4,B798=2018,I798*$G$5,B798=2019,I798*$G$6,B798=2020,I798*$G$7,B798=2021,I798*$G$8,B798=2022,I798*$G$9,B798=2023,I798*$G$10)</f>
        <v>326399.73238496814</v>
      </c>
      <c r="K798" s="8">
        <f t="shared" si="12"/>
        <v>1988339.7323849681</v>
      </c>
      <c r="L798">
        <f>IFERROR(VLOOKUP(F798,'LEAID Match'!$A$2:$B$240,2,FALSE),"")</f>
        <v>0</v>
      </c>
    </row>
    <row r="799" spans="1:12" x14ac:dyDescent="0.2">
      <c r="A799">
        <v>0</v>
      </c>
      <c r="B799">
        <v>2020</v>
      </c>
      <c r="C799" s="4" t="s">
        <v>159</v>
      </c>
      <c r="D799" s="4" t="s">
        <v>576</v>
      </c>
      <c r="E799" s="4" t="s">
        <v>578</v>
      </c>
      <c r="F799" s="4" t="s">
        <v>118</v>
      </c>
      <c r="G799" s="8">
        <v>1806289</v>
      </c>
      <c r="I799" s="16" cm="1">
        <f t="array" ref="I799">_xlfn.IFS(B799=2015,G799/$H$1957,B799=2016,G799/$H$1958,B799=2017,G799/$H$1959,B799=2018,G799/$H$1960,B799=2019,G799/$H$1961,B799=2020,G799/$H$1962,B799=2021,G799/$H$1963,B799=2022,G799/$H$1964,B799=2023,G799/$H$1965)</f>
        <v>2.0775274547764704E-3</v>
      </c>
      <c r="J799" s="10" cm="1">
        <f t="array" ref="J799">_xlfn.IFS(B799=2015,I799*$G$2,B799=2016,I799*$G$3,B799=2017,I799*$G$4,B799=2018,I799*$G$5,B799=2019,I799*$G$6,B799=2020,I799*$G$7,B799=2021,I799*$G$8,B799=2022,I799*$G$9,B799=2023,I799*$G$10)</f>
        <v>358755.53078270983</v>
      </c>
      <c r="K799" s="8">
        <f t="shared" si="12"/>
        <v>2165044.5307827098</v>
      </c>
      <c r="L799">
        <f>IFERROR(VLOOKUP(F799,'LEAID Match'!$A$2:$B$240,2,FALSE),"")</f>
        <v>0</v>
      </c>
    </row>
    <row r="800" spans="1:12" x14ac:dyDescent="0.2">
      <c r="A800">
        <v>0</v>
      </c>
      <c r="B800">
        <v>2021</v>
      </c>
      <c r="C800" s="4" t="s">
        <v>159</v>
      </c>
      <c r="D800" s="4" t="s">
        <v>576</v>
      </c>
      <c r="E800" s="4" t="s">
        <v>578</v>
      </c>
      <c r="F800" s="4" t="s">
        <v>118</v>
      </c>
      <c r="G800" s="8">
        <v>1900973</v>
      </c>
      <c r="I800" s="16" cm="1">
        <f t="array" ref="I800">_xlfn.IFS(B800=2015,G800/$H$1957,B800=2016,G800/$H$1958,B800=2017,G800/$H$1959,B800=2018,G800/$H$1960,B800=2019,G800/$H$1961,B800=2020,G800/$H$1962,B800=2021,G800/$H$1963,B800=2022,G800/$H$1964,B800=2023,G800/$H$1965)</f>
        <v>2.1724222327619402E-3</v>
      </c>
      <c r="J800" s="10" cm="1">
        <f t="array" ref="J800">_xlfn.IFS(B800=2015,I800*$G$2,B800=2016,I800*$G$3,B800=2017,I800*$G$4,B800=2018,I800*$G$5,B800=2019,I800*$G$6,B800=2020,I800*$G$7,B800=2021,I800*$G$8,B800=2022,I800*$G$9,B800=2023,I800*$G$10)</f>
        <v>372824.23004265974</v>
      </c>
      <c r="K800" s="8">
        <f t="shared" si="12"/>
        <v>2273797.2300426597</v>
      </c>
      <c r="L800">
        <f>IFERROR(VLOOKUP(F800,'LEAID Match'!$A$2:$B$240,2,FALSE),"")</f>
        <v>0</v>
      </c>
    </row>
    <row r="801" spans="1:12" x14ac:dyDescent="0.2">
      <c r="A801">
        <v>0</v>
      </c>
      <c r="B801">
        <v>2022</v>
      </c>
      <c r="C801" s="4" t="s">
        <v>159</v>
      </c>
      <c r="D801" s="4" t="s">
        <v>576</v>
      </c>
      <c r="E801" s="4" t="s">
        <v>578</v>
      </c>
      <c r="F801" s="4" t="s">
        <v>118</v>
      </c>
      <c r="G801" s="8">
        <v>2200497</v>
      </c>
      <c r="I801" s="16" cm="1">
        <f t="array" ref="I801">_xlfn.IFS(B801=2015,G801/$H$1957,B801=2016,G801/$H$1958,B801=2017,G801/$H$1959,B801=2018,G801/$H$1960,B801=2019,G801/$H$1961,B801=2020,G801/$H$1962,B801=2021,G801/$H$1963,B801=2022,G801/$H$1964,B801=2023,G801/$H$1965)</f>
        <v>2.3650992541937111E-3</v>
      </c>
      <c r="J801" s="10" cm="1">
        <f t="array" ref="J801">_xlfn.IFS(B801=2015,I801*$G$2,B801=2016,I801*$G$3,B801=2017,I801*$G$4,B801=2018,I801*$G$5,B801=2019,I801*$G$6,B801=2020,I801*$G$7,B801=2021,I801*$G$8,B801=2022,I801*$G$9,B801=2023,I801*$G$10)</f>
        <v>401086.89197185647</v>
      </c>
      <c r="K801" s="8">
        <f t="shared" si="12"/>
        <v>2601583.8919718564</v>
      </c>
      <c r="L801">
        <f>IFERROR(VLOOKUP(F801,'LEAID Match'!$A$2:$B$240,2,FALSE),"")</f>
        <v>0</v>
      </c>
    </row>
    <row r="802" spans="1:12" x14ac:dyDescent="0.2">
      <c r="A802">
        <v>0</v>
      </c>
      <c r="B802">
        <v>2023</v>
      </c>
      <c r="C802" s="4" t="s">
        <v>159</v>
      </c>
      <c r="D802" s="4" t="s">
        <v>576</v>
      </c>
      <c r="E802" s="4" t="s">
        <v>578</v>
      </c>
      <c r="F802" s="4" t="s">
        <v>118</v>
      </c>
      <c r="G802" s="8">
        <v>2487778</v>
      </c>
      <c r="I802" s="16" cm="1">
        <f t="array" ref="I802">_xlfn.IFS(B802=2015,G802/$H$1957,B802=2016,G802/$H$1958,B802=2017,G802/$H$1959,B802=2018,G802/$H$1960,B802=2019,G802/$H$1961,B802=2020,G802/$H$1962,B802=2021,G802/$H$1963,B802=2022,G802/$H$1964,B802=2023,G802/$H$1965)</f>
        <v>2.518849328867478E-3</v>
      </c>
      <c r="J802" s="10" cm="1">
        <f t="array" ref="J802">_xlfn.IFS(B802=2015,I802*$G$2,B802=2016,I802*$G$3,B802=2017,I802*$G$4,B802=2018,I802*$G$5,B802=2019,I802*$G$6,B802=2020,I802*$G$7,B802=2021,I802*$G$8,B802=2022,I802*$G$9,B802=2023,I802*$G$10)</f>
        <v>428167.40668047417</v>
      </c>
      <c r="K802" s="8">
        <f t="shared" si="12"/>
        <v>2915945.4066804741</v>
      </c>
      <c r="L802">
        <f>IFERROR(VLOOKUP(F802,'LEAID Match'!$A$2:$B$240,2,FALSE),"")</f>
        <v>0</v>
      </c>
    </row>
    <row r="803" spans="1:12" x14ac:dyDescent="0.2">
      <c r="A803">
        <v>0</v>
      </c>
      <c r="B803">
        <v>2015</v>
      </c>
      <c r="C803" s="4" t="s">
        <v>160</v>
      </c>
      <c r="D803" s="4" t="s">
        <v>576</v>
      </c>
      <c r="E803" s="4" t="s">
        <v>578</v>
      </c>
      <c r="F803" s="4" t="s">
        <v>119</v>
      </c>
      <c r="G803" s="8">
        <v>241372</v>
      </c>
      <c r="I803" s="16" cm="1">
        <f t="array" ref="I803">_xlfn.IFS(B803=2015,G803/$H$1957,B803=2016,G803/$H$1958,B803=2017,G803/$H$1959,B803=2018,G803/$H$1960,B803=2019,G803/$H$1961,B803=2020,G803/$H$1962,B803=2021,G803/$H$1963,B803=2022,G803/$H$1964,B803=2023,G803/$H$1965)</f>
        <v>1.8640157625433276E-4</v>
      </c>
      <c r="J803" s="10" cm="1">
        <f t="array" ref="J803">_xlfn.IFS(B803=2015,I803*$G$2,B803=2016,I803*$G$3,B803=2017,I803*$G$4,B803=2018,I803*$G$5,B803=2019,I803*$G$6,B803=2020,I803*$G$7,B803=2021,I803*$G$8,B803=2022,I803*$G$9,B803=2023,I803*$G$10)</f>
        <v>46347.367903936152</v>
      </c>
      <c r="K803" s="8">
        <f t="shared" si="12"/>
        <v>287719.36790393613</v>
      </c>
      <c r="L803">
        <f>IFERROR(VLOOKUP(F803,'LEAID Match'!$A$2:$B$240,2,FALSE),"")</f>
        <v>0</v>
      </c>
    </row>
    <row r="804" spans="1:12" x14ac:dyDescent="0.2">
      <c r="A804">
        <v>0</v>
      </c>
      <c r="B804">
        <v>2016</v>
      </c>
      <c r="C804" s="4" t="s">
        <v>160</v>
      </c>
      <c r="D804" s="4" t="s">
        <v>576</v>
      </c>
      <c r="E804" s="4" t="s">
        <v>578</v>
      </c>
      <c r="F804" s="4" t="s">
        <v>119</v>
      </c>
      <c r="G804" s="8">
        <v>277790</v>
      </c>
      <c r="I804" s="16" cm="1">
        <f t="array" ref="I804">_xlfn.IFS(B804=2015,G804/$H$1957,B804=2016,G804/$H$1958,B804=2017,G804/$H$1959,B804=2018,G804/$H$1960,B804=2019,G804/$H$1961,B804=2020,G804/$H$1962,B804=2021,G804/$H$1963,B804=2022,G804/$H$1964,B804=2023,G804/$H$1965)</f>
        <v>1.9500846124296723E-4</v>
      </c>
      <c r="J804" s="10" cm="1">
        <f t="array" ref="J804">_xlfn.IFS(B804=2015,I804*$G$2,B804=2016,I804*$G$3,B804=2017,I804*$G$4,B804=2018,I804*$G$5,B804=2019,I804*$G$6,B804=2020,I804*$G$7,B804=2021,I804*$G$8,B804=2022,I804*$G$9,B804=2023,I804*$G$10)</f>
        <v>52886.895315153342</v>
      </c>
      <c r="K804" s="8">
        <f t="shared" si="12"/>
        <v>330676.89531515335</v>
      </c>
      <c r="L804">
        <f>IFERROR(VLOOKUP(F804,'LEAID Match'!$A$2:$B$240,2,FALSE),"")</f>
        <v>0</v>
      </c>
    </row>
    <row r="805" spans="1:12" x14ac:dyDescent="0.2">
      <c r="A805">
        <v>0</v>
      </c>
      <c r="B805">
        <v>2017</v>
      </c>
      <c r="C805" s="4" t="s">
        <v>160</v>
      </c>
      <c r="D805" s="4" t="s">
        <v>576</v>
      </c>
      <c r="E805" s="4" t="s">
        <v>578</v>
      </c>
      <c r="F805" s="4" t="s">
        <v>119</v>
      </c>
      <c r="G805" s="8">
        <v>132240</v>
      </c>
      <c r="I805" s="16" cm="1">
        <f t="array" ref="I805">_xlfn.IFS(B805=2015,G805/$H$1957,B805=2016,G805/$H$1958,B805=2017,G805/$H$1959,B805=2018,G805/$H$1960,B805=2019,G805/$H$1961,B805=2020,G805/$H$1962,B805=2021,G805/$H$1963,B805=2022,G805/$H$1964,B805=2023,G805/$H$1965)</f>
        <v>1.7643630163457266E-4</v>
      </c>
      <c r="J805" s="10" cm="1">
        <f t="array" ref="J805">_xlfn.IFS(B805=2015,I805*$G$2,B805=2016,I805*$G$3,B805=2017,I805*$G$4,B805=2018,I805*$G$5,B805=2019,I805*$G$6,B805=2020,I805*$G$7,B805=2021,I805*$G$8,B805=2022,I805*$G$9,B805=2023,I805*$G$10)</f>
        <v>26127.849731966387</v>
      </c>
      <c r="K805" s="8">
        <f t="shared" si="12"/>
        <v>158367.84973196639</v>
      </c>
      <c r="L805">
        <f>IFERROR(VLOOKUP(F805,'LEAID Match'!$A$2:$B$240,2,FALSE),"")</f>
        <v>0</v>
      </c>
    </row>
    <row r="806" spans="1:12" x14ac:dyDescent="0.2">
      <c r="A806">
        <v>0</v>
      </c>
      <c r="B806">
        <v>2018</v>
      </c>
      <c r="C806" s="4" t="s">
        <v>160</v>
      </c>
      <c r="D806" s="4" t="s">
        <v>576</v>
      </c>
      <c r="E806" s="4" t="s">
        <v>578</v>
      </c>
      <c r="F806" s="4" t="s">
        <v>119</v>
      </c>
      <c r="G806" s="8">
        <v>136053</v>
      </c>
      <c r="I806" s="16" cm="1">
        <f t="array" ref="I806">_xlfn.IFS(B806=2015,G806/$H$1957,B806=2016,G806/$H$1958,B806=2017,G806/$H$1959,B806=2018,G806/$H$1960,B806=2019,G806/$H$1961,B806=2020,G806/$H$1962,B806=2021,G806/$H$1963,B806=2022,G806/$H$1964,B806=2023,G806/$H$1965)</f>
        <v>1.7506081649796667E-4</v>
      </c>
      <c r="J806" s="10" cm="1">
        <f t="array" ref="J806">_xlfn.IFS(B806=2015,I806*$G$2,B806=2016,I806*$G$3,B806=2017,I806*$G$4,B806=2018,I806*$G$5,B806=2019,I806*$G$6,B806=2020,I806*$G$7,B806=2021,I806*$G$8,B806=2022,I806*$G$9,B806=2023,I806*$G$10)</f>
        <v>26350.841037917882</v>
      </c>
      <c r="K806" s="8">
        <f t="shared" si="12"/>
        <v>162403.84103791788</v>
      </c>
      <c r="L806">
        <f>IFERROR(VLOOKUP(F806,'LEAID Match'!$A$2:$B$240,2,FALSE),"")</f>
        <v>0</v>
      </c>
    </row>
    <row r="807" spans="1:12" x14ac:dyDescent="0.2">
      <c r="A807">
        <v>0</v>
      </c>
      <c r="B807">
        <v>2019</v>
      </c>
      <c r="C807" s="4" t="s">
        <v>160</v>
      </c>
      <c r="D807" s="4" t="s">
        <v>576</v>
      </c>
      <c r="E807" s="4" t="s">
        <v>578</v>
      </c>
      <c r="F807" s="4" t="s">
        <v>119</v>
      </c>
      <c r="G807" s="8">
        <v>132723</v>
      </c>
      <c r="I807" s="16" cm="1">
        <f t="array" ref="I807">_xlfn.IFS(B807=2015,G807/$H$1957,B807=2016,G807/$H$1958,B807=2017,G807/$H$1959,B807=2018,G807/$H$1960,B807=2019,G807/$H$1961,B807=2020,G807/$H$1962,B807=2021,G807/$H$1963,B807=2022,G807/$H$1964,B807=2023,G807/$H$1965)</f>
        <v>1.6494769993535867E-4</v>
      </c>
      <c r="J807" s="10" cm="1">
        <f t="array" ref="J807">_xlfn.IFS(B807=2015,I807*$G$2,B807=2016,I807*$G$3,B807=2017,I807*$G$4,B807=2018,I807*$G$5,B807=2019,I807*$G$6,B807=2020,I807*$G$7,B807=2021,I807*$G$8,B807=2022,I807*$G$9,B807=2023,I807*$G$10)</f>
        <v>26066.375249004253</v>
      </c>
      <c r="K807" s="8">
        <f t="shared" si="12"/>
        <v>158789.37524900425</v>
      </c>
      <c r="L807">
        <f>IFERROR(VLOOKUP(F807,'LEAID Match'!$A$2:$B$240,2,FALSE),"")</f>
        <v>0</v>
      </c>
    </row>
    <row r="808" spans="1:12" x14ac:dyDescent="0.2">
      <c r="A808">
        <v>0</v>
      </c>
      <c r="B808">
        <v>2020</v>
      </c>
      <c r="C808" s="4" t="s">
        <v>160</v>
      </c>
      <c r="D808" s="4" t="s">
        <v>576</v>
      </c>
      <c r="E808" s="4" t="s">
        <v>578</v>
      </c>
      <c r="F808" s="4" t="s">
        <v>119</v>
      </c>
      <c r="G808" s="8">
        <v>138138</v>
      </c>
      <c r="I808" s="16" cm="1">
        <f t="array" ref="I808">_xlfn.IFS(B808=2015,G808/$H$1957,B808=2016,G808/$H$1958,B808=2017,G808/$H$1959,B808=2018,G808/$H$1960,B808=2019,G808/$H$1961,B808=2020,G808/$H$1962,B808=2021,G808/$H$1963,B808=2022,G808/$H$1964,B808=2023,G808/$H$1965)</f>
        <v>1.5888126847249362E-4</v>
      </c>
      <c r="J808" s="10" cm="1">
        <f t="array" ref="J808">_xlfn.IFS(B808=2015,I808*$G$2,B808=2016,I808*$G$3,B808=2017,I808*$G$4,B808=2018,I808*$G$5,B808=2019,I808*$G$6,B808=2020,I808*$G$7,B808=2021,I808*$G$8,B808=2022,I808*$G$9,B808=2023,I808*$G$10)</f>
        <v>27436.236123489631</v>
      </c>
      <c r="K808" s="8">
        <f t="shared" si="12"/>
        <v>165574.23612348962</v>
      </c>
      <c r="L808">
        <f>IFERROR(VLOOKUP(F808,'LEAID Match'!$A$2:$B$240,2,FALSE),"")</f>
        <v>0</v>
      </c>
    </row>
    <row r="809" spans="1:12" x14ac:dyDescent="0.2">
      <c r="A809">
        <v>0</v>
      </c>
      <c r="B809">
        <v>2021</v>
      </c>
      <c r="C809" s="4" t="s">
        <v>160</v>
      </c>
      <c r="D809" s="4" t="s">
        <v>576</v>
      </c>
      <c r="E809" s="4" t="s">
        <v>578</v>
      </c>
      <c r="F809" s="4" t="s">
        <v>119</v>
      </c>
      <c r="G809" s="8">
        <v>151233</v>
      </c>
      <c r="I809" s="16" cm="1">
        <f t="array" ref="I809">_xlfn.IFS(B809=2015,G809/$H$1957,B809=2016,G809/$H$1958,B809=2017,G809/$H$1959,B809=2018,G809/$H$1960,B809=2019,G809/$H$1961,B809=2020,G809/$H$1962,B809=2021,G809/$H$1963,B809=2022,G809/$H$1964,B809=2023,G809/$H$1965)</f>
        <v>1.7282829978505033E-4</v>
      </c>
      <c r="J809" s="10" cm="1">
        <f t="array" ref="J809">_xlfn.IFS(B809=2015,I809*$G$2,B809=2016,I809*$G$3,B809=2017,I809*$G$4,B809=2018,I809*$G$5,B809=2019,I809*$G$6,B809=2020,I809*$G$7,B809=2021,I809*$G$8,B809=2022,I809*$G$9,B809=2023,I809*$G$10)</f>
        <v>29660.245980369818</v>
      </c>
      <c r="K809" s="8">
        <f t="shared" si="12"/>
        <v>180893.24598036983</v>
      </c>
      <c r="L809">
        <f>IFERROR(VLOOKUP(F809,'LEAID Match'!$A$2:$B$240,2,FALSE),"")</f>
        <v>0</v>
      </c>
    </row>
    <row r="810" spans="1:12" x14ac:dyDescent="0.2">
      <c r="A810">
        <v>0</v>
      </c>
      <c r="B810">
        <v>2022</v>
      </c>
      <c r="C810" s="4" t="s">
        <v>160</v>
      </c>
      <c r="D810" s="4" t="s">
        <v>576</v>
      </c>
      <c r="E810" s="4" t="s">
        <v>578</v>
      </c>
      <c r="F810" s="4" t="s">
        <v>119</v>
      </c>
      <c r="G810" s="8">
        <v>145212</v>
      </c>
      <c r="I810" s="16" cm="1">
        <f t="array" ref="I810">_xlfn.IFS(B810=2015,G810/$H$1957,B810=2016,G810/$H$1958,B810=2017,G810/$H$1959,B810=2018,G810/$H$1960,B810=2019,G810/$H$1961,B810=2020,G810/$H$1962,B810=2021,G810/$H$1963,B810=2022,G810/$H$1964,B810=2023,G810/$H$1965)</f>
        <v>1.5607419273917537E-4</v>
      </c>
      <c r="J810" s="10" cm="1">
        <f t="array" ref="J810">_xlfn.IFS(B810=2015,I810*$G$2,B810=2016,I810*$G$3,B810=2017,I810*$G$4,B810=2018,I810*$G$5,B810=2019,I810*$G$6,B810=2020,I810*$G$7,B810=2021,I810*$G$8,B810=2022,I810*$G$9,B810=2023,I810*$G$10)</f>
        <v>26467.943267824143</v>
      </c>
      <c r="K810" s="8">
        <f t="shared" si="12"/>
        <v>171679.94326782413</v>
      </c>
      <c r="L810">
        <f>IFERROR(VLOOKUP(F810,'LEAID Match'!$A$2:$B$240,2,FALSE),"")</f>
        <v>0</v>
      </c>
    </row>
    <row r="811" spans="1:12" x14ac:dyDescent="0.2">
      <c r="A811">
        <v>0</v>
      </c>
      <c r="B811">
        <v>2023</v>
      </c>
      <c r="C811" s="4" t="s">
        <v>160</v>
      </c>
      <c r="D811" s="4" t="s">
        <v>576</v>
      </c>
      <c r="E811" s="4" t="s">
        <v>578</v>
      </c>
      <c r="F811" s="4" t="s">
        <v>119</v>
      </c>
      <c r="G811" s="8">
        <v>154730</v>
      </c>
      <c r="I811" s="16" cm="1">
        <f t="array" ref="I811">_xlfn.IFS(B811=2015,G811/$H$1957,B811=2016,G811/$H$1958,B811=2017,G811/$H$1959,B811=2018,G811/$H$1960,B811=2019,G811/$H$1961,B811=2020,G811/$H$1962,B811=2021,G811/$H$1963,B811=2022,G811/$H$1964,B811=2023,G811/$H$1965)</f>
        <v>1.5666251436248125E-4</v>
      </c>
      <c r="J811" s="10" cm="1">
        <f t="array" ref="J811">_xlfn.IFS(B811=2015,I811*$G$2,B811=2016,I811*$G$3,B811=2017,I811*$G$4,B811=2018,I811*$G$5,B811=2019,I811*$G$6,B811=2020,I811*$G$7,B811=2021,I811*$G$8,B811=2022,I811*$G$9,B811=2023,I811*$G$10)</f>
        <v>26630.327479248455</v>
      </c>
      <c r="K811" s="8">
        <f t="shared" si="12"/>
        <v>181360.32747924846</v>
      </c>
      <c r="L811">
        <f>IFERROR(VLOOKUP(F811,'LEAID Match'!$A$2:$B$240,2,FALSE),"")</f>
        <v>0</v>
      </c>
    </row>
    <row r="812" spans="1:12" x14ac:dyDescent="0.2">
      <c r="A812">
        <v>0</v>
      </c>
      <c r="B812">
        <v>2015</v>
      </c>
      <c r="C812" s="4" t="s">
        <v>161</v>
      </c>
      <c r="D812" s="4" t="s">
        <v>576</v>
      </c>
      <c r="E812" s="4" t="s">
        <v>578</v>
      </c>
      <c r="F812" s="4" t="s">
        <v>120</v>
      </c>
      <c r="G812" s="8">
        <v>129695773</v>
      </c>
      <c r="I812" s="16" cm="1">
        <f t="array" ref="I812">_xlfn.IFS(B812=2015,G812/$H$1957,B812=2016,G812/$H$1958,B812=2017,G812/$H$1959,B812=2018,G812/$H$1960,B812=2019,G812/$H$1961,B812=2020,G812/$H$1962,B812=2021,G812/$H$1963,B812=2022,G812/$H$1964,B812=2023,G812/$H$1965)</f>
        <v>0.10015866181961508</v>
      </c>
      <c r="J812" s="10" cm="1">
        <f t="array" ref="J812">_xlfn.IFS(B812=2015,I812*$G$2,B812=2016,I812*$G$3,B812=2017,I812*$G$4,B812=2018,I812*$G$5,B812=2019,I812*$G$6,B812=2020,I812*$G$7,B812=2021,I812*$G$8,B812=2022,I812*$G$9,B812=2023,I812*$G$10)</f>
        <v>24903707.583383281</v>
      </c>
      <c r="K812" s="8">
        <f t="shared" si="12"/>
        <v>154599480.58338329</v>
      </c>
      <c r="L812">
        <f>IFERROR(VLOOKUP(F812,'LEAID Match'!$A$2:$B$240,2,FALSE),"")</f>
        <v>0</v>
      </c>
    </row>
    <row r="813" spans="1:12" x14ac:dyDescent="0.2">
      <c r="A813">
        <v>0</v>
      </c>
      <c r="B813">
        <v>2016</v>
      </c>
      <c r="C813" s="4" t="s">
        <v>161</v>
      </c>
      <c r="D813" s="4" t="s">
        <v>576</v>
      </c>
      <c r="E813" s="4" t="s">
        <v>578</v>
      </c>
      <c r="F813" s="4" t="s">
        <v>120</v>
      </c>
      <c r="G813" s="8">
        <v>145016928</v>
      </c>
      <c r="I813" s="16" cm="1">
        <f t="array" ref="I813">_xlfn.IFS(B813=2015,G813/$H$1957,B813=2016,G813/$H$1958,B813=2017,G813/$H$1959,B813=2018,G813/$H$1960,B813=2019,G813/$H$1961,B813=2020,G813/$H$1962,B813=2021,G813/$H$1963,B813=2022,G813/$H$1964,B813=2023,G813/$H$1965)</f>
        <v>0.10180182146031956</v>
      </c>
      <c r="J813" s="10" cm="1">
        <f t="array" ref="J813">_xlfn.IFS(B813=2015,I813*$G$2,B813=2016,I813*$G$3,B813=2017,I813*$G$4,B813=2018,I813*$G$5,B813=2019,I813*$G$6,B813=2020,I813*$G$7,B813=2021,I813*$G$8,B813=2022,I813*$G$9,B813=2023,I813*$G$10)</f>
        <v>27608967.529648762</v>
      </c>
      <c r="K813" s="8">
        <f t="shared" si="12"/>
        <v>172625895.52964875</v>
      </c>
      <c r="L813">
        <f>IFERROR(VLOOKUP(F813,'LEAID Match'!$A$2:$B$240,2,FALSE),"")</f>
        <v>0</v>
      </c>
    </row>
    <row r="814" spans="1:12" x14ac:dyDescent="0.2">
      <c r="A814">
        <v>0</v>
      </c>
      <c r="B814">
        <v>2017</v>
      </c>
      <c r="C814" s="4" t="s">
        <v>161</v>
      </c>
      <c r="D814" s="4" t="s">
        <v>576</v>
      </c>
      <c r="E814" s="4" t="s">
        <v>578</v>
      </c>
      <c r="F814" s="4" t="s">
        <v>120</v>
      </c>
      <c r="G814" s="8">
        <v>74964635</v>
      </c>
      <c r="I814" s="16" cm="1">
        <f t="array" ref="I814">_xlfn.IFS(B814=2015,G814/$H$1957,B814=2016,G814/$H$1958,B814=2017,G814/$H$1959,B814=2018,G814/$H$1960,B814=2019,G814/$H$1961,B814=2020,G814/$H$1962,B814=2021,G814/$H$1963,B814=2022,G814/$H$1964,B814=2023,G814/$H$1965)</f>
        <v>0.10001877610999428</v>
      </c>
      <c r="J814" s="10" cm="1">
        <f t="array" ref="J814">_xlfn.IFS(B814=2015,I814*$G$2,B814=2016,I814*$G$3,B814=2017,I814*$G$4,B814=2018,I814*$G$5,B814=2019,I814*$G$6,B814=2020,I814*$G$7,B814=2021,I814*$G$8,B814=2022,I814*$G$9,B814=2023,I814*$G$10)</f>
        <v>14811439.190046189</v>
      </c>
      <c r="K814" s="8">
        <f t="shared" si="12"/>
        <v>89776074.190046191</v>
      </c>
      <c r="L814">
        <f>IFERROR(VLOOKUP(F814,'LEAID Match'!$A$2:$B$240,2,FALSE),"")</f>
        <v>0</v>
      </c>
    </row>
    <row r="815" spans="1:12" x14ac:dyDescent="0.2">
      <c r="A815">
        <v>0</v>
      </c>
      <c r="B815">
        <v>2018</v>
      </c>
      <c r="C815" s="4" t="s">
        <v>161</v>
      </c>
      <c r="D815" s="4" t="s">
        <v>576</v>
      </c>
      <c r="E815" s="4" t="s">
        <v>578</v>
      </c>
      <c r="F815" s="4" t="s">
        <v>120</v>
      </c>
      <c r="G815" s="8">
        <v>77460598</v>
      </c>
      <c r="I815" s="16" cm="1">
        <f t="array" ref="I815">_xlfn.IFS(B815=2015,G815/$H$1957,B815=2016,G815/$H$1958,B815=2017,G815/$H$1959,B815=2018,G815/$H$1960,B815=2019,G815/$H$1961,B815=2020,G815/$H$1962,B815=2021,G815/$H$1963,B815=2022,G815/$H$1964,B815=2023,G815/$H$1965)</f>
        <v>9.9669360707229995E-2</v>
      </c>
      <c r="J815" s="10" cm="1">
        <f t="array" ref="J815">_xlfn.IFS(B815=2015,I815*$G$2,B815=2016,I815*$G$3,B815=2017,I815*$G$4,B815=2018,I815*$G$5,B815=2019,I815*$G$6,B815=2020,I815*$G$7,B815=2021,I815*$G$8,B815=2022,I815*$G$9,B815=2023,I815*$G$10)</f>
        <v>15002623.276223674</v>
      </c>
      <c r="K815" s="8">
        <f t="shared" si="12"/>
        <v>92463221.276223674</v>
      </c>
      <c r="L815">
        <f>IFERROR(VLOOKUP(F815,'LEAID Match'!$A$2:$B$240,2,FALSE),"")</f>
        <v>0</v>
      </c>
    </row>
    <row r="816" spans="1:12" x14ac:dyDescent="0.2">
      <c r="A816">
        <v>0</v>
      </c>
      <c r="B816">
        <v>2019</v>
      </c>
      <c r="C816" s="4" t="s">
        <v>161</v>
      </c>
      <c r="D816" s="4" t="s">
        <v>576</v>
      </c>
      <c r="E816" s="4" t="s">
        <v>578</v>
      </c>
      <c r="F816" s="4" t="s">
        <v>120</v>
      </c>
      <c r="G816" s="8">
        <v>80431772</v>
      </c>
      <c r="I816" s="16" cm="1">
        <f t="array" ref="I816">_xlfn.IFS(B816=2015,G816/$H$1957,B816=2016,G816/$H$1958,B816=2017,G816/$H$1959,B816=2018,G816/$H$1960,B816=2019,G816/$H$1961,B816=2020,G816/$H$1962,B816=2021,G816/$H$1963,B816=2022,G816/$H$1964,B816=2023,G816/$H$1965)</f>
        <v>9.996033689055539E-2</v>
      </c>
      <c r="J816" s="10" cm="1">
        <f t="array" ref="J816">_xlfn.IFS(B816=2015,I816*$G$2,B816=2016,I816*$G$3,B816=2017,I816*$G$4,B816=2018,I816*$G$5,B816=2019,I816*$G$6,B816=2020,I816*$G$7,B816=2021,I816*$G$8,B816=2022,I816*$G$9,B816=2023,I816*$G$10)</f>
        <v>15796544.313301789</v>
      </c>
      <c r="K816" s="8">
        <f t="shared" si="12"/>
        <v>96228316.313301787</v>
      </c>
      <c r="L816">
        <f>IFERROR(VLOOKUP(F816,'LEAID Match'!$A$2:$B$240,2,FALSE),"")</f>
        <v>0</v>
      </c>
    </row>
    <row r="817" spans="1:12" x14ac:dyDescent="0.2">
      <c r="A817">
        <v>0</v>
      </c>
      <c r="B817">
        <v>2020</v>
      </c>
      <c r="C817" s="4" t="s">
        <v>161</v>
      </c>
      <c r="D817" s="4" t="s">
        <v>576</v>
      </c>
      <c r="E817" s="4" t="s">
        <v>578</v>
      </c>
      <c r="F817" s="4" t="s">
        <v>120</v>
      </c>
      <c r="G817" s="8">
        <v>87029755</v>
      </c>
      <c r="I817" s="16" cm="1">
        <f t="array" ref="I817">_xlfn.IFS(B817=2015,G817/$H$1957,B817=2016,G817/$H$1958,B817=2017,G817/$H$1959,B817=2018,G817/$H$1960,B817=2019,G817/$H$1961,B817=2020,G817/$H$1962,B817=2021,G817/$H$1963,B817=2022,G817/$H$1964,B817=2023,G817/$H$1965)</f>
        <v>0.10009843684757522</v>
      </c>
      <c r="J817" s="10" cm="1">
        <f t="array" ref="J817">_xlfn.IFS(B817=2015,I817*$G$2,B817=2016,I817*$G$3,B817=2017,I817*$G$4,B817=2018,I817*$G$5,B817=2019,I817*$G$6,B817=2020,I817*$G$7,B817=2021,I817*$G$8,B817=2022,I817*$G$9,B817=2023,I817*$G$10)</f>
        <v>17285387.858152375</v>
      </c>
      <c r="K817" s="8">
        <f t="shared" si="12"/>
        <v>104315142.85815237</v>
      </c>
      <c r="L817">
        <f>IFERROR(VLOOKUP(F817,'LEAID Match'!$A$2:$B$240,2,FALSE),"")</f>
        <v>0</v>
      </c>
    </row>
    <row r="818" spans="1:12" x14ac:dyDescent="0.2">
      <c r="A818">
        <v>0</v>
      </c>
      <c r="B818">
        <v>2021</v>
      </c>
      <c r="C818" s="4" t="s">
        <v>161</v>
      </c>
      <c r="D818" s="4" t="s">
        <v>576</v>
      </c>
      <c r="E818" s="4" t="s">
        <v>578</v>
      </c>
      <c r="F818" s="4" t="s">
        <v>120</v>
      </c>
      <c r="G818" s="8">
        <v>80870138</v>
      </c>
      <c r="I818" s="16" cm="1">
        <f t="array" ref="I818">_xlfn.IFS(B818=2015,G818/$H$1957,B818=2016,G818/$H$1958,B818=2017,G818/$H$1959,B818=2018,G818/$H$1960,B818=2019,G818/$H$1961,B818=2020,G818/$H$1962,B818=2021,G818/$H$1963,B818=2022,G818/$H$1964,B818=2023,G818/$H$1965)</f>
        <v>9.2417980559285282E-2</v>
      </c>
      <c r="J818" s="10" cm="1">
        <f t="array" ref="J818">_xlfn.IFS(B818=2015,I818*$G$2,B818=2016,I818*$G$3,B818=2017,I818*$G$4,B818=2018,I818*$G$5,B818=2019,I818*$G$6,B818=2020,I818*$G$7,B818=2021,I818*$G$8,B818=2022,I818*$G$9,B818=2023,I818*$G$10)</f>
        <v>15860481.413094051</v>
      </c>
      <c r="K818" s="8">
        <f t="shared" si="12"/>
        <v>96730619.413094044</v>
      </c>
      <c r="L818">
        <f>IFERROR(VLOOKUP(F818,'LEAID Match'!$A$2:$B$240,2,FALSE),"")</f>
        <v>0</v>
      </c>
    </row>
    <row r="819" spans="1:12" x14ac:dyDescent="0.2">
      <c r="A819">
        <v>0</v>
      </c>
      <c r="B819">
        <v>2022</v>
      </c>
      <c r="C819" s="4" t="s">
        <v>161</v>
      </c>
      <c r="D819" s="4" t="s">
        <v>576</v>
      </c>
      <c r="E819" s="4" t="s">
        <v>578</v>
      </c>
      <c r="F819" s="4" t="s">
        <v>120</v>
      </c>
      <c r="G819" s="8">
        <v>91738502</v>
      </c>
      <c r="I819" s="16" cm="1">
        <f t="array" ref="I819">_xlfn.IFS(B819=2015,G819/$H$1957,B819=2016,G819/$H$1958,B819=2017,G819/$H$1959,B819=2018,G819/$H$1960,B819=2019,G819/$H$1961,B819=2020,G819/$H$1962,B819=2021,G819/$H$1963,B819=2022,G819/$H$1964,B819=2023,G819/$H$1965)</f>
        <v>9.8600753675668854E-2</v>
      </c>
      <c r="J819" s="10" cm="1">
        <f t="array" ref="J819">_xlfn.IFS(B819=2015,I819*$G$2,B819=2016,I819*$G$3,B819=2017,I819*$G$4,B819=2018,I819*$G$5,B819=2019,I819*$G$6,B819=2020,I819*$G$7,B819=2021,I819*$G$8,B819=2022,I819*$G$9,B819=2023,I819*$G$10)</f>
        <v>16721272.803977437</v>
      </c>
      <c r="K819" s="8">
        <f t="shared" si="12"/>
        <v>108459774.80397743</v>
      </c>
      <c r="L819">
        <f>IFERROR(VLOOKUP(F819,'LEAID Match'!$A$2:$B$240,2,FALSE),"")</f>
        <v>0</v>
      </c>
    </row>
    <row r="820" spans="1:12" x14ac:dyDescent="0.2">
      <c r="A820">
        <v>0</v>
      </c>
      <c r="B820">
        <v>2023</v>
      </c>
      <c r="C820" s="4" t="s">
        <v>161</v>
      </c>
      <c r="D820" s="4" t="s">
        <v>576</v>
      </c>
      <c r="E820" s="4" t="s">
        <v>578</v>
      </c>
      <c r="F820" s="4" t="s">
        <v>120</v>
      </c>
      <c r="G820" s="8">
        <v>94120806</v>
      </c>
      <c r="I820" s="16" cm="1">
        <f t="array" ref="I820">_xlfn.IFS(B820=2015,G820/$H$1957,B820=2016,G820/$H$1958,B820=2017,G820/$H$1959,B820=2018,G820/$H$1960,B820=2019,G820/$H$1961,B820=2020,G820/$H$1962,B820=2021,G820/$H$1963,B820=2022,G820/$H$1964,B820=2023,G820/$H$1965)</f>
        <v>9.5296336339322121E-2</v>
      </c>
      <c r="J820" s="10" cm="1">
        <f t="array" ref="J820">_xlfn.IFS(B820=2015,I820*$G$2,B820=2016,I820*$G$3,B820=2017,I820*$G$4,B820=2018,I820*$G$5,B820=2019,I820*$G$6,B820=2020,I820*$G$7,B820=2021,I820*$G$8,B820=2022,I820*$G$9,B820=2023,I820*$G$10)</f>
        <v>16198978.132170962</v>
      </c>
      <c r="K820" s="8">
        <f t="shared" si="12"/>
        <v>110319784.13217096</v>
      </c>
      <c r="L820">
        <f>IFERROR(VLOOKUP(F820,'LEAID Match'!$A$2:$B$240,2,FALSE),"")</f>
        <v>0</v>
      </c>
    </row>
    <row r="821" spans="1:12" x14ac:dyDescent="0.2">
      <c r="A821">
        <v>0</v>
      </c>
      <c r="B821">
        <v>2015</v>
      </c>
      <c r="C821" s="4" t="s">
        <v>162</v>
      </c>
      <c r="D821" s="4" t="s">
        <v>576</v>
      </c>
      <c r="E821" s="4" t="s">
        <v>578</v>
      </c>
      <c r="F821" s="4" t="s">
        <v>121</v>
      </c>
      <c r="G821" s="8">
        <v>6247076</v>
      </c>
      <c r="I821" s="16" cm="1">
        <f t="array" ref="I821">_xlfn.IFS(B821=2015,G821/$H$1957,B821=2016,G821/$H$1958,B821=2017,G821/$H$1959,B821=2018,G821/$H$1960,B821=2019,G821/$H$1961,B821=2020,G821/$H$1962,B821=2021,G821/$H$1963,B821=2022,G821/$H$1964,B821=2023,G821/$H$1965)</f>
        <v>4.8243574788318947E-3</v>
      </c>
      <c r="J821" s="10" cm="1">
        <f t="array" ref="J821">_xlfn.IFS(B821=2015,I821*$G$2,B821=2016,I821*$G$3,B821=2017,I821*$G$4,B821=2018,I821*$G$5,B821=2019,I821*$G$6,B821=2020,I821*$G$7,B821=2021,I821*$G$8,B821=2022,I821*$G$9,B821=2023,I821*$G$10)</f>
        <v>1199540.6662572704</v>
      </c>
      <c r="K821" s="8">
        <f t="shared" si="12"/>
        <v>7446616.6662572706</v>
      </c>
      <c r="L821">
        <f>IFERROR(VLOOKUP(F821,'LEAID Match'!$A$2:$B$240,2,FALSE),"")</f>
        <v>0</v>
      </c>
    </row>
    <row r="822" spans="1:12" x14ac:dyDescent="0.2">
      <c r="A822">
        <v>0</v>
      </c>
      <c r="B822">
        <v>2016</v>
      </c>
      <c r="C822" s="4" t="s">
        <v>162</v>
      </c>
      <c r="D822" s="4" t="s">
        <v>576</v>
      </c>
      <c r="E822" s="4" t="s">
        <v>578</v>
      </c>
      <c r="F822" s="4" t="s">
        <v>121</v>
      </c>
      <c r="G822" s="8">
        <v>7252182</v>
      </c>
      <c r="I822" s="16" cm="1">
        <f t="array" ref="I822">_xlfn.IFS(B822=2015,G822/$H$1957,B822=2016,G822/$H$1958,B822=2017,G822/$H$1959,B822=2018,G822/$H$1960,B822=2019,G822/$H$1961,B822=2020,G822/$H$1962,B822=2021,G822/$H$1963,B822=2022,G822/$H$1964,B822=2023,G822/$H$1965)</f>
        <v>5.0910286636450001E-3</v>
      </c>
      <c r="J822" s="10" cm="1">
        <f t="array" ref="J822">_xlfn.IFS(B822=2015,I822*$G$2,B822=2016,I822*$G$3,B822=2017,I822*$G$4,B822=2018,I822*$G$5,B822=2019,I822*$G$6,B822=2020,I822*$G$7,B822=2021,I822*$G$8,B822=2022,I822*$G$9,B822=2023,I822*$G$10)</f>
        <v>1380702.6539488081</v>
      </c>
      <c r="K822" s="8">
        <f t="shared" si="12"/>
        <v>8632884.6539488081</v>
      </c>
      <c r="L822">
        <f>IFERROR(VLOOKUP(F822,'LEAID Match'!$A$2:$B$240,2,FALSE),"")</f>
        <v>0</v>
      </c>
    </row>
    <row r="823" spans="1:12" x14ac:dyDescent="0.2">
      <c r="A823">
        <v>0</v>
      </c>
      <c r="B823">
        <v>2017</v>
      </c>
      <c r="C823" s="4" t="s">
        <v>162</v>
      </c>
      <c r="D823" s="4" t="s">
        <v>576</v>
      </c>
      <c r="E823" s="4" t="s">
        <v>578</v>
      </c>
      <c r="F823" s="4" t="s">
        <v>121</v>
      </c>
      <c r="G823" s="8">
        <v>3817040</v>
      </c>
      <c r="I823" s="16" cm="1">
        <f t="array" ref="I823">_xlfn.IFS(B823=2015,G823/$H$1957,B823=2016,G823/$H$1958,B823=2017,G823/$H$1959,B823=2018,G823/$H$1960,B823=2019,G823/$H$1961,B823=2020,G823/$H$1962,B823=2021,G823/$H$1963,B823=2022,G823/$H$1964,B823=2023,G823/$H$1965)</f>
        <v>5.0927436538961675E-3</v>
      </c>
      <c r="J823" s="10" cm="1">
        <f t="array" ref="J823">_xlfn.IFS(B823=2015,I823*$G$2,B823=2016,I823*$G$3,B823=2017,I823*$G$4,B823=2018,I823*$G$5,B823=2019,I823*$G$6,B823=2020,I823*$G$7,B823=2021,I823*$G$8,B823=2022,I823*$G$9,B823=2023,I823*$G$10)</f>
        <v>754167.02617139264</v>
      </c>
      <c r="K823" s="8">
        <f t="shared" si="12"/>
        <v>4571207.0261713928</v>
      </c>
      <c r="L823">
        <f>IFERROR(VLOOKUP(F823,'LEAID Match'!$A$2:$B$240,2,FALSE),"")</f>
        <v>0</v>
      </c>
    </row>
    <row r="824" spans="1:12" x14ac:dyDescent="0.2">
      <c r="A824">
        <v>0</v>
      </c>
      <c r="B824">
        <v>2018</v>
      </c>
      <c r="C824" s="4" t="s">
        <v>162</v>
      </c>
      <c r="D824" s="4" t="s">
        <v>576</v>
      </c>
      <c r="E824" s="4" t="s">
        <v>578</v>
      </c>
      <c r="F824" s="4" t="s">
        <v>121</v>
      </c>
      <c r="G824" s="8">
        <v>4008437</v>
      </c>
      <c r="I824" s="16" cm="1">
        <f t="array" ref="I824">_xlfn.IFS(B824=2015,G824/$H$1957,B824=2016,G824/$H$1958,B824=2017,G824/$H$1959,B824=2018,G824/$H$1960,B824=2019,G824/$H$1961,B824=2020,G824/$H$1962,B824=2021,G824/$H$1963,B824=2022,G824/$H$1964,B824=2023,G824/$H$1965)</f>
        <v>5.1576977655815011E-3</v>
      </c>
      <c r="J824" s="10" cm="1">
        <f t="array" ref="J824">_xlfn.IFS(B824=2015,I824*$G$2,B824=2016,I824*$G$3,B824=2017,I824*$G$4,B824=2018,I824*$G$5,B824=2019,I824*$G$6,B824=2020,I824*$G$7,B824=2021,I824*$G$8,B824=2022,I824*$G$9,B824=2023,I824*$G$10)</f>
        <v>776356.90648135974</v>
      </c>
      <c r="K824" s="8">
        <f t="shared" si="12"/>
        <v>4784793.9064813601</v>
      </c>
      <c r="L824">
        <f>IFERROR(VLOOKUP(F824,'LEAID Match'!$A$2:$B$240,2,FALSE),"")</f>
        <v>0</v>
      </c>
    </row>
    <row r="825" spans="1:12" x14ac:dyDescent="0.2">
      <c r="A825">
        <v>0</v>
      </c>
      <c r="B825">
        <v>2019</v>
      </c>
      <c r="C825" s="4" t="s">
        <v>162</v>
      </c>
      <c r="D825" s="4" t="s">
        <v>576</v>
      </c>
      <c r="E825" s="4" t="s">
        <v>578</v>
      </c>
      <c r="F825" s="4" t="s">
        <v>121</v>
      </c>
      <c r="G825" s="8">
        <v>4115484</v>
      </c>
      <c r="I825" s="16" cm="1">
        <f t="array" ref="I825">_xlfn.IFS(B825=2015,G825/$H$1957,B825=2016,G825/$H$1958,B825=2017,G825/$H$1959,B825=2018,G825/$H$1960,B825=2019,G825/$H$1961,B825=2020,G825/$H$1962,B825=2021,G825/$H$1963,B825=2022,G825/$H$1964,B825=2023,G825/$H$1965)</f>
        <v>5.1147097332095385E-3</v>
      </c>
      <c r="J825" s="10" cm="1">
        <f t="array" ref="J825">_xlfn.IFS(B825=2015,I825*$G$2,B825=2016,I825*$G$3,B825=2017,I825*$G$4,B825=2018,I825*$G$5,B825=2019,I825*$G$6,B825=2020,I825*$G$7,B825=2021,I825*$G$8,B825=2022,I825*$G$9,B825=2023,I825*$G$10)</f>
        <v>808267.97371422441</v>
      </c>
      <c r="K825" s="8">
        <f t="shared" si="12"/>
        <v>4923751.9737142241</v>
      </c>
      <c r="L825">
        <f>IFERROR(VLOOKUP(F825,'LEAID Match'!$A$2:$B$240,2,FALSE),"")</f>
        <v>0</v>
      </c>
    </row>
    <row r="826" spans="1:12" x14ac:dyDescent="0.2">
      <c r="A826">
        <v>0</v>
      </c>
      <c r="B826">
        <v>2020</v>
      </c>
      <c r="C826" s="4" t="s">
        <v>162</v>
      </c>
      <c r="D826" s="4" t="s">
        <v>576</v>
      </c>
      <c r="E826" s="4" t="s">
        <v>578</v>
      </c>
      <c r="F826" s="4" t="s">
        <v>121</v>
      </c>
      <c r="G826" s="8">
        <v>4416473</v>
      </c>
      <c r="I826" s="16" cm="1">
        <f t="array" ref="I826">_xlfn.IFS(B826=2015,G826/$H$1957,B826=2016,G826/$H$1958,B826=2017,G826/$H$1959,B826=2018,G826/$H$1960,B826=2019,G826/$H$1961,B826=2020,G826/$H$1962,B826=2021,G826/$H$1963,B826=2022,G826/$H$1964,B826=2023,G826/$H$1965)</f>
        <v>5.0796654969271268E-3</v>
      </c>
      <c r="J826" s="10" cm="1">
        <f t="array" ref="J826">_xlfn.IFS(B826=2015,I826*$G$2,B826=2016,I826*$G$3,B826=2017,I826*$G$4,B826=2018,I826*$G$5,B826=2019,I826*$G$6,B826=2020,I826*$G$7,B826=2021,I826*$G$8,B826=2022,I826*$G$9,B826=2023,I826*$G$10)</f>
        <v>877176.41822682123</v>
      </c>
      <c r="K826" s="8">
        <f t="shared" si="12"/>
        <v>5293649.4182268213</v>
      </c>
      <c r="L826">
        <f>IFERROR(VLOOKUP(F826,'LEAID Match'!$A$2:$B$240,2,FALSE),"")</f>
        <v>0</v>
      </c>
    </row>
    <row r="827" spans="1:12" x14ac:dyDescent="0.2">
      <c r="A827">
        <v>0</v>
      </c>
      <c r="B827">
        <v>2021</v>
      </c>
      <c r="C827" s="4" t="s">
        <v>162</v>
      </c>
      <c r="D827" s="4" t="s">
        <v>576</v>
      </c>
      <c r="E827" s="4" t="s">
        <v>578</v>
      </c>
      <c r="F827" s="4" t="s">
        <v>121</v>
      </c>
      <c r="G827" s="8">
        <v>4328474</v>
      </c>
      <c r="I827" s="16" cm="1">
        <f t="array" ref="I827">_xlfn.IFS(B827=2015,G827/$H$1957,B827=2016,G827/$H$1958,B827=2017,G827/$H$1959,B827=2018,G827/$H$1960,B827=2019,G827/$H$1961,B827=2020,G827/$H$1962,B827=2021,G827/$H$1963,B827=2022,G827/$H$1964,B827=2023,G827/$H$1965)</f>
        <v>4.9465579740122587E-3</v>
      </c>
      <c r="J827" s="10" cm="1">
        <f t="array" ref="J827">_xlfn.IFS(B827=2015,I827*$G$2,B827=2016,I827*$G$3,B827=2017,I827*$G$4,B827=2018,I827*$G$5,B827=2019,I827*$G$6,B827=2020,I827*$G$7,B827=2021,I827*$G$8,B827=2022,I827*$G$9,B827=2023,I827*$G$10)</f>
        <v>848912.62859055412</v>
      </c>
      <c r="K827" s="8">
        <f t="shared" si="12"/>
        <v>5177386.628590554</v>
      </c>
      <c r="L827">
        <f>IFERROR(VLOOKUP(F827,'LEAID Match'!$A$2:$B$240,2,FALSE),"")</f>
        <v>0</v>
      </c>
    </row>
    <row r="828" spans="1:12" x14ac:dyDescent="0.2">
      <c r="A828">
        <v>0</v>
      </c>
      <c r="B828">
        <v>2022</v>
      </c>
      <c r="C828" s="4" t="s">
        <v>162</v>
      </c>
      <c r="D828" s="4" t="s">
        <v>576</v>
      </c>
      <c r="E828" s="4" t="s">
        <v>578</v>
      </c>
      <c r="F828" s="4" t="s">
        <v>121</v>
      </c>
      <c r="G828" s="8">
        <v>4819584</v>
      </c>
      <c r="I828" s="16" cm="1">
        <f t="array" ref="I828">_xlfn.IFS(B828=2015,G828/$H$1957,B828=2016,G828/$H$1958,B828=2017,G828/$H$1959,B828=2018,G828/$H$1960,B828=2019,G828/$H$1961,B828=2020,G828/$H$1962,B828=2021,G828/$H$1963,B828=2022,G828/$H$1964,B828=2023,G828/$H$1965)</f>
        <v>5.1801000064639682E-3</v>
      </c>
      <c r="J828" s="10" cm="1">
        <f t="array" ref="J828">_xlfn.IFS(B828=2015,I828*$G$2,B828=2016,I828*$G$3,B828=2017,I828*$G$4,B828=2018,I828*$G$5,B828=2019,I828*$G$6,B828=2020,I828*$G$7,B828=2021,I828*$G$8,B828=2022,I828*$G$9,B828=2023,I828*$G$10)</f>
        <v>878470.62148109626</v>
      </c>
      <c r="K828" s="8">
        <f t="shared" si="12"/>
        <v>5698054.6214810964</v>
      </c>
      <c r="L828">
        <f>IFERROR(VLOOKUP(F828,'LEAID Match'!$A$2:$B$240,2,FALSE),"")</f>
        <v>0</v>
      </c>
    </row>
    <row r="829" spans="1:12" x14ac:dyDescent="0.2">
      <c r="A829">
        <v>0</v>
      </c>
      <c r="B829">
        <v>2023</v>
      </c>
      <c r="C829" s="4" t="s">
        <v>162</v>
      </c>
      <c r="D829" s="4" t="s">
        <v>576</v>
      </c>
      <c r="E829" s="4" t="s">
        <v>578</v>
      </c>
      <c r="F829" s="4" t="s">
        <v>121</v>
      </c>
      <c r="G829" s="8">
        <v>4909303</v>
      </c>
      <c r="I829" s="16" cm="1">
        <f t="array" ref="I829">_xlfn.IFS(B829=2015,G829/$H$1957,B829=2016,G829/$H$1958,B829=2017,G829/$H$1959,B829=2018,G829/$H$1960,B829=2019,G829/$H$1961,B829=2020,G829/$H$1962,B829=2021,G829/$H$1963,B829=2022,G829/$H$1964,B829=2023,G829/$H$1965)</f>
        <v>4.9706181848851051E-3</v>
      </c>
      <c r="J829" s="10" cm="1">
        <f t="array" ref="J829">_xlfn.IFS(B829=2015,I829*$G$2,B829=2016,I829*$G$3,B829=2017,I829*$G$4,B829=2018,I829*$G$5,B829=2019,I829*$G$6,B829=2020,I829*$G$7,B829=2021,I829*$G$8,B829=2022,I829*$G$9,B829=2023,I829*$G$10)</f>
        <v>844932.11778489558</v>
      </c>
      <c r="K829" s="8">
        <f t="shared" si="12"/>
        <v>5754235.1177848959</v>
      </c>
      <c r="L829">
        <f>IFERROR(VLOOKUP(F829,'LEAID Match'!$A$2:$B$240,2,FALSE),"")</f>
        <v>0</v>
      </c>
    </row>
    <row r="830" spans="1:12" x14ac:dyDescent="0.2">
      <c r="A830">
        <v>0</v>
      </c>
      <c r="B830">
        <v>2015</v>
      </c>
      <c r="C830" s="4" t="s">
        <v>163</v>
      </c>
      <c r="D830" s="4" t="s">
        <v>576</v>
      </c>
      <c r="E830" s="4" t="s">
        <v>578</v>
      </c>
      <c r="F830" s="4" t="s">
        <v>122</v>
      </c>
      <c r="G830" s="8">
        <v>8349028</v>
      </c>
      <c r="I830" s="16" cm="1">
        <f t="array" ref="I830">_xlfn.IFS(B830=2015,G830/$H$1957,B830=2016,G830/$H$1958,B830=2017,G830/$H$1959,B830=2018,G830/$H$1960,B830=2019,G830/$H$1961,B830=2020,G830/$H$1962,B830=2021,G830/$H$1963,B830=2022,G830/$H$1964,B830=2023,G830/$H$1965)</f>
        <v>6.4476077564570846E-3</v>
      </c>
      <c r="J830" s="10" cm="1">
        <f t="array" ref="J830">_xlfn.IFS(B830=2015,I830*$G$2,B830=2016,I830*$G$3,B830=2017,I830*$G$4,B830=2018,I830*$G$5,B830=2019,I830*$G$6,B830=2020,I830*$G$7,B830=2021,I830*$G$8,B830=2022,I830*$G$9,B830=2023,I830*$G$10)</f>
        <v>1603149.7951554623</v>
      </c>
      <c r="K830" s="8">
        <f t="shared" si="12"/>
        <v>9952177.7951554619</v>
      </c>
      <c r="L830">
        <f>IFERROR(VLOOKUP(F830,'LEAID Match'!$A$2:$B$240,2,FALSE),"")</f>
        <v>0</v>
      </c>
    </row>
    <row r="831" spans="1:12" x14ac:dyDescent="0.2">
      <c r="A831">
        <v>0</v>
      </c>
      <c r="B831">
        <v>2016</v>
      </c>
      <c r="C831" s="4" t="s">
        <v>163</v>
      </c>
      <c r="D831" s="4" t="s">
        <v>576</v>
      </c>
      <c r="E831" s="4" t="s">
        <v>578</v>
      </c>
      <c r="F831" s="4" t="s">
        <v>122</v>
      </c>
      <c r="G831" s="8">
        <v>8843278</v>
      </c>
      <c r="I831" s="16" cm="1">
        <f t="array" ref="I831">_xlfn.IFS(B831=2015,G831/$H$1957,B831=2016,G831/$H$1958,B831=2017,G831/$H$1959,B831=2018,G831/$H$1960,B831=2019,G831/$H$1961,B831=2020,G831/$H$1962,B831=2021,G831/$H$1963,B831=2022,G831/$H$1964,B831=2023,G831/$H$1965)</f>
        <v>6.2079773754411061E-3</v>
      </c>
      <c r="J831" s="10" cm="1">
        <f t="array" ref="J831">_xlfn.IFS(B831=2015,I831*$G$2,B831=2016,I831*$G$3,B831=2017,I831*$G$4,B831=2018,I831*$G$5,B831=2019,I831*$G$6,B831=2020,I831*$G$7,B831=2021,I831*$G$8,B831=2022,I831*$G$9,B831=2023,I831*$G$10)</f>
        <v>1683622.5847899443</v>
      </c>
      <c r="K831" s="8">
        <f t="shared" si="12"/>
        <v>10526900.584789945</v>
      </c>
      <c r="L831">
        <f>IFERROR(VLOOKUP(F831,'LEAID Match'!$A$2:$B$240,2,FALSE),"")</f>
        <v>0</v>
      </c>
    </row>
    <row r="832" spans="1:12" x14ac:dyDescent="0.2">
      <c r="A832">
        <v>0</v>
      </c>
      <c r="B832">
        <v>2017</v>
      </c>
      <c r="C832" s="4" t="s">
        <v>163</v>
      </c>
      <c r="D832" s="4" t="s">
        <v>576</v>
      </c>
      <c r="E832" s="4" t="s">
        <v>578</v>
      </c>
      <c r="F832" s="4" t="s">
        <v>122</v>
      </c>
      <c r="G832" s="8">
        <v>4569302</v>
      </c>
      <c r="I832" s="16" cm="1">
        <f t="array" ref="I832">_xlfn.IFS(B832=2015,G832/$H$1957,B832=2016,G832/$H$1958,B832=2017,G832/$H$1959,B832=2018,G832/$H$1960,B832=2019,G832/$H$1961,B832=2020,G832/$H$1962,B832=2021,G832/$H$1963,B832=2022,G832/$H$1964,B832=2023,G832/$H$1965)</f>
        <v>6.0964212487254702E-3</v>
      </c>
      <c r="J832" s="10" cm="1">
        <f t="array" ref="J832">_xlfn.IFS(B832=2015,I832*$G$2,B832=2016,I832*$G$3,B832=2017,I832*$G$4,B832=2018,I832*$G$5,B832=2019,I832*$G$6,B832=2020,I832*$G$7,B832=2021,I832*$G$8,B832=2022,I832*$G$9,B832=2023,I832*$G$10)</f>
        <v>902798.215638033</v>
      </c>
      <c r="K832" s="8">
        <f t="shared" si="12"/>
        <v>5472100.2156380331</v>
      </c>
      <c r="L832">
        <f>IFERROR(VLOOKUP(F832,'LEAID Match'!$A$2:$B$240,2,FALSE),"")</f>
        <v>0</v>
      </c>
    </row>
    <row r="833" spans="1:12" x14ac:dyDescent="0.2">
      <c r="A833">
        <v>0</v>
      </c>
      <c r="B833">
        <v>2018</v>
      </c>
      <c r="C833" s="4" t="s">
        <v>163</v>
      </c>
      <c r="D833" s="4" t="s">
        <v>576</v>
      </c>
      <c r="E833" s="4" t="s">
        <v>578</v>
      </c>
      <c r="F833" s="4" t="s">
        <v>122</v>
      </c>
      <c r="G833" s="8">
        <v>4730828</v>
      </c>
      <c r="I833" s="16" cm="1">
        <f t="array" ref="I833">_xlfn.IFS(B833=2015,G833/$H$1957,B833=2016,G833/$H$1958,B833=2017,G833/$H$1959,B833=2018,G833/$H$1960,B833=2019,G833/$H$1961,B833=2020,G833/$H$1962,B833=2021,G833/$H$1963,B833=2022,G833/$H$1964,B833=2023,G833/$H$1965)</f>
        <v>6.087205812377843E-3</v>
      </c>
      <c r="J833" s="10" cm="1">
        <f t="array" ref="J833">_xlfn.IFS(B833=2015,I833*$G$2,B833=2016,I833*$G$3,B833=2017,I833*$G$4,B833=2018,I833*$G$5,B833=2019,I833*$G$6,B833=2020,I833*$G$7,B833=2021,I833*$G$8,B833=2022,I833*$G$9,B833=2023,I833*$G$10)</f>
        <v>916270.10507472069</v>
      </c>
      <c r="K833" s="8">
        <f t="shared" si="12"/>
        <v>5647098.1050747205</v>
      </c>
      <c r="L833">
        <f>IFERROR(VLOOKUP(F833,'LEAID Match'!$A$2:$B$240,2,FALSE),"")</f>
        <v>0</v>
      </c>
    </row>
    <row r="834" spans="1:12" x14ac:dyDescent="0.2">
      <c r="A834">
        <v>0</v>
      </c>
      <c r="B834">
        <v>2019</v>
      </c>
      <c r="C834" s="4" t="s">
        <v>163</v>
      </c>
      <c r="D834" s="4" t="s">
        <v>576</v>
      </c>
      <c r="E834" s="4" t="s">
        <v>578</v>
      </c>
      <c r="F834" s="4" t="s">
        <v>122</v>
      </c>
      <c r="G834" s="8">
        <v>5214814</v>
      </c>
      <c r="I834" s="16" cm="1">
        <f t="array" ref="I834">_xlfn.IFS(B834=2015,G834/$H$1957,B834=2016,G834/$H$1958,B834=2017,G834/$H$1959,B834=2018,G834/$H$1960,B834=2019,G834/$H$1961,B834=2020,G834/$H$1962,B834=2021,G834/$H$1963,B834=2022,G834/$H$1964,B834=2023,G834/$H$1965)</f>
        <v>6.4809533757578374E-3</v>
      </c>
      <c r="J834" s="10" cm="1">
        <f t="array" ref="J834">_xlfn.IFS(B834=2015,I834*$G$2,B834=2016,I834*$G$3,B834=2017,I834*$G$4,B834=2018,I834*$G$5,B834=2019,I834*$G$6,B834=2020,I834*$G$7,B834=2021,I834*$G$8,B834=2022,I834*$G$9,B834=2023,I834*$G$10)</f>
        <v>1024172.8907405714</v>
      </c>
      <c r="K834" s="8">
        <f t="shared" si="12"/>
        <v>6238986.8907405715</v>
      </c>
      <c r="L834">
        <f>IFERROR(VLOOKUP(F834,'LEAID Match'!$A$2:$B$240,2,FALSE),"")</f>
        <v>0</v>
      </c>
    </row>
    <row r="835" spans="1:12" x14ac:dyDescent="0.2">
      <c r="A835">
        <v>0</v>
      </c>
      <c r="B835">
        <v>2020</v>
      </c>
      <c r="C835" s="4" t="s">
        <v>163</v>
      </c>
      <c r="D835" s="4" t="s">
        <v>576</v>
      </c>
      <c r="E835" s="4" t="s">
        <v>578</v>
      </c>
      <c r="F835" s="4" t="s">
        <v>122</v>
      </c>
      <c r="G835" s="8">
        <v>5871226</v>
      </c>
      <c r="I835" s="16" cm="1">
        <f t="array" ref="I835">_xlfn.IFS(B835=2015,G835/$H$1957,B835=2016,G835/$H$1958,B835=2017,G835/$H$1959,B835=2018,G835/$H$1960,B835=2019,G835/$H$1961,B835=2020,G835/$H$1962,B835=2021,G835/$H$1963,B835=2022,G835/$H$1964,B835=2023,G835/$H$1965)</f>
        <v>6.7528691190598166E-3</v>
      </c>
      <c r="J835" s="10" cm="1">
        <f t="array" ref="J835">_xlfn.IFS(B835=2015,I835*$G$2,B835=2016,I835*$G$3,B835=2017,I835*$G$4,B835=2018,I835*$G$5,B835=2019,I835*$G$6,B835=2020,I835*$G$7,B835=2021,I835*$G$8,B835=2022,I835*$G$9,B835=2023,I835*$G$10)</f>
        <v>1166111.7351515987</v>
      </c>
      <c r="K835" s="8">
        <f t="shared" si="12"/>
        <v>7037337.7351515982</v>
      </c>
      <c r="L835">
        <f>IFERROR(VLOOKUP(F835,'LEAID Match'!$A$2:$B$240,2,FALSE),"")</f>
        <v>0</v>
      </c>
    </row>
    <row r="836" spans="1:12" x14ac:dyDescent="0.2">
      <c r="A836">
        <v>0</v>
      </c>
      <c r="B836">
        <v>2021</v>
      </c>
      <c r="C836" s="4" t="s">
        <v>163</v>
      </c>
      <c r="D836" s="4" t="s">
        <v>576</v>
      </c>
      <c r="E836" s="4" t="s">
        <v>578</v>
      </c>
      <c r="F836" s="4" t="s">
        <v>122</v>
      </c>
      <c r="G836" s="8">
        <v>6744173</v>
      </c>
      <c r="I836" s="16" cm="1">
        <f t="array" ref="I836">_xlfn.IFS(B836=2015,G836/$H$1957,B836=2016,G836/$H$1958,B836=2017,G836/$H$1959,B836=2018,G836/$H$1960,B836=2019,G836/$H$1961,B836=2020,G836/$H$1962,B836=2021,G836/$H$1963,B836=2022,G836/$H$1964,B836=2023,G836/$H$1965)</f>
        <v>7.7072064499563078E-3</v>
      </c>
      <c r="J836" s="10" cm="1">
        <f t="array" ref="J836">_xlfn.IFS(B836=2015,I836*$G$2,B836=2016,I836*$G$3,B836=2017,I836*$G$4,B836=2018,I836*$G$5,B836=2019,I836*$G$6,B836=2020,I836*$G$7,B836=2021,I836*$G$8,B836=2022,I836*$G$9,B836=2023,I836*$G$10)</f>
        <v>1322686.3853402939</v>
      </c>
      <c r="K836" s="8">
        <f t="shared" si="12"/>
        <v>8066859.3853402939</v>
      </c>
      <c r="L836">
        <f>IFERROR(VLOOKUP(F836,'LEAID Match'!$A$2:$B$240,2,FALSE),"")</f>
        <v>0</v>
      </c>
    </row>
    <row r="837" spans="1:12" x14ac:dyDescent="0.2">
      <c r="A837">
        <v>0</v>
      </c>
      <c r="B837">
        <v>2022</v>
      </c>
      <c r="C837" s="4" t="s">
        <v>163</v>
      </c>
      <c r="D837" s="4" t="s">
        <v>576</v>
      </c>
      <c r="E837" s="4" t="s">
        <v>578</v>
      </c>
      <c r="F837" s="4" t="s">
        <v>122</v>
      </c>
      <c r="G837" s="8">
        <v>7659900</v>
      </c>
      <c r="I837" s="16" cm="1">
        <f t="array" ref="I837">_xlfn.IFS(B837=2015,G837/$H$1957,B837=2016,G837/$H$1958,B837=2017,G837/$H$1959,B837=2018,G837/$H$1960,B837=2019,G837/$H$1961,B837=2020,G837/$H$1962,B837=2021,G837/$H$1963,B837=2022,G837/$H$1964,B837=2023,G837/$H$1965)</f>
        <v>8.2328781985153386E-3</v>
      </c>
      <c r="J837" s="10" cm="1">
        <f t="array" ref="J837">_xlfn.IFS(B837=2015,I837*$G$2,B837=2016,I837*$G$3,B837=2017,I837*$G$4,B837=2018,I837*$G$5,B837=2019,I837*$G$6,B837=2020,I837*$G$7,B837=2021,I837*$G$8,B837=2022,I837*$G$9,B837=2023,I837*$G$10)</f>
        <v>1396177.9924331745</v>
      </c>
      <c r="K837" s="8">
        <f t="shared" si="12"/>
        <v>9056077.9924331754</v>
      </c>
      <c r="L837">
        <f>IFERROR(VLOOKUP(F837,'LEAID Match'!$A$2:$B$240,2,FALSE),"")</f>
        <v>0</v>
      </c>
    </row>
    <row r="838" spans="1:12" x14ac:dyDescent="0.2">
      <c r="A838">
        <v>0</v>
      </c>
      <c r="B838">
        <v>2023</v>
      </c>
      <c r="C838" s="4" t="s">
        <v>163</v>
      </c>
      <c r="D838" s="4" t="s">
        <v>576</v>
      </c>
      <c r="E838" s="4" t="s">
        <v>578</v>
      </c>
      <c r="F838" s="4" t="s">
        <v>122</v>
      </c>
      <c r="G838" s="8">
        <v>8790132</v>
      </c>
      <c r="I838" s="16" cm="1">
        <f t="array" ref="I838">_xlfn.IFS(B838=2015,G838/$H$1957,B838=2016,G838/$H$1958,B838=2017,G838/$H$1959,B838=2018,G838/$H$1960,B838=2019,G838/$H$1961,B838=2020,G838/$H$1962,B838=2021,G838/$H$1963,B838=2022,G838/$H$1964,B838=2023,G838/$H$1965)</f>
        <v>8.8999171505080212E-3</v>
      </c>
      <c r="J838" s="10" cm="1">
        <f t="array" ref="J838">_xlfn.IFS(B838=2015,I838*$G$2,B838=2016,I838*$G$3,B838=2017,I838*$G$4,B838=2018,I838*$G$5,B838=2019,I838*$G$6,B838=2020,I838*$G$7,B838=2021,I838*$G$8,B838=2022,I838*$G$9,B838=2023,I838*$G$10)</f>
        <v>1512855.2559026771</v>
      </c>
      <c r="K838" s="8">
        <f t="shared" si="12"/>
        <v>10302987.255902678</v>
      </c>
      <c r="L838">
        <f>IFERROR(VLOOKUP(F838,'LEAID Match'!$A$2:$B$240,2,FALSE),"")</f>
        <v>0</v>
      </c>
    </row>
    <row r="839" spans="1:12" x14ac:dyDescent="0.2">
      <c r="A839">
        <v>0</v>
      </c>
      <c r="B839">
        <v>2015</v>
      </c>
      <c r="C839" s="4" t="s">
        <v>164</v>
      </c>
      <c r="D839" s="4" t="s">
        <v>576</v>
      </c>
      <c r="E839" s="4" t="s">
        <v>578</v>
      </c>
      <c r="F839" s="4" t="s">
        <v>123</v>
      </c>
      <c r="G839" s="8">
        <v>8585609</v>
      </c>
      <c r="I839" s="16" cm="1">
        <f t="array" ref="I839">_xlfn.IFS(B839=2015,G839/$H$1957,B839=2016,G839/$H$1958,B839=2017,G839/$H$1959,B839=2018,G839/$H$1960,B839=2019,G839/$H$1961,B839=2020,G839/$H$1962,B839=2021,G839/$H$1963,B839=2022,G839/$H$1964,B839=2023,G839/$H$1965)</f>
        <v>6.6303094422857072E-3</v>
      </c>
      <c r="J839" s="10" cm="1">
        <f t="array" ref="J839">_xlfn.IFS(B839=2015,I839*$G$2,B839=2016,I839*$G$3,B839=2017,I839*$G$4,B839=2018,I839*$G$5,B839=2019,I839*$G$6,B839=2020,I839*$G$7,B839=2021,I839*$G$8,B839=2022,I839*$G$9,B839=2023,I839*$G$10)</f>
        <v>1648577.2127767322</v>
      </c>
      <c r="K839" s="8">
        <f t="shared" si="12"/>
        <v>10234186.212776732</v>
      </c>
      <c r="L839">
        <f>IFERROR(VLOOKUP(F839,'LEAID Match'!$A$2:$B$240,2,FALSE),"")</f>
        <v>0</v>
      </c>
    </row>
    <row r="840" spans="1:12" x14ac:dyDescent="0.2">
      <c r="A840">
        <v>0</v>
      </c>
      <c r="B840">
        <v>2016</v>
      </c>
      <c r="C840" s="4" t="s">
        <v>164</v>
      </c>
      <c r="D840" s="4" t="s">
        <v>576</v>
      </c>
      <c r="E840" s="4" t="s">
        <v>578</v>
      </c>
      <c r="F840" s="4" t="s">
        <v>123</v>
      </c>
      <c r="G840" s="8">
        <v>9545749</v>
      </c>
      <c r="I840" s="16" cm="1">
        <f t="array" ref="I840">_xlfn.IFS(B840=2015,G840/$H$1957,B840=2016,G840/$H$1958,B840=2017,G840/$H$1959,B840=2018,G840/$H$1960,B840=2019,G840/$H$1961,B840=2020,G840/$H$1962,B840=2021,G840/$H$1963,B840=2022,G840/$H$1964,B840=2023,G840/$H$1965)</f>
        <v>6.7011117171301817E-3</v>
      </c>
      <c r="J840" s="10" cm="1">
        <f t="array" ref="J840">_xlfn.IFS(B840=2015,I840*$G$2,B840=2016,I840*$G$3,B840=2017,I840*$G$4,B840=2018,I840*$G$5,B840=2019,I840*$G$6,B840=2020,I840*$G$7,B840=2021,I840*$G$8,B840=2022,I840*$G$9,B840=2023,I840*$G$10)</f>
        <v>1817362.137109794</v>
      </c>
      <c r="K840" s="8">
        <f t="shared" si="12"/>
        <v>11363111.137109794</v>
      </c>
      <c r="L840">
        <f>IFERROR(VLOOKUP(F840,'LEAID Match'!$A$2:$B$240,2,FALSE),"")</f>
        <v>0</v>
      </c>
    </row>
    <row r="841" spans="1:12" x14ac:dyDescent="0.2">
      <c r="A841">
        <v>0</v>
      </c>
      <c r="B841">
        <v>2017</v>
      </c>
      <c r="C841" s="4" t="s">
        <v>164</v>
      </c>
      <c r="D841" s="4" t="s">
        <v>576</v>
      </c>
      <c r="E841" s="4" t="s">
        <v>578</v>
      </c>
      <c r="F841" s="4" t="s">
        <v>123</v>
      </c>
      <c r="G841" s="8">
        <v>5020025</v>
      </c>
      <c r="I841" s="16" cm="1">
        <f t="array" ref="I841">_xlfn.IFS(B841=2015,G841/$H$1957,B841=2016,G841/$H$1958,B841=2017,G841/$H$1959,B841=2018,G841/$H$1960,B841=2019,G841/$H$1961,B841=2020,G841/$H$1962,B841=2021,G841/$H$1963,B841=2022,G841/$H$1964,B841=2023,G841/$H$1965)</f>
        <v>6.6977816478606747E-3</v>
      </c>
      <c r="J841" s="10" cm="1">
        <f t="array" ref="J841">_xlfn.IFS(B841=2015,I841*$G$2,B841=2016,I841*$G$3,B841=2017,I841*$G$4,B841=2018,I841*$G$5,B841=2019,I841*$G$6,B841=2020,I841*$G$7,B841=2021,I841*$G$8,B841=2022,I841*$G$9,B841=2023,I841*$G$10)</f>
        <v>991851.62470292312</v>
      </c>
      <c r="K841" s="8">
        <f t="shared" si="12"/>
        <v>6011876.624702923</v>
      </c>
      <c r="L841">
        <f>IFERROR(VLOOKUP(F841,'LEAID Match'!$A$2:$B$240,2,FALSE),"")</f>
        <v>0</v>
      </c>
    </row>
    <row r="842" spans="1:12" x14ac:dyDescent="0.2">
      <c r="A842">
        <v>0</v>
      </c>
      <c r="B842">
        <v>2018</v>
      </c>
      <c r="C842" s="4" t="s">
        <v>164</v>
      </c>
      <c r="D842" s="4" t="s">
        <v>576</v>
      </c>
      <c r="E842" s="4" t="s">
        <v>578</v>
      </c>
      <c r="F842" s="4" t="s">
        <v>123</v>
      </c>
      <c r="G842" s="8">
        <v>5206322</v>
      </c>
      <c r="I842" s="16" cm="1">
        <f t="array" ref="I842">_xlfn.IFS(B842=2015,G842/$H$1957,B842=2016,G842/$H$1958,B842=2017,G842/$H$1959,B842=2018,G842/$H$1960,B842=2019,G842/$H$1961,B842=2020,G842/$H$1962,B842=2021,G842/$H$1963,B842=2022,G842/$H$1964,B842=2023,G842/$H$1965)</f>
        <v>6.6990289098463598E-3</v>
      </c>
      <c r="J842" s="10" cm="1">
        <f t="array" ref="J842">_xlfn.IFS(B842=2015,I842*$G$2,B842=2016,I842*$G$3,B842=2017,I842*$G$4,B842=2018,I842*$G$5,B842=2019,I842*$G$6,B842=2020,I842*$G$7,B842=2021,I842*$G$8,B842=2022,I842*$G$9,B842=2023,I842*$G$10)</f>
        <v>1008364.1184995163</v>
      </c>
      <c r="K842" s="8">
        <f t="shared" si="12"/>
        <v>6214686.1184995165</v>
      </c>
      <c r="L842">
        <f>IFERROR(VLOOKUP(F842,'LEAID Match'!$A$2:$B$240,2,FALSE),"")</f>
        <v>0</v>
      </c>
    </row>
    <row r="843" spans="1:12" x14ac:dyDescent="0.2">
      <c r="A843">
        <v>0</v>
      </c>
      <c r="B843">
        <v>2019</v>
      </c>
      <c r="C843" s="4" t="s">
        <v>164</v>
      </c>
      <c r="D843" s="4" t="s">
        <v>576</v>
      </c>
      <c r="E843" s="4" t="s">
        <v>578</v>
      </c>
      <c r="F843" s="4" t="s">
        <v>123</v>
      </c>
      <c r="G843" s="8">
        <v>5141510</v>
      </c>
      <c r="I843" s="16" cm="1">
        <f t="array" ref="I843">_xlfn.IFS(B843=2015,G843/$H$1957,B843=2016,G843/$H$1958,B843=2017,G843/$H$1959,B843=2018,G843/$H$1960,B843=2019,G843/$H$1961,B843=2020,G843/$H$1962,B843=2021,G843/$H$1963,B843=2022,G843/$H$1964,B843=2023,G843/$H$1965)</f>
        <v>6.3898514100392996E-3</v>
      </c>
      <c r="J843" s="10" cm="1">
        <f t="array" ref="J843">_xlfn.IFS(B843=2015,I843*$G$2,B843=2016,I843*$G$3,B843=2017,I843*$G$4,B843=2018,I843*$G$5,B843=2019,I843*$G$6,B843=2020,I843*$G$7,B843=2021,I843*$G$8,B843=2022,I843*$G$9,B843=2023,I843*$G$10)</f>
        <v>1009776.2181875624</v>
      </c>
      <c r="K843" s="8">
        <f t="shared" si="12"/>
        <v>6151286.2181875622</v>
      </c>
      <c r="L843">
        <f>IFERROR(VLOOKUP(F843,'LEAID Match'!$A$2:$B$240,2,FALSE),"")</f>
        <v>0</v>
      </c>
    </row>
    <row r="844" spans="1:12" x14ac:dyDescent="0.2">
      <c r="A844">
        <v>0</v>
      </c>
      <c r="B844">
        <v>2020</v>
      </c>
      <c r="C844" s="4" t="s">
        <v>164</v>
      </c>
      <c r="D844" s="4" t="s">
        <v>576</v>
      </c>
      <c r="E844" s="4" t="s">
        <v>578</v>
      </c>
      <c r="F844" s="4" t="s">
        <v>123</v>
      </c>
      <c r="G844" s="8">
        <v>4628946</v>
      </c>
      <c r="I844" s="16" cm="1">
        <f t="array" ref="I844">_xlfn.IFS(B844=2015,G844/$H$1957,B844=2016,G844/$H$1958,B844=2017,G844/$H$1959,B844=2018,G844/$H$1960,B844=2019,G844/$H$1961,B844=2020,G844/$H$1962,B844=2021,G844/$H$1963,B844=2022,G844/$H$1964,B844=2023,G844/$H$1965)</f>
        <v>5.3240441599753541E-3</v>
      </c>
      <c r="J844" s="10" cm="1">
        <f t="array" ref="J844">_xlfn.IFS(B844=2015,I844*$G$2,B844=2016,I844*$G$3,B844=2017,I844*$G$4,B844=2018,I844*$G$5,B844=2019,I844*$G$6,B844=2020,I844*$G$7,B844=2021,I844*$G$8,B844=2022,I844*$G$9,B844=2023,I844*$G$10)</f>
        <v>919376.67737250309</v>
      </c>
      <c r="K844" s="8">
        <f t="shared" ref="K844:K907" si="13">SUM(G844,J844)</f>
        <v>5548322.6773725031</v>
      </c>
      <c r="L844">
        <f>IFERROR(VLOOKUP(F844,'LEAID Match'!$A$2:$B$240,2,FALSE),"")</f>
        <v>0</v>
      </c>
    </row>
    <row r="845" spans="1:12" x14ac:dyDescent="0.2">
      <c r="A845">
        <v>0</v>
      </c>
      <c r="B845">
        <v>2021</v>
      </c>
      <c r="C845" s="4" t="s">
        <v>164</v>
      </c>
      <c r="D845" s="4" t="s">
        <v>576</v>
      </c>
      <c r="E845" s="4" t="s">
        <v>578</v>
      </c>
      <c r="F845" s="4" t="s">
        <v>123</v>
      </c>
      <c r="G845" s="8">
        <v>1685893</v>
      </c>
      <c r="I845" s="16" cm="1">
        <f t="array" ref="I845">_xlfn.IFS(B845=2015,G845/$H$1957,B845=2016,G845/$H$1958,B845=2017,G845/$H$1959,B845=2018,G845/$H$1960,B845=2019,G845/$H$1961,B845=2020,G845/$H$1962,B845=2021,G845/$H$1963,B845=2022,G845/$H$1964,B845=2023,G845/$H$1965)</f>
        <v>1.92662990755667E-3</v>
      </c>
      <c r="J845" s="10" cm="1">
        <f t="array" ref="J845">_xlfn.IFS(B845=2015,I845*$G$2,B845=2016,I845*$G$3,B845=2017,I845*$G$4,B845=2018,I845*$G$5,B845=2019,I845*$G$6,B845=2020,I845*$G$7,B845=2021,I845*$G$8,B845=2022,I845*$G$9,B845=2023,I845*$G$10)</f>
        <v>330642.12887784821</v>
      </c>
      <c r="K845" s="8">
        <f t="shared" si="13"/>
        <v>2016535.1288778482</v>
      </c>
      <c r="L845">
        <f>IFERROR(VLOOKUP(F845,'LEAID Match'!$A$2:$B$240,2,FALSE),"")</f>
        <v>0</v>
      </c>
    </row>
    <row r="846" spans="1:12" x14ac:dyDescent="0.2">
      <c r="A846">
        <v>0</v>
      </c>
      <c r="B846">
        <v>2022</v>
      </c>
      <c r="C846" s="4" t="s">
        <v>164</v>
      </c>
      <c r="D846" s="4" t="s">
        <v>576</v>
      </c>
      <c r="E846" s="4" t="s">
        <v>578</v>
      </c>
      <c r="F846" s="4" t="s">
        <v>123</v>
      </c>
      <c r="G846" s="8">
        <v>4147541</v>
      </c>
      <c r="I846" s="16" cm="1">
        <f t="array" ref="I846">_xlfn.IFS(B846=2015,G846/$H$1957,B846=2016,G846/$H$1958,B846=2017,G846/$H$1959,B846=2018,G846/$H$1960,B846=2019,G846/$H$1961,B846=2020,G846/$H$1962,B846=2021,G846/$H$1963,B846=2022,G846/$H$1964,B846=2023,G846/$H$1965)</f>
        <v>4.4577866390355632E-3</v>
      </c>
      <c r="J846" s="10" cm="1">
        <f t="array" ref="J846">_xlfn.IFS(B846=2015,I846*$G$2,B846=2016,I846*$G$3,B846=2017,I846*$G$4,B846=2018,I846*$G$5,B846=2019,I846*$G$6,B846=2020,I846*$G$7,B846=2021,I846*$G$8,B846=2022,I846*$G$9,B846=2023,I846*$G$10)</f>
        <v>755976.64028437471</v>
      </c>
      <c r="K846" s="8">
        <f t="shared" si="13"/>
        <v>4903517.6402843744</v>
      </c>
      <c r="L846">
        <f>IFERROR(VLOOKUP(F846,'LEAID Match'!$A$2:$B$240,2,FALSE),"")</f>
        <v>0</v>
      </c>
    </row>
    <row r="847" spans="1:12" x14ac:dyDescent="0.2">
      <c r="A847">
        <v>0</v>
      </c>
      <c r="B847">
        <v>2023</v>
      </c>
      <c r="C847" s="4" t="s">
        <v>164</v>
      </c>
      <c r="D847" s="4" t="s">
        <v>576</v>
      </c>
      <c r="E847" s="4" t="s">
        <v>578</v>
      </c>
      <c r="F847" s="4" t="s">
        <v>123</v>
      </c>
      <c r="G847" s="8">
        <v>4403607</v>
      </c>
      <c r="I847" s="16" cm="1">
        <f t="array" ref="I847">_xlfn.IFS(B847=2015,G847/$H$1957,B847=2016,G847/$H$1958,B847=2017,G847/$H$1959,B847=2018,G847/$H$1960,B847=2019,G847/$H$1961,B847=2020,G847/$H$1962,B847=2021,G847/$H$1963,B847=2022,G847/$H$1964,B847=2023,G847/$H$1965)</f>
        <v>4.4586062488478186E-3</v>
      </c>
      <c r="J847" s="10" cm="1">
        <f t="array" ref="J847">_xlfn.IFS(B847=2015,I847*$G$2,B847=2016,I847*$G$3,B847=2017,I847*$G$4,B847=2018,I847*$G$5,B847=2019,I847*$G$6,B847=2020,I847*$G$7,B847=2021,I847*$G$8,B847=2022,I847*$G$9,B847=2023,I847*$G$10)</f>
        <v>757897.60550578986</v>
      </c>
      <c r="K847" s="8">
        <f t="shared" si="13"/>
        <v>5161504.6055057896</v>
      </c>
      <c r="L847">
        <f>IFERROR(VLOOKUP(F847,'LEAID Match'!$A$2:$B$240,2,FALSE),"")</f>
        <v>0</v>
      </c>
    </row>
    <row r="848" spans="1:12" x14ac:dyDescent="0.2">
      <c r="A848">
        <v>0</v>
      </c>
      <c r="B848">
        <v>2015</v>
      </c>
      <c r="C848" s="4" t="s">
        <v>165</v>
      </c>
      <c r="D848" s="4" t="s">
        <v>576</v>
      </c>
      <c r="E848" s="4" t="s">
        <v>578</v>
      </c>
      <c r="F848" s="4" t="s">
        <v>124</v>
      </c>
      <c r="G848" s="8">
        <v>7744334</v>
      </c>
      <c r="I848" s="16" cm="1">
        <f t="array" ref="I848">_xlfn.IFS(B848=2015,G848/$H$1957,B848=2016,G848/$H$1958,B848=2017,G848/$H$1959,B848=2018,G848/$H$1960,B848=2019,G848/$H$1961,B848=2020,G848/$H$1962,B848=2021,G848/$H$1963,B848=2022,G848/$H$1964,B848=2023,G848/$H$1965)</f>
        <v>5.9806276810898604E-3</v>
      </c>
      <c r="J848" s="10" cm="1">
        <f t="array" ref="J848">_xlfn.IFS(B848=2015,I848*$G$2,B848=2016,I848*$G$3,B848=2017,I848*$G$4,B848=2018,I848*$G$5,B848=2019,I848*$G$6,B848=2020,I848*$G$7,B848=2021,I848*$G$8,B848=2022,I848*$G$9,B848=2023,I848*$G$10)</f>
        <v>1487038.6667424617</v>
      </c>
      <c r="K848" s="8">
        <f t="shared" si="13"/>
        <v>9231372.6667424627</v>
      </c>
      <c r="L848">
        <f>IFERROR(VLOOKUP(F848,'LEAID Match'!$A$2:$B$240,2,FALSE),"")</f>
        <v>0</v>
      </c>
    </row>
    <row r="849" spans="1:12" x14ac:dyDescent="0.2">
      <c r="A849">
        <v>0</v>
      </c>
      <c r="B849">
        <v>2016</v>
      </c>
      <c r="C849" s="4" t="s">
        <v>165</v>
      </c>
      <c r="D849" s="4" t="s">
        <v>576</v>
      </c>
      <c r="E849" s="4" t="s">
        <v>578</v>
      </c>
      <c r="F849" s="4" t="s">
        <v>124</v>
      </c>
      <c r="G849" s="8">
        <v>8258570</v>
      </c>
      <c r="I849" s="16" cm="1">
        <f t="array" ref="I849">_xlfn.IFS(B849=2015,G849/$H$1957,B849=2016,G849/$H$1958,B849=2017,G849/$H$1959,B849=2018,G849/$H$1960,B849=2019,G849/$H$1961,B849=2020,G849/$H$1962,B849=2021,G849/$H$1963,B849=2022,G849/$H$1964,B849=2023,G849/$H$1965)</f>
        <v>5.7975126094075811E-3</v>
      </c>
      <c r="J849" s="10" cm="1">
        <f t="array" ref="J849">_xlfn.IFS(B849=2015,I849*$G$2,B849=2016,I849*$G$3,B849=2017,I849*$G$4,B849=2018,I849*$G$5,B849=2019,I849*$G$6,B849=2020,I849*$G$7,B849=2021,I849*$G$8,B849=2022,I849*$G$9,B849=2023,I849*$G$10)</f>
        <v>1572303.2760101729</v>
      </c>
      <c r="K849" s="8">
        <f t="shared" si="13"/>
        <v>9830873.2760101724</v>
      </c>
      <c r="L849">
        <f>IFERROR(VLOOKUP(F849,'LEAID Match'!$A$2:$B$240,2,FALSE),"")</f>
        <v>0</v>
      </c>
    </row>
    <row r="850" spans="1:12" x14ac:dyDescent="0.2">
      <c r="A850">
        <v>0</v>
      </c>
      <c r="B850">
        <v>2017</v>
      </c>
      <c r="C850" s="4" t="s">
        <v>165</v>
      </c>
      <c r="D850" s="4" t="s">
        <v>576</v>
      </c>
      <c r="E850" s="4" t="s">
        <v>578</v>
      </c>
      <c r="F850" s="4" t="s">
        <v>124</v>
      </c>
      <c r="G850" s="8">
        <v>4064296</v>
      </c>
      <c r="I850" s="16" cm="1">
        <f t="array" ref="I850">_xlfn.IFS(B850=2015,G850/$H$1957,B850=2016,G850/$H$1958,B850=2017,G850/$H$1959,B850=2018,G850/$H$1960,B850=2019,G850/$H$1961,B850=2020,G850/$H$1962,B850=2021,G850/$H$1963,B850=2022,G850/$H$1964,B850=2023,G850/$H$1965)</f>
        <v>5.4226357757727398E-3</v>
      </c>
      <c r="J850" s="10" cm="1">
        <f t="array" ref="J850">_xlfn.IFS(B850=2015,I850*$G$2,B850=2016,I850*$G$3,B850=2017,I850*$G$4,B850=2018,I850*$G$5,B850=2019,I850*$G$6,B850=2020,I850*$G$7,B850=2021,I850*$G$8,B850=2022,I850*$G$9,B850=2023,I850*$G$10)</f>
        <v>803019.62457828235</v>
      </c>
      <c r="K850" s="8">
        <f t="shared" si="13"/>
        <v>4867315.6245782822</v>
      </c>
      <c r="L850">
        <f>IFERROR(VLOOKUP(F850,'LEAID Match'!$A$2:$B$240,2,FALSE),"")</f>
        <v>0</v>
      </c>
    </row>
    <row r="851" spans="1:12" x14ac:dyDescent="0.2">
      <c r="A851">
        <v>0</v>
      </c>
      <c r="B851">
        <v>2018</v>
      </c>
      <c r="C851" s="4" t="s">
        <v>165</v>
      </c>
      <c r="D851" s="4" t="s">
        <v>576</v>
      </c>
      <c r="E851" s="4" t="s">
        <v>578</v>
      </c>
      <c r="F851" s="4" t="s">
        <v>124</v>
      </c>
      <c r="G851" s="8">
        <v>4460563</v>
      </c>
      <c r="I851" s="16" cm="1">
        <f t="array" ref="I851">_xlfn.IFS(B851=2015,G851/$H$1957,B851=2016,G851/$H$1958,B851=2017,G851/$H$1959,B851=2018,G851/$H$1960,B851=2019,G851/$H$1961,B851=2020,G851/$H$1962,B851=2021,G851/$H$1963,B851=2022,G851/$H$1964,B851=2023,G851/$H$1965)</f>
        <v>5.7394530133155434E-3</v>
      </c>
      <c r="J851" s="10" cm="1">
        <f t="array" ref="J851">_xlfn.IFS(B851=2015,I851*$G$2,B851=2016,I851*$G$3,B851=2017,I851*$G$4,B851=2018,I851*$G$5,B851=2019,I851*$G$6,B851=2020,I851*$G$7,B851=2021,I851*$G$8,B851=2022,I851*$G$9,B851=2023,I851*$G$10)</f>
        <v>863924.98917787988</v>
      </c>
      <c r="K851" s="8">
        <f t="shared" si="13"/>
        <v>5324487.9891778799</v>
      </c>
      <c r="L851">
        <f>IFERROR(VLOOKUP(F851,'LEAID Match'!$A$2:$B$240,2,FALSE),"")</f>
        <v>0</v>
      </c>
    </row>
    <row r="852" spans="1:12" x14ac:dyDescent="0.2">
      <c r="A852">
        <v>0</v>
      </c>
      <c r="B852">
        <v>2019</v>
      </c>
      <c r="C852" s="4" t="s">
        <v>165</v>
      </c>
      <c r="D852" s="4" t="s">
        <v>576</v>
      </c>
      <c r="E852" s="4" t="s">
        <v>578</v>
      </c>
      <c r="F852" s="4" t="s">
        <v>124</v>
      </c>
      <c r="G852" s="8">
        <v>4624144</v>
      </c>
      <c r="I852" s="16" cm="1">
        <f t="array" ref="I852">_xlfn.IFS(B852=2015,G852/$H$1957,B852=2016,G852/$H$1958,B852=2017,G852/$H$1959,B852=2018,G852/$H$1960,B852=2019,G852/$H$1961,B852=2020,G852/$H$1962,B852=2021,G852/$H$1963,B852=2022,G852/$H$1964,B852=2023,G852/$H$1965)</f>
        <v>5.7468706778018063E-3</v>
      </c>
      <c r="J852" s="10" cm="1">
        <f t="array" ref="J852">_xlfn.IFS(B852=2015,I852*$G$2,B852=2016,I852*$G$3,B852=2017,I852*$G$4,B852=2018,I852*$G$5,B852=2019,I852*$G$6,B852=2020,I852*$G$7,B852=2021,I852*$G$8,B852=2022,I852*$G$9,B852=2023,I852*$G$10)</f>
        <v>908167.1805898865</v>
      </c>
      <c r="K852" s="8">
        <f t="shared" si="13"/>
        <v>5532311.1805898864</v>
      </c>
      <c r="L852">
        <f>IFERROR(VLOOKUP(F852,'LEAID Match'!$A$2:$B$240,2,FALSE),"")</f>
        <v>0</v>
      </c>
    </row>
    <row r="853" spans="1:12" x14ac:dyDescent="0.2">
      <c r="A853">
        <v>0</v>
      </c>
      <c r="B853">
        <v>2020</v>
      </c>
      <c r="C853" s="4" t="s">
        <v>165</v>
      </c>
      <c r="D853" s="4" t="s">
        <v>576</v>
      </c>
      <c r="E853" s="4" t="s">
        <v>578</v>
      </c>
      <c r="F853" s="4" t="s">
        <v>124</v>
      </c>
      <c r="G853" s="8">
        <v>5096263</v>
      </c>
      <c r="I853" s="16" cm="1">
        <f t="array" ref="I853">_xlfn.IFS(B853=2015,G853/$H$1957,B853=2016,G853/$H$1958,B853=2017,G853/$H$1959,B853=2018,G853/$H$1960,B853=2019,G853/$H$1961,B853=2020,G853/$H$1962,B853=2021,G853/$H$1963,B853=2022,G853/$H$1964,B853=2023,G853/$H$1965)</f>
        <v>5.8615350584881485E-3</v>
      </c>
      <c r="J853" s="10" cm="1">
        <f t="array" ref="J853">_xlfn.IFS(B853=2015,I853*$G$2,B853=2016,I853*$G$3,B853=2017,I853*$G$4,B853=2018,I853*$G$5,B853=2019,I853*$G$6,B853=2020,I853*$G$7,B853=2021,I853*$G$8,B853=2022,I853*$G$9,B853=2023,I853*$G$10)</f>
        <v>1012192.6987172512</v>
      </c>
      <c r="K853" s="8">
        <f t="shared" si="13"/>
        <v>6108455.6987172514</v>
      </c>
      <c r="L853">
        <f>IFERROR(VLOOKUP(F853,'LEAID Match'!$A$2:$B$240,2,FALSE),"")</f>
        <v>0</v>
      </c>
    </row>
    <row r="854" spans="1:12" x14ac:dyDescent="0.2">
      <c r="A854">
        <v>0</v>
      </c>
      <c r="B854">
        <v>2021</v>
      </c>
      <c r="C854" s="4" t="s">
        <v>165</v>
      </c>
      <c r="D854" s="4" t="s">
        <v>576</v>
      </c>
      <c r="E854" s="4" t="s">
        <v>578</v>
      </c>
      <c r="F854" s="4" t="s">
        <v>124</v>
      </c>
      <c r="G854" s="8">
        <v>5138560</v>
      </c>
      <c r="I854" s="16" cm="1">
        <f t="array" ref="I854">_xlfn.IFS(B854=2015,G854/$H$1957,B854=2016,G854/$H$1958,B854=2017,G854/$H$1959,B854=2018,G854/$H$1960,B854=2019,G854/$H$1961,B854=2020,G854/$H$1962,B854=2021,G854/$H$1963,B854=2022,G854/$H$1964,B854=2023,G854/$H$1965)</f>
        <v>5.872320116267404E-3</v>
      </c>
      <c r="J854" s="10" cm="1">
        <f t="array" ref="J854">_xlfn.IFS(B854=2015,I854*$G$2,B854=2016,I854*$G$3,B854=2017,I854*$G$4,B854=2018,I854*$G$5,B854=2019,I854*$G$6,B854=2020,I854*$G$7,B854=2021,I854*$G$8,B854=2022,I854*$G$9,B854=2023,I854*$G$10)</f>
        <v>1007788.998332964</v>
      </c>
      <c r="K854" s="8">
        <f t="shared" si="13"/>
        <v>6146348.9983329643</v>
      </c>
      <c r="L854">
        <f>IFERROR(VLOOKUP(F854,'LEAID Match'!$A$2:$B$240,2,FALSE),"")</f>
        <v>0</v>
      </c>
    </row>
    <row r="855" spans="1:12" x14ac:dyDescent="0.2">
      <c r="A855">
        <v>0</v>
      </c>
      <c r="B855">
        <v>2022</v>
      </c>
      <c r="C855" s="4" t="s">
        <v>165</v>
      </c>
      <c r="D855" s="4" t="s">
        <v>576</v>
      </c>
      <c r="E855" s="4" t="s">
        <v>578</v>
      </c>
      <c r="F855" s="4" t="s">
        <v>124</v>
      </c>
      <c r="G855" s="8">
        <v>5325379</v>
      </c>
      <c r="I855" s="16" cm="1">
        <f t="array" ref="I855">_xlfn.IFS(B855=2015,G855/$H$1957,B855=2016,G855/$H$1958,B855=2017,G855/$H$1959,B855=2018,G855/$H$1960,B855=2019,G855/$H$1961,B855=2020,G855/$H$1962,B855=2021,G855/$H$1963,B855=2022,G855/$H$1964,B855=2023,G855/$H$1965)</f>
        <v>5.7237296398035768E-3</v>
      </c>
      <c r="J855" s="10" cm="1">
        <f t="array" ref="J855">_xlfn.IFS(B855=2015,I855*$G$2,B855=2016,I855*$G$3,B855=2017,I855*$G$4,B855=2018,I855*$G$5,B855=2019,I855*$G$6,B855=2020,I855*$G$7,B855=2021,I855*$G$8,B855=2022,I855*$G$9,B855=2023,I855*$G$10)</f>
        <v>970662.40566662583</v>
      </c>
      <c r="K855" s="8">
        <f t="shared" si="13"/>
        <v>6296041.4056666261</v>
      </c>
      <c r="L855">
        <f>IFERROR(VLOOKUP(F855,'LEAID Match'!$A$2:$B$240,2,FALSE),"")</f>
        <v>0</v>
      </c>
    </row>
    <row r="856" spans="1:12" x14ac:dyDescent="0.2">
      <c r="A856">
        <v>0</v>
      </c>
      <c r="B856">
        <v>2023</v>
      </c>
      <c r="C856" s="4" t="s">
        <v>165</v>
      </c>
      <c r="D856" s="4" t="s">
        <v>576</v>
      </c>
      <c r="E856" s="4" t="s">
        <v>578</v>
      </c>
      <c r="F856" s="4" t="s">
        <v>124</v>
      </c>
      <c r="G856" s="8">
        <v>6171347</v>
      </c>
      <c r="I856" s="16" cm="1">
        <f t="array" ref="I856">_xlfn.IFS(B856=2015,G856/$H$1957,B856=2016,G856/$H$1958,B856=2017,G856/$H$1959,B856=2018,G856/$H$1960,B856=2019,G856/$H$1961,B856=2020,G856/$H$1962,B856=2021,G856/$H$1963,B856=2022,G856/$H$1964,B856=2023,G856/$H$1965)</f>
        <v>6.2484245978372361E-3</v>
      </c>
      <c r="J856" s="10" cm="1">
        <f t="array" ref="J856">_xlfn.IFS(B856=2015,I856*$G$2,B856=2016,I856*$G$3,B856=2017,I856*$G$4,B856=2018,I856*$G$5,B856=2019,I856*$G$6,B856=2020,I856*$G$7,B856=2021,I856*$G$8,B856=2022,I856*$G$9,B856=2023,I856*$G$10)</f>
        <v>1062140.4485108093</v>
      </c>
      <c r="K856" s="8">
        <f t="shared" si="13"/>
        <v>7233487.4485108089</v>
      </c>
      <c r="L856">
        <f>IFERROR(VLOOKUP(F856,'LEAID Match'!$A$2:$B$240,2,FALSE),"")</f>
        <v>0</v>
      </c>
    </row>
    <row r="857" spans="1:12" x14ac:dyDescent="0.2">
      <c r="A857">
        <v>0</v>
      </c>
      <c r="B857">
        <v>2015</v>
      </c>
      <c r="C857" s="4" t="s">
        <v>207</v>
      </c>
      <c r="D857" s="4" t="s">
        <v>576</v>
      </c>
      <c r="E857" s="4" t="s">
        <v>578</v>
      </c>
      <c r="F857" s="4" t="s">
        <v>166</v>
      </c>
      <c r="G857" s="8">
        <v>5466055</v>
      </c>
      <c r="I857" s="16" cm="1">
        <f t="array" ref="I857">_xlfn.IFS(B857=2015,G857/$H$1957,B857=2016,G857/$H$1958,B857=2017,G857/$H$1959,B857=2018,G857/$H$1960,B857=2019,G857/$H$1961,B857=2020,G857/$H$1962,B857=2021,G857/$H$1963,B857=2022,G857/$H$1964,B857=2023,G857/$H$1965)</f>
        <v>4.2212073806940191E-3</v>
      </c>
      <c r="J857" s="10" cm="1">
        <f t="array" ref="J857">_xlfn.IFS(B857=2015,I857*$G$2,B857=2016,I857*$G$3,B857=2017,I857*$G$4,B857=2018,I857*$G$5,B857=2019,I857*$G$6,B857=2020,I857*$G$7,B857=2021,I857*$G$8,B857=2022,I857*$G$9,B857=2023,I857*$G$10)</f>
        <v>1049571.8727447663</v>
      </c>
      <c r="K857" s="8">
        <f t="shared" si="13"/>
        <v>6515626.8727447661</v>
      </c>
      <c r="L857">
        <f>IFERROR(VLOOKUP(F857,'LEAID Match'!$A$2:$B$240,2,FALSE),"")</f>
        <v>0</v>
      </c>
    </row>
    <row r="858" spans="1:12" x14ac:dyDescent="0.2">
      <c r="A858">
        <v>0</v>
      </c>
      <c r="B858">
        <v>2016</v>
      </c>
      <c r="C858" s="4" t="s">
        <v>207</v>
      </c>
      <c r="D858" s="4" t="s">
        <v>576</v>
      </c>
      <c r="E858" s="4" t="s">
        <v>578</v>
      </c>
      <c r="F858" s="4" t="s">
        <v>166</v>
      </c>
      <c r="G858" s="8">
        <v>6108696</v>
      </c>
      <c r="I858" s="16" cm="1">
        <f t="array" ref="I858">_xlfn.IFS(B858=2015,G858/$H$1957,B858=2016,G858/$H$1958,B858=2017,G858/$H$1959,B858=2018,G858/$H$1960,B858=2019,G858/$H$1961,B858=2020,G858/$H$1962,B858=2021,G858/$H$1963,B858=2022,G858/$H$1964,B858=2023,G858/$H$1965)</f>
        <v>4.2883019804927066E-3</v>
      </c>
      <c r="J858" s="10" cm="1">
        <f t="array" ref="J858">_xlfn.IFS(B858=2015,I858*$G$2,B858=2016,I858*$G$3,B858=2017,I858*$G$4,B858=2018,I858*$G$5,B858=2019,I858*$G$6,B858=2020,I858*$G$7,B858=2021,I858*$G$8,B858=2022,I858*$G$9,B858=2023,I858*$G$10)</f>
        <v>1163000.705079722</v>
      </c>
      <c r="K858" s="8">
        <f t="shared" si="13"/>
        <v>7271696.7050797222</v>
      </c>
      <c r="L858">
        <f>IFERROR(VLOOKUP(F858,'LEAID Match'!$A$2:$B$240,2,FALSE),"")</f>
        <v>0</v>
      </c>
    </row>
    <row r="859" spans="1:12" x14ac:dyDescent="0.2">
      <c r="A859">
        <v>0</v>
      </c>
      <c r="B859">
        <v>2017</v>
      </c>
      <c r="C859" s="4" t="s">
        <v>207</v>
      </c>
      <c r="D859" s="4" t="s">
        <v>576</v>
      </c>
      <c r="E859" s="4" t="s">
        <v>578</v>
      </c>
      <c r="F859" s="4" t="s">
        <v>166</v>
      </c>
      <c r="G859" s="8">
        <v>3215873</v>
      </c>
      <c r="I859" s="16" cm="1">
        <f t="array" ref="I859">_xlfn.IFS(B859=2015,G859/$H$1957,B859=2016,G859/$H$1958,B859=2017,G859/$H$1959,B859=2018,G859/$H$1960,B859=2019,G859/$H$1961,B859=2020,G859/$H$1962,B859=2021,G859/$H$1963,B859=2022,G859/$H$1964,B859=2023,G859/$H$1965)</f>
        <v>4.290658943182684E-3</v>
      </c>
      <c r="J859" s="10" cm="1">
        <f t="array" ref="J859">_xlfn.IFS(B859=2015,I859*$G$2,B859=2016,I859*$G$3,B859=2017,I859*$G$4,B859=2018,I859*$G$5,B859=2019,I859*$G$6,B859=2020,I859*$G$7,B859=2021,I859*$G$8,B859=2022,I859*$G$9,B859=2023,I859*$G$10)</f>
        <v>635389.03887695062</v>
      </c>
      <c r="K859" s="8">
        <f t="shared" si="13"/>
        <v>3851262.0388769507</v>
      </c>
      <c r="L859">
        <f>IFERROR(VLOOKUP(F859,'LEAID Match'!$A$2:$B$240,2,FALSE),"")</f>
        <v>0</v>
      </c>
    </row>
    <row r="860" spans="1:12" x14ac:dyDescent="0.2">
      <c r="A860">
        <v>0</v>
      </c>
      <c r="B860">
        <v>2018</v>
      </c>
      <c r="C860" s="4" t="s">
        <v>207</v>
      </c>
      <c r="D860" s="4" t="s">
        <v>576</v>
      </c>
      <c r="E860" s="4" t="s">
        <v>578</v>
      </c>
      <c r="F860" s="4" t="s">
        <v>166</v>
      </c>
      <c r="G860" s="8">
        <v>3124194</v>
      </c>
      <c r="I860" s="16" cm="1">
        <f t="array" ref="I860">_xlfn.IFS(B860=2015,G860/$H$1957,B860=2016,G860/$H$1958,B860=2017,G860/$H$1959,B860=2018,G860/$H$1960,B860=2019,G860/$H$1961,B860=2020,G860/$H$1962,B860=2021,G860/$H$1963,B860=2022,G860/$H$1964,B860=2023,G860/$H$1965)</f>
        <v>4.0199330594551273E-3</v>
      </c>
      <c r="J860" s="10" cm="1">
        <f t="array" ref="J860">_xlfn.IFS(B860=2015,I860*$G$2,B860=2016,I860*$G$3,B860=2017,I860*$G$4,B860=2018,I860*$G$5,B860=2019,I860*$G$6,B860=2020,I860*$G$7,B860=2021,I860*$G$8,B860=2022,I860*$G$9,B860=2023,I860*$G$10)</f>
        <v>605096.0983265111</v>
      </c>
      <c r="K860" s="8">
        <f t="shared" si="13"/>
        <v>3729290.0983265112</v>
      </c>
      <c r="L860">
        <f>IFERROR(VLOOKUP(F860,'LEAID Match'!$A$2:$B$240,2,FALSE),"")</f>
        <v>0</v>
      </c>
    </row>
    <row r="861" spans="1:12" x14ac:dyDescent="0.2">
      <c r="A861">
        <v>0</v>
      </c>
      <c r="B861">
        <v>2019</v>
      </c>
      <c r="C861" s="4" t="s">
        <v>207</v>
      </c>
      <c r="D861" s="4" t="s">
        <v>576</v>
      </c>
      <c r="E861" s="4" t="s">
        <v>578</v>
      </c>
      <c r="F861" s="4" t="s">
        <v>166</v>
      </c>
      <c r="G861" s="8">
        <v>3129625</v>
      </c>
      <c r="I861" s="16" cm="1">
        <f t="array" ref="I861">_xlfn.IFS(B861=2015,G861/$H$1957,B861=2016,G861/$H$1958,B861=2017,G861/$H$1959,B861=2018,G861/$H$1960,B861=2019,G861/$H$1961,B861=2020,G861/$H$1962,B861=2021,G861/$H$1963,B861=2022,G861/$H$1964,B861=2023,G861/$H$1965)</f>
        <v>3.8894874694679663E-3</v>
      </c>
      <c r="J861" s="10" cm="1">
        <f t="array" ref="J861">_xlfn.IFS(B861=2015,I861*$G$2,B861=2016,I861*$G$3,B861=2017,I861*$G$4,B861=2018,I861*$G$5,B861=2019,I861*$G$6,B861=2020,I861*$G$7,B861=2021,I861*$G$8,B861=2022,I861*$G$9,B861=2023,I861*$G$10)</f>
        <v>614648.40034255502</v>
      </c>
      <c r="K861" s="8">
        <f t="shared" si="13"/>
        <v>3744273.4003425548</v>
      </c>
      <c r="L861">
        <f>IFERROR(VLOOKUP(F861,'LEAID Match'!$A$2:$B$240,2,FALSE),"")</f>
        <v>0</v>
      </c>
    </row>
    <row r="862" spans="1:12" x14ac:dyDescent="0.2">
      <c r="A862">
        <v>0</v>
      </c>
      <c r="B862">
        <v>2020</v>
      </c>
      <c r="C862" s="4" t="s">
        <v>207</v>
      </c>
      <c r="D862" s="4" t="s">
        <v>576</v>
      </c>
      <c r="E862" s="4" t="s">
        <v>578</v>
      </c>
      <c r="F862" s="4" t="s">
        <v>166</v>
      </c>
      <c r="G862" s="8">
        <v>3382436</v>
      </c>
      <c r="I862" s="16" cm="1">
        <f t="array" ref="I862">_xlfn.IFS(B862=2015,G862/$H$1957,B862=2016,G862/$H$1958,B862=2017,G862/$H$1959,B862=2018,G862/$H$1960,B862=2019,G862/$H$1961,B862=2020,G862/$H$1962,B862=2021,G862/$H$1963,B862=2022,G862/$H$1964,B862=2023,G862/$H$1965)</f>
        <v>3.8903540098092306E-3</v>
      </c>
      <c r="J862" s="10" cm="1">
        <f t="array" ref="J862">_xlfn.IFS(B862=2015,I862*$G$2,B862=2016,I862*$G$3,B862=2017,I862*$G$4,B862=2018,I862*$G$5,B862=2019,I862*$G$6,B862=2020,I862*$G$7,B862=2021,I862*$G$8,B862=2022,I862*$G$9,B862=2023,I862*$G$10)</f>
        <v>671801.47945237218</v>
      </c>
      <c r="K862" s="8">
        <f t="shared" si="13"/>
        <v>4054237.4794523721</v>
      </c>
      <c r="L862">
        <f>IFERROR(VLOOKUP(F862,'LEAID Match'!$A$2:$B$240,2,FALSE),"")</f>
        <v>0</v>
      </c>
    </row>
    <row r="863" spans="1:12" x14ac:dyDescent="0.2">
      <c r="A863">
        <v>0</v>
      </c>
      <c r="B863">
        <v>2021</v>
      </c>
      <c r="C863" s="4" t="s">
        <v>207</v>
      </c>
      <c r="D863" s="4" t="s">
        <v>576</v>
      </c>
      <c r="E863" s="4" t="s">
        <v>578</v>
      </c>
      <c r="F863" s="4" t="s">
        <v>166</v>
      </c>
      <c r="G863" s="8">
        <v>3526082</v>
      </c>
      <c r="I863" s="16" cm="1">
        <f t="array" ref="I863">_xlfn.IFS(B863=2015,G863/$H$1957,B863=2016,G863/$H$1958,B863=2017,G863/$H$1959,B863=2018,G863/$H$1960,B863=2019,G863/$H$1961,B863=2020,G863/$H$1962,B863=2021,G863/$H$1963,B863=2022,G863/$H$1964,B863=2023,G863/$H$1965)</f>
        <v>4.0295884956502211E-3</v>
      </c>
      <c r="J863" s="10" cm="1">
        <f t="array" ref="J863">_xlfn.IFS(B863=2015,I863*$G$2,B863=2016,I863*$G$3,B863=2017,I863*$G$4,B863=2018,I863*$G$5,B863=2019,I863*$G$6,B863=2020,I863*$G$7,B863=2021,I863*$G$8,B863=2022,I863*$G$9,B863=2023,I863*$G$10)</f>
        <v>691545.22800549073</v>
      </c>
      <c r="K863" s="8">
        <f t="shared" si="13"/>
        <v>4217627.2280054912</v>
      </c>
      <c r="L863">
        <f>IFERROR(VLOOKUP(F863,'LEAID Match'!$A$2:$B$240,2,FALSE),"")</f>
        <v>0</v>
      </c>
    </row>
    <row r="864" spans="1:12" x14ac:dyDescent="0.2">
      <c r="A864">
        <v>0</v>
      </c>
      <c r="B864">
        <v>2022</v>
      </c>
      <c r="C864" s="4" t="s">
        <v>207</v>
      </c>
      <c r="D864" s="4" t="s">
        <v>576</v>
      </c>
      <c r="E864" s="4" t="s">
        <v>578</v>
      </c>
      <c r="F864" s="4" t="s">
        <v>166</v>
      </c>
      <c r="G864" s="8">
        <v>3669578</v>
      </c>
      <c r="I864" s="16" cm="1">
        <f t="array" ref="I864">_xlfn.IFS(B864=2015,G864/$H$1957,B864=2016,G864/$H$1958,B864=2017,G864/$H$1959,B864=2018,G864/$H$1960,B864=2019,G864/$H$1961,B864=2020,G864/$H$1962,B864=2021,G864/$H$1963,B864=2022,G864/$H$1964,B864=2023,G864/$H$1965)</f>
        <v>3.9440709035302706E-3</v>
      </c>
      <c r="J864" s="10" cm="1">
        <f t="array" ref="J864">_xlfn.IFS(B864=2015,I864*$G$2,B864=2016,I864*$G$3,B864=2017,I864*$G$4,B864=2018,I864*$G$5,B864=2019,I864*$G$6,B864=2020,I864*$G$7,B864=2021,I864*$G$8,B864=2022,I864*$G$9,B864=2023,I864*$G$10)</f>
        <v>668857.82387719734</v>
      </c>
      <c r="K864" s="8">
        <f t="shared" si="13"/>
        <v>4338435.8238771977</v>
      </c>
      <c r="L864">
        <f>IFERROR(VLOOKUP(F864,'LEAID Match'!$A$2:$B$240,2,FALSE),"")</f>
        <v>0</v>
      </c>
    </row>
    <row r="865" spans="1:12" x14ac:dyDescent="0.2">
      <c r="A865">
        <v>0</v>
      </c>
      <c r="B865">
        <v>2023</v>
      </c>
      <c r="C865" s="4" t="s">
        <v>207</v>
      </c>
      <c r="D865" s="4" t="s">
        <v>576</v>
      </c>
      <c r="E865" s="4" t="s">
        <v>578</v>
      </c>
      <c r="F865" s="4" t="s">
        <v>166</v>
      </c>
      <c r="G865" s="8">
        <v>3854753</v>
      </c>
      <c r="I865" s="16" cm="1">
        <f t="array" ref="I865">_xlfn.IFS(B865=2015,G865/$H$1957,B865=2016,G865/$H$1958,B865=2017,G865/$H$1959,B865=2018,G865/$H$1960,B865=2019,G865/$H$1961,B865=2020,G865/$H$1962,B865=2021,G865/$H$1963,B865=2022,G865/$H$1964,B865=2023,G865/$H$1965)</f>
        <v>3.9028972870569227E-3</v>
      </c>
      <c r="J865" s="10" cm="1">
        <f t="array" ref="J865">_xlfn.IFS(B865=2015,I865*$G$2,B865=2016,I865*$G$3,B865=2017,I865*$G$4,B865=2018,I865*$G$5,B865=2019,I865*$G$6,B865=2020,I865*$G$7,B865=2021,I865*$G$8,B865=2022,I865*$G$9,B865=2023,I865*$G$10)</f>
        <v>663435.24036460556</v>
      </c>
      <c r="K865" s="8">
        <f t="shared" si="13"/>
        <v>4518188.2403646056</v>
      </c>
      <c r="L865">
        <f>IFERROR(VLOOKUP(F865,'LEAID Match'!$A$2:$B$240,2,FALSE),"")</f>
        <v>0</v>
      </c>
    </row>
    <row r="866" spans="1:12" x14ac:dyDescent="0.2">
      <c r="A866">
        <v>0</v>
      </c>
      <c r="B866">
        <v>2015</v>
      </c>
      <c r="C866" s="4" t="s">
        <v>208</v>
      </c>
      <c r="D866" s="4" t="s">
        <v>576</v>
      </c>
      <c r="E866" s="4" t="s">
        <v>578</v>
      </c>
      <c r="F866" s="4" t="s">
        <v>167</v>
      </c>
      <c r="G866" s="8">
        <v>23106</v>
      </c>
      <c r="I866" s="16" cm="1">
        <f t="array" ref="I866">_xlfn.IFS(B866=2015,G866/$H$1957,B866=2016,G866/$H$1958,B866=2017,G866/$H$1959,B866=2018,G866/$H$1960,B866=2019,G866/$H$1961,B866=2020,G866/$H$1962,B866=2021,G866/$H$1963,B866=2022,G866/$H$1964,B866=2023,G866/$H$1965)</f>
        <v>1.7843804670519417E-5</v>
      </c>
      <c r="J866" s="10" cm="1">
        <f t="array" ref="J866">_xlfn.IFS(B866=2015,I866*$G$2,B866=2016,I866*$G$3,B866=2017,I866*$G$4,B866=2018,I866*$G$5,B866=2019,I866*$G$6,B866=2020,I866*$G$7,B866=2021,I866*$G$8,B866=2022,I866*$G$9,B866=2023,I866*$G$10)</f>
        <v>4436.7295410749748</v>
      </c>
      <c r="K866" s="8">
        <f t="shared" si="13"/>
        <v>27542.729541074976</v>
      </c>
      <c r="L866">
        <f>IFERROR(VLOOKUP(F866,'LEAID Match'!$A$2:$B$240,2,FALSE),"")</f>
        <v>0</v>
      </c>
    </row>
    <row r="867" spans="1:12" x14ac:dyDescent="0.2">
      <c r="A867">
        <v>0</v>
      </c>
      <c r="B867">
        <v>2016</v>
      </c>
      <c r="C867" s="4" t="s">
        <v>208</v>
      </c>
      <c r="D867" s="4" t="s">
        <v>576</v>
      </c>
      <c r="E867" s="4" t="s">
        <v>578</v>
      </c>
      <c r="F867" s="4" t="s">
        <v>167</v>
      </c>
      <c r="G867" s="8">
        <v>26069</v>
      </c>
      <c r="I867" s="16" cm="1">
        <f t="array" ref="I867">_xlfn.IFS(B867=2015,G867/$H$1957,B867=2016,G867/$H$1958,B867=2017,G867/$H$1959,B867=2018,G867/$H$1960,B867=2019,G867/$H$1961,B867=2020,G867/$H$1962,B867=2021,G867/$H$1963,B867=2022,G867/$H$1964,B867=2023,G867/$H$1965)</f>
        <v>1.8300426855332853E-5</v>
      </c>
      <c r="J867" s="10" cm="1">
        <f t="array" ref="J867">_xlfn.IFS(B867=2015,I867*$G$2,B867=2016,I867*$G$3,B867=2017,I867*$G$4,B867=2018,I867*$G$5,B867=2019,I867*$G$6,B867=2020,I867*$G$7,B867=2021,I867*$G$8,B867=2022,I867*$G$9,B867=2023,I867*$G$10)</f>
        <v>4963.1321284809846</v>
      </c>
      <c r="K867" s="8">
        <f t="shared" si="13"/>
        <v>31032.132128480986</v>
      </c>
      <c r="L867">
        <f>IFERROR(VLOOKUP(F867,'LEAID Match'!$A$2:$B$240,2,FALSE),"")</f>
        <v>0</v>
      </c>
    </row>
    <row r="868" spans="1:12" x14ac:dyDescent="0.2">
      <c r="A868">
        <v>0</v>
      </c>
      <c r="B868">
        <v>2017</v>
      </c>
      <c r="C868" s="4" t="s">
        <v>208</v>
      </c>
      <c r="D868" s="4" t="s">
        <v>576</v>
      </c>
      <c r="E868" s="4" t="s">
        <v>578</v>
      </c>
      <c r="F868" s="4" t="s">
        <v>167</v>
      </c>
      <c r="G868" s="8">
        <v>13549</v>
      </c>
      <c r="I868" s="16" cm="1">
        <f t="array" ref="I868">_xlfn.IFS(B868=2015,G868/$H$1957,B868=2016,G868/$H$1958,B868=2017,G868/$H$1959,B868=2018,G868/$H$1960,B868=2019,G868/$H$1961,B868=2020,G868/$H$1962,B868=2021,G868/$H$1963,B868=2022,G868/$H$1964,B868=2023,G868/$H$1965)</f>
        <v>1.8077249325822937E-5</v>
      </c>
      <c r="J868" s="10" cm="1">
        <f t="array" ref="J868">_xlfn.IFS(B868=2015,I868*$G$2,B868=2016,I868*$G$3,B868=2017,I868*$G$4,B868=2018,I868*$G$5,B868=2019,I868*$G$6,B868=2020,I868*$G$7,B868=2021,I868*$G$8,B868=2022,I868*$G$9,B868=2023,I868*$G$10)</f>
        <v>2676.9981550091697</v>
      </c>
      <c r="K868" s="8">
        <f t="shared" si="13"/>
        <v>16225.998155009169</v>
      </c>
      <c r="L868">
        <f>IFERROR(VLOOKUP(F868,'LEAID Match'!$A$2:$B$240,2,FALSE),"")</f>
        <v>0</v>
      </c>
    </row>
    <row r="869" spans="1:12" x14ac:dyDescent="0.2">
      <c r="A869">
        <v>0</v>
      </c>
      <c r="B869">
        <v>2018</v>
      </c>
      <c r="C869" s="4" t="s">
        <v>208</v>
      </c>
      <c r="D869" s="4" t="s">
        <v>576</v>
      </c>
      <c r="E869" s="4" t="s">
        <v>578</v>
      </c>
      <c r="F869" s="4" t="s">
        <v>167</v>
      </c>
      <c r="G869" s="8">
        <v>17812</v>
      </c>
      <c r="I869" s="16" cm="1">
        <f t="array" ref="I869">_xlfn.IFS(B869=2015,G869/$H$1957,B869=2016,G869/$H$1958,B869=2017,G869/$H$1959,B869=2018,G869/$H$1960,B869=2019,G869/$H$1961,B869=2020,G869/$H$1962,B869=2021,G869/$H$1963,B869=2022,G869/$H$1964,B869=2023,G869/$H$1965)</f>
        <v>2.2918886488807908E-5</v>
      </c>
      <c r="J869" s="10" cm="1">
        <f t="array" ref="J869">_xlfn.IFS(B869=2015,I869*$G$2,B869=2016,I869*$G$3,B869=2017,I869*$G$4,B869=2018,I869*$G$5,B869=2019,I869*$G$6,B869=2020,I869*$G$7,B869=2021,I869*$G$8,B869=2022,I869*$G$9,B869=2023,I869*$G$10)</f>
        <v>3449.8407280059482</v>
      </c>
      <c r="K869" s="8">
        <f t="shared" si="13"/>
        <v>21261.840728005947</v>
      </c>
      <c r="L869">
        <f>IFERROR(VLOOKUP(F869,'LEAID Match'!$A$2:$B$240,2,FALSE),"")</f>
        <v>0</v>
      </c>
    </row>
    <row r="870" spans="1:12" x14ac:dyDescent="0.2">
      <c r="A870">
        <v>0</v>
      </c>
      <c r="B870">
        <v>2019</v>
      </c>
      <c r="C870" s="4" t="s">
        <v>208</v>
      </c>
      <c r="D870" s="4" t="s">
        <v>576</v>
      </c>
      <c r="E870" s="4" t="s">
        <v>578</v>
      </c>
      <c r="F870" s="4" t="s">
        <v>167</v>
      </c>
      <c r="G870" s="8">
        <v>14512</v>
      </c>
      <c r="I870" s="16" cm="1">
        <f t="array" ref="I870">_xlfn.IFS(B870=2015,G870/$H$1957,B870=2016,G870/$H$1958,B870=2017,G870/$H$1959,B870=2018,G870/$H$1960,B870=2019,G870/$H$1961,B870=2020,G870/$H$1962,B870=2021,G870/$H$1963,B870=2022,G870/$H$1964,B870=2023,G870/$H$1965)</f>
        <v>1.8035465002011142E-5</v>
      </c>
      <c r="J870" s="10" cm="1">
        <f t="array" ref="J870">_xlfn.IFS(B870=2015,I870*$G$2,B870=2016,I870*$G$3,B870=2017,I870*$G$4,B870=2018,I870*$G$5,B870=2019,I870*$G$6,B870=2020,I870*$G$7,B870=2021,I870*$G$8,B870=2022,I870*$G$9,B870=2023,I870*$G$10)</f>
        <v>2850.1106636645468</v>
      </c>
      <c r="K870" s="8">
        <f t="shared" si="13"/>
        <v>17362.110663664545</v>
      </c>
      <c r="L870">
        <f>IFERROR(VLOOKUP(F870,'LEAID Match'!$A$2:$B$240,2,FALSE),"")</f>
        <v>0</v>
      </c>
    </row>
    <row r="871" spans="1:12" x14ac:dyDescent="0.2">
      <c r="A871">
        <v>0</v>
      </c>
      <c r="B871">
        <v>2020</v>
      </c>
      <c r="C871" s="4" t="s">
        <v>208</v>
      </c>
      <c r="D871" s="4" t="s">
        <v>576</v>
      </c>
      <c r="E871" s="4" t="s">
        <v>578</v>
      </c>
      <c r="F871" s="4" t="s">
        <v>167</v>
      </c>
      <c r="G871" s="8">
        <v>13480</v>
      </c>
      <c r="I871" s="16" cm="1">
        <f t="array" ref="I871">_xlfn.IFS(B871=2015,G871/$H$1957,B871=2016,G871/$H$1958,B871=2017,G871/$H$1959,B871=2018,G871/$H$1960,B871=2019,G871/$H$1961,B871=2020,G871/$H$1962,B871=2021,G871/$H$1963,B871=2022,G871/$H$1964,B871=2023,G871/$H$1965)</f>
        <v>1.5504202312247277E-5</v>
      </c>
      <c r="J871" s="10" cm="1">
        <f t="array" ref="J871">_xlfn.IFS(B871=2015,I871*$G$2,B871=2016,I871*$G$3,B871=2017,I871*$G$4,B871=2018,I871*$G$5,B871=2019,I871*$G$6,B871=2020,I871*$G$7,B871=2021,I871*$G$8,B871=2022,I871*$G$9,B871=2023,I871*$G$10)</f>
        <v>2677.3260286426635</v>
      </c>
      <c r="K871" s="8">
        <f t="shared" si="13"/>
        <v>16157.326028642663</v>
      </c>
      <c r="L871">
        <f>IFERROR(VLOOKUP(F871,'LEAID Match'!$A$2:$B$240,2,FALSE),"")</f>
        <v>0</v>
      </c>
    </row>
    <row r="872" spans="1:12" x14ac:dyDescent="0.2">
      <c r="A872">
        <v>0</v>
      </c>
      <c r="B872">
        <v>2021</v>
      </c>
      <c r="C872" s="4" t="s">
        <v>208</v>
      </c>
      <c r="D872" s="4" t="s">
        <v>576</v>
      </c>
      <c r="E872" s="4" t="s">
        <v>578</v>
      </c>
      <c r="F872" s="4" t="s">
        <v>167</v>
      </c>
      <c r="G872" s="8">
        <v>13801</v>
      </c>
      <c r="I872" s="16" cm="1">
        <f t="array" ref="I872">_xlfn.IFS(B872=2015,G872/$H$1957,B872=2016,G872/$H$1958,B872=2017,G872/$H$1959,B872=2018,G872/$H$1960,B872=2019,G872/$H$1961,B872=2020,G872/$H$1962,B872=2021,G872/$H$1963,B872=2022,G872/$H$1964,B872=2023,G872/$H$1965)</f>
        <v>1.5771712293834543E-5</v>
      </c>
      <c r="J872" s="10" cm="1">
        <f t="array" ref="J872">_xlfn.IFS(B872=2015,I872*$G$2,B872=2016,I872*$G$3,B872=2017,I872*$G$4,B872=2018,I872*$G$5,B872=2019,I872*$G$6,B872=2020,I872*$G$7,B872=2021,I872*$G$8,B872=2022,I872*$G$9,B872=2023,I872*$G$10)</f>
        <v>2706.6913621701865</v>
      </c>
      <c r="K872" s="8">
        <f t="shared" si="13"/>
        <v>16507.691362170186</v>
      </c>
      <c r="L872">
        <f>IFERROR(VLOOKUP(F872,'LEAID Match'!$A$2:$B$240,2,FALSE),"")</f>
        <v>0</v>
      </c>
    </row>
    <row r="873" spans="1:12" x14ac:dyDescent="0.2">
      <c r="A873">
        <v>0</v>
      </c>
      <c r="B873">
        <v>2022</v>
      </c>
      <c r="C873" s="4" t="s">
        <v>208</v>
      </c>
      <c r="D873" s="4" t="s">
        <v>576</v>
      </c>
      <c r="E873" s="4" t="s">
        <v>578</v>
      </c>
      <c r="F873" s="4" t="s">
        <v>167</v>
      </c>
      <c r="G873" s="8">
        <v>14291</v>
      </c>
      <c r="I873" s="16" cm="1">
        <f t="array" ref="I873">_xlfn.IFS(B873=2015,G873/$H$1957,B873=2016,G873/$H$1958,B873=2017,G873/$H$1959,B873=2018,G873/$H$1960,B873=2019,G873/$H$1961,B873=2020,G873/$H$1962,B873=2021,G873/$H$1963,B873=2022,G873/$H$1964,B873=2023,G873/$H$1965)</f>
        <v>1.5359999782631981E-5</v>
      </c>
      <c r="J873" s="10" cm="1">
        <f t="array" ref="J873">_xlfn.IFS(B873=2015,I873*$G$2,B873=2016,I873*$G$3,B873=2017,I873*$G$4,B873=2018,I873*$G$5,B873=2019,I873*$G$6,B873=2020,I873*$G$7,B873=2021,I873*$G$8,B873=2022,I873*$G$9,B873=2023,I873*$G$10)</f>
        <v>2604.8355317775035</v>
      </c>
      <c r="K873" s="8">
        <f t="shared" si="13"/>
        <v>16895.835531777502</v>
      </c>
      <c r="L873">
        <f>IFERROR(VLOOKUP(F873,'LEAID Match'!$A$2:$B$240,2,FALSE),"")</f>
        <v>0</v>
      </c>
    </row>
    <row r="874" spans="1:12" x14ac:dyDescent="0.2">
      <c r="A874">
        <v>0</v>
      </c>
      <c r="B874">
        <v>2023</v>
      </c>
      <c r="C874" s="4" t="s">
        <v>208</v>
      </c>
      <c r="D874" s="4" t="s">
        <v>576</v>
      </c>
      <c r="E874" s="4" t="s">
        <v>578</v>
      </c>
      <c r="F874" s="4" t="s">
        <v>167</v>
      </c>
      <c r="G874" s="8">
        <v>15110</v>
      </c>
      <c r="I874" s="16" cm="1">
        <f t="array" ref="I874">_xlfn.IFS(B874=2015,G874/$H$1957,B874=2016,G874/$H$1958,B874=2017,G874/$H$1959,B874=2018,G874/$H$1960,B874=2019,G874/$H$1961,B874=2020,G874/$H$1962,B874=2021,G874/$H$1963,B874=2022,G874/$H$1964,B874=2023,G874/$H$1965)</f>
        <v>1.5298717714839344E-5</v>
      </c>
      <c r="J874" s="10" cm="1">
        <f t="array" ref="J874">_xlfn.IFS(B874=2015,I874*$G$2,B874=2016,I874*$G$3,B874=2017,I874*$G$4,B874=2018,I874*$G$5,B874=2019,I874*$G$6,B874=2020,I874*$G$7,B874=2021,I874*$G$8,B874=2022,I874*$G$9,B874=2023,I874*$G$10)</f>
        <v>2600.557411047917</v>
      </c>
      <c r="K874" s="8">
        <f t="shared" si="13"/>
        <v>17710.557411047917</v>
      </c>
      <c r="L874">
        <f>IFERROR(VLOOKUP(F874,'LEAID Match'!$A$2:$B$240,2,FALSE),"")</f>
        <v>0</v>
      </c>
    </row>
    <row r="875" spans="1:12" x14ac:dyDescent="0.2">
      <c r="A875">
        <v>0</v>
      </c>
      <c r="B875">
        <v>2015</v>
      </c>
      <c r="C875" s="4" t="s">
        <v>209</v>
      </c>
      <c r="D875" s="4" t="s">
        <v>576</v>
      </c>
      <c r="E875" s="4" t="s">
        <v>578</v>
      </c>
      <c r="F875" s="4" t="s">
        <v>168</v>
      </c>
      <c r="G875" s="8">
        <v>529732</v>
      </c>
      <c r="I875" s="16" cm="1">
        <f t="array" ref="I875">_xlfn.IFS(B875=2015,G875/$H$1957,B875=2016,G875/$H$1958,B875=2017,G875/$H$1959,B875=2018,G875/$H$1960,B875=2019,G875/$H$1961,B875=2020,G875/$H$1962,B875=2021,G875/$H$1963,B875=2022,G875/$H$1964,B875=2023,G875/$H$1965)</f>
        <v>4.0909003443796379E-4</v>
      </c>
      <c r="J875" s="10" cm="1">
        <f t="array" ref="J875">_xlfn.IFS(B875=2015,I875*$G$2,B875=2016,I875*$G$3,B875=2017,I875*$G$4,B875=2018,I875*$G$5,B875=2019,I875*$G$6,B875=2020,I875*$G$7,B875=2021,I875*$G$8,B875=2022,I875*$G$9,B875=2023,I875*$G$10)</f>
        <v>101717.199569494</v>
      </c>
      <c r="K875" s="8">
        <f t="shared" si="13"/>
        <v>631449.199569494</v>
      </c>
      <c r="L875">
        <f>IFERROR(VLOOKUP(F875,'LEAID Match'!$A$2:$B$240,2,FALSE),"")</f>
        <v>0</v>
      </c>
    </row>
    <row r="876" spans="1:12" x14ac:dyDescent="0.2">
      <c r="A876">
        <v>0</v>
      </c>
      <c r="B876">
        <v>2016</v>
      </c>
      <c r="C876" s="4" t="s">
        <v>209</v>
      </c>
      <c r="D876" s="4" t="s">
        <v>576</v>
      </c>
      <c r="E876" s="4" t="s">
        <v>578</v>
      </c>
      <c r="F876" s="4" t="s">
        <v>168</v>
      </c>
      <c r="G876" s="8">
        <v>543185</v>
      </c>
      <c r="I876" s="16" cm="1">
        <f t="array" ref="I876">_xlfn.IFS(B876=2015,G876/$H$1957,B876=2016,G876/$H$1958,B876=2017,G876/$H$1959,B876=2018,G876/$H$1960,B876=2019,G876/$H$1961,B876=2020,G876/$H$1962,B876=2021,G876/$H$1963,B876=2022,G876/$H$1964,B876=2023,G876/$H$1965)</f>
        <v>3.8131563778487766E-4</v>
      </c>
      <c r="J876" s="10" cm="1">
        <f t="array" ref="J876">_xlfn.IFS(B876=2015,I876*$G$2,B876=2016,I876*$G$3,B876=2017,I876*$G$4,B876=2018,I876*$G$5,B876=2019,I876*$G$6,B876=2020,I876*$G$7,B876=2021,I876*$G$8,B876=2022,I876*$G$9,B876=2023,I876*$G$10)</f>
        <v>103413.97541942319</v>
      </c>
      <c r="K876" s="8">
        <f t="shared" si="13"/>
        <v>646598.97541942319</v>
      </c>
      <c r="L876">
        <f>IFERROR(VLOOKUP(F876,'LEAID Match'!$A$2:$B$240,2,FALSE),"")</f>
        <v>0</v>
      </c>
    </row>
    <row r="877" spans="1:12" x14ac:dyDescent="0.2">
      <c r="A877">
        <v>0</v>
      </c>
      <c r="B877">
        <v>2017</v>
      </c>
      <c r="C877" s="4" t="s">
        <v>209</v>
      </c>
      <c r="D877" s="4" t="s">
        <v>576</v>
      </c>
      <c r="E877" s="4" t="s">
        <v>578</v>
      </c>
      <c r="F877" s="4" t="s">
        <v>168</v>
      </c>
      <c r="G877" s="8">
        <v>285592</v>
      </c>
      <c r="I877" s="16" cm="1">
        <f t="array" ref="I877">_xlfn.IFS(B877=2015,G877/$H$1957,B877=2016,G877/$H$1958,B877=2017,G877/$H$1959,B877=2018,G877/$H$1960,B877=2019,G877/$H$1961,B877=2020,G877/$H$1962,B877=2021,G877/$H$1963,B877=2022,G877/$H$1964,B877=2023,G877/$H$1965)</f>
        <v>3.8104050405641919E-4</v>
      </c>
      <c r="J877" s="10" cm="1">
        <f t="array" ref="J877">_xlfn.IFS(B877=2015,I877*$G$2,B877=2016,I877*$G$3,B877=2017,I877*$G$4,B877=2018,I877*$G$5,B877=2019,I877*$G$6,B877=2020,I877*$G$7,B877=2021,I877*$G$8,B877=2022,I877*$G$9,B877=2023,I877*$G$10)</f>
        <v>56426.987754474772</v>
      </c>
      <c r="K877" s="8">
        <f t="shared" si="13"/>
        <v>342018.98775447474</v>
      </c>
      <c r="L877">
        <f>IFERROR(VLOOKUP(F877,'LEAID Match'!$A$2:$B$240,2,FALSE),"")</f>
        <v>0</v>
      </c>
    </row>
    <row r="878" spans="1:12" x14ac:dyDescent="0.2">
      <c r="A878">
        <v>0</v>
      </c>
      <c r="B878">
        <v>2018</v>
      </c>
      <c r="C878" s="4" t="s">
        <v>209</v>
      </c>
      <c r="D878" s="4" t="s">
        <v>576</v>
      </c>
      <c r="E878" s="4" t="s">
        <v>578</v>
      </c>
      <c r="F878" s="4" t="s">
        <v>168</v>
      </c>
      <c r="G878" s="8">
        <v>298618</v>
      </c>
      <c r="I878" s="16" cm="1">
        <f t="array" ref="I878">_xlfn.IFS(B878=2015,G878/$H$1957,B878=2016,G878/$H$1958,B878=2017,G878/$H$1959,B878=2018,G878/$H$1960,B878=2019,G878/$H$1961,B878=2020,G878/$H$1962,B878=2021,G878/$H$1963,B878=2022,G878/$H$1964,B878=2023,G878/$H$1965)</f>
        <v>3.8423490037698402E-4</v>
      </c>
      <c r="J878" s="10" cm="1">
        <f t="array" ref="J878">_xlfn.IFS(B878=2015,I878*$G$2,B878=2016,I878*$G$3,B878=2017,I878*$G$4,B878=2018,I878*$G$5,B878=2019,I878*$G$6,B878=2020,I878*$G$7,B878=2021,I878*$G$8,B878=2022,I878*$G$9,B878=2023,I878*$G$10)</f>
        <v>57836.544942492714</v>
      </c>
      <c r="K878" s="8">
        <f t="shared" si="13"/>
        <v>356454.54494249274</v>
      </c>
      <c r="L878">
        <f>IFERROR(VLOOKUP(F878,'LEAID Match'!$A$2:$B$240,2,FALSE),"")</f>
        <v>0</v>
      </c>
    </row>
    <row r="879" spans="1:12" x14ac:dyDescent="0.2">
      <c r="A879">
        <v>0</v>
      </c>
      <c r="B879">
        <v>2019</v>
      </c>
      <c r="C879" s="4" t="s">
        <v>209</v>
      </c>
      <c r="D879" s="4" t="s">
        <v>576</v>
      </c>
      <c r="E879" s="4" t="s">
        <v>578</v>
      </c>
      <c r="F879" s="4" t="s">
        <v>168</v>
      </c>
      <c r="G879" s="8">
        <v>260308</v>
      </c>
      <c r="I879" s="16" cm="1">
        <f t="array" ref="I879">_xlfn.IFS(B879=2015,G879/$H$1957,B879=2016,G879/$H$1958,B879=2017,G879/$H$1959,B879=2018,G879/$H$1960,B879=2019,G879/$H$1961,B879=2020,G879/$H$1962,B879=2021,G879/$H$1963,B879=2022,G879/$H$1964,B879=2023,G879/$H$1965)</f>
        <v>3.2350991067692372E-4</v>
      </c>
      <c r="J879" s="10" cm="1">
        <f t="array" ref="J879">_xlfn.IFS(B879=2015,I879*$G$2,B879=2016,I879*$G$3,B879=2017,I879*$G$4,B879=2018,I879*$G$5,B879=2019,I879*$G$6,B879=2020,I879*$G$7,B879=2021,I879*$G$8,B879=2022,I879*$G$9,B879=2023,I879*$G$10)</f>
        <v>51123.663632662006</v>
      </c>
      <c r="K879" s="8">
        <f t="shared" si="13"/>
        <v>311431.66363266204</v>
      </c>
      <c r="L879">
        <f>IFERROR(VLOOKUP(F879,'LEAID Match'!$A$2:$B$240,2,FALSE),"")</f>
        <v>0</v>
      </c>
    </row>
    <row r="880" spans="1:12" x14ac:dyDescent="0.2">
      <c r="A880">
        <v>0</v>
      </c>
      <c r="B880">
        <v>2020</v>
      </c>
      <c r="C880" s="4" t="s">
        <v>209</v>
      </c>
      <c r="D880" s="4" t="s">
        <v>576</v>
      </c>
      <c r="E880" s="4" t="s">
        <v>578</v>
      </c>
      <c r="F880" s="4" t="s">
        <v>168</v>
      </c>
      <c r="G880" s="8">
        <v>278174</v>
      </c>
      <c r="I880" s="16" cm="1">
        <f t="array" ref="I880">_xlfn.IFS(B880=2015,G880/$H$1957,B880=2016,G880/$H$1958,B880=2017,G880/$H$1959,B880=2018,G880/$H$1960,B880=2019,G880/$H$1961,B880=2020,G880/$H$1962,B880=2021,G880/$H$1963,B880=2022,G880/$H$1964,B880=2023,G880/$H$1965)</f>
        <v>3.199455470331657E-4</v>
      </c>
      <c r="J880" s="10" cm="1">
        <f t="array" ref="J880">_xlfn.IFS(B880=2015,I880*$G$2,B880=2016,I880*$G$3,B880=2017,I880*$G$4,B880=2018,I880*$G$5,B880=2019,I880*$G$6,B880=2020,I880*$G$7,B880=2021,I880*$G$8,B880=2022,I880*$G$9,B880=2023,I880*$G$10)</f>
        <v>55249.442929647201</v>
      </c>
      <c r="K880" s="8">
        <f t="shared" si="13"/>
        <v>333423.44292964722</v>
      </c>
      <c r="L880">
        <f>IFERROR(VLOOKUP(F880,'LEAID Match'!$A$2:$B$240,2,FALSE),"")</f>
        <v>0</v>
      </c>
    </row>
    <row r="881" spans="1:12" x14ac:dyDescent="0.2">
      <c r="A881">
        <v>0</v>
      </c>
      <c r="B881">
        <v>2021</v>
      </c>
      <c r="C881" s="4" t="s">
        <v>209</v>
      </c>
      <c r="D881" s="4" t="s">
        <v>576</v>
      </c>
      <c r="E881" s="4" t="s">
        <v>578</v>
      </c>
      <c r="F881" s="4" t="s">
        <v>168</v>
      </c>
      <c r="G881" s="8">
        <v>322299</v>
      </c>
      <c r="I881" s="16" cm="1">
        <f t="array" ref="I881">_xlfn.IFS(B881=2015,G881/$H$1957,B881=2016,G881/$H$1958,B881=2017,G881/$H$1959,B881=2018,G881/$H$1960,B881=2019,G881/$H$1961,B881=2020,G881/$H$1962,B881=2021,G881/$H$1963,B881=2022,G881/$H$1964,B881=2023,G881/$H$1965)</f>
        <v>3.6832165064782117E-4</v>
      </c>
      <c r="J881" s="10" cm="1">
        <f t="array" ref="J881">_xlfn.IFS(B881=2015,I881*$G$2,B881=2016,I881*$G$3,B881=2017,I881*$G$4,B881=2018,I881*$G$5,B881=2019,I881*$G$6,B881=2020,I881*$G$7,B881=2021,I881*$G$8,B881=2022,I881*$G$9,B881=2023,I881*$G$10)</f>
        <v>63210.196314476416</v>
      </c>
      <c r="K881" s="8">
        <f t="shared" si="13"/>
        <v>385509.19631447643</v>
      </c>
      <c r="L881">
        <f>IFERROR(VLOOKUP(F881,'LEAID Match'!$A$2:$B$240,2,FALSE),"")</f>
        <v>0</v>
      </c>
    </row>
    <row r="882" spans="1:12" x14ac:dyDescent="0.2">
      <c r="A882">
        <v>0</v>
      </c>
      <c r="B882">
        <v>2022</v>
      </c>
      <c r="C882" s="4" t="s">
        <v>209</v>
      </c>
      <c r="D882" s="4" t="s">
        <v>576</v>
      </c>
      <c r="E882" s="4" t="s">
        <v>578</v>
      </c>
      <c r="F882" s="4" t="s">
        <v>168</v>
      </c>
      <c r="G882" s="8">
        <v>348478</v>
      </c>
      <c r="I882" s="16" cm="1">
        <f t="array" ref="I882">_xlfn.IFS(B882=2015,G882/$H$1957,B882=2016,G882/$H$1958,B882=2017,G882/$H$1959,B882=2018,G882/$H$1960,B882=2019,G882/$H$1961,B882=2020,G882/$H$1962,B882=2021,G882/$H$1963,B882=2022,G882/$H$1964,B882=2023,G882/$H$1965)</f>
        <v>3.7454495866293662E-4</v>
      </c>
      <c r="J882" s="10" cm="1">
        <f t="array" ref="J882">_xlfn.IFS(B882=2015,I882*$G$2,B882=2016,I882*$G$3,B882=2017,I882*$G$4,B882=2018,I882*$G$5,B882=2019,I882*$G$6,B882=2020,I882*$G$7,B882=2021,I882*$G$8,B882=2022,I882*$G$9,B882=2023,I882*$G$10)</f>
        <v>63517.449894532278</v>
      </c>
      <c r="K882" s="8">
        <f t="shared" si="13"/>
        <v>411995.44989453227</v>
      </c>
      <c r="L882">
        <f>IFERROR(VLOOKUP(F882,'LEAID Match'!$A$2:$B$240,2,FALSE),"")</f>
        <v>0</v>
      </c>
    </row>
    <row r="883" spans="1:12" x14ac:dyDescent="0.2">
      <c r="A883">
        <v>0</v>
      </c>
      <c r="B883">
        <v>2023</v>
      </c>
      <c r="C883" s="4" t="s">
        <v>209</v>
      </c>
      <c r="D883" s="4" t="s">
        <v>576</v>
      </c>
      <c r="E883" s="4" t="s">
        <v>578</v>
      </c>
      <c r="F883" s="4" t="s">
        <v>168</v>
      </c>
      <c r="G883" s="8">
        <v>344976</v>
      </c>
      <c r="I883" s="16" cm="1">
        <f t="array" ref="I883">_xlfn.IFS(B883=2015,G883/$H$1957,B883=2016,G883/$H$1958,B883=2017,G883/$H$1959,B883=2018,G883/$H$1960,B883=2019,G883/$H$1961,B883=2020,G883/$H$1962,B883=2021,G883/$H$1963,B883=2022,G883/$H$1964,B883=2023,G883/$H$1965)</f>
        <v>3.4928460902676489E-4</v>
      </c>
      <c r="J883" s="10" cm="1">
        <f t="array" ref="J883">_xlfn.IFS(B883=2015,I883*$G$2,B883=2016,I883*$G$3,B883=2017,I883*$G$4,B883=2018,I883*$G$5,B883=2019,I883*$G$6,B883=2020,I883*$G$7,B883=2021,I883*$G$8,B883=2022,I883*$G$9,B883=2023,I883*$G$10)</f>
        <v>59373.25568720491</v>
      </c>
      <c r="K883" s="8">
        <f t="shared" si="13"/>
        <v>404349.25568720489</v>
      </c>
      <c r="L883">
        <f>IFERROR(VLOOKUP(F883,'LEAID Match'!$A$2:$B$240,2,FALSE),"")</f>
        <v>0</v>
      </c>
    </row>
    <row r="884" spans="1:12" x14ac:dyDescent="0.2">
      <c r="A884">
        <v>0</v>
      </c>
      <c r="B884">
        <v>2015</v>
      </c>
      <c r="C884" s="4" t="s">
        <v>210</v>
      </c>
      <c r="D884" s="4" t="s">
        <v>576</v>
      </c>
      <c r="E884" s="4" t="s">
        <v>578</v>
      </c>
      <c r="F884" s="4" t="s">
        <v>169</v>
      </c>
      <c r="G884" s="8">
        <v>1436747</v>
      </c>
      <c r="I884" s="16" cm="1">
        <f t="array" ref="I884">_xlfn.IFS(B884=2015,G884/$H$1957,B884=2016,G884/$H$1958,B884=2017,G884/$H$1959,B884=2018,G884/$H$1960,B884=2019,G884/$H$1961,B884=2020,G884/$H$1962,B884=2021,G884/$H$1963,B884=2022,G884/$H$1964,B884=2023,G884/$H$1965)</f>
        <v>1.1095400687680585E-3</v>
      </c>
      <c r="J884" s="10" cm="1">
        <f t="array" ref="J884">_xlfn.IFS(B884=2015,I884*$G$2,B884=2016,I884*$G$3,B884=2017,I884*$G$4,B884=2018,I884*$G$5,B884=2019,I884*$G$6,B884=2020,I884*$G$7,B884=2021,I884*$G$8,B884=2022,I884*$G$9,B884=2023,I884*$G$10)</f>
        <v>275878.89976416714</v>
      </c>
      <c r="K884" s="8">
        <f t="shared" si="13"/>
        <v>1712625.8997641671</v>
      </c>
      <c r="L884">
        <f>IFERROR(VLOOKUP(F884,'LEAID Match'!$A$2:$B$240,2,FALSE),"")</f>
        <v>0</v>
      </c>
    </row>
    <row r="885" spans="1:12" x14ac:dyDescent="0.2">
      <c r="A885">
        <v>0</v>
      </c>
      <c r="B885">
        <v>2016</v>
      </c>
      <c r="C885" s="4" t="s">
        <v>210</v>
      </c>
      <c r="D885" s="4" t="s">
        <v>576</v>
      </c>
      <c r="E885" s="4" t="s">
        <v>578</v>
      </c>
      <c r="F885" s="4" t="s">
        <v>169</v>
      </c>
      <c r="G885" s="8">
        <v>1397771</v>
      </c>
      <c r="I885" s="16" cm="1">
        <f t="array" ref="I885">_xlfn.IFS(B885=2015,G885/$H$1957,B885=2016,G885/$H$1958,B885=2017,G885/$H$1959,B885=2018,G885/$H$1960,B885=2019,G885/$H$1961,B885=2020,G885/$H$1962,B885=2021,G885/$H$1963,B885=2022,G885/$H$1964,B885=2023,G885/$H$1965)</f>
        <v>9.8123464444380137E-4</v>
      </c>
      <c r="J885" s="10" cm="1">
        <f t="array" ref="J885">_xlfn.IFS(B885=2015,I885*$G$2,B885=2016,I885*$G$3,B885=2017,I885*$G$4,B885=2018,I885*$G$5,B885=2019,I885*$G$6,B885=2020,I885*$G$7,B885=2021,I885*$G$8,B885=2022,I885*$G$9,B885=2023,I885*$G$10)</f>
        <v>266113.85777586384</v>
      </c>
      <c r="K885" s="8">
        <f t="shared" si="13"/>
        <v>1663884.8577758637</v>
      </c>
      <c r="L885">
        <f>IFERROR(VLOOKUP(F885,'LEAID Match'!$A$2:$B$240,2,FALSE),"")</f>
        <v>0</v>
      </c>
    </row>
    <row r="886" spans="1:12" x14ac:dyDescent="0.2">
      <c r="A886">
        <v>0</v>
      </c>
      <c r="B886">
        <v>2017</v>
      </c>
      <c r="C886" s="4" t="s">
        <v>210</v>
      </c>
      <c r="D886" s="4" t="s">
        <v>576</v>
      </c>
      <c r="E886" s="4" t="s">
        <v>578</v>
      </c>
      <c r="F886" s="4" t="s">
        <v>169</v>
      </c>
      <c r="G886" s="8">
        <v>651615</v>
      </c>
      <c r="I886" s="16" cm="1">
        <f t="array" ref="I886">_xlfn.IFS(B886=2015,G886/$H$1957,B886=2016,G886/$H$1958,B886=2017,G886/$H$1959,B886=2018,G886/$H$1960,B886=2019,G886/$H$1961,B886=2020,G886/$H$1962,B886=2021,G886/$H$1963,B886=2022,G886/$H$1964,B886=2023,G886/$H$1965)</f>
        <v>8.6939307841509429E-4</v>
      </c>
      <c r="J886" s="10" cm="1">
        <f t="array" ref="J886">_xlfn.IFS(B886=2015,I886*$G$2,B886=2016,I886*$G$3,B886=2017,I886*$G$4,B886=2018,I886*$G$5,B886=2019,I886*$G$6,B886=2020,I886*$G$7,B886=2021,I886*$G$8,B886=2022,I886*$G$9,B886=2023,I886*$G$10)</f>
        <v>128745.45374391468</v>
      </c>
      <c r="K886" s="8">
        <f t="shared" si="13"/>
        <v>780360.45374391472</v>
      </c>
      <c r="L886">
        <f>IFERROR(VLOOKUP(F886,'LEAID Match'!$A$2:$B$240,2,FALSE),"")</f>
        <v>0</v>
      </c>
    </row>
    <row r="887" spans="1:12" x14ac:dyDescent="0.2">
      <c r="A887">
        <v>0</v>
      </c>
      <c r="B887">
        <v>2018</v>
      </c>
      <c r="C887" s="4" t="s">
        <v>210</v>
      </c>
      <c r="D887" s="4" t="s">
        <v>576</v>
      </c>
      <c r="E887" s="4" t="s">
        <v>578</v>
      </c>
      <c r="F887" s="4" t="s">
        <v>169</v>
      </c>
      <c r="G887" s="8">
        <v>648060</v>
      </c>
      <c r="I887" s="16" cm="1">
        <f t="array" ref="I887">_xlfn.IFS(B887=2015,G887/$H$1957,B887=2016,G887/$H$1958,B887=2017,G887/$H$1959,B887=2018,G887/$H$1960,B887=2019,G887/$H$1961,B887=2020,G887/$H$1962,B887=2021,G887/$H$1963,B887=2022,G887/$H$1964,B887=2023,G887/$H$1965)</f>
        <v>8.3386557253182418E-4</v>
      </c>
      <c r="J887" s="10" cm="1">
        <f t="array" ref="J887">_xlfn.IFS(B887=2015,I887*$G$2,B887=2016,I887*$G$3,B887=2017,I887*$G$4,B887=2018,I887*$G$5,B887=2019,I887*$G$6,B887=2020,I887*$G$7,B887=2021,I887*$G$8,B887=2022,I887*$G$9,B887=2023,I887*$G$10)</f>
        <v>125516.71806599679</v>
      </c>
      <c r="K887" s="8">
        <f t="shared" si="13"/>
        <v>773576.71806599677</v>
      </c>
      <c r="L887">
        <f>IFERROR(VLOOKUP(F887,'LEAID Match'!$A$2:$B$240,2,FALSE),"")</f>
        <v>0</v>
      </c>
    </row>
    <row r="888" spans="1:12" x14ac:dyDescent="0.2">
      <c r="A888">
        <v>0</v>
      </c>
      <c r="B888">
        <v>2019</v>
      </c>
      <c r="C888" s="4" t="s">
        <v>210</v>
      </c>
      <c r="D888" s="4" t="s">
        <v>576</v>
      </c>
      <c r="E888" s="4" t="s">
        <v>578</v>
      </c>
      <c r="F888" s="4" t="s">
        <v>169</v>
      </c>
      <c r="G888" s="8">
        <v>682184</v>
      </c>
      <c r="I888" s="16" cm="1">
        <f t="array" ref="I888">_xlfn.IFS(B888=2015,G888/$H$1957,B888=2016,G888/$H$1958,B888=2017,G888/$H$1959,B888=2018,G888/$H$1960,B888=2019,G888/$H$1961,B888=2020,G888/$H$1962,B888=2021,G888/$H$1963,B888=2022,G888/$H$1964,B888=2023,G888/$H$1965)</f>
        <v>8.4781599069266606E-4</v>
      </c>
      <c r="J888" s="10" cm="1">
        <f t="array" ref="J888">_xlfn.IFS(B888=2015,I888*$G$2,B888=2016,I888*$G$3,B888=2017,I888*$G$4,B888=2018,I888*$G$5,B888=2019,I888*$G$6,B888=2020,I888*$G$7,B888=2021,I888*$G$8,B888=2022,I888*$G$9,B888=2023,I888*$G$10)</f>
        <v>133978.7688107315</v>
      </c>
      <c r="K888" s="8">
        <f t="shared" si="13"/>
        <v>816162.76881073148</v>
      </c>
      <c r="L888">
        <f>IFERROR(VLOOKUP(F888,'LEAID Match'!$A$2:$B$240,2,FALSE),"")</f>
        <v>0</v>
      </c>
    </row>
    <row r="889" spans="1:12" x14ac:dyDescent="0.2">
      <c r="A889">
        <v>0</v>
      </c>
      <c r="B889">
        <v>2020</v>
      </c>
      <c r="C889" s="4" t="s">
        <v>210</v>
      </c>
      <c r="D889" s="4" t="s">
        <v>576</v>
      </c>
      <c r="E889" s="4" t="s">
        <v>578</v>
      </c>
      <c r="F889" s="4" t="s">
        <v>169</v>
      </c>
      <c r="G889" s="8">
        <v>784477</v>
      </c>
      <c r="I889" s="16" cm="1">
        <f t="array" ref="I889">_xlfn.IFS(B889=2015,G889/$H$1957,B889=2016,G889/$H$1958,B889=2017,G889/$H$1959,B889=2018,G889/$H$1960,B889=2019,G889/$H$1961,B889=2020,G889/$H$1962,B889=2021,G889/$H$1963,B889=2022,G889/$H$1964,B889=2023,G889/$H$1965)</f>
        <v>9.0227671493359099E-4</v>
      </c>
      <c r="J889" s="10" cm="1">
        <f t="array" ref="J889">_xlfn.IFS(B889=2015,I889*$G$2,B889=2016,I889*$G$3,B889=2017,I889*$G$4,B889=2018,I889*$G$5,B889=2019,I889*$G$6,B889=2020,I889*$G$7,B889=2021,I889*$G$8,B889=2022,I889*$G$9,B889=2023,I889*$G$10)</f>
        <v>155808.65660026044</v>
      </c>
      <c r="K889" s="8">
        <f t="shared" si="13"/>
        <v>940285.65660026041</v>
      </c>
      <c r="L889">
        <f>IFERROR(VLOOKUP(F889,'LEAID Match'!$A$2:$B$240,2,FALSE),"")</f>
        <v>0</v>
      </c>
    </row>
    <row r="890" spans="1:12" x14ac:dyDescent="0.2">
      <c r="A890">
        <v>0</v>
      </c>
      <c r="B890">
        <v>2021</v>
      </c>
      <c r="C890" s="4" t="s">
        <v>210</v>
      </c>
      <c r="D890" s="4" t="s">
        <v>576</v>
      </c>
      <c r="E890" s="4" t="s">
        <v>578</v>
      </c>
      <c r="F890" s="4" t="s">
        <v>169</v>
      </c>
      <c r="G890" s="8">
        <v>869626</v>
      </c>
      <c r="I890" s="16" cm="1">
        <f t="array" ref="I890">_xlfn.IFS(B890=2015,G890/$H$1957,B890=2016,G890/$H$1958,B890=2017,G890/$H$1959,B890=2018,G890/$H$1960,B890=2019,G890/$H$1961,B890=2020,G890/$H$1962,B890=2021,G890/$H$1963,B890=2022,G890/$H$1964,B890=2023,G890/$H$1965)</f>
        <v>9.9380415007884653E-4</v>
      </c>
      <c r="J890" s="10" cm="1">
        <f t="array" ref="J890">_xlfn.IFS(B890=2015,I890*$G$2,B890=2016,I890*$G$3,B890=2017,I890*$G$4,B890=2018,I890*$G$5,B890=2019,I890*$G$6,B890=2020,I890*$G$7,B890=2021,I890*$G$8,B890=2022,I890*$G$9,B890=2023,I890*$G$10)</f>
        <v>170553.5238402008</v>
      </c>
      <c r="K890" s="8">
        <f t="shared" si="13"/>
        <v>1040179.5238402009</v>
      </c>
      <c r="L890">
        <f>IFERROR(VLOOKUP(F890,'LEAID Match'!$A$2:$B$240,2,FALSE),"")</f>
        <v>0</v>
      </c>
    </row>
    <row r="891" spans="1:12" x14ac:dyDescent="0.2">
      <c r="A891">
        <v>0</v>
      </c>
      <c r="B891">
        <v>2022</v>
      </c>
      <c r="C891" s="4" t="s">
        <v>210</v>
      </c>
      <c r="D891" s="4" t="s">
        <v>576</v>
      </c>
      <c r="E891" s="4" t="s">
        <v>578</v>
      </c>
      <c r="F891" s="4" t="s">
        <v>169</v>
      </c>
      <c r="G891" s="8">
        <v>911824</v>
      </c>
      <c r="I891" s="16" cm="1">
        <f t="array" ref="I891">_xlfn.IFS(B891=2015,G891/$H$1957,B891=2016,G891/$H$1958,B891=2017,G891/$H$1959,B891=2018,G891/$H$1960,B891=2019,G891/$H$1961,B891=2020,G891/$H$1962,B891=2021,G891/$H$1963,B891=2022,G891/$H$1964,B891=2023,G891/$H$1965)</f>
        <v>9.8003053962624192E-4</v>
      </c>
      <c r="J891" s="10" cm="1">
        <f t="array" ref="J891">_xlfn.IFS(B891=2015,I891*$G$2,B891=2016,I891*$G$3,B891=2017,I891*$G$4,B891=2018,I891*$G$5,B891=2019,I891*$G$6,B891=2020,I891*$G$7,B891=2021,I891*$G$8,B891=2022,I891*$G$9,B891=2023,I891*$G$10)</f>
        <v>166199.11510233645</v>
      </c>
      <c r="K891" s="8">
        <f t="shared" si="13"/>
        <v>1078023.1151023365</v>
      </c>
      <c r="L891">
        <f>IFERROR(VLOOKUP(F891,'LEAID Match'!$A$2:$B$240,2,FALSE),"")</f>
        <v>0</v>
      </c>
    </row>
    <row r="892" spans="1:12" x14ac:dyDescent="0.2">
      <c r="A892">
        <v>0</v>
      </c>
      <c r="B892">
        <v>2023</v>
      </c>
      <c r="C892" s="4" t="s">
        <v>210</v>
      </c>
      <c r="D892" s="4" t="s">
        <v>576</v>
      </c>
      <c r="E892" s="4" t="s">
        <v>578</v>
      </c>
      <c r="F892" s="4" t="s">
        <v>169</v>
      </c>
      <c r="G892" s="8">
        <v>995420</v>
      </c>
      <c r="I892" s="16" cm="1">
        <f t="array" ref="I892">_xlfn.IFS(B892=2015,G892/$H$1957,B892=2016,G892/$H$1958,B892=2017,G892/$H$1959,B892=2018,G892/$H$1960,B892=2019,G892/$H$1961,B892=2020,G892/$H$1962,B892=2021,G892/$H$1963,B892=2022,G892/$H$1964,B892=2023,G892/$H$1965)</f>
        <v>1.0078523883325864E-3</v>
      </c>
      <c r="J892" s="10" cm="1">
        <f t="array" ref="J892">_xlfn.IFS(B892=2015,I892*$G$2,B892=2016,I892*$G$3,B892=2017,I892*$G$4,B892=2018,I892*$G$5,B892=2019,I892*$G$6,B892=2020,I892*$G$7,B892=2021,I892*$G$8,B892=2022,I892*$G$9,B892=2023,I892*$G$10)</f>
        <v>171320.10973562658</v>
      </c>
      <c r="K892" s="8">
        <f t="shared" si="13"/>
        <v>1166740.1097356265</v>
      </c>
      <c r="L892">
        <f>IFERROR(VLOOKUP(F892,'LEAID Match'!$A$2:$B$240,2,FALSE),"")</f>
        <v>0</v>
      </c>
    </row>
    <row r="893" spans="1:12" x14ac:dyDescent="0.2">
      <c r="A893">
        <v>0</v>
      </c>
      <c r="B893">
        <v>2015</v>
      </c>
      <c r="C893" s="4" t="s">
        <v>211</v>
      </c>
      <c r="D893" s="4" t="s">
        <v>576</v>
      </c>
      <c r="E893" s="4" t="s">
        <v>578</v>
      </c>
      <c r="F893" s="4" t="s">
        <v>170</v>
      </c>
      <c r="G893" s="8">
        <v>3432350</v>
      </c>
      <c r="I893" s="16" cm="1">
        <f t="array" ref="I893">_xlfn.IFS(B893=2015,G893/$H$1957,B893=2016,G893/$H$1958,B893=2017,G893/$H$1959,B893=2018,G893/$H$1960,B893=2019,G893/$H$1961,B893=2020,G893/$H$1962,B893=2021,G893/$H$1963,B893=2022,G893/$H$1964,B893=2023,G893/$H$1965)</f>
        <v>2.6506614282375712E-3</v>
      </c>
      <c r="J893" s="10" cm="1">
        <f t="array" ref="J893">_xlfn.IFS(B893=2015,I893*$G$2,B893=2016,I893*$G$3,B893=2017,I893*$G$4,B893=2018,I893*$G$5,B893=2019,I893*$G$6,B893=2020,I893*$G$7,B893=2021,I893*$G$8,B893=2022,I893*$G$9,B893=2023,I893*$G$10)</f>
        <v>659067.28297016746</v>
      </c>
      <c r="K893" s="8">
        <f t="shared" si="13"/>
        <v>4091417.2829701677</v>
      </c>
      <c r="L893">
        <f>IFERROR(VLOOKUP(F893,'LEAID Match'!$A$2:$B$240,2,FALSE),"")</f>
        <v>0</v>
      </c>
    </row>
    <row r="894" spans="1:12" x14ac:dyDescent="0.2">
      <c r="A894">
        <v>0</v>
      </c>
      <c r="B894">
        <v>2016</v>
      </c>
      <c r="C894" s="4" t="s">
        <v>211</v>
      </c>
      <c r="D894" s="4" t="s">
        <v>576</v>
      </c>
      <c r="E894" s="4" t="s">
        <v>578</v>
      </c>
      <c r="F894" s="4" t="s">
        <v>170</v>
      </c>
      <c r="G894" s="8">
        <v>3362713</v>
      </c>
      <c r="I894" s="16" cm="1">
        <f t="array" ref="I894">_xlfn.IFS(B894=2015,G894/$H$1957,B894=2016,G894/$H$1958,B894=2017,G894/$H$1959,B894=2018,G894/$H$1960,B894=2019,G894/$H$1961,B894=2020,G894/$H$1962,B894=2021,G894/$H$1963,B894=2022,G894/$H$1964,B894=2023,G894/$H$1965)</f>
        <v>2.3606230884183092E-3</v>
      </c>
      <c r="J894" s="10" cm="1">
        <f t="array" ref="J894">_xlfn.IFS(B894=2015,I894*$G$2,B894=2016,I894*$G$3,B894=2017,I894*$G$4,B894=2018,I894*$G$5,B894=2019,I894*$G$6,B894=2020,I894*$G$7,B894=2021,I894*$G$8,B894=2022,I894*$G$9,B894=2023,I894*$G$10)</f>
        <v>640208.25229815778</v>
      </c>
      <c r="K894" s="8">
        <f t="shared" si="13"/>
        <v>4002921.2522981577</v>
      </c>
      <c r="L894">
        <f>IFERROR(VLOOKUP(F894,'LEAID Match'!$A$2:$B$240,2,FALSE),"")</f>
        <v>0</v>
      </c>
    </row>
    <row r="895" spans="1:12" x14ac:dyDescent="0.2">
      <c r="A895">
        <v>0</v>
      </c>
      <c r="B895">
        <v>2017</v>
      </c>
      <c r="C895" s="4" t="s">
        <v>211</v>
      </c>
      <c r="D895" s="4" t="s">
        <v>576</v>
      </c>
      <c r="E895" s="4" t="s">
        <v>578</v>
      </c>
      <c r="F895" s="4" t="s">
        <v>170</v>
      </c>
      <c r="G895" s="8">
        <v>1699268</v>
      </c>
      <c r="I895" s="16" cm="1">
        <f t="array" ref="I895">_xlfn.IFS(B895=2015,G895/$H$1957,B895=2016,G895/$H$1958,B895=2017,G895/$H$1959,B895=2018,G895/$H$1960,B895=2019,G895/$H$1961,B895=2020,G895/$H$1962,B895=2021,G895/$H$1963,B895=2022,G895/$H$1964,B895=2023,G895/$H$1965)</f>
        <v>2.2671851285993422E-3</v>
      </c>
      <c r="J895" s="10" cm="1">
        <f t="array" ref="J895">_xlfn.IFS(B895=2015,I895*$G$2,B895=2016,I895*$G$3,B895=2017,I895*$G$4,B895=2018,I895*$G$5,B895=2019,I895*$G$6,B895=2020,I895*$G$7,B895=2021,I895*$G$8,B895=2022,I895*$G$9,B895=2023,I895*$G$10)</f>
        <v>335739.70779143268</v>
      </c>
      <c r="K895" s="8">
        <f t="shared" si="13"/>
        <v>2035007.7077914327</v>
      </c>
      <c r="L895">
        <f>IFERROR(VLOOKUP(F895,'LEAID Match'!$A$2:$B$240,2,FALSE),"")</f>
        <v>0</v>
      </c>
    </row>
    <row r="896" spans="1:12" x14ac:dyDescent="0.2">
      <c r="A896">
        <v>0</v>
      </c>
      <c r="B896">
        <v>2018</v>
      </c>
      <c r="C896" s="4" t="s">
        <v>211</v>
      </c>
      <c r="D896" s="4" t="s">
        <v>576</v>
      </c>
      <c r="E896" s="4" t="s">
        <v>578</v>
      </c>
      <c r="F896" s="4" t="s">
        <v>170</v>
      </c>
      <c r="G896" s="8">
        <v>1705365</v>
      </c>
      <c r="I896" s="16" cm="1">
        <f t="array" ref="I896">_xlfn.IFS(B896=2015,G896/$H$1957,B896=2016,G896/$H$1958,B896=2017,G896/$H$1959,B896=2018,G896/$H$1960,B896=2019,G896/$H$1961,B896=2020,G896/$H$1962,B896=2021,G896/$H$1963,B896=2022,G896/$H$1964,B896=2023,G896/$H$1965)</f>
        <v>2.1943109621034075E-3</v>
      </c>
      <c r="J896" s="10" cm="1">
        <f t="array" ref="J896">_xlfn.IFS(B896=2015,I896*$G$2,B896=2016,I896*$G$3,B896=2017,I896*$G$4,B896=2018,I896*$G$5,B896=2019,I896*$G$6,B896=2020,I896*$G$7,B896=2021,I896*$G$8,B896=2022,I896*$G$9,B896=2023,I896*$G$10)</f>
        <v>330296.29649202019</v>
      </c>
      <c r="K896" s="8">
        <f t="shared" si="13"/>
        <v>2035661.2964920201</v>
      </c>
      <c r="L896">
        <f>IFERROR(VLOOKUP(F896,'LEAID Match'!$A$2:$B$240,2,FALSE),"")</f>
        <v>0</v>
      </c>
    </row>
    <row r="897" spans="1:12" x14ac:dyDescent="0.2">
      <c r="A897">
        <v>0</v>
      </c>
      <c r="B897">
        <v>2019</v>
      </c>
      <c r="C897" s="4" t="s">
        <v>211</v>
      </c>
      <c r="D897" s="4" t="s">
        <v>576</v>
      </c>
      <c r="E897" s="4" t="s">
        <v>578</v>
      </c>
      <c r="F897" s="4" t="s">
        <v>170</v>
      </c>
      <c r="G897" s="8">
        <v>1768290</v>
      </c>
      <c r="I897" s="16" cm="1">
        <f t="array" ref="I897">_xlfn.IFS(B897=2015,G897/$H$1957,B897=2016,G897/$H$1958,B897=2017,G897/$H$1959,B897=2018,G897/$H$1960,B897=2019,G897/$H$1961,B897=2020,G897/$H$1962,B897=2021,G897/$H$1963,B897=2022,G897/$H$1964,B897=2023,G897/$H$1965)</f>
        <v>2.1976248903256813E-3</v>
      </c>
      <c r="J897" s="10" cm="1">
        <f t="array" ref="J897">_xlfn.IFS(B897=2015,I897*$G$2,B897=2016,I897*$G$3,B897=2017,I897*$G$4,B897=2018,I897*$G$5,B897=2019,I897*$G$6,B897=2020,I897*$G$7,B897=2021,I897*$G$8,B897=2022,I897*$G$9,B897=2023,I897*$G$10)</f>
        <v>347286.53427862335</v>
      </c>
      <c r="K897" s="8">
        <f t="shared" si="13"/>
        <v>2115576.5342786233</v>
      </c>
      <c r="L897">
        <f>IFERROR(VLOOKUP(F897,'LEAID Match'!$A$2:$B$240,2,FALSE),"")</f>
        <v>0</v>
      </c>
    </row>
    <row r="898" spans="1:12" x14ac:dyDescent="0.2">
      <c r="A898">
        <v>0</v>
      </c>
      <c r="B898">
        <v>2020</v>
      </c>
      <c r="C898" s="4" t="s">
        <v>211</v>
      </c>
      <c r="D898" s="4" t="s">
        <v>576</v>
      </c>
      <c r="E898" s="4" t="s">
        <v>578</v>
      </c>
      <c r="F898" s="4" t="s">
        <v>170</v>
      </c>
      <c r="G898" s="8">
        <v>1911739</v>
      </c>
      <c r="I898" s="16" cm="1">
        <f t="array" ref="I898">_xlfn.IFS(B898=2015,G898/$H$1957,B898=2016,G898/$H$1958,B898=2017,G898/$H$1959,B898=2018,G898/$H$1960,B898=2019,G898/$H$1961,B898=2020,G898/$H$1962,B898=2021,G898/$H$1963,B898=2022,G898/$H$1964,B898=2023,G898/$H$1965)</f>
        <v>2.1988121828051405E-3</v>
      </c>
      <c r="J898" s="10" cm="1">
        <f t="array" ref="J898">_xlfn.IFS(B898=2015,I898*$G$2,B898=2016,I898*$G$3,B898=2017,I898*$G$4,B898=2018,I898*$G$5,B898=2019,I898*$G$6,B898=2020,I898*$G$7,B898=2021,I898*$G$8,B898=2022,I898*$G$9,B898=2023,I898*$G$10)</f>
        <v>379699.44990143151</v>
      </c>
      <c r="K898" s="8">
        <f t="shared" si="13"/>
        <v>2291438.4499014313</v>
      </c>
      <c r="L898">
        <f>IFERROR(VLOOKUP(F898,'LEAID Match'!$A$2:$B$240,2,FALSE),"")</f>
        <v>0</v>
      </c>
    </row>
    <row r="899" spans="1:12" x14ac:dyDescent="0.2">
      <c r="A899">
        <v>0</v>
      </c>
      <c r="B899">
        <v>2021</v>
      </c>
      <c r="C899" s="4" t="s">
        <v>211</v>
      </c>
      <c r="D899" s="4" t="s">
        <v>576</v>
      </c>
      <c r="E899" s="4" t="s">
        <v>578</v>
      </c>
      <c r="F899" s="4" t="s">
        <v>170</v>
      </c>
      <c r="G899" s="8">
        <v>1998036</v>
      </c>
      <c r="I899" s="16" cm="1">
        <f t="array" ref="I899">_xlfn.IFS(B899=2015,G899/$H$1957,B899=2016,G899/$H$1958,B899=2017,G899/$H$1959,B899=2018,G899/$H$1960,B899=2019,G899/$H$1961,B899=2020,G899/$H$1962,B899=2021,G899/$H$1963,B899=2022,G899/$H$1964,B899=2023,G899/$H$1965)</f>
        <v>2.2833453332891818E-3</v>
      </c>
      <c r="J899" s="10" cm="1">
        <f t="array" ref="J899">_xlfn.IFS(B899=2015,I899*$G$2,B899=2016,I899*$G$3,B899=2017,I899*$G$4,B899=2018,I899*$G$5,B899=2019,I899*$G$6,B899=2020,I899*$G$7,B899=2021,I899*$G$8,B899=2022,I899*$G$9,B899=2023,I899*$G$10)</f>
        <v>391860.50159445486</v>
      </c>
      <c r="K899" s="8">
        <f t="shared" si="13"/>
        <v>2389896.501594455</v>
      </c>
      <c r="L899">
        <f>IFERROR(VLOOKUP(F899,'LEAID Match'!$A$2:$B$240,2,FALSE),"")</f>
        <v>0</v>
      </c>
    </row>
    <row r="900" spans="1:12" x14ac:dyDescent="0.2">
      <c r="A900">
        <v>0</v>
      </c>
      <c r="B900">
        <v>2022</v>
      </c>
      <c r="C900" s="4" t="s">
        <v>211</v>
      </c>
      <c r="D900" s="4" t="s">
        <v>576</v>
      </c>
      <c r="E900" s="4" t="s">
        <v>578</v>
      </c>
      <c r="F900" s="4" t="s">
        <v>170</v>
      </c>
      <c r="G900" s="8">
        <v>2177987</v>
      </c>
      <c r="I900" s="16" cm="1">
        <f t="array" ref="I900">_xlfn.IFS(B900=2015,G900/$H$1957,B900=2016,G900/$H$1958,B900=2017,G900/$H$1959,B900=2018,G900/$H$1960,B900=2019,G900/$H$1961,B900=2020,G900/$H$1962,B900=2021,G900/$H$1963,B900=2022,G900/$H$1964,B900=2023,G900/$H$1965)</f>
        <v>2.3409054542422002E-3</v>
      </c>
      <c r="J900" s="10" cm="1">
        <f t="array" ref="J900">_xlfn.IFS(B900=2015,I900*$G$2,B900=2016,I900*$G$3,B900=2017,I900*$G$4,B900=2018,I900*$G$5,B900=2019,I900*$G$6,B900=2020,I900*$G$7,B900=2021,I900*$G$8,B900=2022,I900*$G$9,B900=2023,I900*$G$10)</f>
        <v>396983.97070530331</v>
      </c>
      <c r="K900" s="8">
        <f t="shared" si="13"/>
        <v>2574970.9707053034</v>
      </c>
      <c r="L900">
        <f>IFERROR(VLOOKUP(F900,'LEAID Match'!$A$2:$B$240,2,FALSE),"")</f>
        <v>0</v>
      </c>
    </row>
    <row r="901" spans="1:12" x14ac:dyDescent="0.2">
      <c r="A901">
        <v>0</v>
      </c>
      <c r="B901">
        <v>2023</v>
      </c>
      <c r="C901" s="4" t="s">
        <v>211</v>
      </c>
      <c r="D901" s="4" t="s">
        <v>576</v>
      </c>
      <c r="E901" s="4" t="s">
        <v>578</v>
      </c>
      <c r="F901" s="4" t="s">
        <v>170</v>
      </c>
      <c r="G901" s="8">
        <v>2311128</v>
      </c>
      <c r="I901" s="16" cm="1">
        <f t="array" ref="I901">_xlfn.IFS(B901=2015,G901/$H$1957,B901=2016,G901/$H$1958,B901=2017,G901/$H$1959,B901=2018,G901/$H$1960,B901=2019,G901/$H$1961,B901=2020,G901/$H$1962,B901=2021,G901/$H$1963,B901=2022,G901/$H$1964,B901=2023,G901/$H$1965)</f>
        <v>2.3399930426777778E-3</v>
      </c>
      <c r="J901" s="10" cm="1">
        <f t="array" ref="J901">_xlfn.IFS(B901=2015,I901*$G$2,B901=2016,I901*$G$3,B901=2017,I901*$G$4,B901=2018,I901*$G$5,B901=2019,I901*$G$6,B901=2020,I901*$G$7,B901=2021,I901*$G$8,B901=2022,I901*$G$9,B901=2023,I901*$G$10)</f>
        <v>397764.46381736267</v>
      </c>
      <c r="K901" s="8">
        <f t="shared" si="13"/>
        <v>2708892.4638173627</v>
      </c>
      <c r="L901">
        <f>IFERROR(VLOOKUP(F901,'LEAID Match'!$A$2:$B$240,2,FALSE),"")</f>
        <v>0</v>
      </c>
    </row>
    <row r="902" spans="1:12" x14ac:dyDescent="0.2">
      <c r="A902">
        <v>0</v>
      </c>
      <c r="B902">
        <v>2015</v>
      </c>
      <c r="C902" s="4" t="s">
        <v>212</v>
      </c>
      <c r="D902" s="4" t="s">
        <v>576</v>
      </c>
      <c r="E902" s="4" t="s">
        <v>578</v>
      </c>
      <c r="F902" s="4" t="s">
        <v>171</v>
      </c>
      <c r="G902" s="8">
        <v>1710153</v>
      </c>
      <c r="I902" s="16" cm="1">
        <f t="array" ref="I902">_xlfn.IFS(B902=2015,G902/$H$1957,B902=2016,G902/$H$1958,B902=2017,G902/$H$1959,B902=2018,G902/$H$1960,B902=2019,G902/$H$1961,B902=2020,G902/$H$1962,B902=2021,G902/$H$1963,B902=2022,G902/$H$1964,B902=2023,G902/$H$1965)</f>
        <v>1.3206801734918546E-3</v>
      </c>
      <c r="J902" s="10" cm="1">
        <f t="array" ref="J902">_xlfn.IFS(B902=2015,I902*$G$2,B902=2016,I902*$G$3,B902=2017,I902*$G$4,B902=2018,I902*$G$5,B902=2019,I902*$G$6,B902=2020,I902*$G$7,B902=2021,I902*$G$8,B902=2022,I902*$G$9,B902=2023,I902*$G$10)</f>
        <v>328377.31908846146</v>
      </c>
      <c r="K902" s="8">
        <f t="shared" si="13"/>
        <v>2038530.3190884613</v>
      </c>
      <c r="L902">
        <f>IFERROR(VLOOKUP(F902,'LEAID Match'!$A$2:$B$240,2,FALSE),"")</f>
        <v>0</v>
      </c>
    </row>
    <row r="903" spans="1:12" x14ac:dyDescent="0.2">
      <c r="A903">
        <v>0</v>
      </c>
      <c r="B903">
        <v>2016</v>
      </c>
      <c r="C903" s="4" t="s">
        <v>212</v>
      </c>
      <c r="D903" s="4" t="s">
        <v>576</v>
      </c>
      <c r="E903" s="4" t="s">
        <v>578</v>
      </c>
      <c r="F903" s="4" t="s">
        <v>171</v>
      </c>
      <c r="G903" s="8">
        <v>1793272</v>
      </c>
      <c r="I903" s="16" cm="1">
        <f t="array" ref="I903">_xlfn.IFS(B903=2015,G903/$H$1957,B903=2016,G903/$H$1958,B903=2017,G903/$H$1959,B903=2018,G903/$H$1960,B903=2019,G903/$H$1961,B903=2020,G903/$H$1962,B903=2021,G903/$H$1963,B903=2022,G903/$H$1964,B903=2023,G903/$H$1965)</f>
        <v>1.25887617736455E-3</v>
      </c>
      <c r="J903" s="10" cm="1">
        <f t="array" ref="J903">_xlfn.IFS(B903=2015,I903*$G$2,B903=2016,I903*$G$3,B903=2017,I903*$G$4,B903=2018,I903*$G$5,B903=2019,I903*$G$6,B903=2020,I903*$G$7,B903=2021,I903*$G$8,B903=2022,I903*$G$9,B903=2023,I903*$G$10)</f>
        <v>341411.09663989226</v>
      </c>
      <c r="K903" s="8">
        <f t="shared" si="13"/>
        <v>2134683.0966398921</v>
      </c>
      <c r="L903">
        <f>IFERROR(VLOOKUP(F903,'LEAID Match'!$A$2:$B$240,2,FALSE),"")</f>
        <v>0</v>
      </c>
    </row>
    <row r="904" spans="1:12" x14ac:dyDescent="0.2">
      <c r="A904">
        <v>0</v>
      </c>
      <c r="B904">
        <v>2017</v>
      </c>
      <c r="C904" s="4" t="s">
        <v>212</v>
      </c>
      <c r="D904" s="4" t="s">
        <v>576</v>
      </c>
      <c r="E904" s="4" t="s">
        <v>578</v>
      </c>
      <c r="F904" s="4" t="s">
        <v>171</v>
      </c>
      <c r="G904" s="8">
        <v>879707</v>
      </c>
      <c r="I904" s="16" cm="1">
        <f t="array" ref="I904">_xlfn.IFS(B904=2015,G904/$H$1957,B904=2016,G904/$H$1958,B904=2017,G904/$H$1959,B904=2018,G904/$H$1960,B904=2019,G904/$H$1961,B904=2020,G904/$H$1962,B904=2021,G904/$H$1963,B904=2022,G904/$H$1964,B904=2023,G904/$H$1965)</f>
        <v>1.1737163460529719E-3</v>
      </c>
      <c r="J904" s="10" cm="1">
        <f t="array" ref="J904">_xlfn.IFS(B904=2015,I904*$G$2,B904=2016,I904*$G$3,B904=2017,I904*$G$4,B904=2018,I904*$G$5,B904=2019,I904*$G$6,B904=2020,I904*$G$7,B904=2021,I904*$G$8,B904=2022,I904*$G$9,B904=2023,I904*$G$10)</f>
        <v>173811.64779309553</v>
      </c>
      <c r="K904" s="8">
        <f t="shared" si="13"/>
        <v>1053518.6477930956</v>
      </c>
      <c r="L904">
        <f>IFERROR(VLOOKUP(F904,'LEAID Match'!$A$2:$B$240,2,FALSE),"")</f>
        <v>0</v>
      </c>
    </row>
    <row r="905" spans="1:12" x14ac:dyDescent="0.2">
      <c r="A905">
        <v>0</v>
      </c>
      <c r="B905">
        <v>2018</v>
      </c>
      <c r="C905" s="4" t="s">
        <v>212</v>
      </c>
      <c r="D905" s="4" t="s">
        <v>576</v>
      </c>
      <c r="E905" s="4" t="s">
        <v>578</v>
      </c>
      <c r="F905" s="4" t="s">
        <v>171</v>
      </c>
      <c r="G905" s="8">
        <v>963688</v>
      </c>
      <c r="I905" s="16" cm="1">
        <f t="array" ref="I905">_xlfn.IFS(B905=2015,G905/$H$1957,B905=2016,G905/$H$1958,B905=2017,G905/$H$1959,B905=2018,G905/$H$1960,B905=2019,G905/$H$1961,B905=2020,G905/$H$1962,B905=2021,G905/$H$1963,B905=2022,G905/$H$1964,B905=2023,G905/$H$1965)</f>
        <v>1.239987417618814E-3</v>
      </c>
      <c r="J905" s="10" cm="1">
        <f t="array" ref="J905">_xlfn.IFS(B905=2015,I905*$G$2,B905=2016,I905*$G$3,B905=2017,I905*$G$4,B905=2018,I905*$G$5,B905=2019,I905*$G$6,B905=2020,I905*$G$7,B905=2021,I905*$G$8,B905=2022,I905*$G$9,B905=2023,I905*$G$10)</f>
        <v>186647.77181061063</v>
      </c>
      <c r="K905" s="8">
        <f t="shared" si="13"/>
        <v>1150335.7718106105</v>
      </c>
      <c r="L905">
        <f>IFERROR(VLOOKUP(F905,'LEAID Match'!$A$2:$B$240,2,FALSE),"")</f>
        <v>0</v>
      </c>
    </row>
    <row r="906" spans="1:12" x14ac:dyDescent="0.2">
      <c r="A906">
        <v>0</v>
      </c>
      <c r="B906">
        <v>2019</v>
      </c>
      <c r="C906" s="4" t="s">
        <v>212</v>
      </c>
      <c r="D906" s="4" t="s">
        <v>576</v>
      </c>
      <c r="E906" s="4" t="s">
        <v>578</v>
      </c>
      <c r="F906" s="4" t="s">
        <v>171</v>
      </c>
      <c r="G906" s="8">
        <v>1039992</v>
      </c>
      <c r="I906" s="16" cm="1">
        <f t="array" ref="I906">_xlfn.IFS(B906=2015,G906/$H$1957,B906=2016,G906/$H$1958,B906=2017,G906/$H$1959,B906=2018,G906/$H$1960,B906=2019,G906/$H$1961,B906=2020,G906/$H$1962,B906=2021,G906/$H$1963,B906=2022,G906/$H$1964,B906=2023,G906/$H$1965)</f>
        <v>1.2924985748602241E-3</v>
      </c>
      <c r="J906" s="10" cm="1">
        <f t="array" ref="J906">_xlfn.IFS(B906=2015,I906*$G$2,B906=2016,I906*$G$3,B906=2017,I906*$G$4,B906=2018,I906*$G$5,B906=2019,I906*$G$6,B906=2020,I906*$G$7,B906=2021,I906*$G$8,B906=2022,I906*$G$9,B906=2023,I906*$G$10)</f>
        <v>204251.12247283763</v>
      </c>
      <c r="K906" s="8">
        <f t="shared" si="13"/>
        <v>1244243.1224728376</v>
      </c>
      <c r="L906">
        <f>IFERROR(VLOOKUP(F906,'LEAID Match'!$A$2:$B$240,2,FALSE),"")</f>
        <v>0</v>
      </c>
    </row>
    <row r="907" spans="1:12" x14ac:dyDescent="0.2">
      <c r="A907">
        <v>0</v>
      </c>
      <c r="B907">
        <v>2020</v>
      </c>
      <c r="C907" s="4" t="s">
        <v>212</v>
      </c>
      <c r="D907" s="4" t="s">
        <v>576</v>
      </c>
      <c r="E907" s="4" t="s">
        <v>578</v>
      </c>
      <c r="F907" s="4" t="s">
        <v>171</v>
      </c>
      <c r="G907" s="8">
        <v>1168160</v>
      </c>
      <c r="I907" s="16" cm="1">
        <f t="array" ref="I907">_xlfn.IFS(B907=2015,G907/$H$1957,B907=2016,G907/$H$1958,B907=2017,G907/$H$1959,B907=2018,G907/$H$1960,B907=2019,G907/$H$1961,B907=2020,G907/$H$1962,B907=2021,G907/$H$1963,B907=2022,G907/$H$1964,B907=2023,G907/$H$1965)</f>
        <v>1.3435748496346274E-3</v>
      </c>
      <c r="J907" s="10" cm="1">
        <f t="array" ref="J907">_xlfn.IFS(B907=2015,I907*$G$2,B907=2016,I907*$G$3,B907=2017,I907*$G$4,B907=2018,I907*$G$5,B907=2019,I907*$G$6,B907=2020,I907*$G$7,B907=2021,I907*$G$8,B907=2022,I907*$G$9,B907=2023,I907*$G$10)</f>
        <v>232013.73691537193</v>
      </c>
      <c r="K907" s="8">
        <f t="shared" si="13"/>
        <v>1400173.7369153718</v>
      </c>
      <c r="L907">
        <f>IFERROR(VLOOKUP(F907,'LEAID Match'!$A$2:$B$240,2,FALSE),"")</f>
        <v>0</v>
      </c>
    </row>
    <row r="908" spans="1:12" x14ac:dyDescent="0.2">
      <c r="A908">
        <v>0</v>
      </c>
      <c r="B908">
        <v>2021</v>
      </c>
      <c r="C908" s="4" t="s">
        <v>212</v>
      </c>
      <c r="D908" s="4" t="s">
        <v>576</v>
      </c>
      <c r="E908" s="4" t="s">
        <v>578</v>
      </c>
      <c r="F908" s="4" t="s">
        <v>171</v>
      </c>
      <c r="G908" s="8">
        <v>1278343</v>
      </c>
      <c r="I908" s="16" cm="1">
        <f t="array" ref="I908">_xlfn.IFS(B908=2015,G908/$H$1957,B908=2016,G908/$H$1958,B908=2017,G908/$H$1959,B908=2018,G908/$H$1960,B908=2019,G908/$H$1961,B908=2020,G908/$H$1962,B908=2021,G908/$H$1963,B908=2022,G908/$H$1964,B908=2023,G908/$H$1965)</f>
        <v>1.4608838496367896E-3</v>
      </c>
      <c r="J908" s="10" cm="1">
        <f t="array" ref="J908">_xlfn.IFS(B908=2015,I908*$G$2,B908=2016,I908*$G$3,B908=2017,I908*$G$4,B908=2018,I908*$G$5,B908=2019,I908*$G$6,B908=2020,I908*$G$7,B908=2021,I908*$G$8,B908=2022,I908*$G$9,B908=2023,I908*$G$10)</f>
        <v>250712.26403816557</v>
      </c>
      <c r="K908" s="8">
        <f t="shared" ref="K908:K971" si="14">SUM(G908,J908)</f>
        <v>1529055.2640381656</v>
      </c>
      <c r="L908">
        <f>IFERROR(VLOOKUP(F908,'LEAID Match'!$A$2:$B$240,2,FALSE),"")</f>
        <v>0</v>
      </c>
    </row>
    <row r="909" spans="1:12" x14ac:dyDescent="0.2">
      <c r="A909">
        <v>0</v>
      </c>
      <c r="B909">
        <v>2022</v>
      </c>
      <c r="C909" s="4" t="s">
        <v>212</v>
      </c>
      <c r="D909" s="4" t="s">
        <v>576</v>
      </c>
      <c r="E909" s="4" t="s">
        <v>578</v>
      </c>
      <c r="F909" s="4" t="s">
        <v>171</v>
      </c>
      <c r="G909" s="8">
        <v>1324312</v>
      </c>
      <c r="I909" s="16" cm="1">
        <f t="array" ref="I909">_xlfn.IFS(B909=2015,G909/$H$1957,B909=2016,G909/$H$1958,B909=2017,G909/$H$1959,B909=2018,G909/$H$1960,B909=2019,G909/$H$1961,B909=2020,G909/$H$1962,B909=2021,G909/$H$1963,B909=2022,G909/$H$1964,B909=2023,G909/$H$1965)</f>
        <v>1.4233735940197975E-3</v>
      </c>
      <c r="J909" s="10" cm="1">
        <f t="array" ref="J909">_xlfn.IFS(B909=2015,I909*$G$2,B909=2016,I909*$G$3,B909=2017,I909*$G$4,B909=2018,I909*$G$5,B909=2019,I909*$G$6,B909=2020,I909*$G$7,B909=2021,I909*$G$8,B909=2022,I909*$G$9,B909=2023,I909*$G$10)</f>
        <v>241383.73471130987</v>
      </c>
      <c r="K909" s="8">
        <f t="shared" si="14"/>
        <v>1565695.7347113099</v>
      </c>
      <c r="L909">
        <f>IFERROR(VLOOKUP(F909,'LEAID Match'!$A$2:$B$240,2,FALSE),"")</f>
        <v>0</v>
      </c>
    </row>
    <row r="910" spans="1:12" x14ac:dyDescent="0.2">
      <c r="A910">
        <v>0</v>
      </c>
      <c r="B910">
        <v>2023</v>
      </c>
      <c r="C910" s="4" t="s">
        <v>212</v>
      </c>
      <c r="D910" s="4" t="s">
        <v>576</v>
      </c>
      <c r="E910" s="4" t="s">
        <v>578</v>
      </c>
      <c r="F910" s="4" t="s">
        <v>171</v>
      </c>
      <c r="G910" s="8">
        <v>1446805</v>
      </c>
      <c r="I910" s="16" cm="1">
        <f t="array" ref="I910">_xlfn.IFS(B910=2015,G910/$H$1957,B910=2016,G910/$H$1958,B910=2017,G910/$H$1959,B910=2018,G910/$H$1960,B910=2019,G910/$H$1961,B910=2020,G910/$H$1962,B910=2021,G910/$H$1963,B910=2022,G910/$H$1964,B910=2023,G910/$H$1965)</f>
        <v>1.4648750022116569E-3</v>
      </c>
      <c r="J910" s="10" cm="1">
        <f t="array" ref="J910">_xlfn.IFS(B910=2015,I910*$G$2,B910=2016,I910*$G$3,B910=2017,I910*$G$4,B910=2018,I910*$G$5,B910=2019,I910*$G$6,B910=2020,I910*$G$7,B910=2021,I910*$G$8,B910=2022,I910*$G$9,B910=2023,I910*$G$10)</f>
        <v>249007.24454607419</v>
      </c>
      <c r="K910" s="8">
        <f t="shared" si="14"/>
        <v>1695812.2445460742</v>
      </c>
      <c r="L910">
        <f>IFERROR(VLOOKUP(F910,'LEAID Match'!$A$2:$B$240,2,FALSE),"")</f>
        <v>0</v>
      </c>
    </row>
    <row r="911" spans="1:12" x14ac:dyDescent="0.2">
      <c r="A911">
        <v>0</v>
      </c>
      <c r="B911">
        <v>2015</v>
      </c>
      <c r="C911" s="4" t="s">
        <v>213</v>
      </c>
      <c r="D911" s="4" t="s">
        <v>576</v>
      </c>
      <c r="E911" s="4" t="s">
        <v>578</v>
      </c>
      <c r="F911" s="4" t="s">
        <v>172</v>
      </c>
      <c r="G911" s="8">
        <v>1368138</v>
      </c>
      <c r="I911" s="16" cm="1">
        <f t="array" ref="I911">_xlfn.IFS(B911=2015,G911/$H$1957,B911=2016,G911/$H$1958,B911=2017,G911/$H$1959,B911=2018,G911/$H$1960,B911=2019,G911/$H$1961,B911=2020,G911/$H$1962,B911=2021,G911/$H$1963,B911=2022,G911/$H$1964,B911=2023,G911/$H$1965)</f>
        <v>1.0565561860259281E-3</v>
      </c>
      <c r="J911" s="10" cm="1">
        <f t="array" ref="J911">_xlfn.IFS(B911=2015,I911*$G$2,B911=2016,I911*$G$3,B911=2017,I911*$G$4,B911=2018,I911*$G$5,B911=2019,I911*$G$6,B911=2020,I911*$G$7,B911=2021,I911*$G$8,B911=2022,I911*$G$9,B911=2023,I911*$G$10)</f>
        <v>262704.8507256658</v>
      </c>
      <c r="K911" s="8">
        <f t="shared" si="14"/>
        <v>1630842.8507256657</v>
      </c>
      <c r="L911">
        <f>IFERROR(VLOOKUP(F911,'LEAID Match'!$A$2:$B$240,2,FALSE),"")</f>
        <v>0</v>
      </c>
    </row>
    <row r="912" spans="1:12" x14ac:dyDescent="0.2">
      <c r="A912">
        <v>0</v>
      </c>
      <c r="B912">
        <v>2016</v>
      </c>
      <c r="C912" s="4" t="s">
        <v>213</v>
      </c>
      <c r="D912" s="4" t="s">
        <v>576</v>
      </c>
      <c r="E912" s="4" t="s">
        <v>578</v>
      </c>
      <c r="F912" s="4" t="s">
        <v>172</v>
      </c>
      <c r="G912" s="8">
        <v>1492242</v>
      </c>
      <c r="I912" s="16" cm="1">
        <f t="array" ref="I912">_xlfn.IFS(B912=2015,G912/$H$1957,B912=2016,G912/$H$1958,B912=2017,G912/$H$1959,B912=2018,G912/$H$1960,B912=2019,G912/$H$1961,B912=2020,G912/$H$1962,B912=2021,G912/$H$1963,B912=2022,G912/$H$1964,B912=2023,G912/$H$1965)</f>
        <v>1.0475532460568341E-3</v>
      </c>
      <c r="J912" s="10" cm="1">
        <f t="array" ref="J912">_xlfn.IFS(B912=2015,I912*$G$2,B912=2016,I912*$G$3,B912=2017,I912*$G$4,B912=2018,I912*$G$5,B912=2019,I912*$G$6,B912=2020,I912*$G$7,B912=2021,I912*$G$8,B912=2022,I912*$G$9,B912=2023,I912*$G$10)</f>
        <v>284099.66679461126</v>
      </c>
      <c r="K912" s="8">
        <f t="shared" si="14"/>
        <v>1776341.6667946111</v>
      </c>
      <c r="L912">
        <f>IFERROR(VLOOKUP(F912,'LEAID Match'!$A$2:$B$240,2,FALSE),"")</f>
        <v>0</v>
      </c>
    </row>
    <row r="913" spans="1:12" x14ac:dyDescent="0.2">
      <c r="A913">
        <v>0</v>
      </c>
      <c r="B913">
        <v>2017</v>
      </c>
      <c r="C913" s="4" t="s">
        <v>213</v>
      </c>
      <c r="D913" s="4" t="s">
        <v>576</v>
      </c>
      <c r="E913" s="4" t="s">
        <v>578</v>
      </c>
      <c r="F913" s="4" t="s">
        <v>172</v>
      </c>
      <c r="G913" s="8">
        <v>754578</v>
      </c>
      <c r="I913" s="16" cm="1">
        <f t="array" ref="I913">_xlfn.IFS(B913=2015,G913/$H$1957,B913=2016,G913/$H$1958,B913=2017,G913/$H$1959,B913=2018,G913/$H$1960,B913=2019,G913/$H$1961,B913=2020,G913/$H$1962,B913=2021,G913/$H$1963,B913=2022,G913/$H$1964,B913=2023,G913/$H$1965)</f>
        <v>1.0067676316909602E-3</v>
      </c>
      <c r="J913" s="10" cm="1">
        <f t="array" ref="J913">_xlfn.IFS(B913=2015,I913*$G$2,B913=2016,I913*$G$3,B913=2017,I913*$G$4,B913=2018,I913*$G$5,B913=2019,I913*$G$6,B913=2020,I913*$G$7,B913=2021,I913*$G$8,B913=2022,I913*$G$9,B913=2023,I913*$G$10)</f>
        <v>149088.78247918733</v>
      </c>
      <c r="K913" s="8">
        <f t="shared" si="14"/>
        <v>903666.78247918736</v>
      </c>
      <c r="L913">
        <f>IFERROR(VLOOKUP(F913,'LEAID Match'!$A$2:$B$240,2,FALSE),"")</f>
        <v>0</v>
      </c>
    </row>
    <row r="914" spans="1:12" x14ac:dyDescent="0.2">
      <c r="A914">
        <v>0</v>
      </c>
      <c r="B914">
        <v>2018</v>
      </c>
      <c r="C914" s="4" t="s">
        <v>213</v>
      </c>
      <c r="D914" s="4" t="s">
        <v>576</v>
      </c>
      <c r="E914" s="4" t="s">
        <v>578</v>
      </c>
      <c r="F914" s="4" t="s">
        <v>172</v>
      </c>
      <c r="G914" s="8">
        <v>762920</v>
      </c>
      <c r="I914" s="16" cm="1">
        <f t="array" ref="I914">_xlfn.IFS(B914=2015,G914/$H$1957,B914=2016,G914/$H$1958,B914=2017,G914/$H$1959,B914=2018,G914/$H$1960,B914=2019,G914/$H$1961,B914=2020,G914/$H$1962,B914=2021,G914/$H$1963,B914=2022,G914/$H$1964,B914=2023,G914/$H$1965)</f>
        <v>9.8165713451837684E-4</v>
      </c>
      <c r="J914" s="10" cm="1">
        <f t="array" ref="J914">_xlfn.IFS(B914=2015,I914*$G$2,B914=2016,I914*$G$3,B914=2017,I914*$G$4,B914=2018,I914*$G$5,B914=2019,I914*$G$6,B914=2020,I914*$G$7,B914=2021,I914*$G$8,B914=2022,I914*$G$9,B914=2023,I914*$G$10)</f>
        <v>147762.88391030193</v>
      </c>
      <c r="K914" s="8">
        <f t="shared" si="14"/>
        <v>910682.88391030196</v>
      </c>
      <c r="L914">
        <f>IFERROR(VLOOKUP(F914,'LEAID Match'!$A$2:$B$240,2,FALSE),"")</f>
        <v>0</v>
      </c>
    </row>
    <row r="915" spans="1:12" x14ac:dyDescent="0.2">
      <c r="A915">
        <v>0</v>
      </c>
      <c r="B915">
        <v>2019</v>
      </c>
      <c r="C915" s="4" t="s">
        <v>213</v>
      </c>
      <c r="D915" s="4" t="s">
        <v>576</v>
      </c>
      <c r="E915" s="4" t="s">
        <v>578</v>
      </c>
      <c r="F915" s="4" t="s">
        <v>172</v>
      </c>
      <c r="G915" s="8">
        <v>756578</v>
      </c>
      <c r="I915" s="16" cm="1">
        <f t="array" ref="I915">_xlfn.IFS(B915=2015,G915/$H$1957,B915=2016,G915/$H$1958,B915=2017,G915/$H$1959,B915=2018,G915/$H$1960,B915=2019,G915/$H$1961,B915=2020,G915/$H$1962,B915=2021,G915/$H$1963,B915=2022,G915/$H$1964,B915=2023,G915/$H$1965)</f>
        <v>9.4027260476099684E-4</v>
      </c>
      <c r="J915" s="10" cm="1">
        <f t="array" ref="J915">_xlfn.IFS(B915=2015,I915*$G$2,B915=2016,I915*$G$3,B915=2017,I915*$G$4,B915=2018,I915*$G$5,B915=2019,I915*$G$6,B915=2020,I915*$G$7,B915=2021,I915*$G$8,B915=2022,I915*$G$9,B915=2023,I915*$G$10)</f>
        <v>148589.51389842859</v>
      </c>
      <c r="K915" s="8">
        <f t="shared" si="14"/>
        <v>905167.51389842853</v>
      </c>
      <c r="L915">
        <f>IFERROR(VLOOKUP(F915,'LEAID Match'!$A$2:$B$240,2,FALSE),"")</f>
        <v>0</v>
      </c>
    </row>
    <row r="916" spans="1:12" x14ac:dyDescent="0.2">
      <c r="A916">
        <v>0</v>
      </c>
      <c r="B916">
        <v>2020</v>
      </c>
      <c r="C916" s="4" t="s">
        <v>213</v>
      </c>
      <c r="D916" s="4" t="s">
        <v>576</v>
      </c>
      <c r="E916" s="4" t="s">
        <v>578</v>
      </c>
      <c r="F916" s="4" t="s">
        <v>172</v>
      </c>
      <c r="G916" s="8">
        <v>790571</v>
      </c>
      <c r="I916" s="16" cm="1">
        <f t="array" ref="I916">_xlfn.IFS(B916=2015,G916/$H$1957,B916=2016,G916/$H$1958,B916=2017,G916/$H$1959,B916=2018,G916/$H$1960,B916=2019,G916/$H$1961,B916=2020,G916/$H$1962,B916=2021,G916/$H$1963,B916=2022,G916/$H$1964,B916=2023,G916/$H$1965)</f>
        <v>9.092858105486381E-4</v>
      </c>
      <c r="J916" s="10" cm="1">
        <f t="array" ref="J916">_xlfn.IFS(B916=2015,I916*$G$2,B916=2016,I916*$G$3,B916=2017,I916*$G$4,B916=2018,I916*$G$5,B916=2019,I916*$G$6,B916=2020,I916*$G$7,B916=2021,I916*$G$8,B916=2022,I916*$G$9,B916=2023,I916*$G$10)</f>
        <v>157019.0145244851</v>
      </c>
      <c r="K916" s="8">
        <f t="shared" si="14"/>
        <v>947590.0145244851</v>
      </c>
      <c r="L916">
        <f>IFERROR(VLOOKUP(F916,'LEAID Match'!$A$2:$B$240,2,FALSE),"")</f>
        <v>0</v>
      </c>
    </row>
    <row r="917" spans="1:12" x14ac:dyDescent="0.2">
      <c r="A917">
        <v>0</v>
      </c>
      <c r="B917">
        <v>2021</v>
      </c>
      <c r="C917" s="4" t="s">
        <v>213</v>
      </c>
      <c r="D917" s="4" t="s">
        <v>576</v>
      </c>
      <c r="E917" s="4" t="s">
        <v>578</v>
      </c>
      <c r="F917" s="4" t="s">
        <v>172</v>
      </c>
      <c r="G917" s="8">
        <v>707666</v>
      </c>
      <c r="I917" s="16" cm="1">
        <f t="array" ref="I917">_xlfn.IFS(B917=2015,G917/$H$1957,B917=2016,G917/$H$1958,B917=2017,G917/$H$1959,B917=2018,G917/$H$1960,B917=2019,G917/$H$1961,B917=2020,G917/$H$1962,B917=2021,G917/$H$1963,B917=2022,G917/$H$1964,B917=2023,G917/$H$1965)</f>
        <v>8.0871708949559575E-4</v>
      </c>
      <c r="J917" s="10" cm="1">
        <f t="array" ref="J917">_xlfn.IFS(B917=2015,I917*$G$2,B917=2016,I917*$G$3,B917=2017,I917*$G$4,B917=2018,I917*$G$5,B917=2019,I917*$G$6,B917=2020,I917*$G$7,B917=2021,I917*$G$8,B917=2022,I917*$G$9,B917=2023,I917*$G$10)</f>
        <v>138789.46811836297</v>
      </c>
      <c r="K917" s="8">
        <f t="shared" si="14"/>
        <v>846455.46811836294</v>
      </c>
      <c r="L917">
        <f>IFERROR(VLOOKUP(F917,'LEAID Match'!$A$2:$B$240,2,FALSE),"")</f>
        <v>0</v>
      </c>
    </row>
    <row r="918" spans="1:12" x14ac:dyDescent="0.2">
      <c r="A918">
        <v>0</v>
      </c>
      <c r="B918">
        <v>2022</v>
      </c>
      <c r="C918" s="4" t="s">
        <v>213</v>
      </c>
      <c r="D918" s="4" t="s">
        <v>576</v>
      </c>
      <c r="E918" s="4" t="s">
        <v>578</v>
      </c>
      <c r="F918" s="4" t="s">
        <v>172</v>
      </c>
      <c r="G918" s="8">
        <v>769149</v>
      </c>
      <c r="I918" s="16" cm="1">
        <f t="array" ref="I918">_xlfn.IFS(B918=2015,G918/$H$1957,B918=2016,G918/$H$1958,B918=2017,G918/$H$1959,B918=2018,G918/$H$1960,B918=2019,G918/$H$1961,B918=2020,G918/$H$1962,B918=2021,G918/$H$1963,B918=2022,G918/$H$1964,B918=2023,G918/$H$1965)</f>
        <v>8.2668312034228576E-4</v>
      </c>
      <c r="J918" s="10" cm="1">
        <f t="array" ref="J918">_xlfn.IFS(B918=2015,I918*$G$2,B918=2016,I918*$G$3,B918=2017,I918*$G$4,B918=2018,I918*$G$5,B918=2019,I918*$G$6,B918=2020,I918*$G$7,B918=2021,I918*$G$8,B918=2022,I918*$G$9,B918=2023,I918*$G$10)</f>
        <v>140193.59348059163</v>
      </c>
      <c r="K918" s="8">
        <f t="shared" si="14"/>
        <v>909342.59348059166</v>
      </c>
      <c r="L918">
        <f>IFERROR(VLOOKUP(F918,'LEAID Match'!$A$2:$B$240,2,FALSE),"")</f>
        <v>0</v>
      </c>
    </row>
    <row r="919" spans="1:12" x14ac:dyDescent="0.2">
      <c r="A919">
        <v>0</v>
      </c>
      <c r="B919">
        <v>2023</v>
      </c>
      <c r="C919" s="4" t="s">
        <v>213</v>
      </c>
      <c r="D919" s="4" t="s">
        <v>576</v>
      </c>
      <c r="E919" s="4" t="s">
        <v>578</v>
      </c>
      <c r="F919" s="4" t="s">
        <v>172</v>
      </c>
      <c r="G919" s="8">
        <v>799514</v>
      </c>
      <c r="I919" s="16" cm="1">
        <f t="array" ref="I919">_xlfn.IFS(B919=2015,G919/$H$1957,B919=2016,G919/$H$1958,B919=2017,G919/$H$1959,B919=2018,G919/$H$1960,B919=2019,G919/$H$1961,B919=2020,G919/$H$1962,B919=2021,G919/$H$1963,B919=2022,G919/$H$1964,B919=2023,G919/$H$1965)</f>
        <v>8.0949960258517954E-4</v>
      </c>
      <c r="J919" s="10" cm="1">
        <f t="array" ref="J919">_xlfn.IFS(B919=2015,I919*$G$2,B919=2016,I919*$G$3,B919=2017,I919*$G$4,B919=2018,I919*$G$5,B919=2019,I919*$G$6,B919=2020,I919*$G$7,B919=2021,I919*$G$8,B919=2022,I919*$G$9,B919=2023,I919*$G$10)</f>
        <v>137603.04817581497</v>
      </c>
      <c r="K919" s="8">
        <f t="shared" si="14"/>
        <v>937117.04817581503</v>
      </c>
      <c r="L919">
        <f>IFERROR(VLOOKUP(F919,'LEAID Match'!$A$2:$B$240,2,FALSE),"")</f>
        <v>0</v>
      </c>
    </row>
    <row r="920" spans="1:12" x14ac:dyDescent="0.2">
      <c r="A920">
        <v>0</v>
      </c>
      <c r="B920">
        <v>2015</v>
      </c>
      <c r="C920" s="4" t="s">
        <v>214</v>
      </c>
      <c r="D920" s="4" t="s">
        <v>576</v>
      </c>
      <c r="E920" s="4" t="s">
        <v>578</v>
      </c>
      <c r="F920" s="4" t="s">
        <v>173</v>
      </c>
      <c r="G920" s="8">
        <v>5174550</v>
      </c>
      <c r="I920" s="16" cm="1">
        <f t="array" ref="I920">_xlfn.IFS(B920=2015,G920/$H$1957,B920=2016,G920/$H$1958,B920=2017,G920/$H$1959,B920=2018,G920/$H$1960,B920=2019,G920/$H$1961,B920=2020,G920/$H$1962,B920=2021,G920/$H$1963,B920=2022,G920/$H$1964,B920=2023,G920/$H$1965)</f>
        <v>3.9960901695592597E-3</v>
      </c>
      <c r="J920" s="10" cm="1">
        <f t="array" ref="J920">_xlfn.IFS(B920=2015,I920*$G$2,B920=2016,I920*$G$3,B920=2017,I920*$G$4,B920=2018,I920*$G$5,B920=2019,I920*$G$6,B920=2020,I920*$G$7,B920=2021,I920*$G$8,B920=2022,I920*$G$9,B920=2023,I920*$G$10)</f>
        <v>993598.14969140093</v>
      </c>
      <c r="K920" s="8">
        <f t="shared" si="14"/>
        <v>6168148.149691401</v>
      </c>
      <c r="L920">
        <f>IFERROR(VLOOKUP(F920,'LEAID Match'!$A$2:$B$240,2,FALSE),"")</f>
        <v>0</v>
      </c>
    </row>
    <row r="921" spans="1:12" x14ac:dyDescent="0.2">
      <c r="A921">
        <v>0</v>
      </c>
      <c r="B921">
        <v>2016</v>
      </c>
      <c r="C921" s="4" t="s">
        <v>214</v>
      </c>
      <c r="D921" s="4" t="s">
        <v>576</v>
      </c>
      <c r="E921" s="4" t="s">
        <v>578</v>
      </c>
      <c r="F921" s="4" t="s">
        <v>173</v>
      </c>
      <c r="G921" s="8">
        <v>5468465</v>
      </c>
      <c r="I921" s="16" cm="1">
        <f t="array" ref="I921">_xlfn.IFS(B921=2015,G921/$H$1957,B921=2016,G921/$H$1958,B921=2017,G921/$H$1959,B921=2018,G921/$H$1960,B921=2019,G921/$H$1961,B921=2020,G921/$H$1962,B921=2021,G921/$H$1963,B921=2022,G921/$H$1964,B921=2023,G921/$H$1965)</f>
        <v>3.8388600921956256E-3</v>
      </c>
      <c r="J921" s="10" cm="1">
        <f t="array" ref="J921">_xlfn.IFS(B921=2015,I921*$G$2,B921=2016,I921*$G$3,B921=2017,I921*$G$4,B921=2018,I921*$G$5,B921=2019,I921*$G$6,B921=2020,I921*$G$7,B921=2021,I921*$G$8,B921=2022,I921*$G$9,B921=2023,I921*$G$10)</f>
        <v>1041110.6806925377</v>
      </c>
      <c r="K921" s="8">
        <f t="shared" si="14"/>
        <v>6509575.6806925377</v>
      </c>
      <c r="L921">
        <f>IFERROR(VLOOKUP(F921,'LEAID Match'!$A$2:$B$240,2,FALSE),"")</f>
        <v>0</v>
      </c>
    </row>
    <row r="922" spans="1:12" x14ac:dyDescent="0.2">
      <c r="A922">
        <v>0</v>
      </c>
      <c r="B922">
        <v>2017</v>
      </c>
      <c r="C922" s="4" t="s">
        <v>214</v>
      </c>
      <c r="D922" s="4" t="s">
        <v>576</v>
      </c>
      <c r="E922" s="4" t="s">
        <v>578</v>
      </c>
      <c r="F922" s="4" t="s">
        <v>173</v>
      </c>
      <c r="G922" s="8">
        <v>2685528</v>
      </c>
      <c r="I922" s="16" cm="1">
        <f t="array" ref="I922">_xlfn.IFS(B922=2015,G922/$H$1957,B922=2016,G922/$H$1958,B922=2017,G922/$H$1959,B922=2018,G922/$H$1960,B922=2019,G922/$H$1961,B922=2020,G922/$H$1962,B922=2021,G922/$H$1963,B922=2022,G922/$H$1964,B922=2023,G922/$H$1965)</f>
        <v>3.5830658519063118E-3</v>
      </c>
      <c r="J922" s="10" cm="1">
        <f t="array" ref="J922">_xlfn.IFS(B922=2015,I922*$G$2,B922=2016,I922*$G$3,B922=2017,I922*$G$4,B922=2018,I922*$G$5,B922=2019,I922*$G$6,B922=2020,I922*$G$7,B922=2021,I922*$G$8,B922=2022,I922*$G$9,B922=2023,I922*$G$10)</f>
        <v>530603.99300505314</v>
      </c>
      <c r="K922" s="8">
        <f t="shared" si="14"/>
        <v>3216131.9930050531</v>
      </c>
      <c r="L922">
        <f>IFERROR(VLOOKUP(F922,'LEAID Match'!$A$2:$B$240,2,FALSE),"")</f>
        <v>0</v>
      </c>
    </row>
    <row r="923" spans="1:12" x14ac:dyDescent="0.2">
      <c r="A923">
        <v>0</v>
      </c>
      <c r="B923">
        <v>2018</v>
      </c>
      <c r="C923" s="4" t="s">
        <v>214</v>
      </c>
      <c r="D923" s="4" t="s">
        <v>576</v>
      </c>
      <c r="E923" s="4" t="s">
        <v>578</v>
      </c>
      <c r="F923" s="4" t="s">
        <v>173</v>
      </c>
      <c r="G923" s="8">
        <v>2831359</v>
      </c>
      <c r="I923" s="16" cm="1">
        <f t="array" ref="I923">_xlfn.IFS(B923=2015,G923/$H$1957,B923=2016,G923/$H$1958,B923=2017,G923/$H$1959,B923=2018,G923/$H$1960,B923=2019,G923/$H$1961,B923=2020,G923/$H$1962,B923=2021,G923/$H$1963,B923=2022,G923/$H$1964,B923=2023,G923/$H$1965)</f>
        <v>3.6431392055953664E-3</v>
      </c>
      <c r="J923" s="10" cm="1">
        <f t="array" ref="J923">_xlfn.IFS(B923=2015,I923*$G$2,B923=2016,I923*$G$3,B923=2017,I923*$G$4,B923=2018,I923*$G$5,B923=2019,I923*$G$6,B923=2020,I923*$G$7,B923=2021,I923*$G$8,B923=2022,I923*$G$9,B923=2023,I923*$G$10)</f>
        <v>548379.6089044573</v>
      </c>
      <c r="K923" s="8">
        <f t="shared" si="14"/>
        <v>3379738.6089044572</v>
      </c>
      <c r="L923">
        <f>IFERROR(VLOOKUP(F923,'LEAID Match'!$A$2:$B$240,2,FALSE),"")</f>
        <v>0</v>
      </c>
    </row>
    <row r="924" spans="1:12" x14ac:dyDescent="0.2">
      <c r="A924">
        <v>0</v>
      </c>
      <c r="B924">
        <v>2019</v>
      </c>
      <c r="C924" s="4" t="s">
        <v>214</v>
      </c>
      <c r="D924" s="4" t="s">
        <v>576</v>
      </c>
      <c r="E924" s="4" t="s">
        <v>578</v>
      </c>
      <c r="F924" s="4" t="s">
        <v>173</v>
      </c>
      <c r="G924" s="8">
        <v>3018752</v>
      </c>
      <c r="I924" s="16" cm="1">
        <f t="array" ref="I924">_xlfn.IFS(B924=2015,G924/$H$1957,B924=2016,G924/$H$1958,B924=2017,G924/$H$1959,B924=2018,G924/$H$1960,B924=2019,G924/$H$1961,B924=2020,G924/$H$1962,B924=2021,G924/$H$1963,B924=2022,G924/$H$1964,B924=2023,G924/$H$1965)</f>
        <v>3.7516948763610214E-3</v>
      </c>
      <c r="J924" s="10" cm="1">
        <f t="array" ref="J924">_xlfn.IFS(B924=2015,I924*$G$2,B924=2016,I924*$G$3,B924=2017,I924*$G$4,B924=2018,I924*$G$5,B924=2019,I924*$G$6,B924=2020,I924*$G$7,B924=2021,I924*$G$8,B924=2022,I924*$G$9,B924=2023,I924*$G$10)</f>
        <v>592873.29562835442</v>
      </c>
      <c r="K924" s="8">
        <f t="shared" si="14"/>
        <v>3611625.2956283544</v>
      </c>
      <c r="L924">
        <f>IFERROR(VLOOKUP(F924,'LEAID Match'!$A$2:$B$240,2,FALSE),"")</f>
        <v>0</v>
      </c>
    </row>
    <row r="925" spans="1:12" x14ac:dyDescent="0.2">
      <c r="A925">
        <v>0</v>
      </c>
      <c r="B925">
        <v>2020</v>
      </c>
      <c r="C925" s="4" t="s">
        <v>214</v>
      </c>
      <c r="D925" s="4" t="s">
        <v>576</v>
      </c>
      <c r="E925" s="4" t="s">
        <v>578</v>
      </c>
      <c r="F925" s="4" t="s">
        <v>173</v>
      </c>
      <c r="G925" s="8">
        <v>3275434</v>
      </c>
      <c r="I925" s="16" cm="1">
        <f t="array" ref="I925">_xlfn.IFS(B925=2015,G925/$H$1957,B925=2016,G925/$H$1958,B925=2017,G925/$H$1959,B925=2018,G925/$H$1960,B925=2019,G925/$H$1961,B925=2020,G925/$H$1962,B925=2021,G925/$H$1963,B925=2022,G925/$H$1964,B925=2023,G925/$H$1965)</f>
        <v>3.7672842282205745E-3</v>
      </c>
      <c r="J925" s="10" cm="1">
        <f t="array" ref="J925">_xlfn.IFS(B925=2015,I925*$G$2,B925=2016,I925*$G$3,B925=2017,I925*$G$4,B925=2018,I925*$G$5,B925=2019,I925*$G$6,B925=2020,I925*$G$7,B925=2021,I925*$G$8,B925=2022,I925*$G$9,B925=2023,I925*$G$10)</f>
        <v>650549.31033391354</v>
      </c>
      <c r="K925" s="8">
        <f t="shared" si="14"/>
        <v>3925983.3103339137</v>
      </c>
      <c r="L925">
        <f>IFERROR(VLOOKUP(F925,'LEAID Match'!$A$2:$B$240,2,FALSE),"")</f>
        <v>0</v>
      </c>
    </row>
    <row r="926" spans="1:12" x14ac:dyDescent="0.2">
      <c r="A926">
        <v>0</v>
      </c>
      <c r="B926">
        <v>2021</v>
      </c>
      <c r="C926" s="4" t="s">
        <v>214</v>
      </c>
      <c r="D926" s="4" t="s">
        <v>576</v>
      </c>
      <c r="E926" s="4" t="s">
        <v>578</v>
      </c>
      <c r="F926" s="4" t="s">
        <v>173</v>
      </c>
      <c r="G926" s="8">
        <v>3316278</v>
      </c>
      <c r="I926" s="16" cm="1">
        <f t="array" ref="I926">_xlfn.IFS(B926=2015,G926/$H$1957,B926=2016,G926/$H$1958,B926=2017,G926/$H$1959,B926=2018,G926/$H$1960,B926=2019,G926/$H$1961,B926=2020,G926/$H$1962,B926=2021,G926/$H$1963,B926=2022,G926/$H$1964,B926=2023,G926/$H$1965)</f>
        <v>3.7898255562910685E-3</v>
      </c>
      <c r="J926" s="10" cm="1">
        <f t="array" ref="J926">_xlfn.IFS(B926=2015,I926*$G$2,B926=2016,I926*$G$3,B926=2017,I926*$G$4,B926=2018,I926*$G$5,B926=2019,I926*$G$6,B926=2020,I926*$G$7,B926=2021,I926*$G$8,B926=2022,I926*$G$9,B926=2023,I926*$G$10)</f>
        <v>650397.87096261303</v>
      </c>
      <c r="K926" s="8">
        <f t="shared" si="14"/>
        <v>3966675.8709626133</v>
      </c>
      <c r="L926">
        <f>IFERROR(VLOOKUP(F926,'LEAID Match'!$A$2:$B$240,2,FALSE),"")</f>
        <v>0</v>
      </c>
    </row>
    <row r="927" spans="1:12" x14ac:dyDescent="0.2">
      <c r="A927">
        <v>0</v>
      </c>
      <c r="B927">
        <v>2022</v>
      </c>
      <c r="C927" s="4" t="s">
        <v>214</v>
      </c>
      <c r="D927" s="4" t="s">
        <v>576</v>
      </c>
      <c r="E927" s="4" t="s">
        <v>578</v>
      </c>
      <c r="F927" s="4" t="s">
        <v>173</v>
      </c>
      <c r="G927" s="8">
        <v>3469742</v>
      </c>
      <c r="I927" s="16" cm="1">
        <f t="array" ref="I927">_xlfn.IFS(B927=2015,G927/$H$1957,B927=2016,G927/$H$1958,B927=2017,G927/$H$1959,B927=2018,G927/$H$1960,B927=2019,G927/$H$1961,B927=2020,G927/$H$1962,B927=2021,G927/$H$1963,B927=2022,G927/$H$1964,B927=2023,G927/$H$1965)</f>
        <v>3.7292867095227106E-3</v>
      </c>
      <c r="J927" s="10" cm="1">
        <f t="array" ref="J927">_xlfn.IFS(B927=2015,I927*$G$2,B927=2016,I927*$G$3,B927=2017,I927*$G$4,B927=2018,I927*$G$5,B927=2019,I927*$G$6,B927=2020,I927*$G$7,B927=2021,I927*$G$8,B927=2022,I927*$G$9,B927=2023,I927*$G$10)</f>
        <v>632433.50694148336</v>
      </c>
      <c r="K927" s="8">
        <f t="shared" si="14"/>
        <v>4102175.5069414834</v>
      </c>
      <c r="L927">
        <f>IFERROR(VLOOKUP(F927,'LEAID Match'!$A$2:$B$240,2,FALSE),"")</f>
        <v>0</v>
      </c>
    </row>
    <row r="928" spans="1:12" x14ac:dyDescent="0.2">
      <c r="A928">
        <v>0</v>
      </c>
      <c r="B928">
        <v>2023</v>
      </c>
      <c r="C928" s="4" t="s">
        <v>214</v>
      </c>
      <c r="D928" s="4" t="s">
        <v>576</v>
      </c>
      <c r="E928" s="4" t="s">
        <v>578</v>
      </c>
      <c r="F928" s="4" t="s">
        <v>173</v>
      </c>
      <c r="G928" s="8">
        <v>3672434</v>
      </c>
      <c r="I928" s="16" cm="1">
        <f t="array" ref="I928">_xlfn.IFS(B928=2015,G928/$H$1957,B928=2016,G928/$H$1958,B928=2017,G928/$H$1959,B928=2018,G928/$H$1960,B928=2019,G928/$H$1961,B928=2020,G928/$H$1962,B928=2021,G928/$H$1963,B928=2022,G928/$H$1964,B928=2023,G928/$H$1965)</f>
        <v>3.7183011973777836E-3</v>
      </c>
      <c r="J928" s="10" cm="1">
        <f t="array" ref="J928">_xlfn.IFS(B928=2015,I928*$G$2,B928=2016,I928*$G$3,B928=2017,I928*$G$4,B928=2018,I928*$G$5,B928=2019,I928*$G$6,B928=2020,I928*$G$7,B928=2021,I928*$G$8,B928=2022,I928*$G$9,B928=2023,I928*$G$10)</f>
        <v>632056.61517434451</v>
      </c>
      <c r="K928" s="8">
        <f t="shared" si="14"/>
        <v>4304490.6151743447</v>
      </c>
      <c r="L928">
        <f>IFERROR(VLOOKUP(F928,'LEAID Match'!$A$2:$B$240,2,FALSE),"")</f>
        <v>0</v>
      </c>
    </row>
    <row r="929" spans="1:12" x14ac:dyDescent="0.2">
      <c r="A929">
        <v>0</v>
      </c>
      <c r="B929">
        <v>2015</v>
      </c>
      <c r="C929" s="4" t="s">
        <v>215</v>
      </c>
      <c r="D929" s="4" t="s">
        <v>576</v>
      </c>
      <c r="E929" s="4" t="s">
        <v>578</v>
      </c>
      <c r="F929" s="4" t="s">
        <v>174</v>
      </c>
      <c r="G929" s="8">
        <v>982127</v>
      </c>
      <c r="I929" s="16" cm="1">
        <f t="array" ref="I929">_xlfn.IFS(B929=2015,G929/$H$1957,B929=2016,G929/$H$1958,B929=2017,G929/$H$1959,B929=2018,G929/$H$1960,B929=2019,G929/$H$1961,B929=2020,G929/$H$1962,B929=2021,G929/$H$1963,B929=2022,G929/$H$1964,B929=2023,G929/$H$1965)</f>
        <v>7.584559140328583E-4</v>
      </c>
      <c r="J929" s="10" cm="1">
        <f t="array" ref="J929">_xlfn.IFS(B929=2015,I929*$G$2,B929=2016,I929*$G$3,B929=2017,I929*$G$4,B929=2018,I929*$G$5,B929=2019,I929*$G$6,B929=2020,I929*$G$7,B929=2021,I929*$G$8,B929=2022,I929*$G$9,B929=2023,I929*$G$10)</f>
        <v>188584.43148910851</v>
      </c>
      <c r="K929" s="8">
        <f t="shared" si="14"/>
        <v>1170711.4314891086</v>
      </c>
      <c r="L929">
        <f>IFERROR(VLOOKUP(F929,'LEAID Match'!$A$2:$B$240,2,FALSE),"")</f>
        <v>0</v>
      </c>
    </row>
    <row r="930" spans="1:12" x14ac:dyDescent="0.2">
      <c r="A930">
        <v>0</v>
      </c>
      <c r="B930">
        <v>2016</v>
      </c>
      <c r="C930" s="4" t="s">
        <v>215</v>
      </c>
      <c r="D930" s="4" t="s">
        <v>576</v>
      </c>
      <c r="E930" s="4" t="s">
        <v>578</v>
      </c>
      <c r="F930" s="4" t="s">
        <v>174</v>
      </c>
      <c r="G930" s="8">
        <v>1036691</v>
      </c>
      <c r="I930" s="16" cm="1">
        <f t="array" ref="I930">_xlfn.IFS(B930=2015,G930/$H$1957,B930=2016,G930/$H$1958,B930=2017,G930/$H$1959,B930=2018,G930/$H$1960,B930=2019,G930/$H$1961,B930=2020,G930/$H$1962,B930=2021,G930/$H$1963,B930=2022,G930/$H$1964,B930=2023,G930/$H$1965)</f>
        <v>7.277566388078511E-4</v>
      </c>
      <c r="J930" s="10" cm="1">
        <f t="array" ref="J930">_xlfn.IFS(B930=2015,I930*$G$2,B930=2016,I930*$G$3,B930=2017,I930*$G$4,B930=2018,I930*$G$5,B930=2019,I930*$G$6,B930=2020,I930*$G$7,B930=2021,I930*$G$8,B930=2022,I930*$G$9,B930=2023,I930*$G$10)</f>
        <v>197369.84193513673</v>
      </c>
      <c r="K930" s="8">
        <f t="shared" si="14"/>
        <v>1234060.8419351368</v>
      </c>
      <c r="L930">
        <f>IFERROR(VLOOKUP(F930,'LEAID Match'!$A$2:$B$240,2,FALSE),"")</f>
        <v>0</v>
      </c>
    </row>
    <row r="931" spans="1:12" x14ac:dyDescent="0.2">
      <c r="A931">
        <v>0</v>
      </c>
      <c r="B931">
        <v>2017</v>
      </c>
      <c r="C931" s="4" t="s">
        <v>215</v>
      </c>
      <c r="D931" s="4" t="s">
        <v>576</v>
      </c>
      <c r="E931" s="4" t="s">
        <v>578</v>
      </c>
      <c r="F931" s="4" t="s">
        <v>174</v>
      </c>
      <c r="G931" s="8">
        <v>520171</v>
      </c>
      <c r="I931" s="16" cm="1">
        <f t="array" ref="I931">_xlfn.IFS(B931=2015,G931/$H$1957,B931=2016,G931/$H$1958,B931=2017,G931/$H$1959,B931=2018,G931/$H$1960,B931=2019,G931/$H$1961,B931=2020,G931/$H$1962,B931=2021,G931/$H$1963,B931=2022,G931/$H$1964,B931=2023,G931/$H$1965)</f>
        <v>6.9401881017511571E-4</v>
      </c>
      <c r="J931" s="10" cm="1">
        <f t="array" ref="J931">_xlfn.IFS(B931=2015,I931*$G$2,B931=2016,I931*$G$3,B931=2017,I931*$G$4,B931=2018,I931*$G$5,B931=2019,I931*$G$6,B931=2020,I931*$G$7,B931=2021,I931*$G$8,B931=2022,I931*$G$9,B931=2023,I931*$G$10)</f>
        <v>102774.87691263376</v>
      </c>
      <c r="K931" s="8">
        <f t="shared" si="14"/>
        <v>622945.87691263377</v>
      </c>
      <c r="L931">
        <f>IFERROR(VLOOKUP(F931,'LEAID Match'!$A$2:$B$240,2,FALSE),"")</f>
        <v>0</v>
      </c>
    </row>
    <row r="932" spans="1:12" x14ac:dyDescent="0.2">
      <c r="A932">
        <v>0</v>
      </c>
      <c r="B932">
        <v>2018</v>
      </c>
      <c r="C932" s="4" t="s">
        <v>215</v>
      </c>
      <c r="D932" s="4" t="s">
        <v>576</v>
      </c>
      <c r="E932" s="4" t="s">
        <v>578</v>
      </c>
      <c r="F932" s="4" t="s">
        <v>174</v>
      </c>
      <c r="G932" s="8">
        <v>549605</v>
      </c>
      <c r="I932" s="16" cm="1">
        <f t="array" ref="I932">_xlfn.IFS(B932=2015,G932/$H$1957,B932=2016,G932/$H$1958,B932=2017,G932/$H$1959,B932=2018,G932/$H$1960,B932=2019,G932/$H$1961,B932=2020,G932/$H$1962,B932=2021,G932/$H$1963,B932=2022,G932/$H$1964,B932=2023,G932/$H$1965)</f>
        <v>7.0718249543460978E-4</v>
      </c>
      <c r="J932" s="10" cm="1">
        <f t="array" ref="J932">_xlfn.IFS(B932=2015,I932*$G$2,B932=2016,I932*$G$3,B932=2017,I932*$G$4,B932=2018,I932*$G$5,B932=2019,I932*$G$6,B932=2020,I932*$G$7,B932=2021,I932*$G$8,B932=2022,I932*$G$9,B932=2023,I932*$G$10)</f>
        <v>106447.88419692955</v>
      </c>
      <c r="K932" s="8">
        <f t="shared" si="14"/>
        <v>656052.88419692952</v>
      </c>
      <c r="L932">
        <f>IFERROR(VLOOKUP(F932,'LEAID Match'!$A$2:$B$240,2,FALSE),"")</f>
        <v>0</v>
      </c>
    </row>
    <row r="933" spans="1:12" x14ac:dyDescent="0.2">
      <c r="A933">
        <v>0</v>
      </c>
      <c r="B933">
        <v>2019</v>
      </c>
      <c r="C933" s="4" t="s">
        <v>215</v>
      </c>
      <c r="D933" s="4" t="s">
        <v>576</v>
      </c>
      <c r="E933" s="4" t="s">
        <v>578</v>
      </c>
      <c r="F933" s="4" t="s">
        <v>174</v>
      </c>
      <c r="G933" s="8">
        <v>558719</v>
      </c>
      <c r="I933" s="16" cm="1">
        <f t="array" ref="I933">_xlfn.IFS(B933=2015,G933/$H$1957,B933=2016,G933/$H$1958,B933=2017,G933/$H$1959,B933=2018,G933/$H$1960,B933=2019,G933/$H$1961,B933=2020,G933/$H$1962,B933=2021,G933/$H$1963,B933=2022,G933/$H$1964,B933=2023,G933/$H$1965)</f>
        <v>6.943741021539873E-4</v>
      </c>
      <c r="J933" s="10" cm="1">
        <f t="array" ref="J933">_xlfn.IFS(B933=2015,I933*$G$2,B933=2016,I933*$G$3,B933=2017,I933*$G$4,B933=2018,I933*$G$5,B933=2019,I933*$G$6,B933=2020,I933*$G$7,B933=2021,I933*$G$8,B933=2022,I933*$G$9,B933=2023,I933*$G$10)</f>
        <v>109730.63532883077</v>
      </c>
      <c r="K933" s="8">
        <f t="shared" si="14"/>
        <v>668449.6353288308</v>
      </c>
      <c r="L933">
        <f>IFERROR(VLOOKUP(F933,'LEAID Match'!$A$2:$B$240,2,FALSE),"")</f>
        <v>0</v>
      </c>
    </row>
    <row r="934" spans="1:12" x14ac:dyDescent="0.2">
      <c r="A934">
        <v>0</v>
      </c>
      <c r="B934">
        <v>2020</v>
      </c>
      <c r="C934" s="4" t="s">
        <v>215</v>
      </c>
      <c r="D934" s="4" t="s">
        <v>576</v>
      </c>
      <c r="E934" s="4" t="s">
        <v>578</v>
      </c>
      <c r="F934" s="4" t="s">
        <v>174</v>
      </c>
      <c r="G934" s="8">
        <v>644194</v>
      </c>
      <c r="I934" s="16" cm="1">
        <f t="array" ref="I934">_xlfn.IFS(B934=2015,G934/$H$1957,B934=2016,G934/$H$1958,B934=2017,G934/$H$1959,B934=2018,G934/$H$1960,B934=2019,G934/$H$1961,B934=2020,G934/$H$1962,B934=2021,G934/$H$1963,B934=2022,G934/$H$1964,B934=2023,G934/$H$1965)</f>
        <v>7.4092834601897787E-4</v>
      </c>
      <c r="J934" s="10" cm="1">
        <f t="array" ref="J934">_xlfn.IFS(B934=2015,I934*$G$2,B934=2016,I934*$G$3,B934=2017,I934*$G$4,B934=2018,I934*$G$5,B934=2019,I934*$G$6,B934=2020,I934*$G$7,B934=2021,I934*$G$8,B934=2022,I934*$G$9,B934=2023,I934*$G$10)</f>
        <v>127946.3919655365</v>
      </c>
      <c r="K934" s="8">
        <f t="shared" si="14"/>
        <v>772140.39196553652</v>
      </c>
      <c r="L934">
        <f>IFERROR(VLOOKUP(F934,'LEAID Match'!$A$2:$B$240,2,FALSE),"")</f>
        <v>0</v>
      </c>
    </row>
    <row r="935" spans="1:12" x14ac:dyDescent="0.2">
      <c r="A935">
        <v>0</v>
      </c>
      <c r="B935">
        <v>2021</v>
      </c>
      <c r="C935" s="4" t="s">
        <v>215</v>
      </c>
      <c r="D935" s="4" t="s">
        <v>576</v>
      </c>
      <c r="E935" s="4" t="s">
        <v>578</v>
      </c>
      <c r="F935" s="4" t="s">
        <v>174</v>
      </c>
      <c r="G935" s="8">
        <v>699866</v>
      </c>
      <c r="I935" s="16" cm="1">
        <f t="array" ref="I935">_xlfn.IFS(B935=2015,G935/$H$1957,B935=2016,G935/$H$1958,B935=2017,G935/$H$1959,B935=2018,G935/$H$1960,B935=2019,G935/$H$1961,B935=2020,G935/$H$1962,B935=2021,G935/$H$1963,B935=2022,G935/$H$1964,B935=2023,G935/$H$1965)</f>
        <v>7.9980328934401909E-4</v>
      </c>
      <c r="J935" s="10" cm="1">
        <f t="array" ref="J935">_xlfn.IFS(B935=2015,I935*$G$2,B935=2016,I935*$G$3,B935=2017,I935*$G$4,B935=2018,I935*$G$5,B935=2019,I935*$G$6,B935=2020,I935*$G$7,B935=2021,I935*$G$8,B935=2022,I935*$G$9,B935=2023,I935*$G$10)</f>
        <v>137259.70993961307</v>
      </c>
      <c r="K935" s="8">
        <f t="shared" si="14"/>
        <v>837125.70993961301</v>
      </c>
      <c r="L935">
        <f>IFERROR(VLOOKUP(F935,'LEAID Match'!$A$2:$B$240,2,FALSE),"")</f>
        <v>0</v>
      </c>
    </row>
    <row r="936" spans="1:12" x14ac:dyDescent="0.2">
      <c r="A936">
        <v>0</v>
      </c>
      <c r="B936">
        <v>2022</v>
      </c>
      <c r="C936" s="4" t="s">
        <v>215</v>
      </c>
      <c r="D936" s="4" t="s">
        <v>576</v>
      </c>
      <c r="E936" s="4" t="s">
        <v>578</v>
      </c>
      <c r="F936" s="4" t="s">
        <v>174</v>
      </c>
      <c r="G936" s="8">
        <v>700502</v>
      </c>
      <c r="I936" s="16" cm="1">
        <f t="array" ref="I936">_xlfn.IFS(B936=2015,G936/$H$1957,B936=2016,G936/$H$1958,B936=2017,G936/$H$1959,B936=2018,G936/$H$1960,B936=2019,G936/$H$1961,B936=2020,G936/$H$1962,B936=2021,G936/$H$1963,B936=2022,G936/$H$1964,B936=2023,G936/$H$1965)</f>
        <v>7.5290116630979411E-4</v>
      </c>
      <c r="J936" s="10" cm="1">
        <f t="array" ref="J936">_xlfn.IFS(B936=2015,I936*$G$2,B936=2016,I936*$G$3,B936=2017,I936*$G$4,B936=2018,I936*$G$5,B936=2019,I936*$G$6,B936=2020,I936*$G$7,B936=2021,I936*$G$8,B936=2022,I936*$G$9,B936=2023,I936*$G$10)</f>
        <v>127681.23292150337</v>
      </c>
      <c r="K936" s="8">
        <f t="shared" si="14"/>
        <v>828183.23292150337</v>
      </c>
      <c r="L936">
        <f>IFERROR(VLOOKUP(F936,'LEAID Match'!$A$2:$B$240,2,FALSE),"")</f>
        <v>0</v>
      </c>
    </row>
    <row r="937" spans="1:12" x14ac:dyDescent="0.2">
      <c r="A937">
        <v>0</v>
      </c>
      <c r="B937">
        <v>2023</v>
      </c>
      <c r="C937" s="4" t="s">
        <v>215</v>
      </c>
      <c r="D937" s="4" t="s">
        <v>576</v>
      </c>
      <c r="E937" s="4" t="s">
        <v>578</v>
      </c>
      <c r="F937" s="4" t="s">
        <v>174</v>
      </c>
      <c r="G937" s="8">
        <v>726581</v>
      </c>
      <c r="I937" s="16" cm="1">
        <f t="array" ref="I937">_xlfn.IFS(B937=2015,G937/$H$1957,B937=2016,G937/$H$1958,B937=2017,G937/$H$1959,B937=2018,G937/$H$1960,B937=2019,G937/$H$1961,B937=2020,G937/$H$1962,B937=2021,G937/$H$1963,B937=2022,G937/$H$1964,B937=2023,G937/$H$1965)</f>
        <v>7.3565569926973434E-4</v>
      </c>
      <c r="J937" s="10" cm="1">
        <f t="array" ref="J937">_xlfn.IFS(B937=2015,I937*$G$2,B937=2016,I937*$G$3,B937=2017,I937*$G$4,B937=2018,I937*$G$5,B937=2019,I937*$G$6,B937=2020,I937*$G$7,B937=2021,I937*$G$8,B937=2022,I937*$G$9,B937=2023,I937*$G$10)</f>
        <v>125050.66871453387</v>
      </c>
      <c r="K937" s="8">
        <f t="shared" si="14"/>
        <v>851631.66871453391</v>
      </c>
      <c r="L937">
        <f>IFERROR(VLOOKUP(F937,'LEAID Match'!$A$2:$B$240,2,FALSE),"")</f>
        <v>0</v>
      </c>
    </row>
    <row r="938" spans="1:12" x14ac:dyDescent="0.2">
      <c r="A938">
        <v>0</v>
      </c>
      <c r="B938">
        <v>2015</v>
      </c>
      <c r="C938" s="4" t="s">
        <v>216</v>
      </c>
      <c r="D938" s="4" t="s">
        <v>576</v>
      </c>
      <c r="E938" s="4" t="s">
        <v>578</v>
      </c>
      <c r="F938" s="4" t="s">
        <v>175</v>
      </c>
      <c r="G938" s="8">
        <v>7539803</v>
      </c>
      <c r="I938" s="16" cm="1">
        <f t="array" ref="I938">_xlfn.IFS(B938=2015,G938/$H$1957,B938=2016,G938/$H$1958,B938=2017,G938/$H$1959,B938=2018,G938/$H$1960,B938=2019,G938/$H$1961,B938=2020,G938/$H$1962,B938=2021,G938/$H$1963,B938=2022,G938/$H$1964,B938=2023,G938/$H$1965)</f>
        <v>5.8226768798665422E-3</v>
      </c>
      <c r="J938" s="10" cm="1">
        <f t="array" ref="J938">_xlfn.IFS(B938=2015,I938*$G$2,B938=2016,I938*$G$3,B938=2017,I938*$G$4,B938=2018,I938*$G$5,B938=2019,I938*$G$6,B938=2020,I938*$G$7,B938=2021,I938*$G$8,B938=2022,I938*$G$9,B938=2023,I938*$G$10)</f>
        <v>1447765.3728029828</v>
      </c>
      <c r="K938" s="8">
        <f t="shared" si="14"/>
        <v>8987568.3728029821</v>
      </c>
      <c r="L938">
        <f>IFERROR(VLOOKUP(F938,'LEAID Match'!$A$2:$B$240,2,FALSE),"")</f>
        <v>0</v>
      </c>
    </row>
    <row r="939" spans="1:12" x14ac:dyDescent="0.2">
      <c r="A939">
        <v>0</v>
      </c>
      <c r="B939">
        <v>2016</v>
      </c>
      <c r="C939" s="4" t="s">
        <v>216</v>
      </c>
      <c r="D939" s="4" t="s">
        <v>576</v>
      </c>
      <c r="E939" s="4" t="s">
        <v>578</v>
      </c>
      <c r="F939" s="4" t="s">
        <v>175</v>
      </c>
      <c r="G939" s="8">
        <v>7473653</v>
      </c>
      <c r="I939" s="16" cm="1">
        <f t="array" ref="I939">_xlfn.IFS(B939=2015,G939/$H$1957,B939=2016,G939/$H$1958,B939=2017,G939/$H$1959,B939=2018,G939/$H$1960,B939=2019,G939/$H$1961,B939=2020,G939/$H$1962,B939=2021,G939/$H$1963,B939=2022,G939/$H$1964,B939=2023,G939/$H$1965)</f>
        <v>5.2465012109647064E-3</v>
      </c>
      <c r="J939" s="10" cm="1">
        <f t="array" ref="J939">_xlfn.IFS(B939=2015,I939*$G$2,B939=2016,I939*$G$3,B939=2017,I939*$G$4,B939=2018,I939*$G$5,B939=2019,I939*$G$6,B939=2020,I939*$G$7,B939=2021,I939*$G$8,B939=2022,I939*$G$9,B939=2023,I939*$G$10)</f>
        <v>1422867.2876373581</v>
      </c>
      <c r="K939" s="8">
        <f t="shared" si="14"/>
        <v>8896520.2876373585</v>
      </c>
      <c r="L939">
        <f>IFERROR(VLOOKUP(F939,'LEAID Match'!$A$2:$B$240,2,FALSE),"")</f>
        <v>0</v>
      </c>
    </row>
    <row r="940" spans="1:12" x14ac:dyDescent="0.2">
      <c r="A940">
        <v>0</v>
      </c>
      <c r="B940">
        <v>2017</v>
      </c>
      <c r="C940" s="4" t="s">
        <v>216</v>
      </c>
      <c r="D940" s="4" t="s">
        <v>576</v>
      </c>
      <c r="E940" s="4" t="s">
        <v>578</v>
      </c>
      <c r="F940" s="4" t="s">
        <v>175</v>
      </c>
      <c r="G940" s="8">
        <v>3732761</v>
      </c>
      <c r="I940" s="16" cm="1">
        <f t="array" ref="I940">_xlfn.IFS(B940=2015,G940/$H$1957,B940=2016,G940/$H$1958,B940=2017,G940/$H$1959,B940=2018,G940/$H$1960,B940=2019,G940/$H$1961,B940=2020,G940/$H$1962,B940=2021,G940/$H$1963,B940=2022,G940/$H$1964,B940=2023,G940/$H$1965)</f>
        <v>4.9802975327115024E-3</v>
      </c>
      <c r="J940" s="10" cm="1">
        <f t="array" ref="J940">_xlfn.IFS(B940=2015,I940*$G$2,B940=2016,I940*$G$3,B940=2017,I940*$G$4,B940=2018,I940*$G$5,B940=2019,I940*$G$6,B940=2020,I940*$G$7,B940=2021,I940*$G$8,B940=2022,I940*$G$9,B940=2023,I940*$G$10)</f>
        <v>737515.26386376726</v>
      </c>
      <c r="K940" s="8">
        <f t="shared" si="14"/>
        <v>4470276.2638637675</v>
      </c>
      <c r="L940">
        <f>IFERROR(VLOOKUP(F940,'LEAID Match'!$A$2:$B$240,2,FALSE),"")</f>
        <v>0</v>
      </c>
    </row>
    <row r="941" spans="1:12" x14ac:dyDescent="0.2">
      <c r="A941">
        <v>0</v>
      </c>
      <c r="B941">
        <v>2018</v>
      </c>
      <c r="C941" s="4" t="s">
        <v>216</v>
      </c>
      <c r="D941" s="4" t="s">
        <v>576</v>
      </c>
      <c r="E941" s="4" t="s">
        <v>578</v>
      </c>
      <c r="F941" s="4" t="s">
        <v>175</v>
      </c>
      <c r="G941" s="8">
        <v>3970225</v>
      </c>
      <c r="I941" s="16" cm="1">
        <f t="array" ref="I941">_xlfn.IFS(B941=2015,G941/$H$1957,B941=2016,G941/$H$1958,B941=2017,G941/$H$1959,B941=2018,G941/$H$1960,B941=2019,G941/$H$1961,B941=2020,G941/$H$1962,B941=2021,G941/$H$1963,B941=2022,G941/$H$1964,B941=2023,G941/$H$1965)</f>
        <v>5.108529985966055E-3</v>
      </c>
      <c r="J941" s="10" cm="1">
        <f t="array" ref="J941">_xlfn.IFS(B941=2015,I941*$G$2,B941=2016,I941*$G$3,B941=2017,I941*$G$4,B941=2018,I941*$G$5,B941=2019,I941*$G$6,B941=2020,I941*$G$7,B941=2021,I941*$G$8,B941=2022,I941*$G$9,B941=2023,I941*$G$10)</f>
        <v>768955.97935927554</v>
      </c>
      <c r="K941" s="8">
        <f t="shared" si="14"/>
        <v>4739180.9793592757</v>
      </c>
      <c r="L941">
        <f>IFERROR(VLOOKUP(F941,'LEAID Match'!$A$2:$B$240,2,FALSE),"")</f>
        <v>0</v>
      </c>
    </row>
    <row r="942" spans="1:12" x14ac:dyDescent="0.2">
      <c r="A942">
        <v>0</v>
      </c>
      <c r="B942">
        <v>2019</v>
      </c>
      <c r="C942" s="4" t="s">
        <v>216</v>
      </c>
      <c r="D942" s="4" t="s">
        <v>576</v>
      </c>
      <c r="E942" s="4" t="s">
        <v>578</v>
      </c>
      <c r="F942" s="4" t="s">
        <v>175</v>
      </c>
      <c r="G942" s="8">
        <v>4282260</v>
      </c>
      <c r="I942" s="16" cm="1">
        <f t="array" ref="I942">_xlfn.IFS(B942=2015,G942/$H$1957,B942=2016,G942/$H$1958,B942=2017,G942/$H$1959,B942=2018,G942/$H$1960,B942=2019,G942/$H$1961,B942=2020,G942/$H$1962,B942=2021,G942/$H$1963,B942=2022,G942/$H$1964,B942=2023,G942/$H$1965)</f>
        <v>5.321978387507734E-3</v>
      </c>
      <c r="J942" s="10" cm="1">
        <f t="array" ref="J942">_xlfn.IFS(B942=2015,I942*$G$2,B942=2016,I942*$G$3,B942=2017,I942*$G$4,B942=2018,I942*$G$5,B942=2019,I942*$G$6,B942=2020,I942*$G$7,B942=2021,I942*$G$8,B942=2022,I942*$G$9,B942=2023,I942*$G$10)</f>
        <v>841022.24990243546</v>
      </c>
      <c r="K942" s="8">
        <f t="shared" si="14"/>
        <v>5123282.2499024356</v>
      </c>
      <c r="L942">
        <f>IFERROR(VLOOKUP(F942,'LEAID Match'!$A$2:$B$240,2,FALSE),"")</f>
        <v>0</v>
      </c>
    </row>
    <row r="943" spans="1:12" x14ac:dyDescent="0.2">
      <c r="A943">
        <v>0</v>
      </c>
      <c r="B943">
        <v>2020</v>
      </c>
      <c r="C943" s="4" t="s">
        <v>216</v>
      </c>
      <c r="D943" s="4" t="s">
        <v>576</v>
      </c>
      <c r="E943" s="4" t="s">
        <v>578</v>
      </c>
      <c r="F943" s="4" t="s">
        <v>175</v>
      </c>
      <c r="G943" s="8">
        <v>4804717</v>
      </c>
      <c r="I943" s="16" cm="1">
        <f t="array" ref="I943">_xlfn.IFS(B943=2015,G943/$H$1957,B943=2016,G943/$H$1958,B943=2017,G943/$H$1959,B943=2018,G943/$H$1960,B943=2019,G943/$H$1961,B943=2020,G943/$H$1962,B943=2021,G943/$H$1963,B943=2022,G943/$H$1964,B943=2023,G943/$H$1965)</f>
        <v>5.5262095267873731E-3</v>
      </c>
      <c r="J943" s="10" cm="1">
        <f t="array" ref="J943">_xlfn.IFS(B943=2015,I943*$G$2,B943=2016,I943*$G$3,B943=2017,I943*$G$4,B943=2018,I943*$G$5,B943=2019,I943*$G$6,B943=2020,I943*$G$7,B943=2021,I943*$G$8,B943=2022,I943*$G$9,B943=2023,I943*$G$10)</f>
        <v>954287.38014554093</v>
      </c>
      <c r="K943" s="8">
        <f t="shared" si="14"/>
        <v>5759004.3801455405</v>
      </c>
      <c r="L943">
        <f>IFERROR(VLOOKUP(F943,'LEAID Match'!$A$2:$B$240,2,FALSE),"")</f>
        <v>0</v>
      </c>
    </row>
    <row r="944" spans="1:12" x14ac:dyDescent="0.2">
      <c r="A944">
        <v>0</v>
      </c>
      <c r="B944">
        <v>2021</v>
      </c>
      <c r="C944" s="4" t="s">
        <v>216</v>
      </c>
      <c r="D944" s="4" t="s">
        <v>576</v>
      </c>
      <c r="E944" s="4" t="s">
        <v>578</v>
      </c>
      <c r="F944" s="4" t="s">
        <v>175</v>
      </c>
      <c r="G944" s="8">
        <v>4939558</v>
      </c>
      <c r="I944" s="16" cm="1">
        <f t="array" ref="I944">_xlfn.IFS(B944=2015,G944/$H$1957,B944=2016,G944/$H$1958,B944=2017,G944/$H$1959,B944=2018,G944/$H$1960,B944=2019,G944/$H$1961,B944=2020,G944/$H$1962,B944=2021,G944/$H$1963,B944=2022,G944/$H$1964,B944=2023,G944/$H$1965)</f>
        <v>5.6449016473232938E-3</v>
      </c>
      <c r="J944" s="10" cm="1">
        <f t="array" ref="J944">_xlfn.IFS(B944=2015,I944*$G$2,B944=2016,I944*$G$3,B944=2017,I944*$G$4,B944=2018,I944*$G$5,B944=2019,I944*$G$6,B944=2020,I944*$G$7,B944=2021,I944*$G$8,B944=2022,I944*$G$9,B944=2023,I944*$G$10)</f>
        <v>968760.16024481156</v>
      </c>
      <c r="K944" s="8">
        <f t="shared" si="14"/>
        <v>5908318.1602448113</v>
      </c>
      <c r="L944">
        <f>IFERROR(VLOOKUP(F944,'LEAID Match'!$A$2:$B$240,2,FALSE),"")</f>
        <v>0</v>
      </c>
    </row>
    <row r="945" spans="1:12" x14ac:dyDescent="0.2">
      <c r="A945">
        <v>0</v>
      </c>
      <c r="B945">
        <v>2022</v>
      </c>
      <c r="C945" s="4" t="s">
        <v>216</v>
      </c>
      <c r="D945" s="4" t="s">
        <v>576</v>
      </c>
      <c r="E945" s="4" t="s">
        <v>578</v>
      </c>
      <c r="F945" s="4" t="s">
        <v>175</v>
      </c>
      <c r="G945" s="8">
        <v>5611205</v>
      </c>
      <c r="I945" s="16" cm="1">
        <f t="array" ref="I945">_xlfn.IFS(B945=2015,G945/$H$1957,B945=2016,G945/$H$1958,B945=2017,G945/$H$1959,B945=2018,G945/$H$1960,B945=2019,G945/$H$1961,B945=2020,G945/$H$1962,B945=2021,G945/$H$1963,B945=2022,G945/$H$1964,B945=2023,G945/$H$1965)</f>
        <v>6.0309360842700638E-3</v>
      </c>
      <c r="J945" s="10" cm="1">
        <f t="array" ref="J945">_xlfn.IFS(B945=2015,I945*$G$2,B945=2016,I945*$G$3,B945=2017,I945*$G$4,B945=2018,I945*$G$5,B945=2019,I945*$G$6,B945=2020,I945*$G$7,B945=2021,I945*$G$8,B945=2022,I945*$G$9,B945=2023,I945*$G$10)</f>
        <v>1022760.2099284575</v>
      </c>
      <c r="K945" s="8">
        <f t="shared" si="14"/>
        <v>6633965.2099284576</v>
      </c>
      <c r="L945">
        <f>IFERROR(VLOOKUP(F945,'LEAID Match'!$A$2:$B$240,2,FALSE),"")</f>
        <v>0</v>
      </c>
    </row>
    <row r="946" spans="1:12" x14ac:dyDescent="0.2">
      <c r="A946">
        <v>0</v>
      </c>
      <c r="B946">
        <v>2023</v>
      </c>
      <c r="C946" s="4" t="s">
        <v>216</v>
      </c>
      <c r="D946" s="4" t="s">
        <v>576</v>
      </c>
      <c r="E946" s="4" t="s">
        <v>578</v>
      </c>
      <c r="F946" s="4" t="s">
        <v>175</v>
      </c>
      <c r="G946" s="8">
        <v>5729003</v>
      </c>
      <c r="I946" s="16" cm="1">
        <f t="array" ref="I946">_xlfn.IFS(B946=2015,G946/$H$1957,B946=2016,G946/$H$1958,B946=2017,G946/$H$1959,B946=2018,G946/$H$1960,B946=2019,G946/$H$1961,B946=2020,G946/$H$1962,B946=2021,G946/$H$1963,B946=2022,G946/$H$1964,B946=2023,G946/$H$1965)</f>
        <v>5.8005559023473026E-3</v>
      </c>
      <c r="J946" s="10" cm="1">
        <f t="array" ref="J946">_xlfn.IFS(B946=2015,I946*$G$2,B946=2016,I946*$G$3,B946=2017,I946*$G$4,B946=2018,I946*$G$5,B946=2019,I946*$G$6,B946=2020,I946*$G$7,B946=2021,I946*$G$8,B946=2022,I946*$G$9,B946=2023,I946*$G$10)</f>
        <v>986009.34543783905</v>
      </c>
      <c r="K946" s="8">
        <f t="shared" si="14"/>
        <v>6715012.3454378387</v>
      </c>
      <c r="L946">
        <f>IFERROR(VLOOKUP(F946,'LEAID Match'!$A$2:$B$240,2,FALSE),"")</f>
        <v>0</v>
      </c>
    </row>
    <row r="947" spans="1:12" x14ac:dyDescent="0.2">
      <c r="A947">
        <v>0</v>
      </c>
      <c r="B947">
        <v>2015</v>
      </c>
      <c r="C947" s="4" t="s">
        <v>217</v>
      </c>
      <c r="D947" s="4" t="s">
        <v>576</v>
      </c>
      <c r="E947" s="4" t="s">
        <v>578</v>
      </c>
      <c r="F947" s="4" t="s">
        <v>176</v>
      </c>
      <c r="G947" s="8">
        <v>1020360</v>
      </c>
      <c r="I947" s="16" cm="1">
        <f t="array" ref="I947">_xlfn.IFS(B947=2015,G947/$H$1957,B947=2016,G947/$H$1958,B947=2017,G947/$H$1959,B947=2018,G947/$H$1960,B947=2019,G947/$H$1961,B947=2020,G947/$H$1962,B947=2021,G947/$H$1963,B947=2022,G947/$H$1964,B947=2023,G947/$H$1965)</f>
        <v>7.879816728819871E-4</v>
      </c>
      <c r="J947" s="10" cm="1">
        <f t="array" ref="J947">_xlfn.IFS(B947=2015,I947*$G$2,B947=2016,I947*$G$3,B947=2017,I947*$G$4,B947=2018,I947*$G$5,B947=2019,I947*$G$6,B947=2020,I947*$G$7,B947=2021,I947*$G$8,B947=2022,I947*$G$9,B947=2023,I947*$G$10)</f>
        <v>195925.79219818494</v>
      </c>
      <c r="K947" s="8">
        <f t="shared" si="14"/>
        <v>1216285.7921981849</v>
      </c>
      <c r="L947">
        <f>IFERROR(VLOOKUP(F947,'LEAID Match'!$A$2:$B$240,2,FALSE),"")</f>
        <v>0</v>
      </c>
    </row>
    <row r="948" spans="1:12" x14ac:dyDescent="0.2">
      <c r="A948">
        <v>0</v>
      </c>
      <c r="B948">
        <v>2016</v>
      </c>
      <c r="C948" s="4" t="s">
        <v>217</v>
      </c>
      <c r="D948" s="4" t="s">
        <v>576</v>
      </c>
      <c r="E948" s="4" t="s">
        <v>578</v>
      </c>
      <c r="F948" s="4" t="s">
        <v>176</v>
      </c>
      <c r="G948" s="8">
        <v>1335767</v>
      </c>
      <c r="I948" s="16" cm="1">
        <f t="array" ref="I948">_xlfn.IFS(B948=2015,G948/$H$1957,B948=2016,G948/$H$1958,B948=2017,G948/$H$1959,B948=2018,G948/$H$1960,B948=2019,G948/$H$1961,B948=2020,G948/$H$1962,B948=2021,G948/$H$1963,B948=2022,G948/$H$1964,B948=2023,G948/$H$1965)</f>
        <v>9.377078629509148E-4</v>
      </c>
      <c r="J948" s="10" cm="1">
        <f t="array" ref="J948">_xlfn.IFS(B948=2015,I948*$G$2,B948=2016,I948*$G$3,B948=2017,I948*$G$4,B948=2018,I948*$G$5,B948=2019,I948*$G$6,B948=2020,I948*$G$7,B948=2021,I948*$G$8,B948=2022,I948*$G$9,B948=2023,I948*$G$10)</f>
        <v>254309.26057250597</v>
      </c>
      <c r="K948" s="8">
        <f t="shared" si="14"/>
        <v>1590076.2605725059</v>
      </c>
      <c r="L948">
        <f>IFERROR(VLOOKUP(F948,'LEAID Match'!$A$2:$B$240,2,FALSE),"")</f>
        <v>0</v>
      </c>
    </row>
    <row r="949" spans="1:12" x14ac:dyDescent="0.2">
      <c r="A949">
        <v>0</v>
      </c>
      <c r="B949">
        <v>2017</v>
      </c>
      <c r="C949" s="4" t="s">
        <v>217</v>
      </c>
      <c r="D949" s="4" t="s">
        <v>576</v>
      </c>
      <c r="E949" s="4" t="s">
        <v>578</v>
      </c>
      <c r="F949" s="4" t="s">
        <v>176</v>
      </c>
      <c r="G949" s="8">
        <v>747766</v>
      </c>
      <c r="I949" s="16" cm="1">
        <f t="array" ref="I949">_xlfn.IFS(B949=2015,G949/$H$1957,B949=2016,G949/$H$1958,B949=2017,G949/$H$1959,B949=2018,G949/$H$1960,B949=2019,G949/$H$1961,B949=2020,G949/$H$1962,B949=2021,G949/$H$1963,B949=2022,G949/$H$1964,B949=2023,G949/$H$1965)</f>
        <v>9.976789740477757E-4</v>
      </c>
      <c r="J949" s="10" cm="1">
        <f t="array" ref="J949">_xlfn.IFS(B949=2015,I949*$G$2,B949=2016,I949*$G$3,B949=2017,I949*$G$4,B949=2018,I949*$G$5,B949=2019,I949*$G$6,B949=2020,I949*$G$7,B949=2021,I949*$G$8,B949=2022,I949*$G$9,B949=2023,I949*$G$10)</f>
        <v>147742.87418839667</v>
      </c>
      <c r="K949" s="8">
        <f t="shared" si="14"/>
        <v>895508.87418839661</v>
      </c>
      <c r="L949">
        <f>IFERROR(VLOOKUP(F949,'LEAID Match'!$A$2:$B$240,2,FALSE),"")</f>
        <v>0</v>
      </c>
    </row>
    <row r="950" spans="1:12" x14ac:dyDescent="0.2">
      <c r="A950">
        <v>0</v>
      </c>
      <c r="B950">
        <v>2018</v>
      </c>
      <c r="C950" s="4" t="s">
        <v>217</v>
      </c>
      <c r="D950" s="4" t="s">
        <v>576</v>
      </c>
      <c r="E950" s="4" t="s">
        <v>578</v>
      </c>
      <c r="F950" s="4" t="s">
        <v>176</v>
      </c>
      <c r="G950" s="8">
        <v>739676</v>
      </c>
      <c r="I950" s="16" cm="1">
        <f t="array" ref="I950">_xlfn.IFS(B950=2015,G950/$H$1957,B950=2016,G950/$H$1958,B950=2017,G950/$H$1959,B950=2018,G950/$H$1960,B950=2019,G950/$H$1961,B950=2020,G950/$H$1962,B950=2021,G950/$H$1963,B950=2022,G950/$H$1964,B950=2023,G950/$H$1965)</f>
        <v>9.5174883687937784E-4</v>
      </c>
      <c r="J950" s="10" cm="1">
        <f t="array" ref="J950">_xlfn.IFS(B950=2015,I950*$G$2,B950=2016,I950*$G$3,B950=2017,I950*$G$4,B950=2018,I950*$G$5,B950=2019,I950*$G$6,B950=2020,I950*$G$7,B950=2021,I950*$G$8,B950=2022,I950*$G$9,B950=2023,I950*$G$10)</f>
        <v>143260.96958951987</v>
      </c>
      <c r="K950" s="8">
        <f t="shared" si="14"/>
        <v>882936.9695895199</v>
      </c>
      <c r="L950">
        <f>IFERROR(VLOOKUP(F950,'LEAID Match'!$A$2:$B$240,2,FALSE),"")</f>
        <v>0</v>
      </c>
    </row>
    <row r="951" spans="1:12" x14ac:dyDescent="0.2">
      <c r="A951">
        <v>0</v>
      </c>
      <c r="B951">
        <v>2019</v>
      </c>
      <c r="C951" s="4" t="s">
        <v>217</v>
      </c>
      <c r="D951" s="4" t="s">
        <v>576</v>
      </c>
      <c r="E951" s="4" t="s">
        <v>578</v>
      </c>
      <c r="F951" s="4" t="s">
        <v>176</v>
      </c>
      <c r="G951" s="8">
        <v>757256</v>
      </c>
      <c r="I951" s="16" cm="1">
        <f t="array" ref="I951">_xlfn.IFS(B951=2015,G951/$H$1957,B951=2016,G951/$H$1958,B951=2017,G951/$H$1959,B951=2018,G951/$H$1960,B951=2019,G951/$H$1961,B951=2020,G951/$H$1962,B951=2021,G951/$H$1963,B951=2022,G951/$H$1964,B951=2023,G951/$H$1965)</f>
        <v>9.4111522089050095E-4</v>
      </c>
      <c r="J951" s="10" cm="1">
        <f t="array" ref="J951">_xlfn.IFS(B951=2015,I951*$G$2,B951=2016,I951*$G$3,B951=2017,I951*$G$4,B951=2018,I951*$G$5,B951=2019,I951*$G$6,B951=2020,I951*$G$7,B951=2021,I951*$G$8,B951=2022,I951*$G$9,B951=2023,I951*$G$10)</f>
        <v>148722.67094294104</v>
      </c>
      <c r="K951" s="8">
        <f t="shared" si="14"/>
        <v>905978.67094294098</v>
      </c>
      <c r="L951">
        <f>IFERROR(VLOOKUP(F951,'LEAID Match'!$A$2:$B$240,2,FALSE),"")</f>
        <v>0</v>
      </c>
    </row>
    <row r="952" spans="1:12" x14ac:dyDescent="0.2">
      <c r="A952">
        <v>0</v>
      </c>
      <c r="B952">
        <v>2020</v>
      </c>
      <c r="C952" s="4" t="s">
        <v>217</v>
      </c>
      <c r="D952" s="4" t="s">
        <v>576</v>
      </c>
      <c r="E952" s="4" t="s">
        <v>578</v>
      </c>
      <c r="F952" s="4" t="s">
        <v>176</v>
      </c>
      <c r="G952" s="8">
        <v>831871</v>
      </c>
      <c r="I952" s="16" cm="1">
        <f t="array" ref="I952">_xlfn.IFS(B952=2015,G952/$H$1957,B952=2016,G952/$H$1958,B952=2017,G952/$H$1959,B952=2018,G952/$H$1960,B952=2019,G952/$H$1961,B952=2020,G952/$H$1962,B952=2021,G952/$H$1963,B952=2022,G952/$H$1964,B952=2023,G952/$H$1965)</f>
        <v>9.5678755798898028E-4</v>
      </c>
      <c r="J952" s="10" cm="1">
        <f t="array" ref="J952">_xlfn.IFS(B952=2015,I952*$G$2,B952=2016,I952*$G$3,B952=2017,I952*$G$4,B952=2018,I952*$G$5,B952=2019,I952*$G$6,B952=2020,I952*$G$7,B952=2021,I952*$G$8,B952=2022,I952*$G$9,B952=2023,I952*$G$10)</f>
        <v>165221.80124428793</v>
      </c>
      <c r="K952" s="8">
        <f t="shared" si="14"/>
        <v>997092.80124428798</v>
      </c>
      <c r="L952">
        <f>IFERROR(VLOOKUP(F952,'LEAID Match'!$A$2:$B$240,2,FALSE),"")</f>
        <v>0</v>
      </c>
    </row>
    <row r="953" spans="1:12" x14ac:dyDescent="0.2">
      <c r="A953">
        <v>0</v>
      </c>
      <c r="B953">
        <v>2021</v>
      </c>
      <c r="C953" s="4" t="s">
        <v>217</v>
      </c>
      <c r="D953" s="4" t="s">
        <v>576</v>
      </c>
      <c r="E953" s="4" t="s">
        <v>578</v>
      </c>
      <c r="F953" s="4" t="s">
        <v>176</v>
      </c>
      <c r="G953" s="8">
        <v>857880</v>
      </c>
      <c r="I953" s="16" cm="1">
        <f t="array" ref="I953">_xlfn.IFS(B953=2015,G953/$H$1957,B953=2016,G953/$H$1958,B953=2017,G953/$H$1959,B953=2018,G953/$H$1960,B953=2019,G953/$H$1961,B953=2020,G953/$H$1962,B953=2021,G953/$H$1963,B953=2022,G953/$H$1964,B953=2023,G953/$H$1965)</f>
        <v>9.8038088128648507E-4</v>
      </c>
      <c r="J953" s="10" cm="1">
        <f t="array" ref="J953">_xlfn.IFS(B953=2015,I953*$G$2,B953=2016,I953*$G$3,B953=2017,I953*$G$4,B953=2018,I953*$G$5,B953=2019,I953*$G$6,B953=2020,I953*$G$7,B953=2021,I953*$G$8,B953=2022,I953*$G$9,B953=2023,I953*$G$10)</f>
        <v>168249.86492127817</v>
      </c>
      <c r="K953" s="8">
        <f t="shared" si="14"/>
        <v>1026129.8649212782</v>
      </c>
      <c r="L953">
        <f>IFERROR(VLOOKUP(F953,'LEAID Match'!$A$2:$B$240,2,FALSE),"")</f>
        <v>0</v>
      </c>
    </row>
    <row r="954" spans="1:12" x14ac:dyDescent="0.2">
      <c r="A954">
        <v>0</v>
      </c>
      <c r="B954">
        <v>2022</v>
      </c>
      <c r="C954" s="4" t="s">
        <v>217</v>
      </c>
      <c r="D954" s="4" t="s">
        <v>576</v>
      </c>
      <c r="E954" s="4" t="s">
        <v>578</v>
      </c>
      <c r="F954" s="4" t="s">
        <v>176</v>
      </c>
      <c r="G954" s="8">
        <v>853969</v>
      </c>
      <c r="I954" s="16" cm="1">
        <f t="array" ref="I954">_xlfn.IFS(B954=2015,G954/$H$1957,B954=2016,G954/$H$1958,B954=2017,G954/$H$1959,B954=2018,G954/$H$1960,B954=2019,G954/$H$1961,B954=2020,G954/$H$1962,B954=2021,G954/$H$1963,B954=2022,G954/$H$1964,B954=2023,G954/$H$1965)</f>
        <v>9.1784785210093415E-4</v>
      </c>
      <c r="J954" s="10" cm="1">
        <f t="array" ref="J954">_xlfn.IFS(B954=2015,I954*$G$2,B954=2016,I954*$G$3,B954=2017,I954*$G$4,B954=2018,I954*$G$5,B954=2019,I954*$G$6,B954=2020,I954*$G$7,B954=2021,I954*$G$8,B954=2022,I954*$G$9,B954=2023,I954*$G$10)</f>
        <v>155653.82368179294</v>
      </c>
      <c r="K954" s="8">
        <f t="shared" si="14"/>
        <v>1009622.8236817929</v>
      </c>
      <c r="L954">
        <f>IFERROR(VLOOKUP(F954,'LEAID Match'!$A$2:$B$240,2,FALSE),"")</f>
        <v>0</v>
      </c>
    </row>
    <row r="955" spans="1:12" x14ac:dyDescent="0.2">
      <c r="A955">
        <v>0</v>
      </c>
      <c r="B955">
        <v>2023</v>
      </c>
      <c r="C955" s="4" t="s">
        <v>217</v>
      </c>
      <c r="D955" s="4" t="s">
        <v>576</v>
      </c>
      <c r="E955" s="4" t="s">
        <v>578</v>
      </c>
      <c r="F955" s="4" t="s">
        <v>176</v>
      </c>
      <c r="G955" s="8">
        <v>909687</v>
      </c>
      <c r="I955" s="16" cm="1">
        <f t="array" ref="I955">_xlfn.IFS(B955=2015,G955/$H$1957,B955=2016,G955/$H$1958,B955=2017,G955/$H$1959,B955=2018,G955/$H$1960,B955=2019,G955/$H$1961,B955=2020,G955/$H$1962,B955=2021,G955/$H$1963,B955=2022,G955/$H$1964,B955=2023,G955/$H$1965)</f>
        <v>9.2104861825672126E-4</v>
      </c>
      <c r="J955" s="10" cm="1">
        <f t="array" ref="J955">_xlfn.IFS(B955=2015,I955*$G$2,B955=2016,I955*$G$3,B955=2017,I955*$G$4,B955=2018,I955*$G$5,B955=2019,I955*$G$6,B955=2020,I955*$G$7,B955=2021,I955*$G$8,B955=2022,I955*$G$9,B955=2023,I955*$G$10)</f>
        <v>156564.743188878</v>
      </c>
      <c r="K955" s="8">
        <f t="shared" si="14"/>
        <v>1066251.7431888781</v>
      </c>
      <c r="L955">
        <f>IFERROR(VLOOKUP(F955,'LEAID Match'!$A$2:$B$240,2,FALSE),"")</f>
        <v>0</v>
      </c>
    </row>
    <row r="956" spans="1:12" x14ac:dyDescent="0.2">
      <c r="A956">
        <v>0</v>
      </c>
      <c r="B956">
        <v>2015</v>
      </c>
      <c r="C956" s="4" t="s">
        <v>218</v>
      </c>
      <c r="D956" s="4" t="s">
        <v>576</v>
      </c>
      <c r="E956" s="4" t="s">
        <v>578</v>
      </c>
      <c r="F956" s="4" t="s">
        <v>177</v>
      </c>
      <c r="G956" s="8">
        <v>1411633</v>
      </c>
      <c r="I956" s="16" cm="1">
        <f t="array" ref="I956">_xlfn.IFS(B956=2015,G956/$H$1957,B956=2016,G956/$H$1958,B956=2017,G956/$H$1959,B956=2018,G956/$H$1960,B956=2019,G956/$H$1961,B956=2020,G956/$H$1962,B956=2021,G956/$H$1963,B956=2022,G956/$H$1964,B956=2023,G956/$H$1965)</f>
        <v>1.0901455690495688E-3</v>
      </c>
      <c r="J956" s="10" cm="1">
        <f t="array" ref="J956">_xlfn.IFS(B956=2015,I956*$G$2,B956=2016,I956*$G$3,B956=2017,I956*$G$4,B956=2018,I956*$G$5,B956=2019,I956*$G$6,B956=2020,I956*$G$7,B956=2021,I956*$G$8,B956=2022,I956*$G$9,B956=2023,I956*$G$10)</f>
        <v>271056.60141332512</v>
      </c>
      <c r="K956" s="8">
        <f t="shared" si="14"/>
        <v>1682689.6014133252</v>
      </c>
      <c r="L956">
        <f>IFERROR(VLOOKUP(F956,'LEAID Match'!$A$2:$B$240,2,FALSE),"")</f>
        <v>0</v>
      </c>
    </row>
    <row r="957" spans="1:12" x14ac:dyDescent="0.2">
      <c r="A957">
        <v>0</v>
      </c>
      <c r="B957">
        <v>2016</v>
      </c>
      <c r="C957" s="4" t="s">
        <v>218</v>
      </c>
      <c r="D957" s="4" t="s">
        <v>576</v>
      </c>
      <c r="E957" s="4" t="s">
        <v>578</v>
      </c>
      <c r="F957" s="4" t="s">
        <v>177</v>
      </c>
      <c r="G957" s="8">
        <v>1554379</v>
      </c>
      <c r="I957" s="16" cm="1">
        <f t="array" ref="I957">_xlfn.IFS(B957=2015,G957/$H$1957,B957=2016,G957/$H$1958,B957=2017,G957/$H$1959,B957=2018,G957/$H$1960,B957=2019,G957/$H$1961,B957=2020,G957/$H$1962,B957=2021,G957/$H$1963,B957=2022,G957/$H$1964,B957=2023,G957/$H$1965)</f>
        <v>1.0911733934928622E-3</v>
      </c>
      <c r="J957" s="10" cm="1">
        <f t="array" ref="J957">_xlfn.IFS(B957=2015,I957*$G$2,B957=2016,I957*$G$3,B957=2017,I957*$G$4,B957=2018,I957*$G$5,B957=2019,I957*$G$6,B957=2020,I957*$G$7,B957=2021,I957*$G$8,B957=2022,I957*$G$9,B957=2023,I957*$G$10)</f>
        <v>295929.5851293162</v>
      </c>
      <c r="K957" s="8">
        <f t="shared" si="14"/>
        <v>1850308.5851293162</v>
      </c>
      <c r="L957">
        <f>IFERROR(VLOOKUP(F957,'LEAID Match'!$A$2:$B$240,2,FALSE),"")</f>
        <v>0</v>
      </c>
    </row>
    <row r="958" spans="1:12" x14ac:dyDescent="0.2">
      <c r="A958">
        <v>0</v>
      </c>
      <c r="B958">
        <v>2017</v>
      </c>
      <c r="C958" s="4" t="s">
        <v>218</v>
      </c>
      <c r="D958" s="4" t="s">
        <v>576</v>
      </c>
      <c r="E958" s="4" t="s">
        <v>578</v>
      </c>
      <c r="F958" s="4" t="s">
        <v>177</v>
      </c>
      <c r="G958" s="8">
        <v>880492</v>
      </c>
      <c r="I958" s="16" cm="1">
        <f t="array" ref="I958">_xlfn.IFS(B958=2015,G958/$H$1957,B958=2016,G958/$H$1958,B958=2017,G958/$H$1959,B958=2018,G958/$H$1960,B958=2019,G958/$H$1961,B958=2020,G958/$H$1962,B958=2021,G958/$H$1963,B958=2022,G958/$H$1964,B958=2023,G958/$H$1965)</f>
        <v>1.174763703106686E-3</v>
      </c>
      <c r="J958" s="10" cm="1">
        <f t="array" ref="J958">_xlfn.IFS(B958=2015,I958*$G$2,B958=2016,I958*$G$3,B958=2017,I958*$G$4,B958=2018,I958*$G$5,B958=2019,I958*$G$6,B958=2020,I958*$G$7,B958=2021,I958*$G$8,B958=2022,I958*$G$9,B958=2023,I958*$G$10)</f>
        <v>173966.74732455044</v>
      </c>
      <c r="K958" s="8">
        <f t="shared" si="14"/>
        <v>1054458.7473245505</v>
      </c>
      <c r="L958">
        <f>IFERROR(VLOOKUP(F958,'LEAID Match'!$A$2:$B$240,2,FALSE),"")</f>
        <v>0</v>
      </c>
    </row>
    <row r="959" spans="1:12" x14ac:dyDescent="0.2">
      <c r="A959">
        <v>0</v>
      </c>
      <c r="B959">
        <v>2018</v>
      </c>
      <c r="C959" s="4" t="s">
        <v>218</v>
      </c>
      <c r="D959" s="4" t="s">
        <v>576</v>
      </c>
      <c r="E959" s="4" t="s">
        <v>578</v>
      </c>
      <c r="F959" s="4" t="s">
        <v>177</v>
      </c>
      <c r="G959" s="8">
        <v>927223</v>
      </c>
      <c r="I959" s="16" cm="1">
        <f t="array" ref="I959">_xlfn.IFS(B959=2015,G959/$H$1957,B959=2016,G959/$H$1958,B959=2017,G959/$H$1959,B959=2018,G959/$H$1960,B959=2019,G959/$H$1961,B959=2020,G959/$H$1962,B959=2021,G959/$H$1963,B959=2022,G959/$H$1964,B959=2023,G959/$H$1965)</f>
        <v>1.1930675211549481E-3</v>
      </c>
      <c r="J959" s="10" cm="1">
        <f t="array" ref="J959">_xlfn.IFS(B959=2015,I959*$G$2,B959=2016,I959*$G$3,B959=2017,I959*$G$4,B959=2018,I959*$G$5,B959=2019,I959*$G$6,B959=2020,I959*$G$7,B959=2021,I959*$G$8,B959=2022,I959*$G$9,B959=2023,I959*$G$10)</f>
        <v>179585.20488119579</v>
      </c>
      <c r="K959" s="8">
        <f t="shared" si="14"/>
        <v>1106808.2048811959</v>
      </c>
      <c r="L959">
        <f>IFERROR(VLOOKUP(F959,'LEAID Match'!$A$2:$B$240,2,FALSE),"")</f>
        <v>0</v>
      </c>
    </row>
    <row r="960" spans="1:12" x14ac:dyDescent="0.2">
      <c r="A960">
        <v>0</v>
      </c>
      <c r="B960">
        <v>2019</v>
      </c>
      <c r="C960" s="4" t="s">
        <v>218</v>
      </c>
      <c r="D960" s="4" t="s">
        <v>576</v>
      </c>
      <c r="E960" s="4" t="s">
        <v>578</v>
      </c>
      <c r="F960" s="4" t="s">
        <v>177</v>
      </c>
      <c r="G960" s="8">
        <v>1013273</v>
      </c>
      <c r="I960" s="16" cm="1">
        <f t="array" ref="I960">_xlfn.IFS(B960=2015,G960/$H$1957,B960=2016,G960/$H$1958,B960=2017,G960/$H$1959,B960=2018,G960/$H$1960,B960=2019,G960/$H$1961,B960=2020,G960/$H$1962,B960=2021,G960/$H$1963,B960=2022,G960/$H$1964,B960=2023,G960/$H$1965)</f>
        <v>1.2592922911371855E-3</v>
      </c>
      <c r="J960" s="10" cm="1">
        <f t="array" ref="J960">_xlfn.IFS(B960=2015,I960*$G$2,B960=2016,I960*$G$3,B960=2017,I960*$G$4,B960=2018,I960*$G$5,B960=2019,I960*$G$6,B960=2020,I960*$G$7,B960=2021,I960*$G$8,B960=2022,I960*$G$9,B960=2023,I960*$G$10)</f>
        <v>199003.59581748667</v>
      </c>
      <c r="K960" s="8">
        <f t="shared" si="14"/>
        <v>1212276.5958174868</v>
      </c>
      <c r="L960">
        <f>IFERROR(VLOOKUP(F960,'LEAID Match'!$A$2:$B$240,2,FALSE),"")</f>
        <v>0</v>
      </c>
    </row>
    <row r="961" spans="1:12" x14ac:dyDescent="0.2">
      <c r="A961">
        <v>0</v>
      </c>
      <c r="B961">
        <v>2020</v>
      </c>
      <c r="C961" s="4" t="s">
        <v>218</v>
      </c>
      <c r="D961" s="4" t="s">
        <v>576</v>
      </c>
      <c r="E961" s="4" t="s">
        <v>578</v>
      </c>
      <c r="F961" s="4" t="s">
        <v>177</v>
      </c>
      <c r="G961" s="8">
        <v>1107000</v>
      </c>
      <c r="I961" s="16" cm="1">
        <f t="array" ref="I961">_xlfn.IFS(B961=2015,G961/$H$1957,B961=2016,G961/$H$1958,B961=2017,G961/$H$1959,B961=2018,G961/$H$1960,B961=2019,G961/$H$1961,B961=2020,G961/$H$1962,B961=2021,G961/$H$1963,B961=2022,G961/$H$1964,B961=2023,G961/$H$1965)</f>
        <v>1.2732308575413749E-3</v>
      </c>
      <c r="J961" s="10" cm="1">
        <f t="array" ref="J961">_xlfn.IFS(B961=2015,I961*$G$2,B961=2016,I961*$G$3,B961=2017,I961*$G$4,B961=2018,I961*$G$5,B961=2019,I961*$G$6,B961=2020,I961*$G$7,B961=2021,I961*$G$8,B961=2022,I961*$G$9,B961=2023,I961*$G$10)</f>
        <v>219866.46244120388</v>
      </c>
      <c r="K961" s="8">
        <f t="shared" si="14"/>
        <v>1326866.4624412039</v>
      </c>
      <c r="L961">
        <f>IFERROR(VLOOKUP(F961,'LEAID Match'!$A$2:$B$240,2,FALSE),"")</f>
        <v>0</v>
      </c>
    </row>
    <row r="962" spans="1:12" x14ac:dyDescent="0.2">
      <c r="A962">
        <v>0</v>
      </c>
      <c r="B962">
        <v>2021</v>
      </c>
      <c r="C962" s="4" t="s">
        <v>218</v>
      </c>
      <c r="D962" s="4" t="s">
        <v>576</v>
      </c>
      <c r="E962" s="4" t="s">
        <v>578</v>
      </c>
      <c r="F962" s="4" t="s">
        <v>177</v>
      </c>
      <c r="G962" s="8">
        <v>1116747</v>
      </c>
      <c r="I962" s="16" cm="1">
        <f t="array" ref="I962">_xlfn.IFS(B962=2015,G962/$H$1957,B962=2016,G962/$H$1958,B962=2017,G962/$H$1959,B962=2018,G962/$H$1960,B962=2019,G962/$H$1961,B962=2020,G962/$H$1962,B962=2021,G962/$H$1963,B962=2022,G962/$H$1964,B962=2023,G962/$H$1965)</f>
        <v>1.2762127663939458E-3</v>
      </c>
      <c r="J962" s="10" cm="1">
        <f t="array" ref="J962">_xlfn.IFS(B962=2015,I962*$G$2,B962=2016,I962*$G$3,B962=2017,I962*$G$4,B962=2018,I962*$G$5,B962=2019,I962*$G$6,B962=2020,I962*$G$7,B962=2021,I962*$G$8,B962=2022,I962*$G$9,B962=2023,I962*$G$10)</f>
        <v>219019.5970313361</v>
      </c>
      <c r="K962" s="8">
        <f t="shared" si="14"/>
        <v>1335766.597031336</v>
      </c>
      <c r="L962">
        <f>IFERROR(VLOOKUP(F962,'LEAID Match'!$A$2:$B$240,2,FALSE),"")</f>
        <v>0</v>
      </c>
    </row>
    <row r="963" spans="1:12" x14ac:dyDescent="0.2">
      <c r="A963">
        <v>0</v>
      </c>
      <c r="B963">
        <v>2022</v>
      </c>
      <c r="C963" s="4" t="s">
        <v>218</v>
      </c>
      <c r="D963" s="4" t="s">
        <v>576</v>
      </c>
      <c r="E963" s="4" t="s">
        <v>578</v>
      </c>
      <c r="F963" s="4" t="s">
        <v>177</v>
      </c>
      <c r="G963" s="8">
        <v>1146136</v>
      </c>
      <c r="I963" s="16" cm="1">
        <f t="array" ref="I963">_xlfn.IFS(B963=2015,G963/$H$1957,B963=2016,G963/$H$1958,B963=2017,G963/$H$1959,B963=2018,G963/$H$1960,B963=2019,G963/$H$1961,B963=2020,G963/$H$1962,B963=2021,G963/$H$1963,B963=2022,G963/$H$1964,B963=2023,G963/$H$1965)</f>
        <v>1.2318696180020074E-3</v>
      </c>
      <c r="J963" s="10" cm="1">
        <f t="array" ref="J963">_xlfn.IFS(B963=2015,I963*$G$2,B963=2016,I963*$G$3,B963=2017,I963*$G$4,B963=2018,I963*$G$5,B963=2019,I963*$G$6,B963=2020,I963*$G$7,B963=2021,I963*$G$8,B963=2022,I963*$G$9,B963=2023,I963*$G$10)</f>
        <v>208907.40865225252</v>
      </c>
      <c r="K963" s="8">
        <f t="shared" si="14"/>
        <v>1355043.4086522525</v>
      </c>
      <c r="L963">
        <f>IFERROR(VLOOKUP(F963,'LEAID Match'!$A$2:$B$240,2,FALSE),"")</f>
        <v>0</v>
      </c>
    </row>
    <row r="964" spans="1:12" x14ac:dyDescent="0.2">
      <c r="A964">
        <v>0</v>
      </c>
      <c r="B964">
        <v>2023</v>
      </c>
      <c r="C964" s="4" t="s">
        <v>218</v>
      </c>
      <c r="D964" s="4" t="s">
        <v>576</v>
      </c>
      <c r="E964" s="4" t="s">
        <v>578</v>
      </c>
      <c r="F964" s="4" t="s">
        <v>177</v>
      </c>
      <c r="G964" s="8">
        <v>1180021</v>
      </c>
      <c r="I964" s="16" cm="1">
        <f t="array" ref="I964">_xlfn.IFS(B964=2015,G964/$H$1957,B964=2016,G964/$H$1958,B964=2017,G964/$H$1959,B964=2018,G964/$H$1960,B964=2019,G964/$H$1961,B964=2020,G964/$H$1962,B964=2021,G964/$H$1963,B964=2022,G964/$H$1964,B964=2023,G964/$H$1965)</f>
        <v>1.1947589792576066E-3</v>
      </c>
      <c r="J964" s="10" cm="1">
        <f t="array" ref="J964">_xlfn.IFS(B964=2015,I964*$G$2,B964=2016,I964*$G$3,B964=2017,I964*$G$4,B964=2018,I964*$G$5,B964=2019,I964*$G$6,B964=2020,I964*$G$7,B964=2021,I964*$G$8,B964=2022,I964*$G$9,B964=2023,I964*$G$10)</f>
        <v>203091.48621721865</v>
      </c>
      <c r="K964" s="8">
        <f t="shared" si="14"/>
        <v>1383112.4862172187</v>
      </c>
      <c r="L964">
        <f>IFERROR(VLOOKUP(F964,'LEAID Match'!$A$2:$B$240,2,FALSE),"")</f>
        <v>0</v>
      </c>
    </row>
    <row r="965" spans="1:12" x14ac:dyDescent="0.2">
      <c r="A965">
        <v>0</v>
      </c>
      <c r="B965">
        <v>2015</v>
      </c>
      <c r="C965" s="4" t="s">
        <v>219</v>
      </c>
      <c r="D965" s="4" t="s">
        <v>576</v>
      </c>
      <c r="E965" s="4" t="s">
        <v>578</v>
      </c>
      <c r="F965" s="4" t="s">
        <v>178</v>
      </c>
      <c r="G965" s="8">
        <v>46997998</v>
      </c>
      <c r="I965" s="16" cm="1">
        <f t="array" ref="I965">_xlfn.IFS(B965=2015,G965/$H$1957,B965=2016,G965/$H$1958,B965=2017,G965/$H$1959,B965=2018,G965/$H$1960,B965=2019,G965/$H$1961,B965=2020,G965/$H$1962,B965=2021,G965/$H$1963,B965=2022,G965/$H$1964,B965=2023,G965/$H$1965)</f>
        <v>3.6294602969681566E-2</v>
      </c>
      <c r="J965" s="10" cm="1">
        <f t="array" ref="J965">_xlfn.IFS(B965=2015,I965*$G$2,B965=2016,I965*$G$3,B965=2017,I965*$G$4,B965=2018,I965*$G$5,B965=2019,I965*$G$6,B965=2020,I965*$G$7,B965=2021,I965*$G$8,B965=2022,I965*$G$9,B965=2023,I965*$G$10)</f>
        <v>9024383.5409842711</v>
      </c>
      <c r="K965" s="8">
        <f t="shared" si="14"/>
        <v>56022381.540984273</v>
      </c>
      <c r="L965">
        <f>IFERROR(VLOOKUP(F965,'LEAID Match'!$A$2:$B$240,2,FALSE),"")</f>
        <v>0</v>
      </c>
    </row>
    <row r="966" spans="1:12" x14ac:dyDescent="0.2">
      <c r="A966">
        <v>0</v>
      </c>
      <c r="B966">
        <v>2016</v>
      </c>
      <c r="C966" s="4" t="s">
        <v>219</v>
      </c>
      <c r="D966" s="4" t="s">
        <v>576</v>
      </c>
      <c r="E966" s="4" t="s">
        <v>578</v>
      </c>
      <c r="F966" s="4" t="s">
        <v>178</v>
      </c>
      <c r="G966" s="8">
        <v>50934724</v>
      </c>
      <c r="I966" s="16" cm="1">
        <f t="array" ref="I966">_xlfn.IFS(B966=2015,G966/$H$1957,B966=2016,G966/$H$1958,B966=2017,G966/$H$1959,B966=2018,G966/$H$1960,B966=2019,G966/$H$1961,B966=2020,G966/$H$1962,B966=2021,G966/$H$1963,B966=2022,G966/$H$1964,B966=2023,G966/$H$1965)</f>
        <v>3.5756154473074023E-2</v>
      </c>
      <c r="J966" s="10" cm="1">
        <f t="array" ref="J966">_xlfn.IFS(B966=2015,I966*$G$2,B966=2016,I966*$G$3,B966=2017,I966*$G$4,B966=2018,I966*$G$5,B966=2019,I966*$G$6,B966=2020,I966*$G$7,B966=2021,I966*$G$8,B966=2022,I966*$G$9,B966=2023,I966*$G$10)</f>
        <v>9697179.2220534515</v>
      </c>
      <c r="K966" s="8">
        <f t="shared" si="14"/>
        <v>60631903.222053453</v>
      </c>
      <c r="L966">
        <f>IFERROR(VLOOKUP(F966,'LEAID Match'!$A$2:$B$240,2,FALSE),"")</f>
        <v>0</v>
      </c>
    </row>
    <row r="967" spans="1:12" x14ac:dyDescent="0.2">
      <c r="A967">
        <v>0</v>
      </c>
      <c r="B967">
        <v>2017</v>
      </c>
      <c r="C967" s="4" t="s">
        <v>219</v>
      </c>
      <c r="D967" s="4" t="s">
        <v>576</v>
      </c>
      <c r="E967" s="4" t="s">
        <v>578</v>
      </c>
      <c r="F967" s="4" t="s">
        <v>178</v>
      </c>
      <c r="G967" s="8">
        <v>27651779</v>
      </c>
      <c r="I967" s="16" cm="1">
        <f t="array" ref="I967">_xlfn.IFS(B967=2015,G967/$H$1957,B967=2016,G967/$H$1958,B967=2017,G967/$H$1959,B967=2018,G967/$H$1960,B967=2019,G967/$H$1961,B967=2020,G967/$H$1962,B967=2021,G967/$H$1963,B967=2022,G967/$H$1964,B967=2023,G967/$H$1965)</f>
        <v>3.6893357685848019E-2</v>
      </c>
      <c r="J967" s="10" cm="1">
        <f t="array" ref="J967">_xlfn.IFS(B967=2015,I967*$G$2,B967=2016,I967*$G$3,B967=2017,I967*$G$4,B967=2018,I967*$G$5,B967=2019,I967*$G$6,B967=2020,I967*$G$7,B967=2021,I967*$G$8,B967=2022,I967*$G$9,B967=2023,I967*$G$10)</f>
        <v>5463411.4226674512</v>
      </c>
      <c r="K967" s="8">
        <f t="shared" si="14"/>
        <v>33115190.422667451</v>
      </c>
      <c r="L967">
        <f>IFERROR(VLOOKUP(F967,'LEAID Match'!$A$2:$B$240,2,FALSE),"")</f>
        <v>0</v>
      </c>
    </row>
    <row r="968" spans="1:12" x14ac:dyDescent="0.2">
      <c r="A968">
        <v>0</v>
      </c>
      <c r="B968">
        <v>2018</v>
      </c>
      <c r="C968" s="4" t="s">
        <v>219</v>
      </c>
      <c r="D968" s="4" t="s">
        <v>576</v>
      </c>
      <c r="E968" s="4" t="s">
        <v>578</v>
      </c>
      <c r="F968" s="4" t="s">
        <v>178</v>
      </c>
      <c r="G968" s="8">
        <v>28203684</v>
      </c>
      <c r="I968" s="16" cm="1">
        <f t="array" ref="I968">_xlfn.IFS(B968=2015,G968/$H$1957,B968=2016,G968/$H$1958,B968=2017,G968/$H$1959,B968=2018,G968/$H$1960,B968=2019,G968/$H$1961,B968=2020,G968/$H$1962,B968=2021,G968/$H$1963,B968=2022,G968/$H$1964,B968=2023,G968/$H$1965)</f>
        <v>3.6289974857523451E-2</v>
      </c>
      <c r="J968" s="10" cm="1">
        <f t="array" ref="J968">_xlfn.IFS(B968=2015,I968*$G$2,B968=2016,I968*$G$3,B968=2017,I968*$G$4,B968=2018,I968*$G$5,B968=2019,I968*$G$6,B968=2020,I968*$G$7,B968=2021,I968*$G$8,B968=2022,I968*$G$9,B968=2023,I968*$G$10)</f>
        <v>5462509.4174157707</v>
      </c>
      <c r="K968" s="8">
        <f t="shared" si="14"/>
        <v>33666193.417415768</v>
      </c>
      <c r="L968">
        <f>IFERROR(VLOOKUP(F968,'LEAID Match'!$A$2:$B$240,2,FALSE),"")</f>
        <v>0</v>
      </c>
    </row>
    <row r="969" spans="1:12" x14ac:dyDescent="0.2">
      <c r="A969">
        <v>0</v>
      </c>
      <c r="B969">
        <v>2019</v>
      </c>
      <c r="C969" s="4" t="s">
        <v>219</v>
      </c>
      <c r="D969" s="4" t="s">
        <v>576</v>
      </c>
      <c r="E969" s="4" t="s">
        <v>578</v>
      </c>
      <c r="F969" s="4" t="s">
        <v>178</v>
      </c>
      <c r="G969" s="8">
        <v>29181005</v>
      </c>
      <c r="I969" s="16" cm="1">
        <f t="array" ref="I969">_xlfn.IFS(B969=2015,G969/$H$1957,B969=2016,G969/$H$1958,B969=2017,G969/$H$1959,B969=2018,G969/$H$1960,B969=2019,G969/$H$1961,B969=2020,G969/$H$1962,B969=2021,G969/$H$1963,B969=2022,G969/$H$1964,B969=2023,G969/$H$1965)</f>
        <v>3.6266055292241743E-2</v>
      </c>
      <c r="J969" s="10" cm="1">
        <f t="array" ref="J969">_xlfn.IFS(B969=2015,I969*$G$2,B969=2016,I969*$G$3,B969=2017,I969*$G$4,B969=2018,I969*$G$5,B969=2019,I969*$G$6,B969=2020,I969*$G$7,B969=2021,I969*$G$8,B969=2022,I969*$G$9,B969=2023,I969*$G$10)</f>
        <v>5731056.6101811239</v>
      </c>
      <c r="K969" s="8">
        <f t="shared" si="14"/>
        <v>34912061.610181123</v>
      </c>
      <c r="L969">
        <f>IFERROR(VLOOKUP(F969,'LEAID Match'!$A$2:$B$240,2,FALSE),"")</f>
        <v>0</v>
      </c>
    </row>
    <row r="970" spans="1:12" x14ac:dyDescent="0.2">
      <c r="A970">
        <v>0</v>
      </c>
      <c r="B970">
        <v>2020</v>
      </c>
      <c r="C970" s="4" t="s">
        <v>219</v>
      </c>
      <c r="D970" s="4" t="s">
        <v>576</v>
      </c>
      <c r="E970" s="4" t="s">
        <v>578</v>
      </c>
      <c r="F970" s="4" t="s">
        <v>178</v>
      </c>
      <c r="G970" s="8">
        <v>31846358</v>
      </c>
      <c r="I970" s="16" cm="1">
        <f t="array" ref="I970">_xlfn.IFS(B970=2015,G970/$H$1957,B970=2016,G970/$H$1958,B970=2017,G970/$H$1959,B970=2018,G970/$H$1960,B970=2019,G970/$H$1961,B970=2020,G970/$H$1962,B970=2021,G970/$H$1963,B970=2022,G970/$H$1964,B970=2023,G970/$H$1965)</f>
        <v>3.6628514639484758E-2</v>
      </c>
      <c r="J970" s="10" cm="1">
        <f t="array" ref="J970">_xlfn.IFS(B970=2015,I970*$G$2,B970=2016,I970*$G$3,B970=2017,I970*$G$4,B970=2018,I970*$G$5,B970=2019,I970*$G$6,B970=2020,I970*$G$7,B970=2021,I970*$G$8,B970=2022,I970*$G$9,B970=2023,I970*$G$10)</f>
        <v>6325154.5393822342</v>
      </c>
      <c r="K970" s="8">
        <f t="shared" si="14"/>
        <v>38171512.539382234</v>
      </c>
      <c r="L970">
        <f>IFERROR(VLOOKUP(F970,'LEAID Match'!$A$2:$B$240,2,FALSE),"")</f>
        <v>0</v>
      </c>
    </row>
    <row r="971" spans="1:12" x14ac:dyDescent="0.2">
      <c r="A971">
        <v>0</v>
      </c>
      <c r="B971">
        <v>2021</v>
      </c>
      <c r="C971" s="4" t="s">
        <v>219</v>
      </c>
      <c r="D971" s="4" t="s">
        <v>576</v>
      </c>
      <c r="E971" s="4" t="s">
        <v>578</v>
      </c>
      <c r="F971" s="4" t="s">
        <v>178</v>
      </c>
      <c r="G971" s="8">
        <v>32708395</v>
      </c>
      <c r="I971" s="16" cm="1">
        <f t="array" ref="I971">_xlfn.IFS(B971=2015,G971/$H$1957,B971=2016,G971/$H$1958,B971=2017,G971/$H$1959,B971=2018,G971/$H$1960,B971=2019,G971/$H$1961,B971=2020,G971/$H$1962,B971=2021,G971/$H$1963,B971=2022,G971/$H$1964,B971=2023,G971/$H$1965)</f>
        <v>3.7378986706260151E-2</v>
      </c>
      <c r="J971" s="10" cm="1">
        <f t="array" ref="J971">_xlfn.IFS(B971=2015,I971*$G$2,B971=2016,I971*$G$3,B971=2017,I971*$G$4,B971=2018,I971*$G$5,B971=2019,I971*$G$6,B971=2020,I971*$G$7,B971=2021,I971*$G$8,B971=2022,I971*$G$9,B971=2023,I971*$G$10)</f>
        <v>6414863.4314144282</v>
      </c>
      <c r="K971" s="8">
        <f t="shared" si="14"/>
        <v>39123258.431414425</v>
      </c>
      <c r="L971">
        <f>IFERROR(VLOOKUP(F971,'LEAID Match'!$A$2:$B$240,2,FALSE),"")</f>
        <v>0</v>
      </c>
    </row>
    <row r="972" spans="1:12" x14ac:dyDescent="0.2">
      <c r="A972">
        <v>0</v>
      </c>
      <c r="B972">
        <v>2022</v>
      </c>
      <c r="C972" s="4" t="s">
        <v>219</v>
      </c>
      <c r="D972" s="4" t="s">
        <v>576</v>
      </c>
      <c r="E972" s="4" t="s">
        <v>578</v>
      </c>
      <c r="F972" s="4" t="s">
        <v>178</v>
      </c>
      <c r="G972" s="8">
        <v>34809072</v>
      </c>
      <c r="I972" s="16" cm="1">
        <f t="array" ref="I972">_xlfn.IFS(B972=2015,G972/$H$1957,B972=2016,G972/$H$1958,B972=2017,G972/$H$1959,B972=2018,G972/$H$1960,B972=2019,G972/$H$1961,B972=2020,G972/$H$1962,B972=2021,G972/$H$1963,B972=2022,G972/$H$1964,B972=2023,G972/$H$1965)</f>
        <v>3.7412870922512137E-2</v>
      </c>
      <c r="J972" s="10" cm="1">
        <f t="array" ref="J972">_xlfn.IFS(B972=2015,I972*$G$2,B972=2016,I972*$G$3,B972=2017,I972*$G$4,B972=2018,I972*$G$5,B972=2019,I972*$G$6,B972=2020,I972*$G$7,B972=2021,I972*$G$8,B972=2022,I972*$G$9,B972=2023,I972*$G$10)</f>
        <v>6344685.9963474497</v>
      </c>
      <c r="K972" s="8">
        <f t="shared" ref="K972:K1035" si="15">SUM(G972,J972)</f>
        <v>41153757.99634745</v>
      </c>
      <c r="L972">
        <f>IFERROR(VLOOKUP(F972,'LEAID Match'!$A$2:$B$240,2,FALSE),"")</f>
        <v>0</v>
      </c>
    </row>
    <row r="973" spans="1:12" x14ac:dyDescent="0.2">
      <c r="A973">
        <v>0</v>
      </c>
      <c r="B973">
        <v>2023</v>
      </c>
      <c r="C973" s="4" t="s">
        <v>219</v>
      </c>
      <c r="D973" s="4" t="s">
        <v>576</v>
      </c>
      <c r="E973" s="4" t="s">
        <v>578</v>
      </c>
      <c r="F973" s="4" t="s">
        <v>178</v>
      </c>
      <c r="G973" s="8">
        <v>38723279</v>
      </c>
      <c r="I973" s="16" cm="1">
        <f t="array" ref="I973">_xlfn.IFS(B973=2015,G973/$H$1957,B973=2016,G973/$H$1958,B973=2017,G973/$H$1959,B973=2018,G973/$H$1960,B973=2019,G973/$H$1961,B973=2020,G973/$H$1962,B973=2021,G973/$H$1963,B973=2022,G973/$H$1964,B973=2023,G973/$H$1965)</f>
        <v>3.9206916903637749E-2</v>
      </c>
      <c r="J973" s="10" cm="1">
        <f t="array" ref="J973">_xlfn.IFS(B973=2015,I973*$G$2,B973=2016,I973*$G$3,B973=2017,I973*$G$4,B973=2018,I973*$G$5,B973=2019,I973*$G$6,B973=2020,I973*$G$7,B973=2021,I973*$G$8,B973=2022,I973*$G$9,B973=2023,I973*$G$10)</f>
        <v>6664600.2768713553</v>
      </c>
      <c r="K973" s="8">
        <f t="shared" si="15"/>
        <v>45387879.276871353</v>
      </c>
      <c r="L973">
        <f>IFERROR(VLOOKUP(F973,'LEAID Match'!$A$2:$B$240,2,FALSE),"")</f>
        <v>0</v>
      </c>
    </row>
    <row r="974" spans="1:12" x14ac:dyDescent="0.2">
      <c r="A974">
        <v>0</v>
      </c>
      <c r="B974">
        <v>2015</v>
      </c>
      <c r="C974" s="4" t="s">
        <v>220</v>
      </c>
      <c r="D974" s="4" t="s">
        <v>576</v>
      </c>
      <c r="E974" s="4" t="s">
        <v>578</v>
      </c>
      <c r="F974" s="4" t="s">
        <v>179</v>
      </c>
      <c r="G974" s="8">
        <v>1556349</v>
      </c>
      <c r="I974" s="16" cm="1">
        <f t="array" ref="I974">_xlfn.IFS(B974=2015,G974/$H$1957,B974=2016,G974/$H$1958,B974=2017,G974/$H$1959,B974=2018,G974/$H$1960,B974=2019,G974/$H$1961,B974=2020,G974/$H$1962,B974=2021,G974/$H$1963,B974=2022,G974/$H$1964,B974=2023,G974/$H$1965)</f>
        <v>1.2019037286920377E-3</v>
      </c>
      <c r="J974" s="10" cm="1">
        <f t="array" ref="J974">_xlfn.IFS(B974=2015,I974*$G$2,B974=2016,I974*$G$3,B974=2017,I974*$G$4,B974=2018,I974*$G$5,B974=2019,I974*$G$6,B974=2020,I974*$G$7,B974=2021,I974*$G$8,B974=2022,I974*$G$9,B974=2023,I974*$G$10)</f>
        <v>298844.43800408964</v>
      </c>
      <c r="K974" s="8">
        <f t="shared" si="15"/>
        <v>1855193.4380040895</v>
      </c>
      <c r="L974">
        <f>IFERROR(VLOOKUP(F974,'LEAID Match'!$A$2:$B$240,2,FALSE),"")</f>
        <v>0</v>
      </c>
    </row>
    <row r="975" spans="1:12" x14ac:dyDescent="0.2">
      <c r="A975">
        <v>0</v>
      </c>
      <c r="B975">
        <v>2016</v>
      </c>
      <c r="C975" s="4" t="s">
        <v>220</v>
      </c>
      <c r="D975" s="4" t="s">
        <v>576</v>
      </c>
      <c r="E975" s="4" t="s">
        <v>578</v>
      </c>
      <c r="F975" s="4" t="s">
        <v>179</v>
      </c>
      <c r="G975" s="8">
        <v>1678144</v>
      </c>
      <c r="I975" s="16" cm="1">
        <f t="array" ref="I975">_xlfn.IFS(B975=2015,G975/$H$1957,B975=2016,G975/$H$1958,B975=2017,G975/$H$1959,B975=2018,G975/$H$1960,B975=2019,G975/$H$1961,B975=2020,G975/$H$1962,B975=2021,G975/$H$1963,B975=2022,G975/$H$1964,B975=2023,G975/$H$1965)</f>
        <v>1.1780563705825191E-3</v>
      </c>
      <c r="J975" s="10" cm="1">
        <f t="array" ref="J975">_xlfn.IFS(B975=2015,I975*$G$2,B975=2016,I975*$G$3,B975=2017,I975*$G$4,B975=2018,I975*$G$5,B975=2019,I975*$G$6,B975=2020,I975*$G$7,B975=2021,I975*$G$8,B975=2022,I975*$G$9,B975=2023,I975*$G$10)</f>
        <v>319492.51611560059</v>
      </c>
      <c r="K975" s="8">
        <f t="shared" si="15"/>
        <v>1997636.5161156007</v>
      </c>
      <c r="L975">
        <f>IFERROR(VLOOKUP(F975,'LEAID Match'!$A$2:$B$240,2,FALSE),"")</f>
        <v>0</v>
      </c>
    </row>
    <row r="976" spans="1:12" x14ac:dyDescent="0.2">
      <c r="A976">
        <v>0</v>
      </c>
      <c r="B976">
        <v>2017</v>
      </c>
      <c r="C976" s="4" t="s">
        <v>220</v>
      </c>
      <c r="D976" s="4" t="s">
        <v>576</v>
      </c>
      <c r="E976" s="4" t="s">
        <v>578</v>
      </c>
      <c r="F976" s="4" t="s">
        <v>179</v>
      </c>
      <c r="G976" s="8">
        <v>802764</v>
      </c>
      <c r="I976" s="16" cm="1">
        <f t="array" ref="I976">_xlfn.IFS(B976=2015,G976/$H$1957,B976=2016,G976/$H$1958,B976=2017,G976/$H$1959,B976=2018,G976/$H$1960,B976=2019,G976/$H$1961,B976=2020,G976/$H$1962,B976=2021,G976/$H$1963,B976=2022,G976/$H$1964,B976=2023,G976/$H$1965)</f>
        <v>1.0710580100225051E-3</v>
      </c>
      <c r="J976" s="10" cm="1">
        <f t="array" ref="J976">_xlfn.IFS(B976=2015,I976*$G$2,B976=2016,I976*$G$3,B976=2017,I976*$G$4,B976=2018,I976*$G$5,B976=2019,I976*$G$6,B976=2020,I976*$G$7,B976=2021,I976*$G$8,B976=2022,I976*$G$9,B976=2023,I976*$G$10)</f>
        <v>158609.32518324457</v>
      </c>
      <c r="K976" s="8">
        <f t="shared" si="15"/>
        <v>961373.32518324454</v>
      </c>
      <c r="L976">
        <f>IFERROR(VLOOKUP(F976,'LEAID Match'!$A$2:$B$240,2,FALSE),"")</f>
        <v>0</v>
      </c>
    </row>
    <row r="977" spans="1:12" x14ac:dyDescent="0.2">
      <c r="A977">
        <v>0</v>
      </c>
      <c r="B977">
        <v>2018</v>
      </c>
      <c r="C977" s="4" t="s">
        <v>220</v>
      </c>
      <c r="D977" s="4" t="s">
        <v>576</v>
      </c>
      <c r="E977" s="4" t="s">
        <v>578</v>
      </c>
      <c r="F977" s="4" t="s">
        <v>179</v>
      </c>
      <c r="G977" s="8">
        <v>882938</v>
      </c>
      <c r="I977" s="16" cm="1">
        <f t="array" ref="I977">_xlfn.IFS(B977=2015,G977/$H$1957,B977=2016,G977/$H$1958,B977=2017,G977/$H$1959,B977=2018,G977/$H$1960,B977=2019,G977/$H$1961,B977=2020,G977/$H$1962,B977=2021,G977/$H$1963,B977=2022,G977/$H$1964,B977=2023,G977/$H$1965)</f>
        <v>1.1360855489925374E-3</v>
      </c>
      <c r="J977" s="10" cm="1">
        <f t="array" ref="J977">_xlfn.IFS(B977=2015,I977*$G$2,B977=2016,I977*$G$3,B977=2017,I977*$G$4,B977=2018,I977*$G$5,B977=2019,I977*$G$6,B977=2020,I977*$G$7,B977=2021,I977*$G$8,B977=2022,I977*$G$9,B977=2023,I977*$G$10)</f>
        <v>171008.05483405097</v>
      </c>
      <c r="K977" s="8">
        <f t="shared" si="15"/>
        <v>1053946.0548340511</v>
      </c>
      <c r="L977">
        <f>IFERROR(VLOOKUP(F977,'LEAID Match'!$A$2:$B$240,2,FALSE),"")</f>
        <v>0</v>
      </c>
    </row>
    <row r="978" spans="1:12" x14ac:dyDescent="0.2">
      <c r="A978">
        <v>0</v>
      </c>
      <c r="B978">
        <v>2019</v>
      </c>
      <c r="C978" s="4" t="s">
        <v>220</v>
      </c>
      <c r="D978" s="4" t="s">
        <v>576</v>
      </c>
      <c r="E978" s="4" t="s">
        <v>578</v>
      </c>
      <c r="F978" s="4" t="s">
        <v>179</v>
      </c>
      <c r="G978" s="8">
        <v>599276</v>
      </c>
      <c r="I978" s="16" cm="1">
        <f t="array" ref="I978">_xlfn.IFS(B978=2015,G978/$H$1957,B978=2016,G978/$H$1958,B978=2017,G978/$H$1959,B978=2018,G978/$H$1960,B978=2019,G978/$H$1961,B978=2020,G978/$H$1962,B978=2021,G978/$H$1963,B978=2022,G978/$H$1964,B978=2023,G978/$H$1965)</f>
        <v>7.4477820593613769E-4</v>
      </c>
      <c r="J978" s="10" cm="1">
        <f t="array" ref="J978">_xlfn.IFS(B978=2015,I978*$G$2,B978=2016,I978*$G$3,B978=2017,I978*$G$4,B978=2018,I978*$G$5,B978=2019,I978*$G$6,B978=2020,I978*$G$7,B978=2021,I978*$G$8,B978=2022,I978*$G$9,B978=2023,I978*$G$10)</f>
        <v>117695.90119061709</v>
      </c>
      <c r="K978" s="8">
        <f t="shared" si="15"/>
        <v>716971.90119061712</v>
      </c>
      <c r="L978">
        <f>IFERROR(VLOOKUP(F978,'LEAID Match'!$A$2:$B$240,2,FALSE),"")</f>
        <v>0</v>
      </c>
    </row>
    <row r="979" spans="1:12" x14ac:dyDescent="0.2">
      <c r="A979">
        <v>0</v>
      </c>
      <c r="B979">
        <v>2020</v>
      </c>
      <c r="C979" s="4" t="s">
        <v>220</v>
      </c>
      <c r="D979" s="4" t="s">
        <v>576</v>
      </c>
      <c r="E979" s="4" t="s">
        <v>578</v>
      </c>
      <c r="F979" s="4" t="s">
        <v>179</v>
      </c>
      <c r="G979" s="8">
        <v>608999</v>
      </c>
      <c r="I979" s="16" cm="1">
        <f t="array" ref="I979">_xlfn.IFS(B979=2015,G979/$H$1957,B979=2016,G979/$H$1958,B979=2017,G979/$H$1959,B979=2018,G979/$H$1960,B979=2019,G979/$H$1961,B979=2020,G979/$H$1962,B979=2021,G979/$H$1963,B979=2022,G979/$H$1964,B979=2023,G979/$H$1965)</f>
        <v>7.0044834599082182E-4</v>
      </c>
      <c r="J979" s="10" cm="1">
        <f t="array" ref="J979">_xlfn.IFS(B979=2015,I979*$G$2,B979=2016,I979*$G$3,B979=2017,I979*$G$4,B979=2018,I979*$G$5,B979=2019,I979*$G$6,B979=2020,I979*$G$7,B979=2021,I979*$G$8,B979=2022,I979*$G$9,B979=2023,I979*$G$10)</f>
        <v>120956.1479315544</v>
      </c>
      <c r="K979" s="8">
        <f t="shared" si="15"/>
        <v>729955.14793155435</v>
      </c>
      <c r="L979">
        <f>IFERROR(VLOOKUP(F979,'LEAID Match'!$A$2:$B$240,2,FALSE),"")</f>
        <v>0</v>
      </c>
    </row>
    <row r="980" spans="1:12" x14ac:dyDescent="0.2">
      <c r="A980">
        <v>0</v>
      </c>
      <c r="B980">
        <v>2021</v>
      </c>
      <c r="C980" s="4" t="s">
        <v>220</v>
      </c>
      <c r="D980" s="4" t="s">
        <v>576</v>
      </c>
      <c r="E980" s="4" t="s">
        <v>578</v>
      </c>
      <c r="F980" s="4" t="s">
        <v>179</v>
      </c>
      <c r="G980" s="8">
        <v>444858</v>
      </c>
      <c r="I980" s="16" cm="1">
        <f t="array" ref="I980">_xlfn.IFS(B980=2015,G980/$H$1957,B980=2016,G980/$H$1958,B980=2017,G980/$H$1959,B980=2018,G980/$H$1960,B980=2019,G980/$H$1961,B980=2020,G980/$H$1962,B980=2021,G980/$H$1963,B980=2022,G980/$H$1964,B980=2023,G980/$H$1965)</f>
        <v>5.0838144972180626E-4</v>
      </c>
      <c r="J980" s="10" cm="1">
        <f t="array" ref="J980">_xlfn.IFS(B980=2015,I980*$G$2,B980=2016,I980*$G$3,B980=2017,I980*$G$4,B980=2018,I980*$G$5,B980=2019,I980*$G$6,B980=2020,I980*$G$7,B980=2021,I980*$G$8,B980=2022,I980*$G$9,B980=2023,I980*$G$10)</f>
        <v>87246.815882349474</v>
      </c>
      <c r="K980" s="8">
        <f t="shared" si="15"/>
        <v>532104.8158823495</v>
      </c>
      <c r="L980">
        <f>IFERROR(VLOOKUP(F980,'LEAID Match'!$A$2:$B$240,2,FALSE),"")</f>
        <v>0</v>
      </c>
    </row>
    <row r="981" spans="1:12" x14ac:dyDescent="0.2">
      <c r="A981">
        <v>0</v>
      </c>
      <c r="B981">
        <v>2022</v>
      </c>
      <c r="C981" s="4" t="s">
        <v>220</v>
      </c>
      <c r="D981" s="4" t="s">
        <v>576</v>
      </c>
      <c r="E981" s="4" t="s">
        <v>578</v>
      </c>
      <c r="F981" s="4" t="s">
        <v>179</v>
      </c>
      <c r="G981" s="8">
        <v>525287</v>
      </c>
      <c r="I981" s="16" cm="1">
        <f t="array" ref="I981">_xlfn.IFS(B981=2015,G981/$H$1957,B981=2016,G981/$H$1958,B981=2017,G981/$H$1959,B981=2018,G981/$H$1960,B981=2019,G981/$H$1961,B981=2020,G981/$H$1962,B981=2021,G981/$H$1963,B981=2022,G981/$H$1964,B981=2023,G981/$H$1965)</f>
        <v>5.6457967992578587E-4</v>
      </c>
      <c r="J981" s="10" cm="1">
        <f t="array" ref="J981">_xlfn.IFS(B981=2015,I981*$G$2,B981=2016,I981*$G$3,B981=2017,I981*$G$4,B981=2018,I981*$G$5,B981=2019,I981*$G$6,B981=2020,I981*$G$7,B981=2021,I981*$G$8,B981=2022,I981*$G$9,B981=2023,I981*$G$10)</f>
        <v>95744.611432426667</v>
      </c>
      <c r="K981" s="8">
        <f t="shared" si="15"/>
        <v>621031.61143242661</v>
      </c>
      <c r="L981">
        <f>IFERROR(VLOOKUP(F981,'LEAID Match'!$A$2:$B$240,2,FALSE),"")</f>
        <v>0</v>
      </c>
    </row>
    <row r="982" spans="1:12" x14ac:dyDescent="0.2">
      <c r="A982">
        <v>0</v>
      </c>
      <c r="B982">
        <v>2023</v>
      </c>
      <c r="C982" s="4" t="s">
        <v>220</v>
      </c>
      <c r="D982" s="4" t="s">
        <v>576</v>
      </c>
      <c r="E982" s="4" t="s">
        <v>578</v>
      </c>
      <c r="F982" s="4" t="s">
        <v>179</v>
      </c>
      <c r="G982" s="8">
        <v>1236180</v>
      </c>
      <c r="I982" s="16" cm="1">
        <f t="array" ref="I982">_xlfn.IFS(B982=2015,G982/$H$1957,B982=2016,G982/$H$1958,B982=2017,G982/$H$1959,B982=2018,G982/$H$1960,B982=2019,G982/$H$1961,B982=2020,G982/$H$1962,B982=2021,G982/$H$1963,B982=2022,G982/$H$1964,B982=2023,G982/$H$1965)</f>
        <v>1.2516193821793581E-3</v>
      </c>
      <c r="J982" s="10" cm="1">
        <f t="array" ref="J982">_xlfn.IFS(B982=2015,I982*$G$2,B982=2016,I982*$G$3,B982=2017,I982*$G$4,B982=2018,I982*$G$5,B982=2019,I982*$G$6,B982=2020,I982*$G$7,B982=2021,I982*$G$8,B982=2022,I982*$G$9,B982=2023,I982*$G$10)</f>
        <v>212756.91994634111</v>
      </c>
      <c r="K982" s="8">
        <f t="shared" si="15"/>
        <v>1448936.9199463411</v>
      </c>
      <c r="L982">
        <f>IFERROR(VLOOKUP(F982,'LEAID Match'!$A$2:$B$240,2,FALSE),"")</f>
        <v>0</v>
      </c>
    </row>
    <row r="983" spans="1:12" x14ac:dyDescent="0.2">
      <c r="A983">
        <v>0</v>
      </c>
      <c r="B983">
        <v>2015</v>
      </c>
      <c r="C983" s="4" t="s">
        <v>221</v>
      </c>
      <c r="D983" s="4" t="s">
        <v>576</v>
      </c>
      <c r="E983" s="4" t="s">
        <v>578</v>
      </c>
      <c r="F983" s="4" t="s">
        <v>180</v>
      </c>
      <c r="G983" s="8">
        <v>1969334</v>
      </c>
      <c r="I983" s="16" cm="1">
        <f t="array" ref="I983">_xlfn.IFS(B983=2015,G983/$H$1957,B983=2016,G983/$H$1958,B983=2017,G983/$H$1959,B983=2018,G983/$H$1960,B983=2019,G983/$H$1961,B983=2020,G983/$H$1962,B983=2021,G983/$H$1963,B983=2022,G983/$H$1964,B983=2023,G983/$H$1965)</f>
        <v>1.5208349011950439E-3</v>
      </c>
      <c r="J983" s="10" cm="1">
        <f t="array" ref="J983">_xlfn.IFS(B983=2015,I983*$G$2,B983=2016,I983*$G$3,B983=2017,I983*$G$4,B983=2018,I983*$G$5,B983=2019,I983*$G$6,B983=2020,I983*$G$7,B983=2021,I983*$G$8,B983=2022,I983*$G$9,B983=2023,I983*$G$10)</f>
        <v>378144.30598300631</v>
      </c>
      <c r="K983" s="8">
        <f t="shared" si="15"/>
        <v>2347478.3059830065</v>
      </c>
      <c r="L983">
        <f>IFERROR(VLOOKUP(F983,'LEAID Match'!$A$2:$B$240,2,FALSE),"")</f>
        <v>0</v>
      </c>
    </row>
    <row r="984" spans="1:12" x14ac:dyDescent="0.2">
      <c r="A984">
        <v>0</v>
      </c>
      <c r="B984">
        <v>2016</v>
      </c>
      <c r="C984" s="4" t="s">
        <v>221</v>
      </c>
      <c r="D984" s="4" t="s">
        <v>576</v>
      </c>
      <c r="E984" s="4" t="s">
        <v>578</v>
      </c>
      <c r="F984" s="4" t="s">
        <v>180</v>
      </c>
      <c r="G984" s="8">
        <v>2070873</v>
      </c>
      <c r="I984" s="16" cm="1">
        <f t="array" ref="I984">_xlfn.IFS(B984=2015,G984/$H$1957,B984=2016,G984/$H$1958,B984=2017,G984/$H$1959,B984=2018,G984/$H$1960,B984=2019,G984/$H$1961,B984=2020,G984/$H$1962,B984=2021,G984/$H$1963,B984=2022,G984/$H$1964,B984=2023,G984/$H$1965)</f>
        <v>1.4537519606883159E-3</v>
      </c>
      <c r="J984" s="10" cm="1">
        <f t="array" ref="J984">_xlfn.IFS(B984=2015,I984*$G$2,B984=2016,I984*$G$3,B984=2017,I984*$G$4,B984=2018,I984*$G$5,B984=2019,I984*$G$6,B984=2020,I984*$G$7,B984=2021,I984*$G$8,B984=2022,I984*$G$9,B984=2023,I984*$G$10)</f>
        <v>394262.00929471018</v>
      </c>
      <c r="K984" s="8">
        <f t="shared" si="15"/>
        <v>2465135.0092947101</v>
      </c>
      <c r="L984">
        <f>IFERROR(VLOOKUP(F984,'LEAID Match'!$A$2:$B$240,2,FALSE),"")</f>
        <v>0</v>
      </c>
    </row>
    <row r="985" spans="1:12" x14ac:dyDescent="0.2">
      <c r="A985">
        <v>0</v>
      </c>
      <c r="B985">
        <v>2017</v>
      </c>
      <c r="C985" s="4" t="s">
        <v>221</v>
      </c>
      <c r="D985" s="4" t="s">
        <v>576</v>
      </c>
      <c r="E985" s="4" t="s">
        <v>578</v>
      </c>
      <c r="F985" s="4" t="s">
        <v>180</v>
      </c>
      <c r="G985" s="8">
        <v>1071128</v>
      </c>
      <c r="I985" s="16" cm="1">
        <f t="array" ref="I985">_xlfn.IFS(B985=2015,G985/$H$1957,B985=2016,G985/$H$1958,B985=2017,G985/$H$1959,B985=2018,G985/$H$1960,B985=2019,G985/$H$1961,B985=2020,G985/$H$1962,B985=2021,G985/$H$1963,B985=2022,G985/$H$1964,B985=2023,G985/$H$1965)</f>
        <v>1.4291126958351221E-3</v>
      </c>
      <c r="J985" s="10" cm="1">
        <f t="array" ref="J985">_xlfn.IFS(B985=2015,I985*$G$2,B985=2016,I985*$G$3,B985=2017,I985*$G$4,B985=2018,I985*$G$5,B985=2019,I985*$G$6,B985=2020,I985*$G$7,B985=2021,I985*$G$8,B985=2022,I985*$G$9,B985=2023,I985*$G$10)</f>
        <v>211632.42156459234</v>
      </c>
      <c r="K985" s="8">
        <f t="shared" si="15"/>
        <v>1282760.4215645923</v>
      </c>
      <c r="L985">
        <f>IFERROR(VLOOKUP(F985,'LEAID Match'!$A$2:$B$240,2,FALSE),"")</f>
        <v>0</v>
      </c>
    </row>
    <row r="986" spans="1:12" x14ac:dyDescent="0.2">
      <c r="A986">
        <v>0</v>
      </c>
      <c r="B986">
        <v>2018</v>
      </c>
      <c r="C986" s="4" t="s">
        <v>221</v>
      </c>
      <c r="D986" s="4" t="s">
        <v>576</v>
      </c>
      <c r="E986" s="4" t="s">
        <v>578</v>
      </c>
      <c r="F986" s="4" t="s">
        <v>180</v>
      </c>
      <c r="G986" s="8">
        <v>1050821</v>
      </c>
      <c r="I986" s="16" cm="1">
        <f t="array" ref="I986">_xlfn.IFS(B986=2015,G986/$H$1957,B986=2016,G986/$H$1958,B986=2017,G986/$H$1959,B986=2018,G986/$H$1960,B986=2019,G986/$H$1961,B986=2020,G986/$H$1962,B986=2021,G986/$H$1963,B986=2022,G986/$H$1964,B986=2023,G986/$H$1965)</f>
        <v>1.3521023590307441E-3</v>
      </c>
      <c r="J986" s="10" cm="1">
        <f t="array" ref="J986">_xlfn.IFS(B986=2015,I986*$G$2,B986=2016,I986*$G$3,B986=2017,I986*$G$4,B986=2018,I986*$G$5,B986=2019,I986*$G$6,B986=2020,I986*$G$7,B986=2021,I986*$G$8,B986=2022,I986*$G$9,B986=2023,I986*$G$10)</f>
        <v>203523.75273096445</v>
      </c>
      <c r="K986" s="8">
        <f t="shared" si="15"/>
        <v>1254344.7527309645</v>
      </c>
      <c r="L986">
        <f>IFERROR(VLOOKUP(F986,'LEAID Match'!$A$2:$B$240,2,FALSE),"")</f>
        <v>0</v>
      </c>
    </row>
    <row r="987" spans="1:12" x14ac:dyDescent="0.2">
      <c r="A987">
        <v>0</v>
      </c>
      <c r="B987">
        <v>2019</v>
      </c>
      <c r="C987" s="4" t="s">
        <v>221</v>
      </c>
      <c r="D987" s="4" t="s">
        <v>576</v>
      </c>
      <c r="E987" s="4" t="s">
        <v>578</v>
      </c>
      <c r="F987" s="4" t="s">
        <v>180</v>
      </c>
      <c r="G987" s="8">
        <v>1105273</v>
      </c>
      <c r="I987" s="16" cm="1">
        <f t="array" ref="I987">_xlfn.IFS(B987=2015,G987/$H$1957,B987=2016,G987/$H$1958,B987=2017,G987/$H$1959,B987=2018,G987/$H$1960,B987=2019,G987/$H$1961,B987=2020,G987/$H$1962,B987=2021,G987/$H$1963,B987=2022,G987/$H$1964,B987=2023,G987/$H$1965)</f>
        <v>1.3736295830462969E-3</v>
      </c>
      <c r="J987" s="10" cm="1">
        <f t="array" ref="J987">_xlfn.IFS(B987=2015,I987*$G$2,B987=2016,I987*$G$3,B987=2017,I987*$G$4,B987=2018,I987*$G$5,B987=2019,I987*$G$6,B987=2020,I987*$G$7,B987=2021,I987*$G$8,B987=2022,I987*$G$9,B987=2023,I987*$G$10)</f>
        <v>217072.10333244933</v>
      </c>
      <c r="K987" s="8">
        <f t="shared" si="15"/>
        <v>1322345.1033324492</v>
      </c>
      <c r="L987">
        <f>IFERROR(VLOOKUP(F987,'LEAID Match'!$A$2:$B$240,2,FALSE),"")</f>
        <v>0</v>
      </c>
    </row>
    <row r="988" spans="1:12" x14ac:dyDescent="0.2">
      <c r="A988">
        <v>0</v>
      </c>
      <c r="B988">
        <v>2020</v>
      </c>
      <c r="C988" s="4" t="s">
        <v>221</v>
      </c>
      <c r="D988" s="4" t="s">
        <v>576</v>
      </c>
      <c r="E988" s="4" t="s">
        <v>578</v>
      </c>
      <c r="F988" s="4" t="s">
        <v>180</v>
      </c>
      <c r="G988" s="8">
        <v>1203204</v>
      </c>
      <c r="I988" s="16" cm="1">
        <f t="array" ref="I988">_xlfn.IFS(B988=2015,G988/$H$1957,B988=2016,G988/$H$1958,B988=2017,G988/$H$1959,B988=2018,G988/$H$1960,B988=2019,G988/$H$1961,B988=2020,G988/$H$1962,B988=2021,G988/$H$1963,B988=2022,G988/$H$1964,B988=2023,G988/$H$1965)</f>
        <v>1.3838811749929652E-3</v>
      </c>
      <c r="J988" s="10" cm="1">
        <f t="array" ref="J988">_xlfn.IFS(B988=2015,I988*$G$2,B988=2016,I988*$G$3,B988=2017,I988*$G$4,B988=2018,I988*$G$5,B988=2019,I988*$G$6,B988=2020,I988*$G$7,B988=2021,I988*$G$8,B988=2022,I988*$G$9,B988=2023,I988*$G$10)</f>
        <v>238973.99013108065</v>
      </c>
      <c r="K988" s="8">
        <f t="shared" si="15"/>
        <v>1442177.9901310806</v>
      </c>
      <c r="L988">
        <f>IFERROR(VLOOKUP(F988,'LEAID Match'!$A$2:$B$240,2,FALSE),"")</f>
        <v>0</v>
      </c>
    </row>
    <row r="989" spans="1:12" x14ac:dyDescent="0.2">
      <c r="A989">
        <v>0</v>
      </c>
      <c r="B989">
        <v>2021</v>
      </c>
      <c r="C989" s="4" t="s">
        <v>221</v>
      </c>
      <c r="D989" s="4" t="s">
        <v>576</v>
      </c>
      <c r="E989" s="4" t="s">
        <v>578</v>
      </c>
      <c r="F989" s="4" t="s">
        <v>180</v>
      </c>
      <c r="G989" s="8">
        <v>1254424</v>
      </c>
      <c r="I989" s="16" cm="1">
        <f t="array" ref="I989">_xlfn.IFS(B989=2015,G989/$H$1957,B989=2016,G989/$H$1958,B989=2017,G989/$H$1959,B989=2018,G989/$H$1960,B989=2019,G989/$H$1961,B989=2020,G989/$H$1962,B989=2021,G989/$H$1963,B989=2022,G989/$H$1964,B989=2023,G989/$H$1965)</f>
        <v>1.4335493386335124E-3</v>
      </c>
      <c r="J989" s="10" cm="1">
        <f t="array" ref="J989">_xlfn.IFS(B989=2015,I989*$G$2,B989=2016,I989*$G$3,B989=2017,I989*$G$4,B989=2018,I989*$G$5,B989=2019,I989*$G$6,B989=2020,I989*$G$7,B989=2021,I989*$G$8,B989=2022,I989*$G$9,B989=2023,I989*$G$10)</f>
        <v>246021.20174617597</v>
      </c>
      <c r="K989" s="8">
        <f t="shared" si="15"/>
        <v>1500445.201746176</v>
      </c>
      <c r="L989">
        <f>IFERROR(VLOOKUP(F989,'LEAID Match'!$A$2:$B$240,2,FALSE),"")</f>
        <v>0</v>
      </c>
    </row>
    <row r="990" spans="1:12" x14ac:dyDescent="0.2">
      <c r="A990">
        <v>0</v>
      </c>
      <c r="B990">
        <v>2022</v>
      </c>
      <c r="C990" s="4" t="s">
        <v>221</v>
      </c>
      <c r="D990" s="4" t="s">
        <v>576</v>
      </c>
      <c r="E990" s="4" t="s">
        <v>578</v>
      </c>
      <c r="F990" s="4" t="s">
        <v>180</v>
      </c>
      <c r="G990" s="8">
        <v>1319675</v>
      </c>
      <c r="I990" s="16" cm="1">
        <f t="array" ref="I990">_xlfn.IFS(B990=2015,G990/$H$1957,B990=2016,G990/$H$1958,B990=2017,G990/$H$1959,B990=2018,G990/$H$1960,B990=2019,G990/$H$1961,B990=2020,G990/$H$1962,B990=2021,G990/$H$1963,B990=2022,G990/$H$1964,B990=2023,G990/$H$1965)</f>
        <v>1.4183897357179245E-3</v>
      </c>
      <c r="J990" s="10" cm="1">
        <f t="array" ref="J990">_xlfn.IFS(B990=2015,I990*$G$2,B990=2016,I990*$G$3,B990=2017,I990*$G$4,B990=2018,I990*$G$5,B990=2019,I990*$G$6,B990=2020,I990*$G$7,B990=2021,I990*$G$8,B990=2022,I990*$G$9,B990=2023,I990*$G$10)</f>
        <v>240538.54386666269</v>
      </c>
      <c r="K990" s="8">
        <f t="shared" si="15"/>
        <v>1560213.5438666628</v>
      </c>
      <c r="L990">
        <f>IFERROR(VLOOKUP(F990,'LEAID Match'!$A$2:$B$240,2,FALSE),"")</f>
        <v>0</v>
      </c>
    </row>
    <row r="991" spans="1:12" x14ac:dyDescent="0.2">
      <c r="A991">
        <v>0</v>
      </c>
      <c r="B991">
        <v>2023</v>
      </c>
      <c r="C991" s="4" t="s">
        <v>221</v>
      </c>
      <c r="D991" s="4" t="s">
        <v>576</v>
      </c>
      <c r="E991" s="4" t="s">
        <v>578</v>
      </c>
      <c r="F991" s="4" t="s">
        <v>180</v>
      </c>
      <c r="G991" s="8">
        <v>1407476</v>
      </c>
      <c r="I991" s="16" cm="1">
        <f t="array" ref="I991">_xlfn.IFS(B991=2015,G991/$H$1957,B991=2016,G991/$H$1958,B991=2017,G991/$H$1959,B991=2018,G991/$H$1960,B991=2019,G991/$H$1961,B991=2020,G991/$H$1962,B991=2021,G991/$H$1963,B991=2022,G991/$H$1964,B991=2023,G991/$H$1965)</f>
        <v>1.4250547991006763E-3</v>
      </c>
      <c r="J991" s="10" cm="1">
        <f t="array" ref="J991">_xlfn.IFS(B991=2015,I991*$G$2,B991=2016,I991*$G$3,B991=2017,I991*$G$4,B991=2018,I991*$G$5,B991=2019,I991*$G$6,B991=2020,I991*$G$7,B991=2021,I991*$G$8,B991=2022,I991*$G$9,B991=2023,I991*$G$10)</f>
        <v>242238.39461760936</v>
      </c>
      <c r="K991" s="8">
        <f t="shared" si="15"/>
        <v>1649714.3946176094</v>
      </c>
      <c r="L991">
        <f>IFERROR(VLOOKUP(F991,'LEAID Match'!$A$2:$B$240,2,FALSE),"")</f>
        <v>0</v>
      </c>
    </row>
    <row r="992" spans="1:12" x14ac:dyDescent="0.2">
      <c r="A992">
        <v>0</v>
      </c>
      <c r="B992">
        <v>2015</v>
      </c>
      <c r="C992" s="4" t="s">
        <v>222</v>
      </c>
      <c r="D992" s="4" t="s">
        <v>576</v>
      </c>
      <c r="E992" s="4" t="s">
        <v>578</v>
      </c>
      <c r="F992" s="4" t="s">
        <v>181</v>
      </c>
      <c r="G992" s="8">
        <v>139025500</v>
      </c>
      <c r="I992" s="16" cm="1">
        <f t="array" ref="I992">_xlfn.IFS(B992=2015,G992/$H$1957,B992=2016,G992/$H$1958,B992=2017,G992/$H$1959,B992=2018,G992/$H$1960,B992=2019,G992/$H$1961,B992=2020,G992/$H$1962,B992=2021,G992/$H$1963,B992=2022,G992/$H$1964,B992=2023,G992/$H$1965)</f>
        <v>0.10736362270498127</v>
      </c>
      <c r="J992" s="10" cm="1">
        <f t="array" ref="J992">_xlfn.IFS(B992=2015,I992*$G$2,B992=2016,I992*$G$3,B992=2017,I992*$G$4,B992=2018,I992*$G$5,B992=2019,I992*$G$6,B992=2020,I992*$G$7,B992=2021,I992*$G$8,B992=2022,I992*$G$9,B992=2023,I992*$G$10)</f>
        <v>26695167.610695008</v>
      </c>
      <c r="K992" s="8">
        <f t="shared" si="15"/>
        <v>165720667.610695</v>
      </c>
      <c r="L992">
        <f>IFERROR(VLOOKUP(F992,'LEAID Match'!$A$2:$B$240,2,FALSE),"")</f>
        <v>0</v>
      </c>
    </row>
    <row r="993" spans="1:12" x14ac:dyDescent="0.2">
      <c r="A993">
        <v>0</v>
      </c>
      <c r="B993">
        <v>2016</v>
      </c>
      <c r="C993" s="4" t="s">
        <v>222</v>
      </c>
      <c r="D993" s="4" t="s">
        <v>576</v>
      </c>
      <c r="E993" s="4" t="s">
        <v>578</v>
      </c>
      <c r="F993" s="4" t="s">
        <v>181</v>
      </c>
      <c r="G993" s="8">
        <v>145806075</v>
      </c>
      <c r="I993" s="16" cm="1">
        <f t="array" ref="I993">_xlfn.IFS(B993=2015,G993/$H$1957,B993=2016,G993/$H$1958,B993=2017,G993/$H$1959,B993=2018,G993/$H$1960,B993=2019,G993/$H$1961,B993=2020,G993/$H$1962,B993=2021,G993/$H$1963,B993=2022,G993/$H$1964,B993=2023,G993/$H$1965)</f>
        <v>0.10235580231695408</v>
      </c>
      <c r="J993" s="10" cm="1">
        <f t="array" ref="J993">_xlfn.IFS(B993=2015,I993*$G$2,B993=2016,I993*$G$3,B993=2017,I993*$G$4,B993=2018,I993*$G$5,B993=2019,I993*$G$6,B993=2020,I993*$G$7,B993=2021,I993*$G$8,B993=2022,I993*$G$9,B993=2023,I993*$G$10)</f>
        <v>27759208.844229084</v>
      </c>
      <c r="K993" s="8">
        <f t="shared" si="15"/>
        <v>173565283.84422907</v>
      </c>
      <c r="L993">
        <f>IFERROR(VLOOKUP(F993,'LEAID Match'!$A$2:$B$240,2,FALSE),"")</f>
        <v>0</v>
      </c>
    </row>
    <row r="994" spans="1:12" x14ac:dyDescent="0.2">
      <c r="A994">
        <v>0</v>
      </c>
      <c r="B994">
        <v>2017</v>
      </c>
      <c r="C994" s="4" t="s">
        <v>222</v>
      </c>
      <c r="D994" s="4" t="s">
        <v>576</v>
      </c>
      <c r="E994" s="4" t="s">
        <v>578</v>
      </c>
      <c r="F994" s="4" t="s">
        <v>181</v>
      </c>
      <c r="G994" s="8">
        <v>77496775</v>
      </c>
      <c r="I994" s="16" cm="1">
        <f t="array" ref="I994">_xlfn.IFS(B994=2015,G994/$H$1957,B994=2016,G994/$H$1958,B994=2017,G994/$H$1959,B994=2018,G994/$H$1960,B994=2019,G994/$H$1961,B994=2020,G994/$H$1962,B994=2021,G994/$H$1963,B994=2022,G994/$H$1964,B994=2023,G994/$H$1965)</f>
        <v>0.10339718972781768</v>
      </c>
      <c r="J994" s="10" cm="1">
        <f t="array" ref="J994">_xlfn.IFS(B994=2015,I994*$G$2,B994=2016,I994*$G$3,B994=2017,I994*$G$4,B994=2018,I994*$G$5,B994=2019,I994*$G$6,B994=2020,I994*$G$7,B994=2021,I994*$G$8,B994=2022,I994*$G$9,B994=2023,I994*$G$10)</f>
        <v>15311736.932183979</v>
      </c>
      <c r="K994" s="8">
        <f t="shared" si="15"/>
        <v>92808511.932183981</v>
      </c>
      <c r="L994">
        <f>IFERROR(VLOOKUP(F994,'LEAID Match'!$A$2:$B$240,2,FALSE),"")</f>
        <v>0</v>
      </c>
    </row>
    <row r="995" spans="1:12" x14ac:dyDescent="0.2">
      <c r="A995">
        <v>0</v>
      </c>
      <c r="B995">
        <v>2018</v>
      </c>
      <c r="C995" s="4" t="s">
        <v>222</v>
      </c>
      <c r="D995" s="4" t="s">
        <v>576</v>
      </c>
      <c r="E995" s="4" t="s">
        <v>578</v>
      </c>
      <c r="F995" s="4" t="s">
        <v>181</v>
      </c>
      <c r="G995" s="8">
        <v>83409034</v>
      </c>
      <c r="I995" s="16" cm="1">
        <f t="array" ref="I995">_xlfn.IFS(B995=2015,G995/$H$1957,B995=2016,G995/$H$1958,B995=2017,G995/$H$1959,B995=2018,G995/$H$1960,B995=2019,G995/$H$1961,B995=2020,G995/$H$1962,B995=2021,G995/$H$1963,B995=2022,G995/$H$1964,B995=2023,G995/$H$1965)</f>
        <v>0.10732327545402646</v>
      </c>
      <c r="J995" s="10" cm="1">
        <f t="array" ref="J995">_xlfn.IFS(B995=2015,I995*$G$2,B995=2016,I995*$G$3,B995=2017,I995*$G$4,B995=2018,I995*$G$5,B995=2019,I995*$G$6,B995=2020,I995*$G$7,B995=2021,I995*$G$8,B995=2022,I995*$G$9,B995=2023,I995*$G$10)</f>
        <v>16154720.557872945</v>
      </c>
      <c r="K995" s="8">
        <f t="shared" si="15"/>
        <v>99563754.557872951</v>
      </c>
      <c r="L995">
        <f>IFERROR(VLOOKUP(F995,'LEAID Match'!$A$2:$B$240,2,FALSE),"")</f>
        <v>0</v>
      </c>
    </row>
    <row r="996" spans="1:12" x14ac:dyDescent="0.2">
      <c r="A996">
        <v>0</v>
      </c>
      <c r="B996">
        <v>2019</v>
      </c>
      <c r="C996" s="4" t="s">
        <v>222</v>
      </c>
      <c r="D996" s="4" t="s">
        <v>576</v>
      </c>
      <c r="E996" s="4" t="s">
        <v>578</v>
      </c>
      <c r="F996" s="4" t="s">
        <v>181</v>
      </c>
      <c r="G996" s="8">
        <v>88648698</v>
      </c>
      <c r="I996" s="16" cm="1">
        <f t="array" ref="I996">_xlfn.IFS(B996=2015,G996/$H$1957,B996=2016,G996/$H$1958,B996=2017,G996/$H$1959,B996=2018,G996/$H$1960,B996=2019,G996/$H$1961,B996=2020,G996/$H$1962,B996=2021,G996/$H$1963,B996=2022,G996/$H$1964,B996=2023,G996/$H$1965)</f>
        <v>0.11017230500639852</v>
      </c>
      <c r="J996" s="10" cm="1">
        <f t="array" ref="J996">_xlfn.IFS(B996=2015,I996*$G$2,B996=2016,I996*$G$3,B996=2017,I996*$G$4,B996=2018,I996*$G$5,B996=2019,I996*$G$6,B996=2020,I996*$G$7,B996=2021,I996*$G$8,B996=2022,I996*$G$9,B996=2023,I996*$G$10)</f>
        <v>17410322.456572358</v>
      </c>
      <c r="K996" s="8">
        <f t="shared" si="15"/>
        <v>106059020.45657235</v>
      </c>
      <c r="L996">
        <f>IFERROR(VLOOKUP(F996,'LEAID Match'!$A$2:$B$240,2,FALSE),"")</f>
        <v>0</v>
      </c>
    </row>
    <row r="997" spans="1:12" x14ac:dyDescent="0.2">
      <c r="A997">
        <v>0</v>
      </c>
      <c r="B997">
        <v>2020</v>
      </c>
      <c r="C997" s="4" t="s">
        <v>222</v>
      </c>
      <c r="D997" s="4" t="s">
        <v>576</v>
      </c>
      <c r="E997" s="4" t="s">
        <v>578</v>
      </c>
      <c r="F997" s="4" t="s">
        <v>181</v>
      </c>
      <c r="G997" s="8">
        <v>96115017</v>
      </c>
      <c r="I997" s="16" cm="1">
        <f t="array" ref="I997">_xlfn.IFS(B997=2015,G997/$H$1957,B997=2016,G997/$H$1958,B997=2017,G997/$H$1959,B997=2018,G997/$H$1960,B997=2019,G997/$H$1961,B997=2020,G997/$H$1962,B997=2021,G997/$H$1963,B997=2022,G997/$H$1964,B997=2023,G997/$H$1965)</f>
        <v>0.1105479724638788</v>
      </c>
      <c r="J997" s="10" cm="1">
        <f t="array" ref="J997">_xlfn.IFS(B997=2015,I997*$G$2,B997=2016,I997*$G$3,B997=2017,I997*$G$4,B997=2018,I997*$G$5,B997=2019,I997*$G$6,B997=2020,I997*$G$7,B997=2021,I997*$G$8,B997=2022,I997*$G$9,B997=2023,I997*$G$10)</f>
        <v>19089854.358867366</v>
      </c>
      <c r="K997" s="8">
        <f t="shared" si="15"/>
        <v>115204871.35886736</v>
      </c>
      <c r="L997">
        <f>IFERROR(VLOOKUP(F997,'LEAID Match'!$A$2:$B$240,2,FALSE),"")</f>
        <v>0</v>
      </c>
    </row>
    <row r="998" spans="1:12" x14ac:dyDescent="0.2">
      <c r="A998">
        <v>0</v>
      </c>
      <c r="B998">
        <v>2021</v>
      </c>
      <c r="C998" s="4" t="s">
        <v>222</v>
      </c>
      <c r="D998" s="4" t="s">
        <v>576</v>
      </c>
      <c r="E998" s="4" t="s">
        <v>578</v>
      </c>
      <c r="F998" s="4" t="s">
        <v>181</v>
      </c>
      <c r="G998" s="8">
        <v>98180247</v>
      </c>
      <c r="I998" s="16" cm="1">
        <f t="array" ref="I998">_xlfn.IFS(B998=2015,G998/$H$1957,B998=2016,G998/$H$1958,B998=2017,G998/$H$1959,B998=2018,G998/$H$1960,B998=2019,G998/$H$1961,B998=2020,G998/$H$1962,B998=2021,G998/$H$1963,B998=2022,G998/$H$1964,B998=2023,G998/$H$1965)</f>
        <v>0.11219988469108123</v>
      </c>
      <c r="J998" s="10" cm="1">
        <f t="array" ref="J998">_xlfn.IFS(B998=2015,I998*$G$2,B998=2016,I998*$G$3,B998=2017,I998*$G$4,B998=2018,I998*$G$5,B998=2019,I998*$G$6,B998=2020,I998*$G$7,B998=2021,I998*$G$8,B998=2022,I998*$G$9,B998=2023,I998*$G$10)</f>
        <v>19255389.210248198</v>
      </c>
      <c r="K998" s="8">
        <f t="shared" si="15"/>
        <v>117435636.2102482</v>
      </c>
      <c r="L998">
        <f>IFERROR(VLOOKUP(F998,'LEAID Match'!$A$2:$B$240,2,FALSE),"")</f>
        <v>0</v>
      </c>
    </row>
    <row r="999" spans="1:12" x14ac:dyDescent="0.2">
      <c r="A999">
        <v>0</v>
      </c>
      <c r="B999">
        <v>2022</v>
      </c>
      <c r="C999" s="4" t="s">
        <v>222</v>
      </c>
      <c r="D999" s="4" t="s">
        <v>576</v>
      </c>
      <c r="E999" s="4" t="s">
        <v>578</v>
      </c>
      <c r="F999" s="4" t="s">
        <v>181</v>
      </c>
      <c r="G999" s="8">
        <v>106150894</v>
      </c>
      <c r="I999" s="16" cm="1">
        <f t="array" ref="I999">_xlfn.IFS(B999=2015,G999/$H$1957,B999=2016,G999/$H$1958,B999=2017,G999/$H$1959,B999=2018,G999/$H$1960,B999=2019,G999/$H$1961,B999=2020,G999/$H$1962,B999=2021,G999/$H$1963,B999=2022,G999/$H$1964,B999=2023,G999/$H$1965)</f>
        <v>0.11409122586006511</v>
      </c>
      <c r="J999" s="10" cm="1">
        <f t="array" ref="J999">_xlfn.IFS(B999=2015,I999*$G$2,B999=2016,I999*$G$3,B999=2017,I999*$G$4,B999=2018,I999*$G$5,B999=2019,I999*$G$6,B999=2020,I999*$G$7,B999=2021,I999*$G$8,B999=2022,I999*$G$9,B999=2023,I999*$G$10)</f>
        <v>19348234.582684726</v>
      </c>
      <c r="K999" s="8">
        <f t="shared" si="15"/>
        <v>125499128.58268473</v>
      </c>
      <c r="L999">
        <f>IFERROR(VLOOKUP(F999,'LEAID Match'!$A$2:$B$240,2,FALSE),"")</f>
        <v>0</v>
      </c>
    </row>
    <row r="1000" spans="1:12" x14ac:dyDescent="0.2">
      <c r="A1000">
        <v>0</v>
      </c>
      <c r="B1000">
        <v>2023</v>
      </c>
      <c r="C1000" s="4" t="s">
        <v>222</v>
      </c>
      <c r="D1000" s="4" t="s">
        <v>576</v>
      </c>
      <c r="E1000" s="4" t="s">
        <v>578</v>
      </c>
      <c r="F1000" s="4" t="s">
        <v>181</v>
      </c>
      <c r="G1000" s="8">
        <v>105630521</v>
      </c>
      <c r="I1000" s="16" cm="1">
        <f t="array" ref="I1000">_xlfn.IFS(B1000=2015,G1000/$H$1957,B1000=2016,G1000/$H$1958,B1000=2017,G1000/$H$1959,B1000=2018,G1000/$H$1960,B1000=2019,G1000/$H$1961,B1000=2020,G1000/$H$1962,B1000=2021,G1000/$H$1963,B1000=2022,G1000/$H$1964,B1000=2023,G1000/$H$1965)</f>
        <v>0.10694980296826005</v>
      </c>
      <c r="J1000" s="10" cm="1">
        <f t="array" ref="J1000">_xlfn.IFS(B1000=2015,I1000*$G$2,B1000=2016,I1000*$G$3,B1000=2017,I1000*$G$4,B1000=2018,I1000*$G$5,B1000=2019,I1000*$G$6,B1000=2020,I1000*$G$7,B1000=2021,I1000*$G$8,B1000=2022,I1000*$G$9,B1000=2023,I1000*$G$10)</f>
        <v>18179896.374546833</v>
      </c>
      <c r="K1000" s="8">
        <f t="shared" si="15"/>
        <v>123810417.37454683</v>
      </c>
      <c r="L1000">
        <f>IFERROR(VLOOKUP(F1000,'LEAID Match'!$A$2:$B$240,2,FALSE),"")</f>
        <v>0</v>
      </c>
    </row>
    <row r="1001" spans="1:12" x14ac:dyDescent="0.2">
      <c r="A1001">
        <v>0</v>
      </c>
      <c r="B1001">
        <v>2015</v>
      </c>
      <c r="C1001" s="4" t="s">
        <v>223</v>
      </c>
      <c r="D1001" s="4" t="s">
        <v>576</v>
      </c>
      <c r="E1001" s="4" t="s">
        <v>578</v>
      </c>
      <c r="F1001" s="4" t="s">
        <v>182</v>
      </c>
      <c r="G1001" s="8">
        <v>43713</v>
      </c>
      <c r="I1001" s="16" cm="1">
        <f t="array" ref="I1001">_xlfn.IFS(B1001=2015,G1001/$H$1957,B1001=2016,G1001/$H$1958,B1001=2017,G1001/$H$1959,B1001=2018,G1001/$H$1960,B1001=2019,G1001/$H$1961,B1001=2020,G1001/$H$1962,B1001=2021,G1001/$H$1963,B1001=2022,G1001/$H$1964,B1001=2023,G1001/$H$1965)</f>
        <v>3.3757735374466171E-5</v>
      </c>
      <c r="J1001" s="10" cm="1">
        <f t="array" ref="J1001">_xlfn.IFS(B1001=2015,I1001*$G$2,B1001=2016,I1001*$G$3,B1001=2017,I1001*$G$4,B1001=2018,I1001*$G$5,B1001=2019,I1001*$G$6,B1001=2020,I1001*$G$7,B1001=2021,I1001*$G$8,B1001=2022,I1001*$G$9,B1001=2023,I1001*$G$10)</f>
        <v>8393.6102496758576</v>
      </c>
      <c r="K1001" s="8">
        <f t="shared" si="15"/>
        <v>52106.610249675854</v>
      </c>
      <c r="L1001">
        <f>IFERROR(VLOOKUP(F1001,'LEAID Match'!$A$2:$B$240,2,FALSE),"")</f>
        <v>0</v>
      </c>
    </row>
    <row r="1002" spans="1:12" x14ac:dyDescent="0.2">
      <c r="A1002">
        <v>0</v>
      </c>
      <c r="B1002">
        <v>2016</v>
      </c>
      <c r="C1002" s="4" t="s">
        <v>223</v>
      </c>
      <c r="D1002" s="4" t="s">
        <v>576</v>
      </c>
      <c r="E1002" s="4" t="s">
        <v>578</v>
      </c>
      <c r="F1002" s="4" t="s">
        <v>182</v>
      </c>
      <c r="G1002" s="8">
        <v>52655</v>
      </c>
      <c r="I1002" s="16" cm="1">
        <f t="array" ref="I1002">_xlfn.IFS(B1002=2015,G1002/$H$1957,B1002=2016,G1002/$H$1958,B1002=2017,G1002/$H$1959,B1002=2018,G1002/$H$1960,B1002=2019,G1002/$H$1961,B1002=2020,G1002/$H$1962,B1002=2021,G1002/$H$1963,B1002=2022,G1002/$H$1964,B1002=2023,G1002/$H$1965)</f>
        <v>3.6963787489644842E-5</v>
      </c>
      <c r="J1002" s="10" cm="1">
        <f t="array" ref="J1002">_xlfn.IFS(B1002=2015,I1002*$G$2,B1002=2016,I1002*$G$3,B1002=2017,I1002*$G$4,B1002=2018,I1002*$G$5,B1002=2019,I1002*$G$6,B1002=2020,I1002*$G$7,B1002=2021,I1002*$G$8,B1002=2022,I1002*$G$9,B1002=2023,I1002*$G$10)</f>
        <v>10024.693015657149</v>
      </c>
      <c r="K1002" s="8">
        <f t="shared" si="15"/>
        <v>62679.693015657147</v>
      </c>
      <c r="L1002">
        <f>IFERROR(VLOOKUP(F1002,'LEAID Match'!$A$2:$B$240,2,FALSE),"")</f>
        <v>0</v>
      </c>
    </row>
    <row r="1003" spans="1:12" x14ac:dyDescent="0.2">
      <c r="A1003">
        <v>0</v>
      </c>
      <c r="B1003">
        <v>2017</v>
      </c>
      <c r="C1003" s="4" t="s">
        <v>223</v>
      </c>
      <c r="D1003" s="4" t="s">
        <v>576</v>
      </c>
      <c r="E1003" s="4" t="s">
        <v>578</v>
      </c>
      <c r="F1003" s="4" t="s">
        <v>182</v>
      </c>
      <c r="G1003" s="8">
        <v>31023</v>
      </c>
      <c r="I1003" s="16" cm="1">
        <f t="array" ref="I1003">_xlfn.IFS(B1003=2015,G1003/$H$1957,B1003=2016,G1003/$H$1958,B1003=2017,G1003/$H$1959,B1003=2018,G1003/$H$1960,B1003=2019,G1003/$H$1961,B1003=2020,G1003/$H$1962,B1003=2021,G1003/$H$1963,B1003=2022,G1003/$H$1964,B1003=2023,G1003/$H$1965)</f>
        <v>4.139128392021588E-5</v>
      </c>
      <c r="J1003" s="10" cm="1">
        <f t="array" ref="J1003">_xlfn.IFS(B1003=2015,I1003*$G$2,B1003=2016,I1003*$G$3,B1003=2017,I1003*$G$4,B1003=2018,I1003*$G$5,B1003=2019,I1003*$G$6,B1003=2020,I1003*$G$7,B1003=2021,I1003*$G$8,B1003=2022,I1003*$G$9,B1003=2023,I1003*$G$10)</f>
        <v>6129.4939672927503</v>
      </c>
      <c r="K1003" s="8">
        <f t="shared" si="15"/>
        <v>37152.49396729275</v>
      </c>
      <c r="L1003">
        <f>IFERROR(VLOOKUP(F1003,'LEAID Match'!$A$2:$B$240,2,FALSE),"")</f>
        <v>0</v>
      </c>
    </row>
    <row r="1004" spans="1:12" x14ac:dyDescent="0.2">
      <c r="A1004">
        <v>0</v>
      </c>
      <c r="B1004">
        <v>2018</v>
      </c>
      <c r="C1004" s="4" t="s">
        <v>223</v>
      </c>
      <c r="D1004" s="4" t="s">
        <v>576</v>
      </c>
      <c r="E1004" s="4" t="s">
        <v>578</v>
      </c>
      <c r="F1004" s="4" t="s">
        <v>182</v>
      </c>
      <c r="G1004" s="8">
        <v>28017</v>
      </c>
      <c r="I1004" s="16" cm="1">
        <f t="array" ref="I1004">_xlfn.IFS(B1004=2015,G1004/$H$1957,B1004=2016,G1004/$H$1958,B1004=2017,G1004/$H$1959,B1004=2018,G1004/$H$1960,B1004=2019,G1004/$H$1961,B1004=2020,G1004/$H$1962,B1004=2021,G1004/$H$1963,B1004=2022,G1004/$H$1964,B1004=2023,G1004/$H$1965)</f>
        <v>3.6049766604363973E-5</v>
      </c>
      <c r="J1004" s="10" cm="1">
        <f t="array" ref="J1004">_xlfn.IFS(B1004=2015,I1004*$G$2,B1004=2016,I1004*$G$3,B1004=2017,I1004*$G$4,B1004=2018,I1004*$G$5,B1004=2019,I1004*$G$6,B1004=2020,I1004*$G$7,B1004=2021,I1004*$G$8,B1004=2022,I1004*$G$9,B1004=2023,I1004*$G$10)</f>
        <v>5426.3523285730207</v>
      </c>
      <c r="K1004" s="8">
        <f t="shared" si="15"/>
        <v>33443.352328573019</v>
      </c>
      <c r="L1004">
        <f>IFERROR(VLOOKUP(F1004,'LEAID Match'!$A$2:$B$240,2,FALSE),"")</f>
        <v>0</v>
      </c>
    </row>
    <row r="1005" spans="1:12" x14ac:dyDescent="0.2">
      <c r="A1005">
        <v>0</v>
      </c>
      <c r="B1005">
        <v>2019</v>
      </c>
      <c r="C1005" s="4" t="s">
        <v>223</v>
      </c>
      <c r="D1005" s="4" t="s">
        <v>576</v>
      </c>
      <c r="E1005" s="4" t="s">
        <v>578</v>
      </c>
      <c r="F1005" s="4" t="s">
        <v>182</v>
      </c>
      <c r="G1005" s="8">
        <v>21042</v>
      </c>
      <c r="I1005" s="16" cm="1">
        <f t="array" ref="I1005">_xlfn.IFS(B1005=2015,G1005/$H$1957,B1005=2016,G1005/$H$1958,B1005=2017,G1005/$H$1959,B1005=2018,G1005/$H$1960,B1005=2019,G1005/$H$1961,B1005=2020,G1005/$H$1962,B1005=2021,G1005/$H$1963,B1005=2022,G1005/$H$1964,B1005=2023,G1005/$H$1965)</f>
        <v>2.6150927134255682E-5</v>
      </c>
      <c r="J1005" s="10" cm="1">
        <f t="array" ref="J1005">_xlfn.IFS(B1005=2015,I1005*$G$2,B1005=2016,I1005*$G$3,B1005=2017,I1005*$G$4,B1005=2018,I1005*$G$5,B1005=2019,I1005*$G$6,B1005=2020,I1005*$G$7,B1005=2021,I1005*$G$8,B1005=2022,I1005*$G$9,B1005=2023,I1005*$G$10)</f>
        <v>4132.5819035852674</v>
      </c>
      <c r="K1005" s="8">
        <f t="shared" si="15"/>
        <v>25174.581903585269</v>
      </c>
      <c r="L1005">
        <f>IFERROR(VLOOKUP(F1005,'LEAID Match'!$A$2:$B$240,2,FALSE),"")</f>
        <v>0</v>
      </c>
    </row>
    <row r="1006" spans="1:12" x14ac:dyDescent="0.2">
      <c r="A1006">
        <v>0</v>
      </c>
      <c r="B1006">
        <v>2020</v>
      </c>
      <c r="C1006" s="4" t="s">
        <v>223</v>
      </c>
      <c r="D1006" s="4" t="s">
        <v>576</v>
      </c>
      <c r="E1006" s="4" t="s">
        <v>578</v>
      </c>
      <c r="F1006" s="4" t="s">
        <v>182</v>
      </c>
      <c r="G1006" s="8">
        <v>24645</v>
      </c>
      <c r="I1006" s="16" cm="1">
        <f t="array" ref="I1006">_xlfn.IFS(B1006=2015,G1006/$H$1957,B1006=2016,G1006/$H$1958,B1006=2017,G1006/$H$1959,B1006=2018,G1006/$H$1960,B1006=2019,G1006/$H$1961,B1006=2020,G1006/$H$1962,B1006=2021,G1006/$H$1963,B1006=2022,G1006/$H$1964,B1006=2023,G1006/$H$1965)</f>
        <v>2.8345776408407574E-5</v>
      </c>
      <c r="J1006" s="10" cm="1">
        <f t="array" ref="J1006">_xlfn.IFS(B1006=2015,I1006*$G$2,B1006=2016,I1006*$G$3,B1006=2017,I1006*$G$4,B1006=2018,I1006*$G$5,B1006=2019,I1006*$G$6,B1006=2020,I1006*$G$7,B1006=2021,I1006*$G$8,B1006=2022,I1006*$G$9,B1006=2023,I1006*$G$10)</f>
        <v>4894.8590486571538</v>
      </c>
      <c r="K1006" s="8">
        <f t="shared" si="15"/>
        <v>29539.859048657156</v>
      </c>
      <c r="L1006">
        <f>IFERROR(VLOOKUP(F1006,'LEAID Match'!$A$2:$B$240,2,FALSE),"")</f>
        <v>0</v>
      </c>
    </row>
    <row r="1007" spans="1:12" x14ac:dyDescent="0.2">
      <c r="A1007">
        <v>0</v>
      </c>
      <c r="B1007">
        <v>2021</v>
      </c>
      <c r="C1007" s="4" t="s">
        <v>223</v>
      </c>
      <c r="D1007" s="4" t="s">
        <v>576</v>
      </c>
      <c r="E1007" s="4" t="s">
        <v>578</v>
      </c>
      <c r="F1007" s="4" t="s">
        <v>182</v>
      </c>
      <c r="G1007" s="8">
        <v>25215</v>
      </c>
      <c r="I1007" s="16" cm="1">
        <f t="array" ref="I1007">_xlfn.IFS(B1007=2015,G1007/$H$1957,B1007=2016,G1007/$H$1958,B1007=2017,G1007/$H$1959,B1007=2018,G1007/$H$1960,B1007=2019,G1007/$H$1961,B1007=2020,G1007/$H$1962,B1007=2021,G1007/$H$1963,B1007=2022,G1007/$H$1964,B1007=2023,G1007/$H$1965)</f>
        <v>2.8815573182308387E-5</v>
      </c>
      <c r="J1007" s="10" cm="1">
        <f t="array" ref="J1007">_xlfn.IFS(B1007=2015,I1007*$G$2,B1007=2016,I1007*$G$3,B1007=2017,I1007*$G$4,B1007=2018,I1007*$G$5,B1007=2019,I1007*$G$6,B1007=2020,I1007*$G$7,B1007=2021,I1007*$G$8,B1007=2022,I1007*$G$9,B1007=2023,I1007*$G$10)</f>
        <v>4945.2374970742167</v>
      </c>
      <c r="K1007" s="8">
        <f t="shared" si="15"/>
        <v>30160.237497074217</v>
      </c>
      <c r="L1007">
        <f>IFERROR(VLOOKUP(F1007,'LEAID Match'!$A$2:$B$240,2,FALSE),"")</f>
        <v>0</v>
      </c>
    </row>
    <row r="1008" spans="1:12" x14ac:dyDescent="0.2">
      <c r="A1008">
        <v>0</v>
      </c>
      <c r="B1008">
        <v>2022</v>
      </c>
      <c r="C1008" s="4" t="s">
        <v>223</v>
      </c>
      <c r="D1008" s="4" t="s">
        <v>576</v>
      </c>
      <c r="E1008" s="4" t="s">
        <v>578</v>
      </c>
      <c r="F1008" s="4" t="s">
        <v>182</v>
      </c>
      <c r="G1008" s="8">
        <v>27259</v>
      </c>
      <c r="I1008" s="16" cm="1">
        <f t="array" ref="I1008">_xlfn.IFS(B1008=2015,G1008/$H$1957,B1008=2016,G1008/$H$1958,B1008=2017,G1008/$H$1959,B1008=2018,G1008/$H$1960,B1008=2019,G1008/$H$1961,B1008=2020,G1008/$H$1962,B1008=2021,G1008/$H$1963,B1008=2022,G1008/$H$1964,B1008=2023,G1008/$H$1965)</f>
        <v>2.9298036111872169E-5</v>
      </c>
      <c r="J1008" s="10" cm="1">
        <f t="array" ref="J1008">_xlfn.IFS(B1008=2015,I1008*$G$2,B1008=2016,I1008*$G$3,B1008=2017,I1008*$G$4,B1008=2018,I1008*$G$5,B1008=2019,I1008*$G$6,B1008=2020,I1008*$G$7,B1008=2021,I1008*$G$8,B1008=2022,I1008*$G$9,B1008=2023,I1008*$G$10)</f>
        <v>4968.5264684572785</v>
      </c>
      <c r="K1008" s="8">
        <f t="shared" si="15"/>
        <v>32227.526468457279</v>
      </c>
      <c r="L1008">
        <f>IFERROR(VLOOKUP(F1008,'LEAID Match'!$A$2:$B$240,2,FALSE),"")</f>
        <v>0</v>
      </c>
    </row>
    <row r="1009" spans="1:12" x14ac:dyDescent="0.2">
      <c r="A1009">
        <v>0</v>
      </c>
      <c r="B1009">
        <v>2023</v>
      </c>
      <c r="C1009" s="4" t="s">
        <v>223</v>
      </c>
      <c r="D1009" s="4" t="s">
        <v>576</v>
      </c>
      <c r="E1009" s="4" t="s">
        <v>578</v>
      </c>
      <c r="F1009" s="4" t="s">
        <v>182</v>
      </c>
      <c r="G1009" s="8">
        <v>33906</v>
      </c>
      <c r="I1009" s="16" cm="1">
        <f t="array" ref="I1009">_xlfn.IFS(B1009=2015,G1009/$H$1957,B1009=2016,G1009/$H$1958,B1009=2017,G1009/$H$1959,B1009=2018,G1009/$H$1960,B1009=2019,G1009/$H$1961,B1009=2020,G1009/$H$1962,B1009=2021,G1009/$H$1963,B1009=2022,G1009/$H$1964,B1009=2023,G1009/$H$1965)</f>
        <v>3.4329472060843333E-5</v>
      </c>
      <c r="J1009" s="10" cm="1">
        <f t="array" ref="J1009">_xlfn.IFS(B1009=2015,I1009*$G$2,B1009=2016,I1009*$G$3,B1009=2017,I1009*$G$4,B1009=2018,I1009*$G$5,B1009=2019,I1009*$G$6,B1009=2020,I1009*$G$7,B1009=2021,I1009*$G$8,B1009=2022,I1009*$G$9,B1009=2023,I1009*$G$10)</f>
        <v>5835.5062593640414</v>
      </c>
      <c r="K1009" s="8">
        <f t="shared" si="15"/>
        <v>39741.50625936404</v>
      </c>
      <c r="L1009">
        <f>IFERROR(VLOOKUP(F1009,'LEAID Match'!$A$2:$B$240,2,FALSE),"")</f>
        <v>0</v>
      </c>
    </row>
    <row r="1010" spans="1:12" x14ac:dyDescent="0.2">
      <c r="A1010">
        <v>0</v>
      </c>
      <c r="B1010">
        <v>2015</v>
      </c>
      <c r="C1010" s="4" t="s">
        <v>224</v>
      </c>
      <c r="D1010" s="4" t="s">
        <v>576</v>
      </c>
      <c r="E1010" s="4" t="s">
        <v>578</v>
      </c>
      <c r="F1010" s="4" t="s">
        <v>183</v>
      </c>
      <c r="G1010" s="8">
        <v>5176735</v>
      </c>
      <c r="I1010" s="16" cm="1">
        <f t="array" ref="I1010">_xlfn.IFS(B1010=2015,G1010/$H$1957,B1010=2016,G1010/$H$1958,B1010=2017,G1010/$H$1959,B1010=2018,G1010/$H$1960,B1010=2019,G1010/$H$1961,B1010=2020,G1010/$H$1962,B1010=2021,G1010/$H$1963,B1010=2022,G1010/$H$1964,B1010=2023,G1010/$H$1965)</f>
        <v>3.9977775543599643E-3</v>
      </c>
      <c r="J1010" s="10" cm="1">
        <f t="array" ref="J1010">_xlfn.IFS(B1010=2015,I1010*$G$2,B1010=2016,I1010*$G$3,B1010=2017,I1010*$G$4,B1010=2018,I1010*$G$5,B1010=2019,I1010*$G$6,B1010=2020,I1010*$G$7,B1010=2021,I1010*$G$8,B1010=2022,I1010*$G$9,B1010=2023,I1010*$G$10)</f>
        <v>994017.70539326395</v>
      </c>
      <c r="K1010" s="8">
        <f t="shared" si="15"/>
        <v>6170752.7053932641</v>
      </c>
      <c r="L1010">
        <f>IFERROR(VLOOKUP(F1010,'LEAID Match'!$A$2:$B$240,2,FALSE),"")</f>
        <v>0</v>
      </c>
    </row>
    <row r="1011" spans="1:12" x14ac:dyDescent="0.2">
      <c r="A1011">
        <v>0</v>
      </c>
      <c r="B1011">
        <v>2016</v>
      </c>
      <c r="C1011" s="4" t="s">
        <v>224</v>
      </c>
      <c r="D1011" s="4" t="s">
        <v>576</v>
      </c>
      <c r="E1011" s="4" t="s">
        <v>578</v>
      </c>
      <c r="F1011" s="4" t="s">
        <v>183</v>
      </c>
      <c r="G1011" s="8">
        <v>5796639</v>
      </c>
      <c r="I1011" s="16" cm="1">
        <f t="array" ref="I1011">_xlfn.IFS(B1011=2015,G1011/$H$1957,B1011=2016,G1011/$H$1958,B1011=2017,G1011/$H$1959,B1011=2018,G1011/$H$1960,B1011=2019,G1011/$H$1961,B1011=2020,G1011/$H$1962,B1011=2021,G1011/$H$1963,B1011=2022,G1011/$H$1964,B1011=2023,G1011/$H$1965)</f>
        <v>4.0692380998991048E-3</v>
      </c>
      <c r="J1011" s="10" cm="1">
        <f t="array" ref="J1011">_xlfn.IFS(B1011=2015,I1011*$G$2,B1011=2016,I1011*$G$3,B1011=2017,I1011*$G$4,B1011=2018,I1011*$G$5,B1011=2019,I1011*$G$6,B1011=2020,I1011*$G$7,B1011=2021,I1011*$G$8,B1011=2022,I1011*$G$9,B1011=2023,I1011*$G$10)</f>
        <v>1103589.9059459849</v>
      </c>
      <c r="K1011" s="8">
        <f t="shared" si="15"/>
        <v>6900228.9059459846</v>
      </c>
      <c r="L1011">
        <f>IFERROR(VLOOKUP(F1011,'LEAID Match'!$A$2:$B$240,2,FALSE),"")</f>
        <v>0</v>
      </c>
    </row>
    <row r="1012" spans="1:12" x14ac:dyDescent="0.2">
      <c r="A1012">
        <v>0</v>
      </c>
      <c r="B1012">
        <v>2017</v>
      </c>
      <c r="C1012" s="4" t="s">
        <v>224</v>
      </c>
      <c r="D1012" s="4" t="s">
        <v>576</v>
      </c>
      <c r="E1012" s="4" t="s">
        <v>578</v>
      </c>
      <c r="F1012" s="4" t="s">
        <v>183</v>
      </c>
      <c r="G1012" s="8">
        <v>3073238</v>
      </c>
      <c r="I1012" s="16" cm="1">
        <f t="array" ref="I1012">_xlfn.IFS(B1012=2015,G1012/$H$1957,B1012=2016,G1012/$H$1958,B1012=2017,G1012/$H$1959,B1012=2018,G1012/$H$1960,B1012=2019,G1012/$H$1961,B1012=2020,G1012/$H$1962,B1012=2021,G1012/$H$1963,B1012=2022,G1012/$H$1964,B1012=2023,G1012/$H$1965)</f>
        <v>4.1003534994164459E-3</v>
      </c>
      <c r="J1012" s="10" cm="1">
        <f t="array" ref="J1012">_xlfn.IFS(B1012=2015,I1012*$G$2,B1012=2016,I1012*$G$3,B1012=2017,I1012*$G$4,B1012=2018,I1012*$G$5,B1012=2019,I1012*$G$6,B1012=2020,I1012*$G$7,B1012=2021,I1012*$G$8,B1012=2022,I1012*$G$9,B1012=2023,I1012*$G$10)</f>
        <v>607207.35522208794</v>
      </c>
      <c r="K1012" s="8">
        <f t="shared" si="15"/>
        <v>3680445.3552220878</v>
      </c>
      <c r="L1012">
        <f>IFERROR(VLOOKUP(F1012,'LEAID Match'!$A$2:$B$240,2,FALSE),"")</f>
        <v>0</v>
      </c>
    </row>
    <row r="1013" spans="1:12" x14ac:dyDescent="0.2">
      <c r="A1013">
        <v>0</v>
      </c>
      <c r="B1013">
        <v>2018</v>
      </c>
      <c r="C1013" s="4" t="s">
        <v>224</v>
      </c>
      <c r="D1013" s="4" t="s">
        <v>576</v>
      </c>
      <c r="E1013" s="4" t="s">
        <v>578</v>
      </c>
      <c r="F1013" s="4" t="s">
        <v>183</v>
      </c>
      <c r="G1013" s="8">
        <v>3156140</v>
      </c>
      <c r="I1013" s="16" cm="1">
        <f t="array" ref="I1013">_xlfn.IFS(B1013=2015,G1013/$H$1957,B1013=2016,G1013/$H$1958,B1013=2017,G1013/$H$1959,B1013=2018,G1013/$H$1960,B1013=2019,G1013/$H$1961,B1013=2020,G1013/$H$1962,B1013=2021,G1013/$H$1963,B1013=2022,G1013/$H$1964,B1013=2023,G1013/$H$1965)</f>
        <v>4.061038311407264E-3</v>
      </c>
      <c r="J1013" s="10" cm="1">
        <f t="array" ref="J1013">_xlfn.IFS(B1013=2015,I1013*$G$2,B1013=2016,I1013*$G$3,B1013=2017,I1013*$G$4,B1013=2018,I1013*$G$5,B1013=2019,I1013*$G$6,B1013=2020,I1013*$G$7,B1013=2021,I1013*$G$8,B1013=2022,I1013*$G$9,B1013=2023,I1013*$G$10)</f>
        <v>611283.42214735539</v>
      </c>
      <c r="K1013" s="8">
        <f t="shared" si="15"/>
        <v>3767423.4221473555</v>
      </c>
      <c r="L1013">
        <f>IFERROR(VLOOKUP(F1013,'LEAID Match'!$A$2:$B$240,2,FALSE),"")</f>
        <v>0</v>
      </c>
    </row>
    <row r="1014" spans="1:12" x14ac:dyDescent="0.2">
      <c r="A1014">
        <v>0</v>
      </c>
      <c r="B1014">
        <v>2019</v>
      </c>
      <c r="C1014" s="4" t="s">
        <v>224</v>
      </c>
      <c r="D1014" s="4" t="s">
        <v>576</v>
      </c>
      <c r="E1014" s="4" t="s">
        <v>578</v>
      </c>
      <c r="F1014" s="4" t="s">
        <v>183</v>
      </c>
      <c r="G1014" s="8">
        <v>3383318</v>
      </c>
      <c r="I1014" s="16" cm="1">
        <f t="array" ref="I1014">_xlfn.IFS(B1014=2015,G1014/$H$1957,B1014=2016,G1014/$H$1958,B1014=2017,G1014/$H$1959,B1014=2018,G1014/$H$1960,B1014=2019,G1014/$H$1961,B1014=2020,G1014/$H$1962,B1014=2021,G1014/$H$1963,B1014=2022,G1014/$H$1964,B1014=2023,G1014/$H$1965)</f>
        <v>4.2047762802972944E-3</v>
      </c>
      <c r="J1014" s="10" cm="1">
        <f t="array" ref="J1014">_xlfn.IFS(B1014=2015,I1014*$G$2,B1014=2016,I1014*$G$3,B1014=2017,I1014*$G$4,B1014=2018,I1014*$G$5,B1014=2019,I1014*$G$6,B1014=2020,I1014*$G$7,B1014=2021,I1014*$G$8,B1014=2022,I1014*$G$9,B1014=2023,I1014*$G$10)</f>
        <v>664472.89900552703</v>
      </c>
      <c r="K1014" s="8">
        <f t="shared" si="15"/>
        <v>4047790.8990055271</v>
      </c>
      <c r="L1014">
        <f>IFERROR(VLOOKUP(F1014,'LEAID Match'!$A$2:$B$240,2,FALSE),"")</f>
        <v>0</v>
      </c>
    </row>
    <row r="1015" spans="1:12" x14ac:dyDescent="0.2">
      <c r="A1015">
        <v>0</v>
      </c>
      <c r="B1015">
        <v>2020</v>
      </c>
      <c r="C1015" s="4" t="s">
        <v>224</v>
      </c>
      <c r="D1015" s="4" t="s">
        <v>576</v>
      </c>
      <c r="E1015" s="4" t="s">
        <v>578</v>
      </c>
      <c r="F1015" s="4" t="s">
        <v>183</v>
      </c>
      <c r="G1015" s="8">
        <v>3605292</v>
      </c>
      <c r="I1015" s="16" cm="1">
        <f t="array" ref="I1015">_xlfn.IFS(B1015=2015,G1015/$H$1957,B1015=2016,G1015/$H$1958,B1015=2017,G1015/$H$1959,B1015=2018,G1015/$H$1960,B1015=2019,G1015/$H$1961,B1015=2020,G1015/$H$1962,B1015=2021,G1015/$H$1963,B1015=2022,G1015/$H$1964,B1015=2023,G1015/$H$1965)</f>
        <v>4.146674819193368E-3</v>
      </c>
      <c r="J1015" s="10" cm="1">
        <f t="array" ref="J1015">_xlfn.IFS(B1015=2015,I1015*$G$2,B1015=2016,I1015*$G$3,B1015=2017,I1015*$G$4,B1015=2018,I1015*$G$5,B1015=2019,I1015*$G$6,B1015=2020,I1015*$G$7,B1015=2021,I1015*$G$8,B1015=2022,I1015*$G$9,B1015=2023,I1015*$G$10)</f>
        <v>716063.9549300567</v>
      </c>
      <c r="K1015" s="8">
        <f t="shared" si="15"/>
        <v>4321355.9549300568</v>
      </c>
      <c r="L1015">
        <f>IFERROR(VLOOKUP(F1015,'LEAID Match'!$A$2:$B$240,2,FALSE),"")</f>
        <v>0</v>
      </c>
    </row>
    <row r="1016" spans="1:12" x14ac:dyDescent="0.2">
      <c r="A1016">
        <v>0</v>
      </c>
      <c r="B1016">
        <v>2021</v>
      </c>
      <c r="C1016" s="4" t="s">
        <v>224</v>
      </c>
      <c r="D1016" s="4" t="s">
        <v>576</v>
      </c>
      <c r="E1016" s="4" t="s">
        <v>578</v>
      </c>
      <c r="F1016" s="4" t="s">
        <v>183</v>
      </c>
      <c r="G1016" s="8">
        <v>3260620</v>
      </c>
      <c r="I1016" s="16" cm="1">
        <f t="array" ref="I1016">_xlfn.IFS(B1016=2015,G1016/$H$1957,B1016=2016,G1016/$H$1958,B1016=2017,G1016/$H$1959,B1016=2018,G1016/$H$1960,B1016=2019,G1016/$H$1961,B1016=2020,G1016/$H$1962,B1016=2021,G1016/$H$1963,B1016=2022,G1016/$H$1964,B1016=2023,G1016/$H$1965)</f>
        <v>3.7262198782351129E-3</v>
      </c>
      <c r="J1016" s="10" cm="1">
        <f t="array" ref="J1016">_xlfn.IFS(B1016=2015,I1016*$G$2,B1016=2016,I1016*$G$3,B1016=2017,I1016*$G$4,B1016=2018,I1016*$G$5,B1016=2019,I1016*$G$6,B1016=2020,I1016*$G$7,B1016=2021,I1016*$G$8,B1016=2022,I1016*$G$9,B1016=2023,I1016*$G$10)</f>
        <v>639482.06574301538</v>
      </c>
      <c r="K1016" s="8">
        <f t="shared" si="15"/>
        <v>3900102.0657430151</v>
      </c>
      <c r="L1016">
        <f>IFERROR(VLOOKUP(F1016,'LEAID Match'!$A$2:$B$240,2,FALSE),"")</f>
        <v>0</v>
      </c>
    </row>
    <row r="1017" spans="1:12" x14ac:dyDescent="0.2">
      <c r="A1017">
        <v>0</v>
      </c>
      <c r="B1017">
        <v>2022</v>
      </c>
      <c r="C1017" s="4" t="s">
        <v>224</v>
      </c>
      <c r="D1017" s="4" t="s">
        <v>576</v>
      </c>
      <c r="E1017" s="4" t="s">
        <v>578</v>
      </c>
      <c r="F1017" s="4" t="s">
        <v>183</v>
      </c>
      <c r="G1017" s="8">
        <v>3393543</v>
      </c>
      <c r="I1017" s="16" cm="1">
        <f t="array" ref="I1017">_xlfn.IFS(B1017=2015,G1017/$H$1957,B1017=2016,G1017/$H$1958,B1017=2017,G1017/$H$1959,B1017=2018,G1017/$H$1960,B1017=2019,G1017/$H$1961,B1017=2020,G1017/$H$1962,B1017=2021,G1017/$H$1963,B1017=2022,G1017/$H$1964,B1017=2023,G1017/$H$1965)</f>
        <v>3.6473878484607294E-3</v>
      </c>
      <c r="J1017" s="10" cm="1">
        <f t="array" ref="J1017">_xlfn.IFS(B1017=2015,I1017*$G$2,B1017=2016,I1017*$G$3,B1017=2017,I1017*$G$4,B1017=2018,I1017*$G$5,B1017=2019,I1017*$G$6,B1017=2020,I1017*$G$7,B1017=2021,I1017*$G$8,B1017=2022,I1017*$G$9,B1017=2023,I1017*$G$10)</f>
        <v>618544.6354359265</v>
      </c>
      <c r="K1017" s="8">
        <f t="shared" si="15"/>
        <v>4012087.6354359267</v>
      </c>
      <c r="L1017">
        <f>IFERROR(VLOOKUP(F1017,'LEAID Match'!$A$2:$B$240,2,FALSE),"")</f>
        <v>0</v>
      </c>
    </row>
    <row r="1018" spans="1:12" x14ac:dyDescent="0.2">
      <c r="A1018">
        <v>0</v>
      </c>
      <c r="B1018">
        <v>2023</v>
      </c>
      <c r="C1018" s="4" t="s">
        <v>224</v>
      </c>
      <c r="D1018" s="4" t="s">
        <v>576</v>
      </c>
      <c r="E1018" s="4" t="s">
        <v>578</v>
      </c>
      <c r="F1018" s="4" t="s">
        <v>183</v>
      </c>
      <c r="G1018" s="8">
        <v>3879882</v>
      </c>
      <c r="I1018" s="16" cm="1">
        <f t="array" ref="I1018">_xlfn.IFS(B1018=2015,G1018/$H$1957,B1018=2016,G1018/$H$1958,B1018=2017,G1018/$H$1959,B1018=2018,G1018/$H$1960,B1018=2019,G1018/$H$1961,B1018=2020,G1018/$H$1962,B1018=2021,G1018/$H$1963,B1018=2022,G1018/$H$1964,B1018=2023,G1018/$H$1965)</f>
        <v>3.9283401379805625E-3</v>
      </c>
      <c r="J1018" s="10" cm="1">
        <f t="array" ref="J1018">_xlfn.IFS(B1018=2015,I1018*$G$2,B1018=2016,I1018*$G$3,B1018=2017,I1018*$G$4,B1018=2018,I1018*$G$5,B1018=2019,I1018*$G$6,B1018=2020,I1018*$G$7,B1018=2021,I1018*$G$8,B1018=2022,I1018*$G$9,B1018=2023,I1018*$G$10)</f>
        <v>667760.15149512992</v>
      </c>
      <c r="K1018" s="8">
        <f t="shared" si="15"/>
        <v>4547642.1514951298</v>
      </c>
      <c r="L1018">
        <f>IFERROR(VLOOKUP(F1018,'LEAID Match'!$A$2:$B$240,2,FALSE),"")</f>
        <v>0</v>
      </c>
    </row>
    <row r="1019" spans="1:12" x14ac:dyDescent="0.2">
      <c r="A1019">
        <v>0</v>
      </c>
      <c r="B1019">
        <v>2016</v>
      </c>
      <c r="C1019" s="4" t="s">
        <v>396</v>
      </c>
      <c r="D1019" s="4" t="s">
        <v>576</v>
      </c>
      <c r="E1019" s="4" t="s">
        <v>578</v>
      </c>
      <c r="F1019" s="4" t="s">
        <v>394</v>
      </c>
      <c r="G1019" s="8">
        <v>5242</v>
      </c>
      <c r="I1019" s="16" cm="1">
        <f t="array" ref="I1019">_xlfn.IFS(B1019=2015,G1019/$H$1957,B1019=2016,G1019/$H$1958,B1019=2017,G1019/$H$1959,B1019=2018,G1019/$H$1960,B1019=2019,G1019/$H$1961,B1019=2020,G1019/$H$1962,B1019=2021,G1019/$H$1963,B1019=2022,G1019/$H$1964,B1019=2023,G1019/$H$1965)</f>
        <v>3.679881759010887E-6</v>
      </c>
      <c r="J1019" s="10" cm="1">
        <f t="array" ref="J1019">_xlfn.IFS(B1019=2015,I1019*$G$2,B1019=2016,I1019*$G$3,B1019=2017,I1019*$G$4,B1019=2018,I1019*$G$5,B1019=2019,I1019*$G$6,B1019=2020,I1019*$G$7,B1019=2021,I1019*$G$8,B1019=2022,I1019*$G$9,B1019=2023,I1019*$G$10)</f>
        <v>997.99526707957034</v>
      </c>
      <c r="K1019" s="8">
        <f t="shared" si="15"/>
        <v>6239.9952670795701</v>
      </c>
      <c r="L1019">
        <f>IFERROR(VLOOKUP(F1019,'LEAID Match'!$A$2:$B$240,2,FALSE),"")</f>
        <v>0</v>
      </c>
    </row>
    <row r="1020" spans="1:12" x14ac:dyDescent="0.2">
      <c r="A1020">
        <v>0</v>
      </c>
      <c r="B1020">
        <v>2017</v>
      </c>
      <c r="C1020" s="4" t="s">
        <v>396</v>
      </c>
      <c r="D1020" s="4" t="s">
        <v>576</v>
      </c>
      <c r="E1020" s="4" t="s">
        <v>578</v>
      </c>
      <c r="F1020" s="4" t="s">
        <v>394</v>
      </c>
      <c r="G1020" s="8">
        <v>5242</v>
      </c>
      <c r="I1020" s="16" cm="1">
        <f t="array" ref="I1020">_xlfn.IFS(B1020=2015,G1020/$H$1957,B1020=2016,G1020/$H$1958,B1020=2017,G1020/$H$1959,B1020=2018,G1020/$H$1960,B1020=2019,G1020/$H$1961,B1020=2020,G1020/$H$1962,B1020=2021,G1020/$H$1963,B1020=2022,G1020/$H$1964,B1020=2023,G1020/$H$1965)</f>
        <v>6.9939435357564268E-6</v>
      </c>
      <c r="J1020" s="10" cm="1">
        <f t="array" ref="J1020">_xlfn.IFS(B1020=2015,I1020*$G$2,B1020=2016,I1020*$G$3,B1020=2017,I1020*$G$4,B1020=2018,I1020*$G$5,B1020=2019,I1020*$G$6,B1020=2020,I1020*$G$7,B1020=2021,I1020*$G$8,B1020=2022,I1020*$G$9,B1020=2023,I1020*$G$10)</f>
        <v>1035.7092278808816</v>
      </c>
      <c r="K1020" s="8">
        <f t="shared" si="15"/>
        <v>6277.7092278808814</v>
      </c>
      <c r="L1020">
        <f>IFERROR(VLOOKUP(F1020,'LEAID Match'!$A$2:$B$240,2,FALSE),"")</f>
        <v>0</v>
      </c>
    </row>
    <row r="1021" spans="1:12" x14ac:dyDescent="0.2">
      <c r="A1021">
        <v>0</v>
      </c>
      <c r="B1021">
        <v>2018</v>
      </c>
      <c r="C1021" s="4" t="s">
        <v>396</v>
      </c>
      <c r="D1021" s="4" t="s">
        <v>576</v>
      </c>
      <c r="E1021" s="4" t="s">
        <v>578</v>
      </c>
      <c r="F1021" s="4" t="s">
        <v>394</v>
      </c>
      <c r="G1021" s="8">
        <v>5802</v>
      </c>
      <c r="I1021" s="16" cm="1">
        <f t="array" ref="I1021">_xlfn.IFS(B1021=2015,G1021/$H$1957,B1021=2016,G1021/$H$1958,B1021=2017,G1021/$H$1959,B1021=2018,G1021/$H$1960,B1021=2019,G1021/$H$1961,B1021=2020,G1021/$H$1962,B1021=2021,G1021/$H$1963,B1021=2022,G1021/$H$1964,B1021=2023,G1021/$H$1965)</f>
        <v>7.4654940157233034E-6</v>
      </c>
      <c r="J1021" s="10" cm="1">
        <f t="array" ref="J1021">_xlfn.IFS(B1021=2015,I1021*$G$2,B1021=2016,I1021*$G$3,B1021=2017,I1021*$G$4,B1021=2018,I1021*$G$5,B1021=2019,I1021*$G$6,B1021=2020,I1021*$G$7,B1021=2021,I1021*$G$8,B1021=2022,I1021*$G$9,B1021=2023,I1021*$G$10)</f>
        <v>1123.7354538451893</v>
      </c>
      <c r="K1021" s="8">
        <f t="shared" si="15"/>
        <v>6925.7354538451891</v>
      </c>
      <c r="L1021">
        <f>IFERROR(VLOOKUP(F1021,'LEAID Match'!$A$2:$B$240,2,FALSE),"")</f>
        <v>0</v>
      </c>
    </row>
    <row r="1022" spans="1:12" x14ac:dyDescent="0.2">
      <c r="A1022">
        <v>0</v>
      </c>
      <c r="B1022">
        <v>2019</v>
      </c>
      <c r="C1022" s="4" t="s">
        <v>396</v>
      </c>
      <c r="D1022" s="4" t="s">
        <v>576</v>
      </c>
      <c r="E1022" s="4" t="s">
        <v>578</v>
      </c>
      <c r="F1022" s="4" t="s">
        <v>394</v>
      </c>
      <c r="G1022" s="8">
        <v>5824</v>
      </c>
      <c r="I1022" s="16" cm="1">
        <f t="array" ref="I1022">_xlfn.IFS(B1022=2015,G1022/$H$1957,B1022=2016,G1022/$H$1958,B1022=2017,G1022/$H$1959,B1022=2018,G1022/$H$1960,B1022=2019,G1022/$H$1961,B1022=2020,G1022/$H$1962,B1022=2021,G1022/$H$1963,B1022=2022,G1022/$H$1964,B1022=2023,G1022/$H$1965)</f>
        <v>7.2380476965072281E-6</v>
      </c>
      <c r="J1022" s="10" cm="1">
        <f t="array" ref="J1022">_xlfn.IFS(B1022=2015,I1022*$G$2,B1022=2016,I1022*$G$3,B1022=2017,I1022*$G$4,B1022=2018,I1022*$G$5,B1022=2019,I1022*$G$6,B1022=2020,I1022*$G$7,B1022=2021,I1022*$G$8,B1022=2022,I1022*$G$9,B1022=2023,I1022*$G$10)</f>
        <v>1143.8150844254633</v>
      </c>
      <c r="K1022" s="8">
        <f t="shared" si="15"/>
        <v>6967.8150844254633</v>
      </c>
      <c r="L1022">
        <f>IFERROR(VLOOKUP(F1022,'LEAID Match'!$A$2:$B$240,2,FALSE),"")</f>
        <v>0</v>
      </c>
    </row>
    <row r="1023" spans="1:12" x14ac:dyDescent="0.2">
      <c r="A1023">
        <v>0</v>
      </c>
      <c r="B1023">
        <v>2020</v>
      </c>
      <c r="C1023" s="4" t="s">
        <v>396</v>
      </c>
      <c r="D1023" s="4" t="s">
        <v>576</v>
      </c>
      <c r="E1023" s="4" t="s">
        <v>578</v>
      </c>
      <c r="F1023" s="4" t="s">
        <v>394</v>
      </c>
      <c r="G1023" s="8">
        <v>6064</v>
      </c>
      <c r="I1023" s="16" cm="1">
        <f t="array" ref="I1023">_xlfn.IFS(B1023=2015,G1023/$H$1957,B1023=2016,G1023/$H$1958,B1023=2017,G1023/$H$1959,B1023=2018,G1023/$H$1960,B1023=2019,G1023/$H$1961,B1023=2020,G1023/$H$1962,B1023=2021,G1023/$H$1963,B1023=2022,G1023/$H$1964,B1023=2023,G1023/$H$1965)</f>
        <v>6.9745907137587151E-6</v>
      </c>
      <c r="J1023" s="10" cm="1">
        <f t="array" ref="J1023">_xlfn.IFS(B1023=2015,I1023*$G$2,B1023=2016,I1023*$G$3,B1023=2017,I1023*$G$4,B1023=2018,I1023*$G$5,B1023=2019,I1023*$G$6,B1023=2020,I1023*$G$7,B1023=2021,I1023*$G$8,B1023=2022,I1023*$G$9,B1023=2023,I1023*$G$10)</f>
        <v>1204.3994835080944</v>
      </c>
      <c r="K1023" s="8">
        <f t="shared" si="15"/>
        <v>7268.3994835080939</v>
      </c>
      <c r="L1023">
        <f>IFERROR(VLOOKUP(F1023,'LEAID Match'!$A$2:$B$240,2,FALSE),"")</f>
        <v>0</v>
      </c>
    </row>
    <row r="1024" spans="1:12" x14ac:dyDescent="0.2">
      <c r="A1024">
        <v>0</v>
      </c>
      <c r="B1024">
        <v>2021</v>
      </c>
      <c r="C1024" s="4" t="s">
        <v>396</v>
      </c>
      <c r="D1024" s="4" t="s">
        <v>576</v>
      </c>
      <c r="E1024" s="4" t="s">
        <v>578</v>
      </c>
      <c r="F1024" s="4" t="s">
        <v>394</v>
      </c>
      <c r="G1024" s="8">
        <v>6646</v>
      </c>
      <c r="I1024" s="16" cm="1">
        <f t="array" ref="I1024">_xlfn.IFS(B1024=2015,G1024/$H$1957,B1024=2016,G1024/$H$1958,B1024=2017,G1024/$H$1959,B1024=2018,G1024/$H$1960,B1024=2019,G1024/$H$1961,B1024=2020,G1024/$H$1962,B1024=2021,G1024/$H$1963,B1024=2022,G1024/$H$1964,B1024=2023,G1024/$H$1965)</f>
        <v>7.5950148470998037E-6</v>
      </c>
      <c r="J1024" s="10" cm="1">
        <f t="array" ref="J1024">_xlfn.IFS(B1024=2015,I1024*$G$2,B1024=2016,I1024*$G$3,B1024=2017,I1024*$G$4,B1024=2018,I1024*$G$5,B1024=2019,I1024*$G$6,B1024=2020,I1024*$G$7,B1024=2021,I1024*$G$8,B1024=2022,I1024*$G$9,B1024=2023,I1024*$G$10)</f>
        <v>1303.4324174322921</v>
      </c>
      <c r="K1024" s="8">
        <f t="shared" si="15"/>
        <v>7949.4324174322919</v>
      </c>
      <c r="L1024">
        <f>IFERROR(VLOOKUP(F1024,'LEAID Match'!$A$2:$B$240,2,FALSE),"")</f>
        <v>0</v>
      </c>
    </row>
    <row r="1025" spans="1:12" x14ac:dyDescent="0.2">
      <c r="A1025">
        <v>0</v>
      </c>
      <c r="B1025">
        <v>2022</v>
      </c>
      <c r="C1025" s="4" t="s">
        <v>396</v>
      </c>
      <c r="D1025" s="4" t="s">
        <v>576</v>
      </c>
      <c r="E1025" s="4" t="s">
        <v>578</v>
      </c>
      <c r="F1025" s="4" t="s">
        <v>394</v>
      </c>
      <c r="G1025" s="8">
        <v>6794</v>
      </c>
      <c r="I1025" s="16" cm="1">
        <f t="array" ref="I1025">_xlfn.IFS(B1025=2015,G1025/$H$1957,B1025=2016,G1025/$H$1958,B1025=2017,G1025/$H$1959,B1025=2018,G1025/$H$1960,B1025=2019,G1025/$H$1961,B1025=2020,G1025/$H$1962,B1025=2021,G1025/$H$1963,B1025=2022,G1025/$H$1964,B1025=2023,G1025/$H$1965)</f>
        <v>7.3022068800784883E-6</v>
      </c>
      <c r="J1025" s="10" cm="1">
        <f t="array" ref="J1025">_xlfn.IFS(B1025=2015,I1025*$G$2,B1025=2016,I1025*$G$3,B1025=2017,I1025*$G$4,B1025=2018,I1025*$G$5,B1025=2019,I1025*$G$6,B1025=2020,I1025*$G$7,B1025=2021,I1025*$G$8,B1025=2022,I1025*$G$9,B1025=2023,I1025*$G$10)</f>
        <v>1238.3494928903756</v>
      </c>
      <c r="K1025" s="8">
        <f t="shared" si="15"/>
        <v>8032.3494928903756</v>
      </c>
      <c r="L1025">
        <f>IFERROR(VLOOKUP(F1025,'LEAID Match'!$A$2:$B$240,2,FALSE),"")</f>
        <v>0</v>
      </c>
    </row>
    <row r="1026" spans="1:12" x14ac:dyDescent="0.2">
      <c r="A1026">
        <v>0</v>
      </c>
      <c r="B1026">
        <v>2023</v>
      </c>
      <c r="C1026" s="4" t="s">
        <v>396</v>
      </c>
      <c r="D1026" s="4" t="s">
        <v>576</v>
      </c>
      <c r="E1026" s="4" t="s">
        <v>578</v>
      </c>
      <c r="F1026" s="4" t="s">
        <v>394</v>
      </c>
      <c r="G1026" s="8">
        <v>7366</v>
      </c>
      <c r="I1026" s="16" cm="1">
        <f t="array" ref="I1026">_xlfn.IFS(B1026=2015,G1026/$H$1957,B1026=2016,G1026/$H$1958,B1026=2017,G1026/$H$1959,B1026=2018,G1026/$H$1960,B1026=2019,G1026/$H$1961,B1026=2020,G1026/$H$1962,B1026=2021,G1026/$H$1963,B1026=2022,G1026/$H$1964,B1026=2023,G1026/$H$1965)</f>
        <v>7.4579983247853476E-6</v>
      </c>
      <c r="J1026" s="10" cm="1">
        <f t="array" ref="J1026">_xlfn.IFS(B1026=2015,I1026*$G$2,B1026=2016,I1026*$G$3,B1026=2017,I1026*$G$4,B1026=2018,I1026*$G$5,B1026=2019,I1026*$G$6,B1026=2020,I1026*$G$7,B1026=2021,I1026*$G$8,B1026=2022,I1026*$G$9,B1026=2023,I1026*$G$10)</f>
        <v>1267.7502243401029</v>
      </c>
      <c r="K1026" s="8">
        <f t="shared" si="15"/>
        <v>8633.7502243401032</v>
      </c>
      <c r="L1026">
        <f>IFERROR(VLOOKUP(F1026,'LEAID Match'!$A$2:$B$240,2,FALSE),"")</f>
        <v>0</v>
      </c>
    </row>
    <row r="1027" spans="1:12" x14ac:dyDescent="0.2">
      <c r="A1027">
        <v>0</v>
      </c>
      <c r="B1027">
        <v>2022</v>
      </c>
      <c r="C1027" s="4" t="s">
        <v>459</v>
      </c>
      <c r="D1027" s="4" t="s">
        <v>576</v>
      </c>
      <c r="E1027" s="4" t="s">
        <v>578</v>
      </c>
      <c r="F1027" s="4" t="s">
        <v>458</v>
      </c>
      <c r="G1027" s="8">
        <v>71267</v>
      </c>
      <c r="I1027" s="16" cm="1">
        <f t="array" ref="I1027">_xlfn.IFS(B1027=2015,G1027/$H$1957,B1027=2016,G1027/$H$1958,B1027=2017,G1027/$H$1959,B1027=2018,G1027/$H$1960,B1027=2019,G1027/$H$1961,B1027=2020,G1027/$H$1962,B1027=2021,G1027/$H$1963,B1027=2022,G1027/$H$1964,B1027=2023,G1027/$H$1965)</f>
        <v>7.6597936079269015E-5</v>
      </c>
      <c r="J1027" s="10" cm="1">
        <f t="array" ref="J1027">_xlfn.IFS(B1027=2015,I1027*$G$2,B1027=2016,I1027*$G$3,B1027=2017,I1027*$G$4,B1027=2018,I1027*$G$5,B1027=2019,I1027*$G$6,B1027=2020,I1027*$G$7,B1027=2021,I1027*$G$8,B1027=2022,I1027*$G$9,B1027=2023,I1027*$G$10)</f>
        <v>12989.910702063351</v>
      </c>
      <c r="K1027" s="8">
        <f t="shared" si="15"/>
        <v>84256.910702063353</v>
      </c>
      <c r="L1027">
        <f>IFERROR(VLOOKUP(F1027,'LEAID Match'!$A$2:$B$240,2,FALSE),"")</f>
        <v>0</v>
      </c>
    </row>
    <row r="1028" spans="1:12" x14ac:dyDescent="0.2">
      <c r="A1028">
        <v>0</v>
      </c>
      <c r="B1028">
        <v>2023</v>
      </c>
      <c r="C1028" s="4" t="s">
        <v>459</v>
      </c>
      <c r="D1028" s="4" t="s">
        <v>576</v>
      </c>
      <c r="E1028" s="4" t="s">
        <v>578</v>
      </c>
      <c r="F1028" s="4" t="s">
        <v>458</v>
      </c>
      <c r="G1028" s="8">
        <v>164649</v>
      </c>
      <c r="I1028" s="16" cm="1">
        <f t="array" ref="I1028">_xlfn.IFS(B1028=2015,G1028/$H$1957,B1028=2016,G1028/$H$1958,B1028=2017,G1028/$H$1959,B1028=2018,G1028/$H$1960,B1028=2019,G1028/$H$1961,B1028=2020,G1028/$H$1962,B1028=2021,G1028/$H$1963,B1028=2022,G1028/$H$1964,B1028=2023,G1028/$H$1965)</f>
        <v>1.6670539861221595E-4</v>
      </c>
      <c r="J1028" s="10" cm="1">
        <f t="array" ref="J1028">_xlfn.IFS(B1028=2015,I1028*$G$2,B1028=2016,I1028*$G$3,B1028=2017,I1028*$G$4,B1028=2018,I1028*$G$5,B1028=2019,I1028*$G$6,B1028=2020,I1028*$G$7,B1028=2021,I1028*$G$8,B1028=2022,I1028*$G$9,B1028=2023,I1028*$G$10)</f>
        <v>28337.470362119686</v>
      </c>
      <c r="K1028" s="8">
        <f t="shared" si="15"/>
        <v>192986.4703621197</v>
      </c>
      <c r="L1028">
        <f>IFERROR(VLOOKUP(F1028,'LEAID Match'!$A$2:$B$240,2,FALSE),"")</f>
        <v>0</v>
      </c>
    </row>
    <row r="1029" spans="1:12" x14ac:dyDescent="0.2">
      <c r="A1029">
        <v>0</v>
      </c>
      <c r="B1029">
        <v>2023</v>
      </c>
      <c r="C1029" s="4" t="s">
        <v>473</v>
      </c>
      <c r="D1029" s="4" t="s">
        <v>576</v>
      </c>
      <c r="E1029" s="4" t="s">
        <v>578</v>
      </c>
      <c r="F1029" s="4" t="s">
        <v>472</v>
      </c>
      <c r="G1029" s="8">
        <v>711836</v>
      </c>
      <c r="I1029" s="16" cm="1">
        <f t="array" ref="I1029">_xlfn.IFS(B1029=2015,G1029/$H$1957,B1029=2016,G1029/$H$1958,B1029=2017,G1029/$H$1959,B1029=2018,G1029/$H$1960,B1029=2019,G1029/$H$1961,B1029=2020,G1029/$H$1962,B1029=2021,G1029/$H$1963,B1029=2022,G1029/$H$1964,B1029=2023,G1029/$H$1965)</f>
        <v>7.2072654025548508E-4</v>
      </c>
      <c r="J1029" s="10" cm="1">
        <f t="array" ref="J1029">_xlfn.IFS(B1029=2015,I1029*$G$2,B1029=2016,I1029*$G$3,B1029=2017,I1029*$G$4,B1029=2018,I1029*$G$5,B1029=2019,I1029*$G$6,B1029=2020,I1029*$G$7,B1029=2021,I1029*$G$8,B1029=2022,I1029*$G$9,B1029=2023,I1029*$G$10)</f>
        <v>122512.93085709498</v>
      </c>
      <c r="K1029" s="8">
        <f t="shared" si="15"/>
        <v>834348.93085709494</v>
      </c>
      <c r="L1029">
        <f>IFERROR(VLOOKUP(F1029,'LEAID Match'!$A$2:$B$240,2,FALSE),"")</f>
        <v>0</v>
      </c>
    </row>
    <row r="1030" spans="1:12" x14ac:dyDescent="0.2">
      <c r="A1030">
        <v>0</v>
      </c>
      <c r="B1030">
        <v>2015</v>
      </c>
      <c r="C1030" s="4" t="s">
        <v>225</v>
      </c>
      <c r="D1030" s="4" t="s">
        <v>576</v>
      </c>
      <c r="E1030" s="4" t="s">
        <v>578</v>
      </c>
      <c r="F1030" s="4" t="s">
        <v>184</v>
      </c>
      <c r="G1030" s="8">
        <v>53552676</v>
      </c>
      <c r="I1030" s="16" cm="1">
        <f t="array" ref="I1030">_xlfn.IFS(B1030=2015,G1030/$H$1957,B1030=2016,G1030/$H$1958,B1030=2017,G1030/$H$1959,B1030=2018,G1030/$H$1960,B1030=2019,G1030/$H$1961,B1030=2020,G1030/$H$1962,B1030=2021,G1030/$H$1963,B1030=2022,G1030/$H$1964,B1030=2023,G1030/$H$1965)</f>
        <v>4.1356508704562152E-2</v>
      </c>
      <c r="J1030" s="10" cm="1">
        <f t="array" ref="J1030">_xlfn.IFS(B1030=2015,I1030*$G$2,B1030=2016,I1030*$G$3,B1030=2017,I1030*$G$4,B1030=2018,I1030*$G$5,B1030=2019,I1030*$G$6,B1030=2020,I1030*$G$7,B1030=2021,I1030*$G$8,B1030=2022,I1030*$G$9,B1030=2023,I1030*$G$10)</f>
        <v>10282988.817312248</v>
      </c>
      <c r="K1030" s="8">
        <f t="shared" si="15"/>
        <v>63835664.817312248</v>
      </c>
      <c r="L1030">
        <f>IFERROR(VLOOKUP(F1030,'LEAID Match'!$A$2:$B$240,2,FALSE),"")</f>
        <v>0</v>
      </c>
    </row>
    <row r="1031" spans="1:12" x14ac:dyDescent="0.2">
      <c r="A1031">
        <v>0</v>
      </c>
      <c r="B1031">
        <v>2016</v>
      </c>
      <c r="C1031" s="4" t="s">
        <v>225</v>
      </c>
      <c r="D1031" s="4" t="s">
        <v>576</v>
      </c>
      <c r="E1031" s="4" t="s">
        <v>578</v>
      </c>
      <c r="F1031" s="4" t="s">
        <v>184</v>
      </c>
      <c r="G1031" s="8">
        <v>59099074</v>
      </c>
      <c r="I1031" s="16" cm="1">
        <f t="array" ref="I1031">_xlfn.IFS(B1031=2015,G1031/$H$1957,B1031=2016,G1031/$H$1958,B1031=2017,G1031/$H$1959,B1031=2018,G1031/$H$1960,B1031=2019,G1031/$H$1961,B1031=2020,G1031/$H$1962,B1031=2021,G1031/$H$1963,B1031=2022,G1031/$H$1964,B1031=2023,G1031/$H$1965)</f>
        <v>4.1487524682761269E-2</v>
      </c>
      <c r="J1031" s="10" cm="1">
        <f t="array" ref="J1031">_xlfn.IFS(B1031=2015,I1031*$G$2,B1031=2016,I1031*$G$3,B1031=2017,I1031*$G$4,B1031=2018,I1031*$G$5,B1031=2019,I1031*$G$6,B1031=2020,I1031*$G$7,B1031=2021,I1031*$G$8,B1031=2022,I1031*$G$9,B1031=2023,I1031*$G$10)</f>
        <v>11251544.475540878</v>
      </c>
      <c r="K1031" s="8">
        <f t="shared" si="15"/>
        <v>70350618.475540876</v>
      </c>
      <c r="L1031">
        <f>IFERROR(VLOOKUP(F1031,'LEAID Match'!$A$2:$B$240,2,FALSE),"")</f>
        <v>0</v>
      </c>
    </row>
    <row r="1032" spans="1:12" x14ac:dyDescent="0.2">
      <c r="A1032">
        <v>0</v>
      </c>
      <c r="B1032">
        <v>2017</v>
      </c>
      <c r="C1032" s="4" t="s">
        <v>225</v>
      </c>
      <c r="D1032" s="4" t="s">
        <v>576</v>
      </c>
      <c r="E1032" s="4" t="s">
        <v>578</v>
      </c>
      <c r="F1032" s="4" t="s">
        <v>184</v>
      </c>
      <c r="G1032" s="8">
        <v>32125528</v>
      </c>
      <c r="I1032" s="16" cm="1">
        <f t="array" ref="I1032">_xlfn.IFS(B1032=2015,G1032/$H$1957,B1032=2016,G1032/$H$1958,B1032=2017,G1032/$H$1959,B1032=2018,G1032/$H$1960,B1032=2019,G1032/$H$1961,B1032=2020,G1032/$H$1962,B1032=2021,G1032/$H$1963,B1032=2022,G1032/$H$1964,B1032=2023,G1032/$H$1965)</f>
        <v>4.2862290898199561E-2</v>
      </c>
      <c r="J1032" s="10" cm="1">
        <f t="array" ref="J1032">_xlfn.IFS(B1032=2015,I1032*$G$2,B1032=2016,I1032*$G$3,B1032=2017,I1032*$G$4,B1032=2018,I1032*$G$5,B1032=2019,I1032*$G$6,B1032=2020,I1032*$G$7,B1032=2021,I1032*$G$8,B1032=2022,I1032*$G$9,B1032=2023,I1032*$G$10)</f>
        <v>6347330.3701155372</v>
      </c>
      <c r="K1032" s="8">
        <f t="shared" si="15"/>
        <v>38472858.370115533</v>
      </c>
      <c r="L1032">
        <f>IFERROR(VLOOKUP(F1032,'LEAID Match'!$A$2:$B$240,2,FALSE),"")</f>
        <v>0</v>
      </c>
    </row>
    <row r="1033" spans="1:12" x14ac:dyDescent="0.2">
      <c r="A1033">
        <v>0</v>
      </c>
      <c r="B1033">
        <v>2018</v>
      </c>
      <c r="C1033" s="4" t="s">
        <v>225</v>
      </c>
      <c r="D1033" s="4" t="s">
        <v>576</v>
      </c>
      <c r="E1033" s="4" t="s">
        <v>578</v>
      </c>
      <c r="F1033" s="4" t="s">
        <v>184</v>
      </c>
      <c r="G1033" s="8">
        <v>34893198</v>
      </c>
      <c r="I1033" s="16" cm="1">
        <f t="array" ref="I1033">_xlfn.IFS(B1033=2015,G1033/$H$1957,B1033=2016,G1033/$H$1958,B1033=2017,G1033/$H$1959,B1033=2018,G1033/$H$1960,B1033=2019,G1033/$H$1961,B1033=2020,G1033/$H$1962,B1033=2021,G1033/$H$1963,B1033=2022,G1033/$H$1964,B1033=2023,G1033/$H$1965)</f>
        <v>4.4897442409246521E-2</v>
      </c>
      <c r="J1033" s="10" cm="1">
        <f t="array" ref="J1033">_xlfn.IFS(B1033=2015,I1033*$G$2,B1033=2016,I1033*$G$3,B1033=2017,I1033*$G$4,B1033=2018,I1033*$G$5,B1033=2019,I1033*$G$6,B1033=2020,I1033*$G$7,B1033=2021,I1033*$G$8,B1033=2022,I1033*$G$9,B1033=2023,I1033*$G$10)</f>
        <v>6758139.2090038005</v>
      </c>
      <c r="K1033" s="8">
        <f t="shared" si="15"/>
        <v>41651337.209003799</v>
      </c>
      <c r="L1033">
        <f>IFERROR(VLOOKUP(F1033,'LEAID Match'!$A$2:$B$240,2,FALSE),"")</f>
        <v>0</v>
      </c>
    </row>
    <row r="1034" spans="1:12" x14ac:dyDescent="0.2">
      <c r="A1034">
        <v>0</v>
      </c>
      <c r="B1034">
        <v>2019</v>
      </c>
      <c r="C1034" s="4" t="s">
        <v>225</v>
      </c>
      <c r="D1034" s="4" t="s">
        <v>576</v>
      </c>
      <c r="E1034" s="4" t="s">
        <v>578</v>
      </c>
      <c r="F1034" s="4" t="s">
        <v>184</v>
      </c>
      <c r="G1034" s="8">
        <v>36819153</v>
      </c>
      <c r="I1034" s="16" cm="1">
        <f t="array" ref="I1034">_xlfn.IFS(B1034=2015,G1034/$H$1957,B1034=2016,G1034/$H$1958,B1034=2017,G1034/$H$1959,B1034=2018,G1034/$H$1960,B1034=2019,G1034/$H$1961,B1034=2020,G1034/$H$1962,B1034=2021,G1034/$H$1963,B1034=2022,G1034/$H$1964,B1034=2023,G1034/$H$1965)</f>
        <v>4.5758720047904738E-2</v>
      </c>
      <c r="J1034" s="10" cm="1">
        <f t="array" ref="J1034">_xlfn.IFS(B1034=2015,I1034*$G$2,B1034=2016,I1034*$G$3,B1034=2017,I1034*$G$4,B1034=2018,I1034*$G$5,B1034=2019,I1034*$G$6,B1034=2020,I1034*$G$7,B1034=2021,I1034*$G$8,B1034=2022,I1034*$G$9,B1034=2023,I1034*$G$10)</f>
        <v>7231164.5942941355</v>
      </c>
      <c r="K1034" s="8">
        <f t="shared" si="15"/>
        <v>44050317.594294138</v>
      </c>
      <c r="L1034">
        <f>IFERROR(VLOOKUP(F1034,'LEAID Match'!$A$2:$B$240,2,FALSE),"")</f>
        <v>0</v>
      </c>
    </row>
    <row r="1035" spans="1:12" x14ac:dyDescent="0.2">
      <c r="A1035">
        <v>0</v>
      </c>
      <c r="B1035">
        <v>2020</v>
      </c>
      <c r="C1035" s="4" t="s">
        <v>225</v>
      </c>
      <c r="D1035" s="4" t="s">
        <v>576</v>
      </c>
      <c r="E1035" s="4" t="s">
        <v>578</v>
      </c>
      <c r="F1035" s="4" t="s">
        <v>184</v>
      </c>
      <c r="G1035" s="8">
        <v>38179687</v>
      </c>
      <c r="I1035" s="16" cm="1">
        <f t="array" ref="I1035">_xlfn.IFS(B1035=2015,G1035/$H$1957,B1035=2016,G1035/$H$1958,B1035=2017,G1035/$H$1959,B1035=2018,G1035/$H$1960,B1035=2019,G1035/$H$1961,B1035=2020,G1035/$H$1962,B1035=2021,G1035/$H$1963,B1035=2022,G1035/$H$1964,B1035=2023,G1035/$H$1965)</f>
        <v>4.3912877705213446E-2</v>
      </c>
      <c r="J1035" s="10" cm="1">
        <f t="array" ref="J1035">_xlfn.IFS(B1035=2015,I1035*$G$2,B1035=2016,I1035*$G$3,B1035=2017,I1035*$G$4,B1035=2018,I1035*$G$5,B1035=2019,I1035*$G$6,B1035=2020,I1035*$G$7,B1035=2021,I1035*$G$8,B1035=2022,I1035*$G$9,B1035=2023,I1035*$G$10)</f>
        <v>7583046.718882042</v>
      </c>
      <c r="K1035" s="8">
        <f t="shared" si="15"/>
        <v>45762733.718882039</v>
      </c>
      <c r="L1035">
        <f>IFERROR(VLOOKUP(F1035,'LEAID Match'!$A$2:$B$240,2,FALSE),"")</f>
        <v>0</v>
      </c>
    </row>
    <row r="1036" spans="1:12" x14ac:dyDescent="0.2">
      <c r="A1036">
        <v>0</v>
      </c>
      <c r="B1036">
        <v>2021</v>
      </c>
      <c r="C1036" s="4" t="s">
        <v>225</v>
      </c>
      <c r="D1036" s="4" t="s">
        <v>576</v>
      </c>
      <c r="E1036" s="4" t="s">
        <v>578</v>
      </c>
      <c r="F1036" s="4" t="s">
        <v>184</v>
      </c>
      <c r="G1036" s="8">
        <v>36030554</v>
      </c>
      <c r="I1036" s="16" cm="1">
        <f t="array" ref="I1036">_xlfn.IFS(B1036=2015,G1036/$H$1957,B1036=2016,G1036/$H$1958,B1036=2017,G1036/$H$1959,B1036=2018,G1036/$H$1960,B1036=2019,G1036/$H$1961,B1036=2020,G1036/$H$1962,B1036=2021,G1036/$H$1963,B1036=2022,G1036/$H$1964,B1036=2023,G1036/$H$1965)</f>
        <v>4.1175533039306531E-2</v>
      </c>
      <c r="J1036" s="10" cm="1">
        <f t="array" ref="J1036">_xlfn.IFS(B1036=2015,I1036*$G$2,B1036=2016,I1036*$G$3,B1036=2017,I1036*$G$4,B1036=2018,I1036*$G$5,B1036=2019,I1036*$G$6,B1036=2020,I1036*$G$7,B1036=2021,I1036*$G$8,B1036=2022,I1036*$G$9,B1036=2023,I1036*$G$10)</f>
        <v>7066414.7008192502</v>
      </c>
      <c r="K1036" s="8">
        <f t="shared" ref="K1036:K1099" si="16">SUM(G1036,J1036)</f>
        <v>43096968.700819254</v>
      </c>
      <c r="L1036">
        <f>IFERROR(VLOOKUP(F1036,'LEAID Match'!$A$2:$B$240,2,FALSE),"")</f>
        <v>0</v>
      </c>
    </row>
    <row r="1037" spans="1:12" x14ac:dyDescent="0.2">
      <c r="A1037">
        <v>0</v>
      </c>
      <c r="B1037">
        <v>2022</v>
      </c>
      <c r="C1037" s="4" t="s">
        <v>225</v>
      </c>
      <c r="D1037" s="4" t="s">
        <v>576</v>
      </c>
      <c r="E1037" s="4" t="s">
        <v>578</v>
      </c>
      <c r="F1037" s="4" t="s">
        <v>184</v>
      </c>
      <c r="G1037" s="8">
        <v>38408217</v>
      </c>
      <c r="I1037" s="16" cm="1">
        <f t="array" ref="I1037">_xlfn.IFS(B1037=2015,G1037/$H$1957,B1037=2016,G1037/$H$1958,B1037=2017,G1037/$H$1959,B1037=2018,G1037/$H$1960,B1037=2019,G1037/$H$1961,B1037=2020,G1037/$H$1962,B1037=2021,G1037/$H$1963,B1037=2022,G1037/$H$1964,B1037=2023,G1037/$H$1965)</f>
        <v>4.1281240275087956E-2</v>
      </c>
      <c r="J1037" s="10" cm="1">
        <f t="array" ref="J1037">_xlfn.IFS(B1037=2015,I1037*$G$2,B1037=2016,I1037*$G$3,B1037=2017,I1037*$G$4,B1037=2018,I1037*$G$5,B1037=2019,I1037*$G$6,B1037=2020,I1037*$G$7,B1037=2021,I1037*$G$8,B1037=2022,I1037*$G$9,B1037=2023,I1037*$G$10)</f>
        <v>7000705.9235757291</v>
      </c>
      <c r="K1037" s="8">
        <f t="shared" si="16"/>
        <v>45408922.923575729</v>
      </c>
      <c r="L1037">
        <f>IFERROR(VLOOKUP(F1037,'LEAID Match'!$A$2:$B$240,2,FALSE),"")</f>
        <v>0</v>
      </c>
    </row>
    <row r="1038" spans="1:12" x14ac:dyDescent="0.2">
      <c r="A1038">
        <v>0</v>
      </c>
      <c r="B1038">
        <v>2023</v>
      </c>
      <c r="C1038" s="4" t="s">
        <v>225</v>
      </c>
      <c r="D1038" s="4" t="s">
        <v>576</v>
      </c>
      <c r="E1038" s="4" t="s">
        <v>578</v>
      </c>
      <c r="F1038" s="4" t="s">
        <v>184</v>
      </c>
      <c r="G1038" s="8">
        <v>45463910</v>
      </c>
      <c r="I1038" s="16" cm="1">
        <f t="array" ref="I1038">_xlfn.IFS(B1038=2015,G1038/$H$1957,B1038=2016,G1038/$H$1958,B1038=2017,G1038/$H$1959,B1038=2018,G1038/$H$1960,B1038=2019,G1038/$H$1961,B1038=2020,G1038/$H$1962,B1038=2021,G1038/$H$1963,B1038=2022,G1038/$H$1964,B1038=2023,G1038/$H$1965)</f>
        <v>4.6031735625603018E-2</v>
      </c>
      <c r="J1038" s="10" cm="1">
        <f t="array" ref="J1038">_xlfn.IFS(B1038=2015,I1038*$G$2,B1038=2016,I1038*$G$3,B1038=2017,I1038*$G$4,B1038=2018,I1038*$G$5,B1038=2019,I1038*$G$6,B1038=2020,I1038*$G$7,B1038=2021,I1038*$G$8,B1038=2022,I1038*$G$9,B1038=2023,I1038*$G$10)</f>
        <v>7824719.2644417938</v>
      </c>
      <c r="K1038" s="8">
        <f t="shared" si="16"/>
        <v>53288629.264441796</v>
      </c>
      <c r="L1038">
        <f>IFERROR(VLOOKUP(F1038,'LEAID Match'!$A$2:$B$240,2,FALSE),"")</f>
        <v>0</v>
      </c>
    </row>
    <row r="1039" spans="1:12" x14ac:dyDescent="0.2">
      <c r="A1039">
        <v>0</v>
      </c>
      <c r="B1039">
        <v>2015</v>
      </c>
      <c r="C1039" s="4" t="s">
        <v>226</v>
      </c>
      <c r="D1039" s="4" t="s">
        <v>576</v>
      </c>
      <c r="E1039" s="4" t="s">
        <v>578</v>
      </c>
      <c r="F1039" s="4" t="s">
        <v>185</v>
      </c>
      <c r="G1039" s="8">
        <v>2999729</v>
      </c>
      <c r="I1039" s="16" cm="1">
        <f t="array" ref="I1039">_xlfn.IFS(B1039=2015,G1039/$H$1957,B1039=2016,G1039/$H$1958,B1039=2017,G1039/$H$1959,B1039=2018,G1039/$H$1960,B1039=2019,G1039/$H$1961,B1039=2020,G1039/$H$1962,B1039=2021,G1039/$H$1963,B1039=2022,G1039/$H$1964,B1039=2023,G1039/$H$1965)</f>
        <v>2.3165661880244328E-3</v>
      </c>
      <c r="J1039" s="10" cm="1">
        <f t="array" ref="J1039">_xlfn.IFS(B1039=2015,I1039*$G$2,B1039=2016,I1039*$G$3,B1039=2017,I1039*$G$4,B1039=2018,I1039*$G$5,B1039=2019,I1039*$G$6,B1039=2020,I1039*$G$7,B1039=2021,I1039*$G$8,B1039=2022,I1039*$G$9,B1039=2023,I1039*$G$10)</f>
        <v>575996.98214832915</v>
      </c>
      <c r="K1039" s="8">
        <f t="shared" si="16"/>
        <v>3575725.9821483293</v>
      </c>
      <c r="L1039">
        <f>IFERROR(VLOOKUP(F1039,'LEAID Match'!$A$2:$B$240,2,FALSE),"")</f>
        <v>0</v>
      </c>
    </row>
    <row r="1040" spans="1:12" x14ac:dyDescent="0.2">
      <c r="A1040">
        <v>0</v>
      </c>
      <c r="B1040">
        <v>2016</v>
      </c>
      <c r="C1040" s="4" t="s">
        <v>226</v>
      </c>
      <c r="D1040" s="4" t="s">
        <v>576</v>
      </c>
      <c r="E1040" s="4" t="s">
        <v>578</v>
      </c>
      <c r="F1040" s="4" t="s">
        <v>185</v>
      </c>
      <c r="G1040" s="8">
        <v>3332769</v>
      </c>
      <c r="I1040" s="16" cm="1">
        <f t="array" ref="I1040">_xlfn.IFS(B1040=2015,G1040/$H$1957,B1040=2016,G1040/$H$1958,B1040=2017,G1040/$H$1959,B1040=2018,G1040/$H$1960,B1040=2019,G1040/$H$1961,B1040=2020,G1040/$H$1962,B1040=2021,G1040/$H$1963,B1040=2022,G1040/$H$1964,B1040=2023,G1040/$H$1965)</f>
        <v>2.3396024132195641E-3</v>
      </c>
      <c r="J1040" s="10" cm="1">
        <f t="array" ref="J1040">_xlfn.IFS(B1040=2015,I1040*$G$2,B1040=2016,I1040*$G$3,B1040=2017,I1040*$G$4,B1040=2018,I1040*$G$5,B1040=2019,I1040*$G$6,B1040=2020,I1040*$G$7,B1040=2021,I1040*$G$8,B1040=2022,I1040*$G$9,B1040=2023,I1040*$G$10)</f>
        <v>634507.38044057856</v>
      </c>
      <c r="K1040" s="8">
        <f t="shared" si="16"/>
        <v>3967276.3804405788</v>
      </c>
      <c r="L1040">
        <f>IFERROR(VLOOKUP(F1040,'LEAID Match'!$A$2:$B$240,2,FALSE),"")</f>
        <v>0</v>
      </c>
    </row>
    <row r="1041" spans="1:12" x14ac:dyDescent="0.2">
      <c r="A1041">
        <v>0</v>
      </c>
      <c r="B1041">
        <v>2017</v>
      </c>
      <c r="C1041" s="4" t="s">
        <v>226</v>
      </c>
      <c r="D1041" s="4" t="s">
        <v>576</v>
      </c>
      <c r="E1041" s="4" t="s">
        <v>578</v>
      </c>
      <c r="F1041" s="4" t="s">
        <v>185</v>
      </c>
      <c r="G1041" s="8">
        <v>1847700</v>
      </c>
      <c r="I1041" s="16" cm="1">
        <f t="array" ref="I1041">_xlfn.IFS(B1041=2015,G1041/$H$1957,B1041=2016,G1041/$H$1958,B1041=2017,G1041/$H$1959,B1041=2018,G1041/$H$1960,B1041=2019,G1041/$H$1961,B1041=2020,G1041/$H$1962,B1041=2021,G1041/$H$1963,B1041=2022,G1041/$H$1964,B1041=2023,G1041/$H$1965)</f>
        <v>2.4652250040093763E-3</v>
      </c>
      <c r="J1041" s="10" cm="1">
        <f t="array" ref="J1041">_xlfn.IFS(B1041=2015,I1041*$G$2,B1041=2016,I1041*$G$3,B1041=2017,I1041*$G$4,B1041=2018,I1041*$G$5,B1041=2019,I1041*$G$6,B1041=2020,I1041*$G$7,B1041=2021,I1041*$G$8,B1041=2022,I1041*$G$9,B1041=2023,I1041*$G$10)</f>
        <v>365066.75703080988</v>
      </c>
      <c r="K1041" s="8">
        <f t="shared" si="16"/>
        <v>2212766.7570308098</v>
      </c>
      <c r="L1041">
        <f>IFERROR(VLOOKUP(F1041,'LEAID Match'!$A$2:$B$240,2,FALSE),"")</f>
        <v>0</v>
      </c>
    </row>
    <row r="1042" spans="1:12" x14ac:dyDescent="0.2">
      <c r="A1042">
        <v>0</v>
      </c>
      <c r="B1042">
        <v>2018</v>
      </c>
      <c r="C1042" s="4" t="s">
        <v>226</v>
      </c>
      <c r="D1042" s="4" t="s">
        <v>576</v>
      </c>
      <c r="E1042" s="4" t="s">
        <v>578</v>
      </c>
      <c r="F1042" s="4" t="s">
        <v>185</v>
      </c>
      <c r="G1042" s="8">
        <v>1926879</v>
      </c>
      <c r="I1042" s="16" cm="1">
        <f t="array" ref="I1042">_xlfn.IFS(B1042=2015,G1042/$H$1957,B1042=2016,G1042/$H$1958,B1042=2017,G1042/$H$1959,B1042=2018,G1042/$H$1960,B1042=2019,G1042/$H$1961,B1042=2020,G1042/$H$1962,B1042=2021,G1042/$H$1963,B1042=2022,G1042/$H$1964,B1042=2023,G1042/$H$1965)</f>
        <v>2.4793353401452779E-3</v>
      </c>
      <c r="J1042" s="10" cm="1">
        <f t="array" ref="J1042">_xlfn.IFS(B1042=2015,I1042*$G$2,B1042=2016,I1042*$G$3,B1042=2017,I1042*$G$4,B1042=2018,I1042*$G$5,B1042=2019,I1042*$G$6,B1042=2020,I1042*$G$7,B1042=2021,I1042*$G$8,B1042=2022,I1042*$G$9,B1042=2023,I1042*$G$10)</f>
        <v>373199.28431054193</v>
      </c>
      <c r="K1042" s="8">
        <f t="shared" si="16"/>
        <v>2300078.284310542</v>
      </c>
      <c r="L1042">
        <f>IFERROR(VLOOKUP(F1042,'LEAID Match'!$A$2:$B$240,2,FALSE),"")</f>
        <v>0</v>
      </c>
    </row>
    <row r="1043" spans="1:12" x14ac:dyDescent="0.2">
      <c r="A1043">
        <v>0</v>
      </c>
      <c r="B1043">
        <v>2019</v>
      </c>
      <c r="C1043" s="4" t="s">
        <v>226</v>
      </c>
      <c r="D1043" s="4" t="s">
        <v>576</v>
      </c>
      <c r="E1043" s="4" t="s">
        <v>578</v>
      </c>
      <c r="F1043" s="4" t="s">
        <v>185</v>
      </c>
      <c r="G1043" s="8">
        <v>1975185</v>
      </c>
      <c r="I1043" s="16" cm="1">
        <f t="array" ref="I1043">_xlfn.IFS(B1043=2015,G1043/$H$1957,B1043=2016,G1043/$H$1958,B1043=2017,G1043/$H$1959,B1043=2018,G1043/$H$1960,B1043=2019,G1043/$H$1961,B1043=2020,G1043/$H$1962,B1043=2021,G1043/$H$1963,B1043=2022,G1043/$H$1964,B1043=2023,G1043/$H$1965)</f>
        <v>2.4547533034728073E-3</v>
      </c>
      <c r="J1043" s="10" cm="1">
        <f t="array" ref="J1043">_xlfn.IFS(B1043=2015,I1043*$G$2,B1043=2016,I1043*$G$3,B1043=2017,I1043*$G$4,B1043=2018,I1043*$G$5,B1043=2019,I1043*$G$6,B1043=2020,I1043*$G$7,B1043=2021,I1043*$G$8,B1043=2022,I1043*$G$9,B1043=2023,I1043*$G$10)</f>
        <v>387920.0545211038</v>
      </c>
      <c r="K1043" s="8">
        <f t="shared" si="16"/>
        <v>2363105.0545211039</v>
      </c>
      <c r="L1043">
        <f>IFERROR(VLOOKUP(F1043,'LEAID Match'!$A$2:$B$240,2,FALSE),"")</f>
        <v>0</v>
      </c>
    </row>
    <row r="1044" spans="1:12" x14ac:dyDescent="0.2">
      <c r="A1044">
        <v>0</v>
      </c>
      <c r="B1044">
        <v>2020</v>
      </c>
      <c r="C1044" s="4" t="s">
        <v>226</v>
      </c>
      <c r="D1044" s="4" t="s">
        <v>576</v>
      </c>
      <c r="E1044" s="4" t="s">
        <v>578</v>
      </c>
      <c r="F1044" s="4" t="s">
        <v>185</v>
      </c>
      <c r="G1044" s="8">
        <v>2364746</v>
      </c>
      <c r="I1044" s="16" cm="1">
        <f t="array" ref="I1044">_xlfn.IFS(B1044=2015,G1044/$H$1957,B1044=2016,G1044/$H$1958,B1044=2017,G1044/$H$1959,B1044=2018,G1044/$H$1960,B1044=2019,G1044/$H$1961,B1044=2020,G1044/$H$1962,B1044=2021,G1044/$H$1963,B1044=2022,G1044/$H$1964,B1044=2023,G1044/$H$1965)</f>
        <v>2.7198442434033751E-3</v>
      </c>
      <c r="J1044" s="10" cm="1">
        <f t="array" ref="J1044">_xlfn.IFS(B1044=2015,I1044*$G$2,B1044=2016,I1044*$G$3,B1044=2017,I1044*$G$4,B1044=2018,I1044*$G$5,B1044=2019,I1044*$G$6,B1044=2020,I1044*$G$7,B1044=2021,I1044*$G$8,B1044=2022,I1044*$G$9,B1044=2023,I1044*$G$10)</f>
        <v>469673.29502437863</v>
      </c>
      <c r="K1044" s="8">
        <f t="shared" si="16"/>
        <v>2834419.2950243787</v>
      </c>
      <c r="L1044">
        <f>IFERROR(VLOOKUP(F1044,'LEAID Match'!$A$2:$B$240,2,FALSE),"")</f>
        <v>0</v>
      </c>
    </row>
    <row r="1045" spans="1:12" x14ac:dyDescent="0.2">
      <c r="A1045">
        <v>0</v>
      </c>
      <c r="B1045">
        <v>2021</v>
      </c>
      <c r="C1045" s="4" t="s">
        <v>226</v>
      </c>
      <c r="D1045" s="4" t="s">
        <v>576</v>
      </c>
      <c r="E1045" s="4" t="s">
        <v>578</v>
      </c>
      <c r="F1045" s="4" t="s">
        <v>185</v>
      </c>
      <c r="G1045" s="8">
        <v>2949909</v>
      </c>
      <c r="I1045" s="16" cm="1">
        <f t="array" ref="I1045">_xlfn.IFS(B1045=2015,G1045/$H$1957,B1045=2016,G1045/$H$1958,B1045=2017,G1045/$H$1959,B1045=2018,G1045/$H$1960,B1045=2019,G1045/$H$1961,B1045=2020,G1045/$H$1962,B1045=2021,G1045/$H$1963,B1045=2022,G1045/$H$1964,B1045=2023,G1045/$H$1965)</f>
        <v>3.3711409347868394E-3</v>
      </c>
      <c r="J1045" s="10" cm="1">
        <f t="array" ref="J1045">_xlfn.IFS(B1045=2015,I1045*$G$2,B1045=2016,I1045*$G$3,B1045=2017,I1045*$G$4,B1045=2018,I1045*$G$5,B1045=2019,I1045*$G$6,B1045=2020,I1045*$G$7,B1045=2021,I1045*$G$8,B1045=2022,I1045*$G$9,B1045=2023,I1045*$G$10)</f>
        <v>578544.54093819973</v>
      </c>
      <c r="K1045" s="8">
        <f t="shared" si="16"/>
        <v>3528453.5409381995</v>
      </c>
      <c r="L1045">
        <f>IFERROR(VLOOKUP(F1045,'LEAID Match'!$A$2:$B$240,2,FALSE),"")</f>
        <v>0</v>
      </c>
    </row>
    <row r="1046" spans="1:12" x14ac:dyDescent="0.2">
      <c r="A1046">
        <v>0</v>
      </c>
      <c r="B1046">
        <v>2022</v>
      </c>
      <c r="C1046" s="4" t="s">
        <v>226</v>
      </c>
      <c r="D1046" s="4" t="s">
        <v>576</v>
      </c>
      <c r="E1046" s="4" t="s">
        <v>578</v>
      </c>
      <c r="F1046" s="4" t="s">
        <v>185</v>
      </c>
      <c r="G1046" s="8">
        <v>3817056</v>
      </c>
      <c r="I1046" s="16" cm="1">
        <f t="array" ref="I1046">_xlfn.IFS(B1046=2015,G1046/$H$1957,B1046=2016,G1046/$H$1958,B1046=2017,G1046/$H$1959,B1046=2018,G1046/$H$1960,B1046=2019,G1046/$H$1961,B1046=2020,G1046/$H$1962,B1046=2021,G1046/$H$1963,B1046=2022,G1046/$H$1964,B1046=2023,G1046/$H$1965)</f>
        <v>4.1025805982992164E-3</v>
      </c>
      <c r="J1046" s="10" cm="1">
        <f t="array" ref="J1046">_xlfn.IFS(B1046=2015,I1046*$G$2,B1046=2016,I1046*$G$3,B1046=2017,I1046*$G$4,B1046=2018,I1046*$G$5,B1046=2019,I1046*$G$6,B1046=2020,I1046*$G$7,B1046=2021,I1046*$G$8,B1046=2022,I1046*$G$9,B1046=2023,I1046*$G$10)</f>
        <v>695738.79333738086</v>
      </c>
      <c r="K1046" s="8">
        <f t="shared" si="16"/>
        <v>4512794.7933373805</v>
      </c>
      <c r="L1046">
        <f>IFERROR(VLOOKUP(F1046,'LEAID Match'!$A$2:$B$240,2,FALSE),"")</f>
        <v>0</v>
      </c>
    </row>
    <row r="1047" spans="1:12" x14ac:dyDescent="0.2">
      <c r="A1047">
        <v>0</v>
      </c>
      <c r="B1047">
        <v>2023</v>
      </c>
      <c r="C1047" s="4" t="s">
        <v>226</v>
      </c>
      <c r="D1047" s="4" t="s">
        <v>576</v>
      </c>
      <c r="E1047" s="4" t="s">
        <v>578</v>
      </c>
      <c r="F1047" s="4" t="s">
        <v>185</v>
      </c>
      <c r="G1047" s="8">
        <v>3850187</v>
      </c>
      <c r="I1047" s="16" cm="1">
        <f t="array" ref="I1047">_xlfn.IFS(B1047=2015,G1047/$H$1957,B1047=2016,G1047/$H$1958,B1047=2017,G1047/$H$1959,B1047=2018,G1047/$H$1960,B1047=2019,G1047/$H$1961,B1047=2020,G1047/$H$1962,B1047=2021,G1047/$H$1963,B1047=2022,G1047/$H$1964,B1047=2023,G1047/$H$1965)</f>
        <v>3.8982742595859792E-3</v>
      </c>
      <c r="J1047" s="10" cm="1">
        <f t="array" ref="J1047">_xlfn.IFS(B1047=2015,I1047*$G$2,B1047=2016,I1047*$G$3,B1047=2017,I1047*$G$4,B1047=2018,I1047*$G$5,B1047=2019,I1047*$G$6,B1047=2020,I1047*$G$7,B1047=2021,I1047*$G$8,B1047=2022,I1047*$G$9,B1047=2023,I1047*$G$10)</f>
        <v>662649.39356521145</v>
      </c>
      <c r="K1047" s="8">
        <f t="shared" si="16"/>
        <v>4512836.3935652114</v>
      </c>
      <c r="L1047">
        <f>IFERROR(VLOOKUP(F1047,'LEAID Match'!$A$2:$B$240,2,FALSE),"")</f>
        <v>0</v>
      </c>
    </row>
    <row r="1048" spans="1:12" x14ac:dyDescent="0.2">
      <c r="A1048">
        <v>0</v>
      </c>
      <c r="B1048">
        <v>2015</v>
      </c>
      <c r="C1048" s="4" t="s">
        <v>227</v>
      </c>
      <c r="D1048" s="4" t="s">
        <v>576</v>
      </c>
      <c r="E1048" s="4" t="s">
        <v>578</v>
      </c>
      <c r="F1048" s="4" t="s">
        <v>186</v>
      </c>
      <c r="G1048" s="8">
        <v>1649888</v>
      </c>
      <c r="I1048" s="16" cm="1">
        <f t="array" ref="I1048">_xlfn.IFS(B1048=2015,G1048/$H$1957,B1048=2016,G1048/$H$1958,B1048=2017,G1048/$H$1959,B1048=2018,G1048/$H$1960,B1048=2019,G1048/$H$1961,B1048=2020,G1048/$H$1962,B1048=2021,G1048/$H$1963,B1048=2022,G1048/$H$1964,B1048=2023,G1048/$H$1965)</f>
        <v>1.2741400155904933E-3</v>
      </c>
      <c r="J1048" s="10" cm="1">
        <f t="array" ref="J1048">_xlfn.IFS(B1048=2015,I1048*$G$2,B1048=2016,I1048*$G$3,B1048=2017,I1048*$G$4,B1048=2018,I1048*$G$5,B1048=2019,I1048*$G$6,B1048=2020,I1048*$G$7,B1048=2021,I1048*$G$8,B1048=2022,I1048*$G$9,B1048=2023,I1048*$G$10)</f>
        <v>316805.45438696042</v>
      </c>
      <c r="K1048" s="8">
        <f t="shared" si="16"/>
        <v>1966693.4543869605</v>
      </c>
      <c r="L1048">
        <f>IFERROR(VLOOKUP(F1048,'LEAID Match'!$A$2:$B$240,2,FALSE),"")</f>
        <v>0</v>
      </c>
    </row>
    <row r="1049" spans="1:12" x14ac:dyDescent="0.2">
      <c r="A1049">
        <v>0</v>
      </c>
      <c r="B1049">
        <v>2016</v>
      </c>
      <c r="C1049" s="4" t="s">
        <v>227</v>
      </c>
      <c r="D1049" s="4" t="s">
        <v>576</v>
      </c>
      <c r="E1049" s="4" t="s">
        <v>578</v>
      </c>
      <c r="F1049" s="4" t="s">
        <v>186</v>
      </c>
      <c r="G1049" s="8">
        <v>1786937</v>
      </c>
      <c r="I1049" s="16" cm="1">
        <f t="array" ref="I1049">_xlfn.IFS(B1049=2015,G1049/$H$1957,B1049=2016,G1049/$H$1958,B1049=2017,G1049/$H$1959,B1049=2018,G1049/$H$1960,B1049=2019,G1049/$H$1961,B1049=2020,G1049/$H$1962,B1049=2021,G1049/$H$1963,B1049=2022,G1049/$H$1964,B1049=2023,G1049/$H$1965)</f>
        <v>1.2544290100728037E-3</v>
      </c>
      <c r="J1049" s="10" cm="1">
        <f t="array" ref="J1049">_xlfn.IFS(B1049=2015,I1049*$G$2,B1049=2016,I1049*$G$3,B1049=2017,I1049*$G$4,B1049=2018,I1049*$G$5,B1049=2019,I1049*$G$6,B1049=2020,I1049*$G$7,B1049=2021,I1049*$G$8,B1049=2022,I1049*$G$9,B1049=2023,I1049*$G$10)</f>
        <v>340205.01117309538</v>
      </c>
      <c r="K1049" s="8">
        <f t="shared" si="16"/>
        <v>2127142.0111730956</v>
      </c>
      <c r="L1049">
        <f>IFERROR(VLOOKUP(F1049,'LEAID Match'!$A$2:$B$240,2,FALSE),"")</f>
        <v>0</v>
      </c>
    </row>
    <row r="1050" spans="1:12" x14ac:dyDescent="0.2">
      <c r="A1050">
        <v>0</v>
      </c>
      <c r="B1050">
        <v>2017</v>
      </c>
      <c r="C1050" s="4" t="s">
        <v>227</v>
      </c>
      <c r="D1050" s="4" t="s">
        <v>576</v>
      </c>
      <c r="E1050" s="4" t="s">
        <v>578</v>
      </c>
      <c r="F1050" s="4" t="s">
        <v>186</v>
      </c>
      <c r="G1050" s="8">
        <v>789396</v>
      </c>
      <c r="I1050" s="16" cm="1">
        <f t="array" ref="I1050">_xlfn.IFS(B1050=2015,G1050/$H$1957,B1050=2016,G1050/$H$1958,B1050=2017,G1050/$H$1959,B1050=2018,G1050/$H$1960,B1050=2019,G1050/$H$1961,B1050=2020,G1050/$H$1962,B1050=2021,G1050/$H$1963,B1050=2022,G1050/$H$1964,B1050=2023,G1050/$H$1965)</f>
        <v>1.0532222532147997E-3</v>
      </c>
      <c r="J1050" s="10" cm="1">
        <f t="array" ref="J1050">_xlfn.IFS(B1050=2015,I1050*$G$2,B1050=2016,I1050*$G$3,B1050=2017,I1050*$G$4,B1050=2018,I1050*$G$5,B1050=2019,I1050*$G$6,B1050=2020,I1050*$G$7,B1050=2021,I1050*$G$8,B1050=2022,I1050*$G$9,B1050=2023,I1050*$G$10)</f>
        <v>155968.08883102948</v>
      </c>
      <c r="K1050" s="8">
        <f t="shared" si="16"/>
        <v>945364.08883102948</v>
      </c>
      <c r="L1050">
        <f>IFERROR(VLOOKUP(F1050,'LEAID Match'!$A$2:$B$240,2,FALSE),"")</f>
        <v>0</v>
      </c>
    </row>
    <row r="1051" spans="1:12" x14ac:dyDescent="0.2">
      <c r="A1051">
        <v>0</v>
      </c>
      <c r="B1051">
        <v>2018</v>
      </c>
      <c r="C1051" s="4" t="s">
        <v>227</v>
      </c>
      <c r="D1051" s="4" t="s">
        <v>576</v>
      </c>
      <c r="E1051" s="4" t="s">
        <v>578</v>
      </c>
      <c r="F1051" s="4" t="s">
        <v>186</v>
      </c>
      <c r="G1051" s="8">
        <v>769581</v>
      </c>
      <c r="I1051" s="16" cm="1">
        <f t="array" ref="I1051">_xlfn.IFS(B1051=2015,G1051/$H$1957,B1051=2016,G1051/$H$1958,B1051=2017,G1051/$H$1959,B1051=2018,G1051/$H$1960,B1051=2019,G1051/$H$1961,B1051=2020,G1051/$H$1962,B1051=2021,G1051/$H$1963,B1051=2022,G1051/$H$1964,B1051=2023,G1051/$H$1965)</f>
        <v>9.9022791280840329E-4</v>
      </c>
      <c r="J1051" s="10" cm="1">
        <f t="array" ref="J1051">_xlfn.IFS(B1051=2015,I1051*$G$2,B1051=2016,I1051*$G$3,B1051=2017,I1051*$G$4,B1051=2018,I1051*$G$5,B1051=2019,I1051*$G$6,B1051=2020,I1051*$G$7,B1051=2021,I1051*$G$8,B1051=2022,I1051*$G$9,B1051=2023,I1051*$G$10)</f>
        <v>149052.99109025073</v>
      </c>
      <c r="K1051" s="8">
        <f t="shared" si="16"/>
        <v>918633.99109025067</v>
      </c>
      <c r="L1051">
        <f>IFERROR(VLOOKUP(F1051,'LEAID Match'!$A$2:$B$240,2,FALSE),"")</f>
        <v>0</v>
      </c>
    </row>
    <row r="1052" spans="1:12" x14ac:dyDescent="0.2">
      <c r="A1052">
        <v>0</v>
      </c>
      <c r="B1052">
        <v>2019</v>
      </c>
      <c r="C1052" s="4" t="s">
        <v>227</v>
      </c>
      <c r="D1052" s="4" t="s">
        <v>576</v>
      </c>
      <c r="E1052" s="4" t="s">
        <v>578</v>
      </c>
      <c r="F1052" s="4" t="s">
        <v>186</v>
      </c>
      <c r="G1052" s="8">
        <v>757040</v>
      </c>
      <c r="I1052" s="16" cm="1">
        <f t="array" ref="I1052">_xlfn.IFS(B1052=2015,G1052/$H$1957,B1052=2016,G1052/$H$1958,B1052=2017,G1052/$H$1959,B1052=2018,G1052/$H$1960,B1052=2019,G1052/$H$1961,B1052=2020,G1052/$H$1962,B1052=2021,G1052/$H$1963,B1052=2022,G1052/$H$1964,B1052=2023,G1052/$H$1965)</f>
        <v>9.4084677681384476E-4</v>
      </c>
      <c r="J1052" s="10" cm="1">
        <f t="array" ref="J1052">_xlfn.IFS(B1052=2015,I1052*$G$2,B1052=2016,I1052*$G$3,B1052=2017,I1052*$G$4,B1052=2018,I1052*$G$5,B1052=2019,I1052*$G$6,B1052=2020,I1052*$G$7,B1052=2021,I1052*$G$8,B1052=2022,I1052*$G$9,B1052=2023,I1052*$G$10)</f>
        <v>148680.24922964504</v>
      </c>
      <c r="K1052" s="8">
        <f t="shared" si="16"/>
        <v>905720.24922964501</v>
      </c>
      <c r="L1052">
        <f>IFERROR(VLOOKUP(F1052,'LEAID Match'!$A$2:$B$240,2,FALSE),"")</f>
        <v>0</v>
      </c>
    </row>
    <row r="1053" spans="1:12" x14ac:dyDescent="0.2">
      <c r="A1053">
        <v>0</v>
      </c>
      <c r="B1053">
        <v>2020</v>
      </c>
      <c r="C1053" s="4" t="s">
        <v>227</v>
      </c>
      <c r="D1053" s="4" t="s">
        <v>576</v>
      </c>
      <c r="E1053" s="4" t="s">
        <v>578</v>
      </c>
      <c r="F1053" s="4" t="s">
        <v>186</v>
      </c>
      <c r="G1053" s="8">
        <v>817731</v>
      </c>
      <c r="I1053" s="16" cm="1">
        <f t="array" ref="I1053">_xlfn.IFS(B1053=2015,G1053/$H$1957,B1053=2016,G1053/$H$1958,B1053=2017,G1053/$H$1959,B1053=2018,G1053/$H$1960,B1053=2019,G1053/$H$1961,B1053=2020,G1053/$H$1962,B1053=2021,G1053/$H$1963,B1053=2022,G1053/$H$1964,B1053=2023,G1053/$H$1965)</f>
        <v>9.405242478483885E-4</v>
      </c>
      <c r="J1053" s="10" cm="1">
        <f t="array" ref="J1053">_xlfn.IFS(B1053=2015,I1053*$G$2,B1053=2016,I1053*$G$3,B1053=2017,I1053*$G$4,B1053=2018,I1053*$G$5,B1053=2019,I1053*$G$6,B1053=2020,I1053*$G$7,B1053=2021,I1053*$G$8,B1053=2022,I1053*$G$9,B1053=2023,I1053*$G$10)</f>
        <v>162413.38951988085</v>
      </c>
      <c r="K1053" s="8">
        <f t="shared" si="16"/>
        <v>980144.38951988088</v>
      </c>
      <c r="L1053">
        <f>IFERROR(VLOOKUP(F1053,'LEAID Match'!$A$2:$B$240,2,FALSE),"")</f>
        <v>0</v>
      </c>
    </row>
    <row r="1054" spans="1:12" x14ac:dyDescent="0.2">
      <c r="A1054">
        <v>0</v>
      </c>
      <c r="B1054">
        <v>2021</v>
      </c>
      <c r="C1054" s="4" t="s">
        <v>227</v>
      </c>
      <c r="D1054" s="4" t="s">
        <v>576</v>
      </c>
      <c r="E1054" s="4" t="s">
        <v>578</v>
      </c>
      <c r="F1054" s="4" t="s">
        <v>186</v>
      </c>
      <c r="G1054" s="8">
        <v>814927</v>
      </c>
      <c r="I1054" s="16" cm="1">
        <f t="array" ref="I1054">_xlfn.IFS(B1054=2015,G1054/$H$1957,B1054=2016,G1054/$H$1958,B1054=2017,G1054/$H$1959,B1054=2018,G1054/$H$1960,B1054=2019,G1054/$H$1961,B1054=2020,G1054/$H$1962,B1054=2021,G1054/$H$1963,B1054=2022,G1054/$H$1964,B1054=2023,G1054/$H$1965)</f>
        <v>9.3129441232357832E-4</v>
      </c>
      <c r="J1054" s="10" cm="1">
        <f t="array" ref="J1054">_xlfn.IFS(B1054=2015,I1054*$G$2,B1054=2016,I1054*$G$3,B1054=2017,I1054*$G$4,B1054=2018,I1054*$G$5,B1054=2019,I1054*$G$6,B1054=2020,I1054*$G$7,B1054=2021,I1054*$G$8,B1054=2022,I1054*$G$9,B1054=2023,I1054*$G$10)</f>
        <v>159825.80042745193</v>
      </c>
      <c r="K1054" s="8">
        <f t="shared" si="16"/>
        <v>974752.80042745196</v>
      </c>
      <c r="L1054">
        <f>IFERROR(VLOOKUP(F1054,'LEAID Match'!$A$2:$B$240,2,FALSE),"")</f>
        <v>0</v>
      </c>
    </row>
    <row r="1055" spans="1:12" x14ac:dyDescent="0.2">
      <c r="A1055">
        <v>0</v>
      </c>
      <c r="B1055">
        <v>2022</v>
      </c>
      <c r="C1055" s="4" t="s">
        <v>227</v>
      </c>
      <c r="D1055" s="4" t="s">
        <v>576</v>
      </c>
      <c r="E1055" s="4" t="s">
        <v>578</v>
      </c>
      <c r="F1055" s="4" t="s">
        <v>186</v>
      </c>
      <c r="G1055" s="8">
        <v>834516</v>
      </c>
      <c r="I1055" s="16" cm="1">
        <f t="array" ref="I1055">_xlfn.IFS(B1055=2015,G1055/$H$1957,B1055=2016,G1055/$H$1958,B1055=2017,G1055/$H$1959,B1055=2018,G1055/$H$1960,B1055=2019,G1055/$H$1961,B1055=2020,G1055/$H$1962,B1055=2021,G1055/$H$1963,B1055=2022,G1055/$H$1964,B1055=2023,G1055/$H$1965)</f>
        <v>8.9693972280476594E-4</v>
      </c>
      <c r="J1055" s="10" cm="1">
        <f t="array" ref="J1055">_xlfn.IFS(B1055=2015,I1055*$G$2,B1055=2016,I1055*$G$3,B1055=2017,I1055*$G$4,B1055=2018,I1055*$G$5,B1055=2019,I1055*$G$6,B1055=2020,I1055*$G$7,B1055=2021,I1055*$G$8,B1055=2022,I1055*$G$9,B1055=2023,I1055*$G$10)</f>
        <v>152108.10500572633</v>
      </c>
      <c r="K1055" s="8">
        <f t="shared" si="16"/>
        <v>986624.10500572633</v>
      </c>
      <c r="L1055">
        <f>IFERROR(VLOOKUP(F1055,'LEAID Match'!$A$2:$B$240,2,FALSE),"")</f>
        <v>0</v>
      </c>
    </row>
    <row r="1056" spans="1:12" x14ac:dyDescent="0.2">
      <c r="A1056">
        <v>0</v>
      </c>
      <c r="B1056">
        <v>2023</v>
      </c>
      <c r="C1056" s="4" t="s">
        <v>227</v>
      </c>
      <c r="D1056" s="4" t="s">
        <v>576</v>
      </c>
      <c r="E1056" s="4" t="s">
        <v>578</v>
      </c>
      <c r="F1056" s="4" t="s">
        <v>186</v>
      </c>
      <c r="G1056" s="8">
        <v>932770</v>
      </c>
      <c r="I1056" s="16" cm="1">
        <f t="array" ref="I1056">_xlfn.IFS(B1056=2015,G1056/$H$1957,B1056=2016,G1056/$H$1958,B1056=2017,G1056/$H$1959,B1056=2018,G1056/$H$1960,B1056=2019,G1056/$H$1961,B1056=2020,G1056/$H$1962,B1056=2021,G1056/$H$1963,B1056=2022,G1056/$H$1964,B1056=2023,G1056/$H$1965)</f>
        <v>9.444199154778752E-4</v>
      </c>
      <c r="J1056" s="10" cm="1">
        <f t="array" ref="J1056">_xlfn.IFS(B1056=2015,I1056*$G$2,B1056=2016,I1056*$G$3,B1056=2017,I1056*$G$4,B1056=2018,I1056*$G$5,B1056=2019,I1056*$G$6,B1056=2020,I1056*$G$7,B1056=2021,I1056*$G$8,B1056=2022,I1056*$G$9,B1056=2023,I1056*$G$10)</f>
        <v>160537.52060245964</v>
      </c>
      <c r="K1056" s="8">
        <f t="shared" si="16"/>
        <v>1093307.5206024596</v>
      </c>
      <c r="L1056">
        <f>IFERROR(VLOOKUP(F1056,'LEAID Match'!$A$2:$B$240,2,FALSE),"")</f>
        <v>0</v>
      </c>
    </row>
    <row r="1057" spans="1:12" x14ac:dyDescent="0.2">
      <c r="A1057">
        <v>0</v>
      </c>
      <c r="B1057">
        <v>2015</v>
      </c>
      <c r="C1057" s="4" t="s">
        <v>228</v>
      </c>
      <c r="D1057" s="4" t="s">
        <v>576</v>
      </c>
      <c r="E1057" s="4" t="s">
        <v>578</v>
      </c>
      <c r="F1057" s="4" t="s">
        <v>187</v>
      </c>
      <c r="G1057" s="8">
        <v>657793</v>
      </c>
      <c r="I1057" s="16" cm="1">
        <f t="array" ref="I1057">_xlfn.IFS(B1057=2015,G1057/$H$1957,B1057=2016,G1057/$H$1958,B1057=2017,G1057/$H$1959,B1057=2018,G1057/$H$1960,B1057=2019,G1057/$H$1961,B1057=2020,G1057/$H$1962,B1057=2021,G1057/$H$1963,B1057=2022,G1057/$H$1964,B1057=2023,G1057/$H$1965)</f>
        <v>5.0798622892906514E-4</v>
      </c>
      <c r="J1057" s="10" cm="1">
        <f t="array" ref="J1057">_xlfn.IFS(B1057=2015,I1057*$G$2,B1057=2016,I1057*$G$3,B1057=2017,I1057*$G$4,B1057=2018,I1057*$G$5,B1057=2019,I1057*$G$6,B1057=2020,I1057*$G$7,B1057=2021,I1057*$G$8,B1057=2022,I1057*$G$9,B1057=2023,I1057*$G$10)</f>
        <v>126307.00402546224</v>
      </c>
      <c r="K1057" s="8">
        <f t="shared" si="16"/>
        <v>784100.0040254622</v>
      </c>
      <c r="L1057">
        <f>IFERROR(VLOOKUP(F1057,'LEAID Match'!$A$2:$B$240,2,FALSE),"")</f>
        <v>0</v>
      </c>
    </row>
    <row r="1058" spans="1:12" x14ac:dyDescent="0.2">
      <c r="A1058">
        <v>0</v>
      </c>
      <c r="B1058">
        <v>2016</v>
      </c>
      <c r="C1058" s="4" t="s">
        <v>228</v>
      </c>
      <c r="D1058" s="4" t="s">
        <v>576</v>
      </c>
      <c r="E1058" s="4" t="s">
        <v>578</v>
      </c>
      <c r="F1058" s="4" t="s">
        <v>187</v>
      </c>
      <c r="G1058" s="8">
        <v>740827</v>
      </c>
      <c r="I1058" s="16" cm="1">
        <f t="array" ref="I1058">_xlfn.IFS(B1058=2015,G1058/$H$1957,B1058=2016,G1058/$H$1958,B1058=2017,G1058/$H$1959,B1058=2018,G1058/$H$1960,B1058=2019,G1058/$H$1961,B1058=2020,G1058/$H$1962,B1058=2021,G1058/$H$1963,B1058=2022,G1058/$H$1964,B1058=2023,G1058/$H$1965)</f>
        <v>5.2006023729163646E-4</v>
      </c>
      <c r="J1058" s="10" cm="1">
        <f t="array" ref="J1058">_xlfn.IFS(B1058=2015,I1058*$G$2,B1058=2016,I1058*$G$3,B1058=2017,I1058*$G$4,B1058=2018,I1058*$G$5,B1058=2019,I1058*$G$6,B1058=2020,I1058*$G$7,B1058=2021,I1058*$G$8,B1058=2022,I1058*$G$9,B1058=2023,I1058*$G$10)</f>
        <v>141041.93813902268</v>
      </c>
      <c r="K1058" s="8">
        <f t="shared" si="16"/>
        <v>881868.93813902268</v>
      </c>
      <c r="L1058">
        <f>IFERROR(VLOOKUP(F1058,'LEAID Match'!$A$2:$B$240,2,FALSE),"")</f>
        <v>0</v>
      </c>
    </row>
    <row r="1059" spans="1:12" x14ac:dyDescent="0.2">
      <c r="A1059">
        <v>0</v>
      </c>
      <c r="B1059">
        <v>2017</v>
      </c>
      <c r="C1059" s="4" t="s">
        <v>228</v>
      </c>
      <c r="D1059" s="4" t="s">
        <v>576</v>
      </c>
      <c r="E1059" s="4" t="s">
        <v>578</v>
      </c>
      <c r="F1059" s="4" t="s">
        <v>187</v>
      </c>
      <c r="G1059" s="8">
        <v>379912</v>
      </c>
      <c r="I1059" s="16" cm="1">
        <f t="array" ref="I1059">_xlfn.IFS(B1059=2015,G1059/$H$1957,B1059=2016,G1059/$H$1958,B1059=2017,G1059/$H$1959,B1059=2018,G1059/$H$1960,B1059=2019,G1059/$H$1961,B1059=2020,G1059/$H$1962,B1059=2021,G1059/$H$1963,B1059=2022,G1059/$H$1964,B1059=2023,G1059/$H$1965)</f>
        <v>5.0688345603897283E-4</v>
      </c>
      <c r="J1059" s="10" cm="1">
        <f t="array" ref="J1059">_xlfn.IFS(B1059=2015,I1059*$G$2,B1059=2016,I1059*$G$3,B1059=2017,I1059*$G$4,B1059=2018,I1059*$G$5,B1059=2019,I1059*$G$6,B1059=2020,I1059*$G$7,B1059=2021,I1059*$G$8,B1059=2022,I1059*$G$9,B1059=2023,I1059*$G$10)</f>
        <v>75062.641011576023</v>
      </c>
      <c r="K1059" s="8">
        <f t="shared" si="16"/>
        <v>454974.64101157605</v>
      </c>
      <c r="L1059">
        <f>IFERROR(VLOOKUP(F1059,'LEAID Match'!$A$2:$B$240,2,FALSE),"")</f>
        <v>0</v>
      </c>
    </row>
    <row r="1060" spans="1:12" x14ac:dyDescent="0.2">
      <c r="A1060">
        <v>0</v>
      </c>
      <c r="B1060">
        <v>2018</v>
      </c>
      <c r="C1060" s="4" t="s">
        <v>228</v>
      </c>
      <c r="D1060" s="4" t="s">
        <v>576</v>
      </c>
      <c r="E1060" s="4" t="s">
        <v>578</v>
      </c>
      <c r="F1060" s="4" t="s">
        <v>187</v>
      </c>
      <c r="G1060" s="8">
        <v>418725</v>
      </c>
      <c r="I1060" s="16" cm="1">
        <f t="array" ref="I1060">_xlfn.IFS(B1060=2015,G1060/$H$1957,B1060=2016,G1060/$H$1958,B1060=2017,G1060/$H$1959,B1060=2018,G1060/$H$1960,B1060=2019,G1060/$H$1961,B1060=2020,G1060/$H$1962,B1060=2021,G1060/$H$1963,B1060=2022,G1060/$H$1964,B1060=2023,G1060/$H$1965)</f>
        <v>5.387778320809618E-4</v>
      </c>
      <c r="J1060" s="10" cm="1">
        <f t="array" ref="J1060">_xlfn.IFS(B1060=2015,I1060*$G$2,B1060=2016,I1060*$G$3,B1060=2017,I1060*$G$4,B1060=2018,I1060*$G$5,B1060=2019,I1060*$G$6,B1060=2020,I1060*$G$7,B1060=2021,I1060*$G$8,B1060=2022,I1060*$G$9,B1060=2023,I1060*$G$10)</f>
        <v>81098.953449039458</v>
      </c>
      <c r="K1060" s="8">
        <f t="shared" si="16"/>
        <v>499823.95344903949</v>
      </c>
      <c r="L1060">
        <f>IFERROR(VLOOKUP(F1060,'LEAID Match'!$A$2:$B$240,2,FALSE),"")</f>
        <v>0</v>
      </c>
    </row>
    <row r="1061" spans="1:12" x14ac:dyDescent="0.2">
      <c r="A1061">
        <v>0</v>
      </c>
      <c r="B1061">
        <v>2019</v>
      </c>
      <c r="C1061" s="4" t="s">
        <v>228</v>
      </c>
      <c r="D1061" s="4" t="s">
        <v>576</v>
      </c>
      <c r="E1061" s="4" t="s">
        <v>578</v>
      </c>
      <c r="F1061" s="4" t="s">
        <v>187</v>
      </c>
      <c r="G1061" s="8">
        <v>454295</v>
      </c>
      <c r="I1061" s="16" cm="1">
        <f t="array" ref="I1061">_xlfn.IFS(B1061=2015,G1061/$H$1957,B1061=2016,G1061/$H$1958,B1061=2017,G1061/$H$1959,B1061=2018,G1061/$H$1960,B1061=2019,G1061/$H$1961,B1061=2020,G1061/$H$1962,B1061=2021,G1061/$H$1963,B1061=2022,G1061/$H$1964,B1061=2023,G1061/$H$1965)</f>
        <v>5.6459630465054112E-4</v>
      </c>
      <c r="J1061" s="10" cm="1">
        <f t="array" ref="J1061">_xlfn.IFS(B1061=2015,I1061*$G$2,B1061=2016,I1061*$G$3,B1061=2017,I1061*$G$4,B1061=2018,I1061*$G$5,B1061=2019,I1061*$G$6,B1061=2020,I1061*$G$7,B1061=2021,I1061*$G$8,B1061=2022,I1061*$G$9,B1061=2023,I1061*$G$10)</f>
        <v>89222.093712064874</v>
      </c>
      <c r="K1061" s="8">
        <f t="shared" si="16"/>
        <v>543517.0937120649</v>
      </c>
      <c r="L1061">
        <f>IFERROR(VLOOKUP(F1061,'LEAID Match'!$A$2:$B$240,2,FALSE),"")</f>
        <v>0</v>
      </c>
    </row>
    <row r="1062" spans="1:12" x14ac:dyDescent="0.2">
      <c r="A1062">
        <v>0</v>
      </c>
      <c r="B1062">
        <v>2020</v>
      </c>
      <c r="C1062" s="4" t="s">
        <v>228</v>
      </c>
      <c r="D1062" s="4" t="s">
        <v>576</v>
      </c>
      <c r="E1062" s="4" t="s">
        <v>578</v>
      </c>
      <c r="F1062" s="4" t="s">
        <v>187</v>
      </c>
      <c r="G1062" s="8">
        <v>503010</v>
      </c>
      <c r="I1062" s="16" cm="1">
        <f t="array" ref="I1062">_xlfn.IFS(B1062=2015,G1062/$H$1957,B1062=2016,G1062/$H$1958,B1062=2017,G1062/$H$1959,B1062=2018,G1062/$H$1960,B1062=2019,G1062/$H$1961,B1062=2020,G1062/$H$1962,B1062=2021,G1062/$H$1963,B1062=2022,G1062/$H$1964,B1062=2023,G1062/$H$1965)</f>
        <v>5.7854367990233695E-4</v>
      </c>
      <c r="J1062" s="10" cm="1">
        <f t="array" ref="J1062">_xlfn.IFS(B1062=2015,I1062*$G$2,B1062=2016,I1062*$G$3,B1062=2017,I1062*$G$4,B1062=2018,I1062*$G$5,B1062=2019,I1062*$G$6,B1062=2020,I1062*$G$7,B1062=2021,I1062*$G$8,B1062=2022,I1062*$G$9,B1062=2023,I1062*$G$10)</f>
        <v>99905.175494625088</v>
      </c>
      <c r="K1062" s="8">
        <f t="shared" si="16"/>
        <v>602915.17549462512</v>
      </c>
      <c r="L1062">
        <f>IFERROR(VLOOKUP(F1062,'LEAID Match'!$A$2:$B$240,2,FALSE),"")</f>
        <v>0</v>
      </c>
    </row>
    <row r="1063" spans="1:12" x14ac:dyDescent="0.2">
      <c r="A1063">
        <v>0</v>
      </c>
      <c r="B1063">
        <v>2021</v>
      </c>
      <c r="C1063" s="4" t="s">
        <v>228</v>
      </c>
      <c r="D1063" s="4" t="s">
        <v>576</v>
      </c>
      <c r="E1063" s="4" t="s">
        <v>578</v>
      </c>
      <c r="F1063" s="4" t="s">
        <v>187</v>
      </c>
      <c r="G1063" s="8">
        <v>512690</v>
      </c>
      <c r="I1063" s="16" cm="1">
        <f t="array" ref="I1063">_xlfn.IFS(B1063=2015,G1063/$H$1957,B1063=2016,G1063/$H$1958,B1063=2017,G1063/$H$1959,B1063=2018,G1063/$H$1960,B1063=2019,G1063/$H$1961,B1063=2020,G1063/$H$1962,B1063=2021,G1063/$H$1963,B1063=2022,G1063/$H$1964,B1063=2023,G1063/$H$1965)</f>
        <v>5.8589951278356883E-4</v>
      </c>
      <c r="J1063" s="10" cm="1">
        <f t="array" ref="J1063">_xlfn.IFS(B1063=2015,I1063*$G$2,B1063=2016,I1063*$G$3,B1063=2017,I1063*$G$4,B1063=2018,I1063*$G$5,B1063=2019,I1063*$G$6,B1063=2020,I1063*$G$7,B1063=2021,I1063*$G$8,B1063=2022,I1063*$G$9,B1063=2023,I1063*$G$10)</f>
        <v>100550.22059785764</v>
      </c>
      <c r="K1063" s="8">
        <f t="shared" si="16"/>
        <v>613240.22059785761</v>
      </c>
      <c r="L1063">
        <f>IFERROR(VLOOKUP(F1063,'LEAID Match'!$A$2:$B$240,2,FALSE),"")</f>
        <v>0</v>
      </c>
    </row>
    <row r="1064" spans="1:12" x14ac:dyDescent="0.2">
      <c r="A1064">
        <v>0</v>
      </c>
      <c r="B1064">
        <v>2022</v>
      </c>
      <c r="C1064" s="4" t="s">
        <v>228</v>
      </c>
      <c r="D1064" s="4" t="s">
        <v>576</v>
      </c>
      <c r="E1064" s="4" t="s">
        <v>578</v>
      </c>
      <c r="F1064" s="4" t="s">
        <v>187</v>
      </c>
      <c r="G1064" s="8">
        <v>534143</v>
      </c>
      <c r="I1064" s="16" cm="1">
        <f t="array" ref="I1064">_xlfn.IFS(B1064=2015,G1064/$H$1957,B1064=2016,G1064/$H$1958,B1064=2017,G1064/$H$1959,B1064=2018,G1064/$H$1960,B1064=2019,G1064/$H$1961,B1064=2020,G1064/$H$1962,B1064=2021,G1064/$H$1963,B1064=2022,G1064/$H$1964,B1064=2023,G1064/$H$1965)</f>
        <v>5.7409812916481664E-4</v>
      </c>
      <c r="J1064" s="10" cm="1">
        <f t="array" ref="J1064">_xlfn.IFS(B1064=2015,I1064*$G$2,B1064=2016,I1064*$G$3,B1064=2017,I1064*$G$4,B1064=2018,I1064*$G$5,B1064=2019,I1064*$G$6,B1064=2020,I1064*$G$7,B1064=2021,I1064*$G$8,B1064=2022,I1064*$G$9,B1064=2023,I1064*$G$10)</f>
        <v>97358.803824101255</v>
      </c>
      <c r="K1064" s="8">
        <f t="shared" si="16"/>
        <v>631501.80382410123</v>
      </c>
      <c r="L1064">
        <f>IFERROR(VLOOKUP(F1064,'LEAID Match'!$A$2:$B$240,2,FALSE),"")</f>
        <v>0</v>
      </c>
    </row>
    <row r="1065" spans="1:12" x14ac:dyDescent="0.2">
      <c r="A1065">
        <v>0</v>
      </c>
      <c r="B1065">
        <v>2023</v>
      </c>
      <c r="C1065" s="4" t="s">
        <v>228</v>
      </c>
      <c r="D1065" s="4" t="s">
        <v>576</v>
      </c>
      <c r="E1065" s="4" t="s">
        <v>578</v>
      </c>
      <c r="F1065" s="4" t="s">
        <v>187</v>
      </c>
      <c r="G1065" s="8">
        <v>591584</v>
      </c>
      <c r="I1065" s="16" cm="1">
        <f t="array" ref="I1065">_xlfn.IFS(B1065=2015,G1065/$H$1957,B1065=2016,G1065/$H$1958,B1065=2017,G1065/$H$1959,B1065=2018,G1065/$H$1960,B1065=2019,G1065/$H$1961,B1065=2020,G1065/$H$1962,B1065=2021,G1065/$H$1963,B1065=2022,G1065/$H$1964,B1065=2023,G1065/$H$1965)</f>
        <v>5.9897264199970342E-4</v>
      </c>
      <c r="J1065" s="10" cm="1">
        <f t="array" ref="J1065">_xlfn.IFS(B1065=2015,I1065*$G$2,B1065=2016,I1065*$G$3,B1065=2017,I1065*$G$4,B1065=2018,I1065*$G$5,B1065=2019,I1065*$G$6,B1065=2020,I1065*$G$7,B1065=2021,I1065*$G$8,B1065=2022,I1065*$G$9,B1065=2023,I1065*$G$10)</f>
        <v>101816.55562259238</v>
      </c>
      <c r="K1065" s="8">
        <f t="shared" si="16"/>
        <v>693400.55562259234</v>
      </c>
      <c r="L1065">
        <f>IFERROR(VLOOKUP(F1065,'LEAID Match'!$A$2:$B$240,2,FALSE),"")</f>
        <v>0</v>
      </c>
    </row>
    <row r="1066" spans="1:12" x14ac:dyDescent="0.2">
      <c r="A1066">
        <v>0</v>
      </c>
      <c r="B1066">
        <v>2015</v>
      </c>
      <c r="C1066" s="4" t="s">
        <v>229</v>
      </c>
      <c r="D1066" s="4" t="s">
        <v>576</v>
      </c>
      <c r="E1066" s="4" t="s">
        <v>578</v>
      </c>
      <c r="F1066" s="4" t="s">
        <v>188</v>
      </c>
      <c r="G1066" s="8">
        <v>1085515</v>
      </c>
      <c r="I1066" s="16" cm="1">
        <f t="array" ref="I1066">_xlfn.IFS(B1066=2015,G1066/$H$1957,B1066=2016,G1066/$H$1958,B1066=2017,G1066/$H$1959,B1066=2018,G1066/$H$1960,B1066=2019,G1066/$H$1961,B1066=2020,G1066/$H$1962,B1066=2021,G1066/$H$1963,B1066=2022,G1066/$H$1964,B1066=2023,G1066/$H$1965)</f>
        <v>8.3829817479957088E-4</v>
      </c>
      <c r="J1066" s="10" cm="1">
        <f t="array" ref="J1066">_xlfn.IFS(B1066=2015,I1066*$G$2,B1066=2016,I1066*$G$3,B1066=2017,I1066*$G$4,B1066=2018,I1066*$G$5,B1066=2019,I1066*$G$6,B1066=2020,I1066*$G$7,B1066=2021,I1066*$G$8,B1066=2022,I1066*$G$9,B1066=2023,I1066*$G$10)</f>
        <v>208436.61679996541</v>
      </c>
      <c r="K1066" s="8">
        <f t="shared" si="16"/>
        <v>1293951.6167999655</v>
      </c>
      <c r="L1066">
        <f>IFERROR(VLOOKUP(F1066,'LEAID Match'!$A$2:$B$240,2,FALSE),"")</f>
        <v>0</v>
      </c>
    </row>
    <row r="1067" spans="1:12" x14ac:dyDescent="0.2">
      <c r="A1067">
        <v>0</v>
      </c>
      <c r="B1067">
        <v>2016</v>
      </c>
      <c r="C1067" s="4" t="s">
        <v>229</v>
      </c>
      <c r="D1067" s="4" t="s">
        <v>576</v>
      </c>
      <c r="E1067" s="4" t="s">
        <v>578</v>
      </c>
      <c r="F1067" s="4" t="s">
        <v>188</v>
      </c>
      <c r="G1067" s="8">
        <v>1080260</v>
      </c>
      <c r="I1067" s="16" cm="1">
        <f t="array" ref="I1067">_xlfn.IFS(B1067=2015,G1067/$H$1957,B1067=2016,G1067/$H$1958,B1067=2017,G1067/$H$1959,B1067=2018,G1067/$H$1960,B1067=2019,G1067/$H$1961,B1067=2020,G1067/$H$1962,B1067=2021,G1067/$H$1963,B1067=2022,G1067/$H$1964,B1067=2023,G1067/$H$1965)</f>
        <v>7.5834205818182E-4</v>
      </c>
      <c r="J1067" s="10" cm="1">
        <f t="array" ref="J1067">_xlfn.IFS(B1067=2015,I1067*$G$2,B1067=2016,I1067*$G$3,B1067=2017,I1067*$G$4,B1067=2018,I1067*$G$5,B1067=2019,I1067*$G$6,B1067=2020,I1067*$G$7,B1067=2021,I1067*$G$8,B1067=2022,I1067*$G$9,B1067=2023,I1067*$G$10)</f>
        <v>205664.70187244879</v>
      </c>
      <c r="K1067" s="8">
        <f t="shared" si="16"/>
        <v>1285924.7018724489</v>
      </c>
      <c r="L1067">
        <f>IFERROR(VLOOKUP(F1067,'LEAID Match'!$A$2:$B$240,2,FALSE),"")</f>
        <v>0</v>
      </c>
    </row>
    <row r="1068" spans="1:12" x14ac:dyDescent="0.2">
      <c r="A1068">
        <v>0</v>
      </c>
      <c r="B1068">
        <v>2017</v>
      </c>
      <c r="C1068" s="4" t="s">
        <v>229</v>
      </c>
      <c r="D1068" s="4" t="s">
        <v>576</v>
      </c>
      <c r="E1068" s="4" t="s">
        <v>578</v>
      </c>
      <c r="F1068" s="4" t="s">
        <v>188</v>
      </c>
      <c r="G1068" s="8">
        <v>612541</v>
      </c>
      <c r="I1068" s="16" cm="1">
        <f t="array" ref="I1068">_xlfn.IFS(B1068=2015,G1068/$H$1957,B1068=2016,G1068/$H$1958,B1068=2017,G1068/$H$1959,B1068=2018,G1068/$H$1960,B1068=2019,G1068/$H$1961,B1068=2020,G1068/$H$1962,B1068=2021,G1068/$H$1963,B1068=2022,G1068/$H$1964,B1068=2023,G1068/$H$1965)</f>
        <v>8.1726004718347533E-4</v>
      </c>
      <c r="J1068" s="10" cm="1">
        <f t="array" ref="J1068">_xlfn.IFS(B1068=2015,I1068*$G$2,B1068=2016,I1068*$G$3,B1068=2017,I1068*$G$4,B1068=2018,I1068*$G$5,B1068=2019,I1068*$G$6,B1068=2020,I1068*$G$7,B1068=2021,I1068*$G$8,B1068=2022,I1068*$G$9,B1068=2023,I1068*$G$10)</f>
        <v>121025.25107885983</v>
      </c>
      <c r="K1068" s="8">
        <f t="shared" si="16"/>
        <v>733566.25107885979</v>
      </c>
      <c r="L1068">
        <f>IFERROR(VLOOKUP(F1068,'LEAID Match'!$A$2:$B$240,2,FALSE),"")</f>
        <v>0</v>
      </c>
    </row>
    <row r="1069" spans="1:12" x14ac:dyDescent="0.2">
      <c r="A1069">
        <v>0</v>
      </c>
      <c r="B1069">
        <v>2018</v>
      </c>
      <c r="C1069" s="4" t="s">
        <v>229</v>
      </c>
      <c r="D1069" s="4" t="s">
        <v>576</v>
      </c>
      <c r="E1069" s="4" t="s">
        <v>578</v>
      </c>
      <c r="F1069" s="4" t="s">
        <v>188</v>
      </c>
      <c r="G1069" s="8">
        <v>721160</v>
      </c>
      <c r="I1069" s="16" cm="1">
        <f t="array" ref="I1069">_xlfn.IFS(B1069=2015,G1069/$H$1957,B1069=2016,G1069/$H$1958,B1069=2017,G1069/$H$1959,B1069=2018,G1069/$H$1960,B1069=2019,G1069/$H$1961,B1069=2020,G1069/$H$1962,B1069=2021,G1069/$H$1963,B1069=2022,G1069/$H$1964,B1069=2023,G1069/$H$1965)</f>
        <v>9.2792410623561135E-4</v>
      </c>
      <c r="J1069" s="10" cm="1">
        <f t="array" ref="J1069">_xlfn.IFS(B1069=2015,I1069*$G$2,B1069=2016,I1069*$G$3,B1069=2017,I1069*$G$4,B1069=2018,I1069*$G$5,B1069=2019,I1069*$G$6,B1069=2020,I1069*$G$7,B1069=2021,I1069*$G$8,B1069=2022,I1069*$G$9,B1069=2023,I1069*$G$10)</f>
        <v>139674.77764477709</v>
      </c>
      <c r="K1069" s="8">
        <f t="shared" si="16"/>
        <v>860834.77764477709</v>
      </c>
      <c r="L1069">
        <f>IFERROR(VLOOKUP(F1069,'LEAID Match'!$A$2:$B$240,2,FALSE),"")</f>
        <v>0</v>
      </c>
    </row>
    <row r="1070" spans="1:12" x14ac:dyDescent="0.2">
      <c r="A1070">
        <v>0</v>
      </c>
      <c r="B1070">
        <v>2019</v>
      </c>
      <c r="C1070" s="4" t="s">
        <v>229</v>
      </c>
      <c r="D1070" s="4" t="s">
        <v>576</v>
      </c>
      <c r="E1070" s="4" t="s">
        <v>578</v>
      </c>
      <c r="F1070" s="4" t="s">
        <v>188</v>
      </c>
      <c r="G1070" s="8">
        <v>772783</v>
      </c>
      <c r="I1070" s="16" cm="1">
        <f t="array" ref="I1070">_xlfn.IFS(B1070=2015,G1070/$H$1957,B1070=2016,G1070/$H$1958,B1070=2017,G1070/$H$1959,B1070=2018,G1070/$H$1960,B1070=2019,G1070/$H$1961,B1070=2020,G1070/$H$1962,B1070=2021,G1070/$H$1963,B1070=2022,G1070/$H$1964,B1070=2023,G1070/$H$1965)</f>
        <v>9.6041212449346589E-4</v>
      </c>
      <c r="J1070" s="10" cm="1">
        <f t="array" ref="J1070">_xlfn.IFS(B1070=2015,I1070*$G$2,B1070=2016,I1070*$G$3,B1070=2017,I1070*$G$4,B1070=2018,I1070*$G$5,B1070=2019,I1070*$G$6,B1070=2020,I1070*$G$7,B1070=2021,I1070*$G$8,B1070=2022,I1070*$G$9,B1070=2023,I1070*$G$10)</f>
        <v>151772.12437973262</v>
      </c>
      <c r="K1070" s="8">
        <f t="shared" si="16"/>
        <v>924555.12437973265</v>
      </c>
      <c r="L1070">
        <f>IFERROR(VLOOKUP(F1070,'LEAID Match'!$A$2:$B$240,2,FALSE),"")</f>
        <v>0</v>
      </c>
    </row>
    <row r="1071" spans="1:12" x14ac:dyDescent="0.2">
      <c r="A1071">
        <v>0</v>
      </c>
      <c r="B1071">
        <v>2020</v>
      </c>
      <c r="C1071" s="4" t="s">
        <v>229</v>
      </c>
      <c r="D1071" s="4" t="s">
        <v>576</v>
      </c>
      <c r="E1071" s="4" t="s">
        <v>578</v>
      </c>
      <c r="F1071" s="4" t="s">
        <v>188</v>
      </c>
      <c r="G1071" s="8">
        <v>897198</v>
      </c>
      <c r="I1071" s="16" cm="1">
        <f t="array" ref="I1071">_xlfn.IFS(B1071=2015,G1071/$H$1957,B1071=2016,G1071/$H$1958,B1071=2017,G1071/$H$1959,B1071=2018,G1071/$H$1960,B1071=2019,G1071/$H$1961,B1071=2020,G1071/$H$1962,B1071=2021,G1071/$H$1963,B1071=2022,G1071/$H$1964,B1071=2023,G1071/$H$1965)</f>
        <v>1.0319242808711892E-3</v>
      </c>
      <c r="J1071" s="10" cm="1">
        <f t="array" ref="J1071">_xlfn.IFS(B1071=2015,I1071*$G$2,B1071=2016,I1071*$G$3,B1071=2017,I1071*$G$4,B1071=2018,I1071*$G$5,B1071=2019,I1071*$G$6,B1071=2020,I1071*$G$7,B1071=2021,I1071*$G$8,B1071=2022,I1071*$G$9,B1071=2023,I1071*$G$10)</f>
        <v>178196.70313398665</v>
      </c>
      <c r="K1071" s="8">
        <f t="shared" si="16"/>
        <v>1075394.7031339866</v>
      </c>
      <c r="L1071">
        <f>IFERROR(VLOOKUP(F1071,'LEAID Match'!$A$2:$B$240,2,FALSE),"")</f>
        <v>0</v>
      </c>
    </row>
    <row r="1072" spans="1:12" x14ac:dyDescent="0.2">
      <c r="A1072">
        <v>0</v>
      </c>
      <c r="B1072">
        <v>2021</v>
      </c>
      <c r="C1072" s="4" t="s">
        <v>229</v>
      </c>
      <c r="D1072" s="4" t="s">
        <v>576</v>
      </c>
      <c r="E1072" s="4" t="s">
        <v>578</v>
      </c>
      <c r="F1072" s="4" t="s">
        <v>188</v>
      </c>
      <c r="G1072" s="8">
        <v>969573</v>
      </c>
      <c r="I1072" s="16" cm="1">
        <f t="array" ref="I1072">_xlfn.IFS(B1072=2015,G1072/$H$1957,B1072=2016,G1072/$H$1958,B1072=2017,G1072/$H$1959,B1072=2018,G1072/$H$1960,B1072=2019,G1072/$H$1961,B1072=2020,G1072/$H$1962,B1072=2021,G1072/$H$1963,B1072=2022,G1072/$H$1964,B1072=2023,G1072/$H$1965)</f>
        <v>1.1080230710723889E-3</v>
      </c>
      <c r="J1072" s="10" cm="1">
        <f t="array" ref="J1072">_xlfn.IFS(B1072=2015,I1072*$G$2,B1072=2016,I1072*$G$3,B1072=2017,I1072*$G$4,B1072=2018,I1072*$G$5,B1072=2019,I1072*$G$6,B1072=2020,I1072*$G$7,B1072=2021,I1072*$G$8,B1072=2022,I1072*$G$9,B1072=2023,I1072*$G$10)</f>
        <v>190155.41367244651</v>
      </c>
      <c r="K1072" s="8">
        <f t="shared" si="16"/>
        <v>1159728.4136724465</v>
      </c>
      <c r="L1072">
        <f>IFERROR(VLOOKUP(F1072,'LEAID Match'!$A$2:$B$240,2,FALSE),"")</f>
        <v>0</v>
      </c>
    </row>
    <row r="1073" spans="1:12" x14ac:dyDescent="0.2">
      <c r="A1073">
        <v>0</v>
      </c>
      <c r="B1073">
        <v>2022</v>
      </c>
      <c r="C1073" s="4" t="s">
        <v>229</v>
      </c>
      <c r="D1073" s="4" t="s">
        <v>576</v>
      </c>
      <c r="E1073" s="4" t="s">
        <v>578</v>
      </c>
      <c r="F1073" s="4" t="s">
        <v>188</v>
      </c>
      <c r="G1073" s="8">
        <v>867397</v>
      </c>
      <c r="I1073" s="16" cm="1">
        <f t="array" ref="I1073">_xlfn.IFS(B1073=2015,G1073/$H$1957,B1073=2016,G1073/$H$1958,B1073=2017,G1073/$H$1959,B1073=2018,G1073/$H$1960,B1073=2019,G1073/$H$1961,B1073=2020,G1073/$H$1962,B1073=2021,G1073/$H$1963,B1073=2022,G1073/$H$1964,B1073=2023,G1073/$H$1965)</f>
        <v>9.3228029749182226E-4</v>
      </c>
      <c r="J1073" s="10" cm="1">
        <f t="array" ref="J1073">_xlfn.IFS(B1073=2015,I1073*$G$2,B1073=2016,I1073*$G$3,B1073=2017,I1073*$G$4,B1073=2018,I1073*$G$5,B1073=2019,I1073*$G$6,B1073=2020,I1073*$G$7,B1073=2021,I1073*$G$8,B1073=2022,I1073*$G$9,B1073=2023,I1073*$G$10)</f>
        <v>158101.35930006375</v>
      </c>
      <c r="K1073" s="8">
        <f t="shared" si="16"/>
        <v>1025498.3593000637</v>
      </c>
      <c r="L1073">
        <f>IFERROR(VLOOKUP(F1073,'LEAID Match'!$A$2:$B$240,2,FALSE),"")</f>
        <v>0</v>
      </c>
    </row>
    <row r="1074" spans="1:12" x14ac:dyDescent="0.2">
      <c r="A1074">
        <v>0</v>
      </c>
      <c r="B1074">
        <v>2023</v>
      </c>
      <c r="C1074" s="4" t="s">
        <v>229</v>
      </c>
      <c r="D1074" s="4" t="s">
        <v>576</v>
      </c>
      <c r="E1074" s="4" t="s">
        <v>578</v>
      </c>
      <c r="F1074" s="4" t="s">
        <v>188</v>
      </c>
      <c r="G1074" s="8">
        <v>879248</v>
      </c>
      <c r="I1074" s="16" cm="1">
        <f t="array" ref="I1074">_xlfn.IFS(B1074=2015,G1074/$H$1957,B1074=2016,G1074/$H$1958,B1074=2017,G1074/$H$1959,B1074=2018,G1074/$H$1960,B1074=2019,G1074/$H$1961,B1074=2020,G1074/$H$1962,B1074=2021,G1074/$H$1963,B1074=2022,G1074/$H$1964,B1074=2023,G1074/$H$1965)</f>
        <v>8.9022944760668845E-4</v>
      </c>
      <c r="J1074" s="10" cm="1">
        <f t="array" ref="J1074">_xlfn.IFS(B1074=2015,I1074*$G$2,B1074=2016,I1074*$G$3,B1074=2017,I1074*$G$4,B1074=2018,I1074*$G$5,B1074=2019,I1074*$G$6,B1074=2020,I1074*$G$7,B1074=2021,I1074*$G$8,B1074=2022,I1074*$G$9,B1074=2023,I1074*$G$10)</f>
        <v>151325.93663461672</v>
      </c>
      <c r="K1074" s="8">
        <f t="shared" si="16"/>
        <v>1030573.9366346167</v>
      </c>
      <c r="L1074">
        <f>IFERROR(VLOOKUP(F1074,'LEAID Match'!$A$2:$B$240,2,FALSE),"")</f>
        <v>0</v>
      </c>
    </row>
    <row r="1075" spans="1:12" x14ac:dyDescent="0.2">
      <c r="A1075">
        <v>0</v>
      </c>
      <c r="B1075">
        <v>2015</v>
      </c>
      <c r="C1075" s="4" t="s">
        <v>230</v>
      </c>
      <c r="D1075" s="4" t="s">
        <v>576</v>
      </c>
      <c r="E1075" s="4" t="s">
        <v>578</v>
      </c>
      <c r="F1075" s="4" t="s">
        <v>189</v>
      </c>
      <c r="G1075" s="8">
        <v>936045</v>
      </c>
      <c r="I1075" s="16" cm="1">
        <f t="array" ref="I1075">_xlfn.IFS(B1075=2015,G1075/$H$1957,B1075=2016,G1075/$H$1958,B1075=2017,G1075/$H$1959,B1075=2018,G1075/$H$1960,B1075=2019,G1075/$H$1961,B1075=2020,G1075/$H$1962,B1075=2021,G1075/$H$1963,B1075=2022,G1075/$H$1964,B1075=2023,G1075/$H$1965)</f>
        <v>7.2286869829552274E-4</v>
      </c>
      <c r="J1075" s="10" cm="1">
        <f t="array" ref="J1075">_xlfn.IFS(B1075=2015,I1075*$G$2,B1075=2016,I1075*$G$3,B1075=2017,I1075*$G$4,B1075=2018,I1075*$G$5,B1075=2019,I1075*$G$6,B1075=2020,I1075*$G$7,B1075=2021,I1075*$G$8,B1075=2022,I1075*$G$9,B1075=2023,I1075*$G$10)</f>
        <v>179735.93453109689</v>
      </c>
      <c r="K1075" s="8">
        <f t="shared" si="16"/>
        <v>1115780.9345310968</v>
      </c>
      <c r="L1075">
        <f>IFERROR(VLOOKUP(F1075,'LEAID Match'!$A$2:$B$240,2,FALSE),"")</f>
        <v>0</v>
      </c>
    </row>
    <row r="1076" spans="1:12" x14ac:dyDescent="0.2">
      <c r="A1076">
        <v>0</v>
      </c>
      <c r="B1076">
        <v>2016</v>
      </c>
      <c r="C1076" s="4" t="s">
        <v>230</v>
      </c>
      <c r="D1076" s="4" t="s">
        <v>576</v>
      </c>
      <c r="E1076" s="4" t="s">
        <v>578</v>
      </c>
      <c r="F1076" s="4" t="s">
        <v>189</v>
      </c>
      <c r="G1076" s="8">
        <v>1116625</v>
      </c>
      <c r="I1076" s="16" cm="1">
        <f t="array" ref="I1076">_xlfn.IFS(B1076=2015,G1076/$H$1957,B1076=2016,G1076/$H$1958,B1076=2017,G1076/$H$1959,B1076=2018,G1076/$H$1960,B1076=2019,G1076/$H$1961,B1076=2020,G1076/$H$1962,B1076=2021,G1076/$H$1963,B1076=2022,G1076/$H$1964,B1076=2023,G1076/$H$1965)</f>
        <v>7.8387027263554585E-4</v>
      </c>
      <c r="J1076" s="10" cm="1">
        <f t="array" ref="J1076">_xlfn.IFS(B1076=2015,I1076*$G$2,B1076=2016,I1076*$G$3,B1076=2017,I1076*$G$4,B1076=2018,I1076*$G$5,B1076=2019,I1076*$G$6,B1076=2020,I1076*$G$7,B1076=2021,I1076*$G$8,B1076=2022,I1076*$G$9,B1076=2023,I1076*$G$10)</f>
        <v>212588.03225919974</v>
      </c>
      <c r="K1076" s="8">
        <f t="shared" si="16"/>
        <v>1329213.0322591998</v>
      </c>
      <c r="L1076">
        <f>IFERROR(VLOOKUP(F1076,'LEAID Match'!$A$2:$B$240,2,FALSE),"")</f>
        <v>0</v>
      </c>
    </row>
    <row r="1077" spans="1:12" x14ac:dyDescent="0.2">
      <c r="A1077">
        <v>0</v>
      </c>
      <c r="B1077">
        <v>2017</v>
      </c>
      <c r="C1077" s="4" t="s">
        <v>230</v>
      </c>
      <c r="D1077" s="4" t="s">
        <v>576</v>
      </c>
      <c r="E1077" s="4" t="s">
        <v>578</v>
      </c>
      <c r="F1077" s="4" t="s">
        <v>189</v>
      </c>
      <c r="G1077" s="8">
        <v>552723</v>
      </c>
      <c r="I1077" s="16" cm="1">
        <f t="array" ref="I1077">_xlfn.IFS(B1077=2015,G1077/$H$1957,B1077=2016,G1077/$H$1958,B1077=2017,G1077/$H$1959,B1077=2018,G1077/$H$1960,B1077=2019,G1077/$H$1961,B1077=2020,G1077/$H$1962,B1077=2021,G1077/$H$1963,B1077=2022,G1077/$H$1964,B1077=2023,G1077/$H$1965)</f>
        <v>7.3745010547766107E-4</v>
      </c>
      <c r="J1077" s="10" cm="1">
        <f t="array" ref="J1077">_xlfn.IFS(B1077=2015,I1077*$G$2,B1077=2016,I1077*$G$3,B1077=2017,I1077*$G$4,B1077=2018,I1077*$G$5,B1077=2019,I1077*$G$6,B1077=2020,I1077*$G$7,B1077=2021,I1077*$G$8,B1077=2022,I1077*$G$9,B1077=2023,I1077*$G$10)</f>
        <v>109206.46920297683</v>
      </c>
      <c r="K1077" s="8">
        <f t="shared" si="16"/>
        <v>661929.46920297679</v>
      </c>
      <c r="L1077">
        <f>IFERROR(VLOOKUP(F1077,'LEAID Match'!$A$2:$B$240,2,FALSE),"")</f>
        <v>0</v>
      </c>
    </row>
    <row r="1078" spans="1:12" x14ac:dyDescent="0.2">
      <c r="A1078">
        <v>0</v>
      </c>
      <c r="B1078">
        <v>2018</v>
      </c>
      <c r="C1078" s="4" t="s">
        <v>230</v>
      </c>
      <c r="D1078" s="4" t="s">
        <v>576</v>
      </c>
      <c r="E1078" s="4" t="s">
        <v>578</v>
      </c>
      <c r="F1078" s="4" t="s">
        <v>189</v>
      </c>
      <c r="G1078" s="8">
        <v>567013</v>
      </c>
      <c r="I1078" s="16" cm="1">
        <f t="array" ref="I1078">_xlfn.IFS(B1078=2015,G1078/$H$1957,B1078=2016,G1078/$H$1958,B1078=2017,G1078/$H$1959,B1078=2018,G1078/$H$1960,B1078=2019,G1078/$H$1961,B1078=2020,G1078/$H$1962,B1078=2021,G1078/$H$1963,B1078=2022,G1078/$H$1964,B1078=2023,G1078/$H$1965)</f>
        <v>7.2958155090267448E-4</v>
      </c>
      <c r="J1078" s="10" cm="1">
        <f t="array" ref="J1078">_xlfn.IFS(B1078=2015,I1078*$G$2,B1078=2016,I1078*$G$3,B1078=2017,I1078*$G$4,B1078=2018,I1078*$G$5,B1078=2019,I1078*$G$6,B1078=2020,I1078*$G$7,B1078=2021,I1078*$G$8,B1078=2022,I1078*$G$9,B1078=2023,I1078*$G$10)</f>
        <v>109819.4779198763</v>
      </c>
      <c r="K1078" s="8">
        <f t="shared" si="16"/>
        <v>676832.47791987634</v>
      </c>
      <c r="L1078">
        <f>IFERROR(VLOOKUP(F1078,'LEAID Match'!$A$2:$B$240,2,FALSE),"")</f>
        <v>0</v>
      </c>
    </row>
    <row r="1079" spans="1:12" x14ac:dyDescent="0.2">
      <c r="A1079">
        <v>0</v>
      </c>
      <c r="B1079">
        <v>2019</v>
      </c>
      <c r="C1079" s="4" t="s">
        <v>230</v>
      </c>
      <c r="D1079" s="4" t="s">
        <v>576</v>
      </c>
      <c r="E1079" s="4" t="s">
        <v>578</v>
      </c>
      <c r="F1079" s="4" t="s">
        <v>189</v>
      </c>
      <c r="G1079" s="8">
        <v>544854</v>
      </c>
      <c r="I1079" s="16" cm="1">
        <f t="array" ref="I1079">_xlfn.IFS(B1079=2015,G1079/$H$1957,B1079=2016,G1079/$H$1958,B1079=2017,G1079/$H$1959,B1079=2018,G1079/$H$1960,B1079=2019,G1079/$H$1961,B1079=2020,G1079/$H$1962,B1079=2021,G1079/$H$1963,B1079=2022,G1079/$H$1964,B1079=2023,G1079/$H$1965)</f>
        <v>6.7714272658529349E-4</v>
      </c>
      <c r="J1079" s="10" cm="1">
        <f t="array" ref="J1079">_xlfn.IFS(B1079=2015,I1079*$G$2,B1079=2016,I1079*$G$3,B1079=2017,I1079*$G$4,B1079=2018,I1079*$G$5,B1079=2019,I1079*$G$6,B1079=2020,I1079*$G$7,B1079=2021,I1079*$G$8,B1079=2022,I1079*$G$9,B1079=2023,I1079*$G$10)</f>
        <v>107007.5934082334</v>
      </c>
      <c r="K1079" s="8">
        <f t="shared" si="16"/>
        <v>651861.59340823337</v>
      </c>
      <c r="L1079">
        <f>IFERROR(VLOOKUP(F1079,'LEAID Match'!$A$2:$B$240,2,FALSE),"")</f>
        <v>0</v>
      </c>
    </row>
    <row r="1080" spans="1:12" x14ac:dyDescent="0.2">
      <c r="A1080">
        <v>0</v>
      </c>
      <c r="B1080">
        <v>2020</v>
      </c>
      <c r="C1080" s="4" t="s">
        <v>230</v>
      </c>
      <c r="D1080" s="4" t="s">
        <v>576</v>
      </c>
      <c r="E1080" s="4" t="s">
        <v>578</v>
      </c>
      <c r="F1080" s="4" t="s">
        <v>189</v>
      </c>
      <c r="G1080" s="8">
        <v>614317</v>
      </c>
      <c r="I1080" s="16" cm="1">
        <f t="array" ref="I1080">_xlfn.IFS(B1080=2015,G1080/$H$1957,B1080=2016,G1080/$H$1958,B1080=2017,G1080/$H$1959,B1080=2018,G1080/$H$1960,B1080=2019,G1080/$H$1961,B1080=2020,G1080/$H$1962,B1080=2021,G1080/$H$1963,B1080=2022,G1080/$H$1964,B1080=2023,G1080/$H$1965)</f>
        <v>7.065649148258761E-4</v>
      </c>
      <c r="J1080" s="10" cm="1">
        <f t="array" ref="J1080">_xlfn.IFS(B1080=2015,I1080*$G$2,B1080=2016,I1080*$G$3,B1080=2017,I1080*$G$4,B1080=2018,I1080*$G$5,B1080=2019,I1080*$G$6,B1080=2020,I1080*$G$7,B1080=2021,I1080*$G$8,B1080=2022,I1080*$G$9,B1080=2023,I1080*$G$10)</f>
        <v>122012.38085591061</v>
      </c>
      <c r="K1080" s="8">
        <f t="shared" si="16"/>
        <v>736329.3808559106</v>
      </c>
      <c r="L1080">
        <f>IFERROR(VLOOKUP(F1080,'LEAID Match'!$A$2:$B$240,2,FALSE),"")</f>
        <v>0</v>
      </c>
    </row>
    <row r="1081" spans="1:12" x14ac:dyDescent="0.2">
      <c r="A1081">
        <v>0</v>
      </c>
      <c r="B1081">
        <v>2021</v>
      </c>
      <c r="C1081" s="4" t="s">
        <v>230</v>
      </c>
      <c r="D1081" s="4" t="s">
        <v>576</v>
      </c>
      <c r="E1081" s="4" t="s">
        <v>578</v>
      </c>
      <c r="F1081" s="4" t="s">
        <v>189</v>
      </c>
      <c r="G1081" s="8">
        <v>654524</v>
      </c>
      <c r="I1081" s="16" cm="1">
        <f t="array" ref="I1081">_xlfn.IFS(B1081=2015,G1081/$H$1957,B1081=2016,G1081/$H$1958,B1081=2017,G1081/$H$1959,B1081=2018,G1081/$H$1960,B1081=2019,G1081/$H$1961,B1081=2020,G1081/$H$1962,B1081=2021,G1081/$H$1963,B1081=2022,G1081/$H$1964,B1081=2023,G1081/$H$1965)</f>
        <v>7.479866833859692E-4</v>
      </c>
      <c r="J1081" s="10" cm="1">
        <f t="array" ref="J1081">_xlfn.IFS(B1081=2015,I1081*$G$2,B1081=2016,I1081*$G$3,B1081=2017,I1081*$G$4,B1081=2018,I1081*$G$5,B1081=2019,I1081*$G$6,B1081=2020,I1081*$G$7,B1081=2021,I1081*$G$8,B1081=2022,I1081*$G$9,B1081=2023,I1081*$G$10)</f>
        <v>128367.10797283379</v>
      </c>
      <c r="K1081" s="8">
        <f t="shared" si="16"/>
        <v>782891.10797283379</v>
      </c>
      <c r="L1081">
        <f>IFERROR(VLOOKUP(F1081,'LEAID Match'!$A$2:$B$240,2,FALSE),"")</f>
        <v>0</v>
      </c>
    </row>
    <row r="1082" spans="1:12" x14ac:dyDescent="0.2">
      <c r="A1082">
        <v>0</v>
      </c>
      <c r="B1082">
        <v>2022</v>
      </c>
      <c r="C1082" s="4" t="s">
        <v>230</v>
      </c>
      <c r="D1082" s="4" t="s">
        <v>576</v>
      </c>
      <c r="E1082" s="4" t="s">
        <v>578</v>
      </c>
      <c r="F1082" s="4" t="s">
        <v>189</v>
      </c>
      <c r="G1082" s="8">
        <v>624153</v>
      </c>
      <c r="I1082" s="16" cm="1">
        <f t="array" ref="I1082">_xlfn.IFS(B1082=2015,G1082/$H$1957,B1082=2016,G1082/$H$1958,B1082=2017,G1082/$H$1959,B1082=2018,G1082/$H$1960,B1082=2019,G1082/$H$1961,B1082=2020,G1082/$H$1962,B1082=2021,G1082/$H$1963,B1082=2022,G1082/$H$1964,B1082=2023,G1082/$H$1965)</f>
        <v>6.7084108490162331E-4</v>
      </c>
      <c r="J1082" s="10" cm="1">
        <f t="array" ref="J1082">_xlfn.IFS(B1082=2015,I1082*$G$2,B1082=2016,I1082*$G$3,B1082=2017,I1082*$G$4,B1082=2018,I1082*$G$5,B1082=2019,I1082*$G$6,B1082=2020,I1082*$G$7,B1082=2021,I1082*$G$8,B1082=2022,I1082*$G$9,B1082=2023,I1082*$G$10)</f>
        <v>113765.02075890588</v>
      </c>
      <c r="K1082" s="8">
        <f t="shared" si="16"/>
        <v>737918.02075890591</v>
      </c>
      <c r="L1082">
        <f>IFERROR(VLOOKUP(F1082,'LEAID Match'!$A$2:$B$240,2,FALSE),"")</f>
        <v>0</v>
      </c>
    </row>
    <row r="1083" spans="1:12" x14ac:dyDescent="0.2">
      <c r="A1083">
        <v>0</v>
      </c>
      <c r="B1083">
        <v>2023</v>
      </c>
      <c r="C1083" s="4" t="s">
        <v>230</v>
      </c>
      <c r="D1083" s="4" t="s">
        <v>576</v>
      </c>
      <c r="E1083" s="4" t="s">
        <v>578</v>
      </c>
      <c r="F1083" s="4" t="s">
        <v>189</v>
      </c>
      <c r="G1083" s="8">
        <v>768879</v>
      </c>
      <c r="I1083" s="16" cm="1">
        <f t="array" ref="I1083">_xlfn.IFS(B1083=2015,G1083/$H$1957,B1083=2016,G1083/$H$1958,B1083=2017,G1083/$H$1959,B1083=2018,G1083/$H$1960,B1083=2019,G1083/$H$1961,B1083=2020,G1083/$H$1962,B1083=2021,G1083/$H$1963,B1083=2022,G1083/$H$1964,B1083=2023,G1083/$H$1965)</f>
        <v>7.7848198397537788E-4</v>
      </c>
      <c r="J1083" s="10" cm="1">
        <f t="array" ref="J1083">_xlfn.IFS(B1083=2015,I1083*$G$2,B1083=2016,I1083*$G$3,B1083=2017,I1083*$G$4,B1083=2018,I1083*$G$5,B1083=2019,I1083*$G$6,B1083=2020,I1083*$G$7,B1083=2021,I1083*$G$8,B1083=2022,I1083*$G$9,B1083=2023,I1083*$G$10)</f>
        <v>132330.50838180751</v>
      </c>
      <c r="K1083" s="8">
        <f t="shared" si="16"/>
        <v>901209.50838180748</v>
      </c>
      <c r="L1083">
        <f>IFERROR(VLOOKUP(F1083,'LEAID Match'!$A$2:$B$240,2,FALSE),"")</f>
        <v>0</v>
      </c>
    </row>
    <row r="1084" spans="1:12" x14ac:dyDescent="0.2">
      <c r="A1084">
        <v>0</v>
      </c>
      <c r="B1084">
        <v>2015</v>
      </c>
      <c r="C1084" s="4" t="s">
        <v>231</v>
      </c>
      <c r="D1084" s="4" t="s">
        <v>576</v>
      </c>
      <c r="E1084" s="4" t="s">
        <v>578</v>
      </c>
      <c r="F1084" s="4" t="s">
        <v>190</v>
      </c>
      <c r="G1084" s="8">
        <v>2698871</v>
      </c>
      <c r="I1084" s="16" cm="1">
        <f t="array" ref="I1084">_xlfn.IFS(B1084=2015,G1084/$H$1957,B1084=2016,G1084/$H$1958,B1084=2017,G1084/$H$1959,B1084=2018,G1084/$H$1960,B1084=2019,G1084/$H$1961,B1084=2020,G1084/$H$1962,B1084=2021,G1084/$H$1963,B1084=2022,G1084/$H$1964,B1084=2023,G1084/$H$1965)</f>
        <v>2.0842260432324682E-3</v>
      </c>
      <c r="J1084" s="10" cm="1">
        <f t="array" ref="J1084">_xlfn.IFS(B1084=2015,I1084*$G$2,B1084=2016,I1084*$G$3,B1084=2017,I1084*$G$4,B1084=2018,I1084*$G$5,B1084=2019,I1084*$G$6,B1084=2020,I1084*$G$7,B1084=2021,I1084*$G$8,B1084=2022,I1084*$G$9,B1084=2023,I1084*$G$10)</f>
        <v>518227.33027138223</v>
      </c>
      <c r="K1084" s="8">
        <f t="shared" si="16"/>
        <v>3217098.3302713824</v>
      </c>
      <c r="L1084">
        <f>IFERROR(VLOOKUP(F1084,'LEAID Match'!$A$2:$B$240,2,FALSE),"")</f>
        <v>0</v>
      </c>
    </row>
    <row r="1085" spans="1:12" x14ac:dyDescent="0.2">
      <c r="A1085">
        <v>0</v>
      </c>
      <c r="B1085">
        <v>2016</v>
      </c>
      <c r="C1085" s="4" t="s">
        <v>231</v>
      </c>
      <c r="D1085" s="4" t="s">
        <v>576</v>
      </c>
      <c r="E1085" s="4" t="s">
        <v>578</v>
      </c>
      <c r="F1085" s="4" t="s">
        <v>190</v>
      </c>
      <c r="G1085" s="8">
        <v>3150526</v>
      </c>
      <c r="I1085" s="16" cm="1">
        <f t="array" ref="I1085">_xlfn.IFS(B1085=2015,G1085/$H$1957,B1085=2016,G1085/$H$1958,B1085=2017,G1085/$H$1959,B1085=2018,G1085/$H$1960,B1085=2019,G1085/$H$1961,B1085=2020,G1085/$H$1962,B1085=2021,G1085/$H$1963,B1085=2022,G1085/$H$1964,B1085=2023,G1085/$H$1965)</f>
        <v>2.2116679051296323E-3</v>
      </c>
      <c r="J1085" s="10" cm="1">
        <f t="array" ref="J1085">_xlfn.IFS(B1085=2015,I1085*$G$2,B1085=2016,I1085*$G$3,B1085=2017,I1085*$G$4,B1085=2018,I1085*$G$5,B1085=2019,I1085*$G$6,B1085=2020,I1085*$G$7,B1085=2021,I1085*$G$8,B1085=2022,I1085*$G$9,B1085=2023,I1085*$G$10)</f>
        <v>599811.14780830406</v>
      </c>
      <c r="K1085" s="8">
        <f t="shared" si="16"/>
        <v>3750337.1478083041</v>
      </c>
      <c r="L1085">
        <f>IFERROR(VLOOKUP(F1085,'LEAID Match'!$A$2:$B$240,2,FALSE),"")</f>
        <v>0</v>
      </c>
    </row>
    <row r="1086" spans="1:12" x14ac:dyDescent="0.2">
      <c r="A1086">
        <v>0</v>
      </c>
      <c r="B1086">
        <v>2017</v>
      </c>
      <c r="C1086" s="4" t="s">
        <v>231</v>
      </c>
      <c r="D1086" s="4" t="s">
        <v>576</v>
      </c>
      <c r="E1086" s="4" t="s">
        <v>578</v>
      </c>
      <c r="F1086" s="4" t="s">
        <v>190</v>
      </c>
      <c r="G1086" s="8">
        <v>1473006</v>
      </c>
      <c r="I1086" s="16" cm="1">
        <f t="array" ref="I1086">_xlfn.IFS(B1086=2015,G1086/$H$1957,B1086=2016,G1086/$H$1958,B1086=2017,G1086/$H$1959,B1086=2018,G1086/$H$1960,B1086=2019,G1086/$H$1961,B1086=2020,G1086/$H$1962,B1086=2021,G1086/$H$1963,B1086=2022,G1086/$H$1964,B1086=2023,G1086/$H$1965)</f>
        <v>1.9653034703987849E-3</v>
      </c>
      <c r="J1086" s="10" cm="1">
        <f t="array" ref="J1086">_xlfn.IFS(B1086=2015,I1086*$G$2,B1086=2016,I1086*$G$3,B1086=2017,I1086*$G$4,B1086=2018,I1086*$G$5,B1086=2019,I1086*$G$6,B1086=2020,I1086*$G$7,B1086=2021,I1086*$G$8,B1086=2022,I1086*$G$9,B1086=2023,I1086*$G$10)</f>
        <v>291035.08335061156</v>
      </c>
      <c r="K1086" s="8">
        <f t="shared" si="16"/>
        <v>1764041.0833506116</v>
      </c>
      <c r="L1086">
        <f>IFERROR(VLOOKUP(F1086,'LEAID Match'!$A$2:$B$240,2,FALSE),"")</f>
        <v>0</v>
      </c>
    </row>
    <row r="1087" spans="1:12" x14ac:dyDescent="0.2">
      <c r="A1087">
        <v>0</v>
      </c>
      <c r="B1087">
        <v>2018</v>
      </c>
      <c r="C1087" s="4" t="s">
        <v>231</v>
      </c>
      <c r="D1087" s="4" t="s">
        <v>576</v>
      </c>
      <c r="E1087" s="4" t="s">
        <v>578</v>
      </c>
      <c r="F1087" s="4" t="s">
        <v>190</v>
      </c>
      <c r="G1087" s="8">
        <v>1414436</v>
      </c>
      <c r="I1087" s="16" cm="1">
        <f t="array" ref="I1087">_xlfn.IFS(B1087=2015,G1087/$H$1957,B1087=2016,G1087/$H$1958,B1087=2017,G1087/$H$1959,B1087=2018,G1087/$H$1960,B1087=2019,G1087/$H$1961,B1087=2020,G1087/$H$1962,B1087=2021,G1087/$H$1963,B1087=2022,G1087/$H$1964,B1087=2023,G1087/$H$1965)</f>
        <v>1.8199695783563609E-3</v>
      </c>
      <c r="J1087" s="10" cm="1">
        <f t="array" ref="J1087">_xlfn.IFS(B1087=2015,I1087*$G$2,B1087=2016,I1087*$G$3,B1087=2017,I1087*$G$4,B1087=2018,I1087*$G$5,B1087=2019,I1087*$G$6,B1087=2020,I1087*$G$7,B1087=2021,I1087*$G$8,B1087=2022,I1087*$G$9,B1087=2023,I1087*$G$10)</f>
        <v>273948.9624948249</v>
      </c>
      <c r="K1087" s="8">
        <f t="shared" si="16"/>
        <v>1688384.962494825</v>
      </c>
      <c r="L1087">
        <f>IFERROR(VLOOKUP(F1087,'LEAID Match'!$A$2:$B$240,2,FALSE),"")</f>
        <v>0</v>
      </c>
    </row>
    <row r="1088" spans="1:12" x14ac:dyDescent="0.2">
      <c r="A1088">
        <v>0</v>
      </c>
      <c r="B1088">
        <v>2019</v>
      </c>
      <c r="C1088" s="4" t="s">
        <v>231</v>
      </c>
      <c r="D1088" s="4" t="s">
        <v>576</v>
      </c>
      <c r="E1088" s="4" t="s">
        <v>578</v>
      </c>
      <c r="F1088" s="4" t="s">
        <v>190</v>
      </c>
      <c r="G1088" s="8">
        <v>1488791</v>
      </c>
      <c r="I1088" s="16" cm="1">
        <f t="array" ref="I1088">_xlfn.IFS(B1088=2015,G1088/$H$1957,B1088=2016,G1088/$H$1958,B1088=2017,G1088/$H$1959,B1088=2018,G1088/$H$1960,B1088=2019,G1088/$H$1961,B1088=2020,G1088/$H$1962,B1088=2021,G1088/$H$1963,B1088=2022,G1088/$H$1964,B1088=2023,G1088/$H$1965)</f>
        <v>1.850264469115847E-3</v>
      </c>
      <c r="J1088" s="10" cm="1">
        <f t="array" ref="J1088">_xlfn.IFS(B1088=2015,I1088*$G$2,B1088=2016,I1088*$G$3,B1088=2017,I1088*$G$4,B1088=2018,I1088*$G$5,B1088=2019,I1088*$G$6,B1088=2020,I1088*$G$7,B1088=2021,I1088*$G$8,B1088=2022,I1088*$G$9,B1088=2023,I1088*$G$10)</f>
        <v>292393.81925770431</v>
      </c>
      <c r="K1088" s="8">
        <f t="shared" si="16"/>
        <v>1781184.8192577043</v>
      </c>
      <c r="L1088">
        <f>IFERROR(VLOOKUP(F1088,'LEAID Match'!$A$2:$B$240,2,FALSE),"")</f>
        <v>0</v>
      </c>
    </row>
    <row r="1089" spans="1:12" x14ac:dyDescent="0.2">
      <c r="A1089">
        <v>0</v>
      </c>
      <c r="B1089">
        <v>2020</v>
      </c>
      <c r="C1089" s="4" t="s">
        <v>231</v>
      </c>
      <c r="D1089" s="4" t="s">
        <v>576</v>
      </c>
      <c r="E1089" s="4" t="s">
        <v>578</v>
      </c>
      <c r="F1089" s="4" t="s">
        <v>190</v>
      </c>
      <c r="G1089" s="8">
        <v>1491889</v>
      </c>
      <c r="I1089" s="16" cm="1">
        <f t="array" ref="I1089">_xlfn.IFS(B1089=2015,G1089/$H$1957,B1089=2016,G1089/$H$1958,B1089=2017,G1089/$H$1959,B1089=2018,G1089/$H$1960,B1089=2019,G1089/$H$1961,B1089=2020,G1089/$H$1962,B1089=2021,G1089/$H$1963,B1089=2022,G1089/$H$1964,B1089=2023,G1089/$H$1965)</f>
        <v>1.7159160892742044E-3</v>
      </c>
      <c r="J1089" s="10" cm="1">
        <f t="array" ref="J1089">_xlfn.IFS(B1089=2015,I1089*$G$2,B1089=2016,I1089*$G$3,B1089=2017,I1089*$G$4,B1089=2018,I1089*$G$5,B1089=2019,I1089*$G$6,B1089=2020,I1089*$G$7,B1089=2021,I1089*$G$8,B1089=2022,I1089*$G$9,B1089=2023,I1089*$G$10)</f>
        <v>296311.07207312126</v>
      </c>
      <c r="K1089" s="8">
        <f t="shared" si="16"/>
        <v>1788200.0720731213</v>
      </c>
      <c r="L1089">
        <f>IFERROR(VLOOKUP(F1089,'LEAID Match'!$A$2:$B$240,2,FALSE),"")</f>
        <v>0</v>
      </c>
    </row>
    <row r="1090" spans="1:12" x14ac:dyDescent="0.2">
      <c r="A1090">
        <v>0</v>
      </c>
      <c r="B1090">
        <v>2021</v>
      </c>
      <c r="C1090" s="4" t="s">
        <v>231</v>
      </c>
      <c r="D1090" s="4" t="s">
        <v>576</v>
      </c>
      <c r="E1090" s="4" t="s">
        <v>578</v>
      </c>
      <c r="F1090" s="4" t="s">
        <v>190</v>
      </c>
      <c r="G1090" s="8">
        <v>1596760</v>
      </c>
      <c r="I1090" s="16" cm="1">
        <f t="array" ref="I1090">_xlfn.IFS(B1090=2015,G1090/$H$1957,B1090=2016,G1090/$H$1958,B1090=2017,G1090/$H$1959,B1090=2018,G1090/$H$1960,B1090=2019,G1090/$H$1961,B1090=2020,G1090/$H$1962,B1090=2021,G1090/$H$1963,B1090=2022,G1090/$H$1964,B1090=2023,G1090/$H$1965)</f>
        <v>1.8247691705168645E-3</v>
      </c>
      <c r="J1090" s="10" cm="1">
        <f t="array" ref="J1090">_xlfn.IFS(B1090=2015,I1090*$G$2,B1090=2016,I1090*$G$3,B1090=2017,I1090*$G$4,B1090=2018,I1090*$G$5,B1090=2019,I1090*$G$6,B1090=2020,I1090*$G$7,B1090=2021,I1090*$G$8,B1090=2022,I1090*$G$9,B1090=2023,I1090*$G$10)</f>
        <v>313161.11147444876</v>
      </c>
      <c r="K1090" s="8">
        <f t="shared" si="16"/>
        <v>1909921.1114744488</v>
      </c>
      <c r="L1090">
        <f>IFERROR(VLOOKUP(F1090,'LEAID Match'!$A$2:$B$240,2,FALSE),"")</f>
        <v>0</v>
      </c>
    </row>
    <row r="1091" spans="1:12" x14ac:dyDescent="0.2">
      <c r="A1091">
        <v>0</v>
      </c>
      <c r="B1091">
        <v>2022</v>
      </c>
      <c r="C1091" s="4" t="s">
        <v>231</v>
      </c>
      <c r="D1091" s="4" t="s">
        <v>576</v>
      </c>
      <c r="E1091" s="4" t="s">
        <v>578</v>
      </c>
      <c r="F1091" s="4" t="s">
        <v>190</v>
      </c>
      <c r="G1091" s="8">
        <v>1725841</v>
      </c>
      <c r="I1091" s="16" cm="1">
        <f t="array" ref="I1091">_xlfn.IFS(B1091=2015,G1091/$H$1957,B1091=2016,G1091/$H$1958,B1091=2017,G1091/$H$1959,B1091=2018,G1091/$H$1960,B1091=2019,G1091/$H$1961,B1091=2020,G1091/$H$1962,B1091=2021,G1091/$H$1963,B1091=2022,G1091/$H$1964,B1091=2023,G1091/$H$1965)</f>
        <v>1.8549378899207446E-3</v>
      </c>
      <c r="J1091" s="10" cm="1">
        <f t="array" ref="J1091">_xlfn.IFS(B1091=2015,I1091*$G$2,B1091=2016,I1091*$G$3,B1091=2017,I1091*$G$4,B1091=2018,I1091*$G$5,B1091=2019,I1091*$G$6,B1091=2020,I1091*$G$7,B1091=2021,I1091*$G$8,B1091=2022,I1091*$G$9,B1091=2023,I1091*$G$10)</f>
        <v>314570.84591690003</v>
      </c>
      <c r="K1091" s="8">
        <f t="shared" si="16"/>
        <v>2040411.8459169001</v>
      </c>
      <c r="L1091">
        <f>IFERROR(VLOOKUP(F1091,'LEAID Match'!$A$2:$B$240,2,FALSE),"")</f>
        <v>0</v>
      </c>
    </row>
    <row r="1092" spans="1:12" x14ac:dyDescent="0.2">
      <c r="A1092">
        <v>0</v>
      </c>
      <c r="B1092">
        <v>2023</v>
      </c>
      <c r="C1092" s="4" t="s">
        <v>231</v>
      </c>
      <c r="D1092" s="4" t="s">
        <v>576</v>
      </c>
      <c r="E1092" s="4" t="s">
        <v>578</v>
      </c>
      <c r="F1092" s="4" t="s">
        <v>190</v>
      </c>
      <c r="G1092" s="8">
        <v>1675140</v>
      </c>
      <c r="I1092" s="16" cm="1">
        <f t="array" ref="I1092">_xlfn.IFS(B1092=2015,G1092/$H$1957,B1092=2016,G1092/$H$1958,B1092=2017,G1092/$H$1959,B1092=2018,G1092/$H$1960,B1092=2019,G1092/$H$1961,B1092=2020,G1092/$H$1962,B1092=2021,G1092/$H$1963,B1092=2022,G1092/$H$1964,B1092=2023,G1092/$H$1965)</f>
        <v>1.6960618128945054E-3</v>
      </c>
      <c r="J1092" s="10" cm="1">
        <f t="array" ref="J1092">_xlfn.IFS(B1092=2015,I1092*$G$2,B1092=2016,I1092*$G$3,B1092=2017,I1092*$G$4,B1092=2018,I1092*$G$5,B1092=2019,I1092*$G$6,B1092=2020,I1092*$G$7,B1092=2021,I1092*$G$8,B1092=2022,I1092*$G$9,B1092=2023,I1092*$G$10)</f>
        <v>288305.60830859083</v>
      </c>
      <c r="K1092" s="8">
        <f t="shared" si="16"/>
        <v>1963445.6083085909</v>
      </c>
      <c r="L1092">
        <f>IFERROR(VLOOKUP(F1092,'LEAID Match'!$A$2:$B$240,2,FALSE),"")</f>
        <v>0</v>
      </c>
    </row>
    <row r="1093" spans="1:12" x14ac:dyDescent="0.2">
      <c r="A1093">
        <v>0</v>
      </c>
      <c r="B1093">
        <v>2016</v>
      </c>
      <c r="C1093" s="4" t="s">
        <v>397</v>
      </c>
      <c r="D1093" s="4" t="s">
        <v>576</v>
      </c>
      <c r="E1093" s="4" t="s">
        <v>578</v>
      </c>
      <c r="F1093" s="4" t="s">
        <v>395</v>
      </c>
      <c r="G1093" s="8">
        <v>5780</v>
      </c>
      <c r="I1093" s="16" cm="1">
        <f t="array" ref="I1093">_xlfn.IFS(B1093=2015,G1093/$H$1957,B1093=2016,G1093/$H$1958,B1093=2017,G1093/$H$1959,B1093=2018,G1093/$H$1960,B1093=2019,G1093/$H$1961,B1093=2020,G1093/$H$1962,B1093=2021,G1093/$H$1963,B1093=2022,G1093/$H$1964,B1093=2023,G1093/$H$1965)</f>
        <v>4.0575575290123856E-6</v>
      </c>
      <c r="J1093" s="10" cm="1">
        <f t="array" ref="J1093">_xlfn.IFS(B1093=2015,I1093*$G$2,B1093=2016,I1093*$G$3,B1093=2017,I1093*$G$4,B1093=2018,I1093*$G$5,B1093=2019,I1093*$G$6,B1093=2020,I1093*$G$7,B1093=2021,I1093*$G$8,B1093=2022,I1093*$G$9,B1093=2023,I1093*$G$10)</f>
        <v>1100.4220991453483</v>
      </c>
      <c r="K1093" s="8">
        <f t="shared" si="16"/>
        <v>6880.4220991453485</v>
      </c>
      <c r="L1093">
        <f>IFERROR(VLOOKUP(F1093,'LEAID Match'!$A$2:$B$240,2,FALSE),"")</f>
        <v>0</v>
      </c>
    </row>
    <row r="1094" spans="1:12" x14ac:dyDescent="0.2">
      <c r="A1094">
        <v>0</v>
      </c>
      <c r="B1094">
        <v>2017</v>
      </c>
      <c r="C1094" s="4" t="s">
        <v>397</v>
      </c>
      <c r="D1094" s="4" t="s">
        <v>576</v>
      </c>
      <c r="E1094" s="4" t="s">
        <v>578</v>
      </c>
      <c r="F1094" s="4" t="s">
        <v>395</v>
      </c>
      <c r="G1094" s="8">
        <v>6071</v>
      </c>
      <c r="I1094" s="16" cm="1">
        <f t="array" ref="I1094">_xlfn.IFS(B1094=2015,G1094/$H$1957,B1094=2016,G1094/$H$1958,B1094=2017,G1094/$H$1959,B1094=2018,G1094/$H$1960,B1094=2019,G1094/$H$1961,B1094=2020,G1094/$H$1962,B1094=2021,G1094/$H$1963,B1094=2022,G1094/$H$1964,B1094=2023,G1094/$H$1965)</f>
        <v>8.1000059529907032E-6</v>
      </c>
      <c r="J1094" s="10" cm="1">
        <f t="array" ref="J1094">_xlfn.IFS(B1094=2015,I1094*$G$2,B1094=2016,I1094*$G$3,B1094=2017,I1094*$G$4,B1094=2018,I1094*$G$5,B1094=2019,I1094*$G$6,B1094=2020,I1094*$G$7,B1094=2021,I1094*$G$8,B1094=2022,I1094*$G$9,B1094=2023,I1094*$G$10)</f>
        <v>1199.5022362580758</v>
      </c>
      <c r="K1094" s="8">
        <f t="shared" si="16"/>
        <v>7270.5022362580758</v>
      </c>
      <c r="L1094">
        <f>IFERROR(VLOOKUP(F1094,'LEAID Match'!$A$2:$B$240,2,FALSE),"")</f>
        <v>0</v>
      </c>
    </row>
    <row r="1095" spans="1:12" x14ac:dyDescent="0.2">
      <c r="A1095">
        <v>0</v>
      </c>
      <c r="B1095">
        <v>2018</v>
      </c>
      <c r="C1095" s="4" t="s">
        <v>397</v>
      </c>
      <c r="D1095" s="4" t="s">
        <v>576</v>
      </c>
      <c r="E1095" s="4" t="s">
        <v>578</v>
      </c>
      <c r="F1095" s="4" t="s">
        <v>395</v>
      </c>
      <c r="G1095" s="8">
        <v>6286</v>
      </c>
      <c r="I1095" s="16" cm="1">
        <f t="array" ref="I1095">_xlfn.IFS(B1095=2015,G1095/$H$1957,B1095=2016,G1095/$H$1958,B1095=2017,G1095/$H$1959,B1095=2018,G1095/$H$1960,B1095=2019,G1095/$H$1961,B1095=2020,G1095/$H$1962,B1095=2021,G1095/$H$1963,B1095=2022,G1095/$H$1964,B1095=2023,G1095/$H$1965)</f>
        <v>8.0882618722572701E-6</v>
      </c>
      <c r="J1095" s="10" cm="1">
        <f t="array" ref="J1095">_xlfn.IFS(B1095=2015,I1095*$G$2,B1095=2016,I1095*$G$3,B1095=2017,I1095*$G$4,B1095=2018,I1095*$G$5,B1095=2019,I1095*$G$6,B1095=2020,I1095*$G$7,B1095=2021,I1095*$G$8,B1095=2022,I1095*$G$9,B1095=2023,I1095*$G$10)</f>
        <v>1217.4769153517511</v>
      </c>
      <c r="K1095" s="8">
        <f t="shared" si="16"/>
        <v>7503.4769153517509</v>
      </c>
      <c r="L1095">
        <f>IFERROR(VLOOKUP(F1095,'LEAID Match'!$A$2:$B$240,2,FALSE),"")</f>
        <v>0</v>
      </c>
    </row>
    <row r="1096" spans="1:12" x14ac:dyDescent="0.2">
      <c r="A1096">
        <v>0</v>
      </c>
      <c r="B1096">
        <v>2019</v>
      </c>
      <c r="C1096" s="4" t="s">
        <v>397</v>
      </c>
      <c r="D1096" s="4" t="s">
        <v>576</v>
      </c>
      <c r="E1096" s="4" t="s">
        <v>578</v>
      </c>
      <c r="F1096" s="4" t="s">
        <v>395</v>
      </c>
      <c r="G1096" s="8">
        <v>6536</v>
      </c>
      <c r="I1096" s="16" cm="1">
        <f t="array" ref="I1096">_xlfn.IFS(B1096=2015,G1096/$H$1957,B1096=2016,G1096/$H$1958,B1096=2017,G1096/$H$1959,B1096=2018,G1096/$H$1960,B1096=2019,G1096/$H$1961,B1096=2020,G1096/$H$1962,B1096=2021,G1096/$H$1963,B1096=2022,G1096/$H$1964,B1096=2023,G1096/$H$1965)</f>
        <v>8.1229189121516568E-6</v>
      </c>
      <c r="J1096" s="10" cm="1">
        <f t="array" ref="J1096">_xlfn.IFS(B1096=2015,I1096*$G$2,B1096=2016,I1096*$G$3,B1096=2017,I1096*$G$4,B1096=2018,I1096*$G$5,B1096=2019,I1096*$G$6,B1096=2020,I1096*$G$7,B1096=2021,I1096*$G$8,B1096=2022,I1096*$G$9,B1096=2023,I1096*$G$10)</f>
        <v>1283.6496208456092</v>
      </c>
      <c r="K1096" s="8">
        <f t="shared" si="16"/>
        <v>7819.6496208456092</v>
      </c>
      <c r="L1096">
        <f>IFERROR(VLOOKUP(F1096,'LEAID Match'!$A$2:$B$240,2,FALSE),"")</f>
        <v>0</v>
      </c>
    </row>
    <row r="1097" spans="1:12" x14ac:dyDescent="0.2">
      <c r="A1097">
        <v>0</v>
      </c>
      <c r="B1097">
        <v>2020</v>
      </c>
      <c r="C1097" s="4" t="s">
        <v>397</v>
      </c>
      <c r="D1097" s="4" t="s">
        <v>576</v>
      </c>
      <c r="E1097" s="4" t="s">
        <v>578</v>
      </c>
      <c r="F1097" s="4" t="s">
        <v>395</v>
      </c>
      <c r="G1097" s="8">
        <v>7166</v>
      </c>
      <c r="I1097" s="16" cm="1">
        <f t="array" ref="I1097">_xlfn.IFS(B1097=2015,G1097/$H$1957,B1097=2016,G1097/$H$1958,B1097=2017,G1097/$H$1959,B1097=2018,G1097/$H$1960,B1097=2019,G1097/$H$1961,B1097=2020,G1097/$H$1962,B1097=2021,G1097/$H$1963,B1097=2022,G1097/$H$1964,B1097=2023,G1097/$H$1965)</f>
        <v>8.2420707544186933E-6</v>
      </c>
      <c r="J1097" s="10" cm="1">
        <f t="array" ref="J1097">_xlfn.IFS(B1097=2015,I1097*$G$2,B1097=2016,I1097*$G$3,B1097=2017,I1097*$G$4,B1097=2018,I1097*$G$5,B1097=2019,I1097*$G$6,B1097=2020,I1097*$G$7,B1097=2021,I1097*$G$8,B1097=2022,I1097*$G$9,B1097=2023,I1097*$G$10)</f>
        <v>1423.2728724965377</v>
      </c>
      <c r="K1097" s="8">
        <f t="shared" si="16"/>
        <v>8589.2728724965382</v>
      </c>
      <c r="L1097">
        <f>IFERROR(VLOOKUP(F1097,'LEAID Match'!$A$2:$B$240,2,FALSE),"")</f>
        <v>0</v>
      </c>
    </row>
    <row r="1098" spans="1:12" x14ac:dyDescent="0.2">
      <c r="A1098">
        <v>0</v>
      </c>
      <c r="B1098">
        <v>2021</v>
      </c>
      <c r="C1098" s="4" t="s">
        <v>397</v>
      </c>
      <c r="D1098" s="4" t="s">
        <v>576</v>
      </c>
      <c r="E1098" s="4" t="s">
        <v>578</v>
      </c>
      <c r="F1098" s="4" t="s">
        <v>395</v>
      </c>
      <c r="G1098" s="8">
        <v>7485</v>
      </c>
      <c r="I1098" s="16" cm="1">
        <f t="array" ref="I1098">_xlfn.IFS(B1098=2015,G1098/$H$1957,B1098=2016,G1098/$H$1958,B1098=2017,G1098/$H$1959,B1098=2018,G1098/$H$1960,B1098=2019,G1098/$H$1961,B1098=2020,G1098/$H$1962,B1098=2021,G1098/$H$1963,B1098=2022,G1098/$H$1964,B1098=2023,G1098/$H$1965)</f>
        <v>8.5538197608399076E-6</v>
      </c>
      <c r="J1098" s="10" cm="1">
        <f t="array" ref="J1098">_xlfn.IFS(B1098=2015,I1098*$G$2,B1098=2016,I1098*$G$3,B1098=2017,I1098*$G$4,B1098=2018,I1098*$G$5,B1098=2019,I1098*$G$6,B1098=2020,I1098*$G$7,B1098=2021,I1098*$G$8,B1098=2022,I1098*$G$9,B1098=2023,I1098*$G$10)</f>
        <v>1467.9794830696217</v>
      </c>
      <c r="K1098" s="8">
        <f t="shared" si="16"/>
        <v>8952.979483069621</v>
      </c>
      <c r="L1098">
        <f>IFERROR(VLOOKUP(F1098,'LEAID Match'!$A$2:$B$240,2,FALSE),"")</f>
        <v>0</v>
      </c>
    </row>
    <row r="1099" spans="1:12" x14ac:dyDescent="0.2">
      <c r="A1099">
        <v>0</v>
      </c>
      <c r="B1099">
        <v>2022</v>
      </c>
      <c r="C1099" s="4" t="s">
        <v>397</v>
      </c>
      <c r="D1099" s="4" t="s">
        <v>576</v>
      </c>
      <c r="E1099" s="4" t="s">
        <v>578</v>
      </c>
      <c r="F1099" s="4" t="s">
        <v>395</v>
      </c>
      <c r="G1099" s="8">
        <v>7919</v>
      </c>
      <c r="I1099" s="16" cm="1">
        <f t="array" ref="I1099">_xlfn.IFS(B1099=2015,G1099/$H$1957,B1099=2016,G1099/$H$1958,B1099=2017,G1099/$H$1959,B1099=2018,G1099/$H$1960,B1099=2019,G1099/$H$1961,B1099=2020,G1099/$H$1962,B1099=2021,G1099/$H$1963,B1099=2022,G1099/$H$1964,B1099=2023,G1099/$H$1965)</f>
        <v>8.511359476500081E-6</v>
      </c>
      <c r="J1099" s="10" cm="1">
        <f t="array" ref="J1099">_xlfn.IFS(B1099=2015,I1099*$G$2,B1099=2016,I1099*$G$3,B1099=2017,I1099*$G$4,B1099=2018,I1099*$G$5,B1099=2019,I1099*$G$6,B1099=2020,I1099*$G$7,B1099=2021,I1099*$G$8,B1099=2022,I1099*$G$9,B1099=2023,I1099*$G$10)</f>
        <v>1443.4044206945664</v>
      </c>
      <c r="K1099" s="8">
        <f t="shared" si="16"/>
        <v>9362.4044206945655</v>
      </c>
      <c r="L1099">
        <f>IFERROR(VLOOKUP(F1099,'LEAID Match'!$A$2:$B$240,2,FALSE),"")</f>
        <v>0</v>
      </c>
    </row>
    <row r="1100" spans="1:12" x14ac:dyDescent="0.2">
      <c r="A1100">
        <v>0</v>
      </c>
      <c r="B1100">
        <v>2023</v>
      </c>
      <c r="C1100" s="4" t="s">
        <v>397</v>
      </c>
      <c r="D1100" s="4" t="s">
        <v>576</v>
      </c>
      <c r="E1100" s="4" t="s">
        <v>578</v>
      </c>
      <c r="F1100" s="4" t="s">
        <v>395</v>
      </c>
      <c r="G1100" s="8">
        <v>8770</v>
      </c>
      <c r="I1100" s="16" cm="1">
        <f t="array" ref="I1100">_xlfn.IFS(B1100=2015,G1100/$H$1957,B1100=2016,G1100/$H$1958,B1100=2017,G1100/$H$1959,B1100=2018,G1100/$H$1960,B1100=2019,G1100/$H$1961,B1100=2020,G1100/$H$1962,B1100=2021,G1100/$H$1963,B1100=2022,G1100/$H$1964,B1100=2023,G1100/$H$1965)</f>
        <v>8.8795337100688976E-6</v>
      </c>
      <c r="J1100" s="10" cm="1">
        <f t="array" ref="J1100">_xlfn.IFS(B1100=2015,I1100*$G$2,B1100=2016,I1100*$G$3,B1100=2017,I1100*$G$4,B1100=2018,I1100*$G$5,B1100=2019,I1100*$G$6,B1100=2020,I1100*$G$7,B1100=2021,I1100*$G$8,B1100=2022,I1100*$G$9,B1100=2023,I1100*$G$10)</f>
        <v>1509.390370277315</v>
      </c>
      <c r="K1100" s="8">
        <f t="shared" ref="K1100:K1163" si="17">SUM(G1100,J1100)</f>
        <v>10279.390370277315</v>
      </c>
      <c r="L1100">
        <f>IFERROR(VLOOKUP(F1100,'LEAID Match'!$A$2:$B$240,2,FALSE),"")</f>
        <v>0</v>
      </c>
    </row>
    <row r="1101" spans="1:12" x14ac:dyDescent="0.2">
      <c r="A1101">
        <v>0</v>
      </c>
      <c r="B1101">
        <v>2015</v>
      </c>
      <c r="C1101" s="4" t="s">
        <v>232</v>
      </c>
      <c r="D1101" s="4" t="s">
        <v>576</v>
      </c>
      <c r="E1101" s="4" t="s">
        <v>578</v>
      </c>
      <c r="F1101" s="4" t="s">
        <v>191</v>
      </c>
      <c r="G1101" s="8">
        <v>1088031</v>
      </c>
      <c r="I1101" s="16" cm="1">
        <f t="array" ref="I1101">_xlfn.IFS(B1101=2015,G1101/$H$1957,B1101=2016,G1101/$H$1958,B1101=2017,G1101/$H$1959,B1101=2018,G1101/$H$1960,B1101=2019,G1101/$H$1961,B1101=2020,G1101/$H$1962,B1101=2021,G1101/$H$1963,B1101=2022,G1101/$H$1964,B1101=2023,G1101/$H$1965)</f>
        <v>8.4024117716047404E-4</v>
      </c>
      <c r="J1101" s="10" cm="1">
        <f t="array" ref="J1101">_xlfn.IFS(B1101=2015,I1101*$G$2,B1101=2016,I1101*$G$3,B1101=2017,I1101*$G$4,B1101=2018,I1101*$G$5,B1101=2019,I1101*$G$6,B1101=2020,I1101*$G$7,B1101=2021,I1101*$G$8,B1101=2022,I1101*$G$9,B1101=2023,I1101*$G$10)</f>
        <v>208919.72991021146</v>
      </c>
      <c r="K1101" s="8">
        <f t="shared" si="17"/>
        <v>1296950.7299102114</v>
      </c>
      <c r="L1101">
        <f>IFERROR(VLOOKUP(F1101,'LEAID Match'!$A$2:$B$240,2,FALSE),"")</f>
        <v>0</v>
      </c>
    </row>
    <row r="1102" spans="1:12" x14ac:dyDescent="0.2">
      <c r="A1102">
        <v>0</v>
      </c>
      <c r="B1102">
        <v>2016</v>
      </c>
      <c r="C1102" s="4" t="s">
        <v>232</v>
      </c>
      <c r="D1102" s="4" t="s">
        <v>576</v>
      </c>
      <c r="E1102" s="4" t="s">
        <v>578</v>
      </c>
      <c r="F1102" s="4" t="s">
        <v>191</v>
      </c>
      <c r="G1102" s="8">
        <v>1078414</v>
      </c>
      <c r="I1102" s="16" cm="1">
        <f t="array" ref="I1102">_xlfn.IFS(B1102=2015,G1102/$H$1957,B1102=2016,G1102/$H$1958,B1102=2017,G1102/$H$1959,B1102=2018,G1102/$H$1960,B1102=2019,G1102/$H$1961,B1102=2020,G1102/$H$1962,B1102=2021,G1102/$H$1963,B1102=2022,G1102/$H$1964,B1102=2023,G1102/$H$1965)</f>
        <v>7.5704616697099708E-4</v>
      </c>
      <c r="J1102" s="10" cm="1">
        <f t="array" ref="J1102">_xlfn.IFS(B1102=2015,I1102*$G$2,B1102=2016,I1102*$G$3,B1102=2017,I1102*$G$4,B1102=2018,I1102*$G$5,B1102=2019,I1102*$G$6,B1102=2020,I1102*$G$7,B1102=2021,I1102*$G$8,B1102=2022,I1102*$G$9,B1102=2023,I1102*$G$10)</f>
        <v>205313.25218472868</v>
      </c>
      <c r="K1102" s="8">
        <f t="shared" si="17"/>
        <v>1283727.2521847286</v>
      </c>
      <c r="L1102">
        <f>IFERROR(VLOOKUP(F1102,'LEAID Match'!$A$2:$B$240,2,FALSE),"")</f>
        <v>0</v>
      </c>
    </row>
    <row r="1103" spans="1:12" x14ac:dyDescent="0.2">
      <c r="A1103">
        <v>0</v>
      </c>
      <c r="B1103">
        <v>2017</v>
      </c>
      <c r="C1103" s="4" t="s">
        <v>232</v>
      </c>
      <c r="D1103" s="4" t="s">
        <v>576</v>
      </c>
      <c r="E1103" s="4" t="s">
        <v>578</v>
      </c>
      <c r="F1103" s="4" t="s">
        <v>191</v>
      </c>
      <c r="G1103" s="8">
        <v>530889</v>
      </c>
      <c r="I1103" s="16" cm="1">
        <f t="array" ref="I1103">_xlfn.IFS(B1103=2015,G1103/$H$1957,B1103=2016,G1103/$H$1958,B1103=2017,G1103/$H$1959,B1103=2018,G1103/$H$1960,B1103=2019,G1103/$H$1961,B1103=2020,G1103/$H$1962,B1103=2021,G1103/$H$1963,B1103=2022,G1103/$H$1964,B1103=2023,G1103/$H$1965)</f>
        <v>7.0831890304353176E-4</v>
      </c>
      <c r="J1103" s="10" cm="1">
        <f t="array" ref="J1103">_xlfn.IFS(B1103=2015,I1103*$G$2,B1103=2016,I1103*$G$3,B1103=2017,I1103*$G$4,B1103=2018,I1103*$G$5,B1103=2019,I1103*$G$6,B1103=2020,I1103*$G$7,B1103=2021,I1103*$G$8,B1103=2022,I1103*$G$9,B1103=2023,I1103*$G$10)</f>
        <v>104892.52885930052</v>
      </c>
      <c r="K1103" s="8">
        <f t="shared" si="17"/>
        <v>635781.52885930054</v>
      </c>
      <c r="L1103">
        <f>IFERROR(VLOOKUP(F1103,'LEAID Match'!$A$2:$B$240,2,FALSE),"")</f>
        <v>0</v>
      </c>
    </row>
    <row r="1104" spans="1:12" x14ac:dyDescent="0.2">
      <c r="A1104">
        <v>0</v>
      </c>
      <c r="B1104">
        <v>2018</v>
      </c>
      <c r="C1104" s="4" t="s">
        <v>232</v>
      </c>
      <c r="D1104" s="4" t="s">
        <v>576</v>
      </c>
      <c r="E1104" s="4" t="s">
        <v>578</v>
      </c>
      <c r="F1104" s="4" t="s">
        <v>191</v>
      </c>
      <c r="G1104" s="8">
        <v>537992</v>
      </c>
      <c r="I1104" s="16" cm="1">
        <f t="array" ref="I1104">_xlfn.IFS(B1104=2015,G1104/$H$1957,B1104=2016,G1104/$H$1958,B1104=2017,G1104/$H$1959,B1104=2018,G1104/$H$1960,B1104=2019,G1104/$H$1961,B1104=2020,G1104/$H$1962,B1104=2021,G1104/$H$1963,B1104=2022,G1104/$H$1964,B1104=2023,G1104/$H$1965)</f>
        <v>6.9223992700913675E-4</v>
      </c>
      <c r="J1104" s="10" cm="1">
        <f t="array" ref="J1104">_xlfn.IFS(B1104=2015,I1104*$G$2,B1104=2016,I1104*$G$3,B1104=2017,I1104*$G$4,B1104=2018,I1104*$G$5,B1104=2019,I1104*$G$6,B1104=2020,I1104*$G$7,B1104=2021,I1104*$G$8,B1104=2022,I1104*$G$9,B1104=2023,I1104*$G$10)</f>
        <v>104198.67016288885</v>
      </c>
      <c r="K1104" s="8">
        <f t="shared" si="17"/>
        <v>642190.67016288883</v>
      </c>
      <c r="L1104">
        <f>IFERROR(VLOOKUP(F1104,'LEAID Match'!$A$2:$B$240,2,FALSE),"")</f>
        <v>0</v>
      </c>
    </row>
    <row r="1105" spans="1:12" x14ac:dyDescent="0.2">
      <c r="A1105">
        <v>0</v>
      </c>
      <c r="B1105">
        <v>2019</v>
      </c>
      <c r="C1105" s="4" t="s">
        <v>232</v>
      </c>
      <c r="D1105" s="4" t="s">
        <v>576</v>
      </c>
      <c r="E1105" s="4" t="s">
        <v>578</v>
      </c>
      <c r="F1105" s="4" t="s">
        <v>191</v>
      </c>
      <c r="G1105" s="8">
        <v>547199</v>
      </c>
      <c r="I1105" s="16" cm="1">
        <f t="array" ref="I1105">_xlfn.IFS(B1105=2015,G1105/$H$1957,B1105=2016,G1105/$H$1958,B1105=2017,G1105/$H$1959,B1105=2018,G1105/$H$1960,B1105=2019,G1105/$H$1961,B1105=2020,G1105/$H$1962,B1105=2021,G1105/$H$1963,B1105=2022,G1105/$H$1964,B1105=2023,G1105/$H$1965)</f>
        <v>6.8005708473232464E-4</v>
      </c>
      <c r="J1105" s="10" cm="1">
        <f t="array" ref="J1105">_xlfn.IFS(B1105=2015,I1105*$G$2,B1105=2016,I1105*$G$3,B1105=2017,I1105*$G$4,B1105=2018,I1105*$G$5,B1105=2019,I1105*$G$6,B1105=2020,I1105*$G$7,B1105=2021,I1105*$G$8,B1105=2022,I1105*$G$9,B1105=2023,I1105*$G$10)</f>
        <v>107468.14395304414</v>
      </c>
      <c r="K1105" s="8">
        <f t="shared" si="17"/>
        <v>654667.1439530442</v>
      </c>
      <c r="L1105">
        <f>IFERROR(VLOOKUP(F1105,'LEAID Match'!$A$2:$B$240,2,FALSE),"")</f>
        <v>0</v>
      </c>
    </row>
    <row r="1106" spans="1:12" x14ac:dyDescent="0.2">
      <c r="A1106">
        <v>0</v>
      </c>
      <c r="B1106">
        <v>2020</v>
      </c>
      <c r="C1106" s="4" t="s">
        <v>232</v>
      </c>
      <c r="D1106" s="4" t="s">
        <v>576</v>
      </c>
      <c r="E1106" s="4" t="s">
        <v>578</v>
      </c>
      <c r="F1106" s="4" t="s">
        <v>191</v>
      </c>
      <c r="G1106" s="8">
        <v>581469</v>
      </c>
      <c r="I1106" s="16" cm="1">
        <f t="array" ref="I1106">_xlfn.IFS(B1106=2015,G1106/$H$1957,B1106=2016,G1106/$H$1958,B1106=2017,G1106/$H$1959,B1106=2018,G1106/$H$1960,B1106=2019,G1106/$H$1961,B1106=2020,G1106/$H$1962,B1106=2021,G1106/$H$1963,B1106=2022,G1106/$H$1964,B1106=2023,G1106/$H$1965)</f>
        <v>6.6878434824184797E-4</v>
      </c>
      <c r="J1106" s="10" cm="1">
        <f t="array" ref="J1106">_xlfn.IFS(B1106=2015,I1106*$G$2,B1106=2016,I1106*$G$3,B1106=2017,I1106*$G$4,B1106=2018,I1106*$G$5,B1106=2019,I1106*$G$6,B1106=2020,I1106*$G$7,B1106=2021,I1106*$G$8,B1106=2022,I1106*$G$9,B1106=2023,I1106*$G$10)</f>
        <v>115488.28550065435</v>
      </c>
      <c r="K1106" s="8">
        <f t="shared" si="17"/>
        <v>696957.28550065437</v>
      </c>
      <c r="L1106">
        <f>IFERROR(VLOOKUP(F1106,'LEAID Match'!$A$2:$B$240,2,FALSE),"")</f>
        <v>0</v>
      </c>
    </row>
    <row r="1107" spans="1:12" x14ac:dyDescent="0.2">
      <c r="A1107">
        <v>0</v>
      </c>
      <c r="B1107">
        <v>2021</v>
      </c>
      <c r="C1107" s="4" t="s">
        <v>232</v>
      </c>
      <c r="D1107" s="4" t="s">
        <v>576</v>
      </c>
      <c r="E1107" s="4" t="s">
        <v>578</v>
      </c>
      <c r="F1107" s="4" t="s">
        <v>191</v>
      </c>
      <c r="G1107" s="8">
        <v>600646</v>
      </c>
      <c r="I1107" s="16" cm="1">
        <f t="array" ref="I1107">_xlfn.IFS(B1107=2015,G1107/$H$1957,B1107=2016,G1107/$H$1958,B1107=2017,G1107/$H$1959,B1107=2018,G1107/$H$1960,B1107=2019,G1107/$H$1961,B1107=2020,G1107/$H$1962,B1107=2021,G1107/$H$1963,B1107=2022,G1107/$H$1964,B1107=2023,G1107/$H$1965)</f>
        <v>6.8641518023639905E-4</v>
      </c>
      <c r="J1107" s="10" cm="1">
        <f t="array" ref="J1107">_xlfn.IFS(B1107=2015,I1107*$G$2,B1107=2016,I1107*$G$3,B1107=2017,I1107*$G$4,B1107=2018,I1107*$G$5,B1107=2019,I1107*$G$6,B1107=2020,I1107*$G$7,B1107=2021,I1107*$G$8,B1107=2022,I1107*$G$9,B1107=2023,I1107*$G$10)</f>
        <v>117800.40141454054</v>
      </c>
      <c r="K1107" s="8">
        <f t="shared" si="17"/>
        <v>718446.4014145406</v>
      </c>
      <c r="L1107">
        <f>IFERROR(VLOOKUP(F1107,'LEAID Match'!$A$2:$B$240,2,FALSE),"")</f>
        <v>0</v>
      </c>
    </row>
    <row r="1108" spans="1:12" x14ac:dyDescent="0.2">
      <c r="A1108">
        <v>0</v>
      </c>
      <c r="B1108">
        <v>2022</v>
      </c>
      <c r="C1108" s="4" t="s">
        <v>232</v>
      </c>
      <c r="D1108" s="4" t="s">
        <v>576</v>
      </c>
      <c r="E1108" s="4" t="s">
        <v>578</v>
      </c>
      <c r="F1108" s="4" t="s">
        <v>191</v>
      </c>
      <c r="G1108" s="8">
        <v>638591</v>
      </c>
      <c r="I1108" s="16" cm="1">
        <f t="array" ref="I1108">_xlfn.IFS(B1108=2015,G1108/$H$1957,B1108=2016,G1108/$H$1958,B1108=2017,G1108/$H$1959,B1108=2018,G1108/$H$1960,B1108=2019,G1108/$H$1961,B1108=2020,G1108/$H$1962,B1108=2021,G1108/$H$1963,B1108=2022,G1108/$H$1964,B1108=2023,G1108/$H$1965)</f>
        <v>6.8635908062352109E-4</v>
      </c>
      <c r="J1108" s="10" cm="1">
        <f t="array" ref="J1108">_xlfn.IFS(B1108=2015,I1108*$G$2,B1108=2016,I1108*$G$3,B1108=2017,I1108*$G$4,B1108=2018,I1108*$G$5,B1108=2019,I1108*$G$6,B1108=2020,I1108*$G$7,B1108=2021,I1108*$G$8,B1108=2022,I1108*$G$9,B1108=2023,I1108*$G$10)</f>
        <v>116396.65013458315</v>
      </c>
      <c r="K1108" s="8">
        <f t="shared" si="17"/>
        <v>754987.65013458312</v>
      </c>
      <c r="L1108">
        <f>IFERROR(VLOOKUP(F1108,'LEAID Match'!$A$2:$B$240,2,FALSE),"")</f>
        <v>0</v>
      </c>
    </row>
    <row r="1109" spans="1:12" x14ac:dyDescent="0.2">
      <c r="A1109">
        <v>0</v>
      </c>
      <c r="B1109">
        <v>2023</v>
      </c>
      <c r="C1109" s="4" t="s">
        <v>232</v>
      </c>
      <c r="D1109" s="4" t="s">
        <v>576</v>
      </c>
      <c r="E1109" s="4" t="s">
        <v>578</v>
      </c>
      <c r="F1109" s="4" t="s">
        <v>191</v>
      </c>
      <c r="G1109" s="8">
        <v>634022</v>
      </c>
      <c r="I1109" s="16" cm="1">
        <f t="array" ref="I1109">_xlfn.IFS(B1109=2015,G1109/$H$1957,B1109=2016,G1109/$H$1958,B1109=2017,G1109/$H$1959,B1109=2018,G1109/$H$1960,B1109=2019,G1109/$H$1961,B1109=2020,G1109/$H$1962,B1109=2021,G1109/$H$1963,B1109=2022,G1109/$H$1964,B1109=2023,G1109/$H$1965)</f>
        <v>6.4194067524803904E-4</v>
      </c>
      <c r="J1109" s="10" cm="1">
        <f t="array" ref="J1109">_xlfn.IFS(B1109=2015,I1109*$G$2,B1109=2016,I1109*$G$3,B1109=2017,I1109*$G$4,B1109=2018,I1109*$G$5,B1109=2019,I1109*$G$6,B1109=2020,I1109*$G$7,B1109=2021,I1109*$G$8,B1109=2022,I1109*$G$9,B1109=2023,I1109*$G$10)</f>
        <v>109120.49046111332</v>
      </c>
      <c r="K1109" s="8">
        <f t="shared" si="17"/>
        <v>743142.49046111328</v>
      </c>
      <c r="L1109">
        <f>IFERROR(VLOOKUP(F1109,'LEAID Match'!$A$2:$B$240,2,FALSE),"")</f>
        <v>0</v>
      </c>
    </row>
    <row r="1110" spans="1:12" x14ac:dyDescent="0.2">
      <c r="A1110">
        <v>0</v>
      </c>
      <c r="B1110">
        <v>2015</v>
      </c>
      <c r="C1110" s="4" t="s">
        <v>233</v>
      </c>
      <c r="D1110" s="4" t="s">
        <v>576</v>
      </c>
      <c r="E1110" s="4" t="s">
        <v>578</v>
      </c>
      <c r="F1110" s="4" t="s">
        <v>192</v>
      </c>
      <c r="G1110" s="8">
        <v>87101</v>
      </c>
      <c r="I1110" s="16" cm="1">
        <f t="array" ref="I1110">_xlfn.IFS(B1110=2015,G1110/$H$1957,B1110=2016,G1110/$H$1958,B1110=2017,G1110/$H$1959,B1110=2018,G1110/$H$1960,B1110=2019,G1110/$H$1961,B1110=2020,G1110/$H$1962,B1110=2021,G1110/$H$1963,B1110=2022,G1110/$H$1964,B1110=2023,G1110/$H$1965)</f>
        <v>6.7264486739674185E-5</v>
      </c>
      <c r="J1110" s="10" cm="1">
        <f t="array" ref="J1110">_xlfn.IFS(B1110=2015,I1110*$G$2,B1110=2016,I1110*$G$3,B1110=2017,I1110*$G$4,B1110=2018,I1110*$G$5,B1110=2019,I1110*$G$6,B1110=2020,I1110*$G$7,B1110=2021,I1110*$G$8,B1110=2022,I1110*$G$9,B1110=2023,I1110*$G$10)</f>
        <v>16724.815189005945</v>
      </c>
      <c r="K1110" s="8">
        <f t="shared" si="17"/>
        <v>103825.81518900595</v>
      </c>
      <c r="L1110">
        <f>IFERROR(VLOOKUP(F1110,'LEAID Match'!$A$2:$B$240,2,FALSE),"")</f>
        <v>0</v>
      </c>
    </row>
    <row r="1111" spans="1:12" x14ac:dyDescent="0.2">
      <c r="A1111">
        <v>0</v>
      </c>
      <c r="B1111">
        <v>2016</v>
      </c>
      <c r="C1111" s="4" t="s">
        <v>233</v>
      </c>
      <c r="D1111" s="4" t="s">
        <v>576</v>
      </c>
      <c r="E1111" s="4" t="s">
        <v>578</v>
      </c>
      <c r="F1111" s="4" t="s">
        <v>192</v>
      </c>
      <c r="G1111" s="8">
        <v>75425</v>
      </c>
      <c r="I1111" s="16" cm="1">
        <f t="array" ref="I1111">_xlfn.IFS(B1111=2015,G1111/$H$1957,B1111=2016,G1111/$H$1958,B1111=2017,G1111/$H$1959,B1111=2018,G1111/$H$1960,B1111=2019,G1111/$H$1961,B1111=2020,G1111/$H$1962,B1111=2021,G1111/$H$1963,B1111=2022,G1111/$H$1964,B1111=2023,G1111/$H$1965)</f>
        <v>5.2948317755321657E-5</v>
      </c>
      <c r="J1111" s="10" cm="1">
        <f t="array" ref="J1111">_xlfn.IFS(B1111=2015,I1111*$G$2,B1111=2016,I1111*$G$3,B1111=2017,I1111*$G$4,B1111=2018,I1111*$G$5,B1111=2019,I1111*$G$6,B1111=2020,I1111*$G$7,B1111=2021,I1111*$G$8,B1111=2022,I1111*$G$9,B1111=2023,I1111*$G$10)</f>
        <v>14359.74685606192</v>
      </c>
      <c r="K1111" s="8">
        <f t="shared" si="17"/>
        <v>89784.746856061916</v>
      </c>
      <c r="L1111">
        <f>IFERROR(VLOOKUP(F1111,'LEAID Match'!$A$2:$B$240,2,FALSE),"")</f>
        <v>0</v>
      </c>
    </row>
    <row r="1112" spans="1:12" x14ac:dyDescent="0.2">
      <c r="A1112">
        <v>0</v>
      </c>
      <c r="B1112">
        <v>2017</v>
      </c>
      <c r="C1112" s="4" t="s">
        <v>233</v>
      </c>
      <c r="D1112" s="4" t="s">
        <v>576</v>
      </c>
      <c r="E1112" s="4" t="s">
        <v>578</v>
      </c>
      <c r="F1112" s="4" t="s">
        <v>192</v>
      </c>
      <c r="G1112" s="8">
        <v>39038</v>
      </c>
      <c r="I1112" s="16" cm="1">
        <f t="array" ref="I1112">_xlfn.IFS(B1112=2015,G1112/$H$1957,B1112=2016,G1112/$H$1958,B1112=2017,G1112/$H$1959,B1112=2018,G1112/$H$1960,B1112=2019,G1112/$H$1961,B1112=2020,G1112/$H$1962,B1112=2021,G1112/$H$1963,B1112=2022,G1112/$H$1964,B1112=2023,G1112/$H$1965)</f>
        <v>5.2084999570556925E-5</v>
      </c>
      <c r="J1112" s="10" cm="1">
        <f t="array" ref="J1112">_xlfn.IFS(B1112=2015,I1112*$G$2,B1112=2016,I1112*$G$3,B1112=2017,I1112*$G$4,B1112=2018,I1112*$G$5,B1112=2019,I1112*$G$6,B1112=2020,I1112*$G$7,B1112=2021,I1112*$G$8,B1112=2022,I1112*$G$9,B1112=2023,I1112*$G$10)</f>
        <v>7713.0898203002407</v>
      </c>
      <c r="K1112" s="8">
        <f t="shared" si="17"/>
        <v>46751.089820300243</v>
      </c>
      <c r="L1112">
        <f>IFERROR(VLOOKUP(F1112,'LEAID Match'!$A$2:$B$240,2,FALSE),"")</f>
        <v>0</v>
      </c>
    </row>
    <row r="1113" spans="1:12" x14ac:dyDescent="0.2">
      <c r="A1113">
        <v>0</v>
      </c>
      <c r="B1113">
        <v>2018</v>
      </c>
      <c r="C1113" s="4" t="s">
        <v>233</v>
      </c>
      <c r="D1113" s="4" t="s">
        <v>576</v>
      </c>
      <c r="E1113" s="4" t="s">
        <v>578</v>
      </c>
      <c r="F1113" s="4" t="s">
        <v>192</v>
      </c>
      <c r="G1113" s="8">
        <v>44900</v>
      </c>
      <c r="I1113" s="16" cm="1">
        <f t="array" ref="I1113">_xlfn.IFS(B1113=2015,G1113/$H$1957,B1113=2016,G1113/$H$1958,B1113=2017,G1113/$H$1959,B1113=2018,G1113/$H$1960,B1113=2019,G1113/$H$1961,B1113=2020,G1113/$H$1962,B1113=2021,G1113/$H$1963,B1113=2022,G1113/$H$1964,B1113=2023,G1113/$H$1965)</f>
        <v>5.7773299087551929E-5</v>
      </c>
      <c r="J1113" s="10" cm="1">
        <f t="array" ref="J1113">_xlfn.IFS(B1113=2015,I1113*$G$2,B1113=2016,I1113*$G$3,B1113=2017,I1113*$G$4,B1113=2018,I1113*$G$5,B1113=2019,I1113*$G$6,B1113=2020,I1113*$G$7,B1113=2021,I1113*$G$8,B1113=2022,I1113*$G$9,B1113=2023,I1113*$G$10)</f>
        <v>8696.2636810839358</v>
      </c>
      <c r="K1113" s="8">
        <f t="shared" si="17"/>
        <v>53596.263681083932</v>
      </c>
      <c r="L1113">
        <f>IFERROR(VLOOKUP(F1113,'LEAID Match'!$A$2:$B$240,2,FALSE),"")</f>
        <v>0</v>
      </c>
    </row>
    <row r="1114" spans="1:12" x14ac:dyDescent="0.2">
      <c r="A1114">
        <v>0</v>
      </c>
      <c r="B1114">
        <v>2019</v>
      </c>
      <c r="C1114" s="4" t="s">
        <v>233</v>
      </c>
      <c r="D1114" s="4" t="s">
        <v>576</v>
      </c>
      <c r="E1114" s="4" t="s">
        <v>578</v>
      </c>
      <c r="F1114" s="4" t="s">
        <v>192</v>
      </c>
      <c r="G1114" s="8">
        <v>42136</v>
      </c>
      <c r="I1114" s="16" cm="1">
        <f t="array" ref="I1114">_xlfn.IFS(B1114=2015,G1114/$H$1957,B1114=2016,G1114/$H$1958,B1114=2017,G1114/$H$1959,B1114=2018,G1114/$H$1960,B1114=2019,G1114/$H$1961,B1114=2020,G1114/$H$1962,B1114=2021,G1114/$H$1963,B1114=2022,G1114/$H$1964,B1114=2023,G1114/$H$1965)</f>
        <v>5.2366479694373036E-5</v>
      </c>
      <c r="J1114" s="10" cm="1">
        <f t="array" ref="J1114">_xlfn.IFS(B1114=2015,I1114*$G$2,B1114=2016,I1114*$G$3,B1114=2017,I1114*$G$4,B1114=2018,I1114*$G$5,B1114=2019,I1114*$G$6,B1114=2020,I1114*$G$7,B1114=2021,I1114*$G$8,B1114=2022,I1114*$G$9,B1114=2023,I1114*$G$10)</f>
        <v>8275.3764418529045</v>
      </c>
      <c r="K1114" s="8">
        <f t="shared" si="17"/>
        <v>50411.376441852903</v>
      </c>
      <c r="L1114">
        <f>IFERROR(VLOOKUP(F1114,'LEAID Match'!$A$2:$B$240,2,FALSE),"")</f>
        <v>0</v>
      </c>
    </row>
    <row r="1115" spans="1:12" x14ac:dyDescent="0.2">
      <c r="A1115">
        <v>0</v>
      </c>
      <c r="B1115">
        <v>2020</v>
      </c>
      <c r="C1115" s="4" t="s">
        <v>233</v>
      </c>
      <c r="D1115" s="4" t="s">
        <v>576</v>
      </c>
      <c r="E1115" s="4" t="s">
        <v>578</v>
      </c>
      <c r="F1115" s="4" t="s">
        <v>192</v>
      </c>
      <c r="G1115" s="8">
        <v>48875</v>
      </c>
      <c r="I1115" s="16" cm="1">
        <f t="array" ref="I1115">_xlfn.IFS(B1115=2015,G1115/$H$1957,B1115=2016,G1115/$H$1958,B1115=2017,G1115/$H$1959,B1115=2018,G1115/$H$1960,B1115=2019,G1115/$H$1961,B1115=2020,G1115/$H$1962,B1115=2021,G1115/$H$1963,B1115=2022,G1115/$H$1964,B1115=2023,G1115/$H$1965)</f>
        <v>5.621423501565917E-5</v>
      </c>
      <c r="J1115" s="10" cm="1">
        <f t="array" ref="J1115">_xlfn.IFS(B1115=2015,I1115*$G$2,B1115=2016,I1115*$G$3,B1115=2017,I1115*$G$4,B1115=2018,I1115*$G$5,B1115=2019,I1115*$G$6,B1115=2020,I1115*$G$7,B1115=2021,I1115*$G$8,B1115=2022,I1115*$G$9,B1115=2023,I1115*$G$10)</f>
        <v>9707.293000735177</v>
      </c>
      <c r="K1115" s="8">
        <f t="shared" si="17"/>
        <v>58582.293000735175</v>
      </c>
      <c r="L1115">
        <f>IFERROR(VLOOKUP(F1115,'LEAID Match'!$A$2:$B$240,2,FALSE),"")</f>
        <v>0</v>
      </c>
    </row>
    <row r="1116" spans="1:12" x14ac:dyDescent="0.2">
      <c r="A1116">
        <v>0</v>
      </c>
      <c r="B1116">
        <v>2021</v>
      </c>
      <c r="C1116" s="4" t="s">
        <v>233</v>
      </c>
      <c r="D1116" s="4" t="s">
        <v>576</v>
      </c>
      <c r="E1116" s="4" t="s">
        <v>578</v>
      </c>
      <c r="F1116" s="4" t="s">
        <v>192</v>
      </c>
      <c r="G1116" s="8">
        <v>46965</v>
      </c>
      <c r="I1116" s="16" cm="1">
        <f t="array" ref="I1116">_xlfn.IFS(B1116=2015,G1116/$H$1957,B1116=2016,G1116/$H$1958,B1116=2017,G1116/$H$1959,B1116=2018,G1116/$H$1960,B1116=2019,G1116/$H$1961,B1116=2020,G1116/$H$1962,B1116=2021,G1116/$H$1963,B1116=2022,G1116/$H$1964,B1116=2023,G1116/$H$1965)</f>
        <v>5.3671362066512529E-5</v>
      </c>
      <c r="J1116" s="10" cm="1">
        <f t="array" ref="J1116">_xlfn.IFS(B1116=2015,I1116*$G$2,B1116=2016,I1116*$G$3,B1116=2017,I1116*$G$4,B1116=2018,I1116*$G$5,B1116=2019,I1116*$G$6,B1116=2020,I1116*$G$7,B1116=2021,I1116*$G$8,B1116=2022,I1116*$G$9,B1116=2023,I1116*$G$10)</f>
        <v>9210.9093416653013</v>
      </c>
      <c r="K1116" s="8">
        <f t="shared" si="17"/>
        <v>56175.909341665305</v>
      </c>
      <c r="L1116">
        <f>IFERROR(VLOOKUP(F1116,'LEAID Match'!$A$2:$B$240,2,FALSE),"")</f>
        <v>0</v>
      </c>
    </row>
    <row r="1117" spans="1:12" x14ac:dyDescent="0.2">
      <c r="A1117">
        <v>0</v>
      </c>
      <c r="B1117">
        <v>2022</v>
      </c>
      <c r="C1117" s="4" t="s">
        <v>233</v>
      </c>
      <c r="D1117" s="4" t="s">
        <v>576</v>
      </c>
      <c r="E1117" s="4" t="s">
        <v>578</v>
      </c>
      <c r="F1117" s="4" t="s">
        <v>192</v>
      </c>
      <c r="G1117" s="8">
        <v>54731</v>
      </c>
      <c r="I1117" s="16" cm="1">
        <f t="array" ref="I1117">_xlfn.IFS(B1117=2015,G1117/$H$1957,B1117=2016,G1117/$H$1958,B1117=2017,G1117/$H$1959,B1117=2018,G1117/$H$1960,B1117=2019,G1117/$H$1961,B1117=2020,G1117/$H$1962,B1117=2021,G1117/$H$1963,B1117=2022,G1117/$H$1964,B1117=2023,G1117/$H$1965)</f>
        <v>5.8825005115333497E-5</v>
      </c>
      <c r="J1117" s="10" cm="1">
        <f t="array" ref="J1117">_xlfn.IFS(B1117=2015,I1117*$G$2,B1117=2016,I1117*$G$3,B1117=2017,I1117*$G$4,B1117=2018,I1117*$G$5,B1117=2019,I1117*$G$6,B1117=2020,I1117*$G$7,B1117=2021,I1117*$G$8,B1117=2022,I1117*$G$9,B1117=2023,I1117*$G$10)</f>
        <v>9975.8766699121516</v>
      </c>
      <c r="K1117" s="8">
        <f t="shared" si="17"/>
        <v>64706.876669912148</v>
      </c>
      <c r="L1117">
        <f>IFERROR(VLOOKUP(F1117,'LEAID Match'!$A$2:$B$240,2,FALSE),"")</f>
        <v>0</v>
      </c>
    </row>
    <row r="1118" spans="1:12" x14ac:dyDescent="0.2">
      <c r="A1118">
        <v>0</v>
      </c>
      <c r="B1118">
        <v>2023</v>
      </c>
      <c r="C1118" s="4" t="s">
        <v>233</v>
      </c>
      <c r="D1118" s="4" t="s">
        <v>576</v>
      </c>
      <c r="E1118" s="4" t="s">
        <v>578</v>
      </c>
      <c r="F1118" s="4" t="s">
        <v>192</v>
      </c>
      <c r="G1118" s="8">
        <v>59038</v>
      </c>
      <c r="I1118" s="16" cm="1">
        <f t="array" ref="I1118">_xlfn.IFS(B1118=2015,G1118/$H$1957,B1118=2016,G1118/$H$1958,B1118=2017,G1118/$H$1959,B1118=2018,G1118/$H$1960,B1118=2019,G1118/$H$1961,B1118=2020,G1118/$H$1962,B1118=2021,G1118/$H$1963,B1118=2022,G1118/$H$1964,B1118=2023,G1118/$H$1965)</f>
        <v>5.9775360453255137E-5</v>
      </c>
      <c r="J1118" s="10" cm="1">
        <f t="array" ref="J1118">_xlfn.IFS(B1118=2015,I1118*$G$2,B1118=2016,I1118*$G$3,B1118=2017,I1118*$G$4,B1118=2018,I1118*$G$5,B1118=2019,I1118*$G$6,B1118=2020,I1118*$G$7,B1118=2021,I1118*$G$8,B1118=2022,I1118*$G$9,B1118=2023,I1118*$G$10)</f>
        <v>10160.933714986559</v>
      </c>
      <c r="K1118" s="8">
        <f t="shared" si="17"/>
        <v>69198.933714986561</v>
      </c>
      <c r="L1118">
        <f>IFERROR(VLOOKUP(F1118,'LEAID Match'!$A$2:$B$240,2,FALSE),"")</f>
        <v>0</v>
      </c>
    </row>
    <row r="1119" spans="1:12" x14ac:dyDescent="0.2">
      <c r="A1119">
        <v>0</v>
      </c>
      <c r="B1119">
        <v>2015</v>
      </c>
      <c r="C1119" s="4" t="s">
        <v>234</v>
      </c>
      <c r="D1119" s="4" t="s">
        <v>576</v>
      </c>
      <c r="E1119" s="4" t="s">
        <v>578</v>
      </c>
      <c r="F1119" s="4" t="s">
        <v>193</v>
      </c>
      <c r="G1119" s="8">
        <v>280110</v>
      </c>
      <c r="I1119" s="16" cm="1">
        <f t="array" ref="I1119">_xlfn.IFS(B1119=2015,G1119/$H$1957,B1119=2016,G1119/$H$1958,B1119=2017,G1119/$H$1959,B1119=2018,G1119/$H$1960,B1119=2019,G1119/$H$1961,B1119=2020,G1119/$H$1962,B1119=2021,G1119/$H$1963,B1119=2022,G1119/$H$1964,B1119=2023,G1119/$H$1965)</f>
        <v>2.1631732564092419E-4</v>
      </c>
      <c r="J1119" s="10" cm="1">
        <f t="array" ref="J1119">_xlfn.IFS(B1119=2015,I1119*$G$2,B1119=2016,I1119*$G$3,B1119=2017,I1119*$G$4,B1119=2018,I1119*$G$5,B1119=2019,I1119*$G$6,B1119=2020,I1119*$G$7,B1119=2021,I1119*$G$8,B1119=2022,I1119*$G$9,B1119=2023,I1119*$G$10)</f>
        <v>53785.696864472913</v>
      </c>
      <c r="K1119" s="8">
        <f t="shared" si="17"/>
        <v>333895.69686447293</v>
      </c>
      <c r="L1119">
        <f>IFERROR(VLOOKUP(F1119,'LEAID Match'!$A$2:$B$240,2,FALSE),"")</f>
        <v>0</v>
      </c>
    </row>
    <row r="1120" spans="1:12" x14ac:dyDescent="0.2">
      <c r="A1120">
        <v>0</v>
      </c>
      <c r="B1120">
        <v>2016</v>
      </c>
      <c r="C1120" s="4" t="s">
        <v>234</v>
      </c>
      <c r="D1120" s="4" t="s">
        <v>576</v>
      </c>
      <c r="E1120" s="4" t="s">
        <v>578</v>
      </c>
      <c r="F1120" s="4" t="s">
        <v>193</v>
      </c>
      <c r="G1120" s="8">
        <v>329976</v>
      </c>
      <c r="I1120" s="16" cm="1">
        <f t="array" ref="I1120">_xlfn.IFS(B1120=2015,G1120/$H$1957,B1120=2016,G1120/$H$1958,B1120=2017,G1120/$H$1959,B1120=2018,G1120/$H$1960,B1120=2019,G1120/$H$1961,B1120=2020,G1120/$H$1962,B1120=2021,G1120/$H$1963,B1120=2022,G1120/$H$1964,B1120=2023,G1120/$H$1965)</f>
        <v>2.3164301093311264E-4</v>
      </c>
      <c r="J1120" s="10" cm="1">
        <f t="array" ref="J1120">_xlfn.IFS(B1120=2015,I1120*$G$2,B1120=2016,I1120*$G$3,B1120=2017,I1120*$G$4,B1120=2018,I1120*$G$5,B1120=2019,I1120*$G$6,B1120=2020,I1120*$G$7,B1120=2021,I1120*$G$8,B1120=2022,I1120*$G$9,B1120=2023,I1120*$G$10)</f>
        <v>62822.298025533819</v>
      </c>
      <c r="K1120" s="8">
        <f t="shared" si="17"/>
        <v>392798.29802553379</v>
      </c>
      <c r="L1120">
        <f>IFERROR(VLOOKUP(F1120,'LEAID Match'!$A$2:$B$240,2,FALSE),"")</f>
        <v>0</v>
      </c>
    </row>
    <row r="1121" spans="1:12" x14ac:dyDescent="0.2">
      <c r="A1121">
        <v>0</v>
      </c>
      <c r="B1121">
        <v>2017</v>
      </c>
      <c r="C1121" s="4" t="s">
        <v>234</v>
      </c>
      <c r="D1121" s="4" t="s">
        <v>576</v>
      </c>
      <c r="E1121" s="4" t="s">
        <v>578</v>
      </c>
      <c r="F1121" s="4" t="s">
        <v>193</v>
      </c>
      <c r="G1121" s="8">
        <v>169374</v>
      </c>
      <c r="I1121" s="16" cm="1">
        <f t="array" ref="I1121">_xlfn.IFS(B1121=2015,G1121/$H$1957,B1121=2016,G1121/$H$1958,B1121=2017,G1121/$H$1959,B1121=2018,G1121/$H$1960,B1121=2019,G1121/$H$1961,B1121=2020,G1121/$H$1962,B1121=2021,G1121/$H$1963,B1121=2022,G1121/$H$1964,B1121=2023,G1121/$H$1965)</f>
        <v>2.2598096002007041E-4</v>
      </c>
      <c r="J1121" s="10" cm="1">
        <f t="array" ref="J1121">_xlfn.IFS(B1121=2015,I1121*$G$2,B1121=2016,I1121*$G$3,B1121=2017,I1121*$G$4,B1121=2018,I1121*$G$5,B1121=2019,I1121*$G$6,B1121=2020,I1121*$G$7,B1121=2021,I1121*$G$8,B1121=2022,I1121*$G$9,B1121=2023,I1121*$G$10)</f>
        <v>33464.749096355677</v>
      </c>
      <c r="K1121" s="8">
        <f t="shared" si="17"/>
        <v>202838.74909635569</v>
      </c>
      <c r="L1121">
        <f>IFERROR(VLOOKUP(F1121,'LEAID Match'!$A$2:$B$240,2,FALSE),"")</f>
        <v>0</v>
      </c>
    </row>
    <row r="1122" spans="1:12" x14ac:dyDescent="0.2">
      <c r="A1122">
        <v>0</v>
      </c>
      <c r="B1122">
        <v>2018</v>
      </c>
      <c r="C1122" s="4" t="s">
        <v>234</v>
      </c>
      <c r="D1122" s="4" t="s">
        <v>576</v>
      </c>
      <c r="E1122" s="4" t="s">
        <v>578</v>
      </c>
      <c r="F1122" s="4" t="s">
        <v>193</v>
      </c>
      <c r="G1122" s="8">
        <v>174428</v>
      </c>
      <c r="I1122" s="16" cm="1">
        <f t="array" ref="I1122">_xlfn.IFS(B1122=2015,G1122/$H$1957,B1122=2016,G1122/$H$1958,B1122=2017,G1122/$H$1959,B1122=2018,G1122/$H$1960,B1122=2019,G1122/$H$1961,B1122=2020,G1122/$H$1962,B1122=2021,G1122/$H$1963,B1122=2022,G1122/$H$1964,B1122=2023,G1122/$H$1965)</f>
        <v>2.244383299163365E-4</v>
      </c>
      <c r="J1122" s="10" cm="1">
        <f t="array" ref="J1122">_xlfn.IFS(B1122=2015,I1122*$G$2,B1122=2016,I1122*$G$3,B1122=2017,I1122*$G$4,B1122=2018,I1122*$G$5,B1122=2019,I1122*$G$6,B1122=2020,I1122*$G$7,B1122=2021,I1122*$G$8,B1122=2022,I1122*$G$9,B1122=2023,I1122*$G$10)</f>
        <v>33783.338115013561</v>
      </c>
      <c r="K1122" s="8">
        <f t="shared" si="17"/>
        <v>208211.33811501355</v>
      </c>
      <c r="L1122">
        <f>IFERROR(VLOOKUP(F1122,'LEAID Match'!$A$2:$B$240,2,FALSE),"")</f>
        <v>0</v>
      </c>
    </row>
    <row r="1123" spans="1:12" x14ac:dyDescent="0.2">
      <c r="A1123">
        <v>0</v>
      </c>
      <c r="B1123">
        <v>2019</v>
      </c>
      <c r="C1123" s="4" t="s">
        <v>234</v>
      </c>
      <c r="D1123" s="4" t="s">
        <v>576</v>
      </c>
      <c r="E1123" s="4" t="s">
        <v>578</v>
      </c>
      <c r="F1123" s="4" t="s">
        <v>193</v>
      </c>
      <c r="G1123" s="8">
        <v>174193</v>
      </c>
      <c r="I1123" s="16" cm="1">
        <f t="array" ref="I1123">_xlfn.IFS(B1123=2015,G1123/$H$1957,B1123=2016,G1123/$H$1958,B1123=2017,G1123/$H$1959,B1123=2018,G1123/$H$1960,B1123=2019,G1123/$H$1961,B1123=2020,G1123/$H$1962,B1123=2021,G1123/$H$1963,B1123=2022,G1123/$H$1964,B1123=2023,G1123/$H$1965)</f>
        <v>2.1648647706004183E-4</v>
      </c>
      <c r="J1123" s="10" cm="1">
        <f t="array" ref="J1123">_xlfn.IFS(B1123=2015,I1123*$G$2,B1123=2016,I1123*$G$3,B1123=2017,I1123*$G$4,B1123=2018,I1123*$G$5,B1123=2019,I1123*$G$6,B1123=2020,I1123*$G$7,B1123=2021,I1123*$G$8,B1123=2022,I1123*$G$9,B1123=2023,I1123*$G$10)</f>
        <v>34210.951408194494</v>
      </c>
      <c r="K1123" s="8">
        <f t="shared" si="17"/>
        <v>208403.95140819449</v>
      </c>
      <c r="L1123">
        <f>IFERROR(VLOOKUP(F1123,'LEAID Match'!$A$2:$B$240,2,FALSE),"")</f>
        <v>0</v>
      </c>
    </row>
    <row r="1124" spans="1:12" x14ac:dyDescent="0.2">
      <c r="A1124">
        <v>0</v>
      </c>
      <c r="B1124">
        <v>2020</v>
      </c>
      <c r="C1124" s="4" t="s">
        <v>234</v>
      </c>
      <c r="D1124" s="4" t="s">
        <v>576</v>
      </c>
      <c r="E1124" s="4" t="s">
        <v>578</v>
      </c>
      <c r="F1124" s="4" t="s">
        <v>193</v>
      </c>
      <c r="G1124" s="8">
        <v>211092</v>
      </c>
      <c r="I1124" s="16" cm="1">
        <f t="array" ref="I1124">_xlfn.IFS(B1124=2015,G1124/$H$1957,B1124=2016,G1124/$H$1958,B1124=2017,G1124/$H$1959,B1124=2018,G1124/$H$1960,B1124=2019,G1124/$H$1961,B1124=2020,G1124/$H$1962,B1124=2021,G1124/$H$1963,B1124=2022,G1124/$H$1964,B1124=2023,G1124/$H$1965)</f>
        <v>2.4279028742558621E-4</v>
      </c>
      <c r="J1124" s="10" cm="1">
        <f t="array" ref="J1124">_xlfn.IFS(B1124=2015,I1124*$G$2,B1124=2016,I1124*$G$3,B1124=2017,I1124*$G$4,B1124=2018,I1124*$G$5,B1124=2019,I1124*$G$6,B1124=2020,I1124*$G$7,B1124=2021,I1124*$G$8,B1124=2022,I1124*$G$9,B1124=2023,I1124*$G$10)</f>
        <v>41925.972258029462</v>
      </c>
      <c r="K1124" s="8">
        <f t="shared" si="17"/>
        <v>253017.97225802945</v>
      </c>
      <c r="L1124">
        <f>IFERROR(VLOOKUP(F1124,'LEAID Match'!$A$2:$B$240,2,FALSE),"")</f>
        <v>0</v>
      </c>
    </row>
    <row r="1125" spans="1:12" x14ac:dyDescent="0.2">
      <c r="A1125">
        <v>0</v>
      </c>
      <c r="B1125">
        <v>2021</v>
      </c>
      <c r="C1125" s="4" t="s">
        <v>234</v>
      </c>
      <c r="D1125" s="4" t="s">
        <v>576</v>
      </c>
      <c r="E1125" s="4" t="s">
        <v>578</v>
      </c>
      <c r="F1125" s="4" t="s">
        <v>193</v>
      </c>
      <c r="G1125" s="8">
        <v>240785</v>
      </c>
      <c r="I1125" s="16" cm="1">
        <f t="array" ref="I1125">_xlfn.IFS(B1125=2015,G1125/$H$1957,B1125=2016,G1125/$H$1958,B1125=2017,G1125/$H$1959,B1125=2018,G1125/$H$1960,B1125=2019,G1125/$H$1961,B1125=2020,G1125/$H$1962,B1125=2021,G1125/$H$1963,B1125=2022,G1125/$H$1964,B1125=2023,G1125/$H$1965)</f>
        <v>2.7516786788428017E-4</v>
      </c>
      <c r="J1125" s="10" cm="1">
        <f t="array" ref="J1125">_xlfn.IFS(B1125=2015,I1125*$G$2,B1125=2016,I1125*$G$3,B1125=2017,I1125*$G$4,B1125=2018,I1125*$G$5,B1125=2019,I1125*$G$6,B1125=2020,I1125*$G$7,B1125=2021,I1125*$G$8,B1125=2022,I1125*$G$9,B1125=2023,I1125*$G$10)</f>
        <v>47223.438855166176</v>
      </c>
      <c r="K1125" s="8">
        <f t="shared" si="17"/>
        <v>288008.4388551662</v>
      </c>
      <c r="L1125">
        <f>IFERROR(VLOOKUP(F1125,'LEAID Match'!$A$2:$B$240,2,FALSE),"")</f>
        <v>0</v>
      </c>
    </row>
    <row r="1126" spans="1:12" x14ac:dyDescent="0.2">
      <c r="A1126">
        <v>0</v>
      </c>
      <c r="B1126">
        <v>2022</v>
      </c>
      <c r="C1126" s="4" t="s">
        <v>234</v>
      </c>
      <c r="D1126" s="4" t="s">
        <v>576</v>
      </c>
      <c r="E1126" s="4" t="s">
        <v>578</v>
      </c>
      <c r="F1126" s="4" t="s">
        <v>193</v>
      </c>
      <c r="G1126" s="8">
        <v>243507</v>
      </c>
      <c r="I1126" s="16" cm="1">
        <f t="array" ref="I1126">_xlfn.IFS(B1126=2015,G1126/$H$1957,B1126=2016,G1126/$H$1958,B1126=2017,G1126/$H$1959,B1126=2018,G1126/$H$1960,B1126=2019,G1126/$H$1961,B1126=2020,G1126/$H$1962,B1126=2021,G1126/$H$1963,B1126=2022,G1126/$H$1964,B1126=2023,G1126/$H$1965)</f>
        <v>2.6172188559718464E-4</v>
      </c>
      <c r="J1126" s="10" cm="1">
        <f t="array" ref="J1126">_xlfn.IFS(B1126=2015,I1126*$G$2,B1126=2016,I1126*$G$3,B1126=2017,I1126*$G$4,B1126=2018,I1126*$G$5,B1126=2019,I1126*$G$6,B1126=2020,I1126*$G$7,B1126=2021,I1126*$G$8,B1126=2022,I1126*$G$9,B1126=2023,I1126*$G$10)</f>
        <v>44384.275826502308</v>
      </c>
      <c r="K1126" s="8">
        <f t="shared" si="17"/>
        <v>287891.2758265023</v>
      </c>
      <c r="L1126">
        <f>IFERROR(VLOOKUP(F1126,'LEAID Match'!$A$2:$B$240,2,FALSE),"")</f>
        <v>0</v>
      </c>
    </row>
    <row r="1127" spans="1:12" x14ac:dyDescent="0.2">
      <c r="A1127">
        <v>0</v>
      </c>
      <c r="B1127">
        <v>2023</v>
      </c>
      <c r="C1127" s="4" t="s">
        <v>234</v>
      </c>
      <c r="D1127" s="4" t="s">
        <v>576</v>
      </c>
      <c r="E1127" s="4" t="s">
        <v>578</v>
      </c>
      <c r="F1127" s="4" t="s">
        <v>193</v>
      </c>
      <c r="G1127" s="8">
        <v>245586</v>
      </c>
      <c r="I1127" s="16" cm="1">
        <f t="array" ref="I1127">_xlfn.IFS(B1127=2015,G1127/$H$1957,B1127=2016,G1127/$H$1958,B1127=2017,G1127/$H$1959,B1127=2018,G1127/$H$1960,B1127=2019,G1127/$H$1961,B1127=2020,G1127/$H$1962,B1127=2021,G1127/$H$1963,B1127=2022,G1127/$H$1964,B1127=2023,G1127/$H$1965)</f>
        <v>2.4865326861128626E-4</v>
      </c>
      <c r="J1127" s="10" cm="1">
        <f t="array" ref="J1127">_xlfn.IFS(B1127=2015,I1127*$G$2,B1127=2016,I1127*$G$3,B1127=2017,I1127*$G$4,B1127=2018,I1127*$G$5,B1127=2019,I1127*$G$6,B1127=2020,I1127*$G$7,B1127=2021,I1127*$G$8,B1127=2022,I1127*$G$9,B1127=2023,I1127*$G$10)</f>
        <v>42267.405185282179</v>
      </c>
      <c r="K1127" s="8">
        <f t="shared" si="17"/>
        <v>287853.40518528217</v>
      </c>
      <c r="L1127">
        <f>IFERROR(VLOOKUP(F1127,'LEAID Match'!$A$2:$B$240,2,FALSE),"")</f>
        <v>0</v>
      </c>
    </row>
    <row r="1128" spans="1:12" x14ac:dyDescent="0.2">
      <c r="A1128">
        <v>0</v>
      </c>
      <c r="B1128">
        <v>2015</v>
      </c>
      <c r="C1128" s="4" t="s">
        <v>235</v>
      </c>
      <c r="D1128" s="4" t="s">
        <v>576</v>
      </c>
      <c r="E1128" s="4" t="s">
        <v>578</v>
      </c>
      <c r="F1128" s="4" t="s">
        <v>194</v>
      </c>
      <c r="G1128" s="8">
        <v>882446</v>
      </c>
      <c r="I1128" s="16" cm="1">
        <f t="array" ref="I1128">_xlfn.IFS(B1128=2015,G1128/$H$1957,B1128=2016,G1128/$H$1958,B1128=2017,G1128/$H$1959,B1128=2018,G1128/$H$1960,B1128=2019,G1128/$H$1961,B1128=2020,G1128/$H$1962,B1128=2021,G1128/$H$1963,B1128=2022,G1128/$H$1964,B1128=2023,G1128/$H$1965)</f>
        <v>6.8147641548866862E-4</v>
      </c>
      <c r="J1128" s="10" cm="1">
        <f t="array" ref="J1128">_xlfn.IFS(B1128=2015,I1128*$G$2,B1128=2016,I1128*$G$3,B1128=2017,I1128*$G$4,B1128=2018,I1128*$G$5,B1128=2019,I1128*$G$6,B1128=2020,I1128*$G$7,B1128=2021,I1128*$G$8,B1128=2022,I1128*$G$9,B1128=2023,I1128*$G$10)</f>
        <v>169444.05074887245</v>
      </c>
      <c r="K1128" s="8">
        <f t="shared" si="17"/>
        <v>1051890.0507488726</v>
      </c>
      <c r="L1128">
        <f>IFERROR(VLOOKUP(F1128,'LEAID Match'!$A$2:$B$240,2,FALSE),"")</f>
        <v>0</v>
      </c>
    </row>
    <row r="1129" spans="1:12" x14ac:dyDescent="0.2">
      <c r="A1129">
        <v>0</v>
      </c>
      <c r="B1129">
        <v>2016</v>
      </c>
      <c r="C1129" s="4" t="s">
        <v>235</v>
      </c>
      <c r="D1129" s="4" t="s">
        <v>576</v>
      </c>
      <c r="E1129" s="4" t="s">
        <v>578</v>
      </c>
      <c r="F1129" s="4" t="s">
        <v>194</v>
      </c>
      <c r="G1129" s="8">
        <v>976684</v>
      </c>
      <c r="I1129" s="16" cm="1">
        <f t="array" ref="I1129">_xlfn.IFS(B1129=2015,G1129/$H$1957,B1129=2016,G1129/$H$1958,B1129=2017,G1129/$H$1959,B1129=2018,G1129/$H$1960,B1129=2019,G1129/$H$1961,B1129=2020,G1129/$H$1962,B1129=2021,G1129/$H$1963,B1129=2022,G1129/$H$1964,B1129=2023,G1129/$H$1965)</f>
        <v>6.8563175046123409E-4</v>
      </c>
      <c r="J1129" s="10" cm="1">
        <f t="array" ref="J1129">_xlfn.IFS(B1129=2015,I1129*$G$2,B1129=2016,I1129*$G$3,B1129=2017,I1129*$G$4,B1129=2018,I1129*$G$5,B1129=2019,I1129*$G$6,B1129=2020,I1129*$G$7,B1129=2021,I1129*$G$8,B1129=2022,I1129*$G$9,B1129=2023,I1129*$G$10)</f>
        <v>185945.4424708781</v>
      </c>
      <c r="K1129" s="8">
        <f t="shared" si="17"/>
        <v>1162629.4424708781</v>
      </c>
      <c r="L1129">
        <f>IFERROR(VLOOKUP(F1129,'LEAID Match'!$A$2:$B$240,2,FALSE),"")</f>
        <v>0</v>
      </c>
    </row>
    <row r="1130" spans="1:12" x14ac:dyDescent="0.2">
      <c r="A1130">
        <v>0</v>
      </c>
      <c r="B1130">
        <v>2017</v>
      </c>
      <c r="C1130" s="4" t="s">
        <v>235</v>
      </c>
      <c r="D1130" s="4" t="s">
        <v>576</v>
      </c>
      <c r="E1130" s="4" t="s">
        <v>578</v>
      </c>
      <c r="F1130" s="4" t="s">
        <v>194</v>
      </c>
      <c r="G1130" s="8">
        <v>532489</v>
      </c>
      <c r="I1130" s="16" cm="1">
        <f t="array" ref="I1130">_xlfn.IFS(B1130=2015,G1130/$H$1957,B1130=2016,G1130/$H$1958,B1130=2017,G1130/$H$1959,B1130=2018,G1130/$H$1960,B1130=2019,G1130/$H$1961,B1130=2020,G1130/$H$1962,B1130=2021,G1130/$H$1963,B1130=2022,G1130/$H$1964,B1130=2023,G1130/$H$1965)</f>
        <v>7.1045364353517816E-4</v>
      </c>
      <c r="J1130" s="10" cm="1">
        <f t="array" ref="J1130">_xlfn.IFS(B1130=2015,I1130*$G$2,B1130=2016,I1130*$G$3,B1130=2017,I1130*$G$4,B1130=2018,I1130*$G$5,B1130=2019,I1130*$G$6,B1130=2020,I1130*$G$7,B1130=2021,I1130*$G$8,B1130=2022,I1130*$G$9,B1130=2023,I1130*$G$10)</f>
        <v>105208.65529283915</v>
      </c>
      <c r="K1130" s="8">
        <f t="shared" si="17"/>
        <v>637697.65529283916</v>
      </c>
      <c r="L1130">
        <f>IFERROR(VLOOKUP(F1130,'LEAID Match'!$A$2:$B$240,2,FALSE),"")</f>
        <v>0</v>
      </c>
    </row>
    <row r="1131" spans="1:12" x14ac:dyDescent="0.2">
      <c r="A1131">
        <v>0</v>
      </c>
      <c r="B1131">
        <v>2018</v>
      </c>
      <c r="C1131" s="4" t="s">
        <v>235</v>
      </c>
      <c r="D1131" s="4" t="s">
        <v>576</v>
      </c>
      <c r="E1131" s="4" t="s">
        <v>578</v>
      </c>
      <c r="F1131" s="4" t="s">
        <v>194</v>
      </c>
      <c r="G1131" s="8">
        <v>539799</v>
      </c>
      <c r="I1131" s="16" cm="1">
        <f t="array" ref="I1131">_xlfn.IFS(B1131=2015,G1131/$H$1957,B1131=2016,G1131/$H$1958,B1131=2017,G1131/$H$1959,B1131=2018,G1131/$H$1960,B1131=2019,G1131/$H$1961,B1131=2020,G1131/$H$1962,B1131=2021,G1131/$H$1963,B1131=2022,G1131/$H$1964,B1131=2023,G1131/$H$1965)</f>
        <v>6.9456501278756003E-4</v>
      </c>
      <c r="J1131" s="10" cm="1">
        <f t="array" ref="J1131">_xlfn.IFS(B1131=2015,I1131*$G$2,B1131=2016,I1131*$G$3,B1131=2017,I1131*$G$4,B1131=2018,I1131*$G$5,B1131=2019,I1131*$G$6,B1131=2020,I1131*$G$7,B1131=2021,I1131*$G$8,B1131=2022,I1131*$G$9,B1131=2023,I1131*$G$10)</f>
        <v>104548.65119789372</v>
      </c>
      <c r="K1131" s="8">
        <f t="shared" si="17"/>
        <v>644347.65119789378</v>
      </c>
      <c r="L1131">
        <f>IFERROR(VLOOKUP(F1131,'LEAID Match'!$A$2:$B$240,2,FALSE),"")</f>
        <v>0</v>
      </c>
    </row>
    <row r="1132" spans="1:12" x14ac:dyDescent="0.2">
      <c r="A1132">
        <v>0</v>
      </c>
      <c r="B1132">
        <v>2019</v>
      </c>
      <c r="C1132" s="4" t="s">
        <v>235</v>
      </c>
      <c r="D1132" s="4" t="s">
        <v>576</v>
      </c>
      <c r="E1132" s="4" t="s">
        <v>578</v>
      </c>
      <c r="F1132" s="4" t="s">
        <v>194</v>
      </c>
      <c r="G1132" s="8">
        <v>563686</v>
      </c>
      <c r="I1132" s="16" cm="1">
        <f t="array" ref="I1132">_xlfn.IFS(B1132=2015,G1132/$H$1957,B1132=2016,G1132/$H$1958,B1132=2017,G1132/$H$1959,B1132=2018,G1132/$H$1960,B1132=2019,G1132/$H$1961,B1132=2020,G1132/$H$1962,B1132=2021,G1132/$H$1963,B1132=2022,G1132/$H$1964,B1132=2023,G1132/$H$1965)</f>
        <v>7.0054707312042816E-4</v>
      </c>
      <c r="J1132" s="10" cm="1">
        <f t="array" ref="J1132">_xlfn.IFS(B1132=2015,I1132*$G$2,B1132=2016,I1132*$G$3,B1132=2017,I1132*$G$4,B1132=2018,I1132*$G$5,B1132=2019,I1132*$G$6,B1132=2020,I1132*$G$7,B1132=2021,I1132*$G$8,B1132=2022,I1132*$G$9,B1132=2023,I1132*$G$10)</f>
        <v>110706.13833781795</v>
      </c>
      <c r="K1132" s="8">
        <f t="shared" si="17"/>
        <v>674392.13833781797</v>
      </c>
      <c r="L1132">
        <f>IFERROR(VLOOKUP(F1132,'LEAID Match'!$A$2:$B$240,2,FALSE),"")</f>
        <v>0</v>
      </c>
    </row>
    <row r="1133" spans="1:12" x14ac:dyDescent="0.2">
      <c r="A1133">
        <v>0</v>
      </c>
      <c r="B1133">
        <v>2020</v>
      </c>
      <c r="C1133" s="4" t="s">
        <v>235</v>
      </c>
      <c r="D1133" s="4" t="s">
        <v>576</v>
      </c>
      <c r="E1133" s="4" t="s">
        <v>578</v>
      </c>
      <c r="F1133" s="4" t="s">
        <v>194</v>
      </c>
      <c r="G1133" s="8">
        <v>646540</v>
      </c>
      <c r="I1133" s="16" cm="1">
        <f t="array" ref="I1133">_xlfn.IFS(B1133=2015,G1133/$H$1957,B1133=2016,G1133/$H$1958,B1133=2017,G1133/$H$1959,B1133=2018,G1133/$H$1960,B1133=2019,G1133/$H$1961,B1133=2020,G1133/$H$1962,B1133=2021,G1133/$H$1963,B1133=2022,G1133/$H$1964,B1133=2023,G1133/$H$1965)</f>
        <v>7.4362662929972946E-4</v>
      </c>
      <c r="J1133" s="10" cm="1">
        <f t="array" ref="J1133">_xlfn.IFS(B1133=2015,I1133*$G$2,B1133=2016,I1133*$G$3,B1133=2017,I1133*$G$4,B1133=2018,I1133*$G$5,B1133=2019,I1133*$G$6,B1133=2020,I1133*$G$7,B1133=2021,I1133*$G$8,B1133=2022,I1133*$G$9,B1133=2023,I1133*$G$10)</f>
        <v>128412.34202957178</v>
      </c>
      <c r="K1133" s="8">
        <f t="shared" si="17"/>
        <v>774952.34202957177</v>
      </c>
      <c r="L1133">
        <f>IFERROR(VLOOKUP(F1133,'LEAID Match'!$A$2:$B$240,2,FALSE),"")</f>
        <v>0</v>
      </c>
    </row>
    <row r="1134" spans="1:12" x14ac:dyDescent="0.2">
      <c r="A1134">
        <v>0</v>
      </c>
      <c r="B1134">
        <v>2021</v>
      </c>
      <c r="C1134" s="4" t="s">
        <v>235</v>
      </c>
      <c r="D1134" s="4" t="s">
        <v>576</v>
      </c>
      <c r="E1134" s="4" t="s">
        <v>578</v>
      </c>
      <c r="F1134" s="4" t="s">
        <v>194</v>
      </c>
      <c r="G1134" s="8">
        <v>650797</v>
      </c>
      <c r="I1134" s="16" cm="1">
        <f t="array" ref="I1134">_xlfn.IFS(B1134=2015,G1134/$H$1957,B1134=2016,G1134/$H$1958,B1134=2017,G1134/$H$1959,B1134=2018,G1134/$H$1960,B1134=2019,G1134/$H$1961,B1134=2020,G1134/$H$1962,B1134=2021,G1134/$H$1963,B1134=2022,G1134/$H$1964,B1134=2023,G1134/$H$1965)</f>
        <v>7.4372748682636331E-4</v>
      </c>
      <c r="J1134" s="10" cm="1">
        <f t="array" ref="J1134">_xlfn.IFS(B1134=2015,I1134*$G$2,B1134=2016,I1134*$G$3,B1134=2017,I1134*$G$4,B1134=2018,I1134*$G$5,B1134=2019,I1134*$G$6,B1134=2020,I1134*$G$7,B1134=2021,I1134*$G$8,B1134=2022,I1134*$G$9,B1134=2023,I1134*$G$10)</f>
        <v>127636.15813537216</v>
      </c>
      <c r="K1134" s="8">
        <f t="shared" si="17"/>
        <v>778433.15813537221</v>
      </c>
      <c r="L1134">
        <f>IFERROR(VLOOKUP(F1134,'LEAID Match'!$A$2:$B$240,2,FALSE),"")</f>
        <v>0</v>
      </c>
    </row>
    <row r="1135" spans="1:12" x14ac:dyDescent="0.2">
      <c r="A1135">
        <v>0</v>
      </c>
      <c r="B1135">
        <v>2022</v>
      </c>
      <c r="C1135" s="4" t="s">
        <v>235</v>
      </c>
      <c r="D1135" s="4" t="s">
        <v>576</v>
      </c>
      <c r="E1135" s="4" t="s">
        <v>578</v>
      </c>
      <c r="F1135" s="4" t="s">
        <v>194</v>
      </c>
      <c r="G1135" s="8">
        <v>676317</v>
      </c>
      <c r="I1135" s="16" cm="1">
        <f t="array" ref="I1135">_xlfn.IFS(B1135=2015,G1135/$H$1957,B1135=2016,G1135/$H$1958,B1135=2017,G1135/$H$1959,B1135=2018,G1135/$H$1960,B1135=2019,G1135/$H$1961,B1135=2020,G1135/$H$1962,B1135=2021,G1135/$H$1963,B1135=2022,G1135/$H$1964,B1135=2023,G1135/$H$1965)</f>
        <v>7.2690707249249969E-4</v>
      </c>
      <c r="J1135" s="10" cm="1">
        <f t="array" ref="J1135">_xlfn.IFS(B1135=2015,I1135*$G$2,B1135=2016,I1135*$G$3,B1135=2017,I1135*$G$4,B1135=2018,I1135*$G$5,B1135=2019,I1135*$G$6,B1135=2020,I1135*$G$7,B1135=2021,I1135*$G$8,B1135=2022,I1135*$G$9,B1135=2023,I1135*$G$10)</f>
        <v>123273.00765133061</v>
      </c>
      <c r="K1135" s="8">
        <f t="shared" si="17"/>
        <v>799590.00765133067</v>
      </c>
      <c r="L1135">
        <f>IFERROR(VLOOKUP(F1135,'LEAID Match'!$A$2:$B$240,2,FALSE),"")</f>
        <v>0</v>
      </c>
    </row>
    <row r="1136" spans="1:12" x14ac:dyDescent="0.2">
      <c r="A1136">
        <v>0</v>
      </c>
      <c r="B1136">
        <v>2023</v>
      </c>
      <c r="C1136" s="4" t="s">
        <v>235</v>
      </c>
      <c r="D1136" s="4" t="s">
        <v>576</v>
      </c>
      <c r="E1136" s="4" t="s">
        <v>578</v>
      </c>
      <c r="F1136" s="4" t="s">
        <v>194</v>
      </c>
      <c r="G1136" s="8">
        <v>730395</v>
      </c>
      <c r="I1136" s="16" cm="1">
        <f t="array" ref="I1136">_xlfn.IFS(B1136=2015,G1136/$H$1957,B1136=2016,G1136/$H$1958,B1136=2017,G1136/$H$1959,B1136=2018,G1136/$H$1960,B1136=2019,G1136/$H$1961,B1136=2020,G1136/$H$1962,B1136=2021,G1136/$H$1963,B1136=2022,G1136/$H$1964,B1136=2023,G1136/$H$1965)</f>
        <v>7.3951733456850308E-4</v>
      </c>
      <c r="J1136" s="10" cm="1">
        <f t="array" ref="J1136">_xlfn.IFS(B1136=2015,I1136*$G$2,B1136=2016,I1136*$G$3,B1136=2017,I1136*$G$4,B1136=2018,I1136*$G$5,B1136=2019,I1136*$G$6,B1136=2020,I1136*$G$7,B1136=2021,I1136*$G$8,B1136=2022,I1136*$G$9,B1136=2023,I1136*$G$10)</f>
        <v>125707.09002265672</v>
      </c>
      <c r="K1136" s="8">
        <f t="shared" si="17"/>
        <v>856102.09002265672</v>
      </c>
      <c r="L1136">
        <f>IFERROR(VLOOKUP(F1136,'LEAID Match'!$A$2:$B$240,2,FALSE),"")</f>
        <v>0</v>
      </c>
    </row>
    <row r="1137" spans="1:12" x14ac:dyDescent="0.2">
      <c r="A1137">
        <v>0</v>
      </c>
      <c r="B1137">
        <v>2015</v>
      </c>
      <c r="C1137" s="4" t="s">
        <v>236</v>
      </c>
      <c r="D1137" s="4" t="s">
        <v>576</v>
      </c>
      <c r="E1137" s="4" t="s">
        <v>578</v>
      </c>
      <c r="F1137" s="4" t="s">
        <v>195</v>
      </c>
      <c r="G1137" s="8">
        <v>230547</v>
      </c>
      <c r="I1137" s="16" cm="1">
        <f t="array" ref="I1137">_xlfn.IFS(B1137=2015,G1137/$H$1957,B1137=2016,G1137/$H$1958,B1137=2017,G1137/$H$1959,B1137=2018,G1137/$H$1960,B1137=2019,G1137/$H$1961,B1137=2020,G1137/$H$1962,B1137=2021,G1137/$H$1963,B1137=2022,G1137/$H$1964,B1137=2023,G1137/$H$1965)</f>
        <v>1.780418780998113E-4</v>
      </c>
      <c r="J1137" s="10" cm="1">
        <f t="array" ref="J1137">_xlfn.IFS(B1137=2015,I1137*$G$2,B1137=2016,I1137*$G$3,B1137=2017,I1137*$G$4,B1137=2018,I1137*$G$5,B1137=2019,I1137*$G$6,B1137=2020,I1137*$G$7,B1137=2021,I1137*$G$8,B1137=2022,I1137*$G$9,B1137=2023,I1137*$G$10)</f>
        <v>44268.791028573185</v>
      </c>
      <c r="K1137" s="8">
        <f t="shared" si="17"/>
        <v>274815.79102857318</v>
      </c>
      <c r="L1137">
        <f>IFERROR(VLOOKUP(F1137,'LEAID Match'!$A$2:$B$240,2,FALSE),"")</f>
        <v>0</v>
      </c>
    </row>
    <row r="1138" spans="1:12" x14ac:dyDescent="0.2">
      <c r="A1138">
        <v>0</v>
      </c>
      <c r="B1138">
        <v>2016</v>
      </c>
      <c r="C1138" s="4" t="s">
        <v>236</v>
      </c>
      <c r="D1138" s="4" t="s">
        <v>576</v>
      </c>
      <c r="E1138" s="4" t="s">
        <v>578</v>
      </c>
      <c r="F1138" s="4" t="s">
        <v>195</v>
      </c>
      <c r="G1138" s="8">
        <v>234957</v>
      </c>
      <c r="I1138" s="16" cm="1">
        <f t="array" ref="I1138">_xlfn.IFS(B1138=2015,G1138/$H$1957,B1138=2016,G1138/$H$1958,B1138=2017,G1138/$H$1959,B1138=2018,G1138/$H$1960,B1138=2019,G1138/$H$1961,B1138=2020,G1138/$H$1962,B1138=2021,G1138/$H$1963,B1138=2022,G1138/$H$1964,B1138=2023,G1138/$H$1965)</f>
        <v>1.6493971355435348E-4</v>
      </c>
      <c r="J1138" s="10" cm="1">
        <f t="array" ref="J1138">_xlfn.IFS(B1138=2015,I1138*$G$2,B1138=2016,I1138*$G$3,B1138=2017,I1138*$G$4,B1138=2018,I1138*$G$5,B1138=2019,I1138*$G$6,B1138=2020,I1138*$G$7,B1138=2021,I1138*$G$8,B1138=2022,I1138*$G$9,B1138=2023,I1138*$G$10)</f>
        <v>44732.158330258411</v>
      </c>
      <c r="K1138" s="8">
        <f t="shared" si="17"/>
        <v>279689.15833025839</v>
      </c>
      <c r="L1138">
        <f>IFERROR(VLOOKUP(F1138,'LEAID Match'!$A$2:$B$240,2,FALSE),"")</f>
        <v>0</v>
      </c>
    </row>
    <row r="1139" spans="1:12" x14ac:dyDescent="0.2">
      <c r="A1139">
        <v>0</v>
      </c>
      <c r="B1139">
        <v>2017</v>
      </c>
      <c r="C1139" s="4" t="s">
        <v>236</v>
      </c>
      <c r="D1139" s="4" t="s">
        <v>576</v>
      </c>
      <c r="E1139" s="4" t="s">
        <v>578</v>
      </c>
      <c r="F1139" s="4" t="s">
        <v>195</v>
      </c>
      <c r="G1139" s="8">
        <v>131542</v>
      </c>
      <c r="I1139" s="16" cm="1">
        <f t="array" ref="I1139">_xlfn.IFS(B1139=2015,G1139/$H$1957,B1139=2016,G1139/$H$1958,B1139=2017,G1139/$H$1959,B1139=2018,G1139/$H$1960,B1139=2019,G1139/$H$1961,B1139=2020,G1139/$H$1962,B1139=2021,G1139/$H$1963,B1139=2022,G1139/$H$1964,B1139=2023,G1139/$H$1965)</f>
        <v>1.7550502109509194E-4</v>
      </c>
      <c r="J1139" s="10" cm="1">
        <f t="array" ref="J1139">_xlfn.IFS(B1139=2015,I1139*$G$2,B1139=2016,I1139*$G$3,B1139=2017,I1139*$G$4,B1139=2018,I1139*$G$5,B1139=2019,I1139*$G$6,B1139=2020,I1139*$G$7,B1139=2021,I1139*$G$8,B1139=2022,I1139*$G$9,B1139=2023,I1139*$G$10)</f>
        <v>25989.939575335167</v>
      </c>
      <c r="K1139" s="8">
        <f t="shared" si="17"/>
        <v>157531.93957533516</v>
      </c>
      <c r="L1139">
        <f>IFERROR(VLOOKUP(F1139,'LEAID Match'!$A$2:$B$240,2,FALSE),"")</f>
        <v>0</v>
      </c>
    </row>
    <row r="1140" spans="1:12" x14ac:dyDescent="0.2">
      <c r="A1140">
        <v>0</v>
      </c>
      <c r="B1140">
        <v>2018</v>
      </c>
      <c r="C1140" s="4" t="s">
        <v>236</v>
      </c>
      <c r="D1140" s="4" t="s">
        <v>576</v>
      </c>
      <c r="E1140" s="4" t="s">
        <v>578</v>
      </c>
      <c r="F1140" s="4" t="s">
        <v>195</v>
      </c>
      <c r="G1140" s="8">
        <v>131720</v>
      </c>
      <c r="I1140" s="16" cm="1">
        <f t="array" ref="I1140">_xlfn.IFS(B1140=2015,G1140/$H$1957,B1140=2016,G1140/$H$1958,B1140=2017,G1140/$H$1959,B1140=2018,G1140/$H$1960,B1140=2019,G1140/$H$1961,B1140=2020,G1140/$H$1962,B1140=2021,G1140/$H$1963,B1140=2022,G1140/$H$1964,B1140=2023,G1140/$H$1965)</f>
        <v>1.694855001294508E-4</v>
      </c>
      <c r="J1140" s="10" cm="1">
        <f t="array" ref="J1140">_xlfn.IFS(B1140=2015,I1140*$G$2,B1140=2016,I1140*$G$3,B1140=2017,I1140*$G$4,B1140=2018,I1140*$G$5,B1140=2019,I1140*$G$6,B1140=2020,I1140*$G$7,B1140=2021,I1140*$G$8,B1140=2022,I1140*$G$9,B1140=2023,I1140*$G$10)</f>
        <v>25511.622540587443</v>
      </c>
      <c r="K1140" s="8">
        <f t="shared" si="17"/>
        <v>157231.62254058744</v>
      </c>
      <c r="L1140">
        <f>IFERROR(VLOOKUP(F1140,'LEAID Match'!$A$2:$B$240,2,FALSE),"")</f>
        <v>0</v>
      </c>
    </row>
    <row r="1141" spans="1:12" x14ac:dyDescent="0.2">
      <c r="A1141">
        <v>0</v>
      </c>
      <c r="B1141">
        <v>2019</v>
      </c>
      <c r="C1141" s="4" t="s">
        <v>236</v>
      </c>
      <c r="D1141" s="4" t="s">
        <v>576</v>
      </c>
      <c r="E1141" s="4" t="s">
        <v>578</v>
      </c>
      <c r="F1141" s="4" t="s">
        <v>195</v>
      </c>
      <c r="G1141" s="8">
        <v>118412</v>
      </c>
      <c r="I1141" s="16" cm="1">
        <f t="array" ref="I1141">_xlfn.IFS(B1141=2015,G1141/$H$1957,B1141=2016,G1141/$H$1958,B1141=2017,G1141/$H$1959,B1141=2018,G1141/$H$1960,B1141=2019,G1141/$H$1961,B1141=2020,G1141/$H$1962,B1141=2021,G1141/$H$1963,B1141=2022,G1141/$H$1964,B1141=2023,G1141/$H$1965)</f>
        <v>1.471620370602359E-4</v>
      </c>
      <c r="J1141" s="10" cm="1">
        <f t="array" ref="J1141">_xlfn.IFS(B1141=2015,I1141*$G$2,B1141=2016,I1141*$G$3,B1141=2017,I1141*$G$4,B1141=2018,I1141*$G$5,B1141=2019,I1141*$G$6,B1141=2020,I1141*$G$7,B1141=2021,I1141*$G$8,B1141=2022,I1141*$G$9,B1141=2023,I1141*$G$10)</f>
        <v>23255.74034632348</v>
      </c>
      <c r="K1141" s="8">
        <f t="shared" si="17"/>
        <v>141667.74034632347</v>
      </c>
      <c r="L1141">
        <f>IFERROR(VLOOKUP(F1141,'LEAID Match'!$A$2:$B$240,2,FALSE),"")</f>
        <v>0</v>
      </c>
    </row>
    <row r="1142" spans="1:12" x14ac:dyDescent="0.2">
      <c r="A1142">
        <v>0</v>
      </c>
      <c r="B1142">
        <v>2020</v>
      </c>
      <c r="C1142" s="4" t="s">
        <v>236</v>
      </c>
      <c r="D1142" s="4" t="s">
        <v>576</v>
      </c>
      <c r="E1142" s="4" t="s">
        <v>578</v>
      </c>
      <c r="F1142" s="4" t="s">
        <v>195</v>
      </c>
      <c r="G1142" s="8">
        <v>138068</v>
      </c>
      <c r="I1142" s="16" cm="1">
        <f t="array" ref="I1142">_xlfn.IFS(B1142=2015,G1142/$H$1957,B1142=2016,G1142/$H$1958,B1142=2017,G1142/$H$1959,B1142=2018,G1142/$H$1960,B1142=2019,G1142/$H$1961,B1142=2020,G1142/$H$1962,B1142=2021,G1142/$H$1963,B1142=2022,G1142/$H$1964,B1142=2023,G1142/$H$1965)</f>
        <v>1.5880075703615407E-4</v>
      </c>
      <c r="J1142" s="10" cm="1">
        <f t="array" ref="J1142">_xlfn.IFS(B1142=2015,I1142*$G$2,B1142=2016,I1142*$G$3,B1142=2017,I1142*$G$4,B1142=2018,I1142*$G$5,B1142=2019,I1142*$G$6,B1142=2020,I1142*$G$7,B1142=2021,I1142*$G$8,B1142=2022,I1142*$G$9,B1142=2023,I1142*$G$10)</f>
        <v>27422.333095150985</v>
      </c>
      <c r="K1142" s="8">
        <f t="shared" si="17"/>
        <v>165490.333095151</v>
      </c>
      <c r="L1142">
        <f>IFERROR(VLOOKUP(F1142,'LEAID Match'!$A$2:$B$240,2,FALSE),"")</f>
        <v>0</v>
      </c>
    </row>
    <row r="1143" spans="1:12" x14ac:dyDescent="0.2">
      <c r="A1143">
        <v>0</v>
      </c>
      <c r="B1143">
        <v>2021</v>
      </c>
      <c r="C1143" s="4" t="s">
        <v>236</v>
      </c>
      <c r="D1143" s="4" t="s">
        <v>576</v>
      </c>
      <c r="E1143" s="4" t="s">
        <v>578</v>
      </c>
      <c r="F1143" s="4" t="s">
        <v>195</v>
      </c>
      <c r="G1143" s="8">
        <v>141861</v>
      </c>
      <c r="I1143" s="16" cm="1">
        <f t="array" ref="I1143">_xlfn.IFS(B1143=2015,G1143/$H$1957,B1143=2016,G1143/$H$1958,B1143=2017,G1143/$H$1959,B1143=2018,G1143/$H$1960,B1143=2019,G1143/$H$1961,B1143=2020,G1143/$H$1962,B1143=2021,G1143/$H$1963,B1143=2022,G1143/$H$1964,B1143=2023,G1143/$H$1965)</f>
        <v>1.6211802606446363E-4</v>
      </c>
      <c r="J1143" s="10" cm="1">
        <f t="array" ref="J1143">_xlfn.IFS(B1143=2015,I1143*$G$2,B1143=2016,I1143*$G$3,B1143=2017,I1143*$G$4,B1143=2018,I1143*$G$5,B1143=2019,I1143*$G$6,B1143=2020,I1143*$G$7,B1143=2021,I1143*$G$8,B1143=2022,I1143*$G$9,B1143=2023,I1143*$G$10)</f>
        <v>27822.182691748778</v>
      </c>
      <c r="K1143" s="8">
        <f t="shared" si="17"/>
        <v>169683.18269174878</v>
      </c>
      <c r="L1143">
        <f>IFERROR(VLOOKUP(F1143,'LEAID Match'!$A$2:$B$240,2,FALSE),"")</f>
        <v>0</v>
      </c>
    </row>
    <row r="1144" spans="1:12" x14ac:dyDescent="0.2">
      <c r="A1144">
        <v>0</v>
      </c>
      <c r="B1144">
        <v>2022</v>
      </c>
      <c r="C1144" s="4" t="s">
        <v>236</v>
      </c>
      <c r="D1144" s="4" t="s">
        <v>576</v>
      </c>
      <c r="E1144" s="4" t="s">
        <v>578</v>
      </c>
      <c r="F1144" s="4" t="s">
        <v>195</v>
      </c>
      <c r="G1144" s="8">
        <v>147791</v>
      </c>
      <c r="I1144" s="16" cm="1">
        <f t="array" ref="I1144">_xlfn.IFS(B1144=2015,G1144/$H$1957,B1144=2016,G1144/$H$1958,B1144=2017,G1144/$H$1959,B1144=2018,G1144/$H$1960,B1144=2019,G1144/$H$1961,B1144=2020,G1144/$H$1962,B1144=2021,G1144/$H$1963,B1144=2022,G1144/$H$1964,B1144=2023,G1144/$H$1965)</f>
        <v>1.5884610789132763E-4</v>
      </c>
      <c r="J1144" s="10" cm="1">
        <f t="array" ref="J1144">_xlfn.IFS(B1144=2015,I1144*$G$2,B1144=2016,I1144*$G$3,B1144=2017,I1144*$G$4,B1144=2018,I1144*$G$5,B1144=2019,I1144*$G$6,B1144=2020,I1144*$G$7,B1144=2021,I1144*$G$8,B1144=2022,I1144*$G$9,B1144=2023,I1144*$G$10)</f>
        <v>26938.020297874817</v>
      </c>
      <c r="K1144" s="8">
        <f t="shared" si="17"/>
        <v>174729.02029787481</v>
      </c>
      <c r="L1144">
        <f>IFERROR(VLOOKUP(F1144,'LEAID Match'!$A$2:$B$240,2,FALSE),"")</f>
        <v>0</v>
      </c>
    </row>
    <row r="1145" spans="1:12" x14ac:dyDescent="0.2">
      <c r="A1145">
        <v>0</v>
      </c>
      <c r="B1145">
        <v>2023</v>
      </c>
      <c r="C1145" s="4" t="s">
        <v>236</v>
      </c>
      <c r="D1145" s="4" t="s">
        <v>576</v>
      </c>
      <c r="E1145" s="4" t="s">
        <v>578</v>
      </c>
      <c r="F1145" s="4" t="s">
        <v>195</v>
      </c>
      <c r="G1145" s="8">
        <v>155746</v>
      </c>
      <c r="I1145" s="16" cm="1">
        <f t="array" ref="I1145">_xlfn.IFS(B1145=2015,G1145/$H$1957,B1145=2016,G1145/$H$1958,B1145=2017,G1145/$H$1959,B1145=2018,G1145/$H$1960,B1145=2019,G1145/$H$1961,B1145=2020,G1145/$H$1962,B1145=2021,G1145/$H$1963,B1145=2022,G1145/$H$1964,B1145=2023,G1145/$H$1965)</f>
        <v>1.5769120378658958E-4</v>
      </c>
      <c r="J1145" s="10" cm="1">
        <f t="array" ref="J1145">_xlfn.IFS(B1145=2015,I1145*$G$2,B1145=2016,I1145*$G$3,B1145=2017,I1145*$G$4,B1145=2018,I1145*$G$5,B1145=2019,I1145*$G$6,B1145=2020,I1145*$G$7,B1145=2021,I1145*$G$8,B1145=2022,I1145*$G$9,B1145=2023,I1145*$G$10)</f>
        <v>26805.189579157439</v>
      </c>
      <c r="K1145" s="8">
        <f t="shared" si="17"/>
        <v>182551.18957915745</v>
      </c>
      <c r="L1145">
        <f>IFERROR(VLOOKUP(F1145,'LEAID Match'!$A$2:$B$240,2,FALSE),"")</f>
        <v>0</v>
      </c>
    </row>
    <row r="1146" spans="1:12" x14ac:dyDescent="0.2">
      <c r="A1146">
        <v>0</v>
      </c>
      <c r="B1146">
        <v>2015</v>
      </c>
      <c r="C1146" s="4" t="s">
        <v>237</v>
      </c>
      <c r="D1146" s="4" t="s">
        <v>576</v>
      </c>
      <c r="E1146" s="4" t="s">
        <v>578</v>
      </c>
      <c r="F1146" s="4" t="s">
        <v>196</v>
      </c>
      <c r="G1146" s="8">
        <v>264453</v>
      </c>
      <c r="I1146" s="16" cm="1">
        <f t="array" ref="I1146">_xlfn.IFS(B1146=2015,G1146/$H$1957,B1146=2016,G1146/$H$1958,B1146=2017,G1146/$H$1959,B1146=2018,G1146/$H$1960,B1146=2019,G1146/$H$1961,B1146=2020,G1146/$H$1962,B1146=2021,G1146/$H$1963,B1146=2022,G1146/$H$1964,B1146=2023,G1146/$H$1965)</f>
        <v>2.0422607446260156E-4</v>
      </c>
      <c r="J1146" s="10" cm="1">
        <f t="array" ref="J1146">_xlfn.IFS(B1146=2015,I1146*$G$2,B1146=2016,I1146*$G$3,B1146=2017,I1146*$G$4,B1146=2018,I1146*$G$5,B1146=2019,I1146*$G$6,B1146=2020,I1146*$G$7,B1146=2021,I1146*$G$8,B1146=2022,I1146*$G$9,B1146=2023,I1146*$G$10)</f>
        <v>50779.297036522992</v>
      </c>
      <c r="K1146" s="8">
        <f t="shared" si="17"/>
        <v>315232.297036523</v>
      </c>
      <c r="L1146">
        <f>IFERROR(VLOOKUP(F1146,'LEAID Match'!$A$2:$B$240,2,FALSE),"")</f>
        <v>0</v>
      </c>
    </row>
    <row r="1147" spans="1:12" x14ac:dyDescent="0.2">
      <c r="A1147">
        <v>0</v>
      </c>
      <c r="B1147">
        <v>2016</v>
      </c>
      <c r="C1147" s="4" t="s">
        <v>237</v>
      </c>
      <c r="D1147" s="4" t="s">
        <v>576</v>
      </c>
      <c r="E1147" s="4" t="s">
        <v>578</v>
      </c>
      <c r="F1147" s="4" t="s">
        <v>196</v>
      </c>
      <c r="G1147" s="8">
        <v>295609</v>
      </c>
      <c r="I1147" s="16" cm="1">
        <f t="array" ref="I1147">_xlfn.IFS(B1147=2015,G1147/$H$1957,B1147=2016,G1147/$H$1958,B1147=2017,G1147/$H$1959,B1147=2018,G1147/$H$1960,B1147=2019,G1147/$H$1961,B1147=2020,G1147/$H$1962,B1147=2021,G1147/$H$1963,B1147=2022,G1147/$H$1964,B1147=2023,G1147/$H$1965)</f>
        <v>2.0751739162522877E-4</v>
      </c>
      <c r="J1147" s="10" cm="1">
        <f t="array" ref="J1147">_xlfn.IFS(B1147=2015,I1147*$G$2,B1147=2016,I1147*$G$3,B1147=2017,I1147*$G$4,B1147=2018,I1147*$G$5,B1147=2019,I1147*$G$6,B1147=2020,I1147*$G$7,B1147=2021,I1147*$G$8,B1147=2022,I1147*$G$9,B1147=2023,I1147*$G$10)</f>
        <v>56279.355762328247</v>
      </c>
      <c r="K1147" s="8">
        <f t="shared" si="17"/>
        <v>351888.35576232825</v>
      </c>
      <c r="L1147">
        <f>IFERROR(VLOOKUP(F1147,'LEAID Match'!$A$2:$B$240,2,FALSE),"")</f>
        <v>0</v>
      </c>
    </row>
    <row r="1148" spans="1:12" x14ac:dyDescent="0.2">
      <c r="A1148">
        <v>0</v>
      </c>
      <c r="B1148">
        <v>2017</v>
      </c>
      <c r="C1148" s="4" t="s">
        <v>237</v>
      </c>
      <c r="D1148" s="4" t="s">
        <v>576</v>
      </c>
      <c r="E1148" s="4" t="s">
        <v>578</v>
      </c>
      <c r="F1148" s="4" t="s">
        <v>196</v>
      </c>
      <c r="G1148" s="8">
        <v>149654</v>
      </c>
      <c r="I1148" s="16" cm="1">
        <f t="array" ref="I1148">_xlfn.IFS(B1148=2015,G1148/$H$1957,B1148=2016,G1148/$H$1958,B1148=2017,G1148/$H$1959,B1148=2018,G1148/$H$1960,B1148=2019,G1148/$H$1961,B1148=2020,G1148/$H$1962,B1148=2021,G1148/$H$1963,B1148=2022,G1148/$H$1964,B1148=2023,G1148/$H$1965)</f>
        <v>1.9967028346052886E-4</v>
      </c>
      <c r="J1148" s="10" cm="1">
        <f t="array" ref="J1148">_xlfn.IFS(B1148=2015,I1148*$G$2,B1148=2016,I1148*$G$3,B1148=2017,I1148*$G$4,B1148=2018,I1148*$G$5,B1148=2019,I1148*$G$6,B1148=2020,I1148*$G$7,B1148=2021,I1148*$G$8,B1148=2022,I1148*$G$9,B1148=2023,I1148*$G$10)</f>
        <v>29568.490802992266</v>
      </c>
      <c r="K1148" s="8">
        <f t="shared" si="17"/>
        <v>179222.49080299225</v>
      </c>
      <c r="L1148">
        <f>IFERROR(VLOOKUP(F1148,'LEAID Match'!$A$2:$B$240,2,FALSE),"")</f>
        <v>0</v>
      </c>
    </row>
    <row r="1149" spans="1:12" x14ac:dyDescent="0.2">
      <c r="A1149">
        <v>0</v>
      </c>
      <c r="B1149">
        <v>2018</v>
      </c>
      <c r="C1149" s="4" t="s">
        <v>237</v>
      </c>
      <c r="D1149" s="4" t="s">
        <v>576</v>
      </c>
      <c r="E1149" s="4" t="s">
        <v>578</v>
      </c>
      <c r="F1149" s="4" t="s">
        <v>196</v>
      </c>
      <c r="G1149" s="8">
        <v>152175</v>
      </c>
      <c r="I1149" s="16" cm="1">
        <f t="array" ref="I1149">_xlfn.IFS(B1149=2015,G1149/$H$1957,B1149=2016,G1149/$H$1958,B1149=2017,G1149/$H$1959,B1149=2018,G1149/$H$1960,B1149=2019,G1149/$H$1961,B1149=2020,G1149/$H$1962,B1149=2021,G1149/$H$1963,B1149=2022,G1149/$H$1964,B1149=2023,G1149/$H$1965)</f>
        <v>1.9580516233069523E-4</v>
      </c>
      <c r="J1149" s="10" cm="1">
        <f t="array" ref="J1149">_xlfn.IFS(B1149=2015,I1149*$G$2,B1149=2016,I1149*$G$3,B1149=2017,I1149*$G$4,B1149=2018,I1149*$G$5,B1149=2019,I1149*$G$6,B1149=2020,I1149*$G$7,B1149=2021,I1149*$G$8,B1149=2022,I1149*$G$9,B1149=2023,I1149*$G$10)</f>
        <v>29473.361373473232</v>
      </c>
      <c r="K1149" s="8">
        <f t="shared" si="17"/>
        <v>181648.36137347322</v>
      </c>
      <c r="L1149">
        <f>IFERROR(VLOOKUP(F1149,'LEAID Match'!$A$2:$B$240,2,FALSE),"")</f>
        <v>0</v>
      </c>
    </row>
    <row r="1150" spans="1:12" x14ac:dyDescent="0.2">
      <c r="A1150">
        <v>0</v>
      </c>
      <c r="B1150">
        <v>2019</v>
      </c>
      <c r="C1150" s="4" t="s">
        <v>237</v>
      </c>
      <c r="D1150" s="4" t="s">
        <v>576</v>
      </c>
      <c r="E1150" s="4" t="s">
        <v>578</v>
      </c>
      <c r="F1150" s="4" t="s">
        <v>196</v>
      </c>
      <c r="G1150" s="8">
        <v>149336</v>
      </c>
      <c r="I1150" s="16" cm="1">
        <f t="array" ref="I1150">_xlfn.IFS(B1150=2015,G1150/$H$1957,B1150=2016,G1150/$H$1958,B1150=2017,G1150/$H$1959,B1150=2018,G1150/$H$1960,B1150=2019,G1150/$H$1961,B1150=2020,G1150/$H$1962,B1150=2021,G1150/$H$1963,B1150=2022,G1150/$H$1964,B1150=2023,G1150/$H$1965)</f>
        <v>1.8559428070151159E-4</v>
      </c>
      <c r="J1150" s="10" cm="1">
        <f t="array" ref="J1150">_xlfn.IFS(B1150=2015,I1150*$G$2,B1150=2016,I1150*$G$3,B1150=2017,I1150*$G$4,B1150=2018,I1150*$G$5,B1150=2019,I1150*$G$6,B1150=2020,I1150*$G$7,B1150=2021,I1150*$G$8,B1150=2022,I1150*$G$9,B1150=2023,I1150*$G$10)</f>
        <v>29329.115633200719</v>
      </c>
      <c r="K1150" s="8">
        <f t="shared" si="17"/>
        <v>178665.11563320071</v>
      </c>
      <c r="L1150">
        <f>IFERROR(VLOOKUP(F1150,'LEAID Match'!$A$2:$B$240,2,FALSE),"")</f>
        <v>0</v>
      </c>
    </row>
    <row r="1151" spans="1:12" x14ac:dyDescent="0.2">
      <c r="A1151">
        <v>0</v>
      </c>
      <c r="B1151">
        <v>2020</v>
      </c>
      <c r="C1151" s="4" t="s">
        <v>237</v>
      </c>
      <c r="D1151" s="4" t="s">
        <v>576</v>
      </c>
      <c r="E1151" s="4" t="s">
        <v>578</v>
      </c>
      <c r="F1151" s="4" t="s">
        <v>196</v>
      </c>
      <c r="G1151" s="8">
        <v>164325</v>
      </c>
      <c r="I1151" s="16" cm="1">
        <f t="array" ref="I1151">_xlfn.IFS(B1151=2015,G1151/$H$1957,B1151=2016,G1151/$H$1958,B1151=2017,G1151/$H$1959,B1151=2018,G1151/$H$1960,B1151=2019,G1151/$H$1961,B1151=2020,G1151/$H$1962,B1151=2021,G1151/$H$1963,B1151=2022,G1151/$H$1964,B1151=2023,G1151/$H$1965)</f>
        <v>1.8900059680712416E-4</v>
      </c>
      <c r="J1151" s="10" cm="1">
        <f t="array" ref="J1151">_xlfn.IFS(B1151=2015,I1151*$G$2,B1151=2016,I1151*$G$3,B1151=2017,I1151*$G$4,B1151=2018,I1151*$G$5,B1151=2019,I1151*$G$6,B1151=2020,I1151*$G$7,B1151=2021,I1151*$G$8,B1151=2022,I1151*$G$9,B1151=2023,I1151*$G$10)</f>
        <v>32637.359024978166</v>
      </c>
      <c r="K1151" s="8">
        <f t="shared" si="17"/>
        <v>196962.35902497816</v>
      </c>
      <c r="L1151">
        <f>IFERROR(VLOOKUP(F1151,'LEAID Match'!$A$2:$B$240,2,FALSE),"")</f>
        <v>0</v>
      </c>
    </row>
    <row r="1152" spans="1:12" x14ac:dyDescent="0.2">
      <c r="A1152">
        <v>0</v>
      </c>
      <c r="B1152">
        <v>2021</v>
      </c>
      <c r="C1152" s="4" t="s">
        <v>237</v>
      </c>
      <c r="D1152" s="4" t="s">
        <v>576</v>
      </c>
      <c r="E1152" s="4" t="s">
        <v>578</v>
      </c>
      <c r="F1152" s="4" t="s">
        <v>196</v>
      </c>
      <c r="G1152" s="8">
        <v>175556</v>
      </c>
      <c r="I1152" s="16" cm="1">
        <f t="array" ref="I1152">_xlfn.IFS(B1152=2015,G1152/$H$1957,B1152=2016,G1152/$H$1958,B1152=2017,G1152/$H$1959,B1152=2018,G1152/$H$1960,B1152=2019,G1152/$H$1961,B1152=2020,G1152/$H$1962,B1152=2021,G1152/$H$1963,B1152=2022,G1152/$H$1964,B1152=2023,G1152/$H$1965)</f>
        <v>2.0062449992438354E-4</v>
      </c>
      <c r="J1152" s="10" cm="1">
        <f t="array" ref="J1152">_xlfn.IFS(B1152=2015,I1152*$G$2,B1152=2016,I1152*$G$3,B1152=2017,I1152*$G$4,B1152=2018,I1152*$G$5,B1152=2019,I1152*$G$6,B1152=2020,I1152*$G$7,B1152=2021,I1152*$G$8,B1152=2022,I1152*$G$9,B1152=2023,I1152*$G$10)</f>
        <v>34430.541901104945</v>
      </c>
      <c r="K1152" s="8">
        <f t="shared" si="17"/>
        <v>209986.54190110494</v>
      </c>
      <c r="L1152">
        <f>IFERROR(VLOOKUP(F1152,'LEAID Match'!$A$2:$B$240,2,FALSE),"")</f>
        <v>0</v>
      </c>
    </row>
    <row r="1153" spans="1:12" x14ac:dyDescent="0.2">
      <c r="A1153">
        <v>0</v>
      </c>
      <c r="B1153">
        <v>2022</v>
      </c>
      <c r="C1153" s="4" t="s">
        <v>237</v>
      </c>
      <c r="D1153" s="4" t="s">
        <v>576</v>
      </c>
      <c r="E1153" s="4" t="s">
        <v>578</v>
      </c>
      <c r="F1153" s="4" t="s">
        <v>196</v>
      </c>
      <c r="G1153" s="8">
        <v>188133</v>
      </c>
      <c r="I1153" s="16" cm="1">
        <f t="array" ref="I1153">_xlfn.IFS(B1153=2015,G1153/$H$1957,B1153=2016,G1153/$H$1958,B1153=2017,G1153/$H$1959,B1153=2018,G1153/$H$1960,B1153=2019,G1153/$H$1961,B1153=2020,G1153/$H$1962,B1153=2021,G1153/$H$1963,B1153=2022,G1153/$H$1964,B1153=2023,G1153/$H$1965)</f>
        <v>2.0220578259785198E-4</v>
      </c>
      <c r="J1153" s="10" cm="1">
        <f t="array" ref="J1153">_xlfn.IFS(B1153=2015,I1153*$G$2,B1153=2016,I1153*$G$3,B1153=2017,I1153*$G$4,B1153=2018,I1153*$G$5,B1153=2019,I1153*$G$6,B1153=2020,I1153*$G$7,B1153=2021,I1153*$G$8,B1153=2022,I1153*$G$9,B1153=2023,I1153*$G$10)</f>
        <v>34291.198873409638</v>
      </c>
      <c r="K1153" s="8">
        <f t="shared" si="17"/>
        <v>222424.19887340965</v>
      </c>
      <c r="L1153">
        <f>IFERROR(VLOOKUP(F1153,'LEAID Match'!$A$2:$B$240,2,FALSE),"")</f>
        <v>0</v>
      </c>
    </row>
    <row r="1154" spans="1:12" x14ac:dyDescent="0.2">
      <c r="A1154">
        <v>0</v>
      </c>
      <c r="B1154">
        <v>2023</v>
      </c>
      <c r="C1154" s="4" t="s">
        <v>237</v>
      </c>
      <c r="D1154" s="4" t="s">
        <v>576</v>
      </c>
      <c r="E1154" s="4" t="s">
        <v>578</v>
      </c>
      <c r="F1154" s="4" t="s">
        <v>196</v>
      </c>
      <c r="G1154" s="8">
        <v>218288</v>
      </c>
      <c r="I1154" s="16" cm="1">
        <f t="array" ref="I1154">_xlfn.IFS(B1154=2015,G1154/$H$1957,B1154=2016,G1154/$H$1958,B1154=2017,G1154/$H$1959,B1154=2018,G1154/$H$1960,B1154=2019,G1154/$H$1961,B1154=2020,G1154/$H$1962,B1154=2021,G1154/$H$1963,B1154=2022,G1154/$H$1964,B1154=2023,G1154/$H$1965)</f>
        <v>2.2101432776550965E-4</v>
      </c>
      <c r="J1154" s="10" cm="1">
        <f t="array" ref="J1154">_xlfn.IFS(B1154=2015,I1154*$G$2,B1154=2016,I1154*$G$3,B1154=2017,I1154*$G$4,B1154=2018,I1154*$G$5,B1154=2019,I1154*$G$6,B1154=2020,I1154*$G$7,B1154=2021,I1154*$G$8,B1154=2022,I1154*$G$9,B1154=2023,I1154*$G$10)</f>
        <v>37569.191008790716</v>
      </c>
      <c r="K1154" s="8">
        <f t="shared" si="17"/>
        <v>255857.19100879072</v>
      </c>
      <c r="L1154">
        <f>IFERROR(VLOOKUP(F1154,'LEAID Match'!$A$2:$B$240,2,FALSE),"")</f>
        <v>0</v>
      </c>
    </row>
    <row r="1155" spans="1:12" x14ac:dyDescent="0.2">
      <c r="A1155">
        <v>0</v>
      </c>
      <c r="B1155">
        <v>2015</v>
      </c>
      <c r="C1155" s="4" t="s">
        <v>238</v>
      </c>
      <c r="D1155" s="4" t="s">
        <v>576</v>
      </c>
      <c r="E1155" s="4" t="s">
        <v>578</v>
      </c>
      <c r="F1155" s="4" t="s">
        <v>197</v>
      </c>
      <c r="G1155" s="8">
        <v>11719</v>
      </c>
      <c r="I1155" s="16" cm="1">
        <f t="array" ref="I1155">_xlfn.IFS(B1155=2015,G1155/$H$1957,B1155=2016,G1155/$H$1958,B1155=2017,G1155/$H$1959,B1155=2018,G1155/$H$1960,B1155=2019,G1155/$H$1961,B1155=2020,G1155/$H$1962,B1155=2021,G1155/$H$1963,B1155=2022,G1155/$H$1964,B1155=2023,G1155/$H$1965)</f>
        <v>9.0500972446038707E-6</v>
      </c>
      <c r="J1155" s="10" cm="1">
        <f t="array" ref="J1155">_xlfn.IFS(B1155=2015,I1155*$G$2,B1155=2016,I1155*$G$3,B1155=2017,I1155*$G$4,B1155=2018,I1155*$G$5,B1155=2019,I1155*$G$6,B1155=2020,I1155*$G$7,B1155=2021,I1155*$G$8,B1155=2022,I1155*$G$9,B1155=2023,I1155*$G$10)</f>
        <v>2250.2394828987112</v>
      </c>
      <c r="K1155" s="8">
        <f t="shared" si="17"/>
        <v>13969.239482898711</v>
      </c>
      <c r="L1155">
        <f>IFERROR(VLOOKUP(F1155,'LEAID Match'!$A$2:$B$240,2,FALSE),"")</f>
        <v>0</v>
      </c>
    </row>
    <row r="1156" spans="1:12" x14ac:dyDescent="0.2">
      <c r="A1156">
        <v>0</v>
      </c>
      <c r="B1156">
        <v>2016</v>
      </c>
      <c r="C1156" s="4" t="s">
        <v>238</v>
      </c>
      <c r="D1156" s="4" t="s">
        <v>576</v>
      </c>
      <c r="E1156" s="4" t="s">
        <v>578</v>
      </c>
      <c r="F1156" s="4" t="s">
        <v>197</v>
      </c>
      <c r="G1156" s="8">
        <v>5290</v>
      </c>
      <c r="I1156" s="16" cm="1">
        <f t="array" ref="I1156">_xlfn.IFS(B1156=2015,G1156/$H$1957,B1156=2016,G1156/$H$1958,B1156=2017,G1156/$H$1959,B1156=2018,G1156/$H$1960,B1156=2019,G1156/$H$1961,B1156=2020,G1156/$H$1962,B1156=2021,G1156/$H$1963,B1156=2022,G1156/$H$1964,B1156=2023,G1156/$H$1965)</f>
        <v>3.7135777384905746E-6</v>
      </c>
      <c r="J1156" s="10" cm="1">
        <f t="array" ref="J1156">_xlfn.IFS(B1156=2015,I1156*$G$2,B1156=2016,I1156*$G$3,B1156=2017,I1156*$G$4,B1156=2018,I1156*$G$5,B1156=2019,I1156*$G$6,B1156=2020,I1156*$G$7,B1156=2021,I1156*$G$8,B1156=2022,I1156*$G$9,B1156=2023,I1156*$G$10)</f>
        <v>1007.1337204980784</v>
      </c>
      <c r="K1156" s="8">
        <f t="shared" si="17"/>
        <v>6297.1337204980782</v>
      </c>
      <c r="L1156">
        <f>IFERROR(VLOOKUP(F1156,'LEAID Match'!$A$2:$B$240,2,FALSE),"")</f>
        <v>0</v>
      </c>
    </row>
    <row r="1157" spans="1:12" x14ac:dyDescent="0.2">
      <c r="A1157">
        <v>0</v>
      </c>
      <c r="B1157">
        <v>2017</v>
      </c>
      <c r="C1157" s="4" t="s">
        <v>238</v>
      </c>
      <c r="D1157" s="4" t="s">
        <v>576</v>
      </c>
      <c r="E1157" s="4" t="s">
        <v>578</v>
      </c>
      <c r="F1157" s="4" t="s">
        <v>197</v>
      </c>
      <c r="G1157" s="8">
        <v>5098</v>
      </c>
      <c r="I1157" s="16" cm="1">
        <f t="array" ref="I1157">_xlfn.IFS(B1157=2015,G1157/$H$1957,B1157=2016,G1157/$H$1958,B1157=2017,G1157/$H$1959,B1157=2018,G1157/$H$1960,B1157=2019,G1157/$H$1961,B1157=2020,G1157/$H$1962,B1157=2021,G1157/$H$1963,B1157=2022,G1157/$H$1964,B1157=2023,G1157/$H$1965)</f>
        <v>6.801816891508253E-6</v>
      </c>
      <c r="J1157" s="10" cm="1">
        <f t="array" ref="J1157">_xlfn.IFS(B1157=2015,I1157*$G$2,B1157=2016,I1157*$G$3,B1157=2017,I1157*$G$4,B1157=2018,I1157*$G$5,B1157=2019,I1157*$G$6,B1157=2020,I1157*$G$7,B1157=2021,I1157*$G$8,B1157=2022,I1157*$G$9,B1157=2023,I1157*$G$10)</f>
        <v>1007.2578488624065</v>
      </c>
      <c r="K1157" s="8">
        <f t="shared" si="17"/>
        <v>6105.2578488624067</v>
      </c>
      <c r="L1157">
        <f>IFERROR(VLOOKUP(F1157,'LEAID Match'!$A$2:$B$240,2,FALSE),"")</f>
        <v>0</v>
      </c>
    </row>
    <row r="1158" spans="1:12" x14ac:dyDescent="0.2">
      <c r="A1158">
        <v>0</v>
      </c>
      <c r="B1158">
        <v>2018</v>
      </c>
      <c r="C1158" s="4" t="s">
        <v>238</v>
      </c>
      <c r="D1158" s="4" t="s">
        <v>576</v>
      </c>
      <c r="E1158" s="4" t="s">
        <v>578</v>
      </c>
      <c r="F1158" s="4" t="s">
        <v>197</v>
      </c>
      <c r="G1158" s="8">
        <v>4497</v>
      </c>
      <c r="I1158" s="16" cm="1">
        <f t="array" ref="I1158">_xlfn.IFS(B1158=2015,G1158/$H$1957,B1158=2016,G1158/$H$1958,B1158=2017,G1158/$H$1959,B1158=2018,G1158/$H$1960,B1158=2019,G1158/$H$1961,B1158=2020,G1158/$H$1962,B1158=2021,G1158/$H$1963,B1158=2022,G1158/$H$1964,B1158=2023,G1158/$H$1965)</f>
        <v>5.7863368818868827E-6</v>
      </c>
      <c r="J1158" s="10" cm="1">
        <f t="array" ref="J1158">_xlfn.IFS(B1158=2015,I1158*$G$2,B1158=2016,I1158*$G$3,B1158=2017,I1158*$G$4,B1158=2018,I1158*$G$5,B1158=2019,I1158*$G$6,B1158=2020,I1158*$G$7,B1158=2021,I1158*$G$8,B1158=2022,I1158*$G$9,B1158=2023,I1158*$G$10)</f>
        <v>870.98213304753813</v>
      </c>
      <c r="K1158" s="8">
        <f t="shared" si="17"/>
        <v>5367.9821330475379</v>
      </c>
      <c r="L1158">
        <f>IFERROR(VLOOKUP(F1158,'LEAID Match'!$A$2:$B$240,2,FALSE),"")</f>
        <v>0</v>
      </c>
    </row>
    <row r="1159" spans="1:12" x14ac:dyDescent="0.2">
      <c r="A1159">
        <v>0</v>
      </c>
      <c r="B1159">
        <v>2019</v>
      </c>
      <c r="C1159" s="4" t="s">
        <v>238</v>
      </c>
      <c r="D1159" s="4" t="s">
        <v>576</v>
      </c>
      <c r="E1159" s="4" t="s">
        <v>578</v>
      </c>
      <c r="F1159" s="4" t="s">
        <v>197</v>
      </c>
      <c r="G1159" s="8">
        <v>6497</v>
      </c>
      <c r="I1159" s="16" cm="1">
        <f t="array" ref="I1159">_xlfn.IFS(B1159=2015,G1159/$H$1957,B1159=2016,G1159/$H$1958,B1159=2017,G1159/$H$1959,B1159=2018,G1159/$H$1960,B1159=2019,G1159/$H$1961,B1159=2020,G1159/$H$1962,B1159=2021,G1159/$H$1963,B1159=2022,G1159/$H$1964,B1159=2023,G1159/$H$1965)</f>
        <v>8.0744498427554029E-6</v>
      </c>
      <c r="J1159" s="10" cm="1">
        <f t="array" ref="J1159">_xlfn.IFS(B1159=2015,I1159*$G$2,B1159=2016,I1159*$G$3,B1159=2017,I1159*$G$4,B1159=2018,I1159*$G$5,B1159=2019,I1159*$G$6,B1159=2020,I1159*$G$7,B1159=2021,I1159*$G$8,B1159=2022,I1159*$G$9,B1159=2023,I1159*$G$10)</f>
        <v>1275.9901448338317</v>
      </c>
      <c r="K1159" s="8">
        <f t="shared" si="17"/>
        <v>7772.9901448338314</v>
      </c>
      <c r="L1159">
        <f>IFERROR(VLOOKUP(F1159,'LEAID Match'!$A$2:$B$240,2,FALSE),"")</f>
        <v>0</v>
      </c>
    </row>
    <row r="1160" spans="1:12" x14ac:dyDescent="0.2">
      <c r="A1160">
        <v>0</v>
      </c>
      <c r="B1160">
        <v>2020</v>
      </c>
      <c r="C1160" s="4" t="s">
        <v>238</v>
      </c>
      <c r="D1160" s="4" t="s">
        <v>576</v>
      </c>
      <c r="E1160" s="4" t="s">
        <v>578</v>
      </c>
      <c r="F1160" s="4" t="s">
        <v>197</v>
      </c>
      <c r="G1160" s="8">
        <v>3706</v>
      </c>
      <c r="I1160" s="16" cm="1">
        <f t="array" ref="I1160">_xlfn.IFS(B1160=2015,G1160/$H$1957,B1160=2016,G1160/$H$1958,B1160=2017,G1160/$H$1959,B1160=2018,G1160/$H$1960,B1160=2019,G1160/$H$1961,B1160=2020,G1160/$H$1962,B1160=2021,G1160/$H$1963,B1160=2022,G1160/$H$1964,B1160=2023,G1160/$H$1965)</f>
        <v>4.2625054724917211E-6</v>
      </c>
      <c r="J1160" s="10" cm="1">
        <f t="array" ref="J1160">_xlfn.IFS(B1160=2015,I1160*$G$2,B1160=2016,I1160*$G$3,B1160=2017,I1160*$G$4,B1160=2018,I1160*$G$5,B1160=2019,I1160*$G$6,B1160=2020,I1160*$G$7,B1160=2021,I1160*$G$8,B1160=2022,I1160*$G$9,B1160=2023,I1160*$G$10)</f>
        <v>736.06604318618031</v>
      </c>
      <c r="K1160" s="8">
        <f t="shared" si="17"/>
        <v>4442.0660431861807</v>
      </c>
      <c r="L1160">
        <f>IFERROR(VLOOKUP(F1160,'LEAID Match'!$A$2:$B$240,2,FALSE),"")</f>
        <v>0</v>
      </c>
    </row>
    <row r="1161" spans="1:12" x14ac:dyDescent="0.2">
      <c r="A1161">
        <v>0</v>
      </c>
      <c r="B1161">
        <v>2021</v>
      </c>
      <c r="C1161" s="4" t="s">
        <v>238</v>
      </c>
      <c r="D1161" s="4" t="s">
        <v>576</v>
      </c>
      <c r="E1161" s="4" t="s">
        <v>578</v>
      </c>
      <c r="F1161" s="4" t="s">
        <v>197</v>
      </c>
      <c r="I1161" s="16" cm="1">
        <f t="array" ref="I1161">_xlfn.IFS(B1161=2015,G1161/$H$1957,B1161=2016,G1161/$H$1958,B1161=2017,G1161/$H$1959,B1161=2018,G1161/$H$1960,B1161=2019,G1161/$H$1961,B1161=2020,G1161/$H$1962,B1161=2021,G1161/$H$1963,B1161=2022,G1161/$H$1964,B1161=2023,G1161/$H$1965)</f>
        <v>0</v>
      </c>
      <c r="J1161" s="10" cm="1">
        <f t="array" ref="J1161">_xlfn.IFS(B1161=2015,I1161*$G$2,B1161=2016,I1161*$G$3,B1161=2017,I1161*$G$4,B1161=2018,I1161*$G$5,B1161=2019,I1161*$G$6,B1161=2020,I1161*$G$7,B1161=2021,I1161*$G$8,B1161=2022,I1161*$G$9,B1161=2023,I1161*$G$10)</f>
        <v>0</v>
      </c>
      <c r="K1161" s="8">
        <f t="shared" si="17"/>
        <v>0</v>
      </c>
      <c r="L1161">
        <f>IFERROR(VLOOKUP(F1161,'LEAID Match'!$A$2:$B$240,2,FALSE),"")</f>
        <v>0</v>
      </c>
    </row>
    <row r="1162" spans="1:12" x14ac:dyDescent="0.2">
      <c r="A1162">
        <v>0</v>
      </c>
      <c r="B1162">
        <v>2022</v>
      </c>
      <c r="C1162" s="4" t="s">
        <v>238</v>
      </c>
      <c r="D1162" s="4" t="s">
        <v>576</v>
      </c>
      <c r="E1162" s="4" t="s">
        <v>578</v>
      </c>
      <c r="F1162" s="4" t="s">
        <v>197</v>
      </c>
      <c r="I1162" s="16" cm="1">
        <f t="array" ref="I1162">_xlfn.IFS(B1162=2015,G1162/$H$1957,B1162=2016,G1162/$H$1958,B1162=2017,G1162/$H$1959,B1162=2018,G1162/$H$1960,B1162=2019,G1162/$H$1961,B1162=2020,G1162/$H$1962,B1162=2021,G1162/$H$1963,B1162=2022,G1162/$H$1964,B1162=2023,G1162/$H$1965)</f>
        <v>0</v>
      </c>
      <c r="J1162" s="10" cm="1">
        <f t="array" ref="J1162">_xlfn.IFS(B1162=2015,I1162*$G$2,B1162=2016,I1162*$G$3,B1162=2017,I1162*$G$4,B1162=2018,I1162*$G$5,B1162=2019,I1162*$G$6,B1162=2020,I1162*$G$7,B1162=2021,I1162*$G$8,B1162=2022,I1162*$G$9,B1162=2023,I1162*$G$10)</f>
        <v>0</v>
      </c>
      <c r="K1162" s="8">
        <f t="shared" si="17"/>
        <v>0</v>
      </c>
      <c r="L1162">
        <f>IFERROR(VLOOKUP(F1162,'LEAID Match'!$A$2:$B$240,2,FALSE),"")</f>
        <v>0</v>
      </c>
    </row>
    <row r="1163" spans="1:12" x14ac:dyDescent="0.2">
      <c r="A1163">
        <v>0</v>
      </c>
      <c r="B1163">
        <v>2023</v>
      </c>
      <c r="C1163" s="4" t="s">
        <v>238</v>
      </c>
      <c r="D1163" s="4" t="s">
        <v>576</v>
      </c>
      <c r="E1163" s="4" t="s">
        <v>578</v>
      </c>
      <c r="F1163" s="4" t="s">
        <v>197</v>
      </c>
      <c r="I1163" s="16" cm="1">
        <f t="array" ref="I1163">_xlfn.IFS(B1163=2015,G1163/$H$1957,B1163=2016,G1163/$H$1958,B1163=2017,G1163/$H$1959,B1163=2018,G1163/$H$1960,B1163=2019,G1163/$H$1961,B1163=2020,G1163/$H$1962,B1163=2021,G1163/$H$1963,B1163=2022,G1163/$H$1964,B1163=2023,G1163/$H$1965)</f>
        <v>0</v>
      </c>
      <c r="J1163" s="10" cm="1">
        <f t="array" ref="J1163">_xlfn.IFS(B1163=2015,I1163*$G$2,B1163=2016,I1163*$G$3,B1163=2017,I1163*$G$4,B1163=2018,I1163*$G$5,B1163=2019,I1163*$G$6,B1163=2020,I1163*$G$7,B1163=2021,I1163*$G$8,B1163=2022,I1163*$G$9,B1163=2023,I1163*$G$10)</f>
        <v>0</v>
      </c>
      <c r="K1163" s="8">
        <f t="shared" si="17"/>
        <v>0</v>
      </c>
      <c r="L1163">
        <f>IFERROR(VLOOKUP(F1163,'LEAID Match'!$A$2:$B$240,2,FALSE),"")</f>
        <v>0</v>
      </c>
    </row>
    <row r="1164" spans="1:12" x14ac:dyDescent="0.2">
      <c r="A1164">
        <v>0</v>
      </c>
      <c r="B1164">
        <v>2015</v>
      </c>
      <c r="C1164" s="4" t="s">
        <v>239</v>
      </c>
      <c r="D1164" s="4" t="s">
        <v>576</v>
      </c>
      <c r="E1164" s="4" t="s">
        <v>578</v>
      </c>
      <c r="F1164" s="4" t="s">
        <v>198</v>
      </c>
      <c r="G1164" s="8">
        <v>281613</v>
      </c>
      <c r="I1164" s="16" cm="1">
        <f t="array" ref="I1164">_xlfn.IFS(B1164=2015,G1164/$H$1957,B1164=2016,G1164/$H$1958,B1164=2017,G1164/$H$1959,B1164=2018,G1164/$H$1960,B1164=2019,G1164/$H$1961,B1164=2020,G1164/$H$1962,B1164=2021,G1164/$H$1963,B1164=2022,G1164/$H$1964,B1164=2023,G1164/$H$1965)</f>
        <v>2.1747803015143187E-4</v>
      </c>
      <c r="J1164" s="10" cm="1">
        <f t="array" ref="J1164">_xlfn.IFS(B1164=2015,I1164*$G$2,B1164=2016,I1164*$G$3,B1164=2017,I1164*$G$4,B1164=2018,I1164*$G$5,B1164=2019,I1164*$G$6,B1164=2020,I1164*$G$7,B1164=2021,I1164*$G$8,B1164=2022,I1164*$G$9,B1164=2023,I1164*$G$10)</f>
        <v>54074.297422779659</v>
      </c>
      <c r="K1164" s="8">
        <f t="shared" ref="K1164:K1227" si="18">SUM(G1164,J1164)</f>
        <v>335687.29742277967</v>
      </c>
      <c r="L1164">
        <f>IFERROR(VLOOKUP(F1164,'LEAID Match'!$A$2:$B$240,2,FALSE),"")</f>
        <v>0</v>
      </c>
    </row>
    <row r="1165" spans="1:12" x14ac:dyDescent="0.2">
      <c r="A1165">
        <v>0</v>
      </c>
      <c r="B1165">
        <v>2016</v>
      </c>
      <c r="C1165" s="4" t="s">
        <v>239</v>
      </c>
      <c r="D1165" s="4" t="s">
        <v>576</v>
      </c>
      <c r="E1165" s="4" t="s">
        <v>578</v>
      </c>
      <c r="F1165" s="4" t="s">
        <v>198</v>
      </c>
      <c r="G1165" s="8">
        <v>324543</v>
      </c>
      <c r="I1165" s="16" cm="1">
        <f t="array" ref="I1165">_xlfn.IFS(B1165=2015,G1165/$H$1957,B1165=2016,G1165/$H$1958,B1165=2017,G1165/$H$1959,B1165=2018,G1165/$H$1960,B1165=2019,G1165/$H$1961,B1165=2020,G1165/$H$1962,B1165=2021,G1165/$H$1963,B1165=2022,G1165/$H$1964,B1165=2023,G1165/$H$1965)</f>
        <v>2.2782904725575549E-4</v>
      </c>
      <c r="J1165" s="10" cm="1">
        <f t="array" ref="J1165">_xlfn.IFS(B1165=2015,I1165*$G$2,B1165=2016,I1165*$G$3,B1165=2017,I1165*$G$4,B1165=2018,I1165*$G$5,B1165=2019,I1165*$G$6,B1165=2020,I1165*$G$7,B1165=2021,I1165*$G$8,B1165=2022,I1165*$G$9,B1165=2023,I1165*$G$10)</f>
        <v>61787.939329226436</v>
      </c>
      <c r="K1165" s="8">
        <f t="shared" si="18"/>
        <v>386330.93932922644</v>
      </c>
      <c r="L1165">
        <f>IFERROR(VLOOKUP(F1165,'LEAID Match'!$A$2:$B$240,2,FALSE),"")</f>
        <v>0</v>
      </c>
    </row>
    <row r="1166" spans="1:12" x14ac:dyDescent="0.2">
      <c r="A1166">
        <v>0</v>
      </c>
      <c r="B1166">
        <v>2017</v>
      </c>
      <c r="C1166" s="4" t="s">
        <v>239</v>
      </c>
      <c r="D1166" s="4" t="s">
        <v>576</v>
      </c>
      <c r="E1166" s="4" t="s">
        <v>578</v>
      </c>
      <c r="F1166" s="4" t="s">
        <v>198</v>
      </c>
      <c r="G1166" s="8">
        <v>170130</v>
      </c>
      <c r="I1166" s="16" cm="1">
        <f t="array" ref="I1166">_xlfn.IFS(B1166=2015,G1166/$H$1957,B1166=2016,G1166/$H$1958,B1166=2017,G1166/$H$1959,B1166=2018,G1166/$H$1960,B1166=2019,G1166/$H$1961,B1166=2020,G1166/$H$1962,B1166=2021,G1166/$H$1963,B1166=2022,G1166/$H$1964,B1166=2023,G1166/$H$1965)</f>
        <v>2.2698962490237331E-4</v>
      </c>
      <c r="J1166" s="10" cm="1">
        <f t="array" ref="J1166">_xlfn.IFS(B1166=2015,I1166*$G$2,B1166=2016,I1166*$G$3,B1166=2017,I1166*$G$4,B1166=2018,I1166*$G$5,B1166=2019,I1166*$G$6,B1166=2020,I1166*$G$7,B1166=2021,I1166*$G$8,B1166=2022,I1166*$G$9,B1166=2023,I1166*$G$10)</f>
        <v>33614.118836202673</v>
      </c>
      <c r="K1166" s="8">
        <f t="shared" si="18"/>
        <v>203744.11883620266</v>
      </c>
      <c r="L1166">
        <f>IFERROR(VLOOKUP(F1166,'LEAID Match'!$A$2:$B$240,2,FALSE),"")</f>
        <v>0</v>
      </c>
    </row>
    <row r="1167" spans="1:12" x14ac:dyDescent="0.2">
      <c r="A1167">
        <v>0</v>
      </c>
      <c r="B1167">
        <v>2018</v>
      </c>
      <c r="C1167" s="4" t="s">
        <v>239</v>
      </c>
      <c r="D1167" s="4" t="s">
        <v>576</v>
      </c>
      <c r="E1167" s="4" t="s">
        <v>578</v>
      </c>
      <c r="F1167" s="4" t="s">
        <v>198</v>
      </c>
      <c r="G1167" s="8">
        <v>180748</v>
      </c>
      <c r="I1167" s="16" cm="1">
        <f t="array" ref="I1167">_xlfn.IFS(B1167=2015,G1167/$H$1957,B1167=2016,G1167/$H$1958,B1167=2017,G1167/$H$1959,B1167=2018,G1167/$H$1960,B1167=2019,G1167/$H$1961,B1167=2020,G1167/$H$1962,B1167=2021,G1167/$H$1963,B1167=2022,G1167/$H$1964,B1167=2023,G1167/$H$1965)</f>
        <v>2.3257033994380483E-4</v>
      </c>
      <c r="J1167" s="10" cm="1">
        <f t="array" ref="J1167">_xlfn.IFS(B1167=2015,I1167*$G$2,B1167=2016,I1167*$G$3,B1167=2017,I1167*$G$4,B1167=2018,I1167*$G$5,B1167=2019,I1167*$G$6,B1167=2020,I1167*$G$7,B1167=2021,I1167*$G$8,B1167=2022,I1167*$G$9,B1167=2023,I1167*$G$10)</f>
        <v>35007.40017435544</v>
      </c>
      <c r="K1167" s="8">
        <f t="shared" si="18"/>
        <v>215755.40017435543</v>
      </c>
      <c r="L1167">
        <f>IFERROR(VLOOKUP(F1167,'LEAID Match'!$A$2:$B$240,2,FALSE),"")</f>
        <v>0</v>
      </c>
    </row>
    <row r="1168" spans="1:12" x14ac:dyDescent="0.2">
      <c r="A1168">
        <v>0</v>
      </c>
      <c r="B1168">
        <v>2019</v>
      </c>
      <c r="C1168" s="4" t="s">
        <v>239</v>
      </c>
      <c r="D1168" s="4" t="s">
        <v>576</v>
      </c>
      <c r="E1168" s="4" t="s">
        <v>578</v>
      </c>
      <c r="F1168" s="4" t="s">
        <v>198</v>
      </c>
      <c r="G1168" s="8">
        <v>191768</v>
      </c>
      <c r="I1168" s="16" cm="1">
        <f t="array" ref="I1168">_xlfn.IFS(B1168=2015,G1168/$H$1957,B1168=2016,G1168/$H$1958,B1168=2017,G1168/$H$1959,B1168=2018,G1168/$H$1960,B1168=2019,G1168/$H$1961,B1168=2020,G1168/$H$1962,B1168=2021,G1168/$H$1963,B1168=2022,G1168/$H$1964,B1168=2023,G1168/$H$1965)</f>
        <v>2.3832862820463566E-4</v>
      </c>
      <c r="J1168" s="10" cm="1">
        <f t="array" ref="J1168">_xlfn.IFS(B1168=2015,I1168*$G$2,B1168=2016,I1168*$G$3,B1168=2017,I1168*$G$4,B1168=2018,I1168*$G$5,B1168=2019,I1168*$G$6,B1168=2020,I1168*$G$7,B1168=2021,I1168*$G$8,B1168=2022,I1168*$G$9,B1168=2023,I1168*$G$10)</f>
        <v>37662.625534014805</v>
      </c>
      <c r="K1168" s="8">
        <f t="shared" si="18"/>
        <v>229430.62553401481</v>
      </c>
      <c r="L1168">
        <f>IFERROR(VLOOKUP(F1168,'LEAID Match'!$A$2:$B$240,2,FALSE),"")</f>
        <v>0</v>
      </c>
    </row>
    <row r="1169" spans="1:12" x14ac:dyDescent="0.2">
      <c r="A1169">
        <v>0</v>
      </c>
      <c r="B1169">
        <v>2020</v>
      </c>
      <c r="C1169" s="4" t="s">
        <v>239</v>
      </c>
      <c r="D1169" s="4" t="s">
        <v>576</v>
      </c>
      <c r="E1169" s="4" t="s">
        <v>578</v>
      </c>
      <c r="F1169" s="4" t="s">
        <v>198</v>
      </c>
      <c r="G1169" s="8">
        <v>221700</v>
      </c>
      <c r="I1169" s="16" cm="1">
        <f t="array" ref="I1169">_xlfn.IFS(B1169=2015,G1169/$H$1957,B1169=2016,G1169/$H$1958,B1169=2017,G1169/$H$1959,B1169=2018,G1169/$H$1960,B1169=2019,G1169/$H$1961,B1169=2020,G1169/$H$1962,B1169=2021,G1169/$H$1963,B1169=2022,G1169/$H$1964,B1169=2023,G1169/$H$1965)</f>
        <v>2.5499122052115883E-4</v>
      </c>
      <c r="J1169" s="10" cm="1">
        <f t="array" ref="J1169">_xlfn.IFS(B1169=2015,I1169*$G$2,B1169=2016,I1169*$G$3,B1169=2017,I1169*$G$4,B1169=2018,I1169*$G$5,B1169=2019,I1169*$G$6,B1169=2020,I1169*$G$7,B1169=2021,I1169*$G$8,B1169=2022,I1169*$G$9,B1169=2023,I1169*$G$10)</f>
        <v>44032.876895406414</v>
      </c>
      <c r="K1169" s="8">
        <f t="shared" si="18"/>
        <v>265732.8768954064</v>
      </c>
      <c r="L1169">
        <f>IFERROR(VLOOKUP(F1169,'LEAID Match'!$A$2:$B$240,2,FALSE),"")</f>
        <v>0</v>
      </c>
    </row>
    <row r="1170" spans="1:12" x14ac:dyDescent="0.2">
      <c r="A1170">
        <v>0</v>
      </c>
      <c r="B1170">
        <v>2021</v>
      </c>
      <c r="C1170" s="4" t="s">
        <v>239</v>
      </c>
      <c r="D1170" s="4" t="s">
        <v>576</v>
      </c>
      <c r="E1170" s="4" t="s">
        <v>578</v>
      </c>
      <c r="F1170" s="4" t="s">
        <v>198</v>
      </c>
      <c r="G1170" s="8">
        <v>236558</v>
      </c>
      <c r="I1170" s="16" cm="1">
        <f t="array" ref="I1170">_xlfn.IFS(B1170=2015,G1170/$H$1957,B1170=2016,G1170/$H$1958,B1170=2017,G1170/$H$1959,B1170=2018,G1170/$H$1960,B1170=2019,G1170/$H$1961,B1170=2020,G1170/$H$1962,B1170=2021,G1170/$H$1963,B1170=2022,G1170/$H$1964,B1170=2023,G1170/$H$1965)</f>
        <v>2.7033727387906038E-4</v>
      </c>
      <c r="J1170" s="10" cm="1">
        <f t="array" ref="J1170">_xlfn.IFS(B1170=2015,I1170*$G$2,B1170=2016,I1170*$G$3,B1170=2017,I1170*$G$4,B1170=2018,I1170*$G$5,B1170=2019,I1170*$G$6,B1170=2020,I1170*$G$7,B1170=2021,I1170*$G$8,B1170=2022,I1170*$G$9,B1170=2023,I1170*$G$10)</f>
        <v>46394.427595989786</v>
      </c>
      <c r="K1170" s="8">
        <f t="shared" si="18"/>
        <v>282952.42759598978</v>
      </c>
      <c r="L1170">
        <f>IFERROR(VLOOKUP(F1170,'LEAID Match'!$A$2:$B$240,2,FALSE),"")</f>
        <v>0</v>
      </c>
    </row>
    <row r="1171" spans="1:12" x14ac:dyDescent="0.2">
      <c r="A1171">
        <v>0</v>
      </c>
      <c r="B1171">
        <v>2022</v>
      </c>
      <c r="C1171" s="4" t="s">
        <v>239</v>
      </c>
      <c r="D1171" s="4" t="s">
        <v>576</v>
      </c>
      <c r="E1171" s="4" t="s">
        <v>578</v>
      </c>
      <c r="F1171" s="4" t="s">
        <v>198</v>
      </c>
      <c r="G1171" s="8">
        <v>254682</v>
      </c>
      <c r="I1171" s="16" cm="1">
        <f t="array" ref="I1171">_xlfn.IFS(B1171=2015,G1171/$H$1957,B1171=2016,G1171/$H$1958,B1171=2017,G1171/$H$1959,B1171=2018,G1171/$H$1960,B1171=2019,G1171/$H$1961,B1171=2020,G1171/$H$1962,B1171=2021,G1171/$H$1963,B1171=2022,G1171/$H$1964,B1171=2023,G1171/$H$1965)</f>
        <v>2.7373280138830581E-4</v>
      </c>
      <c r="J1171" s="10" cm="1">
        <f t="array" ref="J1171">_xlfn.IFS(B1171=2015,I1171*$G$2,B1171=2016,I1171*$G$3,B1171=2017,I1171*$G$4,B1171=2018,I1171*$G$5,B1171=2019,I1171*$G$6,B1171=2020,I1171*$G$7,B1171=2021,I1171*$G$8,B1171=2022,I1171*$G$9,B1171=2023,I1171*$G$10)</f>
        <v>46421.154776023941</v>
      </c>
      <c r="K1171" s="8">
        <f t="shared" si="18"/>
        <v>301103.15477602393</v>
      </c>
      <c r="L1171">
        <f>IFERROR(VLOOKUP(F1171,'LEAID Match'!$A$2:$B$240,2,FALSE),"")</f>
        <v>0</v>
      </c>
    </row>
    <row r="1172" spans="1:12" x14ac:dyDescent="0.2">
      <c r="A1172">
        <v>0</v>
      </c>
      <c r="B1172">
        <v>2023</v>
      </c>
      <c r="C1172" s="4" t="s">
        <v>239</v>
      </c>
      <c r="D1172" s="4" t="s">
        <v>576</v>
      </c>
      <c r="E1172" s="4" t="s">
        <v>578</v>
      </c>
      <c r="F1172" s="4" t="s">
        <v>198</v>
      </c>
      <c r="G1172" s="8">
        <v>285029</v>
      </c>
      <c r="I1172" s="16" cm="1">
        <f t="array" ref="I1172">_xlfn.IFS(B1172=2015,G1172/$H$1957,B1172=2016,G1172/$H$1958,B1172=2017,G1172/$H$1959,B1172=2018,G1172/$H$1960,B1172=2019,G1172/$H$1961,B1172=2020,G1172/$H$1962,B1172=2021,G1172/$H$1963,B1172=2022,G1172/$H$1964,B1172=2023,G1172/$H$1965)</f>
        <v>2.8858889553560178E-4</v>
      </c>
      <c r="J1172" s="10" cm="1">
        <f t="array" ref="J1172">_xlfn.IFS(B1172=2015,I1172*$G$2,B1172=2016,I1172*$G$3,B1172=2017,I1172*$G$4,B1172=2018,I1172*$G$5,B1172=2019,I1172*$G$6,B1172=2020,I1172*$G$7,B1172=2021,I1172*$G$8,B1172=2022,I1172*$G$9,B1172=2023,I1172*$G$10)</f>
        <v>49055.875467476944</v>
      </c>
      <c r="K1172" s="8">
        <f t="shared" si="18"/>
        <v>334084.87546747696</v>
      </c>
      <c r="L1172">
        <f>IFERROR(VLOOKUP(F1172,'LEAID Match'!$A$2:$B$240,2,FALSE),"")</f>
        <v>0</v>
      </c>
    </row>
    <row r="1173" spans="1:12" x14ac:dyDescent="0.2">
      <c r="A1173">
        <v>0</v>
      </c>
      <c r="B1173">
        <v>2015</v>
      </c>
      <c r="C1173" s="4" t="s">
        <v>240</v>
      </c>
      <c r="D1173" s="4" t="s">
        <v>576</v>
      </c>
      <c r="E1173" s="4" t="s">
        <v>578</v>
      </c>
      <c r="F1173" s="4" t="s">
        <v>199</v>
      </c>
      <c r="G1173" s="8">
        <v>23762</v>
      </c>
      <c r="I1173" s="16" cm="1">
        <f t="array" ref="I1173">_xlfn.IFS(B1173=2015,G1173/$H$1957,B1173=2016,G1173/$H$1958,B1173=2017,G1173/$H$1959,B1173=2018,G1173/$H$1960,B1173=2019,G1173/$H$1961,B1173=2020,G1173/$H$1962,B1173=2021,G1173/$H$1963,B1173=2022,G1173/$H$1964,B1173=2023,G1173/$H$1965)</f>
        <v>1.8350406239975868E-5</v>
      </c>
      <c r="J1173" s="10" cm="1">
        <f t="array" ref="J1173">_xlfn.IFS(B1173=2015,I1173*$G$2,B1173=2016,I1173*$G$3,B1173=2017,I1173*$G$4,B1173=2018,I1173*$G$5,B1173=2019,I1173*$G$6,B1173=2020,I1173*$G$7,B1173=2021,I1173*$G$8,B1173=2022,I1173*$G$9,B1173=2023,I1173*$G$10)</f>
        <v>4562.6922598036681</v>
      </c>
      <c r="K1173" s="8">
        <f t="shared" si="18"/>
        <v>28324.692259803669</v>
      </c>
      <c r="L1173">
        <f>IFERROR(VLOOKUP(F1173,'LEAID Match'!$A$2:$B$240,2,FALSE),"")</f>
        <v>0</v>
      </c>
    </row>
    <row r="1174" spans="1:12" x14ac:dyDescent="0.2">
      <c r="A1174">
        <v>0</v>
      </c>
      <c r="B1174">
        <v>2016</v>
      </c>
      <c r="C1174" s="4" t="s">
        <v>240</v>
      </c>
      <c r="D1174" s="4" t="s">
        <v>576</v>
      </c>
      <c r="E1174" s="4" t="s">
        <v>578</v>
      </c>
      <c r="F1174" s="4" t="s">
        <v>199</v>
      </c>
      <c r="G1174" s="8">
        <v>30700</v>
      </c>
      <c r="I1174" s="16" cm="1">
        <f t="array" ref="I1174">_xlfn.IFS(B1174=2015,G1174/$H$1957,B1174=2016,G1174/$H$1958,B1174=2017,G1174/$H$1959,B1174=2018,G1174/$H$1960,B1174=2019,G1174/$H$1961,B1174=2020,G1174/$H$1962,B1174=2021,G1174/$H$1963,B1174=2022,G1174/$H$1964,B1174=2023,G1174/$H$1965)</f>
        <v>2.1551386875550216E-5</v>
      </c>
      <c r="J1174" s="10" cm="1">
        <f t="array" ref="J1174">_xlfn.IFS(B1174=2015,I1174*$G$2,B1174=2016,I1174*$G$3,B1174=2017,I1174*$G$4,B1174=2018,I1174*$G$5,B1174=2019,I1174*$G$6,B1174=2020,I1174*$G$7,B1174=2021,I1174*$G$8,B1174=2022,I1174*$G$9,B1174=2023,I1174*$G$10)</f>
        <v>5844.8024989207952</v>
      </c>
      <c r="K1174" s="8">
        <f t="shared" si="18"/>
        <v>36544.802498920792</v>
      </c>
      <c r="L1174">
        <f>IFERROR(VLOOKUP(F1174,'LEAID Match'!$A$2:$B$240,2,FALSE),"")</f>
        <v>0</v>
      </c>
    </row>
    <row r="1175" spans="1:12" x14ac:dyDescent="0.2">
      <c r="A1175">
        <v>0</v>
      </c>
      <c r="B1175">
        <v>2017</v>
      </c>
      <c r="C1175" s="4" t="s">
        <v>240</v>
      </c>
      <c r="D1175" s="4" t="s">
        <v>576</v>
      </c>
      <c r="E1175" s="4" t="s">
        <v>578</v>
      </c>
      <c r="F1175" s="4" t="s">
        <v>199</v>
      </c>
      <c r="G1175" s="8">
        <v>11471</v>
      </c>
      <c r="I1175" s="16" cm="1">
        <f t="array" ref="I1175">_xlfn.IFS(B1175=2015,G1175/$H$1957,B1175=2016,G1175/$H$1958,B1175=2017,G1175/$H$1959,B1175=2018,G1175/$H$1960,B1175=2019,G1175/$H$1961,B1175=2020,G1175/$H$1962,B1175=2021,G1175/$H$1963,B1175=2022,G1175/$H$1964,B1175=2023,G1175/$H$1965)</f>
        <v>1.5304755112297209E-5</v>
      </c>
      <c r="J1175" s="10" cm="1">
        <f t="array" ref="J1175">_xlfn.IFS(B1175=2015,I1175*$G$2,B1175=2016,I1175*$G$3,B1175=2017,I1175*$G$4,B1175=2018,I1175*$G$5,B1175=2019,I1175*$G$6,B1175=2020,I1175*$G$7,B1175=2021,I1175*$G$8,B1175=2022,I1175*$G$9,B1175=2023,I1175*$G$10)</f>
        <v>2266.4289494508953</v>
      </c>
      <c r="K1175" s="8">
        <f t="shared" si="18"/>
        <v>13737.428949450896</v>
      </c>
      <c r="L1175">
        <f>IFERROR(VLOOKUP(F1175,'LEAID Match'!$A$2:$B$240,2,FALSE),"")</f>
        <v>0</v>
      </c>
    </row>
    <row r="1176" spans="1:12" x14ac:dyDescent="0.2">
      <c r="A1176">
        <v>0</v>
      </c>
      <c r="B1176">
        <v>2018</v>
      </c>
      <c r="C1176" s="4" t="s">
        <v>240</v>
      </c>
      <c r="D1176" s="4" t="s">
        <v>576</v>
      </c>
      <c r="E1176" s="4" t="s">
        <v>578</v>
      </c>
      <c r="F1176" s="4" t="s">
        <v>199</v>
      </c>
      <c r="G1176" s="8">
        <v>13458</v>
      </c>
      <c r="I1176" s="16" cm="1">
        <f t="array" ref="I1176">_xlfn.IFS(B1176=2015,G1176/$H$1957,B1176=2016,G1176/$H$1958,B1176=2017,G1176/$H$1959,B1176=2018,G1176/$H$1960,B1176=2019,G1176/$H$1961,B1176=2020,G1176/$H$1962,B1176=2021,G1176/$H$1963,B1176=2022,G1176/$H$1964,B1176=2023,G1176/$H$1965)</f>
        <v>1.7316549200896971E-5</v>
      </c>
      <c r="J1176" s="10" cm="1">
        <f t="array" ref="J1176">_xlfn.IFS(B1176=2015,I1176*$G$2,B1176=2016,I1176*$G$3,B1176=2017,I1176*$G$4,B1176=2018,I1176*$G$5,B1176=2019,I1176*$G$6,B1176=2020,I1176*$G$7,B1176=2021,I1176*$G$8,B1176=2022,I1176*$G$9,B1176=2023,I1176*$G$10)</f>
        <v>2606.5549358580765</v>
      </c>
      <c r="K1176" s="8">
        <f t="shared" si="18"/>
        <v>16064.554935858076</v>
      </c>
      <c r="L1176">
        <f>IFERROR(VLOOKUP(F1176,'LEAID Match'!$A$2:$B$240,2,FALSE),"")</f>
        <v>0</v>
      </c>
    </row>
    <row r="1177" spans="1:12" x14ac:dyDescent="0.2">
      <c r="A1177">
        <v>0</v>
      </c>
      <c r="B1177">
        <v>2019</v>
      </c>
      <c r="C1177" s="4" t="s">
        <v>240</v>
      </c>
      <c r="D1177" s="4" t="s">
        <v>576</v>
      </c>
      <c r="E1177" s="4" t="s">
        <v>578</v>
      </c>
      <c r="F1177" s="4" t="s">
        <v>199</v>
      </c>
      <c r="G1177" s="8">
        <v>16447</v>
      </c>
      <c r="I1177" s="16" cm="1">
        <f t="array" ref="I1177">_xlfn.IFS(B1177=2015,G1177/$H$1957,B1177=2016,G1177/$H$1958,B1177=2017,G1177/$H$1959,B1177=2018,G1177/$H$1960,B1177=2019,G1177/$H$1961,B1177=2020,G1177/$H$1962,B1177=2021,G1177/$H$1963,B1177=2022,G1177/$H$1964,B1177=2023,G1177/$H$1965)</f>
        <v>2.044027652205604E-5</v>
      </c>
      <c r="J1177" s="10" cm="1">
        <f t="array" ref="J1177">_xlfn.IFS(B1177=2015,I1177*$G$2,B1177=2016,I1177*$G$3,B1177=2017,I1177*$G$4,B1177=2018,I1177*$G$5,B1177=2019,I1177*$G$6,B1177=2020,I1177*$G$7,B1177=2021,I1177*$G$8,B1177=2022,I1177*$G$9,B1177=2023,I1177*$G$10)</f>
        <v>3230.1385119412075</v>
      </c>
      <c r="K1177" s="8">
        <f t="shared" si="18"/>
        <v>19677.138511941208</v>
      </c>
      <c r="L1177">
        <f>IFERROR(VLOOKUP(F1177,'LEAID Match'!$A$2:$B$240,2,FALSE),"")</f>
        <v>0</v>
      </c>
    </row>
    <row r="1178" spans="1:12" x14ac:dyDescent="0.2">
      <c r="A1178">
        <v>0</v>
      </c>
      <c r="B1178">
        <v>2020</v>
      </c>
      <c r="C1178" s="4" t="s">
        <v>240</v>
      </c>
      <c r="D1178" s="4" t="s">
        <v>576</v>
      </c>
      <c r="E1178" s="4" t="s">
        <v>578</v>
      </c>
      <c r="F1178" s="4" t="s">
        <v>199</v>
      </c>
      <c r="G1178" s="8">
        <v>17309</v>
      </c>
      <c r="I1178" s="16" cm="1">
        <f t="array" ref="I1178">_xlfn.IFS(B1178=2015,G1178/$H$1957,B1178=2016,G1178/$H$1958,B1178=2017,G1178/$H$1959,B1178=2018,G1178/$H$1960,B1178=2019,G1178/$H$1961,B1178=2020,G1178/$H$1962,B1178=2021,G1178/$H$1963,B1178=2022,G1178/$H$1964,B1178=2023,G1178/$H$1965)</f>
        <v>1.9908177880021371E-5</v>
      </c>
      <c r="J1178" s="10" cm="1">
        <f t="array" ref="J1178">_xlfn.IFS(B1178=2015,I1178*$G$2,B1178=2016,I1178*$G$3,B1178=2017,I1178*$G$4,B1178=2018,I1178*$G$5,B1178=2019,I1178*$G$6,B1178=2020,I1178*$G$7,B1178=2021,I1178*$G$8,B1178=2022,I1178*$G$9,B1178=2023,I1178*$G$10)</f>
        <v>3437.8216787667552</v>
      </c>
      <c r="K1178" s="8">
        <f t="shared" si="18"/>
        <v>20746.821678766755</v>
      </c>
      <c r="L1178">
        <f>IFERROR(VLOOKUP(F1178,'LEAID Match'!$A$2:$B$240,2,FALSE),"")</f>
        <v>0</v>
      </c>
    </row>
    <row r="1179" spans="1:12" x14ac:dyDescent="0.2">
      <c r="A1179">
        <v>0</v>
      </c>
      <c r="B1179">
        <v>2021</v>
      </c>
      <c r="C1179" s="4" t="s">
        <v>240</v>
      </c>
      <c r="D1179" s="4" t="s">
        <v>576</v>
      </c>
      <c r="E1179" s="4" t="s">
        <v>578</v>
      </c>
      <c r="F1179" s="4" t="s">
        <v>199</v>
      </c>
      <c r="G1179" s="8">
        <v>20794</v>
      </c>
      <c r="I1179" s="16" cm="1">
        <f t="array" ref="I1179">_xlfn.IFS(B1179=2015,G1179/$H$1957,B1179=2016,G1179/$H$1958,B1179=2017,G1179/$H$1959,B1179=2018,G1179/$H$1960,B1179=2019,G1179/$H$1961,B1179=2020,G1179/$H$1962,B1179=2021,G1179/$H$1963,B1179=2022,G1179/$H$1964,B1179=2023,G1179/$H$1965)</f>
        <v>2.3763276968190386E-5</v>
      </c>
      <c r="J1179" s="10" cm="1">
        <f t="array" ref="J1179">_xlfn.IFS(B1179=2015,I1179*$G$2,B1179=2016,I1179*$G$3,B1179=2017,I1179*$G$4,B1179=2018,I1179*$G$5,B1179=2019,I1179*$G$6,B1179=2020,I1179*$G$7,B1179=2021,I1179*$G$8,B1179=2022,I1179*$G$9,B1179=2023,I1179*$G$10)</f>
        <v>4078.1784062725069</v>
      </c>
      <c r="K1179" s="8">
        <f t="shared" si="18"/>
        <v>24872.178406272506</v>
      </c>
      <c r="L1179">
        <f>IFERROR(VLOOKUP(F1179,'LEAID Match'!$A$2:$B$240,2,FALSE),"")</f>
        <v>0</v>
      </c>
    </row>
    <row r="1180" spans="1:12" x14ac:dyDescent="0.2">
      <c r="A1180">
        <v>0</v>
      </c>
      <c r="B1180">
        <v>2022</v>
      </c>
      <c r="C1180" s="4" t="s">
        <v>240</v>
      </c>
      <c r="D1180" s="4" t="s">
        <v>576</v>
      </c>
      <c r="E1180" s="4" t="s">
        <v>578</v>
      </c>
      <c r="F1180" s="4" t="s">
        <v>199</v>
      </c>
      <c r="G1180" s="8">
        <v>22742</v>
      </c>
      <c r="I1180" s="16" cm="1">
        <f t="array" ref="I1180">_xlfn.IFS(B1180=2015,G1180/$H$1957,B1180=2016,G1180/$H$1958,B1180=2017,G1180/$H$1959,B1180=2018,G1180/$H$1960,B1180=2019,G1180/$H$1961,B1180=2020,G1180/$H$1962,B1180=2021,G1180/$H$1963,B1180=2022,G1180/$H$1964,B1180=2023,G1180/$H$1965)</f>
        <v>2.4443154086950986E-5</v>
      </c>
      <c r="J1180" s="10" cm="1">
        <f t="array" ref="J1180">_xlfn.IFS(B1180=2015,I1180*$G$2,B1180=2016,I1180*$G$3,B1180=2017,I1180*$G$4,B1180=2018,I1180*$G$5,B1180=2019,I1180*$G$6,B1180=2020,I1180*$G$7,B1180=2021,I1180*$G$8,B1180=2022,I1180*$G$9,B1180=2023,I1180*$G$10)</f>
        <v>4145.2081494425856</v>
      </c>
      <c r="K1180" s="8">
        <f t="shared" si="18"/>
        <v>26887.208149442587</v>
      </c>
      <c r="L1180">
        <f>IFERROR(VLOOKUP(F1180,'LEAID Match'!$A$2:$B$240,2,FALSE),"")</f>
        <v>0</v>
      </c>
    </row>
    <row r="1181" spans="1:12" x14ac:dyDescent="0.2">
      <c r="A1181">
        <v>0</v>
      </c>
      <c r="B1181">
        <v>2023</v>
      </c>
      <c r="C1181" s="4" t="s">
        <v>240</v>
      </c>
      <c r="D1181" s="4" t="s">
        <v>576</v>
      </c>
      <c r="E1181" s="4" t="s">
        <v>578</v>
      </c>
      <c r="F1181" s="4" t="s">
        <v>199</v>
      </c>
      <c r="G1181" s="8">
        <v>23404</v>
      </c>
      <c r="I1181" s="16" cm="1">
        <f t="array" ref="I1181">_xlfn.IFS(B1181=2015,G1181/$H$1957,B1181=2016,G1181/$H$1958,B1181=2017,G1181/$H$1959,B1181=2018,G1181/$H$1960,B1181=2019,G1181/$H$1961,B1181=2020,G1181/$H$1962,B1181=2021,G1181/$H$1963,B1181=2022,G1181/$H$1964,B1181=2023,G1181/$H$1965)</f>
        <v>2.3696306379755128E-5</v>
      </c>
      <c r="J1181" s="10" cm="1">
        <f t="array" ref="J1181">_xlfn.IFS(B1181=2015,I1181*$G$2,B1181=2016,I1181*$G$3,B1181=2017,I1181*$G$4,B1181=2018,I1181*$G$5,B1181=2019,I1181*$G$6,B1181=2020,I1181*$G$7,B1181=2021,I1181*$G$8,B1181=2022,I1181*$G$9,B1181=2023,I1181*$G$10)</f>
        <v>4028.0241990844106</v>
      </c>
      <c r="K1181" s="8">
        <f t="shared" si="18"/>
        <v>27432.024199084412</v>
      </c>
      <c r="L1181">
        <f>IFERROR(VLOOKUP(F1181,'LEAID Match'!$A$2:$B$240,2,FALSE),"")</f>
        <v>0</v>
      </c>
    </row>
    <row r="1182" spans="1:12" x14ac:dyDescent="0.2">
      <c r="A1182">
        <v>0</v>
      </c>
      <c r="B1182">
        <v>2015</v>
      </c>
      <c r="C1182" s="4" t="s">
        <v>241</v>
      </c>
      <c r="D1182" s="4" t="s">
        <v>576</v>
      </c>
      <c r="E1182" s="4" t="s">
        <v>578</v>
      </c>
      <c r="F1182" s="4" t="s">
        <v>200</v>
      </c>
      <c r="G1182" s="8">
        <v>3783524</v>
      </c>
      <c r="I1182" s="16" cm="1">
        <f t="array" ref="I1182">_xlfn.IFS(B1182=2015,G1182/$H$1957,B1182=2016,G1182/$H$1958,B1182=2017,G1182/$H$1959,B1182=2018,G1182/$H$1960,B1182=2019,G1182/$H$1961,B1182=2020,G1182/$H$1962,B1182=2021,G1182/$H$1963,B1182=2022,G1182/$H$1964,B1182=2023,G1182/$H$1965)</f>
        <v>2.9218585312136376E-3</v>
      </c>
      <c r="J1182" s="10" cm="1">
        <f t="array" ref="J1182">_xlfn.IFS(B1182=2015,I1182*$G$2,B1182=2016,I1182*$G$3,B1182=2017,I1182*$G$4,B1182=2018,I1182*$G$5,B1182=2019,I1182*$G$6,B1182=2020,I1182*$G$7,B1182=2021,I1182*$G$8,B1182=2022,I1182*$G$9,B1182=2023,I1182*$G$10)</f>
        <v>726498.42898667674</v>
      </c>
      <c r="K1182" s="8">
        <f t="shared" si="18"/>
        <v>4510022.428986677</v>
      </c>
      <c r="L1182">
        <f>IFERROR(VLOOKUP(F1182,'LEAID Match'!$A$2:$B$240,2,FALSE),"")</f>
        <v>0</v>
      </c>
    </row>
    <row r="1183" spans="1:12" x14ac:dyDescent="0.2">
      <c r="A1183">
        <v>0</v>
      </c>
      <c r="B1183">
        <v>2016</v>
      </c>
      <c r="C1183" s="4" t="s">
        <v>241</v>
      </c>
      <c r="D1183" s="4" t="s">
        <v>576</v>
      </c>
      <c r="E1183" s="4" t="s">
        <v>578</v>
      </c>
      <c r="F1183" s="4" t="s">
        <v>200</v>
      </c>
      <c r="G1183" s="8">
        <v>3843083</v>
      </c>
      <c r="I1183" s="16" cm="1">
        <f t="array" ref="I1183">_xlfn.IFS(B1183=2015,G1183/$H$1957,B1183=2016,G1183/$H$1958,B1183=2017,G1183/$H$1959,B1183=2018,G1183/$H$1960,B1183=2019,G1183/$H$1961,B1183=2020,G1183/$H$1962,B1183=2021,G1183/$H$1963,B1183=2022,G1183/$H$1964,B1183=2023,G1183/$H$1965)</f>
        <v>2.6978426230570081E-3</v>
      </c>
      <c r="J1183" s="10" cm="1">
        <f t="array" ref="J1183">_xlfn.IFS(B1183=2015,I1183*$G$2,B1183=2016,I1183*$G$3,B1183=2017,I1183*$G$4,B1183=2018,I1183*$G$5,B1183=2019,I1183*$G$6,B1183=2020,I1183*$G$7,B1183=2021,I1183*$G$8,B1183=2022,I1183*$G$9,B1183=2023,I1183*$G$10)</f>
        <v>731663.22872833966</v>
      </c>
      <c r="K1183" s="8">
        <f t="shared" si="18"/>
        <v>4574746.22872834</v>
      </c>
      <c r="L1183">
        <f>IFERROR(VLOOKUP(F1183,'LEAID Match'!$A$2:$B$240,2,FALSE),"")</f>
        <v>0</v>
      </c>
    </row>
    <row r="1184" spans="1:12" x14ac:dyDescent="0.2">
      <c r="A1184">
        <v>0</v>
      </c>
      <c r="B1184">
        <v>2017</v>
      </c>
      <c r="C1184" s="4" t="s">
        <v>241</v>
      </c>
      <c r="D1184" s="4" t="s">
        <v>576</v>
      </c>
      <c r="E1184" s="4" t="s">
        <v>578</v>
      </c>
      <c r="F1184" s="4" t="s">
        <v>200</v>
      </c>
      <c r="G1184" s="8">
        <v>2022318</v>
      </c>
      <c r="I1184" s="16" cm="1">
        <f t="array" ref="I1184">_xlfn.IFS(B1184=2015,G1184/$H$1957,B1184=2016,G1184/$H$1958,B1184=2017,G1184/$H$1959,B1184=2018,G1184/$H$1960,B1184=2019,G1184/$H$1961,B1184=2020,G1184/$H$1962,B1184=2021,G1184/$H$1963,B1184=2022,G1184/$H$1964,B1184=2023,G1184/$H$1965)</f>
        <v>2.6982025759908178E-3</v>
      </c>
      <c r="J1184" s="10" cm="1">
        <f t="array" ref="J1184">_xlfn.IFS(B1184=2015,I1184*$G$2,B1184=2016,I1184*$G$3,B1184=2017,I1184*$G$4,B1184=2018,I1184*$G$5,B1184=2019,I1184*$G$6,B1184=2020,I1184*$G$7,B1184=2021,I1184*$G$8,B1184=2022,I1184*$G$9,B1184=2023,I1184*$G$10)</f>
        <v>399567.61051308835</v>
      </c>
      <c r="K1184" s="8">
        <f t="shared" si="18"/>
        <v>2421885.6105130883</v>
      </c>
      <c r="L1184">
        <f>IFERROR(VLOOKUP(F1184,'LEAID Match'!$A$2:$B$240,2,FALSE),"")</f>
        <v>0</v>
      </c>
    </row>
    <row r="1185" spans="1:12" x14ac:dyDescent="0.2">
      <c r="A1185">
        <v>0</v>
      </c>
      <c r="B1185">
        <v>2018</v>
      </c>
      <c r="C1185" s="4" t="s">
        <v>241</v>
      </c>
      <c r="D1185" s="4" t="s">
        <v>576</v>
      </c>
      <c r="E1185" s="4" t="s">
        <v>578</v>
      </c>
      <c r="F1185" s="4" t="s">
        <v>200</v>
      </c>
      <c r="G1185" s="8">
        <v>2117867</v>
      </c>
      <c r="I1185" s="16" cm="1">
        <f t="array" ref="I1185">_xlfn.IFS(B1185=2015,G1185/$H$1957,B1185=2016,G1185/$H$1958,B1185=2017,G1185/$H$1959,B1185=2018,G1185/$H$1960,B1185=2019,G1185/$H$1961,B1185=2020,G1185/$H$1962,B1185=2021,G1185/$H$1963,B1185=2022,G1185/$H$1964,B1185=2023,G1185/$H$1965)</f>
        <v>2.7250815950702971E-3</v>
      </c>
      <c r="J1185" s="10" cm="1">
        <f t="array" ref="J1185">_xlfn.IFS(B1185=2015,I1185*$G$2,B1185=2016,I1185*$G$3,B1185=2017,I1185*$G$4,B1185=2018,I1185*$G$5,B1185=2019,I1185*$G$6,B1185=2020,I1185*$G$7,B1185=2021,I1185*$G$8,B1185=2022,I1185*$G$9,B1185=2023,I1185*$G$10)</f>
        <v>410189.97491016018</v>
      </c>
      <c r="K1185" s="8">
        <f t="shared" si="18"/>
        <v>2528056.9749101601</v>
      </c>
      <c r="L1185">
        <f>IFERROR(VLOOKUP(F1185,'LEAID Match'!$A$2:$B$240,2,FALSE),"")</f>
        <v>0</v>
      </c>
    </row>
    <row r="1186" spans="1:12" x14ac:dyDescent="0.2">
      <c r="A1186">
        <v>0</v>
      </c>
      <c r="B1186">
        <v>2019</v>
      </c>
      <c r="C1186" s="4" t="s">
        <v>241</v>
      </c>
      <c r="D1186" s="4" t="s">
        <v>576</v>
      </c>
      <c r="E1186" s="4" t="s">
        <v>578</v>
      </c>
      <c r="F1186" s="4" t="s">
        <v>200</v>
      </c>
      <c r="G1186" s="8">
        <v>2367298</v>
      </c>
      <c r="I1186" s="16" cm="1">
        <f t="array" ref="I1186">_xlfn.IFS(B1186=2015,G1186/$H$1957,B1186=2016,G1186/$H$1958,B1186=2017,G1186/$H$1959,B1186=2018,G1186/$H$1960,B1186=2019,G1186/$H$1961,B1186=2020,G1186/$H$1962,B1186=2021,G1186/$H$1963,B1186=2022,G1186/$H$1964,B1186=2023,G1186/$H$1965)</f>
        <v>2.9420700267593011E-3</v>
      </c>
      <c r="J1186" s="10" cm="1">
        <f t="array" ref="J1186">_xlfn.IFS(B1186=2015,I1186*$G$2,B1186=2016,I1186*$G$3,B1186=2017,I1186*$G$4,B1186=2018,I1186*$G$5,B1186=2019,I1186*$G$6,B1186=2020,I1186*$G$7,B1186=2021,I1186*$G$8,B1186=2022,I1186*$G$9,B1186=2023,I1186*$G$10)</f>
        <v>464929.80112126208</v>
      </c>
      <c r="K1186" s="8">
        <f t="shared" si="18"/>
        <v>2832227.8011212619</v>
      </c>
      <c r="L1186">
        <f>IFERROR(VLOOKUP(F1186,'LEAID Match'!$A$2:$B$240,2,FALSE),"")</f>
        <v>0</v>
      </c>
    </row>
    <row r="1187" spans="1:12" x14ac:dyDescent="0.2">
      <c r="A1187">
        <v>0</v>
      </c>
      <c r="B1187">
        <v>2020</v>
      </c>
      <c r="C1187" s="4" t="s">
        <v>241</v>
      </c>
      <c r="D1187" s="4" t="s">
        <v>576</v>
      </c>
      <c r="E1187" s="4" t="s">
        <v>578</v>
      </c>
      <c r="F1187" s="4" t="s">
        <v>200</v>
      </c>
      <c r="G1187" s="8">
        <v>2598911</v>
      </c>
      <c r="I1187" s="16" cm="1">
        <f t="array" ref="I1187">_xlfn.IFS(B1187=2015,G1187/$H$1957,B1187=2016,G1187/$H$1958,B1187=2017,G1187/$H$1959,B1187=2018,G1187/$H$1960,B1187=2019,G1187/$H$1961,B1187=2020,G1187/$H$1962,B1187=2021,G1187/$H$1963,B1187=2022,G1187/$H$1964,B1187=2023,G1187/$H$1965)</f>
        <v>2.9891722504098574E-3</v>
      </c>
      <c r="J1187" s="10" cm="1">
        <f t="array" ref="J1187">_xlfn.IFS(B1187=2015,I1187*$G$2,B1187=2016,I1187*$G$3,B1187=2017,I1187*$G$4,B1187=2018,I1187*$G$5,B1187=2019,I1187*$G$6,B1187=2020,I1187*$G$7,B1187=2021,I1187*$G$8,B1187=2022,I1187*$G$9,B1187=2023,I1187*$G$10)</f>
        <v>516181.90403751726</v>
      </c>
      <c r="K1187" s="8">
        <f t="shared" si="18"/>
        <v>3115092.9040375175</v>
      </c>
      <c r="L1187">
        <f>IFERROR(VLOOKUP(F1187,'LEAID Match'!$A$2:$B$240,2,FALSE),"")</f>
        <v>0</v>
      </c>
    </row>
    <row r="1188" spans="1:12" x14ac:dyDescent="0.2">
      <c r="A1188">
        <v>0</v>
      </c>
      <c r="B1188">
        <v>2021</v>
      </c>
      <c r="C1188" s="4" t="s">
        <v>241</v>
      </c>
      <c r="D1188" s="4" t="s">
        <v>576</v>
      </c>
      <c r="E1188" s="4" t="s">
        <v>578</v>
      </c>
      <c r="F1188" s="4" t="s">
        <v>200</v>
      </c>
      <c r="G1188" s="8">
        <v>2677106</v>
      </c>
      <c r="I1188" s="16" cm="1">
        <f t="array" ref="I1188">_xlfn.IFS(B1188=2015,G1188/$H$1957,B1188=2016,G1188/$H$1958,B1188=2017,G1188/$H$1959,B1188=2018,G1188/$H$1960,B1188=2019,G1188/$H$1961,B1188=2020,G1188/$H$1962,B1188=2021,G1188/$H$1963,B1188=2022,G1188/$H$1964,B1188=2023,G1188/$H$1965)</f>
        <v>3.0593830600752279E-3</v>
      </c>
      <c r="J1188" s="10" cm="1">
        <f t="array" ref="J1188">_xlfn.IFS(B1188=2015,I1188*$G$2,B1188=2016,I1188*$G$3,B1188=2017,I1188*$G$4,B1188=2018,I1188*$G$5,B1188=2019,I1188*$G$6,B1188=2020,I1188*$G$7,B1188=2021,I1188*$G$8,B1188=2022,I1188*$G$9,B1188=2023,I1188*$G$10)</f>
        <v>525041.64088210859</v>
      </c>
      <c r="K1188" s="8">
        <f t="shared" si="18"/>
        <v>3202147.6408821084</v>
      </c>
      <c r="L1188">
        <f>IFERROR(VLOOKUP(F1188,'LEAID Match'!$A$2:$B$240,2,FALSE),"")</f>
        <v>0</v>
      </c>
    </row>
    <row r="1189" spans="1:12" x14ac:dyDescent="0.2">
      <c r="A1189">
        <v>0</v>
      </c>
      <c r="B1189">
        <v>2022</v>
      </c>
      <c r="C1189" s="4" t="s">
        <v>241</v>
      </c>
      <c r="D1189" s="4" t="s">
        <v>576</v>
      </c>
      <c r="E1189" s="4" t="s">
        <v>578</v>
      </c>
      <c r="F1189" s="4" t="s">
        <v>200</v>
      </c>
      <c r="G1189" s="8">
        <v>3030439</v>
      </c>
      <c r="I1189" s="16" cm="1">
        <f t="array" ref="I1189">_xlfn.IFS(B1189=2015,G1189/$H$1957,B1189=2016,G1189/$H$1958,B1189=2017,G1189/$H$1959,B1189=2018,G1189/$H$1960,B1189=2019,G1189/$H$1961,B1189=2020,G1189/$H$1962,B1189=2021,G1189/$H$1963,B1189=2022,G1189/$H$1964,B1189=2023,G1189/$H$1965)</f>
        <v>3.2571228312420039E-3</v>
      </c>
      <c r="J1189" s="10" cm="1">
        <f t="array" ref="J1189">_xlfn.IFS(B1189=2015,I1189*$G$2,B1189=2016,I1189*$G$3,B1189=2017,I1189*$G$4,B1189=2018,I1189*$G$5,B1189=2019,I1189*$G$6,B1189=2020,I1189*$G$7,B1189=2021,I1189*$G$8,B1189=2022,I1189*$G$9,B1189=2023,I1189*$G$10)</f>
        <v>552361.28920889273</v>
      </c>
      <c r="K1189" s="8">
        <f t="shared" si="18"/>
        <v>3582800.2892088927</v>
      </c>
      <c r="L1189">
        <f>IFERROR(VLOOKUP(F1189,'LEAID Match'!$A$2:$B$240,2,FALSE),"")</f>
        <v>0</v>
      </c>
    </row>
    <row r="1190" spans="1:12" x14ac:dyDescent="0.2">
      <c r="A1190">
        <v>0</v>
      </c>
      <c r="B1190">
        <v>2023</v>
      </c>
      <c r="C1190" s="4" t="s">
        <v>241</v>
      </c>
      <c r="D1190" s="4" t="s">
        <v>576</v>
      </c>
      <c r="E1190" s="4" t="s">
        <v>578</v>
      </c>
      <c r="F1190" s="4" t="s">
        <v>200</v>
      </c>
      <c r="G1190" s="8">
        <v>3174688</v>
      </c>
      <c r="I1190" s="16" cm="1">
        <f t="array" ref="I1190">_xlfn.IFS(B1190=2015,G1190/$H$1957,B1190=2016,G1190/$H$1958,B1190=2017,G1190/$H$1959,B1190=2018,G1190/$H$1960,B1190=2019,G1190/$H$1961,B1190=2020,G1190/$H$1962,B1190=2021,G1190/$H$1963,B1190=2022,G1190/$H$1964,B1190=2023,G1190/$H$1965)</f>
        <v>3.214338553586227E-3</v>
      </c>
      <c r="J1190" s="10" cm="1">
        <f t="array" ref="J1190">_xlfn.IFS(B1190=2015,I1190*$G$2,B1190=2016,I1190*$G$3,B1190=2017,I1190*$G$4,B1190=2018,I1190*$G$5,B1190=2019,I1190*$G$6,B1190=2020,I1190*$G$7,B1190=2021,I1190*$G$8,B1190=2022,I1190*$G$9,B1190=2023,I1190*$G$10)</f>
        <v>546390.36440535344</v>
      </c>
      <c r="K1190" s="8">
        <f t="shared" si="18"/>
        <v>3721078.3644053536</v>
      </c>
      <c r="L1190">
        <f>IFERROR(VLOOKUP(F1190,'LEAID Match'!$A$2:$B$240,2,FALSE),"")</f>
        <v>0</v>
      </c>
    </row>
    <row r="1191" spans="1:12" x14ac:dyDescent="0.2">
      <c r="A1191">
        <v>0</v>
      </c>
      <c r="B1191">
        <v>2015</v>
      </c>
      <c r="C1191" s="4" t="s">
        <v>242</v>
      </c>
      <c r="D1191" s="4" t="s">
        <v>576</v>
      </c>
      <c r="E1191" s="4" t="s">
        <v>578</v>
      </c>
      <c r="F1191" s="4" t="s">
        <v>201</v>
      </c>
      <c r="G1191" s="8">
        <v>103641</v>
      </c>
      <c r="I1191" s="16" cm="1">
        <f t="array" ref="I1191">_xlfn.IFS(B1191=2015,G1191/$H$1957,B1191=2016,G1191/$H$1958,B1191=2017,G1191/$H$1959,B1191=2018,G1191/$H$1960,B1191=2019,G1191/$H$1961,B1191=2020,G1191/$H$1962,B1191=2021,G1191/$H$1963,B1191=2022,G1191/$H$1964,B1191=2023,G1191/$H$1965)</f>
        <v>8.0037642164688957E-5</v>
      </c>
      <c r="J1191" s="10" cm="1">
        <f t="array" ref="J1191">_xlfn.IFS(B1191=2015,I1191*$G$2,B1191=2016,I1191*$G$3,B1191=2017,I1191*$G$4,B1191=2018,I1191*$G$5,B1191=2019,I1191*$G$6,B1191=2020,I1191*$G$7,B1191=2021,I1191*$G$8,B1191=2022,I1191*$G$9,B1191=2023,I1191*$G$10)</f>
        <v>19900.765444756835</v>
      </c>
      <c r="K1191" s="8">
        <f t="shared" si="18"/>
        <v>123541.76544475683</v>
      </c>
      <c r="L1191">
        <f>IFERROR(VLOOKUP(F1191,'LEAID Match'!$A$2:$B$240,2,FALSE),"")</f>
        <v>0</v>
      </c>
    </row>
    <row r="1192" spans="1:12" x14ac:dyDescent="0.2">
      <c r="A1192">
        <v>0</v>
      </c>
      <c r="B1192">
        <v>2016</v>
      </c>
      <c r="C1192" s="4" t="s">
        <v>242</v>
      </c>
      <c r="D1192" s="4" t="s">
        <v>576</v>
      </c>
      <c r="E1192" s="4" t="s">
        <v>578</v>
      </c>
      <c r="F1192" s="4" t="s">
        <v>201</v>
      </c>
      <c r="G1192" s="8">
        <v>115915</v>
      </c>
      <c r="I1192" s="16" cm="1">
        <f t="array" ref="I1192">_xlfn.IFS(B1192=2015,G1192/$H$1957,B1192=2016,G1192/$H$1958,B1192=2017,G1192/$H$1959,B1192=2018,G1192/$H$1960,B1192=2019,G1192/$H$1961,B1192=2020,G1192/$H$1962,B1192=2021,G1192/$H$1963,B1192=2022,G1192/$H$1964,B1192=2023,G1192/$H$1965)</f>
        <v>8.1372280445583171E-5</v>
      </c>
      <c r="J1192" s="10" cm="1">
        <f t="array" ref="J1192">_xlfn.IFS(B1192=2015,I1192*$G$2,B1192=2016,I1192*$G$3,B1192=2017,I1192*$G$4,B1192=2018,I1192*$G$5,B1192=2019,I1192*$G$6,B1192=2020,I1192*$G$7,B1192=2021,I1192*$G$8,B1192=2022,I1192*$G$9,B1192=2023,I1192*$G$10)</f>
        <v>22068.41308346593</v>
      </c>
      <c r="K1192" s="8">
        <f t="shared" si="18"/>
        <v>137983.41308346594</v>
      </c>
      <c r="L1192">
        <f>IFERROR(VLOOKUP(F1192,'LEAID Match'!$A$2:$B$240,2,FALSE),"")</f>
        <v>0</v>
      </c>
    </row>
    <row r="1193" spans="1:12" x14ac:dyDescent="0.2">
      <c r="A1193">
        <v>0</v>
      </c>
      <c r="B1193">
        <v>2017</v>
      </c>
      <c r="C1193" s="4" t="s">
        <v>242</v>
      </c>
      <c r="D1193" s="4" t="s">
        <v>576</v>
      </c>
      <c r="E1193" s="4" t="s">
        <v>578</v>
      </c>
      <c r="F1193" s="4" t="s">
        <v>201</v>
      </c>
      <c r="G1193" s="8">
        <v>59887</v>
      </c>
      <c r="I1193" s="16" cm="1">
        <f t="array" ref="I1193">_xlfn.IFS(B1193=2015,G1193/$H$1957,B1193=2016,G1193/$H$1958,B1193=2017,G1193/$H$1959,B1193=2018,G1193/$H$1960,B1193=2019,G1193/$H$1961,B1193=2020,G1193/$H$1962,B1193=2021,G1193/$H$1963,B1193=2022,G1193/$H$1964,B1193=2023,G1193/$H$1965)</f>
        <v>7.9902002389516436E-5</v>
      </c>
      <c r="J1193" s="10" cm="1">
        <f t="array" ref="J1193">_xlfn.IFS(B1193=2015,I1193*$G$2,B1193=2016,I1193*$G$3,B1193=2017,I1193*$G$4,B1193=2018,I1193*$G$5,B1193=2019,I1193*$G$6,B1193=2020,I1193*$G$7,B1193=2021,I1193*$G$8,B1193=2022,I1193*$G$9,B1193=2023,I1193*$G$10)</f>
        <v>11832.414828329334</v>
      </c>
      <c r="K1193" s="8">
        <f t="shared" si="18"/>
        <v>71719.414828329333</v>
      </c>
      <c r="L1193">
        <f>IFERROR(VLOOKUP(F1193,'LEAID Match'!$A$2:$B$240,2,FALSE),"")</f>
        <v>0</v>
      </c>
    </row>
    <row r="1194" spans="1:12" x14ac:dyDescent="0.2">
      <c r="A1194">
        <v>0</v>
      </c>
      <c r="B1194">
        <v>2018</v>
      </c>
      <c r="C1194" s="4" t="s">
        <v>242</v>
      </c>
      <c r="D1194" s="4" t="s">
        <v>576</v>
      </c>
      <c r="E1194" s="4" t="s">
        <v>578</v>
      </c>
      <c r="F1194" s="4" t="s">
        <v>201</v>
      </c>
      <c r="G1194" s="8">
        <v>59635</v>
      </c>
      <c r="I1194" s="16" cm="1">
        <f t="array" ref="I1194">_xlfn.IFS(B1194=2015,G1194/$H$1957,B1194=2016,G1194/$H$1958,B1194=2017,G1194/$H$1959,B1194=2018,G1194/$H$1960,B1194=2019,G1194/$H$1961,B1194=2020,G1194/$H$1962,B1194=2021,G1194/$H$1963,B1194=2022,G1194/$H$1964,B1194=2023,G1194/$H$1965)</f>
        <v>7.6732977529758565E-5</v>
      </c>
      <c r="J1194" s="10" cm="1">
        <f t="array" ref="J1194">_xlfn.IFS(B1194=2015,I1194*$G$2,B1194=2016,I1194*$G$3,B1194=2017,I1194*$G$4,B1194=2018,I1194*$G$5,B1194=2019,I1194*$G$6,B1194=2020,I1194*$G$7,B1194=2021,I1194*$G$8,B1194=2022,I1194*$G$9,B1194=2023,I1194*$G$10)</f>
        <v>11550.148877983085</v>
      </c>
      <c r="K1194" s="8">
        <f t="shared" si="18"/>
        <v>71185.148877983083</v>
      </c>
      <c r="L1194">
        <f>IFERROR(VLOOKUP(F1194,'LEAID Match'!$A$2:$B$240,2,FALSE),"")</f>
        <v>0</v>
      </c>
    </row>
    <row r="1195" spans="1:12" x14ac:dyDescent="0.2">
      <c r="A1195">
        <v>0</v>
      </c>
      <c r="B1195">
        <v>2019</v>
      </c>
      <c r="C1195" s="4" t="s">
        <v>242</v>
      </c>
      <c r="D1195" s="4" t="s">
        <v>576</v>
      </c>
      <c r="E1195" s="4" t="s">
        <v>578</v>
      </c>
      <c r="F1195" s="4" t="s">
        <v>201</v>
      </c>
      <c r="G1195" s="8">
        <v>46282</v>
      </c>
      <c r="I1195" s="16" cm="1">
        <f t="array" ref="I1195">_xlfn.IFS(B1195=2015,G1195/$H$1957,B1195=2016,G1195/$H$1958,B1195=2017,G1195/$H$1959,B1195=2018,G1195/$H$1960,B1195=2019,G1195/$H$1961,B1195=2020,G1195/$H$1962,B1195=2021,G1195/$H$1963,B1195=2022,G1195/$H$1964,B1195=2023,G1195/$H$1965)</f>
        <v>5.751911461019017E-5</v>
      </c>
      <c r="J1195" s="10" cm="1">
        <f t="array" ref="J1195">_xlfn.IFS(B1195=2015,I1195*$G$2,B1195=2016,I1195*$G$3,B1195=2017,I1195*$G$4,B1195=2018,I1195*$G$5,B1195=2019,I1195*$G$6,B1195=2020,I1195*$G$7,B1195=2021,I1195*$G$8,B1195=2022,I1195*$G$9,B1195=2023,I1195*$G$10)</f>
        <v>9089.6376609511153</v>
      </c>
      <c r="K1195" s="8">
        <f t="shared" si="18"/>
        <v>55371.637660951114</v>
      </c>
      <c r="L1195">
        <f>IFERROR(VLOOKUP(F1195,'LEAID Match'!$A$2:$B$240,2,FALSE),"")</f>
        <v>0</v>
      </c>
    </row>
    <row r="1196" spans="1:12" x14ac:dyDescent="0.2">
      <c r="A1196">
        <v>0</v>
      </c>
      <c r="B1196">
        <v>2020</v>
      </c>
      <c r="C1196" s="4" t="s">
        <v>242</v>
      </c>
      <c r="D1196" s="4" t="s">
        <v>576</v>
      </c>
      <c r="E1196" s="4" t="s">
        <v>578</v>
      </c>
      <c r="F1196" s="4" t="s">
        <v>201</v>
      </c>
      <c r="G1196" s="8">
        <v>43961</v>
      </c>
      <c r="I1196" s="16" cm="1">
        <f t="array" ref="I1196">_xlfn.IFS(B1196=2015,G1196/$H$1957,B1196=2016,G1196/$H$1958,B1196=2017,G1196/$H$1959,B1196=2018,G1196/$H$1960,B1196=2019,G1196/$H$1961,B1196=2020,G1196/$H$1962,B1196=2021,G1196/$H$1963,B1196=2022,G1196/$H$1964,B1196=2023,G1196/$H$1965)</f>
        <v>5.0562332184621845E-5</v>
      </c>
      <c r="J1196" s="10" cm="1">
        <f t="array" ref="J1196">_xlfn.IFS(B1196=2015,I1196*$G$2,B1196=2016,I1196*$G$3,B1196=2017,I1196*$G$4,B1196=2018,I1196*$G$5,B1196=2019,I1196*$G$6,B1196=2020,I1196*$G$7,B1196=2021,I1196*$G$8,B1196=2022,I1196*$G$9,B1196=2023,I1196*$G$10)</f>
        <v>8731.3004113620264</v>
      </c>
      <c r="K1196" s="8">
        <f t="shared" si="18"/>
        <v>52692.300411362026</v>
      </c>
      <c r="L1196">
        <f>IFERROR(VLOOKUP(F1196,'LEAID Match'!$A$2:$B$240,2,FALSE),"")</f>
        <v>0</v>
      </c>
    </row>
    <row r="1197" spans="1:12" x14ac:dyDescent="0.2">
      <c r="A1197">
        <v>0</v>
      </c>
      <c r="B1197">
        <v>2021</v>
      </c>
      <c r="C1197" s="4" t="s">
        <v>242</v>
      </c>
      <c r="D1197" s="4" t="s">
        <v>576</v>
      </c>
      <c r="E1197" s="4" t="s">
        <v>578</v>
      </c>
      <c r="F1197" s="4" t="s">
        <v>201</v>
      </c>
      <c r="G1197" s="8">
        <v>45694</v>
      </c>
      <c r="I1197" s="16" cm="1">
        <f t="array" ref="I1197">_xlfn.IFS(B1197=2015,G1197/$H$1957,B1197=2016,G1197/$H$1958,B1197=2017,G1197/$H$1959,B1197=2018,G1197/$H$1960,B1197=2019,G1197/$H$1961,B1197=2020,G1197/$H$1962,B1197=2021,G1197/$H$1963,B1197=2022,G1197/$H$1964,B1197=2023,G1197/$H$1965)</f>
        <v>5.2218869759762022E-5</v>
      </c>
      <c r="J1197" s="10" cm="1">
        <f t="array" ref="J1197">_xlfn.IFS(B1197=2015,I1197*$G$2,B1197=2016,I1197*$G$3,B1197=2017,I1197*$G$4,B1197=2018,I1197*$G$5,B1197=2019,I1197*$G$6,B1197=2020,I1197*$G$7,B1197=2021,I1197*$G$8,B1197=2022,I1197*$G$9,B1197=2023,I1197*$G$10)</f>
        <v>8961.6372076664375</v>
      </c>
      <c r="K1197" s="8">
        <f t="shared" si="18"/>
        <v>54655.637207666441</v>
      </c>
      <c r="L1197">
        <f>IFERROR(VLOOKUP(F1197,'LEAID Match'!$A$2:$B$240,2,FALSE),"")</f>
        <v>0</v>
      </c>
    </row>
    <row r="1198" spans="1:12" x14ac:dyDescent="0.2">
      <c r="A1198">
        <v>0</v>
      </c>
      <c r="B1198">
        <v>2022</v>
      </c>
      <c r="C1198" s="4" t="s">
        <v>242</v>
      </c>
      <c r="D1198" s="4" t="s">
        <v>576</v>
      </c>
      <c r="E1198" s="4" t="s">
        <v>578</v>
      </c>
      <c r="F1198" s="4" t="s">
        <v>201</v>
      </c>
      <c r="G1198" s="8">
        <v>51379</v>
      </c>
      <c r="I1198" s="16" cm="1">
        <f t="array" ref="I1198">_xlfn.IFS(B1198=2015,G1198/$H$1957,B1198=2016,G1198/$H$1958,B1198=2017,G1198/$H$1959,B1198=2018,G1198/$H$1960,B1198=2019,G1198/$H$1961,B1198=2020,G1198/$H$1962,B1198=2021,G1198/$H$1963,B1198=2022,G1198/$H$1964,B1198=2023,G1198/$H$1965)</f>
        <v>5.5222267779151115E-5</v>
      </c>
      <c r="J1198" s="10" cm="1">
        <f t="array" ref="J1198">_xlfn.IFS(B1198=2015,I1198*$G$2,B1198=2016,I1198*$G$3,B1198=2017,I1198*$G$4,B1198=2018,I1198*$G$5,B1198=2019,I1198*$G$6,B1198=2020,I1198*$G$7,B1198=2021,I1198*$G$8,B1198=2022,I1198*$G$9,B1198=2023,I1198*$G$10)</f>
        <v>9364.9041205791309</v>
      </c>
      <c r="K1198" s="8">
        <f t="shared" si="18"/>
        <v>60743.904120579129</v>
      </c>
      <c r="L1198">
        <f>IFERROR(VLOOKUP(F1198,'LEAID Match'!$A$2:$B$240,2,FALSE),"")</f>
        <v>0</v>
      </c>
    </row>
    <row r="1199" spans="1:12" x14ac:dyDescent="0.2">
      <c r="A1199">
        <v>0</v>
      </c>
      <c r="B1199">
        <v>2023</v>
      </c>
      <c r="C1199" s="4" t="s">
        <v>242</v>
      </c>
      <c r="D1199" s="4" t="s">
        <v>576</v>
      </c>
      <c r="E1199" s="4" t="s">
        <v>578</v>
      </c>
      <c r="F1199" s="4" t="s">
        <v>201</v>
      </c>
      <c r="G1199" s="8">
        <v>50060</v>
      </c>
      <c r="I1199" s="16" cm="1">
        <f t="array" ref="I1199">_xlfn.IFS(B1199=2015,G1199/$H$1957,B1199=2016,G1199/$H$1958,B1199=2017,G1199/$H$1959,B1199=2018,G1199/$H$1960,B1199=2019,G1199/$H$1961,B1199=2020,G1199/$H$1962,B1199=2021,G1199/$H$1963,B1199=2022,G1199/$H$1964,B1199=2023,G1199/$H$1965)</f>
        <v>5.0685228908329419E-5</v>
      </c>
      <c r="J1199" s="10" cm="1">
        <f t="array" ref="J1199">_xlfn.IFS(B1199=2015,I1199*$G$2,B1199=2016,I1199*$G$3,B1199=2017,I1199*$G$4,B1199=2018,I1199*$G$5,B1199=2019,I1199*$G$6,B1199=2020,I1199*$G$7,B1199=2021,I1199*$G$8,B1199=2022,I1199*$G$9,B1199=2023,I1199*$G$10)</f>
        <v>8615.7448045703986</v>
      </c>
      <c r="K1199" s="8">
        <f t="shared" si="18"/>
        <v>58675.7448045704</v>
      </c>
      <c r="L1199">
        <f>IFERROR(VLOOKUP(F1199,'LEAID Match'!$A$2:$B$240,2,FALSE),"")</f>
        <v>0</v>
      </c>
    </row>
    <row r="1200" spans="1:12" x14ac:dyDescent="0.2">
      <c r="A1200">
        <v>0</v>
      </c>
      <c r="B1200">
        <v>2015</v>
      </c>
      <c r="C1200" s="4" t="s">
        <v>243</v>
      </c>
      <c r="D1200" s="4" t="s">
        <v>576</v>
      </c>
      <c r="E1200" s="4" t="s">
        <v>578</v>
      </c>
      <c r="F1200" s="4" t="s">
        <v>202</v>
      </c>
      <c r="G1200" s="8">
        <v>320782</v>
      </c>
      <c r="I1200" s="16" cm="1">
        <f t="array" ref="I1200">_xlfn.IFS(B1200=2015,G1200/$H$1957,B1200=2016,G1200/$H$1958,B1200=2017,G1200/$H$1959,B1200=2018,G1200/$H$1960,B1200=2019,G1200/$H$1961,B1200=2020,G1200/$H$1962,B1200=2021,G1200/$H$1963,B1200=2022,G1200/$H$1964,B1200=2023,G1200/$H$1965)</f>
        <v>2.4772662294722411E-4</v>
      </c>
      <c r="J1200" s="10" cm="1">
        <f t="array" ref="J1200">_xlfn.IFS(B1200=2015,I1200*$G$2,B1200=2016,I1200*$G$3,B1200=2017,I1200*$G$4,B1200=2018,I1200*$G$5,B1200=2019,I1200*$G$6,B1200=2020,I1200*$G$7,B1200=2021,I1200*$G$8,B1200=2022,I1200*$G$9,B1200=2023,I1200*$G$10)</f>
        <v>61595.38542565189</v>
      </c>
      <c r="K1200" s="8">
        <f t="shared" si="18"/>
        <v>382377.38542565191</v>
      </c>
      <c r="L1200">
        <f>IFERROR(VLOOKUP(F1200,'LEAID Match'!$A$2:$B$240,2,FALSE),"")</f>
        <v>0</v>
      </c>
    </row>
    <row r="1201" spans="1:12" x14ac:dyDescent="0.2">
      <c r="A1201">
        <v>0</v>
      </c>
      <c r="B1201">
        <v>2016</v>
      </c>
      <c r="C1201" s="4" t="s">
        <v>243</v>
      </c>
      <c r="D1201" s="4" t="s">
        <v>576</v>
      </c>
      <c r="E1201" s="4" t="s">
        <v>578</v>
      </c>
      <c r="F1201" s="4" t="s">
        <v>202</v>
      </c>
      <c r="G1201" s="8">
        <v>337761</v>
      </c>
      <c r="I1201" s="16" cm="1">
        <f t="array" ref="I1201">_xlfn.IFS(B1201=2015,G1201/$H$1957,B1201=2016,G1201/$H$1958,B1201=2017,G1201/$H$1959,B1201=2018,G1201/$H$1960,B1201=2019,G1201/$H$1961,B1201=2020,G1201/$H$1962,B1201=2021,G1201/$H$1963,B1201=2022,G1201/$H$1964,B1201=2023,G1201/$H$1965)</f>
        <v>2.3710807760497446E-4</v>
      </c>
      <c r="J1201" s="10" cm="1">
        <f t="array" ref="J1201">_xlfn.IFS(B1201=2015,I1201*$G$2,B1201=2016,I1201*$G$3,B1201=2017,I1201*$G$4,B1201=2018,I1201*$G$5,B1201=2019,I1201*$G$6,B1201=2020,I1201*$G$7,B1201=2021,I1201*$G$8,B1201=2022,I1201*$G$9,B1201=2023,I1201*$G$10)</f>
        <v>64304.440939348096</v>
      </c>
      <c r="K1201" s="8">
        <f t="shared" si="18"/>
        <v>402065.44093934807</v>
      </c>
      <c r="L1201">
        <f>IFERROR(VLOOKUP(F1201,'LEAID Match'!$A$2:$B$240,2,FALSE),"")</f>
        <v>0</v>
      </c>
    </row>
    <row r="1202" spans="1:12" x14ac:dyDescent="0.2">
      <c r="A1202">
        <v>0</v>
      </c>
      <c r="B1202">
        <v>2017</v>
      </c>
      <c r="C1202" s="4" t="s">
        <v>243</v>
      </c>
      <c r="D1202" s="4" t="s">
        <v>576</v>
      </c>
      <c r="E1202" s="4" t="s">
        <v>578</v>
      </c>
      <c r="F1202" s="4" t="s">
        <v>202</v>
      </c>
      <c r="G1202" s="8">
        <v>174532</v>
      </c>
      <c r="I1202" s="16" cm="1">
        <f t="array" ref="I1202">_xlfn.IFS(B1202=2015,G1202/$H$1957,B1202=2016,G1202/$H$1958,B1202=2017,G1202/$H$1959,B1202=2018,G1202/$H$1960,B1202=2019,G1202/$H$1961,B1202=2020,G1202/$H$1962,B1202=2021,G1202/$H$1963,B1202=2022,G1202/$H$1964,B1202=2023,G1202/$H$1965)</f>
        <v>2.3286282968001539E-4</v>
      </c>
      <c r="J1202" s="10" cm="1">
        <f t="array" ref="J1202">_xlfn.IFS(B1202=2015,I1202*$G$2,B1202=2016,I1202*$G$3,B1202=2017,I1202*$G$4,B1202=2018,I1202*$G$5,B1202=2019,I1202*$G$6,B1202=2020,I1202*$G$7,B1202=2021,I1202*$G$8,B1202=2022,I1202*$G$9,B1202=2023,I1202*$G$10)</f>
        <v>34483.861686475779</v>
      </c>
      <c r="K1202" s="8">
        <f t="shared" si="18"/>
        <v>209015.86168647578</v>
      </c>
      <c r="L1202">
        <f>IFERROR(VLOOKUP(F1202,'LEAID Match'!$A$2:$B$240,2,FALSE),"")</f>
        <v>0</v>
      </c>
    </row>
    <row r="1203" spans="1:12" x14ac:dyDescent="0.2">
      <c r="A1203">
        <v>0</v>
      </c>
      <c r="B1203">
        <v>2018</v>
      </c>
      <c r="C1203" s="4" t="s">
        <v>243</v>
      </c>
      <c r="D1203" s="4" t="s">
        <v>576</v>
      </c>
      <c r="E1203" s="4" t="s">
        <v>578</v>
      </c>
      <c r="F1203" s="4" t="s">
        <v>202</v>
      </c>
      <c r="G1203" s="8">
        <v>153395</v>
      </c>
      <c r="I1203" s="16" cm="1">
        <f t="array" ref="I1203">_xlfn.IFS(B1203=2015,G1203/$H$1957,B1203=2016,G1203/$H$1958,B1203=2017,G1203/$H$1959,B1203=2018,G1203/$H$1960,B1203=2019,G1203/$H$1961,B1203=2020,G1203/$H$1962,B1203=2021,G1203/$H$1963,B1203=2022,G1203/$H$1964,B1203=2023,G1203/$H$1965)</f>
        <v>1.9737494907650399E-4</v>
      </c>
      <c r="J1203" s="10" cm="1">
        <f t="array" ref="J1203">_xlfn.IFS(B1203=2015,I1203*$G$2,B1203=2016,I1203*$G$3,B1203=2017,I1203*$G$4,B1203=2018,I1203*$G$5,B1203=2019,I1203*$G$6,B1203=2020,I1203*$G$7,B1203=2021,I1203*$G$8,B1203=2022,I1203*$G$9,B1203=2023,I1203*$G$10)</f>
        <v>29709.651834295557</v>
      </c>
      <c r="K1203" s="8">
        <f t="shared" si="18"/>
        <v>183104.65183429557</v>
      </c>
      <c r="L1203">
        <f>IFERROR(VLOOKUP(F1203,'LEAID Match'!$A$2:$B$240,2,FALSE),"")</f>
        <v>0</v>
      </c>
    </row>
    <row r="1204" spans="1:12" x14ac:dyDescent="0.2">
      <c r="A1204">
        <v>0</v>
      </c>
      <c r="B1204">
        <v>2019</v>
      </c>
      <c r="C1204" s="4" t="s">
        <v>243</v>
      </c>
      <c r="D1204" s="4" t="s">
        <v>576</v>
      </c>
      <c r="E1204" s="4" t="s">
        <v>578</v>
      </c>
      <c r="F1204" s="4" t="s">
        <v>202</v>
      </c>
      <c r="G1204" s="8">
        <v>157987</v>
      </c>
      <c r="I1204" s="16" cm="1">
        <f t="array" ref="I1204">_xlfn.IFS(B1204=2015,G1204/$H$1957,B1204=2016,G1204/$H$1958,B1204=2017,G1204/$H$1959,B1204=2018,G1204/$H$1960,B1204=2019,G1204/$H$1961,B1204=2020,G1204/$H$1962,B1204=2021,G1204/$H$1963,B1204=2022,G1204/$H$1964,B1204=2023,G1204/$H$1965)</f>
        <v>1.963457145309216E-4</v>
      </c>
      <c r="J1204" s="10" cm="1">
        <f t="array" ref="J1204">_xlfn.IFS(B1204=2015,I1204*$G$2,B1204=2016,I1204*$G$3,B1204=2017,I1204*$G$4,B1204=2018,I1204*$G$5,B1204=2019,I1204*$G$6,B1204=2020,I1204*$G$7,B1204=2021,I1204*$G$8,B1204=2022,I1204*$G$9,B1204=2023,I1204*$G$10)</f>
        <v>31028.144530069651</v>
      </c>
      <c r="K1204" s="8">
        <f t="shared" si="18"/>
        <v>189015.14453006967</v>
      </c>
      <c r="L1204">
        <f>IFERROR(VLOOKUP(F1204,'LEAID Match'!$A$2:$B$240,2,FALSE),"")</f>
        <v>0</v>
      </c>
    </row>
    <row r="1205" spans="1:12" x14ac:dyDescent="0.2">
      <c r="A1205">
        <v>0</v>
      </c>
      <c r="B1205">
        <v>2020</v>
      </c>
      <c r="C1205" s="4" t="s">
        <v>243</v>
      </c>
      <c r="D1205" s="4" t="s">
        <v>576</v>
      </c>
      <c r="E1205" s="4" t="s">
        <v>578</v>
      </c>
      <c r="F1205" s="4" t="s">
        <v>202</v>
      </c>
      <c r="G1205" s="8">
        <v>168692</v>
      </c>
      <c r="I1205" s="16" cm="1">
        <f t="array" ref="I1205">_xlfn.IFS(B1205=2015,G1205/$H$1957,B1205=2016,G1205/$H$1958,B1205=2017,G1205/$H$1959,B1205=2018,G1205/$H$1960,B1205=2019,G1205/$H$1961,B1205=2020,G1205/$H$1962,B1205=2021,G1205/$H$1963,B1205=2022,G1205/$H$1964,B1205=2023,G1205/$H$1965)</f>
        <v>1.9402336027133662E-4</v>
      </c>
      <c r="J1205" s="10" cm="1">
        <f t="array" ref="J1205">_xlfn.IFS(B1205=2015,I1205*$G$2,B1205=2016,I1205*$G$3,B1205=2017,I1205*$G$4,B1205=2018,I1205*$G$5,B1205=2019,I1205*$G$6,B1205=2020,I1205*$G$7,B1205=2021,I1205*$G$8,B1205=2022,I1205*$G$9,B1205=2023,I1205*$G$10)</f>
        <v>33504.7093786193</v>
      </c>
      <c r="K1205" s="8">
        <f t="shared" si="18"/>
        <v>202196.7093786193</v>
      </c>
      <c r="L1205">
        <f>IFERROR(VLOOKUP(F1205,'LEAID Match'!$A$2:$B$240,2,FALSE),"")</f>
        <v>0</v>
      </c>
    </row>
    <row r="1206" spans="1:12" x14ac:dyDescent="0.2">
      <c r="A1206">
        <v>0</v>
      </c>
      <c r="B1206">
        <v>2021</v>
      </c>
      <c r="C1206" s="4" t="s">
        <v>243</v>
      </c>
      <c r="D1206" s="4" t="s">
        <v>576</v>
      </c>
      <c r="E1206" s="4" t="s">
        <v>578</v>
      </c>
      <c r="F1206" s="4" t="s">
        <v>202</v>
      </c>
      <c r="G1206" s="8">
        <v>183449</v>
      </c>
      <c r="I1206" s="16" cm="1">
        <f t="array" ref="I1206">_xlfn.IFS(B1206=2015,G1206/$H$1957,B1206=2016,G1206/$H$1958,B1206=2017,G1206/$H$1959,B1206=2018,G1206/$H$1960,B1206=2019,G1206/$H$1961,B1206=2020,G1206/$H$1962,B1206=2021,G1206/$H$1963,B1206=2022,G1206/$H$1964,B1206=2023,G1206/$H$1965)</f>
        <v>2.0964458000084438E-4</v>
      </c>
      <c r="J1206" s="10" cm="1">
        <f t="array" ref="J1206">_xlfn.IFS(B1206=2015,I1206*$G$2,B1206=2016,I1206*$G$3,B1206=2017,I1206*$G$4,B1206=2018,I1206*$G$5,B1206=2019,I1206*$G$6,B1206=2020,I1206*$G$7,B1206=2021,I1206*$G$8,B1206=2022,I1206*$G$9,B1206=2023,I1206*$G$10)</f>
        <v>35978.539504293789</v>
      </c>
      <c r="K1206" s="8">
        <f t="shared" si="18"/>
        <v>219427.53950429379</v>
      </c>
      <c r="L1206">
        <f>IFERROR(VLOOKUP(F1206,'LEAID Match'!$A$2:$B$240,2,FALSE),"")</f>
        <v>0</v>
      </c>
    </row>
    <row r="1207" spans="1:12" x14ac:dyDescent="0.2">
      <c r="A1207">
        <v>0</v>
      </c>
      <c r="B1207">
        <v>2022</v>
      </c>
      <c r="C1207" s="4" t="s">
        <v>243</v>
      </c>
      <c r="D1207" s="4" t="s">
        <v>576</v>
      </c>
      <c r="E1207" s="4" t="s">
        <v>578</v>
      </c>
      <c r="F1207" s="4" t="s">
        <v>202</v>
      </c>
      <c r="G1207" s="8">
        <v>196778</v>
      </c>
      <c r="I1207" s="16" cm="1">
        <f t="array" ref="I1207">_xlfn.IFS(B1207=2015,G1207/$H$1957,B1207=2016,G1207/$H$1958,B1207=2017,G1207/$H$1959,B1207=2018,G1207/$H$1960,B1207=2019,G1207/$H$1961,B1207=2020,G1207/$H$1962,B1207=2021,G1207/$H$1963,B1207=2022,G1207/$H$1964,B1207=2023,G1207/$H$1965)</f>
        <v>2.1149744854990945E-4</v>
      </c>
      <c r="J1207" s="10" cm="1">
        <f t="array" ref="J1207">_xlfn.IFS(B1207=2015,I1207*$G$2,B1207=2016,I1207*$G$3,B1207=2017,I1207*$G$4,B1207=2018,I1207*$G$5,B1207=2019,I1207*$G$6,B1207=2020,I1207*$G$7,B1207=2021,I1207*$G$8,B1207=2022,I1207*$G$9,B1207=2023,I1207*$G$10)</f>
        <v>35866.932074180506</v>
      </c>
      <c r="K1207" s="8">
        <f t="shared" si="18"/>
        <v>232644.93207418051</v>
      </c>
      <c r="L1207">
        <f>IFERROR(VLOOKUP(F1207,'LEAID Match'!$A$2:$B$240,2,FALSE),"")</f>
        <v>0</v>
      </c>
    </row>
    <row r="1208" spans="1:12" x14ac:dyDescent="0.2">
      <c r="A1208">
        <v>0</v>
      </c>
      <c r="B1208">
        <v>2023</v>
      </c>
      <c r="C1208" s="4" t="s">
        <v>243</v>
      </c>
      <c r="D1208" s="4" t="s">
        <v>576</v>
      </c>
      <c r="E1208" s="4" t="s">
        <v>578</v>
      </c>
      <c r="F1208" s="4" t="s">
        <v>202</v>
      </c>
      <c r="G1208" s="8">
        <v>219430</v>
      </c>
      <c r="I1208" s="16" cm="1">
        <f t="array" ref="I1208">_xlfn.IFS(B1208=2015,G1208/$H$1957,B1208=2016,G1208/$H$1958,B1208=2017,G1208/$H$1959,B1208=2018,G1208/$H$1960,B1208=2019,G1208/$H$1961,B1208=2020,G1208/$H$1962,B1208=2021,G1208/$H$1963,B1208=2022,G1208/$H$1964,B1208=2023,G1208/$H$1965)</f>
        <v>2.2217059087804085E-4</v>
      </c>
      <c r="J1208" s="10" cm="1">
        <f t="array" ref="J1208">_xlfn.IFS(B1208=2015,I1208*$G$2,B1208=2016,I1208*$G$3,B1208=2017,I1208*$G$4,B1208=2018,I1208*$G$5,B1208=2019,I1208*$G$6,B1208=2020,I1208*$G$7,B1208=2021,I1208*$G$8,B1208=2022,I1208*$G$9,B1208=2023,I1208*$G$10)</f>
        <v>37765.738762822264</v>
      </c>
      <c r="K1208" s="8">
        <f t="shared" si="18"/>
        <v>257195.73876282226</v>
      </c>
      <c r="L1208">
        <f>IFERROR(VLOOKUP(F1208,'LEAID Match'!$A$2:$B$240,2,FALSE),"")</f>
        <v>0</v>
      </c>
    </row>
    <row r="1209" spans="1:12" x14ac:dyDescent="0.2">
      <c r="A1209">
        <v>0</v>
      </c>
      <c r="B1209">
        <v>2015</v>
      </c>
      <c r="C1209" s="4" t="s">
        <v>244</v>
      </c>
      <c r="D1209" s="4" t="s">
        <v>576</v>
      </c>
      <c r="E1209" s="4" t="s">
        <v>578</v>
      </c>
      <c r="F1209" s="4" t="s">
        <v>203</v>
      </c>
      <c r="G1209" s="8">
        <v>11217723</v>
      </c>
      <c r="I1209" s="16" cm="1">
        <f t="array" ref="I1209">_xlfn.IFS(B1209=2015,G1209/$H$1957,B1209=2016,G1209/$H$1958,B1209=2017,G1209/$H$1959,B1209=2018,G1209/$H$1960,B1209=2019,G1209/$H$1961,B1209=2020,G1209/$H$1962,B1209=2021,G1209/$H$1963,B1209=2022,G1209/$H$1964,B1209=2023,G1209/$H$1965)</f>
        <v>8.6629818254995716E-3</v>
      </c>
      <c r="J1209" s="10" cm="1">
        <f t="array" ref="J1209">_xlfn.IFS(B1209=2015,I1209*$G$2,B1209=2016,I1209*$G$3,B1209=2017,I1209*$G$4,B1209=2018,I1209*$G$5,B1209=2019,I1209*$G$6,B1209=2020,I1209*$G$7,B1209=2021,I1209*$G$8,B1209=2022,I1209*$G$9,B1209=2023,I1209*$G$10)</f>
        <v>2153986.1082704142</v>
      </c>
      <c r="K1209" s="8">
        <f t="shared" si="18"/>
        <v>13371709.108270414</v>
      </c>
      <c r="L1209">
        <f>IFERROR(VLOOKUP(F1209,'LEAID Match'!$A$2:$B$240,2,FALSE),"")</f>
        <v>0</v>
      </c>
    </row>
    <row r="1210" spans="1:12" x14ac:dyDescent="0.2">
      <c r="A1210">
        <v>0</v>
      </c>
      <c r="B1210">
        <v>2016</v>
      </c>
      <c r="C1210" s="4" t="s">
        <v>244</v>
      </c>
      <c r="D1210" s="4" t="s">
        <v>576</v>
      </c>
      <c r="E1210" s="4" t="s">
        <v>578</v>
      </c>
      <c r="F1210" s="4" t="s">
        <v>203</v>
      </c>
      <c r="G1210" s="8">
        <v>12064398</v>
      </c>
      <c r="I1210" s="16" cm="1">
        <f t="array" ref="I1210">_xlfn.IFS(B1210=2015,G1210/$H$1957,B1210=2016,G1210/$H$1958,B1210=2017,G1210/$H$1959,B1210=2018,G1210/$H$1960,B1210=2019,G1210/$H$1961,B1210=2020,G1210/$H$1962,B1210=2021,G1210/$H$1963,B1210=2022,G1210/$H$1964,B1210=2023,G1210/$H$1965)</f>
        <v>8.4692022383913435E-3</v>
      </c>
      <c r="J1210" s="10" cm="1">
        <f t="array" ref="J1210">_xlfn.IFS(B1210=2015,I1210*$G$2,B1210=2016,I1210*$G$3,B1210=2017,I1210*$G$4,B1210=2018,I1210*$G$5,B1210=2019,I1210*$G$6,B1210=2020,I1210*$G$7,B1210=2021,I1210*$G$8,B1210=2022,I1210*$G$9,B1210=2023,I1210*$G$10)</f>
        <v>2296873.7321946267</v>
      </c>
      <c r="K1210" s="8">
        <f t="shared" si="18"/>
        <v>14361271.732194627</v>
      </c>
      <c r="L1210">
        <f>IFERROR(VLOOKUP(F1210,'LEAID Match'!$A$2:$B$240,2,FALSE),"")</f>
        <v>0</v>
      </c>
    </row>
    <row r="1211" spans="1:12" x14ac:dyDescent="0.2">
      <c r="A1211">
        <v>0</v>
      </c>
      <c r="B1211">
        <v>2017</v>
      </c>
      <c r="C1211" s="4" t="s">
        <v>244</v>
      </c>
      <c r="D1211" s="4" t="s">
        <v>576</v>
      </c>
      <c r="E1211" s="4" t="s">
        <v>578</v>
      </c>
      <c r="F1211" s="4" t="s">
        <v>203</v>
      </c>
      <c r="G1211" s="8">
        <v>6452546</v>
      </c>
      <c r="I1211" s="16" cm="1">
        <f t="array" ref="I1211">_xlfn.IFS(B1211=2015,G1211/$H$1957,B1211=2016,G1211/$H$1958,B1211=2017,G1211/$H$1959,B1211=2018,G1211/$H$1960,B1211=2019,G1211/$H$1961,B1211=2020,G1211/$H$1962,B1211=2021,G1211/$H$1963,B1211=2022,G1211/$H$1964,B1211=2023,G1211/$H$1965)</f>
        <v>8.6090695127567698E-3</v>
      </c>
      <c r="J1211" s="10" cm="1">
        <f t="array" ref="J1211">_xlfn.IFS(B1211=2015,I1211*$G$2,B1211=2016,I1211*$G$3,B1211=2017,I1211*$G$4,B1211=2018,I1211*$G$5,B1211=2019,I1211*$G$6,B1211=2020,I1211*$G$7,B1211=2021,I1211*$G$8,B1211=2022,I1211*$G$9,B1211=2023,I1211*$G$10)</f>
        <v>1274887.721389903</v>
      </c>
      <c r="K1211" s="8">
        <f t="shared" si="18"/>
        <v>7727433.7213899028</v>
      </c>
      <c r="L1211">
        <f>IFERROR(VLOOKUP(F1211,'LEAID Match'!$A$2:$B$240,2,FALSE),"")</f>
        <v>0</v>
      </c>
    </row>
    <row r="1212" spans="1:12" x14ac:dyDescent="0.2">
      <c r="A1212">
        <v>0</v>
      </c>
      <c r="B1212">
        <v>2018</v>
      </c>
      <c r="C1212" s="4" t="s">
        <v>244</v>
      </c>
      <c r="D1212" s="4" t="s">
        <v>576</v>
      </c>
      <c r="E1212" s="4" t="s">
        <v>578</v>
      </c>
      <c r="F1212" s="4" t="s">
        <v>203</v>
      </c>
      <c r="G1212" s="8">
        <v>6404046</v>
      </c>
      <c r="I1212" s="16" cm="1">
        <f t="array" ref="I1212">_xlfn.IFS(B1212=2015,G1212/$H$1957,B1212=2016,G1212/$H$1958,B1212=2017,G1212/$H$1959,B1212=2018,G1212/$H$1960,B1212=2019,G1212/$H$1961,B1212=2020,G1212/$H$1962,B1212=2021,G1212/$H$1963,B1212=2022,G1212/$H$1964,B1212=2023,G1212/$H$1965)</f>
        <v>8.2401528937291902E-3</v>
      </c>
      <c r="J1212" s="10" cm="1">
        <f t="array" ref="J1212">_xlfn.IFS(B1212=2015,I1212*$G$2,B1212=2016,I1212*$G$3,B1212=2017,I1212*$G$4,B1212=2018,I1212*$G$5,B1212=2019,I1212*$G$6,B1212=2020,I1212*$G$7,B1212=2021,I1212*$G$8,B1212=2022,I1212*$G$9,B1212=2023,I1212*$G$10)</f>
        <v>1240340.1479240728</v>
      </c>
      <c r="K1212" s="8">
        <f t="shared" si="18"/>
        <v>7644386.147924073</v>
      </c>
      <c r="L1212">
        <f>IFERROR(VLOOKUP(F1212,'LEAID Match'!$A$2:$B$240,2,FALSE),"")</f>
        <v>0</v>
      </c>
    </row>
    <row r="1213" spans="1:12" x14ac:dyDescent="0.2">
      <c r="A1213">
        <v>0</v>
      </c>
      <c r="B1213">
        <v>2019</v>
      </c>
      <c r="C1213" s="4" t="s">
        <v>244</v>
      </c>
      <c r="D1213" s="4" t="s">
        <v>576</v>
      </c>
      <c r="E1213" s="4" t="s">
        <v>578</v>
      </c>
      <c r="F1213" s="4" t="s">
        <v>203</v>
      </c>
      <c r="G1213" s="8">
        <v>6622108</v>
      </c>
      <c r="I1213" s="16" cm="1">
        <f t="array" ref="I1213">_xlfn.IFS(B1213=2015,G1213/$H$1957,B1213=2016,G1213/$H$1958,B1213=2017,G1213/$H$1959,B1213=2018,G1213/$H$1960,B1213=2019,G1213/$H$1961,B1213=2020,G1213/$H$1962,B1213=2021,G1213/$H$1963,B1213=2022,G1213/$H$1964,B1213=2023,G1213/$H$1965)</f>
        <v>8.2299336461919802E-3</v>
      </c>
      <c r="J1213" s="10" cm="1">
        <f t="array" ref="J1213">_xlfn.IFS(B1213=2015,I1213*$G$2,B1213=2016,I1213*$G$3,B1213=2017,I1213*$G$4,B1213=2018,I1213*$G$5,B1213=2019,I1213*$G$6,B1213=2020,I1213*$G$7,B1213=2021,I1213*$G$8,B1213=2022,I1213*$G$9,B1213=2023,I1213*$G$10)</f>
        <v>1300560.9582923311</v>
      </c>
      <c r="K1213" s="8">
        <f t="shared" si="18"/>
        <v>7922668.9582923315</v>
      </c>
      <c r="L1213">
        <f>IFERROR(VLOOKUP(F1213,'LEAID Match'!$A$2:$B$240,2,FALSE),"")</f>
        <v>0</v>
      </c>
    </row>
    <row r="1214" spans="1:12" x14ac:dyDescent="0.2">
      <c r="A1214">
        <v>0</v>
      </c>
      <c r="B1214">
        <v>2020</v>
      </c>
      <c r="C1214" s="4" t="s">
        <v>244</v>
      </c>
      <c r="D1214" s="4" t="s">
        <v>576</v>
      </c>
      <c r="E1214" s="4" t="s">
        <v>578</v>
      </c>
      <c r="F1214" s="4" t="s">
        <v>203</v>
      </c>
      <c r="G1214" s="8">
        <v>7217140</v>
      </c>
      <c r="I1214" s="16" cm="1">
        <f t="array" ref="I1214">_xlfn.IFS(B1214=2015,G1214/$H$1957,B1214=2016,G1214/$H$1958,B1214=2017,G1214/$H$1959,B1214=2018,G1214/$H$1960,B1214=2019,G1214/$H$1961,B1214=2020,G1214/$H$1962,B1214=2021,G1214/$H$1963,B1214=2022,G1214/$H$1964,B1214=2023,G1214/$H$1965)</f>
        <v>8.3008901094816252E-3</v>
      </c>
      <c r="J1214" s="10" cm="1">
        <f t="array" ref="J1214">_xlfn.IFS(B1214=2015,I1214*$G$2,B1214=2016,I1214*$G$3,B1214=2017,I1214*$G$4,B1214=2018,I1214*$G$5,B1214=2019,I1214*$G$6,B1214=2020,I1214*$G$7,B1214=2021,I1214*$G$8,B1214=2022,I1214*$G$9,B1214=2023,I1214*$G$10)</f>
        <v>1433430.0277713733</v>
      </c>
      <c r="K1214" s="8">
        <f t="shared" si="18"/>
        <v>8650570.0277713723</v>
      </c>
      <c r="L1214">
        <f>IFERROR(VLOOKUP(F1214,'LEAID Match'!$A$2:$B$240,2,FALSE),"")</f>
        <v>0</v>
      </c>
    </row>
    <row r="1215" spans="1:12" x14ac:dyDescent="0.2">
      <c r="A1215">
        <v>0</v>
      </c>
      <c r="B1215">
        <v>2021</v>
      </c>
      <c r="C1215" s="4" t="s">
        <v>244</v>
      </c>
      <c r="D1215" s="4" t="s">
        <v>576</v>
      </c>
      <c r="E1215" s="4" t="s">
        <v>578</v>
      </c>
      <c r="F1215" s="4" t="s">
        <v>203</v>
      </c>
      <c r="G1215" s="8">
        <v>7557388</v>
      </c>
      <c r="I1215" s="16" cm="1">
        <f t="array" ref="I1215">_xlfn.IFS(B1215=2015,G1215/$H$1957,B1215=2016,G1215/$H$1958,B1215=2017,G1215/$H$1959,B1215=2018,G1215/$H$1960,B1215=2019,G1215/$H$1961,B1215=2020,G1215/$H$1962,B1215=2021,G1215/$H$1963,B1215=2022,G1215/$H$1964,B1215=2023,G1215/$H$1965)</f>
        <v>8.6365443974261037E-3</v>
      </c>
      <c r="J1215" s="10" cm="1">
        <f t="array" ref="J1215">_xlfn.IFS(B1215=2015,I1215*$G$2,B1215=2016,I1215*$G$3,B1215=2017,I1215*$G$4,B1215=2018,I1215*$G$5,B1215=2019,I1215*$G$6,B1215=2020,I1215*$G$7,B1215=2021,I1215*$G$8,B1215=2022,I1215*$G$9,B1215=2023,I1215*$G$10)</f>
        <v>1482176.4234597944</v>
      </c>
      <c r="K1215" s="8">
        <f t="shared" si="18"/>
        <v>9039564.4234597944</v>
      </c>
      <c r="L1215">
        <f>IFERROR(VLOOKUP(F1215,'LEAID Match'!$A$2:$B$240,2,FALSE),"")</f>
        <v>0</v>
      </c>
    </row>
    <row r="1216" spans="1:12" x14ac:dyDescent="0.2">
      <c r="A1216">
        <v>0</v>
      </c>
      <c r="B1216">
        <v>2022</v>
      </c>
      <c r="C1216" s="4" t="s">
        <v>244</v>
      </c>
      <c r="D1216" s="4" t="s">
        <v>576</v>
      </c>
      <c r="E1216" s="4" t="s">
        <v>578</v>
      </c>
      <c r="F1216" s="4" t="s">
        <v>203</v>
      </c>
      <c r="G1216" s="8">
        <v>8237792</v>
      </c>
      <c r="I1216" s="16" cm="1">
        <f t="array" ref="I1216">_xlfn.IFS(B1216=2015,G1216/$H$1957,B1216=2016,G1216/$H$1958,B1216=2017,G1216/$H$1959,B1216=2018,G1216/$H$1960,B1216=2019,G1216/$H$1961,B1216=2020,G1216/$H$1962,B1216=2021,G1216/$H$1963,B1216=2022,G1216/$H$1964,B1216=2023,G1216/$H$1965)</f>
        <v>8.8539978538497988E-3</v>
      </c>
      <c r="J1216" s="10" cm="1">
        <f t="array" ref="J1216">_xlfn.IFS(B1216=2015,I1216*$G$2,B1216=2016,I1216*$G$3,B1216=2017,I1216*$G$4,B1216=2018,I1216*$G$5,B1216=2019,I1216*$G$6,B1216=2020,I1216*$G$7,B1216=2021,I1216*$G$8,B1216=2022,I1216*$G$9,B1216=2023,I1216*$G$10)</f>
        <v>1501510.9722897252</v>
      </c>
      <c r="K1216" s="8">
        <f t="shared" si="18"/>
        <v>9739302.9722897261</v>
      </c>
      <c r="L1216">
        <f>IFERROR(VLOOKUP(F1216,'LEAID Match'!$A$2:$B$240,2,FALSE),"")</f>
        <v>0</v>
      </c>
    </row>
    <row r="1217" spans="1:12" x14ac:dyDescent="0.2">
      <c r="A1217">
        <v>0</v>
      </c>
      <c r="B1217">
        <v>2023</v>
      </c>
      <c r="C1217" s="4" t="s">
        <v>244</v>
      </c>
      <c r="D1217" s="4" t="s">
        <v>576</v>
      </c>
      <c r="E1217" s="4" t="s">
        <v>578</v>
      </c>
      <c r="F1217" s="4" t="s">
        <v>203</v>
      </c>
      <c r="G1217" s="8">
        <v>8800955</v>
      </c>
      <c r="I1217" s="16" cm="1">
        <f t="array" ref="I1217">_xlfn.IFS(B1217=2015,G1217/$H$1957,B1217=2016,G1217/$H$1958,B1217=2017,G1217/$H$1959,B1217=2018,G1217/$H$1960,B1217=2019,G1217/$H$1961,B1217=2020,G1217/$H$1962,B1217=2021,G1217/$H$1963,B1217=2022,G1217/$H$1964,B1217=2023,G1217/$H$1965)</f>
        <v>8.9108753253477092E-3</v>
      </c>
      <c r="J1217" s="10" cm="1">
        <f t="array" ref="J1217">_xlfn.IFS(B1217=2015,I1217*$G$2,B1217=2016,I1217*$G$3,B1217=2017,I1217*$G$4,B1217=2018,I1217*$G$5,B1217=2019,I1217*$G$6,B1217=2020,I1217*$G$7,B1217=2021,I1217*$G$8,B1217=2022,I1217*$G$9,B1217=2023,I1217*$G$10)</f>
        <v>1514717.9847484592</v>
      </c>
      <c r="K1217" s="8">
        <f t="shared" si="18"/>
        <v>10315672.984748458</v>
      </c>
      <c r="L1217">
        <f>IFERROR(VLOOKUP(F1217,'LEAID Match'!$A$2:$B$240,2,FALSE),"")</f>
        <v>0</v>
      </c>
    </row>
    <row r="1218" spans="1:12" x14ac:dyDescent="0.2">
      <c r="A1218">
        <v>0</v>
      </c>
      <c r="B1218">
        <v>2015</v>
      </c>
      <c r="C1218" s="4" t="s">
        <v>245</v>
      </c>
      <c r="D1218" s="4" t="s">
        <v>576</v>
      </c>
      <c r="E1218" s="4" t="s">
        <v>578</v>
      </c>
      <c r="F1218" s="4" t="s">
        <v>204</v>
      </c>
      <c r="G1218" s="8">
        <v>3196599</v>
      </c>
      <c r="I1218" s="16" cm="1">
        <f t="array" ref="I1218">_xlfn.IFS(B1218=2015,G1218/$H$1957,B1218=2016,G1218/$H$1958,B1218=2017,G1218/$H$1959,B1218=2018,G1218/$H$1960,B1218=2019,G1218/$H$1961,B1218=2020,G1218/$H$1962,B1218=2021,G1218/$H$1963,B1218=2022,G1218/$H$1964,B1218=2023,G1218/$H$1965)</f>
        <v>2.4686007169556694E-3</v>
      </c>
      <c r="J1218" s="10" cm="1">
        <f t="array" ref="J1218">_xlfn.IFS(B1218=2015,I1218*$G$2,B1218=2016,I1218*$G$3,B1218=2017,I1218*$G$4,B1218=2018,I1218*$G$5,B1218=2019,I1218*$G$6,B1218=2020,I1218*$G$7,B1218=2021,I1218*$G$8,B1218=2022,I1218*$G$9,B1218=2023,I1218*$G$10)</f>
        <v>613799.2389107038</v>
      </c>
      <c r="K1218" s="8">
        <f t="shared" si="18"/>
        <v>3810398.2389107039</v>
      </c>
      <c r="L1218">
        <f>IFERROR(VLOOKUP(F1218,'LEAID Match'!$A$2:$B$240,2,FALSE),"")</f>
        <v>0</v>
      </c>
    </row>
    <row r="1219" spans="1:12" x14ac:dyDescent="0.2">
      <c r="A1219">
        <v>0</v>
      </c>
      <c r="B1219">
        <v>2016</v>
      </c>
      <c r="C1219" s="4" t="s">
        <v>245</v>
      </c>
      <c r="D1219" s="4" t="s">
        <v>576</v>
      </c>
      <c r="E1219" s="4" t="s">
        <v>578</v>
      </c>
      <c r="F1219" s="4" t="s">
        <v>204</v>
      </c>
      <c r="G1219" s="8">
        <v>3444508</v>
      </c>
      <c r="I1219" s="16" cm="1">
        <f t="array" ref="I1219">_xlfn.IFS(B1219=2015,G1219/$H$1957,B1219=2016,G1219/$H$1958,B1219=2017,G1219/$H$1959,B1219=2018,G1219/$H$1960,B1219=2019,G1219/$H$1961,B1219=2020,G1219/$H$1962,B1219=2021,G1219/$H$1963,B1219=2022,G1219/$H$1964,B1219=2023,G1219/$H$1965)</f>
        <v>2.4180431434504142E-3</v>
      </c>
      <c r="J1219" s="10" cm="1">
        <f t="array" ref="J1219">_xlfn.IFS(B1219=2015,I1219*$G$2,B1219=2016,I1219*$G$3,B1219=2017,I1219*$G$4,B1219=2018,I1219*$G$5,B1219=2019,I1219*$G$6,B1219=2020,I1219*$G$7,B1219=2021,I1219*$G$8,B1219=2022,I1219*$G$9,B1219=2023,I1219*$G$10)</f>
        <v>655780.74807663413</v>
      </c>
      <c r="K1219" s="8">
        <f t="shared" si="18"/>
        <v>4100288.748076634</v>
      </c>
      <c r="L1219">
        <f>IFERROR(VLOOKUP(F1219,'LEAID Match'!$A$2:$B$240,2,FALSE),"")</f>
        <v>0</v>
      </c>
    </row>
    <row r="1220" spans="1:12" x14ac:dyDescent="0.2">
      <c r="A1220">
        <v>0</v>
      </c>
      <c r="B1220">
        <v>2017</v>
      </c>
      <c r="C1220" s="4" t="s">
        <v>245</v>
      </c>
      <c r="D1220" s="4" t="s">
        <v>576</v>
      </c>
      <c r="E1220" s="4" t="s">
        <v>578</v>
      </c>
      <c r="F1220" s="4" t="s">
        <v>204</v>
      </c>
      <c r="G1220" s="8">
        <v>1714679</v>
      </c>
      <c r="I1220" s="16" cm="1">
        <f t="array" ref="I1220">_xlfn.IFS(B1220=2015,G1220/$H$1957,B1220=2016,G1220/$H$1958,B1220=2017,G1220/$H$1959,B1220=2018,G1220/$H$1960,B1220=2019,G1220/$H$1961,B1220=2020,G1220/$H$1962,B1220=2021,G1220/$H$1963,B1220=2022,G1220/$H$1964,B1220=2023,G1220/$H$1965)</f>
        <v>2.2877466821723189E-3</v>
      </c>
      <c r="J1220" s="10" cm="1">
        <f t="array" ref="J1220">_xlfn.IFS(B1220=2015,I1220*$G$2,B1220=2016,I1220*$G$3,B1220=2017,I1220*$G$4,B1220=2018,I1220*$G$5,B1220=2019,I1220*$G$6,B1220=2020,I1220*$G$7,B1220=2021,I1220*$G$8,B1220=2022,I1220*$G$9,B1220=2023,I1220*$G$10)</f>
        <v>338784.59808347246</v>
      </c>
      <c r="K1220" s="8">
        <f t="shared" si="18"/>
        <v>2053463.5980834723</v>
      </c>
      <c r="L1220">
        <f>IFERROR(VLOOKUP(F1220,'LEAID Match'!$A$2:$B$240,2,FALSE),"")</f>
        <v>0</v>
      </c>
    </row>
    <row r="1221" spans="1:12" x14ac:dyDescent="0.2">
      <c r="A1221">
        <v>0</v>
      </c>
      <c r="B1221">
        <v>2018</v>
      </c>
      <c r="C1221" s="4" t="s">
        <v>245</v>
      </c>
      <c r="D1221" s="4" t="s">
        <v>576</v>
      </c>
      <c r="E1221" s="4" t="s">
        <v>578</v>
      </c>
      <c r="F1221" s="4" t="s">
        <v>204</v>
      </c>
      <c r="G1221" s="8">
        <v>1759670</v>
      </c>
      <c r="I1221" s="16" cm="1">
        <f t="array" ref="I1221">_xlfn.IFS(B1221=2015,G1221/$H$1957,B1221=2016,G1221/$H$1958,B1221=2017,G1221/$H$1959,B1221=2018,G1221/$H$1960,B1221=2019,G1221/$H$1961,B1221=2020,G1221/$H$1962,B1221=2021,G1221/$H$1963,B1221=2022,G1221/$H$1964,B1221=2023,G1221/$H$1965)</f>
        <v>2.2641857729486081E-3</v>
      </c>
      <c r="J1221" s="10" cm="1">
        <f t="array" ref="J1221">_xlfn.IFS(B1221=2015,I1221*$G$2,B1221=2016,I1221*$G$3,B1221=2017,I1221*$G$4,B1221=2018,I1221*$G$5,B1221=2019,I1221*$G$6,B1221=2020,I1221*$G$7,B1221=2021,I1221*$G$8,B1221=2022,I1221*$G$9,B1221=2023,I1221*$G$10)</f>
        <v>340814.12720919756</v>
      </c>
      <c r="K1221" s="8">
        <f t="shared" si="18"/>
        <v>2100484.1272091977</v>
      </c>
      <c r="L1221">
        <f>IFERROR(VLOOKUP(F1221,'LEAID Match'!$A$2:$B$240,2,FALSE),"")</f>
        <v>0</v>
      </c>
    </row>
    <row r="1222" spans="1:12" x14ac:dyDescent="0.2">
      <c r="A1222">
        <v>0</v>
      </c>
      <c r="B1222">
        <v>2019</v>
      </c>
      <c r="C1222" s="4" t="s">
        <v>245</v>
      </c>
      <c r="D1222" s="4" t="s">
        <v>576</v>
      </c>
      <c r="E1222" s="4" t="s">
        <v>578</v>
      </c>
      <c r="F1222" s="4" t="s">
        <v>204</v>
      </c>
      <c r="G1222" s="8">
        <v>1890485</v>
      </c>
      <c r="I1222" s="16" cm="1">
        <f t="array" ref="I1222">_xlfn.IFS(B1222=2015,G1222/$H$1957,B1222=2016,G1222/$H$1958,B1222=2017,G1222/$H$1959,B1222=2018,G1222/$H$1960,B1222=2019,G1222/$H$1961,B1222=2020,G1222/$H$1962,B1222=2021,G1222/$H$1963,B1222=2022,G1222/$H$1964,B1222=2023,G1222/$H$1965)</f>
        <v>2.3494884271173535E-3</v>
      </c>
      <c r="J1222" s="10" cm="1">
        <f t="array" ref="J1222">_xlfn.IFS(B1222=2015,I1222*$G$2,B1222=2016,I1222*$G$3,B1222=2017,I1222*$G$4,B1222=2018,I1222*$G$5,B1222=2019,I1222*$G$6,B1222=2020,I1222*$G$7,B1222=2021,I1222*$G$8,B1222=2022,I1222*$G$9,B1222=2023,I1222*$G$10)</f>
        <v>371285.24379808927</v>
      </c>
      <c r="K1222" s="8">
        <f t="shared" si="18"/>
        <v>2261770.2437980892</v>
      </c>
      <c r="L1222">
        <f>IFERROR(VLOOKUP(F1222,'LEAID Match'!$A$2:$B$240,2,FALSE),"")</f>
        <v>0</v>
      </c>
    </row>
    <row r="1223" spans="1:12" x14ac:dyDescent="0.2">
      <c r="A1223">
        <v>0</v>
      </c>
      <c r="B1223">
        <v>2020</v>
      </c>
      <c r="C1223" s="4" t="s">
        <v>245</v>
      </c>
      <c r="D1223" s="4" t="s">
        <v>576</v>
      </c>
      <c r="E1223" s="4" t="s">
        <v>578</v>
      </c>
      <c r="F1223" s="4" t="s">
        <v>204</v>
      </c>
      <c r="G1223" s="8">
        <v>1974894</v>
      </c>
      <c r="I1223" s="16" cm="1">
        <f t="array" ref="I1223">_xlfn.IFS(B1223=2015,G1223/$H$1957,B1223=2016,G1223/$H$1958,B1223=2017,G1223/$H$1959,B1223=2018,G1223/$H$1960,B1223=2019,G1223/$H$1961,B1223=2020,G1223/$H$1962,B1223=2021,G1223/$H$1963,B1223=2022,G1223/$H$1964,B1223=2023,G1223/$H$1965)</f>
        <v>2.2714507508340706E-3</v>
      </c>
      <c r="J1223" s="10" cm="1">
        <f t="array" ref="J1223">_xlfn.IFS(B1223=2015,I1223*$G$2,B1223=2016,I1223*$G$3,B1223=2017,I1223*$G$4,B1223=2018,I1223*$G$5,B1223=2019,I1223*$G$6,B1223=2020,I1223*$G$7,B1223=2021,I1223*$G$8,B1223=2022,I1223*$G$9,B1223=2023,I1223*$G$10)</f>
        <v>392242.96068325109</v>
      </c>
      <c r="K1223" s="8">
        <f t="shared" si="18"/>
        <v>2367136.9606832513</v>
      </c>
      <c r="L1223">
        <f>IFERROR(VLOOKUP(F1223,'LEAID Match'!$A$2:$B$240,2,FALSE),"")</f>
        <v>0</v>
      </c>
    </row>
    <row r="1224" spans="1:12" x14ac:dyDescent="0.2">
      <c r="A1224">
        <v>0</v>
      </c>
      <c r="B1224">
        <v>2021</v>
      </c>
      <c r="C1224" s="4" t="s">
        <v>245</v>
      </c>
      <c r="D1224" s="4" t="s">
        <v>576</v>
      </c>
      <c r="E1224" s="4" t="s">
        <v>578</v>
      </c>
      <c r="F1224" s="4" t="s">
        <v>204</v>
      </c>
      <c r="G1224" s="8">
        <v>1982787</v>
      </c>
      <c r="I1224" s="16" cm="1">
        <f t="array" ref="I1224">_xlfn.IFS(B1224=2015,G1224/$H$1957,B1224=2016,G1224/$H$1958,B1224=2017,G1224/$H$1959,B1224=2018,G1224/$H$1960,B1224=2019,G1224/$H$1961,B1224=2020,G1224/$H$1962,B1224=2021,G1224/$H$1963,B1224=2022,G1224/$H$1964,B1224=2023,G1224/$H$1965)</f>
        <v>2.2659188539928495E-3</v>
      </c>
      <c r="J1224" s="10" cm="1">
        <f t="array" ref="J1224">_xlfn.IFS(B1224=2015,I1224*$G$2,B1224=2016,I1224*$G$3,B1224=2017,I1224*$G$4,B1224=2018,I1224*$G$5,B1224=2019,I1224*$G$6,B1224=2020,I1224*$G$7,B1224=2021,I1224*$G$8,B1224=2022,I1224*$G$9,B1224=2023,I1224*$G$10)</f>
        <v>388869.82435499883</v>
      </c>
      <c r="K1224" s="8">
        <f t="shared" si="18"/>
        <v>2371656.8243549988</v>
      </c>
      <c r="L1224">
        <f>IFERROR(VLOOKUP(F1224,'LEAID Match'!$A$2:$B$240,2,FALSE),"")</f>
        <v>0</v>
      </c>
    </row>
    <row r="1225" spans="1:12" x14ac:dyDescent="0.2">
      <c r="A1225">
        <v>0</v>
      </c>
      <c r="B1225">
        <v>2022</v>
      </c>
      <c r="C1225" s="4" t="s">
        <v>245</v>
      </c>
      <c r="D1225" s="4" t="s">
        <v>576</v>
      </c>
      <c r="E1225" s="4" t="s">
        <v>578</v>
      </c>
      <c r="F1225" s="4" t="s">
        <v>204</v>
      </c>
      <c r="G1225" s="8">
        <v>2164623</v>
      </c>
      <c r="I1225" s="16" cm="1">
        <f t="array" ref="I1225">_xlfn.IFS(B1225=2015,G1225/$H$1957,B1225=2016,G1225/$H$1958,B1225=2017,G1225/$H$1959,B1225=2018,G1225/$H$1960,B1225=2019,G1225/$H$1961,B1225=2020,G1225/$H$1962,B1225=2021,G1225/$H$1963,B1225=2022,G1225/$H$1964,B1225=2023,G1225/$H$1965)</f>
        <v>2.3265417961990196E-3</v>
      </c>
      <c r="J1225" s="10" cm="1">
        <f t="array" ref="J1225">_xlfn.IFS(B1225=2015,I1225*$G$2,B1225=2016,I1225*$G$3,B1225=2017,I1225*$G$4,B1225=2018,I1225*$G$5,B1225=2019,I1225*$G$6,B1225=2020,I1225*$G$7,B1225=2021,I1225*$G$8,B1225=2022,I1225*$G$9,B1225=2023,I1225*$G$10)</f>
        <v>394548.10043403646</v>
      </c>
      <c r="K1225" s="8">
        <f t="shared" si="18"/>
        <v>2559171.1004340365</v>
      </c>
      <c r="L1225">
        <f>IFERROR(VLOOKUP(F1225,'LEAID Match'!$A$2:$B$240,2,FALSE),"")</f>
        <v>0</v>
      </c>
    </row>
    <row r="1226" spans="1:12" x14ac:dyDescent="0.2">
      <c r="A1226">
        <v>0</v>
      </c>
      <c r="B1226">
        <v>2023</v>
      </c>
      <c r="C1226" s="4" t="s">
        <v>245</v>
      </c>
      <c r="D1226" s="4" t="s">
        <v>576</v>
      </c>
      <c r="E1226" s="4" t="s">
        <v>578</v>
      </c>
      <c r="F1226" s="4" t="s">
        <v>204</v>
      </c>
      <c r="G1226" s="8">
        <v>2338944</v>
      </c>
      <c r="I1226" s="16" cm="1">
        <f t="array" ref="I1226">_xlfn.IFS(B1226=2015,G1226/$H$1957,B1226=2016,G1226/$H$1958,B1226=2017,G1226/$H$1959,B1226=2018,G1226/$H$1960,B1226=2019,G1226/$H$1961,B1226=2020,G1226/$H$1962,B1226=2021,G1226/$H$1963,B1226=2022,G1226/$H$1964,B1226=2023,G1226/$H$1965)</f>
        <v>2.3681564531315151E-3</v>
      </c>
      <c r="J1226" s="10" cm="1">
        <f t="array" ref="J1226">_xlfn.IFS(B1226=2015,I1226*$G$2,B1226=2016,I1226*$G$3,B1226=2017,I1226*$G$4,B1226=2018,I1226*$G$5,B1226=2019,I1226*$G$6,B1226=2020,I1226*$G$7,B1226=2021,I1226*$G$8,B1226=2022,I1226*$G$9,B1226=2023,I1226*$G$10)</f>
        <v>402551.83012746915</v>
      </c>
      <c r="K1226" s="8">
        <f t="shared" si="18"/>
        <v>2741495.8301274693</v>
      </c>
      <c r="L1226">
        <f>IFERROR(VLOOKUP(F1226,'LEAID Match'!$A$2:$B$240,2,FALSE),"")</f>
        <v>0</v>
      </c>
    </row>
    <row r="1227" spans="1:12" x14ac:dyDescent="0.2">
      <c r="A1227">
        <v>0</v>
      </c>
      <c r="B1227">
        <v>2015</v>
      </c>
      <c r="C1227" s="4" t="s">
        <v>246</v>
      </c>
      <c r="D1227" s="4" t="s">
        <v>576</v>
      </c>
      <c r="E1227" s="4" t="s">
        <v>578</v>
      </c>
      <c r="F1227" s="4" t="s">
        <v>205</v>
      </c>
      <c r="G1227" s="8">
        <v>441964</v>
      </c>
      <c r="I1227" s="16" cm="1">
        <f t="array" ref="I1227">_xlfn.IFS(B1227=2015,G1227/$H$1957,B1227=2016,G1227/$H$1958,B1227=2017,G1227/$H$1959,B1227=2018,G1227/$H$1960,B1227=2019,G1227/$H$1961,B1227=2020,G1227/$H$1962,B1227=2021,G1227/$H$1963,B1227=2022,G1227/$H$1964,B1227=2023,G1227/$H$1965)</f>
        <v>3.4131045128544293E-4</v>
      </c>
      <c r="J1227" s="10" cm="1">
        <f t="array" ref="J1227">_xlfn.IFS(B1227=2015,I1227*$G$2,B1227=2016,I1227*$G$3,B1227=2017,I1227*$G$4,B1227=2018,I1227*$G$5,B1227=2019,I1227*$G$6,B1227=2020,I1227*$G$7,B1227=2021,I1227*$G$8,B1227=2022,I1227*$G$9,B1227=2023,I1227*$G$10)</f>
        <v>84864.30948202459</v>
      </c>
      <c r="K1227" s="8">
        <f t="shared" si="18"/>
        <v>526828.30948202463</v>
      </c>
      <c r="L1227">
        <f>IFERROR(VLOOKUP(F1227,'LEAID Match'!$A$2:$B$240,2,FALSE),"")</f>
        <v>0</v>
      </c>
    </row>
    <row r="1228" spans="1:12" x14ac:dyDescent="0.2">
      <c r="A1228">
        <v>0</v>
      </c>
      <c r="B1228">
        <v>2016</v>
      </c>
      <c r="C1228" s="4" t="s">
        <v>246</v>
      </c>
      <c r="D1228" s="4" t="s">
        <v>576</v>
      </c>
      <c r="E1228" s="4" t="s">
        <v>578</v>
      </c>
      <c r="F1228" s="4" t="s">
        <v>205</v>
      </c>
      <c r="G1228" s="8">
        <v>504869</v>
      </c>
      <c r="I1228" s="16" cm="1">
        <f t="array" ref="I1228">_xlfn.IFS(B1228=2015,G1228/$H$1957,B1228=2016,G1228/$H$1958,B1228=2017,G1228/$H$1959,B1228=2018,G1228/$H$1960,B1228=2019,G1228/$H$1961,B1228=2020,G1228/$H$1962,B1228=2021,G1228/$H$1963,B1228=2022,G1228/$H$1964,B1228=2023,G1228/$H$1965)</f>
        <v>3.5441782216521698E-4</v>
      </c>
      <c r="J1228" s="10" cm="1">
        <f t="array" ref="J1228">_xlfn.IFS(B1228=2015,I1228*$G$2,B1228=2016,I1228*$G$3,B1228=2017,I1228*$G$4,B1228=2018,I1228*$G$5,B1228=2019,I1228*$G$6,B1228=2020,I1228*$G$7,B1228=2021,I1228*$G$8,B1228=2022,I1228*$G$9,B1228=2023,I1228*$G$10)</f>
        <v>96119.204978099107</v>
      </c>
      <c r="K1228" s="8">
        <f t="shared" ref="K1228:K1291" si="19">SUM(G1228,J1228)</f>
        <v>600988.20497809909</v>
      </c>
      <c r="L1228">
        <f>IFERROR(VLOOKUP(F1228,'LEAID Match'!$A$2:$B$240,2,FALSE),"")</f>
        <v>0</v>
      </c>
    </row>
    <row r="1229" spans="1:12" x14ac:dyDescent="0.2">
      <c r="A1229">
        <v>0</v>
      </c>
      <c r="B1229">
        <v>2017</v>
      </c>
      <c r="C1229" s="4" t="s">
        <v>246</v>
      </c>
      <c r="D1229" s="4" t="s">
        <v>576</v>
      </c>
      <c r="E1229" s="4" t="s">
        <v>578</v>
      </c>
      <c r="F1229" s="4" t="s">
        <v>205</v>
      </c>
      <c r="G1229" s="8">
        <v>246024</v>
      </c>
      <c r="I1229" s="16" cm="1">
        <f t="array" ref="I1229">_xlfn.IFS(B1229=2015,G1229/$H$1957,B1229=2016,G1229/$H$1958,B1229=2017,G1229/$H$1959,B1229=2018,G1229/$H$1960,B1229=2019,G1229/$H$1961,B1229=2020,G1229/$H$1962,B1229=2021,G1229/$H$1963,B1229=2022,G1229/$H$1964,B1229=2023,G1229/$H$1965)</f>
        <v>3.2824837169800441E-4</v>
      </c>
      <c r="J1229" s="10" cm="1">
        <f t="array" ref="J1229">_xlfn.IFS(B1229=2015,I1229*$G$2,B1229=2016,I1229*$G$3,B1229=2017,I1229*$G$4,B1229=2018,I1229*$G$5,B1229=2019,I1229*$G$6,B1229=2020,I1229*$G$7,B1229=2021,I1229*$G$8,B1229=2022,I1229*$G$9,B1229=2023,I1229*$G$10)</f>
        <v>48609.181053064865</v>
      </c>
      <c r="K1229" s="8">
        <f t="shared" si="19"/>
        <v>294633.18105306488</v>
      </c>
      <c r="L1229">
        <f>IFERROR(VLOOKUP(F1229,'LEAID Match'!$A$2:$B$240,2,FALSE),"")</f>
        <v>0</v>
      </c>
    </row>
    <row r="1230" spans="1:12" x14ac:dyDescent="0.2">
      <c r="A1230">
        <v>0</v>
      </c>
      <c r="B1230">
        <v>2018</v>
      </c>
      <c r="C1230" s="4" t="s">
        <v>246</v>
      </c>
      <c r="D1230" s="4" t="s">
        <v>576</v>
      </c>
      <c r="E1230" s="4" t="s">
        <v>578</v>
      </c>
      <c r="F1230" s="4" t="s">
        <v>205</v>
      </c>
      <c r="G1230" s="8">
        <v>264906</v>
      </c>
      <c r="I1230" s="16" cm="1">
        <f t="array" ref="I1230">_xlfn.IFS(B1230=2015,G1230/$H$1957,B1230=2016,G1230/$H$1958,B1230=2017,G1230/$H$1959,B1230=2018,G1230/$H$1960,B1230=2019,G1230/$H$1961,B1230=2020,G1230/$H$1962,B1230=2021,G1230/$H$1963,B1230=2022,G1230/$H$1964,B1230=2023,G1230/$H$1965)</f>
        <v>3.4085731777476686E-4</v>
      </c>
      <c r="J1230" s="10" cm="1">
        <f t="array" ref="J1230">_xlfn.IFS(B1230=2015,I1230*$G$2,B1230=2016,I1230*$G$3,B1230=2017,I1230*$G$4,B1230=2018,I1230*$G$5,B1230=2019,I1230*$G$6,B1230=2020,I1230*$G$7,B1230=2021,I1230*$G$8,B1230=2022,I1230*$G$9,B1230=2023,I1230*$G$10)</f>
        <v>51307.180995572853</v>
      </c>
      <c r="K1230" s="8">
        <f t="shared" si="19"/>
        <v>316213.18099557282</v>
      </c>
      <c r="L1230">
        <f>IFERROR(VLOOKUP(F1230,'LEAID Match'!$A$2:$B$240,2,FALSE),"")</f>
        <v>0</v>
      </c>
    </row>
    <row r="1231" spans="1:12" x14ac:dyDescent="0.2">
      <c r="A1231">
        <v>0</v>
      </c>
      <c r="B1231">
        <v>2019</v>
      </c>
      <c r="C1231" s="4" t="s">
        <v>246</v>
      </c>
      <c r="D1231" s="4" t="s">
        <v>576</v>
      </c>
      <c r="E1231" s="4" t="s">
        <v>578</v>
      </c>
      <c r="F1231" s="4" t="s">
        <v>205</v>
      </c>
      <c r="G1231" s="8">
        <v>210325</v>
      </c>
      <c r="I1231" s="16" cm="1">
        <f t="array" ref="I1231">_xlfn.IFS(B1231=2015,G1231/$H$1957,B1231=2016,G1231/$H$1958,B1231=2017,G1231/$H$1959,B1231=2018,G1231/$H$1960,B1231=2019,G1231/$H$1961,B1231=2020,G1231/$H$1962,B1231=2021,G1231/$H$1963,B1231=2022,G1231/$H$1964,B1231=2023,G1231/$H$1965)</f>
        <v>2.6139120566069418E-4</v>
      </c>
      <c r="J1231" s="10" cm="1">
        <f t="array" ref="J1231">_xlfn.IFS(B1231=2015,I1231*$G$2,B1231=2016,I1231*$G$3,B1231=2017,I1231*$G$4,B1231=2018,I1231*$G$5,B1231=2019,I1231*$G$6,B1231=2020,I1231*$G$7,B1231=2021,I1231*$G$8,B1231=2022,I1231*$G$9,B1231=2023,I1231*$G$10)</f>
        <v>41307.161337875274</v>
      </c>
      <c r="K1231" s="8">
        <f t="shared" si="19"/>
        <v>251632.16133787527</v>
      </c>
      <c r="L1231">
        <f>IFERROR(VLOOKUP(F1231,'LEAID Match'!$A$2:$B$240,2,FALSE),"")</f>
        <v>0</v>
      </c>
    </row>
    <row r="1232" spans="1:12" x14ac:dyDescent="0.2">
      <c r="A1232">
        <v>0</v>
      </c>
      <c r="B1232">
        <v>2020</v>
      </c>
      <c r="C1232" s="4" t="s">
        <v>246</v>
      </c>
      <c r="D1232" s="4" t="s">
        <v>576</v>
      </c>
      <c r="E1232" s="4" t="s">
        <v>578</v>
      </c>
      <c r="F1232" s="4" t="s">
        <v>205</v>
      </c>
      <c r="G1232" s="8">
        <v>281621</v>
      </c>
      <c r="I1232" s="16" cm="1">
        <f t="array" ref="I1232">_xlfn.IFS(B1232=2015,G1232/$H$1957,B1232=2016,G1232/$H$1958,B1232=2017,G1232/$H$1959,B1232=2018,G1232/$H$1960,B1232=2019,G1232/$H$1961,B1232=2020,G1232/$H$1962,B1232=2021,G1232/$H$1963,B1232=2022,G1232/$H$1964,B1232=2023,G1232/$H$1965)</f>
        <v>3.2391016019120102E-4</v>
      </c>
      <c r="J1232" s="10" cm="1">
        <f t="array" ref="J1232">_xlfn.IFS(B1232=2015,I1232*$G$2,B1232=2016,I1232*$G$3,B1232=2017,I1232*$G$4,B1232=2018,I1232*$G$5,B1232=2019,I1232*$G$6,B1232=2020,I1232*$G$7,B1232=2021,I1232*$G$8,B1232=2022,I1232*$G$9,B1232=2023,I1232*$G$10)</f>
        <v>55934.067767980378</v>
      </c>
      <c r="K1232" s="8">
        <f t="shared" si="19"/>
        <v>337555.06776798039</v>
      </c>
      <c r="L1232">
        <f>IFERROR(VLOOKUP(F1232,'LEAID Match'!$A$2:$B$240,2,FALSE),"")</f>
        <v>0</v>
      </c>
    </row>
    <row r="1233" spans="1:12" x14ac:dyDescent="0.2">
      <c r="A1233">
        <v>0</v>
      </c>
      <c r="B1233">
        <v>2021</v>
      </c>
      <c r="C1233" s="4" t="s">
        <v>246</v>
      </c>
      <c r="D1233" s="4" t="s">
        <v>576</v>
      </c>
      <c r="E1233" s="4" t="s">
        <v>578</v>
      </c>
      <c r="F1233" s="4" t="s">
        <v>205</v>
      </c>
      <c r="G1233" s="8">
        <v>266937</v>
      </c>
      <c r="I1233" s="16" cm="1">
        <f t="array" ref="I1233">_xlfn.IFS(B1233=2015,G1233/$H$1957,B1233=2016,G1233/$H$1958,B1233=2017,G1233/$H$1959,B1233=2018,G1233/$H$1960,B1233=2019,G1233/$H$1961,B1233=2020,G1233/$H$1962,B1233=2021,G1233/$H$1963,B1233=2022,G1233/$H$1964,B1233=2023,G1233/$H$1965)</f>
        <v>3.05054239879669E-4</v>
      </c>
      <c r="J1233" s="10" cm="1">
        <f t="array" ref="J1233">_xlfn.IFS(B1233=2015,I1233*$G$2,B1233=2016,I1233*$G$3,B1233=2017,I1233*$G$4,B1233=2018,I1233*$G$5,B1233=2019,I1233*$G$6,B1233=2020,I1233*$G$7,B1233=2021,I1233*$G$8,B1233=2022,I1233*$G$9,B1233=2023,I1233*$G$10)</f>
        <v>52352.443456533816</v>
      </c>
      <c r="K1233" s="8">
        <f t="shared" si="19"/>
        <v>319289.44345653383</v>
      </c>
      <c r="L1233">
        <f>IFERROR(VLOOKUP(F1233,'LEAID Match'!$A$2:$B$240,2,FALSE),"")</f>
        <v>0</v>
      </c>
    </row>
    <row r="1234" spans="1:12" x14ac:dyDescent="0.2">
      <c r="A1234">
        <v>0</v>
      </c>
      <c r="B1234">
        <v>2022</v>
      </c>
      <c r="C1234" s="4" t="s">
        <v>246</v>
      </c>
      <c r="D1234" s="4" t="s">
        <v>576</v>
      </c>
      <c r="E1234" s="4" t="s">
        <v>578</v>
      </c>
      <c r="F1234" s="4" t="s">
        <v>205</v>
      </c>
      <c r="G1234" s="8">
        <v>306811</v>
      </c>
      <c r="I1234" s="16" cm="1">
        <f t="array" ref="I1234">_xlfn.IFS(B1234=2015,G1234/$H$1957,B1234=2016,G1234/$H$1958,B1234=2017,G1234/$H$1959,B1234=2018,G1234/$H$1960,B1234=2019,G1234/$H$1961,B1234=2020,G1234/$H$1962,B1234=2021,G1234/$H$1963,B1234=2022,G1234/$H$1964,B1234=2023,G1234/$H$1965)</f>
        <v>3.2976117089840467E-4</v>
      </c>
      <c r="J1234" s="10" cm="1">
        <f t="array" ref="J1234">_xlfn.IFS(B1234=2015,I1234*$G$2,B1234=2016,I1234*$G$3,B1234=2017,I1234*$G$4,B1234=2018,I1234*$G$5,B1234=2019,I1234*$G$6,B1234=2020,I1234*$G$7,B1234=2021,I1234*$G$8,B1234=2022,I1234*$G$9,B1234=2023,I1234*$G$10)</f>
        <v>55922.762181805869</v>
      </c>
      <c r="K1234" s="8">
        <f t="shared" si="19"/>
        <v>362733.76218180585</v>
      </c>
      <c r="L1234">
        <f>IFERROR(VLOOKUP(F1234,'LEAID Match'!$A$2:$B$240,2,FALSE),"")</f>
        <v>0</v>
      </c>
    </row>
    <row r="1235" spans="1:12" x14ac:dyDescent="0.2">
      <c r="A1235">
        <v>0</v>
      </c>
      <c r="B1235">
        <v>2023</v>
      </c>
      <c r="C1235" s="4" t="s">
        <v>246</v>
      </c>
      <c r="D1235" s="4" t="s">
        <v>576</v>
      </c>
      <c r="E1235" s="4" t="s">
        <v>578</v>
      </c>
      <c r="F1235" s="4" t="s">
        <v>205</v>
      </c>
      <c r="G1235" s="8">
        <v>341355</v>
      </c>
      <c r="I1235" s="16" cm="1">
        <f t="array" ref="I1235">_xlfn.IFS(B1235=2015,G1235/$H$1957,B1235=2016,G1235/$H$1958,B1235=2017,G1235/$H$1959,B1235=2018,G1235/$H$1960,B1235=2019,G1235/$H$1961,B1235=2020,G1235/$H$1962,B1235=2021,G1235/$H$1963,B1235=2022,G1235/$H$1964,B1235=2023,G1235/$H$1965)</f>
        <v>3.45618384218993E-4</v>
      </c>
      <c r="J1235" s="10" cm="1">
        <f t="array" ref="J1235">_xlfn.IFS(B1235=2015,I1235*$G$2,B1235=2016,I1235*$G$3,B1235=2017,I1235*$G$4,B1235=2018,I1235*$G$5,B1235=2019,I1235*$G$6,B1235=2020,I1235*$G$7,B1235=2021,I1235*$G$8,B1235=2022,I1235*$G$9,B1235=2023,I1235*$G$10)</f>
        <v>58750.051293730088</v>
      </c>
      <c r="K1235" s="8">
        <f t="shared" si="19"/>
        <v>400105.0512937301</v>
      </c>
      <c r="L1235">
        <f>IFERROR(VLOOKUP(F1235,'LEAID Match'!$A$2:$B$240,2,FALSE),"")</f>
        <v>0</v>
      </c>
    </row>
    <row r="1236" spans="1:12" x14ac:dyDescent="0.2">
      <c r="A1236">
        <v>0</v>
      </c>
      <c r="B1236">
        <v>2015</v>
      </c>
      <c r="C1236" s="4" t="s">
        <v>247</v>
      </c>
      <c r="D1236" s="4" t="s">
        <v>576</v>
      </c>
      <c r="E1236" s="4" t="s">
        <v>578</v>
      </c>
      <c r="F1236" s="4" t="s">
        <v>206</v>
      </c>
      <c r="G1236" s="8">
        <v>1497154</v>
      </c>
      <c r="I1236" s="16" cm="1">
        <f t="array" ref="I1236">_xlfn.IFS(B1236=2015,G1236/$H$1957,B1236=2016,G1236/$H$1958,B1236=2017,G1236/$H$1959,B1236=2018,G1236/$H$1960,B1236=2019,G1236/$H$1961,B1236=2020,G1236/$H$1962,B1236=2021,G1236/$H$1963,B1236=2022,G1236/$H$1964,B1236=2023,G1236/$H$1965)</f>
        <v>1.1561898873750033E-3</v>
      </c>
      <c r="J1236" s="10" cm="1">
        <f t="array" ref="J1236">_xlfn.IFS(B1236=2015,I1236*$G$2,B1236=2016,I1236*$G$3,B1236=2017,I1236*$G$4,B1236=2018,I1236*$G$5,B1236=2019,I1236*$G$6,B1236=2020,I1236*$G$7,B1236=2021,I1236*$G$8,B1236=2022,I1236*$G$9,B1236=2023,I1236*$G$10)</f>
        <v>287478.03078588081</v>
      </c>
      <c r="K1236" s="8">
        <f t="shared" si="19"/>
        <v>1784632.0307858808</v>
      </c>
      <c r="L1236">
        <f>IFERROR(VLOOKUP(F1236,'LEAID Match'!$A$2:$B$240,2,FALSE),"")</f>
        <v>0</v>
      </c>
    </row>
    <row r="1237" spans="1:12" x14ac:dyDescent="0.2">
      <c r="A1237">
        <v>0</v>
      </c>
      <c r="B1237">
        <v>2016</v>
      </c>
      <c r="C1237" s="4" t="s">
        <v>247</v>
      </c>
      <c r="D1237" s="4" t="s">
        <v>576</v>
      </c>
      <c r="E1237" s="4" t="s">
        <v>578</v>
      </c>
      <c r="F1237" s="4" t="s">
        <v>206</v>
      </c>
      <c r="G1237" s="8">
        <v>1653703</v>
      </c>
      <c r="I1237" s="16" cm="1">
        <f t="array" ref="I1237">_xlfn.IFS(B1237=2015,G1237/$H$1957,B1237=2016,G1237/$H$1958,B1237=2017,G1237/$H$1959,B1237=2018,G1237/$H$1960,B1237=2019,G1237/$H$1961,B1237=2020,G1237/$H$1962,B1237=2021,G1237/$H$1963,B1237=2022,G1237/$H$1964,B1237=2023,G1237/$H$1965)</f>
        <v>1.1608987990312058E-3</v>
      </c>
      <c r="J1237" s="10" cm="1">
        <f t="array" ref="J1237">_xlfn.IFS(B1237=2015,I1237*$G$2,B1237=2016,I1237*$G$3,B1237=2017,I1237*$G$4,B1237=2018,I1237*$G$5,B1237=2019,I1237*$G$6,B1237=2020,I1237*$G$7,B1237=2021,I1237*$G$8,B1237=2022,I1237*$G$9,B1237=2023,I1237*$G$10)</f>
        <v>314839.32986556401</v>
      </c>
      <c r="K1237" s="8">
        <f t="shared" si="19"/>
        <v>1968542.3298655641</v>
      </c>
      <c r="L1237">
        <f>IFERROR(VLOOKUP(F1237,'LEAID Match'!$A$2:$B$240,2,FALSE),"")</f>
        <v>0</v>
      </c>
    </row>
    <row r="1238" spans="1:12" x14ac:dyDescent="0.2">
      <c r="A1238">
        <v>0</v>
      </c>
      <c r="B1238">
        <v>2017</v>
      </c>
      <c r="C1238" s="4" t="s">
        <v>247</v>
      </c>
      <c r="D1238" s="4" t="s">
        <v>576</v>
      </c>
      <c r="E1238" s="4" t="s">
        <v>578</v>
      </c>
      <c r="F1238" s="4" t="s">
        <v>206</v>
      </c>
      <c r="G1238" s="8">
        <v>875269</v>
      </c>
      <c r="I1238" s="16" cm="1">
        <f t="array" ref="I1238">_xlfn.IFS(B1238=2015,G1238/$H$1957,B1238=2016,G1238/$H$1958,B1238=2017,G1238/$H$1959,B1238=2018,G1238/$H$1960,B1238=2019,G1238/$H$1961,B1238=2020,G1238/$H$1962,B1238=2021,G1238/$H$1963,B1238=2022,G1238/$H$1964,B1238=2023,G1238/$H$1965)</f>
        <v>1.1677951096142679E-3</v>
      </c>
      <c r="J1238" s="10" cm="1">
        <f t="array" ref="J1238">_xlfn.IFS(B1238=2015,I1238*$G$2,B1238=2016,I1238*$G$3,B1238=2017,I1238*$G$4,B1238=2018,I1238*$G$5,B1238=2019,I1238*$G$6,B1238=2020,I1238*$G$7,B1238=2021,I1238*$G$8,B1238=2022,I1238*$G$9,B1238=2023,I1238*$G$10)</f>
        <v>172934.79209806782</v>
      </c>
      <c r="K1238" s="8">
        <f t="shared" si="19"/>
        <v>1048203.7920980678</v>
      </c>
      <c r="L1238">
        <f>IFERROR(VLOOKUP(F1238,'LEAID Match'!$A$2:$B$240,2,FALSE),"")</f>
        <v>0</v>
      </c>
    </row>
    <row r="1239" spans="1:12" x14ac:dyDescent="0.2">
      <c r="A1239">
        <v>0</v>
      </c>
      <c r="B1239">
        <v>2018</v>
      </c>
      <c r="C1239" s="4" t="s">
        <v>247</v>
      </c>
      <c r="D1239" s="4" t="s">
        <v>576</v>
      </c>
      <c r="E1239" s="4" t="s">
        <v>578</v>
      </c>
      <c r="F1239" s="4" t="s">
        <v>206</v>
      </c>
      <c r="G1239" s="8">
        <v>916137</v>
      </c>
      <c r="I1239" s="16" cm="1">
        <f t="array" ref="I1239">_xlfn.IFS(B1239=2015,G1239/$H$1957,B1239=2016,G1239/$H$1958,B1239=2017,G1239/$H$1959,B1239=2018,G1239/$H$1960,B1239=2019,G1239/$H$1961,B1239=2020,G1239/$H$1962,B1239=2021,G1239/$H$1963,B1239=2022,G1239/$H$1964,B1239=2023,G1239/$H$1965)</f>
        <v>1.1788030491352464E-3</v>
      </c>
      <c r="J1239" s="10" cm="1">
        <f t="array" ref="J1239">_xlfn.IFS(B1239=2015,I1239*$G$2,B1239=2016,I1239*$G$3,B1239=2017,I1239*$G$4,B1239=2018,I1239*$G$5,B1239=2019,I1239*$G$6,B1239=2020,I1239*$G$7,B1239=2021,I1239*$G$8,B1239=2022,I1239*$G$9,B1239=2023,I1239*$G$10)</f>
        <v>177438.06057900211</v>
      </c>
      <c r="K1239" s="8">
        <f t="shared" si="19"/>
        <v>1093575.0605790021</v>
      </c>
      <c r="L1239">
        <f>IFERROR(VLOOKUP(F1239,'LEAID Match'!$A$2:$B$240,2,FALSE),"")</f>
        <v>0</v>
      </c>
    </row>
    <row r="1240" spans="1:12" x14ac:dyDescent="0.2">
      <c r="A1240">
        <v>0</v>
      </c>
      <c r="B1240">
        <v>2019</v>
      </c>
      <c r="C1240" s="4" t="s">
        <v>247</v>
      </c>
      <c r="D1240" s="4" t="s">
        <v>576</v>
      </c>
      <c r="E1240" s="4" t="s">
        <v>578</v>
      </c>
      <c r="F1240" s="4" t="s">
        <v>206</v>
      </c>
      <c r="G1240" s="8">
        <v>985732</v>
      </c>
      <c r="I1240" s="16" cm="1">
        <f t="array" ref="I1240">_xlfn.IFS(B1240=2015,G1240/$H$1957,B1240=2016,G1240/$H$1958,B1240=2017,G1240/$H$1959,B1240=2018,G1240/$H$1960,B1240=2019,G1240/$H$1961,B1240=2020,G1240/$H$1962,B1240=2021,G1240/$H$1963,B1240=2022,G1240/$H$1964,B1240=2023,G1240/$H$1965)</f>
        <v>1.2250644285668722E-3</v>
      </c>
      <c r="J1240" s="10" cm="1">
        <f t="array" ref="J1240">_xlfn.IFS(B1240=2015,I1240*$G$2,B1240=2016,I1240*$G$3,B1240=2017,I1240*$G$4,B1240=2018,I1240*$G$5,B1240=2019,I1240*$G$6,B1240=2020,I1240*$G$7,B1240=2021,I1240*$G$8,B1240=2022,I1240*$G$9,B1240=2023,I1240*$G$10)</f>
        <v>193594.63097542597</v>
      </c>
      <c r="K1240" s="8">
        <f t="shared" si="19"/>
        <v>1179326.6309754259</v>
      </c>
      <c r="L1240">
        <f>IFERROR(VLOOKUP(F1240,'LEAID Match'!$A$2:$B$240,2,FALSE),"")</f>
        <v>0</v>
      </c>
    </row>
    <row r="1241" spans="1:12" x14ac:dyDescent="0.2">
      <c r="A1241">
        <v>0</v>
      </c>
      <c r="B1241">
        <v>2020</v>
      </c>
      <c r="C1241" s="4" t="s">
        <v>247</v>
      </c>
      <c r="D1241" s="4" t="s">
        <v>576</v>
      </c>
      <c r="E1241" s="4" t="s">
        <v>578</v>
      </c>
      <c r="F1241" s="4" t="s">
        <v>206</v>
      </c>
      <c r="G1241" s="8">
        <v>1089786</v>
      </c>
      <c r="I1241" s="16" cm="1">
        <f t="array" ref="I1241">_xlfn.IFS(B1241=2015,G1241/$H$1957,B1241=2016,G1241/$H$1958,B1241=2017,G1241/$H$1959,B1241=2018,G1241/$H$1960,B1241=2019,G1241/$H$1961,B1241=2020,G1241/$H$1962,B1241=2021,G1241/$H$1963,B1241=2022,G1241/$H$1964,B1241=2023,G1241/$H$1965)</f>
        <v>1.2534319451821001E-3</v>
      </c>
      <c r="J1241" s="10" cm="1">
        <f t="array" ref="J1241">_xlfn.IFS(B1241=2015,I1241*$G$2,B1241=2016,I1241*$G$3,B1241=2017,I1241*$G$4,B1241=2018,I1241*$G$5,B1241=2019,I1241*$G$6,B1241=2020,I1241*$G$7,B1241=2021,I1241*$G$8,B1241=2022,I1241*$G$9,B1241=2023,I1241*$G$10)</f>
        <v>216447.50915803958</v>
      </c>
      <c r="K1241" s="8">
        <f t="shared" si="19"/>
        <v>1306233.5091580395</v>
      </c>
      <c r="L1241">
        <f>IFERROR(VLOOKUP(F1241,'LEAID Match'!$A$2:$B$240,2,FALSE),"")</f>
        <v>0</v>
      </c>
    </row>
    <row r="1242" spans="1:12" x14ac:dyDescent="0.2">
      <c r="A1242">
        <v>0</v>
      </c>
      <c r="B1242">
        <v>2021</v>
      </c>
      <c r="C1242" s="4" t="s">
        <v>247</v>
      </c>
      <c r="D1242" s="4" t="s">
        <v>576</v>
      </c>
      <c r="E1242" s="4" t="s">
        <v>578</v>
      </c>
      <c r="F1242" s="4" t="s">
        <v>206</v>
      </c>
      <c r="G1242" s="8">
        <v>1141773</v>
      </c>
      <c r="I1242" s="16" cm="1">
        <f t="array" ref="I1242">_xlfn.IFS(B1242=2015,G1242/$H$1957,B1242=2016,G1242/$H$1958,B1242=2017,G1242/$H$1959,B1242=2018,G1242/$H$1960,B1242=2019,G1242/$H$1961,B1242=2020,G1242/$H$1962,B1242=2021,G1242/$H$1963,B1242=2022,G1242/$H$1964,B1242=2023,G1242/$H$1965)</f>
        <v>1.3048123513418122E-3</v>
      </c>
      <c r="J1242" s="10" cm="1">
        <f t="array" ref="J1242">_xlfn.IFS(B1242=2015,I1242*$G$2,B1242=2016,I1242*$G$3,B1242=2017,I1242*$G$4,B1242=2018,I1242*$G$5,B1242=2019,I1242*$G$6,B1242=2020,I1242*$G$7,B1242=2021,I1242*$G$8,B1242=2022,I1242*$G$9,B1242=2023,I1242*$G$10)</f>
        <v>223927.76731100216</v>
      </c>
      <c r="K1242" s="8">
        <f t="shared" si="19"/>
        <v>1365700.7673110021</v>
      </c>
      <c r="L1242">
        <f>IFERROR(VLOOKUP(F1242,'LEAID Match'!$A$2:$B$240,2,FALSE),"")</f>
        <v>0</v>
      </c>
    </row>
    <row r="1243" spans="1:12" x14ac:dyDescent="0.2">
      <c r="A1243">
        <v>0</v>
      </c>
      <c r="B1243">
        <v>2022</v>
      </c>
      <c r="C1243" s="4" t="s">
        <v>247</v>
      </c>
      <c r="D1243" s="4" t="s">
        <v>576</v>
      </c>
      <c r="E1243" s="4" t="s">
        <v>578</v>
      </c>
      <c r="F1243" s="4" t="s">
        <v>206</v>
      </c>
      <c r="G1243" s="8">
        <v>1243700</v>
      </c>
      <c r="I1243" s="16" cm="1">
        <f t="array" ref="I1243">_xlfn.IFS(B1243=2015,G1243/$H$1957,B1243=2016,G1243/$H$1958,B1243=2017,G1243/$H$1959,B1243=2018,G1243/$H$1960,B1243=2019,G1243/$H$1961,B1243=2020,G1243/$H$1962,B1243=2021,G1243/$H$1963,B1243=2022,G1243/$H$1964,B1243=2023,G1243/$H$1965)</f>
        <v>1.3367316303729197E-3</v>
      </c>
      <c r="J1243" s="10" cm="1">
        <f t="array" ref="J1243">_xlfn.IFS(B1243=2015,I1243*$G$2,B1243=2016,I1243*$G$3,B1243=2017,I1243*$G$4,B1243=2018,I1243*$G$5,B1243=2019,I1243*$G$6,B1243=2020,I1243*$G$7,B1243=2021,I1243*$G$8,B1243=2022,I1243*$G$9,B1243=2023,I1243*$G$10)</f>
        <v>226690.50107561972</v>
      </c>
      <c r="K1243" s="8">
        <f t="shared" si="19"/>
        <v>1470390.5010756198</v>
      </c>
      <c r="L1243">
        <f>IFERROR(VLOOKUP(F1243,'LEAID Match'!$A$2:$B$240,2,FALSE),"")</f>
        <v>0</v>
      </c>
    </row>
    <row r="1244" spans="1:12" x14ac:dyDescent="0.2">
      <c r="A1244">
        <v>0</v>
      </c>
      <c r="B1244">
        <v>2023</v>
      </c>
      <c r="C1244" s="4" t="s">
        <v>247</v>
      </c>
      <c r="D1244" s="4" t="s">
        <v>576</v>
      </c>
      <c r="E1244" s="4" t="s">
        <v>578</v>
      </c>
      <c r="F1244" s="4" t="s">
        <v>206</v>
      </c>
      <c r="G1244" s="8">
        <v>1306215</v>
      </c>
      <c r="I1244" s="16" cm="1">
        <f t="array" ref="I1244">_xlfn.IFS(B1244=2015,G1244/$H$1957,B1244=2016,G1244/$H$1958,B1244=2017,G1244/$H$1959,B1244=2018,G1244/$H$1960,B1244=2019,G1244/$H$1961,B1244=2020,G1244/$H$1962,B1244=2021,G1244/$H$1963,B1244=2022,G1244/$H$1964,B1244=2023,G1244/$H$1965)</f>
        <v>1.322529090661077E-3</v>
      </c>
      <c r="J1244" s="10" cm="1">
        <f t="array" ref="J1244">_xlfn.IFS(B1244=2015,I1244*$G$2,B1244=2016,I1244*$G$3,B1244=2017,I1244*$G$4,B1244=2018,I1244*$G$5,B1244=2019,I1244*$G$6,B1244=2020,I1244*$G$7,B1244=2021,I1244*$G$8,B1244=2022,I1244*$G$9,B1244=2023,I1244*$G$10)</f>
        <v>224810.52936280309</v>
      </c>
      <c r="K1244" s="8">
        <f t="shared" si="19"/>
        <v>1531025.5293628031</v>
      </c>
      <c r="L1244">
        <f>IFERROR(VLOOKUP(F1244,'LEAID Match'!$A$2:$B$240,2,FALSE),"")</f>
        <v>0</v>
      </c>
    </row>
    <row r="1245" spans="1:12" x14ac:dyDescent="0.2">
      <c r="A1245">
        <v>0</v>
      </c>
      <c r="B1245">
        <v>2015</v>
      </c>
      <c r="C1245" s="4" t="s">
        <v>289</v>
      </c>
      <c r="D1245" s="4" t="s">
        <v>576</v>
      </c>
      <c r="E1245" s="4" t="s">
        <v>578</v>
      </c>
      <c r="F1245" s="4" t="s">
        <v>248</v>
      </c>
      <c r="G1245" s="8">
        <v>48311043</v>
      </c>
      <c r="I1245" s="16" cm="1">
        <f t="array" ref="I1245">_xlfn.IFS(B1245=2015,G1245/$H$1957,B1245=2016,G1245/$H$1958,B1245=2017,G1245/$H$1959,B1245=2018,G1245/$H$1960,B1245=2019,G1245/$H$1961,B1245=2020,G1245/$H$1962,B1245=2021,G1245/$H$1963,B1245=2022,G1245/$H$1964,B1245=2023,G1245/$H$1965)</f>
        <v>3.7308613118716541E-2</v>
      </c>
      <c r="J1245" s="10" cm="1">
        <f t="array" ref="J1245">_xlfn.IFS(B1245=2015,I1245*$G$2,B1245=2016,I1245*$G$3,B1245=2017,I1245*$G$4,B1245=2018,I1245*$G$5,B1245=2019,I1245*$G$6,B1245=2020,I1245*$G$7,B1245=2021,I1245*$G$8,B1245=2022,I1245*$G$9,B1245=2023,I1245*$G$10)</f>
        <v>9276509.635516461</v>
      </c>
      <c r="K1245" s="8">
        <f t="shared" si="19"/>
        <v>57587552.635516465</v>
      </c>
      <c r="L1245">
        <f>IFERROR(VLOOKUP(F1245,'LEAID Match'!$A$2:$B$240,2,FALSE),"")</f>
        <v>0</v>
      </c>
    </row>
    <row r="1246" spans="1:12" x14ac:dyDescent="0.2">
      <c r="A1246">
        <v>0</v>
      </c>
      <c r="B1246">
        <v>2016</v>
      </c>
      <c r="C1246" s="4" t="s">
        <v>289</v>
      </c>
      <c r="D1246" s="4" t="s">
        <v>576</v>
      </c>
      <c r="E1246" s="4" t="s">
        <v>578</v>
      </c>
      <c r="F1246" s="4" t="s">
        <v>248</v>
      </c>
      <c r="G1246" s="8">
        <v>52052127</v>
      </c>
      <c r="I1246" s="16" cm="1">
        <f t="array" ref="I1246">_xlfn.IFS(B1246=2015,G1246/$H$1957,B1246=2016,G1246/$H$1958,B1246=2017,G1246/$H$1959,B1246=2018,G1246/$H$1960,B1246=2019,G1246/$H$1961,B1246=2020,G1246/$H$1962,B1246=2021,G1246/$H$1963,B1246=2022,G1246/$H$1964,B1246=2023,G1246/$H$1965)</f>
        <v>3.6540570901376968E-2</v>
      </c>
      <c r="J1246" s="10" cm="1">
        <f t="array" ref="J1246">_xlfn.IFS(B1246=2015,I1246*$G$2,B1246=2016,I1246*$G$3,B1246=2017,I1246*$G$4,B1246=2018,I1246*$G$5,B1246=2019,I1246*$G$6,B1246=2020,I1246*$G$7,B1246=2021,I1246*$G$8,B1246=2022,I1246*$G$9,B1246=2023,I1246*$G$10)</f>
        <v>9909915.37341181</v>
      </c>
      <c r="K1246" s="8">
        <f t="shared" si="19"/>
        <v>61962042.373411812</v>
      </c>
      <c r="L1246">
        <f>IFERROR(VLOOKUP(F1246,'LEAID Match'!$A$2:$B$240,2,FALSE),"")</f>
        <v>0</v>
      </c>
    </row>
    <row r="1247" spans="1:12" x14ac:dyDescent="0.2">
      <c r="A1247">
        <v>0</v>
      </c>
      <c r="B1247">
        <v>2017</v>
      </c>
      <c r="C1247" s="4" t="s">
        <v>289</v>
      </c>
      <c r="D1247" s="4" t="s">
        <v>576</v>
      </c>
      <c r="E1247" s="4" t="s">
        <v>578</v>
      </c>
      <c r="F1247" s="4" t="s">
        <v>248</v>
      </c>
      <c r="G1247" s="8">
        <v>27075840</v>
      </c>
      <c r="I1247" s="16" cm="1">
        <f t="array" ref="I1247">_xlfn.IFS(B1247=2015,G1247/$H$1957,B1247=2016,G1247/$H$1958,B1247=2017,G1247/$H$1959,B1247=2018,G1247/$H$1960,B1247=2019,G1247/$H$1961,B1247=2020,G1247/$H$1962,B1247=2021,G1247/$H$1963,B1247=2022,G1247/$H$1964,B1247=2023,G1247/$H$1965)</f>
        <v>3.6124932495836572E-2</v>
      </c>
      <c r="J1247" s="10" cm="1">
        <f t="array" ref="J1247">_xlfn.IFS(B1247=2015,I1247*$G$2,B1247=2016,I1247*$G$3,B1247=2017,I1247*$G$4,B1247=2018,I1247*$G$5,B1247=2019,I1247*$G$6,B1247=2020,I1247*$G$7,B1247=2021,I1247*$G$8,B1247=2022,I1247*$G$9,B1247=2023,I1247*$G$10)</f>
        <v>5349617.9589138292</v>
      </c>
      <c r="K1247" s="8">
        <f t="shared" si="19"/>
        <v>32425457.958913829</v>
      </c>
      <c r="L1247">
        <f>IFERROR(VLOOKUP(F1247,'LEAID Match'!$A$2:$B$240,2,FALSE),"")</f>
        <v>0</v>
      </c>
    </row>
    <row r="1248" spans="1:12" x14ac:dyDescent="0.2">
      <c r="A1248">
        <v>0</v>
      </c>
      <c r="B1248">
        <v>2018</v>
      </c>
      <c r="C1248" s="4" t="s">
        <v>289</v>
      </c>
      <c r="D1248" s="4" t="s">
        <v>576</v>
      </c>
      <c r="E1248" s="4" t="s">
        <v>578</v>
      </c>
      <c r="F1248" s="4" t="s">
        <v>248</v>
      </c>
      <c r="G1248" s="8">
        <v>28087476</v>
      </c>
      <c r="I1248" s="16" cm="1">
        <f t="array" ref="I1248">_xlfn.IFS(B1248=2015,G1248/$H$1957,B1248=2016,G1248/$H$1958,B1248=2017,G1248/$H$1959,B1248=2018,G1248/$H$1960,B1248=2019,G1248/$H$1961,B1248=2020,G1248/$H$1962,B1248=2021,G1248/$H$1963,B1248=2022,G1248/$H$1964,B1248=2023,G1248/$H$1965)</f>
        <v>3.6140448809853828E-2</v>
      </c>
      <c r="J1248" s="10" cm="1">
        <f t="array" ref="J1248">_xlfn.IFS(B1248=2015,I1248*$G$2,B1248=2016,I1248*$G$3,B1248=2017,I1248*$G$4,B1248=2018,I1248*$G$5,B1248=2019,I1248*$G$6,B1248=2020,I1248*$G$7,B1248=2021,I1248*$G$8,B1248=2022,I1248*$G$9,B1248=2023,I1248*$G$10)</f>
        <v>5440002.1699803285</v>
      </c>
      <c r="K1248" s="8">
        <f t="shared" si="19"/>
        <v>33527478.169980329</v>
      </c>
      <c r="L1248">
        <f>IFERROR(VLOOKUP(F1248,'LEAID Match'!$A$2:$B$240,2,FALSE),"")</f>
        <v>0</v>
      </c>
    </row>
    <row r="1249" spans="1:12" x14ac:dyDescent="0.2">
      <c r="A1249">
        <v>0</v>
      </c>
      <c r="B1249">
        <v>2019</v>
      </c>
      <c r="C1249" s="4" t="s">
        <v>289</v>
      </c>
      <c r="D1249" s="4" t="s">
        <v>576</v>
      </c>
      <c r="E1249" s="4" t="s">
        <v>578</v>
      </c>
      <c r="F1249" s="4" t="s">
        <v>248</v>
      </c>
      <c r="G1249" s="8">
        <v>29079561</v>
      </c>
      <c r="I1249" s="16" cm="1">
        <f t="array" ref="I1249">_xlfn.IFS(B1249=2015,G1249/$H$1957,B1249=2016,G1249/$H$1958,B1249=2017,G1249/$H$1959,B1249=2018,G1249/$H$1960,B1249=2019,G1249/$H$1961,B1249=2020,G1249/$H$1962,B1249=2021,G1249/$H$1963,B1249=2022,G1249/$H$1964,B1249=2023,G1249/$H$1965)</f>
        <v>3.613998102875883E-2</v>
      </c>
      <c r="J1249" s="10" cm="1">
        <f t="array" ref="J1249">_xlfn.IFS(B1249=2015,I1249*$G$2,B1249=2016,I1249*$G$3,B1249=2017,I1249*$G$4,B1249=2018,I1249*$G$5,B1249=2019,I1249*$G$6,B1249=2020,I1249*$G$7,B1249=2021,I1249*$G$8,B1249=2022,I1249*$G$9,B1249=2023,I1249*$G$10)</f>
        <v>5711133.331090386</v>
      </c>
      <c r="K1249" s="8">
        <f t="shared" si="19"/>
        <v>34790694.331090383</v>
      </c>
      <c r="L1249">
        <f>IFERROR(VLOOKUP(F1249,'LEAID Match'!$A$2:$B$240,2,FALSE),"")</f>
        <v>0</v>
      </c>
    </row>
    <row r="1250" spans="1:12" x14ac:dyDescent="0.2">
      <c r="A1250">
        <v>0</v>
      </c>
      <c r="B1250">
        <v>2020</v>
      </c>
      <c r="C1250" s="4" t="s">
        <v>289</v>
      </c>
      <c r="D1250" s="4" t="s">
        <v>576</v>
      </c>
      <c r="E1250" s="4" t="s">
        <v>578</v>
      </c>
      <c r="F1250" s="4" t="s">
        <v>248</v>
      </c>
      <c r="G1250" s="8">
        <v>31163244</v>
      </c>
      <c r="I1250" s="16" cm="1">
        <f t="array" ref="I1250">_xlfn.IFS(B1250=2015,G1250/$H$1957,B1250=2016,G1250/$H$1958,B1250=2017,G1250/$H$1959,B1250=2018,G1250/$H$1960,B1250=2019,G1250/$H$1961,B1250=2020,G1250/$H$1962,B1250=2021,G1250/$H$1963,B1250=2022,G1250/$H$1964,B1250=2023,G1250/$H$1965)</f>
        <v>3.5842821934860984E-2</v>
      </c>
      <c r="J1250" s="10" cm="1">
        <f t="array" ref="J1250">_xlfn.IFS(B1250=2015,I1250*$G$2,B1250=2016,I1250*$G$3,B1250=2017,I1250*$G$4,B1250=2018,I1250*$G$5,B1250=2019,I1250*$G$6,B1250=2020,I1250*$G$7,B1250=2021,I1250*$G$8,B1250=2022,I1250*$G$9,B1250=2023,I1250*$G$10)</f>
        <v>6189478.0636604093</v>
      </c>
      <c r="K1250" s="8">
        <f t="shared" si="19"/>
        <v>37352722.063660413</v>
      </c>
      <c r="L1250">
        <f>IFERROR(VLOOKUP(F1250,'LEAID Match'!$A$2:$B$240,2,FALSE),"")</f>
        <v>0</v>
      </c>
    </row>
    <row r="1251" spans="1:12" x14ac:dyDescent="0.2">
      <c r="A1251">
        <v>0</v>
      </c>
      <c r="B1251">
        <v>2021</v>
      </c>
      <c r="C1251" s="4" t="s">
        <v>289</v>
      </c>
      <c r="D1251" s="4" t="s">
        <v>576</v>
      </c>
      <c r="E1251" s="4" t="s">
        <v>578</v>
      </c>
      <c r="F1251" s="4" t="s">
        <v>248</v>
      </c>
      <c r="G1251" s="8">
        <v>31733165</v>
      </c>
      <c r="I1251" s="16" cm="1">
        <f t="array" ref="I1251">_xlfn.IFS(B1251=2015,G1251/$H$1957,B1251=2016,G1251/$H$1958,B1251=2017,G1251/$H$1959,B1251=2018,G1251/$H$1960,B1251=2019,G1251/$H$1961,B1251=2020,G1251/$H$1962,B1251=2021,G1251/$H$1963,B1251=2022,G1251/$H$1964,B1251=2023,G1251/$H$1965)</f>
        <v>3.626449884448809E-2</v>
      </c>
      <c r="J1251" s="10" cm="1">
        <f t="array" ref="J1251">_xlfn.IFS(B1251=2015,I1251*$G$2,B1251=2016,I1251*$G$3,B1251=2017,I1251*$G$4,B1251=2018,I1251*$G$5,B1251=2019,I1251*$G$6,B1251=2020,I1251*$G$7,B1251=2021,I1251*$G$8,B1251=2022,I1251*$G$9,B1251=2023,I1251*$G$10)</f>
        <v>6223598.5508167017</v>
      </c>
      <c r="K1251" s="8">
        <f t="shared" si="19"/>
        <v>37956763.5508167</v>
      </c>
      <c r="L1251">
        <f>IFERROR(VLOOKUP(F1251,'LEAID Match'!$A$2:$B$240,2,FALSE),"")</f>
        <v>0</v>
      </c>
    </row>
    <row r="1252" spans="1:12" x14ac:dyDescent="0.2">
      <c r="A1252">
        <v>0</v>
      </c>
      <c r="B1252">
        <v>2022</v>
      </c>
      <c r="C1252" s="4" t="s">
        <v>289</v>
      </c>
      <c r="D1252" s="4" t="s">
        <v>576</v>
      </c>
      <c r="E1252" s="4" t="s">
        <v>578</v>
      </c>
      <c r="F1252" s="4" t="s">
        <v>248</v>
      </c>
      <c r="G1252" s="8">
        <v>34947727</v>
      </c>
      <c r="I1252" s="16" cm="1">
        <f t="array" ref="I1252">_xlfn.IFS(B1252=2015,G1252/$H$1957,B1252=2016,G1252/$H$1958,B1252=2017,G1252/$H$1959,B1252=2018,G1252/$H$1960,B1252=2019,G1252/$H$1961,B1252=2020,G1252/$H$1962,B1252=2021,G1252/$H$1963,B1252=2022,G1252/$H$1964,B1252=2023,G1252/$H$1965)</f>
        <v>3.7561897636518217E-2</v>
      </c>
      <c r="J1252" s="10" cm="1">
        <f t="array" ref="J1252">_xlfn.IFS(B1252=2015,I1252*$G$2,B1252=2016,I1252*$G$3,B1252=2017,I1252*$G$4,B1252=2018,I1252*$G$5,B1252=2019,I1252*$G$6,B1252=2020,I1252*$G$7,B1252=2021,I1252*$G$8,B1252=2022,I1252*$G$9,B1252=2023,I1252*$G$10)</f>
        <v>6369958.7883605082</v>
      </c>
      <c r="K1252" s="8">
        <f t="shared" si="19"/>
        <v>41317685.788360506</v>
      </c>
      <c r="L1252">
        <f>IFERROR(VLOOKUP(F1252,'LEAID Match'!$A$2:$B$240,2,FALSE),"")</f>
        <v>0</v>
      </c>
    </row>
    <row r="1253" spans="1:12" x14ac:dyDescent="0.2">
      <c r="A1253">
        <v>0</v>
      </c>
      <c r="B1253">
        <v>2023</v>
      </c>
      <c r="C1253" s="4" t="s">
        <v>289</v>
      </c>
      <c r="D1253" s="4" t="s">
        <v>576</v>
      </c>
      <c r="E1253" s="4" t="s">
        <v>578</v>
      </c>
      <c r="F1253" s="4" t="s">
        <v>248</v>
      </c>
      <c r="G1253" s="8">
        <v>35733813</v>
      </c>
      <c r="I1253" s="16" cm="1">
        <f t="array" ref="I1253">_xlfn.IFS(B1253=2015,G1253/$H$1957,B1253=2016,G1253/$H$1958,B1253=2017,G1253/$H$1959,B1253=2018,G1253/$H$1960,B1253=2019,G1253/$H$1961,B1253=2020,G1253/$H$1962,B1253=2021,G1253/$H$1963,B1253=2022,G1253/$H$1964,B1253=2023,G1253/$H$1965)</f>
        <v>3.6180113697012337E-2</v>
      </c>
      <c r="J1253" s="10" cm="1">
        <f t="array" ref="J1253">_xlfn.IFS(B1253=2015,I1253*$G$2,B1253=2016,I1253*$G$3,B1253=2017,I1253*$G$4,B1253=2018,I1253*$G$5,B1253=2019,I1253*$G$6,B1253=2020,I1253*$G$7,B1253=2021,I1253*$G$8,B1253=2022,I1253*$G$9,B1253=2023,I1253*$G$10)</f>
        <v>6150088.1682429118</v>
      </c>
      <c r="K1253" s="8">
        <f t="shared" si="19"/>
        <v>41883901.168242909</v>
      </c>
      <c r="L1253">
        <f>IFERROR(VLOOKUP(F1253,'LEAID Match'!$A$2:$B$240,2,FALSE),"")</f>
        <v>0</v>
      </c>
    </row>
    <row r="1254" spans="1:12" x14ac:dyDescent="0.2">
      <c r="A1254">
        <v>0</v>
      </c>
      <c r="B1254">
        <v>2015</v>
      </c>
      <c r="C1254" s="4" t="s">
        <v>290</v>
      </c>
      <c r="D1254" s="4" t="s">
        <v>576</v>
      </c>
      <c r="E1254" s="4" t="s">
        <v>578</v>
      </c>
      <c r="F1254" s="4" t="s">
        <v>249</v>
      </c>
      <c r="G1254" s="8">
        <v>61545289</v>
      </c>
      <c r="I1254" s="16" cm="1">
        <f t="array" ref="I1254">_xlfn.IFS(B1254=2015,G1254/$H$1957,B1254=2016,G1254/$H$1958,B1254=2017,G1254/$H$1959,B1254=2018,G1254/$H$1960,B1254=2019,G1254/$H$1961,B1254=2020,G1254/$H$1962,B1254=2021,G1254/$H$1963,B1254=2022,G1254/$H$1964,B1254=2023,G1254/$H$1965)</f>
        <v>4.7528871951296951E-2</v>
      </c>
      <c r="J1254" s="10" cm="1">
        <f t="array" ref="J1254">_xlfn.IFS(B1254=2015,I1254*$G$2,B1254=2016,I1254*$G$3,B1254=2017,I1254*$G$4,B1254=2018,I1254*$G$5,B1254=2019,I1254*$G$6,B1254=2020,I1254*$G$7,B1254=2021,I1254*$G$8,B1254=2022,I1254*$G$9,B1254=2023,I1254*$G$10)</f>
        <v>11817701.108815748</v>
      </c>
      <c r="K1254" s="8">
        <f t="shared" si="19"/>
        <v>73362990.108815745</v>
      </c>
      <c r="L1254">
        <f>IFERROR(VLOOKUP(F1254,'LEAID Match'!$A$2:$B$240,2,FALSE),"")</f>
        <v>0</v>
      </c>
    </row>
    <row r="1255" spans="1:12" x14ac:dyDescent="0.2">
      <c r="A1255">
        <v>0</v>
      </c>
      <c r="B1255">
        <v>2016</v>
      </c>
      <c r="C1255" s="4" t="s">
        <v>290</v>
      </c>
      <c r="D1255" s="4" t="s">
        <v>576</v>
      </c>
      <c r="E1255" s="4" t="s">
        <v>578</v>
      </c>
      <c r="F1255" s="4" t="s">
        <v>249</v>
      </c>
      <c r="G1255" s="8">
        <v>65873823</v>
      </c>
      <c r="I1255" s="16" cm="1">
        <f t="array" ref="I1255">_xlfn.IFS(B1255=2015,G1255/$H$1957,B1255=2016,G1255/$H$1958,B1255=2017,G1255/$H$1959,B1255=2018,G1255/$H$1960,B1255=2019,G1255/$H$1961,B1255=2020,G1255/$H$1962,B1255=2021,G1255/$H$1963,B1255=2022,G1255/$H$1964,B1255=2023,G1255/$H$1965)</f>
        <v>4.624339558451198E-2</v>
      </c>
      <c r="J1255" s="10" cm="1">
        <f t="array" ref="J1255">_xlfn.IFS(B1255=2015,I1255*$G$2,B1255=2016,I1255*$G$3,B1255=2017,I1255*$G$4,B1255=2018,I1255*$G$5,B1255=2019,I1255*$G$6,B1255=2020,I1255*$G$7,B1255=2021,I1255*$G$8,B1255=2022,I1255*$G$9,B1255=2023,I1255*$G$10)</f>
        <v>12541351.312178049</v>
      </c>
      <c r="K1255" s="8">
        <f t="shared" si="19"/>
        <v>78415174.312178046</v>
      </c>
      <c r="L1255">
        <f>IFERROR(VLOOKUP(F1255,'LEAID Match'!$A$2:$B$240,2,FALSE),"")</f>
        <v>0</v>
      </c>
    </row>
    <row r="1256" spans="1:12" x14ac:dyDescent="0.2">
      <c r="A1256">
        <v>0</v>
      </c>
      <c r="B1256">
        <v>2017</v>
      </c>
      <c r="C1256" s="4" t="s">
        <v>290</v>
      </c>
      <c r="D1256" s="4" t="s">
        <v>576</v>
      </c>
      <c r="E1256" s="4" t="s">
        <v>578</v>
      </c>
      <c r="F1256" s="4" t="s">
        <v>249</v>
      </c>
      <c r="G1256" s="8">
        <v>34085097</v>
      </c>
      <c r="I1256" s="16" cm="1">
        <f t="array" ref="I1256">_xlfn.IFS(B1256=2015,G1256/$H$1957,B1256=2016,G1256/$H$1958,B1256=2017,G1256/$H$1959,B1256=2018,G1256/$H$1960,B1256=2019,G1256/$H$1961,B1256=2020,G1256/$H$1962,B1256=2021,G1256/$H$1963,B1256=2022,G1256/$H$1964,B1256=2023,G1256/$H$1965)</f>
        <v>4.5476772954746426E-2</v>
      </c>
      <c r="J1256" s="10" cm="1">
        <f t="array" ref="J1256">_xlfn.IFS(B1256=2015,I1256*$G$2,B1256=2016,I1256*$G$3,B1256=2017,I1256*$G$4,B1256=2018,I1256*$G$5,B1256=2019,I1256*$G$6,B1256=2020,I1256*$G$7,B1256=2021,I1256*$G$8,B1256=2022,I1256*$G$9,B1256=2023,I1256*$G$10)</f>
        <v>6734500.0946423039</v>
      </c>
      <c r="K1256" s="8">
        <f t="shared" si="19"/>
        <v>40819597.094642304</v>
      </c>
      <c r="L1256">
        <f>IFERROR(VLOOKUP(F1256,'LEAID Match'!$A$2:$B$240,2,FALSE),"")</f>
        <v>0</v>
      </c>
    </row>
    <row r="1257" spans="1:12" x14ac:dyDescent="0.2">
      <c r="A1257">
        <v>0</v>
      </c>
      <c r="B1257">
        <v>2018</v>
      </c>
      <c r="C1257" s="4" t="s">
        <v>290</v>
      </c>
      <c r="D1257" s="4" t="s">
        <v>576</v>
      </c>
      <c r="E1257" s="4" t="s">
        <v>578</v>
      </c>
      <c r="F1257" s="4" t="s">
        <v>249</v>
      </c>
      <c r="G1257" s="8">
        <v>35815637</v>
      </c>
      <c r="I1257" s="16" cm="1">
        <f t="array" ref="I1257">_xlfn.IFS(B1257=2015,G1257/$H$1957,B1257=2016,G1257/$H$1958,B1257=2017,G1257/$H$1959,B1257=2018,G1257/$H$1960,B1257=2019,G1257/$H$1961,B1257=2020,G1257/$H$1962,B1257=2021,G1257/$H$1963,B1257=2022,G1257/$H$1964,B1257=2023,G1257/$H$1965)</f>
        <v>4.6084354307621186E-2</v>
      </c>
      <c r="J1257" s="10" cm="1">
        <f t="array" ref="J1257">_xlfn.IFS(B1257=2015,I1257*$G$2,B1257=2016,I1257*$G$3,B1257=2017,I1257*$G$4,B1257=2018,I1257*$G$5,B1257=2019,I1257*$G$6,B1257=2020,I1257*$G$7,B1257=2021,I1257*$G$8,B1257=2022,I1257*$G$9,B1257=2023,I1257*$G$10)</f>
        <v>6936797.8453894444</v>
      </c>
      <c r="K1257" s="8">
        <f t="shared" si="19"/>
        <v>42752434.845389441</v>
      </c>
      <c r="L1257">
        <f>IFERROR(VLOOKUP(F1257,'LEAID Match'!$A$2:$B$240,2,FALSE),"")</f>
        <v>0</v>
      </c>
    </row>
    <row r="1258" spans="1:12" x14ac:dyDescent="0.2">
      <c r="A1258">
        <v>0</v>
      </c>
      <c r="B1258">
        <v>2019</v>
      </c>
      <c r="C1258" s="4" t="s">
        <v>290</v>
      </c>
      <c r="D1258" s="4" t="s">
        <v>576</v>
      </c>
      <c r="E1258" s="4" t="s">
        <v>578</v>
      </c>
      <c r="F1258" s="4" t="s">
        <v>249</v>
      </c>
      <c r="G1258" s="8">
        <v>36391656</v>
      </c>
      <c r="I1258" s="16" cm="1">
        <f t="array" ref="I1258">_xlfn.IFS(B1258=2015,G1258/$H$1957,B1258=2016,G1258/$H$1958,B1258=2017,G1258/$H$1959,B1258=2018,G1258/$H$1960,B1258=2019,G1258/$H$1961,B1258=2020,G1258/$H$1962,B1258=2021,G1258/$H$1963,B1258=2022,G1258/$H$1964,B1258=2023,G1258/$H$1965)</f>
        <v>4.522742820791268E-2</v>
      </c>
      <c r="J1258" s="10" cm="1">
        <f t="array" ref="J1258">_xlfn.IFS(B1258=2015,I1258*$G$2,B1258=2016,I1258*$G$3,B1258=2017,I1258*$G$4,B1258=2018,I1258*$G$5,B1258=2019,I1258*$G$6,B1258=2020,I1258*$G$7,B1258=2021,I1258*$G$8,B1258=2022,I1258*$G$9,B1258=2023,I1258*$G$10)</f>
        <v>7147205.5425862661</v>
      </c>
      <c r="K1258" s="8">
        <f t="shared" si="19"/>
        <v>43538861.542586267</v>
      </c>
      <c r="L1258">
        <f>IFERROR(VLOOKUP(F1258,'LEAID Match'!$A$2:$B$240,2,FALSE),"")</f>
        <v>0</v>
      </c>
    </row>
    <row r="1259" spans="1:12" x14ac:dyDescent="0.2">
      <c r="A1259">
        <v>0</v>
      </c>
      <c r="B1259">
        <v>2020</v>
      </c>
      <c r="C1259" s="4" t="s">
        <v>290</v>
      </c>
      <c r="D1259" s="4" t="s">
        <v>576</v>
      </c>
      <c r="E1259" s="4" t="s">
        <v>578</v>
      </c>
      <c r="F1259" s="4" t="s">
        <v>249</v>
      </c>
      <c r="G1259" s="8">
        <v>37787418</v>
      </c>
      <c r="I1259" s="16" cm="1">
        <f t="array" ref="I1259">_xlfn.IFS(B1259=2015,G1259/$H$1957,B1259=2016,G1259/$H$1958,B1259=2017,G1259/$H$1959,B1259=2018,G1259/$H$1960,B1259=2019,G1259/$H$1961,B1259=2020,G1259/$H$1962,B1259=2021,G1259/$H$1963,B1259=2022,G1259/$H$1964,B1259=2023,G1259/$H$1965)</f>
        <v>4.3461704267763676E-2</v>
      </c>
      <c r="J1259" s="10" cm="1">
        <f t="array" ref="J1259">_xlfn.IFS(B1259=2015,I1259*$G$2,B1259=2016,I1259*$G$3,B1259=2017,I1259*$G$4,B1259=2018,I1259*$G$5,B1259=2019,I1259*$G$6,B1259=2020,I1259*$G$7,B1259=2021,I1259*$G$8,B1259=2022,I1259*$G$9,B1259=2023,I1259*$G$10)</f>
        <v>7505136.3328338498</v>
      </c>
      <c r="K1259" s="8">
        <f t="shared" si="19"/>
        <v>45292554.332833849</v>
      </c>
      <c r="L1259">
        <f>IFERROR(VLOOKUP(F1259,'LEAID Match'!$A$2:$B$240,2,FALSE),"")</f>
        <v>0</v>
      </c>
    </row>
    <row r="1260" spans="1:12" x14ac:dyDescent="0.2">
      <c r="A1260">
        <v>0</v>
      </c>
      <c r="B1260">
        <v>2021</v>
      </c>
      <c r="C1260" s="4" t="s">
        <v>290</v>
      </c>
      <c r="D1260" s="4" t="s">
        <v>576</v>
      </c>
      <c r="E1260" s="4" t="s">
        <v>578</v>
      </c>
      <c r="F1260" s="4" t="s">
        <v>249</v>
      </c>
      <c r="G1260" s="8">
        <v>36551205</v>
      </c>
      <c r="I1260" s="16" cm="1">
        <f t="array" ref="I1260">_xlfn.IFS(B1260=2015,G1260/$H$1957,B1260=2016,G1260/$H$1958,B1260=2017,G1260/$H$1959,B1260=2018,G1260/$H$1960,B1260=2019,G1260/$H$1961,B1260=2020,G1260/$H$1962,B1260=2021,G1260/$H$1963,B1260=2022,G1260/$H$1964,B1260=2023,G1260/$H$1965)</f>
        <v>4.1770530342219163E-2</v>
      </c>
      <c r="J1260" s="10" cm="1">
        <f t="array" ref="J1260">_xlfn.IFS(B1260=2015,I1260*$G$2,B1260=2016,I1260*$G$3,B1260=2017,I1260*$G$4,B1260=2018,I1260*$G$5,B1260=2019,I1260*$G$6,B1260=2020,I1260*$G$7,B1260=2021,I1260*$G$8,B1260=2022,I1260*$G$9,B1260=2023,I1260*$G$10)</f>
        <v>7168526.2553736502</v>
      </c>
      <c r="K1260" s="8">
        <f t="shared" si="19"/>
        <v>43719731.255373649</v>
      </c>
      <c r="L1260">
        <f>IFERROR(VLOOKUP(F1260,'LEAID Match'!$A$2:$B$240,2,FALSE),"")</f>
        <v>0</v>
      </c>
    </row>
    <row r="1261" spans="1:12" x14ac:dyDescent="0.2">
      <c r="A1261">
        <v>0</v>
      </c>
      <c r="B1261">
        <v>2022</v>
      </c>
      <c r="C1261" s="4" t="s">
        <v>290</v>
      </c>
      <c r="D1261" s="4" t="s">
        <v>576</v>
      </c>
      <c r="E1261" s="4" t="s">
        <v>578</v>
      </c>
      <c r="F1261" s="4" t="s">
        <v>249</v>
      </c>
      <c r="G1261" s="8">
        <v>37883294</v>
      </c>
      <c r="I1261" s="16" cm="1">
        <f t="array" ref="I1261">_xlfn.IFS(B1261=2015,G1261/$H$1957,B1261=2016,G1261/$H$1958,B1261=2017,G1261/$H$1959,B1261=2018,G1261/$H$1960,B1261=2019,G1261/$H$1961,B1261=2020,G1261/$H$1962,B1261=2021,G1261/$H$1963,B1261=2022,G1261/$H$1964,B1261=2023,G1261/$H$1965)</f>
        <v>4.0717051823202254E-2</v>
      </c>
      <c r="J1261" s="10" cm="1">
        <f t="array" ref="J1261">_xlfn.IFS(B1261=2015,I1261*$G$2,B1261=2016,I1261*$G$3,B1261=2017,I1261*$G$4,B1261=2018,I1261*$G$5,B1261=2019,I1261*$G$6,B1261=2020,I1261*$G$7,B1261=2021,I1261*$G$8,B1261=2022,I1261*$G$9,B1261=2023,I1261*$G$10)</f>
        <v>6905027.6588043878</v>
      </c>
      <c r="K1261" s="8">
        <f t="shared" si="19"/>
        <v>44788321.658804387</v>
      </c>
      <c r="L1261">
        <f>IFERROR(VLOOKUP(F1261,'LEAID Match'!$A$2:$B$240,2,FALSE),"")</f>
        <v>0</v>
      </c>
    </row>
    <row r="1262" spans="1:12" x14ac:dyDescent="0.2">
      <c r="A1262">
        <v>0</v>
      </c>
      <c r="B1262">
        <v>2023</v>
      </c>
      <c r="C1262" s="4" t="s">
        <v>290</v>
      </c>
      <c r="D1262" s="4" t="s">
        <v>576</v>
      </c>
      <c r="E1262" s="4" t="s">
        <v>578</v>
      </c>
      <c r="F1262" s="4" t="s">
        <v>249</v>
      </c>
      <c r="G1262" s="8">
        <v>41913436</v>
      </c>
      <c r="I1262" s="16" cm="1">
        <f t="array" ref="I1262">_xlfn.IFS(B1262=2015,G1262/$H$1957,B1262=2016,G1262/$H$1958,B1262=2017,G1262/$H$1959,B1262=2018,G1262/$H$1960,B1262=2019,G1262/$H$1961,B1262=2020,G1262/$H$1962,B1262=2021,G1262/$H$1963,B1262=2022,G1262/$H$1964,B1262=2023,G1262/$H$1965)</f>
        <v>4.2436917658701861E-2</v>
      </c>
      <c r="J1262" s="10" cm="1">
        <f t="array" ref="J1262">_xlfn.IFS(B1262=2015,I1262*$G$2,B1262=2016,I1262*$G$3,B1262=2017,I1262*$G$4,B1262=2018,I1262*$G$5,B1262=2019,I1262*$G$6,B1262=2020,I1262*$G$7,B1262=2021,I1262*$G$8,B1262=2022,I1262*$G$9,B1262=2023,I1262*$G$10)</f>
        <v>7213652.9855911694</v>
      </c>
      <c r="K1262" s="8">
        <f t="shared" si="19"/>
        <v>49127088.985591173</v>
      </c>
      <c r="L1262">
        <f>IFERROR(VLOOKUP(F1262,'LEAID Match'!$A$2:$B$240,2,FALSE),"")</f>
        <v>0</v>
      </c>
    </row>
    <row r="1263" spans="1:12" x14ac:dyDescent="0.2">
      <c r="A1263">
        <v>0</v>
      </c>
      <c r="B1263">
        <v>2015</v>
      </c>
      <c r="C1263" s="4" t="s">
        <v>291</v>
      </c>
      <c r="D1263" s="4" t="s">
        <v>576</v>
      </c>
      <c r="E1263" s="4" t="s">
        <v>578</v>
      </c>
      <c r="F1263" s="4" t="s">
        <v>250</v>
      </c>
      <c r="G1263" s="8">
        <v>27990979</v>
      </c>
      <c r="I1263" s="16" cm="1">
        <f t="array" ref="I1263">_xlfn.IFS(B1263=2015,G1263/$H$1957,B1263=2016,G1263/$H$1958,B1263=2017,G1263/$H$1959,B1263=2018,G1263/$H$1960,B1263=2019,G1263/$H$1961,B1263=2020,G1263/$H$1962,B1263=2021,G1263/$H$1963,B1263=2022,G1263/$H$1964,B1263=2023,G1263/$H$1965)</f>
        <v>2.1616271176863624E-2</v>
      </c>
      <c r="J1263" s="10" cm="1">
        <f t="array" ref="J1263">_xlfn.IFS(B1263=2015,I1263*$G$2,B1263=2016,I1263*$G$3,B1263=2017,I1263*$G$4,B1263=2018,I1263*$G$5,B1263=2019,I1263*$G$6,B1263=2020,I1263*$G$7,B1263=2021,I1263*$G$8,B1263=2022,I1263*$G$9,B1263=2023,I1263*$G$10)</f>
        <v>5374725.3273136523</v>
      </c>
      <c r="K1263" s="8">
        <f t="shared" si="19"/>
        <v>33365704.327313654</v>
      </c>
      <c r="L1263">
        <f>IFERROR(VLOOKUP(F1263,'LEAID Match'!$A$2:$B$240,2,FALSE),"")</f>
        <v>0</v>
      </c>
    </row>
    <row r="1264" spans="1:12" x14ac:dyDescent="0.2">
      <c r="A1264">
        <v>0</v>
      </c>
      <c r="B1264">
        <v>2016</v>
      </c>
      <c r="C1264" s="4" t="s">
        <v>291</v>
      </c>
      <c r="D1264" s="4" t="s">
        <v>576</v>
      </c>
      <c r="E1264" s="4" t="s">
        <v>578</v>
      </c>
      <c r="F1264" s="4" t="s">
        <v>250</v>
      </c>
      <c r="G1264" s="8">
        <v>29390713</v>
      </c>
      <c r="I1264" s="16" cm="1">
        <f t="array" ref="I1264">_xlfn.IFS(B1264=2015,G1264/$H$1957,B1264=2016,G1264/$H$1958,B1264=2017,G1264/$H$1959,B1264=2018,G1264/$H$1960,B1264=2019,G1264/$H$1961,B1264=2020,G1264/$H$1962,B1264=2021,G1264/$H$1963,B1264=2022,G1264/$H$1964,B1264=2023,G1264/$H$1965)</f>
        <v>2.0632267961278927E-2</v>
      </c>
      <c r="J1264" s="10" cm="1">
        <f t="array" ref="J1264">_xlfn.IFS(B1264=2015,I1264*$G$2,B1264=2016,I1264*$G$3,B1264=2017,I1264*$G$4,B1264=2018,I1264*$G$5,B1264=2019,I1264*$G$6,B1264=2020,I1264*$G$7,B1264=2021,I1264*$G$8,B1264=2022,I1264*$G$9,B1264=2023,I1264*$G$10)</f>
        <v>5595534.6184841655</v>
      </c>
      <c r="K1264" s="8">
        <f t="shared" si="19"/>
        <v>34986247.618484169</v>
      </c>
      <c r="L1264">
        <f>IFERROR(VLOOKUP(F1264,'LEAID Match'!$A$2:$B$240,2,FALSE),"")</f>
        <v>0</v>
      </c>
    </row>
    <row r="1265" spans="1:12" x14ac:dyDescent="0.2">
      <c r="A1265">
        <v>0</v>
      </c>
      <c r="B1265">
        <v>2017</v>
      </c>
      <c r="C1265" s="4" t="s">
        <v>291</v>
      </c>
      <c r="D1265" s="4" t="s">
        <v>576</v>
      </c>
      <c r="E1265" s="4" t="s">
        <v>578</v>
      </c>
      <c r="F1265" s="4" t="s">
        <v>250</v>
      </c>
      <c r="G1265" s="8">
        <v>14175087</v>
      </c>
      <c r="I1265" s="16" cm="1">
        <f t="array" ref="I1265">_xlfn.IFS(B1265=2015,G1265/$H$1957,B1265=2016,G1265/$H$1958,B1265=2017,G1265/$H$1959,B1265=2018,G1265/$H$1960,B1265=2019,G1265/$H$1961,B1265=2020,G1265/$H$1962,B1265=2021,G1265/$H$1963,B1265=2022,G1265/$H$1964,B1265=2023,G1265/$H$1965)</f>
        <v>1.8912582619693811E-2</v>
      </c>
      <c r="J1265" s="10" cm="1">
        <f t="array" ref="J1265">_xlfn.IFS(B1265=2015,I1265*$G$2,B1265=2016,I1265*$G$3,B1265=2017,I1265*$G$4,B1265=2018,I1265*$G$5,B1265=2019,I1265*$G$6,B1265=2020,I1265*$G$7,B1265=2021,I1265*$G$8,B1265=2022,I1265*$G$9,B1265=2023,I1265*$G$10)</f>
        <v>2800699.8115059752</v>
      </c>
      <c r="K1265" s="8">
        <f t="shared" si="19"/>
        <v>16975786.811505973</v>
      </c>
      <c r="L1265">
        <f>IFERROR(VLOOKUP(F1265,'LEAID Match'!$A$2:$B$240,2,FALSE),"")</f>
        <v>0</v>
      </c>
    </row>
    <row r="1266" spans="1:12" x14ac:dyDescent="0.2">
      <c r="A1266">
        <v>0</v>
      </c>
      <c r="B1266">
        <v>2018</v>
      </c>
      <c r="C1266" s="4" t="s">
        <v>291</v>
      </c>
      <c r="D1266" s="4" t="s">
        <v>576</v>
      </c>
      <c r="E1266" s="4" t="s">
        <v>578</v>
      </c>
      <c r="F1266" s="4" t="s">
        <v>250</v>
      </c>
      <c r="G1266" s="8">
        <v>14413495</v>
      </c>
      <c r="I1266" s="16" cm="1">
        <f t="array" ref="I1266">_xlfn.IFS(B1266=2015,G1266/$H$1957,B1266=2016,G1266/$H$1958,B1266=2017,G1266/$H$1959,B1266=2018,G1266/$H$1960,B1266=2019,G1266/$H$1961,B1266=2020,G1266/$H$1962,B1266=2021,G1266/$H$1963,B1266=2022,G1266/$H$1964,B1266=2023,G1266/$H$1965)</f>
        <v>1.8545994599820363E-2</v>
      </c>
      <c r="J1266" s="10" cm="1">
        <f t="array" ref="J1266">_xlfn.IFS(B1266=2015,I1266*$G$2,B1266=2016,I1266*$G$3,B1266=2017,I1266*$G$4,B1266=2018,I1266*$G$5,B1266=2019,I1266*$G$6,B1266=2020,I1266*$G$7,B1266=2021,I1266*$G$8,B1266=2022,I1266*$G$9,B1266=2023,I1266*$G$10)</f>
        <v>2791615.8816477708</v>
      </c>
      <c r="K1266" s="8">
        <f t="shared" si="19"/>
        <v>17205110.881647769</v>
      </c>
      <c r="L1266">
        <f>IFERROR(VLOOKUP(F1266,'LEAID Match'!$A$2:$B$240,2,FALSE),"")</f>
        <v>0</v>
      </c>
    </row>
    <row r="1267" spans="1:12" x14ac:dyDescent="0.2">
      <c r="A1267">
        <v>0</v>
      </c>
      <c r="B1267">
        <v>2019</v>
      </c>
      <c r="C1267" s="4" t="s">
        <v>291</v>
      </c>
      <c r="D1267" s="4" t="s">
        <v>576</v>
      </c>
      <c r="E1267" s="4" t="s">
        <v>578</v>
      </c>
      <c r="F1267" s="4" t="s">
        <v>250</v>
      </c>
      <c r="G1267" s="8">
        <v>15430171</v>
      </c>
      <c r="I1267" s="16" cm="1">
        <f t="array" ref="I1267">_xlfn.IFS(B1267=2015,G1267/$H$1957,B1267=2016,G1267/$H$1958,B1267=2017,G1267/$H$1959,B1267=2018,G1267/$H$1960,B1267=2019,G1267/$H$1961,B1267=2020,G1267/$H$1962,B1267=2021,G1267/$H$1963,B1267=2022,G1267/$H$1964,B1267=2023,G1267/$H$1965)</f>
        <v>1.9176564846027238E-2</v>
      </c>
      <c r="J1267" s="10" cm="1">
        <f t="array" ref="J1267">_xlfn.IFS(B1267=2015,I1267*$G$2,B1267=2016,I1267*$G$3,B1267=2017,I1267*$G$4,B1267=2018,I1267*$G$5,B1267=2019,I1267*$G$6,B1267=2020,I1267*$G$7,B1267=2021,I1267*$G$8,B1267=2022,I1267*$G$9,B1267=2023,I1267*$G$10)</f>
        <v>3030436.5290289037</v>
      </c>
      <c r="K1267" s="8">
        <f t="shared" si="19"/>
        <v>18460607.529028904</v>
      </c>
      <c r="L1267">
        <f>IFERROR(VLOOKUP(F1267,'LEAID Match'!$A$2:$B$240,2,FALSE),"")</f>
        <v>0</v>
      </c>
    </row>
    <row r="1268" spans="1:12" x14ac:dyDescent="0.2">
      <c r="A1268">
        <v>0</v>
      </c>
      <c r="B1268">
        <v>2020</v>
      </c>
      <c r="C1268" s="4" t="s">
        <v>291</v>
      </c>
      <c r="D1268" s="4" t="s">
        <v>576</v>
      </c>
      <c r="E1268" s="4" t="s">
        <v>578</v>
      </c>
      <c r="F1268" s="4" t="s">
        <v>250</v>
      </c>
      <c r="G1268" s="8">
        <v>16396960</v>
      </c>
      <c r="I1268" s="16" cm="1">
        <f t="array" ref="I1268">_xlfn.IFS(B1268=2015,G1268/$H$1957,B1268=2016,G1268/$H$1958,B1268=2017,G1268/$H$1959,B1268=2018,G1268/$H$1960,B1268=2019,G1268/$H$1961,B1268=2020,G1268/$H$1962,B1268=2021,G1268/$H$1963,B1268=2022,G1268/$H$1964,B1268=2023,G1268/$H$1965)</f>
        <v>1.8859182874319442E-2</v>
      </c>
      <c r="J1268" s="10" cm="1">
        <f t="array" ref="J1268">_xlfn.IFS(B1268=2015,I1268*$G$2,B1268=2016,I1268*$G$3,B1268=2017,I1268*$G$4,B1268=2018,I1268*$G$5,B1268=2019,I1268*$G$6,B1268=2020,I1268*$G$7,B1268=2021,I1268*$G$8,B1268=2022,I1268*$G$9,B1268=2023,I1268*$G$10)</f>
        <v>3256677.1363955936</v>
      </c>
      <c r="K1268" s="8">
        <f t="shared" si="19"/>
        <v>19653637.136395592</v>
      </c>
      <c r="L1268">
        <f>IFERROR(VLOOKUP(F1268,'LEAID Match'!$A$2:$B$240,2,FALSE),"")</f>
        <v>0</v>
      </c>
    </row>
    <row r="1269" spans="1:12" x14ac:dyDescent="0.2">
      <c r="A1269">
        <v>0</v>
      </c>
      <c r="B1269">
        <v>2021</v>
      </c>
      <c r="C1269" s="4" t="s">
        <v>291</v>
      </c>
      <c r="D1269" s="4" t="s">
        <v>576</v>
      </c>
      <c r="E1269" s="4" t="s">
        <v>578</v>
      </c>
      <c r="F1269" s="4" t="s">
        <v>250</v>
      </c>
      <c r="G1269" s="8">
        <v>17110815</v>
      </c>
      <c r="I1269" s="16" cm="1">
        <f t="array" ref="I1269">_xlfn.IFS(B1269=2015,G1269/$H$1957,B1269=2016,G1269/$H$1958,B1269=2017,G1269/$H$1959,B1269=2018,G1269/$H$1960,B1269=2019,G1269/$H$1961,B1269=2020,G1269/$H$1962,B1269=2021,G1269/$H$1963,B1269=2022,G1269/$H$1964,B1269=2023,G1269/$H$1965)</f>
        <v>1.9554151966743608E-2</v>
      </c>
      <c r="J1269" s="10" cm="1">
        <f t="array" ref="J1269">_xlfn.IFS(B1269=2015,I1269*$G$2,B1269=2016,I1269*$G$3,B1269=2017,I1269*$G$4,B1269=2018,I1269*$G$5,B1269=2019,I1269*$G$6,B1269=2020,I1269*$G$7,B1269=2021,I1269*$G$8,B1269=2022,I1269*$G$9,B1269=2023,I1269*$G$10)</f>
        <v>3355821.6911957152</v>
      </c>
      <c r="K1269" s="8">
        <f t="shared" si="19"/>
        <v>20466636.691195715</v>
      </c>
      <c r="L1269">
        <f>IFERROR(VLOOKUP(F1269,'LEAID Match'!$A$2:$B$240,2,FALSE),"")</f>
        <v>0</v>
      </c>
    </row>
    <row r="1270" spans="1:12" x14ac:dyDescent="0.2">
      <c r="A1270">
        <v>0</v>
      </c>
      <c r="B1270">
        <v>2022</v>
      </c>
      <c r="C1270" s="4" t="s">
        <v>291</v>
      </c>
      <c r="D1270" s="4" t="s">
        <v>576</v>
      </c>
      <c r="E1270" s="4" t="s">
        <v>578</v>
      </c>
      <c r="F1270" s="4" t="s">
        <v>250</v>
      </c>
      <c r="G1270" s="8">
        <v>18307758</v>
      </c>
      <c r="I1270" s="16" cm="1">
        <f t="array" ref="I1270">_xlfn.IFS(B1270=2015,G1270/$H$1957,B1270=2016,G1270/$H$1958,B1270=2017,G1270/$H$1959,B1270=2018,G1270/$H$1960,B1270=2019,G1270/$H$1961,B1270=2020,G1270/$H$1962,B1270=2021,G1270/$H$1963,B1270=2022,G1270/$H$1964,B1270=2023,G1270/$H$1965)</f>
        <v>1.9677220551429495E-2</v>
      </c>
      <c r="J1270" s="10" cm="1">
        <f t="array" ref="J1270">_xlfn.IFS(B1270=2015,I1270*$G$2,B1270=2016,I1270*$G$3,B1270=2017,I1270*$G$4,B1270=2018,I1270*$G$5,B1270=2019,I1270*$G$6,B1270=2020,I1270*$G$7,B1270=2021,I1270*$G$8,B1270=2022,I1270*$G$9,B1270=2023,I1270*$G$10)</f>
        <v>3336974.2177303089</v>
      </c>
      <c r="K1270" s="8">
        <f t="shared" si="19"/>
        <v>21644732.21773031</v>
      </c>
      <c r="L1270">
        <f>IFERROR(VLOOKUP(F1270,'LEAID Match'!$A$2:$B$240,2,FALSE),"")</f>
        <v>0</v>
      </c>
    </row>
    <row r="1271" spans="1:12" x14ac:dyDescent="0.2">
      <c r="A1271">
        <v>0</v>
      </c>
      <c r="B1271">
        <v>2023</v>
      </c>
      <c r="C1271" s="4" t="s">
        <v>291</v>
      </c>
      <c r="D1271" s="4" t="s">
        <v>576</v>
      </c>
      <c r="E1271" s="4" t="s">
        <v>578</v>
      </c>
      <c r="F1271" s="4" t="s">
        <v>250</v>
      </c>
      <c r="G1271" s="8">
        <v>19904947</v>
      </c>
      <c r="I1271" s="16" cm="1">
        <f t="array" ref="I1271">_xlfn.IFS(B1271=2015,G1271/$H$1957,B1271=2016,G1271/$H$1958,B1271=2017,G1271/$H$1959,B1271=2018,G1271/$H$1960,B1271=2019,G1271/$H$1961,B1271=2020,G1271/$H$1962,B1271=2021,G1271/$H$1963,B1271=2022,G1271/$H$1964,B1271=2023,G1271/$H$1965)</f>
        <v>2.0153551640095184E-2</v>
      </c>
      <c r="J1271" s="10" cm="1">
        <f t="array" ref="J1271">_xlfn.IFS(B1271=2015,I1271*$G$2,B1271=2016,I1271*$G$3,B1271=2017,I1271*$G$4,B1271=2018,I1271*$G$5,B1271=2019,I1271*$G$6,B1271=2020,I1271*$G$7,B1271=2021,I1271*$G$8,B1271=2022,I1271*$G$9,B1271=2023,I1271*$G$10)</f>
        <v>3425807.9045245531</v>
      </c>
      <c r="K1271" s="8">
        <f t="shared" si="19"/>
        <v>23330754.904524554</v>
      </c>
      <c r="L1271">
        <f>IFERROR(VLOOKUP(F1271,'LEAID Match'!$A$2:$B$240,2,FALSE),"")</f>
        <v>0</v>
      </c>
    </row>
    <row r="1272" spans="1:12" x14ac:dyDescent="0.2">
      <c r="A1272">
        <v>0</v>
      </c>
      <c r="B1272">
        <v>2015</v>
      </c>
      <c r="C1272" s="4" t="s">
        <v>292</v>
      </c>
      <c r="D1272" s="4" t="s">
        <v>576</v>
      </c>
      <c r="E1272" s="4" t="s">
        <v>578</v>
      </c>
      <c r="F1272" s="4" t="s">
        <v>251</v>
      </c>
      <c r="G1272" s="8">
        <v>27914942</v>
      </c>
      <c r="I1272" s="16" cm="1">
        <f t="array" ref="I1272">_xlfn.IFS(B1272=2015,G1272/$H$1957,B1272=2016,G1272/$H$1958,B1272=2017,G1272/$H$1959,B1272=2018,G1272/$H$1960,B1272=2019,G1272/$H$1961,B1272=2020,G1272/$H$1962,B1272=2021,G1272/$H$1963,B1272=2022,G1272/$H$1964,B1272=2023,G1272/$H$1965)</f>
        <v>2.155755095805759E-2</v>
      </c>
      <c r="J1272" s="10" cm="1">
        <f t="array" ref="J1272">_xlfn.IFS(B1272=2015,I1272*$G$2,B1272=2016,I1272*$G$3,B1272=2017,I1272*$G$4,B1272=2018,I1272*$G$5,B1272=2019,I1272*$G$6,B1272=2020,I1272*$G$7,B1272=2021,I1272*$G$8,B1272=2022,I1272*$G$9,B1272=2023,I1272*$G$10)</f>
        <v>5360124.9809051566</v>
      </c>
      <c r="K1272" s="8">
        <f t="shared" si="19"/>
        <v>33275066.980905157</v>
      </c>
      <c r="L1272">
        <f>IFERROR(VLOOKUP(F1272,'LEAID Match'!$A$2:$B$240,2,FALSE),"")</f>
        <v>0</v>
      </c>
    </row>
    <row r="1273" spans="1:12" x14ac:dyDescent="0.2">
      <c r="A1273">
        <v>0</v>
      </c>
      <c r="B1273">
        <v>2016</v>
      </c>
      <c r="C1273" s="4" t="s">
        <v>292</v>
      </c>
      <c r="D1273" s="4" t="s">
        <v>576</v>
      </c>
      <c r="E1273" s="4" t="s">
        <v>578</v>
      </c>
      <c r="F1273" s="4" t="s">
        <v>251</v>
      </c>
      <c r="G1273" s="8">
        <v>30008161</v>
      </c>
      <c r="I1273" s="16" cm="1">
        <f t="array" ref="I1273">_xlfn.IFS(B1273=2015,G1273/$H$1957,B1273=2016,G1273/$H$1958,B1273=2017,G1273/$H$1959,B1273=2018,G1273/$H$1960,B1273=2019,G1273/$H$1961,B1273=2020,G1273/$H$1962,B1273=2021,G1273/$H$1963,B1273=2022,G1273/$H$1964,B1273=2023,G1273/$H$1965)</f>
        <v>2.1065716193315889E-2</v>
      </c>
      <c r="J1273" s="10" cm="1">
        <f t="array" ref="J1273">_xlfn.IFS(B1273=2015,I1273*$G$2,B1273=2016,I1273*$G$3,B1273=2017,I1273*$G$4,B1273=2018,I1273*$G$5,B1273=2019,I1273*$G$6,B1273=2020,I1273*$G$7,B1273=2021,I1273*$G$8,B1273=2022,I1273*$G$9,B1273=2023,I1273*$G$10)</f>
        <v>5713087.1140331449</v>
      </c>
      <c r="K1273" s="8">
        <f t="shared" si="19"/>
        <v>35721248.114033148</v>
      </c>
      <c r="L1273">
        <f>IFERROR(VLOOKUP(F1273,'LEAID Match'!$A$2:$B$240,2,FALSE),"")</f>
        <v>0</v>
      </c>
    </row>
    <row r="1274" spans="1:12" x14ac:dyDescent="0.2">
      <c r="A1274">
        <v>0</v>
      </c>
      <c r="B1274">
        <v>2017</v>
      </c>
      <c r="C1274" s="4" t="s">
        <v>292</v>
      </c>
      <c r="D1274" s="4" t="s">
        <v>576</v>
      </c>
      <c r="E1274" s="4" t="s">
        <v>578</v>
      </c>
      <c r="F1274" s="4" t="s">
        <v>251</v>
      </c>
      <c r="G1274" s="8">
        <v>16722275</v>
      </c>
      <c r="I1274" s="16" cm="1">
        <f t="array" ref="I1274">_xlfn.IFS(B1274=2015,G1274/$H$1957,B1274=2016,G1274/$H$1958,B1274=2017,G1274/$H$1959,B1274=2018,G1274/$H$1960,B1274=2019,G1274/$H$1961,B1274=2020,G1274/$H$1962,B1274=2021,G1274/$H$1963,B1274=2022,G1274/$H$1964,B1274=2023,G1274/$H$1965)</f>
        <v>2.231107347184115E-2</v>
      </c>
      <c r="J1274" s="10" cm="1">
        <f t="array" ref="J1274">_xlfn.IFS(B1274=2015,I1274*$G$2,B1274=2016,I1274*$G$3,B1274=2017,I1274*$G$4,B1274=2018,I1274*$G$5,B1274=2019,I1274*$G$6,B1274=2020,I1274*$G$7,B1274=2021,I1274*$G$8,B1274=2022,I1274*$G$9,B1274=2023,I1274*$G$10)</f>
        <v>3303970.7227511965</v>
      </c>
      <c r="K1274" s="8">
        <f t="shared" si="19"/>
        <v>20026245.722751196</v>
      </c>
      <c r="L1274">
        <f>IFERROR(VLOOKUP(F1274,'LEAID Match'!$A$2:$B$240,2,FALSE),"")</f>
        <v>0</v>
      </c>
    </row>
    <row r="1275" spans="1:12" x14ac:dyDescent="0.2">
      <c r="A1275">
        <v>0</v>
      </c>
      <c r="B1275">
        <v>2018</v>
      </c>
      <c r="C1275" s="4" t="s">
        <v>292</v>
      </c>
      <c r="D1275" s="4" t="s">
        <v>576</v>
      </c>
      <c r="E1275" s="4" t="s">
        <v>578</v>
      </c>
      <c r="F1275" s="4" t="s">
        <v>251</v>
      </c>
      <c r="G1275" s="8">
        <v>16786817</v>
      </c>
      <c r="I1275" s="16" cm="1">
        <f t="array" ref="I1275">_xlfn.IFS(B1275=2015,G1275/$H$1957,B1275=2016,G1275/$H$1958,B1275=2017,G1275/$H$1959,B1275=2018,G1275/$H$1960,B1275=2019,G1275/$H$1961,B1275=2020,G1275/$H$1962,B1275=2021,G1275/$H$1963,B1275=2022,G1275/$H$1964,B1275=2023,G1275/$H$1965)</f>
        <v>2.1599772812227198E-2</v>
      </c>
      <c r="J1275" s="10" cm="1">
        <f t="array" ref="J1275">_xlfn.IFS(B1275=2015,I1275*$G$2,B1275=2016,I1275*$G$3,B1275=2017,I1275*$G$4,B1275=2018,I1275*$G$5,B1275=2019,I1275*$G$6,B1275=2020,I1275*$G$7,B1275=2021,I1275*$G$8,B1275=2022,I1275*$G$9,B1275=2023,I1275*$G$10)</f>
        <v>3251282.5612049531</v>
      </c>
      <c r="K1275" s="8">
        <f t="shared" si="19"/>
        <v>20038099.561204955</v>
      </c>
      <c r="L1275">
        <f>IFERROR(VLOOKUP(F1275,'LEAID Match'!$A$2:$B$240,2,FALSE),"")</f>
        <v>0</v>
      </c>
    </row>
    <row r="1276" spans="1:12" x14ac:dyDescent="0.2">
      <c r="A1276">
        <v>0</v>
      </c>
      <c r="B1276">
        <v>2019</v>
      </c>
      <c r="C1276" s="4" t="s">
        <v>292</v>
      </c>
      <c r="D1276" s="4" t="s">
        <v>576</v>
      </c>
      <c r="E1276" s="4" t="s">
        <v>578</v>
      </c>
      <c r="F1276" s="4" t="s">
        <v>251</v>
      </c>
      <c r="G1276" s="8">
        <v>17623869</v>
      </c>
      <c r="I1276" s="16" cm="1">
        <f t="array" ref="I1276">_xlfn.IFS(B1276=2015,G1276/$H$1957,B1276=2016,G1276/$H$1958,B1276=2017,G1276/$H$1959,B1276=2018,G1276/$H$1960,B1276=2019,G1276/$H$1961,B1276=2020,G1276/$H$1962,B1276=2021,G1276/$H$1963,B1276=2022,G1276/$H$1964,B1276=2023,G1276/$H$1965)</f>
        <v>2.1902885374140649E-2</v>
      </c>
      <c r="J1276" s="10" cm="1">
        <f t="array" ref="J1276">_xlfn.IFS(B1276=2015,I1276*$G$2,B1276=2016,I1276*$G$3,B1276=2017,I1276*$G$4,B1276=2018,I1276*$G$5,B1276=2019,I1276*$G$6,B1276=2020,I1276*$G$7,B1276=2021,I1276*$G$8,B1276=2022,I1276*$G$9,B1276=2023,I1276*$G$10)</f>
        <v>3461271.842056714</v>
      </c>
      <c r="K1276" s="8">
        <f t="shared" si="19"/>
        <v>21085140.842056714</v>
      </c>
      <c r="L1276">
        <f>IFERROR(VLOOKUP(F1276,'LEAID Match'!$A$2:$B$240,2,FALSE),"")</f>
        <v>0</v>
      </c>
    </row>
    <row r="1277" spans="1:12" x14ac:dyDescent="0.2">
      <c r="A1277">
        <v>0</v>
      </c>
      <c r="B1277">
        <v>2020</v>
      </c>
      <c r="C1277" s="4" t="s">
        <v>292</v>
      </c>
      <c r="D1277" s="4" t="s">
        <v>576</v>
      </c>
      <c r="E1277" s="4" t="s">
        <v>578</v>
      </c>
      <c r="F1277" s="4" t="s">
        <v>251</v>
      </c>
      <c r="G1277" s="8">
        <v>18867734</v>
      </c>
      <c r="I1277" s="16" cm="1">
        <f t="array" ref="I1277">_xlfn.IFS(B1277=2015,G1277/$H$1957,B1277=2016,G1277/$H$1958,B1277=2017,G1277/$H$1959,B1277=2018,G1277/$H$1960,B1277=2019,G1277/$H$1961,B1277=2020,G1277/$H$1962,B1277=2021,G1277/$H$1963,B1277=2022,G1277/$H$1964,B1277=2023,G1277/$H$1965)</f>
        <v>2.1700976640182976E-2</v>
      </c>
      <c r="J1277" s="10" cm="1">
        <f t="array" ref="J1277">_xlfn.IFS(B1277=2015,I1277*$G$2,B1277=2016,I1277*$G$3,B1277=2017,I1277*$G$4,B1277=2018,I1277*$G$5,B1277=2019,I1277*$G$6,B1277=2020,I1277*$G$7,B1277=2021,I1277*$G$8,B1277=2022,I1277*$G$9,B1277=2023,I1277*$G$10)</f>
        <v>3747409.1498298333</v>
      </c>
      <c r="K1277" s="8">
        <f t="shared" si="19"/>
        <v>22615143.149829835</v>
      </c>
      <c r="L1277">
        <f>IFERROR(VLOOKUP(F1277,'LEAID Match'!$A$2:$B$240,2,FALSE),"")</f>
        <v>0</v>
      </c>
    </row>
    <row r="1278" spans="1:12" x14ac:dyDescent="0.2">
      <c r="A1278">
        <v>0</v>
      </c>
      <c r="B1278">
        <v>2021</v>
      </c>
      <c r="C1278" s="4" t="s">
        <v>292</v>
      </c>
      <c r="D1278" s="4" t="s">
        <v>576</v>
      </c>
      <c r="E1278" s="4" t="s">
        <v>578</v>
      </c>
      <c r="F1278" s="4" t="s">
        <v>251</v>
      </c>
      <c r="G1278" s="8">
        <v>19964598</v>
      </c>
      <c r="I1278" s="16" cm="1">
        <f t="array" ref="I1278">_xlfn.IFS(B1278=2015,G1278/$H$1957,B1278=2016,G1278/$H$1958,B1278=2017,G1278/$H$1959,B1278=2018,G1278/$H$1960,B1278=2019,G1278/$H$1961,B1278=2020,G1278/$H$1962,B1278=2021,G1278/$H$1963,B1278=2022,G1278/$H$1964,B1278=2023,G1278/$H$1965)</f>
        <v>2.2815440599816286E-2</v>
      </c>
      <c r="J1278" s="10" cm="1">
        <f t="array" ref="J1278">_xlfn.IFS(B1278=2015,I1278*$G$2,B1278=2016,I1278*$G$3,B1278=2017,I1278*$G$4,B1278=2018,I1278*$G$5,B1278=2019,I1278*$G$6,B1278=2020,I1278*$G$7,B1278=2021,I1278*$G$8,B1278=2022,I1278*$G$9,B1278=2023,I1278*$G$10)</f>
        <v>3915513.7276864131</v>
      </c>
      <c r="K1278" s="8">
        <f t="shared" si="19"/>
        <v>23880111.727686413</v>
      </c>
      <c r="L1278">
        <f>IFERROR(VLOOKUP(F1278,'LEAID Match'!$A$2:$B$240,2,FALSE),"")</f>
        <v>0</v>
      </c>
    </row>
    <row r="1279" spans="1:12" x14ac:dyDescent="0.2">
      <c r="A1279">
        <v>0</v>
      </c>
      <c r="B1279">
        <v>2022</v>
      </c>
      <c r="C1279" s="4" t="s">
        <v>292</v>
      </c>
      <c r="D1279" s="4" t="s">
        <v>576</v>
      </c>
      <c r="E1279" s="4" t="s">
        <v>578</v>
      </c>
      <c r="F1279" s="4" t="s">
        <v>251</v>
      </c>
      <c r="G1279" s="8">
        <v>21434420</v>
      </c>
      <c r="I1279" s="16" cm="1">
        <f t="array" ref="I1279">_xlfn.IFS(B1279=2015,G1279/$H$1957,B1279=2016,G1279/$H$1958,B1279=2017,G1279/$H$1959,B1279=2018,G1279/$H$1960,B1279=2019,G1279/$H$1961,B1279=2020,G1279/$H$1962,B1279=2021,G1279/$H$1963,B1279=2022,G1279/$H$1964,B1279=2023,G1279/$H$1965)</f>
        <v>2.3037764085147478E-2</v>
      </c>
      <c r="J1279" s="10" cm="1">
        <f t="array" ref="J1279">_xlfn.IFS(B1279=2015,I1279*$G$2,B1279=2016,I1279*$G$3,B1279=2017,I1279*$G$4,B1279=2018,I1279*$G$5,B1279=2019,I1279*$G$6,B1279=2020,I1279*$G$7,B1279=2021,I1279*$G$8,B1279=2022,I1279*$G$9,B1279=2023,I1279*$G$10)</f>
        <v>3906874.1738886265</v>
      </c>
      <c r="K1279" s="8">
        <f t="shared" si="19"/>
        <v>25341294.173888627</v>
      </c>
      <c r="L1279">
        <f>IFERROR(VLOOKUP(F1279,'LEAID Match'!$A$2:$B$240,2,FALSE),"")</f>
        <v>0</v>
      </c>
    </row>
    <row r="1280" spans="1:12" x14ac:dyDescent="0.2">
      <c r="A1280">
        <v>0</v>
      </c>
      <c r="B1280">
        <v>2023</v>
      </c>
      <c r="C1280" s="4" t="s">
        <v>292</v>
      </c>
      <c r="D1280" s="4" t="s">
        <v>576</v>
      </c>
      <c r="E1280" s="4" t="s">
        <v>578</v>
      </c>
      <c r="F1280" s="4" t="s">
        <v>251</v>
      </c>
      <c r="G1280" s="8">
        <v>24127508</v>
      </c>
      <c r="I1280" s="16" cm="1">
        <f t="array" ref="I1280">_xlfn.IFS(B1280=2015,G1280/$H$1957,B1280=2016,G1280/$H$1958,B1280=2017,G1280/$H$1959,B1280=2018,G1280/$H$1960,B1280=2019,G1280/$H$1961,B1280=2020,G1280/$H$1962,B1280=2021,G1280/$H$1963,B1280=2022,G1280/$H$1964,B1280=2023,G1280/$H$1965)</f>
        <v>2.442885069851277E-2</v>
      </c>
      <c r="J1280" s="10" cm="1">
        <f t="array" ref="J1280">_xlfn.IFS(B1280=2015,I1280*$G$2,B1280=2016,I1280*$G$3,B1280=2017,I1280*$G$4,B1280=2018,I1280*$G$5,B1280=2019,I1280*$G$6,B1280=2020,I1280*$G$7,B1280=2021,I1280*$G$8,B1280=2022,I1280*$G$9,B1280=2023,I1280*$G$10)</f>
        <v>4152545.9787900662</v>
      </c>
      <c r="K1280" s="8">
        <f t="shared" si="19"/>
        <v>28280053.978790067</v>
      </c>
      <c r="L1280">
        <f>IFERROR(VLOOKUP(F1280,'LEAID Match'!$A$2:$B$240,2,FALSE),"")</f>
        <v>0</v>
      </c>
    </row>
    <row r="1281" spans="1:12" x14ac:dyDescent="0.2">
      <c r="A1281">
        <v>0</v>
      </c>
      <c r="B1281">
        <v>2015</v>
      </c>
      <c r="C1281" s="4" t="s">
        <v>293</v>
      </c>
      <c r="D1281" s="4" t="s">
        <v>576</v>
      </c>
      <c r="E1281" s="4" t="s">
        <v>578</v>
      </c>
      <c r="F1281" s="4" t="s">
        <v>252</v>
      </c>
      <c r="G1281" s="8">
        <v>11149104</v>
      </c>
      <c r="I1281" s="16" cm="1">
        <f t="array" ref="I1281">_xlfn.IFS(B1281=2015,G1281/$H$1957,B1281=2016,G1281/$H$1958,B1281=2017,G1281/$H$1959,B1281=2018,G1281/$H$1960,B1281=2019,G1281/$H$1961,B1281=2020,G1281/$H$1962,B1281=2021,G1281/$H$1963,B1281=2022,G1281/$H$1964,B1281=2023,G1281/$H$1965)</f>
        <v>8.6099902201725396E-3</v>
      </c>
      <c r="J1281" s="10" cm="1">
        <f t="array" ref="J1281">_xlfn.IFS(B1281=2015,I1281*$G$2,B1281=2016,I1281*$G$3,B1281=2017,I1281*$G$4,B1281=2018,I1281*$G$5,B1281=2019,I1281*$G$6,B1281=2020,I1281*$G$7,B1281=2021,I1281*$G$8,B1281=2022,I1281*$G$9,B1281=2023,I1281*$G$10)</f>
        <v>2140810.1390685174</v>
      </c>
      <c r="K1281" s="8">
        <f t="shared" si="19"/>
        <v>13289914.139068518</v>
      </c>
      <c r="L1281">
        <f>IFERROR(VLOOKUP(F1281,'LEAID Match'!$A$2:$B$240,2,FALSE),"")</f>
        <v>0</v>
      </c>
    </row>
    <row r="1282" spans="1:12" x14ac:dyDescent="0.2">
      <c r="A1282">
        <v>0</v>
      </c>
      <c r="B1282">
        <v>2016</v>
      </c>
      <c r="C1282" s="4" t="s">
        <v>293</v>
      </c>
      <c r="D1282" s="4" t="s">
        <v>576</v>
      </c>
      <c r="E1282" s="4" t="s">
        <v>578</v>
      </c>
      <c r="F1282" s="4" t="s">
        <v>252</v>
      </c>
      <c r="G1282" s="8">
        <v>11839113</v>
      </c>
      <c r="I1282" s="16" cm="1">
        <f t="array" ref="I1282">_xlfn.IFS(B1282=2015,G1282/$H$1957,B1282=2016,G1282/$H$1958,B1282=2017,G1282/$H$1959,B1282=2018,G1282/$H$1960,B1282=2019,G1282/$H$1961,B1282=2020,G1282/$H$1962,B1282=2021,G1282/$H$1963,B1282=2022,G1282/$H$1964,B1282=2023,G1282/$H$1965)</f>
        <v>8.3110522647021484E-3</v>
      </c>
      <c r="J1282" s="10" cm="1">
        <f t="array" ref="J1282">_xlfn.IFS(B1282=2015,I1282*$G$2,B1282=2016,I1282*$G$3,B1282=2017,I1282*$G$4,B1282=2018,I1282*$G$5,B1282=2019,I1282*$G$6,B1282=2020,I1282*$G$7,B1282=2021,I1282*$G$8,B1282=2022,I1282*$G$9,B1282=2023,I1282*$G$10)</f>
        <v>2253982.9722281978</v>
      </c>
      <c r="K1282" s="8">
        <f t="shared" si="19"/>
        <v>14093095.972228197</v>
      </c>
      <c r="L1282">
        <f>IFERROR(VLOOKUP(F1282,'LEAID Match'!$A$2:$B$240,2,FALSE),"")</f>
        <v>0</v>
      </c>
    </row>
    <row r="1283" spans="1:12" x14ac:dyDescent="0.2">
      <c r="A1283">
        <v>0</v>
      </c>
      <c r="B1283">
        <v>2017</v>
      </c>
      <c r="C1283" s="4" t="s">
        <v>293</v>
      </c>
      <c r="D1283" s="4" t="s">
        <v>576</v>
      </c>
      <c r="E1283" s="4" t="s">
        <v>578</v>
      </c>
      <c r="F1283" s="4" t="s">
        <v>252</v>
      </c>
      <c r="G1283" s="8">
        <v>6267213</v>
      </c>
      <c r="I1283" s="16" cm="1">
        <f t="array" ref="I1283">_xlfn.IFS(B1283=2015,G1283/$H$1957,B1283=2016,G1283/$H$1958,B1283=2017,G1283/$H$1959,B1283=2018,G1283/$H$1960,B1283=2019,G1283/$H$1961,B1283=2020,G1283/$H$1962,B1283=2021,G1283/$H$1963,B1283=2022,G1283/$H$1964,B1283=2023,G1283/$H$1965)</f>
        <v>8.3617958505453338E-3</v>
      </c>
      <c r="J1283" s="10" cm="1">
        <f t="array" ref="J1283">_xlfn.IFS(B1283=2015,I1283*$G$2,B1283=2016,I1283*$G$3,B1283=2017,I1283*$G$4,B1283=2018,I1283*$G$5,B1283=2019,I1283*$G$6,B1283=2020,I1283*$G$7,B1283=2021,I1283*$G$8,B1283=2022,I1283*$G$9,B1283=2023,I1283*$G$10)</f>
        <v>1238269.8086980206</v>
      </c>
      <c r="K1283" s="8">
        <f t="shared" si="19"/>
        <v>7505482.8086980209</v>
      </c>
      <c r="L1283">
        <f>IFERROR(VLOOKUP(F1283,'LEAID Match'!$A$2:$B$240,2,FALSE),"")</f>
        <v>0</v>
      </c>
    </row>
    <row r="1284" spans="1:12" x14ac:dyDescent="0.2">
      <c r="A1284">
        <v>0</v>
      </c>
      <c r="B1284">
        <v>2018</v>
      </c>
      <c r="C1284" s="4" t="s">
        <v>293</v>
      </c>
      <c r="D1284" s="4" t="s">
        <v>576</v>
      </c>
      <c r="E1284" s="4" t="s">
        <v>578</v>
      </c>
      <c r="F1284" s="4" t="s">
        <v>252</v>
      </c>
      <c r="G1284" s="8">
        <v>6471083</v>
      </c>
      <c r="I1284" s="16" cm="1">
        <f t="array" ref="I1284">_xlfn.IFS(B1284=2015,G1284/$H$1957,B1284=2016,G1284/$H$1958,B1284=2017,G1284/$H$1959,B1284=2018,G1284/$H$1960,B1284=2019,G1284/$H$1961,B1284=2020,G1284/$H$1962,B1284=2021,G1284/$H$1963,B1284=2022,G1284/$H$1964,B1284=2023,G1284/$H$1965)</f>
        <v>8.3264101019904866E-3</v>
      </c>
      <c r="J1284" s="10" cm="1">
        <f t="array" ref="J1284">_xlfn.IFS(B1284=2015,I1284*$G$2,B1284=2016,I1284*$G$3,B1284=2017,I1284*$G$4,B1284=2018,I1284*$G$5,B1284=2019,I1284*$G$6,B1284=2020,I1284*$G$7,B1284=2021,I1284*$G$8,B1284=2022,I1284*$G$9,B1284=2023,I1284*$G$10)</f>
        <v>1253323.9213848482</v>
      </c>
      <c r="K1284" s="8">
        <f t="shared" si="19"/>
        <v>7724406.9213848487</v>
      </c>
      <c r="L1284">
        <f>IFERROR(VLOOKUP(F1284,'LEAID Match'!$A$2:$B$240,2,FALSE),"")</f>
        <v>0</v>
      </c>
    </row>
    <row r="1285" spans="1:12" x14ac:dyDescent="0.2">
      <c r="A1285">
        <v>0</v>
      </c>
      <c r="B1285">
        <v>2019</v>
      </c>
      <c r="C1285" s="4" t="s">
        <v>293</v>
      </c>
      <c r="D1285" s="4" t="s">
        <v>576</v>
      </c>
      <c r="E1285" s="4" t="s">
        <v>578</v>
      </c>
      <c r="F1285" s="4" t="s">
        <v>252</v>
      </c>
      <c r="G1285" s="8">
        <v>6773522</v>
      </c>
      <c r="I1285" s="16" cm="1">
        <f t="array" ref="I1285">_xlfn.IFS(B1285=2015,G1285/$H$1957,B1285=2016,G1285/$H$1958,B1285=2017,G1285/$H$1959,B1285=2018,G1285/$H$1960,B1285=2019,G1285/$H$1961,B1285=2020,G1285/$H$1962,B1285=2021,G1285/$H$1963,B1285=2022,G1285/$H$1964,B1285=2023,G1285/$H$1965)</f>
        <v>8.4181104583346562E-3</v>
      </c>
      <c r="J1285" s="10" cm="1">
        <f t="array" ref="J1285">_xlfn.IFS(B1285=2015,I1285*$G$2,B1285=2016,I1285*$G$3,B1285=2017,I1285*$G$4,B1285=2018,I1285*$G$5,B1285=2019,I1285*$G$6,B1285=2020,I1285*$G$7,B1285=2021,I1285*$G$8,B1285=2022,I1285*$G$9,B1285=2023,I1285*$G$10)</f>
        <v>1330298.1865191848</v>
      </c>
      <c r="K1285" s="8">
        <f t="shared" si="19"/>
        <v>8103820.1865191851</v>
      </c>
      <c r="L1285">
        <f>IFERROR(VLOOKUP(F1285,'LEAID Match'!$A$2:$B$240,2,FALSE),"")</f>
        <v>0</v>
      </c>
    </row>
    <row r="1286" spans="1:12" x14ac:dyDescent="0.2">
      <c r="A1286">
        <v>0</v>
      </c>
      <c r="B1286">
        <v>2020</v>
      </c>
      <c r="C1286" s="4" t="s">
        <v>293</v>
      </c>
      <c r="D1286" s="4" t="s">
        <v>576</v>
      </c>
      <c r="E1286" s="4" t="s">
        <v>578</v>
      </c>
      <c r="F1286" s="4" t="s">
        <v>252</v>
      </c>
      <c r="G1286" s="8">
        <v>7347665</v>
      </c>
      <c r="I1286" s="16" cm="1">
        <f t="array" ref="I1286">_xlfn.IFS(B1286=2015,G1286/$H$1957,B1286=2016,G1286/$H$1958,B1286=2017,G1286/$H$1959,B1286=2018,G1286/$H$1960,B1286=2019,G1286/$H$1961,B1286=2020,G1286/$H$1962,B1286=2021,G1286/$H$1963,B1286=2022,G1286/$H$1964,B1286=2023,G1286/$H$1965)</f>
        <v>8.4510151841705027E-3</v>
      </c>
      <c r="J1286" s="10" cm="1">
        <f t="array" ref="J1286">_xlfn.IFS(B1286=2015,I1286*$G$2,B1286=2016,I1286*$G$3,B1286=2017,I1286*$G$4,B1286=2018,I1286*$G$5,B1286=2019,I1286*$G$6,B1286=2020,I1286*$G$7,B1286=2021,I1286*$G$8,B1286=2022,I1286*$G$9,B1286=2023,I1286*$G$10)</f>
        <v>1459354.2102556897</v>
      </c>
      <c r="K1286" s="8">
        <f t="shared" si="19"/>
        <v>8807019.2102556899</v>
      </c>
      <c r="L1286">
        <f>IFERROR(VLOOKUP(F1286,'LEAID Match'!$A$2:$B$240,2,FALSE),"")</f>
        <v>0</v>
      </c>
    </row>
    <row r="1287" spans="1:12" x14ac:dyDescent="0.2">
      <c r="A1287">
        <v>0</v>
      </c>
      <c r="B1287">
        <v>2021</v>
      </c>
      <c r="C1287" s="4" t="s">
        <v>293</v>
      </c>
      <c r="D1287" s="4" t="s">
        <v>576</v>
      </c>
      <c r="E1287" s="4" t="s">
        <v>578</v>
      </c>
      <c r="F1287" s="4" t="s">
        <v>252</v>
      </c>
      <c r="G1287" s="8">
        <v>8022441</v>
      </c>
      <c r="I1287" s="16" cm="1">
        <f t="array" ref="I1287">_xlfn.IFS(B1287=2015,G1287/$H$1957,B1287=2016,G1287/$H$1958,B1287=2017,G1287/$H$1959,B1287=2018,G1287/$H$1960,B1287=2019,G1287/$H$1961,B1287=2020,G1287/$H$1962,B1287=2021,G1287/$H$1963,B1287=2022,G1287/$H$1964,B1287=2023,G1287/$H$1965)</f>
        <v>9.1680045899762558E-3</v>
      </c>
      <c r="J1287" s="10" cm="1">
        <f t="array" ref="J1287">_xlfn.IFS(B1287=2015,I1287*$G$2,B1287=2016,I1287*$G$3,B1287=2017,I1287*$G$4,B1287=2018,I1287*$G$5,B1287=2019,I1287*$G$6,B1287=2020,I1287*$G$7,B1287=2021,I1287*$G$8,B1287=2022,I1287*$G$9,B1287=2023,I1287*$G$10)</f>
        <v>1573383.9401652024</v>
      </c>
      <c r="K1287" s="8">
        <f t="shared" si="19"/>
        <v>9595824.9401652031</v>
      </c>
      <c r="L1287">
        <f>IFERROR(VLOOKUP(F1287,'LEAID Match'!$A$2:$B$240,2,FALSE),"")</f>
        <v>0</v>
      </c>
    </row>
    <row r="1288" spans="1:12" x14ac:dyDescent="0.2">
      <c r="A1288">
        <v>0</v>
      </c>
      <c r="B1288">
        <v>2022</v>
      </c>
      <c r="C1288" s="4" t="s">
        <v>293</v>
      </c>
      <c r="D1288" s="4" t="s">
        <v>576</v>
      </c>
      <c r="E1288" s="4" t="s">
        <v>578</v>
      </c>
      <c r="F1288" s="4" t="s">
        <v>252</v>
      </c>
      <c r="G1288" s="8">
        <v>8342781</v>
      </c>
      <c r="I1288" s="16" cm="1">
        <f t="array" ref="I1288">_xlfn.IFS(B1288=2015,G1288/$H$1957,B1288=2016,G1288/$H$1958,B1288=2017,G1288/$H$1959,B1288=2018,G1288/$H$1960,B1288=2019,G1288/$H$1961,B1288=2020,G1288/$H$1962,B1288=2021,G1288/$H$1963,B1288=2022,G1288/$H$1964,B1288=2023,G1288/$H$1965)</f>
        <v>8.9668402733570941E-3</v>
      </c>
      <c r="J1288" s="10" cm="1">
        <f t="array" ref="J1288">_xlfn.IFS(B1288=2015,I1288*$G$2,B1288=2016,I1288*$G$3,B1288=2017,I1288*$G$4,B1288=2018,I1288*$G$5,B1288=2019,I1288*$G$6,B1288=2020,I1288*$G$7,B1288=2021,I1288*$G$8,B1288=2022,I1288*$G$9,B1288=2023,I1288*$G$10)</f>
        <v>1520647.4272366003</v>
      </c>
      <c r="K1288" s="8">
        <f t="shared" si="19"/>
        <v>9863428.4272365998</v>
      </c>
      <c r="L1288">
        <f>IFERROR(VLOOKUP(F1288,'LEAID Match'!$A$2:$B$240,2,FALSE),"")</f>
        <v>0</v>
      </c>
    </row>
    <row r="1289" spans="1:12" x14ac:dyDescent="0.2">
      <c r="A1289">
        <v>0</v>
      </c>
      <c r="B1289">
        <v>2023</v>
      </c>
      <c r="C1289" s="4" t="s">
        <v>293</v>
      </c>
      <c r="D1289" s="4" t="s">
        <v>576</v>
      </c>
      <c r="E1289" s="4" t="s">
        <v>578</v>
      </c>
      <c r="F1289" s="4" t="s">
        <v>252</v>
      </c>
      <c r="G1289" s="8">
        <v>8982521</v>
      </c>
      <c r="I1289" s="16" cm="1">
        <f t="array" ref="I1289">_xlfn.IFS(B1289=2015,G1289/$H$1957,B1289=2016,G1289/$H$1958,B1289=2017,G1289/$H$1959,B1289=2018,G1289/$H$1960,B1289=2019,G1289/$H$1961,B1289=2020,G1289/$H$1962,B1289=2021,G1289/$H$1963,B1289=2022,G1289/$H$1964,B1289=2023,G1289/$H$1965)</f>
        <v>9.0947090103650832E-3</v>
      </c>
      <c r="J1289" s="10" cm="1">
        <f t="array" ref="J1289">_xlfn.IFS(B1289=2015,I1289*$G$2,B1289=2016,I1289*$G$3,B1289=2017,I1289*$G$4,B1289=2018,I1289*$G$5,B1289=2019,I1289*$G$6,B1289=2020,I1289*$G$7,B1289=2021,I1289*$G$8,B1289=2022,I1289*$G$9,B1289=2023,I1289*$G$10)</f>
        <v>1545967.012339083</v>
      </c>
      <c r="K1289" s="8">
        <f t="shared" si="19"/>
        <v>10528488.012339083</v>
      </c>
      <c r="L1289">
        <f>IFERROR(VLOOKUP(F1289,'LEAID Match'!$A$2:$B$240,2,FALSE),"")</f>
        <v>0</v>
      </c>
    </row>
    <row r="1290" spans="1:12" x14ac:dyDescent="0.2">
      <c r="A1290">
        <v>0</v>
      </c>
      <c r="B1290">
        <v>2015</v>
      </c>
      <c r="C1290" s="4" t="s">
        <v>294</v>
      </c>
      <c r="D1290" s="4" t="s">
        <v>576</v>
      </c>
      <c r="E1290" s="4" t="s">
        <v>578</v>
      </c>
      <c r="F1290" s="4" t="s">
        <v>253</v>
      </c>
      <c r="G1290" s="8">
        <v>168855</v>
      </c>
      <c r="I1290" s="16" cm="1">
        <f t="array" ref="I1290">_xlfn.IFS(B1290=2015,G1290/$H$1957,B1290=2016,G1290/$H$1958,B1290=2017,G1290/$H$1959,B1290=2018,G1290/$H$1960,B1290=2019,G1290/$H$1961,B1290=2020,G1290/$H$1962,B1290=2021,G1290/$H$1963,B1290=2022,G1290/$H$1964,B1290=2023,G1290/$H$1965)</f>
        <v>1.303997073331843E-4</v>
      </c>
      <c r="J1290" s="10" cm="1">
        <f t="array" ref="J1290">_xlfn.IFS(B1290=2015,I1290*$G$2,B1290=2016,I1290*$G$3,B1290=2017,I1290*$G$4,B1290=2018,I1290*$G$5,B1290=2019,I1290*$G$6,B1290=2020,I1290*$G$7,B1290=2021,I1290*$G$8,B1290=2022,I1290*$G$9,B1290=2023,I1290*$G$10)</f>
        <v>32422.919010569327</v>
      </c>
      <c r="K1290" s="8">
        <f t="shared" si="19"/>
        <v>201277.91901056934</v>
      </c>
      <c r="L1290">
        <f>IFERROR(VLOOKUP(F1290,'LEAID Match'!$A$2:$B$240,2,FALSE),"")</f>
        <v>0</v>
      </c>
    </row>
    <row r="1291" spans="1:12" x14ac:dyDescent="0.2">
      <c r="A1291">
        <v>0</v>
      </c>
      <c r="B1291">
        <v>2016</v>
      </c>
      <c r="C1291" s="4" t="s">
        <v>294</v>
      </c>
      <c r="D1291" s="4" t="s">
        <v>576</v>
      </c>
      <c r="E1291" s="4" t="s">
        <v>578</v>
      </c>
      <c r="F1291" s="4" t="s">
        <v>253</v>
      </c>
      <c r="G1291" s="8">
        <v>191125</v>
      </c>
      <c r="I1291" s="16" cm="1">
        <f t="array" ref="I1291">_xlfn.IFS(B1291=2015,G1291/$H$1957,B1291=2016,G1291/$H$1958,B1291=2017,G1291/$H$1959,B1291=2018,G1291/$H$1960,B1291=2019,G1291/$H$1961,B1291=2020,G1291/$H$1962,B1291=2021,G1291/$H$1963,B1291=2022,G1291/$H$1964,B1291=2023,G1291/$H$1965)</f>
        <v>1.3416966829281872E-4</v>
      </c>
      <c r="J1291" s="10" cm="1">
        <f t="array" ref="J1291">_xlfn.IFS(B1291=2015,I1291*$G$2,B1291=2016,I1291*$G$3,B1291=2017,I1291*$G$4,B1291=2018,I1291*$G$5,B1291=2019,I1291*$G$6,B1291=2020,I1291*$G$7,B1291=2021,I1291*$G$8,B1291=2022,I1291*$G$9,B1291=2023,I1291*$G$10)</f>
        <v>36387.227283590779</v>
      </c>
      <c r="K1291" s="8">
        <f t="shared" si="19"/>
        <v>227512.22728359076</v>
      </c>
      <c r="L1291">
        <f>IFERROR(VLOOKUP(F1291,'LEAID Match'!$A$2:$B$240,2,FALSE),"")</f>
        <v>0</v>
      </c>
    </row>
    <row r="1292" spans="1:12" x14ac:dyDescent="0.2">
      <c r="A1292">
        <v>0</v>
      </c>
      <c r="B1292">
        <v>2017</v>
      </c>
      <c r="C1292" s="4" t="s">
        <v>294</v>
      </c>
      <c r="D1292" s="4" t="s">
        <v>576</v>
      </c>
      <c r="E1292" s="4" t="s">
        <v>578</v>
      </c>
      <c r="F1292" s="4" t="s">
        <v>253</v>
      </c>
      <c r="G1292" s="8">
        <v>94687</v>
      </c>
      <c r="I1292" s="16" cm="1">
        <f t="array" ref="I1292">_xlfn.IFS(B1292=2015,G1292/$H$1957,B1292=2016,G1292/$H$1958,B1292=2017,G1292/$H$1959,B1292=2018,G1292/$H$1960,B1292=2019,G1292/$H$1961,B1292=2020,G1292/$H$1962,B1292=2021,G1292/$H$1963,B1292=2022,G1292/$H$1964,B1292=2023,G1292/$H$1965)</f>
        <v>1.2633260808282503E-4</v>
      </c>
      <c r="J1292" s="10" cm="1">
        <f t="array" ref="J1292">_xlfn.IFS(B1292=2015,I1292*$G$2,B1292=2016,I1292*$G$3,B1292=2017,I1292*$G$4,B1292=2018,I1292*$G$5,B1292=2019,I1292*$G$6,B1292=2020,I1292*$G$7,B1292=2021,I1292*$G$8,B1292=2022,I1292*$G$9,B1292=2023,I1292*$G$10)</f>
        <v>18708.164757794173</v>
      </c>
      <c r="K1292" s="8">
        <f t="shared" ref="K1292:K1355" si="20">SUM(G1292,J1292)</f>
        <v>113395.16475779418</v>
      </c>
      <c r="L1292">
        <f>IFERROR(VLOOKUP(F1292,'LEAID Match'!$A$2:$B$240,2,FALSE),"")</f>
        <v>0</v>
      </c>
    </row>
    <row r="1293" spans="1:12" x14ac:dyDescent="0.2">
      <c r="A1293">
        <v>0</v>
      </c>
      <c r="B1293">
        <v>2018</v>
      </c>
      <c r="C1293" s="4" t="s">
        <v>294</v>
      </c>
      <c r="D1293" s="4" t="s">
        <v>576</v>
      </c>
      <c r="E1293" s="4" t="s">
        <v>578</v>
      </c>
      <c r="F1293" s="4" t="s">
        <v>253</v>
      </c>
      <c r="G1293" s="8">
        <v>94779</v>
      </c>
      <c r="I1293" s="16" cm="1">
        <f t="array" ref="I1293">_xlfn.IFS(B1293=2015,G1293/$H$1957,B1293=2016,G1293/$H$1958,B1293=2017,G1293/$H$1959,B1293=2018,G1293/$H$1960,B1293=2019,G1293/$H$1961,B1293=2020,G1293/$H$1962,B1293=2021,G1293/$H$1963,B1293=2022,G1293/$H$1964,B1293=2023,G1293/$H$1965)</f>
        <v>1.2195312949262995E-4</v>
      </c>
      <c r="J1293" s="10" cm="1">
        <f t="array" ref="J1293">_xlfn.IFS(B1293=2015,I1293*$G$2,B1293=2016,I1293*$G$3,B1293=2017,I1293*$G$4,B1293=2018,I1293*$G$5,B1293=2019,I1293*$G$6,B1293=2020,I1293*$G$7,B1293=2021,I1293*$G$8,B1293=2022,I1293*$G$9,B1293=2023,I1293*$G$10)</f>
        <v>18356.863595310788</v>
      </c>
      <c r="K1293" s="8">
        <f t="shared" si="20"/>
        <v>113135.86359531079</v>
      </c>
      <c r="L1293">
        <f>IFERROR(VLOOKUP(F1293,'LEAID Match'!$A$2:$B$240,2,FALSE),"")</f>
        <v>0</v>
      </c>
    </row>
    <row r="1294" spans="1:12" x14ac:dyDescent="0.2">
      <c r="A1294">
        <v>0</v>
      </c>
      <c r="B1294">
        <v>2019</v>
      </c>
      <c r="C1294" s="4" t="s">
        <v>294</v>
      </c>
      <c r="D1294" s="4" t="s">
        <v>576</v>
      </c>
      <c r="E1294" s="4" t="s">
        <v>578</v>
      </c>
      <c r="F1294" s="4" t="s">
        <v>253</v>
      </c>
      <c r="G1294" s="8">
        <v>98471</v>
      </c>
      <c r="I1294" s="16" cm="1">
        <f t="array" ref="I1294">_xlfn.IFS(B1294=2015,G1294/$H$1957,B1294=2016,G1294/$H$1958,B1294=2017,G1294/$H$1959,B1294=2018,G1294/$H$1960,B1294=2019,G1294/$H$1961,B1294=2020,G1294/$H$1962,B1294=2021,G1294/$H$1963,B1294=2022,G1294/$H$1964,B1294=2023,G1294/$H$1965)</f>
        <v>1.2237942903893601E-4</v>
      </c>
      <c r="J1294" s="10" cm="1">
        <f t="array" ref="J1294">_xlfn.IFS(B1294=2015,I1294*$G$2,B1294=2016,I1294*$G$3,B1294=2017,I1294*$G$4,B1294=2018,I1294*$G$5,B1294=2019,I1294*$G$6,B1294=2020,I1294*$G$7,B1294=2021,I1294*$G$8,B1294=2022,I1294*$G$9,B1294=2023,I1294*$G$10)</f>
        <v>19339.391342455325</v>
      </c>
      <c r="K1294" s="8">
        <f t="shared" si="20"/>
        <v>117810.39134245532</v>
      </c>
      <c r="L1294">
        <f>IFERROR(VLOOKUP(F1294,'LEAID Match'!$A$2:$B$240,2,FALSE),"")</f>
        <v>0</v>
      </c>
    </row>
    <row r="1295" spans="1:12" x14ac:dyDescent="0.2">
      <c r="A1295">
        <v>0</v>
      </c>
      <c r="B1295">
        <v>2020</v>
      </c>
      <c r="C1295" s="4" t="s">
        <v>294</v>
      </c>
      <c r="D1295" s="4" t="s">
        <v>576</v>
      </c>
      <c r="E1295" s="4" t="s">
        <v>578</v>
      </c>
      <c r="F1295" s="4" t="s">
        <v>253</v>
      </c>
      <c r="G1295" s="8">
        <v>101124</v>
      </c>
      <c r="I1295" s="16" cm="1">
        <f t="array" ref="I1295">_xlfn.IFS(B1295=2015,G1295/$H$1957,B1295=2016,G1295/$H$1958,B1295=2017,G1295/$H$1959,B1295=2018,G1295/$H$1960,B1295=2019,G1295/$H$1961,B1295=2020,G1295/$H$1962,B1295=2021,G1295/$H$1963,B1295=2022,G1295/$H$1964,B1295=2023,G1295/$H$1965)</f>
        <v>1.1630912126288527E-4</v>
      </c>
      <c r="J1295" s="10" cm="1">
        <f t="array" ref="J1295">_xlfn.IFS(B1295=2015,I1295*$G$2,B1295=2016,I1295*$G$3,B1295=2017,I1295*$G$4,B1295=2018,I1295*$G$5,B1295=2019,I1295*$G$6,B1295=2020,I1295*$G$7,B1295=2021,I1295*$G$8,B1295=2022,I1295*$G$9,B1295=2023,I1295*$G$10)</f>
        <v>20084.711967393225</v>
      </c>
      <c r="K1295" s="8">
        <f t="shared" si="20"/>
        <v>121208.71196739323</v>
      </c>
      <c r="L1295">
        <f>IFERROR(VLOOKUP(F1295,'LEAID Match'!$A$2:$B$240,2,FALSE),"")</f>
        <v>0</v>
      </c>
    </row>
    <row r="1296" spans="1:12" x14ac:dyDescent="0.2">
      <c r="A1296">
        <v>0</v>
      </c>
      <c r="B1296">
        <v>2021</v>
      </c>
      <c r="C1296" s="4" t="s">
        <v>294</v>
      </c>
      <c r="D1296" s="4" t="s">
        <v>576</v>
      </c>
      <c r="E1296" s="4" t="s">
        <v>578</v>
      </c>
      <c r="F1296" s="4" t="s">
        <v>253</v>
      </c>
      <c r="G1296" s="8">
        <v>109514</v>
      </c>
      <c r="I1296" s="16" cm="1">
        <f t="array" ref="I1296">_xlfn.IFS(B1296=2015,G1296/$H$1957,B1296=2016,G1296/$H$1958,B1296=2017,G1296/$H$1959,B1296=2018,G1296/$H$1960,B1296=2019,G1296/$H$1961,B1296=2020,G1296/$H$1962,B1296=2021,G1296/$H$1963,B1296=2022,G1296/$H$1964,B1296=2023,G1296/$H$1965)</f>
        <v>1.2515203971791872E-4</v>
      </c>
      <c r="J1296" s="10" cm="1">
        <f t="array" ref="J1296">_xlfn.IFS(B1296=2015,I1296*$G$2,B1296=2016,I1296*$G$3,B1296=2017,I1296*$G$4,B1296=2018,I1296*$G$5,B1296=2019,I1296*$G$6,B1296=2020,I1296*$G$7,B1296=2021,I1296*$G$8,B1296=2022,I1296*$G$9,B1296=2023,I1296*$G$10)</f>
        <v>21478.197075335542</v>
      </c>
      <c r="K1296" s="8">
        <f t="shared" si="20"/>
        <v>130992.19707533554</v>
      </c>
      <c r="L1296">
        <f>IFERROR(VLOOKUP(F1296,'LEAID Match'!$A$2:$B$240,2,FALSE),"")</f>
        <v>0</v>
      </c>
    </row>
    <row r="1297" spans="1:12" x14ac:dyDescent="0.2">
      <c r="A1297">
        <v>0</v>
      </c>
      <c r="B1297">
        <v>2022</v>
      </c>
      <c r="C1297" s="4" t="s">
        <v>294</v>
      </c>
      <c r="D1297" s="4" t="s">
        <v>576</v>
      </c>
      <c r="E1297" s="4" t="s">
        <v>578</v>
      </c>
      <c r="F1297" s="4" t="s">
        <v>253</v>
      </c>
      <c r="G1297" s="8">
        <v>119558</v>
      </c>
      <c r="I1297" s="16" cm="1">
        <f t="array" ref="I1297">_xlfn.IFS(B1297=2015,G1297/$H$1957,B1297=2016,G1297/$H$1958,B1297=2017,G1297/$H$1959,B1297=2018,G1297/$H$1960,B1297=2019,G1297/$H$1961,B1297=2020,G1297/$H$1962,B1297=2021,G1297/$H$1963,B1297=2022,G1297/$H$1964,B1297=2023,G1297/$H$1965)</f>
        <v>1.2850121433153133E-4</v>
      </c>
      <c r="J1297" s="10" cm="1">
        <f t="array" ref="J1297">_xlfn.IFS(B1297=2015,I1297*$G$2,B1297=2016,I1297*$G$3,B1297=2017,I1297*$G$4,B1297=2018,I1297*$G$5,B1297=2019,I1297*$G$6,B1297=2020,I1297*$G$7,B1297=2021,I1297*$G$8,B1297=2022,I1297*$G$9,B1297=2023,I1297*$G$10)</f>
        <v>21791.961829700842</v>
      </c>
      <c r="K1297" s="8">
        <f t="shared" si="20"/>
        <v>141349.96182970086</v>
      </c>
      <c r="L1297">
        <f>IFERROR(VLOOKUP(F1297,'LEAID Match'!$A$2:$B$240,2,FALSE),"")</f>
        <v>0</v>
      </c>
    </row>
    <row r="1298" spans="1:12" x14ac:dyDescent="0.2">
      <c r="A1298">
        <v>0</v>
      </c>
      <c r="B1298">
        <v>2023</v>
      </c>
      <c r="C1298" s="4" t="s">
        <v>294</v>
      </c>
      <c r="D1298" s="4" t="s">
        <v>576</v>
      </c>
      <c r="E1298" s="4" t="s">
        <v>578</v>
      </c>
      <c r="F1298" s="4" t="s">
        <v>253</v>
      </c>
      <c r="G1298" s="8">
        <v>111930</v>
      </c>
      <c r="I1298" s="16" cm="1">
        <f t="array" ref="I1298">_xlfn.IFS(B1298=2015,G1298/$H$1957,B1298=2016,G1298/$H$1958,B1298=2017,G1298/$H$1959,B1298=2018,G1298/$H$1960,B1298=2019,G1298/$H$1961,B1298=2020,G1298/$H$1962,B1298=2021,G1298/$H$1963,B1298=2022,G1298/$H$1964,B1298=2023,G1298/$H$1965)</f>
        <v>1.1332795988232745E-4</v>
      </c>
      <c r="J1298" s="10" cm="1">
        <f t="array" ref="J1298">_xlfn.IFS(B1298=2015,I1298*$G$2,B1298=2016,I1298*$G$3,B1298=2017,I1298*$G$4,B1298=2018,I1298*$G$5,B1298=2019,I1298*$G$6,B1298=2020,I1298*$G$7,B1298=2021,I1298*$G$8,B1298=2022,I1298*$G$9,B1298=2023,I1298*$G$10)</f>
        <v>19264.089412216636</v>
      </c>
      <c r="K1298" s="8">
        <f t="shared" si="20"/>
        <v>131194.08941221662</v>
      </c>
      <c r="L1298">
        <f>IFERROR(VLOOKUP(F1298,'LEAID Match'!$A$2:$B$240,2,FALSE),"")</f>
        <v>0</v>
      </c>
    </row>
    <row r="1299" spans="1:12" x14ac:dyDescent="0.2">
      <c r="A1299">
        <v>0</v>
      </c>
      <c r="B1299">
        <v>2015</v>
      </c>
      <c r="C1299" s="4" t="s">
        <v>295</v>
      </c>
      <c r="D1299" s="4" t="s">
        <v>576</v>
      </c>
      <c r="E1299" s="4" t="s">
        <v>578</v>
      </c>
      <c r="F1299" s="4" t="s">
        <v>254</v>
      </c>
      <c r="G1299" s="8">
        <v>948104</v>
      </c>
      <c r="I1299" s="16" cm="1">
        <f t="array" ref="I1299">_xlfn.IFS(B1299=2015,G1299/$H$1957,B1299=2016,G1299/$H$1958,B1299=2017,G1299/$H$1959,B1299=2018,G1299/$H$1960,B1299=2019,G1299/$H$1961,B1299=2020,G1299/$H$1962,B1299=2021,G1299/$H$1963,B1299=2022,G1299/$H$1964,B1299=2023,G1299/$H$1965)</f>
        <v>7.3218136342673515E-4</v>
      </c>
      <c r="J1299" s="10" cm="1">
        <f t="array" ref="J1299">_xlfn.IFS(B1299=2015,I1299*$G$2,B1299=2016,I1299*$G$3,B1299=2017,I1299*$G$4,B1299=2018,I1299*$G$5,B1299=2019,I1299*$G$6,B1299=2020,I1299*$G$7,B1299=2021,I1299*$G$8,B1299=2022,I1299*$G$9,B1299=2023,I1299*$G$10)</f>
        <v>182051.45956943426</v>
      </c>
      <c r="K1299" s="8">
        <f t="shared" si="20"/>
        <v>1130155.4595694342</v>
      </c>
      <c r="L1299">
        <f>IFERROR(VLOOKUP(F1299,'LEAID Match'!$A$2:$B$240,2,FALSE),"")</f>
        <v>0</v>
      </c>
    </row>
    <row r="1300" spans="1:12" x14ac:dyDescent="0.2">
      <c r="A1300">
        <v>0</v>
      </c>
      <c r="B1300">
        <v>2016</v>
      </c>
      <c r="C1300" s="4" t="s">
        <v>295</v>
      </c>
      <c r="D1300" s="4" t="s">
        <v>576</v>
      </c>
      <c r="E1300" s="4" t="s">
        <v>578</v>
      </c>
      <c r="F1300" s="4" t="s">
        <v>254</v>
      </c>
      <c r="G1300" s="8">
        <v>1005576</v>
      </c>
      <c r="I1300" s="16" cm="1">
        <f t="array" ref="I1300">_xlfn.IFS(B1300=2015,G1300/$H$1957,B1300=2016,G1300/$H$1958,B1300=2017,G1300/$H$1959,B1300=2018,G1300/$H$1960,B1300=2019,G1300/$H$1961,B1300=2020,G1300/$H$1962,B1300=2021,G1300/$H$1963,B1300=2022,G1300/$H$1964,B1300=2023,G1300/$H$1965)</f>
        <v>7.0591392210971602E-4</v>
      </c>
      <c r="J1300" s="10" cm="1">
        <f t="array" ref="J1300">_xlfn.IFS(B1300=2015,I1300*$G$2,B1300=2016,I1300*$G$3,B1300=2017,I1300*$G$4,B1300=2018,I1300*$G$5,B1300=2019,I1300*$G$6,B1300=2020,I1300*$G$7,B1300=2021,I1300*$G$8,B1300=2022,I1300*$G$9,B1300=2023,I1300*$G$10)</f>
        <v>191446.02989103508</v>
      </c>
      <c r="K1300" s="8">
        <f t="shared" si="20"/>
        <v>1197022.0298910351</v>
      </c>
      <c r="L1300">
        <f>IFERROR(VLOOKUP(F1300,'LEAID Match'!$A$2:$B$240,2,FALSE),"")</f>
        <v>0</v>
      </c>
    </row>
    <row r="1301" spans="1:12" x14ac:dyDescent="0.2">
      <c r="A1301">
        <v>0</v>
      </c>
      <c r="B1301">
        <v>2017</v>
      </c>
      <c r="C1301" s="4" t="s">
        <v>295</v>
      </c>
      <c r="D1301" s="4" t="s">
        <v>576</v>
      </c>
      <c r="E1301" s="4" t="s">
        <v>578</v>
      </c>
      <c r="F1301" s="4" t="s">
        <v>254</v>
      </c>
      <c r="G1301" s="8">
        <v>519779</v>
      </c>
      <c r="I1301" s="16" cm="1">
        <f t="array" ref="I1301">_xlfn.IFS(B1301=2015,G1301/$H$1957,B1301=2016,G1301/$H$1958,B1301=2017,G1301/$H$1959,B1301=2018,G1301/$H$1960,B1301=2019,G1301/$H$1961,B1301=2020,G1301/$H$1962,B1301=2021,G1301/$H$1963,B1301=2022,G1301/$H$1964,B1301=2023,G1301/$H$1965)</f>
        <v>6.9349579875466227E-4</v>
      </c>
      <c r="J1301" s="10" cm="1">
        <f t="array" ref="J1301">_xlfn.IFS(B1301=2015,I1301*$G$2,B1301=2016,I1301*$G$3,B1301=2017,I1301*$G$4,B1301=2018,I1301*$G$5,B1301=2019,I1301*$G$6,B1301=2020,I1301*$G$7,B1301=2021,I1301*$G$8,B1301=2022,I1301*$G$9,B1301=2023,I1301*$G$10)</f>
        <v>102697.42593641678</v>
      </c>
      <c r="K1301" s="8">
        <f t="shared" si="20"/>
        <v>622476.42593641672</v>
      </c>
      <c r="L1301">
        <f>IFERROR(VLOOKUP(F1301,'LEAID Match'!$A$2:$B$240,2,FALSE),"")</f>
        <v>0</v>
      </c>
    </row>
    <row r="1302" spans="1:12" x14ac:dyDescent="0.2">
      <c r="A1302">
        <v>0</v>
      </c>
      <c r="B1302">
        <v>2018</v>
      </c>
      <c r="C1302" s="4" t="s">
        <v>295</v>
      </c>
      <c r="D1302" s="4" t="s">
        <v>576</v>
      </c>
      <c r="E1302" s="4" t="s">
        <v>578</v>
      </c>
      <c r="F1302" s="4" t="s">
        <v>254</v>
      </c>
      <c r="G1302" s="8">
        <v>506924</v>
      </c>
      <c r="I1302" s="16" cm="1">
        <f t="array" ref="I1302">_xlfn.IFS(B1302=2015,G1302/$H$1957,B1302=2016,G1302/$H$1958,B1302=2017,G1302/$H$1959,B1302=2018,G1302/$H$1960,B1302=2019,G1302/$H$1961,B1302=2020,G1302/$H$1962,B1302=2021,G1302/$H$1963,B1302=2022,G1302/$H$1964,B1302=2023,G1302/$H$1965)</f>
        <v>6.5226440682980352E-4</v>
      </c>
      <c r="J1302" s="10" cm="1">
        <f t="array" ref="J1302">_xlfn.IFS(B1302=2015,I1302*$G$2,B1302=2016,I1302*$G$3,B1302=2017,I1302*$G$4,B1302=2018,I1302*$G$5,B1302=2019,I1302*$G$6,B1302=2020,I1302*$G$7,B1302=2021,I1302*$G$8,B1302=2022,I1302*$G$9,B1302=2023,I1302*$G$10)</f>
        <v>98181.398001554422</v>
      </c>
      <c r="K1302" s="8">
        <f t="shared" si="20"/>
        <v>605105.39800155442</v>
      </c>
      <c r="L1302">
        <f>IFERROR(VLOOKUP(F1302,'LEAID Match'!$A$2:$B$240,2,FALSE),"")</f>
        <v>0</v>
      </c>
    </row>
    <row r="1303" spans="1:12" x14ac:dyDescent="0.2">
      <c r="A1303">
        <v>0</v>
      </c>
      <c r="B1303">
        <v>2019</v>
      </c>
      <c r="C1303" s="4" t="s">
        <v>295</v>
      </c>
      <c r="D1303" s="4" t="s">
        <v>576</v>
      </c>
      <c r="E1303" s="4" t="s">
        <v>578</v>
      </c>
      <c r="F1303" s="4" t="s">
        <v>254</v>
      </c>
      <c r="G1303" s="8">
        <v>535564</v>
      </c>
      <c r="I1303" s="16" cm="1">
        <f t="array" ref="I1303">_xlfn.IFS(B1303=2015,G1303/$H$1957,B1303=2016,G1303/$H$1958,B1303=2017,G1303/$H$1959,B1303=2018,G1303/$H$1960,B1303=2019,G1303/$H$1961,B1303=2020,G1303/$H$1962,B1303=2021,G1303/$H$1963,B1303=2022,G1303/$H$1964,B1303=2023,G1303/$H$1965)</f>
        <v>6.6559714569577562E-4</v>
      </c>
      <c r="J1303" s="10" cm="1">
        <f t="array" ref="J1303">_xlfn.IFS(B1303=2015,I1303*$G$2,B1303=2016,I1303*$G$3,B1303=2017,I1303*$G$4,B1303=2018,I1303*$G$5,B1303=2019,I1303*$G$6,B1303=2020,I1303*$G$7,B1303=2021,I1303*$G$8,B1303=2022,I1303*$G$9,B1303=2023,I1303*$G$10)</f>
        <v>105183.06694286381</v>
      </c>
      <c r="K1303" s="8">
        <f t="shared" si="20"/>
        <v>640747.06694286386</v>
      </c>
      <c r="L1303">
        <f>IFERROR(VLOOKUP(F1303,'LEAID Match'!$A$2:$B$240,2,FALSE),"")</f>
        <v>0</v>
      </c>
    </row>
    <row r="1304" spans="1:12" x14ac:dyDescent="0.2">
      <c r="A1304">
        <v>0</v>
      </c>
      <c r="B1304">
        <v>2020</v>
      </c>
      <c r="C1304" s="4" t="s">
        <v>295</v>
      </c>
      <c r="D1304" s="4" t="s">
        <v>576</v>
      </c>
      <c r="E1304" s="4" t="s">
        <v>578</v>
      </c>
      <c r="F1304" s="4" t="s">
        <v>254</v>
      </c>
      <c r="G1304" s="8">
        <v>569589</v>
      </c>
      <c r="I1304" s="16" cm="1">
        <f t="array" ref="I1304">_xlfn.IFS(B1304=2015,G1304/$H$1957,B1304=2016,G1304/$H$1958,B1304=2017,G1304/$H$1959,B1304=2018,G1304/$H$1960,B1304=2019,G1304/$H$1961,B1304=2020,G1304/$H$1962,B1304=2021,G1304/$H$1963,B1304=2022,G1304/$H$1964,B1304=2023,G1304/$H$1965)</f>
        <v>6.5512040733164793E-4</v>
      </c>
      <c r="J1304" s="10" cm="1">
        <f t="array" ref="J1304">_xlfn.IFS(B1304=2015,I1304*$G$2,B1304=2016,I1304*$G$3,B1304=2017,I1304*$G$4,B1304=2018,I1304*$G$5,B1304=2019,I1304*$G$6,B1304=2020,I1304*$G$7,B1304=2021,I1304*$G$8,B1304=2022,I1304*$G$9,B1304=2023,I1304*$G$10)</f>
        <v>113128.74297689511</v>
      </c>
      <c r="K1304" s="8">
        <f t="shared" si="20"/>
        <v>682717.74297689507</v>
      </c>
      <c r="L1304">
        <f>IFERROR(VLOOKUP(F1304,'LEAID Match'!$A$2:$B$240,2,FALSE),"")</f>
        <v>0</v>
      </c>
    </row>
    <row r="1305" spans="1:12" x14ac:dyDescent="0.2">
      <c r="A1305">
        <v>0</v>
      </c>
      <c r="B1305">
        <v>2021</v>
      </c>
      <c r="C1305" s="4" t="s">
        <v>295</v>
      </c>
      <c r="D1305" s="4" t="s">
        <v>576</v>
      </c>
      <c r="E1305" s="4" t="s">
        <v>578</v>
      </c>
      <c r="F1305" s="4" t="s">
        <v>254</v>
      </c>
      <c r="G1305" s="8">
        <v>570218</v>
      </c>
      <c r="I1305" s="16" cm="1">
        <f t="array" ref="I1305">_xlfn.IFS(B1305=2015,G1305/$H$1957,B1305=2016,G1305/$H$1958,B1305=2017,G1305/$H$1959,B1305=2018,G1305/$H$1960,B1305=2019,G1305/$H$1961,B1305=2020,G1305/$H$1962,B1305=2021,G1305/$H$1963,B1305=2022,G1305/$H$1964,B1305=2023,G1305/$H$1965)</f>
        <v>6.5164221728612032E-4</v>
      </c>
      <c r="J1305" s="10" cm="1">
        <f t="array" ref="J1305">_xlfn.IFS(B1305=2015,I1305*$G$2,B1305=2016,I1305*$G$3,B1305=2017,I1305*$G$4,B1305=2018,I1305*$G$5,B1305=2019,I1305*$G$6,B1305=2020,I1305*$G$7,B1305=2021,I1305*$G$8,B1305=2022,I1305*$G$9,B1305=2023,I1305*$G$10)</f>
        <v>111832.77553466847</v>
      </c>
      <c r="K1305" s="8">
        <f t="shared" si="20"/>
        <v>682050.77553466847</v>
      </c>
      <c r="L1305">
        <f>IFERROR(VLOOKUP(F1305,'LEAID Match'!$A$2:$B$240,2,FALSE),"")</f>
        <v>0</v>
      </c>
    </row>
    <row r="1306" spans="1:12" x14ac:dyDescent="0.2">
      <c r="A1306">
        <v>0</v>
      </c>
      <c r="B1306">
        <v>2022</v>
      </c>
      <c r="C1306" s="4" t="s">
        <v>295</v>
      </c>
      <c r="D1306" s="4" t="s">
        <v>576</v>
      </c>
      <c r="E1306" s="4" t="s">
        <v>578</v>
      </c>
      <c r="F1306" s="4" t="s">
        <v>254</v>
      </c>
      <c r="G1306" s="8">
        <v>624945</v>
      </c>
      <c r="I1306" s="16" cm="1">
        <f t="array" ref="I1306">_xlfn.IFS(B1306=2015,G1306/$H$1957,B1306=2016,G1306/$H$1958,B1306=2017,G1306/$H$1959,B1306=2018,G1306/$H$1960,B1306=2019,G1306/$H$1961,B1306=2020,G1306/$H$1962,B1306=2021,G1306/$H$1963,B1306=2022,G1306/$H$1964,B1306=2023,G1306/$H$1965)</f>
        <v>6.7169232832950409E-4</v>
      </c>
      <c r="J1306" s="10" cm="1">
        <f t="array" ref="J1306">_xlfn.IFS(B1306=2015,I1306*$G$2,B1306=2016,I1306*$G$3,B1306=2017,I1306*$G$4,B1306=2018,I1306*$G$5,B1306=2019,I1306*$G$6,B1306=2020,I1306*$G$7,B1306=2021,I1306*$G$8,B1306=2022,I1306*$G$9,B1306=2023,I1306*$G$10)</f>
        <v>113909.37942808004</v>
      </c>
      <c r="K1306" s="8">
        <f t="shared" si="20"/>
        <v>738854.37942808005</v>
      </c>
      <c r="L1306">
        <f>IFERROR(VLOOKUP(F1306,'LEAID Match'!$A$2:$B$240,2,FALSE),"")</f>
        <v>0</v>
      </c>
    </row>
    <row r="1307" spans="1:12" x14ac:dyDescent="0.2">
      <c r="A1307">
        <v>0</v>
      </c>
      <c r="B1307">
        <v>2023</v>
      </c>
      <c r="C1307" s="4" t="s">
        <v>295</v>
      </c>
      <c r="D1307" s="4" t="s">
        <v>576</v>
      </c>
      <c r="E1307" s="4" t="s">
        <v>578</v>
      </c>
      <c r="F1307" s="4" t="s">
        <v>254</v>
      </c>
      <c r="G1307" s="8">
        <v>702570</v>
      </c>
      <c r="I1307" s="16" cm="1">
        <f t="array" ref="I1307">_xlfn.IFS(B1307=2015,G1307/$H$1957,B1307=2016,G1307/$H$1958,B1307=2017,G1307/$H$1959,B1307=2018,G1307/$H$1960,B1307=2019,G1307/$H$1961,B1307=2020,G1307/$H$1962,B1307=2021,G1307/$H$1963,B1307=2022,G1307/$H$1964,B1307=2023,G1307/$H$1965)</f>
        <v>7.1134481170844984E-4</v>
      </c>
      <c r="J1307" s="10" cm="1">
        <f t="array" ref="J1307">_xlfn.IFS(B1307=2015,I1307*$G$2,B1307=2016,I1307*$G$3,B1307=2017,I1307*$G$4,B1307=2018,I1307*$G$5,B1307=2019,I1307*$G$6,B1307=2020,I1307*$G$7,B1307=2021,I1307*$G$8,B1307=2022,I1307*$G$9,B1307=2023,I1307*$G$10)</f>
        <v>120918.17473725579</v>
      </c>
      <c r="K1307" s="8">
        <f t="shared" si="20"/>
        <v>823488.17473725579</v>
      </c>
      <c r="L1307">
        <f>IFERROR(VLOOKUP(F1307,'LEAID Match'!$A$2:$B$240,2,FALSE),"")</f>
        <v>0</v>
      </c>
    </row>
    <row r="1308" spans="1:12" x14ac:dyDescent="0.2">
      <c r="A1308">
        <v>0</v>
      </c>
      <c r="B1308">
        <v>2015</v>
      </c>
      <c r="C1308" s="4" t="s">
        <v>296</v>
      </c>
      <c r="D1308" s="4" t="s">
        <v>576</v>
      </c>
      <c r="E1308" s="4" t="s">
        <v>578</v>
      </c>
      <c r="F1308" s="4" t="s">
        <v>255</v>
      </c>
      <c r="G1308" s="8">
        <v>270883</v>
      </c>
      <c r="I1308" s="16" cm="1">
        <f t="array" ref="I1308">_xlfn.IFS(B1308=2015,G1308/$H$1957,B1308=2016,G1308/$H$1958,B1308=2017,G1308/$H$1959,B1308=2018,G1308/$H$1960,B1308=2019,G1308/$H$1961,B1308=2020,G1308/$H$1962,B1308=2021,G1308/$H$1963,B1308=2022,G1308/$H$1964,B1308=2023,G1308/$H$1965)</f>
        <v>2.0919169655346279E-4</v>
      </c>
      <c r="J1308" s="10" cm="1">
        <f t="array" ref="J1308">_xlfn.IFS(B1308=2015,I1308*$G$2,B1308=2016,I1308*$G$3,B1308=2017,I1308*$G$4,B1308=2018,I1308*$G$5,B1308=2019,I1308*$G$6,B1308=2020,I1308*$G$7,B1308=2021,I1308*$G$8,B1308=2022,I1308*$G$9,B1308=2023,I1308*$G$10)</f>
        <v>52013.962099671611</v>
      </c>
      <c r="K1308" s="8">
        <f t="shared" si="20"/>
        <v>322896.9620996716</v>
      </c>
      <c r="L1308">
        <f>IFERROR(VLOOKUP(F1308,'LEAID Match'!$A$2:$B$240,2,FALSE),"")</f>
        <v>0</v>
      </c>
    </row>
    <row r="1309" spans="1:12" x14ac:dyDescent="0.2">
      <c r="A1309">
        <v>0</v>
      </c>
      <c r="B1309">
        <v>2016</v>
      </c>
      <c r="C1309" s="4" t="s">
        <v>296</v>
      </c>
      <c r="D1309" s="4" t="s">
        <v>576</v>
      </c>
      <c r="E1309" s="4" t="s">
        <v>578</v>
      </c>
      <c r="F1309" s="4" t="s">
        <v>255</v>
      </c>
      <c r="G1309" s="8">
        <v>272583</v>
      </c>
      <c r="I1309" s="16" cm="1">
        <f t="array" ref="I1309">_xlfn.IFS(B1309=2015,G1309/$H$1957,B1309=2016,G1309/$H$1958,B1309=2017,G1309/$H$1959,B1309=2018,G1309/$H$1960,B1309=2019,G1309/$H$1961,B1309=2020,G1309/$H$1962,B1309=2021,G1309/$H$1963,B1309=2022,G1309/$H$1964,B1309=2023,G1309/$H$1965)</f>
        <v>1.9135314946899361E-4</v>
      </c>
      <c r="J1309" s="10" cm="1">
        <f t="array" ref="J1309">_xlfn.IFS(B1309=2015,I1309*$G$2,B1309=2016,I1309*$G$3,B1309=2017,I1309*$G$4,B1309=2018,I1309*$G$5,B1309=2019,I1309*$G$6,B1309=2020,I1309*$G$7,B1309=2021,I1309*$G$8,B1309=2022,I1309*$G$9,B1309=2023,I1309*$G$10)</f>
        <v>51895.563503691432</v>
      </c>
      <c r="K1309" s="8">
        <f t="shared" si="20"/>
        <v>324478.56350369146</v>
      </c>
      <c r="L1309">
        <f>IFERROR(VLOOKUP(F1309,'LEAID Match'!$A$2:$B$240,2,FALSE),"")</f>
        <v>0</v>
      </c>
    </row>
    <row r="1310" spans="1:12" x14ac:dyDescent="0.2">
      <c r="A1310">
        <v>0</v>
      </c>
      <c r="B1310">
        <v>2017</v>
      </c>
      <c r="C1310" s="4" t="s">
        <v>296</v>
      </c>
      <c r="D1310" s="4" t="s">
        <v>576</v>
      </c>
      <c r="E1310" s="4" t="s">
        <v>578</v>
      </c>
      <c r="F1310" s="4" t="s">
        <v>255</v>
      </c>
      <c r="G1310" s="8">
        <v>151846</v>
      </c>
      <c r="I1310" s="16" cm="1">
        <f t="array" ref="I1310">_xlfn.IFS(B1310=2015,G1310/$H$1957,B1310=2016,G1310/$H$1958,B1310=2017,G1310/$H$1959,B1310=2018,G1310/$H$1960,B1310=2019,G1310/$H$1961,B1310=2020,G1310/$H$1962,B1310=2021,G1310/$H$1963,B1310=2022,G1310/$H$1964,B1310=2023,G1310/$H$1965)</f>
        <v>2.025948779340844E-4</v>
      </c>
      <c r="J1310" s="10" cm="1">
        <f t="array" ref="J1310">_xlfn.IFS(B1310=2015,I1310*$G$2,B1310=2016,I1310*$G$3,B1310=2017,I1310*$G$4,B1310=2018,I1310*$G$5,B1310=2019,I1310*$G$6,B1310=2020,I1310*$G$7,B1310=2021,I1310*$G$8,B1310=2022,I1310*$G$9,B1310=2023,I1310*$G$10)</f>
        <v>30001.584016940171</v>
      </c>
      <c r="K1310" s="8">
        <f t="shared" si="20"/>
        <v>181847.58401694018</v>
      </c>
      <c r="L1310">
        <f>IFERROR(VLOOKUP(F1310,'LEAID Match'!$A$2:$B$240,2,FALSE),"")</f>
        <v>0</v>
      </c>
    </row>
    <row r="1311" spans="1:12" x14ac:dyDescent="0.2">
      <c r="A1311">
        <v>0</v>
      </c>
      <c r="B1311">
        <v>2018</v>
      </c>
      <c r="C1311" s="4" t="s">
        <v>296</v>
      </c>
      <c r="D1311" s="4" t="s">
        <v>576</v>
      </c>
      <c r="E1311" s="4" t="s">
        <v>578</v>
      </c>
      <c r="F1311" s="4" t="s">
        <v>255</v>
      </c>
      <c r="G1311" s="8">
        <v>150356</v>
      </c>
      <c r="I1311" s="16" cm="1">
        <f t="array" ref="I1311">_xlfn.IFS(B1311=2015,G1311/$H$1957,B1311=2016,G1311/$H$1958,B1311=2017,G1311/$H$1959,B1311=2018,G1311/$H$1960,B1311=2019,G1311/$H$1961,B1311=2020,G1311/$H$1962,B1311=2021,G1311/$H$1963,B1311=2022,G1311/$H$1964,B1311=2023,G1311/$H$1965)</f>
        <v>1.9346463602690331E-4</v>
      </c>
      <c r="J1311" s="10" cm="1">
        <f t="array" ref="J1311">_xlfn.IFS(B1311=2015,I1311*$G$2,B1311=2016,I1311*$G$3,B1311=2017,I1311*$G$4,B1311=2018,I1311*$G$5,B1311=2019,I1311*$G$6,B1311=2020,I1311*$G$7,B1311=2021,I1311*$G$8,B1311=2022,I1311*$G$9,B1311=2023,I1311*$G$10)</f>
        <v>29121.056170001255</v>
      </c>
      <c r="K1311" s="8">
        <f t="shared" si="20"/>
        <v>179477.05617000125</v>
      </c>
      <c r="L1311">
        <f>IFERROR(VLOOKUP(F1311,'LEAID Match'!$A$2:$B$240,2,FALSE),"")</f>
        <v>0</v>
      </c>
    </row>
    <row r="1312" spans="1:12" x14ac:dyDescent="0.2">
      <c r="A1312">
        <v>0</v>
      </c>
      <c r="B1312">
        <v>2019</v>
      </c>
      <c r="C1312" s="4" t="s">
        <v>296</v>
      </c>
      <c r="D1312" s="4" t="s">
        <v>576</v>
      </c>
      <c r="E1312" s="4" t="s">
        <v>578</v>
      </c>
      <c r="F1312" s="4" t="s">
        <v>255</v>
      </c>
      <c r="G1312" s="8">
        <v>151571</v>
      </c>
      <c r="I1312" s="16" cm="1">
        <f t="array" ref="I1312">_xlfn.IFS(B1312=2015,G1312/$H$1957,B1312=2016,G1312/$H$1958,B1312=2017,G1312/$H$1959,B1312=2018,G1312/$H$1960,B1312=2019,G1312/$H$1961,B1312=2020,G1312/$H$1962,B1312=2021,G1312/$H$1963,B1312=2022,G1312/$H$1964,B1312=2023,G1312/$H$1965)</f>
        <v>1.8837193121691229E-4</v>
      </c>
      <c r="J1312" s="10" cm="1">
        <f t="array" ref="J1312">_xlfn.IFS(B1312=2015,I1312*$G$2,B1312=2016,I1312*$G$3,B1312=2017,I1312*$G$4,B1312=2018,I1312*$G$5,B1312=2019,I1312*$G$6,B1312=2020,I1312*$G$7,B1312=2021,I1312*$G$8,B1312=2022,I1312*$G$9,B1312=2023,I1312*$G$10)</f>
        <v>29768.062527721824</v>
      </c>
      <c r="K1312" s="8">
        <f t="shared" si="20"/>
        <v>181339.06252772184</v>
      </c>
      <c r="L1312">
        <f>IFERROR(VLOOKUP(F1312,'LEAID Match'!$A$2:$B$240,2,FALSE),"")</f>
        <v>0</v>
      </c>
    </row>
    <row r="1313" spans="1:12" x14ac:dyDescent="0.2">
      <c r="A1313">
        <v>0</v>
      </c>
      <c r="B1313">
        <v>2020</v>
      </c>
      <c r="C1313" s="4" t="s">
        <v>296</v>
      </c>
      <c r="D1313" s="4" t="s">
        <v>576</v>
      </c>
      <c r="E1313" s="4" t="s">
        <v>578</v>
      </c>
      <c r="F1313" s="4" t="s">
        <v>255</v>
      </c>
      <c r="G1313" s="8">
        <v>166857</v>
      </c>
      <c r="I1313" s="16" cm="1">
        <f t="array" ref="I1313">_xlfn.IFS(B1313=2015,G1313/$H$1957,B1313=2016,G1313/$H$1958,B1313=2017,G1313/$H$1959,B1313=2018,G1313/$H$1960,B1313=2019,G1313/$H$1961,B1313=2020,G1313/$H$1962,B1313=2021,G1313/$H$1963,B1313=2022,G1313/$H$1964,B1313=2023,G1313/$H$1965)</f>
        <v>1.9191281047586378E-4</v>
      </c>
      <c r="J1313" s="10" cm="1">
        <f t="array" ref="J1313">_xlfn.IFS(B1313=2015,I1313*$G$2,B1313=2016,I1313*$G$3,B1313=2017,I1313*$G$4,B1313=2018,I1313*$G$5,B1313=2019,I1313*$G$6,B1313=2020,I1313*$G$7,B1313=2021,I1313*$G$8,B1313=2022,I1313*$G$9,B1313=2023,I1313*$G$10)</f>
        <v>33140.251421456152</v>
      </c>
      <c r="K1313" s="8">
        <f t="shared" si="20"/>
        <v>199997.25142145617</v>
      </c>
      <c r="L1313">
        <f>IFERROR(VLOOKUP(F1313,'LEAID Match'!$A$2:$B$240,2,FALSE),"")</f>
        <v>0</v>
      </c>
    </row>
    <row r="1314" spans="1:12" x14ac:dyDescent="0.2">
      <c r="A1314">
        <v>0</v>
      </c>
      <c r="B1314">
        <v>2021</v>
      </c>
      <c r="C1314" s="4" t="s">
        <v>296</v>
      </c>
      <c r="D1314" s="4" t="s">
        <v>576</v>
      </c>
      <c r="E1314" s="4" t="s">
        <v>578</v>
      </c>
      <c r="F1314" s="4" t="s">
        <v>255</v>
      </c>
      <c r="G1314" s="8">
        <v>182954</v>
      </c>
      <c r="I1314" s="16" cm="1">
        <f t="array" ref="I1314">_xlfn.IFS(B1314=2015,G1314/$H$1957,B1314=2016,G1314/$H$1958,B1314=2017,G1314/$H$1959,B1314=2018,G1314/$H$1960,B1314=2019,G1314/$H$1961,B1314=2020,G1314/$H$1962,B1314=2021,G1314/$H$1963,B1314=2022,G1314/$H$1964,B1314=2023,G1314/$H$1965)</f>
        <v>2.0907889652968664E-4</v>
      </c>
      <c r="J1314" s="10" cm="1">
        <f t="array" ref="J1314">_xlfn.IFS(B1314=2015,I1314*$G$2,B1314=2016,I1314*$G$3,B1314=2017,I1314*$G$4,B1314=2018,I1314*$G$5,B1314=2019,I1314*$G$6,B1314=2020,I1314*$G$7,B1314=2021,I1314*$G$8,B1314=2022,I1314*$G$9,B1314=2023,I1314*$G$10)</f>
        <v>35881.458696796202</v>
      </c>
      <c r="K1314" s="8">
        <f t="shared" si="20"/>
        <v>218835.45869679621</v>
      </c>
      <c r="L1314">
        <f>IFERROR(VLOOKUP(F1314,'LEAID Match'!$A$2:$B$240,2,FALSE),"")</f>
        <v>0</v>
      </c>
    </row>
    <row r="1315" spans="1:12" x14ac:dyDescent="0.2">
      <c r="A1315">
        <v>0</v>
      </c>
      <c r="B1315">
        <v>2022</v>
      </c>
      <c r="C1315" s="4" t="s">
        <v>296</v>
      </c>
      <c r="D1315" s="4" t="s">
        <v>576</v>
      </c>
      <c r="E1315" s="4" t="s">
        <v>578</v>
      </c>
      <c r="F1315" s="4" t="s">
        <v>255</v>
      </c>
      <c r="G1315" s="8">
        <v>216887</v>
      </c>
      <c r="I1315" s="16" cm="1">
        <f t="array" ref="I1315">_xlfn.IFS(B1315=2015,G1315/$H$1957,B1315=2016,G1315/$H$1958,B1315=2017,G1315/$H$1959,B1315=2018,G1315/$H$1960,B1315=2019,G1315/$H$1961,B1315=2020,G1315/$H$1962,B1315=2021,G1315/$H$1963,B1315=2022,G1315/$H$1964,B1315=2023,G1315/$H$1965)</f>
        <v>2.3311064816007994E-4</v>
      </c>
      <c r="J1315" s="10" cm="1">
        <f t="array" ref="J1315">_xlfn.IFS(B1315=2015,I1315*$G$2,B1315=2016,I1315*$G$3,B1315=2017,I1315*$G$4,B1315=2018,I1315*$G$5,B1315=2019,I1315*$G$6,B1315=2020,I1315*$G$7,B1315=2021,I1315*$G$8,B1315=2022,I1315*$G$9,B1315=2023,I1315*$G$10)</f>
        <v>39532.220557037814</v>
      </c>
      <c r="K1315" s="8">
        <f t="shared" si="20"/>
        <v>256419.2205570378</v>
      </c>
      <c r="L1315">
        <f>IFERROR(VLOOKUP(F1315,'LEAID Match'!$A$2:$B$240,2,FALSE),"")</f>
        <v>0</v>
      </c>
    </row>
    <row r="1316" spans="1:12" x14ac:dyDescent="0.2">
      <c r="A1316">
        <v>0</v>
      </c>
      <c r="B1316">
        <v>2023</v>
      </c>
      <c r="C1316" s="4" t="s">
        <v>296</v>
      </c>
      <c r="D1316" s="4" t="s">
        <v>576</v>
      </c>
      <c r="E1316" s="4" t="s">
        <v>578</v>
      </c>
      <c r="F1316" s="4" t="s">
        <v>255</v>
      </c>
      <c r="G1316" s="8">
        <v>251896</v>
      </c>
      <c r="I1316" s="16" cm="1">
        <f t="array" ref="I1316">_xlfn.IFS(B1316=2015,G1316/$H$1957,B1316=2016,G1316/$H$1958,B1316=2017,G1316/$H$1959,B1316=2018,G1316/$H$1960,B1316=2019,G1316/$H$1961,B1316=2020,G1316/$H$1962,B1316=2021,G1316/$H$1963,B1316=2022,G1316/$H$1964,B1316=2023,G1316/$H$1965)</f>
        <v>2.5504207792833694E-4</v>
      </c>
      <c r="J1316" s="10" cm="1">
        <f t="array" ref="J1316">_xlfn.IFS(B1316=2015,I1316*$G$2,B1316=2016,I1316*$G$3,B1316=2017,I1316*$G$4,B1316=2018,I1316*$G$5,B1316=2019,I1316*$G$6,B1316=2020,I1316*$G$7,B1316=2021,I1316*$G$8,B1316=2022,I1316*$G$9,B1316=2023,I1316*$G$10)</f>
        <v>43353.408975071216</v>
      </c>
      <c r="K1316" s="8">
        <f t="shared" si="20"/>
        <v>295249.40897507122</v>
      </c>
      <c r="L1316">
        <f>IFERROR(VLOOKUP(F1316,'LEAID Match'!$A$2:$B$240,2,FALSE),"")</f>
        <v>0</v>
      </c>
    </row>
    <row r="1317" spans="1:12" x14ac:dyDescent="0.2">
      <c r="A1317">
        <v>0</v>
      </c>
      <c r="B1317">
        <v>2015</v>
      </c>
      <c r="C1317" s="4" t="s">
        <v>297</v>
      </c>
      <c r="D1317" s="4" t="s">
        <v>576</v>
      </c>
      <c r="E1317" s="4" t="s">
        <v>578</v>
      </c>
      <c r="F1317" s="4" t="s">
        <v>256</v>
      </c>
      <c r="G1317" s="8">
        <v>157119</v>
      </c>
      <c r="I1317" s="16" cm="1">
        <f t="array" ref="I1317">_xlfn.IFS(B1317=2015,G1317/$H$1957,B1317=2016,G1317/$H$1958,B1317=2017,G1317/$H$1959,B1317=2018,G1317/$H$1960,B1317=2019,G1317/$H$1961,B1317=2020,G1317/$H$1962,B1317=2021,G1317/$H$1963,B1317=2022,G1317/$H$1964,B1317=2023,G1317/$H$1965)</f>
        <v>1.2133648169424999E-4</v>
      </c>
      <c r="J1317" s="10" cm="1">
        <f t="array" ref="J1317">_xlfn.IFS(B1317=2015,I1317*$G$2,B1317=2016,I1317*$G$3,B1317=2017,I1317*$G$4,B1317=2018,I1317*$G$5,B1317=2019,I1317*$G$6,B1317=2020,I1317*$G$7,B1317=2021,I1317*$G$8,B1317=2022,I1317*$G$9,B1317=2023,I1317*$G$10)</f>
        <v>30169.41524989868</v>
      </c>
      <c r="K1317" s="8">
        <f t="shared" si="20"/>
        <v>187288.41524989868</v>
      </c>
      <c r="L1317">
        <f>IFERROR(VLOOKUP(F1317,'LEAID Match'!$A$2:$B$240,2,FALSE),"")</f>
        <v>0</v>
      </c>
    </row>
    <row r="1318" spans="1:12" x14ac:dyDescent="0.2">
      <c r="A1318">
        <v>0</v>
      </c>
      <c r="B1318">
        <v>2016</v>
      </c>
      <c r="C1318" s="4" t="s">
        <v>297</v>
      </c>
      <c r="D1318" s="4" t="s">
        <v>576</v>
      </c>
      <c r="E1318" s="4" t="s">
        <v>578</v>
      </c>
      <c r="F1318" s="4" t="s">
        <v>256</v>
      </c>
      <c r="G1318" s="8">
        <v>166581</v>
      </c>
      <c r="I1318" s="16" cm="1">
        <f t="array" ref="I1318">_xlfn.IFS(B1318=2015,G1318/$H$1957,B1318=2016,G1318/$H$1958,B1318=2017,G1318/$H$1959,B1318=2018,G1318/$H$1960,B1318=2019,G1318/$H$1961,B1318=2020,G1318/$H$1962,B1318=2021,G1318/$H$1963,B1318=2022,G1318/$H$1964,B1318=2023,G1318/$H$1965)</f>
        <v>1.1693979078553845E-4</v>
      </c>
      <c r="J1318" s="10" cm="1">
        <f t="array" ref="J1318">_xlfn.IFS(B1318=2015,I1318*$G$2,B1318=2016,I1318*$G$3,B1318=2017,I1318*$G$4,B1318=2018,I1318*$G$5,B1318=2019,I1318*$G$6,B1318=2020,I1318*$G$7,B1318=2021,I1318*$G$8,B1318=2022,I1318*$G$9,B1318=2023,I1318*$G$10)</f>
        <v>31714.431435593648</v>
      </c>
      <c r="K1318" s="8">
        <f t="shared" si="20"/>
        <v>198295.43143559364</v>
      </c>
      <c r="L1318">
        <f>IFERROR(VLOOKUP(F1318,'LEAID Match'!$A$2:$B$240,2,FALSE),"")</f>
        <v>0</v>
      </c>
    </row>
    <row r="1319" spans="1:12" x14ac:dyDescent="0.2">
      <c r="A1319">
        <v>0</v>
      </c>
      <c r="B1319">
        <v>2017</v>
      </c>
      <c r="C1319" s="4" t="s">
        <v>297</v>
      </c>
      <c r="D1319" s="4" t="s">
        <v>576</v>
      </c>
      <c r="E1319" s="4" t="s">
        <v>578</v>
      </c>
      <c r="F1319" s="4" t="s">
        <v>256</v>
      </c>
      <c r="G1319" s="8">
        <v>75584</v>
      </c>
      <c r="I1319" s="16" cm="1">
        <f t="array" ref="I1319">_xlfn.IFS(B1319=2015,G1319/$H$1957,B1319=2016,G1319/$H$1958,B1319=2017,G1319/$H$1959,B1319=2018,G1319/$H$1960,B1319=2019,G1319/$H$1961,B1319=2020,G1319/$H$1962,B1319=2021,G1319/$H$1963,B1319=2022,G1319/$H$1964,B1319=2023,G1319/$H$1965)</f>
        <v>1.0084514082537462E-4</v>
      </c>
      <c r="J1319" s="10" cm="1">
        <f t="array" ref="J1319">_xlfn.IFS(B1319=2015,I1319*$G$2,B1319=2016,I1319*$G$3,B1319=2017,I1319*$G$4,B1319=2018,I1319*$G$5,B1319=2019,I1319*$G$6,B1319=2020,I1319*$G$7,B1319=2021,I1319*$G$8,B1319=2022,I1319*$G$9,B1319=2023,I1319*$G$10)</f>
        <v>14933.812720364091</v>
      </c>
      <c r="K1319" s="8">
        <f t="shared" si="20"/>
        <v>90517.812720364091</v>
      </c>
      <c r="L1319">
        <f>IFERROR(VLOOKUP(F1319,'LEAID Match'!$A$2:$B$240,2,FALSE),"")</f>
        <v>0</v>
      </c>
    </row>
    <row r="1320" spans="1:12" x14ac:dyDescent="0.2">
      <c r="A1320">
        <v>0</v>
      </c>
      <c r="B1320">
        <v>2018</v>
      </c>
      <c r="C1320" s="4" t="s">
        <v>297</v>
      </c>
      <c r="D1320" s="4" t="s">
        <v>576</v>
      </c>
      <c r="E1320" s="4" t="s">
        <v>578</v>
      </c>
      <c r="F1320" s="4" t="s">
        <v>256</v>
      </c>
      <c r="G1320" s="8">
        <v>72913</v>
      </c>
      <c r="I1320" s="16" cm="1">
        <f t="array" ref="I1320">_xlfn.IFS(B1320=2015,G1320/$H$1957,B1320=2016,G1320/$H$1958,B1320=2017,G1320/$H$1959,B1320=2018,G1320/$H$1960,B1320=2019,G1320/$H$1961,B1320=2020,G1320/$H$1962,B1320=2021,G1320/$H$1963,B1320=2022,G1320/$H$1964,B1320=2023,G1320/$H$1965)</f>
        <v>9.381791885012637E-5</v>
      </c>
      <c r="J1320" s="10" cm="1">
        <f t="array" ref="J1320">_xlfn.IFS(B1320=2015,I1320*$G$2,B1320=2016,I1320*$G$3,B1320=2017,I1320*$G$4,B1320=2018,I1320*$G$5,B1320=2019,I1320*$G$6,B1320=2020,I1320*$G$7,B1320=2021,I1320*$G$8,B1320=2022,I1320*$G$9,B1320=2023,I1320*$G$10)</f>
        <v>14121.841286834589</v>
      </c>
      <c r="K1320" s="8">
        <f t="shared" si="20"/>
        <v>87034.841286834591</v>
      </c>
      <c r="L1320">
        <f>IFERROR(VLOOKUP(F1320,'LEAID Match'!$A$2:$B$240,2,FALSE),"")</f>
        <v>0</v>
      </c>
    </row>
    <row r="1321" spans="1:12" x14ac:dyDescent="0.2">
      <c r="A1321">
        <v>0</v>
      </c>
      <c r="B1321">
        <v>2019</v>
      </c>
      <c r="C1321" s="4" t="s">
        <v>297</v>
      </c>
      <c r="D1321" s="4" t="s">
        <v>576</v>
      </c>
      <c r="E1321" s="4" t="s">
        <v>578</v>
      </c>
      <c r="F1321" s="4" t="s">
        <v>256</v>
      </c>
      <c r="G1321" s="8">
        <v>77210</v>
      </c>
      <c r="I1321" s="16" cm="1">
        <f t="array" ref="I1321">_xlfn.IFS(B1321=2015,G1321/$H$1957,B1321=2016,G1321/$H$1958,B1321=2017,G1321/$H$1959,B1321=2018,G1321/$H$1960,B1321=2019,G1321/$H$1961,B1321=2020,G1321/$H$1962,B1321=2021,G1321/$H$1963,B1321=2022,G1321/$H$1964,B1321=2023,G1321/$H$1965)</f>
        <v>9.5956329438070588E-5</v>
      </c>
      <c r="J1321" s="10" cm="1">
        <f t="array" ref="J1321">_xlfn.IFS(B1321=2015,I1321*$G$2,B1321=2016,I1321*$G$3,B1321=2017,I1321*$G$4,B1321=2018,I1321*$G$5,B1321=2019,I1321*$G$6,B1321=2020,I1321*$G$7,B1321=2021,I1321*$G$8,B1321=2022,I1321*$G$9,B1321=2023,I1321*$G$10)</f>
        <v>15163.798535111609</v>
      </c>
      <c r="K1321" s="8">
        <f t="shared" si="20"/>
        <v>92373.798535111608</v>
      </c>
      <c r="L1321">
        <f>IFERROR(VLOOKUP(F1321,'LEAID Match'!$A$2:$B$240,2,FALSE),"")</f>
        <v>0</v>
      </c>
    </row>
    <row r="1322" spans="1:12" x14ac:dyDescent="0.2">
      <c r="A1322">
        <v>0</v>
      </c>
      <c r="B1322">
        <v>2020</v>
      </c>
      <c r="C1322" s="4" t="s">
        <v>297</v>
      </c>
      <c r="D1322" s="4" t="s">
        <v>576</v>
      </c>
      <c r="E1322" s="4" t="s">
        <v>578</v>
      </c>
      <c r="F1322" s="4" t="s">
        <v>256</v>
      </c>
      <c r="G1322" s="8">
        <v>70177</v>
      </c>
      <c r="I1322" s="16" cm="1">
        <f t="array" ref="I1322">_xlfn.IFS(B1322=2015,G1322/$H$1957,B1322=2016,G1322/$H$1958,B1322=2017,G1322/$H$1959,B1322=2018,G1322/$H$1960,B1322=2019,G1322/$H$1961,B1322=2020,G1322/$H$1962,B1322=2021,G1322/$H$1963,B1322=2022,G1322/$H$1964,B1322=2023,G1322/$H$1965)</f>
        <v>8.0715015257164471E-5</v>
      </c>
      <c r="J1322" s="10" cm="1">
        <f t="array" ref="J1322">_xlfn.IFS(B1322=2015,I1322*$G$2,B1322=2016,I1322*$G$3,B1322=2017,I1322*$G$4,B1322=2018,I1322*$G$5,B1322=2019,I1322*$G$6,B1322=2020,I1322*$G$7,B1322=2021,I1322*$G$8,B1322=2022,I1322*$G$9,B1322=2023,I1322*$G$10)</f>
        <v>13938.183138876573</v>
      </c>
      <c r="K1322" s="8">
        <f t="shared" si="20"/>
        <v>84115.183138876571</v>
      </c>
      <c r="L1322">
        <f>IFERROR(VLOOKUP(F1322,'LEAID Match'!$A$2:$B$240,2,FALSE),"")</f>
        <v>0</v>
      </c>
    </row>
    <row r="1323" spans="1:12" x14ac:dyDescent="0.2">
      <c r="A1323">
        <v>0</v>
      </c>
      <c r="B1323">
        <v>2021</v>
      </c>
      <c r="C1323" s="4" t="s">
        <v>297</v>
      </c>
      <c r="D1323" s="4" t="s">
        <v>576</v>
      </c>
      <c r="E1323" s="4" t="s">
        <v>578</v>
      </c>
      <c r="F1323" s="4" t="s">
        <v>256</v>
      </c>
      <c r="G1323" s="8">
        <v>79978</v>
      </c>
      <c r="I1323" s="16" cm="1">
        <f t="array" ref="I1323">_xlfn.IFS(B1323=2015,G1323/$H$1957,B1323=2016,G1323/$H$1958,B1323=2017,G1323/$H$1959,B1323=2018,G1323/$H$1960,B1323=2019,G1323/$H$1961,B1323=2020,G1323/$H$1962,B1323=2021,G1323/$H$1963,B1323=2022,G1323/$H$1964,B1323=2023,G1323/$H$1965)</f>
        <v>9.1398449810615114E-5</v>
      </c>
      <c r="J1323" s="10" cm="1">
        <f t="array" ref="J1323">_xlfn.IFS(B1323=2015,I1323*$G$2,B1323=2016,I1323*$G$3,B1323=2017,I1323*$G$4,B1323=2018,I1323*$G$5,B1323=2019,I1323*$G$6,B1323=2020,I1323*$G$7,B1323=2021,I1323*$G$8,B1323=2022,I1323*$G$9,B1323=2023,I1323*$G$10)</f>
        <v>15685.512771802565</v>
      </c>
      <c r="K1323" s="8">
        <f t="shared" si="20"/>
        <v>95663.512771802561</v>
      </c>
      <c r="L1323">
        <f>IFERROR(VLOOKUP(F1323,'LEAID Match'!$A$2:$B$240,2,FALSE),"")</f>
        <v>0</v>
      </c>
    </row>
    <row r="1324" spans="1:12" x14ac:dyDescent="0.2">
      <c r="A1324">
        <v>0</v>
      </c>
      <c r="B1324">
        <v>2022</v>
      </c>
      <c r="C1324" s="4" t="s">
        <v>297</v>
      </c>
      <c r="D1324" s="4" t="s">
        <v>576</v>
      </c>
      <c r="E1324" s="4" t="s">
        <v>578</v>
      </c>
      <c r="F1324" s="4" t="s">
        <v>256</v>
      </c>
      <c r="G1324" s="8">
        <v>78075</v>
      </c>
      <c r="I1324" s="16" cm="1">
        <f t="array" ref="I1324">_xlfn.IFS(B1324=2015,G1324/$H$1957,B1324=2016,G1324/$H$1958,B1324=2017,G1324/$H$1959,B1324=2018,G1324/$H$1960,B1324=2019,G1324/$H$1961,B1324=2020,G1324/$H$1962,B1324=2021,G1324/$H$1963,B1324=2022,G1324/$H$1964,B1324=2023,G1324/$H$1965)</f>
        <v>8.3915190191658523E-5</v>
      </c>
      <c r="J1324" s="10" cm="1">
        <f t="array" ref="J1324">_xlfn.IFS(B1324=2015,I1324*$G$2,B1324=2016,I1324*$G$3,B1324=2017,I1324*$G$4,B1324=2018,I1324*$G$5,B1324=2019,I1324*$G$6,B1324=2020,I1324*$G$7,B1324=2021,I1324*$G$8,B1324=2022,I1324*$G$9,B1324=2023,I1324*$G$10)</f>
        <v>14230.811989610846</v>
      </c>
      <c r="K1324" s="8">
        <f t="shared" si="20"/>
        <v>92305.81198961084</v>
      </c>
      <c r="L1324">
        <f>IFERROR(VLOOKUP(F1324,'LEAID Match'!$A$2:$B$240,2,FALSE),"")</f>
        <v>0</v>
      </c>
    </row>
    <row r="1325" spans="1:12" x14ac:dyDescent="0.2">
      <c r="A1325">
        <v>0</v>
      </c>
      <c r="B1325">
        <v>2023</v>
      </c>
      <c r="C1325" s="4" t="s">
        <v>297</v>
      </c>
      <c r="D1325" s="4" t="s">
        <v>576</v>
      </c>
      <c r="E1325" s="4" t="s">
        <v>578</v>
      </c>
      <c r="F1325" s="4" t="s">
        <v>256</v>
      </c>
      <c r="G1325" s="8">
        <v>99784</v>
      </c>
      <c r="I1325" s="16" cm="1">
        <f t="array" ref="I1325">_xlfn.IFS(B1325=2015,G1325/$H$1957,B1325=2016,G1325/$H$1958,B1325=2017,G1325/$H$1959,B1325=2018,G1325/$H$1960,B1325=2019,G1325/$H$1961,B1325=2020,G1325/$H$1962,B1325=2021,G1325/$H$1963,B1325=2022,G1325/$H$1964,B1325=2023,G1325/$H$1965)</f>
        <v>1.0103026131419782E-4</v>
      </c>
      <c r="J1325" s="10" cm="1">
        <f t="array" ref="J1325">_xlfn.IFS(B1325=2015,I1325*$G$2,B1325=2016,I1325*$G$3,B1325=2017,I1325*$G$4,B1325=2018,I1325*$G$5,B1325=2019,I1325*$G$6,B1325=2020,I1325*$G$7,B1325=2021,I1325*$G$8,B1325=2022,I1325*$G$9,B1325=2023,I1325*$G$10)</f>
        <v>17173.661198147274</v>
      </c>
      <c r="K1325" s="8">
        <f t="shared" si="20"/>
        <v>116957.66119814728</v>
      </c>
      <c r="L1325">
        <f>IFERROR(VLOOKUP(F1325,'LEAID Match'!$A$2:$B$240,2,FALSE),"")</f>
        <v>0</v>
      </c>
    </row>
    <row r="1326" spans="1:12" x14ac:dyDescent="0.2">
      <c r="A1326">
        <v>0</v>
      </c>
      <c r="B1326">
        <v>2015</v>
      </c>
      <c r="C1326" s="4" t="s">
        <v>298</v>
      </c>
      <c r="D1326" s="4" t="s">
        <v>576</v>
      </c>
      <c r="E1326" s="4" t="s">
        <v>578</v>
      </c>
      <c r="F1326" s="4" t="s">
        <v>257</v>
      </c>
      <c r="G1326" s="8">
        <v>2638519</v>
      </c>
      <c r="I1326" s="16" cm="1">
        <f t="array" ref="I1326">_xlfn.IFS(B1326=2015,G1326/$H$1957,B1326=2016,G1326/$H$1958,B1326=2017,G1326/$H$1959,B1326=2018,G1326/$H$1960,B1326=2019,G1326/$H$1961,B1326=2020,G1326/$H$1962,B1326=2021,G1326/$H$1963,B1326=2022,G1326/$H$1964,B1326=2023,G1326/$H$1965)</f>
        <v>2.0376186988424749E-3</v>
      </c>
      <c r="J1326" s="10" cm="1">
        <f t="array" ref="J1326">_xlfn.IFS(B1326=2015,I1326*$G$2,B1326=2016,I1326*$G$3,B1326=2017,I1326*$G$4,B1326=2018,I1326*$G$5,B1326=2019,I1326*$G$6,B1326=2020,I1326*$G$7,B1326=2021,I1326*$G$8,B1326=2022,I1326*$G$9,B1326=2023,I1326*$G$10)</f>
        <v>506638.76014834247</v>
      </c>
      <c r="K1326" s="8">
        <f t="shared" si="20"/>
        <v>3145157.7601483427</v>
      </c>
      <c r="L1326">
        <f>IFERROR(VLOOKUP(F1326,'LEAID Match'!$A$2:$B$240,2,FALSE),"")</f>
        <v>0</v>
      </c>
    </row>
    <row r="1327" spans="1:12" x14ac:dyDescent="0.2">
      <c r="A1327">
        <v>0</v>
      </c>
      <c r="B1327">
        <v>2016</v>
      </c>
      <c r="C1327" s="4" t="s">
        <v>298</v>
      </c>
      <c r="D1327" s="4" t="s">
        <v>576</v>
      </c>
      <c r="E1327" s="4" t="s">
        <v>578</v>
      </c>
      <c r="F1327" s="4" t="s">
        <v>257</v>
      </c>
      <c r="G1327" s="8">
        <v>2759953</v>
      </c>
      <c r="I1327" s="16" cm="1">
        <f t="array" ref="I1327">_xlfn.IFS(B1327=2015,G1327/$H$1957,B1327=2016,G1327/$H$1958,B1327=2017,G1327/$H$1959,B1327=2018,G1327/$H$1960,B1327=2019,G1327/$H$1961,B1327=2020,G1327/$H$1962,B1327=2021,G1327/$H$1963,B1327=2022,G1327/$H$1964,B1327=2023,G1327/$H$1965)</f>
        <v>1.9374858261021317E-3</v>
      </c>
      <c r="J1327" s="10" cm="1">
        <f t="array" ref="J1327">_xlfn.IFS(B1327=2015,I1327*$G$2,B1327=2016,I1327*$G$3,B1327=2017,I1327*$G$4,B1327=2018,I1327*$G$5,B1327=2019,I1327*$G$6,B1327=2020,I1327*$G$7,B1327=2021,I1327*$G$8,B1327=2022,I1327*$G$9,B1327=2023,I1327*$G$10)</f>
        <v>525452.12349524244</v>
      </c>
      <c r="K1327" s="8">
        <f t="shared" si="20"/>
        <v>3285405.1234952426</v>
      </c>
      <c r="L1327">
        <f>IFERROR(VLOOKUP(F1327,'LEAID Match'!$A$2:$B$240,2,FALSE),"")</f>
        <v>0</v>
      </c>
    </row>
    <row r="1328" spans="1:12" x14ac:dyDescent="0.2">
      <c r="A1328">
        <v>0</v>
      </c>
      <c r="B1328">
        <v>2017</v>
      </c>
      <c r="C1328" s="4" t="s">
        <v>298</v>
      </c>
      <c r="D1328" s="4" t="s">
        <v>576</v>
      </c>
      <c r="E1328" s="4" t="s">
        <v>578</v>
      </c>
      <c r="F1328" s="4" t="s">
        <v>257</v>
      </c>
      <c r="G1328" s="8">
        <v>1483925</v>
      </c>
      <c r="I1328" s="16" cm="1">
        <f t="array" ref="I1328">_xlfn.IFS(B1328=2015,G1328/$H$1957,B1328=2016,G1328/$H$1958,B1328=2017,G1328/$H$1959,B1328=2018,G1328/$H$1960,B1328=2019,G1328/$H$1961,B1328=2020,G1328/$H$1962,B1328=2021,G1328/$H$1963,B1328=2022,G1328/$H$1964,B1328=2023,G1328/$H$1965)</f>
        <v>1.9798717400414641E-3</v>
      </c>
      <c r="J1328" s="10" cm="1">
        <f t="array" ref="J1328">_xlfn.IFS(B1328=2015,I1328*$G$2,B1328=2016,I1328*$G$3,B1328=2017,I1328*$G$4,B1328=2018,I1328*$G$5,B1328=2019,I1328*$G$6,B1328=2020,I1328*$G$7,B1328=2021,I1328*$G$8,B1328=2022,I1328*$G$9,B1328=2023,I1328*$G$10)</f>
        <v>293192.44868049165</v>
      </c>
      <c r="K1328" s="8">
        <f t="shared" si="20"/>
        <v>1777117.4486804917</v>
      </c>
      <c r="L1328">
        <f>IFERROR(VLOOKUP(F1328,'LEAID Match'!$A$2:$B$240,2,FALSE),"")</f>
        <v>0</v>
      </c>
    </row>
    <row r="1329" spans="1:12" x14ac:dyDescent="0.2">
      <c r="A1329">
        <v>0</v>
      </c>
      <c r="B1329">
        <v>2018</v>
      </c>
      <c r="C1329" s="4" t="s">
        <v>298</v>
      </c>
      <c r="D1329" s="4" t="s">
        <v>576</v>
      </c>
      <c r="E1329" s="4" t="s">
        <v>578</v>
      </c>
      <c r="F1329" s="4" t="s">
        <v>257</v>
      </c>
      <c r="G1329" s="8">
        <v>1599298</v>
      </c>
      <c r="I1329" s="16" cm="1">
        <f t="array" ref="I1329">_xlfn.IFS(B1329=2015,G1329/$H$1957,B1329=2016,G1329/$H$1958,B1329=2017,G1329/$H$1959,B1329=2018,G1329/$H$1960,B1329=2019,G1329/$H$1961,B1329=2020,G1329/$H$1962,B1329=2021,G1329/$H$1963,B1329=2022,G1329/$H$1964,B1329=2023,G1329/$H$1965)</f>
        <v>2.0578334450807043E-3</v>
      </c>
      <c r="J1329" s="10" cm="1">
        <f t="array" ref="J1329">_xlfn.IFS(B1329=2015,I1329*$G$2,B1329=2016,I1329*$G$3,B1329=2017,I1329*$G$4,B1329=2018,I1329*$G$5,B1329=2019,I1329*$G$6,B1329=2020,I1329*$G$7,B1329=2021,I1329*$G$8,B1329=2022,I1329*$G$9,B1329=2023,I1329*$G$10)</f>
        <v>309753.16509198613</v>
      </c>
      <c r="K1329" s="8">
        <f t="shared" si="20"/>
        <v>1909051.1650919861</v>
      </c>
      <c r="L1329">
        <f>IFERROR(VLOOKUP(F1329,'LEAID Match'!$A$2:$B$240,2,FALSE),"")</f>
        <v>0</v>
      </c>
    </row>
    <row r="1330" spans="1:12" x14ac:dyDescent="0.2">
      <c r="A1330">
        <v>0</v>
      </c>
      <c r="B1330">
        <v>2019</v>
      </c>
      <c r="C1330" s="4" t="s">
        <v>298</v>
      </c>
      <c r="D1330" s="4" t="s">
        <v>576</v>
      </c>
      <c r="E1330" s="4" t="s">
        <v>578</v>
      </c>
      <c r="F1330" s="4" t="s">
        <v>257</v>
      </c>
      <c r="G1330" s="8">
        <v>1685917</v>
      </c>
      <c r="I1330" s="16" cm="1">
        <f t="array" ref="I1330">_xlfn.IFS(B1330=2015,G1330/$H$1957,B1330=2016,G1330/$H$1958,B1330=2017,G1330/$H$1959,B1330=2018,G1330/$H$1960,B1330=2019,G1330/$H$1961,B1330=2020,G1330/$H$1962,B1330=2021,G1330/$H$1963,B1330=2022,G1330/$H$1964,B1330=2023,G1330/$H$1965)</f>
        <v>2.0952520017775375E-3</v>
      </c>
      <c r="J1330" s="10" cm="1">
        <f t="array" ref="J1330">_xlfn.IFS(B1330=2015,I1330*$G$2,B1330=2016,I1330*$G$3,B1330=2017,I1330*$G$4,B1330=2018,I1330*$G$5,B1330=2019,I1330*$G$6,B1330=2020,I1330*$G$7,B1330=2021,I1330*$G$8,B1330=2022,I1330*$G$9,B1330=2023,I1330*$G$10)</f>
        <v>331108.73895764491</v>
      </c>
      <c r="K1330" s="8">
        <f t="shared" si="20"/>
        <v>2017025.7389576449</v>
      </c>
      <c r="L1330">
        <f>IFERROR(VLOOKUP(F1330,'LEAID Match'!$A$2:$B$240,2,FALSE),"")</f>
        <v>0</v>
      </c>
    </row>
    <row r="1331" spans="1:12" x14ac:dyDescent="0.2">
      <c r="A1331">
        <v>0</v>
      </c>
      <c r="B1331">
        <v>2020</v>
      </c>
      <c r="C1331" s="4" t="s">
        <v>298</v>
      </c>
      <c r="D1331" s="4" t="s">
        <v>576</v>
      </c>
      <c r="E1331" s="4" t="s">
        <v>578</v>
      </c>
      <c r="F1331" s="4" t="s">
        <v>257</v>
      </c>
      <c r="G1331" s="8">
        <v>1899963</v>
      </c>
      <c r="I1331" s="16" cm="1">
        <f t="array" ref="I1331">_xlfn.IFS(B1331=2015,G1331/$H$1957,B1331=2016,G1331/$H$1958,B1331=2017,G1331/$H$1959,B1331=2018,G1331/$H$1960,B1331=2019,G1331/$H$1961,B1331=2020,G1331/$H$1962,B1331=2021,G1331/$H$1963,B1331=2022,G1331/$H$1964,B1331=2023,G1331/$H$1965)</f>
        <v>2.1852678588860737E-3</v>
      </c>
      <c r="J1331" s="10" cm="1">
        <f t="array" ref="J1331">_xlfn.IFS(B1331=2015,I1331*$G$2,B1331=2016,I1331*$G$3,B1331=2017,I1331*$G$4,B1331=2018,I1331*$G$5,B1331=2019,I1331*$G$6,B1331=2020,I1331*$G$7,B1331=2021,I1331*$G$8,B1331=2022,I1331*$G$9,B1331=2023,I1331*$G$10)</f>
        <v>377360.56330548972</v>
      </c>
      <c r="K1331" s="8">
        <f t="shared" si="20"/>
        <v>2277323.5633054897</v>
      </c>
      <c r="L1331">
        <f>IFERROR(VLOOKUP(F1331,'LEAID Match'!$A$2:$B$240,2,FALSE),"")</f>
        <v>0</v>
      </c>
    </row>
    <row r="1332" spans="1:12" x14ac:dyDescent="0.2">
      <c r="A1332">
        <v>0</v>
      </c>
      <c r="B1332">
        <v>2021</v>
      </c>
      <c r="C1332" s="4" t="s">
        <v>298</v>
      </c>
      <c r="D1332" s="4" t="s">
        <v>576</v>
      </c>
      <c r="E1332" s="4" t="s">
        <v>578</v>
      </c>
      <c r="F1332" s="4" t="s">
        <v>257</v>
      </c>
      <c r="G1332" s="8">
        <v>1970871</v>
      </c>
      <c r="I1332" s="16" cm="1">
        <f t="array" ref="I1332">_xlfn.IFS(B1332=2015,G1332/$H$1957,B1332=2016,G1332/$H$1958,B1332=2017,G1332/$H$1959,B1332=2018,G1332/$H$1960,B1332=2019,G1332/$H$1961,B1332=2020,G1332/$H$1962,B1332=2021,G1332/$H$1963,B1332=2022,G1332/$H$1964,B1332=2023,G1332/$H$1965)</f>
        <v>2.2523013100689791E-3</v>
      </c>
      <c r="J1332" s="10" cm="1">
        <f t="array" ref="J1332">_xlfn.IFS(B1332=2015,I1332*$G$2,B1332=2016,I1332*$G$3,B1332=2017,I1332*$G$4,B1332=2018,I1332*$G$5,B1332=2019,I1332*$G$6,B1332=2020,I1332*$G$7,B1332=2021,I1332*$G$8,B1332=2022,I1332*$G$9,B1332=2023,I1332*$G$10)</f>
        <v>386532.82455269311</v>
      </c>
      <c r="K1332" s="8">
        <f t="shared" si="20"/>
        <v>2357403.8245526929</v>
      </c>
      <c r="L1332">
        <f>IFERROR(VLOOKUP(F1332,'LEAID Match'!$A$2:$B$240,2,FALSE),"")</f>
        <v>0</v>
      </c>
    </row>
    <row r="1333" spans="1:12" x14ac:dyDescent="0.2">
      <c r="A1333">
        <v>0</v>
      </c>
      <c r="B1333">
        <v>2022</v>
      </c>
      <c r="C1333" s="4" t="s">
        <v>298</v>
      </c>
      <c r="D1333" s="4" t="s">
        <v>576</v>
      </c>
      <c r="E1333" s="4" t="s">
        <v>578</v>
      </c>
      <c r="F1333" s="4" t="s">
        <v>257</v>
      </c>
      <c r="G1333" s="8">
        <v>2287506</v>
      </c>
      <c r="I1333" s="16" cm="1">
        <f t="array" ref="I1333">_xlfn.IFS(B1333=2015,G1333/$H$1957,B1333=2016,G1333/$H$1958,B1333=2017,G1333/$H$1959,B1333=2018,G1333/$H$1960,B1333=2019,G1333/$H$1961,B1333=2020,G1333/$H$1962,B1333=2021,G1333/$H$1963,B1333=2022,G1333/$H$1964,B1333=2023,G1333/$H$1965)</f>
        <v>2.4586167282044189E-3</v>
      </c>
      <c r="J1333" s="10" cm="1">
        <f t="array" ref="J1333">_xlfn.IFS(B1333=2015,I1333*$G$2,B1333=2016,I1333*$G$3,B1333=2017,I1333*$G$4,B1333=2018,I1333*$G$5,B1333=2019,I1333*$G$6,B1333=2020,I1333*$G$7,B1333=2021,I1333*$G$8,B1333=2022,I1333*$G$9,B1333=2023,I1333*$G$10)</f>
        <v>416946.11349480296</v>
      </c>
      <c r="K1333" s="8">
        <f t="shared" si="20"/>
        <v>2704452.1134948032</v>
      </c>
      <c r="L1333">
        <f>IFERROR(VLOOKUP(F1333,'LEAID Match'!$A$2:$B$240,2,FALSE),"")</f>
        <v>0</v>
      </c>
    </row>
    <row r="1334" spans="1:12" x14ac:dyDescent="0.2">
      <c r="A1334">
        <v>0</v>
      </c>
      <c r="B1334">
        <v>2023</v>
      </c>
      <c r="C1334" s="4" t="s">
        <v>298</v>
      </c>
      <c r="D1334" s="4" t="s">
        <v>576</v>
      </c>
      <c r="E1334" s="4" t="s">
        <v>578</v>
      </c>
      <c r="F1334" s="4" t="s">
        <v>257</v>
      </c>
      <c r="G1334" s="8">
        <v>2543704</v>
      </c>
      <c r="I1334" s="16" cm="1">
        <f t="array" ref="I1334">_xlfn.IFS(B1334=2015,G1334/$H$1957,B1334=2016,G1334/$H$1958,B1334=2017,G1334/$H$1959,B1334=2018,G1334/$H$1960,B1334=2019,G1334/$H$1961,B1334=2020,G1334/$H$1962,B1334=2021,G1334/$H$1963,B1334=2022,G1334/$H$1964,B1334=2023,G1334/$H$1965)</f>
        <v>2.5754738217146061E-3</v>
      </c>
      <c r="J1334" s="10" cm="1">
        <f t="array" ref="J1334">_xlfn.IFS(B1334=2015,I1334*$G$2,B1334=2016,I1334*$G$3,B1334=2017,I1334*$G$4,B1334=2018,I1334*$G$5,B1334=2019,I1334*$G$6,B1334=2020,I1334*$G$7,B1334=2021,I1334*$G$8,B1334=2022,I1334*$G$9,B1334=2023,I1334*$G$10)</f>
        <v>437792.73916030646</v>
      </c>
      <c r="K1334" s="8">
        <f t="shared" si="20"/>
        <v>2981496.7391603063</v>
      </c>
      <c r="L1334">
        <f>IFERROR(VLOOKUP(F1334,'LEAID Match'!$A$2:$B$240,2,FALSE),"")</f>
        <v>0</v>
      </c>
    </row>
    <row r="1335" spans="1:12" x14ac:dyDescent="0.2">
      <c r="A1335">
        <v>0</v>
      </c>
      <c r="B1335">
        <v>2015</v>
      </c>
      <c r="C1335" s="4" t="s">
        <v>299</v>
      </c>
      <c r="D1335" s="4" t="s">
        <v>576</v>
      </c>
      <c r="E1335" s="4" t="s">
        <v>578</v>
      </c>
      <c r="F1335" s="4" t="s">
        <v>258</v>
      </c>
      <c r="G1335" s="8">
        <v>923304</v>
      </c>
      <c r="I1335" s="16" cm="1">
        <f t="array" ref="I1335">_xlfn.IFS(B1335=2015,G1335/$H$1957,B1335=2016,G1335/$H$1958,B1335=2017,G1335/$H$1959,B1335=2018,G1335/$H$1960,B1335=2019,G1335/$H$1961,B1335=2020,G1335/$H$1962,B1335=2021,G1335/$H$1963,B1335=2022,G1335/$H$1964,B1335=2023,G1335/$H$1965)</f>
        <v>7.1302935287411318E-4</v>
      </c>
      <c r="J1335" s="10" cm="1">
        <f t="array" ref="J1335">_xlfn.IFS(B1335=2015,I1335*$G$2,B1335=2016,I1335*$G$3,B1335=2017,I1335*$G$4,B1335=2018,I1335*$G$5,B1335=2019,I1335*$G$6,B1335=2020,I1335*$G$7,B1335=2021,I1335*$G$8,B1335=2022,I1335*$G$9,B1335=2023,I1335*$G$10)</f>
        <v>177289.45434920315</v>
      </c>
      <c r="K1335" s="8">
        <f t="shared" si="20"/>
        <v>1100593.454349203</v>
      </c>
      <c r="L1335">
        <f>IFERROR(VLOOKUP(F1335,'LEAID Match'!$A$2:$B$240,2,FALSE),"")</f>
        <v>0</v>
      </c>
    </row>
    <row r="1336" spans="1:12" x14ac:dyDescent="0.2">
      <c r="A1336">
        <v>0</v>
      </c>
      <c r="B1336">
        <v>2016</v>
      </c>
      <c r="C1336" s="4" t="s">
        <v>299</v>
      </c>
      <c r="D1336" s="4" t="s">
        <v>576</v>
      </c>
      <c r="E1336" s="4" t="s">
        <v>578</v>
      </c>
      <c r="F1336" s="4" t="s">
        <v>258</v>
      </c>
      <c r="G1336" s="8">
        <v>1078386</v>
      </c>
      <c r="I1336" s="16" cm="1">
        <f t="array" ref="I1336">_xlfn.IFS(B1336=2015,G1336/$H$1957,B1336=2016,G1336/$H$1958,B1336=2017,G1336/$H$1959,B1336=2018,G1336/$H$1960,B1336=2019,G1336/$H$1961,B1336=2020,G1336/$H$1962,B1336=2021,G1336/$H$1963,B1336=2022,G1336/$H$1964,B1336=2023,G1336/$H$1965)</f>
        <v>7.5702651098296726E-4</v>
      </c>
      <c r="J1336" s="10" cm="1">
        <f t="array" ref="J1336">_xlfn.IFS(B1336=2015,I1336*$G$2,B1336=2016,I1336*$G$3,B1336=2017,I1336*$G$4,B1336=2018,I1336*$G$5,B1336=2019,I1336*$G$6,B1336=2020,I1336*$G$7,B1336=2021,I1336*$G$8,B1336=2022,I1336*$G$9,B1336=2023,I1336*$G$10)</f>
        <v>205307.92142023455</v>
      </c>
      <c r="K1336" s="8">
        <f t="shared" si="20"/>
        <v>1283693.9214202345</v>
      </c>
      <c r="L1336">
        <f>IFERROR(VLOOKUP(F1336,'LEAID Match'!$A$2:$B$240,2,FALSE),"")</f>
        <v>0</v>
      </c>
    </row>
    <row r="1337" spans="1:12" x14ac:dyDescent="0.2">
      <c r="A1337">
        <v>0</v>
      </c>
      <c r="B1337">
        <v>2017</v>
      </c>
      <c r="C1337" s="4" t="s">
        <v>299</v>
      </c>
      <c r="D1337" s="4" t="s">
        <v>576</v>
      </c>
      <c r="E1337" s="4" t="s">
        <v>578</v>
      </c>
      <c r="F1337" s="4" t="s">
        <v>258</v>
      </c>
      <c r="G1337" s="8">
        <v>559234</v>
      </c>
      <c r="I1337" s="16" cm="1">
        <f t="array" ref="I1337">_xlfn.IFS(B1337=2015,G1337/$H$1957,B1337=2016,G1337/$H$1958,B1337=2017,G1337/$H$1959,B1337=2018,G1337/$H$1960,B1337=2019,G1337/$H$1961,B1337=2020,G1337/$H$1962,B1337=2021,G1337/$H$1963,B1337=2022,G1337/$H$1964,B1337=2023,G1337/$H$1965)</f>
        <v>7.4613716506585456E-4</v>
      </c>
      <c r="J1337" s="10" cm="1">
        <f t="array" ref="J1337">_xlfn.IFS(B1337=2015,I1337*$G$2,B1337=2016,I1337*$G$3,B1337=2017,I1337*$G$4,B1337=2018,I1337*$G$5,B1337=2019,I1337*$G$6,B1337=2020,I1337*$G$7,B1337=2021,I1337*$G$8,B1337=2022,I1337*$G$9,B1337=2023,I1337*$G$10)</f>
        <v>110492.90620845804</v>
      </c>
      <c r="K1337" s="8">
        <f t="shared" si="20"/>
        <v>669726.90620845801</v>
      </c>
      <c r="L1337">
        <f>IFERROR(VLOOKUP(F1337,'LEAID Match'!$A$2:$B$240,2,FALSE),"")</f>
        <v>0</v>
      </c>
    </row>
    <row r="1338" spans="1:12" x14ac:dyDescent="0.2">
      <c r="A1338">
        <v>0</v>
      </c>
      <c r="B1338">
        <v>2018</v>
      </c>
      <c r="C1338" s="4" t="s">
        <v>299</v>
      </c>
      <c r="D1338" s="4" t="s">
        <v>576</v>
      </c>
      <c r="E1338" s="4" t="s">
        <v>578</v>
      </c>
      <c r="F1338" s="4" t="s">
        <v>258</v>
      </c>
      <c r="G1338" s="8">
        <v>579643</v>
      </c>
      <c r="I1338" s="16" cm="1">
        <f t="array" ref="I1338">_xlfn.IFS(B1338=2015,G1338/$H$1957,B1338=2016,G1338/$H$1958,B1338=2017,G1338/$H$1959,B1338=2018,G1338/$H$1960,B1338=2019,G1338/$H$1961,B1338=2020,G1338/$H$1962,B1338=2021,G1338/$H$1963,B1338=2022,G1338/$H$1964,B1338=2023,G1338/$H$1965)</f>
        <v>7.4583270385313732E-4</v>
      </c>
      <c r="J1338" s="10" cm="1">
        <f t="array" ref="J1338">_xlfn.IFS(B1338=2015,I1338*$G$2,B1338=2016,I1338*$G$3,B1338=2017,I1338*$G$4,B1338=2018,I1338*$G$5,B1338=2019,I1338*$G$6,B1338=2020,I1338*$G$7,B1338=2021,I1338*$G$8,B1338=2022,I1338*$G$9,B1338=2023,I1338*$G$10)</f>
        <v>112265.66523150414</v>
      </c>
      <c r="K1338" s="8">
        <f t="shared" si="20"/>
        <v>691908.66523150413</v>
      </c>
      <c r="L1338">
        <f>IFERROR(VLOOKUP(F1338,'LEAID Match'!$A$2:$B$240,2,FALSE),"")</f>
        <v>0</v>
      </c>
    </row>
    <row r="1339" spans="1:12" x14ac:dyDescent="0.2">
      <c r="A1339">
        <v>0</v>
      </c>
      <c r="B1339">
        <v>2019</v>
      </c>
      <c r="C1339" s="4" t="s">
        <v>299</v>
      </c>
      <c r="D1339" s="4" t="s">
        <v>576</v>
      </c>
      <c r="E1339" s="4" t="s">
        <v>578</v>
      </c>
      <c r="F1339" s="4" t="s">
        <v>258</v>
      </c>
      <c r="G1339" s="8">
        <v>545004</v>
      </c>
      <c r="I1339" s="16" cm="1">
        <f t="array" ref="I1339">_xlfn.IFS(B1339=2015,G1339/$H$1957,B1339=2016,G1339/$H$1958,B1339=2017,G1339/$H$1959,B1339=2018,G1339/$H$1960,B1339=2019,G1339/$H$1961,B1339=2020,G1339/$H$1962,B1339=2021,G1339/$H$1963,B1339=2022,G1339/$H$1964,B1339=2023,G1339/$H$1965)</f>
        <v>6.7732914608297141E-4</v>
      </c>
      <c r="J1339" s="10" cm="1">
        <f t="array" ref="J1339">_xlfn.IFS(B1339=2015,I1339*$G$2,B1339=2016,I1339*$G$3,B1339=2017,I1339*$G$4,B1339=2018,I1339*$G$5,B1339=2019,I1339*$G$6,B1339=2020,I1339*$G$7,B1339=2021,I1339*$G$8,B1339=2022,I1339*$G$9,B1339=2023,I1339*$G$10)</f>
        <v>107037.05293135563</v>
      </c>
      <c r="K1339" s="8">
        <f t="shared" si="20"/>
        <v>652041.05293135566</v>
      </c>
      <c r="L1339">
        <f>IFERROR(VLOOKUP(F1339,'LEAID Match'!$A$2:$B$240,2,FALSE),"")</f>
        <v>0</v>
      </c>
    </row>
    <row r="1340" spans="1:12" x14ac:dyDescent="0.2">
      <c r="A1340">
        <v>0</v>
      </c>
      <c r="B1340">
        <v>2020</v>
      </c>
      <c r="C1340" s="4" t="s">
        <v>299</v>
      </c>
      <c r="D1340" s="4" t="s">
        <v>576</v>
      </c>
      <c r="E1340" s="4" t="s">
        <v>578</v>
      </c>
      <c r="F1340" s="4" t="s">
        <v>258</v>
      </c>
      <c r="G1340" s="8">
        <v>606496</v>
      </c>
      <c r="I1340" s="16" cm="1">
        <f t="array" ref="I1340">_xlfn.IFS(B1340=2015,G1340/$H$1957,B1340=2016,G1340/$H$1958,B1340=2017,G1340/$H$1959,B1340=2018,G1340/$H$1960,B1340=2019,G1340/$H$1961,B1340=2020,G1340/$H$1962,B1340=2021,G1340/$H$1963,B1340=2022,G1340/$H$1964,B1340=2023,G1340/$H$1965)</f>
        <v>6.9756948705999432E-4</v>
      </c>
      <c r="J1340" s="10" cm="1">
        <f t="array" ref="J1340">_xlfn.IFS(B1340=2015,I1340*$G$2,B1340=2016,I1340*$G$3,B1340=2017,I1340*$G$4,B1340=2018,I1340*$G$5,B1340=2019,I1340*$G$6,B1340=2020,I1340*$G$7,B1340=2021,I1340*$G$8,B1340=2022,I1340*$G$9,B1340=2023,I1340*$G$10)</f>
        <v>120459.01536110243</v>
      </c>
      <c r="K1340" s="8">
        <f t="shared" si="20"/>
        <v>726955.01536110241</v>
      </c>
      <c r="L1340">
        <f>IFERROR(VLOOKUP(F1340,'LEAID Match'!$A$2:$B$240,2,FALSE),"")</f>
        <v>0</v>
      </c>
    </row>
    <row r="1341" spans="1:12" x14ac:dyDescent="0.2">
      <c r="A1341">
        <v>0</v>
      </c>
      <c r="B1341">
        <v>2021</v>
      </c>
      <c r="C1341" s="4" t="s">
        <v>299</v>
      </c>
      <c r="D1341" s="4" t="s">
        <v>576</v>
      </c>
      <c r="E1341" s="4" t="s">
        <v>578</v>
      </c>
      <c r="F1341" s="4" t="s">
        <v>258</v>
      </c>
      <c r="G1341" s="8">
        <v>618605</v>
      </c>
      <c r="I1341" s="16" cm="1">
        <f t="array" ref="I1341">_xlfn.IFS(B1341=2015,G1341/$H$1957,B1341=2016,G1341/$H$1958,B1341=2017,G1341/$H$1959,B1341=2018,G1341/$H$1960,B1341=2019,G1341/$H$1961,B1341=2020,G1341/$H$1962,B1341=2021,G1341/$H$1963,B1341=2022,G1341/$H$1964,B1341=2023,G1341/$H$1965)</f>
        <v>7.0693863368795871E-4</v>
      </c>
      <c r="J1341" s="10" cm="1">
        <f t="array" ref="J1341">_xlfn.IFS(B1341=2015,I1341*$G$2,B1341=2016,I1341*$G$3,B1341=2017,I1341*$G$4,B1341=2018,I1341*$G$5,B1341=2019,I1341*$G$6,B1341=2020,I1341*$G$7,B1341=2021,I1341*$G$8,B1341=2022,I1341*$G$9,B1341=2023,I1341*$G$10)</f>
        <v>121322.57155969049</v>
      </c>
      <c r="K1341" s="8">
        <f t="shared" si="20"/>
        <v>739927.57155969052</v>
      </c>
      <c r="L1341">
        <f>IFERROR(VLOOKUP(F1341,'LEAID Match'!$A$2:$B$240,2,FALSE),"")</f>
        <v>0</v>
      </c>
    </row>
    <row r="1342" spans="1:12" x14ac:dyDescent="0.2">
      <c r="A1342">
        <v>0</v>
      </c>
      <c r="B1342">
        <v>2022</v>
      </c>
      <c r="C1342" s="4" t="s">
        <v>299</v>
      </c>
      <c r="D1342" s="4" t="s">
        <v>576</v>
      </c>
      <c r="E1342" s="4" t="s">
        <v>578</v>
      </c>
      <c r="F1342" s="4" t="s">
        <v>258</v>
      </c>
      <c r="G1342" s="8">
        <v>669716</v>
      </c>
      <c r="I1342" s="16" cm="1">
        <f t="array" ref="I1342">_xlfn.IFS(B1342=2015,G1342/$H$1957,B1342=2016,G1342/$H$1958,B1342=2017,G1342/$H$1959,B1342=2018,G1342/$H$1960,B1342=2019,G1342/$H$1961,B1342=2020,G1342/$H$1962,B1342=2021,G1342/$H$1963,B1342=2022,G1342/$H$1964,B1342=2023,G1342/$H$1965)</f>
        <v>7.1981230245785175E-4</v>
      </c>
      <c r="J1342" s="10" cm="1">
        <f t="array" ref="J1342">_xlfn.IFS(B1342=2015,I1342*$G$2,B1342=2016,I1342*$G$3,B1342=2017,I1342*$G$4,B1342=2018,I1342*$G$5,B1342=2019,I1342*$G$6,B1342=2020,I1342*$G$7,B1342=2021,I1342*$G$8,B1342=2022,I1342*$G$9,B1342=2023,I1342*$G$10)</f>
        <v>122069.83647049908</v>
      </c>
      <c r="K1342" s="8">
        <f t="shared" si="20"/>
        <v>791785.83647049905</v>
      </c>
      <c r="L1342">
        <f>IFERROR(VLOOKUP(F1342,'LEAID Match'!$A$2:$B$240,2,FALSE),"")</f>
        <v>0</v>
      </c>
    </row>
    <row r="1343" spans="1:12" x14ac:dyDescent="0.2">
      <c r="A1343">
        <v>0</v>
      </c>
      <c r="B1343">
        <v>2023</v>
      </c>
      <c r="C1343" s="4" t="s">
        <v>299</v>
      </c>
      <c r="D1343" s="4" t="s">
        <v>576</v>
      </c>
      <c r="E1343" s="4" t="s">
        <v>578</v>
      </c>
      <c r="F1343" s="4" t="s">
        <v>258</v>
      </c>
      <c r="G1343" s="8">
        <v>673503</v>
      </c>
      <c r="I1343" s="16" cm="1">
        <f t="array" ref="I1343">_xlfn.IFS(B1343=2015,G1343/$H$1957,B1343=2016,G1343/$H$1958,B1343=2017,G1343/$H$1959,B1343=2018,G1343/$H$1960,B1343=2019,G1343/$H$1961,B1343=2020,G1343/$H$1962,B1343=2021,G1343/$H$1963,B1343=2022,G1343/$H$1964,B1343=2023,G1343/$H$1965)</f>
        <v>6.8191477677679961E-4</v>
      </c>
      <c r="J1343" s="10" cm="1">
        <f t="array" ref="J1343">_xlfn.IFS(B1343=2015,I1343*$G$2,B1343=2016,I1343*$G$3,B1343=2017,I1343*$G$4,B1343=2018,I1343*$G$5,B1343=2019,I1343*$G$6,B1343=2020,I1343*$G$7,B1343=2021,I1343*$G$8,B1343=2022,I1343*$G$9,B1343=2023,I1343*$G$10)</f>
        <v>115915.50086121807</v>
      </c>
      <c r="K1343" s="8">
        <f t="shared" si="20"/>
        <v>789418.50086121808</v>
      </c>
      <c r="L1343">
        <f>IFERROR(VLOOKUP(F1343,'LEAID Match'!$A$2:$B$240,2,FALSE),"")</f>
        <v>0</v>
      </c>
    </row>
    <row r="1344" spans="1:12" x14ac:dyDescent="0.2">
      <c r="A1344">
        <v>0</v>
      </c>
      <c r="B1344">
        <v>2015</v>
      </c>
      <c r="C1344" s="4" t="s">
        <v>300</v>
      </c>
      <c r="D1344" s="4" t="s">
        <v>576</v>
      </c>
      <c r="E1344" s="4" t="s">
        <v>578</v>
      </c>
      <c r="F1344" s="4" t="s">
        <v>259</v>
      </c>
      <c r="G1344" s="8">
        <v>780795</v>
      </c>
      <c r="I1344" s="16" cm="1">
        <f t="array" ref="I1344">_xlfn.IFS(B1344=2015,G1344/$H$1957,B1344=2016,G1344/$H$1958,B1344=2017,G1344/$H$1959,B1344=2018,G1344/$H$1960,B1344=2019,G1344/$H$1961,B1344=2020,G1344/$H$1962,B1344=2021,G1344/$H$1963,B1344=2022,G1344/$H$1964,B1344=2023,G1344/$H$1965)</f>
        <v>6.0297556771912958E-4</v>
      </c>
      <c r="J1344" s="10" cm="1">
        <f t="array" ref="J1344">_xlfn.IFS(B1344=2015,I1344*$G$2,B1344=2016,I1344*$G$3,B1344=2017,I1344*$G$4,B1344=2018,I1344*$G$5,B1344=2019,I1344*$G$6,B1344=2020,I1344*$G$7,B1344=2021,I1344*$G$8,B1344=2022,I1344*$G$9,B1344=2023,I1344*$G$10)</f>
        <v>149925.39781977126</v>
      </c>
      <c r="K1344" s="8">
        <f t="shared" si="20"/>
        <v>930720.3978197712</v>
      </c>
      <c r="L1344">
        <f>IFERROR(VLOOKUP(F1344,'LEAID Match'!$A$2:$B$240,2,FALSE),"")</f>
        <v>0</v>
      </c>
    </row>
    <row r="1345" spans="1:12" x14ac:dyDescent="0.2">
      <c r="A1345">
        <v>0</v>
      </c>
      <c r="B1345">
        <v>2016</v>
      </c>
      <c r="C1345" s="4" t="s">
        <v>300</v>
      </c>
      <c r="D1345" s="4" t="s">
        <v>576</v>
      </c>
      <c r="E1345" s="4" t="s">
        <v>578</v>
      </c>
      <c r="F1345" s="4" t="s">
        <v>259</v>
      </c>
      <c r="G1345" s="8">
        <v>925358</v>
      </c>
      <c r="I1345" s="16" cm="1">
        <f t="array" ref="I1345">_xlfn.IFS(B1345=2015,G1345/$H$1957,B1345=2016,G1345/$H$1958,B1345=2017,G1345/$H$1959,B1345=2018,G1345/$H$1960,B1345=2019,G1345/$H$1961,B1345=2020,G1345/$H$1962,B1345=2021,G1345/$H$1963,B1345=2022,G1345/$H$1964,B1345=2023,G1345/$H$1965)</f>
        <v>6.4960092040343312E-4</v>
      </c>
      <c r="J1345" s="10" cm="1">
        <f t="array" ref="J1345">_xlfn.IFS(B1345=2015,I1345*$G$2,B1345=2016,I1345*$G$3,B1345=2017,I1345*$G$4,B1345=2018,I1345*$G$5,B1345=2019,I1345*$G$6,B1345=2020,I1345*$G$7,B1345=2021,I1345*$G$8,B1345=2022,I1345*$G$9,B1345=2023,I1345*$G$10)</f>
        <v>176173.7703842459</v>
      </c>
      <c r="K1345" s="8">
        <f t="shared" si="20"/>
        <v>1101531.770384246</v>
      </c>
      <c r="L1345">
        <f>IFERROR(VLOOKUP(F1345,'LEAID Match'!$A$2:$B$240,2,FALSE),"")</f>
        <v>0</v>
      </c>
    </row>
    <row r="1346" spans="1:12" x14ac:dyDescent="0.2">
      <c r="A1346">
        <v>0</v>
      </c>
      <c r="B1346">
        <v>2017</v>
      </c>
      <c r="C1346" s="4" t="s">
        <v>300</v>
      </c>
      <c r="D1346" s="4" t="s">
        <v>576</v>
      </c>
      <c r="E1346" s="4" t="s">
        <v>578</v>
      </c>
      <c r="F1346" s="4" t="s">
        <v>259</v>
      </c>
      <c r="G1346" s="8">
        <v>480099</v>
      </c>
      <c r="I1346" s="16" cm="1">
        <f t="array" ref="I1346">_xlfn.IFS(B1346=2015,G1346/$H$1957,B1346=2016,G1346/$H$1958,B1346=2017,G1346/$H$1959,B1346=2018,G1346/$H$1960,B1346=2019,G1346/$H$1961,B1346=2020,G1346/$H$1962,B1346=2021,G1346/$H$1963,B1346=2022,G1346/$H$1964,B1346=2023,G1346/$H$1965)</f>
        <v>6.405542345618323E-4</v>
      </c>
      <c r="J1346" s="10" cm="1">
        <f t="array" ref="J1346">_xlfn.IFS(B1346=2015,I1346*$G$2,B1346=2016,I1346*$G$3,B1346=2017,I1346*$G$4,B1346=2018,I1346*$G$5,B1346=2019,I1346*$G$6,B1346=2020,I1346*$G$7,B1346=2021,I1346*$G$8,B1346=2022,I1346*$G$9,B1346=2023,I1346*$G$10)</f>
        <v>94857.490384659191</v>
      </c>
      <c r="K1346" s="8">
        <f t="shared" si="20"/>
        <v>574956.49038465915</v>
      </c>
      <c r="L1346">
        <f>IFERROR(VLOOKUP(F1346,'LEAID Match'!$A$2:$B$240,2,FALSE),"")</f>
        <v>0</v>
      </c>
    </row>
    <row r="1347" spans="1:12" x14ac:dyDescent="0.2">
      <c r="A1347">
        <v>0</v>
      </c>
      <c r="B1347">
        <v>2018</v>
      </c>
      <c r="C1347" s="4" t="s">
        <v>300</v>
      </c>
      <c r="D1347" s="4" t="s">
        <v>576</v>
      </c>
      <c r="E1347" s="4" t="s">
        <v>578</v>
      </c>
      <c r="F1347" s="4" t="s">
        <v>259</v>
      </c>
      <c r="G1347" s="8">
        <v>485466</v>
      </c>
      <c r="I1347" s="16" cm="1">
        <f t="array" ref="I1347">_xlfn.IFS(B1347=2015,G1347/$H$1957,B1347=2016,G1347/$H$1958,B1347=2017,G1347/$H$1959,B1347=2018,G1347/$H$1960,B1347=2019,G1347/$H$1961,B1347=2020,G1347/$H$1962,B1347=2021,G1347/$H$1963,B1347=2022,G1347/$H$1964,B1347=2023,G1347/$H$1965)</f>
        <v>6.2465417404983269E-4</v>
      </c>
      <c r="J1347" s="10" cm="1">
        <f t="array" ref="J1347">_xlfn.IFS(B1347=2015,I1347*$G$2,B1347=2016,I1347*$G$3,B1347=2017,I1347*$G$4,B1347=2018,I1347*$G$5,B1347=2019,I1347*$G$6,B1347=2020,I1347*$G$7,B1347=2021,I1347*$G$8,B1347=2022,I1347*$G$9,B1347=2023,I1347*$G$10)</f>
        <v>94025.397420959795</v>
      </c>
      <c r="K1347" s="8">
        <f t="shared" si="20"/>
        <v>579491.39742095978</v>
      </c>
      <c r="L1347">
        <f>IFERROR(VLOOKUP(F1347,'LEAID Match'!$A$2:$B$240,2,FALSE),"")</f>
        <v>0</v>
      </c>
    </row>
    <row r="1348" spans="1:12" x14ac:dyDescent="0.2">
      <c r="A1348">
        <v>0</v>
      </c>
      <c r="B1348">
        <v>2019</v>
      </c>
      <c r="C1348" s="4" t="s">
        <v>300</v>
      </c>
      <c r="D1348" s="4" t="s">
        <v>576</v>
      </c>
      <c r="E1348" s="4" t="s">
        <v>578</v>
      </c>
      <c r="F1348" s="4" t="s">
        <v>259</v>
      </c>
      <c r="G1348" s="8">
        <v>504013</v>
      </c>
      <c r="I1348" s="16" cm="1">
        <f t="array" ref="I1348">_xlfn.IFS(B1348=2015,G1348/$H$1957,B1348=2016,G1348/$H$1958,B1348=2017,G1348/$H$1959,B1348=2018,G1348/$H$1960,B1348=2019,G1348/$H$1961,B1348=2020,G1348/$H$1962,B1348=2021,G1348/$H$1963,B1348=2022,G1348/$H$1964,B1348=2023,G1348/$H$1965)</f>
        <v>6.2638566855420638E-4</v>
      </c>
      <c r="J1348" s="10" cm="1">
        <f t="array" ref="J1348">_xlfn.IFS(B1348=2015,I1348*$G$2,B1348=2016,I1348*$G$3,B1348=2017,I1348*$G$4,B1348=2018,I1348*$G$5,B1348=2019,I1348*$G$6,B1348=2020,I1348*$G$7,B1348=2021,I1348*$G$8,B1348=2022,I1348*$G$9,B1348=2023,I1348*$G$10)</f>
        <v>98986.55084933569</v>
      </c>
      <c r="K1348" s="8">
        <f t="shared" si="20"/>
        <v>602999.55084933573</v>
      </c>
      <c r="L1348">
        <f>IFERROR(VLOOKUP(F1348,'LEAID Match'!$A$2:$B$240,2,FALSE),"")</f>
        <v>0</v>
      </c>
    </row>
    <row r="1349" spans="1:12" x14ac:dyDescent="0.2">
      <c r="A1349">
        <v>0</v>
      </c>
      <c r="B1349">
        <v>2020</v>
      </c>
      <c r="C1349" s="4" t="s">
        <v>300</v>
      </c>
      <c r="D1349" s="4" t="s">
        <v>576</v>
      </c>
      <c r="E1349" s="4" t="s">
        <v>578</v>
      </c>
      <c r="F1349" s="4" t="s">
        <v>259</v>
      </c>
      <c r="G1349" s="8">
        <v>590184</v>
      </c>
      <c r="I1349" s="16" cm="1">
        <f t="array" ref="I1349">_xlfn.IFS(B1349=2015,G1349/$H$1957,B1349=2016,G1349/$H$1958,B1349=2017,G1349/$H$1959,B1349=2018,G1349/$H$1960,B1349=2019,G1349/$H$1961,B1349=2020,G1349/$H$1962,B1349=2021,G1349/$H$1963,B1349=2022,G1349/$H$1964,B1349=2023,G1349/$H$1965)</f>
        <v>6.788080220661236E-4</v>
      </c>
      <c r="J1349" s="10" cm="1">
        <f t="array" ref="J1349">_xlfn.IFS(B1349=2015,I1349*$G$2,B1349=2016,I1349*$G$3,B1349=2017,I1349*$G$4,B1349=2018,I1349*$G$5,B1349=2019,I1349*$G$6,B1349=2020,I1349*$G$7,B1349=2021,I1349*$G$8,B1349=2022,I1349*$G$9,B1349=2023,I1349*$G$10)</f>
        <v>117219.21252881615</v>
      </c>
      <c r="K1349" s="8">
        <f t="shared" si="20"/>
        <v>707403.21252881619</v>
      </c>
      <c r="L1349">
        <f>IFERROR(VLOOKUP(F1349,'LEAID Match'!$A$2:$B$240,2,FALSE),"")</f>
        <v>0</v>
      </c>
    </row>
    <row r="1350" spans="1:12" x14ac:dyDescent="0.2">
      <c r="A1350">
        <v>0</v>
      </c>
      <c r="B1350">
        <v>2021</v>
      </c>
      <c r="C1350" s="4" t="s">
        <v>300</v>
      </c>
      <c r="D1350" s="4" t="s">
        <v>576</v>
      </c>
      <c r="E1350" s="4" t="s">
        <v>578</v>
      </c>
      <c r="F1350" s="4" t="s">
        <v>259</v>
      </c>
      <c r="G1350" s="8">
        <v>621239</v>
      </c>
      <c r="I1350" s="16" cm="1">
        <f t="array" ref="I1350">_xlfn.IFS(B1350=2015,G1350/$H$1957,B1350=2016,G1350/$H$1958,B1350=2017,G1350/$H$1959,B1350=2018,G1350/$H$1960,B1350=2019,G1350/$H$1961,B1350=2020,G1350/$H$1962,B1350=2021,G1350/$H$1963,B1350=2022,G1350/$H$1964,B1350=2023,G1350/$H$1965)</f>
        <v>7.099487554314527E-4</v>
      </c>
      <c r="J1350" s="10" cm="1">
        <f t="array" ref="J1350">_xlfn.IFS(B1350=2015,I1350*$G$2,B1350=2016,I1350*$G$3,B1350=2017,I1350*$G$4,B1350=2018,I1350*$G$5,B1350=2019,I1350*$G$6,B1350=2020,I1350*$G$7,B1350=2021,I1350*$G$8,B1350=2022,I1350*$G$9,B1350=2023,I1350*$G$10)</f>
        <v>121839.15912928373</v>
      </c>
      <c r="K1350" s="8">
        <f t="shared" si="20"/>
        <v>743078.15912928374</v>
      </c>
      <c r="L1350">
        <f>IFERROR(VLOOKUP(F1350,'LEAID Match'!$A$2:$B$240,2,FALSE),"")</f>
        <v>0</v>
      </c>
    </row>
    <row r="1351" spans="1:12" x14ac:dyDescent="0.2">
      <c r="A1351">
        <v>0</v>
      </c>
      <c r="B1351">
        <v>2022</v>
      </c>
      <c r="C1351" s="4" t="s">
        <v>300</v>
      </c>
      <c r="D1351" s="4" t="s">
        <v>576</v>
      </c>
      <c r="E1351" s="4" t="s">
        <v>578</v>
      </c>
      <c r="F1351" s="4" t="s">
        <v>259</v>
      </c>
      <c r="G1351" s="8">
        <v>667753</v>
      </c>
      <c r="I1351" s="16" cm="1">
        <f t="array" ref="I1351">_xlfn.IFS(B1351=2015,G1351/$H$1957,B1351=2016,G1351/$H$1958,B1351=2017,G1351/$H$1959,B1351=2018,G1351/$H$1960,B1351=2019,G1351/$H$1961,B1351=2020,G1351/$H$1962,B1351=2021,G1351/$H$1963,B1351=2022,G1351/$H$1964,B1351=2023,G1351/$H$1965)</f>
        <v>7.1770246552738462E-4</v>
      </c>
      <c r="J1351" s="10" cm="1">
        <f t="array" ref="J1351">_xlfn.IFS(B1351=2015,I1351*$G$2,B1351=2016,I1351*$G$3,B1351=2017,I1351*$G$4,B1351=2018,I1351*$G$5,B1351=2019,I1351*$G$6,B1351=2020,I1351*$G$7,B1351=2021,I1351*$G$8,B1351=2022,I1351*$G$9,B1351=2023,I1351*$G$10)</f>
        <v>121712.03840536164</v>
      </c>
      <c r="K1351" s="8">
        <f t="shared" si="20"/>
        <v>789465.03840536159</v>
      </c>
      <c r="L1351">
        <f>IFERROR(VLOOKUP(F1351,'LEAID Match'!$A$2:$B$240,2,FALSE),"")</f>
        <v>0</v>
      </c>
    </row>
    <row r="1352" spans="1:12" x14ac:dyDescent="0.2">
      <c r="A1352">
        <v>0</v>
      </c>
      <c r="B1352">
        <v>2023</v>
      </c>
      <c r="C1352" s="4" t="s">
        <v>300</v>
      </c>
      <c r="D1352" s="4" t="s">
        <v>576</v>
      </c>
      <c r="E1352" s="4" t="s">
        <v>578</v>
      </c>
      <c r="F1352" s="4" t="s">
        <v>259</v>
      </c>
      <c r="G1352" s="8">
        <v>734210</v>
      </c>
      <c r="I1352" s="16" cm="1">
        <f t="array" ref="I1352">_xlfn.IFS(B1352=2015,G1352/$H$1957,B1352=2016,G1352/$H$1958,B1352=2017,G1352/$H$1959,B1352=2018,G1352/$H$1960,B1352=2019,G1352/$H$1961,B1352=2020,G1352/$H$1962,B1352=2021,G1352/$H$1963,B1352=2022,G1352/$H$1964,B1352=2023,G1352/$H$1965)</f>
        <v>7.4337998235686259E-4</v>
      </c>
      <c r="J1352" s="10" cm="1">
        <f t="array" ref="J1352">_xlfn.IFS(B1352=2015,I1352*$G$2,B1352=2016,I1352*$G$3,B1352=2017,I1352*$G$4,B1352=2018,I1352*$G$5,B1352=2019,I1352*$G$6,B1352=2020,I1352*$G$7,B1352=2021,I1352*$G$8,B1352=2022,I1352*$G$9,B1352=2023,I1352*$G$10)</f>
        <v>126363.68343914567</v>
      </c>
      <c r="K1352" s="8">
        <f t="shared" si="20"/>
        <v>860573.68343914568</v>
      </c>
      <c r="L1352">
        <f>IFERROR(VLOOKUP(F1352,'LEAID Match'!$A$2:$B$240,2,FALSE),"")</f>
        <v>0</v>
      </c>
    </row>
    <row r="1353" spans="1:12" x14ac:dyDescent="0.2">
      <c r="A1353">
        <v>0</v>
      </c>
      <c r="B1353">
        <v>2015</v>
      </c>
      <c r="C1353" s="4" t="s">
        <v>301</v>
      </c>
      <c r="D1353" s="4" t="s">
        <v>576</v>
      </c>
      <c r="E1353" s="4" t="s">
        <v>578</v>
      </c>
      <c r="F1353" s="4" t="s">
        <v>260</v>
      </c>
      <c r="G1353" s="8">
        <v>424252</v>
      </c>
      <c r="I1353" s="16" cm="1">
        <f t="array" ref="I1353">_xlfn.IFS(B1353=2015,G1353/$H$1957,B1353=2016,G1353/$H$1958,B1353=2017,G1353/$H$1959,B1353=2018,G1353/$H$1960,B1353=2019,G1353/$H$1961,B1353=2020,G1353/$H$1962,B1353=2021,G1353/$H$1963,B1353=2022,G1353/$H$1964,B1353=2023,G1353/$H$1965)</f>
        <v>3.2763220891011876E-4</v>
      </c>
      <c r="J1353" s="10" cm="1">
        <f t="array" ref="J1353">_xlfn.IFS(B1353=2015,I1353*$G$2,B1353=2016,I1353*$G$3,B1353=2017,I1353*$G$4,B1353=2018,I1353*$G$5,B1353=2019,I1353*$G$6,B1353=2020,I1353*$G$7,B1353=2021,I1353*$G$8,B1353=2022,I1353*$G$9,B1353=2023,I1353*$G$10)</f>
        <v>81463.316076349874</v>
      </c>
      <c r="K1353" s="8">
        <f t="shared" si="20"/>
        <v>505715.31607634987</v>
      </c>
      <c r="L1353">
        <f>IFERROR(VLOOKUP(F1353,'LEAID Match'!$A$2:$B$240,2,FALSE),"")</f>
        <v>0</v>
      </c>
    </row>
    <row r="1354" spans="1:12" x14ac:dyDescent="0.2">
      <c r="A1354">
        <v>0</v>
      </c>
      <c r="B1354">
        <v>2016</v>
      </c>
      <c r="C1354" s="4" t="s">
        <v>301</v>
      </c>
      <c r="D1354" s="4" t="s">
        <v>576</v>
      </c>
      <c r="E1354" s="4" t="s">
        <v>578</v>
      </c>
      <c r="F1354" s="4" t="s">
        <v>260</v>
      </c>
      <c r="G1354" s="8">
        <v>450123</v>
      </c>
      <c r="I1354" s="16" cm="1">
        <f t="array" ref="I1354">_xlfn.IFS(B1354=2015,G1354/$H$1957,B1354=2016,G1354/$H$1958,B1354=2017,G1354/$H$1959,B1354=2018,G1354/$H$1960,B1354=2019,G1354/$H$1961,B1354=2020,G1354/$H$1962,B1354=2021,G1354/$H$1963,B1354=2022,G1354/$H$1964,B1354=2023,G1354/$H$1965)</f>
        <v>3.1598615356948827E-4</v>
      </c>
      <c r="J1354" s="10" cm="1">
        <f t="array" ref="J1354">_xlfn.IFS(B1354=2015,I1354*$G$2,B1354=2016,I1354*$G$3,B1354=2017,I1354*$G$4,B1354=2018,I1354*$G$5,B1354=2019,I1354*$G$6,B1354=2020,I1354*$G$7,B1354=2021,I1354*$G$8,B1354=2022,I1354*$G$9,B1354=2023,I1354*$G$10)</f>
        <v>85696.418085398211</v>
      </c>
      <c r="K1354" s="8">
        <f t="shared" si="20"/>
        <v>535819.41808539815</v>
      </c>
      <c r="L1354">
        <f>IFERROR(VLOOKUP(F1354,'LEAID Match'!$A$2:$B$240,2,FALSE),"")</f>
        <v>0</v>
      </c>
    </row>
    <row r="1355" spans="1:12" x14ac:dyDescent="0.2">
      <c r="A1355">
        <v>0</v>
      </c>
      <c r="B1355">
        <v>2017</v>
      </c>
      <c r="C1355" s="4" t="s">
        <v>301</v>
      </c>
      <c r="D1355" s="4" t="s">
        <v>576</v>
      </c>
      <c r="E1355" s="4" t="s">
        <v>578</v>
      </c>
      <c r="F1355" s="4" t="s">
        <v>260</v>
      </c>
      <c r="G1355" s="8">
        <v>244711</v>
      </c>
      <c r="I1355" s="16" cm="1">
        <f t="array" ref="I1355">_xlfn.IFS(B1355=2015,G1355/$H$1957,B1355=2016,G1355/$H$1958,B1355=2017,G1355/$H$1959,B1355=2018,G1355/$H$1960,B1355=2019,G1355/$H$1961,B1355=2020,G1355/$H$1962,B1355=2021,G1355/$H$1963,B1355=2022,G1355/$H$1964,B1355=2023,G1355/$H$1965)</f>
        <v>3.264965502820471E-4</v>
      </c>
      <c r="J1355" s="10" cm="1">
        <f t="array" ref="J1355">_xlfn.IFS(B1355=2015,I1355*$G$2,B1355=2016,I1355*$G$3,B1355=2017,I1355*$G$4,B1355=2018,I1355*$G$5,B1355=2019,I1355*$G$6,B1355=2020,I1355*$G$7,B1355=2021,I1355*$G$8,B1355=2022,I1355*$G$9,B1355=2023,I1355*$G$10)</f>
        <v>48349.75979854224</v>
      </c>
      <c r="K1355" s="8">
        <f t="shared" si="20"/>
        <v>293060.75979854225</v>
      </c>
      <c r="L1355">
        <f>IFERROR(VLOOKUP(F1355,'LEAID Match'!$A$2:$B$240,2,FALSE),"")</f>
        <v>0</v>
      </c>
    </row>
    <row r="1356" spans="1:12" x14ac:dyDescent="0.2">
      <c r="A1356">
        <v>0</v>
      </c>
      <c r="B1356">
        <v>2018</v>
      </c>
      <c r="C1356" s="4" t="s">
        <v>301</v>
      </c>
      <c r="D1356" s="4" t="s">
        <v>576</v>
      </c>
      <c r="E1356" s="4" t="s">
        <v>578</v>
      </c>
      <c r="F1356" s="4" t="s">
        <v>260</v>
      </c>
      <c r="G1356" s="8">
        <v>277713</v>
      </c>
      <c r="I1356" s="16" cm="1">
        <f t="array" ref="I1356">_xlfn.IFS(B1356=2015,G1356/$H$1957,B1356=2016,G1356/$H$1958,B1356=2017,G1356/$H$1959,B1356=2018,G1356/$H$1960,B1356=2019,G1356/$H$1961,B1356=2020,G1356/$H$1962,B1356=2021,G1356/$H$1963,B1356=2022,G1356/$H$1964,B1356=2023,G1356/$H$1965)</f>
        <v>3.5733621847441671E-4</v>
      </c>
      <c r="J1356" s="10" cm="1">
        <f t="array" ref="J1356">_xlfn.IFS(B1356=2015,I1356*$G$2,B1356=2016,I1356*$G$3,B1356=2017,I1356*$G$4,B1356=2018,I1356*$G$5,B1356=2019,I1356*$G$6,B1356=2020,I1356*$G$7,B1356=2021,I1356*$G$8,B1356=2022,I1356*$G$9,B1356=2023,I1356*$G$10)</f>
        <v>53787.649792090495</v>
      </c>
      <c r="K1356" s="8">
        <f t="shared" ref="K1356:K1419" si="21">SUM(G1356,J1356)</f>
        <v>331500.64979209052</v>
      </c>
      <c r="L1356">
        <f>IFERROR(VLOOKUP(F1356,'LEAID Match'!$A$2:$B$240,2,FALSE),"")</f>
        <v>0</v>
      </c>
    </row>
    <row r="1357" spans="1:12" x14ac:dyDescent="0.2">
      <c r="A1357">
        <v>0</v>
      </c>
      <c r="B1357">
        <v>2019</v>
      </c>
      <c r="C1357" s="4" t="s">
        <v>301</v>
      </c>
      <c r="D1357" s="4" t="s">
        <v>576</v>
      </c>
      <c r="E1357" s="4" t="s">
        <v>578</v>
      </c>
      <c r="F1357" s="4" t="s">
        <v>260</v>
      </c>
      <c r="G1357" s="8">
        <v>298201</v>
      </c>
      <c r="I1357" s="16" cm="1">
        <f t="array" ref="I1357">_xlfn.IFS(B1357=2015,G1357/$H$1957,B1357=2016,G1357/$H$1958,B1357=2017,G1357/$H$1959,B1357=2018,G1357/$H$1960,B1357=2019,G1357/$H$1961,B1357=2020,G1357/$H$1962,B1357=2021,G1357/$H$1963,B1357=2022,G1357/$H$1964,B1357=2023,G1357/$H$1965)</f>
        <v>3.7060320418031459E-4</v>
      </c>
      <c r="J1357" s="10" cm="1">
        <f t="array" ref="J1357">_xlfn.IFS(B1357=2015,I1357*$G$2,B1357=2016,I1357*$G$3,B1357=2017,I1357*$G$4,B1357=2018,I1357*$G$5,B1357=2019,I1357*$G$6,B1357=2020,I1357*$G$7,B1357=2021,I1357*$G$8,B1357=2022,I1357*$G$9,B1357=2023,I1357*$G$10)</f>
        <v>58565.728363797665</v>
      </c>
      <c r="K1357" s="8">
        <f t="shared" si="21"/>
        <v>356766.72836379765</v>
      </c>
      <c r="L1357">
        <f>IFERROR(VLOOKUP(F1357,'LEAID Match'!$A$2:$B$240,2,FALSE),"")</f>
        <v>0</v>
      </c>
    </row>
    <row r="1358" spans="1:12" x14ac:dyDescent="0.2">
      <c r="A1358">
        <v>0</v>
      </c>
      <c r="B1358">
        <v>2020</v>
      </c>
      <c r="C1358" s="4" t="s">
        <v>301</v>
      </c>
      <c r="D1358" s="4" t="s">
        <v>576</v>
      </c>
      <c r="E1358" s="4" t="s">
        <v>578</v>
      </c>
      <c r="F1358" s="4" t="s">
        <v>260</v>
      </c>
      <c r="G1358" s="8">
        <v>314162</v>
      </c>
      <c r="I1358" s="16" cm="1">
        <f t="array" ref="I1358">_xlfn.IFS(B1358=2015,G1358/$H$1957,B1358=2016,G1358/$H$1958,B1358=2017,G1358/$H$1959,B1358=2018,G1358/$H$1960,B1358=2019,G1358/$H$1961,B1358=2020,G1358/$H$1962,B1358=2021,G1358/$H$1963,B1358=2022,G1358/$H$1964,B1358=2023,G1358/$H$1965)</f>
        <v>3.6133762661871133E-4</v>
      </c>
      <c r="J1358" s="10" cm="1">
        <f t="array" ref="J1358">_xlfn.IFS(B1358=2015,I1358*$G$2,B1358=2016,I1358*$G$3,B1358=2017,I1358*$G$4,B1358=2018,I1358*$G$5,B1358=2019,I1358*$G$6,B1358=2020,I1358*$G$7,B1358=2021,I1358*$G$8,B1358=2022,I1358*$G$9,B1358=2023,I1358*$G$10)</f>
        <v>62397.188413237127</v>
      </c>
      <c r="K1358" s="8">
        <f t="shared" si="21"/>
        <v>376559.18841323711</v>
      </c>
      <c r="L1358">
        <f>IFERROR(VLOOKUP(F1358,'LEAID Match'!$A$2:$B$240,2,FALSE),"")</f>
        <v>0</v>
      </c>
    </row>
    <row r="1359" spans="1:12" x14ac:dyDescent="0.2">
      <c r="A1359">
        <v>0</v>
      </c>
      <c r="B1359">
        <v>2021</v>
      </c>
      <c r="C1359" s="4" t="s">
        <v>301</v>
      </c>
      <c r="D1359" s="4" t="s">
        <v>576</v>
      </c>
      <c r="E1359" s="4" t="s">
        <v>578</v>
      </c>
      <c r="F1359" s="4" t="s">
        <v>260</v>
      </c>
      <c r="G1359" s="8">
        <v>326067</v>
      </c>
      <c r="I1359" s="16" cm="1">
        <f t="array" ref="I1359">_xlfn.IFS(B1359=2015,G1359/$H$1957,B1359=2016,G1359/$H$1958,B1359=2017,G1359/$H$1959,B1359=2018,G1359/$H$1960,B1359=2019,G1359/$H$1961,B1359=2020,G1359/$H$1962,B1359=2021,G1359/$H$1963,B1359=2022,G1359/$H$1964,B1359=2023,G1359/$H$1965)</f>
        <v>3.7262770179796745E-4</v>
      </c>
      <c r="J1359" s="10" cm="1">
        <f t="array" ref="J1359">_xlfn.IFS(B1359=2015,I1359*$G$2,B1359=2016,I1359*$G$3,B1359=2017,I1359*$G$4,B1359=2018,I1359*$G$5,B1359=2019,I1359*$G$6,B1359=2020,I1359*$G$7,B1359=2021,I1359*$G$8,B1359=2022,I1359*$G$9,B1359=2023,I1359*$G$10)</f>
        <v>63949.187188518685</v>
      </c>
      <c r="K1359" s="8">
        <f t="shared" si="21"/>
        <v>390016.1871885187</v>
      </c>
      <c r="L1359">
        <f>IFERROR(VLOOKUP(F1359,'LEAID Match'!$A$2:$B$240,2,FALSE),"")</f>
        <v>0</v>
      </c>
    </row>
    <row r="1360" spans="1:12" x14ac:dyDescent="0.2">
      <c r="A1360">
        <v>0</v>
      </c>
      <c r="B1360">
        <v>2022</v>
      </c>
      <c r="C1360" s="4" t="s">
        <v>301</v>
      </c>
      <c r="D1360" s="4" t="s">
        <v>576</v>
      </c>
      <c r="E1360" s="4" t="s">
        <v>578</v>
      </c>
      <c r="F1360" s="4" t="s">
        <v>260</v>
      </c>
      <c r="G1360" s="8">
        <v>319468</v>
      </c>
      <c r="I1360" s="16" cm="1">
        <f t="array" ref="I1360">_xlfn.IFS(B1360=2015,G1360/$H$1957,B1360=2016,G1360/$H$1958,B1360=2017,G1360/$H$1959,B1360=2018,G1360/$H$1960,B1360=2019,G1360/$H$1961,B1360=2020,G1360/$H$1962,B1360=2021,G1360/$H$1963,B1360=2022,G1360/$H$1964,B1360=2023,G1360/$H$1965)</f>
        <v>3.433649437098785E-4</v>
      </c>
      <c r="J1360" s="10" cm="1">
        <f t="array" ref="J1360">_xlfn.IFS(B1360=2015,I1360*$G$2,B1360=2016,I1360*$G$3,B1360=2017,I1360*$G$4,B1360=2018,I1360*$G$5,B1360=2019,I1360*$G$6,B1360=2020,I1360*$G$7,B1360=2021,I1360*$G$8,B1360=2022,I1360*$G$9,B1360=2023,I1360*$G$10)</f>
        <v>58229.76682288821</v>
      </c>
      <c r="K1360" s="8">
        <f t="shared" si="21"/>
        <v>377697.76682288822</v>
      </c>
      <c r="L1360">
        <f>IFERROR(VLOOKUP(F1360,'LEAID Match'!$A$2:$B$240,2,FALSE),"")</f>
        <v>0</v>
      </c>
    </row>
    <row r="1361" spans="1:12" x14ac:dyDescent="0.2">
      <c r="A1361">
        <v>0</v>
      </c>
      <c r="B1361">
        <v>2023</v>
      </c>
      <c r="C1361" s="4" t="s">
        <v>301</v>
      </c>
      <c r="D1361" s="4" t="s">
        <v>576</v>
      </c>
      <c r="E1361" s="4" t="s">
        <v>578</v>
      </c>
      <c r="F1361" s="4" t="s">
        <v>260</v>
      </c>
      <c r="G1361" s="8">
        <v>346784</v>
      </c>
      <c r="I1361" s="16" cm="1">
        <f t="array" ref="I1361">_xlfn.IFS(B1361=2015,G1361/$H$1957,B1361=2016,G1361/$H$1958,B1361=2017,G1361/$H$1959,B1361=2018,G1361/$H$1960,B1361=2019,G1361/$H$1961,B1361=2020,G1361/$H$1962,B1361=2021,G1361/$H$1963,B1361=2022,G1361/$H$1964,B1361=2023,G1361/$H$1965)</f>
        <v>3.5111519020667418E-4</v>
      </c>
      <c r="J1361" s="10" cm="1">
        <f t="array" ref="J1361">_xlfn.IFS(B1361=2015,I1361*$G$2,B1361=2016,I1361*$G$3,B1361=2017,I1361*$G$4,B1361=2018,I1361*$G$5,B1361=2019,I1361*$G$6,B1361=2020,I1361*$G$7,B1361=2021,I1361*$G$8,B1361=2022,I1361*$G$9,B1361=2023,I1361*$G$10)</f>
        <v>59684.42761302719</v>
      </c>
      <c r="K1361" s="8">
        <f t="shared" si="21"/>
        <v>406468.42761302716</v>
      </c>
      <c r="L1361">
        <f>IFERROR(VLOOKUP(F1361,'LEAID Match'!$A$2:$B$240,2,FALSE),"")</f>
        <v>0</v>
      </c>
    </row>
    <row r="1362" spans="1:12" x14ac:dyDescent="0.2">
      <c r="A1362">
        <v>0</v>
      </c>
      <c r="B1362">
        <v>2015</v>
      </c>
      <c r="C1362" s="4" t="s">
        <v>302</v>
      </c>
      <c r="D1362" s="4" t="s">
        <v>576</v>
      </c>
      <c r="E1362" s="4" t="s">
        <v>578</v>
      </c>
      <c r="F1362" s="4" t="s">
        <v>261</v>
      </c>
      <c r="G1362" s="8">
        <v>44731</v>
      </c>
      <c r="I1362" s="16" cm="1">
        <f t="array" ref="I1362">_xlfn.IFS(B1362=2015,G1362/$H$1957,B1362=2016,G1362/$H$1958,B1362=2017,G1362/$H$1959,B1362=2018,G1362/$H$1960,B1362=2019,G1362/$H$1961,B1362=2020,G1362/$H$1962,B1362=2021,G1362/$H$1963,B1362=2022,G1362/$H$1964,B1362=2023,G1362/$H$1965)</f>
        <v>3.4543894517311695E-5</v>
      </c>
      <c r="J1362" s="10" cm="1">
        <f t="array" ref="J1362">_xlfn.IFS(B1362=2015,I1362*$G$2,B1362=2016,I1362*$G$3,B1362=2017,I1362*$G$4,B1362=2018,I1362*$G$5,B1362=2019,I1362*$G$6,B1362=2020,I1362*$G$7,B1362=2021,I1362*$G$8,B1362=2022,I1362*$G$9,B1362=2023,I1362*$G$10)</f>
        <v>8589.0828833127616</v>
      </c>
      <c r="K1362" s="8">
        <f t="shared" si="21"/>
        <v>53320.08288331276</v>
      </c>
      <c r="L1362">
        <f>IFERROR(VLOOKUP(F1362,'LEAID Match'!$A$2:$B$240,2,FALSE),"")</f>
        <v>0</v>
      </c>
    </row>
    <row r="1363" spans="1:12" x14ac:dyDescent="0.2">
      <c r="A1363">
        <v>0</v>
      </c>
      <c r="B1363">
        <v>2016</v>
      </c>
      <c r="C1363" s="4" t="s">
        <v>302</v>
      </c>
      <c r="D1363" s="4" t="s">
        <v>576</v>
      </c>
      <c r="E1363" s="4" t="s">
        <v>578</v>
      </c>
      <c r="F1363" s="4" t="s">
        <v>261</v>
      </c>
      <c r="G1363" s="8">
        <v>52280</v>
      </c>
      <c r="I1363" s="16" cm="1">
        <f t="array" ref="I1363">_xlfn.IFS(B1363=2015,G1363/$H$1957,B1363=2016,G1363/$H$1958,B1363=2017,G1363/$H$1959,B1363=2018,G1363/$H$1960,B1363=2019,G1363/$H$1961,B1363=2020,G1363/$H$1962,B1363=2021,G1363/$H$1963,B1363=2022,G1363/$H$1964,B1363=2023,G1363/$H$1965)</f>
        <v>3.6700537649959782E-5</v>
      </c>
      <c r="J1363" s="10" cm="1">
        <f t="array" ref="J1363">_xlfn.IFS(B1363=2015,I1363*$G$2,B1363=2016,I1363*$G$3,B1363=2017,I1363*$G$4,B1363=2018,I1363*$G$5,B1363=2019,I1363*$G$6,B1363=2020,I1363*$G$7,B1363=2021,I1363*$G$8,B1363=2022,I1363*$G$9,B1363=2023,I1363*$G$10)</f>
        <v>9953.2988483250538</v>
      </c>
      <c r="K1363" s="8">
        <f t="shared" si="21"/>
        <v>62233.298848325052</v>
      </c>
      <c r="L1363">
        <f>IFERROR(VLOOKUP(F1363,'LEAID Match'!$A$2:$B$240,2,FALSE),"")</f>
        <v>0</v>
      </c>
    </row>
    <row r="1364" spans="1:12" x14ac:dyDescent="0.2">
      <c r="A1364">
        <v>0</v>
      </c>
      <c r="B1364">
        <v>2017</v>
      </c>
      <c r="C1364" s="4" t="s">
        <v>302</v>
      </c>
      <c r="D1364" s="4" t="s">
        <v>576</v>
      </c>
      <c r="E1364" s="4" t="s">
        <v>578</v>
      </c>
      <c r="F1364" s="4" t="s">
        <v>261</v>
      </c>
      <c r="G1364" s="8">
        <v>34386</v>
      </c>
      <c r="I1364" s="16" cm="1">
        <f t="array" ref="I1364">_xlfn.IFS(B1364=2015,G1364/$H$1957,B1364=2016,G1364/$H$1958,B1364=2017,G1364/$H$1959,B1364=2018,G1364/$H$1960,B1364=2019,G1364/$H$1961,B1364=2020,G1364/$H$1962,B1364=2021,G1364/$H$1963,B1364=2022,G1364/$H$1964,B1364=2023,G1364/$H$1965)</f>
        <v>4.5878241591095094E-5</v>
      </c>
      <c r="J1364" s="10" cm="1">
        <f t="array" ref="J1364">_xlfn.IFS(B1364=2015,I1364*$G$2,B1364=2016,I1364*$G$3,B1364=2017,I1364*$G$4,B1364=2018,I1364*$G$5,B1364=2019,I1364*$G$6,B1364=2020,I1364*$G$7,B1364=2021,I1364*$G$8,B1364=2022,I1364*$G$9,B1364=2023,I1364*$G$10)</f>
        <v>6793.9522147867219</v>
      </c>
      <c r="K1364" s="8">
        <f t="shared" si="21"/>
        <v>41179.952214786725</v>
      </c>
      <c r="L1364">
        <f>IFERROR(VLOOKUP(F1364,'LEAID Match'!$A$2:$B$240,2,FALSE),"")</f>
        <v>0</v>
      </c>
    </row>
    <row r="1365" spans="1:12" x14ac:dyDescent="0.2">
      <c r="A1365">
        <v>0</v>
      </c>
      <c r="B1365">
        <v>2018</v>
      </c>
      <c r="C1365" s="4" t="s">
        <v>302</v>
      </c>
      <c r="D1365" s="4" t="s">
        <v>576</v>
      </c>
      <c r="E1365" s="4" t="s">
        <v>578</v>
      </c>
      <c r="F1365" s="4" t="s">
        <v>261</v>
      </c>
      <c r="G1365" s="8">
        <v>36241</v>
      </c>
      <c r="I1365" s="16" cm="1">
        <f t="array" ref="I1365">_xlfn.IFS(B1365=2015,G1365/$H$1957,B1365=2016,G1365/$H$1958,B1365=2017,G1365/$H$1959,B1365=2018,G1365/$H$1960,B1365=2019,G1365/$H$1961,B1365=2020,G1365/$H$1962,B1365=2021,G1365/$H$1963,B1365=2022,G1365/$H$1964,B1365=2023,G1365/$H$1965)</f>
        <v>4.6631673323651881E-5</v>
      </c>
      <c r="J1365" s="10" cm="1">
        <f t="array" ref="J1365">_xlfn.IFS(B1365=2015,I1365*$G$2,B1365=2016,I1365*$G$3,B1365=2017,I1365*$G$4,B1365=2018,I1365*$G$5,B1365=2019,I1365*$G$6,B1365=2020,I1365*$G$7,B1365=2021,I1365*$G$8,B1365=2022,I1365*$G$9,B1365=2023,I1365*$G$10)</f>
        <v>7019.1824513622032</v>
      </c>
      <c r="K1365" s="8">
        <f t="shared" si="21"/>
        <v>43260.182451362205</v>
      </c>
      <c r="L1365">
        <f>IFERROR(VLOOKUP(F1365,'LEAID Match'!$A$2:$B$240,2,FALSE),"")</f>
        <v>0</v>
      </c>
    </row>
    <row r="1366" spans="1:12" x14ac:dyDescent="0.2">
      <c r="A1366">
        <v>0</v>
      </c>
      <c r="B1366">
        <v>2019</v>
      </c>
      <c r="C1366" s="4" t="s">
        <v>302</v>
      </c>
      <c r="D1366" s="4" t="s">
        <v>576</v>
      </c>
      <c r="E1366" s="4" t="s">
        <v>578</v>
      </c>
      <c r="F1366" s="4" t="s">
        <v>261</v>
      </c>
      <c r="G1366" s="8">
        <v>45555</v>
      </c>
      <c r="I1366" s="16" cm="1">
        <f t="array" ref="I1366">_xlfn.IFS(B1366=2015,G1366/$H$1957,B1366=2016,G1366/$H$1958,B1366=2017,G1366/$H$1959,B1366=2018,G1366/$H$1960,B1366=2019,G1366/$H$1961,B1366=2020,G1366/$H$1962,B1366=2021,G1366/$H$1963,B1366=2022,G1366/$H$1964,B1366=2023,G1366/$H$1965)</f>
        <v>5.6615601444777953E-5</v>
      </c>
      <c r="J1366" s="10" cm="1">
        <f t="array" ref="J1366">_xlfn.IFS(B1366=2015,I1366*$G$2,B1366=2016,I1366*$G$3,B1366=2017,I1366*$G$4,B1366=2018,I1366*$G$5,B1366=2019,I1366*$G$6,B1366=2020,I1366*$G$7,B1366=2021,I1366*$G$8,B1366=2022,I1366*$G$9,B1366=2023,I1366*$G$10)</f>
        <v>8946.8571722187462</v>
      </c>
      <c r="K1366" s="8">
        <f t="shared" si="21"/>
        <v>54501.857172218748</v>
      </c>
      <c r="L1366">
        <f>IFERROR(VLOOKUP(F1366,'LEAID Match'!$A$2:$B$240,2,FALSE),"")</f>
        <v>0</v>
      </c>
    </row>
    <row r="1367" spans="1:12" x14ac:dyDescent="0.2">
      <c r="A1367">
        <v>0</v>
      </c>
      <c r="B1367">
        <v>2020</v>
      </c>
      <c r="C1367" s="4" t="s">
        <v>302</v>
      </c>
      <c r="D1367" s="4" t="s">
        <v>576</v>
      </c>
      <c r="E1367" s="4" t="s">
        <v>578</v>
      </c>
      <c r="F1367" s="4" t="s">
        <v>261</v>
      </c>
      <c r="G1367" s="8">
        <v>42799</v>
      </c>
      <c r="I1367" s="16" cm="1">
        <f t="array" ref="I1367">_xlfn.IFS(B1367=2015,G1367/$H$1957,B1367=2016,G1367/$H$1958,B1367=2017,G1367/$H$1959,B1367=2018,G1367/$H$1960,B1367=2019,G1367/$H$1961,B1367=2020,G1367/$H$1962,B1367=2021,G1367/$H$1963,B1367=2022,G1367/$H$1964,B1367=2023,G1367/$H$1965)</f>
        <v>4.9225842341385103E-5</v>
      </c>
      <c r="J1367" s="10" cm="1">
        <f t="array" ref="J1367">_xlfn.IFS(B1367=2015,I1367*$G$2,B1367=2016,I1367*$G$3,B1367=2017,I1367*$G$4,B1367=2018,I1367*$G$5,B1367=2019,I1367*$G$6,B1367=2020,I1367*$G$7,B1367=2021,I1367*$G$8,B1367=2022,I1367*$G$9,B1367=2023,I1367*$G$10)</f>
        <v>8500.5101409404579</v>
      </c>
      <c r="K1367" s="8">
        <f t="shared" si="21"/>
        <v>51299.51014094046</v>
      </c>
      <c r="L1367">
        <f>IFERROR(VLOOKUP(F1367,'LEAID Match'!$A$2:$B$240,2,FALSE),"")</f>
        <v>0</v>
      </c>
    </row>
    <row r="1368" spans="1:12" x14ac:dyDescent="0.2">
      <c r="A1368">
        <v>0</v>
      </c>
      <c r="B1368">
        <v>2021</v>
      </c>
      <c r="C1368" s="4" t="s">
        <v>302</v>
      </c>
      <c r="D1368" s="4" t="s">
        <v>576</v>
      </c>
      <c r="E1368" s="4" t="s">
        <v>578</v>
      </c>
      <c r="F1368" s="4" t="s">
        <v>261</v>
      </c>
      <c r="G1368" s="8">
        <v>48141</v>
      </c>
      <c r="I1368" s="16" cm="1">
        <f t="array" ref="I1368">_xlfn.IFS(B1368=2015,G1368/$H$1957,B1368=2016,G1368/$H$1958,B1368=2017,G1368/$H$1959,B1368=2018,G1368/$H$1960,B1368=2019,G1368/$H$1961,B1368=2020,G1368/$H$1962,B1368=2021,G1368/$H$1963,B1368=2022,G1368/$H$1964,B1368=2023,G1368/$H$1965)</f>
        <v>5.5015288858596392E-5</v>
      </c>
      <c r="J1368" s="10" cm="1">
        <f t="array" ref="J1368">_xlfn.IFS(B1368=2015,I1368*$G$2,B1368=2016,I1368*$G$3,B1368=2017,I1368*$G$4,B1368=2018,I1368*$G$5,B1368=2019,I1368*$G$6,B1368=2020,I1368*$G$7,B1368=2021,I1368*$G$8,B1368=2022,I1368*$G$9,B1368=2023,I1368*$G$10)</f>
        <v>9441.549805538365</v>
      </c>
      <c r="K1368" s="8">
        <f t="shared" si="21"/>
        <v>57582.549805538365</v>
      </c>
      <c r="L1368">
        <f>IFERROR(VLOOKUP(F1368,'LEAID Match'!$A$2:$B$240,2,FALSE),"")</f>
        <v>0</v>
      </c>
    </row>
    <row r="1369" spans="1:12" x14ac:dyDescent="0.2">
      <c r="A1369">
        <v>0</v>
      </c>
      <c r="B1369">
        <v>2022</v>
      </c>
      <c r="C1369" s="4" t="s">
        <v>302</v>
      </c>
      <c r="D1369" s="4" t="s">
        <v>576</v>
      </c>
      <c r="E1369" s="4" t="s">
        <v>578</v>
      </c>
      <c r="F1369" s="4" t="s">
        <v>261</v>
      </c>
      <c r="G1369" s="8">
        <v>52291</v>
      </c>
      <c r="I1369" s="16" cm="1">
        <f t="array" ref="I1369">_xlfn.IFS(B1369=2015,G1369/$H$1957,B1369=2016,G1369/$H$1958,B1369=2017,G1369/$H$1959,B1369=2018,G1369/$H$1960,B1369=2019,G1369/$H$1961,B1369=2020,G1369/$H$1962,B1369=2021,G1369/$H$1963,B1369=2022,G1369/$H$1964,B1369=2023,G1369/$H$1965)</f>
        <v>5.6202487483983554E-5</v>
      </c>
      <c r="J1369" s="10" cm="1">
        <f t="array" ref="J1369">_xlfn.IFS(B1369=2015,I1369*$G$2,B1369=2016,I1369*$G$3,B1369=2017,I1369*$G$4,B1369=2018,I1369*$G$5,B1369=2019,I1369*$G$6,B1369=2020,I1369*$G$7,B1369=2021,I1369*$G$8,B1369=2022,I1369*$G$9,B1369=2023,I1369*$G$10)</f>
        <v>9531.135315385729</v>
      </c>
      <c r="K1369" s="8">
        <f t="shared" si="21"/>
        <v>61822.135315385727</v>
      </c>
      <c r="L1369">
        <f>IFERROR(VLOOKUP(F1369,'LEAID Match'!$A$2:$B$240,2,FALSE),"")</f>
        <v>0</v>
      </c>
    </row>
    <row r="1370" spans="1:12" x14ac:dyDescent="0.2">
      <c r="A1370">
        <v>0</v>
      </c>
      <c r="B1370">
        <v>2023</v>
      </c>
      <c r="C1370" s="4" t="s">
        <v>302</v>
      </c>
      <c r="D1370" s="4" t="s">
        <v>576</v>
      </c>
      <c r="E1370" s="4" t="s">
        <v>578</v>
      </c>
      <c r="F1370" s="4" t="s">
        <v>261</v>
      </c>
      <c r="G1370" s="8">
        <v>57356</v>
      </c>
      <c r="I1370" s="16" cm="1">
        <f t="array" ref="I1370">_xlfn.IFS(B1370=2015,G1370/$H$1957,B1370=2016,G1370/$H$1958,B1370=2017,G1370/$H$1959,B1370=2018,G1370/$H$1960,B1370=2019,G1370/$H$1961,B1370=2020,G1370/$H$1962,B1370=2021,G1370/$H$1963,B1370=2022,G1370/$H$1964,B1370=2023,G1370/$H$1965)</f>
        <v>5.8072352961768722E-5</v>
      </c>
      <c r="J1370" s="10" cm="1">
        <f t="array" ref="J1370">_xlfn.IFS(B1370=2015,I1370*$G$2,B1370=2016,I1370*$G$3,B1370=2017,I1370*$G$4,B1370=2018,I1370*$G$5,B1370=2019,I1370*$G$6,B1370=2020,I1370*$G$7,B1370=2021,I1370*$G$8,B1370=2022,I1370*$G$9,B1370=2023,I1370*$G$10)</f>
        <v>9871.4474432868519</v>
      </c>
      <c r="K1370" s="8">
        <f t="shared" si="21"/>
        <v>67227.447443286859</v>
      </c>
      <c r="L1370">
        <f>IFERROR(VLOOKUP(F1370,'LEAID Match'!$A$2:$B$240,2,FALSE),"")</f>
        <v>0</v>
      </c>
    </row>
    <row r="1371" spans="1:12" x14ac:dyDescent="0.2">
      <c r="A1371">
        <v>0</v>
      </c>
      <c r="B1371">
        <v>2015</v>
      </c>
      <c r="C1371" s="4" t="s">
        <v>303</v>
      </c>
      <c r="D1371" s="4" t="s">
        <v>576</v>
      </c>
      <c r="E1371" s="4" t="s">
        <v>578</v>
      </c>
      <c r="F1371" s="4" t="s">
        <v>262</v>
      </c>
      <c r="G1371" s="8">
        <v>31439</v>
      </c>
      <c r="I1371" s="16" cm="1">
        <f t="array" ref="I1371">_xlfn.IFS(B1371=2015,G1371/$H$1957,B1371=2016,G1371/$H$1958,B1371=2017,G1371/$H$1959,B1371=2018,G1371/$H$1960,B1371=2019,G1371/$H$1961,B1371=2020,G1371/$H$1962,B1371=2021,G1371/$H$1963,B1371=2022,G1371/$H$1964,B1371=2023,G1371/$H$1965)</f>
        <v>2.427903466789838E-5</v>
      </c>
      <c r="J1371" s="10" cm="1">
        <f t="array" ref="J1371">_xlfn.IFS(B1371=2015,I1371*$G$2,B1371=2016,I1371*$G$3,B1371=2017,I1371*$G$4,B1371=2018,I1371*$G$5,B1371=2019,I1371*$G$6,B1371=2020,I1371*$G$7,B1371=2021,I1371*$G$8,B1371=2022,I1371*$G$9,B1371=2023,I1371*$G$10)</f>
        <v>6036.8016983405232</v>
      </c>
      <c r="K1371" s="8">
        <f t="shared" si="21"/>
        <v>37475.801698340525</v>
      </c>
      <c r="L1371">
        <f>IFERROR(VLOOKUP(F1371,'LEAID Match'!$A$2:$B$240,2,FALSE),"")</f>
        <v>0</v>
      </c>
    </row>
    <row r="1372" spans="1:12" x14ac:dyDescent="0.2">
      <c r="A1372">
        <v>0</v>
      </c>
      <c r="B1372">
        <v>2016</v>
      </c>
      <c r="C1372" s="4" t="s">
        <v>303</v>
      </c>
      <c r="D1372" s="4" t="s">
        <v>576</v>
      </c>
      <c r="E1372" s="4" t="s">
        <v>578</v>
      </c>
      <c r="F1372" s="4" t="s">
        <v>262</v>
      </c>
      <c r="G1372" s="8">
        <v>18286</v>
      </c>
      <c r="I1372" s="16" cm="1">
        <f t="array" ref="I1372">_xlfn.IFS(B1372=2015,G1372/$H$1957,B1372=2016,G1372/$H$1958,B1372=2017,G1372/$H$1959,B1372=2018,G1372/$H$1960,B1372=2019,G1372/$H$1961,B1372=2020,G1372/$H$1962,B1372=2021,G1372/$H$1963,B1372=2022,G1372/$H$1964,B1372=2023,G1372/$H$1965)</f>
        <v>1.2836764182616001E-5</v>
      </c>
      <c r="J1372" s="10" cm="1">
        <f t="array" ref="J1372">_xlfn.IFS(B1372=2015,I1372*$G$2,B1372=2016,I1372*$G$3,B1372=2017,I1372*$G$4,B1372=2018,I1372*$G$5,B1372=2019,I1372*$G$6,B1372=2020,I1372*$G$7,B1372=2021,I1372*$G$8,B1372=2022,I1372*$G$9,B1372=2023,I1372*$G$10)</f>
        <v>3481.3699835591419</v>
      </c>
      <c r="K1372" s="8">
        <f t="shared" si="21"/>
        <v>21767.369983559143</v>
      </c>
      <c r="L1372">
        <f>IFERROR(VLOOKUP(F1372,'LEAID Match'!$A$2:$B$240,2,FALSE),"")</f>
        <v>0</v>
      </c>
    </row>
    <row r="1373" spans="1:12" x14ac:dyDescent="0.2">
      <c r="A1373">
        <v>0</v>
      </c>
      <c r="B1373">
        <v>2017</v>
      </c>
      <c r="C1373" s="4" t="s">
        <v>303</v>
      </c>
      <c r="D1373" s="4" t="s">
        <v>576</v>
      </c>
      <c r="E1373" s="4" t="s">
        <v>578</v>
      </c>
      <c r="F1373" s="4" t="s">
        <v>262</v>
      </c>
      <c r="G1373" s="8">
        <v>10260</v>
      </c>
      <c r="I1373" s="16" cm="1">
        <f t="array" ref="I1373">_xlfn.IFS(B1373=2015,G1373/$H$1957,B1373=2016,G1373/$H$1958,B1373=2017,G1373/$H$1959,B1373=2018,G1373/$H$1960,B1373=2019,G1373/$H$1961,B1373=2020,G1373/$H$1962,B1373=2021,G1373/$H$1963,B1373=2022,G1373/$H$1964,B1373=2023,G1373/$H$1965)</f>
        <v>1.3689023402682362E-5</v>
      </c>
      <c r="J1373" s="10" cm="1">
        <f t="array" ref="J1373">_xlfn.IFS(B1373=2015,I1373*$G$2,B1373=2016,I1373*$G$3,B1373=2017,I1373*$G$4,B1373=2018,I1373*$G$5,B1373=2019,I1373*$G$6,B1373=2020,I1373*$G$7,B1373=2021,I1373*$G$8,B1373=2022,I1373*$G$9,B1373=2023,I1373*$G$10)</f>
        <v>2027.1607550663575</v>
      </c>
      <c r="K1373" s="8">
        <f t="shared" si="21"/>
        <v>12287.160755066358</v>
      </c>
      <c r="L1373">
        <f>IFERROR(VLOOKUP(F1373,'LEAID Match'!$A$2:$B$240,2,FALSE),"")</f>
        <v>0</v>
      </c>
    </row>
    <row r="1374" spans="1:12" x14ac:dyDescent="0.2">
      <c r="A1374">
        <v>0</v>
      </c>
      <c r="B1374">
        <v>2018</v>
      </c>
      <c r="C1374" s="4" t="s">
        <v>303</v>
      </c>
      <c r="D1374" s="4" t="s">
        <v>576</v>
      </c>
      <c r="E1374" s="4" t="s">
        <v>578</v>
      </c>
      <c r="F1374" s="4" t="s">
        <v>262</v>
      </c>
      <c r="G1374" s="8">
        <v>10503</v>
      </c>
      <c r="I1374" s="16" cm="1">
        <f t="array" ref="I1374">_xlfn.IFS(B1374=2015,G1374/$H$1957,B1374=2016,G1374/$H$1958,B1374=2017,G1374/$H$1959,B1374=2018,G1374/$H$1960,B1374=2019,G1374/$H$1961,B1374=2020,G1374/$H$1962,B1374=2021,G1374/$H$1963,B1374=2022,G1374/$H$1964,B1374=2023,G1374/$H$1965)</f>
        <v>1.351431982887657E-5</v>
      </c>
      <c r="J1374" s="10" cm="1">
        <f t="array" ref="J1374">_xlfn.IFS(B1374=2015,I1374*$G$2,B1374=2016,I1374*$G$3,B1374=2017,I1374*$G$4,B1374=2018,I1374*$G$5,B1374=2019,I1374*$G$6,B1374=2020,I1374*$G$7,B1374=2021,I1374*$G$8,B1374=2022,I1374*$G$9,B1374=2023,I1374*$G$10)</f>
        <v>2034.2284508335097</v>
      </c>
      <c r="K1374" s="8">
        <f t="shared" si="21"/>
        <v>12537.228450833511</v>
      </c>
      <c r="L1374">
        <f>IFERROR(VLOOKUP(F1374,'LEAID Match'!$A$2:$B$240,2,FALSE),"")</f>
        <v>0</v>
      </c>
    </row>
    <row r="1375" spans="1:12" x14ac:dyDescent="0.2">
      <c r="A1375">
        <v>0</v>
      </c>
      <c r="B1375">
        <v>2019</v>
      </c>
      <c r="C1375" s="4" t="s">
        <v>303</v>
      </c>
      <c r="D1375" s="4" t="s">
        <v>576</v>
      </c>
      <c r="E1375" s="4" t="s">
        <v>578</v>
      </c>
      <c r="F1375" s="4" t="s">
        <v>262</v>
      </c>
      <c r="G1375" s="8">
        <v>13123</v>
      </c>
      <c r="I1375" s="16" cm="1">
        <f t="array" ref="I1375">_xlfn.IFS(B1375=2015,G1375/$H$1957,B1375=2016,G1375/$H$1958,B1375=2017,G1375/$H$1959,B1375=2018,G1375/$H$1960,B1375=2019,G1375/$H$1961,B1375=2020,G1375/$H$1962,B1375=2021,G1375/$H$1963,B1375=2022,G1375/$H$1964,B1375=2023,G1375/$H$1965)</f>
        <v>1.6309220453513798E-5</v>
      </c>
      <c r="J1375" s="10" cm="1">
        <f t="array" ref="J1375">_xlfn.IFS(B1375=2015,I1375*$G$2,B1375=2016,I1375*$G$3,B1375=2017,I1375*$G$4,B1375=2018,I1375*$G$5,B1375=2019,I1375*$G$6,B1375=2020,I1375*$G$7,B1375=2021,I1375*$G$8,B1375=2022,I1375*$G$9,B1375=2023,I1375*$G$10)</f>
        <v>2577.3154795527739</v>
      </c>
      <c r="K1375" s="8">
        <f t="shared" si="21"/>
        <v>15700.315479552773</v>
      </c>
      <c r="L1375">
        <f>IFERROR(VLOOKUP(F1375,'LEAID Match'!$A$2:$B$240,2,FALSE),"")</f>
        <v>0</v>
      </c>
    </row>
    <row r="1376" spans="1:12" x14ac:dyDescent="0.2">
      <c r="A1376">
        <v>0</v>
      </c>
      <c r="B1376">
        <v>2020</v>
      </c>
      <c r="C1376" s="4" t="s">
        <v>303</v>
      </c>
      <c r="D1376" s="4" t="s">
        <v>576</v>
      </c>
      <c r="E1376" s="4" t="s">
        <v>578</v>
      </c>
      <c r="F1376" s="4" t="s">
        <v>262</v>
      </c>
      <c r="G1376" s="8">
        <v>12131</v>
      </c>
      <c r="I1376" s="16" cm="1">
        <f t="array" ref="I1376">_xlfn.IFS(B1376=2015,G1376/$H$1957,B1376=2016,G1376/$H$1958,B1376=2017,G1376/$H$1959,B1376=2018,G1376/$H$1960,B1376=2019,G1376/$H$1961,B1376=2020,G1376/$H$1962,B1376=2021,G1376/$H$1963,B1376=2022,G1376/$H$1964,B1376=2023,G1376/$H$1965)</f>
        <v>1.3952631917646268E-5</v>
      </c>
      <c r="J1376" s="10" cm="1">
        <f t="array" ref="J1376">_xlfn.IFS(B1376=2015,I1376*$G$2,B1376=2016,I1376*$G$3,B1376=2017,I1376*$G$4,B1376=2018,I1376*$G$5,B1376=2019,I1376*$G$6,B1376=2020,I1376*$G$7,B1376=2021,I1376*$G$8,B1376=2022,I1376*$G$9,B1376=2023,I1376*$G$10)</f>
        <v>2409.394811087845</v>
      </c>
      <c r="K1376" s="8">
        <f t="shared" si="21"/>
        <v>14540.394811087845</v>
      </c>
      <c r="L1376">
        <f>IFERROR(VLOOKUP(F1376,'LEAID Match'!$A$2:$B$240,2,FALSE),"")</f>
        <v>0</v>
      </c>
    </row>
    <row r="1377" spans="1:12" x14ac:dyDescent="0.2">
      <c r="A1377">
        <v>0</v>
      </c>
      <c r="B1377">
        <v>2021</v>
      </c>
      <c r="C1377" s="4" t="s">
        <v>303</v>
      </c>
      <c r="D1377" s="4" t="s">
        <v>576</v>
      </c>
      <c r="E1377" s="4" t="s">
        <v>578</v>
      </c>
      <c r="F1377" s="4" t="s">
        <v>262</v>
      </c>
      <c r="G1377" s="8">
        <v>12602</v>
      </c>
      <c r="I1377" s="16" cm="1">
        <f t="array" ref="I1377">_xlfn.IFS(B1377=2015,G1377/$H$1957,B1377=2016,G1377/$H$1958,B1377=2017,G1377/$H$1959,B1377=2018,G1377/$H$1960,B1377=2019,G1377/$H$1961,B1377=2020,G1377/$H$1962,B1377=2021,G1377/$H$1963,B1377=2022,G1377/$H$1964,B1377=2023,G1377/$H$1965)</f>
        <v>1.4401501219252441E-5</v>
      </c>
      <c r="J1377" s="10" cm="1">
        <f t="array" ref="J1377">_xlfn.IFS(B1377=2015,I1377*$G$2,B1377=2016,I1377*$G$3,B1377=2017,I1377*$G$4,B1377=2018,I1377*$G$5,B1377=2019,I1377*$G$6,B1377=2020,I1377*$G$7,B1377=2021,I1377*$G$8,B1377=2022,I1377*$G$9,B1377=2023,I1377*$G$10)</f>
        <v>2471.5400728982463</v>
      </c>
      <c r="K1377" s="8">
        <f t="shared" si="21"/>
        <v>15073.540072898246</v>
      </c>
      <c r="L1377">
        <f>IFERROR(VLOOKUP(F1377,'LEAID Match'!$A$2:$B$240,2,FALSE),"")</f>
        <v>0</v>
      </c>
    </row>
    <row r="1378" spans="1:12" x14ac:dyDescent="0.2">
      <c r="A1378">
        <v>0</v>
      </c>
      <c r="B1378">
        <v>2022</v>
      </c>
      <c r="C1378" s="4" t="s">
        <v>303</v>
      </c>
      <c r="D1378" s="4" t="s">
        <v>576</v>
      </c>
      <c r="E1378" s="4" t="s">
        <v>578</v>
      </c>
      <c r="F1378" s="4" t="s">
        <v>262</v>
      </c>
      <c r="G1378" s="8">
        <v>13394</v>
      </c>
      <c r="I1378" s="16" cm="1">
        <f t="array" ref="I1378">_xlfn.IFS(B1378=2015,G1378/$H$1957,B1378=2016,G1378/$H$1958,B1378=2017,G1378/$H$1959,B1378=2018,G1378/$H$1960,B1378=2019,G1378/$H$1961,B1378=2020,G1378/$H$1962,B1378=2021,G1378/$H$1963,B1378=2022,G1378/$H$1964,B1378=2023,G1378/$H$1965)</f>
        <v>1.4395902112418498E-5</v>
      </c>
      <c r="J1378" s="10" cm="1">
        <f t="array" ref="J1378">_xlfn.IFS(B1378=2015,I1378*$G$2,B1378=2016,I1378*$G$3,B1378=2017,I1378*$G$4,B1378=2018,I1378*$G$5,B1378=2019,I1378*$G$6,B1378=2020,I1378*$G$7,B1378=2021,I1378*$G$8,B1378=2022,I1378*$G$9,B1378=2023,I1378*$G$10)</f>
        <v>2441.3384026749618</v>
      </c>
      <c r="K1378" s="8">
        <f t="shared" si="21"/>
        <v>15835.338402674963</v>
      </c>
      <c r="L1378">
        <f>IFERROR(VLOOKUP(F1378,'LEAID Match'!$A$2:$B$240,2,FALSE),"")</f>
        <v>0</v>
      </c>
    </row>
    <row r="1379" spans="1:12" x14ac:dyDescent="0.2">
      <c r="A1379">
        <v>0</v>
      </c>
      <c r="B1379">
        <v>2023</v>
      </c>
      <c r="C1379" s="4" t="s">
        <v>303</v>
      </c>
      <c r="D1379" s="4" t="s">
        <v>576</v>
      </c>
      <c r="E1379" s="4" t="s">
        <v>578</v>
      </c>
      <c r="F1379" s="4" t="s">
        <v>262</v>
      </c>
      <c r="G1379" s="8">
        <v>15189</v>
      </c>
      <c r="I1379" s="16" cm="1">
        <f t="array" ref="I1379">_xlfn.IFS(B1379=2015,G1379/$H$1957,B1379=2016,G1379/$H$1958,B1379=2017,G1379/$H$1959,B1379=2018,G1379/$H$1960,B1379=2019,G1379/$H$1961,B1379=2020,G1379/$H$1962,B1379=2021,G1379/$H$1963,B1379=2022,G1379/$H$1964,B1379=2023,G1379/$H$1965)</f>
        <v>1.5378704392501308E-5</v>
      </c>
      <c r="J1379" s="10" cm="1">
        <f t="array" ref="J1379">_xlfn.IFS(B1379=2015,I1379*$G$2,B1379=2016,I1379*$G$3,B1379=2017,I1379*$G$4,B1379=2018,I1379*$G$5,B1379=2019,I1379*$G$6,B1379=2020,I1379*$G$7,B1379=2021,I1379*$G$8,B1379=2022,I1379*$G$9,B1379=2023,I1379*$G$10)</f>
        <v>2614.1539719660364</v>
      </c>
      <c r="K1379" s="8">
        <f t="shared" si="21"/>
        <v>17803.153971966036</v>
      </c>
      <c r="L1379">
        <f>IFERROR(VLOOKUP(F1379,'LEAID Match'!$A$2:$B$240,2,FALSE),"")</f>
        <v>0</v>
      </c>
    </row>
    <row r="1380" spans="1:12" x14ac:dyDescent="0.2">
      <c r="A1380">
        <v>0</v>
      </c>
      <c r="B1380">
        <v>2015</v>
      </c>
      <c r="C1380" s="4" t="s">
        <v>304</v>
      </c>
      <c r="D1380" s="4" t="s">
        <v>576</v>
      </c>
      <c r="E1380" s="4" t="s">
        <v>578</v>
      </c>
      <c r="F1380" s="4" t="s">
        <v>263</v>
      </c>
      <c r="G1380" s="8">
        <v>1312596</v>
      </c>
      <c r="I1380" s="16" cm="1">
        <f t="array" ref="I1380">_xlfn.IFS(B1380=2015,G1380/$H$1957,B1380=2016,G1380/$H$1958,B1380=2017,G1380/$H$1959,B1380=2018,G1380/$H$1960,B1380=2019,G1380/$H$1961,B1380=2020,G1380/$H$1962,B1380=2021,G1380/$H$1963,B1380=2022,G1380/$H$1964,B1380=2023,G1380/$H$1965)</f>
        <v>1.0136634049729553E-3</v>
      </c>
      <c r="J1380" s="10" cm="1">
        <f t="array" ref="J1380">_xlfn.IFS(B1380=2015,I1380*$G$2,B1380=2016,I1380*$G$3,B1380=2017,I1380*$G$4,B1380=2018,I1380*$G$5,B1380=2019,I1380*$G$6,B1380=2020,I1380*$G$7,B1380=2021,I1380*$G$8,B1380=2022,I1380*$G$9,B1380=2023,I1380*$G$10)</f>
        <v>252039.87919574342</v>
      </c>
      <c r="K1380" s="8">
        <f t="shared" si="21"/>
        <v>1564635.8791957435</v>
      </c>
      <c r="L1380">
        <f>IFERROR(VLOOKUP(F1380,'LEAID Match'!$A$2:$B$240,2,FALSE),"")</f>
        <v>0</v>
      </c>
    </row>
    <row r="1381" spans="1:12" x14ac:dyDescent="0.2">
      <c r="A1381">
        <v>0</v>
      </c>
      <c r="B1381">
        <v>2016</v>
      </c>
      <c r="C1381" s="4" t="s">
        <v>304</v>
      </c>
      <c r="D1381" s="4" t="s">
        <v>576</v>
      </c>
      <c r="E1381" s="4" t="s">
        <v>578</v>
      </c>
      <c r="F1381" s="4" t="s">
        <v>263</v>
      </c>
      <c r="G1381" s="8">
        <v>1752433</v>
      </c>
      <c r="I1381" s="16" cm="1">
        <f t="array" ref="I1381">_xlfn.IFS(B1381=2015,G1381/$H$1957,B1381=2016,G1381/$H$1958,B1381=2017,G1381/$H$1959,B1381=2018,G1381/$H$1960,B1381=2019,G1381/$H$1961,B1381=2020,G1381/$H$1962,B1381=2021,G1381/$H$1963,B1381=2022,G1381/$H$1964,B1381=2023,G1381/$H$1965)</f>
        <v>1.2302072168234883E-3</v>
      </c>
      <c r="J1381" s="10" cm="1">
        <f t="array" ref="J1381">_xlfn.IFS(B1381=2015,I1381*$G$2,B1381=2016,I1381*$G$3,B1381=2017,I1381*$G$4,B1381=2018,I1381*$G$5,B1381=2019,I1381*$G$6,B1381=2020,I1381*$G$7,B1381=2021,I1381*$G$8,B1381=2022,I1381*$G$9,B1381=2023,I1381*$G$10)</f>
        <v>333635.98624075786</v>
      </c>
      <c r="K1381" s="8">
        <f t="shared" si="21"/>
        <v>2086068.9862407579</v>
      </c>
      <c r="L1381">
        <f>IFERROR(VLOOKUP(F1381,'LEAID Match'!$A$2:$B$240,2,FALSE),"")</f>
        <v>0</v>
      </c>
    </row>
    <row r="1382" spans="1:12" x14ac:dyDescent="0.2">
      <c r="A1382">
        <v>0</v>
      </c>
      <c r="B1382">
        <v>2017</v>
      </c>
      <c r="C1382" s="4" t="s">
        <v>304</v>
      </c>
      <c r="D1382" s="4" t="s">
        <v>576</v>
      </c>
      <c r="E1382" s="4" t="s">
        <v>578</v>
      </c>
      <c r="F1382" s="4" t="s">
        <v>263</v>
      </c>
      <c r="G1382" s="8">
        <v>936671</v>
      </c>
      <c r="I1382" s="16" cm="1">
        <f t="array" ref="I1382">_xlfn.IFS(B1382=2015,G1382/$H$1957,B1382=2016,G1382/$H$1958,B1382=2017,G1382/$H$1959,B1382=2018,G1382/$H$1960,B1382=2019,G1382/$H$1961,B1382=2020,G1382/$H$1962,B1382=2021,G1382/$H$1963,B1382=2022,G1382/$H$1964,B1382=2023,G1382/$H$1965)</f>
        <v>1.2497184444068118E-3</v>
      </c>
      <c r="J1382" s="10" cm="1">
        <f t="array" ref="J1382">_xlfn.IFS(B1382=2015,I1382*$G$2,B1382=2016,I1382*$G$3,B1382=2017,I1382*$G$4,B1382=2018,I1382*$G$5,B1382=2019,I1382*$G$6,B1382=2020,I1382*$G$7,B1382=2021,I1382*$G$8,B1382=2022,I1382*$G$9,B1382=2023,I1382*$G$10)</f>
        <v>185066.53914315399</v>
      </c>
      <c r="K1382" s="8">
        <f t="shared" si="21"/>
        <v>1121737.5391431539</v>
      </c>
      <c r="L1382">
        <f>IFERROR(VLOOKUP(F1382,'LEAID Match'!$A$2:$B$240,2,FALSE),"")</f>
        <v>0</v>
      </c>
    </row>
    <row r="1383" spans="1:12" x14ac:dyDescent="0.2">
      <c r="A1383">
        <v>0</v>
      </c>
      <c r="B1383">
        <v>2018</v>
      </c>
      <c r="C1383" s="4" t="s">
        <v>304</v>
      </c>
      <c r="D1383" s="4" t="s">
        <v>576</v>
      </c>
      <c r="E1383" s="4" t="s">
        <v>578</v>
      </c>
      <c r="F1383" s="4" t="s">
        <v>263</v>
      </c>
      <c r="G1383" s="8">
        <v>969761</v>
      </c>
      <c r="I1383" s="16" cm="1">
        <f t="array" ref="I1383">_xlfn.IFS(B1383=2015,G1383/$H$1957,B1383=2016,G1383/$H$1958,B1383=2017,G1383/$H$1959,B1383=2018,G1383/$H$1960,B1383=2019,G1383/$H$1961,B1383=2020,G1383/$H$1962,B1383=2021,G1383/$H$1963,B1383=2022,G1383/$H$1964,B1383=2023,G1383/$H$1965)</f>
        <v>1.2478016101657784E-3</v>
      </c>
      <c r="J1383" s="10" cm="1">
        <f t="array" ref="J1383">_xlfn.IFS(B1383=2015,I1383*$G$2,B1383=2016,I1383*$G$3,B1383=2017,I1383*$G$4,B1383=2018,I1383*$G$5,B1383=2019,I1383*$G$6,B1383=2020,I1383*$G$7,B1383=2021,I1383*$G$8,B1383=2022,I1383*$G$9,B1383=2023,I1383*$G$10)</f>
        <v>187823.99473567124</v>
      </c>
      <c r="K1383" s="8">
        <f t="shared" si="21"/>
        <v>1157584.9947356712</v>
      </c>
      <c r="L1383">
        <f>IFERROR(VLOOKUP(F1383,'LEAID Match'!$A$2:$B$240,2,FALSE),"")</f>
        <v>0</v>
      </c>
    </row>
    <row r="1384" spans="1:12" x14ac:dyDescent="0.2">
      <c r="A1384">
        <v>0</v>
      </c>
      <c r="B1384">
        <v>2019</v>
      </c>
      <c r="C1384" s="4" t="s">
        <v>304</v>
      </c>
      <c r="D1384" s="4" t="s">
        <v>576</v>
      </c>
      <c r="E1384" s="4" t="s">
        <v>578</v>
      </c>
      <c r="F1384" s="4" t="s">
        <v>263</v>
      </c>
      <c r="G1384" s="8">
        <v>979876</v>
      </c>
      <c r="I1384" s="16" cm="1">
        <f t="array" ref="I1384">_xlfn.IFS(B1384=2015,G1384/$H$1957,B1384=2016,G1384/$H$1958,B1384=2017,G1384/$H$1959,B1384=2018,G1384/$H$1960,B1384=2019,G1384/$H$1961,B1384=2020,G1384/$H$1962,B1384=2021,G1384/$H$1963,B1384=2022,G1384/$H$1964,B1384=2023,G1384/$H$1965)</f>
        <v>1.2177866113775269E-3</v>
      </c>
      <c r="J1384" s="10" cm="1">
        <f t="array" ref="J1384">_xlfn.IFS(B1384=2015,I1384*$G$2,B1384=2016,I1384*$G$3,B1384=2017,I1384*$G$4,B1384=2018,I1384*$G$5,B1384=2019,I1384*$G$6,B1384=2020,I1384*$G$7,B1384=2021,I1384*$G$8,B1384=2022,I1384*$G$9,B1384=2023,I1384*$G$10)</f>
        <v>192444.53119273443</v>
      </c>
      <c r="K1384" s="8">
        <f t="shared" si="21"/>
        <v>1172320.5311927344</v>
      </c>
      <c r="L1384">
        <f>IFERROR(VLOOKUP(F1384,'LEAID Match'!$A$2:$B$240,2,FALSE),"")</f>
        <v>0</v>
      </c>
    </row>
    <row r="1385" spans="1:12" x14ac:dyDescent="0.2">
      <c r="A1385">
        <v>0</v>
      </c>
      <c r="B1385">
        <v>2020</v>
      </c>
      <c r="C1385" s="4" t="s">
        <v>304</v>
      </c>
      <c r="D1385" s="4" t="s">
        <v>576</v>
      </c>
      <c r="E1385" s="4" t="s">
        <v>578</v>
      </c>
      <c r="F1385" s="4" t="s">
        <v>263</v>
      </c>
      <c r="G1385" s="8">
        <v>1032064</v>
      </c>
      <c r="I1385" s="16" cm="1">
        <f t="array" ref="I1385">_xlfn.IFS(B1385=2015,G1385/$H$1957,B1385=2016,G1385/$H$1958,B1385=2017,G1385/$H$1959,B1385=2018,G1385/$H$1960,B1385=2019,G1385/$H$1961,B1385=2020,G1385/$H$1962,B1385=2021,G1385/$H$1963,B1385=2022,G1385/$H$1964,B1385=2023,G1385/$H$1965)</f>
        <v>1.1870422147764964E-3</v>
      </c>
      <c r="J1385" s="10" cm="1">
        <f t="array" ref="J1385">_xlfn.IFS(B1385=2015,I1385*$G$2,B1385=2016,I1385*$G$3,B1385=2017,I1385*$G$4,B1385=2018,I1385*$G$5,B1385=2019,I1385*$G$6,B1385=2020,I1385*$G$7,B1385=2021,I1385*$G$8,B1385=2022,I1385*$G$9,B1385=2023,I1385*$G$10)</f>
        <v>204983.07198998975</v>
      </c>
      <c r="K1385" s="8">
        <f t="shared" si="21"/>
        <v>1237047.0719899898</v>
      </c>
      <c r="L1385">
        <f>IFERROR(VLOOKUP(F1385,'LEAID Match'!$A$2:$B$240,2,FALSE),"")</f>
        <v>0</v>
      </c>
    </row>
    <row r="1386" spans="1:12" x14ac:dyDescent="0.2">
      <c r="A1386">
        <v>0</v>
      </c>
      <c r="B1386">
        <v>2021</v>
      </c>
      <c r="C1386" s="4" t="s">
        <v>304</v>
      </c>
      <c r="D1386" s="4" t="s">
        <v>576</v>
      </c>
      <c r="E1386" s="4" t="s">
        <v>578</v>
      </c>
      <c r="F1386" s="4" t="s">
        <v>263</v>
      </c>
      <c r="G1386" s="8">
        <v>1085866</v>
      </c>
      <c r="I1386" s="16" cm="1">
        <f t="array" ref="I1386">_xlfn.IFS(B1386=2015,G1386/$H$1957,B1386=2016,G1386/$H$1958,B1386=2017,G1386/$H$1959,B1386=2018,G1386/$H$1960,B1386=2019,G1386/$H$1961,B1386=2020,G1386/$H$1962,B1386=2021,G1386/$H$1963,B1386=2022,G1386/$H$1964,B1386=2023,G1386/$H$1965)</f>
        <v>1.2409221173579408E-3</v>
      </c>
      <c r="J1386" s="10" cm="1">
        <f t="array" ref="J1386">_xlfn.IFS(B1386=2015,I1386*$G$2,B1386=2016,I1386*$G$3,B1386=2017,I1386*$G$4,B1386=2018,I1386*$G$5,B1386=2019,I1386*$G$6,B1386=2020,I1386*$G$7,B1386=2021,I1386*$G$8,B1386=2022,I1386*$G$9,B1386=2023,I1386*$G$10)</f>
        <v>212963.12750339048</v>
      </c>
      <c r="K1386" s="8">
        <f t="shared" si="21"/>
        <v>1298829.1275033904</v>
      </c>
      <c r="L1386">
        <f>IFERROR(VLOOKUP(F1386,'LEAID Match'!$A$2:$B$240,2,FALSE),"")</f>
        <v>0</v>
      </c>
    </row>
    <row r="1387" spans="1:12" x14ac:dyDescent="0.2">
      <c r="A1387">
        <v>0</v>
      </c>
      <c r="B1387">
        <v>2022</v>
      </c>
      <c r="C1387" s="4" t="s">
        <v>304</v>
      </c>
      <c r="D1387" s="4" t="s">
        <v>576</v>
      </c>
      <c r="E1387" s="4" t="s">
        <v>578</v>
      </c>
      <c r="F1387" s="4" t="s">
        <v>263</v>
      </c>
      <c r="G1387" s="8">
        <v>1327597</v>
      </c>
      <c r="I1387" s="16" cm="1">
        <f t="array" ref="I1387">_xlfn.IFS(B1387=2015,G1387/$H$1957,B1387=2016,G1387/$H$1958,B1387=2017,G1387/$H$1959,B1387=2018,G1387/$H$1960,B1387=2019,G1387/$H$1961,B1387=2020,G1387/$H$1962,B1387=2021,G1387/$H$1963,B1387=2022,G1387/$H$1964,B1387=2023,G1387/$H$1965)</f>
        <v>1.4269043196013485E-3</v>
      </c>
      <c r="J1387" s="10" cm="1">
        <f t="array" ref="J1387">_xlfn.IFS(B1387=2015,I1387*$G$2,B1387=2016,I1387*$G$3,B1387=2017,I1387*$G$4,B1387=2018,I1387*$G$5,B1387=2019,I1387*$G$6,B1387=2020,I1387*$G$7,B1387=2021,I1387*$G$8,B1387=2022,I1387*$G$9,B1387=2023,I1387*$G$10)</f>
        <v>241982.49510049811</v>
      </c>
      <c r="K1387" s="8">
        <f t="shared" si="21"/>
        <v>1569579.4951004982</v>
      </c>
      <c r="L1387">
        <f>IFERROR(VLOOKUP(F1387,'LEAID Match'!$A$2:$B$240,2,FALSE),"")</f>
        <v>0</v>
      </c>
    </row>
    <row r="1388" spans="1:12" x14ac:dyDescent="0.2">
      <c r="A1388">
        <v>0</v>
      </c>
      <c r="B1388">
        <v>2023</v>
      </c>
      <c r="C1388" s="4" t="s">
        <v>304</v>
      </c>
      <c r="D1388" s="4" t="s">
        <v>576</v>
      </c>
      <c r="E1388" s="4" t="s">
        <v>578</v>
      </c>
      <c r="F1388" s="4" t="s">
        <v>263</v>
      </c>
      <c r="G1388" s="8">
        <v>1614527</v>
      </c>
      <c r="I1388" s="16" cm="1">
        <f t="array" ref="I1388">_xlfn.IFS(B1388=2015,G1388/$H$1957,B1388=2016,G1388/$H$1958,B1388=2017,G1388/$H$1959,B1388=2018,G1388/$H$1960,B1388=2019,G1388/$H$1961,B1388=2020,G1388/$H$1962,B1388=2021,G1388/$H$1963,B1388=2022,G1388/$H$1964,B1388=2023,G1388/$H$1965)</f>
        <v>1.6346917813359644E-3</v>
      </c>
      <c r="J1388" s="10" cm="1">
        <f t="array" ref="J1388">_xlfn.IFS(B1388=2015,I1388*$G$2,B1388=2016,I1388*$G$3,B1388=2017,I1388*$G$4,B1388=2018,I1388*$G$5,B1388=2019,I1388*$G$6,B1388=2020,I1388*$G$7,B1388=2021,I1388*$G$8,B1388=2022,I1388*$G$9,B1388=2023,I1388*$G$10)</f>
        <v>277873.60391707218</v>
      </c>
      <c r="K1388" s="8">
        <f t="shared" si="21"/>
        <v>1892400.6039170721</v>
      </c>
      <c r="L1388">
        <f>IFERROR(VLOOKUP(F1388,'LEAID Match'!$A$2:$B$240,2,FALSE),"")</f>
        <v>0</v>
      </c>
    </row>
    <row r="1389" spans="1:12" x14ac:dyDescent="0.2">
      <c r="A1389">
        <v>0</v>
      </c>
      <c r="B1389">
        <v>2015</v>
      </c>
      <c r="C1389" s="4" t="s">
        <v>305</v>
      </c>
      <c r="D1389" s="4" t="s">
        <v>576</v>
      </c>
      <c r="E1389" s="4" t="s">
        <v>578</v>
      </c>
      <c r="F1389" s="4" t="s">
        <v>264</v>
      </c>
      <c r="G1389" s="8">
        <v>1733372</v>
      </c>
      <c r="I1389" s="16" cm="1">
        <f t="array" ref="I1389">_xlfn.IFS(B1389=2015,G1389/$H$1957,B1389=2016,G1389/$H$1958,B1389=2017,G1389/$H$1959,B1389=2018,G1389/$H$1960,B1389=2019,G1389/$H$1961,B1389=2020,G1389/$H$1962,B1389=2021,G1389/$H$1963,B1389=2022,G1389/$H$1964,B1389=2023,G1389/$H$1965)</f>
        <v>1.338611243371747E-3</v>
      </c>
      <c r="J1389" s="10" cm="1">
        <f t="array" ref="J1389">_xlfn.IFS(B1389=2015,I1389*$G$2,B1389=2016,I1389*$G$3,B1389=2017,I1389*$G$4,B1389=2018,I1389*$G$5,B1389=2019,I1389*$G$6,B1389=2020,I1389*$G$7,B1389=2021,I1389*$G$8,B1389=2022,I1389*$G$9,B1389=2023,I1389*$G$10)</f>
        <v>332835.74647590285</v>
      </c>
      <c r="K1389" s="8">
        <f t="shared" si="21"/>
        <v>2066207.7464759029</v>
      </c>
      <c r="L1389">
        <f>IFERROR(VLOOKUP(F1389,'LEAID Match'!$A$2:$B$240,2,FALSE),"")</f>
        <v>0</v>
      </c>
    </row>
    <row r="1390" spans="1:12" x14ac:dyDescent="0.2">
      <c r="A1390">
        <v>0</v>
      </c>
      <c r="B1390">
        <v>2016</v>
      </c>
      <c r="C1390" s="4" t="s">
        <v>305</v>
      </c>
      <c r="D1390" s="4" t="s">
        <v>576</v>
      </c>
      <c r="E1390" s="4" t="s">
        <v>578</v>
      </c>
      <c r="F1390" s="4" t="s">
        <v>264</v>
      </c>
      <c r="G1390" s="8">
        <v>1855206</v>
      </c>
      <c r="I1390" s="16" cm="1">
        <f t="array" ref="I1390">_xlfn.IFS(B1390=2015,G1390/$H$1957,B1390=2016,G1390/$H$1958,B1390=2017,G1390/$H$1959,B1390=2018,G1390/$H$1960,B1390=2019,G1390/$H$1961,B1390=2020,G1390/$H$1962,B1390=2021,G1390/$H$1963,B1390=2022,G1390/$H$1964,B1390=2023,G1390/$H$1965)</f>
        <v>1.302353818887362E-3</v>
      </c>
      <c r="J1390" s="10" cm="1">
        <f t="array" ref="J1390">_xlfn.IFS(B1390=2015,I1390*$G$2,B1390=2016,I1390*$G$3,B1390=2017,I1390*$G$4,B1390=2018,I1390*$G$5,B1390=2019,I1390*$G$6,B1390=2020,I1390*$G$7,B1390=2021,I1390*$G$8,B1390=2022,I1390*$G$9,B1390=2023,I1390*$G$10)</f>
        <v>353202.36693201476</v>
      </c>
      <c r="K1390" s="8">
        <f t="shared" si="21"/>
        <v>2208408.3669320149</v>
      </c>
      <c r="L1390">
        <f>IFERROR(VLOOKUP(F1390,'LEAID Match'!$A$2:$B$240,2,FALSE),"")</f>
        <v>0</v>
      </c>
    </row>
    <row r="1391" spans="1:12" x14ac:dyDescent="0.2">
      <c r="A1391">
        <v>0</v>
      </c>
      <c r="B1391">
        <v>2017</v>
      </c>
      <c r="C1391" s="4" t="s">
        <v>305</v>
      </c>
      <c r="D1391" s="4" t="s">
        <v>576</v>
      </c>
      <c r="E1391" s="4" t="s">
        <v>578</v>
      </c>
      <c r="F1391" s="4" t="s">
        <v>264</v>
      </c>
      <c r="G1391" s="8">
        <v>1051687</v>
      </c>
      <c r="I1391" s="16" cm="1">
        <f t="array" ref="I1391">_xlfn.IFS(B1391=2015,G1391/$H$1957,B1391=2016,G1391/$H$1958,B1391=2017,G1391/$H$1959,B1391=2018,G1391/$H$1960,B1391=2019,G1391/$H$1961,B1391=2020,G1391/$H$1962,B1391=2021,G1391/$H$1963,B1391=2022,G1391/$H$1964,B1391=2023,G1391/$H$1965)</f>
        <v>1.4031742646488114E-3</v>
      </c>
      <c r="J1391" s="10" cm="1">
        <f t="array" ref="J1391">_xlfn.IFS(B1391=2015,I1391*$G$2,B1391=2016,I1391*$G$3,B1391=2017,I1391*$G$4,B1391=2018,I1391*$G$5,B1391=2019,I1391*$G$6,B1391=2020,I1391*$G$7,B1391=2021,I1391*$G$8,B1391=2022,I1391*$G$9,B1391=2023,I1391*$G$10)</f>
        <v>207791.28781807722</v>
      </c>
      <c r="K1391" s="8">
        <f t="shared" si="21"/>
        <v>1259478.2878180773</v>
      </c>
      <c r="L1391">
        <f>IFERROR(VLOOKUP(F1391,'LEAID Match'!$A$2:$B$240,2,FALSE),"")</f>
        <v>0</v>
      </c>
    </row>
    <row r="1392" spans="1:12" x14ac:dyDescent="0.2">
      <c r="A1392">
        <v>0</v>
      </c>
      <c r="B1392">
        <v>2018</v>
      </c>
      <c r="C1392" s="4" t="s">
        <v>305</v>
      </c>
      <c r="D1392" s="4" t="s">
        <v>576</v>
      </c>
      <c r="E1392" s="4" t="s">
        <v>578</v>
      </c>
      <c r="F1392" s="4" t="s">
        <v>264</v>
      </c>
      <c r="G1392" s="8">
        <v>1101371</v>
      </c>
      <c r="I1392" s="16" cm="1">
        <f t="array" ref="I1392">_xlfn.IFS(B1392=2015,G1392/$H$1957,B1392=2016,G1392/$H$1958,B1392=2017,G1392/$H$1959,B1392=2018,G1392/$H$1960,B1392=2019,G1392/$H$1961,B1392=2020,G1392/$H$1962,B1392=2021,G1392/$H$1963,B1392=2022,G1392/$H$1964,B1392=2023,G1392/$H$1965)</f>
        <v>1.4171455721460168E-3</v>
      </c>
      <c r="J1392" s="10" cm="1">
        <f t="array" ref="J1392">_xlfn.IFS(B1392=2015,I1392*$G$2,B1392=2016,I1392*$G$3,B1392=2017,I1392*$G$4,B1392=2018,I1392*$G$5,B1392=2019,I1392*$G$6,B1392=2020,I1392*$G$7,B1392=2021,I1392*$G$8,B1392=2022,I1392*$G$9,B1392=2023,I1392*$G$10)</f>
        <v>213314.31239864355</v>
      </c>
      <c r="K1392" s="8">
        <f t="shared" si="21"/>
        <v>1314685.3123986435</v>
      </c>
      <c r="L1392">
        <f>IFERROR(VLOOKUP(F1392,'LEAID Match'!$A$2:$B$240,2,FALSE),"")</f>
        <v>0</v>
      </c>
    </row>
    <row r="1393" spans="1:12" x14ac:dyDescent="0.2">
      <c r="A1393">
        <v>0</v>
      </c>
      <c r="B1393">
        <v>2019</v>
      </c>
      <c r="C1393" s="4" t="s">
        <v>305</v>
      </c>
      <c r="D1393" s="4" t="s">
        <v>576</v>
      </c>
      <c r="E1393" s="4" t="s">
        <v>578</v>
      </c>
      <c r="F1393" s="4" t="s">
        <v>264</v>
      </c>
      <c r="G1393" s="8">
        <v>1147963</v>
      </c>
      <c r="I1393" s="16" cm="1">
        <f t="array" ref="I1393">_xlfn.IFS(B1393=2015,G1393/$H$1957,B1393=2016,G1393/$H$1958,B1393=2017,G1393/$H$1959,B1393=2018,G1393/$H$1960,B1393=2019,G1393/$H$1961,B1393=2020,G1393/$H$1962,B1393=2021,G1393/$H$1963,B1393=2022,G1393/$H$1964,B1393=2023,G1393/$H$1965)</f>
        <v>1.4266845720854271E-3</v>
      </c>
      <c r="J1393" s="10" cm="1">
        <f t="array" ref="J1393">_xlfn.IFS(B1393=2015,I1393*$G$2,B1393=2016,I1393*$G$3,B1393=2017,I1393*$G$4,B1393=2018,I1393*$G$5,B1393=2019,I1393*$G$6,B1393=2020,I1393*$G$7,B1393=2021,I1393*$G$8,B1393=2022,I1393*$G$9,B1393=2023,I1393*$G$10)</f>
        <v>225456.28361303368</v>
      </c>
      <c r="K1393" s="8">
        <f t="shared" si="21"/>
        <v>1373419.2836130336</v>
      </c>
      <c r="L1393">
        <f>IFERROR(VLOOKUP(F1393,'LEAID Match'!$A$2:$B$240,2,FALSE),"")</f>
        <v>0</v>
      </c>
    </row>
    <row r="1394" spans="1:12" x14ac:dyDescent="0.2">
      <c r="A1394">
        <v>0</v>
      </c>
      <c r="B1394">
        <v>2020</v>
      </c>
      <c r="C1394" s="4" t="s">
        <v>305</v>
      </c>
      <c r="D1394" s="4" t="s">
        <v>576</v>
      </c>
      <c r="E1394" s="4" t="s">
        <v>578</v>
      </c>
      <c r="F1394" s="4" t="s">
        <v>264</v>
      </c>
      <c r="G1394" s="8">
        <v>1257630</v>
      </c>
      <c r="I1394" s="16" cm="1">
        <f t="array" ref="I1394">_xlfn.IFS(B1394=2015,G1394/$H$1957,B1394=2016,G1394/$H$1958,B1394=2017,G1394/$H$1959,B1394=2018,G1394/$H$1960,B1394=2019,G1394/$H$1961,B1394=2020,G1394/$H$1962,B1394=2021,G1394/$H$1963,B1394=2022,G1394/$H$1964,B1394=2023,G1394/$H$1965)</f>
        <v>1.4464799669103518E-3</v>
      </c>
      <c r="J1394" s="10" cm="1">
        <f t="array" ref="J1394">_xlfn.IFS(B1394=2015,I1394*$G$2,B1394=2016,I1394*$G$3,B1394=2017,I1394*$G$4,B1394=2018,I1394*$G$5,B1394=2019,I1394*$G$6,B1394=2020,I1394*$G$7,B1394=2021,I1394*$G$8,B1394=2022,I1394*$G$9,B1394=2023,I1394*$G$10)</f>
        <v>249783.7932790707</v>
      </c>
      <c r="K1394" s="8">
        <f t="shared" si="21"/>
        <v>1507413.7932790706</v>
      </c>
      <c r="L1394">
        <f>IFERROR(VLOOKUP(F1394,'LEAID Match'!$A$2:$B$240,2,FALSE),"")</f>
        <v>0</v>
      </c>
    </row>
    <row r="1395" spans="1:12" x14ac:dyDescent="0.2">
      <c r="A1395">
        <v>0</v>
      </c>
      <c r="B1395">
        <v>2021</v>
      </c>
      <c r="C1395" s="4" t="s">
        <v>305</v>
      </c>
      <c r="D1395" s="4" t="s">
        <v>576</v>
      </c>
      <c r="E1395" s="4" t="s">
        <v>578</v>
      </c>
      <c r="F1395" s="4" t="s">
        <v>264</v>
      </c>
      <c r="G1395" s="8">
        <v>1360943</v>
      </c>
      <c r="I1395" s="16" cm="1">
        <f t="array" ref="I1395">_xlfn.IFS(B1395=2015,G1395/$H$1957,B1395=2016,G1395/$H$1958,B1395=2017,G1395/$H$1959,B1395=2018,G1395/$H$1960,B1395=2019,G1395/$H$1961,B1395=2020,G1395/$H$1962,B1395=2021,G1395/$H$1963,B1395=2022,G1395/$H$1964,B1395=2023,G1395/$H$1965)</f>
        <v>1.555278707652204E-3</v>
      </c>
      <c r="J1395" s="10" cm="1">
        <f t="array" ref="J1395">_xlfn.IFS(B1395=2015,I1395*$G$2,B1395=2016,I1395*$G$3,B1395=2017,I1395*$G$4,B1395=2018,I1395*$G$5,B1395=2019,I1395*$G$6,B1395=2020,I1395*$G$7,B1395=2021,I1395*$G$8,B1395=2022,I1395*$G$9,B1395=2023,I1395*$G$10)</f>
        <v>266912.01090544026</v>
      </c>
      <c r="K1395" s="8">
        <f t="shared" si="21"/>
        <v>1627855.0109054402</v>
      </c>
      <c r="L1395">
        <f>IFERROR(VLOOKUP(F1395,'LEAID Match'!$A$2:$B$240,2,FALSE),"")</f>
        <v>0</v>
      </c>
    </row>
    <row r="1396" spans="1:12" x14ac:dyDescent="0.2">
      <c r="A1396">
        <v>0</v>
      </c>
      <c r="B1396">
        <v>2022</v>
      </c>
      <c r="C1396" s="4" t="s">
        <v>305</v>
      </c>
      <c r="D1396" s="4" t="s">
        <v>576</v>
      </c>
      <c r="E1396" s="4" t="s">
        <v>578</v>
      </c>
      <c r="F1396" s="4" t="s">
        <v>264</v>
      </c>
      <c r="G1396" s="8">
        <v>1437922</v>
      </c>
      <c r="I1396" s="16" cm="1">
        <f t="array" ref="I1396">_xlfn.IFS(B1396=2015,G1396/$H$1957,B1396=2016,G1396/$H$1958,B1396=2017,G1396/$H$1959,B1396=2018,G1396/$H$1960,B1396=2019,G1396/$H$1961,B1396=2020,G1396/$H$1962,B1396=2021,G1396/$H$1963,B1396=2022,G1396/$H$1964,B1396=2023,G1396/$H$1965)</f>
        <v>1.5454818842237593E-3</v>
      </c>
      <c r="J1396" s="10" cm="1">
        <f t="array" ref="J1396">_xlfn.IFS(B1396=2015,I1396*$G$2,B1396=2016,I1396*$G$3,B1396=2017,I1396*$G$4,B1396=2018,I1396*$G$5,B1396=2019,I1396*$G$6,B1396=2020,I1396*$G$7,B1396=2021,I1396*$G$8,B1396=2022,I1396*$G$9,B1396=2023,I1396*$G$10)</f>
        <v>262091.5483538291</v>
      </c>
      <c r="K1396" s="8">
        <f t="shared" si="21"/>
        <v>1700013.5483538292</v>
      </c>
      <c r="L1396">
        <f>IFERROR(VLOOKUP(F1396,'LEAID Match'!$A$2:$B$240,2,FALSE),"")</f>
        <v>0</v>
      </c>
    </row>
    <row r="1397" spans="1:12" x14ac:dyDescent="0.2">
      <c r="A1397">
        <v>0</v>
      </c>
      <c r="B1397">
        <v>2023</v>
      </c>
      <c r="C1397" s="4" t="s">
        <v>305</v>
      </c>
      <c r="D1397" s="4" t="s">
        <v>576</v>
      </c>
      <c r="E1397" s="4" t="s">
        <v>578</v>
      </c>
      <c r="F1397" s="4" t="s">
        <v>264</v>
      </c>
      <c r="G1397" s="8">
        <v>1554580</v>
      </c>
      <c r="I1397" s="16" cm="1">
        <f t="array" ref="I1397">_xlfn.IFS(B1397=2015,G1397/$H$1957,B1397=2016,G1397/$H$1958,B1397=2017,G1397/$H$1959,B1397=2018,G1397/$H$1960,B1397=2019,G1397/$H$1961,B1397=2020,G1397/$H$1962,B1397=2021,G1397/$H$1963,B1397=2022,G1397/$H$1964,B1397=2023,G1397/$H$1965)</f>
        <v>1.5739960678448012E-3</v>
      </c>
      <c r="J1397" s="10" cm="1">
        <f t="array" ref="J1397">_xlfn.IFS(B1397=2015,I1397*$G$2,B1397=2016,I1397*$G$3,B1397=2017,I1397*$G$4,B1397=2018,I1397*$G$5,B1397=2019,I1397*$G$6,B1397=2020,I1397*$G$7,B1397=2021,I1397*$G$8,B1397=2022,I1397*$G$9,B1397=2023,I1397*$G$10)</f>
        <v>267556.22369734419</v>
      </c>
      <c r="K1397" s="8">
        <f t="shared" si="21"/>
        <v>1822136.2236973443</v>
      </c>
      <c r="L1397">
        <f>IFERROR(VLOOKUP(F1397,'LEAID Match'!$A$2:$B$240,2,FALSE),"")</f>
        <v>0</v>
      </c>
    </row>
    <row r="1398" spans="1:12" x14ac:dyDescent="0.2">
      <c r="A1398">
        <v>0</v>
      </c>
      <c r="B1398">
        <v>2015</v>
      </c>
      <c r="C1398" s="4" t="s">
        <v>306</v>
      </c>
      <c r="D1398" s="4" t="s">
        <v>576</v>
      </c>
      <c r="E1398" s="4" t="s">
        <v>578</v>
      </c>
      <c r="F1398" s="4" t="s">
        <v>265</v>
      </c>
      <c r="G1398" s="8">
        <v>117034</v>
      </c>
      <c r="I1398" s="16" cm="1">
        <f t="array" ref="I1398">_xlfn.IFS(B1398=2015,G1398/$H$1957,B1398=2016,G1398/$H$1958,B1398=2017,G1398/$H$1959,B1398=2018,G1398/$H$1960,B1398=2019,G1398/$H$1961,B1398=2020,G1398/$H$1962,B1398=2021,G1398/$H$1963,B1398=2022,G1398/$H$1964,B1398=2023,G1398/$H$1965)</f>
        <v>9.0380500121594798E-5</v>
      </c>
      <c r="J1398" s="10" cm="1">
        <f t="array" ref="J1398">_xlfn.IFS(B1398=2015,I1398*$G$2,B1398=2016,I1398*$G$3,B1398=2017,I1398*$G$4,B1398=2018,I1398*$G$5,B1398=2019,I1398*$G$6,B1398=2020,I1398*$G$7,B1398=2021,I1398*$G$8,B1398=2022,I1398*$G$9,B1398=2023,I1398*$G$10)</f>
        <v>22472.440280021143</v>
      </c>
      <c r="K1398" s="8">
        <f t="shared" si="21"/>
        <v>139506.44028002114</v>
      </c>
      <c r="L1398">
        <f>IFERROR(VLOOKUP(F1398,'LEAID Match'!$A$2:$B$240,2,FALSE),"")</f>
        <v>0</v>
      </c>
    </row>
    <row r="1399" spans="1:12" x14ac:dyDescent="0.2">
      <c r="A1399">
        <v>0</v>
      </c>
      <c r="B1399">
        <v>2016</v>
      </c>
      <c r="C1399" s="4" t="s">
        <v>306</v>
      </c>
      <c r="D1399" s="4" t="s">
        <v>576</v>
      </c>
      <c r="E1399" s="4" t="s">
        <v>578</v>
      </c>
      <c r="F1399" s="4" t="s">
        <v>265</v>
      </c>
      <c r="G1399" s="8">
        <v>133299</v>
      </c>
      <c r="I1399" s="16" cm="1">
        <f t="array" ref="I1399">_xlfn.IFS(B1399=2015,G1399/$H$1957,B1399=2016,G1399/$H$1958,B1399=2017,G1399/$H$1959,B1399=2018,G1399/$H$1960,B1399=2019,G1399/$H$1961,B1399=2020,G1399/$H$1962,B1399=2021,G1399/$H$1963,B1399=2022,G1399/$H$1964,B1399=2023,G1399/$H$1965)</f>
        <v>9.3575841013810037E-5</v>
      </c>
      <c r="J1399" s="10" cm="1">
        <f t="array" ref="J1399">_xlfn.IFS(B1399=2015,I1399*$G$2,B1399=2016,I1399*$G$3,B1399=2017,I1399*$G$4,B1399=2018,I1399*$G$5,B1399=2019,I1399*$G$6,B1399=2020,I1399*$G$7,B1399=2021,I1399*$G$8,B1399=2022,I1399*$G$9,B1399=2023,I1399*$G$10)</f>
        <v>25378.056296535604</v>
      </c>
      <c r="K1399" s="8">
        <f t="shared" si="21"/>
        <v>158677.05629653559</v>
      </c>
      <c r="L1399">
        <f>IFERROR(VLOOKUP(F1399,'LEAID Match'!$A$2:$B$240,2,FALSE),"")</f>
        <v>0</v>
      </c>
    </row>
    <row r="1400" spans="1:12" x14ac:dyDescent="0.2">
      <c r="A1400">
        <v>0</v>
      </c>
      <c r="B1400">
        <v>2017</v>
      </c>
      <c r="C1400" s="4" t="s">
        <v>306</v>
      </c>
      <c r="D1400" s="4" t="s">
        <v>576</v>
      </c>
      <c r="E1400" s="4" t="s">
        <v>578</v>
      </c>
      <c r="F1400" s="4" t="s">
        <v>265</v>
      </c>
      <c r="G1400" s="8">
        <v>70821</v>
      </c>
      <c r="I1400" s="16" cm="1">
        <f t="array" ref="I1400">_xlfn.IFS(B1400=2015,G1400/$H$1957,B1400=2016,G1400/$H$1958,B1400=2017,G1400/$H$1959,B1400=2018,G1400/$H$1960,B1400=2019,G1400/$H$1961,B1400=2020,G1400/$H$1962,B1400=2021,G1400/$H$1963,B1400=2022,G1400/$H$1964,B1400=2023,G1400/$H$1965)</f>
        <v>9.4490285224304826E-5</v>
      </c>
      <c r="J1400" s="10" cm="1">
        <f t="array" ref="J1400">_xlfn.IFS(B1400=2015,I1400*$G$2,B1400=2016,I1400*$G$3,B1400=2017,I1400*$G$4,B1400=2018,I1400*$G$5,B1400=2019,I1400*$G$6,B1400=2020,I1400*$G$7,B1400=2021,I1400*$G$8,B1400=2022,I1400*$G$9,B1400=2023,I1400*$G$10)</f>
        <v>13992.743843523831</v>
      </c>
      <c r="K1400" s="8">
        <f t="shared" si="21"/>
        <v>84813.743843523829</v>
      </c>
      <c r="L1400">
        <f>IFERROR(VLOOKUP(F1400,'LEAID Match'!$A$2:$B$240,2,FALSE),"")</f>
        <v>0</v>
      </c>
    </row>
    <row r="1401" spans="1:12" x14ac:dyDescent="0.2">
      <c r="A1401">
        <v>0</v>
      </c>
      <c r="B1401">
        <v>2018</v>
      </c>
      <c r="C1401" s="4" t="s">
        <v>306</v>
      </c>
      <c r="D1401" s="4" t="s">
        <v>576</v>
      </c>
      <c r="E1401" s="4" t="s">
        <v>578</v>
      </c>
      <c r="F1401" s="4" t="s">
        <v>265</v>
      </c>
      <c r="G1401" s="8">
        <v>66350</v>
      </c>
      <c r="I1401" s="16" cm="1">
        <f t="array" ref="I1401">_xlfn.IFS(B1401=2015,G1401/$H$1957,B1401=2016,G1401/$H$1958,B1401=2017,G1401/$H$1959,B1401=2018,G1401/$H$1960,B1401=2019,G1401/$H$1961,B1401=2020,G1401/$H$1962,B1401=2021,G1401/$H$1963,B1401=2022,G1401/$H$1964,B1401=2023,G1401/$H$1965)</f>
        <v>8.5373238183943662E-5</v>
      </c>
      <c r="J1401" s="10" cm="1">
        <f t="array" ref="J1401">_xlfn.IFS(B1401=2015,I1401*$G$2,B1401=2016,I1401*$G$3,B1401=2017,I1401*$G$4,B1401=2018,I1401*$G$5,B1401=2019,I1401*$G$6,B1401=2020,I1401*$G$7,B1401=2021,I1401*$G$8,B1401=2022,I1401*$G$9,B1401=2023,I1401*$G$10)</f>
        <v>12850.714816033833</v>
      </c>
      <c r="K1401" s="8">
        <f t="shared" si="21"/>
        <v>79200.71481603384</v>
      </c>
      <c r="L1401">
        <f>IFERROR(VLOOKUP(F1401,'LEAID Match'!$A$2:$B$240,2,FALSE),"")</f>
        <v>0</v>
      </c>
    </row>
    <row r="1402" spans="1:12" x14ac:dyDescent="0.2">
      <c r="A1402">
        <v>0</v>
      </c>
      <c r="B1402">
        <v>2019</v>
      </c>
      <c r="C1402" s="4" t="s">
        <v>306</v>
      </c>
      <c r="D1402" s="4" t="s">
        <v>576</v>
      </c>
      <c r="E1402" s="4" t="s">
        <v>578</v>
      </c>
      <c r="F1402" s="4" t="s">
        <v>265</v>
      </c>
      <c r="G1402" s="8">
        <v>61024</v>
      </c>
      <c r="I1402" s="16" cm="1">
        <f t="array" ref="I1402">_xlfn.IFS(B1402=2015,G1402/$H$1957,B1402=2016,G1402/$H$1958,B1402=2017,G1402/$H$1959,B1402=2018,G1402/$H$1960,B1402=2019,G1402/$H$1961,B1402=2020,G1402/$H$1962,B1402=2021,G1402/$H$1963,B1402=2022,G1402/$H$1964,B1402=2023,G1402/$H$1965)</f>
        <v>7.5840422841974087E-5</v>
      </c>
      <c r="J1402" s="10" cm="1">
        <f t="array" ref="J1402">_xlfn.IFS(B1402=2015,I1402*$G$2,B1402=2016,I1402*$G$3,B1402=2017,I1402*$G$4,B1402=2018,I1402*$G$5,B1402=2019,I1402*$G$6,B1402=2020,I1402*$G$7,B1402=2021,I1402*$G$8,B1402=2022,I1402*$G$9,B1402=2023,I1402*$G$10)</f>
        <v>11984.919593403069</v>
      </c>
      <c r="K1402" s="8">
        <f t="shared" si="21"/>
        <v>73008.919593403072</v>
      </c>
      <c r="L1402">
        <f>IFERROR(VLOOKUP(F1402,'LEAID Match'!$A$2:$B$240,2,FALSE),"")</f>
        <v>0</v>
      </c>
    </row>
    <row r="1403" spans="1:12" x14ac:dyDescent="0.2">
      <c r="A1403">
        <v>0</v>
      </c>
      <c r="B1403">
        <v>2020</v>
      </c>
      <c r="C1403" s="4" t="s">
        <v>306</v>
      </c>
      <c r="D1403" s="4" t="s">
        <v>576</v>
      </c>
      <c r="E1403" s="4" t="s">
        <v>578</v>
      </c>
      <c r="F1403" s="4" t="s">
        <v>265</v>
      </c>
      <c r="G1403" s="8">
        <v>11979</v>
      </c>
      <c r="I1403" s="16" cm="1">
        <f t="array" ref="I1403">_xlfn.IFS(B1403=2015,G1403/$H$1957,B1403=2016,G1403/$H$1958,B1403=2017,G1403/$H$1959,B1403=2018,G1403/$H$1960,B1403=2019,G1403/$H$1961,B1403=2020,G1403/$H$1962,B1403=2021,G1403/$H$1963,B1403=2022,G1403/$H$1964,B1403=2023,G1403/$H$1965)</f>
        <v>1.377780708445179E-5</v>
      </c>
      <c r="J1403" s="10" cm="1">
        <f t="array" ref="J1403">_xlfn.IFS(B1403=2015,I1403*$G$2,B1403=2016,I1403*$G$3,B1403=2017,I1403*$G$4,B1403=2018,I1403*$G$5,B1403=2019,I1403*$G$6,B1403=2020,I1403*$G$7,B1403=2021,I1403*$G$8,B1403=2022,I1403*$G$9,B1403=2023,I1403*$G$10)</f>
        <v>2379.2053781239219</v>
      </c>
      <c r="K1403" s="8">
        <f t="shared" si="21"/>
        <v>14358.205378123923</v>
      </c>
      <c r="L1403">
        <f>IFERROR(VLOOKUP(F1403,'LEAID Match'!$A$2:$B$240,2,FALSE),"")</f>
        <v>0</v>
      </c>
    </row>
    <row r="1404" spans="1:12" x14ac:dyDescent="0.2">
      <c r="A1404">
        <v>0</v>
      </c>
      <c r="B1404">
        <v>2021</v>
      </c>
      <c r="C1404" s="4" t="s">
        <v>306</v>
      </c>
      <c r="D1404" s="4" t="s">
        <v>576</v>
      </c>
      <c r="E1404" s="4" t="s">
        <v>578</v>
      </c>
      <c r="F1404" s="4" t="s">
        <v>265</v>
      </c>
      <c r="G1404" s="8">
        <v>17376</v>
      </c>
      <c r="I1404" s="16" cm="1">
        <f t="array" ref="I1404">_xlfn.IFS(B1404=2015,G1404/$H$1957,B1404=2016,G1404/$H$1958,B1404=2017,G1404/$H$1959,B1404=2018,G1404/$H$1960,B1404=2019,G1404/$H$1961,B1404=2020,G1404/$H$1962,B1404=2021,G1404/$H$1963,B1404=2022,G1404/$H$1964,B1404=2023,G1404/$H$1965)</f>
        <v>1.9857204029973848E-5</v>
      </c>
      <c r="J1404" s="10" cm="1">
        <f t="array" ref="J1404">_xlfn.IFS(B1404=2015,I1404*$G$2,B1404=2016,I1404*$G$3,B1404=2017,I1404*$G$4,B1404=2018,I1404*$G$5,B1404=2019,I1404*$G$6,B1404=2020,I1404*$G$7,B1404=2021,I1404*$G$8,B1404=2022,I1404*$G$9,B1404=2023,I1404*$G$10)</f>
        <v>3407.8305274305608</v>
      </c>
      <c r="K1404" s="8">
        <f t="shared" si="21"/>
        <v>20783.83052743056</v>
      </c>
      <c r="L1404">
        <f>IFERROR(VLOOKUP(F1404,'LEAID Match'!$A$2:$B$240,2,FALSE),"")</f>
        <v>0</v>
      </c>
    </row>
    <row r="1405" spans="1:12" x14ac:dyDescent="0.2">
      <c r="A1405">
        <v>0</v>
      </c>
      <c r="B1405">
        <v>2022</v>
      </c>
      <c r="C1405" s="4" t="s">
        <v>306</v>
      </c>
      <c r="D1405" s="4" t="s">
        <v>576</v>
      </c>
      <c r="E1405" s="4" t="s">
        <v>578</v>
      </c>
      <c r="F1405" s="4" t="s">
        <v>265</v>
      </c>
      <c r="G1405" s="8">
        <v>19198</v>
      </c>
      <c r="I1405" s="16" cm="1">
        <f t="array" ref="I1405">_xlfn.IFS(B1405=2015,G1405/$H$1957,B1405=2016,G1405/$H$1958,B1405=2017,G1405/$H$1959,B1405=2018,G1405/$H$1960,B1405=2019,G1405/$H$1961,B1405=2020,G1405/$H$1962,B1405=2021,G1405/$H$1963,B1405=2022,G1405/$H$1964,B1405=2023,G1405/$H$1965)</f>
        <v>2.0634054707645985E-5</v>
      </c>
      <c r="J1405" s="10" cm="1">
        <f t="array" ref="J1405">_xlfn.IFS(B1405=2015,I1405*$G$2,B1405=2016,I1405*$G$3,B1405=2017,I1405*$G$4,B1405=2018,I1405*$G$5,B1405=2019,I1405*$G$6,B1405=2020,I1405*$G$7,B1405=2021,I1405*$G$8,B1405=2022,I1405*$G$9,B1405=2023,I1405*$G$10)</f>
        <v>3499.2395590976498</v>
      </c>
      <c r="K1405" s="8">
        <f t="shared" si="21"/>
        <v>22697.239559097648</v>
      </c>
      <c r="L1405">
        <f>IFERROR(VLOOKUP(F1405,'LEAID Match'!$A$2:$B$240,2,FALSE),"")</f>
        <v>0</v>
      </c>
    </row>
    <row r="1406" spans="1:12" x14ac:dyDescent="0.2">
      <c r="A1406">
        <v>0</v>
      </c>
      <c r="B1406">
        <v>2023</v>
      </c>
      <c r="C1406" s="4" t="s">
        <v>306</v>
      </c>
      <c r="D1406" s="4" t="s">
        <v>576</v>
      </c>
      <c r="E1406" s="4" t="s">
        <v>578</v>
      </c>
      <c r="F1406" s="4" t="s">
        <v>265</v>
      </c>
      <c r="G1406" s="8">
        <v>9503</v>
      </c>
      <c r="I1406" s="16" cm="1">
        <f t="array" ref="I1406">_xlfn.IFS(B1406=2015,G1406/$H$1957,B1406=2016,G1406/$H$1958,B1406=2017,G1406/$H$1959,B1406=2018,G1406/$H$1960,B1406=2019,G1406/$H$1961,B1406=2020,G1406/$H$1962,B1406=2021,G1406/$H$1963,B1406=2022,G1406/$H$1964,B1406=2023,G1406/$H$1965)</f>
        <v>9.6216885800210642E-6</v>
      </c>
      <c r="J1406" s="10" cm="1">
        <f t="array" ref="J1406">_xlfn.IFS(B1406=2015,I1406*$G$2,B1406=2016,I1406*$G$3,B1406=2017,I1406*$G$4,B1406=2018,I1406*$G$5,B1406=2019,I1406*$G$6,B1406=2020,I1406*$G$7,B1406=2021,I1406*$G$8,B1406=2022,I1406*$G$9,B1406=2023,I1406*$G$10)</f>
        <v>1635.5458025935377</v>
      </c>
      <c r="K1406" s="8">
        <f t="shared" si="21"/>
        <v>11138.545802593537</v>
      </c>
      <c r="L1406">
        <f>IFERROR(VLOOKUP(F1406,'LEAID Match'!$A$2:$B$240,2,FALSE),"")</f>
        <v>0</v>
      </c>
    </row>
    <row r="1407" spans="1:12" x14ac:dyDescent="0.2">
      <c r="A1407">
        <v>0</v>
      </c>
      <c r="B1407">
        <v>2015</v>
      </c>
      <c r="C1407" s="4" t="s">
        <v>307</v>
      </c>
      <c r="D1407" s="4" t="s">
        <v>576</v>
      </c>
      <c r="E1407" s="4" t="s">
        <v>578</v>
      </c>
      <c r="F1407" s="4" t="s">
        <v>266</v>
      </c>
      <c r="G1407" s="8">
        <v>667210</v>
      </c>
      <c r="I1407" s="16" cm="1">
        <f t="array" ref="I1407">_xlfn.IFS(B1407=2015,G1407/$H$1957,B1407=2016,G1407/$H$1958,B1407=2017,G1407/$H$1959,B1407=2018,G1407/$H$1960,B1407=2019,G1407/$H$1961,B1407=2020,G1407/$H$1962,B1407=2021,G1407/$H$1963,B1407=2022,G1407/$H$1964,B1407=2023,G1407/$H$1965)</f>
        <v>5.1525858712963126E-4</v>
      </c>
      <c r="J1407" s="10" cm="1">
        <f t="array" ref="J1407">_xlfn.IFS(B1407=2015,I1407*$G$2,B1407=2016,I1407*$G$3,B1407=2017,I1407*$G$4,B1407=2018,I1407*$G$5,B1407=2019,I1407*$G$6,B1407=2020,I1407*$G$7,B1407=2021,I1407*$G$8,B1407=2022,I1407*$G$9,B1407=2023,I1407*$G$10)</f>
        <v>128115.22189477338</v>
      </c>
      <c r="K1407" s="8">
        <f t="shared" si="21"/>
        <v>795325.22189477342</v>
      </c>
      <c r="L1407">
        <f>IFERROR(VLOOKUP(F1407,'LEAID Match'!$A$2:$B$240,2,FALSE),"")</f>
        <v>0</v>
      </c>
    </row>
    <row r="1408" spans="1:12" x14ac:dyDescent="0.2">
      <c r="A1408">
        <v>0</v>
      </c>
      <c r="B1408">
        <v>2016</v>
      </c>
      <c r="C1408" s="4" t="s">
        <v>307</v>
      </c>
      <c r="D1408" s="4" t="s">
        <v>576</v>
      </c>
      <c r="E1408" s="4" t="s">
        <v>578</v>
      </c>
      <c r="F1408" s="4" t="s">
        <v>266</v>
      </c>
      <c r="G1408" s="8">
        <v>673980</v>
      </c>
      <c r="I1408" s="16" cm="1">
        <f t="array" ref="I1408">_xlfn.IFS(B1408=2015,G1408/$H$1957,B1408=2016,G1408/$H$1958,B1408=2017,G1408/$H$1959,B1408=2018,G1408/$H$1960,B1408=2019,G1408/$H$1961,B1408=2020,G1408/$H$1962,B1408=2021,G1408/$H$1963,B1408=2022,G1408/$H$1964,B1408=2023,G1408/$H$1965)</f>
        <v>4.7313367186916397E-4</v>
      </c>
      <c r="J1408" s="10" cm="1">
        <f t="array" ref="J1408">_xlfn.IFS(B1408=2015,I1408*$G$2,B1408=2016,I1408*$G$3,B1408=2017,I1408*$G$4,B1408=2018,I1408*$G$5,B1408=2019,I1408*$G$6,B1408=2020,I1408*$G$7,B1408=2021,I1408*$G$8,B1408=2022,I1408*$G$9,B1408=2023,I1408*$G$10)</f>
        <v>128315.30906262662</v>
      </c>
      <c r="K1408" s="8">
        <f t="shared" si="21"/>
        <v>802295.30906262668</v>
      </c>
      <c r="L1408">
        <f>IFERROR(VLOOKUP(F1408,'LEAID Match'!$A$2:$B$240,2,FALSE),"")</f>
        <v>0</v>
      </c>
    </row>
    <row r="1409" spans="1:12" x14ac:dyDescent="0.2">
      <c r="A1409">
        <v>0</v>
      </c>
      <c r="B1409">
        <v>2017</v>
      </c>
      <c r="C1409" s="4" t="s">
        <v>307</v>
      </c>
      <c r="D1409" s="4" t="s">
        <v>576</v>
      </c>
      <c r="E1409" s="4" t="s">
        <v>578</v>
      </c>
      <c r="F1409" s="4" t="s">
        <v>266</v>
      </c>
      <c r="G1409" s="8">
        <v>352964</v>
      </c>
      <c r="I1409" s="16" cm="1">
        <f t="array" ref="I1409">_xlfn.IFS(B1409=2015,G1409/$H$1957,B1409=2016,G1409/$H$1958,B1409=2017,G1409/$H$1959,B1409=2018,G1409/$H$1960,B1409=2019,G1409/$H$1961,B1409=2020,G1409/$H$1962,B1409=2021,G1409/$H$1963,B1409=2022,G1409/$H$1964,B1409=2023,G1409/$H$1965)</f>
        <v>4.7092908930841882E-4</v>
      </c>
      <c r="J1409" s="10" cm="1">
        <f t="array" ref="J1409">_xlfn.IFS(B1409=2015,I1409*$G$2,B1409=2016,I1409*$G$3,B1409=2017,I1409*$G$4,B1409=2018,I1409*$G$5,B1409=2019,I1409*$G$6,B1409=2020,I1409*$G$7,B1409=2021,I1409*$G$8,B1409=2022,I1409*$G$9,B1409=2023,I1409*$G$10)</f>
        <v>69738.281554701927</v>
      </c>
      <c r="K1409" s="8">
        <f t="shared" si="21"/>
        <v>422702.28155470191</v>
      </c>
      <c r="L1409">
        <f>IFERROR(VLOOKUP(F1409,'LEAID Match'!$A$2:$B$240,2,FALSE),"")</f>
        <v>0</v>
      </c>
    </row>
    <row r="1410" spans="1:12" x14ac:dyDescent="0.2">
      <c r="A1410">
        <v>0</v>
      </c>
      <c r="B1410">
        <v>2018</v>
      </c>
      <c r="C1410" s="4" t="s">
        <v>307</v>
      </c>
      <c r="D1410" s="4" t="s">
        <v>576</v>
      </c>
      <c r="E1410" s="4" t="s">
        <v>578</v>
      </c>
      <c r="F1410" s="4" t="s">
        <v>266</v>
      </c>
      <c r="G1410" s="8">
        <v>487473</v>
      </c>
      <c r="I1410" s="16" cm="1">
        <f t="array" ref="I1410">_xlfn.IFS(B1410=2015,G1410/$H$1957,B1410=2016,G1410/$H$1958,B1410=2017,G1410/$H$1959,B1410=2018,G1410/$H$1960,B1410=2019,G1410/$H$1961,B1410=2020,G1410/$H$1962,B1410=2021,G1410/$H$1963,B1410=2022,G1410/$H$1964,B1410=2023,G1410/$H$1965)</f>
        <v>6.2723660191773276E-4</v>
      </c>
      <c r="J1410" s="10" cm="1">
        <f t="array" ref="J1410">_xlfn.IFS(B1410=2015,I1410*$G$2,B1410=2016,I1410*$G$3,B1410=2017,I1410*$G$4,B1410=2018,I1410*$G$5,B1410=2019,I1410*$G$6,B1410=2020,I1410*$G$7,B1410=2021,I1410*$G$8,B1410=2022,I1410*$G$9,B1410=2023,I1410*$G$10)</f>
        <v>94414.114597083055</v>
      </c>
      <c r="K1410" s="8">
        <f t="shared" si="21"/>
        <v>581887.11459708307</v>
      </c>
      <c r="L1410">
        <f>IFERROR(VLOOKUP(F1410,'LEAID Match'!$A$2:$B$240,2,FALSE),"")</f>
        <v>0</v>
      </c>
    </row>
    <row r="1411" spans="1:12" x14ac:dyDescent="0.2">
      <c r="A1411">
        <v>0</v>
      </c>
      <c r="B1411">
        <v>2019</v>
      </c>
      <c r="C1411" s="4" t="s">
        <v>307</v>
      </c>
      <c r="D1411" s="4" t="s">
        <v>576</v>
      </c>
      <c r="E1411" s="4" t="s">
        <v>578</v>
      </c>
      <c r="F1411" s="4" t="s">
        <v>266</v>
      </c>
      <c r="G1411" s="8">
        <v>547529</v>
      </c>
      <c r="I1411" s="16" cm="1">
        <f t="array" ref="I1411">_xlfn.IFS(B1411=2015,G1411/$H$1957,B1411=2016,G1411/$H$1958,B1411=2017,G1411/$H$1959,B1411=2018,G1411/$H$1960,B1411=2019,G1411/$H$1961,B1411=2020,G1411/$H$1962,B1411=2021,G1411/$H$1963,B1411=2022,G1411/$H$1964,B1411=2023,G1411/$H$1965)</f>
        <v>6.8046720762721601E-4</v>
      </c>
      <c r="J1411" s="10" cm="1">
        <f t="array" ref="J1411">_xlfn.IFS(B1411=2015,I1411*$G$2,B1411=2016,I1411*$G$3,B1411=2017,I1411*$G$4,B1411=2018,I1411*$G$5,B1411=2019,I1411*$G$6,B1411=2020,I1411*$G$7,B1411=2021,I1411*$G$8,B1411=2022,I1411*$G$9,B1411=2023,I1411*$G$10)</f>
        <v>107532.95490391302</v>
      </c>
      <c r="K1411" s="8">
        <f t="shared" si="21"/>
        <v>655061.95490391296</v>
      </c>
      <c r="L1411">
        <f>IFERROR(VLOOKUP(F1411,'LEAID Match'!$A$2:$B$240,2,FALSE),"")</f>
        <v>0</v>
      </c>
    </row>
    <row r="1412" spans="1:12" x14ac:dyDescent="0.2">
      <c r="A1412">
        <v>0</v>
      </c>
      <c r="B1412">
        <v>2020</v>
      </c>
      <c r="C1412" s="4" t="s">
        <v>307</v>
      </c>
      <c r="D1412" s="4" t="s">
        <v>576</v>
      </c>
      <c r="E1412" s="4" t="s">
        <v>578</v>
      </c>
      <c r="F1412" s="4" t="s">
        <v>266</v>
      </c>
      <c r="G1412" s="8">
        <v>606844</v>
      </c>
      <c r="I1412" s="16" cm="1">
        <f t="array" ref="I1412">_xlfn.IFS(B1412=2015,G1412/$H$1957,B1412=2016,G1412/$H$1958,B1412=2017,G1412/$H$1959,B1412=2018,G1412/$H$1960,B1412=2019,G1412/$H$1961,B1412=2020,G1412/$H$1962,B1412=2021,G1412/$H$1963,B1412=2022,G1412/$H$1964,B1412=2023,G1412/$H$1965)</f>
        <v>6.9796974391493963E-4</v>
      </c>
      <c r="J1412" s="10" cm="1">
        <f t="array" ref="J1412">_xlfn.IFS(B1412=2015,I1412*$G$2,B1412=2016,I1412*$G$3,B1412=2017,I1412*$G$4,B1412=2018,I1412*$G$5,B1412=2019,I1412*$G$6,B1412=2020,I1412*$G$7,B1412=2021,I1412*$G$8,B1412=2022,I1412*$G$9,B1412=2023,I1412*$G$10)</f>
        <v>120528.13327341458</v>
      </c>
      <c r="K1412" s="8">
        <f t="shared" si="21"/>
        <v>727372.13327341457</v>
      </c>
      <c r="L1412">
        <f>IFERROR(VLOOKUP(F1412,'LEAID Match'!$A$2:$B$240,2,FALSE),"")</f>
        <v>0</v>
      </c>
    </row>
    <row r="1413" spans="1:12" x14ac:dyDescent="0.2">
      <c r="A1413">
        <v>0</v>
      </c>
      <c r="B1413">
        <v>2021</v>
      </c>
      <c r="C1413" s="4" t="s">
        <v>307</v>
      </c>
      <c r="D1413" s="4" t="s">
        <v>576</v>
      </c>
      <c r="E1413" s="4" t="s">
        <v>578</v>
      </c>
      <c r="F1413" s="4" t="s">
        <v>266</v>
      </c>
      <c r="G1413" s="8">
        <v>631604</v>
      </c>
      <c r="I1413" s="16" cm="1">
        <f t="array" ref="I1413">_xlfn.IFS(B1413=2015,G1413/$H$1957,B1413=2016,G1413/$H$1958,B1413=2017,G1413/$H$1959,B1413=2018,G1413/$H$1960,B1413=2019,G1413/$H$1961,B1413=2020,G1413/$H$1962,B1413=2021,G1413/$H$1963,B1413=2022,G1413/$H$1964,B1413=2023,G1413/$H$1965)</f>
        <v>7.2179382447902865E-4</v>
      </c>
      <c r="J1413" s="10" cm="1">
        <f t="array" ref="J1413">_xlfn.IFS(B1413=2015,I1413*$G$2,B1413=2016,I1413*$G$3,B1413=2017,I1413*$G$4,B1413=2018,I1413*$G$5,B1413=2019,I1413*$G$6,B1413=2020,I1413*$G$7,B1413=2021,I1413*$G$8,B1413=2022,I1413*$G$9,B1413=2023,I1413*$G$10)</f>
        <v>123871.97240143025</v>
      </c>
      <c r="K1413" s="8">
        <f t="shared" si="21"/>
        <v>755475.97240143025</v>
      </c>
      <c r="L1413">
        <f>IFERROR(VLOOKUP(F1413,'LEAID Match'!$A$2:$B$240,2,FALSE),"")</f>
        <v>0</v>
      </c>
    </row>
    <row r="1414" spans="1:12" x14ac:dyDescent="0.2">
      <c r="A1414">
        <v>0</v>
      </c>
      <c r="B1414">
        <v>2022</v>
      </c>
      <c r="C1414" s="4" t="s">
        <v>307</v>
      </c>
      <c r="D1414" s="4" t="s">
        <v>576</v>
      </c>
      <c r="E1414" s="4" t="s">
        <v>578</v>
      </c>
      <c r="F1414" s="4" t="s">
        <v>266</v>
      </c>
      <c r="G1414" s="8">
        <v>703034</v>
      </c>
      <c r="I1414" s="16" cm="1">
        <f t="array" ref="I1414">_xlfn.IFS(B1414=2015,G1414/$H$1957,B1414=2016,G1414/$H$1958,B1414=2017,G1414/$H$1959,B1414=2018,G1414/$H$1960,B1414=2019,G1414/$H$1961,B1414=2020,G1414/$H$1962,B1414=2021,G1414/$H$1963,B1414=2022,G1414/$H$1964,B1414=2023,G1414/$H$1965)</f>
        <v>7.5562256575347365E-4</v>
      </c>
      <c r="J1414" s="10" cm="1">
        <f t="array" ref="J1414">_xlfn.IFS(B1414=2015,I1414*$G$2,B1414=2016,I1414*$G$3,B1414=2017,I1414*$G$4,B1414=2018,I1414*$G$5,B1414=2019,I1414*$G$6,B1414=2020,I1414*$G$7,B1414=2021,I1414*$G$8,B1414=2022,I1414*$G$9,B1414=2023,I1414*$G$10)</f>
        <v>128142.743212348</v>
      </c>
      <c r="K1414" s="8">
        <f t="shared" si="21"/>
        <v>831176.74321234797</v>
      </c>
      <c r="L1414">
        <f>IFERROR(VLOOKUP(F1414,'LEAID Match'!$A$2:$B$240,2,FALSE),"")</f>
        <v>0</v>
      </c>
    </row>
    <row r="1415" spans="1:12" x14ac:dyDescent="0.2">
      <c r="A1415">
        <v>0</v>
      </c>
      <c r="B1415">
        <v>2023</v>
      </c>
      <c r="C1415" s="4" t="s">
        <v>307</v>
      </c>
      <c r="D1415" s="4" t="s">
        <v>576</v>
      </c>
      <c r="E1415" s="4" t="s">
        <v>578</v>
      </c>
      <c r="F1415" s="4" t="s">
        <v>266</v>
      </c>
      <c r="G1415" s="8">
        <v>843204</v>
      </c>
      <c r="I1415" s="16" cm="1">
        <f t="array" ref="I1415">_xlfn.IFS(B1415=2015,G1415/$H$1957,B1415=2016,G1415/$H$1958,B1415=2017,G1415/$H$1959,B1415=2018,G1415/$H$1960,B1415=2019,G1415/$H$1961,B1415=2020,G1415/$H$1962,B1415=2021,G1415/$H$1963,B1415=2022,G1415/$H$1964,B1415=2023,G1415/$H$1965)</f>
        <v>8.5373527280101875E-4</v>
      </c>
      <c r="J1415" s="10" cm="1">
        <f t="array" ref="J1415">_xlfn.IFS(B1415=2015,I1415*$G$2,B1415=2016,I1415*$G$3,B1415=2017,I1415*$G$4,B1415=2018,I1415*$G$5,B1415=2019,I1415*$G$6,B1415=2020,I1415*$G$7,B1415=2021,I1415*$G$8,B1415=2022,I1415*$G$9,B1415=2023,I1415*$G$10)</f>
        <v>145122.46268863318</v>
      </c>
      <c r="K1415" s="8">
        <f t="shared" si="21"/>
        <v>988326.46268863324</v>
      </c>
      <c r="L1415">
        <f>IFERROR(VLOOKUP(F1415,'LEAID Match'!$A$2:$B$240,2,FALSE),"")</f>
        <v>0</v>
      </c>
    </row>
    <row r="1416" spans="1:12" x14ac:dyDescent="0.2">
      <c r="A1416">
        <v>0</v>
      </c>
      <c r="B1416">
        <v>2015</v>
      </c>
      <c r="C1416" s="4" t="s">
        <v>308</v>
      </c>
      <c r="D1416" s="4" t="s">
        <v>576</v>
      </c>
      <c r="E1416" s="4" t="s">
        <v>578</v>
      </c>
      <c r="F1416" s="4" t="s">
        <v>267</v>
      </c>
      <c r="G1416" s="8">
        <v>3415736</v>
      </c>
      <c r="I1416" s="16" cm="1">
        <f t="array" ref="I1416">_xlfn.IFS(B1416=2015,G1416/$H$1957,B1416=2016,G1416/$H$1958,B1416=2017,G1416/$H$1959,B1416=2018,G1416/$H$1960,B1416=2019,G1416/$H$1961,B1416=2020,G1416/$H$1962,B1416=2021,G1416/$H$1963,B1416=2022,G1416/$H$1964,B1416=2023,G1416/$H$1965)</f>
        <v>2.6378311256842948E-3</v>
      </c>
      <c r="J1416" s="10" cm="1">
        <f t="array" ref="J1416">_xlfn.IFS(B1416=2015,I1416*$G$2,B1416=2016,I1416*$G$3,B1416=2017,I1416*$G$4,B1416=2018,I1416*$G$5,B1416=2019,I1416*$G$6,B1416=2020,I1416*$G$7,B1416=2021,I1416*$G$8,B1416=2022,I1416*$G$9,B1416=2023,I1416*$G$10)</f>
        <v>655877.12350529165</v>
      </c>
      <c r="K1416" s="8">
        <f t="shared" si="21"/>
        <v>4071613.1235052915</v>
      </c>
      <c r="L1416">
        <f>IFERROR(VLOOKUP(F1416,'LEAID Match'!$A$2:$B$240,2,FALSE),"")</f>
        <v>0</v>
      </c>
    </row>
    <row r="1417" spans="1:12" x14ac:dyDescent="0.2">
      <c r="A1417">
        <v>0</v>
      </c>
      <c r="B1417">
        <v>2016</v>
      </c>
      <c r="C1417" s="4" t="s">
        <v>308</v>
      </c>
      <c r="D1417" s="4" t="s">
        <v>576</v>
      </c>
      <c r="E1417" s="4" t="s">
        <v>578</v>
      </c>
      <c r="F1417" s="4" t="s">
        <v>267</v>
      </c>
      <c r="G1417" s="8">
        <v>3679079</v>
      </c>
      <c r="I1417" s="16" cm="1">
        <f t="array" ref="I1417">_xlfn.IFS(B1417=2015,G1417/$H$1957,B1417=2016,G1417/$H$1958,B1417=2017,G1417/$H$1959,B1417=2018,G1417/$H$1960,B1417=2019,G1417/$H$1961,B1417=2020,G1417/$H$1962,B1417=2021,G1417/$H$1963,B1417=2022,G1417/$H$1964,B1417=2023,G1417/$H$1965)</f>
        <v>2.5827118851697852E-3</v>
      </c>
      <c r="J1417" s="10" cm="1">
        <f t="array" ref="J1417">_xlfn.IFS(B1417=2015,I1417*$G$2,B1417=2016,I1417*$G$3,B1417=2017,I1417*$G$4,B1417=2018,I1417*$G$5,B1417=2019,I1417*$G$6,B1417=2020,I1417*$G$7,B1417=2021,I1417*$G$8,B1417=2022,I1417*$G$9,B1417=2023,I1417*$G$10)</f>
        <v>700439.41801065207</v>
      </c>
      <c r="K1417" s="8">
        <f t="shared" si="21"/>
        <v>4379518.4180106521</v>
      </c>
      <c r="L1417">
        <f>IFERROR(VLOOKUP(F1417,'LEAID Match'!$A$2:$B$240,2,FALSE),"")</f>
        <v>0</v>
      </c>
    </row>
    <row r="1418" spans="1:12" x14ac:dyDescent="0.2">
      <c r="A1418">
        <v>0</v>
      </c>
      <c r="B1418">
        <v>2017</v>
      </c>
      <c r="C1418" s="4" t="s">
        <v>308</v>
      </c>
      <c r="D1418" s="4" t="s">
        <v>576</v>
      </c>
      <c r="E1418" s="4" t="s">
        <v>578</v>
      </c>
      <c r="F1418" s="4" t="s">
        <v>267</v>
      </c>
      <c r="G1418" s="8">
        <v>1909138</v>
      </c>
      <c r="I1418" s="16" cm="1">
        <f t="array" ref="I1418">_xlfn.IFS(B1418=2015,G1418/$H$1957,B1418=2016,G1418/$H$1958,B1418=2017,G1418/$H$1959,B1418=2018,G1418/$H$1960,B1418=2019,G1418/$H$1961,B1418=2020,G1418/$H$1962,B1418=2021,G1418/$H$1963,B1418=2022,G1418/$H$1964,B1418=2023,G1418/$H$1965)</f>
        <v>2.5471963704629822E-3</v>
      </c>
      <c r="J1418" s="10" cm="1">
        <f t="array" ref="J1418">_xlfn.IFS(B1418=2015,I1418*$G$2,B1418=2016,I1418*$G$3,B1418=2017,I1418*$G$4,B1418=2018,I1418*$G$5,B1418=2019,I1418*$G$6,B1418=2020,I1418*$G$7,B1418=2021,I1418*$G$8,B1418=2022,I1418*$G$9,B1418=2023,I1418*$G$10)</f>
        <v>377205.61692065065</v>
      </c>
      <c r="K1418" s="8">
        <f t="shared" si="21"/>
        <v>2286343.6169206505</v>
      </c>
      <c r="L1418">
        <f>IFERROR(VLOOKUP(F1418,'LEAID Match'!$A$2:$B$240,2,FALSE),"")</f>
        <v>0</v>
      </c>
    </row>
    <row r="1419" spans="1:12" x14ac:dyDescent="0.2">
      <c r="A1419">
        <v>0</v>
      </c>
      <c r="B1419">
        <v>2018</v>
      </c>
      <c r="C1419" s="4" t="s">
        <v>308</v>
      </c>
      <c r="D1419" s="4" t="s">
        <v>576</v>
      </c>
      <c r="E1419" s="4" t="s">
        <v>578</v>
      </c>
      <c r="F1419" s="4" t="s">
        <v>267</v>
      </c>
      <c r="G1419" s="8">
        <v>2182971</v>
      </c>
      <c r="I1419" s="16" cm="1">
        <f t="array" ref="I1419">_xlfn.IFS(B1419=2015,G1419/$H$1957,B1419=2016,G1419/$H$1958,B1419=2017,G1419/$H$1959,B1419=2018,G1419/$H$1960,B1419=2019,G1419/$H$1961,B1419=2020,G1419/$H$1962,B1419=2021,G1419/$H$1963,B1419=2022,G1419/$H$1964,B1419=2023,G1419/$H$1965)</f>
        <v>2.8088515920368E-3</v>
      </c>
      <c r="J1419" s="10" cm="1">
        <f t="array" ref="J1419">_xlfn.IFS(B1419=2015,I1419*$G$2,B1419=2016,I1419*$G$3,B1419=2017,I1419*$G$4,B1419=2018,I1419*$G$5,B1419=2019,I1419*$G$6,B1419=2020,I1419*$G$7,B1419=2021,I1419*$G$8,B1419=2022,I1419*$G$9,B1419=2023,I1419*$G$10)</f>
        <v>422799.36356702627</v>
      </c>
      <c r="K1419" s="8">
        <f t="shared" si="21"/>
        <v>2605770.3635670263</v>
      </c>
      <c r="L1419">
        <f>IFERROR(VLOOKUP(F1419,'LEAID Match'!$A$2:$B$240,2,FALSE),"")</f>
        <v>0</v>
      </c>
    </row>
    <row r="1420" spans="1:12" x14ac:dyDescent="0.2">
      <c r="A1420">
        <v>0</v>
      </c>
      <c r="B1420">
        <v>2019</v>
      </c>
      <c r="C1420" s="4" t="s">
        <v>308</v>
      </c>
      <c r="D1420" s="4" t="s">
        <v>576</v>
      </c>
      <c r="E1420" s="4" t="s">
        <v>578</v>
      </c>
      <c r="F1420" s="4" t="s">
        <v>267</v>
      </c>
      <c r="G1420" s="8">
        <v>2318985</v>
      </c>
      <c r="I1420" s="16" cm="1">
        <f t="array" ref="I1420">_xlfn.IFS(B1420=2015,G1420/$H$1957,B1420=2016,G1420/$H$1958,B1420=2017,G1420/$H$1959,B1420=2018,G1420/$H$1960,B1420=2019,G1420/$H$1961,B1420=2020,G1420/$H$1962,B1420=2021,G1420/$H$1963,B1420=2022,G1420/$H$1964,B1420=2023,G1420/$H$1965)</f>
        <v>2.882026792150552E-3</v>
      </c>
      <c r="J1420" s="10" cm="1">
        <f t="array" ref="J1420">_xlfn.IFS(B1420=2015,I1420*$G$2,B1420=2016,I1420*$G$3,B1420=2017,I1420*$G$4,B1420=2018,I1420*$G$5,B1420=2019,I1420*$G$6,B1420=2020,I1420*$G$7,B1420=2021,I1420*$G$8,B1420=2022,I1420*$G$9,B1420=2023,I1420*$G$10)</f>
        <v>455441.28151723609</v>
      </c>
      <c r="K1420" s="8">
        <f t="shared" ref="K1420:K1483" si="22">SUM(G1420,J1420)</f>
        <v>2774426.281517236</v>
      </c>
      <c r="L1420">
        <f>IFERROR(VLOOKUP(F1420,'LEAID Match'!$A$2:$B$240,2,FALSE),"")</f>
        <v>0</v>
      </c>
    </row>
    <row r="1421" spans="1:12" x14ac:dyDescent="0.2">
      <c r="A1421">
        <v>0</v>
      </c>
      <c r="B1421">
        <v>2020</v>
      </c>
      <c r="C1421" s="4" t="s">
        <v>308</v>
      </c>
      <c r="D1421" s="4" t="s">
        <v>576</v>
      </c>
      <c r="E1421" s="4" t="s">
        <v>578</v>
      </c>
      <c r="F1421" s="4" t="s">
        <v>267</v>
      </c>
      <c r="G1421" s="8">
        <v>2639769</v>
      </c>
      <c r="I1421" s="16" cm="1">
        <f t="array" ref="I1421">_xlfn.IFS(B1421=2015,G1421/$H$1957,B1421=2016,G1421/$H$1958,B1421=2017,G1421/$H$1959,B1421=2018,G1421/$H$1960,B1421=2019,G1421/$H$1961,B1421=2020,G1421/$H$1962,B1421=2021,G1421/$H$1963,B1421=2022,G1421/$H$1964,B1421=2023,G1421/$H$1965)</f>
        <v>3.0361656256378843E-3</v>
      </c>
      <c r="J1421" s="10" cm="1">
        <f t="array" ref="J1421">_xlfn.IFS(B1421=2015,I1421*$G$2,B1421=2016,I1421*$G$3,B1421=2017,I1421*$G$4,B1421=2018,I1421*$G$5,B1421=2019,I1421*$G$6,B1421=2020,I1421*$G$7,B1421=2021,I1421*$G$8,B1421=2022,I1421*$G$9,B1421=2023,I1421*$G$10)</f>
        <v>524296.90306409611</v>
      </c>
      <c r="K1421" s="8">
        <f t="shared" si="22"/>
        <v>3164065.9030640963</v>
      </c>
      <c r="L1421">
        <f>IFERROR(VLOOKUP(F1421,'LEAID Match'!$A$2:$B$240,2,FALSE),"")</f>
        <v>0</v>
      </c>
    </row>
    <row r="1422" spans="1:12" x14ac:dyDescent="0.2">
      <c r="A1422">
        <v>0</v>
      </c>
      <c r="B1422">
        <v>2021</v>
      </c>
      <c r="C1422" s="4" t="s">
        <v>308</v>
      </c>
      <c r="D1422" s="4" t="s">
        <v>576</v>
      </c>
      <c r="E1422" s="4" t="s">
        <v>578</v>
      </c>
      <c r="F1422" s="4" t="s">
        <v>267</v>
      </c>
      <c r="G1422" s="8">
        <v>2961304</v>
      </c>
      <c r="I1422" s="16" cm="1">
        <f t="array" ref="I1422">_xlfn.IFS(B1422=2015,G1422/$H$1957,B1422=2016,G1422/$H$1958,B1422=2017,G1422/$H$1959,B1422=2018,G1422/$H$1960,B1422=2019,G1422/$H$1961,B1422=2020,G1422/$H$1962,B1422=2021,G1422/$H$1963,B1422=2022,G1422/$H$1964,B1422=2023,G1422/$H$1965)</f>
        <v>3.3841630825723799E-3</v>
      </c>
      <c r="J1422" s="10" cm="1">
        <f t="array" ref="J1422">_xlfn.IFS(B1422=2015,I1422*$G$2,B1422=2016,I1422*$G$3,B1422=2017,I1422*$G$4,B1422=2018,I1422*$G$5,B1422=2019,I1422*$G$6,B1422=2020,I1422*$G$7,B1422=2021,I1422*$G$8,B1422=2022,I1422*$G$9,B1422=2023,I1422*$G$10)</f>
        <v>580779.36073907861</v>
      </c>
      <c r="K1422" s="8">
        <f t="shared" si="22"/>
        <v>3542083.3607390784</v>
      </c>
      <c r="L1422">
        <f>IFERROR(VLOOKUP(F1422,'LEAID Match'!$A$2:$B$240,2,FALSE),"")</f>
        <v>0</v>
      </c>
    </row>
    <row r="1423" spans="1:12" x14ac:dyDescent="0.2">
      <c r="A1423">
        <v>0</v>
      </c>
      <c r="B1423">
        <v>2022</v>
      </c>
      <c r="C1423" s="4" t="s">
        <v>308</v>
      </c>
      <c r="D1423" s="4" t="s">
        <v>576</v>
      </c>
      <c r="E1423" s="4" t="s">
        <v>578</v>
      </c>
      <c r="F1423" s="4" t="s">
        <v>267</v>
      </c>
      <c r="G1423" s="8">
        <v>3414041</v>
      </c>
      <c r="I1423" s="16" cm="1">
        <f t="array" ref="I1423">_xlfn.IFS(B1423=2015,G1423/$H$1957,B1423=2016,G1423/$H$1958,B1423=2017,G1423/$H$1959,B1423=2018,G1423/$H$1960,B1423=2019,G1423/$H$1961,B1423=2020,G1423/$H$1962,B1423=2021,G1423/$H$1963,B1423=2022,G1423/$H$1964,B1423=2023,G1423/$H$1965)</f>
        <v>3.6694191461686845E-3</v>
      </c>
      <c r="J1423" s="10" cm="1">
        <f t="array" ref="J1423">_xlfn.IFS(B1423=2015,I1423*$G$2,B1423=2016,I1423*$G$3,B1423=2017,I1423*$G$4,B1423=2018,I1423*$G$5,B1423=2019,I1423*$G$6,B1423=2020,I1423*$G$7,B1423=2021,I1423*$G$8,B1423=2022,I1423*$G$9,B1423=2023,I1423*$G$10)</f>
        <v>622280.82735604222</v>
      </c>
      <c r="K1423" s="8">
        <f t="shared" si="22"/>
        <v>4036321.8273560423</v>
      </c>
      <c r="L1423">
        <f>IFERROR(VLOOKUP(F1423,'LEAID Match'!$A$2:$B$240,2,FALSE),"")</f>
        <v>0</v>
      </c>
    </row>
    <row r="1424" spans="1:12" x14ac:dyDescent="0.2">
      <c r="A1424">
        <v>0</v>
      </c>
      <c r="B1424">
        <v>2023</v>
      </c>
      <c r="C1424" s="4" t="s">
        <v>308</v>
      </c>
      <c r="D1424" s="4" t="s">
        <v>576</v>
      </c>
      <c r="E1424" s="4" t="s">
        <v>578</v>
      </c>
      <c r="F1424" s="4" t="s">
        <v>267</v>
      </c>
      <c r="G1424" s="8">
        <v>3972692</v>
      </c>
      <c r="I1424" s="16" cm="1">
        <f t="array" ref="I1424">_xlfn.IFS(B1424=2015,G1424/$H$1957,B1424=2016,G1424/$H$1958,B1424=2017,G1424/$H$1959,B1424=2018,G1424/$H$1960,B1424=2019,G1424/$H$1961,B1424=2020,G1424/$H$1962,B1424=2021,G1424/$H$1963,B1424=2022,G1424/$H$1964,B1424=2023,G1424/$H$1965)</f>
        <v>4.0223092968895129E-3</v>
      </c>
      <c r="J1424" s="10" cm="1">
        <f t="array" ref="J1424">_xlfn.IFS(B1424=2015,I1424*$G$2,B1424=2016,I1424*$G$3,B1424=2017,I1424*$G$4,B1424=2018,I1424*$G$5,B1424=2019,I1424*$G$6,B1424=2020,I1424*$G$7,B1424=2021,I1424*$G$8,B1424=2022,I1424*$G$9,B1424=2023,I1424*$G$10)</f>
        <v>683733.52894842951</v>
      </c>
      <c r="K1424" s="8">
        <f t="shared" si="22"/>
        <v>4656425.52894843</v>
      </c>
      <c r="L1424">
        <f>IFERROR(VLOOKUP(F1424,'LEAID Match'!$A$2:$B$240,2,FALSE),"")</f>
        <v>0</v>
      </c>
    </row>
    <row r="1425" spans="1:12" x14ac:dyDescent="0.2">
      <c r="A1425">
        <v>0</v>
      </c>
      <c r="B1425">
        <v>2015</v>
      </c>
      <c r="C1425" s="4" t="s">
        <v>309</v>
      </c>
      <c r="D1425" s="4" t="s">
        <v>576</v>
      </c>
      <c r="E1425" s="4" t="s">
        <v>578</v>
      </c>
      <c r="F1425" s="4" t="s">
        <v>268</v>
      </c>
      <c r="G1425" s="8">
        <v>1888154</v>
      </c>
      <c r="I1425" s="16" cm="1">
        <f t="array" ref="I1425">_xlfn.IFS(B1425=2015,G1425/$H$1957,B1425=2016,G1425/$H$1958,B1425=2017,G1425/$H$1959,B1425=2018,G1425/$H$1960,B1425=2019,G1425/$H$1961,B1425=2020,G1425/$H$1962,B1425=2021,G1425/$H$1963,B1425=2022,G1425/$H$1964,B1425=2023,G1425/$H$1965)</f>
        <v>1.4581429569748084E-3</v>
      </c>
      <c r="J1425" s="10" cm="1">
        <f t="array" ref="J1425">_xlfn.IFS(B1425=2015,I1425*$G$2,B1425=2016,I1425*$G$3,B1425=2017,I1425*$G$4,B1425=2018,I1425*$G$5,B1425=2019,I1425*$G$6,B1425=2020,I1425*$G$7,B1425=2021,I1425*$G$8,B1425=2022,I1425*$G$9,B1425=2023,I1425*$G$10)</f>
        <v>362556.41954033053</v>
      </c>
      <c r="K1425" s="8">
        <f t="shared" si="22"/>
        <v>2250710.4195403308</v>
      </c>
      <c r="L1425">
        <f>IFERROR(VLOOKUP(F1425,'LEAID Match'!$A$2:$B$240,2,FALSE),"")</f>
        <v>0</v>
      </c>
    </row>
    <row r="1426" spans="1:12" x14ac:dyDescent="0.2">
      <c r="A1426">
        <v>0</v>
      </c>
      <c r="B1426">
        <v>2016</v>
      </c>
      <c r="C1426" s="4" t="s">
        <v>309</v>
      </c>
      <c r="D1426" s="4" t="s">
        <v>576</v>
      </c>
      <c r="E1426" s="4" t="s">
        <v>578</v>
      </c>
      <c r="F1426" s="4" t="s">
        <v>268</v>
      </c>
      <c r="G1426" s="8">
        <v>1907104</v>
      </c>
      <c r="I1426" s="16" cm="1">
        <f t="array" ref="I1426">_xlfn.IFS(B1426=2015,G1426/$H$1957,B1426=2016,G1426/$H$1958,B1426=2017,G1426/$H$1959,B1426=2018,G1426/$H$1960,B1426=2019,G1426/$H$1961,B1426=2020,G1426/$H$1962,B1426=2021,G1426/$H$1963,B1426=2022,G1426/$H$1964,B1426=2023,G1426/$H$1965)</f>
        <v>1.3387861927006291E-3</v>
      </c>
      <c r="J1426" s="10" cm="1">
        <f t="array" ref="J1426">_xlfn.IFS(B1426=2015,I1426*$G$2,B1426=2016,I1426*$G$3,B1426=2017,I1426*$G$4,B1426=2018,I1426*$G$5,B1426=2019,I1426*$G$6,B1426=2020,I1426*$G$7,B1426=2021,I1426*$G$8,B1426=2022,I1426*$G$9,B1426=2023,I1426*$G$10)</f>
        <v>363082.93892188411</v>
      </c>
      <c r="K1426" s="8">
        <f t="shared" si="22"/>
        <v>2270186.9389218842</v>
      </c>
      <c r="L1426">
        <f>IFERROR(VLOOKUP(F1426,'LEAID Match'!$A$2:$B$240,2,FALSE),"")</f>
        <v>0</v>
      </c>
    </row>
    <row r="1427" spans="1:12" x14ac:dyDescent="0.2">
      <c r="A1427">
        <v>0</v>
      </c>
      <c r="B1427">
        <v>2017</v>
      </c>
      <c r="C1427" s="4" t="s">
        <v>309</v>
      </c>
      <c r="D1427" s="4" t="s">
        <v>576</v>
      </c>
      <c r="E1427" s="4" t="s">
        <v>578</v>
      </c>
      <c r="F1427" s="4" t="s">
        <v>268</v>
      </c>
      <c r="G1427" s="8">
        <v>964945</v>
      </c>
      <c r="I1427" s="16" cm="1">
        <f t="array" ref="I1427">_xlfn.IFS(B1427=2015,G1427/$H$1957,B1427=2016,G1427/$H$1958,B1427=2017,G1427/$H$1959,B1427=2018,G1427/$H$1960,B1427=2019,G1427/$H$1961,B1427=2020,G1427/$H$1962,B1427=2021,G1427/$H$1963,B1427=2022,G1427/$H$1964,B1427=2023,G1427/$H$1965)</f>
        <v>1.2874419773198178E-3</v>
      </c>
      <c r="J1427" s="10" cm="1">
        <f t="array" ref="J1427">_xlfn.IFS(B1427=2015,I1427*$G$2,B1427=2016,I1427*$G$3,B1427=2017,I1427*$G$4,B1427=2018,I1427*$G$5,B1427=2019,I1427*$G$6,B1427=2020,I1427*$G$7,B1427=2021,I1427*$G$8,B1427=2022,I1427*$G$9,B1427=2023,I1427*$G$10)</f>
        <v>190652.88838182323</v>
      </c>
      <c r="K1427" s="8">
        <f t="shared" si="22"/>
        <v>1155597.8883818232</v>
      </c>
      <c r="L1427">
        <f>IFERROR(VLOOKUP(F1427,'LEAID Match'!$A$2:$B$240,2,FALSE),"")</f>
        <v>0</v>
      </c>
    </row>
    <row r="1428" spans="1:12" x14ac:dyDescent="0.2">
      <c r="A1428">
        <v>0</v>
      </c>
      <c r="B1428">
        <v>2018</v>
      </c>
      <c r="C1428" s="4" t="s">
        <v>309</v>
      </c>
      <c r="D1428" s="4" t="s">
        <v>576</v>
      </c>
      <c r="E1428" s="4" t="s">
        <v>578</v>
      </c>
      <c r="F1428" s="4" t="s">
        <v>268</v>
      </c>
      <c r="G1428" s="8">
        <v>1064168</v>
      </c>
      <c r="I1428" s="16" cm="1">
        <f t="array" ref="I1428">_xlfn.IFS(B1428=2015,G1428/$H$1957,B1428=2016,G1428/$H$1958,B1428=2017,G1428/$H$1959,B1428=2018,G1428/$H$1960,B1428=2019,G1428/$H$1961,B1428=2020,G1428/$H$1962,B1428=2021,G1428/$H$1963,B1428=2022,G1428/$H$1964,B1428=2023,G1428/$H$1965)</f>
        <v>1.3692760833719814E-3</v>
      </c>
      <c r="J1428" s="10" cm="1">
        <f t="array" ref="J1428">_xlfn.IFS(B1428=2015,I1428*$G$2,B1428=2016,I1428*$G$3,B1428=2017,I1428*$G$4,B1428=2018,I1428*$G$5,B1428=2019,I1428*$G$6,B1428=2020,I1428*$G$7,B1428=2021,I1428*$G$8,B1428=2022,I1428*$G$9,B1428=2023,I1428*$G$10)</f>
        <v>206108.80910850179</v>
      </c>
      <c r="K1428" s="8">
        <f t="shared" si="22"/>
        <v>1270276.8091085018</v>
      </c>
      <c r="L1428">
        <f>IFERROR(VLOOKUP(F1428,'LEAID Match'!$A$2:$B$240,2,FALSE),"")</f>
        <v>0</v>
      </c>
    </row>
    <row r="1429" spans="1:12" x14ac:dyDescent="0.2">
      <c r="A1429">
        <v>0</v>
      </c>
      <c r="B1429">
        <v>2019</v>
      </c>
      <c r="C1429" s="4" t="s">
        <v>309</v>
      </c>
      <c r="D1429" s="4" t="s">
        <v>576</v>
      </c>
      <c r="E1429" s="4" t="s">
        <v>578</v>
      </c>
      <c r="F1429" s="4" t="s">
        <v>268</v>
      </c>
      <c r="G1429" s="8">
        <v>1151337</v>
      </c>
      <c r="I1429" s="16" cm="1">
        <f t="array" ref="I1429">_xlfn.IFS(B1429=2015,G1429/$H$1957,B1429=2016,G1429/$H$1958,B1429=2017,G1429/$H$1959,B1429=2018,G1429/$H$1960,B1429=2019,G1429/$H$1961,B1429=2020,G1429/$H$1962,B1429=2021,G1429/$H$1963,B1429=2022,G1429/$H$1964,B1429=2023,G1429/$H$1965)</f>
        <v>1.4308777679865286E-3</v>
      </c>
      <c r="J1429" s="10" cm="1">
        <f t="array" ref="J1429">_xlfn.IFS(B1429=2015,I1429*$G$2,B1429=2016,I1429*$G$3,B1429=2017,I1429*$G$4,B1429=2018,I1429*$G$5,B1429=2019,I1429*$G$6,B1429=2020,I1429*$G$7,B1429=2021,I1429*$G$8,B1429=2022,I1429*$G$9,B1429=2023,I1429*$G$10)</f>
        <v>226118.92648646285</v>
      </c>
      <c r="K1429" s="8">
        <f t="shared" si="22"/>
        <v>1377455.9264864628</v>
      </c>
      <c r="L1429">
        <f>IFERROR(VLOOKUP(F1429,'LEAID Match'!$A$2:$B$240,2,FALSE),"")</f>
        <v>0</v>
      </c>
    </row>
    <row r="1430" spans="1:12" x14ac:dyDescent="0.2">
      <c r="A1430">
        <v>0</v>
      </c>
      <c r="B1430">
        <v>2020</v>
      </c>
      <c r="C1430" s="4" t="s">
        <v>309</v>
      </c>
      <c r="D1430" s="4" t="s">
        <v>576</v>
      </c>
      <c r="E1430" s="4" t="s">
        <v>578</v>
      </c>
      <c r="F1430" s="4" t="s">
        <v>268</v>
      </c>
      <c r="G1430" s="8">
        <v>1325652</v>
      </c>
      <c r="I1430" s="16" cm="1">
        <f t="array" ref="I1430">_xlfn.IFS(B1430=2015,G1430/$H$1957,B1430=2016,G1430/$H$1958,B1430=2017,G1430/$H$1959,B1430=2018,G1430/$H$1960,B1430=2019,G1430/$H$1961,B1430=2020,G1430/$H$1962,B1430=2021,G1430/$H$1963,B1430=2022,G1430/$H$1964,B1430=2023,G1430/$H$1965)</f>
        <v>1.5247163800916339E-3</v>
      </c>
      <c r="J1430" s="10" cm="1">
        <f t="array" ref="J1430">_xlfn.IFS(B1430=2015,I1430*$G$2,B1430=2016,I1430*$G$3,B1430=2017,I1430*$G$4,B1430=2018,I1430*$G$5,B1430=2019,I1430*$G$6,B1430=2020,I1430*$G$7,B1430=2021,I1430*$G$8,B1430=2022,I1430*$G$9,B1430=2023,I1430*$G$10)</f>
        <v>263293.96175980743</v>
      </c>
      <c r="K1430" s="8">
        <f t="shared" si="22"/>
        <v>1588945.9617598075</v>
      </c>
      <c r="L1430">
        <f>IFERROR(VLOOKUP(F1430,'LEAID Match'!$A$2:$B$240,2,FALSE),"")</f>
        <v>0</v>
      </c>
    </row>
    <row r="1431" spans="1:12" x14ac:dyDescent="0.2">
      <c r="A1431">
        <v>0</v>
      </c>
      <c r="B1431">
        <v>2021</v>
      </c>
      <c r="C1431" s="4" t="s">
        <v>309</v>
      </c>
      <c r="D1431" s="4" t="s">
        <v>576</v>
      </c>
      <c r="E1431" s="4" t="s">
        <v>578</v>
      </c>
      <c r="F1431" s="4" t="s">
        <v>268</v>
      </c>
      <c r="G1431" s="8">
        <v>1402900</v>
      </c>
      <c r="I1431" s="16" cm="1">
        <f t="array" ref="I1431">_xlfn.IFS(B1431=2015,G1431/$H$1957,B1431=2016,G1431/$H$1958,B1431=2017,G1431/$H$1959,B1431=2018,G1431/$H$1960,B1431=2019,G1431/$H$1961,B1431=2020,G1431/$H$1962,B1431=2021,G1431/$H$1963,B1431=2022,G1431/$H$1964,B1431=2023,G1431/$H$1965)</f>
        <v>1.6032269529034477E-3</v>
      </c>
      <c r="J1431" s="10" cm="1">
        <f t="array" ref="J1431">_xlfn.IFS(B1431=2015,I1431*$G$2,B1431=2016,I1431*$G$3,B1431=2017,I1431*$G$4,B1431=2018,I1431*$G$5,B1431=2019,I1431*$G$6,B1431=2020,I1431*$G$7,B1431=2021,I1431*$G$8,B1431=2022,I1431*$G$9,B1431=2023,I1431*$G$10)</f>
        <v>275140.73704721068</v>
      </c>
      <c r="K1431" s="8">
        <f t="shared" si="22"/>
        <v>1678040.7370472108</v>
      </c>
      <c r="L1431">
        <f>IFERROR(VLOOKUP(F1431,'LEAID Match'!$A$2:$B$240,2,FALSE),"")</f>
        <v>0</v>
      </c>
    </row>
    <row r="1432" spans="1:12" x14ac:dyDescent="0.2">
      <c r="A1432">
        <v>0</v>
      </c>
      <c r="B1432">
        <v>2022</v>
      </c>
      <c r="C1432" s="4" t="s">
        <v>309</v>
      </c>
      <c r="D1432" s="4" t="s">
        <v>576</v>
      </c>
      <c r="E1432" s="4" t="s">
        <v>578</v>
      </c>
      <c r="F1432" s="4" t="s">
        <v>268</v>
      </c>
      <c r="G1432" s="8">
        <v>1631355</v>
      </c>
      <c r="I1432" s="16" cm="1">
        <f t="array" ref="I1432">_xlfn.IFS(B1432=2015,G1432/$H$1957,B1432=2016,G1432/$H$1958,B1432=2017,G1432/$H$1959,B1432=2018,G1432/$H$1960,B1432=2019,G1432/$H$1961,B1432=2020,G1432/$H$1962,B1432=2021,G1432/$H$1963,B1432=2022,G1432/$H$1964,B1432=2023,G1432/$H$1965)</f>
        <v>1.7533841190536419E-3</v>
      </c>
      <c r="J1432" s="10" cm="1">
        <f t="array" ref="J1432">_xlfn.IFS(B1432=2015,I1432*$G$2,B1432=2016,I1432*$G$3,B1432=2017,I1432*$G$4,B1432=2018,I1432*$G$5,B1432=2019,I1432*$G$6,B1432=2020,I1432*$G$7,B1432=2021,I1432*$G$8,B1432=2022,I1432*$G$9,B1432=2023,I1432*$G$10)</f>
        <v>297348.78377600515</v>
      </c>
      <c r="K1432" s="8">
        <f t="shared" si="22"/>
        <v>1928703.7837760053</v>
      </c>
      <c r="L1432">
        <f>IFERROR(VLOOKUP(F1432,'LEAID Match'!$A$2:$B$240,2,FALSE),"")</f>
        <v>0</v>
      </c>
    </row>
    <row r="1433" spans="1:12" x14ac:dyDescent="0.2">
      <c r="A1433">
        <v>0</v>
      </c>
      <c r="B1433">
        <v>2023</v>
      </c>
      <c r="C1433" s="4" t="s">
        <v>309</v>
      </c>
      <c r="D1433" s="4" t="s">
        <v>576</v>
      </c>
      <c r="E1433" s="4" t="s">
        <v>578</v>
      </c>
      <c r="F1433" s="4" t="s">
        <v>268</v>
      </c>
      <c r="G1433" s="8">
        <v>1848269</v>
      </c>
      <c r="I1433" s="16" cm="1">
        <f t="array" ref="I1433">_xlfn.IFS(B1433=2015,G1433/$H$1957,B1433=2016,G1433/$H$1958,B1433=2017,G1433/$H$1959,B1433=2018,G1433/$H$1960,B1433=2019,G1433/$H$1961,B1433=2020,G1433/$H$1962,B1433=2021,G1433/$H$1963,B1433=2022,G1433/$H$1964,B1433=2023,G1433/$H$1965)</f>
        <v>1.8713531232354996E-3</v>
      </c>
      <c r="J1433" s="10" cm="1">
        <f t="array" ref="J1433">_xlfn.IFS(B1433=2015,I1433*$G$2,B1433=2016,I1433*$G$3,B1433=2017,I1433*$G$4,B1433=2018,I1433*$G$5,B1433=2019,I1433*$G$6,B1433=2020,I1433*$G$7,B1433=2021,I1433*$G$8,B1433=2022,I1433*$G$9,B1433=2023,I1433*$G$10)</f>
        <v>318102.55761483271</v>
      </c>
      <c r="K1433" s="8">
        <f t="shared" si="22"/>
        <v>2166371.5576148327</v>
      </c>
      <c r="L1433">
        <f>IFERROR(VLOOKUP(F1433,'LEAID Match'!$A$2:$B$240,2,FALSE),"")</f>
        <v>0</v>
      </c>
    </row>
    <row r="1434" spans="1:12" x14ac:dyDescent="0.2">
      <c r="A1434">
        <v>0</v>
      </c>
      <c r="B1434">
        <v>2015</v>
      </c>
      <c r="C1434" s="4" t="s">
        <v>310</v>
      </c>
      <c r="D1434" s="4" t="s">
        <v>576</v>
      </c>
      <c r="E1434" s="4" t="s">
        <v>578</v>
      </c>
      <c r="F1434" s="4" t="s">
        <v>269</v>
      </c>
      <c r="G1434" s="8">
        <v>625844</v>
      </c>
      <c r="I1434" s="16" cm="1">
        <f t="array" ref="I1434">_xlfn.IFS(B1434=2015,G1434/$H$1957,B1434=2016,G1434/$H$1958,B1434=2017,G1434/$H$1959,B1434=2018,G1434/$H$1960,B1434=2019,G1434/$H$1961,B1434=2020,G1434/$H$1962,B1434=2021,G1434/$H$1963,B1434=2022,G1434/$H$1964,B1434=2023,G1434/$H$1965)</f>
        <v>4.8331334243125395E-4</v>
      </c>
      <c r="J1434" s="10" cm="1">
        <f t="array" ref="J1434">_xlfn.IFS(B1434=2015,I1434*$G$2,B1434=2016,I1434*$G$3,B1434=2017,I1434*$G$4,B1434=2018,I1434*$G$5,B1434=2019,I1434*$G$6,B1434=2020,I1434*$G$7,B1434=2021,I1434*$G$8,B1434=2022,I1434*$G$9,B1434=2023,I1434*$G$10)</f>
        <v>120172.27399396374</v>
      </c>
      <c r="K1434" s="8">
        <f t="shared" si="22"/>
        <v>746016.27399396372</v>
      </c>
      <c r="L1434">
        <f>IFERROR(VLOOKUP(F1434,'LEAID Match'!$A$2:$B$240,2,FALSE),"")</f>
        <v>0</v>
      </c>
    </row>
    <row r="1435" spans="1:12" x14ac:dyDescent="0.2">
      <c r="A1435">
        <v>0</v>
      </c>
      <c r="B1435">
        <v>2016</v>
      </c>
      <c r="C1435" s="4" t="s">
        <v>310</v>
      </c>
      <c r="D1435" s="4" t="s">
        <v>576</v>
      </c>
      <c r="E1435" s="4" t="s">
        <v>578</v>
      </c>
      <c r="F1435" s="4" t="s">
        <v>269</v>
      </c>
      <c r="G1435" s="8">
        <v>904219</v>
      </c>
      <c r="I1435" s="16" cm="1">
        <f t="array" ref="I1435">_xlfn.IFS(B1435=2015,G1435/$H$1957,B1435=2016,G1435/$H$1958,B1435=2017,G1435/$H$1959,B1435=2018,G1435/$H$1960,B1435=2019,G1435/$H$1961,B1435=2020,G1435/$H$1962,B1435=2021,G1435/$H$1963,B1435=2022,G1435/$H$1964,B1435=2023,G1435/$H$1965)</f>
        <v>6.3476135144049321E-4</v>
      </c>
      <c r="J1435" s="10" cm="1">
        <f t="array" ref="J1435">_xlfn.IFS(B1435=2015,I1435*$G$2,B1435=2016,I1435*$G$3,B1435=2017,I1435*$G$4,B1435=2018,I1435*$G$5,B1435=2019,I1435*$G$6,B1435=2020,I1435*$G$7,B1435=2021,I1435*$G$8,B1435=2022,I1435*$G$9,B1435=2023,I1435*$G$10)</f>
        <v>172149.23357562418</v>
      </c>
      <c r="K1435" s="8">
        <f t="shared" si="22"/>
        <v>1076368.2335756242</v>
      </c>
      <c r="L1435">
        <f>IFERROR(VLOOKUP(F1435,'LEAID Match'!$A$2:$B$240,2,FALSE),"")</f>
        <v>0</v>
      </c>
    </row>
    <row r="1436" spans="1:12" x14ac:dyDescent="0.2">
      <c r="A1436">
        <v>0</v>
      </c>
      <c r="B1436">
        <v>2017</v>
      </c>
      <c r="C1436" s="4" t="s">
        <v>310</v>
      </c>
      <c r="D1436" s="4" t="s">
        <v>576</v>
      </c>
      <c r="E1436" s="4" t="s">
        <v>578</v>
      </c>
      <c r="F1436" s="4" t="s">
        <v>269</v>
      </c>
      <c r="G1436" s="8">
        <v>509908</v>
      </c>
      <c r="I1436" s="16" cm="1">
        <f t="array" ref="I1436">_xlfn.IFS(B1436=2015,G1436/$H$1957,B1436=2016,G1436/$H$1958,B1436=2017,G1436/$H$1959,B1436=2018,G1436/$H$1960,B1436=2019,G1436/$H$1961,B1436=2020,G1436/$H$1962,B1436=2021,G1436/$H$1963,B1436=2022,G1436/$H$1964,B1436=2023,G1436/$H$1965)</f>
        <v>6.8032578413401148E-4</v>
      </c>
      <c r="J1436" s="10" cm="1">
        <f t="array" ref="J1436">_xlfn.IFS(B1436=2015,I1436*$G$2,B1436=2016,I1436*$G$3,B1436=2017,I1436*$G$4,B1436=2018,I1436*$G$5,B1436=2019,I1436*$G$6,B1436=2020,I1436*$G$7,B1436=2021,I1436*$G$8,B1436=2022,I1436*$G$9,B1436=2023,I1436*$G$10)</f>
        <v>100747.1234205045</v>
      </c>
      <c r="K1436" s="8">
        <f t="shared" si="22"/>
        <v>610655.1234205045</v>
      </c>
      <c r="L1436">
        <f>IFERROR(VLOOKUP(F1436,'LEAID Match'!$A$2:$B$240,2,FALSE),"")</f>
        <v>0</v>
      </c>
    </row>
    <row r="1437" spans="1:12" x14ac:dyDescent="0.2">
      <c r="A1437">
        <v>0</v>
      </c>
      <c r="B1437">
        <v>2018</v>
      </c>
      <c r="C1437" s="4" t="s">
        <v>310</v>
      </c>
      <c r="D1437" s="4" t="s">
        <v>576</v>
      </c>
      <c r="E1437" s="4" t="s">
        <v>578</v>
      </c>
      <c r="F1437" s="4" t="s">
        <v>269</v>
      </c>
      <c r="G1437" s="8">
        <v>433188</v>
      </c>
      <c r="I1437" s="16" cm="1">
        <f t="array" ref="I1437">_xlfn.IFS(B1437=2015,G1437/$H$1957,B1437=2016,G1437/$H$1958,B1437=2017,G1437/$H$1959,B1437=2018,G1437/$H$1960,B1437=2019,G1437/$H$1961,B1437=2020,G1437/$H$1962,B1437=2021,G1437/$H$1963,B1437=2022,G1437/$H$1964,B1437=2023,G1437/$H$1965)</f>
        <v>5.5738752528147989E-4</v>
      </c>
      <c r="J1437" s="10" cm="1">
        <f t="array" ref="J1437">_xlfn.IFS(B1437=2015,I1437*$G$2,B1437=2016,I1437*$G$3,B1437=2017,I1437*$G$4,B1437=2018,I1437*$G$5,B1437=2019,I1437*$G$6,B1437=2020,I1437*$G$7,B1437=2021,I1437*$G$8,B1437=2022,I1437*$G$9,B1437=2023,I1437*$G$10)</f>
        <v>83900.157494017563</v>
      </c>
      <c r="K1437" s="8">
        <f t="shared" si="22"/>
        <v>517088.15749401756</v>
      </c>
      <c r="L1437">
        <f>IFERROR(VLOOKUP(F1437,'LEAID Match'!$A$2:$B$240,2,FALSE),"")</f>
        <v>0</v>
      </c>
    </row>
    <row r="1438" spans="1:12" x14ac:dyDescent="0.2">
      <c r="A1438">
        <v>0</v>
      </c>
      <c r="B1438">
        <v>2019</v>
      </c>
      <c r="C1438" s="4" t="s">
        <v>310</v>
      </c>
      <c r="D1438" s="4" t="s">
        <v>576</v>
      </c>
      <c r="E1438" s="4" t="s">
        <v>578</v>
      </c>
      <c r="F1438" s="4" t="s">
        <v>269</v>
      </c>
      <c r="G1438" s="8">
        <v>444023</v>
      </c>
      <c r="I1438" s="16" cm="1">
        <f t="array" ref="I1438">_xlfn.IFS(B1438=2015,G1438/$H$1957,B1438=2016,G1438/$H$1958,B1438=2017,G1438/$H$1959,B1438=2018,G1438/$H$1960,B1438=2019,G1438/$H$1961,B1438=2020,G1438/$H$1962,B1438=2021,G1438/$H$1963,B1438=2022,G1438/$H$1964,B1438=2023,G1438/$H$1965)</f>
        <v>5.5183029744955859E-4</v>
      </c>
      <c r="J1438" s="10" cm="1">
        <f t="array" ref="J1438">_xlfn.IFS(B1438=2015,I1438*$G$2,B1438=2016,I1438*$G$3,B1438=2017,I1438*$G$4,B1438=2018,I1438*$G$5,B1438=2019,I1438*$G$6,B1438=2020,I1438*$G$7,B1438=2021,I1438*$G$8,B1438=2022,I1438*$G$9,B1438=2023,I1438*$G$10)</f>
        <v>87204.705568655132</v>
      </c>
      <c r="K1438" s="8">
        <f t="shared" si="22"/>
        <v>531227.70556865516</v>
      </c>
      <c r="L1438">
        <f>IFERROR(VLOOKUP(F1438,'LEAID Match'!$A$2:$B$240,2,FALSE),"")</f>
        <v>0</v>
      </c>
    </row>
    <row r="1439" spans="1:12" x14ac:dyDescent="0.2">
      <c r="A1439">
        <v>0</v>
      </c>
      <c r="B1439">
        <v>2020</v>
      </c>
      <c r="C1439" s="4" t="s">
        <v>310</v>
      </c>
      <c r="D1439" s="4" t="s">
        <v>576</v>
      </c>
      <c r="E1439" s="4" t="s">
        <v>578</v>
      </c>
      <c r="F1439" s="4" t="s">
        <v>269</v>
      </c>
      <c r="G1439" s="8">
        <v>485827</v>
      </c>
      <c r="I1439" s="16" cm="1">
        <f t="array" ref="I1439">_xlfn.IFS(B1439=2015,G1439/$H$1957,B1439=2016,G1439/$H$1958,B1439=2017,G1439/$H$1959,B1439=2018,G1439/$H$1960,B1439=2019,G1439/$H$1961,B1439=2020,G1439/$H$1962,B1439=2021,G1439/$H$1963,B1439=2022,G1439/$H$1964,B1439=2023,G1439/$H$1965)</f>
        <v>5.5878042260772685E-4</v>
      </c>
      <c r="J1439" s="10" cm="1">
        <f t="array" ref="J1439">_xlfn.IFS(B1439=2015,I1439*$G$2,B1439=2016,I1439*$G$3,B1439=2017,I1439*$G$4,B1439=2018,I1439*$G$5,B1439=2019,I1439*$G$6,B1439=2020,I1439*$G$7,B1439=2021,I1439*$G$8,B1439=2022,I1439*$G$9,B1439=2023,I1439*$G$10)</f>
        <v>96492.379266867909</v>
      </c>
      <c r="K1439" s="8">
        <f t="shared" si="22"/>
        <v>582319.37926686788</v>
      </c>
      <c r="L1439">
        <f>IFERROR(VLOOKUP(F1439,'LEAID Match'!$A$2:$B$240,2,FALSE),"")</f>
        <v>0</v>
      </c>
    </row>
    <row r="1440" spans="1:12" x14ac:dyDescent="0.2">
      <c r="A1440">
        <v>0</v>
      </c>
      <c r="B1440">
        <v>2021</v>
      </c>
      <c r="C1440" s="4" t="s">
        <v>310</v>
      </c>
      <c r="D1440" s="4" t="s">
        <v>576</v>
      </c>
      <c r="E1440" s="4" t="s">
        <v>578</v>
      </c>
      <c r="F1440" s="4" t="s">
        <v>269</v>
      </c>
      <c r="G1440" s="8">
        <v>583372</v>
      </c>
      <c r="I1440" s="16" cm="1">
        <f t="array" ref="I1440">_xlfn.IFS(B1440=2015,G1440/$H$1957,B1440=2016,G1440/$H$1958,B1440=2017,G1440/$H$1959,B1440=2018,G1440/$H$1960,B1440=2019,G1440/$H$1961,B1440=2020,G1440/$H$1962,B1440=2021,G1440/$H$1963,B1440=2022,G1440/$H$1964,B1440=2023,G1440/$H$1965)</f>
        <v>6.6667454128533049E-4</v>
      </c>
      <c r="J1440" s="10" cm="1">
        <f t="array" ref="J1440">_xlfn.IFS(B1440=2015,I1440*$G$2,B1440=2016,I1440*$G$3,B1440=2017,I1440*$G$4,B1440=2018,I1440*$G$5,B1440=2019,I1440*$G$6,B1440=2020,I1440*$G$7,B1440=2021,I1440*$G$8,B1440=2022,I1440*$G$9,B1440=2023,I1440*$G$10)</f>
        <v>114412.57541713979</v>
      </c>
      <c r="K1440" s="8">
        <f t="shared" si="22"/>
        <v>697784.5754171398</v>
      </c>
      <c r="L1440">
        <f>IFERROR(VLOOKUP(F1440,'LEAID Match'!$A$2:$B$240,2,FALSE),"")</f>
        <v>0</v>
      </c>
    </row>
    <row r="1441" spans="1:12" x14ac:dyDescent="0.2">
      <c r="A1441">
        <v>0</v>
      </c>
      <c r="B1441">
        <v>2022</v>
      </c>
      <c r="C1441" s="4" t="s">
        <v>310</v>
      </c>
      <c r="D1441" s="4" t="s">
        <v>576</v>
      </c>
      <c r="E1441" s="4" t="s">
        <v>578</v>
      </c>
      <c r="F1441" s="4" t="s">
        <v>269</v>
      </c>
      <c r="G1441" s="8">
        <v>701606</v>
      </c>
      <c r="I1441" s="16" cm="1">
        <f t="array" ref="I1441">_xlfn.IFS(B1441=2015,G1441/$H$1957,B1441=2016,G1441/$H$1958,B1441=2017,G1441/$H$1959,B1441=2018,G1441/$H$1960,B1441=2019,G1441/$H$1961,B1441=2020,G1441/$H$1962,B1441=2021,G1441/$H$1963,B1441=2022,G1441/$H$1964,B1441=2023,G1441/$H$1965)</f>
        <v>7.5408774805774917E-4</v>
      </c>
      <c r="J1441" s="10" cm="1">
        <f t="array" ref="J1441">_xlfn.IFS(B1441=2015,I1441*$G$2,B1441=2016,I1441*$G$3,B1441=2017,I1441*$G$4,B1441=2018,I1441*$G$5,B1441=2019,I1441*$G$6,B1441=2020,I1441*$G$7,B1441=2021,I1441*$G$8,B1441=2022,I1441*$G$9,B1441=2023,I1441*$G$10)</f>
        <v>127882.46015732188</v>
      </c>
      <c r="K1441" s="8">
        <f t="shared" si="22"/>
        <v>829488.46015732188</v>
      </c>
      <c r="L1441">
        <f>IFERROR(VLOOKUP(F1441,'LEAID Match'!$A$2:$B$240,2,FALSE),"")</f>
        <v>0</v>
      </c>
    </row>
    <row r="1442" spans="1:12" x14ac:dyDescent="0.2">
      <c r="A1442">
        <v>0</v>
      </c>
      <c r="B1442">
        <v>2023</v>
      </c>
      <c r="C1442" s="4" t="s">
        <v>310</v>
      </c>
      <c r="D1442" s="4" t="s">
        <v>576</v>
      </c>
      <c r="E1442" s="4" t="s">
        <v>578</v>
      </c>
      <c r="F1442" s="4" t="s">
        <v>269</v>
      </c>
      <c r="G1442" s="8">
        <v>775907</v>
      </c>
      <c r="I1442" s="16" cm="1">
        <f t="array" ref="I1442">_xlfn.IFS(B1442=2015,G1442/$H$1957,B1442=2016,G1442/$H$1958,B1442=2017,G1442/$H$1959,B1442=2018,G1442/$H$1960,B1442=2019,G1442/$H$1961,B1442=2020,G1442/$H$1962,B1442=2021,G1442/$H$1963,B1442=2022,G1442/$H$1964,B1442=2023,G1442/$H$1965)</f>
        <v>7.8559776081852089E-4</v>
      </c>
      <c r="J1442" s="10" cm="1">
        <f t="array" ref="J1442">_xlfn.IFS(B1442=2015,I1442*$G$2,B1442=2016,I1442*$G$3,B1442=2017,I1442*$G$4,B1442=2018,I1442*$G$5,B1442=2019,I1442*$G$6,B1442=2020,I1442*$G$7,B1442=2021,I1442*$G$8,B1442=2022,I1442*$G$9,B1442=2023,I1442*$G$10)</f>
        <v>133540.08597842196</v>
      </c>
      <c r="K1442" s="8">
        <f t="shared" si="22"/>
        <v>909447.08597842196</v>
      </c>
      <c r="L1442">
        <f>IFERROR(VLOOKUP(F1442,'LEAID Match'!$A$2:$B$240,2,FALSE),"")</f>
        <v>0</v>
      </c>
    </row>
    <row r="1443" spans="1:12" x14ac:dyDescent="0.2">
      <c r="A1443">
        <v>0</v>
      </c>
      <c r="B1443">
        <v>2015</v>
      </c>
      <c r="C1443" s="4" t="s">
        <v>311</v>
      </c>
      <c r="D1443" s="4" t="s">
        <v>576</v>
      </c>
      <c r="E1443" s="4" t="s">
        <v>578</v>
      </c>
      <c r="F1443" s="4" t="s">
        <v>270</v>
      </c>
      <c r="G1443" s="8">
        <v>1591</v>
      </c>
      <c r="I1443" s="16" cm="1">
        <f t="array" ref="I1443">_xlfn.IFS(B1443=2015,G1443/$H$1957,B1443=2016,G1443/$H$1958,B1443=2017,G1443/$H$1959,B1443=2018,G1443/$H$1960,B1443=2019,G1443/$H$1961,B1443=2020,G1443/$H$1962,B1443=2021,G1443/$H$1963,B1443=2022,G1443/$H$1964,B1443=2023,G1443/$H$1965)</f>
        <v>1.2286632576298967E-6</v>
      </c>
      <c r="J1443" s="10" cm="1">
        <f t="array" ref="J1443">_xlfn.IFS(B1443=2015,I1443*$G$2,B1443=2016,I1443*$G$3,B1443=2017,I1443*$G$4,B1443=2018,I1443*$G$5,B1443=2019,I1443*$G$6,B1443=2020,I1443*$G$7,B1443=2021,I1443*$G$8,B1443=2022,I1443*$G$9,B1443=2023,I1443*$G$10)</f>
        <v>305.49799618498594</v>
      </c>
      <c r="K1443" s="8">
        <f t="shared" si="22"/>
        <v>1896.4979961849858</v>
      </c>
      <c r="L1443">
        <f>IFERROR(VLOOKUP(F1443,'LEAID Match'!$A$2:$B$240,2,FALSE),"")</f>
        <v>0</v>
      </c>
    </row>
    <row r="1444" spans="1:12" x14ac:dyDescent="0.2">
      <c r="A1444">
        <v>0</v>
      </c>
      <c r="B1444">
        <v>2016</v>
      </c>
      <c r="C1444" s="4" t="s">
        <v>311</v>
      </c>
      <c r="D1444" s="4" t="s">
        <v>576</v>
      </c>
      <c r="E1444" s="4" t="s">
        <v>578</v>
      </c>
      <c r="F1444" s="4" t="s">
        <v>270</v>
      </c>
      <c r="G1444" s="8">
        <v>116845</v>
      </c>
      <c r="I1444" s="16" cm="1">
        <f t="array" ref="I1444">_xlfn.IFS(B1444=2015,G1444/$H$1957,B1444=2016,G1444/$H$1958,B1444=2017,G1444/$H$1959,B1444=2018,G1444/$H$1960,B1444=2019,G1444/$H$1961,B1444=2020,G1444/$H$1962,B1444=2021,G1444/$H$1963,B1444=2022,G1444/$H$1964,B1444=2023,G1444/$H$1965)</f>
        <v>8.2025140048002114E-5</v>
      </c>
      <c r="J1444" s="10" cm="1">
        <f t="array" ref="J1444">_xlfn.IFS(B1444=2015,I1444*$G$2,B1444=2016,I1444*$G$3,B1444=2017,I1444*$G$4,B1444=2018,I1444*$G$5,B1444=2019,I1444*$G$6,B1444=2020,I1444*$G$7,B1444=2021,I1444*$G$8,B1444=2022,I1444*$G$9,B1444=2023,I1444*$G$10)</f>
        <v>22245.470618449523</v>
      </c>
      <c r="K1444" s="8">
        <f t="shared" si="22"/>
        <v>139090.47061844953</v>
      </c>
      <c r="L1444">
        <f>IFERROR(VLOOKUP(F1444,'LEAID Match'!$A$2:$B$240,2,FALSE),"")</f>
        <v>0</v>
      </c>
    </row>
    <row r="1445" spans="1:12" x14ac:dyDescent="0.2">
      <c r="A1445">
        <v>0</v>
      </c>
      <c r="B1445">
        <v>2017</v>
      </c>
      <c r="C1445" s="4" t="s">
        <v>311</v>
      </c>
      <c r="D1445" s="4" t="s">
        <v>576</v>
      </c>
      <c r="E1445" s="4" t="s">
        <v>578</v>
      </c>
      <c r="F1445" s="4" t="s">
        <v>270</v>
      </c>
      <c r="G1445" s="8">
        <v>76773</v>
      </c>
      <c r="I1445" s="16" cm="1">
        <f t="array" ref="I1445">_xlfn.IFS(B1445=2015,G1445/$H$1957,B1445=2016,G1445/$H$1958,B1445=2017,G1445/$H$1959,B1445=2018,G1445/$H$1960,B1445=2019,G1445/$H$1961,B1445=2020,G1445/$H$1962,B1445=2021,G1445/$H$1963,B1445=2022,G1445/$H$1964,B1445=2023,G1445/$H$1965)</f>
        <v>1.0243151985322933E-4</v>
      </c>
      <c r="J1445" s="10" cm="1">
        <f t="array" ref="J1445">_xlfn.IFS(B1445=2015,I1445*$G$2,B1445=2016,I1445*$G$3,B1445=2017,I1445*$G$4,B1445=2018,I1445*$G$5,B1445=2019,I1445*$G$6,B1445=2020,I1445*$G$7,B1445=2021,I1445*$G$8,B1445=2022,I1445*$G$9,B1445=2023,I1445*$G$10)</f>
        <v>15168.734176287473</v>
      </c>
      <c r="K1445" s="8">
        <f t="shared" si="22"/>
        <v>91941.734176287471</v>
      </c>
      <c r="L1445">
        <f>IFERROR(VLOOKUP(F1445,'LEAID Match'!$A$2:$B$240,2,FALSE),"")</f>
        <v>0</v>
      </c>
    </row>
    <row r="1446" spans="1:12" x14ac:dyDescent="0.2">
      <c r="A1446">
        <v>0</v>
      </c>
      <c r="B1446">
        <v>2018</v>
      </c>
      <c r="C1446" s="4" t="s">
        <v>311</v>
      </c>
      <c r="D1446" s="4" t="s">
        <v>576</v>
      </c>
      <c r="E1446" s="4" t="s">
        <v>578</v>
      </c>
      <c r="F1446" s="4" t="s">
        <v>270</v>
      </c>
      <c r="G1446" s="8">
        <v>79429</v>
      </c>
      <c r="I1446" s="16" cm="1">
        <f t="array" ref="I1446">_xlfn.IFS(B1446=2015,G1446/$H$1957,B1446=2016,G1446/$H$1958,B1446=2017,G1446/$H$1959,B1446=2018,G1446/$H$1960,B1446=2019,G1446/$H$1961,B1446=2020,G1446/$H$1962,B1446=2021,G1446/$H$1963,B1446=2022,G1446/$H$1964,B1446=2023,G1446/$H$1965)</f>
        <v>1.0220212412528201E-4</v>
      </c>
      <c r="J1446" s="10" cm="1">
        <f t="array" ref="J1446">_xlfn.IFS(B1446=2015,I1446*$G$2,B1446=2016,I1446*$G$3,B1446=2017,I1446*$G$4,B1446=2018,I1446*$G$5,B1446=2019,I1446*$G$6,B1446=2020,I1446*$G$7,B1446=2021,I1446*$G$8,B1446=2022,I1446*$G$9,B1446=2023,I1446*$G$10)</f>
        <v>15383.864764472517</v>
      </c>
      <c r="K1446" s="8">
        <f t="shared" si="22"/>
        <v>94812.864764472513</v>
      </c>
      <c r="L1446">
        <f>IFERROR(VLOOKUP(F1446,'LEAID Match'!$A$2:$B$240,2,FALSE),"")</f>
        <v>0</v>
      </c>
    </row>
    <row r="1447" spans="1:12" x14ac:dyDescent="0.2">
      <c r="A1447">
        <v>0</v>
      </c>
      <c r="B1447">
        <v>2019</v>
      </c>
      <c r="C1447" s="4" t="s">
        <v>311</v>
      </c>
      <c r="D1447" s="4" t="s">
        <v>576</v>
      </c>
      <c r="E1447" s="4" t="s">
        <v>578</v>
      </c>
      <c r="F1447" s="4" t="s">
        <v>270</v>
      </c>
      <c r="G1447" s="8">
        <v>98757</v>
      </c>
      <c r="I1447" s="16" cm="1">
        <f t="array" ref="I1447">_xlfn.IFS(B1447=2015,G1447/$H$1957,B1447=2016,G1447/$H$1958,B1447=2017,G1447/$H$1959,B1447=2018,G1447/$H$1960,B1447=2019,G1447/$H$1961,B1447=2020,G1447/$H$1962,B1447=2021,G1447/$H$1963,B1447=2022,G1447/$H$1964,B1447=2023,G1447/$H$1965)</f>
        <v>1.227348688811752E-4</v>
      </c>
      <c r="J1447" s="10" cm="1">
        <f t="array" ref="J1447">_xlfn.IFS(B1447=2015,I1447*$G$2,B1447=2016,I1447*$G$3,B1447=2017,I1447*$G$4,B1447=2018,I1447*$G$5,B1447=2019,I1447*$G$6,B1447=2020,I1447*$G$7,B1447=2021,I1447*$G$8,B1447=2022,I1447*$G$9,B1447=2023,I1447*$G$10)</f>
        <v>19395.560833208358</v>
      </c>
      <c r="K1447" s="8">
        <f t="shared" si="22"/>
        <v>118152.56083320835</v>
      </c>
      <c r="L1447">
        <f>IFERROR(VLOOKUP(F1447,'LEAID Match'!$A$2:$B$240,2,FALSE),"")</f>
        <v>0</v>
      </c>
    </row>
    <row r="1448" spans="1:12" x14ac:dyDescent="0.2">
      <c r="A1448">
        <v>0</v>
      </c>
      <c r="B1448">
        <v>2020</v>
      </c>
      <c r="C1448" s="4" t="s">
        <v>311</v>
      </c>
      <c r="D1448" s="4" t="s">
        <v>576</v>
      </c>
      <c r="E1448" s="4" t="s">
        <v>578</v>
      </c>
      <c r="F1448" s="4" t="s">
        <v>270</v>
      </c>
      <c r="G1448" s="8">
        <v>115321</v>
      </c>
      <c r="I1448" s="16" cm="1">
        <f t="array" ref="I1448">_xlfn.IFS(B1448=2015,G1448/$H$1957,B1448=2016,G1448/$H$1958,B1448=2017,G1448/$H$1959,B1448=2018,G1448/$H$1960,B1448=2019,G1448/$H$1961,B1448=2020,G1448/$H$1962,B1448=2021,G1448/$H$1963,B1448=2022,G1448/$H$1964,B1448=2023,G1448/$H$1965)</f>
        <v>1.3263799071592494E-4</v>
      </c>
      <c r="J1448" s="10" cm="1">
        <f t="array" ref="J1448">_xlfn.IFS(B1448=2015,I1448*$G$2,B1448=2016,I1448*$G$3,B1448=2017,I1448*$G$4,B1448=2018,I1448*$G$5,B1448=2019,I1448*$G$6,B1448=2020,I1448*$G$7,B1448=2021,I1448*$G$8,B1448=2022,I1448*$G$9,B1448=2023,I1448*$G$10)</f>
        <v>22904.444729161769</v>
      </c>
      <c r="K1448" s="8">
        <f t="shared" si="22"/>
        <v>138225.44472916177</v>
      </c>
      <c r="L1448">
        <f>IFERROR(VLOOKUP(F1448,'LEAID Match'!$A$2:$B$240,2,FALSE),"")</f>
        <v>0</v>
      </c>
    </row>
    <row r="1449" spans="1:12" x14ac:dyDescent="0.2">
      <c r="A1449">
        <v>0</v>
      </c>
      <c r="B1449">
        <v>2021</v>
      </c>
      <c r="C1449" s="4" t="s">
        <v>311</v>
      </c>
      <c r="D1449" s="4" t="s">
        <v>576</v>
      </c>
      <c r="E1449" s="4" t="s">
        <v>578</v>
      </c>
      <c r="F1449" s="4" t="s">
        <v>270</v>
      </c>
      <c r="G1449" s="8">
        <v>120886</v>
      </c>
      <c r="I1449" s="16" cm="1">
        <f t="array" ref="I1449">_xlfn.IFS(B1449=2015,G1449/$H$1957,B1449=2016,G1449/$H$1958,B1449=2017,G1449/$H$1959,B1449=2018,G1449/$H$1960,B1449=2019,G1449/$H$1961,B1449=2020,G1449/$H$1962,B1449=2021,G1449/$H$1963,B1449=2022,G1449/$H$1964,B1449=2023,G1449/$H$1965)</f>
        <v>1.38147903220961E-4</v>
      </c>
      <c r="J1449" s="10" cm="1">
        <f t="array" ref="J1449">_xlfn.IFS(B1449=2015,I1449*$G$2,B1449=2016,I1449*$G$3,B1449=2017,I1449*$G$4,B1449=2018,I1449*$G$5,B1449=2019,I1449*$G$6,B1449=2020,I1449*$G$7,B1449=2021,I1449*$G$8,B1449=2022,I1449*$G$9,B1449=2023,I1449*$G$10)</f>
        <v>23708.506050815537</v>
      </c>
      <c r="K1449" s="8">
        <f t="shared" si="22"/>
        <v>144594.50605081554</v>
      </c>
      <c r="L1449">
        <f>IFERROR(VLOOKUP(F1449,'LEAID Match'!$A$2:$B$240,2,FALSE),"")</f>
        <v>0</v>
      </c>
    </row>
    <row r="1450" spans="1:12" x14ac:dyDescent="0.2">
      <c r="A1450">
        <v>0</v>
      </c>
      <c r="B1450">
        <v>2022</v>
      </c>
      <c r="C1450" s="4" t="s">
        <v>311</v>
      </c>
      <c r="D1450" s="4" t="s">
        <v>576</v>
      </c>
      <c r="E1450" s="4" t="s">
        <v>578</v>
      </c>
      <c r="F1450" s="4" t="s">
        <v>270</v>
      </c>
      <c r="G1450" s="8">
        <v>120847</v>
      </c>
      <c r="I1450" s="16" cm="1">
        <f t="array" ref="I1450">_xlfn.IFS(B1450=2015,G1450/$H$1957,B1450=2016,G1450/$H$1958,B1450=2017,G1450/$H$1959,B1450=2018,G1450/$H$1960,B1450=2019,G1450/$H$1961,B1450=2020,G1450/$H$1962,B1450=2021,G1450/$H$1963,B1450=2022,G1450/$H$1964,B1450=2023,G1450/$H$1965)</f>
        <v>1.2988663450645349E-4</v>
      </c>
      <c r="J1450" s="10" cm="1">
        <f t="array" ref="J1450">_xlfn.IFS(B1450=2015,I1450*$G$2,B1450=2016,I1450*$G$3,B1450=2017,I1450*$G$4,B1450=2018,I1450*$G$5,B1450=2019,I1450*$G$6,B1450=2020,I1450*$G$7,B1450=2021,I1450*$G$8,B1450=2022,I1450*$G$9,B1450=2023,I1450*$G$10)</f>
        <v>22026.909209202709</v>
      </c>
      <c r="K1450" s="8">
        <f t="shared" si="22"/>
        <v>142873.90920920271</v>
      </c>
      <c r="L1450">
        <f>IFERROR(VLOOKUP(F1450,'LEAID Match'!$A$2:$B$240,2,FALSE),"")</f>
        <v>0</v>
      </c>
    </row>
    <row r="1451" spans="1:12" x14ac:dyDescent="0.2">
      <c r="A1451">
        <v>0</v>
      </c>
      <c r="B1451">
        <v>2023</v>
      </c>
      <c r="C1451" s="4" t="s">
        <v>311</v>
      </c>
      <c r="D1451" s="4" t="s">
        <v>576</v>
      </c>
      <c r="E1451" s="4" t="s">
        <v>578</v>
      </c>
      <c r="F1451" s="4" t="s">
        <v>270</v>
      </c>
      <c r="G1451" s="8">
        <v>169605</v>
      </c>
      <c r="I1451" s="16" cm="1">
        <f t="array" ref="I1451">_xlfn.IFS(B1451=2015,G1451/$H$1957,B1451=2016,G1451/$H$1958,B1451=2017,G1451/$H$1959,B1451=2018,G1451/$H$1960,B1451=2019,G1451/$H$1961,B1451=2020,G1451/$H$1962,B1451=2021,G1451/$H$1963,B1451=2022,G1451/$H$1964,B1451=2023,G1451/$H$1965)</f>
        <v>1.7172329702351601E-4</v>
      </c>
      <c r="J1451" s="10" cm="1">
        <f t="array" ref="J1451">_xlfn.IFS(B1451=2015,I1451*$G$2,B1451=2016,I1451*$G$3,B1451=2017,I1451*$G$4,B1451=2018,I1451*$G$5,B1451=2019,I1451*$G$6,B1451=2020,I1451*$G$7,B1451=2021,I1451*$G$8,B1451=2022,I1451*$G$9,B1451=2023,I1451*$G$10)</f>
        <v>29190.439424274118</v>
      </c>
      <c r="K1451" s="8">
        <f t="shared" si="22"/>
        <v>198795.43942427411</v>
      </c>
      <c r="L1451">
        <f>IFERROR(VLOOKUP(F1451,'LEAID Match'!$A$2:$B$240,2,FALSE),"")</f>
        <v>0</v>
      </c>
    </row>
    <row r="1452" spans="1:12" x14ac:dyDescent="0.2">
      <c r="A1452">
        <v>0</v>
      </c>
      <c r="B1452">
        <v>2016</v>
      </c>
      <c r="C1452" s="4" t="s">
        <v>400</v>
      </c>
      <c r="D1452" s="4" t="s">
        <v>576</v>
      </c>
      <c r="E1452" s="4" t="s">
        <v>578</v>
      </c>
      <c r="F1452" s="4" t="s">
        <v>398</v>
      </c>
      <c r="G1452" s="8">
        <v>63363</v>
      </c>
      <c r="I1452" s="16" cm="1">
        <f t="array" ref="I1452">_xlfn.IFS(B1452=2015,G1452/$H$1957,B1452=2016,G1452/$H$1958,B1452=2017,G1452/$H$1959,B1452=2018,G1452/$H$1960,B1452=2019,G1452/$H$1961,B1452=2020,G1452/$H$1962,B1452=2021,G1452/$H$1963,B1452=2022,G1452/$H$1964,B1452=2023,G1452/$H$1965)</f>
        <v>4.4480798911905158E-5</v>
      </c>
      <c r="J1452" s="10" cm="1">
        <f t="array" ref="J1452">_xlfn.IFS(B1452=2015,I1452*$G$2,B1452=2016,I1452*$G$3,B1452=2017,I1452*$G$4,B1452=2018,I1452*$G$5,B1452=2019,I1452*$G$6,B1452=2020,I1452*$G$7,B1452=2021,I1452*$G$8,B1452=2022,I1452*$G$9,B1452=2023,I1452*$G$10)</f>
        <v>12063.329665769328</v>
      </c>
      <c r="K1452" s="8">
        <f t="shared" si="22"/>
        <v>75426.329665769328</v>
      </c>
      <c r="L1452">
        <f>IFERROR(VLOOKUP(F1452,'LEAID Match'!$A$2:$B$240,2,FALSE),"")</f>
        <v>0</v>
      </c>
    </row>
    <row r="1453" spans="1:12" x14ac:dyDescent="0.2">
      <c r="A1453">
        <v>0</v>
      </c>
      <c r="B1453">
        <v>2017</v>
      </c>
      <c r="C1453" s="4" t="s">
        <v>400</v>
      </c>
      <c r="D1453" s="4" t="s">
        <v>576</v>
      </c>
      <c r="E1453" s="4" t="s">
        <v>578</v>
      </c>
      <c r="F1453" s="4" t="s">
        <v>398</v>
      </c>
      <c r="G1453" s="8">
        <v>66027</v>
      </c>
      <c r="I1453" s="16" cm="1">
        <f t="array" ref="I1453">_xlfn.IFS(B1453=2015,G1453/$H$1957,B1453=2016,G1453/$H$1958,B1453=2017,G1453/$H$1959,B1453=2018,G1453/$H$1960,B1453=2019,G1453/$H$1961,B1453=2020,G1453/$H$1962,B1453=2021,G1453/$H$1963,B1453=2022,G1453/$H$1964,B1453=2023,G1453/$H$1965)</f>
        <v>8.8094069026209391E-5</v>
      </c>
      <c r="J1453" s="10" cm="1">
        <f t="array" ref="J1453">_xlfn.IFS(B1453=2015,I1453*$G$2,B1453=2016,I1453*$G$3,B1453=2017,I1453*$G$4,B1453=2018,I1453*$G$5,B1453=2019,I1453*$G$6,B1453=2020,I1453*$G$7,B1453=2021,I1453*$G$8,B1453=2022,I1453*$G$9,B1453=2023,I1453*$G$10)</f>
        <v>13045.550017033762</v>
      </c>
      <c r="K1453" s="8">
        <f t="shared" si="22"/>
        <v>79072.550017033762</v>
      </c>
      <c r="L1453">
        <f>IFERROR(VLOOKUP(F1453,'LEAID Match'!$A$2:$B$240,2,FALSE),"")</f>
        <v>0</v>
      </c>
    </row>
    <row r="1454" spans="1:12" x14ac:dyDescent="0.2">
      <c r="A1454">
        <v>0</v>
      </c>
      <c r="B1454">
        <v>2018</v>
      </c>
      <c r="C1454" s="4" t="s">
        <v>400</v>
      </c>
      <c r="D1454" s="4" t="s">
        <v>576</v>
      </c>
      <c r="E1454" s="4" t="s">
        <v>578</v>
      </c>
      <c r="F1454" s="4" t="s">
        <v>398</v>
      </c>
      <c r="G1454" s="8">
        <v>70612</v>
      </c>
      <c r="I1454" s="16" cm="1">
        <f t="array" ref="I1454">_xlfn.IFS(B1454=2015,G1454/$H$1957,B1454=2016,G1454/$H$1958,B1454=2017,G1454/$H$1959,B1454=2018,G1454/$H$1960,B1454=2019,G1454/$H$1961,B1454=2020,G1454/$H$1962,B1454=2021,G1454/$H$1963,B1454=2022,G1454/$H$1964,B1454=2023,G1454/$H$1965)</f>
        <v>9.0857198110695262E-5</v>
      </c>
      <c r="J1454" s="10" cm="1">
        <f t="array" ref="J1454">_xlfn.IFS(B1454=2015,I1454*$G$2,B1454=2016,I1454*$G$3,B1454=2017,I1454*$G$4,B1454=2018,I1454*$G$5,B1454=2019,I1454*$G$6,B1454=2020,I1454*$G$7,B1454=2021,I1454*$G$8,B1454=2022,I1454*$G$9,B1454=2023,I1454*$G$10)</f>
        <v>13676.181983267237</v>
      </c>
      <c r="K1454" s="8">
        <f t="shared" si="22"/>
        <v>84288.181983267234</v>
      </c>
      <c r="L1454">
        <f>IFERROR(VLOOKUP(F1454,'LEAID Match'!$A$2:$B$240,2,FALSE),"")</f>
        <v>0</v>
      </c>
    </row>
    <row r="1455" spans="1:12" x14ac:dyDescent="0.2">
      <c r="A1455">
        <v>0</v>
      </c>
      <c r="B1455">
        <v>2019</v>
      </c>
      <c r="C1455" s="4" t="s">
        <v>400</v>
      </c>
      <c r="D1455" s="4" t="s">
        <v>576</v>
      </c>
      <c r="E1455" s="4" t="s">
        <v>578</v>
      </c>
      <c r="F1455" s="4" t="s">
        <v>398</v>
      </c>
      <c r="G1455" s="8">
        <v>79135</v>
      </c>
      <c r="I1455" s="16" cm="1">
        <f t="array" ref="I1455">_xlfn.IFS(B1455=2015,G1455/$H$1957,B1455=2016,G1455/$H$1958,B1455=2017,G1455/$H$1959,B1455=2018,G1455/$H$1960,B1455=2019,G1455/$H$1961,B1455=2020,G1455/$H$1962,B1455=2021,G1455/$H$1963,B1455=2022,G1455/$H$1964,B1455=2023,G1455/$H$1965)</f>
        <v>9.8348712991603625E-5</v>
      </c>
      <c r="J1455" s="10" cm="1">
        <f t="array" ref="J1455">_xlfn.IFS(B1455=2015,I1455*$G$2,B1455=2016,I1455*$G$3,B1455=2017,I1455*$G$4,B1455=2018,I1455*$G$5,B1455=2019,I1455*$G$6,B1455=2020,I1455*$G$7,B1455=2021,I1455*$G$8,B1455=2022,I1455*$G$9,B1455=2023,I1455*$G$10)</f>
        <v>15541.862415180123</v>
      </c>
      <c r="K1455" s="8">
        <f t="shared" si="22"/>
        <v>94676.86241518012</v>
      </c>
      <c r="L1455">
        <f>IFERROR(VLOOKUP(F1455,'LEAID Match'!$A$2:$B$240,2,FALSE),"")</f>
        <v>0</v>
      </c>
    </row>
    <row r="1456" spans="1:12" x14ac:dyDescent="0.2">
      <c r="A1456">
        <v>0</v>
      </c>
      <c r="B1456">
        <v>2020</v>
      </c>
      <c r="C1456" s="4" t="s">
        <v>400</v>
      </c>
      <c r="D1456" s="4" t="s">
        <v>576</v>
      </c>
      <c r="E1456" s="4" t="s">
        <v>578</v>
      </c>
      <c r="F1456" s="4" t="s">
        <v>398</v>
      </c>
      <c r="G1456" s="8">
        <v>85796</v>
      </c>
      <c r="I1456" s="16" cm="1">
        <f t="array" ref="I1456">_xlfn.IFS(B1456=2015,G1456/$H$1957,B1456=2016,G1456/$H$1958,B1456=2017,G1456/$H$1959,B1456=2018,G1456/$H$1960,B1456=2019,G1456/$H$1961,B1456=2020,G1456/$H$1962,B1456=2021,G1456/$H$1963,B1456=2022,G1456/$H$1964,B1456=2023,G1456/$H$1965)</f>
        <v>9.8679417031273536E-5</v>
      </c>
      <c r="J1456" s="10" cm="1">
        <f t="array" ref="J1456">_xlfn.IFS(B1456=2015,I1456*$G$2,B1456=2016,I1456*$G$3,B1456=2017,I1456*$G$4,B1456=2018,I1456*$G$5,B1456=2019,I1456*$G$6,B1456=2020,I1456*$G$7,B1456=2021,I1456*$G$8,B1456=2022,I1456*$G$9,B1456=2023,I1456*$G$10)</f>
        <v>17040.345990610233</v>
      </c>
      <c r="K1456" s="8">
        <f t="shared" si="22"/>
        <v>102836.34599061024</v>
      </c>
      <c r="L1456">
        <f>IFERROR(VLOOKUP(F1456,'LEAID Match'!$A$2:$B$240,2,FALSE),"")</f>
        <v>0</v>
      </c>
    </row>
    <row r="1457" spans="1:12" x14ac:dyDescent="0.2">
      <c r="A1457">
        <v>0</v>
      </c>
      <c r="B1457">
        <v>2021</v>
      </c>
      <c r="C1457" s="4" t="s">
        <v>400</v>
      </c>
      <c r="D1457" s="4" t="s">
        <v>576</v>
      </c>
      <c r="E1457" s="4" t="s">
        <v>578</v>
      </c>
      <c r="F1457" s="4" t="s">
        <v>398</v>
      </c>
      <c r="G1457" s="8">
        <v>89284</v>
      </c>
      <c r="I1457" s="16" cm="1">
        <f t="array" ref="I1457">_xlfn.IFS(B1457=2015,G1457/$H$1957,B1457=2016,G1457/$H$1958,B1457=2017,G1457/$H$1959,B1457=2018,G1457/$H$1960,B1457=2019,G1457/$H$1961,B1457=2020,G1457/$H$1962,B1457=2021,G1457/$H$1963,B1457=2022,G1457/$H$1964,B1457=2023,G1457/$H$1965)</f>
        <v>1.0203329906838081E-4</v>
      </c>
      <c r="J1457" s="10" cm="1">
        <f t="array" ref="J1457">_xlfn.IFS(B1457=2015,I1457*$G$2,B1457=2016,I1457*$G$3,B1457=2017,I1457*$G$4,B1457=2018,I1457*$G$5,B1457=2019,I1457*$G$6,B1457=2020,I1457*$G$7,B1457=2021,I1457*$G$8,B1457=2022,I1457*$G$9,B1457=2023,I1457*$G$10)</f>
        <v>17510.631952757263</v>
      </c>
      <c r="K1457" s="8">
        <f t="shared" si="22"/>
        <v>106794.63195275726</v>
      </c>
      <c r="L1457">
        <f>IFERROR(VLOOKUP(F1457,'LEAID Match'!$A$2:$B$240,2,FALSE),"")</f>
        <v>0</v>
      </c>
    </row>
    <row r="1458" spans="1:12" x14ac:dyDescent="0.2">
      <c r="A1458">
        <v>0</v>
      </c>
      <c r="B1458">
        <v>2022</v>
      </c>
      <c r="C1458" s="4" t="s">
        <v>400</v>
      </c>
      <c r="D1458" s="4" t="s">
        <v>576</v>
      </c>
      <c r="E1458" s="4" t="s">
        <v>578</v>
      </c>
      <c r="F1458" s="4" t="s">
        <v>398</v>
      </c>
      <c r="G1458" s="8">
        <v>101739</v>
      </c>
      <c r="I1458" s="16" cm="1">
        <f t="array" ref="I1458">_xlfn.IFS(B1458=2015,G1458/$H$1957,B1458=2016,G1458/$H$1958,B1458=2017,G1458/$H$1959,B1458=2018,G1458/$H$1960,B1458=2019,G1458/$H$1961,B1458=2020,G1458/$H$1962,B1458=2021,G1458/$H$1963,B1458=2022,G1458/$H$1964,B1458=2023,G1458/$H$1965)</f>
        <v>1.0934931200652125E-4</v>
      </c>
      <c r="J1458" s="10" cm="1">
        <f t="array" ref="J1458">_xlfn.IFS(B1458=2015,I1458*$G$2,B1458=2016,I1458*$G$3,B1458=2017,I1458*$G$4,B1458=2018,I1458*$G$5,B1458=2019,I1458*$G$6,B1458=2020,I1458*$G$7,B1458=2021,I1458*$G$8,B1458=2022,I1458*$G$9,B1458=2023,I1458*$G$10)</f>
        <v>18544.074044329398</v>
      </c>
      <c r="K1458" s="8">
        <f t="shared" si="22"/>
        <v>120283.07404432941</v>
      </c>
      <c r="L1458">
        <f>IFERROR(VLOOKUP(F1458,'LEAID Match'!$A$2:$B$240,2,FALSE),"")</f>
        <v>0</v>
      </c>
    </row>
    <row r="1459" spans="1:12" x14ac:dyDescent="0.2">
      <c r="A1459">
        <v>0</v>
      </c>
      <c r="B1459">
        <v>2023</v>
      </c>
      <c r="C1459" s="4" t="s">
        <v>400</v>
      </c>
      <c r="D1459" s="4" t="s">
        <v>576</v>
      </c>
      <c r="E1459" s="4" t="s">
        <v>578</v>
      </c>
      <c r="F1459" s="4" t="s">
        <v>398</v>
      </c>
      <c r="G1459" s="8">
        <v>107662</v>
      </c>
      <c r="I1459" s="16" cm="1">
        <f t="array" ref="I1459">_xlfn.IFS(B1459=2015,G1459/$H$1957,B1459=2016,G1459/$H$1958,B1459=2017,G1459/$H$1959,B1459=2018,G1459/$H$1960,B1459=2019,G1459/$H$1961,B1459=2020,G1459/$H$1962,B1459=2021,G1459/$H$1963,B1459=2022,G1459/$H$1964,B1459=2023,G1459/$H$1965)</f>
        <v>1.0900665430939996E-4</v>
      </c>
      <c r="J1459" s="10" cm="1">
        <f t="array" ref="J1459">_xlfn.IFS(B1459=2015,I1459*$G$2,B1459=2016,I1459*$G$3,B1459=2017,I1459*$G$4,B1459=2018,I1459*$G$5,B1459=2019,I1459*$G$6,B1459=2020,I1459*$G$7,B1459=2021,I1459*$G$8,B1459=2022,I1459*$G$9,B1459=2023,I1459*$G$10)</f>
        <v>18529.530905906078</v>
      </c>
      <c r="K1459" s="8">
        <f t="shared" si="22"/>
        <v>126191.53090590608</v>
      </c>
      <c r="L1459">
        <f>IFERROR(VLOOKUP(F1459,'LEAID Match'!$A$2:$B$240,2,FALSE),"")</f>
        <v>0</v>
      </c>
    </row>
    <row r="1460" spans="1:12" x14ac:dyDescent="0.2">
      <c r="A1460">
        <v>0</v>
      </c>
      <c r="B1460">
        <v>2016</v>
      </c>
      <c r="C1460" s="4" t="s">
        <v>401</v>
      </c>
      <c r="D1460" s="4" t="s">
        <v>576</v>
      </c>
      <c r="E1460" s="4" t="s">
        <v>578</v>
      </c>
      <c r="F1460" s="4" t="s">
        <v>399</v>
      </c>
      <c r="G1460" s="8">
        <v>156334</v>
      </c>
      <c r="I1460" s="16" cm="1">
        <f t="array" ref="I1460">_xlfn.IFS(B1460=2015,G1460/$H$1957,B1460=2016,G1460/$H$1958,B1460=2017,G1460/$H$1959,B1460=2018,G1460/$H$1960,B1460=2019,G1460/$H$1961,B1460=2020,G1460/$H$1962,B1460=2021,G1460/$H$1963,B1460=2022,G1460/$H$1964,B1460=2023,G1460/$H$1965)</f>
        <v>1.0974640116619764E-4</v>
      </c>
      <c r="J1460" s="10" cm="1">
        <f t="array" ref="J1460">_xlfn.IFS(B1460=2015,I1460*$G$2,B1460=2016,I1460*$G$3,B1460=2017,I1460*$G$4,B1460=2018,I1460*$G$5,B1460=2019,I1460*$G$6,B1460=2020,I1460*$G$7,B1460=2021,I1460*$G$8,B1460=2022,I1460*$G$9,B1460=2023,I1460*$G$10)</f>
        <v>29763.562015188392</v>
      </c>
      <c r="K1460" s="8">
        <f t="shared" si="22"/>
        <v>186097.56201518839</v>
      </c>
      <c r="L1460">
        <f>IFERROR(VLOOKUP(F1460,'LEAID Match'!$A$2:$B$240,2,FALSE),"")</f>
        <v>0</v>
      </c>
    </row>
    <row r="1461" spans="1:12" x14ac:dyDescent="0.2">
      <c r="A1461">
        <v>0</v>
      </c>
      <c r="B1461">
        <v>2017</v>
      </c>
      <c r="C1461" s="4" t="s">
        <v>401</v>
      </c>
      <c r="D1461" s="4" t="s">
        <v>576</v>
      </c>
      <c r="E1461" s="4" t="s">
        <v>578</v>
      </c>
      <c r="F1461" s="4" t="s">
        <v>399</v>
      </c>
      <c r="G1461" s="8">
        <v>177122</v>
      </c>
      <c r="I1461" s="16" cm="1">
        <f t="array" ref="I1461">_xlfn.IFS(B1461=2015,G1461/$H$1957,B1461=2016,G1461/$H$1958,B1461=2017,G1461/$H$1959,B1461=2018,G1461/$H$1960,B1461=2019,G1461/$H$1961,B1461=2020,G1461/$H$1962,B1461=2021,G1461/$H$1963,B1461=2022,G1461/$H$1964,B1461=2023,G1461/$H$1965)</f>
        <v>2.3631844085086797E-4</v>
      </c>
      <c r="J1461" s="10" cm="1">
        <f t="array" ref="J1461">_xlfn.IFS(B1461=2015,I1461*$G$2,B1461=2016,I1461*$G$3,B1461=2017,I1461*$G$4,B1461=2018,I1461*$G$5,B1461=2019,I1461*$G$6,B1461=2020,I1461*$G$7,B1461=2021,I1461*$G$8,B1461=2022,I1461*$G$9,B1461=2023,I1461*$G$10)</f>
        <v>34995.591350766415</v>
      </c>
      <c r="K1461" s="8">
        <f t="shared" si="22"/>
        <v>212117.59135076642</v>
      </c>
      <c r="L1461">
        <f>IFERROR(VLOOKUP(F1461,'LEAID Match'!$A$2:$B$240,2,FALSE),"")</f>
        <v>0</v>
      </c>
    </row>
    <row r="1462" spans="1:12" x14ac:dyDescent="0.2">
      <c r="A1462">
        <v>0</v>
      </c>
      <c r="B1462">
        <v>2018</v>
      </c>
      <c r="C1462" s="4" t="s">
        <v>401</v>
      </c>
      <c r="D1462" s="4" t="s">
        <v>576</v>
      </c>
      <c r="E1462" s="4" t="s">
        <v>578</v>
      </c>
      <c r="F1462" s="4" t="s">
        <v>399</v>
      </c>
      <c r="G1462" s="8">
        <v>185239</v>
      </c>
      <c r="I1462" s="16" cm="1">
        <f t="array" ref="I1462">_xlfn.IFS(B1462=2015,G1462/$H$1957,B1462=2016,G1462/$H$1958,B1462=2017,G1462/$H$1959,B1462=2018,G1462/$H$1960,B1462=2019,G1462/$H$1961,B1462=2020,G1462/$H$1962,B1462=2021,G1462/$H$1963,B1462=2022,G1462/$H$1964,B1462=2023,G1462/$H$1965)</f>
        <v>2.3834895656300739E-4</v>
      </c>
      <c r="J1462" s="10" cm="1">
        <f t="array" ref="J1462">_xlfn.IFS(B1462=2015,I1462*$G$2,B1462=2016,I1462*$G$3,B1462=2017,I1462*$G$4,B1462=2018,I1462*$G$5,B1462=2019,I1462*$G$6,B1462=2020,I1462*$G$7,B1462=2021,I1462*$G$8,B1462=2022,I1462*$G$9,B1462=2023,I1462*$G$10)</f>
        <v>35877.220223169425</v>
      </c>
      <c r="K1462" s="8">
        <f t="shared" si="22"/>
        <v>221116.22022316942</v>
      </c>
      <c r="L1462">
        <f>IFERROR(VLOOKUP(F1462,'LEAID Match'!$A$2:$B$240,2,FALSE),"")</f>
        <v>0</v>
      </c>
    </row>
    <row r="1463" spans="1:12" x14ac:dyDescent="0.2">
      <c r="A1463">
        <v>0</v>
      </c>
      <c r="B1463">
        <v>2019</v>
      </c>
      <c r="C1463" s="4" t="s">
        <v>401</v>
      </c>
      <c r="D1463" s="4" t="s">
        <v>576</v>
      </c>
      <c r="E1463" s="4" t="s">
        <v>578</v>
      </c>
      <c r="F1463" s="4" t="s">
        <v>399</v>
      </c>
      <c r="G1463" s="8">
        <v>205069</v>
      </c>
      <c r="I1463" s="16" cm="1">
        <f t="array" ref="I1463">_xlfn.IFS(B1463=2015,G1463/$H$1957,B1463=2016,G1463/$H$1958,B1463=2017,G1463/$H$1959,B1463=2018,G1463/$H$1960,B1463=2019,G1463/$H$1961,B1463=2020,G1463/$H$1962,B1463=2021,G1463/$H$1963,B1463=2022,G1463/$H$1964,B1463=2023,G1463/$H$1965)</f>
        <v>2.5485906646206059E-4</v>
      </c>
      <c r="J1463" s="10" cm="1">
        <f t="array" ref="J1463">_xlfn.IFS(B1463=2015,I1463*$G$2,B1463=2016,I1463*$G$3,B1463=2017,I1463*$G$4,B1463=2018,I1463*$G$5,B1463=2019,I1463*$G$6,B1463=2020,I1463*$G$7,B1463=2021,I1463*$G$8,B1463=2022,I1463*$G$9,B1463=2023,I1463*$G$10)</f>
        <v>40274.899647672617</v>
      </c>
      <c r="K1463" s="8">
        <f t="shared" si="22"/>
        <v>245343.8996476726</v>
      </c>
      <c r="L1463">
        <f>IFERROR(VLOOKUP(F1463,'LEAID Match'!$A$2:$B$240,2,FALSE),"")</f>
        <v>0</v>
      </c>
    </row>
    <row r="1464" spans="1:12" x14ac:dyDescent="0.2">
      <c r="A1464">
        <v>0</v>
      </c>
      <c r="B1464">
        <v>2020</v>
      </c>
      <c r="C1464" s="4" t="s">
        <v>401</v>
      </c>
      <c r="D1464" s="4" t="s">
        <v>576</v>
      </c>
      <c r="E1464" s="4" t="s">
        <v>578</v>
      </c>
      <c r="F1464" s="4" t="s">
        <v>399</v>
      </c>
      <c r="G1464" s="8">
        <v>264459</v>
      </c>
      <c r="I1464" s="16" cm="1">
        <f t="array" ref="I1464">_xlfn.IFS(B1464=2015,G1464/$H$1957,B1464=2016,G1464/$H$1958,B1464=2017,G1464/$H$1959,B1464=2018,G1464/$H$1960,B1464=2019,G1464/$H$1961,B1464=2020,G1464/$H$1962,B1464=2021,G1464/$H$1963,B1464=2022,G1464/$H$1964,B1464=2023,G1464/$H$1965)</f>
        <v>3.0417105632749274E-4</v>
      </c>
      <c r="J1464" s="10" cm="1">
        <f t="array" ref="J1464">_xlfn.IFS(B1464=2015,I1464*$G$2,B1464=2016,I1464*$G$3,B1464=2017,I1464*$G$4,B1464=2018,I1464*$G$5,B1464=2019,I1464*$G$6,B1464=2020,I1464*$G$7,B1464=2021,I1464*$G$8,B1464=2022,I1464*$G$9,B1464=2023,I1464*$G$10)</f>
        <v>52525.442448724789</v>
      </c>
      <c r="K1464" s="8">
        <f t="shared" si="22"/>
        <v>316984.44244872476</v>
      </c>
      <c r="L1464">
        <f>IFERROR(VLOOKUP(F1464,'LEAID Match'!$A$2:$B$240,2,FALSE),"")</f>
        <v>0</v>
      </c>
    </row>
    <row r="1465" spans="1:12" x14ac:dyDescent="0.2">
      <c r="A1465">
        <v>0</v>
      </c>
      <c r="B1465">
        <v>2021</v>
      </c>
      <c r="C1465" s="4" t="s">
        <v>401</v>
      </c>
      <c r="D1465" s="4" t="s">
        <v>576</v>
      </c>
      <c r="E1465" s="4" t="s">
        <v>578</v>
      </c>
      <c r="F1465" s="4" t="s">
        <v>399</v>
      </c>
      <c r="G1465" s="8">
        <v>321359</v>
      </c>
      <c r="I1465" s="16" cm="1">
        <f t="array" ref="I1465">_xlfn.IFS(B1465=2015,G1465/$H$1957,B1465=2016,G1465/$H$1958,B1465=2017,G1465/$H$1959,B1465=2018,G1465/$H$1960,B1465=2019,G1465/$H$1961,B1465=2020,G1465/$H$1962,B1465=2021,G1465/$H$1963,B1465=2022,G1465/$H$1964,B1465=2023,G1465/$H$1965)</f>
        <v>3.6724742345006707E-4</v>
      </c>
      <c r="J1465" s="10" cm="1">
        <f t="array" ref="J1465">_xlfn.IFS(B1465=2015,I1465*$G$2,B1465=2016,I1465*$G$3,B1465=2017,I1465*$G$4,B1465=2018,I1465*$G$5,B1465=2019,I1465*$G$6,B1465=2020,I1465*$G$7,B1465=2021,I1465*$G$8,B1465=2022,I1465*$G$9,B1465=2023,I1465*$G$10)</f>
        <v>63025.840841652716</v>
      </c>
      <c r="K1465" s="8">
        <f t="shared" si="22"/>
        <v>384384.84084165271</v>
      </c>
      <c r="L1465">
        <f>IFERROR(VLOOKUP(F1465,'LEAID Match'!$A$2:$B$240,2,FALSE),"")</f>
        <v>0</v>
      </c>
    </row>
    <row r="1466" spans="1:12" x14ac:dyDescent="0.2">
      <c r="A1466">
        <v>0</v>
      </c>
      <c r="B1466">
        <v>2022</v>
      </c>
      <c r="C1466" s="4" t="s">
        <v>401</v>
      </c>
      <c r="D1466" s="4" t="s">
        <v>576</v>
      </c>
      <c r="E1466" s="4" t="s">
        <v>578</v>
      </c>
      <c r="F1466" s="4" t="s">
        <v>399</v>
      </c>
      <c r="G1466" s="8">
        <v>383436</v>
      </c>
      <c r="I1466" s="16" cm="1">
        <f t="array" ref="I1466">_xlfn.IFS(B1466=2015,G1466/$H$1957,B1466=2016,G1466/$H$1958,B1466=2017,G1466/$H$1959,B1466=2018,G1466/$H$1960,B1466=2019,G1466/$H$1961,B1466=2020,G1466/$H$1962,B1466=2021,G1466/$H$1963,B1466=2022,G1466/$H$1964,B1466=2023,G1466/$H$1965)</f>
        <v>4.1211789774356421E-4</v>
      </c>
      <c r="J1466" s="10" cm="1">
        <f t="array" ref="J1466">_xlfn.IFS(B1466=2015,I1466*$G$2,B1466=2016,I1466*$G$3,B1466=2017,I1466*$G$4,B1466=2018,I1466*$G$5,B1466=2019,I1466*$G$6,B1466=2020,I1466*$G$7,B1466=2021,I1466*$G$8,B1466=2022,I1466*$G$9,B1466=2023,I1466*$G$10)</f>
        <v>69889.281153357966</v>
      </c>
      <c r="K1466" s="8">
        <f t="shared" si="22"/>
        <v>453325.28115335794</v>
      </c>
      <c r="L1466">
        <f>IFERROR(VLOOKUP(F1466,'LEAID Match'!$A$2:$B$240,2,FALSE),"")</f>
        <v>0</v>
      </c>
    </row>
    <row r="1467" spans="1:12" x14ac:dyDescent="0.2">
      <c r="A1467">
        <v>0</v>
      </c>
      <c r="B1467">
        <v>2023</v>
      </c>
      <c r="C1467" s="4" t="s">
        <v>401</v>
      </c>
      <c r="D1467" s="4" t="s">
        <v>576</v>
      </c>
      <c r="E1467" s="4" t="s">
        <v>578</v>
      </c>
      <c r="F1467" s="4" t="s">
        <v>399</v>
      </c>
      <c r="G1467" s="8">
        <v>520505</v>
      </c>
      <c r="I1467" s="16" cm="1">
        <f t="array" ref="I1467">_xlfn.IFS(B1467=2015,G1467/$H$1957,B1467=2016,G1467/$H$1958,B1467=2017,G1467/$H$1959,B1467=2018,G1467/$H$1960,B1467=2019,G1467/$H$1961,B1467=2020,G1467/$H$1962,B1467=2021,G1467/$H$1963,B1467=2022,G1467/$H$1964,B1467=2023,G1467/$H$1965)</f>
        <v>5.270058943853377E-4</v>
      </c>
      <c r="J1467" s="10" cm="1">
        <f t="array" ref="J1467">_xlfn.IFS(B1467=2015,I1467*$G$2,B1467=2016,I1467*$G$3,B1467=2017,I1467*$G$4,B1467=2018,I1467*$G$5,B1467=2019,I1467*$G$6,B1467=2020,I1467*$G$7,B1467=2021,I1467*$G$8,B1467=2022,I1467*$G$9,B1467=2023,I1467*$G$10)</f>
        <v>89583.265071971939</v>
      </c>
      <c r="K1467" s="8">
        <f t="shared" si="22"/>
        <v>610088.26507197192</v>
      </c>
      <c r="L1467">
        <f>IFERROR(VLOOKUP(F1467,'LEAID Match'!$A$2:$B$240,2,FALSE),"")</f>
        <v>0</v>
      </c>
    </row>
    <row r="1468" spans="1:12" x14ac:dyDescent="0.2">
      <c r="A1468">
        <v>0</v>
      </c>
      <c r="B1468">
        <v>2021</v>
      </c>
      <c r="C1468" s="4" t="s">
        <v>449</v>
      </c>
      <c r="D1468" s="4" t="s">
        <v>576</v>
      </c>
      <c r="E1468" s="4" t="s">
        <v>578</v>
      </c>
      <c r="F1468" s="4" t="s">
        <v>447</v>
      </c>
      <c r="G1468" s="8">
        <v>15589</v>
      </c>
      <c r="I1468" s="16" cm="1">
        <f t="array" ref="I1468">_xlfn.IFS(B1468=2015,G1468/$H$1957,B1468=2016,G1468/$H$1958,B1468=2017,G1468/$H$1959,B1468=2018,G1468/$H$1960,B1468=2019,G1468/$H$1961,B1468=2020,G1468/$H$1962,B1468=2021,G1468/$H$1963,B1468=2022,G1468/$H$1964,B1468=2023,G1468/$H$1965)</f>
        <v>1.7815029559349808E-5</v>
      </c>
      <c r="J1468" s="10" cm="1">
        <f t="array" ref="J1468">_xlfn.IFS(B1468=2015,I1468*$G$2,B1468=2016,I1468*$G$3,B1468=2017,I1468*$G$4,B1468=2018,I1468*$G$5,B1468=2019,I1468*$G$6,B1468=2020,I1468*$G$7,B1468=2021,I1468*$G$8,B1468=2022,I1468*$G$9,B1468=2023,I1468*$G$10)</f>
        <v>3057.3590062220883</v>
      </c>
      <c r="K1468" s="8">
        <f t="shared" si="22"/>
        <v>18646.35900622209</v>
      </c>
      <c r="L1468">
        <f>IFERROR(VLOOKUP(F1468,'LEAID Match'!$A$2:$B$240,2,FALSE),"")</f>
        <v>0</v>
      </c>
    </row>
    <row r="1469" spans="1:12" x14ac:dyDescent="0.2">
      <c r="A1469">
        <v>0</v>
      </c>
      <c r="B1469">
        <v>2022</v>
      </c>
      <c r="C1469" s="4" t="s">
        <v>449</v>
      </c>
      <c r="D1469" s="4" t="s">
        <v>576</v>
      </c>
      <c r="E1469" s="4" t="s">
        <v>578</v>
      </c>
      <c r="F1469" s="4" t="s">
        <v>447</v>
      </c>
      <c r="G1469" s="8">
        <v>18967</v>
      </c>
      <c r="I1469" s="16" cm="1">
        <f t="array" ref="I1469">_xlfn.IFS(B1469=2015,G1469/$H$1957,B1469=2016,G1469/$H$1958,B1469=2017,G1469/$H$1959,B1469=2018,G1469/$H$1960,B1469=2019,G1469/$H$1961,B1469=2020,G1469/$H$1962,B1469=2021,G1469/$H$1963,B1469=2022,G1469/$H$1964,B1469=2023,G1469/$H$1965)</f>
        <v>2.0385775374514085E-5</v>
      </c>
      <c r="J1469" s="10" cm="1">
        <f t="array" ref="J1469">_xlfn.IFS(B1469=2015,I1469*$G$2,B1469=2016,I1469*$G$3,B1469=2017,I1469*$G$4,B1469=2018,I1469*$G$5,B1469=2019,I1469*$G$6,B1469=2020,I1469*$G$7,B1469=2021,I1469*$G$8,B1469=2022,I1469*$G$9,B1469=2023,I1469*$G$10)</f>
        <v>3457.1349472551892</v>
      </c>
      <c r="K1469" s="8">
        <f t="shared" si="22"/>
        <v>22424.134947255188</v>
      </c>
      <c r="L1469">
        <f>IFERROR(VLOOKUP(F1469,'LEAID Match'!$A$2:$B$240,2,FALSE),"")</f>
        <v>0</v>
      </c>
    </row>
    <row r="1470" spans="1:12" x14ac:dyDescent="0.2">
      <c r="A1470">
        <v>0</v>
      </c>
      <c r="B1470">
        <v>2023</v>
      </c>
      <c r="C1470" s="4" t="s">
        <v>449</v>
      </c>
      <c r="D1470" s="4" t="s">
        <v>576</v>
      </c>
      <c r="E1470" s="4" t="s">
        <v>578</v>
      </c>
      <c r="F1470" s="4" t="s">
        <v>447</v>
      </c>
      <c r="G1470" s="8">
        <v>21103</v>
      </c>
      <c r="I1470" s="16" cm="1">
        <f t="array" ref="I1470">_xlfn.IFS(B1470=2015,G1470/$H$1957,B1470=2016,G1470/$H$1958,B1470=2017,G1470/$H$1959,B1470=2018,G1470/$H$1960,B1470=2019,G1470/$H$1961,B1470=2020,G1470/$H$1962,B1470=2021,G1470/$H$1963,B1470=2022,G1470/$H$1964,B1470=2023,G1470/$H$1965)</f>
        <v>2.1366567831651533E-5</v>
      </c>
      <c r="J1470" s="10" cm="1">
        <f t="array" ref="J1470">_xlfn.IFS(B1470=2015,I1470*$G$2,B1470=2016,I1470*$G$3,B1470=2017,I1470*$G$4,B1470=2018,I1470*$G$5,B1470=2019,I1470*$G$6,B1470=2020,I1470*$G$7,B1470=2021,I1470*$G$8,B1470=2022,I1470*$G$9,B1470=2023,I1470*$G$10)</f>
        <v>3632.0028487984241</v>
      </c>
      <c r="K1470" s="8">
        <f t="shared" si="22"/>
        <v>24735.002848798424</v>
      </c>
      <c r="L1470">
        <f>IFERROR(VLOOKUP(F1470,'LEAID Match'!$A$2:$B$240,2,FALSE),"")</f>
        <v>0</v>
      </c>
    </row>
    <row r="1471" spans="1:12" x14ac:dyDescent="0.2">
      <c r="A1471">
        <v>0</v>
      </c>
      <c r="B1471">
        <v>2022</v>
      </c>
      <c r="C1471" s="4" t="s">
        <v>461</v>
      </c>
      <c r="D1471" s="4" t="s">
        <v>576</v>
      </c>
      <c r="E1471" s="4" t="s">
        <v>578</v>
      </c>
      <c r="F1471" s="4" t="s">
        <v>460</v>
      </c>
      <c r="G1471" s="8">
        <v>177208</v>
      </c>
      <c r="I1471" s="16" cm="1">
        <f t="array" ref="I1471">_xlfn.IFS(B1471=2015,G1471/$H$1957,B1471=2016,G1471/$H$1958,B1471=2017,G1471/$H$1959,B1471=2018,G1471/$H$1960,B1471=2019,G1471/$H$1961,B1471=2020,G1471/$H$1962,B1471=2021,G1471/$H$1963,B1471=2022,G1471/$H$1964,B1471=2023,G1471/$H$1965)</f>
        <v>1.904635673837134E-4</v>
      </c>
      <c r="J1471" s="10" cm="1">
        <f t="array" ref="J1471">_xlfn.IFS(B1471=2015,I1471*$G$2,B1471=2016,I1471*$G$3,B1471=2017,I1471*$G$4,B1471=2018,I1471*$G$5,B1471=2019,I1471*$G$6,B1471=2020,I1471*$G$7,B1471=2021,I1471*$G$8,B1471=2022,I1471*$G$9,B1471=2023,I1471*$G$10)</f>
        <v>32299.887685622271</v>
      </c>
      <c r="K1471" s="8">
        <f t="shared" si="22"/>
        <v>209507.88768562226</v>
      </c>
      <c r="L1471">
        <f>IFERROR(VLOOKUP(F1471,'LEAID Match'!$A$2:$B$240,2,FALSE),"")</f>
        <v>0</v>
      </c>
    </row>
    <row r="1472" spans="1:12" x14ac:dyDescent="0.2">
      <c r="A1472">
        <v>0</v>
      </c>
      <c r="B1472">
        <v>2023</v>
      </c>
      <c r="C1472" s="4" t="s">
        <v>461</v>
      </c>
      <c r="D1472" s="4" t="s">
        <v>576</v>
      </c>
      <c r="E1472" s="4" t="s">
        <v>578</v>
      </c>
      <c r="F1472" s="4" t="s">
        <v>460</v>
      </c>
      <c r="G1472" s="8">
        <v>389954</v>
      </c>
      <c r="I1472" s="16" cm="1">
        <f t="array" ref="I1472">_xlfn.IFS(B1472=2015,G1472/$H$1957,B1472=2016,G1472/$H$1958,B1472=2017,G1472/$H$1959,B1472=2018,G1472/$H$1960,B1472=2019,G1472/$H$1961,B1472=2020,G1472/$H$1962,B1472=2021,G1472/$H$1963,B1472=2022,G1472/$H$1964,B1472=2023,G1472/$H$1965)</f>
        <v>3.9482436583537138E-4</v>
      </c>
      <c r="J1472" s="10" cm="1">
        <f t="array" ref="J1472">_xlfn.IFS(B1472=2015,I1472*$G$2,B1472=2016,I1472*$G$3,B1472=2017,I1472*$G$4,B1472=2018,I1472*$G$5,B1472=2019,I1472*$G$6,B1472=2020,I1472*$G$7,B1472=2021,I1472*$G$8,B1472=2022,I1472*$G$9,B1472=2023,I1472*$G$10)</f>
        <v>67114.34577549831</v>
      </c>
      <c r="K1472" s="8">
        <f t="shared" si="22"/>
        <v>457068.34577549831</v>
      </c>
      <c r="L1472">
        <f>IFERROR(VLOOKUP(F1472,'LEAID Match'!$A$2:$B$240,2,FALSE),"")</f>
        <v>0</v>
      </c>
    </row>
    <row r="1473" spans="1:12" x14ac:dyDescent="0.2">
      <c r="A1473">
        <v>0</v>
      </c>
      <c r="B1473">
        <v>2021</v>
      </c>
      <c r="C1473" s="4" t="s">
        <v>450</v>
      </c>
      <c r="D1473" s="4" t="s">
        <v>576</v>
      </c>
      <c r="E1473" s="4" t="s">
        <v>578</v>
      </c>
      <c r="F1473" s="4" t="s">
        <v>448</v>
      </c>
      <c r="G1473" s="8">
        <v>950</v>
      </c>
      <c r="I1473" s="16" cm="1">
        <f t="array" ref="I1473">_xlfn.IFS(B1473=2015,G1473/$H$1957,B1473=2016,G1473/$H$1958,B1473=2017,G1473/$H$1959,B1473=2018,G1473/$H$1960,B1473=2019,G1473/$H$1961,B1473=2020,G1473/$H$1962,B1473=2021,G1473/$H$1963,B1473=2022,G1473/$H$1964,B1473=2023,G1473/$H$1965)</f>
        <v>1.0856551466663877E-6</v>
      </c>
      <c r="J1473" s="10" cm="1">
        <f t="array" ref="J1473">_xlfn.IFS(B1473=2015,I1473*$G$2,B1473=2016,I1473*$G$3,B1473=2017,I1473*$G$4,B1473=2018,I1473*$G$5,B1473=2019,I1473*$G$6,B1473=2020,I1473*$G$7,B1473=2021,I1473*$G$8,B1473=2022,I1473*$G$9,B1473=2023,I1473*$G$10)</f>
        <v>186.31670125800139</v>
      </c>
      <c r="K1473" s="8">
        <f t="shared" si="22"/>
        <v>1136.3167012580013</v>
      </c>
      <c r="L1473">
        <f>IFERROR(VLOOKUP(F1473,'LEAID Match'!$A$2:$B$240,2,FALSE),"")</f>
        <v>0</v>
      </c>
    </row>
    <row r="1474" spans="1:12" x14ac:dyDescent="0.2">
      <c r="A1474">
        <v>0</v>
      </c>
      <c r="B1474">
        <v>2022</v>
      </c>
      <c r="C1474" s="4" t="s">
        <v>450</v>
      </c>
      <c r="D1474" s="4" t="s">
        <v>576</v>
      </c>
      <c r="E1474" s="4" t="s">
        <v>578</v>
      </c>
      <c r="F1474" s="4" t="s">
        <v>448</v>
      </c>
      <c r="I1474" s="16" cm="1">
        <f t="array" ref="I1474">_xlfn.IFS(B1474=2015,G1474/$H$1957,B1474=2016,G1474/$H$1958,B1474=2017,G1474/$H$1959,B1474=2018,G1474/$H$1960,B1474=2019,G1474/$H$1961,B1474=2020,G1474/$H$1962,B1474=2021,G1474/$H$1963,B1474=2022,G1474/$H$1964,B1474=2023,G1474/$H$1965)</f>
        <v>0</v>
      </c>
      <c r="J1474" s="10" cm="1">
        <f t="array" ref="J1474">_xlfn.IFS(B1474=2015,I1474*$G$2,B1474=2016,I1474*$G$3,B1474=2017,I1474*$G$4,B1474=2018,I1474*$G$5,B1474=2019,I1474*$G$6,B1474=2020,I1474*$G$7,B1474=2021,I1474*$G$8,B1474=2022,I1474*$G$9,B1474=2023,I1474*$G$10)</f>
        <v>0</v>
      </c>
      <c r="K1474" s="8">
        <f t="shared" si="22"/>
        <v>0</v>
      </c>
      <c r="L1474">
        <f>IFERROR(VLOOKUP(F1474,'LEAID Match'!$A$2:$B$240,2,FALSE),"")</f>
        <v>0</v>
      </c>
    </row>
    <row r="1475" spans="1:12" x14ac:dyDescent="0.2">
      <c r="A1475">
        <v>0</v>
      </c>
      <c r="B1475">
        <v>2023</v>
      </c>
      <c r="C1475" s="4" t="s">
        <v>450</v>
      </c>
      <c r="D1475" s="4" t="s">
        <v>576</v>
      </c>
      <c r="E1475" s="4" t="s">
        <v>578</v>
      </c>
      <c r="F1475" s="4" t="s">
        <v>448</v>
      </c>
      <c r="I1475" s="16" cm="1">
        <f t="array" ref="I1475">_xlfn.IFS(B1475=2015,G1475/$H$1957,B1475=2016,G1475/$H$1958,B1475=2017,G1475/$H$1959,B1475=2018,G1475/$H$1960,B1475=2019,G1475/$H$1961,B1475=2020,G1475/$H$1962,B1475=2021,G1475/$H$1963,B1475=2022,G1475/$H$1964,B1475=2023,G1475/$H$1965)</f>
        <v>0</v>
      </c>
      <c r="J1475" s="10" cm="1">
        <f t="array" ref="J1475">_xlfn.IFS(B1475=2015,I1475*$G$2,B1475=2016,I1475*$G$3,B1475=2017,I1475*$G$4,B1475=2018,I1475*$G$5,B1475=2019,I1475*$G$6,B1475=2020,I1475*$G$7,B1475=2021,I1475*$G$8,B1475=2022,I1475*$G$9,B1475=2023,I1475*$G$10)</f>
        <v>0</v>
      </c>
      <c r="K1475" s="8">
        <f t="shared" si="22"/>
        <v>0</v>
      </c>
      <c r="L1475">
        <f>IFERROR(VLOOKUP(F1475,'LEAID Match'!$A$2:$B$240,2,FALSE),"")</f>
        <v>0</v>
      </c>
    </row>
    <row r="1476" spans="1:12" x14ac:dyDescent="0.2">
      <c r="A1476">
        <v>0</v>
      </c>
      <c r="B1476">
        <v>2015</v>
      </c>
      <c r="C1476" s="4" t="s">
        <v>312</v>
      </c>
      <c r="D1476" s="4" t="s">
        <v>576</v>
      </c>
      <c r="E1476" s="4" t="s">
        <v>578</v>
      </c>
      <c r="F1476" s="4" t="s">
        <v>271</v>
      </c>
      <c r="G1476" s="8">
        <v>769742</v>
      </c>
      <c r="I1476" s="16" cm="1">
        <f t="array" ref="I1476">_xlfn.IFS(B1476=2015,G1476/$H$1957,B1476=2016,G1476/$H$1958,B1476=2017,G1476/$H$1959,B1476=2018,G1476/$H$1960,B1476=2019,G1476/$H$1961,B1476=2020,G1476/$H$1962,B1476=2021,G1476/$H$1963,B1476=2022,G1476/$H$1964,B1476=2023,G1476/$H$1965)</f>
        <v>5.9443979462888243E-4</v>
      </c>
      <c r="J1476" s="10" cm="1">
        <f t="array" ref="J1476">_xlfn.IFS(B1476=2015,I1476*$G$2,B1476=2016,I1476*$G$3,B1476=2017,I1476*$G$4,B1476=2018,I1476*$G$5,B1476=2019,I1476*$G$6,B1476=2020,I1476*$G$7,B1476=2021,I1476*$G$8,B1476=2022,I1476*$G$9,B1476=2023,I1476*$G$10)</f>
        <v>147803.04121899648</v>
      </c>
      <c r="K1476" s="8">
        <f t="shared" si="22"/>
        <v>917545.04121899651</v>
      </c>
      <c r="L1476">
        <f>IFERROR(VLOOKUP(F1476,'LEAID Match'!$A$2:$B$240,2,FALSE),"")</f>
        <v>0</v>
      </c>
    </row>
    <row r="1477" spans="1:12" x14ac:dyDescent="0.2">
      <c r="A1477">
        <v>0</v>
      </c>
      <c r="B1477">
        <v>2016</v>
      </c>
      <c r="C1477" s="4" t="s">
        <v>312</v>
      </c>
      <c r="D1477" s="4" t="s">
        <v>576</v>
      </c>
      <c r="E1477" s="4" t="s">
        <v>578</v>
      </c>
      <c r="F1477" s="4" t="s">
        <v>271</v>
      </c>
      <c r="G1477" s="8">
        <v>825265</v>
      </c>
      <c r="I1477" s="16" cm="1">
        <f t="array" ref="I1477">_xlfn.IFS(B1477=2015,G1477/$H$1957,B1477=2016,G1477/$H$1958,B1477=2017,G1477/$H$1959,B1477=2018,G1477/$H$1960,B1477=2019,G1477/$H$1961,B1477=2020,G1477/$H$1962,B1477=2021,G1477/$H$1963,B1477=2022,G1477/$H$1964,B1477=2023,G1477/$H$1965)</f>
        <v>5.7933567719384196E-4</v>
      </c>
      <c r="J1477" s="10" cm="1">
        <f t="array" ref="J1477">_xlfn.IFS(B1477=2015,I1477*$G$2,B1477=2016,I1477*$G$3,B1477=2017,I1477*$G$4,B1477=2018,I1477*$G$5,B1477=2019,I1477*$G$6,B1477=2020,I1477*$G$7,B1477=2021,I1477*$G$8,B1477=2022,I1477*$G$9,B1477=2023,I1477*$G$10)</f>
        <v>157117.62000885571</v>
      </c>
      <c r="K1477" s="8">
        <f t="shared" si="22"/>
        <v>982382.62000885571</v>
      </c>
      <c r="L1477">
        <f>IFERROR(VLOOKUP(F1477,'LEAID Match'!$A$2:$B$240,2,FALSE),"")</f>
        <v>0</v>
      </c>
    </row>
    <row r="1478" spans="1:12" x14ac:dyDescent="0.2">
      <c r="A1478">
        <v>0</v>
      </c>
      <c r="B1478">
        <v>2017</v>
      </c>
      <c r="C1478" s="4" t="s">
        <v>312</v>
      </c>
      <c r="D1478" s="4" t="s">
        <v>576</v>
      </c>
      <c r="E1478" s="4" t="s">
        <v>578</v>
      </c>
      <c r="F1478" s="4" t="s">
        <v>271</v>
      </c>
      <c r="G1478" s="8">
        <v>432421</v>
      </c>
      <c r="I1478" s="16" cm="1">
        <f t="array" ref="I1478">_xlfn.IFS(B1478=2015,G1478/$H$1957,B1478=2016,G1478/$H$1958,B1478=2017,G1478/$H$1959,B1478=2018,G1478/$H$1960,B1478=2019,G1478/$H$1961,B1478=2020,G1478/$H$1962,B1478=2021,G1478/$H$1963,B1478=2022,G1478/$H$1964,B1478=2023,G1478/$H$1965)</f>
        <v>5.7694163633638493E-4</v>
      </c>
      <c r="J1478" s="10" cm="1">
        <f t="array" ref="J1478">_xlfn.IFS(B1478=2015,I1478*$G$2,B1478=2016,I1478*$G$3,B1478=2017,I1478*$G$4,B1478=2018,I1478*$G$5,B1478=2019,I1478*$G$6,B1478=2020,I1478*$G$7,B1478=2021,I1478*$G$8,B1478=2022,I1478*$G$9,B1478=2023,I1478*$G$10)</f>
        <v>85437.317823250429</v>
      </c>
      <c r="K1478" s="8">
        <f t="shared" si="22"/>
        <v>517858.31782325043</v>
      </c>
      <c r="L1478">
        <f>IFERROR(VLOOKUP(F1478,'LEAID Match'!$A$2:$B$240,2,FALSE),"")</f>
        <v>0</v>
      </c>
    </row>
    <row r="1479" spans="1:12" x14ac:dyDescent="0.2">
      <c r="A1479">
        <v>0</v>
      </c>
      <c r="B1479">
        <v>2018</v>
      </c>
      <c r="C1479" s="4" t="s">
        <v>312</v>
      </c>
      <c r="D1479" s="4" t="s">
        <v>576</v>
      </c>
      <c r="E1479" s="4" t="s">
        <v>578</v>
      </c>
      <c r="F1479" s="4" t="s">
        <v>271</v>
      </c>
      <c r="G1479" s="8">
        <v>441962</v>
      </c>
      <c r="I1479" s="16" cm="1">
        <f t="array" ref="I1479">_xlfn.IFS(B1479=2015,G1479/$H$1957,B1479=2016,G1479/$H$1958,B1479=2017,G1479/$H$1959,B1479=2018,G1479/$H$1960,B1479=2019,G1479/$H$1961,B1479=2020,G1479/$H$1962,B1479=2021,G1479/$H$1963,B1479=2022,G1479/$H$1964,B1479=2023,G1479/$H$1965)</f>
        <v>5.6867712274682916E-4</v>
      </c>
      <c r="J1479" s="10" cm="1">
        <f t="array" ref="J1479">_xlfn.IFS(B1479=2015,I1479*$G$2,B1479=2016,I1479*$G$3,B1479=2017,I1479*$G$4,B1479=2018,I1479*$G$5,B1479=2019,I1479*$G$6,B1479=2020,I1479*$G$7,B1479=2021,I1479*$G$8,B1479=2022,I1479*$G$9,B1479=2023,I1479*$G$10)</f>
        <v>85599.512004882388</v>
      </c>
      <c r="K1479" s="8">
        <f t="shared" si="22"/>
        <v>527561.51200488233</v>
      </c>
      <c r="L1479">
        <f>IFERROR(VLOOKUP(F1479,'LEAID Match'!$A$2:$B$240,2,FALSE),"")</f>
        <v>0</v>
      </c>
    </row>
    <row r="1480" spans="1:12" x14ac:dyDescent="0.2">
      <c r="A1480">
        <v>0</v>
      </c>
      <c r="B1480">
        <v>2019</v>
      </c>
      <c r="C1480" s="4" t="s">
        <v>312</v>
      </c>
      <c r="D1480" s="4" t="s">
        <v>576</v>
      </c>
      <c r="E1480" s="4" t="s">
        <v>578</v>
      </c>
      <c r="F1480" s="4" t="s">
        <v>271</v>
      </c>
      <c r="G1480" s="8">
        <v>455858</v>
      </c>
      <c r="I1480" s="16" cm="1">
        <f t="array" ref="I1480">_xlfn.IFS(B1480=2015,G1480/$H$1957,B1480=2016,G1480/$H$1958,B1480=2017,G1480/$H$1959,B1480=2018,G1480/$H$1960,B1480=2019,G1480/$H$1961,B1480=2020,G1480/$H$1962,B1480=2021,G1480/$H$1963,B1480=2022,G1480/$H$1964,B1480=2023,G1480/$H$1965)</f>
        <v>5.6653879581634479E-4</v>
      </c>
      <c r="J1480" s="10" cm="1">
        <f t="array" ref="J1480">_xlfn.IFS(B1480=2015,I1480*$G$2,B1480=2016,I1480*$G$3,B1480=2017,I1480*$G$4,B1480=2018,I1480*$G$5,B1480=2019,I1480*$G$6,B1480=2020,I1480*$G$7,B1480=2021,I1480*$G$8,B1480=2022,I1480*$G$9,B1480=2023,I1480*$G$10)</f>
        <v>89529.061942998422</v>
      </c>
      <c r="K1480" s="8">
        <f t="shared" si="22"/>
        <v>545387.06194299844</v>
      </c>
      <c r="L1480">
        <f>IFERROR(VLOOKUP(F1480,'LEAID Match'!$A$2:$B$240,2,FALSE),"")</f>
        <v>0</v>
      </c>
    </row>
    <row r="1481" spans="1:12" x14ac:dyDescent="0.2">
      <c r="A1481">
        <v>0</v>
      </c>
      <c r="B1481">
        <v>2020</v>
      </c>
      <c r="C1481" s="4" t="s">
        <v>312</v>
      </c>
      <c r="D1481" s="4" t="s">
        <v>576</v>
      </c>
      <c r="E1481" s="4" t="s">
        <v>578</v>
      </c>
      <c r="F1481" s="4" t="s">
        <v>271</v>
      </c>
      <c r="G1481" s="8">
        <v>485565</v>
      </c>
      <c r="I1481" s="16" cm="1">
        <f t="array" ref="I1481">_xlfn.IFS(B1481=2015,G1481/$H$1957,B1481=2016,G1481/$H$1958,B1481=2017,G1481/$H$1959,B1481=2018,G1481/$H$1960,B1481=2019,G1481/$H$1961,B1481=2020,G1481/$H$1962,B1481=2021,G1481/$H$1963,B1481=2022,G1481/$H$1964,B1481=2023,G1481/$H$1965)</f>
        <v>5.584790798031416E-4</v>
      </c>
      <c r="J1481" s="10" cm="1">
        <f t="array" ref="J1481">_xlfn.IFS(B1481=2015,I1481*$G$2,B1481=2016,I1481*$G$3,B1481=2017,I1481*$G$4,B1481=2018,I1481*$G$5,B1481=2019,I1481*$G$6,B1481=2020,I1481*$G$7,B1481=2021,I1481*$G$8,B1481=2022,I1481*$G$9,B1481=2023,I1481*$G$10)</f>
        <v>96440.342217943238</v>
      </c>
      <c r="K1481" s="8">
        <f t="shared" si="22"/>
        <v>582005.34221794328</v>
      </c>
      <c r="L1481">
        <f>IFERROR(VLOOKUP(F1481,'LEAID Match'!$A$2:$B$240,2,FALSE),"")</f>
        <v>0</v>
      </c>
    </row>
    <row r="1482" spans="1:12" x14ac:dyDescent="0.2">
      <c r="A1482">
        <v>0</v>
      </c>
      <c r="B1482">
        <v>2021</v>
      </c>
      <c r="C1482" s="4" t="s">
        <v>312</v>
      </c>
      <c r="D1482" s="4" t="s">
        <v>576</v>
      </c>
      <c r="E1482" s="4" t="s">
        <v>578</v>
      </c>
      <c r="F1482" s="4" t="s">
        <v>271</v>
      </c>
      <c r="G1482" s="8">
        <v>517948</v>
      </c>
      <c r="I1482" s="16" cm="1">
        <f t="array" ref="I1482">_xlfn.IFS(B1482=2015,G1482/$H$1957,B1482=2016,G1482/$H$1958,B1482=2017,G1482/$H$1959,B1482=2018,G1482/$H$1960,B1482=2019,G1482/$H$1961,B1482=2020,G1482/$H$1962,B1482=2021,G1482/$H$1963,B1482=2022,G1482/$H$1964,B1482=2023,G1482/$H$1965)</f>
        <v>5.9190832832164443E-4</v>
      </c>
      <c r="J1482" s="10" cm="1">
        <f t="array" ref="J1482">_xlfn.IFS(B1482=2015,I1482*$G$2,B1482=2016,I1482*$G$3,B1482=2017,I1482*$G$4,B1482=2018,I1482*$G$5,B1482=2019,I1482*$G$6,B1482=2020,I1482*$G$7,B1482=2021,I1482*$G$8,B1482=2022,I1482*$G$9,B1482=2023,I1482*$G$10)</f>
        <v>101581.4345086098</v>
      </c>
      <c r="K1482" s="8">
        <f t="shared" si="22"/>
        <v>619529.43450860982</v>
      </c>
      <c r="L1482">
        <f>IFERROR(VLOOKUP(F1482,'LEAID Match'!$A$2:$B$240,2,FALSE),"")</f>
        <v>0</v>
      </c>
    </row>
    <row r="1483" spans="1:12" x14ac:dyDescent="0.2">
      <c r="A1483">
        <v>0</v>
      </c>
      <c r="B1483">
        <v>2022</v>
      </c>
      <c r="C1483" s="4" t="s">
        <v>312</v>
      </c>
      <c r="D1483" s="4" t="s">
        <v>576</v>
      </c>
      <c r="E1483" s="4" t="s">
        <v>578</v>
      </c>
      <c r="F1483" s="4" t="s">
        <v>271</v>
      </c>
      <c r="G1483" s="8">
        <v>539526</v>
      </c>
      <c r="I1483" s="16" cm="1">
        <f t="array" ref="I1483">_xlfn.IFS(B1483=2015,G1483/$H$1957,B1483=2016,G1483/$H$1958,B1483=2017,G1483/$H$1959,B1483=2018,G1483/$H$1960,B1483=2019,G1483/$H$1961,B1483=2020,G1483/$H$1962,B1483=2021,G1483/$H$1963,B1483=2022,G1483/$H$1964,B1483=2023,G1483/$H$1965)</f>
        <v>5.7988378998840543E-4</v>
      </c>
      <c r="J1483" s="10" cm="1">
        <f t="array" ref="J1483">_xlfn.IFS(B1483=2015,I1483*$G$2,B1483=2016,I1483*$G$3,B1483=2017,I1483*$G$4,B1483=2018,I1483*$G$5,B1483=2019,I1483*$G$6,B1483=2020,I1483*$G$7,B1483=2021,I1483*$G$8,B1483=2022,I1483*$G$9,B1483=2023,I1483*$G$10)</f>
        <v>98339.968869763441</v>
      </c>
      <c r="K1483" s="8">
        <f t="shared" si="22"/>
        <v>637865.96886976343</v>
      </c>
      <c r="L1483">
        <f>IFERROR(VLOOKUP(F1483,'LEAID Match'!$A$2:$B$240,2,FALSE),"")</f>
        <v>0</v>
      </c>
    </row>
    <row r="1484" spans="1:12" x14ac:dyDescent="0.2">
      <c r="A1484">
        <v>0</v>
      </c>
      <c r="B1484">
        <v>2023</v>
      </c>
      <c r="C1484" s="4" t="s">
        <v>312</v>
      </c>
      <c r="D1484" s="4" t="s">
        <v>576</v>
      </c>
      <c r="E1484" s="4" t="s">
        <v>578</v>
      </c>
      <c r="F1484" s="4" t="s">
        <v>271</v>
      </c>
      <c r="G1484" s="8">
        <v>727094</v>
      </c>
      <c r="I1484" s="16" cm="1">
        <f t="array" ref="I1484">_xlfn.IFS(B1484=2015,G1484/$H$1957,B1484=2016,G1484/$H$1958,B1484=2017,G1484/$H$1959,B1484=2018,G1484/$H$1960,B1484=2019,G1484/$H$1961,B1484=2020,G1484/$H$1962,B1484=2021,G1484/$H$1963,B1484=2022,G1484/$H$1964,B1484=2023,G1484/$H$1965)</f>
        <v>7.3617510642974169E-4</v>
      </c>
      <c r="J1484" s="10" cm="1">
        <f t="array" ref="J1484">_xlfn.IFS(B1484=2015,I1484*$G$2,B1484=2016,I1484*$G$3,B1484=2017,I1484*$G$4,B1484=2018,I1484*$G$5,B1484=2019,I1484*$G$6,B1484=2020,I1484*$G$7,B1484=2021,I1484*$G$8,B1484=2022,I1484*$G$9,B1484=2023,I1484*$G$10)</f>
        <v>125138.96030631859</v>
      </c>
      <c r="K1484" s="8">
        <f t="shared" ref="K1484:K1547" si="23">SUM(G1484,J1484)</f>
        <v>852232.96030631859</v>
      </c>
      <c r="L1484">
        <f>IFERROR(VLOOKUP(F1484,'LEAID Match'!$A$2:$B$240,2,FALSE),"")</f>
        <v>0</v>
      </c>
    </row>
    <row r="1485" spans="1:12" x14ac:dyDescent="0.2">
      <c r="A1485">
        <v>0</v>
      </c>
      <c r="B1485">
        <v>2015</v>
      </c>
      <c r="C1485" s="4" t="s">
        <v>313</v>
      </c>
      <c r="D1485" s="4" t="s">
        <v>576</v>
      </c>
      <c r="E1485" s="4" t="s">
        <v>578</v>
      </c>
      <c r="F1485" s="4" t="s">
        <v>272</v>
      </c>
      <c r="G1485" s="8">
        <v>43226</v>
      </c>
      <c r="I1485" s="16" cm="1">
        <f t="array" ref="I1485">_xlfn.IFS(B1485=2015,G1485/$H$1957,B1485=2016,G1485/$H$1958,B1485=2017,G1485/$H$1959,B1485=2018,G1485/$H$1960,B1485=2019,G1485/$H$1961,B1485=2020,G1485/$H$1962,B1485=2021,G1485/$H$1963,B1485=2022,G1485/$H$1964,B1485=2023,G1485/$H$1965)</f>
        <v>3.3381645489823956E-5</v>
      </c>
      <c r="J1485" s="10" cm="1">
        <f t="array" ref="J1485">_xlfn.IFS(B1485=2015,I1485*$G$2,B1485=2016,I1485*$G$3,B1485=2017,I1485*$G$4,B1485=2018,I1485*$G$5,B1485=2019,I1485*$G$6,B1485=2020,I1485*$G$7,B1485=2021,I1485*$G$8,B1485=2022,I1485*$G$9,B1485=2023,I1485*$G$10)</f>
        <v>8300.0982923269639</v>
      </c>
      <c r="K1485" s="8">
        <f t="shared" si="23"/>
        <v>51526.098292326962</v>
      </c>
      <c r="L1485">
        <f>IFERROR(VLOOKUP(F1485,'LEAID Match'!$A$2:$B$240,2,FALSE),"")</f>
        <v>0</v>
      </c>
    </row>
    <row r="1486" spans="1:12" x14ac:dyDescent="0.2">
      <c r="A1486">
        <v>0</v>
      </c>
      <c r="B1486">
        <v>2016</v>
      </c>
      <c r="C1486" s="4" t="s">
        <v>313</v>
      </c>
      <c r="D1486" s="4" t="s">
        <v>576</v>
      </c>
      <c r="E1486" s="4" t="s">
        <v>578</v>
      </c>
      <c r="F1486" s="4" t="s">
        <v>272</v>
      </c>
      <c r="G1486" s="8">
        <v>43090</v>
      </c>
      <c r="I1486" s="16" cm="1">
        <f t="array" ref="I1486">_xlfn.IFS(B1486=2015,G1486/$H$1957,B1486=2016,G1486/$H$1958,B1486=2017,G1486/$H$1959,B1486=2018,G1486/$H$1960,B1486=2019,G1486/$H$1961,B1486=2020,G1486/$H$1962,B1486=2021,G1486/$H$1963,B1486=2022,G1486/$H$1964,B1486=2023,G1486/$H$1965)</f>
        <v>3.0249161578744584E-5</v>
      </c>
      <c r="J1486" s="10" cm="1">
        <f t="array" ref="J1486">_xlfn.IFS(B1486=2015,I1486*$G$2,B1486=2016,I1486*$G$3,B1486=2017,I1486*$G$4,B1486=2018,I1486*$G$5,B1486=2019,I1486*$G$6,B1486=2020,I1486*$G$7,B1486=2021,I1486*$G$8,B1486=2022,I1486*$G$9,B1486=2023,I1486*$G$10)</f>
        <v>8203.6657875731944</v>
      </c>
      <c r="K1486" s="8">
        <f t="shared" si="23"/>
        <v>51293.665787573191</v>
      </c>
      <c r="L1486">
        <f>IFERROR(VLOOKUP(F1486,'LEAID Match'!$A$2:$B$240,2,FALSE),"")</f>
        <v>0</v>
      </c>
    </row>
    <row r="1487" spans="1:12" x14ac:dyDescent="0.2">
      <c r="A1487">
        <v>0</v>
      </c>
      <c r="B1487">
        <v>2017</v>
      </c>
      <c r="C1487" s="4" t="s">
        <v>313</v>
      </c>
      <c r="D1487" s="4" t="s">
        <v>576</v>
      </c>
      <c r="E1487" s="4" t="s">
        <v>578</v>
      </c>
      <c r="F1487" s="4" t="s">
        <v>272</v>
      </c>
      <c r="G1487" s="8">
        <v>23934</v>
      </c>
      <c r="I1487" s="16" cm="1">
        <f t="array" ref="I1487">_xlfn.IFS(B1487=2015,G1487/$H$1957,B1487=2016,G1487/$H$1958,B1487=2017,G1487/$H$1959,B1487=2018,G1487/$H$1960,B1487=2019,G1487/$H$1961,B1487=2020,G1487/$H$1962,B1487=2021,G1487/$H$1963,B1487=2022,G1487/$H$1964,B1487=2023,G1487/$H$1965)</f>
        <v>3.1933049329415167E-5</v>
      </c>
      <c r="J1487" s="10" cm="1">
        <f t="array" ref="J1487">_xlfn.IFS(B1487=2015,I1487*$G$2,B1487=2016,I1487*$G$3,B1487=2017,I1487*$G$4,B1487=2018,I1487*$G$5,B1487=2019,I1487*$G$6,B1487=2020,I1487*$G$7,B1487=2021,I1487*$G$8,B1487=2022,I1487*$G$9,B1487=2023,I1487*$G$10)</f>
        <v>4728.8562876957303</v>
      </c>
      <c r="K1487" s="8">
        <f t="shared" si="23"/>
        <v>28662.856287695729</v>
      </c>
      <c r="L1487">
        <f>IFERROR(VLOOKUP(F1487,'LEAID Match'!$A$2:$B$240,2,FALSE),"")</f>
        <v>0</v>
      </c>
    </row>
    <row r="1488" spans="1:12" x14ac:dyDescent="0.2">
      <c r="A1488">
        <v>0</v>
      </c>
      <c r="B1488">
        <v>2018</v>
      </c>
      <c r="C1488" s="4" t="s">
        <v>313</v>
      </c>
      <c r="D1488" s="4" t="s">
        <v>576</v>
      </c>
      <c r="E1488" s="4" t="s">
        <v>578</v>
      </c>
      <c r="F1488" s="4" t="s">
        <v>272</v>
      </c>
      <c r="G1488" s="8">
        <v>25750</v>
      </c>
      <c r="I1488" s="16" cm="1">
        <f t="array" ref="I1488">_xlfn.IFS(B1488=2015,G1488/$H$1957,B1488=2016,G1488/$H$1958,B1488=2017,G1488/$H$1959,B1488=2018,G1488/$H$1960,B1488=2019,G1488/$H$1961,B1488=2020,G1488/$H$1962,B1488=2021,G1488/$H$1963,B1488=2022,G1488/$H$1964,B1488=2023,G1488/$H$1965)</f>
        <v>3.3132794020143927E-5</v>
      </c>
      <c r="J1488" s="10" cm="1">
        <f t="array" ref="J1488">_xlfn.IFS(B1488=2015,I1488*$G$2,B1488=2016,I1488*$G$3,B1488=2017,I1488*$G$4,B1488=2018,I1488*$G$5,B1488=2019,I1488*$G$6,B1488=2020,I1488*$G$7,B1488=2021,I1488*$G$8,B1488=2022,I1488*$G$9,B1488=2023,I1488*$G$10)</f>
        <v>4987.2781689957992</v>
      </c>
      <c r="K1488" s="8">
        <f t="shared" si="23"/>
        <v>30737.278168995799</v>
      </c>
      <c r="L1488">
        <f>IFERROR(VLOOKUP(F1488,'LEAID Match'!$A$2:$B$240,2,FALSE),"")</f>
        <v>0</v>
      </c>
    </row>
    <row r="1489" spans="1:12" x14ac:dyDescent="0.2">
      <c r="A1489">
        <v>0</v>
      </c>
      <c r="B1489">
        <v>2019</v>
      </c>
      <c r="C1489" s="4" t="s">
        <v>313</v>
      </c>
      <c r="D1489" s="4" t="s">
        <v>576</v>
      </c>
      <c r="E1489" s="4" t="s">
        <v>578</v>
      </c>
      <c r="F1489" s="4" t="s">
        <v>272</v>
      </c>
      <c r="G1489" s="8">
        <v>28307</v>
      </c>
      <c r="I1489" s="16" cm="1">
        <f t="array" ref="I1489">_xlfn.IFS(B1489=2015,G1489/$H$1957,B1489=2016,G1489/$H$1958,B1489=2017,G1489/$H$1959,B1489=2018,G1489/$H$1960,B1489=2019,G1489/$H$1961,B1489=2020,G1489/$H$1962,B1489=2021,G1489/$H$1963,B1489=2022,G1489/$H$1964,B1489=2023,G1489/$H$1965)</f>
        <v>3.5179844805121932E-5</v>
      </c>
      <c r="J1489" s="10" cm="1">
        <f t="array" ref="J1489">_xlfn.IFS(B1489=2015,I1489*$G$2,B1489=2016,I1489*$G$3,B1489=2017,I1489*$G$4,B1489=2018,I1489*$G$5,B1489=2019,I1489*$G$6,B1489=2020,I1489*$G$7,B1489=2021,I1489*$G$8,B1489=2022,I1489*$G$9,B1489=2023,I1489*$G$10)</f>
        <v>5559.4048068048751</v>
      </c>
      <c r="K1489" s="8">
        <f t="shared" si="23"/>
        <v>33866.404806804872</v>
      </c>
      <c r="L1489">
        <f>IFERROR(VLOOKUP(F1489,'LEAID Match'!$A$2:$B$240,2,FALSE),"")</f>
        <v>0</v>
      </c>
    </row>
    <row r="1490" spans="1:12" x14ac:dyDescent="0.2">
      <c r="A1490">
        <v>0</v>
      </c>
      <c r="B1490">
        <v>2020</v>
      </c>
      <c r="C1490" s="4" t="s">
        <v>313</v>
      </c>
      <c r="D1490" s="4" t="s">
        <v>576</v>
      </c>
      <c r="E1490" s="4" t="s">
        <v>578</v>
      </c>
      <c r="F1490" s="4" t="s">
        <v>272</v>
      </c>
      <c r="G1490" s="8">
        <v>17432</v>
      </c>
      <c r="I1490" s="16" cm="1">
        <f t="array" ref="I1490">_xlfn.IFS(B1490=2015,G1490/$H$1957,B1490=2016,G1490/$H$1958,B1490=2017,G1490/$H$1959,B1490=2018,G1490/$H$1960,B1490=2019,G1490/$H$1961,B1490=2020,G1490/$H$1962,B1490=2021,G1490/$H$1963,B1490=2022,G1490/$H$1964,B1490=2023,G1490/$H$1965)</f>
        <v>2.0049647975303748E-5</v>
      </c>
      <c r="J1490" s="10" cm="1">
        <f t="array" ref="J1490">_xlfn.IFS(B1490=2015,I1490*$G$2,B1490=2016,I1490*$G$3,B1490=2017,I1490*$G$4,B1490=2018,I1490*$G$5,B1490=2019,I1490*$G$6,B1490=2020,I1490*$G$7,B1490=2021,I1490*$G$8,B1490=2022,I1490*$G$9,B1490=2023,I1490*$G$10)</f>
        <v>3462.2512857046672</v>
      </c>
      <c r="K1490" s="8">
        <f t="shared" si="23"/>
        <v>20894.251285704668</v>
      </c>
      <c r="L1490">
        <f>IFERROR(VLOOKUP(F1490,'LEAID Match'!$A$2:$B$240,2,FALSE),"")</f>
        <v>0</v>
      </c>
    </row>
    <row r="1491" spans="1:12" x14ac:dyDescent="0.2">
      <c r="A1491">
        <v>0</v>
      </c>
      <c r="B1491">
        <v>2021</v>
      </c>
      <c r="C1491" s="4" t="s">
        <v>313</v>
      </c>
      <c r="D1491" s="4" t="s">
        <v>576</v>
      </c>
      <c r="E1491" s="4" t="s">
        <v>578</v>
      </c>
      <c r="F1491" s="4" t="s">
        <v>272</v>
      </c>
      <c r="G1491" s="8">
        <v>17817</v>
      </c>
      <c r="I1491" s="16" cm="1">
        <f t="array" ref="I1491">_xlfn.IFS(B1491=2015,G1491/$H$1957,B1491=2016,G1491/$H$1958,B1491=2017,G1491/$H$1959,B1491=2018,G1491/$H$1960,B1491=2019,G1491/$H$1961,B1491=2020,G1491/$H$1962,B1491=2021,G1491/$H$1963,B1491=2022,G1491/$H$1964,B1491=2023,G1491/$H$1965)</f>
        <v>2.0361176577005297E-5</v>
      </c>
      <c r="J1491" s="10" cm="1">
        <f t="array" ref="J1491">_xlfn.IFS(B1491=2015,I1491*$G$2,B1491=2016,I1491*$G$3,B1491=2017,I1491*$G$4,B1491=2018,I1491*$G$5,B1491=2019,I1491*$G$6,B1491=2020,I1491*$G$7,B1491=2021,I1491*$G$8,B1491=2022,I1491*$G$9,B1491=2023,I1491*$G$10)</f>
        <v>3494.3207013829592</v>
      </c>
      <c r="K1491" s="8">
        <f t="shared" si="23"/>
        <v>21311.32070138296</v>
      </c>
      <c r="L1491">
        <f>IFERROR(VLOOKUP(F1491,'LEAID Match'!$A$2:$B$240,2,FALSE),"")</f>
        <v>0</v>
      </c>
    </row>
    <row r="1492" spans="1:12" x14ac:dyDescent="0.2">
      <c r="A1492">
        <v>0</v>
      </c>
      <c r="B1492">
        <v>2022</v>
      </c>
      <c r="C1492" s="4" t="s">
        <v>313</v>
      </c>
      <c r="D1492" s="4" t="s">
        <v>576</v>
      </c>
      <c r="E1492" s="4" t="s">
        <v>578</v>
      </c>
      <c r="F1492" s="4" t="s">
        <v>272</v>
      </c>
      <c r="G1492" s="8">
        <v>25282</v>
      </c>
      <c r="I1492" s="16" cm="1">
        <f t="array" ref="I1492">_xlfn.IFS(B1492=2015,G1492/$H$1957,B1492=2016,G1492/$H$1958,B1492=2017,G1492/$H$1959,B1492=2018,G1492/$H$1960,B1492=2019,G1492/$H$1961,B1492=2020,G1492/$H$1962,B1492=2021,G1492/$H$1963,B1492=2022,G1492/$H$1964,B1492=2023,G1492/$H$1965)</f>
        <v>2.7173151949093958E-5</v>
      </c>
      <c r="J1492" s="10" cm="1">
        <f t="array" ref="J1492">_xlfn.IFS(B1492=2015,I1492*$G$2,B1492=2016,I1492*$G$3,B1492=2017,I1492*$G$4,B1492=2018,I1492*$G$5,B1492=2019,I1492*$G$6,B1492=2020,I1492*$G$7,B1492=2021,I1492*$G$8,B1492=2022,I1492*$G$9,B1492=2023,I1492*$G$10)</f>
        <v>4608.176608662714</v>
      </c>
      <c r="K1492" s="8">
        <f t="shared" si="23"/>
        <v>29890.176608662714</v>
      </c>
      <c r="L1492">
        <f>IFERROR(VLOOKUP(F1492,'LEAID Match'!$A$2:$B$240,2,FALSE),"")</f>
        <v>0</v>
      </c>
    </row>
    <row r="1493" spans="1:12" x14ac:dyDescent="0.2">
      <c r="A1493">
        <v>0</v>
      </c>
      <c r="B1493">
        <v>2023</v>
      </c>
      <c r="C1493" s="4" t="s">
        <v>313</v>
      </c>
      <c r="D1493" s="4" t="s">
        <v>576</v>
      </c>
      <c r="E1493" s="4" t="s">
        <v>578</v>
      </c>
      <c r="F1493" s="4" t="s">
        <v>272</v>
      </c>
      <c r="G1493" s="8">
        <v>32277</v>
      </c>
      <c r="I1493" s="16" cm="1">
        <f t="array" ref="I1493">_xlfn.IFS(B1493=2015,G1493/$H$1957,B1493=2016,G1493/$H$1958,B1493=2017,G1493/$H$1959,B1493=2018,G1493/$H$1960,B1493=2019,G1493/$H$1961,B1493=2020,G1493/$H$1962,B1493=2021,G1493/$H$1963,B1493=2022,G1493/$H$1964,B1493=2023,G1493/$H$1965)</f>
        <v>3.2680126517661777E-5</v>
      </c>
      <c r="J1493" s="10" cm="1">
        <f t="array" ref="J1493">_xlfn.IFS(B1493=2015,I1493*$G$2,B1493=2016,I1493*$G$3,B1493=2017,I1493*$G$4,B1493=2018,I1493*$G$5,B1493=2019,I1493*$G$6,B1493=2020,I1493*$G$7,B1493=2021,I1493*$G$8,B1493=2022,I1493*$G$9,B1493=2023,I1493*$G$10)</f>
        <v>5555.1417310650959</v>
      </c>
      <c r="K1493" s="8">
        <f t="shared" si="23"/>
        <v>37832.141731065094</v>
      </c>
      <c r="L1493">
        <f>IFERROR(VLOOKUP(F1493,'LEAID Match'!$A$2:$B$240,2,FALSE),"")</f>
        <v>0</v>
      </c>
    </row>
    <row r="1494" spans="1:12" x14ac:dyDescent="0.2">
      <c r="A1494">
        <v>0</v>
      </c>
      <c r="B1494">
        <v>2015</v>
      </c>
      <c r="C1494" s="4" t="s">
        <v>314</v>
      </c>
      <c r="D1494" s="4" t="s">
        <v>576</v>
      </c>
      <c r="E1494" s="4" t="s">
        <v>578</v>
      </c>
      <c r="F1494" s="4" t="s">
        <v>273</v>
      </c>
      <c r="G1494" s="8">
        <v>302513</v>
      </c>
      <c r="I1494" s="16" cm="1">
        <f t="array" ref="I1494">_xlfn.IFS(B1494=2015,G1494/$H$1957,B1494=2016,G1494/$H$1958,B1494=2017,G1494/$H$1959,B1494=2018,G1494/$H$1960,B1494=2019,G1494/$H$1961,B1494=2020,G1494/$H$1962,B1494=2021,G1494/$H$1963,B1494=2022,G1494/$H$1964,B1494=2023,G1494/$H$1965)</f>
        <v>2.3361823259295596E-4</v>
      </c>
      <c r="J1494" s="10" cm="1">
        <f t="array" ref="J1494">_xlfn.IFS(B1494=2015,I1494*$G$2,B1494=2016,I1494*$G$3,B1494=2017,I1494*$G$4,B1494=2018,I1494*$G$5,B1494=2019,I1494*$G$6,B1494=2020,I1494*$G$7,B1494=2021,I1494*$G$8,B1494=2022,I1494*$G$9,B1494=2023,I1494*$G$10)</f>
        <v>58087.438918861495</v>
      </c>
      <c r="K1494" s="8">
        <f t="shared" si="23"/>
        <v>360600.4389188615</v>
      </c>
      <c r="L1494">
        <f>IFERROR(VLOOKUP(F1494,'LEAID Match'!$A$2:$B$240,2,FALSE),"")</f>
        <v>0</v>
      </c>
    </row>
    <row r="1495" spans="1:12" x14ac:dyDescent="0.2">
      <c r="A1495">
        <v>0</v>
      </c>
      <c r="B1495">
        <v>2016</v>
      </c>
      <c r="C1495" s="4" t="s">
        <v>314</v>
      </c>
      <c r="D1495" s="4" t="s">
        <v>576</v>
      </c>
      <c r="E1495" s="4" t="s">
        <v>578</v>
      </c>
      <c r="F1495" s="4" t="s">
        <v>273</v>
      </c>
      <c r="G1495" s="8">
        <v>355428</v>
      </c>
      <c r="I1495" s="16" cm="1">
        <f t="array" ref="I1495">_xlfn.IFS(B1495=2015,G1495/$H$1957,B1495=2016,G1495/$H$1958,B1495=2017,G1495/$H$1959,B1495=2018,G1495/$H$1960,B1495=2019,G1495/$H$1961,B1495=2020,G1495/$H$1962,B1495=2021,G1495/$H$1963,B1495=2022,G1495/$H$1964,B1495=2023,G1495/$H$1965)</f>
        <v>2.4951030405221699E-4</v>
      </c>
      <c r="J1495" s="10" cm="1">
        <f t="array" ref="J1495">_xlfn.IFS(B1495=2015,I1495*$G$2,B1495=2016,I1495*$G$3,B1495=2017,I1495*$G$4,B1495=2018,I1495*$G$5,B1495=2019,I1495*$G$6,B1495=2020,I1495*$G$7,B1495=2021,I1495*$G$8,B1495=2022,I1495*$G$9,B1495=2023,I1495*$G$10)</f>
        <v>67667.962950697722</v>
      </c>
      <c r="K1495" s="8">
        <f t="shared" si="23"/>
        <v>423095.96295069775</v>
      </c>
      <c r="L1495">
        <f>IFERROR(VLOOKUP(F1495,'LEAID Match'!$A$2:$B$240,2,FALSE),"")</f>
        <v>0</v>
      </c>
    </row>
    <row r="1496" spans="1:12" x14ac:dyDescent="0.2">
      <c r="A1496">
        <v>0</v>
      </c>
      <c r="B1496">
        <v>2017</v>
      </c>
      <c r="C1496" s="4" t="s">
        <v>314</v>
      </c>
      <c r="D1496" s="4" t="s">
        <v>576</v>
      </c>
      <c r="E1496" s="4" t="s">
        <v>578</v>
      </c>
      <c r="F1496" s="4" t="s">
        <v>273</v>
      </c>
      <c r="G1496" s="8">
        <v>167009</v>
      </c>
      <c r="I1496" s="16" cm="1">
        <f t="array" ref="I1496">_xlfn.IFS(B1496=2015,G1496/$H$1957,B1496=2016,G1496/$H$1958,B1496=2017,G1496/$H$1959,B1496=2018,G1496/$H$1960,B1496=2019,G1496/$H$1961,B1496=2020,G1496/$H$1962,B1496=2021,G1496/$H$1963,B1496=2022,G1496/$H$1964,B1496=2023,G1496/$H$1965)</f>
        <v>2.2282554673085561E-4</v>
      </c>
      <c r="J1496" s="10" cm="1">
        <f t="array" ref="J1496">_xlfn.IFS(B1496=2015,I1496*$G$2,B1496=2016,I1496*$G$3,B1496=2017,I1496*$G$4,B1496=2018,I1496*$G$5,B1496=2019,I1496*$G$6,B1496=2020,I1496*$G$7,B1496=2021,I1496*$G$8,B1496=2022,I1496*$G$9,B1496=2023,I1496*$G$10)</f>
        <v>32997.474711781419</v>
      </c>
      <c r="K1496" s="8">
        <f t="shared" si="23"/>
        <v>200006.47471178143</v>
      </c>
      <c r="L1496">
        <f>IFERROR(VLOOKUP(F1496,'LEAID Match'!$A$2:$B$240,2,FALSE),"")</f>
        <v>0</v>
      </c>
    </row>
    <row r="1497" spans="1:12" x14ac:dyDescent="0.2">
      <c r="A1497">
        <v>0</v>
      </c>
      <c r="B1497">
        <v>2018</v>
      </c>
      <c r="C1497" s="4" t="s">
        <v>314</v>
      </c>
      <c r="D1497" s="4" t="s">
        <v>576</v>
      </c>
      <c r="E1497" s="4" t="s">
        <v>578</v>
      </c>
      <c r="F1497" s="4" t="s">
        <v>273</v>
      </c>
      <c r="G1497" s="8">
        <v>160033</v>
      </c>
      <c r="I1497" s="16" cm="1">
        <f t="array" ref="I1497">_xlfn.IFS(B1497=2015,G1497/$H$1957,B1497=2016,G1497/$H$1958,B1497=2017,G1497/$H$1959,B1497=2018,G1497/$H$1960,B1497=2019,G1497/$H$1961,B1497=2020,G1497/$H$1962,B1497=2021,G1497/$H$1963,B1497=2022,G1497/$H$1964,B1497=2023,G1497/$H$1965)</f>
        <v>2.0591613302624049E-4</v>
      </c>
      <c r="J1497" s="10" cm="1">
        <f t="array" ref="J1497">_xlfn.IFS(B1497=2015,I1497*$G$2,B1497=2016,I1497*$G$3,B1497=2017,I1497*$G$4,B1497=2018,I1497*$G$5,B1497=2019,I1497*$G$6,B1497=2020,I1497*$G$7,B1497=2021,I1497*$G$8,B1497=2022,I1497*$G$9,B1497=2023,I1497*$G$10)</f>
        <v>30995.304358015714</v>
      </c>
      <c r="K1497" s="8">
        <f t="shared" si="23"/>
        <v>191028.30435801571</v>
      </c>
      <c r="L1497">
        <f>IFERROR(VLOOKUP(F1497,'LEAID Match'!$A$2:$B$240,2,FALSE),"")</f>
        <v>0</v>
      </c>
    </row>
    <row r="1498" spans="1:12" x14ac:dyDescent="0.2">
      <c r="A1498">
        <v>0</v>
      </c>
      <c r="B1498">
        <v>2019</v>
      </c>
      <c r="C1498" s="4" t="s">
        <v>314</v>
      </c>
      <c r="D1498" s="4" t="s">
        <v>576</v>
      </c>
      <c r="E1498" s="4" t="s">
        <v>578</v>
      </c>
      <c r="F1498" s="4" t="s">
        <v>273</v>
      </c>
      <c r="G1498" s="8">
        <v>160976</v>
      </c>
      <c r="I1498" s="16" cm="1">
        <f t="array" ref="I1498">_xlfn.IFS(B1498=2015,G1498/$H$1957,B1498=2016,G1498/$H$1958,B1498=2017,G1498/$H$1959,B1498=2018,G1498/$H$1960,B1498=2019,G1498/$H$1961,B1498=2020,G1498/$H$1962,B1498=2021,G1498/$H$1963,B1498=2022,G1498/$H$1964,B1498=2023,G1498/$H$1965)</f>
        <v>2.0006043372131654E-4</v>
      </c>
      <c r="J1498" s="10" cm="1">
        <f t="array" ref="J1498">_xlfn.IFS(B1498=2015,I1498*$G$2,B1498=2016,I1498*$G$3,B1498=2017,I1498*$G$4,B1498=2018,I1498*$G$5,B1498=2019,I1498*$G$6,B1498=2020,I1498*$G$7,B1498=2021,I1498*$G$8,B1498=2022,I1498*$G$9,B1498=2023,I1498*$G$10)</f>
        <v>31615.174627485125</v>
      </c>
      <c r="K1498" s="8">
        <f t="shared" si="23"/>
        <v>192591.17462748513</v>
      </c>
      <c r="L1498">
        <f>IFERROR(VLOOKUP(F1498,'LEAID Match'!$A$2:$B$240,2,FALSE),"")</f>
        <v>0</v>
      </c>
    </row>
    <row r="1499" spans="1:12" x14ac:dyDescent="0.2">
      <c r="A1499">
        <v>0</v>
      </c>
      <c r="B1499">
        <v>2020</v>
      </c>
      <c r="C1499" s="4" t="s">
        <v>314</v>
      </c>
      <c r="D1499" s="4" t="s">
        <v>576</v>
      </c>
      <c r="E1499" s="4" t="s">
        <v>578</v>
      </c>
      <c r="F1499" s="4" t="s">
        <v>273</v>
      </c>
      <c r="G1499" s="8">
        <v>157579</v>
      </c>
      <c r="I1499" s="16" cm="1">
        <f t="array" ref="I1499">_xlfn.IFS(B1499=2015,G1499/$H$1957,B1499=2016,G1499/$H$1958,B1499=2017,G1499/$H$1959,B1499=2018,G1499/$H$1960,B1499=2019,G1499/$H$1961,B1499=2020,G1499/$H$1962,B1499=2021,G1499/$H$1963,B1499=2022,G1499/$H$1964,B1499=2023,G1499/$H$1965)</f>
        <v>1.8124159467074283E-4</v>
      </c>
      <c r="J1499" s="10" cm="1">
        <f t="array" ref="J1499">_xlfn.IFS(B1499=2015,I1499*$G$2,B1499=2016,I1499*$G$3,B1499=2017,I1499*$G$4,B1499=2018,I1499*$G$5,B1499=2019,I1499*$G$6,B1499=2020,I1499*$G$7,B1499=2021,I1499*$G$8,B1499=2022,I1499*$G$9,B1499=2023,I1499*$G$10)</f>
        <v>31297.50432251352</v>
      </c>
      <c r="K1499" s="8">
        <f t="shared" si="23"/>
        <v>188876.50432251353</v>
      </c>
      <c r="L1499">
        <f>IFERROR(VLOOKUP(F1499,'LEAID Match'!$A$2:$B$240,2,FALSE),"")</f>
        <v>0</v>
      </c>
    </row>
    <row r="1500" spans="1:12" x14ac:dyDescent="0.2">
      <c r="A1500">
        <v>0</v>
      </c>
      <c r="B1500">
        <v>2021</v>
      </c>
      <c r="C1500" s="4" t="s">
        <v>314</v>
      </c>
      <c r="D1500" s="4" t="s">
        <v>576</v>
      </c>
      <c r="E1500" s="4" t="s">
        <v>578</v>
      </c>
      <c r="F1500" s="4" t="s">
        <v>273</v>
      </c>
      <c r="G1500" s="8">
        <v>167064</v>
      </c>
      <c r="I1500" s="16" cm="1">
        <f t="array" ref="I1500">_xlfn.IFS(B1500=2015,G1500/$H$1957,B1500=2016,G1500/$H$1958,B1500=2017,G1500/$H$1959,B1500=2018,G1500/$H$1960,B1500=2019,G1500/$H$1961,B1500=2020,G1500/$H$1962,B1500=2021,G1500/$H$1963,B1500=2022,G1500/$H$1964,B1500=2023,G1500/$H$1965)</f>
        <v>1.9091988570807728E-4</v>
      </c>
      <c r="J1500" s="10" cm="1">
        <f t="array" ref="J1500">_xlfn.IFS(B1500=2015,I1500*$G$2,B1500=2016,I1500*$G$3,B1500=2017,I1500*$G$4,B1500=2018,I1500*$G$5,B1500=2019,I1500*$G$6,B1500=2020,I1500*$G$7,B1500=2021,I1500*$G$8,B1500=2022,I1500*$G$9,B1500=2023,I1500*$G$10)</f>
        <v>32765.066714701843</v>
      </c>
      <c r="K1500" s="8">
        <f t="shared" si="23"/>
        <v>199829.06671470185</v>
      </c>
      <c r="L1500">
        <f>IFERROR(VLOOKUP(F1500,'LEAID Match'!$A$2:$B$240,2,FALSE),"")</f>
        <v>0</v>
      </c>
    </row>
    <row r="1501" spans="1:12" x14ac:dyDescent="0.2">
      <c r="A1501">
        <v>0</v>
      </c>
      <c r="B1501">
        <v>2022</v>
      </c>
      <c r="C1501" s="4" t="s">
        <v>314</v>
      </c>
      <c r="D1501" s="4" t="s">
        <v>576</v>
      </c>
      <c r="E1501" s="4" t="s">
        <v>578</v>
      </c>
      <c r="F1501" s="4" t="s">
        <v>273</v>
      </c>
      <c r="G1501" s="8">
        <v>163333</v>
      </c>
      <c r="I1501" s="16" cm="1">
        <f t="array" ref="I1501">_xlfn.IFS(B1501=2015,G1501/$H$1957,B1501=2016,G1501/$H$1958,B1501=2017,G1501/$H$1959,B1501=2018,G1501/$H$1960,B1501=2019,G1501/$H$1961,B1501=2020,G1501/$H$1962,B1501=2021,G1501/$H$1963,B1501=2022,G1501/$H$1964,B1501=2023,G1501/$H$1965)</f>
        <v>1.7555068536118042E-4</v>
      </c>
      <c r="J1501" s="10" cm="1">
        <f t="array" ref="J1501">_xlfn.IFS(B1501=2015,I1501*$G$2,B1501=2016,I1501*$G$3,B1501=2017,I1501*$G$4,B1501=2018,I1501*$G$5,B1501=2019,I1501*$G$6,B1501=2020,I1501*$G$7,B1501=2021,I1501*$G$8,B1501=2022,I1501*$G$9,B1501=2023,I1501*$G$10)</f>
        <v>29770.876909370581</v>
      </c>
      <c r="K1501" s="8">
        <f t="shared" si="23"/>
        <v>193103.87690937059</v>
      </c>
      <c r="L1501">
        <f>IFERROR(VLOOKUP(F1501,'LEAID Match'!$A$2:$B$240,2,FALSE),"")</f>
        <v>0</v>
      </c>
    </row>
    <row r="1502" spans="1:12" x14ac:dyDescent="0.2">
      <c r="A1502">
        <v>0</v>
      </c>
      <c r="B1502">
        <v>2023</v>
      </c>
      <c r="C1502" s="4" t="s">
        <v>314</v>
      </c>
      <c r="D1502" s="4" t="s">
        <v>576</v>
      </c>
      <c r="E1502" s="4" t="s">
        <v>578</v>
      </c>
      <c r="F1502" s="4" t="s">
        <v>273</v>
      </c>
      <c r="G1502" s="8">
        <v>161852</v>
      </c>
      <c r="I1502" s="16" cm="1">
        <f t="array" ref="I1502">_xlfn.IFS(B1502=2015,G1502/$H$1957,B1502=2016,G1502/$H$1958,B1502=2017,G1502/$H$1959,B1502=2018,G1502/$H$1960,B1502=2019,G1502/$H$1961,B1502=2020,G1502/$H$1962,B1502=2021,G1502/$H$1963,B1502=2022,G1502/$H$1964,B1502=2023,G1502/$H$1965)</f>
        <v>1.6387346522714609E-4</v>
      </c>
      <c r="J1502" s="10" cm="1">
        <f t="array" ref="J1502">_xlfn.IFS(B1502=2015,I1502*$G$2,B1502=2016,I1502*$G$3,B1502=2017,I1502*$G$4,B1502=2018,I1502*$G$5,B1502=2019,I1502*$G$6,B1502=2020,I1502*$G$7,B1502=2021,I1502*$G$8,B1502=2022,I1502*$G$9,B1502=2023,I1502*$G$10)</f>
        <v>27856.083262271837</v>
      </c>
      <c r="K1502" s="8">
        <f t="shared" si="23"/>
        <v>189708.08326227183</v>
      </c>
      <c r="L1502">
        <f>IFERROR(VLOOKUP(F1502,'LEAID Match'!$A$2:$B$240,2,FALSE),"")</f>
        <v>0</v>
      </c>
    </row>
    <row r="1503" spans="1:12" x14ac:dyDescent="0.2">
      <c r="A1503">
        <v>0</v>
      </c>
      <c r="B1503">
        <v>2015</v>
      </c>
      <c r="C1503" s="4" t="s">
        <v>315</v>
      </c>
      <c r="D1503" s="4" t="s">
        <v>576</v>
      </c>
      <c r="E1503" s="4" t="s">
        <v>578</v>
      </c>
      <c r="F1503" s="4" t="s">
        <v>274</v>
      </c>
      <c r="G1503" s="8">
        <v>65711</v>
      </c>
      <c r="I1503" s="16" cm="1">
        <f t="array" ref="I1503">_xlfn.IFS(B1503=2015,G1503/$H$1957,B1503=2016,G1503/$H$1958,B1503=2017,G1503/$H$1959,B1503=2018,G1503/$H$1960,B1503=2019,G1503/$H$1961,B1503=2020,G1503/$H$1962,B1503=2021,G1503/$H$1963,B1503=2022,G1503/$H$1964,B1503=2023,G1503/$H$1965)</f>
        <v>5.0745877638037802E-5</v>
      </c>
      <c r="J1503" s="10" cm="1">
        <f t="array" ref="J1503">_xlfn.IFS(B1503=2015,I1503*$G$2,B1503=2016,I1503*$G$3,B1503=2017,I1503*$G$4,B1503=2018,I1503*$G$5,B1503=2019,I1503*$G$6,B1503=2020,I1503*$G$7,B1503=2021,I1503*$G$8,B1503=2022,I1503*$G$9,B1503=2023,I1503*$G$10)</f>
        <v>12617.585686556637</v>
      </c>
      <c r="K1503" s="8">
        <f t="shared" si="23"/>
        <v>78328.585686556631</v>
      </c>
      <c r="L1503">
        <f>IFERROR(VLOOKUP(F1503,'LEAID Match'!$A$2:$B$240,2,FALSE),"")</f>
        <v>0</v>
      </c>
    </row>
    <row r="1504" spans="1:12" x14ac:dyDescent="0.2">
      <c r="A1504">
        <v>0</v>
      </c>
      <c r="B1504">
        <v>2016</v>
      </c>
      <c r="C1504" s="4" t="s">
        <v>315</v>
      </c>
      <c r="D1504" s="4" t="s">
        <v>576</v>
      </c>
      <c r="E1504" s="4" t="s">
        <v>578</v>
      </c>
      <c r="F1504" s="4" t="s">
        <v>274</v>
      </c>
      <c r="G1504" s="8">
        <v>64852</v>
      </c>
      <c r="I1504" s="16" cm="1">
        <f t="array" ref="I1504">_xlfn.IFS(B1504=2015,G1504/$H$1957,B1504=2016,G1504/$H$1958,B1504=2017,G1504/$H$1959,B1504=2018,G1504/$H$1960,B1504=2019,G1504/$H$1961,B1504=2020,G1504/$H$1962,B1504=2021,G1504/$H$1963,B1504=2022,G1504/$H$1964,B1504=2023,G1504/$H$1965)</f>
        <v>4.5526076275347967E-5</v>
      </c>
      <c r="J1504" s="10" cm="1">
        <f t="array" ref="J1504">_xlfn.IFS(B1504=2015,I1504*$G$2,B1504=2016,I1504*$G$3,B1504=2017,I1504*$G$4,B1504=2018,I1504*$G$5,B1504=2019,I1504*$G$6,B1504=2020,I1504*$G$7,B1504=2021,I1504*$G$8,B1504=2022,I1504*$G$9,B1504=2023,I1504*$G$10)</f>
        <v>12346.812106189296</v>
      </c>
      <c r="K1504" s="8">
        <f t="shared" si="23"/>
        <v>77198.812106189289</v>
      </c>
      <c r="L1504">
        <f>IFERROR(VLOOKUP(F1504,'LEAID Match'!$A$2:$B$240,2,FALSE),"")</f>
        <v>0</v>
      </c>
    </row>
    <row r="1505" spans="1:12" x14ac:dyDescent="0.2">
      <c r="A1505">
        <v>0</v>
      </c>
      <c r="B1505">
        <v>2017</v>
      </c>
      <c r="C1505" s="4" t="s">
        <v>315</v>
      </c>
      <c r="D1505" s="4" t="s">
        <v>576</v>
      </c>
      <c r="E1505" s="4" t="s">
        <v>578</v>
      </c>
      <c r="F1505" s="4" t="s">
        <v>274</v>
      </c>
      <c r="G1505" s="8">
        <v>33957</v>
      </c>
      <c r="I1505" s="16" cm="1">
        <f t="array" ref="I1505">_xlfn.IFS(B1505=2015,G1505/$H$1957,B1505=2016,G1505/$H$1958,B1505=2017,G1505/$H$1959,B1505=2018,G1505/$H$1960,B1505=2019,G1505/$H$1961,B1505=2020,G1505/$H$1962,B1505=2021,G1505/$H$1963,B1505=2022,G1505/$H$1964,B1505=2023,G1505/$H$1965)</f>
        <v>4.530586429677241E-5</v>
      </c>
      <c r="J1505" s="10" cm="1">
        <f t="array" ref="J1505">_xlfn.IFS(B1505=2015,I1505*$G$2,B1505=2016,I1505*$G$3,B1505=2017,I1505*$G$4,B1505=2018,I1505*$G$5,B1505=2019,I1505*$G$6,B1505=2020,I1505*$G$7,B1505=2021,I1505*$G$8,B1505=2022,I1505*$G$9,B1505=2023,I1505*$G$10)</f>
        <v>6709.1908147941813</v>
      </c>
      <c r="K1505" s="8">
        <f t="shared" si="23"/>
        <v>40666.190814794179</v>
      </c>
      <c r="L1505">
        <f>IFERROR(VLOOKUP(F1505,'LEAID Match'!$A$2:$B$240,2,FALSE),"")</f>
        <v>0</v>
      </c>
    </row>
    <row r="1506" spans="1:12" x14ac:dyDescent="0.2">
      <c r="A1506">
        <v>0</v>
      </c>
      <c r="B1506">
        <v>2018</v>
      </c>
      <c r="C1506" s="4" t="s">
        <v>315</v>
      </c>
      <c r="D1506" s="4" t="s">
        <v>576</v>
      </c>
      <c r="E1506" s="4" t="s">
        <v>578</v>
      </c>
      <c r="F1506" s="4" t="s">
        <v>274</v>
      </c>
      <c r="G1506" s="8">
        <v>34969</v>
      </c>
      <c r="I1506" s="16" cm="1">
        <f t="array" ref="I1506">_xlfn.IFS(B1506=2015,G1506/$H$1957,B1506=2016,G1506/$H$1958,B1506=2017,G1506/$H$1959,B1506=2018,G1506/$H$1960,B1506=2019,G1506/$H$1961,B1506=2020,G1506/$H$1962,B1506=2021,G1506/$H$1963,B1506=2022,G1506/$H$1964,B1506=2023,G1506/$H$1965)</f>
        <v>4.4994977634579143E-5</v>
      </c>
      <c r="J1506" s="10" cm="1">
        <f t="array" ref="J1506">_xlfn.IFS(B1506=2015,I1506*$G$2,B1506=2016,I1506*$G$3,B1506=2017,I1506*$G$4,B1506=2018,I1506*$G$5,B1506=2019,I1506*$G$6,B1506=2020,I1506*$G$7,B1506=2021,I1506*$G$8,B1506=2022,I1506*$G$9,B1506=2023,I1506*$G$10)</f>
        <v>6772.820593849091</v>
      </c>
      <c r="K1506" s="8">
        <f t="shared" si="23"/>
        <v>41741.820593849094</v>
      </c>
      <c r="L1506">
        <f>IFERROR(VLOOKUP(F1506,'LEAID Match'!$A$2:$B$240,2,FALSE),"")</f>
        <v>0</v>
      </c>
    </row>
    <row r="1507" spans="1:12" x14ac:dyDescent="0.2">
      <c r="A1507">
        <v>0</v>
      </c>
      <c r="B1507">
        <v>2019</v>
      </c>
      <c r="C1507" s="4" t="s">
        <v>315</v>
      </c>
      <c r="D1507" s="4" t="s">
        <v>576</v>
      </c>
      <c r="E1507" s="4" t="s">
        <v>578</v>
      </c>
      <c r="F1507" s="4" t="s">
        <v>431</v>
      </c>
      <c r="G1507" s="8">
        <v>48356</v>
      </c>
      <c r="I1507" s="16" cm="1">
        <f t="array" ref="I1507">_xlfn.IFS(B1507=2015,G1507/$H$1957,B1507=2016,G1507/$H$1958,B1507=2017,G1507/$H$1959,B1507=2018,G1507/$H$1960,B1507=2019,G1507/$H$1961,B1507=2020,G1507/$H$1962,B1507=2021,G1507/$H$1963,B1507=2022,G1507/$H$1964,B1507=2023,G1507/$H$1965)</f>
        <v>6.0096674864749921E-5</v>
      </c>
      <c r="J1507" s="10" cm="1">
        <f t="array" ref="J1507">_xlfn.IFS(B1507=2015,I1507*$G$2,B1507=2016,I1507*$G$3,B1507=2017,I1507*$G$4,B1507=2018,I1507*$G$5,B1507=2019,I1507*$G$6,B1507=2020,I1507*$G$7,B1507=2021,I1507*$G$8,B1507=2022,I1507*$G$9,B1507=2023,I1507*$G$10)</f>
        <v>9496.9646673210336</v>
      </c>
      <c r="K1507" s="8">
        <f t="shared" si="23"/>
        <v>57852.964667321037</v>
      </c>
      <c r="L1507">
        <f>IFERROR(VLOOKUP(F1507,'LEAID Match'!$A$2:$B$240,2,FALSE),"")</f>
        <v>0</v>
      </c>
    </row>
    <row r="1508" spans="1:12" x14ac:dyDescent="0.2">
      <c r="A1508">
        <v>0</v>
      </c>
      <c r="B1508">
        <v>2020</v>
      </c>
      <c r="C1508" s="4" t="s">
        <v>315</v>
      </c>
      <c r="D1508" s="4" t="s">
        <v>576</v>
      </c>
      <c r="E1508" s="4" t="s">
        <v>578</v>
      </c>
      <c r="F1508" s="4" t="s">
        <v>274</v>
      </c>
      <c r="G1508" s="8">
        <v>49069</v>
      </c>
      <c r="I1508" s="16" cm="1">
        <f t="array" ref="I1508">_xlfn.IFS(B1508=2015,G1508/$H$1957,B1508=2016,G1508/$H$1958,B1508=2017,G1508/$H$1959,B1508=2018,G1508/$H$1960,B1508=2019,G1508/$H$1961,B1508=2020,G1508/$H$1962,B1508=2021,G1508/$H$1963,B1508=2022,G1508/$H$1964,B1508=2023,G1508/$H$1965)</f>
        <v>5.6437366710657386E-5</v>
      </c>
      <c r="J1508" s="10" cm="1">
        <f t="array" ref="J1508">_xlfn.IFS(B1508=2015,I1508*$G$2,B1508=2016,I1508*$G$3,B1508=2017,I1508*$G$4,B1508=2018,I1508*$G$5,B1508=2019,I1508*$G$6,B1508=2020,I1508*$G$7,B1508=2021,I1508*$G$8,B1508=2022,I1508*$G$9,B1508=2023,I1508*$G$10)</f>
        <v>9745.8242507022896</v>
      </c>
      <c r="K1508" s="8">
        <f t="shared" si="23"/>
        <v>58814.824250702288</v>
      </c>
      <c r="L1508">
        <f>IFERROR(VLOOKUP(F1508,'LEAID Match'!$A$2:$B$240,2,FALSE),"")</f>
        <v>0</v>
      </c>
    </row>
    <row r="1509" spans="1:12" x14ac:dyDescent="0.2">
      <c r="A1509">
        <v>0</v>
      </c>
      <c r="B1509">
        <v>2021</v>
      </c>
      <c r="C1509" s="4" t="s">
        <v>315</v>
      </c>
      <c r="D1509" s="4" t="s">
        <v>576</v>
      </c>
      <c r="E1509" s="4" t="s">
        <v>578</v>
      </c>
      <c r="F1509" s="4" t="s">
        <v>274</v>
      </c>
      <c r="G1509" s="8">
        <v>47256</v>
      </c>
      <c r="I1509" s="16" cm="1">
        <f t="array" ref="I1509">_xlfn.IFS(B1509=2015,G1509/$H$1957,B1509=2016,G1509/$H$1958,B1509=2017,G1509/$H$1959,B1509=2018,G1509/$H$1960,B1509=2019,G1509/$H$1961,B1509=2020,G1509/$H$1962,B1509=2021,G1509/$H$1963,B1509=2022,G1509/$H$1964,B1509=2023,G1509/$H$1965)</f>
        <v>5.4003915379859814E-5</v>
      </c>
      <c r="J1509" s="10" cm="1">
        <f t="array" ref="J1509">_xlfn.IFS(B1509=2015,I1509*$G$2,B1509=2016,I1509*$G$3,B1509=2017,I1509*$G$4,B1509=2018,I1509*$G$5,B1509=2019,I1509*$G$6,B1509=2020,I1509*$G$7,B1509=2021,I1509*$G$8,B1509=2022,I1509*$G$9,B1509=2023,I1509*$G$10)</f>
        <v>9267.9810891032794</v>
      </c>
      <c r="K1509" s="8">
        <f t="shared" si="23"/>
        <v>56523.981089103283</v>
      </c>
      <c r="L1509">
        <f>IFERROR(VLOOKUP(F1509,'LEAID Match'!$A$2:$B$240,2,FALSE),"")</f>
        <v>0</v>
      </c>
    </row>
    <row r="1510" spans="1:12" x14ac:dyDescent="0.2">
      <c r="A1510">
        <v>0</v>
      </c>
      <c r="B1510">
        <v>2022</v>
      </c>
      <c r="C1510" s="4" t="s">
        <v>315</v>
      </c>
      <c r="D1510" s="4" t="s">
        <v>576</v>
      </c>
      <c r="E1510" s="4" t="s">
        <v>578</v>
      </c>
      <c r="F1510" s="4" t="s">
        <v>274</v>
      </c>
      <c r="G1510" s="8">
        <v>46631</v>
      </c>
      <c r="I1510" s="16" cm="1">
        <f t="array" ref="I1510">_xlfn.IFS(B1510=2015,G1510/$H$1957,B1510=2016,G1510/$H$1958,B1510=2017,G1510/$H$1959,B1510=2018,G1510/$H$1960,B1510=2019,G1510/$H$1961,B1510=2020,G1510/$H$1962,B1510=2021,G1510/$H$1963,B1510=2022,G1510/$H$1964,B1510=2023,G1510/$H$1965)</f>
        <v>5.0119106421098028E-5</v>
      </c>
      <c r="J1510" s="10" cm="1">
        <f t="array" ref="J1510">_xlfn.IFS(B1510=2015,I1510*$G$2,B1510=2016,I1510*$G$3,B1510=2017,I1510*$G$4,B1510=2018,I1510*$G$5,B1510=2019,I1510*$G$6,B1510=2020,I1510*$G$7,B1510=2021,I1510*$G$8,B1510=2022,I1510*$G$9,B1510=2023,I1510*$G$10)</f>
        <v>8499.481189721977</v>
      </c>
      <c r="K1510" s="8">
        <f t="shared" si="23"/>
        <v>55130.481189721977</v>
      </c>
      <c r="L1510">
        <f>IFERROR(VLOOKUP(F1510,'LEAID Match'!$A$2:$B$240,2,FALSE),"")</f>
        <v>0</v>
      </c>
    </row>
    <row r="1511" spans="1:12" x14ac:dyDescent="0.2">
      <c r="A1511">
        <v>0</v>
      </c>
      <c r="B1511">
        <v>2023</v>
      </c>
      <c r="C1511" s="4" t="s">
        <v>315</v>
      </c>
      <c r="D1511" s="4" t="s">
        <v>576</v>
      </c>
      <c r="E1511" s="4" t="s">
        <v>578</v>
      </c>
      <c r="F1511" s="4" t="s">
        <v>274</v>
      </c>
      <c r="G1511" s="8">
        <v>46770</v>
      </c>
      <c r="I1511" s="16" cm="1">
        <f t="array" ref="I1511">_xlfn.IFS(B1511=2015,G1511/$H$1957,B1511=2016,G1511/$H$1958,B1511=2017,G1511/$H$1959,B1511=2018,G1511/$H$1960,B1511=2019,G1511/$H$1961,B1511=2020,G1511/$H$1962,B1511=2021,G1511/$H$1963,B1511=2022,G1511/$H$1964,B1511=2023,G1511/$H$1965)</f>
        <v>4.7354138155065263E-5</v>
      </c>
      <c r="J1511" s="10" cm="1">
        <f t="array" ref="J1511">_xlfn.IFS(B1511=2015,I1511*$G$2,B1511=2016,I1511*$G$3,B1511=2017,I1511*$G$4,B1511=2018,I1511*$G$5,B1511=2019,I1511*$G$6,B1511=2020,I1511*$G$7,B1511=2021,I1511*$G$8,B1511=2022,I1511*$G$9,B1511=2023,I1511*$G$10)</f>
        <v>8049.5082802588404</v>
      </c>
      <c r="K1511" s="8">
        <f t="shared" si="23"/>
        <v>54819.508280258844</v>
      </c>
      <c r="L1511">
        <f>IFERROR(VLOOKUP(F1511,'LEAID Match'!$A$2:$B$240,2,FALSE),"")</f>
        <v>0</v>
      </c>
    </row>
    <row r="1512" spans="1:12" x14ac:dyDescent="0.2">
      <c r="A1512">
        <v>0</v>
      </c>
      <c r="B1512">
        <v>2015</v>
      </c>
      <c r="C1512" s="4" t="s">
        <v>316</v>
      </c>
      <c r="D1512" s="4" t="s">
        <v>576</v>
      </c>
      <c r="E1512" s="4" t="s">
        <v>578</v>
      </c>
      <c r="F1512" s="4" t="s">
        <v>275</v>
      </c>
      <c r="G1512" s="8">
        <v>141612</v>
      </c>
      <c r="I1512" s="16" cm="1">
        <f t="array" ref="I1512">_xlfn.IFS(B1512=2015,G1512/$H$1957,B1512=2016,G1512/$H$1958,B1512=2017,G1512/$H$1959,B1512=2018,G1512/$H$1960,B1512=2019,G1512/$H$1961,B1512=2020,G1512/$H$1962,B1512=2021,G1512/$H$1963,B1512=2022,G1512/$H$1964,B1512=2023,G1512/$H$1965)</f>
        <v>1.0936106928943114E-4</v>
      </c>
      <c r="J1512" s="10" cm="1">
        <f t="array" ref="J1512">_xlfn.IFS(B1512=2015,I1512*$G$2,B1512=2016,I1512*$G$3,B1512=2017,I1512*$G$4,B1512=2018,I1512*$G$5,B1512=2019,I1512*$G$6,B1512=2020,I1512*$G$7,B1512=2021,I1512*$G$8,B1512=2022,I1512*$G$9,B1512=2023,I1512*$G$10)</f>
        <v>27191.817872877578</v>
      </c>
      <c r="K1512" s="8">
        <f t="shared" si="23"/>
        <v>168803.81787287758</v>
      </c>
      <c r="L1512">
        <f>IFERROR(VLOOKUP(F1512,'LEAID Match'!$A$2:$B$240,2,FALSE),"")</f>
        <v>0</v>
      </c>
    </row>
    <row r="1513" spans="1:12" x14ac:dyDescent="0.2">
      <c r="A1513">
        <v>0</v>
      </c>
      <c r="B1513">
        <v>2016</v>
      </c>
      <c r="C1513" s="4" t="s">
        <v>316</v>
      </c>
      <c r="D1513" s="4" t="s">
        <v>576</v>
      </c>
      <c r="E1513" s="4" t="s">
        <v>578</v>
      </c>
      <c r="F1513" s="4" t="s">
        <v>275</v>
      </c>
      <c r="G1513" s="8">
        <v>169507</v>
      </c>
      <c r="I1513" s="16" cm="1">
        <f t="array" ref="I1513">_xlfn.IFS(B1513=2015,G1513/$H$1957,B1513=2016,G1513/$H$1958,B1513=2017,G1513/$H$1959,B1513=2018,G1513/$H$1960,B1513=2019,G1513/$H$1961,B1513=2020,G1513/$H$1962,B1513=2021,G1513/$H$1963,B1513=2022,G1513/$H$1964,B1513=2023,G1513/$H$1965)</f>
        <v>1.1899384153465441E-4</v>
      </c>
      <c r="J1513" s="10" cm="1">
        <f t="array" ref="J1513">_xlfn.IFS(B1513=2015,I1513*$G$2,B1513=2016,I1513*$G$3,B1513=2017,I1513*$G$4,B1513=2018,I1513*$G$5,B1513=2019,I1513*$G$6,B1513=2020,I1513*$G$7,B1513=2021,I1513*$G$8,B1513=2022,I1513*$G$9,B1513=2023,I1513*$G$10)</f>
        <v>32271.496325230204</v>
      </c>
      <c r="K1513" s="8">
        <f t="shared" si="23"/>
        <v>201778.4963252302</v>
      </c>
      <c r="L1513">
        <f>IFERROR(VLOOKUP(F1513,'LEAID Match'!$A$2:$B$240,2,FALSE),"")</f>
        <v>0</v>
      </c>
    </row>
    <row r="1514" spans="1:12" x14ac:dyDescent="0.2">
      <c r="A1514">
        <v>0</v>
      </c>
      <c r="B1514">
        <v>2017</v>
      </c>
      <c r="C1514" s="4" t="s">
        <v>316</v>
      </c>
      <c r="D1514" s="4" t="s">
        <v>576</v>
      </c>
      <c r="E1514" s="4" t="s">
        <v>578</v>
      </c>
      <c r="F1514" s="4" t="s">
        <v>275</v>
      </c>
      <c r="G1514" s="8">
        <v>90339</v>
      </c>
      <c r="I1514" s="16" cm="1">
        <f t="array" ref="I1514">_xlfn.IFS(B1514=2015,G1514/$H$1957,B1514=2016,G1514/$H$1958,B1514=2017,G1514/$H$1959,B1514=2018,G1514/$H$1960,B1514=2019,G1514/$H$1961,B1514=2020,G1514/$H$1962,B1514=2021,G1514/$H$1963,B1514=2022,G1514/$H$1964,B1514=2023,G1514/$H$1965)</f>
        <v>1.2053145079677601E-4</v>
      </c>
      <c r="J1514" s="10" cm="1">
        <f t="array" ref="J1514">_xlfn.IFS(B1514=2015,I1514*$G$2,B1514=2016,I1514*$G$3,B1514=2017,I1514*$G$4,B1514=2018,I1514*$G$5,B1514=2019,I1514*$G$6,B1514=2020,I1514*$G$7,B1514=2021,I1514*$G$8,B1514=2022,I1514*$G$9,B1514=2023,I1514*$G$10)</f>
        <v>17849.091174652989</v>
      </c>
      <c r="K1514" s="8">
        <f t="shared" si="23"/>
        <v>108188.09117465299</v>
      </c>
      <c r="L1514">
        <f>IFERROR(VLOOKUP(F1514,'LEAID Match'!$A$2:$B$240,2,FALSE),"")</f>
        <v>0</v>
      </c>
    </row>
    <row r="1515" spans="1:12" x14ac:dyDescent="0.2">
      <c r="A1515">
        <v>0</v>
      </c>
      <c r="B1515">
        <v>2018</v>
      </c>
      <c r="C1515" s="4" t="s">
        <v>316</v>
      </c>
      <c r="D1515" s="4" t="s">
        <v>576</v>
      </c>
      <c r="E1515" s="4" t="s">
        <v>578</v>
      </c>
      <c r="F1515" s="4" t="s">
        <v>275</v>
      </c>
      <c r="G1515" s="8">
        <v>90286</v>
      </c>
      <c r="I1515" s="16" cm="1">
        <f t="array" ref="I1515">_xlfn.IFS(B1515=2015,G1515/$H$1957,B1515=2016,G1515/$H$1958,B1515=2017,G1515/$H$1959,B1515=2018,G1515/$H$1960,B1515=2019,G1515/$H$1961,B1515=2020,G1515/$H$1962,B1515=2021,G1515/$H$1963,B1515=2022,G1515/$H$1964,B1515=2023,G1515/$H$1965)</f>
        <v>1.161719394525326E-4</v>
      </c>
      <c r="J1515" s="10" cm="1">
        <f t="array" ref="J1515">_xlfn.IFS(B1515=2015,I1515*$G$2,B1515=2016,I1515*$G$3,B1515=2017,I1515*$G$4,B1515=2018,I1515*$G$5,B1515=2019,I1515*$G$6,B1515=2020,I1515*$G$7,B1515=2021,I1515*$G$8,B1515=2022,I1515*$G$9,B1515=2023,I1515*$G$10)</f>
        <v>17486.65618508562</v>
      </c>
      <c r="K1515" s="8">
        <f t="shared" si="23"/>
        <v>107772.65618508562</v>
      </c>
      <c r="L1515">
        <f>IFERROR(VLOOKUP(F1515,'LEAID Match'!$A$2:$B$240,2,FALSE),"")</f>
        <v>0</v>
      </c>
    </row>
    <row r="1516" spans="1:12" x14ac:dyDescent="0.2">
      <c r="A1516">
        <v>0</v>
      </c>
      <c r="B1516">
        <v>2019</v>
      </c>
      <c r="C1516" s="4" t="s">
        <v>316</v>
      </c>
      <c r="D1516" s="4" t="s">
        <v>576</v>
      </c>
      <c r="E1516" s="4" t="s">
        <v>578</v>
      </c>
      <c r="F1516" s="4" t="s">
        <v>275</v>
      </c>
      <c r="G1516" s="8">
        <v>91180</v>
      </c>
      <c r="I1516" s="16" cm="1">
        <f t="array" ref="I1516">_xlfn.IFS(B1516=2015,G1516/$H$1957,B1516=2016,G1516/$H$1958,B1516=2017,G1516/$H$1959,B1516=2018,G1516/$H$1960,B1516=2019,G1516/$H$1961,B1516=2020,G1516/$H$1962,B1516=2021,G1516/$H$1963,B1516=2022,G1516/$H$1964,B1516=2023,G1516/$H$1965)</f>
        <v>1.1331819865513892E-4</v>
      </c>
      <c r="J1516" s="10" cm="1">
        <f t="array" ref="J1516">_xlfn.IFS(B1516=2015,I1516*$G$2,B1516=2016,I1516*$G$3,B1516=2017,I1516*$G$4,B1516=2018,I1516*$G$5,B1516=2019,I1516*$G$6,B1516=2020,I1516*$G$7,B1516=2021,I1516*$G$8,B1516=2022,I1516*$G$9,B1516=2023,I1516*$G$10)</f>
        <v>17907.462121894529</v>
      </c>
      <c r="K1516" s="8">
        <f t="shared" si="23"/>
        <v>109087.46212189452</v>
      </c>
      <c r="L1516">
        <f>IFERROR(VLOOKUP(F1516,'LEAID Match'!$A$2:$B$240,2,FALSE),"")</f>
        <v>0</v>
      </c>
    </row>
    <row r="1517" spans="1:12" x14ac:dyDescent="0.2">
      <c r="A1517">
        <v>0</v>
      </c>
      <c r="B1517">
        <v>2020</v>
      </c>
      <c r="C1517" s="4" t="s">
        <v>316</v>
      </c>
      <c r="D1517" s="4" t="s">
        <v>576</v>
      </c>
      <c r="E1517" s="4" t="s">
        <v>578</v>
      </c>
      <c r="F1517" s="4" t="s">
        <v>275</v>
      </c>
      <c r="G1517" s="8">
        <v>93726</v>
      </c>
      <c r="I1517" s="16" cm="1">
        <f t="array" ref="I1517">_xlfn.IFS(B1517=2015,G1517/$H$1957,B1517=2016,G1517/$H$1958,B1517=2017,G1517/$H$1959,B1517=2018,G1517/$H$1960,B1517=2019,G1517/$H$1961,B1517=2020,G1517/$H$1962,B1517=2021,G1517/$H$1963,B1517=2022,G1517/$H$1964,B1517=2023,G1517/$H$1965)</f>
        <v>1.0780021260516975E-4</v>
      </c>
      <c r="J1517" s="10" cm="1">
        <f t="array" ref="J1517">_xlfn.IFS(B1517=2015,I1517*$G$2,B1517=2016,I1517*$G$3,B1517=2017,I1517*$G$4,B1517=2018,I1517*$G$5,B1517=2019,I1517*$G$6,B1517=2020,I1517*$G$7,B1517=2021,I1517*$G$8,B1517=2022,I1517*$G$9,B1517=2023,I1517*$G$10)</f>
        <v>18615.360486688598</v>
      </c>
      <c r="K1517" s="8">
        <f t="shared" si="23"/>
        <v>112341.3604866886</v>
      </c>
      <c r="L1517">
        <f>IFERROR(VLOOKUP(F1517,'LEAID Match'!$A$2:$B$240,2,FALSE),"")</f>
        <v>0</v>
      </c>
    </row>
    <row r="1518" spans="1:12" x14ac:dyDescent="0.2">
      <c r="A1518">
        <v>0</v>
      </c>
      <c r="B1518">
        <v>2021</v>
      </c>
      <c r="C1518" s="4" t="s">
        <v>316</v>
      </c>
      <c r="D1518" s="4" t="s">
        <v>576</v>
      </c>
      <c r="E1518" s="4" t="s">
        <v>578</v>
      </c>
      <c r="F1518" s="4" t="s">
        <v>275</v>
      </c>
      <c r="G1518" s="8">
        <v>71417</v>
      </c>
      <c r="I1518" s="16" cm="1">
        <f t="array" ref="I1518">_xlfn.IFS(B1518=2015,G1518/$H$1957,B1518=2016,G1518/$H$1958,B1518=2017,G1518/$H$1959,B1518=2018,G1518/$H$1960,B1518=2019,G1518/$H$1961,B1518=2020,G1518/$H$1962,B1518=2021,G1518/$H$1963,B1518=2022,G1518/$H$1964,B1518=2023,G1518/$H$1965)</f>
        <v>8.1614982746814124E-5</v>
      </c>
      <c r="J1518" s="10" cm="1">
        <f t="array" ref="J1518">_xlfn.IFS(B1518=2015,I1518*$G$2,B1518=2016,I1518*$G$3,B1518=2017,I1518*$G$4,B1518=2018,I1518*$G$5,B1518=2019,I1518*$G$6,B1518=2020,I1518*$G$7,B1518=2021,I1518*$G$8,B1518=2022,I1518*$G$9,B1518=2023,I1518*$G$10)</f>
        <v>14006.50510920283</v>
      </c>
      <c r="K1518" s="8">
        <f t="shared" si="23"/>
        <v>85423.50510920283</v>
      </c>
      <c r="L1518">
        <f>IFERROR(VLOOKUP(F1518,'LEAID Match'!$A$2:$B$240,2,FALSE),"")</f>
        <v>0</v>
      </c>
    </row>
    <row r="1519" spans="1:12" x14ac:dyDescent="0.2">
      <c r="A1519">
        <v>0</v>
      </c>
      <c r="B1519">
        <v>2022</v>
      </c>
      <c r="C1519" s="4" t="s">
        <v>316</v>
      </c>
      <c r="D1519" s="4" t="s">
        <v>576</v>
      </c>
      <c r="E1519" s="4" t="s">
        <v>578</v>
      </c>
      <c r="F1519" s="4" t="s">
        <v>275</v>
      </c>
      <c r="G1519" s="8">
        <v>79965</v>
      </c>
      <c r="I1519" s="16" cm="1">
        <f t="array" ref="I1519">_xlfn.IFS(B1519=2015,G1519/$H$1957,B1519=2016,G1519/$H$1958,B1519=2017,G1519/$H$1959,B1519=2018,G1519/$H$1960,B1519=2019,G1519/$H$1961,B1519=2020,G1519/$H$1962,B1519=2021,G1519/$H$1963,B1519=2022,G1519/$H$1964,B1519=2023,G1519/$H$1965)</f>
        <v>8.5946566553646791E-5</v>
      </c>
      <c r="J1519" s="10" cm="1">
        <f t="array" ref="J1519">_xlfn.IFS(B1519=2015,I1519*$G$2,B1519=2016,I1519*$G$3,B1519=2017,I1519*$G$4,B1519=2018,I1519*$G$5,B1519=2019,I1519*$G$6,B1519=2020,I1519*$G$7,B1519=2021,I1519*$G$8,B1519=2022,I1519*$G$9,B1519=2023,I1519*$G$10)</f>
        <v>14575.304268321885</v>
      </c>
      <c r="K1519" s="8">
        <f t="shared" si="23"/>
        <v>94540.304268321881</v>
      </c>
      <c r="L1519">
        <f>IFERROR(VLOOKUP(F1519,'LEAID Match'!$A$2:$B$240,2,FALSE),"")</f>
        <v>0</v>
      </c>
    </row>
    <row r="1520" spans="1:12" x14ac:dyDescent="0.2">
      <c r="A1520">
        <v>0</v>
      </c>
      <c r="B1520">
        <v>2023</v>
      </c>
      <c r="C1520" s="4" t="s">
        <v>316</v>
      </c>
      <c r="D1520" s="4" t="s">
        <v>576</v>
      </c>
      <c r="E1520" s="4" t="s">
        <v>578</v>
      </c>
      <c r="F1520" s="4" t="s">
        <v>275</v>
      </c>
      <c r="G1520" s="8">
        <v>87376</v>
      </c>
      <c r="I1520" s="16" cm="1">
        <f t="array" ref="I1520">_xlfn.IFS(B1520=2015,G1520/$H$1957,B1520=2016,G1520/$H$1958,B1520=2017,G1520/$H$1959,B1520=2018,G1520/$H$1960,B1520=2019,G1520/$H$1961,B1520=2020,G1520/$H$1962,B1520=2021,G1520/$H$1963,B1520=2022,G1520/$H$1964,B1520=2023,G1520/$H$1965)</f>
        <v>8.8467290473315843E-5</v>
      </c>
      <c r="J1520" s="10" cm="1">
        <f t="array" ref="J1520">_xlfn.IFS(B1520=2015,I1520*$G$2,B1520=2016,I1520*$G$3,B1520=2017,I1520*$G$4,B1520=2018,I1520*$G$5,B1520=2019,I1520*$G$6,B1520=2020,I1520*$G$7,B1520=2021,I1520*$G$8,B1520=2022,I1520*$G$9,B1520=2023,I1520*$G$10)</f>
        <v>15038.140592172254</v>
      </c>
      <c r="K1520" s="8">
        <f t="shared" si="23"/>
        <v>102414.14059217225</v>
      </c>
      <c r="L1520">
        <f>IFERROR(VLOOKUP(F1520,'LEAID Match'!$A$2:$B$240,2,FALSE),"")</f>
        <v>0</v>
      </c>
    </row>
    <row r="1521" spans="1:12" x14ac:dyDescent="0.2">
      <c r="A1521">
        <v>0</v>
      </c>
      <c r="B1521">
        <v>2015</v>
      </c>
      <c r="C1521" s="4" t="s">
        <v>317</v>
      </c>
      <c r="D1521" s="4" t="s">
        <v>576</v>
      </c>
      <c r="E1521" s="4" t="s">
        <v>578</v>
      </c>
      <c r="F1521" s="4" t="s">
        <v>276</v>
      </c>
      <c r="G1521" s="8">
        <v>159180</v>
      </c>
      <c r="I1521" s="16" cm="1">
        <f t="array" ref="I1521">_xlfn.IFS(B1521=2015,G1521/$H$1957,B1521=2016,G1521/$H$1958,B1521=2017,G1521/$H$1959,B1521=2018,G1521/$H$1960,B1521=2019,G1521/$H$1961,B1521=2020,G1521/$H$1962,B1521=2021,G1521/$H$1963,B1521=2022,G1521/$H$1964,B1521=2023,G1521/$H$1965)</f>
        <v>1.2292810644219169E-4</v>
      </c>
      <c r="J1521" s="10" cm="1">
        <f t="array" ref="J1521">_xlfn.IFS(B1521=2015,I1521*$G$2,B1521=2016,I1521*$G$3,B1521=2017,I1521*$G$4,B1521=2018,I1521*$G$5,B1521=2019,I1521*$G$6,B1521=2020,I1521*$G$7,B1521=2021,I1521*$G$8,B1521=2022,I1521*$G$9,B1521=2023,I1521*$G$10)</f>
        <v>30565.160925660632</v>
      </c>
      <c r="K1521" s="8">
        <f t="shared" si="23"/>
        <v>189745.16092566063</v>
      </c>
      <c r="L1521">
        <f>IFERROR(VLOOKUP(F1521,'LEAID Match'!$A$2:$B$240,2,FALSE),"")</f>
        <v>0</v>
      </c>
    </row>
    <row r="1522" spans="1:12" x14ac:dyDescent="0.2">
      <c r="A1522">
        <v>0</v>
      </c>
      <c r="B1522">
        <v>2016</v>
      </c>
      <c r="C1522" s="4" t="s">
        <v>317</v>
      </c>
      <c r="D1522" s="4" t="s">
        <v>576</v>
      </c>
      <c r="E1522" s="4" t="s">
        <v>578</v>
      </c>
      <c r="F1522" s="4" t="s">
        <v>276</v>
      </c>
      <c r="G1522" s="8">
        <v>173280</v>
      </c>
      <c r="I1522" s="16" cm="1">
        <f t="array" ref="I1522">_xlfn.IFS(B1522=2015,G1522/$H$1957,B1522=2016,G1522/$H$1958,B1522=2017,G1522/$H$1959,B1522=2018,G1522/$H$1960,B1522=2019,G1522/$H$1961,B1522=2020,G1522/$H$1962,B1522=2021,G1522/$H$1963,B1522=2022,G1522/$H$1964,B1522=2023,G1522/$H$1965)</f>
        <v>1.2164248592167235E-4</v>
      </c>
      <c r="J1522" s="10" cm="1">
        <f t="array" ref="J1522">_xlfn.IFS(B1522=2015,I1522*$G$2,B1522=2016,I1522*$G$3,B1522=2017,I1522*$G$4,B1522=2018,I1522*$G$5,B1522=2019,I1522*$G$6,B1522=2020,I1522*$G$7,B1522=2021,I1522*$G$8,B1522=2022,I1522*$G$9,B1522=2023,I1522*$G$10)</f>
        <v>32989.816840814179</v>
      </c>
      <c r="K1522" s="8">
        <f t="shared" si="23"/>
        <v>206269.81684081419</v>
      </c>
      <c r="L1522">
        <f>IFERROR(VLOOKUP(F1522,'LEAID Match'!$A$2:$B$240,2,FALSE),"")</f>
        <v>0</v>
      </c>
    </row>
    <row r="1523" spans="1:12" x14ac:dyDescent="0.2">
      <c r="A1523">
        <v>0</v>
      </c>
      <c r="B1523">
        <v>2017</v>
      </c>
      <c r="C1523" s="4" t="s">
        <v>317</v>
      </c>
      <c r="D1523" s="4" t="s">
        <v>576</v>
      </c>
      <c r="E1523" s="4" t="s">
        <v>578</v>
      </c>
      <c r="F1523" s="4" t="s">
        <v>276</v>
      </c>
      <c r="G1523" s="8">
        <v>82940</v>
      </c>
      <c r="I1523" s="16" cm="1">
        <f t="array" ref="I1523">_xlfn.IFS(B1523=2015,G1523/$H$1957,B1523=2016,G1523/$H$1958,B1523=2017,G1523/$H$1959,B1523=2018,G1523/$H$1960,B1523=2019,G1523/$H$1961,B1523=2020,G1523/$H$1962,B1523=2021,G1523/$H$1963,B1523=2022,G1523/$H$1964,B1523=2023,G1523/$H$1965)</f>
        <v>1.1065961023571882E-4</v>
      </c>
      <c r="J1523" s="10" cm="1">
        <f t="array" ref="J1523">_xlfn.IFS(B1523=2015,I1523*$G$2,B1523=2016,I1523*$G$3,B1523=2017,I1523*$G$4,B1523=2018,I1523*$G$5,B1523=2019,I1523*$G$6,B1523=2020,I1523*$G$7,B1523=2021,I1523*$G$8,B1523=2022,I1523*$G$9,B1523=2023,I1523*$G$10)</f>
        <v>16387.203998557867</v>
      </c>
      <c r="K1523" s="8">
        <f t="shared" si="23"/>
        <v>99327.203998557874</v>
      </c>
      <c r="L1523">
        <f>IFERROR(VLOOKUP(F1523,'LEAID Match'!$A$2:$B$240,2,FALSE),"")</f>
        <v>0</v>
      </c>
    </row>
    <row r="1524" spans="1:12" x14ac:dyDescent="0.2">
      <c r="A1524">
        <v>0</v>
      </c>
      <c r="B1524">
        <v>2018</v>
      </c>
      <c r="C1524" s="4" t="s">
        <v>317</v>
      </c>
      <c r="D1524" s="4" t="s">
        <v>576</v>
      </c>
      <c r="E1524" s="4" t="s">
        <v>578</v>
      </c>
      <c r="F1524" s="4" t="s">
        <v>276</v>
      </c>
      <c r="G1524" s="8">
        <v>90480</v>
      </c>
      <c r="I1524" s="16" cm="1">
        <f t="array" ref="I1524">_xlfn.IFS(B1524=2015,G1524/$H$1957,B1524=2016,G1524/$H$1958,B1524=2017,G1524/$H$1959,B1524=2018,G1524/$H$1960,B1524=2019,G1524/$H$1961,B1524=2020,G1524/$H$1962,B1524=2021,G1524/$H$1963,B1524=2022,G1524/$H$1964,B1524=2023,G1524/$H$1965)</f>
        <v>1.1642156127932514E-4</v>
      </c>
      <c r="J1524" s="10" cm="1">
        <f t="array" ref="J1524">_xlfn.IFS(B1524=2015,I1524*$G$2,B1524=2016,I1524*$G$3,B1524=2017,I1524*$G$4,B1524=2018,I1524*$G$5,B1524=2019,I1524*$G$6,B1524=2020,I1524*$G$7,B1524=2021,I1524*$G$8,B1524=2022,I1524*$G$9,B1524=2023,I1524*$G$10)</f>
        <v>17524.230241970479</v>
      </c>
      <c r="K1524" s="8">
        <f t="shared" si="23"/>
        <v>108004.23024197048</v>
      </c>
      <c r="L1524">
        <f>IFERROR(VLOOKUP(F1524,'LEAID Match'!$A$2:$B$240,2,FALSE),"")</f>
        <v>0</v>
      </c>
    </row>
    <row r="1525" spans="1:12" x14ac:dyDescent="0.2">
      <c r="A1525">
        <v>0</v>
      </c>
      <c r="B1525">
        <v>2019</v>
      </c>
      <c r="C1525" s="4" t="s">
        <v>317</v>
      </c>
      <c r="D1525" s="4" t="s">
        <v>576</v>
      </c>
      <c r="E1525" s="4" t="s">
        <v>578</v>
      </c>
      <c r="F1525" s="4" t="s">
        <v>276</v>
      </c>
      <c r="G1525" s="8">
        <v>90480</v>
      </c>
      <c r="I1525" s="16" cm="1">
        <f t="array" ref="I1525">_xlfn.IFS(B1525=2015,G1525/$H$1957,B1525=2016,G1525/$H$1958,B1525=2017,G1525/$H$1959,B1525=2018,G1525/$H$1960,B1525=2019,G1525/$H$1961,B1525=2020,G1525/$H$1962,B1525=2021,G1525/$H$1963,B1525=2022,G1525/$H$1964,B1525=2023,G1525/$H$1965)</f>
        <v>1.1244824099930873E-4</v>
      </c>
      <c r="J1525" s="10" cm="1">
        <f t="array" ref="J1525">_xlfn.IFS(B1525=2015,I1525*$G$2,B1525=2016,I1525*$G$3,B1525=2017,I1525*$G$4,B1525=2018,I1525*$G$5,B1525=2019,I1525*$G$6,B1525=2020,I1525*$G$7,B1525=2021,I1525*$G$8,B1525=2022,I1525*$G$9,B1525=2023,I1525*$G$10)</f>
        <v>17769.984347324164</v>
      </c>
      <c r="K1525" s="8">
        <f t="shared" si="23"/>
        <v>108249.98434732416</v>
      </c>
      <c r="L1525">
        <f>IFERROR(VLOOKUP(F1525,'LEAID Match'!$A$2:$B$240,2,FALSE),"")</f>
        <v>0</v>
      </c>
    </row>
    <row r="1526" spans="1:12" x14ac:dyDescent="0.2">
      <c r="A1526">
        <v>0</v>
      </c>
      <c r="B1526">
        <v>2020</v>
      </c>
      <c r="C1526" s="4" t="s">
        <v>317</v>
      </c>
      <c r="D1526" s="4" t="s">
        <v>576</v>
      </c>
      <c r="E1526" s="4" t="s">
        <v>578</v>
      </c>
      <c r="F1526" s="4" t="s">
        <v>276</v>
      </c>
      <c r="G1526" s="8">
        <v>93330</v>
      </c>
      <c r="I1526" s="16" cm="1">
        <f t="array" ref="I1526">_xlfn.IFS(B1526=2015,G1526/$H$1957,B1526=2016,G1526/$H$1958,B1526=2017,G1526/$H$1959,B1526=2018,G1526/$H$1960,B1526=2019,G1526/$H$1961,B1526=2020,G1526/$H$1962,B1526=2021,G1526/$H$1963,B1526=2022,G1526/$H$1964,B1526=2023,G1526/$H$1965)</f>
        <v>1.0734474790816308E-4</v>
      </c>
      <c r="J1526" s="10" cm="1">
        <f t="array" ref="J1526">_xlfn.IFS(B1526=2015,I1526*$G$2,B1526=2016,I1526*$G$3,B1526=2017,I1526*$G$4,B1526=2018,I1526*$G$5,B1526=2019,I1526*$G$6,B1526=2020,I1526*$G$7,B1526=2021,I1526*$G$8,B1526=2022,I1526*$G$9,B1526=2023,I1526*$G$10)</f>
        <v>18536.709069229953</v>
      </c>
      <c r="K1526" s="8">
        <f t="shared" si="23"/>
        <v>111866.70906922995</v>
      </c>
      <c r="L1526">
        <f>IFERROR(VLOOKUP(F1526,'LEAID Match'!$A$2:$B$240,2,FALSE),"")</f>
        <v>0</v>
      </c>
    </row>
    <row r="1527" spans="1:12" x14ac:dyDescent="0.2">
      <c r="A1527">
        <v>0</v>
      </c>
      <c r="B1527">
        <v>2021</v>
      </c>
      <c r="C1527" s="4" t="s">
        <v>317</v>
      </c>
      <c r="D1527" s="4" t="s">
        <v>576</v>
      </c>
      <c r="E1527" s="4" t="s">
        <v>578</v>
      </c>
      <c r="F1527" s="4" t="s">
        <v>276</v>
      </c>
      <c r="G1527" s="8">
        <v>84485</v>
      </c>
      <c r="I1527" s="16" cm="1">
        <f t="array" ref="I1527">_xlfn.IFS(B1527=2015,G1527/$H$1957,B1527=2016,G1527/$H$1958,B1527=2017,G1527/$H$1959,B1527=2018,G1527/$H$1960,B1527=2019,G1527/$H$1961,B1527=2020,G1527/$H$1962,B1527=2021,G1527/$H$1963,B1527=2022,G1527/$H$1964,B1527=2023,G1527/$H$1965)</f>
        <v>9.6549026385378705E-5</v>
      </c>
      <c r="J1527" s="10" cm="1">
        <f t="array" ref="J1527">_xlfn.IFS(B1527=2015,I1527*$G$2,B1527=2016,I1527*$G$3,B1527=2017,I1527*$G$4,B1527=2018,I1527*$G$5,B1527=2019,I1527*$G$6,B1527=2020,I1527*$G$7,B1527=2021,I1527*$G$8,B1527=2022,I1527*$G$9,B1527=2023,I1527*$G$10)</f>
        <v>16569.438427139208</v>
      </c>
      <c r="K1527" s="8">
        <f t="shared" si="23"/>
        <v>101054.4384271392</v>
      </c>
      <c r="L1527">
        <f>IFERROR(VLOOKUP(F1527,'LEAID Match'!$A$2:$B$240,2,FALSE),"")</f>
        <v>0</v>
      </c>
    </row>
    <row r="1528" spans="1:12" x14ac:dyDescent="0.2">
      <c r="A1528">
        <v>0</v>
      </c>
      <c r="B1528">
        <v>2022</v>
      </c>
      <c r="C1528" s="4" t="s">
        <v>317</v>
      </c>
      <c r="D1528" s="4" t="s">
        <v>576</v>
      </c>
      <c r="E1528" s="4" t="s">
        <v>578</v>
      </c>
      <c r="F1528" s="4" t="s">
        <v>276</v>
      </c>
      <c r="G1528" s="8">
        <v>91760</v>
      </c>
      <c r="I1528" s="16" cm="1">
        <f t="array" ref="I1528">_xlfn.IFS(B1528=2015,G1528/$H$1957,B1528=2016,G1528/$H$1958,B1528=2017,G1528/$H$1959,B1528=2018,G1528/$H$1960,B1528=2019,G1528/$H$1961,B1528=2020,G1528/$H$1962,B1528=2021,G1528/$H$1963,B1528=2022,G1528/$H$1964,B1528=2023,G1528/$H$1965)</f>
        <v>9.8623859775684737E-5</v>
      </c>
      <c r="J1528" s="10" cm="1">
        <f t="array" ref="J1528">_xlfn.IFS(B1528=2015,I1528*$G$2,B1528=2016,I1528*$G$3,B1528=2017,I1528*$G$4,B1528=2018,I1528*$G$5,B1528=2019,I1528*$G$6,B1528=2020,I1528*$G$7,B1528=2021,I1528*$G$8,B1528=2022,I1528*$G$9,B1528=2023,I1528*$G$10)</f>
        <v>16725.19126694449</v>
      </c>
      <c r="K1528" s="8">
        <f t="shared" si="23"/>
        <v>108485.19126694449</v>
      </c>
      <c r="L1528">
        <f>IFERROR(VLOOKUP(F1528,'LEAID Match'!$A$2:$B$240,2,FALSE),"")</f>
        <v>0</v>
      </c>
    </row>
    <row r="1529" spans="1:12" x14ac:dyDescent="0.2">
      <c r="A1529">
        <v>0</v>
      </c>
      <c r="B1529">
        <v>2023</v>
      </c>
      <c r="C1529" s="4" t="s">
        <v>317</v>
      </c>
      <c r="D1529" s="4" t="s">
        <v>576</v>
      </c>
      <c r="E1529" s="4" t="s">
        <v>578</v>
      </c>
      <c r="F1529" s="4" t="s">
        <v>276</v>
      </c>
      <c r="G1529" s="8">
        <v>99820</v>
      </c>
      <c r="I1529" s="16" cm="1">
        <f t="array" ref="I1529">_xlfn.IFS(B1529=2015,G1529/$H$1957,B1529=2016,G1529/$H$1958,B1529=2017,G1529/$H$1959,B1529=2018,G1529/$H$1960,B1529=2019,G1529/$H$1961,B1529=2020,G1529/$H$1962,B1529=2021,G1529/$H$1963,B1529=2022,G1529/$H$1964,B1529=2023,G1529/$H$1965)</f>
        <v>1.010667109394615E-4</v>
      </c>
      <c r="J1529" s="10" cm="1">
        <f t="array" ref="J1529">_xlfn.IFS(B1529=2015,I1529*$G$2,B1529=2016,I1529*$G$3,B1529=2017,I1529*$G$4,B1529=2018,I1529*$G$5,B1529=2019,I1529*$G$6,B1529=2020,I1529*$G$7,B1529=2021,I1529*$G$8,B1529=2022,I1529*$G$9,B1529=2023,I1529*$G$10)</f>
        <v>17179.857099325152</v>
      </c>
      <c r="K1529" s="8">
        <f t="shared" si="23"/>
        <v>116999.85709932515</v>
      </c>
      <c r="L1529">
        <f>IFERROR(VLOOKUP(F1529,'LEAID Match'!$A$2:$B$240,2,FALSE),"")</f>
        <v>0</v>
      </c>
    </row>
    <row r="1530" spans="1:12" x14ac:dyDescent="0.2">
      <c r="A1530">
        <v>0</v>
      </c>
      <c r="B1530">
        <v>2015</v>
      </c>
      <c r="C1530" s="4" t="s">
        <v>318</v>
      </c>
      <c r="D1530" s="4" t="s">
        <v>576</v>
      </c>
      <c r="E1530" s="4" t="s">
        <v>578</v>
      </c>
      <c r="F1530" s="4" t="s">
        <v>277</v>
      </c>
      <c r="G1530" s="8">
        <v>88192</v>
      </c>
      <c r="I1530" s="16" cm="1">
        <f t="array" ref="I1530">_xlfn.IFS(B1530=2015,G1530/$H$1957,B1530=2016,G1530/$H$1958,B1530=2017,G1530/$H$1959,B1530=2018,G1530/$H$1960,B1530=2019,G1530/$H$1961,B1530=2020,G1530/$H$1962,B1530=2021,G1530/$H$1963,B1530=2022,G1530/$H$1964,B1530=2023,G1530/$H$1965)</f>
        <v>6.8107020752291545E-5</v>
      </c>
      <c r="J1530" s="10" cm="1">
        <f t="array" ref="J1530">_xlfn.IFS(B1530=2015,I1530*$G$2,B1530=2016,I1530*$G$3,B1530=2017,I1530*$G$4,B1530=2018,I1530*$G$5,B1530=2019,I1530*$G$6,B1530=2020,I1530*$G$7,B1530=2021,I1530*$G$8,B1530=2022,I1530*$G$9,B1530=2023,I1530*$G$10)</f>
        <v>16934.305015428206</v>
      </c>
      <c r="K1530" s="8">
        <f t="shared" si="23"/>
        <v>105126.30501542821</v>
      </c>
      <c r="L1530">
        <f>IFERROR(VLOOKUP(F1530,'LEAID Match'!$A$2:$B$240,2,FALSE),"")</f>
        <v>0</v>
      </c>
    </row>
    <row r="1531" spans="1:12" x14ac:dyDescent="0.2">
      <c r="A1531">
        <v>0</v>
      </c>
      <c r="B1531">
        <v>2016</v>
      </c>
      <c r="C1531" s="4" t="s">
        <v>318</v>
      </c>
      <c r="D1531" s="4" t="s">
        <v>576</v>
      </c>
      <c r="E1531" s="4" t="s">
        <v>578</v>
      </c>
      <c r="F1531" s="4" t="s">
        <v>277</v>
      </c>
      <c r="G1531" s="8">
        <v>91563</v>
      </c>
      <c r="I1531" s="16" cm="1">
        <f t="array" ref="I1531">_xlfn.IFS(B1531=2015,G1531/$H$1957,B1531=2016,G1531/$H$1958,B1531=2017,G1531/$H$1959,B1531=2018,G1531/$H$1960,B1531=2019,G1531/$H$1961,B1531=2020,G1531/$H$1962,B1531=2021,G1531/$H$1963,B1531=2022,G1531/$H$1964,B1531=2023,G1531/$H$1965)</f>
        <v>6.4277186856221639E-5</v>
      </c>
      <c r="J1531" s="10" cm="1">
        <f t="array" ref="J1531">_xlfn.IFS(B1531=2015,I1531*$G$2,B1531=2016,I1531*$G$3,B1531=2017,I1531*$G$4,B1531=2018,I1531*$G$5,B1531=2019,I1531*$G$6,B1531=2020,I1531*$G$7,B1531=2021,I1531*$G$8,B1531=2022,I1531*$G$9,B1531=2023,I1531*$G$10)</f>
        <v>17432.171049142824</v>
      </c>
      <c r="K1531" s="8">
        <f t="shared" si="23"/>
        <v>108995.17104914282</v>
      </c>
      <c r="L1531">
        <f>IFERROR(VLOOKUP(F1531,'LEAID Match'!$A$2:$B$240,2,FALSE),"")</f>
        <v>0</v>
      </c>
    </row>
    <row r="1532" spans="1:12" x14ac:dyDescent="0.2">
      <c r="A1532">
        <v>0</v>
      </c>
      <c r="B1532">
        <v>2017</v>
      </c>
      <c r="C1532" s="4" t="s">
        <v>318</v>
      </c>
      <c r="D1532" s="4" t="s">
        <v>576</v>
      </c>
      <c r="E1532" s="4" t="s">
        <v>578</v>
      </c>
      <c r="F1532" s="4" t="s">
        <v>277</v>
      </c>
      <c r="G1532" s="8">
        <v>52465</v>
      </c>
      <c r="I1532" s="16" cm="1">
        <f t="array" ref="I1532">_xlfn.IFS(B1532=2015,G1532/$H$1957,B1532=2016,G1532/$H$1958,B1532=2017,G1532/$H$1959,B1532=2018,G1532/$H$1960,B1532=2019,G1532/$H$1961,B1532=2020,G1532/$H$1962,B1532=2021,G1532/$H$1963,B1532=2022,G1532/$H$1964,B1532=2023,G1532/$H$1965)</f>
        <v>6.9999474933891821E-5</v>
      </c>
      <c r="J1532" s="10" cm="1">
        <f t="array" ref="J1532">_xlfn.IFS(B1532=2015,I1532*$G$2,B1532=2016,I1532*$G$3,B1532=2017,I1532*$G$4,B1532=2018,I1532*$G$5,B1532=2019,I1532*$G$6,B1532=2020,I1532*$G$7,B1532=2021,I1532*$G$8,B1532=2022,I1532*$G$9,B1532=2023,I1532*$G$10)</f>
        <v>10365.983334752091</v>
      </c>
      <c r="K1532" s="8">
        <f t="shared" si="23"/>
        <v>62830.983334752091</v>
      </c>
      <c r="L1532">
        <f>IFERROR(VLOOKUP(F1532,'LEAID Match'!$A$2:$B$240,2,FALSE),"")</f>
        <v>0</v>
      </c>
    </row>
    <row r="1533" spans="1:12" x14ac:dyDescent="0.2">
      <c r="A1533">
        <v>0</v>
      </c>
      <c r="B1533">
        <v>2018</v>
      </c>
      <c r="C1533" s="4" t="s">
        <v>318</v>
      </c>
      <c r="D1533" s="4" t="s">
        <v>576</v>
      </c>
      <c r="E1533" s="4" t="s">
        <v>578</v>
      </c>
      <c r="F1533" s="4" t="s">
        <v>277</v>
      </c>
      <c r="G1533" s="8">
        <v>41819</v>
      </c>
      <c r="I1533" s="16" cm="1">
        <f t="array" ref="I1533">_xlfn.IFS(B1533=2015,G1533/$H$1957,B1533=2016,G1533/$H$1958,B1533=2017,G1533/$H$1959,B1533=2018,G1533/$H$1960,B1533=2019,G1533/$H$1961,B1533=2020,G1533/$H$1962,B1533=2021,G1533/$H$1963,B1533=2022,G1533/$H$1964,B1533=2023,G1533/$H$1965)</f>
        <v>5.3808944199161122E-5</v>
      </c>
      <c r="J1533" s="10" cm="1">
        <f t="array" ref="J1533">_xlfn.IFS(B1533=2015,I1533*$G$2,B1533=2016,I1533*$G$3,B1533=2017,I1533*$G$4,B1533=2018,I1533*$G$5,B1533=2019,I1533*$G$6,B1533=2020,I1533*$G$7,B1533=2021,I1533*$G$8,B1533=2022,I1533*$G$9,B1533=2023,I1533*$G$10)</f>
        <v>8099.5334271547699</v>
      </c>
      <c r="K1533" s="8">
        <f t="shared" si="23"/>
        <v>49918.533427154769</v>
      </c>
      <c r="L1533">
        <f>IFERROR(VLOOKUP(F1533,'LEAID Match'!$A$2:$B$240,2,FALSE),"")</f>
        <v>0</v>
      </c>
    </row>
    <row r="1534" spans="1:12" x14ac:dyDescent="0.2">
      <c r="A1534">
        <v>0</v>
      </c>
      <c r="B1534">
        <v>2019</v>
      </c>
      <c r="C1534" s="4" t="s">
        <v>318</v>
      </c>
      <c r="D1534" s="4" t="s">
        <v>576</v>
      </c>
      <c r="E1534" s="4" t="s">
        <v>578</v>
      </c>
      <c r="F1534" s="4" t="s">
        <v>277</v>
      </c>
      <c r="G1534" s="8">
        <v>45050</v>
      </c>
      <c r="I1534" s="16" cm="1">
        <f t="array" ref="I1534">_xlfn.IFS(B1534=2015,G1534/$H$1957,B1534=2016,G1534/$H$1958,B1534=2017,G1534/$H$1959,B1534=2018,G1534/$H$1960,B1534=2019,G1534/$H$1961,B1534=2020,G1534/$H$1962,B1534=2021,G1534/$H$1963,B1534=2022,G1534/$H$1964,B1534=2023,G1534/$H$1965)</f>
        <v>5.5987989135929025E-5</v>
      </c>
      <c r="J1534" s="10" cm="1">
        <f t="array" ref="J1534">_xlfn.IFS(B1534=2015,I1534*$G$2,B1534=2016,I1534*$G$3,B1534=2017,I1534*$G$4,B1534=2018,I1534*$G$5,B1534=2019,I1534*$G$6,B1534=2020,I1534*$G$7,B1534=2021,I1534*$G$8,B1534=2022,I1534*$G$9,B1534=2023,I1534*$G$10)</f>
        <v>8847.6767777072673</v>
      </c>
      <c r="K1534" s="8">
        <f t="shared" si="23"/>
        <v>53897.676777707267</v>
      </c>
      <c r="L1534">
        <f>IFERROR(VLOOKUP(F1534,'LEAID Match'!$A$2:$B$240,2,FALSE),"")</f>
        <v>0</v>
      </c>
    </row>
    <row r="1535" spans="1:12" x14ac:dyDescent="0.2">
      <c r="A1535">
        <v>0</v>
      </c>
      <c r="B1535">
        <v>2020</v>
      </c>
      <c r="C1535" s="4" t="s">
        <v>318</v>
      </c>
      <c r="D1535" s="4" t="s">
        <v>576</v>
      </c>
      <c r="E1535" s="4" t="s">
        <v>578</v>
      </c>
      <c r="F1535" s="4" t="s">
        <v>277</v>
      </c>
      <c r="G1535" s="8">
        <v>54339</v>
      </c>
      <c r="I1535" s="16" cm="1">
        <f t="array" ref="I1535">_xlfn.IFS(B1535=2015,G1535/$H$1957,B1535=2016,G1535/$H$1958,B1535=2017,G1535/$H$1959,B1535=2018,G1535/$H$1960,B1535=2019,G1535/$H$1961,B1535=2020,G1535/$H$1962,B1535=2021,G1535/$H$1963,B1535=2022,G1535/$H$1964,B1535=2023,G1535/$H$1965)</f>
        <v>6.2498727703650197E-5</v>
      </c>
      <c r="J1535" s="10" cm="1">
        <f t="array" ref="J1535">_xlfn.IFS(B1535=2015,I1535*$G$2,B1535=2016,I1535*$G$3,B1535=2017,I1535*$G$4,B1535=2018,I1535*$G$5,B1535=2019,I1535*$G$6,B1535=2020,I1535*$G$7,B1535=2021,I1535*$G$8,B1535=2022,I1535*$G$9,B1535=2023,I1535*$G$10)</f>
        <v>10792.523669911994</v>
      </c>
      <c r="K1535" s="8">
        <f t="shared" si="23"/>
        <v>65131.523669911992</v>
      </c>
      <c r="L1535">
        <f>IFERROR(VLOOKUP(F1535,'LEAID Match'!$A$2:$B$240,2,FALSE),"")</f>
        <v>0</v>
      </c>
    </row>
    <row r="1536" spans="1:12" x14ac:dyDescent="0.2">
      <c r="A1536">
        <v>0</v>
      </c>
      <c r="B1536">
        <v>2021</v>
      </c>
      <c r="C1536" s="4" t="s">
        <v>318</v>
      </c>
      <c r="D1536" s="4" t="s">
        <v>576</v>
      </c>
      <c r="E1536" s="4" t="s">
        <v>578</v>
      </c>
      <c r="F1536" s="4" t="s">
        <v>277</v>
      </c>
      <c r="G1536" s="8">
        <v>56288</v>
      </c>
      <c r="I1536" s="16" cm="1">
        <f t="array" ref="I1536">_xlfn.IFS(B1536=2015,G1536/$H$1957,B1536=2016,G1536/$H$1958,B1536=2017,G1536/$H$1959,B1536=2018,G1536/$H$1960,B1536=2019,G1536/$H$1961,B1536=2020,G1536/$H$1962,B1536=2021,G1536/$H$1963,B1536=2022,G1536/$H$1964,B1536=2023,G1536/$H$1965)</f>
        <v>6.4325638837429088E-5</v>
      </c>
      <c r="J1536" s="10" cm="1">
        <f t="array" ref="J1536">_xlfn.IFS(B1536=2015,I1536*$G$2,B1536=2016,I1536*$G$3,B1536=2017,I1536*$G$4,B1536=2018,I1536*$G$5,B1536=2019,I1536*$G$6,B1536=2020,I1536*$G$7,B1536=2021,I1536*$G$8,B1536=2022,I1536*$G$9,B1536=2023,I1536*$G$10)</f>
        <v>11039.362610958298</v>
      </c>
      <c r="K1536" s="8">
        <f t="shared" si="23"/>
        <v>67327.362610958298</v>
      </c>
      <c r="L1536">
        <f>IFERROR(VLOOKUP(F1536,'LEAID Match'!$A$2:$B$240,2,FALSE),"")</f>
        <v>0</v>
      </c>
    </row>
    <row r="1537" spans="1:12" x14ac:dyDescent="0.2">
      <c r="A1537">
        <v>0</v>
      </c>
      <c r="B1537">
        <v>2022</v>
      </c>
      <c r="C1537" s="4" t="s">
        <v>318</v>
      </c>
      <c r="D1537" s="4" t="s">
        <v>576</v>
      </c>
      <c r="E1537" s="4" t="s">
        <v>578</v>
      </c>
      <c r="F1537" s="4" t="s">
        <v>277</v>
      </c>
      <c r="G1537" s="8">
        <v>59756</v>
      </c>
      <c r="I1537" s="16" cm="1">
        <f t="array" ref="I1537">_xlfn.IFS(B1537=2015,G1537/$H$1957,B1537=2016,G1537/$H$1958,B1537=2017,G1537/$H$1959,B1537=2018,G1537/$H$1960,B1537=2019,G1537/$H$1961,B1537=2020,G1537/$H$1962,B1537=2021,G1537/$H$1963,B1537=2022,G1537/$H$1964,B1537=2023,G1537/$H$1965)</f>
        <v>6.4225886712683276E-5</v>
      </c>
      <c r="J1537" s="10" cm="1">
        <f t="array" ref="J1537">_xlfn.IFS(B1537=2015,I1537*$G$2,B1537=2016,I1537*$G$3,B1537=2017,I1537*$G$4,B1537=2018,I1537*$G$5,B1537=2019,I1537*$G$6,B1537=2020,I1537*$G$7,B1537=2021,I1537*$G$8,B1537=2022,I1537*$G$9,B1537=2023,I1537*$G$10)</f>
        <v>10891.788680770869</v>
      </c>
      <c r="K1537" s="8">
        <f t="shared" si="23"/>
        <v>70647.788680770871</v>
      </c>
      <c r="L1537">
        <f>IFERROR(VLOOKUP(F1537,'LEAID Match'!$A$2:$B$240,2,FALSE),"")</f>
        <v>0</v>
      </c>
    </row>
    <row r="1538" spans="1:12" x14ac:dyDescent="0.2">
      <c r="A1538">
        <v>0</v>
      </c>
      <c r="B1538">
        <v>2023</v>
      </c>
      <c r="C1538" s="4" t="s">
        <v>318</v>
      </c>
      <c r="D1538" s="4" t="s">
        <v>576</v>
      </c>
      <c r="E1538" s="4" t="s">
        <v>578</v>
      </c>
      <c r="F1538" s="4" t="s">
        <v>277</v>
      </c>
      <c r="G1538" s="8">
        <v>62237</v>
      </c>
      <c r="I1538" s="16" cm="1">
        <f t="array" ref="I1538">_xlfn.IFS(B1538=2015,G1538/$H$1957,B1538=2016,G1538/$H$1958,B1538=2017,G1538/$H$1959,B1538=2018,G1538/$H$1960,B1538=2019,G1538/$H$1961,B1538=2020,G1538/$H$1962,B1538=2021,G1538/$H$1963,B1538=2022,G1538/$H$1964,B1538=2023,G1538/$H$1965)</f>
        <v>6.3014314653769433E-5</v>
      </c>
      <c r="J1538" s="10" cm="1">
        <f t="array" ref="J1538">_xlfn.IFS(B1538=2015,I1538*$G$2,B1538=2016,I1538*$G$3,B1538=2017,I1538*$G$4,B1538=2018,I1538*$G$5,B1538=2019,I1538*$G$6,B1538=2020,I1538*$G$7,B1538=2021,I1538*$G$8,B1538=2022,I1538*$G$9,B1538=2023,I1538*$G$10)</f>
        <v>10711.508377987371</v>
      </c>
      <c r="K1538" s="8">
        <f t="shared" si="23"/>
        <v>72948.508377987368</v>
      </c>
      <c r="L1538">
        <f>IFERROR(VLOOKUP(F1538,'LEAID Match'!$A$2:$B$240,2,FALSE),"")</f>
        <v>0</v>
      </c>
    </row>
    <row r="1539" spans="1:12" x14ac:dyDescent="0.2">
      <c r="A1539">
        <v>0</v>
      </c>
      <c r="B1539">
        <v>2015</v>
      </c>
      <c r="C1539" s="4" t="s">
        <v>319</v>
      </c>
      <c r="D1539" s="4" t="s">
        <v>576</v>
      </c>
      <c r="E1539" s="4" t="s">
        <v>578</v>
      </c>
      <c r="F1539" s="4" t="s">
        <v>278</v>
      </c>
      <c r="G1539" s="8">
        <v>165889</v>
      </c>
      <c r="I1539" s="16" cm="1">
        <f t="array" ref="I1539">_xlfn.IFS(B1539=2015,G1539/$H$1957,B1539=2016,G1539/$H$1958,B1539=2017,G1539/$H$1959,B1539=2018,G1539/$H$1960,B1539=2019,G1539/$H$1961,B1539=2020,G1539/$H$1962,B1539=2021,G1539/$H$1963,B1539=2022,G1539/$H$1964,B1539=2023,G1539/$H$1965)</f>
        <v>1.2810918865176991E-4</v>
      </c>
      <c r="J1539" s="10" cm="1">
        <f t="array" ref="J1539">_xlfn.IFS(B1539=2015,I1539*$G$2,B1539=2016,I1539*$G$3,B1539=2017,I1539*$G$4,B1539=2018,I1539*$G$5,B1539=2019,I1539*$G$6,B1539=2020,I1539*$G$7,B1539=2021,I1539*$G$8,B1539=2022,I1539*$G$9,B1539=2023,I1539*$G$10)</f>
        <v>31853.39854753685</v>
      </c>
      <c r="K1539" s="8">
        <f t="shared" si="23"/>
        <v>197742.39854753684</v>
      </c>
      <c r="L1539">
        <f>IFERROR(VLOOKUP(F1539,'LEAID Match'!$A$2:$B$240,2,FALSE),"")</f>
        <v>0</v>
      </c>
    </row>
    <row r="1540" spans="1:12" x14ac:dyDescent="0.2">
      <c r="A1540">
        <v>0</v>
      </c>
      <c r="B1540">
        <v>2016</v>
      </c>
      <c r="C1540" s="4" t="s">
        <v>319</v>
      </c>
      <c r="D1540" s="4" t="s">
        <v>576</v>
      </c>
      <c r="E1540" s="4" t="s">
        <v>578</v>
      </c>
      <c r="F1540" s="4" t="s">
        <v>278</v>
      </c>
      <c r="G1540" s="8">
        <v>196659</v>
      </c>
      <c r="I1540" s="16" cm="1">
        <f t="array" ref="I1540">_xlfn.IFS(B1540=2015,G1540/$H$1957,B1540=2016,G1540/$H$1958,B1540=2017,G1540/$H$1959,B1540=2018,G1540/$H$1960,B1540=2019,G1540/$H$1961,B1540=2020,G1540/$H$1962,B1540=2021,G1540/$H$1963,B1540=2022,G1540/$H$1964,B1540=2023,G1540/$H$1965)</f>
        <v>1.3805453392699772E-4</v>
      </c>
      <c r="J1540" s="10" cm="1">
        <f t="array" ref="J1540">_xlfn.IFS(B1540=2015,I1540*$G$2,B1540=2016,I1540*$G$3,B1540=2017,I1540*$G$4,B1540=2018,I1540*$G$5,B1540=2019,I1540*$G$6,B1540=2020,I1540*$G$7,B1540=2021,I1540*$G$8,B1540=2022,I1540*$G$9,B1540=2023,I1540*$G$10)</f>
        <v>37440.814808966279</v>
      </c>
      <c r="K1540" s="8">
        <f t="shared" si="23"/>
        <v>234099.81480896627</v>
      </c>
      <c r="L1540">
        <f>IFERROR(VLOOKUP(F1540,'LEAID Match'!$A$2:$B$240,2,FALSE),"")</f>
        <v>0</v>
      </c>
    </row>
    <row r="1541" spans="1:12" x14ac:dyDescent="0.2">
      <c r="A1541">
        <v>0</v>
      </c>
      <c r="B1541">
        <v>2017</v>
      </c>
      <c r="C1541" s="4" t="s">
        <v>319</v>
      </c>
      <c r="D1541" s="4" t="s">
        <v>576</v>
      </c>
      <c r="E1541" s="4" t="s">
        <v>578</v>
      </c>
      <c r="F1541" s="4" t="s">
        <v>278</v>
      </c>
      <c r="G1541" s="8">
        <v>103841</v>
      </c>
      <c r="I1541" s="16" cm="1">
        <f t="array" ref="I1541">_xlfn.IFS(B1541=2015,G1541/$H$1957,B1541=2016,G1541/$H$1958,B1541=2017,G1541/$H$1959,B1541=2018,G1541/$H$1960,B1541=2019,G1541/$H$1961,B1541=2020,G1541/$H$1962,B1541=2021,G1541/$H$1963,B1541=2022,G1541/$H$1964,B1541=2023,G1541/$H$1965)</f>
        <v>1.3854599212065682E-4</v>
      </c>
      <c r="J1541" s="10" cm="1">
        <f t="array" ref="J1541">_xlfn.IFS(B1541=2015,I1541*$G$2,B1541=2016,I1541*$G$3,B1541=2017,I1541*$G$4,B1541=2018,I1541*$G$5,B1541=2019,I1541*$G$6,B1541=2020,I1541*$G$7,B1541=2021,I1541*$G$8,B1541=2022,I1541*$G$9,B1541=2023,I1541*$G$10)</f>
        <v>20516.803115676961</v>
      </c>
      <c r="K1541" s="8">
        <f t="shared" si="23"/>
        <v>124357.80311567696</v>
      </c>
      <c r="L1541">
        <f>IFERROR(VLOOKUP(F1541,'LEAID Match'!$A$2:$B$240,2,FALSE),"")</f>
        <v>0</v>
      </c>
    </row>
    <row r="1542" spans="1:12" x14ac:dyDescent="0.2">
      <c r="A1542">
        <v>0</v>
      </c>
      <c r="B1542">
        <v>2018</v>
      </c>
      <c r="C1542" s="4" t="s">
        <v>319</v>
      </c>
      <c r="D1542" s="4" t="s">
        <v>576</v>
      </c>
      <c r="E1542" s="4" t="s">
        <v>578</v>
      </c>
      <c r="F1542" s="4" t="s">
        <v>278</v>
      </c>
      <c r="G1542" s="8">
        <v>95409</v>
      </c>
      <c r="I1542" s="16" cm="1">
        <f t="array" ref="I1542">_xlfn.IFS(B1542=2015,G1542/$H$1957,B1542=2016,G1542/$H$1958,B1542=2017,G1542/$H$1959,B1542=2018,G1542/$H$1960,B1542=2019,G1542/$H$1961,B1542=2020,G1542/$H$1962,B1542=2021,G1542/$H$1963,B1542=2022,G1542/$H$1964,B1542=2023,G1542/$H$1965)</f>
        <v>1.2276375707448201E-4</v>
      </c>
      <c r="J1542" s="10" cm="1">
        <f t="array" ref="J1542">_xlfn.IFS(B1542=2015,I1542*$G$2,B1542=2016,I1542*$G$3,B1542=2017,I1542*$G$4,B1542=2018,I1542*$G$5,B1542=2019,I1542*$G$6,B1542=2020,I1542*$G$7,B1542=2021,I1542*$G$8,B1542=2022,I1542*$G$9,B1542=2023,I1542*$G$10)</f>
        <v>18478.882439833793</v>
      </c>
      <c r="K1542" s="8">
        <f t="shared" si="23"/>
        <v>113887.88243983379</v>
      </c>
      <c r="L1542">
        <f>IFERROR(VLOOKUP(F1542,'LEAID Match'!$A$2:$B$240,2,FALSE),"")</f>
        <v>0</v>
      </c>
    </row>
    <row r="1543" spans="1:12" x14ac:dyDescent="0.2">
      <c r="A1543">
        <v>0</v>
      </c>
      <c r="B1543">
        <v>2019</v>
      </c>
      <c r="C1543" s="4" t="s">
        <v>319</v>
      </c>
      <c r="D1543" s="4" t="s">
        <v>576</v>
      </c>
      <c r="E1543" s="4" t="s">
        <v>578</v>
      </c>
      <c r="F1543" s="4" t="s">
        <v>278</v>
      </c>
      <c r="G1543" s="8">
        <v>104946</v>
      </c>
      <c r="I1543" s="16" cm="1">
        <f t="array" ref="I1543">_xlfn.IFS(B1543=2015,G1543/$H$1957,B1543=2016,G1543/$H$1958,B1543=2017,G1543/$H$1959,B1543=2018,G1543/$H$1960,B1543=2019,G1543/$H$1961,B1543=2020,G1543/$H$1962,B1543=2021,G1543/$H$1963,B1543=2022,G1543/$H$1964,B1543=2023,G1543/$H$1965)</f>
        <v>1.3042653735536531E-4</v>
      </c>
      <c r="J1543" s="10" cm="1">
        <f t="array" ref="J1543">_xlfn.IFS(B1543=2015,I1543*$G$2,B1543=2016,I1543*$G$3,B1543=2017,I1543*$G$4,B1543=2018,I1543*$G$5,B1543=2019,I1543*$G$6,B1543=2020,I1543*$G$7,B1543=2021,I1543*$G$8,B1543=2022,I1543*$G$9,B1543=2023,I1543*$G$10)</f>
        <v>20611.060757231226</v>
      </c>
      <c r="K1543" s="8">
        <f t="shared" si="23"/>
        <v>125557.06075723123</v>
      </c>
      <c r="L1543">
        <f>IFERROR(VLOOKUP(F1543,'LEAID Match'!$A$2:$B$240,2,FALSE),"")</f>
        <v>0</v>
      </c>
    </row>
    <row r="1544" spans="1:12" x14ac:dyDescent="0.2">
      <c r="A1544">
        <v>0</v>
      </c>
      <c r="B1544">
        <v>2020</v>
      </c>
      <c r="C1544" s="4" t="s">
        <v>319</v>
      </c>
      <c r="D1544" s="4" t="s">
        <v>576</v>
      </c>
      <c r="E1544" s="4" t="s">
        <v>578</v>
      </c>
      <c r="F1544" s="4" t="s">
        <v>278</v>
      </c>
      <c r="G1544" s="8">
        <v>117448</v>
      </c>
      <c r="I1544" s="16" cm="1">
        <f t="array" ref="I1544">_xlfn.IFS(B1544=2015,G1544/$H$1957,B1544=2016,G1544/$H$1958,B1544=2017,G1544/$H$1959,B1544=2018,G1544/$H$1960,B1544=2019,G1544/$H$1961,B1544=2020,G1544/$H$1962,B1544=2021,G1544/$H$1963,B1544=2022,G1544/$H$1964,B1544=2023,G1544/$H$1965)</f>
        <v>1.3508438821727137E-4</v>
      </c>
      <c r="J1544" s="10" cm="1">
        <f t="array" ref="J1544">_xlfn.IFS(B1544=2015,I1544*$G$2,B1544=2016,I1544*$G$3,B1544=2017,I1544*$G$4,B1544=2018,I1544*$G$5,B1544=2019,I1544*$G$6,B1544=2020,I1544*$G$7,B1544=2021,I1544*$G$8,B1544=2022,I1544*$G$9,B1544=2023,I1544*$G$10)</f>
        <v>23326.898175966136</v>
      </c>
      <c r="K1544" s="8">
        <f t="shared" si="23"/>
        <v>140774.89817596614</v>
      </c>
      <c r="L1544">
        <f>IFERROR(VLOOKUP(F1544,'LEAID Match'!$A$2:$B$240,2,FALSE),"")</f>
        <v>0</v>
      </c>
    </row>
    <row r="1545" spans="1:12" x14ac:dyDescent="0.2">
      <c r="A1545">
        <v>0</v>
      </c>
      <c r="B1545">
        <v>2021</v>
      </c>
      <c r="C1545" s="4" t="s">
        <v>319</v>
      </c>
      <c r="D1545" s="4" t="s">
        <v>576</v>
      </c>
      <c r="E1545" s="4" t="s">
        <v>578</v>
      </c>
      <c r="F1545" s="4" t="s">
        <v>278</v>
      </c>
      <c r="G1545" s="8">
        <v>118297</v>
      </c>
      <c r="I1545" s="16" cm="1">
        <f t="array" ref="I1545">_xlfn.IFS(B1545=2015,G1545/$H$1957,B1545=2016,G1545/$H$1958,B1545=2017,G1545/$H$1959,B1545=2018,G1545/$H$1960,B1545=2019,G1545/$H$1961,B1545=2020,G1545/$H$1962,B1545=2021,G1545/$H$1963,B1545=2022,G1545/$H$1964,B1545=2023,G1545/$H$1965)</f>
        <v>1.3518920724757229E-4</v>
      </c>
      <c r="J1545" s="10" cm="1">
        <f t="array" ref="J1545">_xlfn.IFS(B1545=2015,I1545*$G$2,B1545=2016,I1545*$G$3,B1545=2017,I1545*$G$4,B1545=2018,I1545*$G$5,B1545=2019,I1545*$G$6,B1545=2020,I1545*$G$7,B1545=2021,I1545*$G$8,B1545=2022,I1545*$G$9,B1545=2023,I1545*$G$10)</f>
        <v>23200.744009176626</v>
      </c>
      <c r="K1545" s="8">
        <f t="shared" si="23"/>
        <v>141497.74400917662</v>
      </c>
      <c r="L1545">
        <f>IFERROR(VLOOKUP(F1545,'LEAID Match'!$A$2:$B$240,2,FALSE),"")</f>
        <v>0</v>
      </c>
    </row>
    <row r="1546" spans="1:12" x14ac:dyDescent="0.2">
      <c r="A1546">
        <v>0</v>
      </c>
      <c r="B1546">
        <v>2022</v>
      </c>
      <c r="C1546" s="4" t="s">
        <v>319</v>
      </c>
      <c r="D1546" s="4" t="s">
        <v>576</v>
      </c>
      <c r="E1546" s="4" t="s">
        <v>578</v>
      </c>
      <c r="F1546" s="4" t="s">
        <v>278</v>
      </c>
      <c r="G1546" s="8">
        <v>141170</v>
      </c>
      <c r="I1546" s="16" cm="1">
        <f t="array" ref="I1546">_xlfn.IFS(B1546=2015,G1546/$H$1957,B1546=2016,G1546/$H$1958,B1546=2017,G1546/$H$1959,B1546=2018,G1546/$H$1960,B1546=2019,G1546/$H$1961,B1546=2020,G1546/$H$1962,B1546=2021,G1546/$H$1963,B1546=2022,G1546/$H$1964,B1546=2023,G1546/$H$1965)</f>
        <v>1.5172984181052108E-4</v>
      </c>
      <c r="J1546" s="10" cm="1">
        <f t="array" ref="J1546">_xlfn.IFS(B1546=2015,I1546*$G$2,B1546=2016,I1546*$G$3,B1546=2017,I1546*$G$4,B1546=2018,I1546*$G$5,B1546=2019,I1546*$G$6,B1546=2020,I1546*$G$7,B1546=2021,I1546*$G$8,B1546=2022,I1546*$G$9,B1546=2023,I1546*$G$10)</f>
        <v>25731.203696104552</v>
      </c>
      <c r="K1546" s="8">
        <f t="shared" si="23"/>
        <v>166901.20369610455</v>
      </c>
      <c r="L1546">
        <f>IFERROR(VLOOKUP(F1546,'LEAID Match'!$A$2:$B$240,2,FALSE),"")</f>
        <v>0</v>
      </c>
    </row>
    <row r="1547" spans="1:12" x14ac:dyDescent="0.2">
      <c r="A1547">
        <v>0</v>
      </c>
      <c r="B1547">
        <v>2023</v>
      </c>
      <c r="C1547" s="4" t="s">
        <v>319</v>
      </c>
      <c r="D1547" s="4" t="s">
        <v>576</v>
      </c>
      <c r="E1547" s="4" t="s">
        <v>578</v>
      </c>
      <c r="F1547" s="4" t="s">
        <v>278</v>
      </c>
      <c r="G1547" s="8">
        <v>149750</v>
      </c>
      <c r="I1547" s="16" cm="1">
        <f t="array" ref="I1547">_xlfn.IFS(B1547=2015,G1547/$H$1957,B1547=2016,G1547/$H$1958,B1547=2017,G1547/$H$1959,B1547=2018,G1547/$H$1960,B1547=2019,G1547/$H$1961,B1547=2020,G1547/$H$1962,B1547=2021,G1547/$H$1963,B1547=2022,G1547/$H$1964,B1547=2023,G1547/$H$1965)</f>
        <v>1.5162031620100542E-4</v>
      </c>
      <c r="J1547" s="10" cm="1">
        <f t="array" ref="J1547">_xlfn.IFS(B1547=2015,I1547*$G$2,B1547=2016,I1547*$G$3,B1547=2017,I1547*$G$4,B1547=2018,I1547*$G$5,B1547=2019,I1547*$G$6,B1547=2020,I1547*$G$7,B1547=2021,I1547*$G$8,B1547=2022,I1547*$G$9,B1547=2023,I1547*$G$10)</f>
        <v>25773.227816308776</v>
      </c>
      <c r="K1547" s="8">
        <f t="shared" si="23"/>
        <v>175523.22781630879</v>
      </c>
      <c r="L1547">
        <f>IFERROR(VLOOKUP(F1547,'LEAID Match'!$A$2:$B$240,2,FALSE),"")</f>
        <v>0</v>
      </c>
    </row>
    <row r="1548" spans="1:12" x14ac:dyDescent="0.2">
      <c r="A1548">
        <v>0</v>
      </c>
      <c r="B1548">
        <v>2015</v>
      </c>
      <c r="C1548" s="4" t="s">
        <v>320</v>
      </c>
      <c r="D1548" s="4" t="s">
        <v>576</v>
      </c>
      <c r="E1548" s="4" t="s">
        <v>578</v>
      </c>
      <c r="F1548" s="4" t="s">
        <v>279</v>
      </c>
      <c r="G1548" s="8">
        <v>30263</v>
      </c>
      <c r="I1548" s="16" cm="1">
        <f t="array" ref="I1548">_xlfn.IFS(B1548=2015,G1548/$H$1957,B1548=2016,G1548/$H$1958,B1548=2017,G1548/$H$1959,B1548=2018,G1548/$H$1960,B1548=2019,G1548/$H$1961,B1548=2020,G1548/$H$1962,B1548=2021,G1548/$H$1963,B1548=2022,G1548/$H$1964,B1548=2023,G1548/$H$1965)</f>
        <v>2.3370858683628889E-5</v>
      </c>
      <c r="J1548" s="10" cm="1">
        <f t="array" ref="J1548">_xlfn.IFS(B1548=2015,I1548*$G$2,B1548=2016,I1548*$G$3,B1548=2017,I1548*$G$4,B1548=2018,I1548*$G$5,B1548=2019,I1548*$G$6,B1548=2020,I1548*$G$7,B1548=2021,I1548*$G$8,B1548=2022,I1548*$G$9,B1548=2023,I1548*$G$10)</f>
        <v>5810.9904830585974</v>
      </c>
      <c r="K1548" s="8">
        <f t="shared" ref="K1548:K1611" si="24">SUM(G1548,J1548)</f>
        <v>36073.990483058595</v>
      </c>
      <c r="L1548">
        <f>IFERROR(VLOOKUP(F1548,'LEAID Match'!$A$2:$B$240,2,FALSE),"")</f>
        <v>0</v>
      </c>
    </row>
    <row r="1549" spans="1:12" x14ac:dyDescent="0.2">
      <c r="A1549">
        <v>0</v>
      </c>
      <c r="B1549">
        <v>2016</v>
      </c>
      <c r="C1549" s="4" t="s">
        <v>320</v>
      </c>
      <c r="D1549" s="4" t="s">
        <v>576</v>
      </c>
      <c r="E1549" s="4" t="s">
        <v>578</v>
      </c>
      <c r="F1549" s="4" t="s">
        <v>279</v>
      </c>
      <c r="G1549" s="8">
        <v>28583</v>
      </c>
      <c r="I1549" s="16" cm="1">
        <f t="array" ref="I1549">_xlfn.IFS(B1549=2015,G1549/$H$1957,B1549=2016,G1549/$H$1958,B1549=2017,G1549/$H$1959,B1549=2018,G1549/$H$1960,B1549=2019,G1549/$H$1961,B1549=2020,G1549/$H$1962,B1549=2021,G1549/$H$1963,B1549=2022,G1549/$H$1964,B1549=2023,G1549/$H$1965)</f>
        <v>2.0065253780581492E-5</v>
      </c>
      <c r="J1549" s="10" cm="1">
        <f t="array" ref="J1549">_xlfn.IFS(B1549=2015,I1549*$G$2,B1549=2016,I1549*$G$3,B1549=2017,I1549*$G$4,B1549=2018,I1549*$G$5,B1549=2019,I1549*$G$6,B1549=2020,I1549*$G$7,B1549=2021,I1549*$G$8,B1549=2022,I1549*$G$9,B1549=2023,I1549*$G$10)</f>
        <v>5441.7586262753448</v>
      </c>
      <c r="K1549" s="8">
        <f t="shared" si="24"/>
        <v>34024.758626275347</v>
      </c>
      <c r="L1549">
        <f>IFERROR(VLOOKUP(F1549,'LEAID Match'!$A$2:$B$240,2,FALSE),"")</f>
        <v>0</v>
      </c>
    </row>
    <row r="1550" spans="1:12" x14ac:dyDescent="0.2">
      <c r="A1550">
        <v>0</v>
      </c>
      <c r="B1550">
        <v>2017</v>
      </c>
      <c r="C1550" s="4" t="s">
        <v>320</v>
      </c>
      <c r="D1550" s="4" t="s">
        <v>576</v>
      </c>
      <c r="E1550" s="4" t="s">
        <v>578</v>
      </c>
      <c r="F1550" s="4" t="s">
        <v>279</v>
      </c>
      <c r="G1550" s="8">
        <v>15066</v>
      </c>
      <c r="I1550" s="16" cm="1">
        <f t="array" ref="I1550">_xlfn.IFS(B1550=2015,G1550/$H$1957,B1550=2016,G1550/$H$1958,B1550=2017,G1550/$H$1959,B1550=2018,G1550/$H$1960,B1550=2019,G1550/$H$1961,B1550=2020,G1550/$H$1962,B1550=2021,G1550/$H$1963,B1550=2022,G1550/$H$1964,B1550=2023,G1550/$H$1965)</f>
        <v>2.0101250154465152E-5</v>
      </c>
      <c r="J1550" s="10" cm="1">
        <f t="array" ref="J1550">_xlfn.IFS(B1550=2015,I1550*$G$2,B1550=2016,I1550*$G$3,B1550=2017,I1550*$G$4,B1550=2018,I1550*$G$5,B1550=2019,I1550*$G$6,B1550=2020,I1550*$G$7,B1550=2021,I1550*$G$8,B1550=2022,I1550*$G$9,B1550=2023,I1550*$G$10)</f>
        <v>2976.7255298079672</v>
      </c>
      <c r="K1550" s="8">
        <f t="shared" si="24"/>
        <v>18042.725529807969</v>
      </c>
      <c r="L1550">
        <f>IFERROR(VLOOKUP(F1550,'LEAID Match'!$A$2:$B$240,2,FALSE),"")</f>
        <v>0</v>
      </c>
    </row>
    <row r="1551" spans="1:12" x14ac:dyDescent="0.2">
      <c r="A1551">
        <v>0</v>
      </c>
      <c r="B1551">
        <v>2018</v>
      </c>
      <c r="C1551" s="4" t="s">
        <v>320</v>
      </c>
      <c r="D1551" s="4" t="s">
        <v>576</v>
      </c>
      <c r="E1551" s="4" t="s">
        <v>578</v>
      </c>
      <c r="F1551" s="4" t="s">
        <v>279</v>
      </c>
      <c r="G1551" s="8">
        <v>17255</v>
      </c>
      <c r="I1551" s="16" cm="1">
        <f t="array" ref="I1551">_xlfn.IFS(B1551=2015,G1551/$H$1957,B1551=2016,G1551/$H$1958,B1551=2017,G1551/$H$1959,B1551=2018,G1551/$H$1960,B1551=2019,G1551/$H$1961,B1551=2020,G1551/$H$1962,B1551=2021,G1551/$H$1963,B1551=2022,G1551/$H$1964,B1551=2023,G1551/$H$1965)</f>
        <v>2.2202188769614891E-5</v>
      </c>
      <c r="J1551" s="10" cm="1">
        <f t="array" ref="J1551">_xlfn.IFS(B1551=2015,I1551*$G$2,B1551=2016,I1551*$G$3,B1551=2017,I1551*$G$4,B1551=2018,I1551*$G$5,B1551=2019,I1551*$G$6,B1551=2020,I1551*$G$7,B1551=2021,I1551*$G$8,B1551=2022,I1551*$G$9,B1551=2023,I1551*$G$10)</f>
        <v>3341.9605749911652</v>
      </c>
      <c r="K1551" s="8">
        <f t="shared" si="24"/>
        <v>20596.960574991164</v>
      </c>
      <c r="L1551">
        <f>IFERROR(VLOOKUP(F1551,'LEAID Match'!$A$2:$B$240,2,FALSE),"")</f>
        <v>0</v>
      </c>
    </row>
    <row r="1552" spans="1:12" x14ac:dyDescent="0.2">
      <c r="A1552">
        <v>0</v>
      </c>
      <c r="B1552">
        <v>2019</v>
      </c>
      <c r="C1552" s="4" t="s">
        <v>320</v>
      </c>
      <c r="D1552" s="4" t="s">
        <v>576</v>
      </c>
      <c r="E1552" s="4" t="s">
        <v>578</v>
      </c>
      <c r="F1552" s="4" t="s">
        <v>279</v>
      </c>
      <c r="G1552" s="8">
        <v>18524</v>
      </c>
      <c r="I1552" s="16" cm="1">
        <f t="array" ref="I1552">_xlfn.IFS(B1552=2015,G1552/$H$1957,B1552=2016,G1552/$H$1958,B1552=2017,G1552/$H$1959,B1552=2018,G1552/$H$1960,B1552=2019,G1552/$H$1961,B1552=2020,G1552/$H$1962,B1552=2021,G1552/$H$1963,B1552=2022,G1552/$H$1964,B1552=2023,G1552/$H$1965)</f>
        <v>2.3021565166569352E-5</v>
      </c>
      <c r="J1552" s="10" cm="1">
        <f t="array" ref="J1552">_xlfn.IFS(B1552=2015,I1552*$G$2,B1552=2016,I1552*$G$3,B1552=2017,I1552*$G$4,B1552=2018,I1552*$G$5,B1552=2019,I1552*$G$6,B1552=2020,I1552*$G$7,B1552=2021,I1552*$G$8,B1552=2022,I1552*$G$9,B1552=2023,I1552*$G$10)</f>
        <v>3638.0547087735717</v>
      </c>
      <c r="K1552" s="8">
        <f t="shared" si="24"/>
        <v>22162.054708773572</v>
      </c>
      <c r="L1552">
        <f>IFERROR(VLOOKUP(F1552,'LEAID Match'!$A$2:$B$240,2,FALSE),"")</f>
        <v>0</v>
      </c>
    </row>
    <row r="1553" spans="1:12" x14ac:dyDescent="0.2">
      <c r="A1553">
        <v>0</v>
      </c>
      <c r="B1553">
        <v>2020</v>
      </c>
      <c r="C1553" s="4" t="s">
        <v>320</v>
      </c>
      <c r="D1553" s="4" t="s">
        <v>576</v>
      </c>
      <c r="E1553" s="4" t="s">
        <v>578</v>
      </c>
      <c r="F1553" s="4" t="s">
        <v>279</v>
      </c>
      <c r="G1553" s="8">
        <v>17004</v>
      </c>
      <c r="I1553" s="16" cm="1">
        <f t="array" ref="I1553">_xlfn.IFS(B1553=2015,G1553/$H$1957,B1553=2016,G1553/$H$1958,B1553=2017,G1553/$H$1959,B1553=2018,G1553/$H$1960,B1553=2019,G1553/$H$1961,B1553=2020,G1553/$H$1962,B1553=2021,G1553/$H$1963,B1553=2022,G1553/$H$1964,B1553=2023,G1553/$H$1965)</f>
        <v>1.9557378050256135E-5</v>
      </c>
      <c r="J1553" s="10" cm="1">
        <f t="array" ref="J1553">_xlfn.IFS(B1553=2015,I1553*$G$2,B1553=2016,I1553*$G$3,B1553=2017,I1553*$G$4,B1553=2018,I1553*$G$5,B1553=2019,I1553*$G$6,B1553=2020,I1553*$G$7,B1553=2021,I1553*$G$8,B1553=2022,I1553*$G$9,B1553=2023,I1553*$G$10)</f>
        <v>3377.2441981483571</v>
      </c>
      <c r="K1553" s="8">
        <f t="shared" si="24"/>
        <v>20381.244198148357</v>
      </c>
      <c r="L1553">
        <f>IFERROR(VLOOKUP(F1553,'LEAID Match'!$A$2:$B$240,2,FALSE),"")</f>
        <v>0</v>
      </c>
    </row>
    <row r="1554" spans="1:12" x14ac:dyDescent="0.2">
      <c r="A1554">
        <v>0</v>
      </c>
      <c r="B1554">
        <v>2021</v>
      </c>
      <c r="C1554" s="4" t="s">
        <v>320</v>
      </c>
      <c r="D1554" s="4" t="s">
        <v>576</v>
      </c>
      <c r="E1554" s="4" t="s">
        <v>578</v>
      </c>
      <c r="F1554" s="4" t="s">
        <v>279</v>
      </c>
      <c r="G1554" s="8">
        <v>15708</v>
      </c>
      <c r="I1554" s="16" cm="1">
        <f t="array" ref="I1554">_xlfn.IFS(B1554=2015,G1554/$H$1957,B1554=2016,G1554/$H$1958,B1554=2017,G1554/$H$1959,B1554=2018,G1554/$H$1960,B1554=2019,G1554/$H$1961,B1554=2020,G1554/$H$1962,B1554=2021,G1554/$H$1963,B1554=2022,G1554/$H$1964,B1554=2023,G1554/$H$1965)</f>
        <v>1.7951022151405914E-5</v>
      </c>
      <c r="J1554" s="10" cm="1">
        <f t="array" ref="J1554">_xlfn.IFS(B1554=2015,I1554*$G$2,B1554=2016,I1554*$G$3,B1554=2017,I1554*$G$4,B1554=2018,I1554*$G$5,B1554=2019,I1554*$G$6,B1554=2020,I1554*$G$7,B1554=2021,I1554*$G$8,B1554=2022,I1554*$G$9,B1554=2023,I1554*$G$10)</f>
        <v>3080.697624590196</v>
      </c>
      <c r="K1554" s="8">
        <f t="shared" si="24"/>
        <v>18788.697624590197</v>
      </c>
      <c r="L1554">
        <f>IFERROR(VLOOKUP(F1554,'LEAID Match'!$A$2:$B$240,2,FALSE),"")</f>
        <v>0</v>
      </c>
    </row>
    <row r="1555" spans="1:12" x14ac:dyDescent="0.2">
      <c r="A1555">
        <v>0</v>
      </c>
      <c r="B1555">
        <v>2022</v>
      </c>
      <c r="C1555" s="4" t="s">
        <v>320</v>
      </c>
      <c r="D1555" s="4" t="s">
        <v>576</v>
      </c>
      <c r="E1555" s="4" t="s">
        <v>578</v>
      </c>
      <c r="F1555" s="4" t="s">
        <v>279</v>
      </c>
      <c r="G1555" s="8">
        <v>15733</v>
      </c>
      <c r="I1555" s="16" cm="1">
        <f t="array" ref="I1555">_xlfn.IFS(B1555=2015,G1555/$H$1957,B1555=2016,G1555/$H$1958,B1555=2017,G1555/$H$1959,B1555=2018,G1555/$H$1960,B1555=2019,G1555/$H$1961,B1555=2020,G1555/$H$1962,B1555=2021,G1555/$H$1963,B1555=2022,G1555/$H$1964,B1555=2023,G1555/$H$1965)</f>
        <v>1.690986471066748E-5</v>
      </c>
      <c r="J1555" s="10" cm="1">
        <f t="array" ref="J1555">_xlfn.IFS(B1555=2015,I1555*$G$2,B1555=2016,I1555*$G$3,B1555=2017,I1555*$G$4,B1555=2018,I1555*$G$5,B1555=2019,I1555*$G$6,B1555=2020,I1555*$G$7,B1555=2021,I1555*$G$8,B1555=2022,I1555*$G$9,B1555=2023,I1555*$G$10)</f>
        <v>2867.6703814607417</v>
      </c>
      <c r="K1555" s="8">
        <f t="shared" si="24"/>
        <v>18600.670381460743</v>
      </c>
      <c r="L1555">
        <f>IFERROR(VLOOKUP(F1555,'LEAID Match'!$A$2:$B$240,2,FALSE),"")</f>
        <v>0</v>
      </c>
    </row>
    <row r="1556" spans="1:12" x14ac:dyDescent="0.2">
      <c r="A1556">
        <v>0</v>
      </c>
      <c r="B1556">
        <v>2023</v>
      </c>
      <c r="C1556" s="4" t="s">
        <v>320</v>
      </c>
      <c r="D1556" s="4" t="s">
        <v>576</v>
      </c>
      <c r="E1556" s="4" t="s">
        <v>578</v>
      </c>
      <c r="F1556" s="4" t="s">
        <v>279</v>
      </c>
      <c r="G1556" s="8">
        <v>16120</v>
      </c>
      <c r="I1556" s="16" cm="1">
        <f t="array" ref="I1556">_xlfn.IFS(B1556=2015,G1556/$H$1957,B1556=2016,G1556/$H$1958,B1556=2017,G1556/$H$1959,B1556=2018,G1556/$H$1960,B1556=2019,G1556/$H$1961,B1556=2020,G1556/$H$1962,B1556=2021,G1556/$H$1963,B1556=2022,G1556/$H$1964,B1556=2023,G1556/$H$1965)</f>
        <v>1.632133220140372E-5</v>
      </c>
      <c r="J1556" s="10" cm="1">
        <f t="array" ref="J1556">_xlfn.IFS(B1556=2015,I1556*$G$2,B1556=2016,I1556*$G$3,B1556=2017,I1556*$G$4,B1556=2018,I1556*$G$5,B1556=2019,I1556*$G$6,B1556=2020,I1556*$G$7,B1556=2021,I1556*$G$8,B1556=2022,I1556*$G$9,B1556=2023,I1556*$G$10)</f>
        <v>2774.3868607605837</v>
      </c>
      <c r="K1556" s="8">
        <f t="shared" si="24"/>
        <v>18894.386860760584</v>
      </c>
      <c r="L1556">
        <f>IFERROR(VLOOKUP(F1556,'LEAID Match'!$A$2:$B$240,2,FALSE),"")</f>
        <v>0</v>
      </c>
    </row>
    <row r="1557" spans="1:12" x14ac:dyDescent="0.2">
      <c r="A1557">
        <v>0</v>
      </c>
      <c r="B1557">
        <v>2015</v>
      </c>
      <c r="C1557" s="4" t="s">
        <v>321</v>
      </c>
      <c r="D1557" s="4" t="s">
        <v>576</v>
      </c>
      <c r="E1557" s="4" t="s">
        <v>578</v>
      </c>
      <c r="F1557" s="4" t="s">
        <v>280</v>
      </c>
      <c r="G1557" s="8">
        <v>4392385</v>
      </c>
      <c r="I1557" s="16" cm="1">
        <f t="array" ref="I1557">_xlfn.IFS(B1557=2015,G1557/$H$1957,B1557=2016,G1557/$H$1958,B1557=2017,G1557/$H$1959,B1557=2018,G1557/$H$1960,B1557=2019,G1557/$H$1961,B1557=2020,G1557/$H$1962,B1557=2021,G1557/$H$1963,B1557=2022,G1557/$H$1964,B1557=2023,G1557/$H$1965)</f>
        <v>3.3920566077087957E-3</v>
      </c>
      <c r="J1557" s="10" cm="1">
        <f t="array" ref="J1557">_xlfn.IFS(B1557=2015,I1557*$G$2,B1557=2016,I1557*$G$3,B1557=2017,I1557*$G$4,B1557=2018,I1557*$G$5,B1557=2019,I1557*$G$6,B1557=2020,I1557*$G$7,B1557=2021,I1557*$G$8,B1557=2022,I1557*$G$9,B1557=2023,I1557*$G$10)</f>
        <v>843409.68948647985</v>
      </c>
      <c r="K1557" s="8">
        <f t="shared" si="24"/>
        <v>5235794.6894864794</v>
      </c>
      <c r="L1557">
        <f>IFERROR(VLOOKUP(F1557,'LEAID Match'!$A$2:$B$240,2,FALSE),"")</f>
        <v>0</v>
      </c>
    </row>
    <row r="1558" spans="1:12" x14ac:dyDescent="0.2">
      <c r="A1558">
        <v>0</v>
      </c>
      <c r="B1558">
        <v>2016</v>
      </c>
      <c r="C1558" s="4" t="s">
        <v>321</v>
      </c>
      <c r="D1558" s="4" t="s">
        <v>576</v>
      </c>
      <c r="E1558" s="4" t="s">
        <v>578</v>
      </c>
      <c r="F1558" s="4" t="s">
        <v>280</v>
      </c>
      <c r="G1558" s="8">
        <v>4764581</v>
      </c>
      <c r="I1558" s="16" cm="1">
        <f t="array" ref="I1558">_xlfn.IFS(B1558=2015,G1558/$H$1957,B1558=2016,G1558/$H$1958,B1558=2017,G1558/$H$1959,B1558=2018,G1558/$H$1960,B1558=2019,G1558/$H$1961,B1558=2020,G1558/$H$1962,B1558=2021,G1558/$H$1963,B1558=2022,G1558/$H$1964,B1558=2023,G1558/$H$1965)</f>
        <v>3.3447338251106165E-3</v>
      </c>
      <c r="J1558" s="10" cm="1">
        <f t="array" ref="J1558">_xlfn.IFS(B1558=2015,I1558*$G$2,B1558=2016,I1558*$G$3,B1558=2017,I1558*$G$4,B1558=2018,I1558*$G$5,B1558=2019,I1558*$G$6,B1558=2020,I1558*$G$7,B1558=2021,I1558*$G$8,B1558=2022,I1558*$G$9,B1558=2023,I1558*$G$10)</f>
        <v>907102.11515018053</v>
      </c>
      <c r="K1558" s="8">
        <f t="shared" si="24"/>
        <v>5671683.1151501806</v>
      </c>
      <c r="L1558">
        <f>IFERROR(VLOOKUP(F1558,'LEAID Match'!$A$2:$B$240,2,FALSE),"")</f>
        <v>0</v>
      </c>
    </row>
    <row r="1559" spans="1:12" x14ac:dyDescent="0.2">
      <c r="A1559">
        <v>0</v>
      </c>
      <c r="B1559">
        <v>2017</v>
      </c>
      <c r="C1559" s="4" t="s">
        <v>321</v>
      </c>
      <c r="D1559" s="4" t="s">
        <v>576</v>
      </c>
      <c r="E1559" s="4" t="s">
        <v>578</v>
      </c>
      <c r="F1559" s="4" t="s">
        <v>280</v>
      </c>
      <c r="G1559" s="8">
        <v>2573296</v>
      </c>
      <c r="I1559" s="16" cm="1">
        <f t="array" ref="I1559">_xlfn.IFS(B1559=2015,G1559/$H$1957,B1559=2016,G1559/$H$1958,B1559=2017,G1559/$H$1959,B1559=2018,G1559/$H$1960,B1559=2019,G1559/$H$1961,B1559=2020,G1559/$H$1962,B1559=2021,G1559/$H$1963,B1559=2022,G1559/$H$1964,B1559=2023,G1559/$H$1965)</f>
        <v>3.433324480119777E-3</v>
      </c>
      <c r="J1559" s="10" cm="1">
        <f t="array" ref="J1559">_xlfn.IFS(B1559=2015,I1559*$G$2,B1559=2016,I1559*$G$3,B1559=2017,I1559*$G$4,B1559=2018,I1559*$G$5,B1559=2019,I1559*$G$6,B1559=2020,I1559*$G$7,B1559=2021,I1559*$G$8,B1559=2022,I1559*$G$9,B1559=2023,I1559*$G$10)</f>
        <v>508429.30432448711</v>
      </c>
      <c r="K1559" s="8">
        <f t="shared" si="24"/>
        <v>3081725.3043244872</v>
      </c>
      <c r="L1559">
        <f>IFERROR(VLOOKUP(F1559,'LEAID Match'!$A$2:$B$240,2,FALSE),"")</f>
        <v>0</v>
      </c>
    </row>
    <row r="1560" spans="1:12" x14ac:dyDescent="0.2">
      <c r="A1560">
        <v>0</v>
      </c>
      <c r="B1560">
        <v>2018</v>
      </c>
      <c r="C1560" s="4" t="s">
        <v>321</v>
      </c>
      <c r="D1560" s="4" t="s">
        <v>576</v>
      </c>
      <c r="E1560" s="4" t="s">
        <v>578</v>
      </c>
      <c r="F1560" s="4" t="s">
        <v>280</v>
      </c>
      <c r="G1560" s="8">
        <v>2573729</v>
      </c>
      <c r="I1560" s="16" cm="1">
        <f t="array" ref="I1560">_xlfn.IFS(B1560=2015,G1560/$H$1957,B1560=2016,G1560/$H$1958,B1560=2017,G1560/$H$1959,B1560=2018,G1560/$H$1960,B1560=2019,G1560/$H$1961,B1560=2020,G1560/$H$1962,B1560=2021,G1560/$H$1963,B1560=2022,G1560/$H$1964,B1560=2023,G1560/$H$1965)</f>
        <v>3.3116439930357673E-3</v>
      </c>
      <c r="J1560" s="10" cm="1">
        <f t="array" ref="J1560">_xlfn.IFS(B1560=2015,I1560*$G$2,B1560=2016,I1560*$G$3,B1560=2017,I1560*$G$4,B1560=2018,I1560*$G$5,B1560=2019,I1560*$G$6,B1560=2020,I1560*$G$7,B1560=2021,I1560*$G$8,B1560=2022,I1560*$G$9,B1560=2023,I1560*$G$10)</f>
        <v>498481.64872277237</v>
      </c>
      <c r="K1560" s="8">
        <f t="shared" si="24"/>
        <v>3072210.6487227725</v>
      </c>
      <c r="L1560">
        <f>IFERROR(VLOOKUP(F1560,'LEAID Match'!$A$2:$B$240,2,FALSE),"")</f>
        <v>0</v>
      </c>
    </row>
    <row r="1561" spans="1:12" x14ac:dyDescent="0.2">
      <c r="A1561">
        <v>0</v>
      </c>
      <c r="B1561">
        <v>2019</v>
      </c>
      <c r="C1561" s="4" t="s">
        <v>321</v>
      </c>
      <c r="D1561" s="4" t="s">
        <v>576</v>
      </c>
      <c r="E1561" s="4" t="s">
        <v>578</v>
      </c>
      <c r="F1561" s="4" t="s">
        <v>280</v>
      </c>
      <c r="G1561" s="8">
        <v>2690448</v>
      </c>
      <c r="I1561" s="16" cm="1">
        <f t="array" ref="I1561">_xlfn.IFS(B1561=2015,G1561/$H$1957,B1561=2016,G1561/$H$1958,B1561=2017,G1561/$H$1959,B1561=2018,G1561/$H$1960,B1561=2019,G1561/$H$1961,B1561=2020,G1561/$H$1962,B1561=2021,G1561/$H$1963,B1561=2022,G1561/$H$1964,B1561=2023,G1561/$H$1965)</f>
        <v>3.3436797645900549E-3</v>
      </c>
      <c r="J1561" s="10" cm="1">
        <f t="array" ref="J1561">_xlfn.IFS(B1561=2015,I1561*$G$2,B1561=2016,I1561*$G$3,B1561=2017,I1561*$G$4,B1561=2018,I1561*$G$5,B1561=2019,I1561*$G$6,B1561=2020,I1561*$G$7,B1561=2021,I1561*$G$8,B1561=2022,I1561*$G$9,B1561=2023,I1561*$G$10)</f>
        <v>528395.43376756844</v>
      </c>
      <c r="K1561" s="8">
        <f t="shared" si="24"/>
        <v>3218843.4337675683</v>
      </c>
      <c r="L1561">
        <f>IFERROR(VLOOKUP(F1561,'LEAID Match'!$A$2:$B$240,2,FALSE),"")</f>
        <v>0</v>
      </c>
    </row>
    <row r="1562" spans="1:12" x14ac:dyDescent="0.2">
      <c r="A1562">
        <v>0</v>
      </c>
      <c r="B1562">
        <v>2020</v>
      </c>
      <c r="C1562" s="4" t="s">
        <v>321</v>
      </c>
      <c r="D1562" s="4" t="s">
        <v>576</v>
      </c>
      <c r="E1562" s="4" t="s">
        <v>578</v>
      </c>
      <c r="F1562" s="4" t="s">
        <v>280</v>
      </c>
      <c r="G1562" s="8">
        <v>2886707</v>
      </c>
      <c r="I1562" s="16" cm="1">
        <f t="array" ref="I1562">_xlfn.IFS(B1562=2015,G1562/$H$1957,B1562=2016,G1562/$H$1958,B1562=2017,G1562/$H$1959,B1562=2018,G1562/$H$1960,B1562=2019,G1562/$H$1961,B1562=2020,G1562/$H$1962,B1562=2021,G1562/$H$1963,B1562=2022,G1562/$H$1964,B1562=2023,G1562/$H$1965)</f>
        <v>3.3201846694495842E-3</v>
      </c>
      <c r="J1562" s="10" cm="1">
        <f t="array" ref="J1562">_xlfn.IFS(B1562=2015,I1562*$G$2,B1562=2016,I1562*$G$3,B1562=2017,I1562*$G$4,B1562=2018,I1562*$G$5,B1562=2019,I1562*$G$6,B1562=2020,I1562*$G$7,B1562=2021,I1562*$G$8,B1562=2022,I1562*$G$9,B1562=2023,I1562*$G$10)</f>
        <v>573342.41751965706</v>
      </c>
      <c r="K1562" s="8">
        <f t="shared" si="24"/>
        <v>3460049.4175196569</v>
      </c>
      <c r="L1562">
        <f>IFERROR(VLOOKUP(F1562,'LEAID Match'!$A$2:$B$240,2,FALSE),"")</f>
        <v>0</v>
      </c>
    </row>
    <row r="1563" spans="1:12" x14ac:dyDescent="0.2">
      <c r="A1563">
        <v>0</v>
      </c>
      <c r="B1563">
        <v>2021</v>
      </c>
      <c r="C1563" s="4" t="s">
        <v>321</v>
      </c>
      <c r="D1563" s="4" t="s">
        <v>576</v>
      </c>
      <c r="E1563" s="4" t="s">
        <v>578</v>
      </c>
      <c r="F1563" s="4" t="s">
        <v>280</v>
      </c>
      <c r="G1563" s="8">
        <v>2819460</v>
      </c>
      <c r="I1563" s="16" cm="1">
        <f t="array" ref="I1563">_xlfn.IFS(B1563=2015,G1563/$H$1957,B1563=2016,G1563/$H$1958,B1563=2017,G1563/$H$1959,B1563=2018,G1563/$H$1960,B1563=2019,G1563/$H$1961,B1563=2020,G1563/$H$1962,B1563=2021,G1563/$H$1963,B1563=2022,G1563/$H$1964,B1563=2023,G1563/$H$1965)</f>
        <v>3.2220644840210669E-3</v>
      </c>
      <c r="J1563" s="10" cm="1">
        <f t="array" ref="J1563">_xlfn.IFS(B1563=2015,I1563*$G$2,B1563=2016,I1563*$G$3,B1563=2017,I1563*$G$4,B1563=2018,I1563*$G$5,B1563=2019,I1563*$G$6,B1563=2020,I1563*$G$7,B1563=2021,I1563*$G$8,B1563=2022,I1563*$G$9,B1563=2023,I1563*$G$10)</f>
        <v>552960.51213566808</v>
      </c>
      <c r="K1563" s="8">
        <f t="shared" si="24"/>
        <v>3372420.5121356682</v>
      </c>
      <c r="L1563">
        <f>IFERROR(VLOOKUP(F1563,'LEAID Match'!$A$2:$B$240,2,FALSE),"")</f>
        <v>0</v>
      </c>
    </row>
    <row r="1564" spans="1:12" x14ac:dyDescent="0.2">
      <c r="A1564">
        <v>0</v>
      </c>
      <c r="B1564">
        <v>2022</v>
      </c>
      <c r="C1564" s="4" t="s">
        <v>321</v>
      </c>
      <c r="D1564" s="4" t="s">
        <v>576</v>
      </c>
      <c r="E1564" s="4" t="s">
        <v>578</v>
      </c>
      <c r="F1564" s="4" t="s">
        <v>280</v>
      </c>
      <c r="G1564" s="8">
        <v>3086672</v>
      </c>
      <c r="I1564" s="16" cm="1">
        <f t="array" ref="I1564">_xlfn.IFS(B1564=2015,G1564/$H$1957,B1564=2016,G1564/$H$1958,B1564=2017,G1564/$H$1959,B1564=2018,G1564/$H$1960,B1564=2019,G1564/$H$1961,B1564=2020,G1564/$H$1962,B1564=2021,G1564/$H$1963,B1564=2022,G1564/$H$1964,B1564=2023,G1564/$H$1965)</f>
        <v>3.3175621894238486E-3</v>
      </c>
      <c r="J1564" s="10" cm="1">
        <f t="array" ref="J1564">_xlfn.IFS(B1564=2015,I1564*$G$2,B1564=2016,I1564*$G$3,B1564=2017,I1564*$G$4,B1564=2018,I1564*$G$5,B1564=2019,I1564*$G$6,B1564=2020,I1564*$G$7,B1564=2021,I1564*$G$8,B1564=2022,I1564*$G$9,B1564=2023,I1564*$G$10)</f>
        <v>562610.93699130428</v>
      </c>
      <c r="K1564" s="8">
        <f t="shared" si="24"/>
        <v>3649282.9369913042</v>
      </c>
      <c r="L1564">
        <f>IFERROR(VLOOKUP(F1564,'LEAID Match'!$A$2:$B$240,2,FALSE),"")</f>
        <v>0</v>
      </c>
    </row>
    <row r="1565" spans="1:12" x14ac:dyDescent="0.2">
      <c r="A1565">
        <v>0</v>
      </c>
      <c r="B1565">
        <v>2023</v>
      </c>
      <c r="C1565" s="4" t="s">
        <v>321</v>
      </c>
      <c r="D1565" s="4" t="s">
        <v>576</v>
      </c>
      <c r="E1565" s="4" t="s">
        <v>578</v>
      </c>
      <c r="F1565" s="4" t="s">
        <v>280</v>
      </c>
      <c r="G1565" s="8">
        <v>3616321</v>
      </c>
      <c r="I1565" s="16" cm="1">
        <f t="array" ref="I1565">_xlfn.IFS(B1565=2015,G1565/$H$1957,B1565=2016,G1565/$H$1958,B1565=2017,G1565/$H$1959,B1565=2018,G1565/$H$1960,B1565=2019,G1565/$H$1961,B1565=2020,G1565/$H$1962,B1565=2021,G1565/$H$1963,B1565=2022,G1565/$H$1964,B1565=2023,G1565/$H$1965)</f>
        <v>3.6614873689772027E-3</v>
      </c>
      <c r="J1565" s="10" cm="1">
        <f t="array" ref="J1565">_xlfn.IFS(B1565=2015,I1565*$G$2,B1565=2016,I1565*$G$3,B1565=2017,I1565*$G$4,B1565=2018,I1565*$G$5,B1565=2019,I1565*$G$6,B1565=2020,I1565*$G$7,B1565=2021,I1565*$G$8,B1565=2022,I1565*$G$9,B1565=2023,I1565*$G$10)</f>
        <v>622399.09843006055</v>
      </c>
      <c r="K1565" s="8">
        <f t="shared" si="24"/>
        <v>4238720.0984300608</v>
      </c>
      <c r="L1565">
        <f>IFERROR(VLOOKUP(F1565,'LEAID Match'!$A$2:$B$240,2,FALSE),"")</f>
        <v>0</v>
      </c>
    </row>
    <row r="1566" spans="1:12" x14ac:dyDescent="0.2">
      <c r="A1566">
        <v>0</v>
      </c>
      <c r="B1566">
        <v>2015</v>
      </c>
      <c r="C1566" s="4" t="s">
        <v>322</v>
      </c>
      <c r="D1566" s="4" t="s">
        <v>576</v>
      </c>
      <c r="E1566" s="4" t="s">
        <v>578</v>
      </c>
      <c r="F1566" s="4" t="s">
        <v>281</v>
      </c>
      <c r="G1566" s="8">
        <v>477</v>
      </c>
      <c r="I1566" s="16" cm="1">
        <f t="array" ref="I1566">_xlfn.IFS(B1566=2015,G1566/$H$1957,B1566=2016,G1566/$H$1958,B1566=2017,G1566/$H$1959,B1566=2018,G1566/$H$1960,B1566=2019,G1566/$H$1961,B1566=2020,G1566/$H$1962,B1566=2021,G1566/$H$1963,B1566=2022,G1566/$H$1964,B1566=2023,G1566/$H$1965)</f>
        <v>3.6836729974196148E-7</v>
      </c>
      <c r="J1566" s="10" cm="1">
        <f t="array" ref="J1566">_xlfn.IFS(B1566=2015,I1566*$G$2,B1566=2016,I1566*$G$3,B1566=2017,I1566*$G$4,B1566=2018,I1566*$G$5,B1566=2019,I1566*$G$6,B1566=2020,I1566*$G$7,B1566=2021,I1566*$G$8,B1566=2022,I1566*$G$9,B1566=2023,I1566*$G$10)</f>
        <v>91.591793953638131</v>
      </c>
      <c r="K1566" s="8">
        <f t="shared" si="24"/>
        <v>568.5917939536381</v>
      </c>
      <c r="L1566">
        <f>IFERROR(VLOOKUP(F1566,'LEAID Match'!$A$2:$B$240,2,FALSE),"")</f>
        <v>0</v>
      </c>
    </row>
    <row r="1567" spans="1:12" x14ac:dyDescent="0.2">
      <c r="A1567">
        <v>0</v>
      </c>
      <c r="B1567">
        <v>2016</v>
      </c>
      <c r="C1567" s="4" t="s">
        <v>322</v>
      </c>
      <c r="D1567" s="4" t="s">
        <v>576</v>
      </c>
      <c r="E1567" s="4" t="s">
        <v>578</v>
      </c>
      <c r="F1567" s="4" t="s">
        <v>281</v>
      </c>
      <c r="G1567" s="8">
        <v>157</v>
      </c>
      <c r="I1567" s="16" cm="1">
        <f t="array" ref="I1567">_xlfn.IFS(B1567=2015,G1567/$H$1957,B1567=2016,G1567/$H$1958,B1567=2017,G1567/$H$1959,B1567=2018,G1567/$H$1960,B1567=2019,G1567/$H$1961,B1567=2020,G1567/$H$1962,B1567=2021,G1567/$H$1963,B1567=2022,G1567/$H$1964,B1567=2023,G1567/$H$1965)</f>
        <v>1.102139328814783E-7</v>
      </c>
      <c r="J1567" s="10" cm="1">
        <f t="array" ref="J1567">_xlfn.IFS(B1567=2015,I1567*$G$2,B1567=2016,I1567*$G$3,B1567=2017,I1567*$G$4,B1567=2018,I1567*$G$5,B1567=2019,I1567*$G$6,B1567=2020,I1567*$G$7,B1567=2021,I1567*$G$8,B1567=2022,I1567*$G$9,B1567=2023,I1567*$G$10)</f>
        <v>29.890358056370189</v>
      </c>
      <c r="K1567" s="8">
        <f t="shared" si="24"/>
        <v>186.89035805637019</v>
      </c>
      <c r="L1567">
        <f>IFERROR(VLOOKUP(F1567,'LEAID Match'!$A$2:$B$240,2,FALSE),"")</f>
        <v>0</v>
      </c>
    </row>
    <row r="1568" spans="1:12" x14ac:dyDescent="0.2">
      <c r="A1568">
        <v>0</v>
      </c>
      <c r="B1568">
        <v>2017</v>
      </c>
      <c r="C1568" s="4" t="s">
        <v>322</v>
      </c>
      <c r="D1568" s="4" t="s">
        <v>576</v>
      </c>
      <c r="E1568" s="4" t="s">
        <v>578</v>
      </c>
      <c r="F1568" s="4" t="s">
        <v>281</v>
      </c>
      <c r="I1568" s="16" cm="1">
        <f t="array" ref="I1568">_xlfn.IFS(B1568=2015,G1568/$H$1957,B1568=2016,G1568/$H$1958,B1568=2017,G1568/$H$1959,B1568=2018,G1568/$H$1960,B1568=2019,G1568/$H$1961,B1568=2020,G1568/$H$1962,B1568=2021,G1568/$H$1963,B1568=2022,G1568/$H$1964,B1568=2023,G1568/$H$1965)</f>
        <v>0</v>
      </c>
      <c r="J1568" s="10" cm="1">
        <f t="array" ref="J1568">_xlfn.IFS(B1568=2015,I1568*$G$2,B1568=2016,I1568*$G$3,B1568=2017,I1568*$G$4,B1568=2018,I1568*$G$5,B1568=2019,I1568*$G$6,B1568=2020,I1568*$G$7,B1568=2021,I1568*$G$8,B1568=2022,I1568*$G$9,B1568=2023,I1568*$G$10)</f>
        <v>0</v>
      </c>
      <c r="K1568" s="8">
        <f t="shared" si="24"/>
        <v>0</v>
      </c>
      <c r="L1568">
        <f>IFERROR(VLOOKUP(F1568,'LEAID Match'!$A$2:$B$240,2,FALSE),"")</f>
        <v>0</v>
      </c>
    </row>
    <row r="1569" spans="1:12" x14ac:dyDescent="0.2">
      <c r="A1569">
        <v>0</v>
      </c>
      <c r="B1569">
        <v>2018</v>
      </c>
      <c r="C1569" s="4" t="s">
        <v>322</v>
      </c>
      <c r="D1569" s="4" t="s">
        <v>576</v>
      </c>
      <c r="E1569" s="4" t="s">
        <v>578</v>
      </c>
      <c r="F1569" s="4" t="s">
        <v>281</v>
      </c>
      <c r="I1569" s="16" cm="1">
        <f t="array" ref="I1569">_xlfn.IFS(B1569=2015,G1569/$H$1957,B1569=2016,G1569/$H$1958,B1569=2017,G1569/$H$1959,B1569=2018,G1569/$H$1960,B1569=2019,G1569/$H$1961,B1569=2020,G1569/$H$1962,B1569=2021,G1569/$H$1963,B1569=2022,G1569/$H$1964,B1569=2023,G1569/$H$1965)</f>
        <v>0</v>
      </c>
      <c r="J1569" s="10" cm="1">
        <f t="array" ref="J1569">_xlfn.IFS(B1569=2015,I1569*$G$2,B1569=2016,I1569*$G$3,B1569=2017,I1569*$G$4,B1569=2018,I1569*$G$5,B1569=2019,I1569*$G$6,B1569=2020,I1569*$G$7,B1569=2021,I1569*$G$8,B1569=2022,I1569*$G$9,B1569=2023,I1569*$G$10)</f>
        <v>0</v>
      </c>
      <c r="K1569" s="8">
        <f t="shared" si="24"/>
        <v>0</v>
      </c>
      <c r="L1569">
        <f>IFERROR(VLOOKUP(F1569,'LEAID Match'!$A$2:$B$240,2,FALSE),"")</f>
        <v>0</v>
      </c>
    </row>
    <row r="1570" spans="1:12" x14ac:dyDescent="0.2">
      <c r="A1570">
        <v>0</v>
      </c>
      <c r="B1570">
        <v>2019</v>
      </c>
      <c r="C1570" s="4" t="s">
        <v>322</v>
      </c>
      <c r="D1570" s="4" t="s">
        <v>576</v>
      </c>
      <c r="E1570" s="4" t="s">
        <v>578</v>
      </c>
      <c r="F1570" s="4" t="s">
        <v>281</v>
      </c>
      <c r="I1570" s="16" cm="1">
        <f t="array" ref="I1570">_xlfn.IFS(B1570=2015,G1570/$H$1957,B1570=2016,G1570/$H$1958,B1570=2017,G1570/$H$1959,B1570=2018,G1570/$H$1960,B1570=2019,G1570/$H$1961,B1570=2020,G1570/$H$1962,B1570=2021,G1570/$H$1963,B1570=2022,G1570/$H$1964,B1570=2023,G1570/$H$1965)</f>
        <v>0</v>
      </c>
      <c r="J1570" s="10" cm="1">
        <f t="array" ref="J1570">_xlfn.IFS(B1570=2015,I1570*$G$2,B1570=2016,I1570*$G$3,B1570=2017,I1570*$G$4,B1570=2018,I1570*$G$5,B1570=2019,I1570*$G$6,B1570=2020,I1570*$G$7,B1570=2021,I1570*$G$8,B1570=2022,I1570*$G$9,B1570=2023,I1570*$G$10)</f>
        <v>0</v>
      </c>
      <c r="K1570" s="8">
        <f t="shared" si="24"/>
        <v>0</v>
      </c>
      <c r="L1570">
        <f>IFERROR(VLOOKUP(F1570,'LEAID Match'!$A$2:$B$240,2,FALSE),"")</f>
        <v>0</v>
      </c>
    </row>
    <row r="1571" spans="1:12" x14ac:dyDescent="0.2">
      <c r="A1571">
        <v>0</v>
      </c>
      <c r="B1571">
        <v>2020</v>
      </c>
      <c r="C1571" s="4" t="s">
        <v>322</v>
      </c>
      <c r="D1571" s="4" t="s">
        <v>576</v>
      </c>
      <c r="E1571" s="4" t="s">
        <v>578</v>
      </c>
      <c r="F1571" s="4" t="s">
        <v>281</v>
      </c>
      <c r="I1571" s="16" cm="1">
        <f t="array" ref="I1571">_xlfn.IFS(B1571=2015,G1571/$H$1957,B1571=2016,G1571/$H$1958,B1571=2017,G1571/$H$1959,B1571=2018,G1571/$H$1960,B1571=2019,G1571/$H$1961,B1571=2020,G1571/$H$1962,B1571=2021,G1571/$H$1963,B1571=2022,G1571/$H$1964,B1571=2023,G1571/$H$1965)</f>
        <v>0</v>
      </c>
      <c r="J1571" s="10" cm="1">
        <f t="array" ref="J1571">_xlfn.IFS(B1571=2015,I1571*$G$2,B1571=2016,I1571*$G$3,B1571=2017,I1571*$G$4,B1571=2018,I1571*$G$5,B1571=2019,I1571*$G$6,B1571=2020,I1571*$G$7,B1571=2021,I1571*$G$8,B1571=2022,I1571*$G$9,B1571=2023,I1571*$G$10)</f>
        <v>0</v>
      </c>
      <c r="K1571" s="8">
        <f t="shared" si="24"/>
        <v>0</v>
      </c>
      <c r="L1571">
        <f>IFERROR(VLOOKUP(F1571,'LEAID Match'!$A$2:$B$240,2,FALSE),"")</f>
        <v>0</v>
      </c>
    </row>
    <row r="1572" spans="1:12" x14ac:dyDescent="0.2">
      <c r="A1572">
        <v>0</v>
      </c>
      <c r="B1572">
        <v>2021</v>
      </c>
      <c r="C1572" s="4" t="s">
        <v>322</v>
      </c>
      <c r="D1572" s="4" t="s">
        <v>576</v>
      </c>
      <c r="E1572" s="4" t="s">
        <v>578</v>
      </c>
      <c r="F1572" s="4" t="s">
        <v>281</v>
      </c>
      <c r="I1572" s="16" cm="1">
        <f t="array" ref="I1572">_xlfn.IFS(B1572=2015,G1572/$H$1957,B1572=2016,G1572/$H$1958,B1572=2017,G1572/$H$1959,B1572=2018,G1572/$H$1960,B1572=2019,G1572/$H$1961,B1572=2020,G1572/$H$1962,B1572=2021,G1572/$H$1963,B1572=2022,G1572/$H$1964,B1572=2023,G1572/$H$1965)</f>
        <v>0</v>
      </c>
      <c r="J1572" s="10" cm="1">
        <f t="array" ref="J1572">_xlfn.IFS(B1572=2015,I1572*$G$2,B1572=2016,I1572*$G$3,B1572=2017,I1572*$G$4,B1572=2018,I1572*$G$5,B1572=2019,I1572*$G$6,B1572=2020,I1572*$G$7,B1572=2021,I1572*$G$8,B1572=2022,I1572*$G$9,B1572=2023,I1572*$G$10)</f>
        <v>0</v>
      </c>
      <c r="K1572" s="8">
        <f t="shared" si="24"/>
        <v>0</v>
      </c>
      <c r="L1572">
        <f>IFERROR(VLOOKUP(F1572,'LEAID Match'!$A$2:$B$240,2,FALSE),"")</f>
        <v>0</v>
      </c>
    </row>
    <row r="1573" spans="1:12" x14ac:dyDescent="0.2">
      <c r="A1573">
        <v>0</v>
      </c>
      <c r="B1573">
        <v>2022</v>
      </c>
      <c r="C1573" s="4" t="s">
        <v>322</v>
      </c>
      <c r="D1573" s="4" t="s">
        <v>576</v>
      </c>
      <c r="E1573" s="4" t="s">
        <v>578</v>
      </c>
      <c r="F1573" s="4" t="s">
        <v>281</v>
      </c>
      <c r="I1573" s="16" cm="1">
        <f t="array" ref="I1573">_xlfn.IFS(B1573=2015,G1573/$H$1957,B1573=2016,G1573/$H$1958,B1573=2017,G1573/$H$1959,B1573=2018,G1573/$H$1960,B1573=2019,G1573/$H$1961,B1573=2020,G1573/$H$1962,B1573=2021,G1573/$H$1963,B1573=2022,G1573/$H$1964,B1573=2023,G1573/$H$1965)</f>
        <v>0</v>
      </c>
      <c r="J1573" s="10" cm="1">
        <f t="array" ref="J1573">_xlfn.IFS(B1573=2015,I1573*$G$2,B1573=2016,I1573*$G$3,B1573=2017,I1573*$G$4,B1573=2018,I1573*$G$5,B1573=2019,I1573*$G$6,B1573=2020,I1573*$G$7,B1573=2021,I1573*$G$8,B1573=2022,I1573*$G$9,B1573=2023,I1573*$G$10)</f>
        <v>0</v>
      </c>
      <c r="K1573" s="8">
        <f t="shared" si="24"/>
        <v>0</v>
      </c>
      <c r="L1573">
        <f>IFERROR(VLOOKUP(F1573,'LEAID Match'!$A$2:$B$240,2,FALSE),"")</f>
        <v>0</v>
      </c>
    </row>
    <row r="1574" spans="1:12" x14ac:dyDescent="0.2">
      <c r="A1574">
        <v>0</v>
      </c>
      <c r="B1574">
        <v>2023</v>
      </c>
      <c r="C1574" s="4" t="s">
        <v>322</v>
      </c>
      <c r="D1574" s="4" t="s">
        <v>576</v>
      </c>
      <c r="E1574" s="4" t="s">
        <v>578</v>
      </c>
      <c r="F1574" s="4" t="s">
        <v>281</v>
      </c>
      <c r="I1574" s="16" cm="1">
        <f t="array" ref="I1574">_xlfn.IFS(B1574=2015,G1574/$H$1957,B1574=2016,G1574/$H$1958,B1574=2017,G1574/$H$1959,B1574=2018,G1574/$H$1960,B1574=2019,G1574/$H$1961,B1574=2020,G1574/$H$1962,B1574=2021,G1574/$H$1963,B1574=2022,G1574/$H$1964,B1574=2023,G1574/$H$1965)</f>
        <v>0</v>
      </c>
      <c r="J1574" s="10" cm="1">
        <f t="array" ref="J1574">_xlfn.IFS(B1574=2015,I1574*$G$2,B1574=2016,I1574*$G$3,B1574=2017,I1574*$G$4,B1574=2018,I1574*$G$5,B1574=2019,I1574*$G$6,B1574=2020,I1574*$G$7,B1574=2021,I1574*$G$8,B1574=2022,I1574*$G$9,B1574=2023,I1574*$G$10)</f>
        <v>0</v>
      </c>
      <c r="K1574" s="8">
        <f t="shared" si="24"/>
        <v>0</v>
      </c>
      <c r="L1574">
        <f>IFERROR(VLOOKUP(F1574,'LEAID Match'!$A$2:$B$240,2,FALSE),"")</f>
        <v>0</v>
      </c>
    </row>
    <row r="1575" spans="1:12" x14ac:dyDescent="0.2">
      <c r="A1575">
        <v>0</v>
      </c>
      <c r="B1575">
        <v>2015</v>
      </c>
      <c r="C1575" s="4" t="s">
        <v>323</v>
      </c>
      <c r="D1575" s="4" t="s">
        <v>576</v>
      </c>
      <c r="E1575" s="4" t="s">
        <v>578</v>
      </c>
      <c r="F1575" s="4" t="s">
        <v>282</v>
      </c>
      <c r="G1575" s="8">
        <v>83260</v>
      </c>
      <c r="I1575" s="16" cm="1">
        <f t="array" ref="I1575">_xlfn.IFS(B1575=2015,G1575/$H$1957,B1575=2016,G1575/$H$1958,B1575=2017,G1575/$H$1959,B1575=2018,G1575/$H$1960,B1575=2019,G1575/$H$1961,B1575=2020,G1575/$H$1962,B1575=2021,G1575/$H$1963,B1575=2022,G1575/$H$1964,B1575=2023,G1575/$H$1965)</f>
        <v>6.4298241879487874E-5</v>
      </c>
      <c r="J1575" s="10" cm="1">
        <f t="array" ref="J1575">_xlfn.IFS(B1575=2015,I1575*$G$2,B1575=2016,I1575*$G$3,B1575=2017,I1575*$G$4,B1575=2018,I1575*$G$5,B1575=2019,I1575*$G$6,B1575=2020,I1575*$G$7,B1575=2021,I1575*$G$8,B1575=2022,I1575*$G$9,B1575=2023,I1575*$G$10)</f>
        <v>15987.280428888706</v>
      </c>
      <c r="K1575" s="8">
        <f t="shared" si="24"/>
        <v>99247.280428888713</v>
      </c>
      <c r="L1575">
        <f>IFERROR(VLOOKUP(F1575,'LEAID Match'!$A$2:$B$240,2,FALSE),"")</f>
        <v>0</v>
      </c>
    </row>
    <row r="1576" spans="1:12" x14ac:dyDescent="0.2">
      <c r="A1576">
        <v>0</v>
      </c>
      <c r="B1576">
        <v>2016</v>
      </c>
      <c r="C1576" s="4" t="s">
        <v>323</v>
      </c>
      <c r="D1576" s="4" t="s">
        <v>576</v>
      </c>
      <c r="E1576" s="4" t="s">
        <v>578</v>
      </c>
      <c r="F1576" s="4" t="s">
        <v>282</v>
      </c>
      <c r="G1576" s="8">
        <v>89713</v>
      </c>
      <c r="I1576" s="16" cm="1">
        <f t="array" ref="I1576">_xlfn.IFS(B1576=2015,G1576/$H$1957,B1576=2016,G1576/$H$1958,B1576=2017,G1576/$H$1959,B1576=2018,G1576/$H$1960,B1576=2019,G1576/$H$1961,B1576=2020,G1576/$H$1962,B1576=2021,G1576/$H$1963,B1576=2022,G1576/$H$1964,B1576=2023,G1576/$H$1965)</f>
        <v>6.297848764710868E-5</v>
      </c>
      <c r="J1576" s="10" cm="1">
        <f t="array" ref="J1576">_xlfn.IFS(B1576=2015,I1576*$G$2,B1576=2016,I1576*$G$3,B1576=2017,I1576*$G$4,B1576=2018,I1576*$G$5,B1576=2019,I1576*$G$6,B1576=2020,I1576*$G$7,B1576=2021,I1576*$G$8,B1576=2022,I1576*$G$9,B1576=2023,I1576*$G$10)</f>
        <v>17079.959823637826</v>
      </c>
      <c r="K1576" s="8">
        <f t="shared" si="24"/>
        <v>106792.95982363782</v>
      </c>
      <c r="L1576">
        <f>IFERROR(VLOOKUP(F1576,'LEAID Match'!$A$2:$B$240,2,FALSE),"")</f>
        <v>0</v>
      </c>
    </row>
    <row r="1577" spans="1:12" x14ac:dyDescent="0.2">
      <c r="A1577">
        <v>0</v>
      </c>
      <c r="B1577">
        <v>2017</v>
      </c>
      <c r="C1577" s="4" t="s">
        <v>323</v>
      </c>
      <c r="D1577" s="4" t="s">
        <v>576</v>
      </c>
      <c r="E1577" s="4" t="s">
        <v>578</v>
      </c>
      <c r="F1577" s="4" t="s">
        <v>282</v>
      </c>
      <c r="G1577" s="8">
        <v>52853</v>
      </c>
      <c r="I1577" s="16" cm="1">
        <f t="array" ref="I1577">_xlfn.IFS(B1577=2015,G1577/$H$1957,B1577=2016,G1577/$H$1958,B1577=2017,G1577/$H$1959,B1577=2018,G1577/$H$1960,B1577=2019,G1577/$H$1961,B1577=2020,G1577/$H$1962,B1577=2021,G1577/$H$1963,B1577=2022,G1577/$H$1964,B1577=2023,G1577/$H$1965)</f>
        <v>7.0517149503116066E-5</v>
      </c>
      <c r="J1577" s="10" cm="1">
        <f t="array" ref="J1577">_xlfn.IFS(B1577=2015,I1577*$G$2,B1577=2016,I1577*$G$3,B1577=2017,I1577*$G$4,B1577=2018,I1577*$G$5,B1577=2019,I1577*$G$6,B1577=2020,I1577*$G$7,B1577=2021,I1577*$G$8,B1577=2022,I1577*$G$9,B1577=2023,I1577*$G$10)</f>
        <v>10442.643994885204</v>
      </c>
      <c r="K1577" s="8">
        <f t="shared" si="24"/>
        <v>63295.643994885206</v>
      </c>
      <c r="L1577">
        <f>IFERROR(VLOOKUP(F1577,'LEAID Match'!$A$2:$B$240,2,FALSE),"")</f>
        <v>0</v>
      </c>
    </row>
    <row r="1578" spans="1:12" x14ac:dyDescent="0.2">
      <c r="A1578">
        <v>0</v>
      </c>
      <c r="B1578">
        <v>2018</v>
      </c>
      <c r="C1578" s="4" t="s">
        <v>323</v>
      </c>
      <c r="D1578" s="4" t="s">
        <v>576</v>
      </c>
      <c r="E1578" s="4" t="s">
        <v>578</v>
      </c>
      <c r="F1578" s="4" t="s">
        <v>282</v>
      </c>
      <c r="G1578" s="8">
        <v>49891</v>
      </c>
      <c r="I1578" s="16" cm="1">
        <f t="array" ref="I1578">_xlfn.IFS(B1578=2015,G1578/$H$1957,B1578=2016,G1578/$H$1958,B1578=2017,G1578/$H$1959,B1578=2018,G1578/$H$1960,B1578=2019,G1578/$H$1961,B1578=2020,G1578/$H$1962,B1578=2021,G1578/$H$1963,B1578=2022,G1578/$H$1964,B1578=2023,G1578/$H$1965)</f>
        <v>6.419527093044662E-5</v>
      </c>
      <c r="J1578" s="10" cm="1">
        <f t="array" ref="J1578">_xlfn.IFS(B1578=2015,I1578*$G$2,B1578=2016,I1578*$G$3,B1578=2017,I1578*$G$4,B1578=2018,I1578*$G$5,B1578=2019,I1578*$G$6,B1578=2020,I1578*$G$7,B1578=2021,I1578*$G$8,B1578=2022,I1578*$G$9,B1578=2023,I1578*$G$10)</f>
        <v>9662.9240826939567</v>
      </c>
      <c r="K1578" s="8">
        <f t="shared" si="24"/>
        <v>59553.924082693957</v>
      </c>
      <c r="L1578">
        <f>IFERROR(VLOOKUP(F1578,'LEAID Match'!$A$2:$B$240,2,FALSE),"")</f>
        <v>0</v>
      </c>
    </row>
    <row r="1579" spans="1:12" x14ac:dyDescent="0.2">
      <c r="A1579">
        <v>0</v>
      </c>
      <c r="B1579">
        <v>2019</v>
      </c>
      <c r="C1579" s="4" t="s">
        <v>323</v>
      </c>
      <c r="D1579" s="4" t="s">
        <v>576</v>
      </c>
      <c r="E1579" s="4" t="s">
        <v>578</v>
      </c>
      <c r="F1579" s="4" t="s">
        <v>282</v>
      </c>
      <c r="G1579" s="8">
        <v>60292</v>
      </c>
      <c r="I1579" s="16" cm="1">
        <f t="array" ref="I1579">_xlfn.IFS(B1579=2015,G1579/$H$1957,B1579=2016,G1579/$H$1958,B1579=2017,G1579/$H$1959,B1579=2018,G1579/$H$1960,B1579=2019,G1579/$H$1961,B1579=2020,G1579/$H$1962,B1579=2021,G1579/$H$1963,B1579=2022,G1579/$H$1964,B1579=2023,G1579/$H$1965)</f>
        <v>7.4930695693305944E-5</v>
      </c>
      <c r="J1579" s="10" cm="1">
        <f t="array" ref="J1579">_xlfn.IFS(B1579=2015,I1579*$G$2,B1579=2016,I1579*$G$3,B1579=2017,I1579*$G$4,B1579=2018,I1579*$G$5,B1579=2019,I1579*$G$6,B1579=2020,I1579*$G$7,B1579=2021,I1579*$G$8,B1579=2022,I1579*$G$9,B1579=2023,I1579*$G$10)</f>
        <v>11841.157120566626</v>
      </c>
      <c r="K1579" s="8">
        <f t="shared" si="24"/>
        <v>72133.157120566626</v>
      </c>
      <c r="L1579">
        <f>IFERROR(VLOOKUP(F1579,'LEAID Match'!$A$2:$B$240,2,FALSE),"")</f>
        <v>0</v>
      </c>
    </row>
    <row r="1580" spans="1:12" x14ac:dyDescent="0.2">
      <c r="A1580">
        <v>0</v>
      </c>
      <c r="B1580">
        <v>2020</v>
      </c>
      <c r="C1580" s="4" t="s">
        <v>323</v>
      </c>
      <c r="D1580" s="4" t="s">
        <v>576</v>
      </c>
      <c r="E1580" s="4" t="s">
        <v>578</v>
      </c>
      <c r="F1580" s="4" t="s">
        <v>282</v>
      </c>
      <c r="G1580" s="8">
        <v>62572</v>
      </c>
      <c r="I1580" s="16" cm="1">
        <f t="array" ref="I1580">_xlfn.IFS(B1580=2015,G1580/$H$1957,B1580=2016,G1580/$H$1958,B1580=2017,G1580/$H$1959,B1580=2018,G1580/$H$1960,B1580=2019,G1580/$H$1961,B1580=2020,G1580/$H$1962,B1580=2021,G1580/$H$1963,B1580=2022,G1580/$H$1964,B1580=2023,G1580/$H$1965)</f>
        <v>7.1968022780559095E-5</v>
      </c>
      <c r="J1580" s="10" cm="1">
        <f t="array" ref="J1580">_xlfn.IFS(B1580=2015,I1580*$G$2,B1580=2016,I1580*$G$3,B1580=2017,I1580*$G$4,B1580=2018,I1580*$G$5,B1580=2019,I1580*$G$6,B1580=2020,I1580*$G$7,B1580=2021,I1580*$G$8,B1580=2022,I1580*$G$9,B1580=2023,I1580*$G$10)</f>
        <v>12427.718417227652</v>
      </c>
      <c r="K1580" s="8">
        <f t="shared" si="24"/>
        <v>74999.718417227647</v>
      </c>
      <c r="L1580">
        <f>IFERROR(VLOOKUP(F1580,'LEAID Match'!$A$2:$B$240,2,FALSE),"")</f>
        <v>0</v>
      </c>
    </row>
    <row r="1581" spans="1:12" x14ac:dyDescent="0.2">
      <c r="A1581">
        <v>0</v>
      </c>
      <c r="B1581">
        <v>2021</v>
      </c>
      <c r="C1581" s="4" t="s">
        <v>323</v>
      </c>
      <c r="D1581" s="4" t="s">
        <v>576</v>
      </c>
      <c r="E1581" s="4" t="s">
        <v>578</v>
      </c>
      <c r="F1581" s="4" t="s">
        <v>282</v>
      </c>
      <c r="G1581" s="8">
        <v>63523</v>
      </c>
      <c r="I1581" s="16" cm="1">
        <f t="array" ref="I1581">_xlfn.IFS(B1581=2015,G1581/$H$1957,B1581=2016,G1581/$H$1958,B1581=2017,G1581/$H$1959,B1581=2018,G1581/$H$1960,B1581=2019,G1581/$H$1961,B1581=2020,G1581/$H$1962,B1581=2021,G1581/$H$1963,B1581=2022,G1581/$H$1964,B1581=2023,G1581/$H$1965)</f>
        <v>7.2593759875462047E-5</v>
      </c>
      <c r="J1581" s="10" cm="1">
        <f t="array" ref="J1581">_xlfn.IFS(B1581=2015,I1581*$G$2,B1581=2016,I1581*$G$3,B1581=2017,I1581*$G$4,B1581=2018,I1581*$G$5,B1581=2019,I1581*$G$6,B1581=2020,I1581*$G$7,B1581=2021,I1581*$G$8,B1581=2022,I1581*$G$9,B1581=2023,I1581*$G$10)</f>
        <v>12458.31138317055</v>
      </c>
      <c r="K1581" s="8">
        <f t="shared" si="24"/>
        <v>75981.311383170556</v>
      </c>
      <c r="L1581">
        <f>IFERROR(VLOOKUP(F1581,'LEAID Match'!$A$2:$B$240,2,FALSE),"")</f>
        <v>0</v>
      </c>
    </row>
    <row r="1582" spans="1:12" x14ac:dyDescent="0.2">
      <c r="A1582">
        <v>0</v>
      </c>
      <c r="B1582">
        <v>2022</v>
      </c>
      <c r="C1582" s="4" t="s">
        <v>323</v>
      </c>
      <c r="D1582" s="4" t="s">
        <v>576</v>
      </c>
      <c r="E1582" s="4" t="s">
        <v>578</v>
      </c>
      <c r="F1582" s="4" t="s">
        <v>282</v>
      </c>
      <c r="G1582" s="8">
        <v>61639</v>
      </c>
      <c r="I1582" s="16" cm="1">
        <f t="array" ref="I1582">_xlfn.IFS(B1582=2015,G1582/$H$1957,B1582=2016,G1582/$H$1958,B1582=2017,G1582/$H$1959,B1582=2018,G1582/$H$1960,B1582=2019,G1582/$H$1961,B1582=2020,G1582/$H$1962,B1582=2021,G1582/$H$1963,B1582=2022,G1582/$H$1964,B1582=2023,G1582/$H$1965)</f>
        <v>6.6249739458516035E-5</v>
      </c>
      <c r="J1582" s="10" cm="1">
        <f t="array" ref="J1582">_xlfn.IFS(B1582=2015,I1582*$G$2,B1582=2016,I1582*$G$3,B1582=2017,I1582*$G$4,B1582=2018,I1582*$G$5,B1582=2019,I1582*$G$6,B1582=2020,I1582*$G$7,B1582=2021,I1582*$G$8,B1582=2022,I1582*$G$9,B1582=2023,I1582*$G$10)</f>
        <v>11235.00506215335</v>
      </c>
      <c r="K1582" s="8">
        <f t="shared" si="24"/>
        <v>72874.005062153345</v>
      </c>
      <c r="L1582">
        <f>IFERROR(VLOOKUP(F1582,'LEAID Match'!$A$2:$B$240,2,FALSE),"")</f>
        <v>0</v>
      </c>
    </row>
    <row r="1583" spans="1:12" x14ac:dyDescent="0.2">
      <c r="A1583">
        <v>0</v>
      </c>
      <c r="B1583">
        <v>2023</v>
      </c>
      <c r="C1583" s="4" t="s">
        <v>323</v>
      </c>
      <c r="D1583" s="4" t="s">
        <v>576</v>
      </c>
      <c r="E1583" s="4" t="s">
        <v>578</v>
      </c>
      <c r="F1583" s="4" t="s">
        <v>282</v>
      </c>
      <c r="G1583" s="8">
        <v>67722</v>
      </c>
      <c r="I1583" s="16" cm="1">
        <f t="array" ref="I1583">_xlfn.IFS(B1583=2015,G1583/$H$1957,B1583=2016,G1583/$H$1958,B1583=2017,G1583/$H$1959,B1583=2018,G1583/$H$1960,B1583=2019,G1583/$H$1961,B1583=2020,G1583/$H$1962,B1583=2021,G1583/$H$1963,B1583=2022,G1583/$H$1964,B1583=2023,G1583/$H$1965)</f>
        <v>6.8567820058527468E-5</v>
      </c>
      <c r="J1583" s="10" cm="1">
        <f t="array" ref="J1583">_xlfn.IFS(B1583=2015,I1583*$G$2,B1583=2016,I1583*$G$3,B1583=2017,I1583*$G$4,B1583=2018,I1583*$G$5,B1583=2019,I1583*$G$6,B1583=2020,I1583*$G$7,B1583=2021,I1583*$G$8,B1583=2022,I1583*$G$9,B1583=2023,I1583*$G$10)</f>
        <v>11655.522765783391</v>
      </c>
      <c r="K1583" s="8">
        <f t="shared" si="24"/>
        <v>79377.522765783389</v>
      </c>
      <c r="L1583">
        <f>IFERROR(VLOOKUP(F1583,'LEAID Match'!$A$2:$B$240,2,FALSE),"")</f>
        <v>0</v>
      </c>
    </row>
    <row r="1584" spans="1:12" x14ac:dyDescent="0.2">
      <c r="A1584">
        <v>0</v>
      </c>
      <c r="B1584">
        <v>2015</v>
      </c>
      <c r="C1584" s="4" t="s">
        <v>324</v>
      </c>
      <c r="D1584" s="4" t="s">
        <v>576</v>
      </c>
      <c r="E1584" s="4" t="s">
        <v>578</v>
      </c>
      <c r="F1584" s="4" t="s">
        <v>283</v>
      </c>
      <c r="G1584" s="8">
        <v>58796</v>
      </c>
      <c r="I1584" s="16" cm="1">
        <f t="array" ref="I1584">_xlfn.IFS(B1584=2015,G1584/$H$1957,B1584=2016,G1584/$H$1958,B1584=2017,G1584/$H$1959,B1584=2018,G1584/$H$1960,B1584=2019,G1584/$H$1961,B1584=2020,G1584/$H$1962,B1584=2021,G1584/$H$1963,B1584=2022,G1584/$H$1964,B1584=2023,G1584/$H$1965)</f>
        <v>4.5405710179514395E-5</v>
      </c>
      <c r="J1584" s="10" cm="1">
        <f t="array" ref="J1584">_xlfn.IFS(B1584=2015,I1584*$G$2,B1584=2016,I1584*$G$3,B1584=2017,I1584*$G$4,B1584=2018,I1584*$G$5,B1584=2019,I1584*$G$6,B1584=2020,I1584*$G$7,B1584=2021,I1584*$G$8,B1584=2022,I1584*$G$9,B1584=2023,I1584*$G$10)</f>
        <v>11289.792698738171</v>
      </c>
      <c r="K1584" s="8">
        <f t="shared" si="24"/>
        <v>70085.792698738165</v>
      </c>
      <c r="L1584">
        <f>IFERROR(VLOOKUP(F1584,'LEAID Match'!$A$2:$B$240,2,FALSE),"")</f>
        <v>0</v>
      </c>
    </row>
    <row r="1585" spans="1:12" x14ac:dyDescent="0.2">
      <c r="A1585">
        <v>0</v>
      </c>
      <c r="B1585">
        <v>2016</v>
      </c>
      <c r="C1585" s="4" t="s">
        <v>324</v>
      </c>
      <c r="D1585" s="4" t="s">
        <v>576</v>
      </c>
      <c r="E1585" s="4" t="s">
        <v>578</v>
      </c>
      <c r="F1585" s="4" t="s">
        <v>283</v>
      </c>
      <c r="G1585" s="8">
        <v>80553</v>
      </c>
      <c r="I1585" s="16" cm="1">
        <f t="array" ref="I1585">_xlfn.IFS(B1585=2015,G1585/$H$1957,B1585=2016,G1585/$H$1958,B1585=2017,G1585/$H$1959,B1585=2018,G1585/$H$1960,B1585=2019,G1585/$H$1961,B1585=2020,G1585/$H$1962,B1585=2021,G1585/$H$1963,B1585=2022,G1585/$H$1964,B1585=2023,G1585/$H$1965)</f>
        <v>5.6548171563068292E-5</v>
      </c>
      <c r="J1585" s="10" cm="1">
        <f t="array" ref="J1585">_xlfn.IFS(B1585=2015,I1585*$G$2,B1585=2016,I1585*$G$3,B1585=2017,I1585*$G$4,B1585=2018,I1585*$G$5,B1585=2019,I1585*$G$6,B1585=2020,I1585*$G$7,B1585=2021,I1585*$G$8,B1585=2022,I1585*$G$9,B1585=2023,I1585*$G$10)</f>
        <v>15336.038296272534</v>
      </c>
      <c r="K1585" s="8">
        <f t="shared" si="24"/>
        <v>95889.038296272542</v>
      </c>
      <c r="L1585">
        <f>IFERROR(VLOOKUP(F1585,'LEAID Match'!$A$2:$B$240,2,FALSE),"")</f>
        <v>0</v>
      </c>
    </row>
    <row r="1586" spans="1:12" x14ac:dyDescent="0.2">
      <c r="A1586">
        <v>0</v>
      </c>
      <c r="B1586">
        <v>2017</v>
      </c>
      <c r="C1586" s="4" t="s">
        <v>324</v>
      </c>
      <c r="D1586" s="4" t="s">
        <v>576</v>
      </c>
      <c r="E1586" s="4" t="s">
        <v>578</v>
      </c>
      <c r="F1586" s="4" t="s">
        <v>283</v>
      </c>
      <c r="G1586" s="8">
        <v>44111</v>
      </c>
      <c r="I1586" s="16" cm="1">
        <f t="array" ref="I1586">_xlfn.IFS(B1586=2015,G1586/$H$1957,B1586=2016,G1586/$H$1958,B1586=2017,G1586/$H$1959,B1586=2018,G1586/$H$1960,B1586=2019,G1586/$H$1961,B1586=2020,G1586/$H$1962,B1586=2021,G1586/$H$1963,B1586=2022,G1586/$H$1964,B1586=2023,G1586/$H$1965)</f>
        <v>5.8853461141883204E-5</v>
      </c>
      <c r="J1586" s="10" cm="1">
        <f t="array" ref="J1586">_xlfn.IFS(B1586=2015,I1586*$G$2,B1586=2016,I1586*$G$3,B1586=2017,I1586*$G$4,B1586=2018,I1586*$G$5,B1586=2019,I1586*$G$6,B1586=2020,I1586*$G$7,B1586=2021,I1586*$G$8,B1586=2022,I1586*$G$9,B1586=2023,I1586*$G$10)</f>
        <v>8715.4081936386065</v>
      </c>
      <c r="K1586" s="8">
        <f t="shared" si="24"/>
        <v>52826.408193638606</v>
      </c>
      <c r="L1586">
        <f>IFERROR(VLOOKUP(F1586,'LEAID Match'!$A$2:$B$240,2,FALSE),"")</f>
        <v>0</v>
      </c>
    </row>
    <row r="1587" spans="1:12" x14ac:dyDescent="0.2">
      <c r="A1587">
        <v>0</v>
      </c>
      <c r="B1587">
        <v>2018</v>
      </c>
      <c r="C1587" s="4" t="s">
        <v>324</v>
      </c>
      <c r="D1587" s="4" t="s">
        <v>576</v>
      </c>
      <c r="E1587" s="4" t="s">
        <v>578</v>
      </c>
      <c r="F1587" s="4" t="s">
        <v>283</v>
      </c>
      <c r="G1587" s="8">
        <v>38180</v>
      </c>
      <c r="I1587" s="16" cm="1">
        <f t="array" ref="I1587">_xlfn.IFS(B1587=2015,G1587/$H$1957,B1587=2016,G1587/$H$1958,B1587=2017,G1587/$H$1959,B1587=2018,G1587/$H$1960,B1587=2019,G1587/$H$1961,B1587=2020,G1587/$H$1962,B1587=2021,G1587/$H$1963,B1587=2022,G1587/$H$1964,B1587=2023,G1587/$H$1965)</f>
        <v>4.9126604881129909E-5</v>
      </c>
      <c r="J1587" s="10" cm="1">
        <f t="array" ref="J1587">_xlfn.IFS(B1587=2015,I1587*$G$2,B1587=2016,I1587*$G$3,B1587=2017,I1587*$G$4,B1587=2018,I1587*$G$5,B1587=2019,I1587*$G$6,B1587=2020,I1587*$G$7,B1587=2021,I1587*$G$8,B1587=2022,I1587*$G$9,B1587=2023,I1587*$G$10)</f>
        <v>7394.7293395052275</v>
      </c>
      <c r="K1587" s="8">
        <f t="shared" si="24"/>
        <v>45574.729339505226</v>
      </c>
      <c r="L1587">
        <f>IFERROR(VLOOKUP(F1587,'LEAID Match'!$A$2:$B$240,2,FALSE),"")</f>
        <v>0</v>
      </c>
    </row>
    <row r="1588" spans="1:12" x14ac:dyDescent="0.2">
      <c r="A1588">
        <v>0</v>
      </c>
      <c r="B1588">
        <v>2019</v>
      </c>
      <c r="C1588" s="4" t="s">
        <v>324</v>
      </c>
      <c r="D1588" s="4" t="s">
        <v>576</v>
      </c>
      <c r="E1588" s="4" t="s">
        <v>578</v>
      </c>
      <c r="F1588" s="4" t="s">
        <v>283</v>
      </c>
      <c r="G1588" s="8">
        <v>37845</v>
      </c>
      <c r="I1588" s="16" cm="1">
        <f t="array" ref="I1588">_xlfn.IFS(B1588=2015,G1588/$H$1957,B1588=2016,G1588/$H$1958,B1588=2017,G1588/$H$1959,B1588=2018,G1588/$H$1960,B1588=2019,G1588/$H$1961,B1588=2020,G1588/$H$1962,B1588=2021,G1588/$H$1963,B1588=2022,G1588/$H$1964,B1588=2023,G1588/$H$1965)</f>
        <v>4.703363926413394E-5</v>
      </c>
      <c r="J1588" s="10" cm="1">
        <f t="array" ref="J1588">_xlfn.IFS(B1588=2015,I1588*$G$2,B1588=2016,I1588*$G$3,B1588=2017,I1588*$G$4,B1588=2018,I1588*$G$5,B1588=2019,I1588*$G$6,B1588=2020,I1588*$G$7,B1588=2021,I1588*$G$8,B1588=2022,I1588*$G$9,B1588=2023,I1588*$G$10)</f>
        <v>7432.6376837365488</v>
      </c>
      <c r="K1588" s="8">
        <f t="shared" si="24"/>
        <v>45277.637683736546</v>
      </c>
      <c r="L1588">
        <f>IFERROR(VLOOKUP(F1588,'LEAID Match'!$A$2:$B$240,2,FALSE),"")</f>
        <v>0</v>
      </c>
    </row>
    <row r="1589" spans="1:12" x14ac:dyDescent="0.2">
      <c r="A1589">
        <v>0</v>
      </c>
      <c r="B1589">
        <v>2020</v>
      </c>
      <c r="C1589" s="4" t="s">
        <v>324</v>
      </c>
      <c r="D1589" s="4" t="s">
        <v>576</v>
      </c>
      <c r="E1589" s="4" t="s">
        <v>578</v>
      </c>
      <c r="F1589" s="4" t="s">
        <v>283</v>
      </c>
      <c r="G1589" s="8">
        <v>44992</v>
      </c>
      <c r="I1589" s="16" cm="1">
        <f t="array" ref="I1589">_xlfn.IFS(B1589=2015,G1589/$H$1957,B1589=2016,G1589/$H$1958,B1589=2017,G1589/$H$1959,B1589=2018,G1589/$H$1960,B1589=2019,G1589/$H$1961,B1589=2020,G1589/$H$1962,B1589=2021,G1589/$H$1963,B1589=2022,G1589/$H$1964,B1589=2023,G1589/$H$1965)</f>
        <v>5.1748150625565982E-5</v>
      </c>
      <c r="J1589" s="10" cm="1">
        <f t="array" ref="J1589">_xlfn.IFS(B1589=2015,I1589*$G$2,B1589=2016,I1589*$G$3,B1589=2017,I1589*$G$4,B1589=2018,I1589*$G$5,B1589=2019,I1589*$G$6,B1589=2020,I1589*$G$7,B1589=2021,I1589*$G$8,B1589=2022,I1589*$G$9,B1589=2023,I1589*$G$10)</f>
        <v>8936.0721573212704</v>
      </c>
      <c r="K1589" s="8">
        <f t="shared" si="24"/>
        <v>53928.072157321272</v>
      </c>
      <c r="L1589">
        <f>IFERROR(VLOOKUP(F1589,'LEAID Match'!$A$2:$B$240,2,FALSE),"")</f>
        <v>0</v>
      </c>
    </row>
    <row r="1590" spans="1:12" x14ac:dyDescent="0.2">
      <c r="A1590">
        <v>0</v>
      </c>
      <c r="B1590">
        <v>2021</v>
      </c>
      <c r="C1590" s="4" t="s">
        <v>324</v>
      </c>
      <c r="D1590" s="4" t="s">
        <v>576</v>
      </c>
      <c r="E1590" s="4" t="s">
        <v>578</v>
      </c>
      <c r="F1590" s="4" t="s">
        <v>283</v>
      </c>
      <c r="G1590" s="8">
        <v>48195</v>
      </c>
      <c r="I1590" s="16" cm="1">
        <f t="array" ref="I1590">_xlfn.IFS(B1590=2015,G1590/$H$1957,B1590=2016,G1590/$H$1958,B1590=2017,G1590/$H$1959,B1590=2018,G1590/$H$1960,B1590=2019,G1590/$H$1961,B1590=2020,G1590/$H$1962,B1590=2021,G1590/$H$1963,B1590=2022,G1590/$H$1964,B1590=2023,G1590/$H$1965)</f>
        <v>5.5076999782722694E-5</v>
      </c>
      <c r="J1590" s="10" cm="1">
        <f t="array" ref="J1590">_xlfn.IFS(B1590=2015,I1590*$G$2,B1590=2016,I1590*$G$3,B1590=2017,I1590*$G$4,B1590=2018,I1590*$G$5,B1590=2019,I1590*$G$6,B1590=2020,I1590*$G$7,B1590=2021,I1590*$G$8,B1590=2022,I1590*$G$9,B1590=2023,I1590*$G$10)</f>
        <v>9452.140439083556</v>
      </c>
      <c r="K1590" s="8">
        <f t="shared" si="24"/>
        <v>57647.140439083552</v>
      </c>
      <c r="L1590">
        <f>IFERROR(VLOOKUP(F1590,'LEAID Match'!$A$2:$B$240,2,FALSE),"")</f>
        <v>0</v>
      </c>
    </row>
    <row r="1591" spans="1:12" x14ac:dyDescent="0.2">
      <c r="A1591">
        <v>0</v>
      </c>
      <c r="B1591">
        <v>2022</v>
      </c>
      <c r="C1591" s="4" t="s">
        <v>324</v>
      </c>
      <c r="D1591" s="4" t="s">
        <v>576</v>
      </c>
      <c r="E1591" s="4" t="s">
        <v>578</v>
      </c>
      <c r="F1591" s="4" t="s">
        <v>283</v>
      </c>
      <c r="G1591" s="8">
        <v>38561</v>
      </c>
      <c r="I1591" s="16" cm="1">
        <f t="array" ref="I1591">_xlfn.IFS(B1591=2015,G1591/$H$1957,B1591=2016,G1591/$H$1958,B1591=2017,G1591/$H$1959,B1591=2018,G1591/$H$1960,B1591=2019,G1591/$H$1961,B1591=2020,G1591/$H$1962,B1591=2021,G1591/$H$1963,B1591=2022,G1591/$H$1964,B1591=2023,G1591/$H$1965)</f>
        <v>4.1445451796100471E-5</v>
      </c>
      <c r="J1591" s="10" cm="1">
        <f t="array" ref="J1591">_xlfn.IFS(B1591=2015,I1591*$G$2,B1591=2016,I1591*$G$3,B1591=2017,I1591*$G$4,B1591=2018,I1591*$G$5,B1591=2019,I1591*$G$6,B1591=2020,I1591*$G$7,B1591=2021,I1591*$G$8,B1591=2022,I1591*$G$9,B1591=2023,I1591*$G$10)</f>
        <v>7028.5538409399142</v>
      </c>
      <c r="K1591" s="8">
        <f t="shared" si="24"/>
        <v>45589.553840939916</v>
      </c>
      <c r="L1591">
        <f>IFERROR(VLOOKUP(F1591,'LEAID Match'!$A$2:$B$240,2,FALSE),"")</f>
        <v>0</v>
      </c>
    </row>
    <row r="1592" spans="1:12" x14ac:dyDescent="0.2">
      <c r="A1592">
        <v>0</v>
      </c>
      <c r="B1592">
        <v>2023</v>
      </c>
      <c r="C1592" s="4" t="s">
        <v>324</v>
      </c>
      <c r="D1592" s="4" t="s">
        <v>576</v>
      </c>
      <c r="E1592" s="4" t="s">
        <v>578</v>
      </c>
      <c r="F1592" s="4" t="s">
        <v>283</v>
      </c>
      <c r="G1592" s="8">
        <v>60393</v>
      </c>
      <c r="I1592" s="16" cm="1">
        <f t="array" ref="I1592">_xlfn.IFS(B1592=2015,G1592/$H$1957,B1592=2016,G1592/$H$1958,B1592=2017,G1592/$H$1959,B1592=2018,G1592/$H$1960,B1592=2019,G1592/$H$1961,B1592=2020,G1592/$H$1962,B1592=2021,G1592/$H$1963,B1592=2022,G1592/$H$1964,B1592=2023,G1592/$H$1965)</f>
        <v>6.1147283848596458E-5</v>
      </c>
      <c r="J1592" s="10" cm="1">
        <f t="array" ref="J1592">_xlfn.IFS(B1592=2015,I1592*$G$2,B1592=2016,I1592*$G$3,B1592=2017,I1592*$G$4,B1592=2018,I1592*$G$5,B1592=2019,I1592*$G$6,B1592=2020,I1592*$G$7,B1592=2021,I1592*$G$8,B1592=2022,I1592*$G$9,B1592=2023,I1592*$G$10)</f>
        <v>10394.140550987217</v>
      </c>
      <c r="K1592" s="8">
        <f t="shared" si="24"/>
        <v>70787.140550987213</v>
      </c>
      <c r="L1592">
        <f>IFERROR(VLOOKUP(F1592,'LEAID Match'!$A$2:$B$240,2,FALSE),"")</f>
        <v>0</v>
      </c>
    </row>
    <row r="1593" spans="1:12" x14ac:dyDescent="0.2">
      <c r="A1593">
        <v>0</v>
      </c>
      <c r="B1593">
        <v>2015</v>
      </c>
      <c r="C1593" s="4" t="s">
        <v>325</v>
      </c>
      <c r="D1593" s="4" t="s">
        <v>576</v>
      </c>
      <c r="E1593" s="4" t="s">
        <v>578</v>
      </c>
      <c r="F1593" s="4" t="s">
        <v>284</v>
      </c>
      <c r="G1593" s="8">
        <v>1307120</v>
      </c>
      <c r="I1593" s="16" cm="1">
        <f t="array" ref="I1593">_xlfn.IFS(B1593=2015,G1593/$H$1957,B1593=2016,G1593/$H$1958,B1593=2017,G1593/$H$1959,B1593=2018,G1593/$H$1960,B1593=2019,G1593/$H$1961,B1593=2020,G1593/$H$1962,B1593=2021,G1593/$H$1963,B1593=2022,G1593/$H$1964,B1593=2023,G1593/$H$1965)</f>
        <v>1.009434517481578E-3</v>
      </c>
      <c r="J1593" s="10" cm="1">
        <f t="array" ref="J1593">_xlfn.IFS(B1593=2015,I1593*$G$2,B1593=2016,I1593*$G$3,B1593=2017,I1593*$G$4,B1593=2018,I1593*$G$5,B1593=2019,I1593*$G$6,B1593=2020,I1593*$G$7,B1593=2021,I1593*$G$8,B1593=2022,I1593*$G$9,B1593=2023,I1593*$G$10)</f>
        <v>250988.39772050208</v>
      </c>
      <c r="K1593" s="8">
        <f t="shared" si="24"/>
        <v>1558108.397720502</v>
      </c>
      <c r="L1593">
        <f>IFERROR(VLOOKUP(F1593,'LEAID Match'!$A$2:$B$240,2,FALSE),"")</f>
        <v>0</v>
      </c>
    </row>
    <row r="1594" spans="1:12" x14ac:dyDescent="0.2">
      <c r="A1594">
        <v>0</v>
      </c>
      <c r="B1594">
        <v>2016</v>
      </c>
      <c r="C1594" s="4" t="s">
        <v>325</v>
      </c>
      <c r="D1594" s="4" t="s">
        <v>576</v>
      </c>
      <c r="E1594" s="4" t="s">
        <v>578</v>
      </c>
      <c r="F1594" s="4" t="s">
        <v>284</v>
      </c>
      <c r="G1594" s="8">
        <v>1464380</v>
      </c>
      <c r="I1594" s="16" cm="1">
        <f t="array" ref="I1594">_xlfn.IFS(B1594=2015,G1594/$H$1957,B1594=2016,G1594/$H$1958,B1594=2017,G1594/$H$1959,B1594=2018,G1594/$H$1960,B1594=2019,G1594/$H$1961,B1594=2020,G1594/$H$1962,B1594=2021,G1594/$H$1963,B1594=2022,G1594/$H$1964,B1594=2023,G1594/$H$1965)</f>
        <v>1.0279941339680202E-3</v>
      </c>
      <c r="J1594" s="10" cm="1">
        <f t="array" ref="J1594">_xlfn.IFS(B1594=2015,I1594*$G$2,B1594=2016,I1594*$G$3,B1594=2017,I1594*$G$4,B1594=2018,I1594*$G$5,B1594=2019,I1594*$G$6,B1594=2020,I1594*$G$7,B1594=2021,I1594*$G$8,B1594=2022,I1594*$G$9,B1594=2023,I1594*$G$10)</f>
        <v>278795.17535405973</v>
      </c>
      <c r="K1594" s="8">
        <f t="shared" si="24"/>
        <v>1743175.1753540598</v>
      </c>
      <c r="L1594">
        <f>IFERROR(VLOOKUP(F1594,'LEAID Match'!$A$2:$B$240,2,FALSE),"")</f>
        <v>0</v>
      </c>
    </row>
    <row r="1595" spans="1:12" x14ac:dyDescent="0.2">
      <c r="A1595">
        <v>0</v>
      </c>
      <c r="B1595">
        <v>2017</v>
      </c>
      <c r="C1595" s="4" t="s">
        <v>325</v>
      </c>
      <c r="D1595" s="4" t="s">
        <v>576</v>
      </c>
      <c r="E1595" s="4" t="s">
        <v>578</v>
      </c>
      <c r="F1595" s="4" t="s">
        <v>284</v>
      </c>
      <c r="G1595" s="8">
        <v>736698</v>
      </c>
      <c r="I1595" s="16" cm="1">
        <f t="array" ref="I1595">_xlfn.IFS(B1595=2015,G1595/$H$1957,B1595=2016,G1595/$H$1958,B1595=2017,G1595/$H$1959,B1595=2018,G1595/$H$1960,B1595=2019,G1595/$H$1961,B1595=2020,G1595/$H$1962,B1595=2021,G1595/$H$1963,B1595=2022,G1595/$H$1964,B1595=2023,G1595/$H$1965)</f>
        <v>9.8291190669681197E-4</v>
      </c>
      <c r="J1595" s="10" cm="1">
        <f t="array" ref="J1595">_xlfn.IFS(B1595=2015,I1595*$G$2,B1595=2016,I1595*$G$3,B1595=2017,I1595*$G$4,B1595=2018,I1595*$G$5,B1595=2019,I1595*$G$6,B1595=2020,I1595*$G$7,B1595=2021,I1595*$G$8,B1595=2022,I1595*$G$9,B1595=2023,I1595*$G$10)</f>
        <v>145556.06958439332</v>
      </c>
      <c r="K1595" s="8">
        <f t="shared" si="24"/>
        <v>882254.06958439329</v>
      </c>
      <c r="L1595">
        <f>IFERROR(VLOOKUP(F1595,'LEAID Match'!$A$2:$B$240,2,FALSE),"")</f>
        <v>0</v>
      </c>
    </row>
    <row r="1596" spans="1:12" x14ac:dyDescent="0.2">
      <c r="A1596">
        <v>0</v>
      </c>
      <c r="B1596">
        <v>2018</v>
      </c>
      <c r="C1596" s="4" t="s">
        <v>325</v>
      </c>
      <c r="D1596" s="4" t="s">
        <v>576</v>
      </c>
      <c r="E1596" s="4" t="s">
        <v>578</v>
      </c>
      <c r="F1596" s="4" t="s">
        <v>284</v>
      </c>
      <c r="G1596" s="8">
        <v>751033</v>
      </c>
      <c r="I1596" s="16" cm="1">
        <f t="array" ref="I1596">_xlfn.IFS(B1596=2015,G1596/$H$1957,B1596=2016,G1596/$H$1958,B1596=2017,G1596/$H$1959,B1596=2018,G1596/$H$1960,B1596=2019,G1596/$H$1961,B1596=2020,G1596/$H$1962,B1596=2021,G1596/$H$1963,B1596=2022,G1596/$H$1964,B1596=2023,G1596/$H$1965)</f>
        <v>9.6636200743032048E-4</v>
      </c>
      <c r="J1596" s="10" cm="1">
        <f t="array" ref="J1596">_xlfn.IFS(B1596=2015,I1596*$G$2,B1596=2016,I1596*$G$3,B1596=2017,I1596*$G$4,B1596=2018,I1596*$G$5,B1596=2019,I1596*$G$6,B1596=2020,I1596*$G$7,B1596=2021,I1596*$G$8,B1596=2022,I1596*$G$9,B1596=2023,I1596*$G$10)</f>
        <v>145460.60136292898</v>
      </c>
      <c r="K1596" s="8">
        <f t="shared" si="24"/>
        <v>896493.60136292898</v>
      </c>
      <c r="L1596">
        <f>IFERROR(VLOOKUP(F1596,'LEAID Match'!$A$2:$B$240,2,FALSE),"")</f>
        <v>0</v>
      </c>
    </row>
    <row r="1597" spans="1:12" x14ac:dyDescent="0.2">
      <c r="A1597">
        <v>0</v>
      </c>
      <c r="B1597">
        <v>2019</v>
      </c>
      <c r="C1597" s="4" t="s">
        <v>325</v>
      </c>
      <c r="D1597" s="4" t="s">
        <v>576</v>
      </c>
      <c r="E1597" s="4" t="s">
        <v>578</v>
      </c>
      <c r="F1597" s="4" t="s">
        <v>284</v>
      </c>
      <c r="G1597" s="8">
        <v>826108</v>
      </c>
      <c r="I1597" s="16" cm="1">
        <f t="array" ref="I1597">_xlfn.IFS(B1597=2015,G1597/$H$1957,B1597=2016,G1597/$H$1958,B1597=2017,G1597/$H$1959,B1597=2018,G1597/$H$1960,B1597=2019,G1597/$H$1961,B1597=2020,G1597/$H$1962,B1597=2021,G1597/$H$1963,B1597=2022,G1597/$H$1964,B1597=2023,G1597/$H$1965)</f>
        <v>1.0266842559179591E-3</v>
      </c>
      <c r="J1597" s="10" cm="1">
        <f t="array" ref="J1597">_xlfn.IFS(B1597=2015,I1597*$G$2,B1597=2016,I1597*$G$3,B1597=2017,I1597*$G$4,B1597=2018,I1597*$G$5,B1597=2019,I1597*$G$6,B1597=2020,I1597*$G$7,B1597=2021,I1597*$G$8,B1597=2022,I1597*$G$9,B1597=2023,I1597*$G$10)</f>
        <v>162244.98484968246</v>
      </c>
      <c r="K1597" s="8">
        <f t="shared" si="24"/>
        <v>988352.98484968243</v>
      </c>
      <c r="L1597">
        <f>IFERROR(VLOOKUP(F1597,'LEAID Match'!$A$2:$B$240,2,FALSE),"")</f>
        <v>0</v>
      </c>
    </row>
    <row r="1598" spans="1:12" x14ac:dyDescent="0.2">
      <c r="A1598">
        <v>0</v>
      </c>
      <c r="B1598">
        <v>2020</v>
      </c>
      <c r="C1598" s="4" t="s">
        <v>325</v>
      </c>
      <c r="D1598" s="4" t="s">
        <v>576</v>
      </c>
      <c r="E1598" s="4" t="s">
        <v>578</v>
      </c>
      <c r="F1598" s="4" t="s">
        <v>284</v>
      </c>
      <c r="G1598" s="8">
        <v>902300</v>
      </c>
      <c r="I1598" s="16" cm="1">
        <f t="array" ref="I1598">_xlfn.IFS(B1598=2015,G1598/$H$1957,B1598=2016,G1598/$H$1958,B1598=2017,G1598/$H$1959,B1598=2018,G1598/$H$1960,B1598=2019,G1598/$H$1961,B1598=2020,G1598/$H$1962,B1598=2021,G1598/$H$1963,B1598=2022,G1598/$H$1964,B1598=2023,G1598/$H$1965)</f>
        <v>1.0377924144169672E-3</v>
      </c>
      <c r="J1598" s="10" cm="1">
        <f t="array" ref="J1598">_xlfn.IFS(B1598=2015,I1598*$G$2,B1598=2016,I1598*$G$3,B1598=2017,I1598*$G$4,B1598=2018,I1598*$G$5,B1598=2019,I1598*$G$6,B1598=2020,I1598*$G$7,B1598=2021,I1598*$G$8,B1598=2022,I1598*$G$9,B1598=2023,I1598*$G$10)</f>
        <v>179210.03528518364</v>
      </c>
      <c r="K1598" s="8">
        <f t="shared" si="24"/>
        <v>1081510.0352851837</v>
      </c>
      <c r="L1598">
        <f>IFERROR(VLOOKUP(F1598,'LEAID Match'!$A$2:$B$240,2,FALSE),"")</f>
        <v>0</v>
      </c>
    </row>
    <row r="1599" spans="1:12" x14ac:dyDescent="0.2">
      <c r="A1599">
        <v>0</v>
      </c>
      <c r="B1599">
        <v>2021</v>
      </c>
      <c r="C1599" s="4" t="s">
        <v>325</v>
      </c>
      <c r="D1599" s="4" t="s">
        <v>576</v>
      </c>
      <c r="E1599" s="4" t="s">
        <v>578</v>
      </c>
      <c r="F1599" s="4" t="s">
        <v>284</v>
      </c>
      <c r="G1599" s="8">
        <v>908359</v>
      </c>
      <c r="I1599" s="16" cm="1">
        <f t="array" ref="I1599">_xlfn.IFS(B1599=2015,G1599/$H$1957,B1599=2016,G1599/$H$1958,B1599=2017,G1599/$H$1959,B1599=2018,G1599/$H$1960,B1599=2019,G1599/$H$1961,B1599=2020,G1599/$H$1962,B1599=2021,G1599/$H$1963,B1599=2022,G1599/$H$1964,B1599=2023,G1599/$H$1965)</f>
        <v>1.038068024600772E-3</v>
      </c>
      <c r="J1599" s="10" cm="1">
        <f t="array" ref="J1599">_xlfn.IFS(B1599=2015,I1599*$G$2,B1599=2016,I1599*$G$3,B1599=2017,I1599*$G$4,B1599=2018,I1599*$G$5,B1599=2019,I1599*$G$6,B1599=2020,I1599*$G$7,B1599=2021,I1599*$G$8,B1599=2022,I1599*$G$9,B1599=2023,I1599*$G$10)</f>
        <v>178149.94993475467</v>
      </c>
      <c r="K1599" s="8">
        <f t="shared" si="24"/>
        <v>1086508.9499347548</v>
      </c>
      <c r="L1599">
        <f>IFERROR(VLOOKUP(F1599,'LEAID Match'!$A$2:$B$240,2,FALSE),"")</f>
        <v>0</v>
      </c>
    </row>
    <row r="1600" spans="1:12" x14ac:dyDescent="0.2">
      <c r="A1600">
        <v>0</v>
      </c>
      <c r="B1600">
        <v>2022</v>
      </c>
      <c r="C1600" s="4" t="s">
        <v>325</v>
      </c>
      <c r="D1600" s="4" t="s">
        <v>576</v>
      </c>
      <c r="E1600" s="4" t="s">
        <v>578</v>
      </c>
      <c r="F1600" s="4" t="s">
        <v>284</v>
      </c>
      <c r="G1600" s="8">
        <v>904879</v>
      </c>
      <c r="I1600" s="16" cm="1">
        <f t="array" ref="I1600">_xlfn.IFS(B1600=2015,G1600/$H$1957,B1600=2016,G1600/$H$1958,B1600=2017,G1600/$H$1959,B1600=2018,G1600/$H$1960,B1600=2019,G1600/$H$1961,B1600=2020,G1600/$H$1962,B1600=2021,G1600/$H$1963,B1600=2022,G1600/$H$1964,B1600=2023,G1600/$H$1965)</f>
        <v>9.7256603759766599E-4</v>
      </c>
      <c r="J1600" s="10" cm="1">
        <f t="array" ref="J1600">_xlfn.IFS(B1600=2015,I1600*$G$2,B1600=2016,I1600*$G$3,B1600=2017,I1600*$G$4,B1600=2018,I1600*$G$5,B1600=2019,I1600*$G$6,B1600=2020,I1600*$G$7,B1600=2021,I1600*$G$8,B1600=2022,I1600*$G$9,B1600=2023,I1600*$G$10)</f>
        <v>164933.24268135859</v>
      </c>
      <c r="K1600" s="8">
        <f t="shared" si="24"/>
        <v>1069812.2426813585</v>
      </c>
      <c r="L1600">
        <f>IFERROR(VLOOKUP(F1600,'LEAID Match'!$A$2:$B$240,2,FALSE),"")</f>
        <v>0</v>
      </c>
    </row>
    <row r="1601" spans="1:12" x14ac:dyDescent="0.2">
      <c r="A1601">
        <v>0</v>
      </c>
      <c r="B1601">
        <v>2023</v>
      </c>
      <c r="C1601" s="4" t="s">
        <v>325</v>
      </c>
      <c r="D1601" s="4" t="s">
        <v>576</v>
      </c>
      <c r="E1601" s="4" t="s">
        <v>578</v>
      </c>
      <c r="F1601" s="4" t="s">
        <v>284</v>
      </c>
      <c r="G1601" s="8">
        <v>882994</v>
      </c>
      <c r="I1601" s="16" cm="1">
        <f t="array" ref="I1601">_xlfn.IFS(B1601=2015,G1601/$H$1957,B1601=2016,G1601/$H$1958,B1601=2017,G1601/$H$1959,B1601=2018,G1601/$H$1960,B1601=2019,G1601/$H$1961,B1601=2020,G1601/$H$1962,B1601=2021,G1601/$H$1963,B1601=2022,G1601/$H$1964,B1601=2023,G1601/$H$1965)</f>
        <v>8.9402223361329262E-4</v>
      </c>
      <c r="J1601" s="10" cm="1">
        <f t="array" ref="J1601">_xlfn.IFS(B1601=2015,I1601*$G$2,B1601=2016,I1601*$G$3,B1601=2017,I1601*$G$4,B1601=2018,I1601*$G$5,B1601=2019,I1601*$G$6,B1601=2020,I1601*$G$7,B1601=2021,I1601*$G$8,B1601=2022,I1601*$G$9,B1601=2023,I1601*$G$10)</f>
        <v>151970.65457384806</v>
      </c>
      <c r="K1601" s="8">
        <f t="shared" si="24"/>
        <v>1034964.654573848</v>
      </c>
      <c r="L1601">
        <f>IFERROR(VLOOKUP(F1601,'LEAID Match'!$A$2:$B$240,2,FALSE),"")</f>
        <v>0</v>
      </c>
    </row>
    <row r="1602" spans="1:12" x14ac:dyDescent="0.2">
      <c r="A1602">
        <v>0</v>
      </c>
      <c r="B1602">
        <v>2015</v>
      </c>
      <c r="C1602" s="4" t="s">
        <v>326</v>
      </c>
      <c r="D1602" s="4" t="s">
        <v>576</v>
      </c>
      <c r="E1602" s="4" t="s">
        <v>578</v>
      </c>
      <c r="F1602" s="4" t="s">
        <v>285</v>
      </c>
      <c r="G1602" s="8">
        <v>59428</v>
      </c>
      <c r="I1602" s="16" cm="1">
        <f t="array" ref="I1602">_xlfn.IFS(B1602=2015,G1602/$H$1957,B1602=2016,G1602/$H$1958,B1602=2017,G1602/$H$1959,B1602=2018,G1602/$H$1960,B1602=2019,G1602/$H$1961,B1602=2020,G1602/$H$1962,B1602=2021,G1602/$H$1963,B1602=2022,G1602/$H$1964,B1602=2023,G1602/$H$1965)</f>
        <v>4.5893777545210247E-5</v>
      </c>
      <c r="J1602" s="10" cm="1">
        <f t="array" ref="J1602">_xlfn.IFS(B1602=2015,I1602*$G$2,B1602=2016,I1602*$G$3,B1602=2017,I1602*$G$4,B1602=2018,I1602*$G$5,B1602=2019,I1602*$G$6,B1602=2020,I1602*$G$7,B1602=2021,I1602*$G$8,B1602=2022,I1602*$G$9,B1602=2023,I1602*$G$10)</f>
        <v>11411.147025318254</v>
      </c>
      <c r="K1602" s="8">
        <f t="shared" si="24"/>
        <v>70839.147025318249</v>
      </c>
      <c r="L1602">
        <f>IFERROR(VLOOKUP(F1602,'LEAID Match'!$A$2:$B$240,2,FALSE),"")</f>
        <v>0</v>
      </c>
    </row>
    <row r="1603" spans="1:12" x14ac:dyDescent="0.2">
      <c r="A1603">
        <v>0</v>
      </c>
      <c r="B1603">
        <v>2016</v>
      </c>
      <c r="C1603" s="4" t="s">
        <v>326</v>
      </c>
      <c r="D1603" s="4" t="s">
        <v>576</v>
      </c>
      <c r="E1603" s="4" t="s">
        <v>578</v>
      </c>
      <c r="F1603" s="4" t="s">
        <v>285</v>
      </c>
      <c r="G1603" s="8">
        <v>57478</v>
      </c>
      <c r="I1603" s="16" cm="1">
        <f t="array" ref="I1603">_xlfn.IFS(B1603=2015,G1603/$H$1957,B1603=2016,G1603/$H$1958,B1603=2017,G1603/$H$1959,B1603=2018,G1603/$H$1960,B1603=2019,G1603/$H$1961,B1603=2020,G1603/$H$1962,B1603=2021,G1603/$H$1963,B1603=2022,G1603/$H$1964,B1603=2023,G1603/$H$1965)</f>
        <v>4.0349531427780954E-5</v>
      </c>
      <c r="J1603" s="10" cm="1">
        <f t="array" ref="J1603">_xlfn.IFS(B1603=2015,I1603*$G$2,B1603=2016,I1603*$G$3,B1603=2017,I1603*$G$4,B1603=2018,I1603*$G$5,B1603=2019,I1603*$G$6,B1603=2020,I1603*$G$7,B1603=2021,I1603*$G$8,B1603=2022,I1603*$G$9,B1603=2023,I1603*$G$10)</f>
        <v>10942.917199770993</v>
      </c>
      <c r="K1603" s="8">
        <f t="shared" si="24"/>
        <v>68420.917199770993</v>
      </c>
      <c r="L1603">
        <f>IFERROR(VLOOKUP(F1603,'LEAID Match'!$A$2:$B$240,2,FALSE),"")</f>
        <v>0</v>
      </c>
    </row>
    <row r="1604" spans="1:12" x14ac:dyDescent="0.2">
      <c r="A1604">
        <v>0</v>
      </c>
      <c r="B1604">
        <v>2017</v>
      </c>
      <c r="C1604" s="4" t="s">
        <v>326</v>
      </c>
      <c r="D1604" s="4" t="s">
        <v>576</v>
      </c>
      <c r="E1604" s="4" t="s">
        <v>578</v>
      </c>
      <c r="F1604" s="4" t="s">
        <v>285</v>
      </c>
      <c r="G1604" s="8">
        <v>31536</v>
      </c>
      <c r="I1604" s="16" cm="1">
        <f t="array" ref="I1604">_xlfn.IFS(B1604=2015,G1604/$H$1957,B1604=2016,G1604/$H$1958,B1604=2017,G1604/$H$1959,B1604=2018,G1604/$H$1960,B1604=2019,G1604/$H$1961,B1604=2020,G1604/$H$1962,B1604=2021,G1604/$H$1963,B1604=2022,G1604/$H$1964,B1604=2023,G1604/$H$1965)</f>
        <v>4.2075735090349999E-5</v>
      </c>
      <c r="J1604" s="10" cm="1">
        <f t="array" ref="J1604">_xlfn.IFS(B1604=2015,I1604*$G$2,B1604=2016,I1604*$G$3,B1604=2017,I1604*$G$4,B1604=2018,I1604*$G$5,B1604=2019,I1604*$G$6,B1604=2020,I1604*$G$7,B1604=2021,I1604*$G$8,B1604=2022,I1604*$G$9,B1604=2023,I1604*$G$10)</f>
        <v>6230.8520050460684</v>
      </c>
      <c r="K1604" s="8">
        <f t="shared" si="24"/>
        <v>37766.852005046065</v>
      </c>
      <c r="L1604">
        <f>IFERROR(VLOOKUP(F1604,'LEAID Match'!$A$2:$B$240,2,FALSE),"")</f>
        <v>0</v>
      </c>
    </row>
    <row r="1605" spans="1:12" x14ac:dyDescent="0.2">
      <c r="A1605">
        <v>0</v>
      </c>
      <c r="B1605">
        <v>2018</v>
      </c>
      <c r="C1605" s="4" t="s">
        <v>326</v>
      </c>
      <c r="D1605" s="4" t="s">
        <v>576</v>
      </c>
      <c r="E1605" s="4" t="s">
        <v>578</v>
      </c>
      <c r="F1605" s="4" t="s">
        <v>285</v>
      </c>
      <c r="G1605" s="8">
        <v>32854</v>
      </c>
      <c r="I1605" s="16" cm="1">
        <f t="array" ref="I1605">_xlfn.IFS(B1605=2015,G1605/$H$1957,B1605=2016,G1605/$H$1958,B1605=2017,G1605/$H$1959,B1605=2018,G1605/$H$1960,B1605=2019,G1605/$H$1961,B1605=2020,G1605/$H$1962,B1605=2021,G1605/$H$1963,B1605=2022,G1605/$H$1964,B1605=2023,G1605/$H$1965)</f>
        <v>4.2273585038361499E-5</v>
      </c>
      <c r="J1605" s="10" cm="1">
        <f t="array" ref="J1605">_xlfn.IFS(B1605=2015,I1605*$G$2,B1605=2016,I1605*$G$3,B1605=2017,I1605*$G$4,B1605=2018,I1605*$G$5,B1605=2019,I1605*$G$6,B1605=2020,I1605*$G$7,B1605=2021,I1605*$G$8,B1605=2022,I1605*$G$9,B1605=2023,I1605*$G$10)</f>
        <v>6363.1859015218633</v>
      </c>
      <c r="K1605" s="8">
        <f t="shared" si="24"/>
        <v>39217.185901521865</v>
      </c>
      <c r="L1605">
        <f>IFERROR(VLOOKUP(F1605,'LEAID Match'!$A$2:$B$240,2,FALSE),"")</f>
        <v>0</v>
      </c>
    </row>
    <row r="1606" spans="1:12" x14ac:dyDescent="0.2">
      <c r="A1606">
        <v>0</v>
      </c>
      <c r="B1606">
        <v>2019</v>
      </c>
      <c r="C1606" s="4" t="s">
        <v>326</v>
      </c>
      <c r="D1606" s="4" t="s">
        <v>576</v>
      </c>
      <c r="E1606" s="4" t="s">
        <v>578</v>
      </c>
      <c r="F1606" s="4" t="s">
        <v>285</v>
      </c>
      <c r="G1606" s="8">
        <v>35404</v>
      </c>
      <c r="I1606" s="16" cm="1">
        <f t="array" ref="I1606">_xlfn.IFS(B1606=2015,G1606/$H$1957,B1606=2016,G1606/$H$1958,B1606=2017,G1606/$H$1959,B1606=2018,G1606/$H$1960,B1606=2019,G1606/$H$1961,B1606=2020,G1606/$H$1962,B1606=2021,G1606/$H$1963,B1606=2022,G1606/$H$1964,B1606=2023,G1606/$H$1965)</f>
        <v>4.3999972638588929E-5</v>
      </c>
      <c r="J1606" s="10" cm="1">
        <f t="array" ref="J1606">_xlfn.IFS(B1606=2015,I1606*$G$2,B1606=2016,I1606*$G$3,B1606=2017,I1606*$G$4,B1606=2018,I1606*$G$5,B1606=2019,I1606*$G$6,B1606=2020,I1606*$G$7,B1606=2021,I1606*$G$8,B1606=2022,I1606*$G$9,B1606=2023,I1606*$G$10)</f>
        <v>6953.2330441275935</v>
      </c>
      <c r="K1606" s="8">
        <f t="shared" si="24"/>
        <v>42357.233044127592</v>
      </c>
      <c r="L1606">
        <f>IFERROR(VLOOKUP(F1606,'LEAID Match'!$A$2:$B$240,2,FALSE),"")</f>
        <v>0</v>
      </c>
    </row>
    <row r="1607" spans="1:12" x14ac:dyDescent="0.2">
      <c r="A1607">
        <v>0</v>
      </c>
      <c r="B1607">
        <v>2020</v>
      </c>
      <c r="C1607" s="4" t="s">
        <v>326</v>
      </c>
      <c r="D1607" s="4" t="s">
        <v>576</v>
      </c>
      <c r="E1607" s="4" t="s">
        <v>578</v>
      </c>
      <c r="F1607" s="4" t="s">
        <v>285</v>
      </c>
      <c r="G1607" s="8">
        <v>37959</v>
      </c>
      <c r="I1607" s="16" cm="1">
        <f t="array" ref="I1607">_xlfn.IFS(B1607=2015,G1607/$H$1957,B1607=2016,G1607/$H$1958,B1607=2017,G1607/$H$1959,B1607=2018,G1607/$H$1960,B1607=2019,G1607/$H$1961,B1607=2020,G1607/$H$1962,B1607=2021,G1607/$H$1963,B1607=2022,G1607/$H$1964,B1607=2023,G1607/$H$1965)</f>
        <v>4.3659051600192458E-5</v>
      </c>
      <c r="J1607" s="10" cm="1">
        <f t="array" ref="J1607">_xlfn.IFS(B1607=2015,I1607*$G$2,B1607=2016,I1607*$G$3,B1607=2017,I1607*$G$4,B1607=2018,I1607*$G$5,B1607=2019,I1607*$G$6,B1607=2020,I1607*$G$7,B1607=2021,I1607*$G$8,B1607=2022,I1607*$G$9,B1607=2023,I1607*$G$10)</f>
        <v>7539.2150386681651</v>
      </c>
      <c r="K1607" s="8">
        <f t="shared" si="24"/>
        <v>45498.215038668168</v>
      </c>
      <c r="L1607">
        <f>IFERROR(VLOOKUP(F1607,'LEAID Match'!$A$2:$B$240,2,FALSE),"")</f>
        <v>0</v>
      </c>
    </row>
    <row r="1608" spans="1:12" x14ac:dyDescent="0.2">
      <c r="A1608">
        <v>0</v>
      </c>
      <c r="B1608">
        <v>2021</v>
      </c>
      <c r="C1608" s="4" t="s">
        <v>326</v>
      </c>
      <c r="D1608" s="4" t="s">
        <v>576</v>
      </c>
      <c r="E1608" s="4" t="s">
        <v>578</v>
      </c>
      <c r="F1608" s="4" t="s">
        <v>285</v>
      </c>
      <c r="G1608" s="8">
        <v>39332</v>
      </c>
      <c r="I1608" s="16" cm="1">
        <f t="array" ref="I1608">_xlfn.IFS(B1608=2015,G1608/$H$1957,B1608=2016,G1608/$H$1958,B1608=2017,G1608/$H$1959,B1608=2018,G1608/$H$1960,B1608=2019,G1608/$H$1961,B1608=2020,G1608/$H$1962,B1608=2021,G1608/$H$1963,B1608=2022,G1608/$H$1964,B1608=2023,G1608/$H$1965)</f>
        <v>4.4948408661770911E-5</v>
      </c>
      <c r="J1608" s="10" cm="1">
        <f t="array" ref="J1608">_xlfn.IFS(B1608=2015,I1608*$G$2,B1608=2016,I1608*$G$3,B1608=2017,I1608*$G$4,B1608=2018,I1608*$G$5,B1608=2019,I1608*$G$6,B1608=2020,I1608*$G$7,B1608=2021,I1608*$G$8,B1608=2022,I1608*$G$9,B1608=2023,I1608*$G$10)</f>
        <v>7713.9036777681176</v>
      </c>
      <c r="K1608" s="8">
        <f t="shared" si="24"/>
        <v>47045.903677768118</v>
      </c>
      <c r="L1608">
        <f>IFERROR(VLOOKUP(F1608,'LEAID Match'!$A$2:$B$240,2,FALSE),"")</f>
        <v>0</v>
      </c>
    </row>
    <row r="1609" spans="1:12" x14ac:dyDescent="0.2">
      <c r="A1609">
        <v>0</v>
      </c>
      <c r="B1609">
        <v>2022</v>
      </c>
      <c r="C1609" s="4" t="s">
        <v>326</v>
      </c>
      <c r="D1609" s="4" t="s">
        <v>576</v>
      </c>
      <c r="E1609" s="4" t="s">
        <v>578</v>
      </c>
      <c r="F1609" s="4" t="s">
        <v>285</v>
      </c>
      <c r="G1609" s="8">
        <v>41566</v>
      </c>
      <c r="I1609" s="16" cm="1">
        <f t="array" ref="I1609">_xlfn.IFS(B1609=2015,G1609/$H$1957,B1609=2016,G1609/$H$1958,B1609=2017,G1609/$H$1959,B1609=2018,G1609/$H$1960,B1609=2019,G1609/$H$1961,B1609=2020,G1609/$H$1962,B1609=2021,G1609/$H$1963,B1609=2022,G1609/$H$1964,B1609=2023,G1609/$H$1965)</f>
        <v>4.4675232731431039E-5</v>
      </c>
      <c r="J1609" s="10" cm="1">
        <f t="array" ref="J1609">_xlfn.IFS(B1609=2015,I1609*$G$2,B1609=2016,I1609*$G$3,B1609=2017,I1609*$G$4,B1609=2018,I1609*$G$5,B1609=2019,I1609*$G$6,B1609=2020,I1609*$G$7,B1609=2021,I1609*$G$8,B1609=2022,I1609*$G$9,B1609=2023,I1609*$G$10)</f>
        <v>7576.2783369857752</v>
      </c>
      <c r="K1609" s="8">
        <f t="shared" si="24"/>
        <v>49142.278336985779</v>
      </c>
      <c r="L1609">
        <f>IFERROR(VLOOKUP(F1609,'LEAID Match'!$A$2:$B$240,2,FALSE),"")</f>
        <v>0</v>
      </c>
    </row>
    <row r="1610" spans="1:12" x14ac:dyDescent="0.2">
      <c r="A1610">
        <v>0</v>
      </c>
      <c r="B1610">
        <v>2023</v>
      </c>
      <c r="C1610" s="4" t="s">
        <v>326</v>
      </c>
      <c r="D1610" s="4" t="s">
        <v>576</v>
      </c>
      <c r="E1610" s="4" t="s">
        <v>578</v>
      </c>
      <c r="F1610" s="4" t="s">
        <v>285</v>
      </c>
      <c r="G1610" s="8">
        <v>49471</v>
      </c>
      <c r="I1610" s="16" cm="1">
        <f t="array" ref="I1610">_xlfn.IFS(B1610=2015,G1610/$H$1957,B1610=2016,G1610/$H$1958,B1610=2017,G1610/$H$1959,B1610=2018,G1610/$H$1960,B1610=2019,G1610/$H$1961,B1610=2020,G1610/$H$1962,B1610=2021,G1610/$H$1963,B1610=2022,G1610/$H$1964,B1610=2023,G1610/$H$1965)</f>
        <v>5.0088872539431975E-5</v>
      </c>
      <c r="J1610" s="10" cm="1">
        <f t="array" ref="J1610">_xlfn.IFS(B1610=2015,I1610*$G$2,B1610=2016,I1610*$G$3,B1610=2017,I1610*$G$4,B1610=2018,I1610*$G$5,B1610=2019,I1610*$G$6,B1610=2020,I1610*$G$7,B1610=2021,I1610*$G$8,B1610=2022,I1610*$G$9,B1610=2023,I1610*$G$10)</f>
        <v>8514.3729769656838</v>
      </c>
      <c r="K1610" s="8">
        <f t="shared" si="24"/>
        <v>57985.372976965686</v>
      </c>
      <c r="L1610">
        <f>IFERROR(VLOOKUP(F1610,'LEAID Match'!$A$2:$B$240,2,FALSE),"")</f>
        <v>0</v>
      </c>
    </row>
    <row r="1611" spans="1:12" x14ac:dyDescent="0.2">
      <c r="A1611">
        <v>0</v>
      </c>
      <c r="B1611">
        <v>2015</v>
      </c>
      <c r="C1611" s="4" t="s">
        <v>327</v>
      </c>
      <c r="D1611" s="4" t="s">
        <v>576</v>
      </c>
      <c r="E1611" s="4" t="s">
        <v>578</v>
      </c>
      <c r="F1611" s="4" t="s">
        <v>286</v>
      </c>
      <c r="G1611" s="8">
        <v>89700</v>
      </c>
      <c r="I1611" s="16" cm="1">
        <f t="array" ref="I1611">_xlfn.IFS(B1611=2015,G1611/$H$1957,B1611=2016,G1611/$H$1958,B1611=2017,G1611/$H$1959,B1611=2018,G1611/$H$1960,B1611=2019,G1611/$H$1961,B1611=2020,G1611/$H$1962,B1611=2021,G1611/$H$1963,B1611=2022,G1611/$H$1964,B1611=2023,G1611/$H$1965)</f>
        <v>6.9271586555249366E-5</v>
      </c>
      <c r="J1611" s="10" cm="1">
        <f t="array" ref="J1611">_xlfn.IFS(B1611=2015,I1611*$G$2,B1611=2016,I1611*$G$3,B1611=2017,I1611*$G$4,B1611=2018,I1611*$G$5,B1611=2019,I1611*$G$6,B1611=2020,I1611*$G$7,B1611=2021,I1611*$G$8,B1611=2022,I1611*$G$9,B1611=2023,I1611*$G$10)</f>
        <v>17223.865655432583</v>
      </c>
      <c r="K1611" s="8">
        <f t="shared" si="24"/>
        <v>106923.86565543259</v>
      </c>
      <c r="L1611">
        <f>IFERROR(VLOOKUP(F1611,'LEAID Match'!$A$2:$B$240,2,FALSE),"")</f>
        <v>0</v>
      </c>
    </row>
    <row r="1612" spans="1:12" x14ac:dyDescent="0.2">
      <c r="A1612">
        <v>0</v>
      </c>
      <c r="B1612">
        <v>2016</v>
      </c>
      <c r="C1612" s="4" t="s">
        <v>327</v>
      </c>
      <c r="D1612" s="4" t="s">
        <v>576</v>
      </c>
      <c r="E1612" s="4" t="s">
        <v>578</v>
      </c>
      <c r="F1612" s="4" t="s">
        <v>286</v>
      </c>
      <c r="G1612" s="8">
        <v>88878</v>
      </c>
      <c r="I1612" s="16" cm="1">
        <f t="array" ref="I1612">_xlfn.IFS(B1612=2015,G1612/$H$1957,B1612=2016,G1612/$H$1958,B1612=2017,G1612/$H$1959,B1612=2018,G1612/$H$1960,B1612=2019,G1612/$H$1961,B1612=2020,G1612/$H$1962,B1612=2021,G1612/$H$1963,B1612=2022,G1612/$H$1964,B1612=2023,G1612/$H$1965)</f>
        <v>6.2392318004076612E-5</v>
      </c>
      <c r="J1612" s="10" cm="1">
        <f t="array" ref="J1612">_xlfn.IFS(B1612=2015,I1612*$G$2,B1612=2016,I1612*$G$3,B1612=2017,I1612*$G$4,B1612=2018,I1612*$G$5,B1612=2019,I1612*$G$6,B1612=2020,I1612*$G$7,B1612=2021,I1612*$G$8,B1612=2022,I1612*$G$9,B1612=2023,I1612*$G$10)</f>
        <v>16920.98881104503</v>
      </c>
      <c r="K1612" s="8">
        <f t="shared" ref="K1612:K1675" si="25">SUM(G1612,J1612)</f>
        <v>105798.98881104503</v>
      </c>
      <c r="L1612">
        <f>IFERROR(VLOOKUP(F1612,'LEAID Match'!$A$2:$B$240,2,FALSE),"")</f>
        <v>0</v>
      </c>
    </row>
    <row r="1613" spans="1:12" x14ac:dyDescent="0.2">
      <c r="A1613">
        <v>0</v>
      </c>
      <c r="B1613">
        <v>2017</v>
      </c>
      <c r="C1613" s="4" t="s">
        <v>327</v>
      </c>
      <c r="D1613" s="4" t="s">
        <v>576</v>
      </c>
      <c r="E1613" s="4" t="s">
        <v>578</v>
      </c>
      <c r="F1613" s="4" t="s">
        <v>286</v>
      </c>
      <c r="G1613" s="8">
        <v>39773</v>
      </c>
      <c r="I1613" s="16" cm="1">
        <f t="array" ref="I1613">_xlfn.IFS(B1613=2015,G1613/$H$1957,B1613=2016,G1613/$H$1958,B1613=2017,G1613/$H$1959,B1613=2018,G1613/$H$1960,B1613=2019,G1613/$H$1961,B1613=2020,G1613/$H$1962,B1613=2021,G1613/$H$1963,B1613=2022,G1613/$H$1964,B1613=2023,G1613/$H$1965)</f>
        <v>5.3065645983906979E-5</v>
      </c>
      <c r="J1613" s="10" cm="1">
        <f t="array" ref="J1613">_xlfn.IFS(B1613=2015,I1613*$G$2,B1613=2016,I1613*$G$3,B1613=2017,I1613*$G$4,B1613=2018,I1613*$G$5,B1613=2019,I1613*$G$6,B1613=2020,I1613*$G$7,B1613=2021,I1613*$G$8,B1613=2022,I1613*$G$9,B1613=2023,I1613*$G$10)</f>
        <v>7858.3104007070415</v>
      </c>
      <c r="K1613" s="8">
        <f t="shared" si="25"/>
        <v>47631.310400707043</v>
      </c>
      <c r="L1613">
        <f>IFERROR(VLOOKUP(F1613,'LEAID Match'!$A$2:$B$240,2,FALSE),"")</f>
        <v>0</v>
      </c>
    </row>
    <row r="1614" spans="1:12" x14ac:dyDescent="0.2">
      <c r="A1614">
        <v>0</v>
      </c>
      <c r="B1614">
        <v>2018</v>
      </c>
      <c r="C1614" s="4" t="s">
        <v>327</v>
      </c>
      <c r="D1614" s="4" t="s">
        <v>576</v>
      </c>
      <c r="E1614" s="4" t="s">
        <v>578</v>
      </c>
      <c r="F1614" s="4" t="s">
        <v>286</v>
      </c>
      <c r="G1614" s="8">
        <v>48142</v>
      </c>
      <c r="I1614" s="16" cm="1">
        <f t="array" ref="I1614">_xlfn.IFS(B1614=2015,G1614/$H$1957,B1614=2016,G1614/$H$1958,B1614=2017,G1614/$H$1959,B1614=2018,G1614/$H$1960,B1614=2019,G1614/$H$1961,B1614=2020,G1614/$H$1962,B1614=2021,G1614/$H$1963,B1614=2022,G1614/$H$1964,B1614=2023,G1614/$H$1965)</f>
        <v>6.1944814357971602E-5</v>
      </c>
      <c r="J1614" s="10" cm="1">
        <f t="array" ref="J1614">_xlfn.IFS(B1614=2015,I1614*$G$2,B1614=2016,I1614*$G$3,B1614=2017,I1614*$G$4,B1614=2018,I1614*$G$5,B1614=2019,I1614*$G$6,B1614=2020,I1614*$G$7,B1614=2021,I1614*$G$8,B1614=2022,I1614*$G$9,B1614=2023,I1614*$G$10)</f>
        <v>9324.1765286134269</v>
      </c>
      <c r="K1614" s="8">
        <f t="shared" si="25"/>
        <v>57466.176528613425</v>
      </c>
      <c r="L1614">
        <f>IFERROR(VLOOKUP(F1614,'LEAID Match'!$A$2:$B$240,2,FALSE),"")</f>
        <v>0</v>
      </c>
    </row>
    <row r="1615" spans="1:12" x14ac:dyDescent="0.2">
      <c r="A1615">
        <v>0</v>
      </c>
      <c r="B1615">
        <v>2019</v>
      </c>
      <c r="C1615" s="4" t="s">
        <v>327</v>
      </c>
      <c r="D1615" s="4" t="s">
        <v>576</v>
      </c>
      <c r="E1615" s="4" t="s">
        <v>578</v>
      </c>
      <c r="F1615" s="4" t="s">
        <v>286</v>
      </c>
      <c r="G1615" s="8">
        <v>48921</v>
      </c>
      <c r="I1615" s="16" cm="1">
        <f t="array" ref="I1615">_xlfn.IFS(B1615=2015,G1615/$H$1957,B1615=2016,G1615/$H$1958,B1615=2017,G1615/$H$1959,B1615=2018,G1615/$H$1960,B1615=2019,G1615/$H$1961,B1615=2020,G1615/$H$1962,B1615=2021,G1615/$H$1963,B1615=2022,G1615/$H$1964,B1615=2023,G1615/$H$1965)</f>
        <v>6.0798854972670009E-5</v>
      </c>
      <c r="J1615" s="10" cm="1">
        <f t="array" ref="J1615">_xlfn.IFS(B1615=2015,I1615*$G$2,B1615=2016,I1615*$G$3,B1615=2017,I1615*$G$4,B1615=2018,I1615*$G$5,B1615=2019,I1615*$G$6,B1615=2020,I1615*$G$7,B1615=2021,I1615*$G$8,B1615=2022,I1615*$G$9,B1615=2023,I1615*$G$10)</f>
        <v>9607.9288710814035</v>
      </c>
      <c r="K1615" s="8">
        <f t="shared" si="25"/>
        <v>58528.9288710814</v>
      </c>
      <c r="L1615">
        <f>IFERROR(VLOOKUP(F1615,'LEAID Match'!$A$2:$B$240,2,FALSE),"")</f>
        <v>0</v>
      </c>
    </row>
    <row r="1616" spans="1:12" x14ac:dyDescent="0.2">
      <c r="A1616">
        <v>0</v>
      </c>
      <c r="B1616">
        <v>2020</v>
      </c>
      <c r="C1616" s="4" t="s">
        <v>327</v>
      </c>
      <c r="D1616" s="4" t="s">
        <v>576</v>
      </c>
      <c r="E1616" s="4" t="s">
        <v>578</v>
      </c>
      <c r="F1616" s="4" t="s">
        <v>286</v>
      </c>
      <c r="G1616" s="8">
        <v>42267</v>
      </c>
      <c r="I1616" s="16" cm="1">
        <f t="array" ref="I1616">_xlfn.IFS(B1616=2015,G1616/$H$1957,B1616=2016,G1616/$H$1958,B1616=2017,G1616/$H$1959,B1616=2018,G1616/$H$1960,B1616=2019,G1616/$H$1961,B1616=2020,G1616/$H$1962,B1616=2021,G1616/$H$1963,B1616=2022,G1616/$H$1964,B1616=2023,G1616/$H$1965)</f>
        <v>4.8613955425204423E-5</v>
      </c>
      <c r="J1616" s="10" cm="1">
        <f t="array" ref="J1616">_xlfn.IFS(B1616=2015,I1616*$G$2,B1616=2016,I1616*$G$3,B1616=2017,I1616*$G$4,B1616=2018,I1616*$G$5,B1616=2019,I1616*$G$6,B1616=2020,I1616*$G$7,B1616=2021,I1616*$G$8,B1616=2022,I1616*$G$9,B1616=2023,I1616*$G$10)</f>
        <v>8394.8471255667264</v>
      </c>
      <c r="K1616" s="8">
        <f t="shared" si="25"/>
        <v>50661.847125566725</v>
      </c>
      <c r="L1616">
        <f>IFERROR(VLOOKUP(F1616,'LEAID Match'!$A$2:$B$240,2,FALSE),"")</f>
        <v>0</v>
      </c>
    </row>
    <row r="1617" spans="1:12" x14ac:dyDescent="0.2">
      <c r="A1617">
        <v>0</v>
      </c>
      <c r="B1617">
        <v>2021</v>
      </c>
      <c r="C1617" s="4" t="s">
        <v>327</v>
      </c>
      <c r="D1617" s="4" t="s">
        <v>576</v>
      </c>
      <c r="E1617" s="4" t="s">
        <v>578</v>
      </c>
      <c r="F1617" s="4" t="s">
        <v>286</v>
      </c>
      <c r="G1617" s="8">
        <v>50398</v>
      </c>
      <c r="I1617" s="16" cm="1">
        <f t="array" ref="I1617">_xlfn.IFS(B1617=2015,G1617/$H$1957,B1617=2016,G1617/$H$1958,B1617=2017,G1617/$H$1959,B1617=2018,G1617/$H$1960,B1617=2019,G1617/$H$1961,B1617=2020,G1617/$H$1962,B1617=2021,G1617/$H$1963,B1617=2022,G1617/$H$1964,B1617=2023,G1617/$H$1965)</f>
        <v>5.7594576928097483E-5</v>
      </c>
      <c r="J1617" s="10" cm="1">
        <f t="array" ref="J1617">_xlfn.IFS(B1617=2015,I1617*$G$2,B1617=2016,I1617*$G$3,B1617=2017,I1617*$G$4,B1617=2018,I1617*$G$5,B1617=2019,I1617*$G$6,B1617=2020,I1617*$G$7,B1617=2021,I1617*$G$8,B1617=2022,I1617*$G$9,B1617=2023,I1617*$G$10)</f>
        <v>9884.1990631586905</v>
      </c>
      <c r="K1617" s="8">
        <f t="shared" si="25"/>
        <v>60282.199063158689</v>
      </c>
      <c r="L1617">
        <f>IFERROR(VLOOKUP(F1617,'LEAID Match'!$A$2:$B$240,2,FALSE),"")</f>
        <v>0</v>
      </c>
    </row>
    <row r="1618" spans="1:12" x14ac:dyDescent="0.2">
      <c r="A1618">
        <v>0</v>
      </c>
      <c r="B1618">
        <v>2022</v>
      </c>
      <c r="C1618" s="4" t="s">
        <v>327</v>
      </c>
      <c r="D1618" s="4" t="s">
        <v>576</v>
      </c>
      <c r="E1618" s="4" t="s">
        <v>578</v>
      </c>
      <c r="F1618" s="4" t="s">
        <v>286</v>
      </c>
      <c r="G1618" s="8">
        <v>49275</v>
      </c>
      <c r="I1618" s="16" cm="1">
        <f t="array" ref="I1618">_xlfn.IFS(B1618=2015,G1618/$H$1957,B1618=2016,G1618/$H$1958,B1618=2017,G1618/$H$1959,B1618=2018,G1618/$H$1960,B1618=2019,G1618/$H$1961,B1618=2020,G1618/$H$1962,B1618=2021,G1618/$H$1963,B1618=2022,G1618/$H$1964,B1618=2023,G1618/$H$1965)</f>
        <v>5.296088372326575E-5</v>
      </c>
      <c r="J1618" s="10" cm="1">
        <f t="array" ref="J1618">_xlfn.IFS(B1618=2015,I1618*$G$2,B1618=2016,I1618*$G$3,B1618=2017,I1618*$G$4,B1618=2018,I1618*$G$5,B1618=2019,I1618*$G$6,B1618=2020,I1618*$G$7,B1618=2021,I1618*$G$8,B1618=2022,I1618*$G$9,B1618=2023,I1618*$G$10)</f>
        <v>8981.4058378235586</v>
      </c>
      <c r="K1618" s="8">
        <f t="shared" si="25"/>
        <v>58256.405837823557</v>
      </c>
      <c r="L1618">
        <f>IFERROR(VLOOKUP(F1618,'LEAID Match'!$A$2:$B$240,2,FALSE),"")</f>
        <v>0</v>
      </c>
    </row>
    <row r="1619" spans="1:12" x14ac:dyDescent="0.2">
      <c r="A1619">
        <v>0</v>
      </c>
      <c r="B1619">
        <v>2023</v>
      </c>
      <c r="C1619" s="4" t="s">
        <v>327</v>
      </c>
      <c r="D1619" s="4" t="s">
        <v>576</v>
      </c>
      <c r="E1619" s="4" t="s">
        <v>578</v>
      </c>
      <c r="F1619" s="4" t="s">
        <v>286</v>
      </c>
      <c r="G1619" s="8">
        <v>54647</v>
      </c>
      <c r="I1619" s="16" cm="1">
        <f t="array" ref="I1619">_xlfn.IFS(B1619=2015,G1619/$H$1957,B1619=2016,G1619/$H$1958,B1619=2017,G1619/$H$1959,B1619=2018,G1619/$H$1960,B1619=2019,G1619/$H$1961,B1619=2020,G1619/$H$1962,B1619=2021,G1619/$H$1963,B1619=2022,G1619/$H$1964,B1619=2023,G1619/$H$1965)</f>
        <v>5.5329518660676743E-5</v>
      </c>
      <c r="J1619" s="10" cm="1">
        <f t="array" ref="J1619">_xlfn.IFS(B1619=2015,I1619*$G$2,B1619=2016,I1619*$G$3,B1619=2017,I1619*$G$4,B1619=2018,I1619*$G$5,B1619=2019,I1619*$G$6,B1619=2020,I1619*$G$7,B1619=2021,I1619*$G$8,B1619=2022,I1619*$G$9,B1619=2023,I1619*$G$10)</f>
        <v>9405.2058796515885</v>
      </c>
      <c r="K1619" s="8">
        <f t="shared" si="25"/>
        <v>64052.205879651592</v>
      </c>
      <c r="L1619">
        <f>IFERROR(VLOOKUP(F1619,'LEAID Match'!$A$2:$B$240,2,FALSE),"")</f>
        <v>0</v>
      </c>
    </row>
    <row r="1620" spans="1:12" x14ac:dyDescent="0.2">
      <c r="A1620">
        <v>0</v>
      </c>
      <c r="B1620">
        <v>2015</v>
      </c>
      <c r="C1620" s="4" t="s">
        <v>328</v>
      </c>
      <c r="D1620" s="4" t="s">
        <v>576</v>
      </c>
      <c r="E1620" s="4" t="s">
        <v>578</v>
      </c>
      <c r="F1620" s="4" t="s">
        <v>287</v>
      </c>
      <c r="G1620" s="8">
        <v>9591</v>
      </c>
      <c r="I1620" s="16" cm="1">
        <f t="array" ref="I1620">_xlfn.IFS(B1620=2015,G1620/$H$1957,B1620=2016,G1620/$H$1958,B1620=2017,G1620/$H$1959,B1620=2018,G1620/$H$1960,B1620=2019,G1620/$H$1961,B1620=2020,G1620/$H$1962,B1620=2021,G1620/$H$1963,B1620=2022,G1620/$H$1964,B1620=2023,G1620/$H$1965)</f>
        <v>7.4067311778305087E-6</v>
      </c>
      <c r="J1620" s="10" cm="1">
        <f t="array" ref="J1620">_xlfn.IFS(B1620=2015,I1620*$G$2,B1620=2016,I1620*$G$3,B1620=2017,I1620*$G$4,B1620=2018,I1620*$G$5,B1620=2019,I1620*$G$6,B1620=2020,I1620*$G$7,B1620=2021,I1620*$G$8,B1620=2022,I1620*$G$9,B1620=2023,I1620*$G$10)</f>
        <v>1841.6287123885606</v>
      </c>
      <c r="K1620" s="8">
        <f t="shared" si="25"/>
        <v>11432.628712388561</v>
      </c>
      <c r="L1620">
        <f>IFERROR(VLOOKUP(F1620,'LEAID Match'!$A$2:$B$240,2,FALSE),"")</f>
        <v>0</v>
      </c>
    </row>
    <row r="1621" spans="1:12" x14ac:dyDescent="0.2">
      <c r="A1621">
        <v>0</v>
      </c>
      <c r="B1621">
        <v>2016</v>
      </c>
      <c r="C1621" s="4" t="s">
        <v>328</v>
      </c>
      <c r="D1621" s="4" t="s">
        <v>576</v>
      </c>
      <c r="E1621" s="4" t="s">
        <v>578</v>
      </c>
      <c r="F1621" s="4" t="s">
        <v>287</v>
      </c>
      <c r="G1621" s="8">
        <v>10985</v>
      </c>
      <c r="I1621" s="16" cm="1">
        <f t="array" ref="I1621">_xlfn.IFS(B1621=2015,G1621/$H$1957,B1621=2016,G1621/$H$1958,B1621=2017,G1621/$H$1959,B1621=2018,G1621/$H$1960,B1621=2019,G1621/$H$1961,B1621=2020,G1621/$H$1962,B1621=2021,G1621/$H$1963,B1621=2022,G1621/$H$1964,B1621=2023,G1621/$H$1965)</f>
        <v>7.7114653038410129E-6</v>
      </c>
      <c r="J1621" s="10" cm="1">
        <f t="array" ref="J1621">_xlfn.IFS(B1621=2015,I1621*$G$2,B1621=2016,I1621*$G$3,B1621=2017,I1621*$G$4,B1621=2018,I1621*$G$5,B1621=2019,I1621*$G$6,B1621=2020,I1621*$G$7,B1621=2021,I1621*$G$8,B1621=2022,I1621*$G$9,B1621=2023,I1621*$G$10)</f>
        <v>2091.3731417148183</v>
      </c>
      <c r="K1621" s="8">
        <f t="shared" si="25"/>
        <v>13076.373141714819</v>
      </c>
      <c r="L1621">
        <f>IFERROR(VLOOKUP(F1621,'LEAID Match'!$A$2:$B$240,2,FALSE),"")</f>
        <v>0</v>
      </c>
    </row>
    <row r="1622" spans="1:12" x14ac:dyDescent="0.2">
      <c r="A1622">
        <v>0</v>
      </c>
      <c r="B1622">
        <v>2017</v>
      </c>
      <c r="C1622" s="4" t="s">
        <v>328</v>
      </c>
      <c r="D1622" s="4" t="s">
        <v>576</v>
      </c>
      <c r="E1622" s="4" t="s">
        <v>578</v>
      </c>
      <c r="F1622" s="4" t="s">
        <v>287</v>
      </c>
      <c r="G1622" s="8">
        <v>5174</v>
      </c>
      <c r="I1622" s="16" cm="1">
        <f t="array" ref="I1622">_xlfn.IFS(B1622=2015,G1622/$H$1957,B1622=2016,G1622/$H$1958,B1622=2017,G1622/$H$1959,B1622=2018,G1622/$H$1960,B1622=2019,G1622/$H$1961,B1622=2020,G1622/$H$1962,B1622=2021,G1622/$H$1963,B1622=2022,G1622/$H$1964,B1622=2023,G1622/$H$1965)</f>
        <v>6.9032170648614557E-6</v>
      </c>
      <c r="J1622" s="10" cm="1">
        <f t="array" ref="J1622">_xlfn.IFS(B1622=2015,I1622*$G$2,B1622=2016,I1622*$G$3,B1622=2017,I1622*$G$4,B1622=2018,I1622*$G$5,B1622=2019,I1622*$G$6,B1622=2020,I1622*$G$7,B1622=2021,I1622*$G$8,B1622=2022,I1622*$G$9,B1622=2023,I1622*$G$10)</f>
        <v>1022.2738544554906</v>
      </c>
      <c r="K1622" s="8">
        <f t="shared" si="25"/>
        <v>6196.2738544554904</v>
      </c>
      <c r="L1622">
        <f>IFERROR(VLOOKUP(F1622,'LEAID Match'!$A$2:$B$240,2,FALSE),"")</f>
        <v>0</v>
      </c>
    </row>
    <row r="1623" spans="1:12" x14ac:dyDescent="0.2">
      <c r="A1623">
        <v>0</v>
      </c>
      <c r="B1623">
        <v>2018</v>
      </c>
      <c r="C1623" s="4" t="s">
        <v>328</v>
      </c>
      <c r="D1623" s="4" t="s">
        <v>576</v>
      </c>
      <c r="E1623" s="4" t="s">
        <v>578</v>
      </c>
      <c r="F1623" s="4" t="s">
        <v>287</v>
      </c>
      <c r="G1623" s="8">
        <v>5601</v>
      </c>
      <c r="I1623" s="16" cm="1">
        <f t="array" ref="I1623">_xlfn.IFS(B1623=2015,G1623/$H$1957,B1623=2016,G1623/$H$1958,B1623=2017,G1623/$H$1959,B1623=2018,G1623/$H$1960,B1623=2019,G1623/$H$1961,B1623=2020,G1623/$H$1962,B1623=2021,G1623/$H$1963,B1623=2022,G1623/$H$1964,B1623=2023,G1623/$H$1965)</f>
        <v>7.2068652157990732E-6</v>
      </c>
      <c r="J1623" s="10" cm="1">
        <f t="array" ref="J1623">_xlfn.IFS(B1623=2015,I1623*$G$2,B1623=2016,I1623*$G$3,B1623=2017,I1623*$G$4,B1623=2018,I1623*$G$5,B1623=2019,I1623*$G$6,B1623=2020,I1623*$G$7,B1623=2021,I1623*$G$8,B1623=2022,I1623*$G$9,B1623=2023,I1623*$G$10)</f>
        <v>1084.8056320211833</v>
      </c>
      <c r="K1623" s="8">
        <f t="shared" si="25"/>
        <v>6685.8056320211836</v>
      </c>
      <c r="L1623">
        <f>IFERROR(VLOOKUP(F1623,'LEAID Match'!$A$2:$B$240,2,FALSE),"")</f>
        <v>0</v>
      </c>
    </row>
    <row r="1624" spans="1:12" x14ac:dyDescent="0.2">
      <c r="A1624">
        <v>0</v>
      </c>
      <c r="B1624">
        <v>2019</v>
      </c>
      <c r="C1624" s="4" t="s">
        <v>328</v>
      </c>
      <c r="D1624" s="4" t="s">
        <v>576</v>
      </c>
      <c r="E1624" s="4" t="s">
        <v>578</v>
      </c>
      <c r="F1624" s="4" t="s">
        <v>287</v>
      </c>
      <c r="G1624" s="8">
        <v>4717</v>
      </c>
      <c r="I1624" s="16" cm="1">
        <f t="array" ref="I1624">_xlfn.IFS(B1624=2015,G1624/$H$1957,B1624=2016,G1624/$H$1958,B1624=2017,G1624/$H$1959,B1624=2018,G1624/$H$1960,B1624=2019,G1624/$H$1961,B1624=2020,G1624/$H$1962,B1624=2021,G1624/$H$1963,B1624=2022,G1624/$H$1964,B1624=2023,G1624/$H$1965)</f>
        <v>5.862271803644333E-6</v>
      </c>
      <c r="J1624" s="10" cm="1">
        <f t="array" ref="J1624">_xlfn.IFS(B1624=2015,I1624*$G$2,B1624=2016,I1624*$G$3,B1624=2017,I1624*$G$4,B1624=2018,I1624*$G$5,B1624=2019,I1624*$G$6,B1624=2020,I1624*$G$7,B1624=2021,I1624*$G$8,B1624=2022,I1624*$G$9,B1624=2023,I1624*$G$10)</f>
        <v>926.40380378346674</v>
      </c>
      <c r="K1624" s="8">
        <f t="shared" si="25"/>
        <v>5643.4038037834671</v>
      </c>
      <c r="L1624">
        <f>IFERROR(VLOOKUP(F1624,'LEAID Match'!$A$2:$B$240,2,FALSE),"")</f>
        <v>0</v>
      </c>
    </row>
    <row r="1625" spans="1:12" x14ac:dyDescent="0.2">
      <c r="A1625">
        <v>0</v>
      </c>
      <c r="B1625">
        <v>2020</v>
      </c>
      <c r="C1625" s="4" t="s">
        <v>328</v>
      </c>
      <c r="D1625" s="4" t="s">
        <v>576</v>
      </c>
      <c r="E1625" s="4" t="s">
        <v>578</v>
      </c>
      <c r="F1625" s="4" t="s">
        <v>287</v>
      </c>
      <c r="G1625" s="8">
        <v>6119</v>
      </c>
      <c r="I1625" s="16" cm="1">
        <f t="array" ref="I1625">_xlfn.IFS(B1625=2015,G1625/$H$1957,B1625=2016,G1625/$H$1958,B1625=2017,G1625/$H$1959,B1625=2018,G1625/$H$1960,B1625=2019,G1625/$H$1961,B1625=2020,G1625/$H$1962,B1625=2021,G1625/$H$1963,B1625=2022,G1625/$H$1964,B1625=2023,G1625/$H$1965)</f>
        <v>7.0378496994540865E-6</v>
      </c>
      <c r="J1625" s="10" cm="1">
        <f t="array" ref="J1625">_xlfn.IFS(B1625=2015,I1625*$G$2,B1625=2016,I1625*$G$3,B1625=2017,I1625*$G$4,B1625=2018,I1625*$G$5,B1625=2019,I1625*$G$6,B1625=2020,I1625*$G$7,B1625=2021,I1625*$G$8,B1625=2022,I1625*$G$9,B1625=2023,I1625*$G$10)</f>
        <v>1215.3232914884613</v>
      </c>
      <c r="K1625" s="8">
        <f t="shared" si="25"/>
        <v>7334.3232914884611</v>
      </c>
      <c r="L1625">
        <f>IFERROR(VLOOKUP(F1625,'LEAID Match'!$A$2:$B$240,2,FALSE),"")</f>
        <v>0</v>
      </c>
    </row>
    <row r="1626" spans="1:12" x14ac:dyDescent="0.2">
      <c r="A1626">
        <v>0</v>
      </c>
      <c r="B1626">
        <v>2021</v>
      </c>
      <c r="C1626" s="4" t="s">
        <v>328</v>
      </c>
      <c r="D1626" s="4" t="s">
        <v>576</v>
      </c>
      <c r="E1626" s="4" t="s">
        <v>578</v>
      </c>
      <c r="F1626" s="4" t="s">
        <v>287</v>
      </c>
      <c r="G1626" s="8">
        <v>5677</v>
      </c>
      <c r="I1626" s="16" cm="1">
        <f t="array" ref="I1626">_xlfn.IFS(B1626=2015,G1626/$H$1957,B1626=2016,G1626/$H$1958,B1626=2017,G1626/$H$1959,B1626=2018,G1626/$H$1960,B1626=2019,G1626/$H$1961,B1626=2020,G1626/$H$1962,B1626=2021,G1626/$H$1963,B1626=2022,G1626/$H$1964,B1626=2023,G1626/$H$1965)</f>
        <v>6.4876465975000881E-6</v>
      </c>
      <c r="J1626" s="10" cm="1">
        <f t="array" ref="J1626">_xlfn.IFS(B1626=2015,I1626*$G$2,B1626=2016,I1626*$G$3,B1626=2017,I1626*$G$4,B1626=2018,I1626*$G$5,B1626=2019,I1626*$G$6,B1626=2020,I1626*$G$7,B1626=2021,I1626*$G$8,B1626=2022,I1626*$G$9,B1626=2023,I1626*$G$10)</f>
        <v>1113.3893821491306</v>
      </c>
      <c r="K1626" s="8">
        <f t="shared" si="25"/>
        <v>6790.3893821491311</v>
      </c>
      <c r="L1626">
        <f>IFERROR(VLOOKUP(F1626,'LEAID Match'!$A$2:$B$240,2,FALSE),"")</f>
        <v>0</v>
      </c>
    </row>
    <row r="1627" spans="1:12" x14ac:dyDescent="0.2">
      <c r="A1627">
        <v>0</v>
      </c>
      <c r="B1627">
        <v>2022</v>
      </c>
      <c r="C1627" s="4" t="s">
        <v>328</v>
      </c>
      <c r="D1627" s="4" t="s">
        <v>576</v>
      </c>
      <c r="E1627" s="4" t="s">
        <v>578</v>
      </c>
      <c r="F1627" s="4" t="s">
        <v>287</v>
      </c>
      <c r="G1627" s="8">
        <v>6044</v>
      </c>
      <c r="I1627" s="16" cm="1">
        <f t="array" ref="I1627">_xlfn.IFS(B1627=2015,G1627/$H$1957,B1627=2016,G1627/$H$1958,B1627=2017,G1627/$H$1959,B1627=2018,G1627/$H$1960,B1627=2019,G1627/$H$1961,B1627=2020,G1627/$H$1962,B1627=2021,G1627/$H$1963,B1627=2022,G1627/$H$1964,B1627=2023,G1627/$H$1965)</f>
        <v>6.4961051491307602E-6</v>
      </c>
      <c r="J1627" s="10" cm="1">
        <f t="array" ref="J1627">_xlfn.IFS(B1627=2015,I1627*$G$2,B1627=2016,I1627*$G$3,B1627=2017,I1627*$G$4,B1627=2018,I1627*$G$5,B1627=2019,I1627*$G$6,B1627=2020,I1627*$G$7,B1627=2021,I1627*$G$8,B1627=2022,I1627*$G$9,B1627=2023,I1627*$G$10)</f>
        <v>1101.6462076875816</v>
      </c>
      <c r="K1627" s="8">
        <f t="shared" si="25"/>
        <v>7145.6462076875814</v>
      </c>
      <c r="L1627">
        <f>IFERROR(VLOOKUP(F1627,'LEAID Match'!$A$2:$B$240,2,FALSE),"")</f>
        <v>0</v>
      </c>
    </row>
    <row r="1628" spans="1:12" x14ac:dyDescent="0.2">
      <c r="A1628">
        <v>0</v>
      </c>
      <c r="B1628">
        <v>2023</v>
      </c>
      <c r="C1628" s="4" t="s">
        <v>328</v>
      </c>
      <c r="D1628" s="4" t="s">
        <v>576</v>
      </c>
      <c r="E1628" s="4" t="s">
        <v>578</v>
      </c>
      <c r="F1628" s="4" t="s">
        <v>287</v>
      </c>
      <c r="G1628" s="8">
        <v>6968</v>
      </c>
      <c r="I1628" s="16" cm="1">
        <f t="array" ref="I1628">_xlfn.IFS(B1628=2015,G1628/$H$1957,B1628=2016,G1628/$H$1958,B1628=2017,G1628/$H$1959,B1628=2018,G1628/$H$1960,B1628=2019,G1628/$H$1961,B1628=2020,G1628/$H$1962,B1628=2021,G1628/$H$1963,B1628=2022,G1628/$H$1964,B1628=2023,G1628/$H$1965)</f>
        <v>7.0550274677035439E-6</v>
      </c>
      <c r="J1628" s="10" cm="1">
        <f t="array" ref="J1628">_xlfn.IFS(B1628=2015,I1628*$G$2,B1628=2016,I1628*$G$3,B1628=2017,I1628*$G$4,B1628=2018,I1628*$G$5,B1628=2019,I1628*$G$6,B1628=2020,I1628*$G$7,B1628=2021,I1628*$G$8,B1628=2022,I1628*$G$9,B1628=2023,I1628*$G$10)</f>
        <v>1199.2510946513491</v>
      </c>
      <c r="K1628" s="8">
        <f t="shared" si="25"/>
        <v>8167.2510946513494</v>
      </c>
      <c r="L1628">
        <f>IFERROR(VLOOKUP(F1628,'LEAID Match'!$A$2:$B$240,2,FALSE),"")</f>
        <v>0</v>
      </c>
    </row>
    <row r="1629" spans="1:12" x14ac:dyDescent="0.2">
      <c r="A1629">
        <v>0</v>
      </c>
      <c r="B1629">
        <v>2015</v>
      </c>
      <c r="C1629" s="4" t="s">
        <v>329</v>
      </c>
      <c r="D1629" s="4" t="s">
        <v>576</v>
      </c>
      <c r="E1629" s="4" t="s">
        <v>578</v>
      </c>
      <c r="F1629" s="4" t="s">
        <v>288</v>
      </c>
      <c r="G1629" s="8">
        <v>142283</v>
      </c>
      <c r="I1629" s="16" cm="1">
        <f t="array" ref="I1629">_xlfn.IFS(B1629=2015,G1629/$H$1957,B1629=2016,G1629/$H$1958,B1629=2017,G1629/$H$1959,B1629=2018,G1629/$H$1960,B1629=2019,G1629/$H$1961,B1629=2020,G1629/$H$1962,B1629=2021,G1629/$H$1963,B1629=2022,G1629/$H$1964,B1629=2023,G1629/$H$1965)</f>
        <v>1.0987925473623796E-4</v>
      </c>
      <c r="J1629" s="10" cm="1">
        <f t="array" ref="J1629">_xlfn.IFS(B1629=2015,I1629*$G$2,B1629=2016,I1629*$G$3,B1629=2017,I1629*$G$4,B1629=2018,I1629*$G$5,B1629=2019,I1629*$G$6,B1629=2020,I1629*$G$7,B1629=2021,I1629*$G$8,B1629=2022,I1629*$G$9,B1629=2023,I1629*$G$10)</f>
        <v>27320.660836699153</v>
      </c>
      <c r="K1629" s="8">
        <f t="shared" si="25"/>
        <v>169603.66083669916</v>
      </c>
      <c r="L1629">
        <f>IFERROR(VLOOKUP(F1629,'LEAID Match'!$A$2:$B$240,2,FALSE),"")</f>
        <v>0</v>
      </c>
    </row>
    <row r="1630" spans="1:12" x14ac:dyDescent="0.2">
      <c r="A1630">
        <v>0</v>
      </c>
      <c r="B1630">
        <v>2016</v>
      </c>
      <c r="C1630" s="4" t="s">
        <v>329</v>
      </c>
      <c r="D1630" s="4" t="s">
        <v>576</v>
      </c>
      <c r="E1630" s="4" t="s">
        <v>578</v>
      </c>
      <c r="F1630" s="4" t="s">
        <v>288</v>
      </c>
      <c r="G1630" s="8">
        <v>165144</v>
      </c>
      <c r="I1630" s="16" cm="1">
        <f t="array" ref="I1630">_xlfn.IFS(B1630=2015,G1630/$H$1957,B1630=2016,G1630/$H$1958,B1630=2017,G1630/$H$1959,B1630=2018,G1630/$H$1960,B1630=2019,G1630/$H$1961,B1630=2020,G1630/$H$1962,B1630=2021,G1630/$H$1963,B1630=2022,G1630/$H$1964,B1630=2023,G1630/$H$1965)</f>
        <v>1.1593101739986531E-4</v>
      </c>
      <c r="J1630" s="10" cm="1">
        <f t="array" ref="J1630">_xlfn.IFS(B1630=2015,I1630*$G$2,B1630=2016,I1630*$G$3,B1630=2017,I1630*$G$4,B1630=2018,I1630*$G$5,B1630=2019,I1630*$G$6,B1630=2020,I1630*$G$7,B1630=2021,I1630*$G$8,B1630=2022,I1630*$G$9,B1630=2023,I1630*$G$10)</f>
        <v>31440.848986377063</v>
      </c>
      <c r="K1630" s="8">
        <f t="shared" si="25"/>
        <v>196584.84898637707</v>
      </c>
      <c r="L1630">
        <f>IFERROR(VLOOKUP(F1630,'LEAID Match'!$A$2:$B$240,2,FALSE),"")</f>
        <v>0</v>
      </c>
    </row>
    <row r="1631" spans="1:12" x14ac:dyDescent="0.2">
      <c r="A1631">
        <v>0</v>
      </c>
      <c r="B1631">
        <v>2017</v>
      </c>
      <c r="C1631" s="4" t="s">
        <v>329</v>
      </c>
      <c r="D1631" s="4" t="s">
        <v>576</v>
      </c>
      <c r="E1631" s="4" t="s">
        <v>578</v>
      </c>
      <c r="F1631" s="4" t="s">
        <v>288</v>
      </c>
      <c r="G1631" s="8">
        <v>64024</v>
      </c>
      <c r="I1631" s="16" cm="1">
        <f t="array" ref="I1631">_xlfn.IFS(B1631=2015,G1631/$H$1957,B1631=2016,G1631/$H$1958,B1631=2017,G1631/$H$1959,B1631=2018,G1631/$H$1960,B1631=2019,G1631/$H$1961,B1631=2020,G1631/$H$1962,B1631=2021,G1631/$H$1963,B1631=2022,G1631/$H$1964,B1631=2023,G1631/$H$1965)</f>
        <v>8.5421640773229582E-5</v>
      </c>
      <c r="J1631" s="10" cm="1">
        <f t="array" ref="J1631">_xlfn.IFS(B1631=2015,I1631*$G$2,B1631=2016,I1631*$G$3,B1631=2017,I1631*$G$4,B1631=2018,I1631*$G$5,B1631=2019,I1631*$G$6,B1631=2020,I1631*$G$7,B1631=2021,I1631*$G$8,B1631=2022,I1631*$G$9,B1631=2023,I1631*$G$10)</f>
        <v>12649.79923804761</v>
      </c>
      <c r="K1631" s="8">
        <f t="shared" si="25"/>
        <v>76673.799238047606</v>
      </c>
      <c r="L1631">
        <f>IFERROR(VLOOKUP(F1631,'LEAID Match'!$A$2:$B$240,2,FALSE),"")</f>
        <v>0</v>
      </c>
    </row>
    <row r="1632" spans="1:12" x14ac:dyDescent="0.2">
      <c r="A1632">
        <v>0</v>
      </c>
      <c r="B1632">
        <v>2018</v>
      </c>
      <c r="C1632" s="4" t="s">
        <v>329</v>
      </c>
      <c r="D1632" s="4" t="s">
        <v>576</v>
      </c>
      <c r="E1632" s="4" t="s">
        <v>578</v>
      </c>
      <c r="F1632" s="4" t="s">
        <v>288</v>
      </c>
      <c r="G1632" s="8">
        <v>57907</v>
      </c>
      <c r="I1632" s="16" cm="1">
        <f t="array" ref="I1632">_xlfn.IFS(B1632=2015,G1632/$H$1957,B1632=2016,G1632/$H$1958,B1632=2017,G1632/$H$1959,B1632=2018,G1632/$H$1960,B1632=2019,G1632/$H$1961,B1632=2020,G1632/$H$1962,B1632=2021,G1632/$H$1963,B1632=2022,G1632/$H$1964,B1632=2023,G1632/$H$1965)</f>
        <v>7.450954187667862E-5</v>
      </c>
      <c r="J1632" s="10" cm="1">
        <f t="array" ref="J1632">_xlfn.IFS(B1632=2015,I1632*$G$2,B1632=2016,I1632*$G$3,B1632=2017,I1632*$G$4,B1632=2018,I1632*$G$5,B1632=2019,I1632*$G$6,B1632=2020,I1632*$G$7,B1632=2021,I1632*$G$8,B1632=2022,I1632*$G$9,B1632=2023,I1632*$G$10)</f>
        <v>11215.46861871999</v>
      </c>
      <c r="K1632" s="8">
        <f t="shared" si="25"/>
        <v>69122.468618719984</v>
      </c>
      <c r="L1632">
        <f>IFERROR(VLOOKUP(F1632,'LEAID Match'!$A$2:$B$240,2,FALSE),"")</f>
        <v>0</v>
      </c>
    </row>
    <row r="1633" spans="1:12" x14ac:dyDescent="0.2">
      <c r="A1633">
        <v>0</v>
      </c>
      <c r="B1633">
        <v>2019</v>
      </c>
      <c r="C1633" s="4" t="s">
        <v>329</v>
      </c>
      <c r="D1633" s="4" t="s">
        <v>576</v>
      </c>
      <c r="E1633" s="4" t="s">
        <v>578</v>
      </c>
      <c r="F1633" s="4" t="s">
        <v>288</v>
      </c>
      <c r="G1633" s="8">
        <v>63000</v>
      </c>
      <c r="I1633" s="16" cm="1">
        <f t="array" ref="I1633">_xlfn.IFS(B1633=2015,G1633/$H$1957,B1633=2016,G1633/$H$1958,B1633=2017,G1633/$H$1959,B1633=2018,G1633/$H$1960,B1633=2019,G1633/$H$1961,B1633=2020,G1633/$H$1962,B1633=2021,G1633/$H$1963,B1633=2022,G1633/$H$1964,B1633=2023,G1633/$H$1965)</f>
        <v>7.8296189024717615E-5</v>
      </c>
      <c r="J1633" s="10" cm="1">
        <f t="array" ref="J1633">_xlfn.IFS(B1633=2015,I1633*$G$2,B1633=2016,I1633*$G$3,B1633=2017,I1633*$G$4,B1633=2018,I1633*$G$5,B1633=2019,I1633*$G$6,B1633=2020,I1633*$G$7,B1633=2021,I1633*$G$8,B1633=2022,I1633*$G$9,B1633=2023,I1633*$G$10)</f>
        <v>12372.999711333136</v>
      </c>
      <c r="K1633" s="8">
        <f t="shared" si="25"/>
        <v>75372.999711333134</v>
      </c>
      <c r="L1633">
        <f>IFERROR(VLOOKUP(F1633,'LEAID Match'!$A$2:$B$240,2,FALSE),"")</f>
        <v>0</v>
      </c>
    </row>
    <row r="1634" spans="1:12" x14ac:dyDescent="0.2">
      <c r="A1634">
        <v>0</v>
      </c>
      <c r="B1634">
        <v>2020</v>
      </c>
      <c r="C1634" s="4" t="s">
        <v>329</v>
      </c>
      <c r="D1634" s="4" t="s">
        <v>576</v>
      </c>
      <c r="E1634" s="4" t="s">
        <v>578</v>
      </c>
      <c r="F1634" s="4" t="s">
        <v>288</v>
      </c>
      <c r="G1634" s="8">
        <v>60516</v>
      </c>
      <c r="I1634" s="16" cm="1">
        <f t="array" ref="I1634">_xlfn.IFS(B1634=2015,G1634/$H$1957,B1634=2016,G1634/$H$1958,B1634=2017,G1634/$H$1959,B1634=2018,G1634/$H$1960,B1634=2019,G1634/$H$1961,B1634=2020,G1634/$H$1962,B1634=2021,G1634/$H$1963,B1634=2022,G1634/$H$1964,B1634=2023,G1634/$H$1965)</f>
        <v>6.9603286878928495E-5</v>
      </c>
      <c r="J1634" s="10" cm="1">
        <f t="array" ref="J1634">_xlfn.IFS(B1634=2015,I1634*$G$2,B1634=2016,I1634*$G$3,B1634=2017,I1634*$G$4,B1634=2018,I1634*$G$5,B1634=2019,I1634*$G$6,B1634=2020,I1634*$G$7,B1634=2021,I1634*$G$8,B1634=2022,I1634*$G$9,B1634=2023,I1634*$G$10)</f>
        <v>12019.366613452479</v>
      </c>
      <c r="K1634" s="8">
        <f t="shared" si="25"/>
        <v>72535.366613452483</v>
      </c>
      <c r="L1634">
        <f>IFERROR(VLOOKUP(F1634,'LEAID Match'!$A$2:$B$240,2,FALSE),"")</f>
        <v>0</v>
      </c>
    </row>
    <row r="1635" spans="1:12" x14ac:dyDescent="0.2">
      <c r="A1635">
        <v>0</v>
      </c>
      <c r="B1635">
        <v>2021</v>
      </c>
      <c r="C1635" s="4" t="s">
        <v>329</v>
      </c>
      <c r="D1635" s="4" t="s">
        <v>576</v>
      </c>
      <c r="E1635" s="4" t="s">
        <v>578</v>
      </c>
      <c r="F1635" s="4" t="s">
        <v>288</v>
      </c>
      <c r="G1635" s="8">
        <v>58931</v>
      </c>
      <c r="I1635" s="16" cm="1">
        <f t="array" ref="I1635">_xlfn.IFS(B1635=2015,G1635/$H$1957,B1635=2016,G1635/$H$1958,B1635=2017,G1635/$H$1959,B1635=2018,G1635/$H$1960,B1635=2019,G1635/$H$1961,B1635=2020,G1635/$H$1962,B1635=2021,G1635/$H$1963,B1635=2022,G1635/$H$1964,B1635=2023,G1635/$H$1965)</f>
        <v>6.73460457349441E-5</v>
      </c>
      <c r="J1635" s="10" cm="1">
        <f t="array" ref="J1635">_xlfn.IFS(B1635=2015,I1635*$G$2,B1635=2016,I1635*$G$3,B1635=2017,I1635*$G$4,B1635=2018,I1635*$G$5,B1635=2019,I1635*$G$6,B1635=2020,I1635*$G$7,B1635=2021,I1635*$G$8,B1635=2022,I1635*$G$9,B1635=2023,I1635*$G$10)</f>
        <v>11557.715286142402</v>
      </c>
      <c r="K1635" s="8">
        <f t="shared" si="25"/>
        <v>70488.715286142397</v>
      </c>
      <c r="L1635">
        <f>IFERROR(VLOOKUP(F1635,'LEAID Match'!$A$2:$B$240,2,FALSE),"")</f>
        <v>0</v>
      </c>
    </row>
    <row r="1636" spans="1:12" x14ac:dyDescent="0.2">
      <c r="A1636">
        <v>0</v>
      </c>
      <c r="B1636">
        <v>2022</v>
      </c>
      <c r="C1636" s="4" t="s">
        <v>329</v>
      </c>
      <c r="D1636" s="4" t="s">
        <v>576</v>
      </c>
      <c r="E1636" s="4" t="s">
        <v>578</v>
      </c>
      <c r="F1636" s="4" t="s">
        <v>288</v>
      </c>
      <c r="G1636" s="8">
        <v>68647</v>
      </c>
      <c r="I1636" s="16" cm="1">
        <f t="array" ref="I1636">_xlfn.IFS(B1636=2015,G1636/$H$1957,B1636=2016,G1636/$H$1958,B1636=2017,G1636/$H$1959,B1636=2018,G1636/$H$1960,B1636=2019,G1636/$H$1961,B1636=2020,G1636/$H$1962,B1636=2021,G1636/$H$1963,B1636=2022,G1636/$H$1964,B1636=2023,G1636/$H$1965)</f>
        <v>7.3781954032491615E-5</v>
      </c>
      <c r="J1636" s="10" cm="1">
        <f t="array" ref="J1636">_xlfn.IFS(B1636=2015,I1636*$G$2,B1636=2016,I1636*$G$3,B1636=2017,I1636*$G$4,B1636=2018,I1636*$G$5,B1636=2019,I1636*$G$6,B1636=2020,I1636*$G$7,B1636=2021,I1636*$G$8,B1636=2022,I1636*$G$9,B1636=2023,I1636*$G$10)</f>
        <v>12512.360559088258</v>
      </c>
      <c r="K1636" s="8">
        <f t="shared" si="25"/>
        <v>81159.360559088265</v>
      </c>
      <c r="L1636">
        <f>IFERROR(VLOOKUP(F1636,'LEAID Match'!$A$2:$B$240,2,FALSE),"")</f>
        <v>0</v>
      </c>
    </row>
    <row r="1637" spans="1:12" x14ac:dyDescent="0.2">
      <c r="A1637">
        <v>0</v>
      </c>
      <c r="B1637">
        <v>2023</v>
      </c>
      <c r="C1637" s="4" t="s">
        <v>329</v>
      </c>
      <c r="D1637" s="4" t="s">
        <v>576</v>
      </c>
      <c r="E1637" s="4" t="s">
        <v>578</v>
      </c>
      <c r="F1637" s="4" t="s">
        <v>288</v>
      </c>
      <c r="G1637" s="8">
        <v>65409</v>
      </c>
      <c r="I1637" s="16" cm="1">
        <f t="array" ref="I1637">_xlfn.IFS(B1637=2015,G1637/$H$1957,B1637=2016,G1637/$H$1958,B1637=2017,G1637/$H$1959,B1637=2018,G1637/$H$1960,B1637=2019,G1637/$H$1961,B1637=2020,G1637/$H$1962,B1637=2021,G1637/$H$1963,B1637=2022,G1637/$H$1964,B1637=2023,G1637/$H$1965)</f>
        <v>6.6225931635335972E-5</v>
      </c>
      <c r="J1637" s="10" cm="1">
        <f t="array" ref="J1637">_xlfn.IFS(B1637=2015,I1637*$G$2,B1637=2016,I1637*$G$3,B1637=2017,I1637*$G$4,B1637=2018,I1637*$G$5,B1637=2019,I1637*$G$6,B1637=2020,I1637*$G$7,B1637=2021,I1637*$G$8,B1637=2022,I1637*$G$9,B1637=2023,I1637*$G$10)</f>
        <v>11257.436115104776</v>
      </c>
      <c r="K1637" s="8">
        <f t="shared" si="25"/>
        <v>76666.436115104778</v>
      </c>
      <c r="L1637">
        <f>IFERROR(VLOOKUP(F1637,'LEAID Match'!$A$2:$B$240,2,FALSE),"")</f>
        <v>0</v>
      </c>
    </row>
    <row r="1638" spans="1:12" x14ac:dyDescent="0.2">
      <c r="A1638">
        <v>0</v>
      </c>
      <c r="B1638">
        <v>2015</v>
      </c>
      <c r="C1638" s="4" t="s">
        <v>360</v>
      </c>
      <c r="D1638" s="4" t="s">
        <v>576</v>
      </c>
      <c r="E1638" s="4" t="s">
        <v>578</v>
      </c>
      <c r="F1638" s="4" t="s">
        <v>330</v>
      </c>
      <c r="G1638" s="8">
        <v>11845</v>
      </c>
      <c r="I1638" s="16" cm="1">
        <f t="array" ref="I1638">_xlfn.IFS(B1638=2015,G1638/$H$1957,B1638=2016,G1638/$H$1958,B1638=2017,G1638/$H$1959,B1638=2018,G1638/$H$1960,B1638=2019,G1638/$H$1961,B1638=2020,G1638/$H$1962,B1638=2021,G1638/$H$1963,B1638=2022,G1638/$H$1964,B1638=2023,G1638/$H$1965)</f>
        <v>9.147401814347031E-6</v>
      </c>
      <c r="J1638" s="10" cm="1">
        <f t="array" ref="J1638">_xlfn.IFS(B1638=2015,I1638*$G$2,B1638=2016,I1638*$G$3,B1638=2017,I1638*$G$4,B1638=2018,I1638*$G$5,B1638=2019,I1638*$G$6,B1638=2020,I1638*$G$7,B1638=2021,I1638*$G$8,B1638=2022,I1638*$G$9,B1638=2023,I1638*$G$10)</f>
        <v>2274.4335416789177</v>
      </c>
      <c r="K1638" s="8">
        <f t="shared" si="25"/>
        <v>14119.433541678918</v>
      </c>
      <c r="L1638">
        <f>IFERROR(VLOOKUP(F1638,'LEAID Match'!$A$2:$B$240,2,FALSE),"")</f>
        <v>0</v>
      </c>
    </row>
    <row r="1639" spans="1:12" x14ac:dyDescent="0.2">
      <c r="A1639">
        <v>0</v>
      </c>
      <c r="B1639">
        <v>2016</v>
      </c>
      <c r="C1639" s="4" t="s">
        <v>360</v>
      </c>
      <c r="D1639" s="4" t="s">
        <v>576</v>
      </c>
      <c r="E1639" s="4" t="s">
        <v>578</v>
      </c>
      <c r="F1639" s="4" t="s">
        <v>330</v>
      </c>
      <c r="G1639" s="8">
        <v>10440</v>
      </c>
      <c r="I1639" s="16" cm="1">
        <f t="array" ref="I1639">_xlfn.IFS(B1639=2015,G1639/$H$1957,B1639=2016,G1639/$H$1958,B1639=2017,G1639/$H$1959,B1639=2018,G1639/$H$1960,B1639=2019,G1639/$H$1961,B1639=2020,G1639/$H$1962,B1639=2021,G1639/$H$1963,B1639=2022,G1639/$H$1964,B1639=2023,G1639/$H$1965)</f>
        <v>7.3288755368320604E-6</v>
      </c>
      <c r="J1639" s="10" cm="1">
        <f t="array" ref="J1639">_xlfn.IFS(B1639=2015,I1639*$G$2,B1639=2016,I1639*$G$3,B1639=2017,I1639*$G$4,B1639=2018,I1639*$G$5,B1639=2019,I1639*$G$6,B1639=2020,I1639*$G$7,B1639=2021,I1639*$G$8,B1639=2022,I1639*$G$9,B1639=2023,I1639*$G$10)</f>
        <v>1987.6136185255082</v>
      </c>
      <c r="K1639" s="8">
        <f t="shared" si="25"/>
        <v>12427.613618525509</v>
      </c>
      <c r="L1639">
        <f>IFERROR(VLOOKUP(F1639,'LEAID Match'!$A$2:$B$240,2,FALSE),"")</f>
        <v>0</v>
      </c>
    </row>
    <row r="1640" spans="1:12" x14ac:dyDescent="0.2">
      <c r="A1640">
        <v>0</v>
      </c>
      <c r="B1640">
        <v>2017</v>
      </c>
      <c r="C1640" s="4" t="s">
        <v>360</v>
      </c>
      <c r="D1640" s="4" t="s">
        <v>576</v>
      </c>
      <c r="E1640" s="4" t="s">
        <v>578</v>
      </c>
      <c r="F1640" s="4" t="s">
        <v>330</v>
      </c>
      <c r="G1640" s="8">
        <v>5771</v>
      </c>
      <c r="I1640" s="16" cm="1">
        <f t="array" ref="I1640">_xlfn.IFS(B1640=2015,G1640/$H$1957,B1640=2016,G1640/$H$1958,B1640=2017,G1640/$H$1959,B1640=2018,G1640/$H$1960,B1640=2019,G1640/$H$1961,B1640=2020,G1640/$H$1962,B1640=2021,G1640/$H$1963,B1640=2022,G1640/$H$1964,B1640=2023,G1640/$H$1965)</f>
        <v>7.6997421108070088E-6</v>
      </c>
      <c r="J1640" s="10" cm="1">
        <f t="array" ref="J1640">_xlfn.IFS(B1640=2015,I1640*$G$2,B1640=2016,I1640*$G$3,B1640=2017,I1640*$G$4,B1640=2018,I1640*$G$5,B1640=2019,I1640*$G$6,B1640=2020,I1640*$G$7,B1640=2021,I1640*$G$8,B1640=2022,I1640*$G$9,B1640=2023,I1640*$G$10)</f>
        <v>1140.2285299695857</v>
      </c>
      <c r="K1640" s="8">
        <f t="shared" si="25"/>
        <v>6911.2285299695859</v>
      </c>
      <c r="L1640">
        <f>IFERROR(VLOOKUP(F1640,'LEAID Match'!$A$2:$B$240,2,FALSE),"")</f>
        <v>0</v>
      </c>
    </row>
    <row r="1641" spans="1:12" x14ac:dyDescent="0.2">
      <c r="A1641">
        <v>0</v>
      </c>
      <c r="B1641">
        <v>2018</v>
      </c>
      <c r="C1641" s="4" t="s">
        <v>360</v>
      </c>
      <c r="D1641" s="4" t="s">
        <v>576</v>
      </c>
      <c r="E1641" s="4" t="s">
        <v>578</v>
      </c>
      <c r="F1641" s="4" t="s">
        <v>330</v>
      </c>
      <c r="G1641" s="8">
        <v>6264</v>
      </c>
      <c r="I1641" s="16" cm="1">
        <f t="array" ref="I1641">_xlfn.IFS(B1641=2015,G1641/$H$1957,B1641=2016,G1641/$H$1958,B1641=2017,G1641/$H$1959,B1641=2018,G1641/$H$1960,B1641=2019,G1641/$H$1961,B1641=2020,G1641/$H$1962,B1641=2021,G1641/$H$1963,B1641=2022,G1641/$H$1964,B1641=2023,G1641/$H$1965)</f>
        <v>8.0599542424148172E-6</v>
      </c>
      <c r="J1641" s="10" cm="1">
        <f t="array" ref="J1641">_xlfn.IFS(B1641=2015,I1641*$G$2,B1641=2016,I1641*$G$3,B1641=2017,I1641*$G$4,B1641=2018,I1641*$G$5,B1641=2019,I1641*$G$6,B1641=2020,I1641*$G$7,B1641=2021,I1641*$G$8,B1641=2022,I1641*$G$9,B1641=2023,I1641*$G$10)</f>
        <v>1213.2159398287256</v>
      </c>
      <c r="K1641" s="8">
        <f t="shared" si="25"/>
        <v>7477.2159398287258</v>
      </c>
      <c r="L1641">
        <f>IFERROR(VLOOKUP(F1641,'LEAID Match'!$A$2:$B$240,2,FALSE),"")</f>
        <v>0</v>
      </c>
    </row>
    <row r="1642" spans="1:12" x14ac:dyDescent="0.2">
      <c r="A1642">
        <v>0</v>
      </c>
      <c r="B1642">
        <v>2019</v>
      </c>
      <c r="C1642" s="4" t="s">
        <v>360</v>
      </c>
      <c r="D1642" s="4" t="s">
        <v>576</v>
      </c>
      <c r="E1642" s="4" t="s">
        <v>578</v>
      </c>
      <c r="F1642" s="4" t="s">
        <v>330</v>
      </c>
      <c r="G1642" s="8">
        <v>6264</v>
      </c>
      <c r="I1642" s="16" cm="1">
        <f t="array" ref="I1642">_xlfn.IFS(B1642=2015,G1642/$H$1957,B1642=2016,G1642/$H$1958,B1642=2017,G1642/$H$1959,B1642=2018,G1642/$H$1960,B1642=2019,G1642/$H$1961,B1642=2020,G1642/$H$1962,B1642=2021,G1642/$H$1963,B1642=2022,G1642/$H$1964,B1642=2023,G1642/$H$1965)</f>
        <v>7.784878223029066E-6</v>
      </c>
      <c r="J1642" s="10" cm="1">
        <f t="array" ref="J1642">_xlfn.IFS(B1642=2015,I1642*$G$2,B1642=2016,I1642*$G$3,B1642=2017,I1642*$G$4,B1642=2018,I1642*$G$5,B1642=2019,I1642*$G$6,B1642=2020,I1642*$G$7,B1642=2021,I1642*$G$8,B1642=2022,I1642*$G$9,B1642=2023,I1642*$G$10)</f>
        <v>1230.2296855839804</v>
      </c>
      <c r="K1642" s="8">
        <f t="shared" si="25"/>
        <v>7494.2296855839804</v>
      </c>
      <c r="L1642">
        <f>IFERROR(VLOOKUP(F1642,'LEAID Match'!$A$2:$B$240,2,FALSE),"")</f>
        <v>0</v>
      </c>
    </row>
    <row r="1643" spans="1:12" x14ac:dyDescent="0.2">
      <c r="A1643">
        <v>0</v>
      </c>
      <c r="B1643">
        <v>2020</v>
      </c>
      <c r="C1643" s="4" t="s">
        <v>360</v>
      </c>
      <c r="D1643" s="4" t="s">
        <v>576</v>
      </c>
      <c r="E1643" s="4" t="s">
        <v>578</v>
      </c>
      <c r="F1643" s="4" t="s">
        <v>330</v>
      </c>
      <c r="G1643" s="8">
        <v>6444</v>
      </c>
      <c r="I1643" s="16" cm="1">
        <f t="array" ref="I1643">_xlfn.IFS(B1643=2015,G1643/$H$1957,B1643=2016,G1643/$H$1958,B1643=2017,G1643/$H$1959,B1643=2018,G1643/$H$1960,B1643=2019,G1643/$H$1961,B1643=2020,G1643/$H$1962,B1643=2021,G1643/$H$1963,B1643=2022,G1643/$H$1964,B1643=2023,G1643/$H$1965)</f>
        <v>7.4116527967449146E-6</v>
      </c>
      <c r="J1643" s="10" cm="1">
        <f t="array" ref="J1643">_xlfn.IFS(B1643=2015,I1643*$G$2,B1643=2016,I1643*$G$3,B1643=2017,I1643*$G$4,B1643=2018,I1643*$G$5,B1643=2019,I1643*$G$6,B1643=2020,I1643*$G$7,B1643=2021,I1643*$G$8,B1643=2022,I1643*$G$9,B1643=2023,I1643*$G$10)</f>
        <v>1279.8730659179023</v>
      </c>
      <c r="K1643" s="8">
        <f t="shared" si="25"/>
        <v>7723.8730659179018</v>
      </c>
      <c r="L1643">
        <f>IFERROR(VLOOKUP(F1643,'LEAID Match'!$A$2:$B$240,2,FALSE),"")</f>
        <v>0</v>
      </c>
    </row>
    <row r="1644" spans="1:12" x14ac:dyDescent="0.2">
      <c r="A1644">
        <v>0</v>
      </c>
      <c r="B1644">
        <v>2021</v>
      </c>
      <c r="C1644" s="4" t="s">
        <v>360</v>
      </c>
      <c r="D1644" s="4" t="s">
        <v>576</v>
      </c>
      <c r="E1644" s="4" t="s">
        <v>578</v>
      </c>
      <c r="F1644" s="4" t="s">
        <v>330</v>
      </c>
      <c r="G1644" s="8">
        <v>5673</v>
      </c>
      <c r="I1644" s="16" cm="1">
        <f t="array" ref="I1644">_xlfn.IFS(B1644=2015,G1644/$H$1957,B1644=2016,G1644/$H$1958,B1644=2017,G1644/$H$1959,B1644=2018,G1644/$H$1960,B1644=2019,G1644/$H$1961,B1644=2020,G1644/$H$1962,B1644=2021,G1644/$H$1963,B1644=2022,G1644/$H$1964,B1644=2023,G1644/$H$1965)</f>
        <v>6.4830754179351768E-6</v>
      </c>
      <c r="J1644" s="10" cm="1">
        <f t="array" ref="J1644">_xlfn.IFS(B1644=2015,I1644*$G$2,B1644=2016,I1644*$G$3,B1644=2017,I1644*$G$4,B1644=2018,I1644*$G$5,B1644=2019,I1644*$G$6,B1644=2020,I1644*$G$7,B1644=2021,I1644*$G$8,B1644=2022,I1644*$G$9,B1644=2023,I1644*$G$10)</f>
        <v>1112.6048907754127</v>
      </c>
      <c r="K1644" s="8">
        <f t="shared" si="25"/>
        <v>6785.604890775413</v>
      </c>
      <c r="L1644">
        <f>IFERROR(VLOOKUP(F1644,'LEAID Match'!$A$2:$B$240,2,FALSE),"")</f>
        <v>0</v>
      </c>
    </row>
    <row r="1645" spans="1:12" x14ac:dyDescent="0.2">
      <c r="A1645">
        <v>0</v>
      </c>
      <c r="B1645">
        <v>2022</v>
      </c>
      <c r="C1645" s="4" t="s">
        <v>360</v>
      </c>
      <c r="D1645" s="4" t="s">
        <v>576</v>
      </c>
      <c r="E1645" s="4" t="s">
        <v>578</v>
      </c>
      <c r="F1645" s="4" t="s">
        <v>330</v>
      </c>
      <c r="G1645" s="8">
        <v>5208</v>
      </c>
      <c r="I1645" s="16" cm="1">
        <f t="array" ref="I1645">_xlfn.IFS(B1645=2015,G1645/$H$1957,B1645=2016,G1645/$H$1958,B1645=2017,G1645/$H$1959,B1645=2018,G1645/$H$1960,B1645=2019,G1645/$H$1961,B1645=2020,G1645/$H$1962,B1645=2021,G1645/$H$1963,B1645=2022,G1645/$H$1964,B1645=2023,G1645/$H$1965)</f>
        <v>5.5975704197010256E-6</v>
      </c>
      <c r="J1645" s="10" cm="1">
        <f t="array" ref="J1645">_xlfn.IFS(B1645=2015,I1645*$G$2,B1645=2016,I1645*$G$3,B1645=2017,I1645*$G$4,B1645=2018,I1645*$G$5,B1645=2019,I1645*$G$6,B1645=2020,I1645*$G$7,B1645=2021,I1645*$G$8,B1645=2022,I1645*$G$9,B1645=2023,I1645*$G$10)</f>
        <v>949.26761244820079</v>
      </c>
      <c r="K1645" s="8">
        <f t="shared" si="25"/>
        <v>6157.2676124482005</v>
      </c>
      <c r="L1645">
        <f>IFERROR(VLOOKUP(F1645,'LEAID Match'!$A$2:$B$240,2,FALSE),"")</f>
        <v>0</v>
      </c>
    </row>
    <row r="1646" spans="1:12" x14ac:dyDescent="0.2">
      <c r="A1646">
        <v>0</v>
      </c>
      <c r="B1646">
        <v>2023</v>
      </c>
      <c r="C1646" s="4" t="s">
        <v>360</v>
      </c>
      <c r="D1646" s="4" t="s">
        <v>576</v>
      </c>
      <c r="E1646" s="4" t="s">
        <v>578</v>
      </c>
      <c r="F1646" s="4" t="s">
        <v>330</v>
      </c>
      <c r="G1646" s="8">
        <v>5580</v>
      </c>
      <c r="I1646" s="16" cm="1">
        <f t="array" ref="I1646">_xlfn.IFS(B1646=2015,G1646/$H$1957,B1646=2016,G1646/$H$1958,B1646=2017,G1646/$H$1959,B1646=2018,G1646/$H$1960,B1646=2019,G1646/$H$1961,B1646=2020,G1646/$H$1962,B1646=2021,G1646/$H$1963,B1646=2022,G1646/$H$1964,B1646=2023,G1646/$H$1965)</f>
        <v>5.6496919158705185E-6</v>
      </c>
      <c r="J1646" s="10" cm="1">
        <f t="array" ref="J1646">_xlfn.IFS(B1646=2015,I1646*$G$2,B1646=2016,I1646*$G$3,B1646=2017,I1646*$G$4,B1646=2018,I1646*$G$5,B1646=2019,I1646*$G$6,B1646=2020,I1646*$G$7,B1646=2021,I1646*$G$8,B1646=2022,I1646*$G$9,B1646=2023,I1646*$G$10)</f>
        <v>960.36468257097124</v>
      </c>
      <c r="K1646" s="8">
        <f t="shared" si="25"/>
        <v>6540.3646825709711</v>
      </c>
      <c r="L1646">
        <f>IFERROR(VLOOKUP(F1646,'LEAID Match'!$A$2:$B$240,2,FALSE),"")</f>
        <v>0</v>
      </c>
    </row>
    <row r="1647" spans="1:12" x14ac:dyDescent="0.2">
      <c r="A1647">
        <v>0</v>
      </c>
      <c r="B1647">
        <v>2015</v>
      </c>
      <c r="C1647" s="4" t="s">
        <v>361</v>
      </c>
      <c r="D1647" s="4" t="s">
        <v>576</v>
      </c>
      <c r="E1647" s="4" t="s">
        <v>578</v>
      </c>
      <c r="F1647" s="4" t="s">
        <v>331</v>
      </c>
      <c r="G1647" s="8">
        <v>5644</v>
      </c>
      <c r="I1647" s="16" cm="1">
        <f t="array" ref="I1647">_xlfn.IFS(B1647=2015,G1647/$H$1957,B1647=2016,G1647/$H$1958,B1647=2017,G1647/$H$1959,B1647=2018,G1647/$H$1960,B1647=2019,G1647/$H$1961,B1647=2020,G1647/$H$1962,B1647=2021,G1647/$H$1963,B1647=2022,G1647/$H$1964,B1647=2023,G1647/$H$1965)</f>
        <v>4.3586269177015315E-6</v>
      </c>
      <c r="J1647" s="10" cm="1">
        <f t="array" ref="J1647">_xlfn.IFS(B1647=2015,I1647*$G$2,B1647=2016,I1647*$G$3,B1647=2017,I1647*$G$4,B1647=2018,I1647*$G$5,B1647=2019,I1647*$G$6,B1647=2020,I1647*$G$7,B1647=2021,I1647*$G$8,B1647=2022,I1647*$G$9,B1647=2023,I1647*$G$10)</f>
        <v>1083.740220281622</v>
      </c>
      <c r="K1647" s="8">
        <f t="shared" si="25"/>
        <v>6727.740220281622</v>
      </c>
      <c r="L1647">
        <f>IFERROR(VLOOKUP(F1647,'LEAID Match'!$A$2:$B$240,2,FALSE),"")</f>
        <v>0</v>
      </c>
    </row>
    <row r="1648" spans="1:12" x14ac:dyDescent="0.2">
      <c r="A1648">
        <v>0</v>
      </c>
      <c r="B1648">
        <v>2016</v>
      </c>
      <c r="C1648" s="4" t="s">
        <v>361</v>
      </c>
      <c r="D1648" s="4" t="s">
        <v>576</v>
      </c>
      <c r="E1648" s="4" t="s">
        <v>578</v>
      </c>
      <c r="F1648" s="4" t="s">
        <v>331</v>
      </c>
      <c r="G1648" s="8">
        <v>5916</v>
      </c>
      <c r="I1648" s="16" cm="1">
        <f t="array" ref="I1648">_xlfn.IFS(B1648=2015,G1648/$H$1957,B1648=2016,G1648/$H$1958,B1648=2017,G1648/$H$1959,B1648=2018,G1648/$H$1960,B1648=2019,G1648/$H$1961,B1648=2020,G1648/$H$1962,B1648=2021,G1648/$H$1963,B1648=2022,G1648/$H$1964,B1648=2023,G1648/$H$1965)</f>
        <v>4.1530294708715006E-6</v>
      </c>
      <c r="J1648" s="10" cm="1">
        <f t="array" ref="J1648">_xlfn.IFS(B1648=2015,I1648*$G$2,B1648=2016,I1648*$G$3,B1648=2017,I1648*$G$4,B1648=2018,I1648*$G$5,B1648=2019,I1648*$G$6,B1648=2020,I1648*$G$7,B1648=2021,I1648*$G$8,B1648=2022,I1648*$G$9,B1648=2023,I1648*$G$10)</f>
        <v>1126.3143838311212</v>
      </c>
      <c r="K1648" s="8">
        <f t="shared" si="25"/>
        <v>7042.3143838311207</v>
      </c>
      <c r="L1648">
        <f>IFERROR(VLOOKUP(F1648,'LEAID Match'!$A$2:$B$240,2,FALSE),"")</f>
        <v>0</v>
      </c>
    </row>
    <row r="1649" spans="1:12" x14ac:dyDescent="0.2">
      <c r="A1649">
        <v>0</v>
      </c>
      <c r="B1649">
        <v>2017</v>
      </c>
      <c r="C1649" s="4" t="s">
        <v>361</v>
      </c>
      <c r="D1649" s="4" t="s">
        <v>576</v>
      </c>
      <c r="E1649" s="4" t="s">
        <v>578</v>
      </c>
      <c r="F1649" s="4" t="s">
        <v>331</v>
      </c>
      <c r="G1649" s="8">
        <v>2893</v>
      </c>
      <c r="I1649" s="16" cm="1">
        <f t="array" ref="I1649">_xlfn.IFS(B1649=2015,G1649/$H$1957,B1649=2016,G1649/$H$1958,B1649=2017,G1649/$H$1959,B1649=2018,G1649/$H$1960,B1649=2019,G1649/$H$1961,B1649=2020,G1649/$H$1962,B1649=2021,G1649/$H$1963,B1649=2022,G1649/$H$1964,B1649=2023,G1649/$H$1965)</f>
        <v>3.859877651458097E-6</v>
      </c>
      <c r="J1649" s="10" cm="1">
        <f t="array" ref="J1649">_xlfn.IFS(B1649=2015,I1649*$G$2,B1649=2016,I1649*$G$3,B1649=2017,I1649*$G$4,B1649=2018,I1649*$G$5,B1649=2019,I1649*$G$6,B1649=2020,I1649*$G$7,B1649=2021,I1649*$G$8,B1649=2022,I1649*$G$9,B1649=2023,I1649*$G$10)</f>
        <v>571.59610764200511</v>
      </c>
      <c r="K1649" s="8">
        <f t="shared" si="25"/>
        <v>3464.5961076420053</v>
      </c>
      <c r="L1649">
        <f>IFERROR(VLOOKUP(F1649,'LEAID Match'!$A$2:$B$240,2,FALSE),"")</f>
        <v>0</v>
      </c>
    </row>
    <row r="1650" spans="1:12" x14ac:dyDescent="0.2">
      <c r="A1650">
        <v>0</v>
      </c>
      <c r="B1650">
        <v>2018</v>
      </c>
      <c r="C1650" s="4" t="s">
        <v>361</v>
      </c>
      <c r="D1650" s="4" t="s">
        <v>576</v>
      </c>
      <c r="E1650" s="4" t="s">
        <v>578</v>
      </c>
      <c r="F1650" s="4" t="s">
        <v>331</v>
      </c>
      <c r="G1650" s="8">
        <v>3088</v>
      </c>
      <c r="I1650" s="16" cm="1">
        <f t="array" ref="I1650">_xlfn.IFS(B1650=2015,G1650/$H$1957,B1650=2016,G1650/$H$1958,B1650=2017,G1650/$H$1959,B1650=2018,G1650/$H$1960,B1650=2019,G1650/$H$1961,B1650=2020,G1650/$H$1962,B1650=2021,G1650/$H$1963,B1650=2022,G1650/$H$1964,B1650=2023,G1650/$H$1965)</f>
        <v>3.9733618615225028E-6</v>
      </c>
      <c r="J1650" s="10" cm="1">
        <f t="array" ref="J1650">_xlfn.IFS(B1650=2015,I1650*$G$2,B1650=2016,I1650*$G$3,B1650=2017,I1650*$G$4,B1650=2018,I1650*$G$5,B1650=2019,I1650*$G$6,B1650=2020,I1650*$G$7,B1650=2021,I1650*$G$8,B1650=2022,I1650*$G$9,B1650=2023,I1650*$G$10)</f>
        <v>598.08601886831173</v>
      </c>
      <c r="K1650" s="8">
        <f t="shared" si="25"/>
        <v>3686.0860188683118</v>
      </c>
      <c r="L1650">
        <f>IFERROR(VLOOKUP(F1650,'LEAID Match'!$A$2:$B$240,2,FALSE),"")</f>
        <v>0</v>
      </c>
    </row>
    <row r="1651" spans="1:12" x14ac:dyDescent="0.2">
      <c r="A1651">
        <v>0</v>
      </c>
      <c r="B1651">
        <v>2019</v>
      </c>
      <c r="C1651" s="4" t="s">
        <v>361</v>
      </c>
      <c r="D1651" s="4" t="s">
        <v>576</v>
      </c>
      <c r="E1651" s="4" t="s">
        <v>578</v>
      </c>
      <c r="F1651" s="4" t="s">
        <v>331</v>
      </c>
      <c r="G1651" s="8">
        <v>3741</v>
      </c>
      <c r="I1651" s="16" cm="1">
        <f t="array" ref="I1651">_xlfn.IFS(B1651=2015,G1651/$H$1957,B1651=2016,G1651/$H$1958,B1651=2017,G1651/$H$1959,B1651=2018,G1651/$H$1960,B1651=2019,G1651/$H$1961,B1651=2020,G1651/$H$1962,B1651=2021,G1651/$H$1963,B1651=2022,G1651/$H$1964,B1651=2023,G1651/$H$1965)</f>
        <v>4.6493022720868034E-6</v>
      </c>
      <c r="J1651" s="10" cm="1">
        <f t="array" ref="J1651">_xlfn.IFS(B1651=2015,I1651*$G$2,B1651=2016,I1651*$G$3,B1651=2017,I1651*$G$4,B1651=2018,I1651*$G$5,B1651=2019,I1651*$G$6,B1651=2020,I1651*$G$7,B1651=2021,I1651*$G$8,B1651=2022,I1651*$G$9,B1651=2023,I1651*$G$10)</f>
        <v>734.72050666821053</v>
      </c>
      <c r="K1651" s="8">
        <f t="shared" si="25"/>
        <v>4475.7205066682109</v>
      </c>
      <c r="L1651">
        <f>IFERROR(VLOOKUP(F1651,'LEAID Match'!$A$2:$B$240,2,FALSE),"")</f>
        <v>0</v>
      </c>
    </row>
    <row r="1652" spans="1:12" x14ac:dyDescent="0.2">
      <c r="A1652">
        <v>0</v>
      </c>
      <c r="B1652">
        <v>2020</v>
      </c>
      <c r="C1652" s="4" t="s">
        <v>361</v>
      </c>
      <c r="D1652" s="4" t="s">
        <v>576</v>
      </c>
      <c r="E1652" s="4" t="s">
        <v>578</v>
      </c>
      <c r="F1652" s="4" t="s">
        <v>331</v>
      </c>
      <c r="G1652" s="8">
        <v>3477</v>
      </c>
      <c r="I1652" s="16" cm="1">
        <f t="array" ref="I1652">_xlfn.IFS(B1652=2015,G1652/$H$1957,B1652=2016,G1652/$H$1958,B1652=2017,G1652/$H$1959,B1652=2018,G1652/$H$1960,B1652=2019,G1652/$H$1961,B1652=2020,G1652/$H$1962,B1652=2021,G1652/$H$1963,B1652=2022,G1652/$H$1964,B1652=2023,G1652/$H$1965)</f>
        <v>3.9991180593237224E-6</v>
      </c>
      <c r="J1652" s="10" cm="1">
        <f t="array" ref="J1652">_xlfn.IFS(B1652=2015,I1652*$G$2,B1652=2016,I1652*$G$3,B1652=2017,I1652*$G$4,B1652=2018,I1652*$G$5,B1652=2019,I1652*$G$6,B1652=2020,I1652*$G$7,B1652=2021,I1652*$G$8,B1652=2022,I1652*$G$9,B1652=2023,I1652*$G$10)</f>
        <v>690.5832790497434</v>
      </c>
      <c r="K1652" s="8">
        <f t="shared" si="25"/>
        <v>4167.5832790497434</v>
      </c>
      <c r="L1652">
        <f>IFERROR(VLOOKUP(F1652,'LEAID Match'!$A$2:$B$240,2,FALSE),"")</f>
        <v>0</v>
      </c>
    </row>
    <row r="1653" spans="1:12" x14ac:dyDescent="0.2">
      <c r="A1653">
        <v>0</v>
      </c>
      <c r="B1653">
        <v>2021</v>
      </c>
      <c r="C1653" s="4" t="s">
        <v>361</v>
      </c>
      <c r="D1653" s="4" t="s">
        <v>576</v>
      </c>
      <c r="E1653" s="4" t="s">
        <v>578</v>
      </c>
      <c r="F1653" s="4" t="s">
        <v>331</v>
      </c>
      <c r="G1653" s="8">
        <v>3523</v>
      </c>
      <c r="I1653" s="16" cm="1">
        <f t="array" ref="I1653">_xlfn.IFS(B1653=2015,G1653/$H$1957,B1653=2016,G1653/$H$1958,B1653=2017,G1653/$H$1959,B1653=2018,G1653/$H$1960,B1653=2019,G1653/$H$1961,B1653=2020,G1653/$H$1962,B1653=2021,G1653/$H$1963,B1653=2022,G1653/$H$1964,B1653=2023,G1653/$H$1965)</f>
        <v>4.026066401795457E-6</v>
      </c>
      <c r="J1653" s="10" cm="1">
        <f t="array" ref="J1653">_xlfn.IFS(B1653=2015,I1653*$G$2,B1653=2016,I1653*$G$3,B1653=2017,I1653*$G$4,B1653=2018,I1653*$G$5,B1653=2019,I1653*$G$6,B1653=2020,I1653*$G$7,B1653=2021,I1653*$G$8,B1653=2022,I1653*$G$9,B1653=2023,I1653*$G$10)</f>
        <v>690.94077740204102</v>
      </c>
      <c r="K1653" s="8">
        <f t="shared" si="25"/>
        <v>4213.940777402041</v>
      </c>
      <c r="L1653">
        <f>IFERROR(VLOOKUP(F1653,'LEAID Match'!$A$2:$B$240,2,FALSE),"")</f>
        <v>0</v>
      </c>
    </row>
    <row r="1654" spans="1:12" x14ac:dyDescent="0.2">
      <c r="A1654">
        <v>0</v>
      </c>
      <c r="B1654">
        <v>2022</v>
      </c>
      <c r="C1654" s="4" t="s">
        <v>361</v>
      </c>
      <c r="D1654" s="4" t="s">
        <v>576</v>
      </c>
      <c r="E1654" s="4" t="s">
        <v>578</v>
      </c>
      <c r="F1654" s="4" t="s">
        <v>331</v>
      </c>
      <c r="G1654" s="8">
        <v>2730</v>
      </c>
      <c r="I1654" s="16" cm="1">
        <f t="array" ref="I1654">_xlfn.IFS(B1654=2015,G1654/$H$1957,B1654=2016,G1654/$H$1958,B1654=2017,G1654/$H$1959,B1654=2018,G1654/$H$1960,B1654=2019,G1654/$H$1961,B1654=2020,G1654/$H$1962,B1654=2021,G1654/$H$1963,B1654=2022,G1654/$H$1964,B1654=2023,G1654/$H$1965)</f>
        <v>2.9342103006497313E-6</v>
      </c>
      <c r="J1654" s="10" cm="1">
        <f t="array" ref="J1654">_xlfn.IFS(B1654=2015,I1654*$G$2,B1654=2016,I1654*$G$3,B1654=2017,I1654*$G$4,B1654=2018,I1654*$G$5,B1654=2019,I1654*$G$6,B1654=2020,I1654*$G$7,B1654=2021,I1654*$G$8,B1654=2022,I1654*$G$9,B1654=2023,I1654*$G$10)</f>
        <v>497.59995813816982</v>
      </c>
      <c r="K1654" s="8">
        <f t="shared" si="25"/>
        <v>3227.5999581381698</v>
      </c>
      <c r="L1654">
        <f>IFERROR(VLOOKUP(F1654,'LEAID Match'!$A$2:$B$240,2,FALSE),"")</f>
        <v>0</v>
      </c>
    </row>
    <row r="1655" spans="1:12" x14ac:dyDescent="0.2">
      <c r="A1655">
        <v>0</v>
      </c>
      <c r="B1655">
        <v>2023</v>
      </c>
      <c r="C1655" s="4" t="s">
        <v>361</v>
      </c>
      <c r="D1655" s="4" t="s">
        <v>576</v>
      </c>
      <c r="E1655" s="4" t="s">
        <v>578</v>
      </c>
      <c r="F1655" s="4" t="s">
        <v>331</v>
      </c>
      <c r="G1655" s="8">
        <v>2395</v>
      </c>
      <c r="I1655" s="16" cm="1">
        <f t="array" ref="I1655">_xlfn.IFS(B1655=2015,G1655/$H$1957,B1655=2016,G1655/$H$1958,B1655=2017,G1655/$H$1959,B1655=2018,G1655/$H$1960,B1655=2019,G1655/$H$1961,B1655=2020,G1655/$H$1962,B1655=2021,G1655/$H$1963,B1655=2022,G1655/$H$1964,B1655=2023,G1655/$H$1965)</f>
        <v>2.4249125696254288E-6</v>
      </c>
      <c r="J1655" s="10" cm="1">
        <f t="array" ref="J1655">_xlfn.IFS(B1655=2015,I1655*$G$2,B1655=2016,I1655*$G$3,B1655=2017,I1655*$G$4,B1655=2018,I1655*$G$5,B1655=2019,I1655*$G$6,B1655=2020,I1655*$G$7,B1655=2021,I1655*$G$8,B1655=2022,I1655*$G$9,B1655=2023,I1655*$G$10)</f>
        <v>412.19953669488825</v>
      </c>
      <c r="K1655" s="8">
        <f t="shared" si="25"/>
        <v>2807.1995366948881</v>
      </c>
      <c r="L1655">
        <f>IFERROR(VLOOKUP(F1655,'LEAID Match'!$A$2:$B$240,2,FALSE),"")</f>
        <v>0</v>
      </c>
    </row>
    <row r="1656" spans="1:12" x14ac:dyDescent="0.2">
      <c r="A1656">
        <v>0</v>
      </c>
      <c r="B1656">
        <v>2015</v>
      </c>
      <c r="C1656" s="4" t="s">
        <v>362</v>
      </c>
      <c r="D1656" s="4" t="s">
        <v>576</v>
      </c>
      <c r="E1656" s="4" t="s">
        <v>578</v>
      </c>
      <c r="F1656" s="4" t="s">
        <v>332</v>
      </c>
      <c r="G1656" s="8">
        <v>83812</v>
      </c>
      <c r="I1656" s="16" cm="1">
        <f t="array" ref="I1656">_xlfn.IFS(B1656=2015,G1656/$H$1957,B1656=2016,G1656/$H$1958,B1656=2017,G1656/$H$1959,B1656=2018,G1656/$H$1960,B1656=2019,G1656/$H$1961,B1656=2020,G1656/$H$1962,B1656=2021,G1656/$H$1963,B1656=2022,G1656/$H$1964,B1656=2023,G1656/$H$1965)</f>
        <v>6.4724528565981713E-5</v>
      </c>
      <c r="J1656" s="10" cm="1">
        <f t="array" ref="J1656">_xlfn.IFS(B1656=2015,I1656*$G$2,B1656=2016,I1656*$G$3,B1656=2017,I1656*$G$4,B1656=2018,I1656*$G$5,B1656=2019,I1656*$G$6,B1656=2020,I1656*$G$7,B1656=2021,I1656*$G$8,B1656=2022,I1656*$G$9,B1656=2023,I1656*$G$10)</f>
        <v>16093.273448306751</v>
      </c>
      <c r="K1656" s="8">
        <f t="shared" si="25"/>
        <v>99905.273448306747</v>
      </c>
      <c r="L1656">
        <f>IFERROR(VLOOKUP(F1656,'LEAID Match'!$A$2:$B$240,2,FALSE),"")</f>
        <v>0</v>
      </c>
    </row>
    <row r="1657" spans="1:12" x14ac:dyDescent="0.2">
      <c r="A1657">
        <v>0</v>
      </c>
      <c r="B1657">
        <v>2016</v>
      </c>
      <c r="C1657" s="4" t="s">
        <v>362</v>
      </c>
      <c r="D1657" s="4" t="s">
        <v>576</v>
      </c>
      <c r="E1657" s="4" t="s">
        <v>578</v>
      </c>
      <c r="F1657" s="4" t="s">
        <v>332</v>
      </c>
      <c r="G1657" s="8">
        <v>99415</v>
      </c>
      <c r="I1657" s="16" cm="1">
        <f t="array" ref="I1657">_xlfn.IFS(B1657=2015,G1657/$H$1957,B1657=2016,G1657/$H$1958,B1657=2017,G1657/$H$1959,B1657=2018,G1657/$H$1960,B1657=2019,G1657/$H$1961,B1657=2020,G1657/$H$1962,B1657=2021,G1657/$H$1963,B1657=2022,G1657/$H$1964,B1657=2023,G1657/$H$1965)</f>
        <v>6.9789287499440547E-5</v>
      </c>
      <c r="J1657" s="10" cm="1">
        <f t="array" ref="J1657">_xlfn.IFS(B1657=2015,I1657*$G$2,B1657=2016,I1657*$G$3,B1657=2017,I1657*$G$4,B1657=2018,I1657*$G$5,B1657=2019,I1657*$G$6,B1657=2020,I1657*$G$7,B1657=2021,I1657*$G$8,B1657=2022,I1657*$G$9,B1657=2023,I1657*$G$10)</f>
        <v>18927.069720853775</v>
      </c>
      <c r="K1657" s="8">
        <f t="shared" si="25"/>
        <v>118342.06972085377</v>
      </c>
      <c r="L1657">
        <f>IFERROR(VLOOKUP(F1657,'LEAID Match'!$A$2:$B$240,2,FALSE),"")</f>
        <v>0</v>
      </c>
    </row>
    <row r="1658" spans="1:12" x14ac:dyDescent="0.2">
      <c r="A1658">
        <v>0</v>
      </c>
      <c r="B1658">
        <v>2017</v>
      </c>
      <c r="C1658" s="4" t="s">
        <v>362</v>
      </c>
      <c r="D1658" s="4" t="s">
        <v>576</v>
      </c>
      <c r="E1658" s="4" t="s">
        <v>578</v>
      </c>
      <c r="F1658" s="4" t="s">
        <v>332</v>
      </c>
      <c r="G1658" s="8">
        <v>49068</v>
      </c>
      <c r="I1658" s="16" cm="1">
        <f t="array" ref="I1658">_xlfn.IFS(B1658=2015,G1658/$H$1957,B1658=2016,G1658/$H$1958,B1658=2017,G1658/$H$1959,B1658=2018,G1658/$H$1960,B1658=2019,G1658/$H$1961,B1658=2020,G1658/$H$1962,B1658=2021,G1658/$H$1963,B1658=2022,G1658/$H$1964,B1658=2023,G1658/$H$1965)</f>
        <v>6.5467154027565118E-5</v>
      </c>
      <c r="J1658" s="10" cm="1">
        <f t="array" ref="J1658">_xlfn.IFS(B1658=2015,I1658*$G$2,B1658=2016,I1658*$G$3,B1658=2017,I1658*$G$4,B1658=2018,I1658*$G$5,B1658=2019,I1658*$G$6,B1658=2020,I1658*$G$7,B1658=2021,I1658*$G$8,B1658=2022,I1658*$G$9,B1658=2023,I1658*$G$10)</f>
        <v>9694.8074005454218</v>
      </c>
      <c r="K1658" s="8">
        <f t="shared" si="25"/>
        <v>58762.807400545425</v>
      </c>
      <c r="L1658">
        <f>IFERROR(VLOOKUP(F1658,'LEAID Match'!$A$2:$B$240,2,FALSE),"")</f>
        <v>0</v>
      </c>
    </row>
    <row r="1659" spans="1:12" x14ac:dyDescent="0.2">
      <c r="A1659">
        <v>0</v>
      </c>
      <c r="B1659">
        <v>2018</v>
      </c>
      <c r="C1659" s="4" t="s">
        <v>362</v>
      </c>
      <c r="D1659" s="4" t="s">
        <v>576</v>
      </c>
      <c r="E1659" s="4" t="s">
        <v>578</v>
      </c>
      <c r="F1659" s="4" t="s">
        <v>332</v>
      </c>
      <c r="G1659" s="8">
        <v>52321</v>
      </c>
      <c r="I1659" s="16" cm="1">
        <f t="array" ref="I1659">_xlfn.IFS(B1659=2015,G1659/$H$1957,B1659=2016,G1659/$H$1958,B1659=2017,G1659/$H$1959,B1659=2018,G1659/$H$1960,B1659=2019,G1659/$H$1961,B1659=2020,G1659/$H$1962,B1659=2021,G1659/$H$1963,B1659=2022,G1659/$H$1964,B1659=2023,G1659/$H$1965)</f>
        <v>6.7321977317590301E-5</v>
      </c>
      <c r="J1659" s="10" cm="1">
        <f t="array" ref="J1659">_xlfn.IFS(B1659=2015,I1659*$G$2,B1659=2016,I1659*$G$3,B1659=2017,I1659*$G$4,B1659=2018,I1659*$G$5,B1659=2019,I1659*$G$6,B1659=2020,I1659*$G$7,B1659=2021,I1659*$G$8,B1659=2022,I1659*$G$9,B1659=2023,I1659*$G$10)</f>
        <v>10133.568197282686</v>
      </c>
      <c r="K1659" s="8">
        <f t="shared" si="25"/>
        <v>62454.568197282686</v>
      </c>
      <c r="L1659">
        <f>IFERROR(VLOOKUP(F1659,'LEAID Match'!$A$2:$B$240,2,FALSE),"")</f>
        <v>0</v>
      </c>
    </row>
    <row r="1660" spans="1:12" x14ac:dyDescent="0.2">
      <c r="A1660">
        <v>0</v>
      </c>
      <c r="B1660">
        <v>2019</v>
      </c>
      <c r="C1660" s="4" t="s">
        <v>362</v>
      </c>
      <c r="D1660" s="4" t="s">
        <v>576</v>
      </c>
      <c r="E1660" s="4" t="s">
        <v>578</v>
      </c>
      <c r="F1660" s="4" t="s">
        <v>332</v>
      </c>
      <c r="G1660" s="8">
        <v>53833</v>
      </c>
      <c r="I1660" s="16" cm="1">
        <f t="array" ref="I1660">_xlfn.IFS(B1660=2015,G1660/$H$1957,B1660=2016,G1660/$H$1958,B1660=2017,G1660/$H$1959,B1660=2018,G1660/$H$1960,B1660=2019,G1660/$H$1961,B1660=2020,G1660/$H$1962,B1660=2021,G1660/$H$1963,B1660=2022,G1660/$H$1964,B1660=2023,G1660/$H$1965)</f>
        <v>6.6903472123295611E-5</v>
      </c>
      <c r="J1660" s="10" cm="1">
        <f t="array" ref="J1660">_xlfn.IFS(B1660=2015,I1660*$G$2,B1660=2016,I1660*$G$3,B1660=2017,I1660*$G$4,B1660=2018,I1660*$G$5,B1660=2019,I1660*$G$6,B1660=2020,I1660*$G$7,B1660=2021,I1660*$G$8,B1660=2022,I1660*$G$9,B1660=2023,I1660*$G$10)</f>
        <v>10572.630054923759</v>
      </c>
      <c r="K1660" s="8">
        <f t="shared" si="25"/>
        <v>64405.630054923757</v>
      </c>
      <c r="L1660">
        <f>IFERROR(VLOOKUP(F1660,'LEAID Match'!$A$2:$B$240,2,FALSE),"")</f>
        <v>0</v>
      </c>
    </row>
    <row r="1661" spans="1:12" x14ac:dyDescent="0.2">
      <c r="A1661">
        <v>0</v>
      </c>
      <c r="B1661">
        <v>2020</v>
      </c>
      <c r="C1661" s="4" t="s">
        <v>362</v>
      </c>
      <c r="D1661" s="4" t="s">
        <v>576</v>
      </c>
      <c r="E1661" s="4" t="s">
        <v>578</v>
      </c>
      <c r="F1661" s="4" t="s">
        <v>332</v>
      </c>
      <c r="G1661" s="8">
        <v>54669</v>
      </c>
      <c r="I1661" s="16" cm="1">
        <f t="array" ref="I1661">_xlfn.IFS(B1661=2015,G1661/$H$1957,B1661=2016,G1661/$H$1958,B1661=2017,G1661/$H$1959,B1661=2018,G1661/$H$1960,B1661=2019,G1661/$H$1961,B1661=2020,G1661/$H$1962,B1661=2021,G1661/$H$1963,B1661=2022,G1661/$H$1964,B1661=2023,G1661/$H$1965)</f>
        <v>6.2878281617822422E-5</v>
      </c>
      <c r="J1661" s="10" cm="1">
        <f t="array" ref="J1661">_xlfn.IFS(B1661=2015,I1661*$G$2,B1661=2016,I1661*$G$3,B1661=2017,I1661*$G$4,B1661=2018,I1661*$G$5,B1661=2019,I1661*$G$6,B1661=2020,I1661*$G$7,B1661=2021,I1661*$G$8,B1661=2022,I1661*$G$9,B1661=2023,I1661*$G$10)</f>
        <v>10858.066517794196</v>
      </c>
      <c r="K1661" s="8">
        <f t="shared" si="25"/>
        <v>65527.066517794199</v>
      </c>
      <c r="L1661">
        <f>IFERROR(VLOOKUP(F1661,'LEAID Match'!$A$2:$B$240,2,FALSE),"")</f>
        <v>0</v>
      </c>
    </row>
    <row r="1662" spans="1:12" x14ac:dyDescent="0.2">
      <c r="A1662">
        <v>0</v>
      </c>
      <c r="B1662">
        <v>2021</v>
      </c>
      <c r="C1662" s="4" t="s">
        <v>362</v>
      </c>
      <c r="D1662" s="4" t="s">
        <v>576</v>
      </c>
      <c r="E1662" s="4" t="s">
        <v>578</v>
      </c>
      <c r="F1662" s="4" t="s">
        <v>332</v>
      </c>
      <c r="G1662" s="8">
        <v>54949</v>
      </c>
      <c r="I1662" s="16" cm="1">
        <f t="array" ref="I1662">_xlfn.IFS(B1662=2015,G1662/$H$1957,B1662=2016,G1662/$H$1958,B1662=2017,G1662/$H$1959,B1662=2018,G1662/$H$1960,B1662=2019,G1662/$H$1961,B1662=2020,G1662/$H$1962,B1662=2021,G1662/$H$1963,B1662=2022,G1662/$H$1964,B1662=2023,G1662/$H$1965)</f>
        <v>6.2795436478075103E-5</v>
      </c>
      <c r="J1662" s="10" cm="1">
        <f t="array" ref="J1662">_xlfn.IFS(B1662=2015,I1662*$G$2,B1662=2016,I1662*$G$3,B1662=2017,I1662*$G$4,B1662=2018,I1662*$G$5,B1662=2019,I1662*$G$6,B1662=2020,I1662*$G$7,B1662=2021,I1662*$G$8,B1662=2022,I1662*$G$9,B1662=2023,I1662*$G$10)</f>
        <v>10776.754123606233</v>
      </c>
      <c r="K1662" s="8">
        <f t="shared" si="25"/>
        <v>65725.754123606239</v>
      </c>
      <c r="L1662">
        <f>IFERROR(VLOOKUP(F1662,'LEAID Match'!$A$2:$B$240,2,FALSE),"")</f>
        <v>0</v>
      </c>
    </row>
    <row r="1663" spans="1:12" x14ac:dyDescent="0.2">
      <c r="A1663">
        <v>0</v>
      </c>
      <c r="B1663">
        <v>2022</v>
      </c>
      <c r="C1663" s="4" t="s">
        <v>362</v>
      </c>
      <c r="D1663" s="4" t="s">
        <v>576</v>
      </c>
      <c r="E1663" s="4" t="s">
        <v>578</v>
      </c>
      <c r="F1663" s="4" t="s">
        <v>332</v>
      </c>
      <c r="G1663" s="8">
        <v>57088</v>
      </c>
      <c r="I1663" s="16" cm="1">
        <f t="array" ref="I1663">_xlfn.IFS(B1663=2015,G1663/$H$1957,B1663=2016,G1663/$H$1958,B1663=2017,G1663/$H$1959,B1663=2018,G1663/$H$1960,B1663=2019,G1663/$H$1961,B1663=2020,G1663/$H$1962,B1663=2021,G1663/$H$1963,B1663=2022,G1663/$H$1964,B1663=2023,G1663/$H$1965)</f>
        <v>6.1358314155125218E-5</v>
      </c>
      <c r="J1663" s="10" cm="1">
        <f t="array" ref="J1663">_xlfn.IFS(B1663=2015,I1663*$G$2,B1663=2016,I1663*$G$3,B1663=2017,I1663*$G$4,B1663=2018,I1663*$G$5,B1663=2019,I1663*$G$6,B1663=2020,I1663*$G$7,B1663=2021,I1663*$G$8,B1663=2022,I1663*$G$9,B1663=2023,I1663*$G$10)</f>
        <v>10405.489527542797</v>
      </c>
      <c r="K1663" s="8">
        <f t="shared" si="25"/>
        <v>67493.489527542799</v>
      </c>
      <c r="L1663">
        <f>IFERROR(VLOOKUP(F1663,'LEAID Match'!$A$2:$B$240,2,FALSE),"")</f>
        <v>0</v>
      </c>
    </row>
    <row r="1664" spans="1:12" x14ac:dyDescent="0.2">
      <c r="A1664">
        <v>0</v>
      </c>
      <c r="B1664">
        <v>2023</v>
      </c>
      <c r="C1664" s="4" t="s">
        <v>362</v>
      </c>
      <c r="D1664" s="4" t="s">
        <v>576</v>
      </c>
      <c r="E1664" s="4" t="s">
        <v>578</v>
      </c>
      <c r="F1664" s="4" t="s">
        <v>332</v>
      </c>
      <c r="G1664" s="8">
        <v>65228</v>
      </c>
      <c r="I1664" s="16" cm="1">
        <f t="array" ref="I1664">_xlfn.IFS(B1664=2015,G1664/$H$1957,B1664=2016,G1664/$H$1958,B1664=2017,G1664/$H$1959,B1664=2018,G1664/$H$1960,B1664=2019,G1664/$H$1961,B1664=2020,G1664/$H$1962,B1664=2021,G1664/$H$1963,B1664=2022,G1664/$H$1964,B1664=2023,G1664/$H$1965)</f>
        <v>6.6042671019426915E-5</v>
      </c>
      <c r="J1664" s="10" cm="1">
        <f t="array" ref="J1664">_xlfn.IFS(B1664=2015,I1664*$G$2,B1664=2016,I1664*$G$3,B1664=2017,I1664*$G$4,B1664=2018,I1664*$G$5,B1664=2019,I1664*$G$6,B1664=2020,I1664*$G$7,B1664=2021,I1664*$G$8,B1664=2022,I1664*$G$9,B1664=2023,I1664*$G$10)</f>
        <v>11226.284500849339</v>
      </c>
      <c r="K1664" s="8">
        <f t="shared" si="25"/>
        <v>76454.284500849346</v>
      </c>
      <c r="L1664">
        <f>IFERROR(VLOOKUP(F1664,'LEAID Match'!$A$2:$B$240,2,FALSE),"")</f>
        <v>0</v>
      </c>
    </row>
    <row r="1665" spans="1:12" x14ac:dyDescent="0.2">
      <c r="A1665">
        <v>0</v>
      </c>
      <c r="B1665">
        <v>2015</v>
      </c>
      <c r="C1665" s="4" t="s">
        <v>363</v>
      </c>
      <c r="D1665" s="4" t="s">
        <v>576</v>
      </c>
      <c r="E1665" s="4" t="s">
        <v>578</v>
      </c>
      <c r="F1665" s="4" t="s">
        <v>333</v>
      </c>
      <c r="G1665" s="8">
        <v>156298</v>
      </c>
      <c r="I1665" s="16" cm="1">
        <f t="array" ref="I1665">_xlfn.IFS(B1665=2015,G1665/$H$1957,B1665=2016,G1665/$H$1958,B1665=2017,G1665/$H$1959,B1665=2018,G1665/$H$1960,B1665=2019,G1665/$H$1961,B1665=2020,G1665/$H$1962,B1665=2021,G1665/$H$1963,B1665=2022,G1665/$H$1964,B1665=2023,G1665/$H$1965)</f>
        <v>1.2070245747393941E-4</v>
      </c>
      <c r="J1665" s="10" cm="1">
        <f t="array" ref="J1665">_xlfn.IFS(B1665=2015,I1665*$G$2,B1665=2016,I1665*$G$3,B1665=2017,I1665*$G$4,B1665=2018,I1665*$G$5,B1665=2019,I1665*$G$6,B1665=2020,I1665*$G$7,B1665=2021,I1665*$G$8,B1665=2022,I1665*$G$9,B1665=2023,I1665*$G$10)</f>
        <v>30011.76983514829</v>
      </c>
      <c r="K1665" s="8">
        <f t="shared" si="25"/>
        <v>186309.7698351483</v>
      </c>
      <c r="L1665">
        <f>IFERROR(VLOOKUP(F1665,'LEAID Match'!$A$2:$B$240,2,FALSE),"")</f>
        <v>0</v>
      </c>
    </row>
    <row r="1666" spans="1:12" x14ac:dyDescent="0.2">
      <c r="A1666">
        <v>0</v>
      </c>
      <c r="B1666">
        <v>2016</v>
      </c>
      <c r="C1666" s="4" t="s">
        <v>363</v>
      </c>
      <c r="D1666" s="4" t="s">
        <v>576</v>
      </c>
      <c r="E1666" s="4" t="s">
        <v>578</v>
      </c>
      <c r="F1666" s="4" t="s">
        <v>333</v>
      </c>
      <c r="G1666" s="8">
        <v>156437</v>
      </c>
      <c r="I1666" s="16" cm="1">
        <f t="array" ref="I1666">_xlfn.IFS(B1666=2015,G1666/$H$1957,B1666=2016,G1666/$H$1958,B1666=2017,G1666/$H$1959,B1666=2018,G1666/$H$1960,B1666=2019,G1666/$H$1961,B1666=2020,G1666/$H$1962,B1666=2021,G1666/$H$1963,B1666=2022,G1666/$H$1964,B1666=2023,G1666/$H$1965)</f>
        <v>1.0981870712216446E-4</v>
      </c>
      <c r="J1666" s="10" cm="1">
        <f t="array" ref="J1666">_xlfn.IFS(B1666=2015,I1666*$G$2,B1666=2016,I1666*$G$3,B1666=2017,I1666*$G$4,B1666=2018,I1666*$G$5,B1666=2019,I1666*$G$6,B1666=2020,I1666*$G$7,B1666=2021,I1666*$G$8,B1666=2022,I1666*$G$9,B1666=2023,I1666*$G$10)</f>
        <v>29783.171613148937</v>
      </c>
      <c r="K1666" s="8">
        <f t="shared" si="25"/>
        <v>186220.17161314894</v>
      </c>
      <c r="L1666">
        <f>IFERROR(VLOOKUP(F1666,'LEAID Match'!$A$2:$B$240,2,FALSE),"")</f>
        <v>0</v>
      </c>
    </row>
    <row r="1667" spans="1:12" x14ac:dyDescent="0.2">
      <c r="A1667">
        <v>0</v>
      </c>
      <c r="B1667">
        <v>2017</v>
      </c>
      <c r="C1667" s="4" t="s">
        <v>363</v>
      </c>
      <c r="D1667" s="4" t="s">
        <v>576</v>
      </c>
      <c r="E1667" s="4" t="s">
        <v>578</v>
      </c>
      <c r="F1667" s="4" t="s">
        <v>333</v>
      </c>
      <c r="G1667" s="8">
        <v>84215</v>
      </c>
      <c r="I1667" s="16" cm="1">
        <f t="array" ref="I1667">_xlfn.IFS(B1667=2015,G1667/$H$1957,B1667=2016,G1667/$H$1958,B1667=2017,G1667/$H$1959,B1667=2018,G1667/$H$1960,B1667=2019,G1667/$H$1961,B1667=2020,G1667/$H$1962,B1667=2021,G1667/$H$1963,B1667=2022,G1667/$H$1964,B1667=2023,G1667/$H$1965)</f>
        <v>1.1236073156499953E-4</v>
      </c>
      <c r="J1667" s="10" cm="1">
        <f t="array" ref="J1667">_xlfn.IFS(B1667=2015,I1667*$G$2,B1667=2016,I1667*$G$3,B1667=2017,I1667*$G$4,B1667=2018,I1667*$G$5,B1667=2019,I1667*$G$6,B1667=2020,I1667*$G$7,B1667=2021,I1667*$G$8,B1667=2022,I1667*$G$9,B1667=2023,I1667*$G$10)</f>
        <v>16639.117250283947</v>
      </c>
      <c r="K1667" s="8">
        <f t="shared" si="25"/>
        <v>100854.11725028395</v>
      </c>
      <c r="L1667">
        <f>IFERROR(VLOOKUP(F1667,'LEAID Match'!$A$2:$B$240,2,FALSE),"")</f>
        <v>0</v>
      </c>
    </row>
    <row r="1668" spans="1:12" x14ac:dyDescent="0.2">
      <c r="A1668">
        <v>0</v>
      </c>
      <c r="B1668">
        <v>2018</v>
      </c>
      <c r="C1668" s="4" t="s">
        <v>363</v>
      </c>
      <c r="D1668" s="4" t="s">
        <v>576</v>
      </c>
      <c r="E1668" s="4" t="s">
        <v>578</v>
      </c>
      <c r="F1668" s="4" t="s">
        <v>333</v>
      </c>
      <c r="G1668" s="8">
        <v>110279</v>
      </c>
      <c r="I1668" s="16" cm="1">
        <f t="array" ref="I1668">_xlfn.IFS(B1668=2015,G1668/$H$1957,B1668=2016,G1668/$H$1958,B1668=2017,G1668/$H$1959,B1668=2018,G1668/$H$1960,B1668=2019,G1668/$H$1961,B1668=2020,G1668/$H$1962,B1668=2021,G1668/$H$1963,B1668=2022,G1668/$H$1964,B1668=2023,G1668/$H$1965)</f>
        <v>1.4189714142708552E-4</v>
      </c>
      <c r="J1668" s="10" cm="1">
        <f t="array" ref="J1668">_xlfn.IFS(B1668=2015,I1668*$G$2,B1668=2016,I1668*$G$3,B1668=2017,I1668*$G$4,B1668=2018,I1668*$G$5,B1668=2019,I1668*$G$6,B1668=2020,I1668*$G$7,B1668=2021,I1668*$G$8,B1668=2022,I1668*$G$9,B1668=2023,I1668*$G$10)</f>
        <v>21358.914531987873</v>
      </c>
      <c r="K1668" s="8">
        <f t="shared" si="25"/>
        <v>131637.91453198786</v>
      </c>
      <c r="L1668">
        <f>IFERROR(VLOOKUP(F1668,'LEAID Match'!$A$2:$B$240,2,FALSE),"")</f>
        <v>0</v>
      </c>
    </row>
    <row r="1669" spans="1:12" x14ac:dyDescent="0.2">
      <c r="A1669">
        <v>0</v>
      </c>
      <c r="B1669">
        <v>2019</v>
      </c>
      <c r="C1669" s="4" t="s">
        <v>363</v>
      </c>
      <c r="D1669" s="4" t="s">
        <v>576</v>
      </c>
      <c r="E1669" s="4" t="s">
        <v>578</v>
      </c>
      <c r="F1669" s="4" t="s">
        <v>333</v>
      </c>
      <c r="G1669" s="8">
        <v>80840</v>
      </c>
      <c r="I1669" s="16" cm="1">
        <f t="array" ref="I1669">_xlfn.IFS(B1669=2015,G1669/$H$1957,B1669=2016,G1669/$H$1958,B1669=2017,G1669/$H$1959,B1669=2018,G1669/$H$1960,B1669=2019,G1669/$H$1961,B1669=2020,G1669/$H$1962,B1669=2021,G1669/$H$1963,B1669=2022,G1669/$H$1964,B1669=2023,G1669/$H$1965)</f>
        <v>1.0046768128187575E-4</v>
      </c>
      <c r="J1669" s="10" cm="1">
        <f t="array" ref="J1669">_xlfn.IFS(B1669=2015,I1669*$G$2,B1669=2016,I1669*$G$3,B1669=2017,I1669*$G$4,B1669=2018,I1669*$G$5,B1669=2019,I1669*$G$6,B1669=2020,I1669*$G$7,B1669=2021,I1669*$G$8,B1669=2022,I1669*$G$9,B1669=2023,I1669*$G$10)</f>
        <v>15876.718994669378</v>
      </c>
      <c r="K1669" s="8">
        <f t="shared" si="25"/>
        <v>96716.718994669383</v>
      </c>
      <c r="L1669">
        <f>IFERROR(VLOOKUP(F1669,'LEAID Match'!$A$2:$B$240,2,FALSE),"")</f>
        <v>0</v>
      </c>
    </row>
    <row r="1670" spans="1:12" x14ac:dyDescent="0.2">
      <c r="A1670">
        <v>0</v>
      </c>
      <c r="B1670">
        <v>2020</v>
      </c>
      <c r="C1670" s="4" t="s">
        <v>363</v>
      </c>
      <c r="D1670" s="4" t="s">
        <v>576</v>
      </c>
      <c r="E1670" s="4" t="s">
        <v>578</v>
      </c>
      <c r="F1670" s="4" t="s">
        <v>333</v>
      </c>
      <c r="G1670" s="8">
        <v>81560</v>
      </c>
      <c r="I1670" s="16" cm="1">
        <f t="array" ref="I1670">_xlfn.IFS(B1670=2015,G1670/$H$1957,B1670=2016,G1670/$H$1958,B1670=2017,G1670/$H$1959,B1670=2018,G1670/$H$1960,B1670=2019,G1670/$H$1961,B1670=2020,G1670/$H$1962,B1670=2021,G1670/$H$1963,B1670=2022,G1670/$H$1964,B1670=2023,G1670/$H$1965)</f>
        <v>9.3807324969353691E-5</v>
      </c>
      <c r="J1670" s="10" cm="1">
        <f t="array" ref="J1670">_xlfn.IFS(B1670=2015,I1670*$G$2,B1670=2016,I1670*$G$3,B1670=2017,I1670*$G$4,B1670=2018,I1670*$G$5,B1670=2019,I1670*$G$6,B1670=2020,I1670*$G$7,B1670=2021,I1670*$G$8,B1670=2022,I1670*$G$9,B1670=2023,I1670*$G$10)</f>
        <v>16199.014161431425</v>
      </c>
      <c r="K1670" s="8">
        <f t="shared" si="25"/>
        <v>97759.01416143142</v>
      </c>
      <c r="L1670">
        <f>IFERROR(VLOOKUP(F1670,'LEAID Match'!$A$2:$B$240,2,FALSE),"")</f>
        <v>0</v>
      </c>
    </row>
    <row r="1671" spans="1:12" x14ac:dyDescent="0.2">
      <c r="A1671">
        <v>0</v>
      </c>
      <c r="B1671">
        <v>2021</v>
      </c>
      <c r="C1671" s="4" t="s">
        <v>363</v>
      </c>
      <c r="D1671" s="4" t="s">
        <v>576</v>
      </c>
      <c r="E1671" s="4" t="s">
        <v>578</v>
      </c>
      <c r="F1671" s="4" t="s">
        <v>333</v>
      </c>
      <c r="G1671" s="8">
        <v>83249</v>
      </c>
      <c r="I1671" s="16" cm="1">
        <f t="array" ref="I1671">_xlfn.IFS(B1671=2015,G1671/$H$1957,B1671=2016,G1671/$H$1958,B1671=2017,G1671/$H$1959,B1671=2018,G1671/$H$1960,B1671=2019,G1671/$H$1961,B1671=2020,G1671/$H$1962,B1671=2021,G1671/$H$1963,B1671=2022,G1671/$H$1964,B1671=2023,G1671/$H$1965)</f>
        <v>9.5136531899821177E-5</v>
      </c>
      <c r="J1671" s="10" cm="1">
        <f t="array" ref="J1671">_xlfn.IFS(B1671=2015,I1671*$G$2,B1671=2016,I1671*$G$3,B1671=2017,I1671*$G$4,B1671=2018,I1671*$G$5,B1671=2019,I1671*$G$6,B1671=2020,I1671*$G$7,B1671=2021,I1671*$G$8,B1671=2022,I1671*$G$9,B1671=2023,I1671*$G$10)</f>
        <v>16327.03059266038</v>
      </c>
      <c r="K1671" s="8">
        <f t="shared" si="25"/>
        <v>99576.030592660376</v>
      </c>
      <c r="L1671">
        <f>IFERROR(VLOOKUP(F1671,'LEAID Match'!$A$2:$B$240,2,FALSE),"")</f>
        <v>0</v>
      </c>
    </row>
    <row r="1672" spans="1:12" x14ac:dyDescent="0.2">
      <c r="A1672">
        <v>0</v>
      </c>
      <c r="B1672">
        <v>2022</v>
      </c>
      <c r="C1672" s="4" t="s">
        <v>363</v>
      </c>
      <c r="D1672" s="4" t="s">
        <v>576</v>
      </c>
      <c r="E1672" s="4" t="s">
        <v>578</v>
      </c>
      <c r="F1672" s="4" t="s">
        <v>333</v>
      </c>
      <c r="G1672" s="8">
        <v>97608</v>
      </c>
      <c r="I1672" s="16" cm="1">
        <f t="array" ref="I1672">_xlfn.IFS(B1672=2015,G1672/$H$1957,B1672=2016,G1672/$H$1958,B1672=2017,G1672/$H$1959,B1672=2018,G1672/$H$1960,B1672=2019,G1672/$H$1961,B1672=2020,G1672/$H$1962,B1672=2021,G1672/$H$1963,B1672=2022,G1672/$H$1964,B1672=2023,G1672/$H$1965)</f>
        <v>1.0490930367246115E-4</v>
      </c>
      <c r="J1672" s="10" cm="1">
        <f t="array" ref="J1672">_xlfn.IFS(B1672=2015,I1672*$G$2,B1672=2016,I1672*$G$3,B1672=2017,I1672*$G$4,B1672=2018,I1672*$G$5,B1672=2019,I1672*$G$6,B1672=2020,I1672*$G$7,B1672=2021,I1672*$G$8,B1672=2022,I1672*$G$9,B1672=2023,I1672*$G$10)</f>
        <v>17791.112349432409</v>
      </c>
      <c r="K1672" s="8">
        <f t="shared" si="25"/>
        <v>115399.11234943241</v>
      </c>
      <c r="L1672">
        <f>IFERROR(VLOOKUP(F1672,'LEAID Match'!$A$2:$B$240,2,FALSE),"")</f>
        <v>0</v>
      </c>
    </row>
    <row r="1673" spans="1:12" x14ac:dyDescent="0.2">
      <c r="A1673">
        <v>0</v>
      </c>
      <c r="B1673">
        <v>2023</v>
      </c>
      <c r="C1673" s="4" t="s">
        <v>363</v>
      </c>
      <c r="D1673" s="4" t="s">
        <v>576</v>
      </c>
      <c r="E1673" s="4" t="s">
        <v>578</v>
      </c>
      <c r="F1673" s="4" t="s">
        <v>333</v>
      </c>
      <c r="G1673" s="8">
        <v>112558</v>
      </c>
      <c r="I1673" s="16" cm="1">
        <f t="array" ref="I1673">_xlfn.IFS(B1673=2015,G1673/$H$1957,B1673=2016,G1673/$H$1958,B1673=2017,G1673/$H$1959,B1673=2018,G1673/$H$1960,B1673=2019,G1673/$H$1961,B1673=2020,G1673/$H$1962,B1673=2021,G1673/$H$1963,B1673=2022,G1673/$H$1964,B1673=2023,G1673/$H$1965)</f>
        <v>1.1396380334526055E-4</v>
      </c>
      <c r="J1673" s="10" cm="1">
        <f t="array" ref="J1673">_xlfn.IFS(B1673=2015,I1673*$G$2,B1673=2016,I1673*$G$3,B1673=2017,I1673*$G$4,B1673=2018,I1673*$G$5,B1673=2019,I1673*$G$6,B1673=2020,I1673*$G$7,B1673=2021,I1673*$G$8,B1673=2022,I1673*$G$9,B1673=2023,I1673*$G$10)</f>
        <v>19372.173466097382</v>
      </c>
      <c r="K1673" s="8">
        <f t="shared" si="25"/>
        <v>131930.17346609739</v>
      </c>
      <c r="L1673">
        <f>IFERROR(VLOOKUP(F1673,'LEAID Match'!$A$2:$B$240,2,FALSE),"")</f>
        <v>0</v>
      </c>
    </row>
    <row r="1674" spans="1:12" x14ac:dyDescent="0.2">
      <c r="A1674">
        <v>0</v>
      </c>
      <c r="B1674">
        <v>2015</v>
      </c>
      <c r="C1674" s="4" t="s">
        <v>364</v>
      </c>
      <c r="D1674" s="4" t="s">
        <v>576</v>
      </c>
      <c r="E1674" s="4" t="s">
        <v>578</v>
      </c>
      <c r="F1674" s="4" t="s">
        <v>334</v>
      </c>
      <c r="G1674" s="8">
        <v>138596</v>
      </c>
      <c r="I1674" s="16" cm="1">
        <f t="array" ref="I1674">_xlfn.IFS(B1674=2015,G1674/$H$1957,B1674=2016,G1674/$H$1958,B1674=2017,G1674/$H$1959,B1674=2018,G1674/$H$1960,B1674=2019,G1674/$H$1961,B1674=2020,G1674/$H$1962,B1674=2021,G1674/$H$1963,B1674=2022,G1674/$H$1964,B1674=2023,G1674/$H$1965)</f>
        <v>1.070319376835155E-4</v>
      </c>
      <c r="J1674" s="10" cm="1">
        <f t="array" ref="J1674">_xlfn.IFS(B1674=2015,I1674*$G$2,B1674=2016,I1674*$G$3,B1674=2017,I1674*$G$4,B1674=2018,I1674*$G$5,B1674=2019,I1674*$G$6,B1674=2020,I1674*$G$7,B1674=2021,I1674*$G$8,B1674=2022,I1674*$G$9,B1674=2023,I1674*$G$10)</f>
        <v>26612.69659286883</v>
      </c>
      <c r="K1674" s="8">
        <f t="shared" si="25"/>
        <v>165208.69659286883</v>
      </c>
      <c r="L1674">
        <f>IFERROR(VLOOKUP(F1674,'LEAID Match'!$A$2:$B$240,2,FALSE),"")</f>
        <v>0</v>
      </c>
    </row>
    <row r="1675" spans="1:12" x14ac:dyDescent="0.2">
      <c r="A1675">
        <v>0</v>
      </c>
      <c r="B1675">
        <v>2016</v>
      </c>
      <c r="C1675" s="4" t="s">
        <v>364</v>
      </c>
      <c r="D1675" s="4" t="s">
        <v>576</v>
      </c>
      <c r="E1675" s="4" t="s">
        <v>578</v>
      </c>
      <c r="F1675" s="4" t="s">
        <v>334</v>
      </c>
      <c r="G1675" s="8">
        <v>155559</v>
      </c>
      <c r="I1675" s="16" cm="1">
        <f t="array" ref="I1675">_xlfn.IFS(B1675=2015,G1675/$H$1957,B1675=2016,G1675/$H$1958,B1675=2017,G1675/$H$1959,B1675=2018,G1675/$H$1960,B1675=2019,G1675/$H$1961,B1675=2020,G1675/$H$1962,B1675=2021,G1675/$H$1963,B1675=2022,G1675/$H$1964,B1675=2023,G1675/$H$1965)</f>
        <v>1.0920235149751518E-4</v>
      </c>
      <c r="J1675" s="10" cm="1">
        <f t="array" ref="J1675">_xlfn.IFS(B1675=2015,I1675*$G$2,B1675=2016,I1675*$G$3,B1675=2017,I1675*$G$4,B1675=2018,I1675*$G$5,B1675=2019,I1675*$G$6,B1675=2020,I1675*$G$7,B1675=2021,I1675*$G$8,B1675=2022,I1675*$G$9,B1675=2023,I1675*$G$10)</f>
        <v>29616.014069368728</v>
      </c>
      <c r="K1675" s="8">
        <f t="shared" si="25"/>
        <v>185175.01406936871</v>
      </c>
      <c r="L1675">
        <f>IFERROR(VLOOKUP(F1675,'LEAID Match'!$A$2:$B$240,2,FALSE),"")</f>
        <v>0</v>
      </c>
    </row>
    <row r="1676" spans="1:12" x14ac:dyDescent="0.2">
      <c r="A1676">
        <v>0</v>
      </c>
      <c r="B1676">
        <v>2017</v>
      </c>
      <c r="C1676" s="4" t="s">
        <v>364</v>
      </c>
      <c r="D1676" s="4" t="s">
        <v>576</v>
      </c>
      <c r="E1676" s="4" t="s">
        <v>578</v>
      </c>
      <c r="F1676" s="4" t="s">
        <v>334</v>
      </c>
      <c r="G1676" s="8">
        <v>82326</v>
      </c>
      <c r="I1676" s="16" cm="1">
        <f t="array" ref="I1676">_xlfn.IFS(B1676=2015,G1676/$H$1957,B1676=2016,G1676/$H$1958,B1676=2017,G1676/$H$1959,B1676=2018,G1676/$H$1960,B1676=2019,G1676/$H$1961,B1676=2020,G1676/$H$1962,B1676=2021,G1676/$H$1963,B1676=2022,G1676/$H$1964,B1676=2023,G1676/$H$1965)</f>
        <v>1.0984040357204952E-4</v>
      </c>
      <c r="J1676" s="10" cm="1">
        <f t="array" ref="J1676">_xlfn.IFS(B1676=2015,I1676*$G$2,B1676=2016,I1676*$G$3,B1676=2017,I1676*$G$4,B1676=2018,I1676*$G$5,B1676=2019,I1676*$G$6,B1676=2020,I1676*$G$7,B1676=2021,I1676*$G$8,B1676=2022,I1676*$G$9,B1676=2023,I1676*$G$10)</f>
        <v>16265.890479687423</v>
      </c>
      <c r="K1676" s="8">
        <f t="shared" ref="K1676:K1739" si="26">SUM(G1676,J1676)</f>
        <v>98591.890479687427</v>
      </c>
      <c r="L1676">
        <f>IFERROR(VLOOKUP(F1676,'LEAID Match'!$A$2:$B$240,2,FALSE),"")</f>
        <v>0</v>
      </c>
    </row>
    <row r="1677" spans="1:12" x14ac:dyDescent="0.2">
      <c r="A1677">
        <v>0</v>
      </c>
      <c r="B1677">
        <v>2018</v>
      </c>
      <c r="C1677" s="4" t="s">
        <v>364</v>
      </c>
      <c r="D1677" s="4" t="s">
        <v>576</v>
      </c>
      <c r="E1677" s="4" t="s">
        <v>578</v>
      </c>
      <c r="F1677" s="4" t="s">
        <v>334</v>
      </c>
      <c r="G1677" s="8">
        <v>83081</v>
      </c>
      <c r="I1677" s="16" cm="1">
        <f t="array" ref="I1677">_xlfn.IFS(B1677=2015,G1677/$H$1957,B1677=2016,G1677/$H$1958,B1677=2017,G1677/$H$1959,B1677=2018,G1677/$H$1960,B1677=2019,G1677/$H$1961,B1677=2020,G1677/$H$1962,B1677=2021,G1677/$H$1963,B1677=2022,G1677/$H$1964,B1677=2023,G1677/$H$1965)</f>
        <v>1.0690119067912922E-4</v>
      </c>
      <c r="J1677" s="10" cm="1">
        <f t="array" ref="J1677">_xlfn.IFS(B1677=2015,I1677*$G$2,B1677=2016,I1677*$G$3,B1677=2017,I1677*$G$4,B1677=2018,I1677*$G$5,B1677=2019,I1677*$G$6,B1677=2020,I1677*$G$7,B1677=2021,I1677*$G$8,B1677=2022,I1677*$G$9,B1677=2023,I1677*$G$10)</f>
        <v>16091.186701294755</v>
      </c>
      <c r="K1677" s="8">
        <f t="shared" si="26"/>
        <v>99172.186701294762</v>
      </c>
      <c r="L1677">
        <f>IFERROR(VLOOKUP(F1677,'LEAID Match'!$A$2:$B$240,2,FALSE),"")</f>
        <v>0</v>
      </c>
    </row>
    <row r="1678" spans="1:12" x14ac:dyDescent="0.2">
      <c r="A1678">
        <v>0</v>
      </c>
      <c r="B1678">
        <v>2019</v>
      </c>
      <c r="C1678" s="4" t="s">
        <v>364</v>
      </c>
      <c r="D1678" s="4" t="s">
        <v>576</v>
      </c>
      <c r="E1678" s="4" t="s">
        <v>578</v>
      </c>
      <c r="F1678" s="4" t="s">
        <v>334</v>
      </c>
      <c r="G1678" s="8">
        <v>76546</v>
      </c>
      <c r="I1678" s="16" cm="1">
        <f t="array" ref="I1678">_xlfn.IFS(B1678=2015,G1678/$H$1957,B1678=2016,G1678/$H$1958,B1678=2017,G1678/$H$1959,B1678=2018,G1678/$H$1960,B1678=2019,G1678/$H$1961,B1678=2020,G1678/$H$1962,B1678=2021,G1678/$H$1963,B1678=2022,G1678/$H$1964,B1678=2023,G1678/$H$1965)</f>
        <v>9.5131112461683095E-5</v>
      </c>
      <c r="J1678" s="10" cm="1">
        <f t="array" ref="J1678">_xlfn.IFS(B1678=2015,I1678*$G$2,B1678=2016,I1678*$G$3,B1678=2017,I1678*$G$4,B1678=2018,I1678*$G$5,B1678=2019,I1678*$G$6,B1678=2020,I1678*$G$7,B1678=2021,I1678*$G$8,B1678=2022,I1678*$G$9,B1678=2023,I1678*$G$10)</f>
        <v>15033.391046090577</v>
      </c>
      <c r="K1678" s="8">
        <f t="shared" si="26"/>
        <v>91579.391046090575</v>
      </c>
      <c r="L1678">
        <f>IFERROR(VLOOKUP(F1678,'LEAID Match'!$A$2:$B$240,2,FALSE),"")</f>
        <v>0</v>
      </c>
    </row>
    <row r="1679" spans="1:12" x14ac:dyDescent="0.2">
      <c r="A1679">
        <v>0</v>
      </c>
      <c r="B1679">
        <v>2020</v>
      </c>
      <c r="C1679" s="4" t="s">
        <v>364</v>
      </c>
      <c r="D1679" s="4" t="s">
        <v>576</v>
      </c>
      <c r="E1679" s="4" t="s">
        <v>578</v>
      </c>
      <c r="F1679" s="4" t="s">
        <v>334</v>
      </c>
      <c r="G1679" s="8">
        <v>77422</v>
      </c>
      <c r="I1679" s="16" cm="1">
        <f t="array" ref="I1679">_xlfn.IFS(B1679=2015,G1679/$H$1957,B1679=2016,G1679/$H$1958,B1679=2017,G1679/$H$1959,B1679=2018,G1679/$H$1960,B1679=2019,G1679/$H$1961,B1679=2020,G1679/$H$1962,B1679=2021,G1679/$H$1963,B1679=2022,G1679/$H$1964,B1679=2023,G1679/$H$1965)</f>
        <v>8.9047948918309248E-5</v>
      </c>
      <c r="J1679" s="10" cm="1">
        <f t="array" ref="J1679">_xlfn.IFS(B1679=2015,I1679*$G$2,B1679=2016,I1679*$G$3,B1679=2017,I1679*$G$4,B1679=2018,I1679*$G$5,B1679=2019,I1679*$G$6,B1679=2020,I1679*$G$7,B1679=2021,I1679*$G$8,B1679=2022,I1679*$G$9,B1679=2023,I1679*$G$10)</f>
        <v>15377.146571926729</v>
      </c>
      <c r="K1679" s="8">
        <f t="shared" si="26"/>
        <v>92799.146571926729</v>
      </c>
      <c r="L1679">
        <f>IFERROR(VLOOKUP(F1679,'LEAID Match'!$A$2:$B$240,2,FALSE),"")</f>
        <v>0</v>
      </c>
    </row>
    <row r="1680" spans="1:12" x14ac:dyDescent="0.2">
      <c r="A1680">
        <v>0</v>
      </c>
      <c r="B1680">
        <v>2021</v>
      </c>
      <c r="C1680" s="4" t="s">
        <v>364</v>
      </c>
      <c r="D1680" s="4" t="s">
        <v>576</v>
      </c>
      <c r="E1680" s="4" t="s">
        <v>578</v>
      </c>
      <c r="F1680" s="4" t="s">
        <v>334</v>
      </c>
      <c r="G1680" s="8">
        <v>77807</v>
      </c>
      <c r="I1680" s="16" cm="1">
        <f t="array" ref="I1680">_xlfn.IFS(B1680=2015,G1680/$H$1957,B1680=2016,G1680/$H$1958,B1680=2017,G1680/$H$1959,B1680=2018,G1680/$H$1960,B1680=2019,G1680/$H$1961,B1680=2020,G1680/$H$1962,B1680=2021,G1680/$H$1963,B1680=2022,G1680/$H$1964,B1680=2023,G1680/$H$1965)</f>
        <v>8.8917442101759609E-5</v>
      </c>
      <c r="J1680" s="10" cm="1">
        <f t="array" ref="J1680">_xlfn.IFS(B1680=2015,I1680*$G$2,B1680=2016,I1680*$G$3,B1680=2017,I1680*$G$4,B1680=2018,I1680*$G$5,B1680=2019,I1680*$G$6,B1680=2020,I1680*$G$7,B1680=2021,I1680*$G$8,B1680=2022,I1680*$G$9,B1680=2023,I1680*$G$10)</f>
        <v>15259.730078717173</v>
      </c>
      <c r="K1680" s="8">
        <f t="shared" si="26"/>
        <v>93066.73007871717</v>
      </c>
      <c r="L1680">
        <f>IFERROR(VLOOKUP(F1680,'LEAID Match'!$A$2:$B$240,2,FALSE),"")</f>
        <v>0</v>
      </c>
    </row>
    <row r="1681" spans="1:12" x14ac:dyDescent="0.2">
      <c r="A1681">
        <v>0</v>
      </c>
      <c r="B1681">
        <v>2022</v>
      </c>
      <c r="C1681" s="4" t="s">
        <v>364</v>
      </c>
      <c r="D1681" s="4" t="s">
        <v>576</v>
      </c>
      <c r="E1681" s="4" t="s">
        <v>578</v>
      </c>
      <c r="F1681" s="4" t="s">
        <v>334</v>
      </c>
      <c r="G1681" s="8">
        <v>77770</v>
      </c>
      <c r="I1681" s="16" cm="1">
        <f t="array" ref="I1681">_xlfn.IFS(B1681=2015,G1681/$H$1957,B1681=2016,G1681/$H$1958,B1681=2017,G1681/$H$1959,B1681=2018,G1681/$H$1960,B1681=2019,G1681/$H$1961,B1681=2020,G1681/$H$1962,B1681=2021,G1681/$H$1963,B1681=2022,G1681/$H$1964,B1681=2023,G1681/$H$1965)</f>
        <v>8.3587375487739776E-5</v>
      </c>
      <c r="J1681" s="10" cm="1">
        <f t="array" ref="J1681">_xlfn.IFS(B1681=2015,I1681*$G$2,B1681=2016,I1681*$G$3,B1681=2017,I1681*$G$4,B1681=2018,I1681*$G$5,B1681=2019,I1681*$G$6,B1681=2020,I1681*$G$7,B1681=2021,I1681*$G$8,B1681=2022,I1681*$G$9,B1681=2023,I1681*$G$10)</f>
        <v>14175.219320295042</v>
      </c>
      <c r="K1681" s="8">
        <f t="shared" si="26"/>
        <v>91945.219320295044</v>
      </c>
      <c r="L1681">
        <f>IFERROR(VLOOKUP(F1681,'LEAID Match'!$A$2:$B$240,2,FALSE),"")</f>
        <v>0</v>
      </c>
    </row>
    <row r="1682" spans="1:12" x14ac:dyDescent="0.2">
      <c r="A1682">
        <v>0</v>
      </c>
      <c r="B1682">
        <v>2023</v>
      </c>
      <c r="C1682" s="4" t="s">
        <v>364</v>
      </c>
      <c r="D1682" s="4" t="s">
        <v>576</v>
      </c>
      <c r="E1682" s="4" t="s">
        <v>578</v>
      </c>
      <c r="F1682" s="4" t="s">
        <v>334</v>
      </c>
      <c r="G1682" s="8">
        <v>83028</v>
      </c>
      <c r="I1682" s="16" cm="1">
        <f t="array" ref="I1682">_xlfn.IFS(B1682=2015,G1682/$H$1957,B1682=2016,G1682/$H$1958,B1682=2017,G1682/$H$1959,B1682=2018,G1682/$H$1960,B1682=2019,G1682/$H$1961,B1682=2020,G1682/$H$1962,B1682=2021,G1682/$H$1963,B1682=2022,G1682/$H$1964,B1682=2023,G1682/$H$1965)</f>
        <v>8.4064985733135742E-5</v>
      </c>
      <c r="J1682" s="10" cm="1">
        <f t="array" ref="J1682">_xlfn.IFS(B1682=2015,I1682*$G$2,B1682=2016,I1682*$G$3,B1682=2017,I1682*$G$4,B1682=2018,I1682*$G$5,B1682=2019,I1682*$G$6,B1682=2020,I1682*$G$7,B1682=2021,I1682*$G$8,B1682=2022,I1682*$G$9,B1682=2023,I1682*$G$10)</f>
        <v>14289.813416577528</v>
      </c>
      <c r="K1682" s="8">
        <f t="shared" si="26"/>
        <v>97317.813416577526</v>
      </c>
      <c r="L1682">
        <f>IFERROR(VLOOKUP(F1682,'LEAID Match'!$A$2:$B$240,2,FALSE),"")</f>
        <v>0</v>
      </c>
    </row>
    <row r="1683" spans="1:12" x14ac:dyDescent="0.2">
      <c r="A1683">
        <v>0</v>
      </c>
      <c r="B1683">
        <v>2015</v>
      </c>
      <c r="C1683" s="4" t="s">
        <v>365</v>
      </c>
      <c r="D1683" s="4" t="s">
        <v>576</v>
      </c>
      <c r="E1683" s="4" t="s">
        <v>578</v>
      </c>
      <c r="F1683" s="4" t="s">
        <v>335</v>
      </c>
      <c r="G1683" s="8">
        <v>23055</v>
      </c>
      <c r="I1683" s="16" cm="1">
        <f t="array" ref="I1683">_xlfn.IFS(B1683=2015,G1683/$H$1957,B1683=2016,G1683/$H$1958,B1683=2017,G1683/$H$1959,B1683=2018,G1683/$H$1960,B1683=2019,G1683/$H$1961,B1683=2020,G1683/$H$1962,B1683=2021,G1683/$H$1963,B1683=2022,G1683/$H$1964,B1683=2023,G1683/$H$1965)</f>
        <v>1.780441948752814E-5</v>
      </c>
      <c r="J1683" s="10" cm="1">
        <f t="array" ref="J1683">_xlfn.IFS(B1683=2015,I1683*$G$2,B1683=2016,I1683*$G$3,B1683=2017,I1683*$G$4,B1683=2018,I1683*$G$5,B1683=2019,I1683*$G$6,B1683=2020,I1683*$G$7,B1683=2021,I1683*$G$8,B1683=2022,I1683*$G$9,B1683=2023,I1683*$G$10)</f>
        <v>4426.9367077591769</v>
      </c>
      <c r="K1683" s="8">
        <f t="shared" si="26"/>
        <v>27481.936707759178</v>
      </c>
      <c r="L1683">
        <f>IFERROR(VLOOKUP(F1683,'LEAID Match'!$A$2:$B$240,2,FALSE),"")</f>
        <v>0</v>
      </c>
    </row>
    <row r="1684" spans="1:12" x14ac:dyDescent="0.2">
      <c r="A1684">
        <v>0</v>
      </c>
      <c r="B1684">
        <v>2016</v>
      </c>
      <c r="C1684" s="4" t="s">
        <v>365</v>
      </c>
      <c r="D1684" s="4" t="s">
        <v>576</v>
      </c>
      <c r="E1684" s="4" t="s">
        <v>578</v>
      </c>
      <c r="F1684" s="4" t="s">
        <v>335</v>
      </c>
      <c r="G1684" s="8">
        <v>25404</v>
      </c>
      <c r="I1684" s="16" cm="1">
        <f t="array" ref="I1684">_xlfn.IFS(B1684=2015,G1684/$H$1957,B1684=2016,G1684/$H$1958,B1684=2017,G1684/$H$1959,B1684=2018,G1684/$H$1960,B1684=2019,G1684/$H$1961,B1684=2020,G1684/$H$1962,B1684=2021,G1684/$H$1963,B1684=2022,G1684/$H$1964,B1684=2023,G1684/$H$1965)</f>
        <v>1.7833597139624681E-5</v>
      </c>
      <c r="J1684" s="10" cm="1">
        <f t="array" ref="J1684">_xlfn.IFS(B1684=2015,I1684*$G$2,B1684=2016,I1684*$G$3,B1684=2017,I1684*$G$4,B1684=2018,I1684*$G$5,B1684=2019,I1684*$G$6,B1684=2020,I1684*$G$7,B1684=2021,I1684*$G$8,B1684=2022,I1684*$G$9,B1684=2023,I1684*$G$10)</f>
        <v>4836.5264717454038</v>
      </c>
      <c r="K1684" s="8">
        <f t="shared" si="26"/>
        <v>30240.526471745405</v>
      </c>
      <c r="L1684">
        <f>IFERROR(VLOOKUP(F1684,'LEAID Match'!$A$2:$B$240,2,FALSE),"")</f>
        <v>0</v>
      </c>
    </row>
    <row r="1685" spans="1:12" x14ac:dyDescent="0.2">
      <c r="A1685">
        <v>0</v>
      </c>
      <c r="B1685">
        <v>2017</v>
      </c>
      <c r="C1685" s="4" t="s">
        <v>365</v>
      </c>
      <c r="D1685" s="4" t="s">
        <v>576</v>
      </c>
      <c r="E1685" s="4" t="s">
        <v>578</v>
      </c>
      <c r="F1685" s="4" t="s">
        <v>335</v>
      </c>
      <c r="G1685" s="8">
        <v>12615</v>
      </c>
      <c r="I1685" s="16" cm="1">
        <f t="array" ref="I1685">_xlfn.IFS(B1685=2015,G1685/$H$1957,B1685=2016,G1685/$H$1958,B1685=2017,G1685/$H$1959,B1685=2018,G1685/$H$1960,B1685=2019,G1685/$H$1961,B1685=2020,G1685/$H$1962,B1685=2021,G1685/$H$1963,B1685=2022,G1685/$H$1964,B1685=2023,G1685/$H$1965)</f>
        <v>1.6831094563824367E-5</v>
      </c>
      <c r="J1685" s="10" cm="1">
        <f t="array" ref="J1685">_xlfn.IFS(B1685=2015,I1685*$G$2,B1685=2016,I1685*$G$3,B1685=2017,I1685*$G$4,B1685=2018,I1685*$G$5,B1685=2019,I1685*$G$6,B1685=2020,I1685*$G$7,B1685=2021,I1685*$G$8,B1685=2022,I1685*$G$9,B1685=2023,I1685*$G$10)</f>
        <v>2492.4593494310043</v>
      </c>
      <c r="K1685" s="8">
        <f t="shared" si="26"/>
        <v>15107.459349431005</v>
      </c>
      <c r="L1685">
        <f>IFERROR(VLOOKUP(F1685,'LEAID Match'!$A$2:$B$240,2,FALSE),"")</f>
        <v>0</v>
      </c>
    </row>
    <row r="1686" spans="1:12" x14ac:dyDescent="0.2">
      <c r="A1686">
        <v>0</v>
      </c>
      <c r="B1686">
        <v>2018</v>
      </c>
      <c r="C1686" s="4" t="s">
        <v>365</v>
      </c>
      <c r="D1686" s="4" t="s">
        <v>576</v>
      </c>
      <c r="E1686" s="4" t="s">
        <v>578</v>
      </c>
      <c r="F1686" s="4" t="s">
        <v>335</v>
      </c>
      <c r="G1686" s="8">
        <v>12180</v>
      </c>
      <c r="I1686" s="16" cm="1">
        <f t="array" ref="I1686">_xlfn.IFS(B1686=2015,G1686/$H$1957,B1686=2016,G1686/$H$1958,B1686=2017,G1686/$H$1959,B1686=2018,G1686/$H$1960,B1686=2019,G1686/$H$1961,B1686=2020,G1686/$H$1962,B1686=2021,G1686/$H$1963,B1686=2022,G1686/$H$1964,B1686=2023,G1686/$H$1965)</f>
        <v>1.5672133249139924E-5</v>
      </c>
      <c r="J1686" s="10" cm="1">
        <f t="array" ref="J1686">_xlfn.IFS(B1686=2015,I1686*$G$2,B1686=2016,I1686*$G$3,B1686=2017,I1686*$G$4,B1686=2018,I1686*$G$5,B1686=2019,I1686*$G$6,B1686=2020,I1686*$G$7,B1686=2021,I1686*$G$8,B1686=2022,I1686*$G$9,B1686=2023,I1686*$G$10)</f>
        <v>2359.030994111411</v>
      </c>
      <c r="K1686" s="8">
        <f t="shared" si="26"/>
        <v>14539.03099411141</v>
      </c>
      <c r="L1686">
        <f>IFERROR(VLOOKUP(F1686,'LEAID Match'!$A$2:$B$240,2,FALSE),"")</f>
        <v>0</v>
      </c>
    </row>
    <row r="1687" spans="1:12" x14ac:dyDescent="0.2">
      <c r="A1687">
        <v>0</v>
      </c>
      <c r="B1687">
        <v>2019</v>
      </c>
      <c r="C1687" s="4" t="s">
        <v>365</v>
      </c>
      <c r="D1687" s="4" t="s">
        <v>576</v>
      </c>
      <c r="E1687" s="4" t="s">
        <v>578</v>
      </c>
      <c r="F1687" s="4" t="s">
        <v>335</v>
      </c>
      <c r="G1687" s="8">
        <v>38135</v>
      </c>
      <c r="I1687" s="16" cm="1">
        <f t="array" ref="I1687">_xlfn.IFS(B1687=2015,G1687/$H$1957,B1687=2016,G1687/$H$1958,B1687=2017,G1687/$H$1959,B1687=2018,G1687/$H$1960,B1687=2019,G1687/$H$1961,B1687=2020,G1687/$H$1962,B1687=2021,G1687/$H$1963,B1687=2022,G1687/$H$1964,B1687=2023,G1687/$H$1965)</f>
        <v>4.7394050292977879E-5</v>
      </c>
      <c r="J1687" s="10" cm="1">
        <f t="array" ref="J1687">_xlfn.IFS(B1687=2015,I1687*$G$2,B1687=2016,I1687*$G$3,B1687=2017,I1687*$G$4,B1687=2018,I1687*$G$5,B1687=2019,I1687*$G$6,B1687=2020,I1687*$G$7,B1687=2021,I1687*$G$8,B1687=2022,I1687*$G$9,B1687=2023,I1687*$G$10)</f>
        <v>7489.5927617728439</v>
      </c>
      <c r="K1687" s="8">
        <f t="shared" si="26"/>
        <v>45624.592761772845</v>
      </c>
      <c r="L1687">
        <f>IFERROR(VLOOKUP(F1687,'LEAID Match'!$A$2:$B$240,2,FALSE),"")</f>
        <v>0</v>
      </c>
    </row>
    <row r="1688" spans="1:12" x14ac:dyDescent="0.2">
      <c r="A1688">
        <v>0</v>
      </c>
      <c r="B1688">
        <v>2020</v>
      </c>
      <c r="C1688" s="4" t="s">
        <v>365</v>
      </c>
      <c r="D1688" s="4" t="s">
        <v>576</v>
      </c>
      <c r="E1688" s="4" t="s">
        <v>578</v>
      </c>
      <c r="F1688" s="4" t="s">
        <v>335</v>
      </c>
      <c r="G1688" s="8">
        <v>36905</v>
      </c>
      <c r="I1688" s="16" cm="1">
        <f t="array" ref="I1688">_xlfn.IFS(B1688=2015,G1688/$H$1957,B1688=2016,G1688/$H$1958,B1688=2017,G1688/$H$1959,B1688=2018,G1688/$H$1960,B1688=2019,G1688/$H$1961,B1688=2020,G1688/$H$1962,B1688=2021,G1688/$H$1963,B1688=2022,G1688/$H$1964,B1688=2023,G1688/$H$1965)</f>
        <v>4.2446779401593896E-5</v>
      </c>
      <c r="J1688" s="10" cm="1">
        <f t="array" ref="J1688">_xlfn.IFS(B1688=2015,I1688*$G$2,B1688=2016,I1688*$G$3,B1688=2017,I1688*$G$4,B1688=2018,I1688*$G$5,B1688=2019,I1688*$G$6,B1688=2020,I1688*$G$7,B1688=2021,I1688*$G$8,B1688=2022,I1688*$G$9,B1688=2023,I1688*$G$10)</f>
        <v>7329.8751548262235</v>
      </c>
      <c r="K1688" s="8">
        <f t="shared" si="26"/>
        <v>44234.875154826223</v>
      </c>
      <c r="L1688">
        <f>IFERROR(VLOOKUP(F1688,'LEAID Match'!$A$2:$B$240,2,FALSE),"")</f>
        <v>0</v>
      </c>
    </row>
    <row r="1689" spans="1:12" x14ac:dyDescent="0.2">
      <c r="A1689">
        <v>0</v>
      </c>
      <c r="B1689">
        <v>2021</v>
      </c>
      <c r="C1689" s="4" t="s">
        <v>365</v>
      </c>
      <c r="D1689" s="4" t="s">
        <v>576</v>
      </c>
      <c r="E1689" s="4" t="s">
        <v>578</v>
      </c>
      <c r="F1689" s="4" t="s">
        <v>335</v>
      </c>
      <c r="G1689" s="8">
        <v>35228</v>
      </c>
      <c r="I1689" s="16" cm="1">
        <f t="array" ref="I1689">_xlfn.IFS(B1689=2015,G1689/$H$1957,B1689=2016,G1689/$H$1958,B1689=2017,G1689/$H$1959,B1689=2018,G1689/$H$1960,B1689=2019,G1689/$H$1961,B1689=2020,G1689/$H$1962,B1689=2021,G1689/$H$1963,B1689=2022,G1689/$H$1964,B1689=2023,G1689/$H$1965)</f>
        <v>4.0258378428172113E-5</v>
      </c>
      <c r="J1689" s="10" cm="1">
        <f t="array" ref="J1689">_xlfn.IFS(B1689=2015,I1689*$G$2,B1689=2016,I1689*$G$3,B1689=2017,I1689*$G$4,B1689=2018,I1689*$G$5,B1689=2019,I1689*$G$6,B1689=2020,I1689*$G$7,B1689=2021,I1689*$G$8,B1689=2022,I1689*$G$9,B1689=2023,I1689*$G$10)</f>
        <v>6909.0155283335516</v>
      </c>
      <c r="K1689" s="8">
        <f t="shared" si="26"/>
        <v>42137.015528333548</v>
      </c>
      <c r="L1689">
        <f>IFERROR(VLOOKUP(F1689,'LEAID Match'!$A$2:$B$240,2,FALSE),"")</f>
        <v>0</v>
      </c>
    </row>
    <row r="1690" spans="1:12" x14ac:dyDescent="0.2">
      <c r="A1690">
        <v>0</v>
      </c>
      <c r="B1690">
        <v>2022</v>
      </c>
      <c r="C1690" s="4" t="s">
        <v>365</v>
      </c>
      <c r="D1690" s="4" t="s">
        <v>576</v>
      </c>
      <c r="E1690" s="4" t="s">
        <v>578</v>
      </c>
      <c r="F1690" s="4" t="s">
        <v>335</v>
      </c>
      <c r="G1690" s="8">
        <v>29779</v>
      </c>
      <c r="I1690" s="16" cm="1">
        <f t="array" ref="I1690">_xlfn.IFS(B1690=2015,G1690/$H$1957,B1690=2016,G1690/$H$1958,B1690=2017,G1690/$H$1959,B1690=2018,G1690/$H$1960,B1690=2019,G1690/$H$1961,B1690=2020,G1690/$H$1962,B1690=2021,G1690/$H$1963,B1690=2022,G1690/$H$1964,B1690=2023,G1690/$H$1965)</f>
        <v>3.200653792785654E-5</v>
      </c>
      <c r="J1690" s="10" cm="1">
        <f t="array" ref="J1690">_xlfn.IFS(B1690=2015,I1690*$G$2,B1690=2016,I1690*$G$3,B1690=2017,I1690*$G$4,B1690=2018,I1690*$G$5,B1690=2019,I1690*$G$6,B1690=2020,I1690*$G$7,B1690=2021,I1690*$G$8,B1690=2022,I1690*$G$9,B1690=2023,I1690*$G$10)</f>
        <v>5427.8495067386666</v>
      </c>
      <c r="K1690" s="8">
        <f t="shared" si="26"/>
        <v>35206.849506738668</v>
      </c>
      <c r="L1690">
        <f>IFERROR(VLOOKUP(F1690,'LEAID Match'!$A$2:$B$240,2,FALSE),"")</f>
        <v>0</v>
      </c>
    </row>
    <row r="1691" spans="1:12" x14ac:dyDescent="0.2">
      <c r="A1691">
        <v>0</v>
      </c>
      <c r="B1691">
        <v>2023</v>
      </c>
      <c r="C1691" s="4" t="s">
        <v>365</v>
      </c>
      <c r="D1691" s="4" t="s">
        <v>576</v>
      </c>
      <c r="E1691" s="4" t="s">
        <v>578</v>
      </c>
      <c r="F1691" s="4" t="s">
        <v>335</v>
      </c>
      <c r="G1691" s="8">
        <v>24800</v>
      </c>
      <c r="I1691" s="16" cm="1">
        <f t="array" ref="I1691">_xlfn.IFS(B1691=2015,G1691/$H$1957,B1691=2016,G1691/$H$1958,B1691=2017,G1691/$H$1959,B1691=2018,G1691/$H$1960,B1691=2019,G1691/$H$1961,B1691=2020,G1691/$H$1962,B1691=2021,G1691/$H$1963,B1691=2022,G1691/$H$1964,B1691=2023,G1691/$H$1965)</f>
        <v>2.5109741848313417E-5</v>
      </c>
      <c r="J1691" s="10" cm="1">
        <f t="array" ref="J1691">_xlfn.IFS(B1691=2015,I1691*$G$2,B1691=2016,I1691*$G$3,B1691=2017,I1691*$G$4,B1691=2018,I1691*$G$5,B1691=2019,I1691*$G$6,B1691=2020,I1691*$G$7,B1691=2021,I1691*$G$8,B1691=2022,I1691*$G$9,B1691=2023,I1691*$G$10)</f>
        <v>4268.2874780932061</v>
      </c>
      <c r="K1691" s="8">
        <f t="shared" si="26"/>
        <v>29068.287478093207</v>
      </c>
      <c r="L1691">
        <f>IFERROR(VLOOKUP(F1691,'LEAID Match'!$A$2:$B$240,2,FALSE),"")</f>
        <v>0</v>
      </c>
    </row>
    <row r="1692" spans="1:12" x14ac:dyDescent="0.2">
      <c r="A1692">
        <v>0</v>
      </c>
      <c r="B1692">
        <v>2015</v>
      </c>
      <c r="C1692" s="4" t="s">
        <v>366</v>
      </c>
      <c r="D1692" s="4" t="s">
        <v>576</v>
      </c>
      <c r="E1692" s="4" t="s">
        <v>578</v>
      </c>
      <c r="F1692" s="4" t="s">
        <v>336</v>
      </c>
      <c r="G1692" s="8">
        <v>56445</v>
      </c>
      <c r="I1692" s="16" cm="1">
        <f t="array" ref="I1692">_xlfn.IFS(B1692=2015,G1692/$H$1957,B1692=2016,G1692/$H$1958,B1692=2017,G1692/$H$1959,B1692=2018,G1692/$H$1960,B1692=2019,G1692/$H$1961,B1692=2020,G1692/$H$1962,B1692=2021,G1692/$H$1963,B1692=2022,G1692/$H$1964,B1692=2023,G1692/$H$1965)</f>
        <v>4.3590130469465439E-5</v>
      </c>
      <c r="J1692" s="10" cm="1">
        <f t="array" ref="J1692">_xlfn.IFS(B1692=2015,I1692*$G$2,B1692=2016,I1692*$G$3,B1692=2017,I1692*$G$4,B1692=2018,I1692*$G$5,B1692=2019,I1692*$G$6,B1692=2020,I1692*$G$7,B1692=2021,I1692*$G$8,B1692=2022,I1692*$G$9,B1692=2023,I1692*$G$10)</f>
        <v>10838.362284513845</v>
      </c>
      <c r="K1692" s="8">
        <f t="shared" si="26"/>
        <v>67283.362284513845</v>
      </c>
      <c r="L1692">
        <f>IFERROR(VLOOKUP(F1692,'LEAID Match'!$A$2:$B$240,2,FALSE),"")</f>
        <v>0</v>
      </c>
    </row>
    <row r="1693" spans="1:12" x14ac:dyDescent="0.2">
      <c r="A1693">
        <v>0</v>
      </c>
      <c r="B1693">
        <v>2016</v>
      </c>
      <c r="C1693" s="4" t="s">
        <v>366</v>
      </c>
      <c r="D1693" s="4" t="s">
        <v>576</v>
      </c>
      <c r="E1693" s="4" t="s">
        <v>578</v>
      </c>
      <c r="F1693" s="4" t="s">
        <v>336</v>
      </c>
      <c r="G1693" s="8">
        <v>64815</v>
      </c>
      <c r="I1693" s="16" cm="1">
        <f t="array" ref="I1693">_xlfn.IFS(B1693=2015,G1693/$H$1957,B1693=2016,G1693/$H$1958,B1693=2017,G1693/$H$1959,B1693=2018,G1693/$H$1960,B1693=2019,G1693/$H$1961,B1693=2020,G1693/$H$1962,B1693=2021,G1693/$H$1963,B1693=2022,G1693/$H$1964,B1693=2023,G1693/$H$1965)</f>
        <v>4.5500102291165706E-5</v>
      </c>
      <c r="J1693" s="10" cm="1">
        <f t="array" ref="J1693">_xlfn.IFS(B1693=2015,I1693*$G$2,B1693=2016,I1693*$G$3,B1693=2017,I1693*$G$4,B1693=2018,I1693*$G$5,B1693=2019,I1693*$G$6,B1693=2020,I1693*$G$7,B1693=2021,I1693*$G$8,B1693=2022,I1693*$G$9,B1693=2023,I1693*$G$10)</f>
        <v>12339.767881679196</v>
      </c>
      <c r="K1693" s="8">
        <f t="shared" si="26"/>
        <v>77154.767881679203</v>
      </c>
      <c r="L1693">
        <f>IFERROR(VLOOKUP(F1693,'LEAID Match'!$A$2:$B$240,2,FALSE),"")</f>
        <v>0</v>
      </c>
    </row>
    <row r="1694" spans="1:12" x14ac:dyDescent="0.2">
      <c r="A1694">
        <v>0</v>
      </c>
      <c r="B1694">
        <v>2017</v>
      </c>
      <c r="C1694" s="4" t="s">
        <v>366</v>
      </c>
      <c r="D1694" s="4" t="s">
        <v>576</v>
      </c>
      <c r="E1694" s="4" t="s">
        <v>578</v>
      </c>
      <c r="F1694" s="4" t="s">
        <v>336</v>
      </c>
      <c r="G1694" s="8">
        <v>30450</v>
      </c>
      <c r="I1694" s="16" cm="1">
        <f t="array" ref="I1694">_xlfn.IFS(B1694=2015,G1694/$H$1957,B1694=2016,G1694/$H$1958,B1694=2017,G1694/$H$1959,B1694=2018,G1694/$H$1960,B1694=2019,G1694/$H$1961,B1694=2020,G1694/$H$1962,B1694=2021,G1694/$H$1963,B1694=2022,G1694/$H$1964,B1694=2023,G1694/$H$1965)</f>
        <v>4.062677998164502E-5</v>
      </c>
      <c r="J1694" s="10" cm="1">
        <f t="array" ref="J1694">_xlfn.IFS(B1694=2015,I1694*$G$2,B1694=2016,I1694*$G$3,B1694=2017,I1694*$G$4,B1694=2018,I1694*$G$5,B1694=2019,I1694*$G$6,B1694=2020,I1694*$G$7,B1694=2021,I1694*$G$8,B1694=2022,I1694*$G$9,B1694=2023,I1694*$G$10)</f>
        <v>6016.2811882817341</v>
      </c>
      <c r="K1694" s="8">
        <f t="shared" si="26"/>
        <v>36466.281188281733</v>
      </c>
      <c r="L1694">
        <f>IFERROR(VLOOKUP(F1694,'LEAID Match'!$A$2:$B$240,2,FALSE),"")</f>
        <v>0</v>
      </c>
    </row>
    <row r="1695" spans="1:12" x14ac:dyDescent="0.2">
      <c r="A1695">
        <v>0</v>
      </c>
      <c r="B1695">
        <v>2018</v>
      </c>
      <c r="C1695" s="4" t="s">
        <v>366</v>
      </c>
      <c r="D1695" s="4" t="s">
        <v>576</v>
      </c>
      <c r="E1695" s="4" t="s">
        <v>578</v>
      </c>
      <c r="F1695" s="4" t="s">
        <v>336</v>
      </c>
      <c r="G1695" s="8">
        <v>28710</v>
      </c>
      <c r="I1695" s="16" cm="1">
        <f t="array" ref="I1695">_xlfn.IFS(B1695=2015,G1695/$H$1957,B1695=2016,G1695/$H$1958,B1695=2017,G1695/$H$1959,B1695=2018,G1695/$H$1960,B1695=2019,G1695/$H$1961,B1695=2020,G1695/$H$1962,B1695=2021,G1695/$H$1963,B1695=2022,G1695/$H$1964,B1695=2023,G1695/$H$1965)</f>
        <v>3.6941456944401246E-5</v>
      </c>
      <c r="J1695" s="10" cm="1">
        <f t="array" ref="J1695">_xlfn.IFS(B1695=2015,I1695*$G$2,B1695=2016,I1695*$G$3,B1695=2017,I1695*$G$4,B1695=2018,I1695*$G$5,B1695=2019,I1695*$G$6,B1695=2020,I1695*$G$7,B1695=2021,I1695*$G$8,B1695=2022,I1695*$G$9,B1695=2023,I1695*$G$10)</f>
        <v>5560.5730575483258</v>
      </c>
      <c r="K1695" s="8">
        <f t="shared" si="26"/>
        <v>34270.573057548325</v>
      </c>
      <c r="L1695">
        <f>IFERROR(VLOOKUP(F1695,'LEAID Match'!$A$2:$B$240,2,FALSE),"")</f>
        <v>0</v>
      </c>
    </row>
    <row r="1696" spans="1:12" x14ac:dyDescent="0.2">
      <c r="A1696">
        <v>0</v>
      </c>
      <c r="B1696">
        <v>2019</v>
      </c>
      <c r="C1696" s="4" t="s">
        <v>366</v>
      </c>
      <c r="D1696" s="4" t="s">
        <v>576</v>
      </c>
      <c r="E1696" s="4" t="s">
        <v>578</v>
      </c>
      <c r="F1696" s="4" t="s">
        <v>336</v>
      </c>
      <c r="G1696" s="8">
        <v>32408</v>
      </c>
      <c r="I1696" s="16" cm="1">
        <f t="array" ref="I1696">_xlfn.IFS(B1696=2015,G1696/$H$1957,B1696=2016,G1696/$H$1958,B1696=2017,G1696/$H$1959,B1696=2018,G1696/$H$1960,B1696=2019,G1696/$H$1961,B1696=2020,G1696/$H$1962,B1696=2021,G1696/$H$1963,B1696=2022,G1696/$H$1964,B1696=2023,G1696/$H$1965)</f>
        <v>4.0276553871635688E-5</v>
      </c>
      <c r="J1696" s="10" cm="1">
        <f t="array" ref="J1696">_xlfn.IFS(B1696=2015,I1696*$G$2,B1696=2016,I1696*$G$3,B1696=2017,I1696*$G$4,B1696=2018,I1696*$G$5,B1696=2019,I1696*$G$6,B1696=2020,I1696*$G$7,B1696=2021,I1696*$G$8,B1696=2022,I1696*$G$9,B1696=2023,I1696*$G$10)</f>
        <v>6364.8281689664173</v>
      </c>
      <c r="K1696" s="8">
        <f t="shared" si="26"/>
        <v>38772.828168966415</v>
      </c>
      <c r="L1696">
        <f>IFERROR(VLOOKUP(F1696,'LEAID Match'!$A$2:$B$240,2,FALSE),"")</f>
        <v>0</v>
      </c>
    </row>
    <row r="1697" spans="1:12" x14ac:dyDescent="0.2">
      <c r="A1697">
        <v>0</v>
      </c>
      <c r="B1697">
        <v>2020</v>
      </c>
      <c r="C1697" s="4" t="s">
        <v>366</v>
      </c>
      <c r="D1697" s="4" t="s">
        <v>576</v>
      </c>
      <c r="E1697" s="4" t="s">
        <v>578</v>
      </c>
      <c r="F1697" s="4" t="s">
        <v>336</v>
      </c>
      <c r="G1697" s="8">
        <v>32940</v>
      </c>
      <c r="I1697" s="16" cm="1">
        <f t="array" ref="I1697">_xlfn.IFS(B1697=2015,G1697/$H$1957,B1697=2016,G1697/$H$1958,B1697=2017,G1697/$H$1959,B1697=2018,G1697/$H$1960,B1697=2019,G1697/$H$1961,B1697=2020,G1697/$H$1962,B1697=2021,G1697/$H$1963,B1697=2022,G1697/$H$1964,B1697=2023,G1697/$H$1965)</f>
        <v>3.7886381614645791E-5</v>
      </c>
      <c r="J1697" s="10" cm="1">
        <f t="array" ref="J1697">_xlfn.IFS(B1697=2015,I1697*$G$2,B1697=2016,I1697*$G$3,B1697=2017,I1697*$G$4,B1697=2018,I1697*$G$5,B1697=2019,I1697*$G$6,B1697=2020,I1697*$G$7,B1697=2021,I1697*$G$8,B1697=2022,I1697*$G$9,B1697=2023,I1697*$G$10)</f>
        <v>6542.3679067870426</v>
      </c>
      <c r="K1697" s="8">
        <f t="shared" si="26"/>
        <v>39482.36790678704</v>
      </c>
      <c r="L1697">
        <f>IFERROR(VLOOKUP(F1697,'LEAID Match'!$A$2:$B$240,2,FALSE),"")</f>
        <v>0</v>
      </c>
    </row>
    <row r="1698" spans="1:12" x14ac:dyDescent="0.2">
      <c r="A1698">
        <v>0</v>
      </c>
      <c r="B1698">
        <v>2021</v>
      </c>
      <c r="C1698" s="4" t="s">
        <v>366</v>
      </c>
      <c r="D1698" s="4" t="s">
        <v>576</v>
      </c>
      <c r="E1698" s="4" t="s">
        <v>578</v>
      </c>
      <c r="F1698" s="4" t="s">
        <v>336</v>
      </c>
      <c r="G1698" s="8">
        <v>34084</v>
      </c>
      <c r="I1698" s="16" cm="1">
        <f t="array" ref="I1698">_xlfn.IFS(B1698=2015,G1698/$H$1957,B1698=2016,G1698/$H$1958,B1698=2017,G1698/$H$1959,B1698=2018,G1698/$H$1960,B1698=2019,G1698/$H$1961,B1698=2020,G1698/$H$1962,B1698=2021,G1698/$H$1963,B1698=2022,G1698/$H$1964,B1698=2023,G1698/$H$1965)</f>
        <v>3.895102107260754E-5</v>
      </c>
      <c r="J1698" s="10" cm="1">
        <f t="array" ref="J1698">_xlfn.IFS(B1698=2015,I1698*$G$2,B1698=2016,I1698*$G$3,B1698=2017,I1698*$G$4,B1698=2018,I1698*$G$5,B1698=2019,I1698*$G$6,B1698=2020,I1698*$G$7,B1698=2021,I1698*$G$8,B1698=2022,I1698*$G$9,B1698=2023,I1698*$G$10)</f>
        <v>6684.6509954502326</v>
      </c>
      <c r="K1698" s="8">
        <f t="shared" si="26"/>
        <v>40768.650995450233</v>
      </c>
      <c r="L1698">
        <f>IFERROR(VLOOKUP(F1698,'LEAID Match'!$A$2:$B$240,2,FALSE),"")</f>
        <v>0</v>
      </c>
    </row>
    <row r="1699" spans="1:12" x14ac:dyDescent="0.2">
      <c r="A1699">
        <v>0</v>
      </c>
      <c r="B1699">
        <v>2022</v>
      </c>
      <c r="C1699" s="4" t="s">
        <v>366</v>
      </c>
      <c r="D1699" s="4" t="s">
        <v>576</v>
      </c>
      <c r="E1699" s="4" t="s">
        <v>578</v>
      </c>
      <c r="F1699" s="4" t="s">
        <v>336</v>
      </c>
      <c r="G1699" s="8">
        <v>32783</v>
      </c>
      <c r="I1699" s="16" cm="1">
        <f t="array" ref="I1699">_xlfn.IFS(B1699=2015,G1699/$H$1957,B1699=2016,G1699/$H$1958,B1699=2017,G1699/$H$1959,B1699=2018,G1699/$H$1960,B1699=2019,G1699/$H$1961,B1699=2020,G1699/$H$1962,B1699=2021,G1699/$H$1963,B1699=2022,G1699/$H$1964,B1699=2023,G1699/$H$1965)</f>
        <v>3.523524406087917E-5</v>
      </c>
      <c r="J1699" s="10" cm="1">
        <f t="array" ref="J1699">_xlfn.IFS(B1699=2015,I1699*$G$2,B1699=2016,I1699*$G$3,B1699=2017,I1699*$G$4,B1699=2018,I1699*$G$5,B1699=2019,I1699*$G$6,B1699=2020,I1699*$G$7,B1699=2021,I1699*$G$8,B1699=2022,I1699*$G$9,B1699=2023,I1699*$G$10)</f>
        <v>5975.3917317375899</v>
      </c>
      <c r="K1699" s="8">
        <f t="shared" si="26"/>
        <v>38758.391731737589</v>
      </c>
      <c r="L1699">
        <f>IFERROR(VLOOKUP(F1699,'LEAID Match'!$A$2:$B$240,2,FALSE),"")</f>
        <v>0</v>
      </c>
    </row>
    <row r="1700" spans="1:12" x14ac:dyDescent="0.2">
      <c r="A1700">
        <v>0</v>
      </c>
      <c r="B1700">
        <v>2023</v>
      </c>
      <c r="C1700" s="4" t="s">
        <v>366</v>
      </c>
      <c r="D1700" s="4" t="s">
        <v>576</v>
      </c>
      <c r="E1700" s="4" t="s">
        <v>578</v>
      </c>
      <c r="F1700" s="4" t="s">
        <v>336</v>
      </c>
      <c r="G1700" s="8">
        <v>33480</v>
      </c>
      <c r="I1700" s="16" cm="1">
        <f t="array" ref="I1700">_xlfn.IFS(B1700=2015,G1700/$H$1957,B1700=2016,G1700/$H$1958,B1700=2017,G1700/$H$1959,B1700=2018,G1700/$H$1960,B1700=2019,G1700/$H$1961,B1700=2020,G1700/$H$1962,B1700=2021,G1700/$H$1963,B1700=2022,G1700/$H$1964,B1700=2023,G1700/$H$1965)</f>
        <v>3.3898151495223111E-5</v>
      </c>
      <c r="J1700" s="10" cm="1">
        <f t="array" ref="J1700">_xlfn.IFS(B1700=2015,I1700*$G$2,B1700=2016,I1700*$G$3,B1700=2017,I1700*$G$4,B1700=2018,I1700*$G$5,B1700=2019,I1700*$G$6,B1700=2020,I1700*$G$7,B1700=2021,I1700*$G$8,B1700=2022,I1700*$G$9,B1700=2023,I1700*$G$10)</f>
        <v>5762.1880954258277</v>
      </c>
      <c r="K1700" s="8">
        <f t="shared" si="26"/>
        <v>39242.18809542583</v>
      </c>
      <c r="L1700">
        <f>IFERROR(VLOOKUP(F1700,'LEAID Match'!$A$2:$B$240,2,FALSE),"")</f>
        <v>0</v>
      </c>
    </row>
    <row r="1701" spans="1:12" x14ac:dyDescent="0.2">
      <c r="A1701">
        <v>0</v>
      </c>
      <c r="B1701">
        <v>2015</v>
      </c>
      <c r="C1701" s="4" t="s">
        <v>367</v>
      </c>
      <c r="D1701" s="4" t="s">
        <v>576</v>
      </c>
      <c r="E1701" s="4" t="s">
        <v>578</v>
      </c>
      <c r="F1701" s="4" t="s">
        <v>337</v>
      </c>
      <c r="G1701" s="8">
        <v>203173</v>
      </c>
      <c r="I1701" s="16" cm="1">
        <f t="array" ref="I1701">_xlfn.IFS(B1701=2015,G1701/$H$1957,B1701=2016,G1701/$H$1958,B1701=2017,G1701/$H$1959,B1701=2018,G1701/$H$1960,B1701=2019,G1701/$H$1961,B1701=2020,G1701/$H$1962,B1701=2021,G1701/$H$1963,B1701=2022,G1701/$H$1964,B1701=2023,G1701/$H$1965)</f>
        <v>1.5690207419386486E-4</v>
      </c>
      <c r="J1701" s="10" cm="1">
        <f t="array" ref="J1701">_xlfn.IFS(B1701=2015,I1701*$G$2,B1701=2016,I1701*$G$3,B1701=2017,I1701*$G$4,B1701=2018,I1701*$G$5,B1701=2019,I1701*$G$6,B1701=2020,I1701*$G$7,B1701=2021,I1701*$G$8,B1701=2022,I1701*$G$9,B1701=2023,I1701*$G$10)</f>
        <v>39012.535750403607</v>
      </c>
      <c r="K1701" s="8">
        <f t="shared" si="26"/>
        <v>242185.53575040359</v>
      </c>
      <c r="L1701">
        <f>IFERROR(VLOOKUP(F1701,'LEAID Match'!$A$2:$B$240,2,FALSE),"")</f>
        <v>0</v>
      </c>
    </row>
    <row r="1702" spans="1:12" x14ac:dyDescent="0.2">
      <c r="A1702">
        <v>0</v>
      </c>
      <c r="B1702">
        <v>2016</v>
      </c>
      <c r="C1702" s="4" t="s">
        <v>367</v>
      </c>
      <c r="D1702" s="4" t="s">
        <v>576</v>
      </c>
      <c r="E1702" s="4" t="s">
        <v>578</v>
      </c>
      <c r="F1702" s="4" t="s">
        <v>337</v>
      </c>
      <c r="G1702" s="8">
        <v>223379</v>
      </c>
      <c r="I1702" s="16" cm="1">
        <f t="array" ref="I1702">_xlfn.IFS(B1702=2015,G1702/$H$1957,B1702=2016,G1702/$H$1958,B1702=2017,G1702/$H$1959,B1702=2018,G1702/$H$1960,B1702=2019,G1702/$H$1961,B1702=2020,G1702/$H$1962,B1702=2021,G1702/$H$1963,B1702=2022,G1702/$H$1964,B1702=2023,G1702/$H$1965)</f>
        <v>1.5681196250402383E-4</v>
      </c>
      <c r="J1702" s="10" cm="1">
        <f t="array" ref="J1702">_xlfn.IFS(B1702=2015,I1702*$G$2,B1702=2016,I1702*$G$3,B1702=2017,I1702*$G$4,B1702=2018,I1702*$G$5,B1702=2019,I1702*$G$6,B1702=2020,I1702*$G$7,B1702=2021,I1702*$G$8,B1702=2022,I1702*$G$9,B1702=2023,I1702*$G$10)</f>
        <v>42527.887211935777</v>
      </c>
      <c r="K1702" s="8">
        <f t="shared" si="26"/>
        <v>265906.88721193577</v>
      </c>
      <c r="L1702">
        <f>IFERROR(VLOOKUP(F1702,'LEAID Match'!$A$2:$B$240,2,FALSE),"")</f>
        <v>0</v>
      </c>
    </row>
    <row r="1703" spans="1:12" x14ac:dyDescent="0.2">
      <c r="A1703">
        <v>0</v>
      </c>
      <c r="B1703">
        <v>2017</v>
      </c>
      <c r="C1703" s="4" t="s">
        <v>367</v>
      </c>
      <c r="D1703" s="4" t="s">
        <v>576</v>
      </c>
      <c r="E1703" s="4" t="s">
        <v>578</v>
      </c>
      <c r="F1703" s="4" t="s">
        <v>337</v>
      </c>
      <c r="G1703" s="8">
        <v>112200</v>
      </c>
      <c r="I1703" s="16" cm="1">
        <f t="array" ref="I1703">_xlfn.IFS(B1703=2015,G1703/$H$1957,B1703=2016,G1703/$H$1958,B1703=2017,G1703/$H$1959,B1703=2018,G1703/$H$1960,B1703=2019,G1703/$H$1961,B1703=2020,G1703/$H$1962,B1703=2021,G1703/$H$1963,B1703=2022,G1703/$H$1964,B1703=2023,G1703/$H$1965)</f>
        <v>1.4969867697670186E-4</v>
      </c>
      <c r="J1703" s="10" cm="1">
        <f t="array" ref="J1703">_xlfn.IFS(B1703=2015,I1703*$G$2,B1703=2016,I1703*$G$3,B1703=2017,I1703*$G$4,B1703=2018,I1703*$G$5,B1703=2019,I1703*$G$6,B1703=2020,I1703*$G$7,B1703=2021,I1703*$G$8,B1703=2022,I1703*$G$9,B1703=2023,I1703*$G$10)</f>
        <v>22168.366151895258</v>
      </c>
      <c r="K1703" s="8">
        <f t="shared" si="26"/>
        <v>134368.36615189526</v>
      </c>
      <c r="L1703">
        <f>IFERROR(VLOOKUP(F1703,'LEAID Match'!$A$2:$B$240,2,FALSE),"")</f>
        <v>0</v>
      </c>
    </row>
    <row r="1704" spans="1:12" x14ac:dyDescent="0.2">
      <c r="A1704">
        <v>0</v>
      </c>
      <c r="B1704">
        <v>2018</v>
      </c>
      <c r="C1704" s="4" t="s">
        <v>367</v>
      </c>
      <c r="D1704" s="4" t="s">
        <v>576</v>
      </c>
      <c r="E1704" s="4" t="s">
        <v>578</v>
      </c>
      <c r="F1704" s="4" t="s">
        <v>337</v>
      </c>
      <c r="G1704" s="8">
        <v>120088</v>
      </c>
      <c r="I1704" s="16" cm="1">
        <f t="array" ref="I1704">_xlfn.IFS(B1704=2015,G1704/$H$1957,B1704=2016,G1704/$H$1958,B1704=2017,G1704/$H$1959,B1704=2018,G1704/$H$1960,B1704=2019,G1704/$H$1961,B1704=2020,G1704/$H$1962,B1704=2021,G1704/$H$1963,B1704=2022,G1704/$H$1964,B1704=2023,G1704/$H$1965)</f>
        <v>1.5451848420547742E-4</v>
      </c>
      <c r="J1704" s="10" cm="1">
        <f t="array" ref="J1704">_xlfn.IFS(B1704=2015,I1704*$G$2,B1704=2016,I1704*$G$3,B1704=2017,I1704*$G$4,B1704=2018,I1704*$G$5,B1704=2019,I1704*$G$6,B1704=2020,I1704*$G$7,B1704=2021,I1704*$G$8,B1704=2022,I1704*$G$9,B1704=2023,I1704*$G$10)</f>
        <v>23258.728573140485</v>
      </c>
      <c r="K1704" s="8">
        <f t="shared" si="26"/>
        <v>143346.72857314048</v>
      </c>
      <c r="L1704">
        <f>IFERROR(VLOOKUP(F1704,'LEAID Match'!$A$2:$B$240,2,FALSE),"")</f>
        <v>0</v>
      </c>
    </row>
    <row r="1705" spans="1:12" x14ac:dyDescent="0.2">
      <c r="A1705">
        <v>0</v>
      </c>
      <c r="B1705">
        <v>2019</v>
      </c>
      <c r="C1705" s="4" t="s">
        <v>367</v>
      </c>
      <c r="D1705" s="4" t="s">
        <v>576</v>
      </c>
      <c r="E1705" s="4" t="s">
        <v>578</v>
      </c>
      <c r="F1705" s="4" t="s">
        <v>337</v>
      </c>
      <c r="G1705" s="8">
        <v>117570</v>
      </c>
      <c r="I1705" s="16" cm="1">
        <f t="array" ref="I1705">_xlfn.IFS(B1705=2015,G1705/$H$1957,B1705=2016,G1705/$H$1958,B1705=2017,G1705/$H$1959,B1705=2018,G1705/$H$1960,B1705=2019,G1705/$H$1961,B1705=2020,G1705/$H$1962,B1705=2021,G1705/$H$1963,B1705=2022,G1705/$H$1964,B1705=2023,G1705/$H$1965)</f>
        <v>1.4611560227993731E-4</v>
      </c>
      <c r="J1705" s="10" cm="1">
        <f t="array" ref="J1705">_xlfn.IFS(B1705=2015,I1705*$G$2,B1705=2016,I1705*$G$3,B1705=2017,I1705*$G$4,B1705=2018,I1705*$G$5,B1705=2019,I1705*$G$6,B1705=2020,I1705*$G$7,B1705=2021,I1705*$G$8,B1705=2022,I1705*$G$9,B1705=2023,I1705*$G$10)</f>
        <v>23090.374223197414</v>
      </c>
      <c r="K1705" s="8">
        <f t="shared" si="26"/>
        <v>140660.3742231974</v>
      </c>
      <c r="L1705">
        <f>IFERROR(VLOOKUP(F1705,'LEAID Match'!$A$2:$B$240,2,FALSE),"")</f>
        <v>0</v>
      </c>
    </row>
    <row r="1706" spans="1:12" x14ac:dyDescent="0.2">
      <c r="A1706">
        <v>0</v>
      </c>
      <c r="B1706">
        <v>2020</v>
      </c>
      <c r="C1706" s="4" t="s">
        <v>367</v>
      </c>
      <c r="D1706" s="4" t="s">
        <v>576</v>
      </c>
      <c r="E1706" s="4" t="s">
        <v>578</v>
      </c>
      <c r="F1706" s="4" t="s">
        <v>337</v>
      </c>
      <c r="G1706" s="8">
        <v>124866</v>
      </c>
      <c r="I1706" s="16" cm="1">
        <f t="array" ref="I1706">_xlfn.IFS(B1706=2015,G1706/$H$1957,B1706=2016,G1706/$H$1958,B1706=2017,G1706/$H$1959,B1706=2018,G1706/$H$1960,B1706=2019,G1706/$H$1961,B1706=2020,G1706/$H$1962,B1706=2021,G1706/$H$1963,B1706=2022,G1706/$H$1964,B1706=2023,G1706/$H$1965)</f>
        <v>1.4361630014251249E-4</v>
      </c>
      <c r="J1706" s="10" cm="1">
        <f t="array" ref="J1706">_xlfn.IFS(B1706=2015,I1706*$G$2,B1706=2016,I1706*$G$3,B1706=2017,I1706*$G$4,B1706=2018,I1706*$G$5,B1706=2019,I1706*$G$6,B1706=2020,I1706*$G$7,B1706=2021,I1706*$G$8,B1706=2022,I1706*$G$9,B1706=2023,I1706*$G$10)</f>
        <v>24800.221950481813</v>
      </c>
      <c r="K1706" s="8">
        <f t="shared" si="26"/>
        <v>149666.22195048182</v>
      </c>
      <c r="L1706">
        <f>IFERROR(VLOOKUP(F1706,'LEAID Match'!$A$2:$B$240,2,FALSE),"")</f>
        <v>0</v>
      </c>
    </row>
    <row r="1707" spans="1:12" x14ac:dyDescent="0.2">
      <c r="A1707">
        <v>0</v>
      </c>
      <c r="B1707">
        <v>2021</v>
      </c>
      <c r="C1707" s="4" t="s">
        <v>367</v>
      </c>
      <c r="D1707" s="4" t="s">
        <v>576</v>
      </c>
      <c r="E1707" s="4" t="s">
        <v>578</v>
      </c>
      <c r="F1707" s="4" t="s">
        <v>337</v>
      </c>
      <c r="G1707" s="8">
        <v>121388</v>
      </c>
      <c r="I1707" s="16" cm="1">
        <f t="array" ref="I1707">_xlfn.IFS(B1707=2015,G1707/$H$1957,B1707=2016,G1707/$H$1958,B1707=2017,G1707/$H$1959,B1707=2018,G1707/$H$1960,B1707=2019,G1707/$H$1961,B1707=2020,G1707/$H$1962,B1707=2021,G1707/$H$1963,B1707=2022,G1707/$H$1964,B1707=2023,G1707/$H$1965)</f>
        <v>1.3872158625635733E-4</v>
      </c>
      <c r="J1707" s="10" cm="1">
        <f t="array" ref="J1707">_xlfn.IFS(B1707=2015,I1707*$G$2,B1707=2016,I1707*$G$3,B1707=2017,I1707*$G$4,B1707=2018,I1707*$G$5,B1707=2019,I1707*$G$6,B1707=2020,I1707*$G$7,B1707=2021,I1707*$G$8,B1707=2022,I1707*$G$9,B1707=2023,I1707*$G$10)</f>
        <v>23806.959718217131</v>
      </c>
      <c r="K1707" s="8">
        <f t="shared" si="26"/>
        <v>145194.95971821714</v>
      </c>
      <c r="L1707">
        <f>IFERROR(VLOOKUP(F1707,'LEAID Match'!$A$2:$B$240,2,FALSE),"")</f>
        <v>0</v>
      </c>
    </row>
    <row r="1708" spans="1:12" x14ac:dyDescent="0.2">
      <c r="A1708">
        <v>0</v>
      </c>
      <c r="B1708">
        <v>2022</v>
      </c>
      <c r="C1708" s="4" t="s">
        <v>367</v>
      </c>
      <c r="D1708" s="4" t="s">
        <v>576</v>
      </c>
      <c r="E1708" s="4" t="s">
        <v>578</v>
      </c>
      <c r="F1708" s="4" t="s">
        <v>337</v>
      </c>
      <c r="G1708" s="8">
        <v>136213</v>
      </c>
      <c r="I1708" s="16" cm="1">
        <f t="array" ref="I1708">_xlfn.IFS(B1708=2015,G1708/$H$1957,B1708=2016,G1708/$H$1958,B1708=2017,G1708/$H$1959,B1708=2018,G1708/$H$1960,B1708=2019,G1708/$H$1961,B1708=2020,G1708/$H$1962,B1708=2021,G1708/$H$1963,B1708=2022,G1708/$H$1964,B1708=2023,G1708/$H$1965)</f>
        <v>1.4640204677011056E-4</v>
      </c>
      <c r="J1708" s="10" cm="1">
        <f t="array" ref="J1708">_xlfn.IFS(B1708=2015,I1708*$G$2,B1708=2016,I1708*$G$3,B1708=2017,I1708*$G$4,B1708=2018,I1708*$G$5,B1708=2019,I1708*$G$6,B1708=2020,I1708*$G$7,B1708=2021,I1708*$G$8,B1708=2022,I1708*$G$9,B1708=2023,I1708*$G$10)</f>
        <v>24827.686116437551</v>
      </c>
      <c r="K1708" s="8">
        <f t="shared" si="26"/>
        <v>161040.68611643754</v>
      </c>
      <c r="L1708">
        <f>IFERROR(VLOOKUP(F1708,'LEAID Match'!$A$2:$B$240,2,FALSE),"")</f>
        <v>0</v>
      </c>
    </row>
    <row r="1709" spans="1:12" x14ac:dyDescent="0.2">
      <c r="A1709">
        <v>0</v>
      </c>
      <c r="B1709">
        <v>2023</v>
      </c>
      <c r="C1709" s="4" t="s">
        <v>367</v>
      </c>
      <c r="D1709" s="4" t="s">
        <v>576</v>
      </c>
      <c r="E1709" s="4" t="s">
        <v>578</v>
      </c>
      <c r="F1709" s="4" t="s">
        <v>337</v>
      </c>
      <c r="G1709" s="8">
        <v>131266</v>
      </c>
      <c r="I1709" s="16" cm="1">
        <f t="array" ref="I1709">_xlfn.IFS(B1709=2015,G1709/$H$1957,B1709=2016,G1709/$H$1958,B1709=2017,G1709/$H$1959,B1709=2018,G1709/$H$1960,B1709=2019,G1709/$H$1961,B1709=2020,G1709/$H$1962,B1709=2021,G1709/$H$1963,B1709=2022,G1709/$H$1964,B1709=2023,G1709/$H$1965)</f>
        <v>1.3290545860728664E-4</v>
      </c>
      <c r="J1709" s="10" cm="1">
        <f t="array" ref="J1709">_xlfn.IFS(B1709=2015,I1709*$G$2,B1709=2016,I1709*$G$3,B1709=2017,I1709*$G$4,B1709=2018,I1709*$G$5,B1709=2019,I1709*$G$6,B1709=2020,I1709*$G$7,B1709=2021,I1709*$G$8,B1709=2022,I1709*$G$9,B1709=2023,I1709*$G$10)</f>
        <v>22591.976778200915</v>
      </c>
      <c r="K1709" s="8">
        <f t="shared" si="26"/>
        <v>153857.97677820091</v>
      </c>
      <c r="L1709">
        <f>IFERROR(VLOOKUP(F1709,'LEAID Match'!$A$2:$B$240,2,FALSE),"")</f>
        <v>0</v>
      </c>
    </row>
    <row r="1710" spans="1:12" x14ac:dyDescent="0.2">
      <c r="A1710">
        <v>0</v>
      </c>
      <c r="B1710">
        <v>2015</v>
      </c>
      <c r="C1710" s="4" t="s">
        <v>368</v>
      </c>
      <c r="D1710" s="4" t="s">
        <v>576</v>
      </c>
      <c r="E1710" s="4" t="s">
        <v>578</v>
      </c>
      <c r="F1710" s="4" t="s">
        <v>338</v>
      </c>
      <c r="G1710" s="8">
        <v>3816</v>
      </c>
      <c r="I1710" s="16" cm="1">
        <f t="array" ref="I1710">_xlfn.IFS(B1710=2015,G1710/$H$1957,B1710=2016,G1710/$H$1958,B1710=2017,G1710/$H$1959,B1710=2018,G1710/$H$1960,B1710=2019,G1710/$H$1961,B1710=2020,G1710/$H$1962,B1710=2021,G1710/$H$1963,B1710=2022,G1710/$H$1964,B1710=2023,G1710/$H$1965)</f>
        <v>2.9469383979356918E-6</v>
      </c>
      <c r="J1710" s="10" cm="1">
        <f t="array" ref="J1710">_xlfn.IFS(B1710=2015,I1710*$G$2,B1710=2016,I1710*$G$3,B1710=2017,I1710*$G$4,B1710=2018,I1710*$G$5,B1710=2019,I1710*$G$6,B1710=2020,I1710*$G$7,B1710=2021,I1710*$G$8,B1710=2022,I1710*$G$9,B1710=2023,I1710*$G$10)</f>
        <v>732.73435162910505</v>
      </c>
      <c r="K1710" s="8">
        <f t="shared" si="26"/>
        <v>4548.7343516291048</v>
      </c>
      <c r="L1710">
        <f>IFERROR(VLOOKUP(F1710,'LEAID Match'!$A$2:$B$240,2,FALSE),"")</f>
        <v>0</v>
      </c>
    </row>
    <row r="1711" spans="1:12" x14ac:dyDescent="0.2">
      <c r="A1711">
        <v>0</v>
      </c>
      <c r="B1711">
        <v>2016</v>
      </c>
      <c r="C1711" s="4" t="s">
        <v>368</v>
      </c>
      <c r="D1711" s="4" t="s">
        <v>576</v>
      </c>
      <c r="E1711" s="4" t="s">
        <v>578</v>
      </c>
      <c r="F1711" s="4" t="s">
        <v>338</v>
      </c>
      <c r="G1711" s="8">
        <v>4176</v>
      </c>
      <c r="I1711" s="16" cm="1">
        <f t="array" ref="I1711">_xlfn.IFS(B1711=2015,G1711/$H$1957,B1711=2016,G1711/$H$1958,B1711=2017,G1711/$H$1959,B1711=2018,G1711/$H$1960,B1711=2019,G1711/$H$1961,B1711=2020,G1711/$H$1962,B1711=2021,G1711/$H$1963,B1711=2022,G1711/$H$1964,B1711=2023,G1711/$H$1965)</f>
        <v>2.9315502147328242E-6</v>
      </c>
      <c r="J1711" s="10" cm="1">
        <f t="array" ref="J1711">_xlfn.IFS(B1711=2015,I1711*$G$2,B1711=2016,I1711*$G$3,B1711=2017,I1711*$G$4,B1711=2018,I1711*$G$5,B1711=2019,I1711*$G$6,B1711=2020,I1711*$G$7,B1711=2021,I1711*$G$8,B1711=2022,I1711*$G$9,B1711=2023,I1711*$G$10)</f>
        <v>795.04544741020334</v>
      </c>
      <c r="K1711" s="8">
        <f t="shared" si="26"/>
        <v>4971.0454474102035</v>
      </c>
      <c r="L1711">
        <f>IFERROR(VLOOKUP(F1711,'LEAID Match'!$A$2:$B$240,2,FALSE),"")</f>
        <v>0</v>
      </c>
    </row>
    <row r="1712" spans="1:12" x14ac:dyDescent="0.2">
      <c r="A1712">
        <v>0</v>
      </c>
      <c r="B1712">
        <v>2017</v>
      </c>
      <c r="C1712" s="4" t="s">
        <v>368</v>
      </c>
      <c r="D1712" s="4" t="s">
        <v>576</v>
      </c>
      <c r="E1712" s="4" t="s">
        <v>578</v>
      </c>
      <c r="F1712" s="4" t="s">
        <v>338</v>
      </c>
      <c r="G1712" s="8">
        <v>2964</v>
      </c>
      <c r="I1712" s="16" cm="1">
        <f t="array" ref="I1712">_xlfn.IFS(B1712=2015,G1712/$H$1957,B1712=2016,G1712/$H$1958,B1712=2017,G1712/$H$1959,B1712=2018,G1712/$H$1960,B1712=2019,G1712/$H$1961,B1712=2020,G1712/$H$1962,B1712=2021,G1712/$H$1963,B1712=2022,G1712/$H$1964,B1712=2023,G1712/$H$1965)</f>
        <v>3.9546067607749049E-6</v>
      </c>
      <c r="J1712" s="10" cm="1">
        <f t="array" ref="J1712">_xlfn.IFS(B1712=2015,I1712*$G$2,B1712=2016,I1712*$G$3,B1712=2017,I1712*$G$4,B1712=2018,I1712*$G$5,B1712=2019,I1712*$G$6,B1712=2020,I1712*$G$7,B1712=2021,I1712*$G$8,B1712=2022,I1712*$G$9,B1712=2023,I1712*$G$10)</f>
        <v>585.62421813028118</v>
      </c>
      <c r="K1712" s="8">
        <f t="shared" si="26"/>
        <v>3549.6242181302814</v>
      </c>
      <c r="L1712">
        <f>IFERROR(VLOOKUP(F1712,'LEAID Match'!$A$2:$B$240,2,FALSE),"")</f>
        <v>0</v>
      </c>
    </row>
    <row r="1713" spans="1:12" x14ac:dyDescent="0.2">
      <c r="A1713">
        <v>0</v>
      </c>
      <c r="B1713">
        <v>2018</v>
      </c>
      <c r="C1713" s="4" t="s">
        <v>368</v>
      </c>
      <c r="D1713" s="4" t="s">
        <v>576</v>
      </c>
      <c r="E1713" s="4" t="s">
        <v>578</v>
      </c>
      <c r="F1713" s="4" t="s">
        <v>338</v>
      </c>
      <c r="G1713" s="8">
        <v>773</v>
      </c>
      <c r="I1713" s="16" cm="1">
        <f t="array" ref="I1713">_xlfn.IFS(B1713=2015,G1713/$H$1957,B1713=2016,G1713/$H$1958,B1713=2017,G1713/$H$1959,B1713=2018,G1713/$H$1960,B1713=2019,G1713/$H$1961,B1713=2020,G1713/$H$1962,B1713=2021,G1713/$H$1963,B1713=2022,G1713/$H$1964,B1713=2023,G1713/$H$1965)</f>
        <v>9.9462717582800983E-7</v>
      </c>
      <c r="J1713" s="10" cm="1">
        <f t="array" ref="J1713">_xlfn.IFS(B1713=2015,I1713*$G$2,B1713=2016,I1713*$G$3,B1713=2017,I1713*$G$4,B1713=2018,I1713*$G$5,B1713=2019,I1713*$G$6,B1713=2020,I1713*$G$7,B1713=2021,I1713*$G$8,B1713=2022,I1713*$G$9,B1713=2023,I1713*$G$10)</f>
        <v>149.71518542266998</v>
      </c>
      <c r="K1713" s="8">
        <f t="shared" si="26"/>
        <v>922.71518542266995</v>
      </c>
      <c r="L1713">
        <f>IFERROR(VLOOKUP(F1713,'LEAID Match'!$A$2:$B$240,2,FALSE),"")</f>
        <v>0</v>
      </c>
    </row>
    <row r="1714" spans="1:12" x14ac:dyDescent="0.2">
      <c r="A1714">
        <v>0</v>
      </c>
      <c r="B1714">
        <v>2019</v>
      </c>
      <c r="C1714" s="4" t="s">
        <v>368</v>
      </c>
      <c r="D1714" s="4" t="s">
        <v>576</v>
      </c>
      <c r="E1714" s="4" t="s">
        <v>578</v>
      </c>
      <c r="F1714" s="4" t="s">
        <v>338</v>
      </c>
      <c r="G1714" s="8">
        <v>13262</v>
      </c>
      <c r="I1714" s="16" cm="1">
        <f t="array" ref="I1714">_xlfn.IFS(B1714=2015,G1714/$H$1957,B1714=2016,G1714/$H$1958,B1714=2017,G1714/$H$1959,B1714=2018,G1714/$H$1960,B1714=2019,G1714/$H$1961,B1714=2020,G1714/$H$1962,B1714=2021,G1714/$H$1963,B1714=2022,G1714/$H$1964,B1714=2023,G1714/$H$1965)</f>
        <v>1.648196918802865E-5</v>
      </c>
      <c r="J1714" s="10" cm="1">
        <f t="array" ref="J1714">_xlfn.IFS(B1714=2015,I1714*$G$2,B1714=2016,I1714*$G$3,B1714=2017,I1714*$G$4,B1714=2018,I1714*$G$5,B1714=2019,I1714*$G$6,B1714=2020,I1714*$G$7,B1714=2021,I1714*$G$8,B1714=2022,I1714*$G$9,B1714=2023,I1714*$G$10)</f>
        <v>2604.6146376460324</v>
      </c>
      <c r="K1714" s="8">
        <f t="shared" si="26"/>
        <v>15866.614637646033</v>
      </c>
      <c r="L1714">
        <f>IFERROR(VLOOKUP(F1714,'LEAID Match'!$A$2:$B$240,2,FALSE),"")</f>
        <v>0</v>
      </c>
    </row>
    <row r="1715" spans="1:12" x14ac:dyDescent="0.2">
      <c r="A1715">
        <v>0</v>
      </c>
      <c r="B1715">
        <v>2020</v>
      </c>
      <c r="C1715" s="4" t="s">
        <v>368</v>
      </c>
      <c r="D1715" s="4" t="s">
        <v>576</v>
      </c>
      <c r="E1715" s="4" t="s">
        <v>578</v>
      </c>
      <c r="F1715" s="4" t="s">
        <v>338</v>
      </c>
      <c r="G1715" s="8">
        <v>12810</v>
      </c>
      <c r="I1715" s="16" cm="1">
        <f t="array" ref="I1715">_xlfn.IFS(B1715=2015,G1715/$H$1957,B1715=2016,G1715/$H$1958,B1715=2017,G1715/$H$1959,B1715=2018,G1715/$H$1960,B1715=2019,G1715/$H$1961,B1715=2020,G1715/$H$1962,B1715=2021,G1715/$H$1963,B1715=2022,G1715/$H$1964,B1715=2023,G1715/$H$1965)</f>
        <v>1.4733592850140031E-5</v>
      </c>
      <c r="J1715" s="10" cm="1">
        <f t="array" ref="J1715">_xlfn.IFS(B1715=2015,I1715*$G$2,B1715=2016,I1715*$G$3,B1715=2017,I1715*$G$4,B1715=2018,I1715*$G$5,B1715=2019,I1715*$G$6,B1715=2020,I1715*$G$7,B1715=2021,I1715*$G$8,B1715=2022,I1715*$G$9,B1715=2023,I1715*$G$10)</f>
        <v>2544.2541859727389</v>
      </c>
      <c r="K1715" s="8">
        <f t="shared" si="26"/>
        <v>15354.254185972739</v>
      </c>
      <c r="L1715">
        <f>IFERROR(VLOOKUP(F1715,'LEAID Match'!$A$2:$B$240,2,FALSE),"")</f>
        <v>0</v>
      </c>
    </row>
    <row r="1716" spans="1:12" x14ac:dyDescent="0.2">
      <c r="A1716">
        <v>0</v>
      </c>
      <c r="B1716">
        <v>2021</v>
      </c>
      <c r="C1716" s="4" t="s">
        <v>368</v>
      </c>
      <c r="D1716" s="4" t="s">
        <v>576</v>
      </c>
      <c r="E1716" s="4" t="s">
        <v>578</v>
      </c>
      <c r="F1716" s="4" t="s">
        <v>338</v>
      </c>
      <c r="G1716" s="8">
        <v>13725</v>
      </c>
      <c r="I1716" s="16" cm="1">
        <f t="array" ref="I1716">_xlfn.IFS(B1716=2015,G1716/$H$1957,B1716=2016,G1716/$H$1958,B1716=2017,G1716/$H$1959,B1716=2018,G1716/$H$1960,B1716=2019,G1716/$H$1961,B1716=2020,G1716/$H$1962,B1716=2021,G1716/$H$1963,B1716=2022,G1716/$H$1964,B1716=2023,G1716/$H$1965)</f>
        <v>1.5684859882101233E-5</v>
      </c>
      <c r="J1716" s="10" cm="1">
        <f t="array" ref="J1716">_xlfn.IFS(B1716=2015,I1716*$G$2,B1716=2016,I1716*$G$3,B1716=2017,I1716*$G$4,B1716=2018,I1716*$G$5,B1716=2019,I1716*$G$6,B1716=2020,I1716*$G$7,B1716=2021,I1716*$G$8,B1716=2022,I1716*$G$9,B1716=2023,I1716*$G$10)</f>
        <v>2691.7860260695466</v>
      </c>
      <c r="K1716" s="8">
        <f t="shared" si="26"/>
        <v>16416.786026069545</v>
      </c>
      <c r="L1716">
        <f>IFERROR(VLOOKUP(F1716,'LEAID Match'!$A$2:$B$240,2,FALSE),"")</f>
        <v>0</v>
      </c>
    </row>
    <row r="1717" spans="1:12" x14ac:dyDescent="0.2">
      <c r="A1717">
        <v>0</v>
      </c>
      <c r="B1717">
        <v>2022</v>
      </c>
      <c r="C1717" s="4" t="s">
        <v>368</v>
      </c>
      <c r="D1717" s="4" t="s">
        <v>576</v>
      </c>
      <c r="E1717" s="4" t="s">
        <v>578</v>
      </c>
      <c r="F1717" s="4" t="s">
        <v>338</v>
      </c>
      <c r="G1717" s="8">
        <v>14880</v>
      </c>
      <c r="I1717" s="16" cm="1">
        <f t="array" ref="I1717">_xlfn.IFS(B1717=2015,G1717/$H$1957,B1717=2016,G1717/$H$1958,B1717=2017,G1717/$H$1959,B1717=2018,G1717/$H$1960,B1717=2019,G1717/$H$1961,B1717=2020,G1717/$H$1962,B1717=2021,G1717/$H$1963,B1717=2022,G1717/$H$1964,B1717=2023,G1717/$H$1965)</f>
        <v>1.5993058342002932E-5</v>
      </c>
      <c r="J1717" s="10" cm="1">
        <f t="array" ref="J1717">_xlfn.IFS(B1717=2015,I1717*$G$2,B1717=2016,I1717*$G$3,B1717=2017,I1717*$G$4,B1717=2018,I1717*$G$5,B1717=2019,I1717*$G$6,B1717=2020,I1717*$G$7,B1717=2021,I1717*$G$8,B1717=2022,I1717*$G$9,B1717=2023,I1717*$G$10)</f>
        <v>2712.1931784234312</v>
      </c>
      <c r="K1717" s="8">
        <f t="shared" si="26"/>
        <v>17592.193178423433</v>
      </c>
      <c r="L1717">
        <f>IFERROR(VLOOKUP(F1717,'LEAID Match'!$A$2:$B$240,2,FALSE),"")</f>
        <v>0</v>
      </c>
    </row>
    <row r="1718" spans="1:12" x14ac:dyDescent="0.2">
      <c r="A1718">
        <v>0</v>
      </c>
      <c r="B1718">
        <v>2023</v>
      </c>
      <c r="C1718" s="4" t="s">
        <v>368</v>
      </c>
      <c r="D1718" s="4" t="s">
        <v>576</v>
      </c>
      <c r="E1718" s="4" t="s">
        <v>578</v>
      </c>
      <c r="F1718" s="4" t="s">
        <v>338</v>
      </c>
      <c r="G1718" s="8">
        <v>15035</v>
      </c>
      <c r="I1718" s="16" cm="1">
        <f t="array" ref="I1718">_xlfn.IFS(B1718=2015,G1718/$H$1957,B1718=2016,G1718/$H$1958,B1718=2017,G1718/$H$1959,B1718=2018,G1718/$H$1960,B1718=2019,G1718/$H$1961,B1718=2020,G1718/$H$1962,B1718=2021,G1718/$H$1963,B1718=2022,G1718/$H$1964,B1718=2023,G1718/$H$1965)</f>
        <v>1.5222780995540008E-5</v>
      </c>
      <c r="J1718" s="10" cm="1">
        <f t="array" ref="J1718">_xlfn.IFS(B1718=2015,I1718*$G$2,B1718=2016,I1718*$G$3,B1718=2017,I1718*$G$4,B1718=2018,I1718*$G$5,B1718=2019,I1718*$G$6,B1718=2020,I1718*$G$7,B1718=2021,I1718*$G$8,B1718=2022,I1718*$G$9,B1718=2023,I1718*$G$10)</f>
        <v>2587.6492835940057</v>
      </c>
      <c r="K1718" s="8">
        <f t="shared" si="26"/>
        <v>17622.649283594004</v>
      </c>
      <c r="L1718">
        <f>IFERROR(VLOOKUP(F1718,'LEAID Match'!$A$2:$B$240,2,FALSE),"")</f>
        <v>0</v>
      </c>
    </row>
    <row r="1719" spans="1:12" x14ac:dyDescent="0.2">
      <c r="A1719">
        <v>0</v>
      </c>
      <c r="B1719">
        <v>2015</v>
      </c>
      <c r="C1719" s="4" t="s">
        <v>369</v>
      </c>
      <c r="D1719" s="4" t="s">
        <v>576</v>
      </c>
      <c r="E1719" s="4" t="s">
        <v>578</v>
      </c>
      <c r="F1719" s="4" t="s">
        <v>339</v>
      </c>
      <c r="G1719" s="8">
        <v>16271</v>
      </c>
      <c r="I1719" s="16" cm="1">
        <f t="array" ref="I1719">_xlfn.IFS(B1719=2015,G1719/$H$1957,B1719=2016,G1719/$H$1958,B1719=2017,G1719/$H$1959,B1719=2018,G1719/$H$1960,B1719=2019,G1719/$H$1961,B1719=2020,G1719/$H$1962,B1719=2021,G1719/$H$1963,B1719=2022,G1719/$H$1964,B1719=2023,G1719/$H$1965)</f>
        <v>1.2565417891198019E-5</v>
      </c>
      <c r="J1719" s="10" cm="1">
        <f t="array" ref="J1719">_xlfn.IFS(B1719=2015,I1719*$G$2,B1719=2016,I1719*$G$3,B1719=2017,I1719*$G$4,B1719=2018,I1719*$G$5,B1719=2019,I1719*$G$6,B1719=2020,I1719*$G$7,B1719=2021,I1719*$G$8,B1719=2022,I1719*$G$9,B1719=2023,I1719*$G$10)</f>
        <v>3124.2978604185455</v>
      </c>
      <c r="K1719" s="8">
        <f t="shared" si="26"/>
        <v>19395.297860418545</v>
      </c>
      <c r="L1719">
        <f>IFERROR(VLOOKUP(F1719,'LEAID Match'!$A$2:$B$240,2,FALSE),"")</f>
        <v>0</v>
      </c>
    </row>
    <row r="1720" spans="1:12" x14ac:dyDescent="0.2">
      <c r="A1720">
        <v>0</v>
      </c>
      <c r="B1720">
        <v>2016</v>
      </c>
      <c r="C1720" s="4" t="s">
        <v>369</v>
      </c>
      <c r="D1720" s="4" t="s">
        <v>576</v>
      </c>
      <c r="E1720" s="4" t="s">
        <v>578</v>
      </c>
      <c r="F1720" s="4" t="s">
        <v>339</v>
      </c>
      <c r="G1720" s="8">
        <v>0</v>
      </c>
      <c r="I1720" s="16" cm="1">
        <f t="array" ref="I1720">_xlfn.IFS(B1720=2015,G1720/$H$1957,B1720=2016,G1720/$H$1958,B1720=2017,G1720/$H$1959,B1720=2018,G1720/$H$1960,B1720=2019,G1720/$H$1961,B1720=2020,G1720/$H$1962,B1720=2021,G1720/$H$1963,B1720=2022,G1720/$H$1964,B1720=2023,G1720/$H$1965)</f>
        <v>0</v>
      </c>
      <c r="J1720" s="10" cm="1">
        <f t="array" ref="J1720">_xlfn.IFS(B1720=2015,I1720*$G$2,B1720=2016,I1720*$G$3,B1720=2017,I1720*$G$4,B1720=2018,I1720*$G$5,B1720=2019,I1720*$G$6,B1720=2020,I1720*$G$7,B1720=2021,I1720*$G$8,B1720=2022,I1720*$G$9,B1720=2023,I1720*$G$10)</f>
        <v>0</v>
      </c>
      <c r="K1720" s="8">
        <f t="shared" si="26"/>
        <v>0</v>
      </c>
      <c r="L1720">
        <f>IFERROR(VLOOKUP(F1720,'LEAID Match'!$A$2:$B$240,2,FALSE),"")</f>
        <v>0</v>
      </c>
    </row>
    <row r="1721" spans="1:12" x14ac:dyDescent="0.2">
      <c r="A1721">
        <v>0</v>
      </c>
      <c r="B1721">
        <v>2017</v>
      </c>
      <c r="C1721" s="4" t="s">
        <v>369</v>
      </c>
      <c r="D1721" s="4" t="s">
        <v>576</v>
      </c>
      <c r="E1721" s="4" t="s">
        <v>578</v>
      </c>
      <c r="F1721" s="4" t="s">
        <v>339</v>
      </c>
      <c r="I1721" s="16" cm="1">
        <f t="array" ref="I1721">_xlfn.IFS(B1721=2015,G1721/$H$1957,B1721=2016,G1721/$H$1958,B1721=2017,G1721/$H$1959,B1721=2018,G1721/$H$1960,B1721=2019,G1721/$H$1961,B1721=2020,G1721/$H$1962,B1721=2021,G1721/$H$1963,B1721=2022,G1721/$H$1964,B1721=2023,G1721/$H$1965)</f>
        <v>0</v>
      </c>
      <c r="J1721" s="10" cm="1">
        <f t="array" ref="J1721">_xlfn.IFS(B1721=2015,I1721*$G$2,B1721=2016,I1721*$G$3,B1721=2017,I1721*$G$4,B1721=2018,I1721*$G$5,B1721=2019,I1721*$G$6,B1721=2020,I1721*$G$7,B1721=2021,I1721*$G$8,B1721=2022,I1721*$G$9,B1721=2023,I1721*$G$10)</f>
        <v>0</v>
      </c>
      <c r="K1721" s="8">
        <f t="shared" si="26"/>
        <v>0</v>
      </c>
      <c r="L1721">
        <f>IFERROR(VLOOKUP(F1721,'LEAID Match'!$A$2:$B$240,2,FALSE),"")</f>
        <v>0</v>
      </c>
    </row>
    <row r="1722" spans="1:12" x14ac:dyDescent="0.2">
      <c r="A1722">
        <v>0</v>
      </c>
      <c r="B1722">
        <v>2018</v>
      </c>
      <c r="C1722" s="4" t="s">
        <v>369</v>
      </c>
      <c r="D1722" s="4" t="s">
        <v>576</v>
      </c>
      <c r="E1722" s="4" t="s">
        <v>578</v>
      </c>
      <c r="F1722" s="4" t="s">
        <v>339</v>
      </c>
      <c r="I1722" s="16" cm="1">
        <f t="array" ref="I1722">_xlfn.IFS(B1722=2015,G1722/$H$1957,B1722=2016,G1722/$H$1958,B1722=2017,G1722/$H$1959,B1722=2018,G1722/$H$1960,B1722=2019,G1722/$H$1961,B1722=2020,G1722/$H$1962,B1722=2021,G1722/$H$1963,B1722=2022,G1722/$H$1964,B1722=2023,G1722/$H$1965)</f>
        <v>0</v>
      </c>
      <c r="J1722" s="10" cm="1">
        <f t="array" ref="J1722">_xlfn.IFS(B1722=2015,I1722*$G$2,B1722=2016,I1722*$G$3,B1722=2017,I1722*$G$4,B1722=2018,I1722*$G$5,B1722=2019,I1722*$G$6,B1722=2020,I1722*$G$7,B1722=2021,I1722*$G$8,B1722=2022,I1722*$G$9,B1722=2023,I1722*$G$10)</f>
        <v>0</v>
      </c>
      <c r="K1722" s="8">
        <f t="shared" si="26"/>
        <v>0</v>
      </c>
      <c r="L1722">
        <f>IFERROR(VLOOKUP(F1722,'LEAID Match'!$A$2:$B$240,2,FALSE),"")</f>
        <v>0</v>
      </c>
    </row>
    <row r="1723" spans="1:12" x14ac:dyDescent="0.2">
      <c r="A1723">
        <v>0</v>
      </c>
      <c r="B1723">
        <v>2019</v>
      </c>
      <c r="C1723" s="4" t="s">
        <v>369</v>
      </c>
      <c r="D1723" s="4" t="s">
        <v>576</v>
      </c>
      <c r="E1723" s="4" t="s">
        <v>578</v>
      </c>
      <c r="F1723" s="4" t="s">
        <v>339</v>
      </c>
      <c r="I1723" s="16" cm="1">
        <f t="array" ref="I1723">_xlfn.IFS(B1723=2015,G1723/$H$1957,B1723=2016,G1723/$H$1958,B1723=2017,G1723/$H$1959,B1723=2018,G1723/$H$1960,B1723=2019,G1723/$H$1961,B1723=2020,G1723/$H$1962,B1723=2021,G1723/$H$1963,B1723=2022,G1723/$H$1964,B1723=2023,G1723/$H$1965)</f>
        <v>0</v>
      </c>
      <c r="J1723" s="10" cm="1">
        <f t="array" ref="J1723">_xlfn.IFS(B1723=2015,I1723*$G$2,B1723=2016,I1723*$G$3,B1723=2017,I1723*$G$4,B1723=2018,I1723*$G$5,B1723=2019,I1723*$G$6,B1723=2020,I1723*$G$7,B1723=2021,I1723*$G$8,B1723=2022,I1723*$G$9,B1723=2023,I1723*$G$10)</f>
        <v>0</v>
      </c>
      <c r="K1723" s="8">
        <f t="shared" si="26"/>
        <v>0</v>
      </c>
      <c r="L1723">
        <f>IFERROR(VLOOKUP(F1723,'LEAID Match'!$A$2:$B$240,2,FALSE),"")</f>
        <v>0</v>
      </c>
    </row>
    <row r="1724" spans="1:12" x14ac:dyDescent="0.2">
      <c r="A1724">
        <v>0</v>
      </c>
      <c r="B1724">
        <v>2020</v>
      </c>
      <c r="C1724" s="4" t="s">
        <v>369</v>
      </c>
      <c r="D1724" s="4" t="s">
        <v>576</v>
      </c>
      <c r="E1724" s="4" t="s">
        <v>578</v>
      </c>
      <c r="F1724" s="4" t="s">
        <v>339</v>
      </c>
      <c r="I1724" s="16" cm="1">
        <f t="array" ref="I1724">_xlfn.IFS(B1724=2015,G1724/$H$1957,B1724=2016,G1724/$H$1958,B1724=2017,G1724/$H$1959,B1724=2018,G1724/$H$1960,B1724=2019,G1724/$H$1961,B1724=2020,G1724/$H$1962,B1724=2021,G1724/$H$1963,B1724=2022,G1724/$H$1964,B1724=2023,G1724/$H$1965)</f>
        <v>0</v>
      </c>
      <c r="J1724" s="10" cm="1">
        <f t="array" ref="J1724">_xlfn.IFS(B1724=2015,I1724*$G$2,B1724=2016,I1724*$G$3,B1724=2017,I1724*$G$4,B1724=2018,I1724*$G$5,B1724=2019,I1724*$G$6,B1724=2020,I1724*$G$7,B1724=2021,I1724*$G$8,B1724=2022,I1724*$G$9,B1724=2023,I1724*$G$10)</f>
        <v>0</v>
      </c>
      <c r="K1724" s="8">
        <f t="shared" si="26"/>
        <v>0</v>
      </c>
      <c r="L1724">
        <f>IFERROR(VLOOKUP(F1724,'LEAID Match'!$A$2:$B$240,2,FALSE),"")</f>
        <v>0</v>
      </c>
    </row>
    <row r="1725" spans="1:12" x14ac:dyDescent="0.2">
      <c r="A1725">
        <v>0</v>
      </c>
      <c r="B1725">
        <v>2021</v>
      </c>
      <c r="C1725" s="4" t="s">
        <v>369</v>
      </c>
      <c r="D1725" s="4" t="s">
        <v>576</v>
      </c>
      <c r="E1725" s="4" t="s">
        <v>578</v>
      </c>
      <c r="F1725" s="4" t="s">
        <v>339</v>
      </c>
      <c r="I1725" s="16" cm="1">
        <f t="array" ref="I1725">_xlfn.IFS(B1725=2015,G1725/$H$1957,B1725=2016,G1725/$H$1958,B1725=2017,G1725/$H$1959,B1725=2018,G1725/$H$1960,B1725=2019,G1725/$H$1961,B1725=2020,G1725/$H$1962,B1725=2021,G1725/$H$1963,B1725=2022,G1725/$H$1964,B1725=2023,G1725/$H$1965)</f>
        <v>0</v>
      </c>
      <c r="J1725" s="10" cm="1">
        <f t="array" ref="J1725">_xlfn.IFS(B1725=2015,I1725*$G$2,B1725=2016,I1725*$G$3,B1725=2017,I1725*$G$4,B1725=2018,I1725*$G$5,B1725=2019,I1725*$G$6,B1725=2020,I1725*$G$7,B1725=2021,I1725*$G$8,B1725=2022,I1725*$G$9,B1725=2023,I1725*$G$10)</f>
        <v>0</v>
      </c>
      <c r="K1725" s="8">
        <f t="shared" si="26"/>
        <v>0</v>
      </c>
      <c r="L1725">
        <f>IFERROR(VLOOKUP(F1725,'LEAID Match'!$A$2:$B$240,2,FALSE),"")</f>
        <v>0</v>
      </c>
    </row>
    <row r="1726" spans="1:12" x14ac:dyDescent="0.2">
      <c r="A1726">
        <v>0</v>
      </c>
      <c r="B1726">
        <v>2022</v>
      </c>
      <c r="C1726" s="4" t="s">
        <v>369</v>
      </c>
      <c r="D1726" s="4" t="s">
        <v>576</v>
      </c>
      <c r="E1726" s="4" t="s">
        <v>578</v>
      </c>
      <c r="F1726" s="4" t="s">
        <v>339</v>
      </c>
      <c r="I1726" s="16" cm="1">
        <f t="array" ref="I1726">_xlfn.IFS(B1726=2015,G1726/$H$1957,B1726=2016,G1726/$H$1958,B1726=2017,G1726/$H$1959,B1726=2018,G1726/$H$1960,B1726=2019,G1726/$H$1961,B1726=2020,G1726/$H$1962,B1726=2021,G1726/$H$1963,B1726=2022,G1726/$H$1964,B1726=2023,G1726/$H$1965)</f>
        <v>0</v>
      </c>
      <c r="J1726" s="10" cm="1">
        <f t="array" ref="J1726">_xlfn.IFS(B1726=2015,I1726*$G$2,B1726=2016,I1726*$G$3,B1726=2017,I1726*$G$4,B1726=2018,I1726*$G$5,B1726=2019,I1726*$G$6,B1726=2020,I1726*$G$7,B1726=2021,I1726*$G$8,B1726=2022,I1726*$G$9,B1726=2023,I1726*$G$10)</f>
        <v>0</v>
      </c>
      <c r="K1726" s="8">
        <f t="shared" si="26"/>
        <v>0</v>
      </c>
      <c r="L1726">
        <f>IFERROR(VLOOKUP(F1726,'LEAID Match'!$A$2:$B$240,2,FALSE),"")</f>
        <v>0</v>
      </c>
    </row>
    <row r="1727" spans="1:12" x14ac:dyDescent="0.2">
      <c r="A1727">
        <v>0</v>
      </c>
      <c r="B1727">
        <v>2023</v>
      </c>
      <c r="C1727" s="4" t="s">
        <v>369</v>
      </c>
      <c r="D1727" s="4" t="s">
        <v>576</v>
      </c>
      <c r="E1727" s="4" t="s">
        <v>578</v>
      </c>
      <c r="F1727" s="4" t="s">
        <v>339</v>
      </c>
      <c r="I1727" s="16" cm="1">
        <f t="array" ref="I1727">_xlfn.IFS(B1727=2015,G1727/$H$1957,B1727=2016,G1727/$H$1958,B1727=2017,G1727/$H$1959,B1727=2018,G1727/$H$1960,B1727=2019,G1727/$H$1961,B1727=2020,G1727/$H$1962,B1727=2021,G1727/$H$1963,B1727=2022,G1727/$H$1964,B1727=2023,G1727/$H$1965)</f>
        <v>0</v>
      </c>
      <c r="J1727" s="10" cm="1">
        <f t="array" ref="J1727">_xlfn.IFS(B1727=2015,I1727*$G$2,B1727=2016,I1727*$G$3,B1727=2017,I1727*$G$4,B1727=2018,I1727*$G$5,B1727=2019,I1727*$G$6,B1727=2020,I1727*$G$7,B1727=2021,I1727*$G$8,B1727=2022,I1727*$G$9,B1727=2023,I1727*$G$10)</f>
        <v>0</v>
      </c>
      <c r="K1727" s="8">
        <f t="shared" si="26"/>
        <v>0</v>
      </c>
      <c r="L1727">
        <f>IFERROR(VLOOKUP(F1727,'LEAID Match'!$A$2:$B$240,2,FALSE),"")</f>
        <v>0</v>
      </c>
    </row>
    <row r="1728" spans="1:12" x14ac:dyDescent="0.2">
      <c r="A1728">
        <v>0</v>
      </c>
      <c r="B1728">
        <v>2015</v>
      </c>
      <c r="C1728" s="4" t="s">
        <v>370</v>
      </c>
      <c r="D1728" s="4" t="s">
        <v>576</v>
      </c>
      <c r="E1728" s="4" t="s">
        <v>578</v>
      </c>
      <c r="F1728" s="4" t="s">
        <v>340</v>
      </c>
      <c r="G1728" s="8">
        <v>29037</v>
      </c>
      <c r="I1728" s="16" cm="1">
        <f t="array" ref="I1728">_xlfn.IFS(B1728=2015,G1728/$H$1957,B1728=2016,G1728/$H$1958,B1728=2017,G1728/$H$1959,B1728=2018,G1728/$H$1960,B1728=2019,G1728/$H$1961,B1728=2020,G1728/$H$1962,B1728=2021,G1728/$H$1963,B1728=2022,G1728/$H$1964,B1728=2023,G1728/$H$1965)</f>
        <v>2.2424069774858147E-5</v>
      </c>
      <c r="J1728" s="10" cm="1">
        <f t="array" ref="J1728">_xlfn.IFS(B1728=2015,I1728*$G$2,B1728=2016,I1728*$G$3,B1728=2017,I1728*$G$4,B1728=2018,I1728*$G$5,B1728=2019,I1728*$G$6,B1728=2020,I1728*$G$7,B1728=2021,I1728*$G$8,B1728=2022,I1728*$G$9,B1728=2023,I1728*$G$10)</f>
        <v>5575.5784508003999</v>
      </c>
      <c r="K1728" s="8">
        <f t="shared" si="26"/>
        <v>34612.5784508004</v>
      </c>
      <c r="L1728">
        <f>IFERROR(VLOOKUP(F1728,'LEAID Match'!$A$2:$B$240,2,FALSE),"")</f>
        <v>0</v>
      </c>
    </row>
    <row r="1729" spans="1:12" x14ac:dyDescent="0.2">
      <c r="A1729">
        <v>0</v>
      </c>
      <c r="B1729">
        <v>2016</v>
      </c>
      <c r="C1729" s="4" t="s">
        <v>370</v>
      </c>
      <c r="D1729" s="4" t="s">
        <v>576</v>
      </c>
      <c r="E1729" s="4" t="s">
        <v>578</v>
      </c>
      <c r="F1729" s="4" t="s">
        <v>340</v>
      </c>
      <c r="G1729" s="8">
        <v>32870</v>
      </c>
      <c r="I1729" s="16" cm="1">
        <f t="array" ref="I1729">_xlfn.IFS(B1729=2015,G1729/$H$1957,B1729=2016,G1729/$H$1958,B1729=2017,G1729/$H$1959,B1729=2018,G1729/$H$1960,B1729=2019,G1729/$H$1961,B1729=2020,G1729/$H$1962,B1729=2021,G1729/$H$1963,B1729=2022,G1729/$H$1964,B1729=2023,G1729/$H$1965)</f>
        <v>2.3074725947861093E-5</v>
      </c>
      <c r="J1729" s="10" cm="1">
        <f t="array" ref="J1729">_xlfn.IFS(B1729=2015,I1729*$G$2,B1729=2016,I1729*$G$3,B1729=2017,I1729*$G$4,B1729=2018,I1729*$G$5,B1729=2019,I1729*$G$6,B1729=2020,I1729*$G$7,B1729=2021,I1729*$G$8,B1729=2022,I1729*$G$9,B1729=2023,I1729*$G$10)</f>
        <v>6257.9367472158474</v>
      </c>
      <c r="K1729" s="8">
        <f t="shared" si="26"/>
        <v>39127.936747215848</v>
      </c>
      <c r="L1729">
        <f>IFERROR(VLOOKUP(F1729,'LEAID Match'!$A$2:$B$240,2,FALSE),"")</f>
        <v>0</v>
      </c>
    </row>
    <row r="1730" spans="1:12" x14ac:dyDescent="0.2">
      <c r="A1730">
        <v>0</v>
      </c>
      <c r="B1730">
        <v>2017</v>
      </c>
      <c r="C1730" s="4" t="s">
        <v>370</v>
      </c>
      <c r="D1730" s="4" t="s">
        <v>576</v>
      </c>
      <c r="E1730" s="4" t="s">
        <v>578</v>
      </c>
      <c r="F1730" s="4" t="s">
        <v>340</v>
      </c>
      <c r="G1730" s="8">
        <v>17105</v>
      </c>
      <c r="I1730" s="16" cm="1">
        <f t="array" ref="I1730">_xlfn.IFS(B1730=2015,G1730/$H$1957,B1730=2016,G1730/$H$1958,B1730=2017,G1730/$H$1959,B1730=2018,G1730/$H$1960,B1730=2019,G1730/$H$1961,B1730=2020,G1730/$H$1962,B1730=2021,G1730/$H$1963,B1730=2022,G1730/$H$1964,B1730=2023,G1730/$H$1965)</f>
        <v>2.2821710068506998E-5</v>
      </c>
      <c r="J1730" s="10" cm="1">
        <f t="array" ref="J1730">_xlfn.IFS(B1730=2015,I1730*$G$2,B1730=2016,I1730*$G$3,B1730=2017,I1730*$G$4,B1730=2018,I1730*$G$5,B1730=2019,I1730*$G$6,B1730=2020,I1730*$G$7,B1730=2021,I1730*$G$8,B1730=2022,I1730*$G$9,B1730=2023,I1730*$G$10)</f>
        <v>3379.5891535487376</v>
      </c>
      <c r="K1730" s="8">
        <f t="shared" si="26"/>
        <v>20484.589153548739</v>
      </c>
      <c r="L1730">
        <f>IFERROR(VLOOKUP(F1730,'LEAID Match'!$A$2:$B$240,2,FALSE),"")</f>
        <v>0</v>
      </c>
    </row>
    <row r="1731" spans="1:12" x14ac:dyDescent="0.2">
      <c r="A1731">
        <v>0</v>
      </c>
      <c r="B1731">
        <v>2018</v>
      </c>
      <c r="C1731" s="4" t="s">
        <v>370</v>
      </c>
      <c r="D1731" s="4" t="s">
        <v>576</v>
      </c>
      <c r="E1731" s="4" t="s">
        <v>578</v>
      </c>
      <c r="F1731" s="4" t="s">
        <v>340</v>
      </c>
      <c r="G1731" s="8">
        <v>17578</v>
      </c>
      <c r="I1731" s="16" cm="1">
        <f t="array" ref="I1731">_xlfn.IFS(B1731=2015,G1731/$H$1957,B1731=2016,G1731/$H$1958,B1731=2017,G1731/$H$1959,B1731=2018,G1731/$H$1960,B1731=2019,G1731/$H$1961,B1731=2020,G1731/$H$1962,B1731=2021,G1731/$H$1963,B1731=2022,G1731/$H$1964,B1731=2023,G1731/$H$1965)</f>
        <v>2.2617796244119996E-5</v>
      </c>
      <c r="J1731" s="10" cm="1">
        <f t="array" ref="J1731">_xlfn.IFS(B1731=2015,I1731*$G$2,B1731=2016,I1731*$G$3,B1731=2017,I1731*$G$4,B1731=2018,I1731*$G$5,B1731=2019,I1731*$G$6,B1731=2020,I1731*$G$7,B1731=2021,I1731*$G$8,B1731=2022,I1731*$G$9,B1731=2023,I1731*$G$10)</f>
        <v>3404.5194428974037</v>
      </c>
      <c r="K1731" s="8">
        <f t="shared" si="26"/>
        <v>20982.519442897403</v>
      </c>
      <c r="L1731">
        <f>IFERROR(VLOOKUP(F1731,'LEAID Match'!$A$2:$B$240,2,FALSE),"")</f>
        <v>0</v>
      </c>
    </row>
    <row r="1732" spans="1:12" x14ac:dyDescent="0.2">
      <c r="A1732">
        <v>0</v>
      </c>
      <c r="B1732">
        <v>2019</v>
      </c>
      <c r="C1732" s="4" t="s">
        <v>370</v>
      </c>
      <c r="D1732" s="4" t="s">
        <v>576</v>
      </c>
      <c r="E1732" s="4" t="s">
        <v>578</v>
      </c>
      <c r="F1732" s="4" t="s">
        <v>340</v>
      </c>
      <c r="G1732" s="8">
        <v>13641</v>
      </c>
      <c r="I1732" s="16" cm="1">
        <f t="array" ref="I1732">_xlfn.IFS(B1732=2015,G1732/$H$1957,B1732=2016,G1732/$H$1958,B1732=2017,G1732/$H$1959,B1732=2018,G1732/$H$1960,B1732=2019,G1732/$H$1961,B1732=2020,G1732/$H$1962,B1732=2021,G1732/$H$1963,B1732=2022,G1732/$H$1964,B1732=2023,G1732/$H$1965)</f>
        <v>1.6952989118828143E-5</v>
      </c>
      <c r="J1732" s="10" cm="1">
        <f t="array" ref="J1732">_xlfn.IFS(B1732=2015,I1732*$G$2,B1732=2016,I1732*$G$3,B1732=2017,I1732*$G$4,B1732=2018,I1732*$G$5,B1732=2019,I1732*$G$6,B1732=2020,I1732*$G$7,B1732=2021,I1732*$G$8,B1732=2022,I1732*$G$9,B1732=2023,I1732*$G$10)</f>
        <v>2679.0490327348462</v>
      </c>
      <c r="K1732" s="8">
        <f t="shared" si="26"/>
        <v>16320.049032734845</v>
      </c>
      <c r="L1732">
        <f>IFERROR(VLOOKUP(F1732,'LEAID Match'!$A$2:$B$240,2,FALSE),"")</f>
        <v>0</v>
      </c>
    </row>
    <row r="1733" spans="1:12" x14ac:dyDescent="0.2">
      <c r="A1733">
        <v>0</v>
      </c>
      <c r="B1733">
        <v>2020</v>
      </c>
      <c r="C1733" s="4" t="s">
        <v>370</v>
      </c>
      <c r="D1733" s="4" t="s">
        <v>576</v>
      </c>
      <c r="E1733" s="4" t="s">
        <v>578</v>
      </c>
      <c r="F1733" s="4" t="s">
        <v>340</v>
      </c>
      <c r="G1733" s="8">
        <v>16933</v>
      </c>
      <c r="I1733" s="16" cm="1">
        <f t="array" ref="I1733">_xlfn.IFS(B1733=2015,G1733/$H$1957,B1733=2016,G1733/$H$1958,B1733=2017,G1733/$H$1959,B1733=2018,G1733/$H$1960,B1733=2019,G1733/$H$1961,B1733=2020,G1733/$H$1962,B1733=2021,G1733/$H$1963,B1733=2022,G1733/$H$1964,B1733=2023,G1733/$H$1965)</f>
        <v>1.9475716450540292E-5</v>
      </c>
      <c r="J1733" s="10" cm="1">
        <f t="array" ref="J1733">_xlfn.IFS(B1733=2015,I1733*$G$2,B1733=2016,I1733*$G$3,B1733=2017,I1733*$G$4,B1733=2018,I1733*$G$5,B1733=2019,I1733*$G$6,B1733=2020,I1733*$G$7,B1733=2021,I1733*$G$8,B1733=2022,I1733*$G$9,B1733=2023,I1733*$G$10)</f>
        <v>3363.142555119156</v>
      </c>
      <c r="K1733" s="8">
        <f t="shared" si="26"/>
        <v>20296.142555119157</v>
      </c>
      <c r="L1733">
        <f>IFERROR(VLOOKUP(F1733,'LEAID Match'!$A$2:$B$240,2,FALSE),"")</f>
        <v>0</v>
      </c>
    </row>
    <row r="1734" spans="1:12" x14ac:dyDescent="0.2">
      <c r="A1734">
        <v>0</v>
      </c>
      <c r="B1734">
        <v>2021</v>
      </c>
      <c r="C1734" s="4" t="s">
        <v>370</v>
      </c>
      <c r="D1734" s="4" t="s">
        <v>576</v>
      </c>
      <c r="E1734" s="4" t="s">
        <v>578</v>
      </c>
      <c r="F1734" s="4" t="s">
        <v>340</v>
      </c>
      <c r="G1734" s="8">
        <v>18547</v>
      </c>
      <c r="I1734" s="16" cm="1">
        <f t="array" ref="I1734">_xlfn.IFS(B1734=2015,G1734/$H$1957,B1734=2016,G1734/$H$1958,B1734=2017,G1734/$H$1959,B1734=2018,G1734/$H$1960,B1734=2019,G1734/$H$1961,B1734=2020,G1734/$H$1962,B1734=2021,G1734/$H$1963,B1734=2022,G1734/$H$1964,B1734=2023,G1734/$H$1965)</f>
        <v>2.1195416847601571E-5</v>
      </c>
      <c r="J1734" s="10" cm="1">
        <f t="array" ref="J1734">_xlfn.IFS(B1734=2015,I1734*$G$2,B1734=2016,I1734*$G$3,B1734=2017,I1734*$G$4,B1734=2018,I1734*$G$5,B1734=2019,I1734*$G$6,B1734=2020,I1734*$G$7,B1734=2021,I1734*$G$8,B1734=2022,I1734*$G$9,B1734=2023,I1734*$G$10)</f>
        <v>3637.4903770864757</v>
      </c>
      <c r="K1734" s="8">
        <f t="shared" si="26"/>
        <v>22184.490377086477</v>
      </c>
      <c r="L1734">
        <f>IFERROR(VLOOKUP(F1734,'LEAID Match'!$A$2:$B$240,2,FALSE),"")</f>
        <v>0</v>
      </c>
    </row>
    <row r="1735" spans="1:12" x14ac:dyDescent="0.2">
      <c r="A1735">
        <v>0</v>
      </c>
      <c r="B1735">
        <v>2022</v>
      </c>
      <c r="C1735" s="4" t="s">
        <v>370</v>
      </c>
      <c r="D1735" s="4" t="s">
        <v>576</v>
      </c>
      <c r="E1735" s="4" t="s">
        <v>578</v>
      </c>
      <c r="F1735" s="4" t="s">
        <v>340</v>
      </c>
      <c r="G1735" s="8">
        <v>20008</v>
      </c>
      <c r="I1735" s="16" cm="1">
        <f t="array" ref="I1735">_xlfn.IFS(B1735=2015,G1735/$H$1957,B1735=2016,G1735/$H$1958,B1735=2017,G1735/$H$1959,B1735=2018,G1735/$H$1960,B1735=2019,G1735/$H$1961,B1735=2020,G1735/$H$1962,B1735=2021,G1735/$H$1963,B1735=2022,G1735/$H$1964,B1735=2023,G1735/$H$1965)</f>
        <v>2.1504644577069531E-5</v>
      </c>
      <c r="J1735" s="10" cm="1">
        <f t="array" ref="J1735">_xlfn.IFS(B1735=2015,I1735*$G$2,B1735=2016,I1735*$G$3,B1735=2017,I1735*$G$4,B1735=2018,I1735*$G$5,B1735=2019,I1735*$G$6,B1735=2020,I1735*$G$7,B1735=2021,I1735*$G$8,B1735=2022,I1735*$G$9,B1735=2023,I1735*$G$10)</f>
        <v>3646.879107116667</v>
      </c>
      <c r="K1735" s="8">
        <f t="shared" si="26"/>
        <v>23654.879107116667</v>
      </c>
      <c r="L1735">
        <f>IFERROR(VLOOKUP(F1735,'LEAID Match'!$A$2:$B$240,2,FALSE),"")</f>
        <v>0</v>
      </c>
    </row>
    <row r="1736" spans="1:12" x14ac:dyDescent="0.2">
      <c r="A1736">
        <v>0</v>
      </c>
      <c r="B1736">
        <v>2023</v>
      </c>
      <c r="C1736" s="4" t="s">
        <v>370</v>
      </c>
      <c r="D1736" s="4" t="s">
        <v>576</v>
      </c>
      <c r="E1736" s="4" t="s">
        <v>578</v>
      </c>
      <c r="F1736" s="4" t="s">
        <v>340</v>
      </c>
      <c r="G1736" s="8">
        <v>20318</v>
      </c>
      <c r="I1736" s="16" cm="1">
        <f t="array" ref="I1736">_xlfn.IFS(B1736=2015,G1736/$H$1957,B1736=2016,G1736/$H$1958,B1736=2017,G1736/$H$1959,B1736=2018,G1736/$H$1960,B1736=2019,G1736/$H$1961,B1736=2020,G1736/$H$1962,B1736=2021,G1736/$H$1963,B1736=2022,G1736/$H$1964,B1736=2023,G1736/$H$1965)</f>
        <v>2.057176350298516E-5</v>
      </c>
      <c r="J1736" s="10" cm="1">
        <f t="array" ref="J1736">_xlfn.IFS(B1736=2015,I1736*$G$2,B1736=2016,I1736*$G$3,B1736=2017,I1736*$G$4,B1736=2018,I1736*$G$5,B1736=2019,I1736*$G$6,B1736=2020,I1736*$G$7,B1736=2021,I1736*$G$8,B1736=2022,I1736*$G$9,B1736=2023,I1736*$G$10)</f>
        <v>3496.8977814474897</v>
      </c>
      <c r="K1736" s="8">
        <f t="shared" si="26"/>
        <v>23814.897781447489</v>
      </c>
      <c r="L1736">
        <f>IFERROR(VLOOKUP(F1736,'LEAID Match'!$A$2:$B$240,2,FALSE),"")</f>
        <v>0</v>
      </c>
    </row>
    <row r="1737" spans="1:12" x14ac:dyDescent="0.2">
      <c r="A1737">
        <v>0</v>
      </c>
      <c r="B1737">
        <v>2015</v>
      </c>
      <c r="C1737" s="4" t="s">
        <v>371</v>
      </c>
      <c r="D1737" s="4" t="s">
        <v>576</v>
      </c>
      <c r="E1737" s="4" t="s">
        <v>578</v>
      </c>
      <c r="F1737" s="4" t="s">
        <v>341</v>
      </c>
      <c r="G1737" s="8">
        <v>24254</v>
      </c>
      <c r="I1737" s="16" cm="1">
        <f t="array" ref="I1737">_xlfn.IFS(B1737=2015,G1737/$H$1957,B1737=2016,G1737/$H$1958,B1737=2017,G1737/$H$1959,B1737=2018,G1737/$H$1960,B1737=2019,G1737/$H$1961,B1737=2020,G1737/$H$1962,B1737=2021,G1737/$H$1963,B1737=2022,G1737/$H$1964,B1737=2023,G1737/$H$1965)</f>
        <v>1.8730357417068207E-5</v>
      </c>
      <c r="J1737" s="10" cm="1">
        <f t="array" ref="J1737">_xlfn.IFS(B1737=2015,I1737*$G$2,B1737=2016,I1737*$G$3,B1737=2017,I1737*$G$4,B1737=2018,I1737*$G$5,B1737=2019,I1737*$G$6,B1737=2020,I1737*$G$7,B1737=2021,I1737*$G$8,B1737=2022,I1737*$G$9,B1737=2023,I1737*$G$10)</f>
        <v>4657.1642988501881</v>
      </c>
      <c r="K1737" s="8">
        <f t="shared" si="26"/>
        <v>28911.164298850188</v>
      </c>
      <c r="L1737">
        <f>IFERROR(VLOOKUP(F1737,'LEAID Match'!$A$2:$B$240,2,FALSE),"")</f>
        <v>0</v>
      </c>
    </row>
    <row r="1738" spans="1:12" x14ac:dyDescent="0.2">
      <c r="A1738">
        <v>0</v>
      </c>
      <c r="B1738">
        <v>2016</v>
      </c>
      <c r="C1738" s="4" t="s">
        <v>371</v>
      </c>
      <c r="D1738" s="4" t="s">
        <v>576</v>
      </c>
      <c r="E1738" s="4" t="s">
        <v>578</v>
      </c>
      <c r="F1738" s="4" t="s">
        <v>341</v>
      </c>
      <c r="G1738" s="8">
        <v>47148</v>
      </c>
      <c r="I1738" s="16" cm="1">
        <f t="array" ref="I1738">_xlfn.IFS(B1738=2015,G1738/$H$1957,B1738=2016,G1738/$H$1958,B1738=2017,G1738/$H$1959,B1738=2018,G1738/$H$1960,B1738=2019,G1738/$H$1961,B1738=2020,G1738/$H$1962,B1738=2021,G1738/$H$1963,B1738=2022,G1738/$H$1964,B1738=2023,G1738/$H$1965)</f>
        <v>3.3097875843923176E-5</v>
      </c>
      <c r="J1738" s="10" cm="1">
        <f t="array" ref="J1738">_xlfn.IFS(B1738=2015,I1738*$G$2,B1738=2016,I1738*$G$3,B1738=2017,I1738*$G$4,B1738=2018,I1738*$G$5,B1738=2019,I1738*$G$6,B1738=2020,I1738*$G$7,B1738=2021,I1738*$G$8,B1738=2022,I1738*$G$9,B1738=2023,I1738*$G$10)</f>
        <v>8976.2458703295652</v>
      </c>
      <c r="K1738" s="8">
        <f t="shared" si="26"/>
        <v>56124.245870329563</v>
      </c>
      <c r="L1738">
        <f>IFERROR(VLOOKUP(F1738,'LEAID Match'!$A$2:$B$240,2,FALSE),"")</f>
        <v>0</v>
      </c>
    </row>
    <row r="1739" spans="1:12" x14ac:dyDescent="0.2">
      <c r="A1739">
        <v>0</v>
      </c>
      <c r="B1739">
        <v>2017</v>
      </c>
      <c r="C1739" s="4" t="s">
        <v>371</v>
      </c>
      <c r="D1739" s="4" t="s">
        <v>576</v>
      </c>
      <c r="E1739" s="4" t="s">
        <v>578</v>
      </c>
      <c r="F1739" s="4" t="s">
        <v>341</v>
      </c>
      <c r="G1739" s="8">
        <v>24487</v>
      </c>
      <c r="I1739" s="16" cm="1">
        <f t="array" ref="I1739">_xlfn.IFS(B1739=2015,G1739/$H$1957,B1739=2016,G1739/$H$1958,B1739=2017,G1739/$H$1959,B1739=2018,G1739/$H$1960,B1739=2019,G1739/$H$1961,B1739=2020,G1739/$H$1962,B1739=2021,G1739/$H$1963,B1739=2022,G1739/$H$1964,B1739=2023,G1739/$H$1965)</f>
        <v>3.2670869011840444E-5</v>
      </c>
      <c r="J1739" s="10" cm="1">
        <f t="array" ref="J1739">_xlfn.IFS(B1739=2015,I1739*$G$2,B1739=2016,I1739*$G$3,B1739=2017,I1739*$G$4,B1739=2018,I1739*$G$5,B1739=2019,I1739*$G$6,B1739=2020,I1739*$G$7,B1739=2021,I1739*$G$8,B1739=2022,I1739*$G$9,B1739=2023,I1739*$G$10)</f>
        <v>4838.1174862875141</v>
      </c>
      <c r="K1739" s="8">
        <f t="shared" si="26"/>
        <v>29325.117486287512</v>
      </c>
      <c r="L1739">
        <f>IFERROR(VLOOKUP(F1739,'LEAID Match'!$A$2:$B$240,2,FALSE),"")</f>
        <v>0</v>
      </c>
    </row>
    <row r="1740" spans="1:12" x14ac:dyDescent="0.2">
      <c r="A1740">
        <v>0</v>
      </c>
      <c r="B1740">
        <v>2018</v>
      </c>
      <c r="C1740" s="4" t="s">
        <v>371</v>
      </c>
      <c r="D1740" s="4" t="s">
        <v>576</v>
      </c>
      <c r="E1740" s="4" t="s">
        <v>578</v>
      </c>
      <c r="F1740" s="4" t="s">
        <v>341</v>
      </c>
      <c r="G1740" s="8">
        <v>25168</v>
      </c>
      <c r="I1740" s="16" cm="1">
        <f t="array" ref="I1740">_xlfn.IFS(B1740=2015,G1740/$H$1957,B1740=2016,G1740/$H$1958,B1740=2017,G1740/$H$1959,B1740=2018,G1740/$H$1960,B1740=2019,G1740/$H$1961,B1740=2020,G1740/$H$1962,B1740=2021,G1740/$H$1963,B1740=2022,G1740/$H$1964,B1740=2023,G1740/$H$1965)</f>
        <v>3.2383928539766301E-5</v>
      </c>
      <c r="J1740" s="10" cm="1">
        <f t="array" ref="J1740">_xlfn.IFS(B1740=2015,I1740*$G$2,B1740=2016,I1740*$G$3,B1740=2017,I1740*$G$4,B1740=2018,I1740*$G$5,B1740=2019,I1740*$G$6,B1740=2020,I1740*$G$7,B1740=2021,I1740*$G$8,B1740=2022,I1740*$G$9,B1740=2023,I1740*$G$10)</f>
        <v>4874.555998341214</v>
      </c>
      <c r="K1740" s="8">
        <f t="shared" ref="K1740:K1803" si="27">SUM(G1740,J1740)</f>
        <v>30042.555998341213</v>
      </c>
      <c r="L1740">
        <f>IFERROR(VLOOKUP(F1740,'LEAID Match'!$A$2:$B$240,2,FALSE),"")</f>
        <v>0</v>
      </c>
    </row>
    <row r="1741" spans="1:12" x14ac:dyDescent="0.2">
      <c r="A1741">
        <v>0</v>
      </c>
      <c r="B1741">
        <v>2019</v>
      </c>
      <c r="C1741" s="4" t="s">
        <v>371</v>
      </c>
      <c r="D1741" s="4" t="s">
        <v>576</v>
      </c>
      <c r="E1741" s="4" t="s">
        <v>578</v>
      </c>
      <c r="F1741" s="4" t="s">
        <v>341</v>
      </c>
      <c r="G1741" s="8">
        <v>26470</v>
      </c>
      <c r="I1741" s="16" cm="1">
        <f t="array" ref="I1741">_xlfn.IFS(B1741=2015,G1741/$H$1957,B1741=2016,G1741/$H$1958,B1741=2017,G1741/$H$1959,B1741=2018,G1741/$H$1960,B1741=2019,G1741/$H$1961,B1741=2020,G1741/$H$1962,B1741=2021,G1741/$H$1963,B1741=2022,G1741/$H$1964,B1741=2023,G1741/$H$1965)</f>
        <v>3.289682735689326E-5</v>
      </c>
      <c r="J1741" s="10" cm="1">
        <f t="array" ref="J1741">_xlfn.IFS(B1741=2015,I1741*$G$2,B1741=2016,I1741*$G$3,B1741=2017,I1741*$G$4,B1741=2018,I1741*$G$5,B1741=2019,I1741*$G$6,B1741=2020,I1741*$G$7,B1741=2021,I1741*$G$8,B1741=2022,I1741*$G$9,B1741=2023,I1741*$G$10)</f>
        <v>5198.6238469680657</v>
      </c>
      <c r="K1741" s="8">
        <f t="shared" si="27"/>
        <v>31668.623846968065</v>
      </c>
      <c r="L1741">
        <f>IFERROR(VLOOKUP(F1741,'LEAID Match'!$A$2:$B$240,2,FALSE),"")</f>
        <v>0</v>
      </c>
    </row>
    <row r="1742" spans="1:12" x14ac:dyDescent="0.2">
      <c r="A1742">
        <v>0</v>
      </c>
      <c r="B1742">
        <v>2020</v>
      </c>
      <c r="C1742" s="4" t="s">
        <v>371</v>
      </c>
      <c r="D1742" s="4" t="s">
        <v>576</v>
      </c>
      <c r="E1742" s="4" t="s">
        <v>578</v>
      </c>
      <c r="F1742" s="4" t="s">
        <v>341</v>
      </c>
      <c r="G1742" s="8">
        <v>27953</v>
      </c>
      <c r="I1742" s="16" cm="1">
        <f t="array" ref="I1742">_xlfn.IFS(B1742=2015,G1742/$H$1957,B1742=2016,G1742/$H$1958,B1742=2017,G1742/$H$1959,B1742=2018,G1742/$H$1960,B1742=2019,G1742/$H$1961,B1742=2020,G1742/$H$1962,B1742=2021,G1742/$H$1963,B1742=2022,G1742/$H$1964,B1742=2023,G1742/$H$1965)</f>
        <v>3.215051685714007E-5</v>
      </c>
      <c r="J1742" s="10" cm="1">
        <f t="array" ref="J1742">_xlfn.IFS(B1742=2015,I1742*$G$2,B1742=2016,I1742*$G$3,B1742=2017,I1742*$G$4,B1742=2018,I1742*$G$5,B1742=2019,I1742*$G$6,B1742=2020,I1742*$G$7,B1742=2021,I1742*$G$8,B1742=2022,I1742*$G$9,B1742=2023,I1742*$G$10)</f>
        <v>5551.8764450035887</v>
      </c>
      <c r="K1742" s="8">
        <f t="shared" si="27"/>
        <v>33504.876445003589</v>
      </c>
      <c r="L1742">
        <f>IFERROR(VLOOKUP(F1742,'LEAID Match'!$A$2:$B$240,2,FALSE),"")</f>
        <v>0</v>
      </c>
    </row>
    <row r="1743" spans="1:12" x14ac:dyDescent="0.2">
      <c r="A1743">
        <v>0</v>
      </c>
      <c r="B1743">
        <v>2021</v>
      </c>
      <c r="C1743" s="4" t="s">
        <v>371</v>
      </c>
      <c r="D1743" s="4" t="s">
        <v>576</v>
      </c>
      <c r="E1743" s="4" t="s">
        <v>578</v>
      </c>
      <c r="F1743" s="4" t="s">
        <v>341</v>
      </c>
      <c r="G1743" s="8">
        <v>29465</v>
      </c>
      <c r="I1743" s="16" cm="1">
        <f t="array" ref="I1743">_xlfn.IFS(B1743=2015,G1743/$H$1957,B1743=2016,G1743/$H$1958,B1743=2017,G1743/$H$1959,B1743=2018,G1743/$H$1960,B1743=2019,G1743/$H$1961,B1743=2020,G1743/$H$1962,B1743=2021,G1743/$H$1963,B1743=2022,G1743/$H$1964,B1743=2023,G1743/$H$1965)</f>
        <v>3.3672451470026435E-5</v>
      </c>
      <c r="J1743" s="10" cm="1">
        <f t="array" ref="J1743">_xlfn.IFS(B1743=2015,I1743*$G$2,B1743=2016,I1743*$G$3,B1743=2017,I1743*$G$4,B1743=2018,I1743*$G$5,B1743=2019,I1743*$G$6,B1743=2020,I1743*$G$7,B1743=2021,I1743*$G$8,B1743=2022,I1743*$G$9,B1743=2023,I1743*$G$10)</f>
        <v>5778.7595816494859</v>
      </c>
      <c r="K1743" s="8">
        <f t="shared" si="27"/>
        <v>35243.759581649487</v>
      </c>
      <c r="L1743">
        <f>IFERROR(VLOOKUP(F1743,'LEAID Match'!$A$2:$B$240,2,FALSE),"")</f>
        <v>0</v>
      </c>
    </row>
    <row r="1744" spans="1:12" x14ac:dyDescent="0.2">
      <c r="A1744">
        <v>0</v>
      </c>
      <c r="B1744">
        <v>2022</v>
      </c>
      <c r="C1744" s="4" t="s">
        <v>371</v>
      </c>
      <c r="D1744" s="4" t="s">
        <v>576</v>
      </c>
      <c r="E1744" s="4" t="s">
        <v>578</v>
      </c>
      <c r="F1744" s="4" t="s">
        <v>341</v>
      </c>
      <c r="G1744" s="8">
        <v>30762</v>
      </c>
      <c r="I1744" s="16" cm="1">
        <f t="array" ref="I1744">_xlfn.IFS(B1744=2015,G1744/$H$1957,B1744=2016,G1744/$H$1958,B1744=2017,G1744/$H$1959,B1744=2018,G1744/$H$1960,B1744=2019,G1744/$H$1961,B1744=2020,G1744/$H$1962,B1744=2021,G1744/$H$1963,B1744=2022,G1744/$H$1964,B1744=2023,G1744/$H$1965)</f>
        <v>3.3063068596552028E-5</v>
      </c>
      <c r="J1744" s="10" cm="1">
        <f t="array" ref="J1744">_xlfn.IFS(B1744=2015,I1744*$G$2,B1744=2016,I1744*$G$3,B1744=2017,I1744*$G$4,B1744=2018,I1744*$G$5,B1744=2019,I1744*$G$6,B1744=2020,I1744*$G$7,B1744=2021,I1744*$G$8,B1744=2022,I1744*$G$9,B1744=2023,I1744*$G$10)</f>
        <v>5607.0219458777947</v>
      </c>
      <c r="K1744" s="8">
        <f t="shared" si="27"/>
        <v>36369.021945877794</v>
      </c>
      <c r="L1744">
        <f>IFERROR(VLOOKUP(F1744,'LEAID Match'!$A$2:$B$240,2,FALSE),"")</f>
        <v>0</v>
      </c>
    </row>
    <row r="1745" spans="1:12" x14ac:dyDescent="0.2">
      <c r="A1745">
        <v>0</v>
      </c>
      <c r="B1745">
        <v>2023</v>
      </c>
      <c r="C1745" s="4" t="s">
        <v>371</v>
      </c>
      <c r="D1745" s="4" t="s">
        <v>576</v>
      </c>
      <c r="E1745" s="4" t="s">
        <v>578</v>
      </c>
      <c r="F1745" s="4" t="s">
        <v>341</v>
      </c>
      <c r="G1745" s="8">
        <v>32792</v>
      </c>
      <c r="I1745" s="16" cm="1">
        <f t="array" ref="I1745">_xlfn.IFS(B1745=2015,G1745/$H$1957,B1745=2016,G1745/$H$1958,B1745=2017,G1745/$H$1959,B1745=2018,G1745/$H$1960,B1745=2019,G1745/$H$1961,B1745=2020,G1745/$H$1962,B1745=2021,G1745/$H$1963,B1745=2022,G1745/$H$1964,B1745=2023,G1745/$H$1965)</f>
        <v>3.3201558656850546E-5</v>
      </c>
      <c r="J1745" s="10" cm="1">
        <f t="array" ref="J1745">_xlfn.IFS(B1745=2015,I1745*$G$2,B1745=2016,I1745*$G$3,B1745=2017,I1745*$G$4,B1745=2018,I1745*$G$5,B1745=2019,I1745*$G$6,B1745=2020,I1745*$G$7,B1745=2021,I1745*$G$8,B1745=2022,I1745*$G$9,B1745=2023,I1745*$G$10)</f>
        <v>5643.7775395819517</v>
      </c>
      <c r="K1745" s="8">
        <f t="shared" si="27"/>
        <v>38435.777539581948</v>
      </c>
      <c r="L1745">
        <f>IFERROR(VLOOKUP(F1745,'LEAID Match'!$A$2:$B$240,2,FALSE),"")</f>
        <v>0</v>
      </c>
    </row>
    <row r="1746" spans="1:12" x14ac:dyDescent="0.2">
      <c r="A1746">
        <v>0</v>
      </c>
      <c r="B1746">
        <v>2015</v>
      </c>
      <c r="C1746" s="4" t="s">
        <v>372</v>
      </c>
      <c r="D1746" s="4" t="s">
        <v>576</v>
      </c>
      <c r="E1746" s="4" t="s">
        <v>578</v>
      </c>
      <c r="F1746" s="4" t="s">
        <v>342</v>
      </c>
      <c r="G1746" s="8">
        <v>179569</v>
      </c>
      <c r="I1746" s="16" cm="1">
        <f t="array" ref="I1746">_xlfn.IFS(B1746=2015,G1746/$H$1957,B1746=2016,G1746/$H$1958,B1746=2017,G1746/$H$1959,B1746=2018,G1746/$H$1960,B1746=2019,G1746/$H$1961,B1746=2020,G1746/$H$1962,B1746=2021,G1746/$H$1963,B1746=2022,G1746/$H$1964,B1746=2023,G1746/$H$1965)</f>
        <v>1.3867368479531295E-4</v>
      </c>
      <c r="J1746" s="10" cm="1">
        <f t="array" ref="J1746">_xlfn.IFS(B1746=2015,I1746*$G$2,B1746=2016,I1746*$G$3,B1746=2017,I1746*$G$4,B1746=2018,I1746*$G$5,B1746=2019,I1746*$G$6,B1746=2020,I1746*$G$7,B1746=2021,I1746*$G$8,B1746=2022,I1746*$G$9,B1746=2023,I1746*$G$10)</f>
        <v>34480.182072244963</v>
      </c>
      <c r="K1746" s="8">
        <f t="shared" si="27"/>
        <v>214049.18207224496</v>
      </c>
      <c r="L1746">
        <f>IFERROR(VLOOKUP(F1746,'LEAID Match'!$A$2:$B$240,2,FALSE),"")</f>
        <v>0</v>
      </c>
    </row>
    <row r="1747" spans="1:12" x14ac:dyDescent="0.2">
      <c r="A1747">
        <v>0</v>
      </c>
      <c r="B1747">
        <v>2016</v>
      </c>
      <c r="C1747" s="4" t="s">
        <v>372</v>
      </c>
      <c r="D1747" s="4" t="s">
        <v>576</v>
      </c>
      <c r="E1747" s="4" t="s">
        <v>578</v>
      </c>
      <c r="F1747" s="4" t="s">
        <v>342</v>
      </c>
      <c r="G1747" s="8">
        <v>182698</v>
      </c>
      <c r="I1747" s="16" cm="1">
        <f t="array" ref="I1747">_xlfn.IFS(B1747=2015,G1747/$H$1957,B1747=2016,G1747/$H$1958,B1747=2017,G1747/$H$1959,B1747=2018,G1747/$H$1960,B1747=2019,G1747/$H$1961,B1747=2020,G1747/$H$1962,B1747=2021,G1747/$H$1963,B1747=2022,G1747/$H$1964,B1747=2023,G1747/$H$1965)</f>
        <v>1.2825391789541605E-4</v>
      </c>
      <c r="J1747" s="10" cm="1">
        <f t="array" ref="J1747">_xlfn.IFS(B1747=2015,I1747*$G$2,B1747=2016,I1747*$G$3,B1747=2017,I1747*$G$4,B1747=2018,I1747*$G$5,B1747=2019,I1747*$G$6,B1747=2020,I1747*$G$7,B1747=2021,I1747*$G$8,B1747=2022,I1747*$G$9,B1747=2023,I1747*$G$10)</f>
        <v>34782.857555303948</v>
      </c>
      <c r="K1747" s="8">
        <f t="shared" si="27"/>
        <v>217480.85755530396</v>
      </c>
      <c r="L1747">
        <f>IFERROR(VLOOKUP(F1747,'LEAID Match'!$A$2:$B$240,2,FALSE),"")</f>
        <v>0</v>
      </c>
    </row>
    <row r="1748" spans="1:12" x14ac:dyDescent="0.2">
      <c r="A1748">
        <v>0</v>
      </c>
      <c r="B1748">
        <v>2017</v>
      </c>
      <c r="C1748" s="4" t="s">
        <v>372</v>
      </c>
      <c r="D1748" s="4" t="s">
        <v>576</v>
      </c>
      <c r="E1748" s="4" t="s">
        <v>578</v>
      </c>
      <c r="F1748" s="4" t="s">
        <v>342</v>
      </c>
      <c r="G1748" s="8">
        <v>107140</v>
      </c>
      <c r="I1748" s="16" cm="1">
        <f t="array" ref="I1748">_xlfn.IFS(B1748=2015,G1748/$H$1957,B1748=2016,G1748/$H$1958,B1748=2017,G1748/$H$1959,B1748=2018,G1748/$H$1960,B1748=2019,G1748/$H$1961,B1748=2020,G1748/$H$1962,B1748=2021,G1748/$H$1963,B1748=2022,G1748/$H$1964,B1748=2023,G1748/$H$1965)</f>
        <v>1.4294756017187019E-4</v>
      </c>
      <c r="J1748" s="10" cm="1">
        <f t="array" ref="J1748">_xlfn.IFS(B1748=2015,I1748*$G$2,B1748=2016,I1748*$G$3,B1748=2017,I1748*$G$4,B1748=2018,I1748*$G$5,B1748=2019,I1748*$G$6,B1748=2020,I1748*$G$7,B1748=2021,I1748*$G$8,B1748=2022,I1748*$G$9,B1748=2023,I1748*$G$10)</f>
        <v>21168.61630582939</v>
      </c>
      <c r="K1748" s="8">
        <f t="shared" si="27"/>
        <v>128308.61630582939</v>
      </c>
      <c r="L1748">
        <f>IFERROR(VLOOKUP(F1748,'LEAID Match'!$A$2:$B$240,2,FALSE),"")</f>
        <v>0</v>
      </c>
    </row>
    <row r="1749" spans="1:12" x14ac:dyDescent="0.2">
      <c r="A1749">
        <v>0</v>
      </c>
      <c r="B1749">
        <v>2018</v>
      </c>
      <c r="C1749" s="4" t="s">
        <v>372</v>
      </c>
      <c r="D1749" s="4" t="s">
        <v>576</v>
      </c>
      <c r="E1749" s="4" t="s">
        <v>578</v>
      </c>
      <c r="F1749" s="4" t="s">
        <v>342</v>
      </c>
      <c r="G1749" s="8">
        <v>108572</v>
      </c>
      <c r="I1749" s="16" cm="1">
        <f t="array" ref="I1749">_xlfn.IFS(B1749=2015,G1749/$H$1957,B1749=2016,G1749/$H$1958,B1749=2017,G1749/$H$1959,B1749=2018,G1749/$H$1960,B1749=2019,G1749/$H$1961,B1749=2020,G1749/$H$1962,B1749=2021,G1749/$H$1963,B1749=2022,G1749/$H$1964,B1749=2023,G1749/$H$1965)</f>
        <v>1.3970072669340064E-4</v>
      </c>
      <c r="J1749" s="10" cm="1">
        <f t="array" ref="J1749">_xlfn.IFS(B1749=2015,I1749*$G$2,B1749=2016,I1749*$G$3,B1749=2017,I1749*$G$4,B1749=2018,I1749*$G$5,B1749=2019,I1749*$G$6,B1749=2020,I1749*$G$7,B1749=2021,I1749*$G$8,B1749=2022,I1749*$G$9,B1749=2023,I1749*$G$10)</f>
        <v>21028.30156754221</v>
      </c>
      <c r="K1749" s="8">
        <f t="shared" si="27"/>
        <v>129600.30156754221</v>
      </c>
      <c r="L1749">
        <f>IFERROR(VLOOKUP(F1749,'LEAID Match'!$A$2:$B$240,2,FALSE),"")</f>
        <v>0</v>
      </c>
    </row>
    <row r="1750" spans="1:12" x14ac:dyDescent="0.2">
      <c r="A1750">
        <v>0</v>
      </c>
      <c r="B1750">
        <v>2019</v>
      </c>
      <c r="C1750" s="4" t="s">
        <v>372</v>
      </c>
      <c r="D1750" s="4" t="s">
        <v>576</v>
      </c>
      <c r="E1750" s="4" t="s">
        <v>578</v>
      </c>
      <c r="F1750" s="4" t="s">
        <v>342</v>
      </c>
      <c r="G1750" s="8">
        <v>113335</v>
      </c>
      <c r="I1750" s="16" cm="1">
        <f t="array" ref="I1750">_xlfn.IFS(B1750=2015,G1750/$H$1957,B1750=2016,G1750/$H$1958,B1750=2017,G1750/$H$1959,B1750=2018,G1750/$H$1960,B1750=2019,G1750/$H$1961,B1750=2020,G1750/$H$1962,B1750=2021,G1750/$H$1963,B1750=2022,G1750/$H$1964,B1750=2023,G1750/$H$1965)</f>
        <v>1.4085235846216461E-4</v>
      </c>
      <c r="J1750" s="10" cm="1">
        <f t="array" ref="J1750">_xlfn.IFS(B1750=2015,I1750*$G$2,B1750=2016,I1750*$G$3,B1750=2017,I1750*$G$4,B1750=2018,I1750*$G$5,B1750=2019,I1750*$G$6,B1750=2020,I1750*$G$7,B1750=2021,I1750*$G$8,B1750=2022,I1750*$G$9,B1750=2023,I1750*$G$10)</f>
        <v>22258.63368704668</v>
      </c>
      <c r="K1750" s="8">
        <f t="shared" si="27"/>
        <v>135593.63368704668</v>
      </c>
      <c r="L1750">
        <f>IFERROR(VLOOKUP(F1750,'LEAID Match'!$A$2:$B$240,2,FALSE),"")</f>
        <v>0</v>
      </c>
    </row>
    <row r="1751" spans="1:12" x14ac:dyDescent="0.2">
      <c r="A1751">
        <v>0</v>
      </c>
      <c r="B1751">
        <v>2020</v>
      </c>
      <c r="C1751" s="4" t="s">
        <v>372</v>
      </c>
      <c r="D1751" s="4" t="s">
        <v>576</v>
      </c>
      <c r="E1751" s="4" t="s">
        <v>578</v>
      </c>
      <c r="F1751" s="4" t="s">
        <v>342</v>
      </c>
      <c r="G1751" s="8">
        <v>120923</v>
      </c>
      <c r="I1751" s="16" cm="1">
        <f t="array" ref="I1751">_xlfn.IFS(B1751=2015,G1751/$H$1957,B1751=2016,G1751/$H$1958,B1751=2017,G1751/$H$1959,B1751=2018,G1751/$H$1960,B1751=2019,G1751/$H$1961,B1751=2020,G1751/$H$1962,B1751=2021,G1751/$H$1963,B1751=2022,G1751/$H$1964,B1751=2023,G1751/$H$1965)</f>
        <v>1.3908120594984254E-4</v>
      </c>
      <c r="J1751" s="10" cm="1">
        <f t="array" ref="J1751">_xlfn.IFS(B1751=2015,I1751*$G$2,B1751=2016,I1751*$G$3,B1751=2017,I1751*$G$4,B1751=2018,I1751*$G$5,B1751=2019,I1751*$G$6,B1751=2020,I1751*$G$7,B1751=2021,I1751*$G$8,B1751=2022,I1751*$G$9,B1751=2023,I1751*$G$10)</f>
        <v>24017.084225634779</v>
      </c>
      <c r="K1751" s="8">
        <f t="shared" si="27"/>
        <v>144940.08422563478</v>
      </c>
      <c r="L1751">
        <f>IFERROR(VLOOKUP(F1751,'LEAID Match'!$A$2:$B$240,2,FALSE),"")</f>
        <v>0</v>
      </c>
    </row>
    <row r="1752" spans="1:12" x14ac:dyDescent="0.2">
      <c r="A1752">
        <v>0</v>
      </c>
      <c r="B1752">
        <v>2021</v>
      </c>
      <c r="C1752" s="4" t="s">
        <v>372</v>
      </c>
      <c r="D1752" s="4" t="s">
        <v>576</v>
      </c>
      <c r="E1752" s="4" t="s">
        <v>578</v>
      </c>
      <c r="F1752" s="4" t="s">
        <v>342</v>
      </c>
      <c r="G1752" s="8">
        <v>124801</v>
      </c>
      <c r="I1752" s="16" cm="1">
        <f t="array" ref="I1752">_xlfn.IFS(B1752=2015,G1752/$H$1957,B1752=2016,G1752/$H$1958,B1752=2017,G1752/$H$1959,B1752=2018,G1752/$H$1960,B1752=2019,G1752/$H$1961,B1752=2020,G1752/$H$1962,B1752=2021,G1752/$H$1963,B1752=2022,G1752/$H$1964,B1752=2023,G1752/$H$1965)</f>
        <v>1.4262194522011775E-4</v>
      </c>
      <c r="J1752" s="10" cm="1">
        <f t="array" ref="J1752">_xlfn.IFS(B1752=2015,I1752*$G$2,B1752=2016,I1752*$G$3,B1752=2017,I1752*$G$4,B1752=2018,I1752*$G$5,B1752=2019,I1752*$G$6,B1752=2020,I1752*$G$7,B1752=2021,I1752*$G$8,B1752=2022,I1752*$G$9,B1752=2023,I1752*$G$10)</f>
        <v>24476.326982841932</v>
      </c>
      <c r="K1752" s="8">
        <f t="shared" si="27"/>
        <v>149277.32698284194</v>
      </c>
      <c r="L1752">
        <f>IFERROR(VLOOKUP(F1752,'LEAID Match'!$A$2:$B$240,2,FALSE),"")</f>
        <v>0</v>
      </c>
    </row>
    <row r="1753" spans="1:12" x14ac:dyDescent="0.2">
      <c r="A1753">
        <v>0</v>
      </c>
      <c r="B1753">
        <v>2022</v>
      </c>
      <c r="C1753" s="4" t="s">
        <v>372</v>
      </c>
      <c r="D1753" s="4" t="s">
        <v>576</v>
      </c>
      <c r="E1753" s="4" t="s">
        <v>578</v>
      </c>
      <c r="F1753" s="4" t="s">
        <v>342</v>
      </c>
      <c r="G1753" s="8">
        <v>112731</v>
      </c>
      <c r="I1753" s="16" cm="1">
        <f t="array" ref="I1753">_xlfn.IFS(B1753=2015,G1753/$H$1957,B1753=2016,G1753/$H$1958,B1753=2017,G1753/$H$1959,B1753=2018,G1753/$H$1960,B1753=2019,G1753/$H$1961,B1753=2020,G1753/$H$1962,B1753=2021,G1753/$H$1963,B1753=2022,G1753/$H$1964,B1753=2023,G1753/$H$1965)</f>
        <v>1.2116353897529115E-4</v>
      </c>
      <c r="J1753" s="10" cm="1">
        <f t="array" ref="J1753">_xlfn.IFS(B1753=2015,I1753*$G$2,B1753=2016,I1753*$G$3,B1753=2017,I1753*$G$4,B1753=2018,I1753*$G$5,B1753=2019,I1753*$G$6,B1753=2020,I1753*$G$7,B1753=2021,I1753*$G$8,B1753=2022,I1753*$G$9,B1753=2023,I1753*$G$10)</f>
        <v>20547.597392261545</v>
      </c>
      <c r="K1753" s="8">
        <f t="shared" si="27"/>
        <v>133278.59739226155</v>
      </c>
      <c r="L1753">
        <f>IFERROR(VLOOKUP(F1753,'LEAID Match'!$A$2:$B$240,2,FALSE),"")</f>
        <v>0</v>
      </c>
    </row>
    <row r="1754" spans="1:12" x14ac:dyDescent="0.2">
      <c r="A1754">
        <v>0</v>
      </c>
      <c r="B1754">
        <v>2023</v>
      </c>
      <c r="C1754" s="4" t="s">
        <v>372</v>
      </c>
      <c r="D1754" s="4" t="s">
        <v>576</v>
      </c>
      <c r="E1754" s="4" t="s">
        <v>578</v>
      </c>
      <c r="F1754" s="4" t="s">
        <v>342</v>
      </c>
      <c r="G1754" s="8">
        <v>101773</v>
      </c>
      <c r="I1754" s="16" cm="1">
        <f t="array" ref="I1754">_xlfn.IFS(B1754=2015,G1754/$H$1957,B1754=2016,G1754/$H$1958,B1754=2017,G1754/$H$1959,B1754=2018,G1754/$H$1960,B1754=2019,G1754/$H$1961,B1754=2020,G1754/$H$1962,B1754=2021,G1754/$H$1963,B1754=2022,G1754/$H$1964,B1754=2023,G1754/$H$1965)</f>
        <v>1.0304410311001618E-4</v>
      </c>
      <c r="J1754" s="10" cm="1">
        <f t="array" ref="J1754">_xlfn.IFS(B1754=2015,I1754*$G$2,B1754=2016,I1754*$G$3,B1754=2017,I1754*$G$4,B1754=2018,I1754*$G$5,B1754=2019,I1754*$G$6,B1754=2020,I1754*$G$7,B1754=2021,I1754*$G$8,B1754=2022,I1754*$G$9,B1754=2023,I1754*$G$10)</f>
        <v>17515.984738224994</v>
      </c>
      <c r="K1754" s="8">
        <f t="shared" si="27"/>
        <v>119288.984738225</v>
      </c>
      <c r="L1754">
        <f>IFERROR(VLOOKUP(F1754,'LEAID Match'!$A$2:$B$240,2,FALSE),"")</f>
        <v>0</v>
      </c>
    </row>
    <row r="1755" spans="1:12" x14ac:dyDescent="0.2">
      <c r="A1755">
        <v>0</v>
      </c>
      <c r="B1755">
        <v>2015</v>
      </c>
      <c r="C1755" s="4" t="s">
        <v>373</v>
      </c>
      <c r="D1755" s="4" t="s">
        <v>576</v>
      </c>
      <c r="E1755" s="4" t="s">
        <v>578</v>
      </c>
      <c r="F1755" s="4" t="s">
        <v>343</v>
      </c>
      <c r="G1755" s="8">
        <v>24592</v>
      </c>
      <c r="I1755" s="16" cm="1">
        <f t="array" ref="I1755">_xlfn.IFS(B1755=2015,G1755/$H$1957,B1755=2016,G1755/$H$1958,B1755=2017,G1755/$H$1959,B1755=2018,G1755/$H$1960,B1755=2019,G1755/$H$1961,B1755=2020,G1755/$H$1962,B1755=2021,G1755/$H$1963,B1755=2022,G1755/$H$1964,B1755=2023,G1755/$H$1965)</f>
        <v>1.8991380786696681E-5</v>
      </c>
      <c r="J1755" s="10" cm="1">
        <f t="array" ref="J1755">_xlfn.IFS(B1755=2015,I1755*$G$2,B1755=2016,I1755*$G$3,B1755=2017,I1755*$G$4,B1755=2018,I1755*$G$5,B1755=2019,I1755*$G$6,B1755=2020,I1755*$G$7,B1755=2021,I1755*$G$8,B1755=2022,I1755*$G$9,B1755=2023,I1755*$G$10)</f>
        <v>4722.0658216097881</v>
      </c>
      <c r="K1755" s="8">
        <f t="shared" si="27"/>
        <v>29314.065821609787</v>
      </c>
      <c r="L1755">
        <f>IFERROR(VLOOKUP(F1755,'LEAID Match'!$A$2:$B$240,2,FALSE),"")</f>
        <v>0</v>
      </c>
    </row>
    <row r="1756" spans="1:12" x14ac:dyDescent="0.2">
      <c r="A1756">
        <v>0</v>
      </c>
      <c r="B1756">
        <v>2016</v>
      </c>
      <c r="C1756" s="4" t="s">
        <v>373</v>
      </c>
      <c r="D1756" s="4" t="s">
        <v>576</v>
      </c>
      <c r="E1756" s="4" t="s">
        <v>578</v>
      </c>
      <c r="F1756" s="4" t="s">
        <v>343</v>
      </c>
      <c r="G1756" s="8">
        <v>27558</v>
      </c>
      <c r="I1756" s="16" cm="1">
        <f t="array" ref="I1756">_xlfn.IFS(B1756=2015,G1756/$H$1957,B1756=2016,G1756/$H$1958,B1756=2017,G1756/$H$1959,B1756=2018,G1756/$H$1960,B1756=2019,G1756/$H$1961,B1756=2020,G1756/$H$1962,B1756=2021,G1756/$H$1963,B1756=2022,G1756/$H$1964,B1756=2023,G1756/$H$1965)</f>
        <v>1.9345704218775662E-5</v>
      </c>
      <c r="J1756" s="10" cm="1">
        <f t="array" ref="J1756">_xlfn.IFS(B1756=2015,I1756*$G$2,B1756=2016,I1756*$G$3,B1756=2017,I1756*$G$4,B1756=2018,I1756*$G$5,B1756=2019,I1756*$G$6,B1756=2020,I1756*$G$7,B1756=2021,I1756*$G$8,B1756=2022,I1756*$G$9,B1756=2023,I1756*$G$10)</f>
        <v>5246.6145689009536</v>
      </c>
      <c r="K1756" s="8">
        <f t="shared" si="27"/>
        <v>32804.614568900957</v>
      </c>
      <c r="L1756">
        <f>IFERROR(VLOOKUP(F1756,'LEAID Match'!$A$2:$B$240,2,FALSE),"")</f>
        <v>0</v>
      </c>
    </row>
    <row r="1757" spans="1:12" x14ac:dyDescent="0.2">
      <c r="A1757">
        <v>0</v>
      </c>
      <c r="B1757">
        <v>2017</v>
      </c>
      <c r="C1757" s="4" t="s">
        <v>373</v>
      </c>
      <c r="D1757" s="4" t="s">
        <v>576</v>
      </c>
      <c r="E1757" s="4" t="s">
        <v>578</v>
      </c>
      <c r="F1757" s="4" t="s">
        <v>343</v>
      </c>
      <c r="G1757" s="8">
        <v>14540</v>
      </c>
      <c r="I1757" s="16" cm="1">
        <f t="array" ref="I1757">_xlfn.IFS(B1757=2015,G1757/$H$1957,B1757=2016,G1757/$H$1958,B1757=2017,G1757/$H$1959,B1757=2018,G1757/$H$1960,B1757=2019,G1757/$H$1961,B1757=2020,G1757/$H$1962,B1757=2021,G1757/$H$1963,B1757=2022,G1757/$H$1964,B1757=2023,G1757/$H$1965)</f>
        <v>1.9399454217836407E-5</v>
      </c>
      <c r="J1757" s="10" cm="1">
        <f t="array" ref="J1757">_xlfn.IFS(B1757=2015,I1757*$G$2,B1757=2016,I1757*$G$3,B1757=2017,I1757*$G$4,B1757=2018,I1757*$G$5,B1757=2019,I1757*$G$6,B1757=2020,I1757*$G$7,B1757=2021,I1757*$G$8,B1757=2022,I1757*$G$9,B1757=2023,I1757*$G$10)</f>
        <v>2872.7989647821478</v>
      </c>
      <c r="K1757" s="8">
        <f t="shared" si="27"/>
        <v>17412.798964782149</v>
      </c>
      <c r="L1757">
        <f>IFERROR(VLOOKUP(F1757,'LEAID Match'!$A$2:$B$240,2,FALSE),"")</f>
        <v>0</v>
      </c>
    </row>
    <row r="1758" spans="1:12" x14ac:dyDescent="0.2">
      <c r="A1758">
        <v>0</v>
      </c>
      <c r="B1758">
        <v>2018</v>
      </c>
      <c r="C1758" s="4" t="s">
        <v>373</v>
      </c>
      <c r="D1758" s="4" t="s">
        <v>576</v>
      </c>
      <c r="E1758" s="4" t="s">
        <v>578</v>
      </c>
      <c r="F1758" s="4" t="s">
        <v>343</v>
      </c>
      <c r="G1758" s="8">
        <v>15497</v>
      </c>
      <c r="I1758" s="16" cm="1">
        <f t="array" ref="I1758">_xlfn.IFS(B1758=2015,G1758/$H$1957,B1758=2016,G1758/$H$1958,B1758=2017,G1758/$H$1959,B1758=2018,G1758/$H$1960,B1758=2019,G1758/$H$1961,B1758=2020,G1758/$H$1962,B1758=2021,G1758/$H$1963,B1758=2022,G1758/$H$1964,B1758=2023,G1758/$H$1965)</f>
        <v>1.9940151803113413E-5</v>
      </c>
      <c r="J1758" s="10" cm="1">
        <f t="array" ref="J1758">_xlfn.IFS(B1758=2015,I1758*$G$2,B1758=2016,I1758*$G$3,B1758=2017,I1758*$G$4,B1758=2018,I1758*$G$5,B1758=2019,I1758*$G$6,B1758=2020,I1758*$G$7,B1758=2021,I1758*$G$8,B1758=2022,I1758*$G$9,B1758=2023,I1758*$G$10)</f>
        <v>3001.4698945603063</v>
      </c>
      <c r="K1758" s="8">
        <f t="shared" si="27"/>
        <v>18498.469894560305</v>
      </c>
      <c r="L1758">
        <f>IFERROR(VLOOKUP(F1758,'LEAID Match'!$A$2:$B$240,2,FALSE),"")</f>
        <v>0</v>
      </c>
    </row>
    <row r="1759" spans="1:12" x14ac:dyDescent="0.2">
      <c r="A1759">
        <v>0</v>
      </c>
      <c r="B1759">
        <v>2019</v>
      </c>
      <c r="C1759" s="4" t="s">
        <v>373</v>
      </c>
      <c r="D1759" s="4" t="s">
        <v>576</v>
      </c>
      <c r="E1759" s="4" t="s">
        <v>578</v>
      </c>
      <c r="F1759" s="4" t="s">
        <v>343</v>
      </c>
      <c r="G1759" s="8">
        <v>15754</v>
      </c>
      <c r="I1759" s="16" cm="1">
        <f t="array" ref="I1759">_xlfn.IFS(B1759=2015,G1759/$H$1957,B1759=2016,G1759/$H$1958,B1759=2017,G1759/$H$1959,B1759=2018,G1759/$H$1960,B1759=2019,G1759/$H$1961,B1759=2020,G1759/$H$1962,B1759=2021,G1759/$H$1963,B1759=2022,G1759/$H$1964,B1759=2023,G1759/$H$1965)</f>
        <v>1.9579018442784148E-5</v>
      </c>
      <c r="J1759" s="10" cm="1">
        <f t="array" ref="J1759">_xlfn.IFS(B1759=2015,I1759*$G$2,B1759=2016,I1759*$G$3,B1759=2017,I1759*$G$4,B1759=2018,I1759*$G$5,B1759=2019,I1759*$G$6,B1759=2020,I1759*$G$7,B1759=2021,I1759*$G$8,B1759=2022,I1759*$G$9,B1759=2023,I1759*$G$10)</f>
        <v>3094.0355151165436</v>
      </c>
      <c r="K1759" s="8">
        <f t="shared" si="27"/>
        <v>18848.035515116542</v>
      </c>
      <c r="L1759">
        <f>IFERROR(VLOOKUP(F1759,'LEAID Match'!$A$2:$B$240,2,FALSE),"")</f>
        <v>0</v>
      </c>
    </row>
    <row r="1760" spans="1:12" x14ac:dyDescent="0.2">
      <c r="A1760">
        <v>0</v>
      </c>
      <c r="B1760">
        <v>2020</v>
      </c>
      <c r="C1760" s="4" t="s">
        <v>373</v>
      </c>
      <c r="D1760" s="4" t="s">
        <v>576</v>
      </c>
      <c r="E1760" s="4" t="s">
        <v>578</v>
      </c>
      <c r="F1760" s="4" t="s">
        <v>343</v>
      </c>
      <c r="G1760" s="8">
        <v>16754</v>
      </c>
      <c r="I1760" s="16" cm="1">
        <f t="array" ref="I1760">_xlfn.IFS(B1760=2015,G1760/$H$1957,B1760=2016,G1760/$H$1958,B1760=2017,G1760/$H$1959,B1760=2018,G1760/$H$1960,B1760=2019,G1760/$H$1961,B1760=2020,G1760/$H$1962,B1760=2021,G1760/$H$1963,B1760=2022,G1760/$H$1964,B1760=2023,G1760/$H$1965)</f>
        <v>1.9269837206186265E-5</v>
      </c>
      <c r="J1760" s="10" cm="1">
        <f t="array" ref="J1760">_xlfn.IFS(B1760=2015,I1760*$G$2,B1760=2016,I1760*$G$3,B1760=2017,I1760*$G$4,B1760=2018,I1760*$G$5,B1760=2019,I1760*$G$6,B1760=2020,I1760*$G$7,B1760=2021,I1760*$G$8,B1760=2022,I1760*$G$9,B1760=2023,I1760*$G$10)</f>
        <v>3327.5905255103253</v>
      </c>
      <c r="K1760" s="8">
        <f t="shared" si="27"/>
        <v>20081.590525510324</v>
      </c>
      <c r="L1760">
        <f>IFERROR(VLOOKUP(F1760,'LEAID Match'!$A$2:$B$240,2,FALSE),"")</f>
        <v>0</v>
      </c>
    </row>
    <row r="1761" spans="1:12" x14ac:dyDescent="0.2">
      <c r="A1761">
        <v>0</v>
      </c>
      <c r="B1761">
        <v>2021</v>
      </c>
      <c r="C1761" s="4" t="s">
        <v>373</v>
      </c>
      <c r="D1761" s="4" t="s">
        <v>576</v>
      </c>
      <c r="E1761" s="4" t="s">
        <v>578</v>
      </c>
      <c r="F1761" s="4" t="s">
        <v>343</v>
      </c>
      <c r="G1761" s="8">
        <v>13118</v>
      </c>
      <c r="I1761" s="16" cm="1">
        <f t="array" ref="I1761">_xlfn.IFS(B1761=2015,G1761/$H$1957,B1761=2016,G1761/$H$1958,B1761=2017,G1761/$H$1959,B1761=2018,G1761/$H$1960,B1761=2019,G1761/$H$1961,B1761=2020,G1761/$H$1962,B1761=2021,G1761/$H$1963,B1761=2022,G1761/$H$1964,B1761=2023,G1761/$H$1965)</f>
        <v>1.4991183383125973E-5</v>
      </c>
      <c r="J1761" s="10" cm="1">
        <f t="array" ref="J1761">_xlfn.IFS(B1761=2015,I1761*$G$2,B1761=2016,I1761*$G$3,B1761=2017,I1761*$G$4,B1761=2018,I1761*$G$5,B1761=2019,I1761*$G$6,B1761=2020,I1761*$G$7,B1761=2021,I1761*$G$8,B1761=2022,I1761*$G$9,B1761=2023,I1761*$G$10)</f>
        <v>2572.7394601078554</v>
      </c>
      <c r="K1761" s="8">
        <f t="shared" si="27"/>
        <v>15690.739460107856</v>
      </c>
      <c r="L1761">
        <f>IFERROR(VLOOKUP(F1761,'LEAID Match'!$A$2:$B$240,2,FALSE),"")</f>
        <v>0</v>
      </c>
    </row>
    <row r="1762" spans="1:12" x14ac:dyDescent="0.2">
      <c r="A1762">
        <v>0</v>
      </c>
      <c r="B1762">
        <v>2022</v>
      </c>
      <c r="C1762" s="4" t="s">
        <v>373</v>
      </c>
      <c r="D1762" s="4" t="s">
        <v>576</v>
      </c>
      <c r="E1762" s="4" t="s">
        <v>578</v>
      </c>
      <c r="F1762" s="4" t="s">
        <v>343</v>
      </c>
      <c r="G1762" s="8">
        <v>13749</v>
      </c>
      <c r="I1762" s="16" cm="1">
        <f t="array" ref="I1762">_xlfn.IFS(B1762=2015,G1762/$H$1957,B1762=2016,G1762/$H$1958,B1762=2017,G1762/$H$1959,B1762=2018,G1762/$H$1960,B1762=2019,G1762/$H$1961,B1762=2020,G1762/$H$1962,B1762=2021,G1762/$H$1963,B1762=2022,G1762/$H$1964,B1762=2023,G1762/$H$1965)</f>
        <v>1.4777456931733757E-5</v>
      </c>
      <c r="J1762" s="10" cm="1">
        <f t="array" ref="J1762">_xlfn.IFS(B1762=2015,I1762*$G$2,B1762=2016,I1762*$G$3,B1762=2017,I1762*$G$4,B1762=2018,I1762*$G$5,B1762=2019,I1762*$G$6,B1762=2020,I1762*$G$7,B1762=2021,I1762*$G$8,B1762=2022,I1762*$G$9,B1762=2023,I1762*$G$10)</f>
        <v>2506.0446243376177</v>
      </c>
      <c r="K1762" s="8">
        <f t="shared" si="27"/>
        <v>16255.044624337617</v>
      </c>
      <c r="L1762">
        <f>IFERROR(VLOOKUP(F1762,'LEAID Match'!$A$2:$B$240,2,FALSE),"")</f>
        <v>0</v>
      </c>
    </row>
    <row r="1763" spans="1:12" x14ac:dyDescent="0.2">
      <c r="A1763">
        <v>0</v>
      </c>
      <c r="B1763">
        <v>2023</v>
      </c>
      <c r="C1763" s="4" t="s">
        <v>373</v>
      </c>
      <c r="D1763" s="4" t="s">
        <v>576</v>
      </c>
      <c r="E1763" s="4" t="s">
        <v>578</v>
      </c>
      <c r="F1763" s="4" t="s">
        <v>343</v>
      </c>
      <c r="G1763" s="8">
        <v>13554</v>
      </c>
      <c r="I1763" s="16" cm="1">
        <f t="array" ref="I1763">_xlfn.IFS(B1763=2015,G1763/$H$1957,B1763=2016,G1763/$H$1958,B1763=2017,G1763/$H$1959,B1763=2018,G1763/$H$1960,B1763=2019,G1763/$H$1961,B1763=2020,G1763/$H$1962,B1763=2021,G1763/$H$1963,B1763=2022,G1763/$H$1964,B1763=2023,G1763/$H$1965)</f>
        <v>1.3723283911775809E-5</v>
      </c>
      <c r="J1763" s="10" cm="1">
        <f t="array" ref="J1763">_xlfn.IFS(B1763=2015,I1763*$G$2,B1763=2016,I1763*$G$3,B1763=2017,I1763*$G$4,B1763=2018,I1763*$G$5,B1763=2019,I1763*$G$6,B1763=2020,I1763*$G$7,B1763=2021,I1763*$G$8,B1763=2022,I1763*$G$9,B1763=2023,I1763*$G$10)</f>
        <v>2332.7567934707786</v>
      </c>
      <c r="K1763" s="8">
        <f t="shared" si="27"/>
        <v>15886.756793470779</v>
      </c>
      <c r="L1763">
        <f>IFERROR(VLOOKUP(F1763,'LEAID Match'!$A$2:$B$240,2,FALSE),"")</f>
        <v>0</v>
      </c>
    </row>
    <row r="1764" spans="1:12" x14ac:dyDescent="0.2">
      <c r="A1764">
        <v>0</v>
      </c>
      <c r="B1764">
        <v>2015</v>
      </c>
      <c r="C1764" s="4" t="s">
        <v>374</v>
      </c>
      <c r="D1764" s="4" t="s">
        <v>576</v>
      </c>
      <c r="E1764" s="4" t="s">
        <v>578</v>
      </c>
      <c r="F1764" s="4" t="s">
        <v>344</v>
      </c>
      <c r="G1764" s="8">
        <v>769372</v>
      </c>
      <c r="I1764" s="16" cm="1">
        <f t="array" ref="I1764">_xlfn.IFS(B1764=2015,G1764/$H$1957,B1764=2016,G1764/$H$1958,B1764=2017,G1764/$H$1959,B1764=2018,G1764/$H$1960,B1764=2019,G1764/$H$1961,B1764=2020,G1764/$H$1962,B1764=2021,G1764/$H$1963,B1764=2022,G1764/$H$1964,B1764=2023,G1764/$H$1965)</f>
        <v>5.9415405898757313E-4</v>
      </c>
      <c r="J1764" s="10" cm="1">
        <f t="array" ref="J1764">_xlfn.IFS(B1764=2015,I1764*$G$2,B1764=2016,I1764*$G$3,B1764=2017,I1764*$G$4,B1764=2018,I1764*$G$5,B1764=2019,I1764*$G$6,B1764=2020,I1764*$G$7,B1764=2021,I1764*$G$8,B1764=2022,I1764*$G$9,B1764=2023,I1764*$G$10)</f>
        <v>147731.99517337207</v>
      </c>
      <c r="K1764" s="8">
        <f t="shared" si="27"/>
        <v>917103.9951733721</v>
      </c>
      <c r="L1764">
        <f>IFERROR(VLOOKUP(F1764,'LEAID Match'!$A$2:$B$240,2,FALSE),"")</f>
        <v>0</v>
      </c>
    </row>
    <row r="1765" spans="1:12" x14ac:dyDescent="0.2">
      <c r="A1765">
        <v>0</v>
      </c>
      <c r="B1765">
        <v>2016</v>
      </c>
      <c r="C1765" s="4" t="s">
        <v>374</v>
      </c>
      <c r="D1765" s="4" t="s">
        <v>576</v>
      </c>
      <c r="E1765" s="4" t="s">
        <v>578</v>
      </c>
      <c r="F1765" s="4" t="s">
        <v>344</v>
      </c>
      <c r="G1765" s="8">
        <v>742745</v>
      </c>
      <c r="I1765" s="16" cm="1">
        <f t="array" ref="I1765">_xlfn.IFS(B1765=2015,G1765/$H$1957,B1765=2016,G1765/$H$1958,B1765=2017,G1765/$H$1959,B1765=2018,G1765/$H$1960,B1765=2019,G1765/$H$1961,B1765=2020,G1765/$H$1962,B1765=2021,G1765/$H$1963,B1765=2022,G1765/$H$1964,B1765=2023,G1765/$H$1965)</f>
        <v>5.2140667247167901E-4</v>
      </c>
      <c r="J1765" s="10" cm="1">
        <f t="array" ref="J1765">_xlfn.IFS(B1765=2015,I1765*$G$2,B1765=2016,I1765*$G$3,B1765=2017,I1765*$G$4,B1765=2018,I1765*$G$5,B1765=2019,I1765*$G$6,B1765=2020,I1765*$G$7,B1765=2021,I1765*$G$8,B1765=2022,I1765*$G$9,B1765=2023,I1765*$G$10)</f>
        <v>141407.09550687057</v>
      </c>
      <c r="K1765" s="8">
        <f t="shared" si="27"/>
        <v>884152.09550687054</v>
      </c>
      <c r="L1765">
        <f>IFERROR(VLOOKUP(F1765,'LEAID Match'!$A$2:$B$240,2,FALSE),"")</f>
        <v>0</v>
      </c>
    </row>
    <row r="1766" spans="1:12" x14ac:dyDescent="0.2">
      <c r="A1766">
        <v>0</v>
      </c>
      <c r="B1766">
        <v>2017</v>
      </c>
      <c r="C1766" s="4" t="s">
        <v>374</v>
      </c>
      <c r="D1766" s="4" t="s">
        <v>576</v>
      </c>
      <c r="E1766" s="4" t="s">
        <v>578</v>
      </c>
      <c r="F1766" s="4" t="s">
        <v>344</v>
      </c>
      <c r="G1766" s="8">
        <v>363431</v>
      </c>
      <c r="I1766" s="16" cm="1">
        <f t="array" ref="I1766">_xlfn.IFS(B1766=2015,G1766/$H$1957,B1766=2016,G1766/$H$1958,B1766=2017,G1766/$H$1959,B1766=2018,G1766/$H$1960,B1766=2019,G1766/$H$1961,B1766=2020,G1766/$H$1962,B1766=2021,G1766/$H$1963,B1766=2022,G1766/$H$1964,B1766=2023,G1766/$H$1965)</f>
        <v>4.8489429476220795E-4</v>
      </c>
      <c r="J1766" s="10" cm="1">
        <f t="array" ref="J1766">_xlfn.IFS(B1766=2015,I1766*$G$2,B1766=2016,I1766*$G$3,B1766=2017,I1766*$G$4,B1766=2018,I1766*$G$5,B1766=2019,I1766*$G$6,B1766=2020,I1766*$G$7,B1766=2021,I1766*$G$8,B1766=2022,I1766*$G$9,B1766=2023,I1766*$G$10)</f>
        <v>71806.341167107355</v>
      </c>
      <c r="K1766" s="8">
        <f t="shared" si="27"/>
        <v>435237.34116710734</v>
      </c>
      <c r="L1766">
        <f>IFERROR(VLOOKUP(F1766,'LEAID Match'!$A$2:$B$240,2,FALSE),"")</f>
        <v>0</v>
      </c>
    </row>
    <row r="1767" spans="1:12" x14ac:dyDescent="0.2">
      <c r="A1767">
        <v>0</v>
      </c>
      <c r="B1767">
        <v>2018</v>
      </c>
      <c r="C1767" s="4" t="s">
        <v>374</v>
      </c>
      <c r="D1767" s="4" t="s">
        <v>576</v>
      </c>
      <c r="E1767" s="4" t="s">
        <v>578</v>
      </c>
      <c r="F1767" s="4" t="s">
        <v>344</v>
      </c>
      <c r="G1767" s="8">
        <v>352613</v>
      </c>
      <c r="I1767" s="16" cm="1">
        <f t="array" ref="I1767">_xlfn.IFS(B1767=2015,G1767/$H$1957,B1767=2016,G1767/$H$1958,B1767=2017,G1767/$H$1959,B1767=2018,G1767/$H$1960,B1767=2019,G1767/$H$1961,B1767=2020,G1767/$H$1962,B1767=2021,G1767/$H$1963,B1767=2022,G1767/$H$1964,B1767=2023,G1767/$H$1965)</f>
        <v>4.5371083098349552E-4</v>
      </c>
      <c r="J1767" s="10" cm="1">
        <f t="array" ref="J1767">_xlfn.IFS(B1767=2015,I1767*$G$2,B1767=2016,I1767*$G$3,B1767=2017,I1767*$G$4,B1767=2018,I1767*$G$5,B1767=2019,I1767*$G$6,B1767=2020,I1767*$G$7,B1767=2021,I1767*$G$8,B1767=2022,I1767*$G$9,B1767=2023,I1767*$G$10)</f>
        <v>68294.334640936519</v>
      </c>
      <c r="K1767" s="8">
        <f t="shared" si="27"/>
        <v>420907.33464093652</v>
      </c>
      <c r="L1767">
        <f>IFERROR(VLOOKUP(F1767,'LEAID Match'!$A$2:$B$240,2,FALSE),"")</f>
        <v>0</v>
      </c>
    </row>
    <row r="1768" spans="1:12" x14ac:dyDescent="0.2">
      <c r="A1768">
        <v>0</v>
      </c>
      <c r="B1768">
        <v>2019</v>
      </c>
      <c r="C1768" s="4" t="s">
        <v>374</v>
      </c>
      <c r="D1768" s="4" t="s">
        <v>576</v>
      </c>
      <c r="E1768" s="4" t="s">
        <v>578</v>
      </c>
      <c r="F1768" s="4" t="s">
        <v>344</v>
      </c>
      <c r="G1768" s="8">
        <v>272577</v>
      </c>
      <c r="I1768" s="16" cm="1">
        <f t="array" ref="I1768">_xlfn.IFS(B1768=2015,G1768/$H$1957,B1768=2016,G1768/$H$1958,B1768=2017,G1768/$H$1959,B1768=2018,G1768/$H$1960,B1768=2019,G1768/$H$1961,B1768=2020,G1768/$H$1962,B1768=2021,G1768/$H$1963,B1768=2022,G1768/$H$1964,B1768=2023,G1768/$H$1965)</f>
        <v>3.3875778279032466E-4</v>
      </c>
      <c r="J1768" s="10" cm="1">
        <f t="array" ref="J1768">_xlfn.IFS(B1768=2015,I1768*$G$2,B1768=2016,I1768*$G$3,B1768=2017,I1768*$G$4,B1768=2018,I1768*$G$5,B1768=2019,I1768*$G$6,B1768=2020,I1768*$G$7,B1768=2021,I1768*$G$8,B1768=2022,I1768*$G$9,B1768=2023,I1768*$G$10)</f>
        <v>53533.256227238926</v>
      </c>
      <c r="K1768" s="8">
        <f t="shared" si="27"/>
        <v>326110.25622723892</v>
      </c>
      <c r="L1768">
        <f>IFERROR(VLOOKUP(F1768,'LEAID Match'!$A$2:$B$240,2,FALSE),"")</f>
        <v>0</v>
      </c>
    </row>
    <row r="1769" spans="1:12" x14ac:dyDescent="0.2">
      <c r="A1769">
        <v>0</v>
      </c>
      <c r="B1769">
        <v>2020</v>
      </c>
      <c r="C1769" s="4" t="s">
        <v>374</v>
      </c>
      <c r="D1769" s="4" t="s">
        <v>576</v>
      </c>
      <c r="E1769" s="4" t="s">
        <v>578</v>
      </c>
      <c r="F1769" s="4" t="s">
        <v>344</v>
      </c>
      <c r="G1769" s="8">
        <v>279660</v>
      </c>
      <c r="I1769" s="16" cm="1">
        <f t="array" ref="I1769">_xlfn.IFS(B1769=2015,G1769/$H$1957,B1769=2016,G1769/$H$1958,B1769=2017,G1769/$H$1959,B1769=2018,G1769/$H$1960,B1769=2019,G1769/$H$1961,B1769=2020,G1769/$H$1962,B1769=2021,G1769/$H$1963,B1769=2022,G1769/$H$1964,B1769=2023,G1769/$H$1965)</f>
        <v>3.2165468981031699E-4</v>
      </c>
      <c r="J1769" s="10" cm="1">
        <f t="array" ref="J1769">_xlfn.IFS(B1769=2015,I1769*$G$2,B1769=2016,I1769*$G$3,B1769=2017,I1769*$G$4,B1769=2018,I1769*$G$5,B1769=2019,I1769*$G$6,B1769=2020,I1769*$G$7,B1769=2021,I1769*$G$8,B1769=2022,I1769*$G$9,B1769=2023,I1769*$G$10)</f>
        <v>55544.584359807661</v>
      </c>
      <c r="K1769" s="8">
        <f t="shared" si="27"/>
        <v>335204.58435980766</v>
      </c>
      <c r="L1769">
        <f>IFERROR(VLOOKUP(F1769,'LEAID Match'!$A$2:$B$240,2,FALSE),"")</f>
        <v>0</v>
      </c>
    </row>
    <row r="1770" spans="1:12" x14ac:dyDescent="0.2">
      <c r="A1770">
        <v>0</v>
      </c>
      <c r="B1770">
        <v>2021</v>
      </c>
      <c r="C1770" s="4" t="s">
        <v>374</v>
      </c>
      <c r="D1770" s="4" t="s">
        <v>576</v>
      </c>
      <c r="E1770" s="4" t="s">
        <v>578</v>
      </c>
      <c r="F1770" s="4" t="s">
        <v>344</v>
      </c>
      <c r="G1770" s="8">
        <v>277296</v>
      </c>
      <c r="I1770" s="16" cm="1">
        <f t="array" ref="I1770">_xlfn.IFS(B1770=2015,G1770/$H$1957,B1770=2016,G1770/$H$1958,B1770=2017,G1770/$H$1959,B1770=2018,G1770/$H$1960,B1770=2019,G1770/$H$1961,B1770=2020,G1770/$H$1962,B1770=2021,G1770/$H$1963,B1770=2022,G1770/$H$1964,B1770=2023,G1770/$H$1965)</f>
        <v>3.1689245215789754E-4</v>
      </c>
      <c r="J1770" s="10" cm="1">
        <f t="array" ref="J1770">_xlfn.IFS(B1770=2015,I1770*$G$2,B1770=2016,I1770*$G$3,B1770=2017,I1770*$G$4,B1770=2018,I1770*$G$5,B1770=2019,I1770*$G$6,B1770=2020,I1770*$G$7,B1770=2021,I1770*$G$8,B1770=2022,I1770*$G$9,B1770=2023,I1770*$G$10)</f>
        <v>54384.07999161975</v>
      </c>
      <c r="K1770" s="8">
        <f t="shared" si="27"/>
        <v>331680.07999161974</v>
      </c>
      <c r="L1770">
        <f>IFERROR(VLOOKUP(F1770,'LEAID Match'!$A$2:$B$240,2,FALSE),"")</f>
        <v>0</v>
      </c>
    </row>
    <row r="1771" spans="1:12" x14ac:dyDescent="0.2">
      <c r="A1771">
        <v>0</v>
      </c>
      <c r="B1771">
        <v>2022</v>
      </c>
      <c r="C1771" s="4" t="s">
        <v>374</v>
      </c>
      <c r="D1771" s="4" t="s">
        <v>576</v>
      </c>
      <c r="E1771" s="4" t="s">
        <v>578</v>
      </c>
      <c r="F1771" s="4" t="s">
        <v>344</v>
      </c>
      <c r="G1771" s="8">
        <v>320728</v>
      </c>
      <c r="I1771" s="16" cm="1">
        <f t="array" ref="I1771">_xlfn.IFS(B1771=2015,G1771/$H$1957,B1771=2016,G1771/$H$1958,B1771=2017,G1771/$H$1959,B1771=2018,G1771/$H$1960,B1771=2019,G1771/$H$1961,B1771=2020,G1771/$H$1962,B1771=2021,G1771/$H$1963,B1771=2022,G1771/$H$1964,B1771=2023,G1771/$H$1965)</f>
        <v>3.4471919461787071E-4</v>
      </c>
      <c r="J1771" s="10" cm="1">
        <f t="array" ref="J1771">_xlfn.IFS(B1771=2015,I1771*$G$2,B1771=2016,I1771*$G$3,B1771=2017,I1771*$G$4,B1771=2018,I1771*$G$5,B1771=2019,I1771*$G$6,B1771=2020,I1771*$G$7,B1771=2021,I1771*$G$8,B1771=2022,I1771*$G$9,B1771=2023,I1771*$G$10)</f>
        <v>58459.428342028914</v>
      </c>
      <c r="K1771" s="8">
        <f t="shared" si="27"/>
        <v>379187.42834202893</v>
      </c>
      <c r="L1771">
        <f>IFERROR(VLOOKUP(F1771,'LEAID Match'!$A$2:$B$240,2,FALSE),"")</f>
        <v>0</v>
      </c>
    </row>
    <row r="1772" spans="1:12" x14ac:dyDescent="0.2">
      <c r="A1772">
        <v>0</v>
      </c>
      <c r="B1772">
        <v>2023</v>
      </c>
      <c r="C1772" s="4" t="s">
        <v>374</v>
      </c>
      <c r="D1772" s="4" t="s">
        <v>576</v>
      </c>
      <c r="E1772" s="4" t="s">
        <v>578</v>
      </c>
      <c r="F1772" s="4" t="s">
        <v>344</v>
      </c>
      <c r="G1772" s="8">
        <v>333381</v>
      </c>
      <c r="I1772" s="16" cm="1">
        <f t="array" ref="I1772">_xlfn.IFS(B1772=2015,G1772/$H$1957,B1772=2016,G1772/$H$1958,B1772=2017,G1772/$H$1959,B1772=2018,G1772/$H$1960,B1772=2019,G1772/$H$1961,B1772=2020,G1772/$H$1962,B1772=2021,G1772/$H$1963,B1772=2022,G1772/$H$1964,B1772=2023,G1772/$H$1965)</f>
        <v>3.375447922230877E-4</v>
      </c>
      <c r="J1772" s="10" cm="1">
        <f t="array" ref="J1772">_xlfn.IFS(B1772=2015,I1772*$G$2,B1772=2016,I1772*$G$3,B1772=2017,I1772*$G$4,B1772=2018,I1772*$G$5,B1772=2019,I1772*$G$6,B1772=2020,I1772*$G$7,B1772=2021,I1772*$G$8,B1772=2022,I1772*$G$9,B1772=2023,I1772*$G$10)</f>
        <v>57377.659182830284</v>
      </c>
      <c r="K1772" s="8">
        <f t="shared" si="27"/>
        <v>390758.65918283031</v>
      </c>
      <c r="L1772">
        <f>IFERROR(VLOOKUP(F1772,'LEAID Match'!$A$2:$B$240,2,FALSE),"")</f>
        <v>0</v>
      </c>
    </row>
    <row r="1773" spans="1:12" x14ac:dyDescent="0.2">
      <c r="A1773">
        <v>0</v>
      </c>
      <c r="B1773">
        <v>2015</v>
      </c>
      <c r="C1773" s="4" t="s">
        <v>375</v>
      </c>
      <c r="D1773" s="4" t="s">
        <v>576</v>
      </c>
      <c r="E1773" s="4" t="s">
        <v>578</v>
      </c>
      <c r="F1773" s="4" t="s">
        <v>345</v>
      </c>
      <c r="G1773" s="8">
        <v>3629335</v>
      </c>
      <c r="I1773" s="16" cm="1">
        <f t="array" ref="I1773">_xlfn.IFS(B1773=2015,G1773/$H$1957,B1773=2016,G1773/$H$1958,B1773=2017,G1773/$H$1959,B1773=2018,G1773/$H$1960,B1773=2019,G1773/$H$1961,B1773=2020,G1773/$H$1962,B1773=2021,G1773/$H$1963,B1773=2022,G1773/$H$1964,B1773=2023,G1773/$H$1965)</f>
        <v>2.8027847668951611E-3</v>
      </c>
      <c r="J1773" s="10" cm="1">
        <f t="array" ref="J1773">_xlfn.IFS(B1773=2015,I1773*$G$2,B1773=2016,I1773*$G$3,B1773=2017,I1773*$G$4,B1773=2018,I1773*$G$5,B1773=2019,I1773*$G$6,B1773=2020,I1773*$G$7,B1773=2021,I1773*$G$8,B1773=2022,I1773*$G$9,B1773=2023,I1773*$G$10)</f>
        <v>696891.62161158759</v>
      </c>
      <c r="K1773" s="8">
        <f t="shared" si="27"/>
        <v>4326226.6216115877</v>
      </c>
      <c r="L1773">
        <f>IFERROR(VLOOKUP(F1773,'LEAID Match'!$A$2:$B$240,2,FALSE),"")</f>
        <v>0</v>
      </c>
    </row>
    <row r="1774" spans="1:12" x14ac:dyDescent="0.2">
      <c r="A1774">
        <v>0</v>
      </c>
      <c r="B1774">
        <v>2016</v>
      </c>
      <c r="C1774" s="4" t="s">
        <v>375</v>
      </c>
      <c r="D1774" s="4" t="s">
        <v>576</v>
      </c>
      <c r="E1774" s="4" t="s">
        <v>578</v>
      </c>
      <c r="F1774" s="4" t="s">
        <v>345</v>
      </c>
      <c r="G1774" s="8">
        <v>4535069</v>
      </c>
      <c r="I1774" s="16" cm="1">
        <f t="array" ref="I1774">_xlfn.IFS(B1774=2015,G1774/$H$1957,B1774=2016,G1774/$H$1958,B1774=2017,G1774/$H$1959,B1774=2018,G1774/$H$1960,B1774=2019,G1774/$H$1961,B1774=2020,G1774/$H$1962,B1774=2021,G1774/$H$1963,B1774=2022,G1774/$H$1964,B1774=2023,G1774/$H$1965)</f>
        <v>3.1836164992284899E-3</v>
      </c>
      <c r="J1774" s="10" cm="1">
        <f t="array" ref="J1774">_xlfn.IFS(B1774=2015,I1774*$G$2,B1774=2016,I1774*$G$3,B1774=2017,I1774*$G$4,B1774=2018,I1774*$G$5,B1774=2019,I1774*$G$6,B1774=2020,I1774*$G$7,B1774=2021,I1774*$G$8,B1774=2022,I1774*$G$9,B1774=2023,I1774*$G$10)</f>
        <v>863406.60012958408</v>
      </c>
      <c r="K1774" s="8">
        <f t="shared" si="27"/>
        <v>5398475.6001295839</v>
      </c>
      <c r="L1774">
        <f>IFERROR(VLOOKUP(F1774,'LEAID Match'!$A$2:$B$240,2,FALSE),"")</f>
        <v>0</v>
      </c>
    </row>
    <row r="1775" spans="1:12" x14ac:dyDescent="0.2">
      <c r="A1775">
        <v>0</v>
      </c>
      <c r="B1775">
        <v>2017</v>
      </c>
      <c r="C1775" s="4" t="s">
        <v>375</v>
      </c>
      <c r="D1775" s="4" t="s">
        <v>576</v>
      </c>
      <c r="E1775" s="4" t="s">
        <v>578</v>
      </c>
      <c r="F1775" s="4" t="s">
        <v>345</v>
      </c>
      <c r="G1775" s="8">
        <v>2518942</v>
      </c>
      <c r="I1775" s="16" cm="1">
        <f t="array" ref="I1775">_xlfn.IFS(B1775=2015,G1775/$H$1957,B1775=2016,G1775/$H$1958,B1775=2017,G1775/$H$1959,B1775=2018,G1775/$H$1960,B1775=2019,G1775/$H$1961,B1775=2020,G1775/$H$1962,B1775=2021,G1775/$H$1963,B1775=2022,G1775/$H$1964,B1775=2023,G1775/$H$1965)</f>
        <v>3.3608046771929352E-3</v>
      </c>
      <c r="J1775" s="10" cm="1">
        <f t="array" ref="J1775">_xlfn.IFS(B1775=2015,I1775*$G$2,B1775=2016,I1775*$G$3,B1775=2017,I1775*$G$4,B1775=2018,I1775*$G$5,B1775=2019,I1775*$G$6,B1775=2020,I1775*$G$7,B1775=2021,I1775*$G$8,B1775=2022,I1775*$G$9,B1775=2023,I1775*$G$10)</f>
        <v>497690.0942191385</v>
      </c>
      <c r="K1775" s="8">
        <f t="shared" si="27"/>
        <v>3016632.0942191384</v>
      </c>
      <c r="L1775">
        <f>IFERROR(VLOOKUP(F1775,'LEAID Match'!$A$2:$B$240,2,FALSE),"")</f>
        <v>0</v>
      </c>
    </row>
    <row r="1776" spans="1:12" x14ac:dyDescent="0.2">
      <c r="A1776">
        <v>0</v>
      </c>
      <c r="B1776">
        <v>2018</v>
      </c>
      <c r="C1776" s="4" t="s">
        <v>375</v>
      </c>
      <c r="D1776" s="4" t="s">
        <v>576</v>
      </c>
      <c r="E1776" s="4" t="s">
        <v>578</v>
      </c>
      <c r="F1776" s="4" t="s">
        <v>345</v>
      </c>
      <c r="G1776" s="8">
        <v>2561748</v>
      </c>
      <c r="I1776" s="16" cm="1">
        <f t="array" ref="I1776">_xlfn.IFS(B1776=2015,G1776/$H$1957,B1776=2016,G1776/$H$1958,B1776=2017,G1776/$H$1959,B1776=2018,G1776/$H$1960,B1776=2019,G1776/$H$1961,B1776=2020,G1776/$H$1962,B1776=2021,G1776/$H$1963,B1776=2022,G1776/$H$1964,B1776=2023,G1776/$H$1965)</f>
        <v>3.2962279151656569E-3</v>
      </c>
      <c r="J1776" s="10" cm="1">
        <f t="array" ref="J1776">_xlfn.IFS(B1776=2015,I1776*$G$2,B1776=2016,I1776*$G$3,B1776=2017,I1776*$G$4,B1776=2018,I1776*$G$5,B1776=2019,I1776*$G$6,B1776=2020,I1776*$G$7,B1776=2021,I1776*$G$8,B1776=2022,I1776*$G$9,B1776=2023,I1776*$G$10)</f>
        <v>496161.16018907377</v>
      </c>
      <c r="K1776" s="8">
        <f t="shared" si="27"/>
        <v>3057909.1601890735</v>
      </c>
      <c r="L1776">
        <f>IFERROR(VLOOKUP(F1776,'LEAID Match'!$A$2:$B$240,2,FALSE),"")</f>
        <v>0</v>
      </c>
    </row>
    <row r="1777" spans="1:12" x14ac:dyDescent="0.2">
      <c r="A1777">
        <v>0</v>
      </c>
      <c r="B1777">
        <v>2019</v>
      </c>
      <c r="C1777" s="4" t="s">
        <v>375</v>
      </c>
      <c r="D1777" s="4" t="s">
        <v>576</v>
      </c>
      <c r="E1777" s="4" t="s">
        <v>578</v>
      </c>
      <c r="F1777" s="4" t="s">
        <v>345</v>
      </c>
      <c r="G1777" s="8">
        <v>2865128</v>
      </c>
      <c r="I1777" s="16" cm="1">
        <f t="array" ref="I1777">_xlfn.IFS(B1777=2015,G1777/$H$1957,B1777=2016,G1777/$H$1958,B1777=2017,G1777/$H$1959,B1777=2018,G1777/$H$1960,B1777=2019,G1777/$H$1961,B1777=2020,G1777/$H$1962,B1777=2021,G1777/$H$1963,B1777=2022,G1777/$H$1964,B1777=2023,G1777/$H$1965)</f>
        <v>3.5607714836192244E-3</v>
      </c>
      <c r="J1777" s="10" cm="1">
        <f t="array" ref="J1777">_xlfn.IFS(B1777=2015,I1777*$G$2,B1777=2016,I1777*$G$3,B1777=2017,I1777*$G$4,B1777=2018,I1777*$G$5,B1777=2019,I1777*$G$6,B1777=2020,I1777*$G$7,B1777=2021,I1777*$G$8,B1777=2022,I1777*$G$9,B1777=2023,I1777*$G$10)</f>
        <v>562702.03042749979</v>
      </c>
      <c r="K1777" s="8">
        <f t="shared" si="27"/>
        <v>3427830.0304274997</v>
      </c>
      <c r="L1777">
        <f>IFERROR(VLOOKUP(F1777,'LEAID Match'!$A$2:$B$240,2,FALSE),"")</f>
        <v>0</v>
      </c>
    </row>
    <row r="1778" spans="1:12" x14ac:dyDescent="0.2">
      <c r="A1778">
        <v>0</v>
      </c>
      <c r="B1778">
        <v>2020</v>
      </c>
      <c r="C1778" s="4" t="s">
        <v>375</v>
      </c>
      <c r="D1778" s="4" t="s">
        <v>576</v>
      </c>
      <c r="E1778" s="4" t="s">
        <v>578</v>
      </c>
      <c r="F1778" s="4" t="s">
        <v>345</v>
      </c>
      <c r="G1778" s="8">
        <v>3156823</v>
      </c>
      <c r="I1778" s="16" cm="1">
        <f t="array" ref="I1778">_xlfn.IFS(B1778=2015,G1778/$H$1957,B1778=2016,G1778/$H$1958,B1778=2017,G1778/$H$1959,B1778=2018,G1778/$H$1960,B1778=2019,G1778/$H$1961,B1778=2020,G1778/$H$1962,B1778=2021,G1778/$H$1963,B1778=2022,G1778/$H$1964,B1778=2023,G1778/$H$1965)</f>
        <v>3.6308621999966901E-3</v>
      </c>
      <c r="J1778" s="10" cm="1">
        <f t="array" ref="J1778">_xlfn.IFS(B1778=2015,I1778*$G$2,B1778=2016,I1778*$G$3,B1778=2017,I1778*$G$4,B1778=2018,I1778*$G$5,B1778=2019,I1778*$G$6,B1778=2020,I1778*$G$7,B1778=2021,I1778*$G$8,B1778=2022,I1778*$G$9,B1778=2023,I1778*$G$10)</f>
        <v>626991.42327283521</v>
      </c>
      <c r="K1778" s="8">
        <f t="shared" si="27"/>
        <v>3783814.4232728351</v>
      </c>
      <c r="L1778">
        <f>IFERROR(VLOOKUP(F1778,'LEAID Match'!$A$2:$B$240,2,FALSE),"")</f>
        <v>0</v>
      </c>
    </row>
    <row r="1779" spans="1:12" x14ac:dyDescent="0.2">
      <c r="A1779">
        <v>0</v>
      </c>
      <c r="B1779">
        <v>2021</v>
      </c>
      <c r="C1779" s="4" t="s">
        <v>375</v>
      </c>
      <c r="D1779" s="4" t="s">
        <v>576</v>
      </c>
      <c r="E1779" s="4" t="s">
        <v>578</v>
      </c>
      <c r="F1779" s="4" t="s">
        <v>345</v>
      </c>
      <c r="G1779" s="8">
        <v>3277094</v>
      </c>
      <c r="I1779" s="16" cm="1">
        <f t="array" ref="I1779">_xlfn.IFS(B1779=2015,G1779/$H$1957,B1779=2016,G1779/$H$1958,B1779=2017,G1779/$H$1959,B1779=2018,G1779/$H$1960,B1779=2019,G1779/$H$1961,B1779=2020,G1779/$H$1962,B1779=2021,G1779/$H$1963,B1779=2022,G1779/$H$1964,B1779=2023,G1779/$H$1965)</f>
        <v>3.7450462812731993E-3</v>
      </c>
      <c r="J1779" s="10" cm="1">
        <f t="array" ref="J1779">_xlfn.IFS(B1779=2015,I1779*$G$2,B1779=2016,I1779*$G$3,B1779=2017,I1779*$G$4,B1779=2018,I1779*$G$5,B1779=2019,I1779*$G$6,B1779=2020,I1779*$G$7,B1779=2021,I1779*$G$8,B1779=2022,I1779*$G$9,B1779=2023,I1779*$G$10)</f>
        <v>642712.99346567248</v>
      </c>
      <c r="K1779" s="8">
        <f t="shared" si="27"/>
        <v>3919806.9934656722</v>
      </c>
      <c r="L1779">
        <f>IFERROR(VLOOKUP(F1779,'LEAID Match'!$A$2:$B$240,2,FALSE),"")</f>
        <v>0</v>
      </c>
    </row>
    <row r="1780" spans="1:12" x14ac:dyDescent="0.2">
      <c r="A1780">
        <v>0</v>
      </c>
      <c r="B1780">
        <v>2022</v>
      </c>
      <c r="C1780" s="4" t="s">
        <v>375</v>
      </c>
      <c r="D1780" s="4" t="s">
        <v>576</v>
      </c>
      <c r="E1780" s="4" t="s">
        <v>578</v>
      </c>
      <c r="F1780" s="4" t="s">
        <v>345</v>
      </c>
      <c r="G1780" s="8">
        <v>3496744</v>
      </c>
      <c r="I1780" s="16" cm="1">
        <f t="array" ref="I1780">_xlfn.IFS(B1780=2015,G1780/$H$1957,B1780=2016,G1780/$H$1958,B1780=2017,G1780/$H$1959,B1780=2018,G1780/$H$1960,B1780=2019,G1780/$H$1961,B1780=2020,G1780/$H$1962,B1780=2021,G1780/$H$1963,B1780=2022,G1780/$H$1964,B1780=2023,G1780/$H$1965)</f>
        <v>3.7583085214414444E-3</v>
      </c>
      <c r="J1780" s="10" cm="1">
        <f t="array" ref="J1780">_xlfn.IFS(B1780=2015,I1780*$G$2,B1780=2016,I1780*$G$3,B1780=2017,I1780*$G$4,B1780=2018,I1780*$G$5,B1780=2019,I1780*$G$6,B1780=2020,I1780*$G$7,B1780=2021,I1780*$G$8,B1780=2022,I1780*$G$9,B1780=2023,I1780*$G$10)</f>
        <v>637355.18975087779</v>
      </c>
      <c r="K1780" s="8">
        <f t="shared" si="27"/>
        <v>4134099.1897508777</v>
      </c>
      <c r="L1780">
        <f>IFERROR(VLOOKUP(F1780,'LEAID Match'!$A$2:$B$240,2,FALSE),"")</f>
        <v>0</v>
      </c>
    </row>
    <row r="1781" spans="1:12" x14ac:dyDescent="0.2">
      <c r="A1781">
        <v>0</v>
      </c>
      <c r="B1781">
        <v>2023</v>
      </c>
      <c r="C1781" s="4" t="s">
        <v>375</v>
      </c>
      <c r="D1781" s="4" t="s">
        <v>576</v>
      </c>
      <c r="E1781" s="4" t="s">
        <v>578</v>
      </c>
      <c r="F1781" s="4" t="s">
        <v>345</v>
      </c>
      <c r="G1781" s="8">
        <v>3819749</v>
      </c>
      <c r="I1781" s="16" cm="1">
        <f t="array" ref="I1781">_xlfn.IFS(B1781=2015,G1781/$H$1957,B1781=2016,G1781/$H$1958,B1781=2017,G1781/$H$1959,B1781=2018,G1781/$H$1960,B1781=2019,G1781/$H$1961,B1781=2020,G1781/$H$1962,B1781=2021,G1781/$H$1963,B1781=2022,G1781/$H$1964,B1781=2023,G1781/$H$1965)</f>
        <v>3.8674561014255373E-3</v>
      </c>
      <c r="J1781" s="10" cm="1">
        <f t="array" ref="J1781">_xlfn.IFS(B1781=2015,I1781*$G$2,B1781=2016,I1781*$G$3,B1781=2017,I1781*$G$4,B1781=2018,I1781*$G$5,B1781=2019,I1781*$G$6,B1781=2020,I1781*$G$7,B1781=2021,I1781*$G$8,B1781=2022,I1781*$G$9,B1781=2023,I1781*$G$10)</f>
        <v>657410.75911931635</v>
      </c>
      <c r="K1781" s="8">
        <f t="shared" si="27"/>
        <v>4477159.759119316</v>
      </c>
      <c r="L1781">
        <f>IFERROR(VLOOKUP(F1781,'LEAID Match'!$A$2:$B$240,2,FALSE),"")</f>
        <v>0</v>
      </c>
    </row>
    <row r="1782" spans="1:12" x14ac:dyDescent="0.2">
      <c r="A1782">
        <v>0</v>
      </c>
      <c r="B1782">
        <v>2015</v>
      </c>
      <c r="C1782" s="4" t="s">
        <v>376</v>
      </c>
      <c r="D1782" s="4" t="s">
        <v>576</v>
      </c>
      <c r="E1782" s="4" t="s">
        <v>578</v>
      </c>
      <c r="F1782" s="4" t="s">
        <v>346</v>
      </c>
      <c r="G1782" s="8">
        <v>751390</v>
      </c>
      <c r="I1782" s="16" cm="1">
        <f t="array" ref="I1782">_xlfn.IFS(B1782=2015,G1782/$H$1957,B1782=2016,G1782/$H$1958,B1782=2017,G1782/$H$1959,B1782=2018,G1782/$H$1960,B1782=2019,G1782/$H$1961,B1782=2020,G1782/$H$1962,B1782=2021,G1782/$H$1963,B1782=2022,G1782/$H$1964,B1782=2023,G1782/$H$1965)</f>
        <v>5.8026730681994226E-4</v>
      </c>
      <c r="J1782" s="10" cm="1">
        <f t="array" ref="J1782">_xlfn.IFS(B1782=2015,I1782*$G$2,B1782=2016,I1782*$G$3,B1782=2017,I1782*$G$4,B1782=2018,I1782*$G$5,B1782=2019,I1782*$G$6,B1782=2020,I1782*$G$7,B1782=2021,I1782*$G$8,B1782=2022,I1782*$G$9,B1782=2023,I1782*$G$10)</f>
        <v>144279.15735602551</v>
      </c>
      <c r="K1782" s="8">
        <f t="shared" si="27"/>
        <v>895669.15735602553</v>
      </c>
      <c r="L1782">
        <f>IFERROR(VLOOKUP(F1782,'LEAID Match'!$A$2:$B$240,2,FALSE),"")</f>
        <v>0</v>
      </c>
    </row>
    <row r="1783" spans="1:12" x14ac:dyDescent="0.2">
      <c r="A1783">
        <v>0</v>
      </c>
      <c r="B1783">
        <v>2016</v>
      </c>
      <c r="C1783" s="4" t="s">
        <v>376</v>
      </c>
      <c r="D1783" s="4" t="s">
        <v>576</v>
      </c>
      <c r="E1783" s="4" t="s">
        <v>578</v>
      </c>
      <c r="F1783" s="4" t="s">
        <v>346</v>
      </c>
      <c r="G1783" s="8">
        <v>843080</v>
      </c>
      <c r="I1783" s="16" cm="1">
        <f t="array" ref="I1783">_xlfn.IFS(B1783=2015,G1783/$H$1957,B1783=2016,G1783/$H$1958,B1783=2017,G1783/$H$1959,B1783=2018,G1783/$H$1960,B1783=2019,G1783/$H$1961,B1783=2020,G1783/$H$1962,B1783=2021,G1783/$H$1963,B1783=2022,G1783/$H$1964,B1783=2023,G1783/$H$1965)</f>
        <v>5.9184179957781353E-4</v>
      </c>
      <c r="J1783" s="10" cm="1">
        <f t="array" ref="J1783">_xlfn.IFS(B1783=2015,I1783*$G$2,B1783=2016,I1783*$G$3,B1783=2017,I1783*$G$4,B1783=2018,I1783*$G$5,B1783=2019,I1783*$G$6,B1783=2020,I1783*$G$7,B1783=2021,I1783*$G$8,B1783=2022,I1783*$G$9,B1783=2023,I1783*$G$10)</f>
        <v>160509.31891824573</v>
      </c>
      <c r="K1783" s="8">
        <f t="shared" si="27"/>
        <v>1003589.3189182457</v>
      </c>
      <c r="L1783">
        <f>IFERROR(VLOOKUP(F1783,'LEAID Match'!$A$2:$B$240,2,FALSE),"")</f>
        <v>0</v>
      </c>
    </row>
    <row r="1784" spans="1:12" x14ac:dyDescent="0.2">
      <c r="A1784">
        <v>0</v>
      </c>
      <c r="B1784">
        <v>2017</v>
      </c>
      <c r="C1784" s="4" t="s">
        <v>376</v>
      </c>
      <c r="D1784" s="4" t="s">
        <v>576</v>
      </c>
      <c r="E1784" s="4" t="s">
        <v>578</v>
      </c>
      <c r="F1784" s="4" t="s">
        <v>346</v>
      </c>
      <c r="G1784" s="8">
        <v>424487</v>
      </c>
      <c r="I1784" s="16" cm="1">
        <f t="array" ref="I1784">_xlfn.IFS(B1784=2015,G1784/$H$1957,B1784=2016,G1784/$H$1958,B1784=2017,G1784/$H$1959,B1784=2018,G1784/$H$1960,B1784=2019,G1784/$H$1961,B1784=2020,G1784/$H$1962,B1784=2021,G1784/$H$1963,B1784=2022,G1784/$H$1964,B1784=2023,G1784/$H$1965)</f>
        <v>5.6635599192343352E-4</v>
      </c>
      <c r="J1784" s="10" cm="1">
        <f t="array" ref="J1784">_xlfn.IFS(B1784=2015,I1784*$G$2,B1784=2016,I1784*$G$3,B1784=2017,I1784*$G$4,B1784=2018,I1784*$G$5,B1784=2019,I1784*$G$6,B1784=2020,I1784*$G$7,B1784=2021,I1784*$G$8,B1784=2022,I1784*$G$9,B1784=2023,I1784*$G$10)</f>
        <v>83869.725870940834</v>
      </c>
      <c r="K1784" s="8">
        <f t="shared" si="27"/>
        <v>508356.72587094083</v>
      </c>
      <c r="L1784">
        <f>IFERROR(VLOOKUP(F1784,'LEAID Match'!$A$2:$B$240,2,FALSE),"")</f>
        <v>0</v>
      </c>
    </row>
    <row r="1785" spans="1:12" x14ac:dyDescent="0.2">
      <c r="A1785">
        <v>0</v>
      </c>
      <c r="B1785">
        <v>2018</v>
      </c>
      <c r="C1785" s="4" t="s">
        <v>376</v>
      </c>
      <c r="D1785" s="4" t="s">
        <v>576</v>
      </c>
      <c r="E1785" s="4" t="s">
        <v>578</v>
      </c>
      <c r="F1785" s="4" t="s">
        <v>346</v>
      </c>
      <c r="G1785" s="8">
        <v>450822</v>
      </c>
      <c r="I1785" s="16" cm="1">
        <f t="array" ref="I1785">_xlfn.IFS(B1785=2015,G1785/$H$1957,B1785=2016,G1785/$H$1958,B1785=2017,G1785/$H$1959,B1785=2018,G1785/$H$1960,B1785=2019,G1785/$H$1961,B1785=2020,G1785/$H$1962,B1785=2021,G1785/$H$1963,B1785=2022,G1785/$H$1964,B1785=2023,G1785/$H$1965)</f>
        <v>5.8007737731065334E-4</v>
      </c>
      <c r="J1785" s="10" cm="1">
        <f t="array" ref="J1785">_xlfn.IFS(B1785=2015,I1785*$G$2,B1785=2016,I1785*$G$3,B1785=2017,I1785*$G$4,B1785=2018,I1785*$G$5,B1785=2019,I1785*$G$6,B1785=2020,I1785*$G$7,B1785=2021,I1785*$G$8,B1785=2022,I1785*$G$9,B1785=2023,I1785*$G$10)</f>
        <v>87315.523056428108</v>
      </c>
      <c r="K1785" s="8">
        <f t="shared" si="27"/>
        <v>538137.52305642806</v>
      </c>
      <c r="L1785">
        <f>IFERROR(VLOOKUP(F1785,'LEAID Match'!$A$2:$B$240,2,FALSE),"")</f>
        <v>0</v>
      </c>
    </row>
    <row r="1786" spans="1:12" x14ac:dyDescent="0.2">
      <c r="A1786">
        <v>0</v>
      </c>
      <c r="B1786">
        <v>2019</v>
      </c>
      <c r="C1786" s="4" t="s">
        <v>376</v>
      </c>
      <c r="D1786" s="4" t="s">
        <v>576</v>
      </c>
      <c r="E1786" s="4" t="s">
        <v>578</v>
      </c>
      <c r="F1786" s="4" t="s">
        <v>346</v>
      </c>
      <c r="G1786" s="8">
        <v>481535</v>
      </c>
      <c r="I1786" s="16" cm="1">
        <f t="array" ref="I1786">_xlfn.IFS(B1786=2015,G1786/$H$1957,B1786=2016,G1786/$H$1958,B1786=2017,G1786/$H$1959,B1786=2018,G1786/$H$1960,B1786=2019,G1786/$H$1961,B1786=2020,G1786/$H$1962,B1786=2021,G1786/$H$1963,B1786=2022,G1786/$H$1964,B1786=2023,G1786/$H$1965)</f>
        <v>5.9845008542884753E-4</v>
      </c>
      <c r="J1786" s="10" cm="1">
        <f t="array" ref="J1786">_xlfn.IFS(B1786=2015,I1786*$G$2,B1786=2016,I1786*$G$3,B1786=2017,I1786*$G$4,B1786=2018,I1786*$G$5,B1786=2019,I1786*$G$6,B1786=2020,I1786*$G$7,B1786=2021,I1786*$G$8,B1786=2022,I1786*$G$9,B1786=2023,I1786*$G$10)</f>
        <v>94571.943111060333</v>
      </c>
      <c r="K1786" s="8">
        <f t="shared" si="27"/>
        <v>576106.9431110603</v>
      </c>
      <c r="L1786">
        <f>IFERROR(VLOOKUP(F1786,'LEAID Match'!$A$2:$B$240,2,FALSE),"")</f>
        <v>0</v>
      </c>
    </row>
    <row r="1787" spans="1:12" x14ac:dyDescent="0.2">
      <c r="A1787">
        <v>0</v>
      </c>
      <c r="B1787">
        <v>2020</v>
      </c>
      <c r="C1787" s="4" t="s">
        <v>376</v>
      </c>
      <c r="D1787" s="4" t="s">
        <v>576</v>
      </c>
      <c r="E1787" s="4" t="s">
        <v>578</v>
      </c>
      <c r="F1787" s="4" t="s">
        <v>346</v>
      </c>
      <c r="G1787" s="8">
        <v>519370</v>
      </c>
      <c r="I1787" s="16" cm="1">
        <f t="array" ref="I1787">_xlfn.IFS(B1787=2015,G1787/$H$1957,B1787=2016,G1787/$H$1958,B1787=2017,G1787/$H$1959,B1787=2018,G1787/$H$1960,B1787=2019,G1787/$H$1961,B1787=2020,G1787/$H$1962,B1787=2021,G1787/$H$1963,B1787=2022,G1787/$H$1964,B1787=2023,G1787/$H$1965)</f>
        <v>5.9736035273826916E-4</v>
      </c>
      <c r="J1787" s="10" cm="1">
        <f t="array" ref="J1787">_xlfn.IFS(B1787=2015,I1787*$G$2,B1787=2016,I1787*$G$3,B1787=2017,I1787*$G$4,B1787=2018,I1787*$G$5,B1787=2019,I1787*$G$6,B1787=2020,I1787*$G$7,B1787=2021,I1787*$G$8,B1787=2022,I1787*$G$9,B1787=2023,I1787*$G$10)</f>
        <v>103154.51183205788</v>
      </c>
      <c r="K1787" s="8">
        <f t="shared" si="27"/>
        <v>622524.51183205785</v>
      </c>
      <c r="L1787">
        <f>IFERROR(VLOOKUP(F1787,'LEAID Match'!$A$2:$B$240,2,FALSE),"")</f>
        <v>0</v>
      </c>
    </row>
    <row r="1788" spans="1:12" x14ac:dyDescent="0.2">
      <c r="A1788">
        <v>0</v>
      </c>
      <c r="B1788">
        <v>2021</v>
      </c>
      <c r="C1788" s="4" t="s">
        <v>376</v>
      </c>
      <c r="D1788" s="4" t="s">
        <v>576</v>
      </c>
      <c r="E1788" s="4" t="s">
        <v>578</v>
      </c>
      <c r="F1788" s="4" t="s">
        <v>346</v>
      </c>
      <c r="G1788" s="8">
        <v>534095</v>
      </c>
      <c r="I1788" s="16" cm="1">
        <f t="array" ref="I1788">_xlfn.IFS(B1788=2015,G1788/$H$1957,B1788=2016,G1788/$H$1958,B1788=2017,G1788/$H$1959,B1788=2018,G1788/$H$1960,B1788=2019,G1788/$H$1961,B1788=2020,G1788/$H$1962,B1788=2021,G1788/$H$1963,B1788=2022,G1788/$H$1964,B1788=2023,G1788/$H$1965)</f>
        <v>6.1036103743029933E-4</v>
      </c>
      <c r="J1788" s="10" cm="1">
        <f t="array" ref="J1788">_xlfn.IFS(B1788=2015,I1788*$G$2,B1788=2016,I1788*$G$3,B1788=2017,I1788*$G$4,B1788=2018,I1788*$G$5,B1788=2019,I1788*$G$6,B1788=2020,I1788*$G$7,B1788=2021,I1788*$G$8,B1788=2022,I1788*$G$9,B1788=2023,I1788*$G$10)</f>
        <v>104748.23006146554</v>
      </c>
      <c r="K1788" s="8">
        <f t="shared" si="27"/>
        <v>638843.23006146553</v>
      </c>
      <c r="L1788">
        <f>IFERROR(VLOOKUP(F1788,'LEAID Match'!$A$2:$B$240,2,FALSE),"")</f>
        <v>0</v>
      </c>
    </row>
    <row r="1789" spans="1:12" x14ac:dyDescent="0.2">
      <c r="A1789">
        <v>0</v>
      </c>
      <c r="B1789">
        <v>2022</v>
      </c>
      <c r="C1789" s="4" t="s">
        <v>376</v>
      </c>
      <c r="D1789" s="4" t="s">
        <v>576</v>
      </c>
      <c r="E1789" s="4" t="s">
        <v>578</v>
      </c>
      <c r="F1789" s="4" t="s">
        <v>346</v>
      </c>
      <c r="G1789" s="8">
        <v>575607</v>
      </c>
      <c r="I1789" s="16" cm="1">
        <f t="array" ref="I1789">_xlfn.IFS(B1789=2015,G1789/$H$1957,B1789=2016,G1789/$H$1958,B1789=2017,G1789/$H$1959,B1789=2018,G1789/$H$1960,B1789=2019,G1789/$H$1961,B1789=2020,G1789/$H$1962,B1789=2021,G1789/$H$1963,B1789=2022,G1789/$H$1964,B1789=2023,G1789/$H$1965)</f>
        <v>6.186637320608388E-4</v>
      </c>
      <c r="J1789" s="10" cm="1">
        <f t="array" ref="J1789">_xlfn.IFS(B1789=2015,I1789*$G$2,B1789=2016,I1789*$G$3,B1789=2017,I1789*$G$4,B1789=2018,I1789*$G$5,B1789=2019,I1789*$G$6,B1789=2020,I1789*$G$7,B1789=2021,I1789*$G$8,B1789=2022,I1789*$G$9,B1789=2023,I1789*$G$10)</f>
        <v>104916.49051429945</v>
      </c>
      <c r="K1789" s="8">
        <f t="shared" si="27"/>
        <v>680523.49051429948</v>
      </c>
      <c r="L1789">
        <f>IFERROR(VLOOKUP(F1789,'LEAID Match'!$A$2:$B$240,2,FALSE),"")</f>
        <v>0</v>
      </c>
    </row>
    <row r="1790" spans="1:12" x14ac:dyDescent="0.2">
      <c r="A1790">
        <v>0</v>
      </c>
      <c r="B1790">
        <v>2023</v>
      </c>
      <c r="C1790" s="4" t="s">
        <v>376</v>
      </c>
      <c r="D1790" s="4" t="s">
        <v>576</v>
      </c>
      <c r="E1790" s="4" t="s">
        <v>578</v>
      </c>
      <c r="F1790" s="4" t="s">
        <v>346</v>
      </c>
      <c r="G1790" s="8">
        <v>594703</v>
      </c>
      <c r="I1790" s="16" cm="1">
        <f t="array" ref="I1790">_xlfn.IFS(B1790=2015,G1790/$H$1957,B1790=2016,G1790/$H$1958,B1790=2017,G1790/$H$1959,B1790=2018,G1790/$H$1960,B1790=2019,G1790/$H$1961,B1790=2020,G1790/$H$1962,B1790=2021,G1790/$H$1963,B1790=2022,G1790/$H$1964,B1790=2023,G1790/$H$1965)</f>
        <v>6.0213059703296504E-4</v>
      </c>
      <c r="J1790" s="10" cm="1">
        <f t="array" ref="J1790">_xlfn.IFS(B1790=2015,I1790*$G$2,B1790=2016,I1790*$G$3,B1790=2017,I1790*$G$4,B1790=2018,I1790*$G$5,B1790=2019,I1790*$G$6,B1790=2020,I1790*$G$7,B1790=2021,I1790*$G$8,B1790=2022,I1790*$G$9,B1790=2023,I1790*$G$10)</f>
        <v>102353.36161630902</v>
      </c>
      <c r="K1790" s="8">
        <f t="shared" si="27"/>
        <v>697056.36161630903</v>
      </c>
      <c r="L1790">
        <f>IFERROR(VLOOKUP(F1790,'LEAID Match'!$A$2:$B$240,2,FALSE),"")</f>
        <v>0</v>
      </c>
    </row>
    <row r="1791" spans="1:12" x14ac:dyDescent="0.2">
      <c r="A1791">
        <v>0</v>
      </c>
      <c r="B1791">
        <v>2015</v>
      </c>
      <c r="C1791" s="4" t="s">
        <v>377</v>
      </c>
      <c r="D1791" s="4" t="s">
        <v>576</v>
      </c>
      <c r="E1791" s="4" t="s">
        <v>578</v>
      </c>
      <c r="F1791" s="4" t="s">
        <v>347</v>
      </c>
      <c r="G1791" s="8">
        <v>31749</v>
      </c>
      <c r="I1791" s="16" cm="1">
        <f t="array" ref="I1791">_xlfn.IFS(B1791=2015,G1791/$H$1957,B1791=2016,G1791/$H$1958,B1791=2017,G1791/$H$1959,B1791=2018,G1791/$H$1960,B1791=2019,G1791/$H$1961,B1791=2020,G1791/$H$1962,B1791=2021,G1791/$H$1963,B1791=2022,G1791/$H$1964,B1791=2023,G1791/$H$1965)</f>
        <v>2.4518434799806153E-5</v>
      </c>
      <c r="J1791" s="10" cm="1">
        <f t="array" ref="J1791">_xlfn.IFS(B1791=2015,I1791*$G$2,B1791=2016,I1791*$G$3,B1791=2017,I1791*$G$4,B1791=2018,I1791*$G$5,B1791=2019,I1791*$G$6,B1791=2020,I1791*$G$7,B1791=2021,I1791*$G$8,B1791=2022,I1791*$G$9,B1791=2023,I1791*$G$10)</f>
        <v>6096.3267635934117</v>
      </c>
      <c r="K1791" s="8">
        <f t="shared" si="27"/>
        <v>37845.32676359341</v>
      </c>
      <c r="L1791">
        <f>IFERROR(VLOOKUP(F1791,'LEAID Match'!$A$2:$B$240,2,FALSE),"")</f>
        <v>0</v>
      </c>
    </row>
    <row r="1792" spans="1:12" x14ac:dyDescent="0.2">
      <c r="A1792">
        <v>0</v>
      </c>
      <c r="B1792">
        <v>2016</v>
      </c>
      <c r="C1792" s="4" t="s">
        <v>377</v>
      </c>
      <c r="D1792" s="4" t="s">
        <v>576</v>
      </c>
      <c r="E1792" s="4" t="s">
        <v>578</v>
      </c>
      <c r="F1792" s="4" t="s">
        <v>347</v>
      </c>
      <c r="G1792" s="8">
        <v>34844</v>
      </c>
      <c r="I1792" s="16" cm="1">
        <f t="array" ref="I1792">_xlfn.IFS(B1792=2015,G1792/$H$1957,B1792=2016,G1792/$H$1958,B1792=2017,G1792/$H$1959,B1792=2018,G1792/$H$1960,B1792=2019,G1792/$H$1961,B1792=2020,G1792/$H$1962,B1792=2021,G1792/$H$1963,B1792=2022,G1792/$H$1964,B1792=2023,G1792/$H$1965)</f>
        <v>2.4460473103963249E-5</v>
      </c>
      <c r="J1792" s="10" cm="1">
        <f t="array" ref="J1792">_xlfn.IFS(B1792=2015,I1792*$G$2,B1792=2016,I1792*$G$3,B1792=2017,I1792*$G$4,B1792=2018,I1792*$G$5,B1792=2019,I1792*$G$6,B1792=2020,I1792*$G$7,B1792=2021,I1792*$G$8,B1792=2022,I1792*$G$9,B1792=2023,I1792*$G$10)</f>
        <v>6633.7556440519929</v>
      </c>
      <c r="K1792" s="8">
        <f t="shared" si="27"/>
        <v>41477.755644051991</v>
      </c>
      <c r="L1792">
        <f>IFERROR(VLOOKUP(F1792,'LEAID Match'!$A$2:$B$240,2,FALSE),"")</f>
        <v>0</v>
      </c>
    </row>
    <row r="1793" spans="1:12" x14ac:dyDescent="0.2">
      <c r="A1793">
        <v>0</v>
      </c>
      <c r="B1793">
        <v>2017</v>
      </c>
      <c r="C1793" s="4" t="s">
        <v>377</v>
      </c>
      <c r="D1793" s="4" t="s">
        <v>576</v>
      </c>
      <c r="E1793" s="4" t="s">
        <v>578</v>
      </c>
      <c r="F1793" s="4" t="s">
        <v>347</v>
      </c>
      <c r="G1793" s="8">
        <v>17732</v>
      </c>
      <c r="I1793" s="16" cm="1">
        <f t="array" ref="I1793">_xlfn.IFS(B1793=2015,G1793/$H$1957,B1793=2016,G1793/$H$1958,B1793=2017,G1793/$H$1959,B1793=2018,G1793/$H$1960,B1793=2019,G1793/$H$1961,B1793=2020,G1793/$H$1962,B1793=2021,G1793/$H$1963,B1793=2022,G1793/$H$1964,B1793=2023,G1793/$H$1965)</f>
        <v>2.3658261498670919E-5</v>
      </c>
      <c r="J1793" s="10" cm="1">
        <f t="array" ref="J1793">_xlfn.IFS(B1793=2015,I1793*$G$2,B1793=2016,I1793*$G$3,B1793=2017,I1793*$G$4,B1793=2018,I1793*$G$5,B1793=2019,I1793*$G$6,B1793=2020,I1793*$G$7,B1793=2021,I1793*$G$8,B1793=2022,I1793*$G$9,B1793=2023,I1793*$G$10)</f>
        <v>3503.4711996916812</v>
      </c>
      <c r="K1793" s="8">
        <f t="shared" si="27"/>
        <v>21235.471199691681</v>
      </c>
      <c r="L1793">
        <f>IFERROR(VLOOKUP(F1793,'LEAID Match'!$A$2:$B$240,2,FALSE),"")</f>
        <v>0</v>
      </c>
    </row>
    <row r="1794" spans="1:12" x14ac:dyDescent="0.2">
      <c r="A1794">
        <v>0</v>
      </c>
      <c r="B1794">
        <v>2018</v>
      </c>
      <c r="C1794" s="4" t="s">
        <v>377</v>
      </c>
      <c r="D1794" s="4" t="s">
        <v>576</v>
      </c>
      <c r="E1794" s="4" t="s">
        <v>578</v>
      </c>
      <c r="F1794" s="4" t="s">
        <v>347</v>
      </c>
      <c r="G1794" s="8">
        <v>17821</v>
      </c>
      <c r="I1794" s="16" cm="1">
        <f t="array" ref="I1794">_xlfn.IFS(B1794=2015,G1794/$H$1957,B1794=2016,G1794/$H$1958,B1794=2017,G1794/$H$1959,B1794=2018,G1794/$H$1960,B1794=2019,G1794/$H$1961,B1794=2020,G1794/$H$1962,B1794=2021,G1794/$H$1963,B1794=2022,G1794/$H$1964,B1794=2023,G1794/$H$1965)</f>
        <v>2.2930466882834364E-5</v>
      </c>
      <c r="J1794" s="10" cm="1">
        <f t="array" ref="J1794">_xlfn.IFS(B1794=2015,I1794*$G$2,B1794=2016,I1794*$G$3,B1794=2017,I1794*$G$4,B1794=2018,I1794*$G$5,B1794=2019,I1794*$G$6,B1794=2020,I1794*$G$7,B1794=2021,I1794*$G$8,B1794=2022,I1794*$G$9,B1794=2023,I1794*$G$10)</f>
        <v>3451.5838543562768</v>
      </c>
      <c r="K1794" s="8">
        <f t="shared" si="27"/>
        <v>21272.583854356279</v>
      </c>
      <c r="L1794">
        <f>IFERROR(VLOOKUP(F1794,'LEAID Match'!$A$2:$B$240,2,FALSE),"")</f>
        <v>0</v>
      </c>
    </row>
    <row r="1795" spans="1:12" x14ac:dyDescent="0.2">
      <c r="A1795">
        <v>0</v>
      </c>
      <c r="B1795">
        <v>2019</v>
      </c>
      <c r="C1795" s="4" t="s">
        <v>377</v>
      </c>
      <c r="D1795" s="4" t="s">
        <v>576</v>
      </c>
      <c r="E1795" s="4" t="s">
        <v>578</v>
      </c>
      <c r="F1795" s="4" t="s">
        <v>347</v>
      </c>
      <c r="G1795" s="8">
        <v>18045</v>
      </c>
      <c r="I1795" s="16" cm="1">
        <f t="array" ref="I1795">_xlfn.IFS(B1795=2015,G1795/$H$1957,B1795=2016,G1795/$H$1958,B1795=2017,G1795/$H$1959,B1795=2018,G1795/$H$1960,B1795=2019,G1795/$H$1961,B1795=2020,G1795/$H$1962,B1795=2021,G1795/$H$1963,B1795=2022,G1795/$H$1964,B1795=2023,G1795/$H$1965)</f>
        <v>2.242626557065126E-5</v>
      </c>
      <c r="J1795" s="10" cm="1">
        <f t="array" ref="J1795">_xlfn.IFS(B1795=2015,I1795*$G$2,B1795=2016,I1795*$G$3,B1795=2017,I1795*$G$4,B1795=2018,I1795*$G$5,B1795=2019,I1795*$G$6,B1795=2020,I1795*$G$7,B1795=2021,I1795*$G$8,B1795=2022,I1795*$G$9,B1795=2023,I1795*$G$10)</f>
        <v>3543.9806316032768</v>
      </c>
      <c r="K1795" s="8">
        <f t="shared" si="27"/>
        <v>21588.980631603277</v>
      </c>
      <c r="L1795">
        <f>IFERROR(VLOOKUP(F1795,'LEAID Match'!$A$2:$B$240,2,FALSE),"")</f>
        <v>0</v>
      </c>
    </row>
    <row r="1796" spans="1:12" x14ac:dyDescent="0.2">
      <c r="A1796">
        <v>0</v>
      </c>
      <c r="B1796">
        <v>2020</v>
      </c>
      <c r="C1796" s="4" t="s">
        <v>377</v>
      </c>
      <c r="D1796" s="4" t="s">
        <v>576</v>
      </c>
      <c r="E1796" s="4" t="s">
        <v>578</v>
      </c>
      <c r="F1796" s="4" t="s">
        <v>347</v>
      </c>
      <c r="G1796" s="8">
        <v>19093</v>
      </c>
      <c r="I1796" s="16" cm="1">
        <f t="array" ref="I1796">_xlfn.IFS(B1796=2015,G1796/$H$1957,B1796=2016,G1796/$H$1958,B1796=2017,G1796/$H$1959,B1796=2018,G1796/$H$1960,B1796=2019,G1796/$H$1961,B1796=2020,G1796/$H$1962,B1796=2021,G1796/$H$1963,B1796=2022,G1796/$H$1964,B1796=2023,G1796/$H$1965)</f>
        <v>2.196006934330395E-5</v>
      </c>
      <c r="J1796" s="10" cm="1">
        <f t="array" ref="J1796">_xlfn.IFS(B1796=2015,I1796*$G$2,B1796=2016,I1796*$G$3,B1796=2017,I1796*$G$4,B1796=2018,I1796*$G$5,B1796=2019,I1796*$G$6,B1796=2020,I1796*$G$7,B1796=2021,I1796*$G$8,B1796=2022,I1796*$G$9,B1796=2023,I1796*$G$10)</f>
        <v>3792.1502867117488</v>
      </c>
      <c r="K1796" s="8">
        <f t="shared" si="27"/>
        <v>22885.150286711749</v>
      </c>
      <c r="L1796">
        <f>IFERROR(VLOOKUP(F1796,'LEAID Match'!$A$2:$B$240,2,FALSE),"")</f>
        <v>0</v>
      </c>
    </row>
    <row r="1797" spans="1:12" x14ac:dyDescent="0.2">
      <c r="A1797">
        <v>0</v>
      </c>
      <c r="B1797">
        <v>2021</v>
      </c>
      <c r="C1797" s="4" t="s">
        <v>377</v>
      </c>
      <c r="D1797" s="4" t="s">
        <v>576</v>
      </c>
      <c r="E1797" s="4" t="s">
        <v>578</v>
      </c>
      <c r="F1797" s="4" t="s">
        <v>347</v>
      </c>
      <c r="G1797" s="8">
        <v>19276</v>
      </c>
      <c r="I1797" s="16" cm="1">
        <f t="array" ref="I1797">_xlfn.IFS(B1797=2015,G1797/$H$1957,B1797=2016,G1797/$H$1958,B1797=2017,G1797/$H$1959,B1797=2018,G1797/$H$1960,B1797=2019,G1797/$H$1961,B1797=2020,G1797/$H$1962,B1797=2021,G1797/$H$1963,B1797=2022,G1797/$H$1964,B1797=2023,G1797/$H$1965)</f>
        <v>2.202851432330662E-5</v>
      </c>
      <c r="J1797" s="10" cm="1">
        <f t="array" ref="J1797">_xlfn.IFS(B1797=2015,I1797*$G$2,B1797=2016,I1797*$G$3,B1797=2017,I1797*$G$4,B1797=2018,I1797*$G$5,B1797=2019,I1797*$G$6,B1797=2020,I1797*$G$7,B1797=2021,I1797*$G$8,B1797=2022,I1797*$G$9,B1797=2023,I1797*$G$10)</f>
        <v>3780.4639299465634</v>
      </c>
      <c r="K1797" s="8">
        <f t="shared" si="27"/>
        <v>23056.463929946563</v>
      </c>
      <c r="L1797">
        <f>IFERROR(VLOOKUP(F1797,'LEAID Match'!$A$2:$B$240,2,FALSE),"")</f>
        <v>0</v>
      </c>
    </row>
    <row r="1798" spans="1:12" x14ac:dyDescent="0.2">
      <c r="A1798">
        <v>0</v>
      </c>
      <c r="B1798">
        <v>2022</v>
      </c>
      <c r="C1798" s="4" t="s">
        <v>377</v>
      </c>
      <c r="D1798" s="4" t="s">
        <v>576</v>
      </c>
      <c r="E1798" s="4" t="s">
        <v>578</v>
      </c>
      <c r="F1798" s="4" t="s">
        <v>347</v>
      </c>
      <c r="G1798" s="8">
        <v>18620</v>
      </c>
      <c r="I1798" s="16" cm="1">
        <f t="array" ref="I1798">_xlfn.IFS(B1798=2015,G1798/$H$1957,B1798=2016,G1798/$H$1958,B1798=2017,G1798/$H$1959,B1798=2018,G1798/$H$1960,B1798=2019,G1798/$H$1961,B1798=2020,G1798/$H$1962,B1798=2021,G1798/$H$1963,B1798=2022,G1798/$H$1964,B1798=2023,G1798/$H$1965)</f>
        <v>2.0012818973662271E-5</v>
      </c>
      <c r="J1798" s="10" cm="1">
        <f t="array" ref="J1798">_xlfn.IFS(B1798=2015,I1798*$G$2,B1798=2016,I1798*$G$3,B1798=2017,I1798*$G$4,B1798=2018,I1798*$G$5,B1798=2019,I1798*$G$6,B1798=2020,I1798*$G$7,B1798=2021,I1798*$G$8,B1798=2022,I1798*$G$9,B1798=2023,I1798*$G$10)</f>
        <v>3393.8868939680301</v>
      </c>
      <c r="K1798" s="8">
        <f t="shared" si="27"/>
        <v>22013.886893968029</v>
      </c>
      <c r="L1798">
        <f>IFERROR(VLOOKUP(F1798,'LEAID Match'!$A$2:$B$240,2,FALSE),"")</f>
        <v>0</v>
      </c>
    </row>
    <row r="1799" spans="1:12" x14ac:dyDescent="0.2">
      <c r="A1799">
        <v>0</v>
      </c>
      <c r="B1799">
        <v>2023</v>
      </c>
      <c r="C1799" s="4" t="s">
        <v>377</v>
      </c>
      <c r="D1799" s="4" t="s">
        <v>576</v>
      </c>
      <c r="E1799" s="4" t="s">
        <v>578</v>
      </c>
      <c r="F1799" s="4" t="s">
        <v>347</v>
      </c>
      <c r="G1799" s="8">
        <v>22706</v>
      </c>
      <c r="I1799" s="16" cm="1">
        <f t="array" ref="I1799">_xlfn.IFS(B1799=2015,G1799/$H$1957,B1799=2016,G1799/$H$1958,B1799=2017,G1799/$H$1959,B1799=2018,G1799/$H$1960,B1799=2019,G1799/$H$1961,B1799=2020,G1799/$H$1962,B1799=2021,G1799/$H$1963,B1799=2022,G1799/$H$1964,B1799=2023,G1799/$H$1965)</f>
        <v>2.2989588645475984E-5</v>
      </c>
      <c r="J1799" s="10" cm="1">
        <f t="array" ref="J1799">_xlfn.IFS(B1799=2015,I1799*$G$2,B1799=2016,I1799*$G$3,B1799=2017,I1799*$G$4,B1799=2018,I1799*$G$5,B1799=2019,I1799*$G$6,B1799=2020,I1799*$G$7,B1799=2021,I1799*$G$8,B1799=2022,I1799*$G$9,B1799=2023,I1799*$G$10)</f>
        <v>3907.8925595800129</v>
      </c>
      <c r="K1799" s="8">
        <f t="shared" si="27"/>
        <v>26613.892559580014</v>
      </c>
      <c r="L1799">
        <f>IFERROR(VLOOKUP(F1799,'LEAID Match'!$A$2:$B$240,2,FALSE),"")</f>
        <v>0</v>
      </c>
    </row>
    <row r="1800" spans="1:12" x14ac:dyDescent="0.2">
      <c r="A1800">
        <v>0</v>
      </c>
      <c r="B1800">
        <v>2016</v>
      </c>
      <c r="C1800" s="4" t="s">
        <v>403</v>
      </c>
      <c r="D1800" s="4" t="s">
        <v>576</v>
      </c>
      <c r="E1800" s="4" t="s">
        <v>578</v>
      </c>
      <c r="F1800" s="4" t="s">
        <v>402</v>
      </c>
      <c r="G1800" s="8">
        <v>6699</v>
      </c>
      <c r="I1800" s="16" cm="1">
        <f t="array" ref="I1800">_xlfn.IFS(B1800=2015,G1800/$H$1957,B1800=2016,G1800/$H$1958,B1800=2017,G1800/$H$1959,B1800=2018,G1800/$H$1960,B1800=2019,G1800/$H$1961,B1800=2020,G1800/$H$1962,B1800=2021,G1800/$H$1963,B1800=2022,G1800/$H$1964,B1800=2023,G1800/$H$1965)</f>
        <v>4.7026951361339049E-6</v>
      </c>
      <c r="J1800" s="10" cm="1">
        <f t="array" ref="J1800">_xlfn.IFS(B1800=2015,I1800*$G$2,B1800=2016,I1800*$G$3,B1800=2017,I1800*$G$4,B1800=2018,I1800*$G$5,B1800=2019,I1800*$G$6,B1800=2020,I1800*$G$7,B1800=2021,I1800*$G$8,B1800=2022,I1800*$G$9,B1800=2023,I1800*$G$10)</f>
        <v>1275.3854052205343</v>
      </c>
      <c r="K1800" s="8">
        <f t="shared" si="27"/>
        <v>7974.3854052205343</v>
      </c>
      <c r="L1800">
        <f>IFERROR(VLOOKUP(F1800,'LEAID Match'!$A$2:$B$240,2,FALSE),"")</f>
        <v>0</v>
      </c>
    </row>
    <row r="1801" spans="1:12" x14ac:dyDescent="0.2">
      <c r="A1801">
        <v>0</v>
      </c>
      <c r="B1801">
        <v>2017</v>
      </c>
      <c r="C1801" s="4" t="s">
        <v>403</v>
      </c>
      <c r="D1801" s="4" t="s">
        <v>576</v>
      </c>
      <c r="E1801" s="4" t="s">
        <v>578</v>
      </c>
      <c r="F1801" s="4" t="s">
        <v>402</v>
      </c>
      <c r="G1801" s="8">
        <v>6829</v>
      </c>
      <c r="I1801" s="16" cm="1">
        <f t="array" ref="I1801">_xlfn.IFS(B1801=2015,G1801/$H$1957,B1801=2016,G1801/$H$1958,B1801=2017,G1801/$H$1959,B1801=2018,G1801/$H$1960,B1801=2019,G1801/$H$1961,B1801=2020,G1801/$H$1962,B1801=2021,G1801/$H$1963,B1801=2022,G1801/$H$1964,B1801=2023,G1801/$H$1965)</f>
        <v>9.1113392609081727E-6</v>
      </c>
      <c r="J1801" s="10" cm="1">
        <f t="array" ref="J1801">_xlfn.IFS(B1801=2015,I1801*$G$2,B1801=2016,I1801*$G$3,B1801=2017,I1801*$G$4,B1801=2018,I1801*$G$5,B1801=2019,I1801*$G$6,B1801=2020,I1801*$G$7,B1801=2021,I1801*$G$8,B1801=2022,I1801*$G$9,B1801=2023,I1801*$G$10)</f>
        <v>1349.2671341469938</v>
      </c>
      <c r="K1801" s="8">
        <f t="shared" si="27"/>
        <v>8178.2671341469941</v>
      </c>
      <c r="L1801">
        <f>IFERROR(VLOOKUP(F1801,'LEAID Match'!$A$2:$B$240,2,FALSE),"")</f>
        <v>0</v>
      </c>
    </row>
    <row r="1802" spans="1:12" x14ac:dyDescent="0.2">
      <c r="A1802">
        <v>0</v>
      </c>
      <c r="B1802">
        <v>2018</v>
      </c>
      <c r="C1802" s="4" t="s">
        <v>403</v>
      </c>
      <c r="D1802" s="4" t="s">
        <v>576</v>
      </c>
      <c r="E1802" s="4" t="s">
        <v>578</v>
      </c>
      <c r="F1802" s="4" t="s">
        <v>402</v>
      </c>
      <c r="G1802" s="8">
        <v>7490</v>
      </c>
      <c r="I1802" s="16" cm="1">
        <f t="array" ref="I1802">_xlfn.IFS(B1802=2015,G1802/$H$1957,B1802=2016,G1802/$H$1958,B1802=2017,G1802/$H$1959,B1802=2018,G1802/$H$1960,B1802=2019,G1802/$H$1961,B1802=2020,G1802/$H$1962,B1802=2021,G1802/$H$1963,B1802=2022,G1802/$H$1964,B1802=2023,G1802/$H$1965)</f>
        <v>9.6374612509078833E-6</v>
      </c>
      <c r="J1802" s="10" cm="1">
        <f t="array" ref="J1802">_xlfn.IFS(B1802=2015,I1802*$G$2,B1802=2016,I1802*$G$3,B1802=2017,I1802*$G$4,B1802=2018,I1802*$G$5,B1802=2019,I1802*$G$6,B1802=2020,I1802*$G$7,B1802=2021,I1802*$G$8,B1802=2022,I1802*$G$9,B1802=2023,I1802*$G$10)</f>
        <v>1450.6684848846032</v>
      </c>
      <c r="K1802" s="8">
        <f t="shared" si="27"/>
        <v>8940.6684848846035</v>
      </c>
      <c r="L1802">
        <f>IFERROR(VLOOKUP(F1802,'LEAID Match'!$A$2:$B$240,2,FALSE),"")</f>
        <v>0</v>
      </c>
    </row>
    <row r="1803" spans="1:12" x14ac:dyDescent="0.2">
      <c r="A1803">
        <v>0</v>
      </c>
      <c r="B1803">
        <v>2019</v>
      </c>
      <c r="C1803" s="4" t="s">
        <v>403</v>
      </c>
      <c r="D1803" s="4" t="s">
        <v>576</v>
      </c>
      <c r="E1803" s="4" t="s">
        <v>578</v>
      </c>
      <c r="F1803" s="4" t="s">
        <v>402</v>
      </c>
      <c r="G1803" s="8">
        <v>7661</v>
      </c>
      <c r="I1803" s="16" cm="1">
        <f t="array" ref="I1803">_xlfn.IFS(B1803=2015,G1803/$H$1957,B1803=2016,G1803/$H$1958,B1803=2017,G1803/$H$1959,B1803=2018,G1803/$H$1960,B1803=2019,G1803/$H$1961,B1803=2020,G1803/$H$1962,B1803=2021,G1803/$H$1963,B1803=2022,G1803/$H$1964,B1803=2023,G1803/$H$1965)</f>
        <v>9.5210651447358997E-6</v>
      </c>
      <c r="J1803" s="10" cm="1">
        <f t="array" ref="J1803">_xlfn.IFS(B1803=2015,I1803*$G$2,B1803=2016,I1803*$G$3,B1803=2017,I1803*$G$4,B1803=2018,I1803*$G$5,B1803=2019,I1803*$G$6,B1803=2020,I1803*$G$7,B1803=2021,I1803*$G$8,B1803=2022,I1803*$G$9,B1803=2023,I1803*$G$10)</f>
        <v>1504.5960442622725</v>
      </c>
      <c r="K1803" s="8">
        <f t="shared" si="27"/>
        <v>9165.5960442622727</v>
      </c>
      <c r="L1803">
        <f>IFERROR(VLOOKUP(F1803,'LEAID Match'!$A$2:$B$240,2,FALSE),"")</f>
        <v>0</v>
      </c>
    </row>
    <row r="1804" spans="1:12" x14ac:dyDescent="0.2">
      <c r="A1804">
        <v>0</v>
      </c>
      <c r="B1804">
        <v>2020</v>
      </c>
      <c r="C1804" s="4" t="s">
        <v>403</v>
      </c>
      <c r="D1804" s="4" t="s">
        <v>576</v>
      </c>
      <c r="E1804" s="4" t="s">
        <v>578</v>
      </c>
      <c r="F1804" s="4" t="s">
        <v>402</v>
      </c>
      <c r="G1804" s="8">
        <v>8391</v>
      </c>
      <c r="I1804" s="16" cm="1">
        <f t="array" ref="I1804">_xlfn.IFS(B1804=2015,G1804/$H$1957,B1804=2016,G1804/$H$1958,B1804=2017,G1804/$H$1959,B1804=2018,G1804/$H$1960,B1804=2019,G1804/$H$1961,B1804=2020,G1804/$H$1962,B1804=2021,G1804/$H$1963,B1804=2022,G1804/$H$1964,B1804=2023,G1804/$H$1965)</f>
        <v>9.651020890361045E-6</v>
      </c>
      <c r="J1804" s="10" cm="1">
        <f t="array" ref="J1804">_xlfn.IFS(B1804=2015,I1804*$G$2,B1804=2016,I1804*$G$3,B1804=2017,I1804*$G$4,B1804=2018,I1804*$G$5,B1804=2019,I1804*$G$6,B1804=2020,I1804*$G$7,B1804=2021,I1804*$G$8,B1804=2022,I1804*$G$9,B1804=2023,I1804*$G$10)</f>
        <v>1666.5758684228924</v>
      </c>
      <c r="K1804" s="8">
        <f t="shared" ref="K1804:K1867" si="28">SUM(G1804,J1804)</f>
        <v>10057.575868422893</v>
      </c>
      <c r="L1804">
        <f>IFERROR(VLOOKUP(F1804,'LEAID Match'!$A$2:$B$240,2,FALSE),"")</f>
        <v>0</v>
      </c>
    </row>
    <row r="1805" spans="1:12" x14ac:dyDescent="0.2">
      <c r="A1805">
        <v>0</v>
      </c>
      <c r="B1805">
        <v>2021</v>
      </c>
      <c r="C1805" s="4" t="s">
        <v>403</v>
      </c>
      <c r="D1805" s="4" t="s">
        <v>576</v>
      </c>
      <c r="E1805" s="4" t="s">
        <v>578</v>
      </c>
      <c r="F1805" s="4" t="s">
        <v>402</v>
      </c>
      <c r="G1805" s="8">
        <v>8770</v>
      </c>
      <c r="I1805" s="16" cm="1">
        <f t="array" ref="I1805">_xlfn.IFS(B1805=2015,G1805/$H$1957,B1805=2016,G1805/$H$1958,B1805=2017,G1805/$H$1959,B1805=2018,G1805/$H$1960,B1805=2019,G1805/$H$1961,B1805=2020,G1805/$H$1962,B1805=2021,G1805/$H$1963,B1805=2022,G1805/$H$1964,B1805=2023,G1805/$H$1965)</f>
        <v>1.0022311196067601E-5</v>
      </c>
      <c r="J1805" s="10" cm="1">
        <f t="array" ref="J1805">_xlfn.IFS(B1805=2015,I1805*$G$2,B1805=2016,I1805*$G$3,B1805=2017,I1805*$G$4,B1805=2018,I1805*$G$5,B1805=2019,I1805*$G$6,B1805=2020,I1805*$G$7,B1805=2021,I1805*$G$8,B1805=2022,I1805*$G$9,B1805=2023,I1805*$G$10)</f>
        <v>1719.9973368764972</v>
      </c>
      <c r="K1805" s="8">
        <f t="shared" si="28"/>
        <v>10489.997336876497</v>
      </c>
      <c r="L1805">
        <f>IFERROR(VLOOKUP(F1805,'LEAID Match'!$A$2:$B$240,2,FALSE),"")</f>
        <v>0</v>
      </c>
    </row>
    <row r="1806" spans="1:12" x14ac:dyDescent="0.2">
      <c r="A1806">
        <v>0</v>
      </c>
      <c r="B1806">
        <v>2022</v>
      </c>
      <c r="C1806" s="4" t="s">
        <v>403</v>
      </c>
      <c r="D1806" s="4" t="s">
        <v>576</v>
      </c>
      <c r="E1806" s="4" t="s">
        <v>578</v>
      </c>
      <c r="F1806" s="4" t="s">
        <v>402</v>
      </c>
      <c r="G1806" s="8">
        <v>9353</v>
      </c>
      <c r="I1806" s="16" cm="1">
        <f t="array" ref="I1806">_xlfn.IFS(B1806=2015,G1806/$H$1957,B1806=2016,G1806/$H$1958,B1806=2017,G1806/$H$1959,B1806=2018,G1806/$H$1960,B1806=2019,G1806/$H$1961,B1806=2020,G1806/$H$1962,B1806=2021,G1806/$H$1963,B1806=2022,G1806/$H$1964,B1806=2023,G1806/$H$1965)</f>
        <v>1.0052625986072138E-5</v>
      </c>
      <c r="J1806" s="10" cm="1">
        <f t="array" ref="J1806">_xlfn.IFS(B1806=2015,I1806*$G$2,B1806=2016,I1806*$G$3,B1806=2017,I1806*$G$4,B1806=2018,I1806*$G$5,B1806=2019,I1806*$G$6,B1806=2020,I1806*$G$7,B1806=2021,I1806*$G$8,B1806=2022,I1806*$G$9,B1806=2023,I1806*$G$10)</f>
        <v>1704.7811020023084</v>
      </c>
      <c r="K1806" s="8">
        <f t="shared" si="28"/>
        <v>11057.781102002309</v>
      </c>
      <c r="L1806">
        <f>IFERROR(VLOOKUP(F1806,'LEAID Match'!$A$2:$B$240,2,FALSE),"")</f>
        <v>0</v>
      </c>
    </row>
    <row r="1807" spans="1:12" x14ac:dyDescent="0.2">
      <c r="A1807">
        <v>0</v>
      </c>
      <c r="B1807">
        <v>2023</v>
      </c>
      <c r="C1807" s="4" t="s">
        <v>403</v>
      </c>
      <c r="D1807" s="4" t="s">
        <v>576</v>
      </c>
      <c r="E1807" s="4" t="s">
        <v>578</v>
      </c>
      <c r="F1807" s="4" t="s">
        <v>402</v>
      </c>
      <c r="G1807" s="8">
        <v>10654</v>
      </c>
      <c r="I1807" s="16" cm="1">
        <f t="array" ref="I1807">_xlfn.IFS(B1807=2015,G1807/$H$1957,B1807=2016,G1807/$H$1958,B1807=2017,G1807/$H$1959,B1807=2018,G1807/$H$1960,B1807=2019,G1807/$H$1961,B1807=2020,G1807/$H$1962,B1807=2021,G1807/$H$1963,B1807=2022,G1807/$H$1964,B1807=2023,G1807/$H$1965)</f>
        <v>1.0787064098868191E-5</v>
      </c>
      <c r="J1807" s="10" cm="1">
        <f t="array" ref="J1807">_xlfn.IFS(B1807=2015,I1807*$G$2,B1807=2016,I1807*$G$3,B1807=2017,I1807*$G$4,B1807=2018,I1807*$G$5,B1807=2019,I1807*$G$6,B1807=2020,I1807*$G$7,B1807=2021,I1807*$G$8,B1807=2022,I1807*$G$9,B1807=2023,I1807*$G$10)</f>
        <v>1833.6425319195571</v>
      </c>
      <c r="K1807" s="8">
        <f t="shared" si="28"/>
        <v>12487.642531919557</v>
      </c>
      <c r="L1807">
        <f>IFERROR(VLOOKUP(F1807,'LEAID Match'!$A$2:$B$240,2,FALSE),"")</f>
        <v>0</v>
      </c>
    </row>
    <row r="1808" spans="1:12" x14ac:dyDescent="0.2">
      <c r="A1808">
        <v>0</v>
      </c>
      <c r="B1808">
        <v>2015</v>
      </c>
      <c r="C1808" s="4" t="s">
        <v>378</v>
      </c>
      <c r="D1808" s="4" t="s">
        <v>576</v>
      </c>
      <c r="E1808" s="4" t="s">
        <v>578</v>
      </c>
      <c r="F1808" s="4" t="s">
        <v>348</v>
      </c>
      <c r="G1808" s="8">
        <v>113039</v>
      </c>
      <c r="I1808" s="16" cm="1">
        <f t="array" ref="I1808">_xlfn.IFS(B1808=2015,G1808/$H$1957,B1808=2016,G1808/$H$1958,B1808=2017,G1808/$H$1959,B1808=2018,G1808/$H$1960,B1808=2019,G1808/$H$1961,B1808=2020,G1808/$H$1962,B1808=2021,G1808/$H$1963,B1808=2022,G1808/$H$1964,B1808=2023,G1808/$H$1965)</f>
        <v>8.7295327453944626E-5</v>
      </c>
      <c r="J1808" s="10" cm="1">
        <f t="array" ref="J1808">_xlfn.IFS(B1808=2015,I1808*$G$2,B1808=2016,I1808*$G$3,B1808=2017,I1808*$G$4,B1808=2018,I1808*$G$5,B1808=2019,I1808*$G$6,B1808=2020,I1808*$G$7,B1808=2021,I1808*$G$8,B1808=2022,I1808*$G$9,B1808=2023,I1808*$G$10)</f>
        <v>21705.335003616987</v>
      </c>
      <c r="K1808" s="8">
        <f t="shared" si="28"/>
        <v>134744.33500361699</v>
      </c>
      <c r="L1808">
        <f>IFERROR(VLOOKUP(F1808,'LEAID Match'!$A$2:$B$240,2,FALSE),"")</f>
        <v>0</v>
      </c>
    </row>
    <row r="1809" spans="1:12" x14ac:dyDescent="0.2">
      <c r="A1809">
        <v>0</v>
      </c>
      <c r="B1809">
        <v>2016</v>
      </c>
      <c r="C1809" s="4" t="s">
        <v>378</v>
      </c>
      <c r="D1809" s="4" t="s">
        <v>576</v>
      </c>
      <c r="E1809" s="4" t="s">
        <v>578</v>
      </c>
      <c r="F1809" s="4" t="s">
        <v>348</v>
      </c>
      <c r="G1809" s="8">
        <v>100817</v>
      </c>
      <c r="I1809" s="16" cm="1">
        <f t="array" ref="I1809">_xlfn.IFS(B1809=2015,G1809/$H$1957,B1809=2016,G1809/$H$1958,B1809=2017,G1809/$H$1959,B1809=2018,G1809/$H$1960,B1809=2019,G1809/$H$1961,B1809=2020,G1809/$H$1962,B1809=2021,G1809/$H$1963,B1809=2022,G1809/$H$1964,B1809=2023,G1809/$H$1965)</f>
        <v>7.0773490900076416E-5</v>
      </c>
      <c r="J1809" s="10" cm="1">
        <f t="array" ref="J1809">_xlfn.IFS(B1809=2015,I1809*$G$2,B1809=2016,I1809*$G$3,B1809=2017,I1809*$G$4,B1809=2018,I1809*$G$5,B1809=2019,I1809*$G$6,B1809=2020,I1809*$G$7,B1809=2021,I1809*$G$8,B1809=2022,I1809*$G$9,B1809=2023,I1809*$G$10)</f>
        <v>19193.988714452695</v>
      </c>
      <c r="K1809" s="8">
        <f t="shared" si="28"/>
        <v>120010.98871445269</v>
      </c>
      <c r="L1809">
        <f>IFERROR(VLOOKUP(F1809,'LEAID Match'!$A$2:$B$240,2,FALSE),"")</f>
        <v>0</v>
      </c>
    </row>
    <row r="1810" spans="1:12" x14ac:dyDescent="0.2">
      <c r="A1810">
        <v>0</v>
      </c>
      <c r="B1810">
        <v>2017</v>
      </c>
      <c r="C1810" s="4" t="s">
        <v>378</v>
      </c>
      <c r="D1810" s="4" t="s">
        <v>576</v>
      </c>
      <c r="E1810" s="4" t="s">
        <v>578</v>
      </c>
      <c r="F1810" s="4" t="s">
        <v>348</v>
      </c>
      <c r="G1810" s="8">
        <v>43822</v>
      </c>
      <c r="I1810" s="16" cm="1">
        <f t="array" ref="I1810">_xlfn.IFS(B1810=2015,G1810/$H$1957,B1810=2016,G1810/$H$1958,B1810=2017,G1810/$H$1959,B1810=2018,G1810/$H$1960,B1810=2019,G1810/$H$1961,B1810=2020,G1810/$H$1962,B1810=2021,G1810/$H$1963,B1810=2022,G1810/$H$1964,B1810=2023,G1810/$H$1965)</f>
        <v>5.8467873640579579E-5</v>
      </c>
      <c r="J1810" s="10" cm="1">
        <f t="array" ref="J1810">_xlfn.IFS(B1810=2015,I1810*$G$2,B1810=2016,I1810*$G$3,B1810=2017,I1810*$G$4,B1810=2018,I1810*$G$5,B1810=2019,I1810*$G$6,B1810=2020,I1810*$G$7,B1810=2021,I1810*$G$8,B1810=2022,I1810*$G$9,B1810=2023,I1810*$G$10)</f>
        <v>8658.3078565806936</v>
      </c>
      <c r="K1810" s="8">
        <f t="shared" si="28"/>
        <v>52480.307856580694</v>
      </c>
      <c r="L1810">
        <f>IFERROR(VLOOKUP(F1810,'LEAID Match'!$A$2:$B$240,2,FALSE),"")</f>
        <v>0</v>
      </c>
    </row>
    <row r="1811" spans="1:12" x14ac:dyDescent="0.2">
      <c r="A1811">
        <v>0</v>
      </c>
      <c r="B1811">
        <v>2018</v>
      </c>
      <c r="C1811" s="4" t="s">
        <v>378</v>
      </c>
      <c r="D1811" s="4" t="s">
        <v>576</v>
      </c>
      <c r="E1811" s="4" t="s">
        <v>578</v>
      </c>
      <c r="F1811" s="4" t="s">
        <v>348</v>
      </c>
      <c r="G1811" s="8">
        <v>43655</v>
      </c>
      <c r="I1811" s="16" cm="1">
        <f t="array" ref="I1811">_xlfn.IFS(B1811=2015,G1811/$H$1957,B1811=2016,G1811/$H$1958,B1811=2017,G1811/$H$1959,B1811=2018,G1811/$H$1960,B1811=2019,G1811/$H$1961,B1811=2020,G1811/$H$1962,B1811=2021,G1811/$H$1963,B1811=2022,G1811/$H$1964,B1811=2023,G1811/$H$1965)</f>
        <v>5.6171344580558566E-5</v>
      </c>
      <c r="J1811" s="10" cm="1">
        <f t="array" ref="J1811">_xlfn.IFS(B1811=2015,I1811*$G$2,B1811=2016,I1811*$G$3,B1811=2017,I1811*$G$4,B1811=2018,I1811*$G$5,B1811=2019,I1811*$G$6,B1811=2020,I1811*$G$7,B1811=2021,I1811*$G$8,B1811=2022,I1811*$G$9,B1811=2023,I1811*$G$10)</f>
        <v>8455.1312026218093</v>
      </c>
      <c r="K1811" s="8">
        <f t="shared" si="28"/>
        <v>52110.131202621807</v>
      </c>
      <c r="L1811">
        <f>IFERROR(VLOOKUP(F1811,'LEAID Match'!$A$2:$B$240,2,FALSE),"")</f>
        <v>0</v>
      </c>
    </row>
    <row r="1812" spans="1:12" x14ac:dyDescent="0.2">
      <c r="A1812">
        <v>0</v>
      </c>
      <c r="B1812">
        <v>2019</v>
      </c>
      <c r="C1812" s="4" t="s">
        <v>378</v>
      </c>
      <c r="D1812" s="4" t="s">
        <v>576</v>
      </c>
      <c r="E1812" s="4" t="s">
        <v>578</v>
      </c>
      <c r="F1812" s="4" t="s">
        <v>348</v>
      </c>
      <c r="G1812" s="8">
        <v>40229</v>
      </c>
      <c r="I1812" s="16" cm="1">
        <f t="array" ref="I1812">_xlfn.IFS(B1812=2015,G1812/$H$1957,B1812=2016,G1812/$H$1958,B1812=2017,G1812/$H$1959,B1812=2018,G1812/$H$1960,B1812=2019,G1812/$H$1961,B1812=2020,G1812/$H$1962,B1812=2021,G1812/$H$1963,B1812=2022,G1812/$H$1964,B1812=2023,G1812/$H$1965)</f>
        <v>4.9996466480561346E-5</v>
      </c>
      <c r="J1812" s="10" cm="1">
        <f t="array" ref="J1812">_xlfn.IFS(B1812=2015,I1812*$G$2,B1812=2016,I1812*$G$3,B1812=2017,I1812*$G$4,B1812=2018,I1812*$G$5,B1812=2019,I1812*$G$6,B1812=2020,I1812*$G$7,B1812=2021,I1812*$G$8,B1812=2022,I1812*$G$9,B1812=2023,I1812*$G$10)</f>
        <v>7900.8477045590589</v>
      </c>
      <c r="K1812" s="8">
        <f t="shared" si="28"/>
        <v>48129.847704559055</v>
      </c>
      <c r="L1812">
        <f>IFERROR(VLOOKUP(F1812,'LEAID Match'!$A$2:$B$240,2,FALSE),"")</f>
        <v>0</v>
      </c>
    </row>
    <row r="1813" spans="1:12" x14ac:dyDescent="0.2">
      <c r="A1813">
        <v>0</v>
      </c>
      <c r="B1813">
        <v>2020</v>
      </c>
      <c r="C1813" s="4" t="s">
        <v>378</v>
      </c>
      <c r="D1813" s="4" t="s">
        <v>576</v>
      </c>
      <c r="E1813" s="4" t="s">
        <v>578</v>
      </c>
      <c r="F1813" s="4" t="s">
        <v>348</v>
      </c>
      <c r="G1813" s="8">
        <v>44553</v>
      </c>
      <c r="I1813" s="16" cm="1">
        <f t="array" ref="I1813">_xlfn.IFS(B1813=2015,G1813/$H$1957,B1813=2016,G1813/$H$1958,B1813=2017,G1813/$H$1959,B1813=2018,G1813/$H$1960,B1813=2019,G1813/$H$1961,B1813=2020,G1813/$H$1962,B1813=2021,G1813/$H$1963,B1813=2022,G1813/$H$1964,B1813=2023,G1813/$H$1965)</f>
        <v>5.1243228903379294E-5</v>
      </c>
      <c r="J1813" s="10" cm="1">
        <f t="array" ref="J1813">_xlfn.IFS(B1813=2015,I1813*$G$2,B1813=2016,I1813*$G$3,B1813=2017,I1813*$G$4,B1813=2018,I1813*$G$5,B1813=2019,I1813*$G$6,B1813=2020,I1813*$G$7,B1813=2021,I1813*$G$8,B1813=2022,I1813*$G$9,B1813=2023,I1813*$G$10)</f>
        <v>8848.8803081688857</v>
      </c>
      <c r="K1813" s="8">
        <f t="shared" si="28"/>
        <v>53401.880308168882</v>
      </c>
      <c r="L1813">
        <f>IFERROR(VLOOKUP(F1813,'LEAID Match'!$A$2:$B$240,2,FALSE),"")</f>
        <v>0</v>
      </c>
    </row>
    <row r="1814" spans="1:12" x14ac:dyDescent="0.2">
      <c r="A1814">
        <v>0</v>
      </c>
      <c r="B1814">
        <v>2021</v>
      </c>
      <c r="C1814" s="4" t="s">
        <v>378</v>
      </c>
      <c r="D1814" s="4" t="s">
        <v>576</v>
      </c>
      <c r="E1814" s="4" t="s">
        <v>578</v>
      </c>
      <c r="F1814" s="4" t="s">
        <v>348</v>
      </c>
      <c r="G1814" s="8">
        <v>49204</v>
      </c>
      <c r="I1814" s="16" cm="1">
        <f t="array" ref="I1814">_xlfn.IFS(B1814=2015,G1814/$H$1957,B1814=2016,G1814/$H$1958,B1814=2017,G1814/$H$1959,B1814=2018,G1814/$H$1960,B1814=2019,G1814/$H$1961,B1814=2020,G1814/$H$1962,B1814=2021,G1814/$H$1963,B1814=2022,G1814/$H$1964,B1814=2023,G1814/$H$1965)</f>
        <v>5.6230079827971519E-5</v>
      </c>
      <c r="J1814" s="10" cm="1">
        <f t="array" ref="J1814">_xlfn.IFS(B1814=2015,I1814*$G$2,B1814=2016,I1814*$G$3,B1814=2017,I1814*$G$4,B1814=2018,I1814*$G$5,B1814=2019,I1814*$G$6,B1814=2020,I1814*$G$7,B1814=2021,I1814*$G$8,B1814=2022,I1814*$G$9,B1814=2023,I1814*$G$10)</f>
        <v>9650.0283881038958</v>
      </c>
      <c r="K1814" s="8">
        <f t="shared" si="28"/>
        <v>58854.028388103892</v>
      </c>
      <c r="L1814">
        <f>IFERROR(VLOOKUP(F1814,'LEAID Match'!$A$2:$B$240,2,FALSE),"")</f>
        <v>0</v>
      </c>
    </row>
    <row r="1815" spans="1:12" x14ac:dyDescent="0.2">
      <c r="A1815">
        <v>0</v>
      </c>
      <c r="B1815">
        <v>2022</v>
      </c>
      <c r="C1815" s="4" t="s">
        <v>378</v>
      </c>
      <c r="D1815" s="4" t="s">
        <v>576</v>
      </c>
      <c r="E1815" s="4" t="s">
        <v>578</v>
      </c>
      <c r="F1815" s="4" t="s">
        <v>348</v>
      </c>
      <c r="G1815" s="8">
        <v>63842</v>
      </c>
      <c r="I1815" s="16" cm="1">
        <f t="array" ref="I1815">_xlfn.IFS(B1815=2015,G1815/$H$1957,B1815=2016,G1815/$H$1958,B1815=2017,G1815/$H$1959,B1815=2018,G1815/$H$1960,B1815=2019,G1815/$H$1961,B1815=2020,G1815/$H$1962,B1815=2021,G1815/$H$1963,B1815=2022,G1815/$H$1964,B1815=2023,G1815/$H$1965)</f>
        <v>6.8617528942886504E-5</v>
      </c>
      <c r="J1815" s="10" cm="1">
        <f t="array" ref="J1815">_xlfn.IFS(B1815=2015,I1815*$G$2,B1815=2016,I1815*$G$3,B1815=2017,I1815*$G$4,B1815=2018,I1815*$G$5,B1815=2019,I1815*$G$6,B1815=2020,I1815*$G$7,B1815=2021,I1815*$G$8,B1815=2022,I1815*$G$9,B1815=2023,I1815*$G$10)</f>
        <v>11636.548178555691</v>
      </c>
      <c r="K1815" s="8">
        <f t="shared" si="28"/>
        <v>75478.548178555691</v>
      </c>
      <c r="L1815">
        <f>IFERROR(VLOOKUP(F1815,'LEAID Match'!$A$2:$B$240,2,FALSE),"")</f>
        <v>0</v>
      </c>
    </row>
    <row r="1816" spans="1:12" x14ac:dyDescent="0.2">
      <c r="A1816">
        <v>0</v>
      </c>
      <c r="B1816">
        <v>2023</v>
      </c>
      <c r="C1816" s="4" t="s">
        <v>378</v>
      </c>
      <c r="D1816" s="4" t="s">
        <v>576</v>
      </c>
      <c r="E1816" s="4" t="s">
        <v>578</v>
      </c>
      <c r="F1816" s="4" t="s">
        <v>348</v>
      </c>
      <c r="G1816" s="8">
        <v>82892</v>
      </c>
      <c r="I1816" s="16" cm="1">
        <f t="array" ref="I1816">_xlfn.IFS(B1816=2015,G1816/$H$1957,B1816=2016,G1816/$H$1958,B1816=2017,G1816/$H$1959,B1816=2018,G1816/$H$1960,B1816=2019,G1816/$H$1961,B1816=2020,G1816/$H$1962,B1816=2021,G1816/$H$1963,B1816=2022,G1816/$H$1964,B1816=2023,G1816/$H$1965)</f>
        <v>8.3927287148806277E-5</v>
      </c>
      <c r="J1816" s="10" cm="1">
        <f t="array" ref="J1816">_xlfn.IFS(B1816=2015,I1816*$G$2,B1816=2016,I1816*$G$3,B1816=2017,I1816*$G$4,B1816=2018,I1816*$G$5,B1816=2019,I1816*$G$6,B1816=2020,I1816*$G$7,B1816=2021,I1816*$G$8,B1816=2022,I1816*$G$9,B1816=2023,I1816*$G$10)</f>
        <v>14266.406678794436</v>
      </c>
      <c r="K1816" s="8">
        <f t="shared" si="28"/>
        <v>97158.406678794432</v>
      </c>
      <c r="L1816">
        <f>IFERROR(VLOOKUP(F1816,'LEAID Match'!$A$2:$B$240,2,FALSE),"")</f>
        <v>0</v>
      </c>
    </row>
    <row r="1817" spans="1:12" x14ac:dyDescent="0.2">
      <c r="A1817">
        <v>0</v>
      </c>
      <c r="B1817">
        <v>2015</v>
      </c>
      <c r="C1817" s="4" t="s">
        <v>379</v>
      </c>
      <c r="D1817" s="4" t="s">
        <v>576</v>
      </c>
      <c r="E1817" s="4" t="s">
        <v>578</v>
      </c>
      <c r="F1817" s="4" t="s">
        <v>349</v>
      </c>
      <c r="G1817" s="8">
        <v>13357</v>
      </c>
      <c r="I1817" s="16" cm="1">
        <f t="array" ref="I1817">_xlfn.IFS(B1817=2015,G1817/$H$1957,B1817=2016,G1817/$H$1958,B1817=2017,G1817/$H$1959,B1817=2018,G1817/$H$1960,B1817=2019,G1817/$H$1961,B1817=2020,G1817/$H$1962,B1817=2021,G1817/$H$1963,B1817=2022,G1817/$H$1964,B1817=2023,G1817/$H$1965)</f>
        <v>1.0315056651264946E-5</v>
      </c>
      <c r="J1817" s="10" cm="1">
        <f t="array" ref="J1817">_xlfn.IFS(B1817=2015,I1817*$G$2,B1817=2016,I1817*$G$3,B1817=2017,I1817*$G$4,B1817=2018,I1817*$G$5,B1817=2019,I1817*$G$6,B1817=2020,I1817*$G$7,B1817=2021,I1817*$G$8,B1817=2022,I1817*$G$9,B1817=2023,I1817*$G$10)</f>
        <v>2564.762247041393</v>
      </c>
      <c r="K1817" s="8">
        <f t="shared" si="28"/>
        <v>15921.762247041393</v>
      </c>
      <c r="L1817">
        <f>IFERROR(VLOOKUP(F1817,'LEAID Match'!$A$2:$B$240,2,FALSE),"")</f>
        <v>0</v>
      </c>
    </row>
    <row r="1818" spans="1:12" x14ac:dyDescent="0.2">
      <c r="A1818">
        <v>0</v>
      </c>
      <c r="B1818">
        <v>2016</v>
      </c>
      <c r="C1818" s="4" t="s">
        <v>379</v>
      </c>
      <c r="D1818" s="4" t="s">
        <v>576</v>
      </c>
      <c r="E1818" s="4" t="s">
        <v>578</v>
      </c>
      <c r="F1818" s="4" t="s">
        <v>349</v>
      </c>
      <c r="G1818" s="8">
        <v>14862</v>
      </c>
      <c r="I1818" s="16" cm="1">
        <f t="array" ref="I1818">_xlfn.IFS(B1818=2015,G1818/$H$1957,B1818=2016,G1818/$H$1958,B1818=2017,G1818/$H$1959,B1818=2018,G1818/$H$1960,B1818=2019,G1818/$H$1961,B1818=2020,G1818/$H$1962,B1818=2021,G1818/$H$1963,B1818=2022,G1818/$H$1964,B1818=2023,G1818/$H$1965)</f>
        <v>1.0433117646398282E-5</v>
      </c>
      <c r="J1818" s="10" cm="1">
        <f t="array" ref="J1818">_xlfn.IFS(B1818=2015,I1818*$G$2,B1818=2016,I1818*$G$3,B1818=2017,I1818*$G$4,B1818=2018,I1818*$G$5,B1818=2019,I1818*$G$6,B1818=2020,I1818*$G$7,B1818=2021,I1818*$G$8,B1818=2022,I1818*$G$9,B1818=2023,I1818*$G$10)</f>
        <v>2829.4936397055653</v>
      </c>
      <c r="K1818" s="8">
        <f t="shared" si="28"/>
        <v>17691.493639705564</v>
      </c>
      <c r="L1818">
        <f>IFERROR(VLOOKUP(F1818,'LEAID Match'!$A$2:$B$240,2,FALSE),"")</f>
        <v>0</v>
      </c>
    </row>
    <row r="1819" spans="1:12" x14ac:dyDescent="0.2">
      <c r="A1819">
        <v>0</v>
      </c>
      <c r="B1819">
        <v>2017</v>
      </c>
      <c r="C1819" s="4" t="s">
        <v>379</v>
      </c>
      <c r="D1819" s="4" t="s">
        <v>576</v>
      </c>
      <c r="E1819" s="4" t="s">
        <v>578</v>
      </c>
      <c r="F1819" s="4" t="s">
        <v>349</v>
      </c>
      <c r="G1819" s="8">
        <v>9338</v>
      </c>
      <c r="I1819" s="16" cm="1">
        <f t="array" ref="I1819">_xlfn.IFS(B1819=2015,G1819/$H$1957,B1819=2016,G1819/$H$1958,B1819=2017,G1819/$H$1959,B1819=2018,G1819/$H$1960,B1819=2019,G1819/$H$1961,B1819=2020,G1819/$H$1962,B1819=2021,G1819/$H$1963,B1819=2022,G1819/$H$1964,B1819=2023,G1819/$H$1965)</f>
        <v>1.245887919437114E-5</v>
      </c>
      <c r="J1819" s="10" cm="1">
        <f t="array" ref="J1819">_xlfn.IFS(B1819=2015,I1819*$G$2,B1819=2016,I1819*$G$3,B1819=2017,I1819*$G$4,B1819=2018,I1819*$G$5,B1819=2019,I1819*$G$6,B1819=2020,I1819*$G$7,B1819=2021,I1819*$G$8,B1819=2022,I1819*$G$9,B1819=2023,I1819*$G$10)</f>
        <v>1844.9928977397317</v>
      </c>
      <c r="K1819" s="8">
        <f t="shared" si="28"/>
        <v>11182.992897739732</v>
      </c>
      <c r="L1819">
        <f>IFERROR(VLOOKUP(F1819,'LEAID Match'!$A$2:$B$240,2,FALSE),"")</f>
        <v>0</v>
      </c>
    </row>
    <row r="1820" spans="1:12" x14ac:dyDescent="0.2">
      <c r="A1820">
        <v>0</v>
      </c>
      <c r="B1820">
        <v>2018</v>
      </c>
      <c r="C1820" s="4" t="s">
        <v>379</v>
      </c>
      <c r="D1820" s="4" t="s">
        <v>576</v>
      </c>
      <c r="E1820" s="4" t="s">
        <v>578</v>
      </c>
      <c r="F1820" s="4" t="s">
        <v>349</v>
      </c>
      <c r="G1820" s="8">
        <v>10150</v>
      </c>
      <c r="I1820" s="16" cm="1">
        <f t="array" ref="I1820">_xlfn.IFS(B1820=2015,G1820/$H$1957,B1820=2016,G1820/$H$1958,B1820=2017,G1820/$H$1959,B1820=2018,G1820/$H$1960,B1820=2019,G1820/$H$1961,B1820=2020,G1820/$H$1962,B1820=2021,G1820/$H$1963,B1820=2022,G1820/$H$1964,B1820=2023,G1820/$H$1965)</f>
        <v>1.3060111040949936E-5</v>
      </c>
      <c r="J1820" s="10" cm="1">
        <f t="array" ref="J1820">_xlfn.IFS(B1820=2015,I1820*$G$2,B1820=2016,I1820*$G$3,B1820=2017,I1820*$G$4,B1820=2018,I1820*$G$5,B1820=2019,I1820*$G$6,B1820=2020,I1820*$G$7,B1820=2021,I1820*$G$8,B1820=2022,I1820*$G$9,B1820=2023,I1820*$G$10)</f>
        <v>1965.8591617595089</v>
      </c>
      <c r="K1820" s="8">
        <f t="shared" si="28"/>
        <v>12115.859161759508</v>
      </c>
      <c r="L1820">
        <f>IFERROR(VLOOKUP(F1820,'LEAID Match'!$A$2:$B$240,2,FALSE),"")</f>
        <v>0</v>
      </c>
    </row>
    <row r="1821" spans="1:12" x14ac:dyDescent="0.2">
      <c r="A1821">
        <v>0</v>
      </c>
      <c r="B1821">
        <v>2019</v>
      </c>
      <c r="C1821" s="4" t="s">
        <v>379</v>
      </c>
      <c r="D1821" s="4" t="s">
        <v>576</v>
      </c>
      <c r="E1821" s="4" t="s">
        <v>578</v>
      </c>
      <c r="F1821" s="4" t="s">
        <v>349</v>
      </c>
      <c r="G1821" s="8">
        <v>9686</v>
      </c>
      <c r="I1821" s="16" cm="1">
        <f t="array" ref="I1821">_xlfn.IFS(B1821=2015,G1821/$H$1957,B1821=2016,G1821/$H$1958,B1821=2017,G1821/$H$1959,B1821=2018,G1821/$H$1960,B1821=2019,G1821/$H$1961,B1821=2020,G1821/$H$1962,B1821=2021,G1821/$H$1963,B1821=2022,G1821/$H$1964,B1821=2023,G1821/$H$1965)</f>
        <v>1.2037728363387538E-5</v>
      </c>
      <c r="J1821" s="10" cm="1">
        <f t="array" ref="J1821">_xlfn.IFS(B1821=2015,I1821*$G$2,B1821=2016,I1821*$G$3,B1821=2017,I1821*$G$4,B1821=2018,I1821*$G$5,B1821=2019,I1821*$G$6,B1821=2020,I1821*$G$7,B1821=2021,I1821*$G$8,B1821=2022,I1821*$G$9,B1821=2023,I1821*$G$10)</f>
        <v>1902.299606412266</v>
      </c>
      <c r="K1821" s="8">
        <f t="shared" si="28"/>
        <v>11588.299606412265</v>
      </c>
      <c r="L1821">
        <f>IFERROR(VLOOKUP(F1821,'LEAID Match'!$A$2:$B$240,2,FALSE),"")</f>
        <v>0</v>
      </c>
    </row>
    <row r="1822" spans="1:12" x14ac:dyDescent="0.2">
      <c r="A1822">
        <v>0</v>
      </c>
      <c r="B1822">
        <v>2020</v>
      </c>
      <c r="C1822" s="4" t="s">
        <v>379</v>
      </c>
      <c r="D1822" s="4" t="s">
        <v>576</v>
      </c>
      <c r="E1822" s="4" t="s">
        <v>578</v>
      </c>
      <c r="F1822" s="4" t="s">
        <v>349</v>
      </c>
      <c r="G1822" s="8">
        <v>11651</v>
      </c>
      <c r="I1822" s="16" cm="1">
        <f t="array" ref="I1822">_xlfn.IFS(B1822=2015,G1822/$H$1957,B1822=2016,G1822/$H$1958,B1822=2017,G1822/$H$1959,B1822=2018,G1822/$H$1960,B1822=2019,G1822/$H$1961,B1822=2020,G1822/$H$1962,B1822=2021,G1822/$H$1963,B1822=2022,G1822/$H$1964,B1822=2023,G1822/$H$1965)</f>
        <v>1.3400553497032123E-5</v>
      </c>
      <c r="J1822" s="10" cm="1">
        <f t="array" ref="J1822">_xlfn.IFS(B1822=2015,I1822*$G$2,B1822=2016,I1822*$G$3,B1822=2017,I1822*$G$4,B1822=2018,I1822*$G$5,B1822=2019,I1822*$G$6,B1822=2020,I1822*$G$7,B1822=2021,I1822*$G$8,B1822=2022,I1822*$G$9,B1822=2023,I1822*$G$10)</f>
        <v>2314.0597596228245</v>
      </c>
      <c r="K1822" s="8">
        <f t="shared" si="28"/>
        <v>13965.059759622825</v>
      </c>
      <c r="L1822">
        <f>IFERROR(VLOOKUP(F1822,'LEAID Match'!$A$2:$B$240,2,FALSE),"")</f>
        <v>0</v>
      </c>
    </row>
    <row r="1823" spans="1:12" x14ac:dyDescent="0.2">
      <c r="A1823">
        <v>0</v>
      </c>
      <c r="B1823">
        <v>2021</v>
      </c>
      <c r="C1823" s="4" t="s">
        <v>379</v>
      </c>
      <c r="D1823" s="4" t="s">
        <v>576</v>
      </c>
      <c r="E1823" s="4" t="s">
        <v>578</v>
      </c>
      <c r="F1823" s="4" t="s">
        <v>349</v>
      </c>
      <c r="G1823" s="8">
        <v>9943</v>
      </c>
      <c r="I1823" s="16" cm="1">
        <f t="array" ref="I1823">_xlfn.IFS(B1823=2015,G1823/$H$1957,B1823=2016,G1823/$H$1958,B1823=2017,G1823/$H$1959,B1823=2018,G1823/$H$1960,B1823=2019,G1823/$H$1961,B1823=2020,G1823/$H$1962,B1823=2021,G1823/$H$1963,B1823=2022,G1823/$H$1964,B1823=2023,G1823/$H$1965)</f>
        <v>1.1362809603477783E-5</v>
      </c>
      <c r="J1823" s="10" cm="1">
        <f t="array" ref="J1823">_xlfn.IFS(B1823=2015,I1823*$G$2,B1823=2016,I1823*$G$3,B1823=2017,I1823*$G$4,B1823=2018,I1823*$G$5,B1823=2019,I1823*$G$6,B1823=2020,I1823*$G$7,B1823=2021,I1823*$G$8,B1823=2022,I1823*$G$9,B1823=2023,I1823*$G$10)</f>
        <v>1950.0494322192717</v>
      </c>
      <c r="K1823" s="8">
        <f t="shared" si="28"/>
        <v>11893.049432219272</v>
      </c>
      <c r="L1823">
        <f>IFERROR(VLOOKUP(F1823,'LEAID Match'!$A$2:$B$240,2,FALSE),"")</f>
        <v>0</v>
      </c>
    </row>
    <row r="1824" spans="1:12" x14ac:dyDescent="0.2">
      <c r="A1824">
        <v>0</v>
      </c>
      <c r="B1824">
        <v>2022</v>
      </c>
      <c r="C1824" s="4" t="s">
        <v>379</v>
      </c>
      <c r="D1824" s="4" t="s">
        <v>576</v>
      </c>
      <c r="E1824" s="4" t="s">
        <v>578</v>
      </c>
      <c r="F1824" s="4" t="s">
        <v>349</v>
      </c>
      <c r="G1824" s="8">
        <v>10602</v>
      </c>
      <c r="I1824" s="16" cm="1">
        <f t="array" ref="I1824">_xlfn.IFS(B1824=2015,G1824/$H$1957,B1824=2016,G1824/$H$1958,B1824=2017,G1824/$H$1959,B1824=2018,G1824/$H$1960,B1824=2019,G1824/$H$1961,B1824=2020,G1824/$H$1962,B1824=2021,G1824/$H$1963,B1824=2022,G1824/$H$1964,B1824=2023,G1824/$H$1965)</f>
        <v>1.1395054068677089E-5</v>
      </c>
      <c r="J1824" s="10" cm="1">
        <f t="array" ref="J1824">_xlfn.IFS(B1824=2015,I1824*$G$2,B1824=2016,I1824*$G$3,B1824=2017,I1824*$G$4,B1824=2018,I1824*$G$5,B1824=2019,I1824*$G$6,B1824=2020,I1824*$G$7,B1824=2021,I1824*$G$8,B1824=2022,I1824*$G$9,B1824=2023,I1824*$G$10)</f>
        <v>1932.4376396266946</v>
      </c>
      <c r="K1824" s="8">
        <f t="shared" si="28"/>
        <v>12534.437639626694</v>
      </c>
      <c r="L1824">
        <f>IFERROR(VLOOKUP(F1824,'LEAID Match'!$A$2:$B$240,2,FALSE),"")</f>
        <v>0</v>
      </c>
    </row>
    <row r="1825" spans="1:12" x14ac:dyDescent="0.2">
      <c r="A1825">
        <v>0</v>
      </c>
      <c r="B1825">
        <v>2023</v>
      </c>
      <c r="C1825" s="4" t="s">
        <v>379</v>
      </c>
      <c r="D1825" s="4" t="s">
        <v>576</v>
      </c>
      <c r="E1825" s="4" t="s">
        <v>578</v>
      </c>
      <c r="F1825" s="4" t="s">
        <v>349</v>
      </c>
      <c r="G1825" s="8">
        <v>9672</v>
      </c>
      <c r="I1825" s="16" cm="1">
        <f t="array" ref="I1825">_xlfn.IFS(B1825=2015,G1825/$H$1957,B1825=2016,G1825/$H$1958,B1825=2017,G1825/$H$1959,B1825=2018,G1825/$H$1960,B1825=2019,G1825/$H$1961,B1825=2020,G1825/$H$1962,B1825=2021,G1825/$H$1963,B1825=2022,G1825/$H$1964,B1825=2023,G1825/$H$1965)</f>
        <v>9.7927993208422325E-6</v>
      </c>
      <c r="J1825" s="10" cm="1">
        <f t="array" ref="J1825">_xlfn.IFS(B1825=2015,I1825*$G$2,B1825=2016,I1825*$G$3,B1825=2017,I1825*$G$4,B1825=2018,I1825*$G$5,B1825=2019,I1825*$G$6,B1825=2020,I1825*$G$7,B1825=2021,I1825*$G$8,B1825=2022,I1825*$G$9,B1825=2023,I1825*$G$10)</f>
        <v>1664.6321164563503</v>
      </c>
      <c r="K1825" s="8">
        <f t="shared" si="28"/>
        <v>11336.632116456351</v>
      </c>
      <c r="L1825">
        <f>IFERROR(VLOOKUP(F1825,'LEAID Match'!$A$2:$B$240,2,FALSE),"")</f>
        <v>0</v>
      </c>
    </row>
    <row r="1826" spans="1:12" x14ac:dyDescent="0.2">
      <c r="A1826">
        <v>0</v>
      </c>
      <c r="B1826">
        <v>2015</v>
      </c>
      <c r="C1826" s="4" t="s">
        <v>380</v>
      </c>
      <c r="D1826" s="4" t="s">
        <v>576</v>
      </c>
      <c r="E1826" s="4" t="s">
        <v>578</v>
      </c>
      <c r="F1826" s="4" t="s">
        <v>350</v>
      </c>
      <c r="G1826" s="8">
        <v>29214</v>
      </c>
      <c r="I1826" s="16" cm="1">
        <f t="array" ref="I1826">_xlfn.IFS(B1826=2015,G1826/$H$1957,B1826=2016,G1826/$H$1958,B1826=2017,G1826/$H$1959,B1826=2018,G1826/$H$1960,B1826=2019,G1826/$H$1961,B1826=2020,G1826/$H$1962,B1826=2021,G1826/$H$1963,B1826=2022,G1826/$H$1964,B1826=2023,G1826/$H$1965)</f>
        <v>2.2560759527592585E-5</v>
      </c>
      <c r="J1826" s="10" cm="1">
        <f t="array" ref="J1826">_xlfn.IFS(B1826=2015,I1826*$G$2,B1826=2016,I1826*$G$3,B1826=2017,I1826*$G$4,B1826=2018,I1826*$G$5,B1826=2019,I1826*$G$6,B1826=2020,I1826*$G$7,B1826=2021,I1826*$G$8,B1826=2022,I1826*$G$9,B1826=2023,I1826*$G$10)</f>
        <v>5609.5653428964042</v>
      </c>
      <c r="K1826" s="8">
        <f t="shared" si="28"/>
        <v>34823.565342896407</v>
      </c>
      <c r="L1826">
        <f>IFERROR(VLOOKUP(F1826,'LEAID Match'!$A$2:$B$240,2,FALSE),"")</f>
        <v>0</v>
      </c>
    </row>
    <row r="1827" spans="1:12" x14ac:dyDescent="0.2">
      <c r="A1827">
        <v>0</v>
      </c>
      <c r="B1827">
        <v>2016</v>
      </c>
      <c r="C1827" s="4" t="s">
        <v>380</v>
      </c>
      <c r="D1827" s="4" t="s">
        <v>576</v>
      </c>
      <c r="E1827" s="4" t="s">
        <v>578</v>
      </c>
      <c r="F1827" s="4" t="s">
        <v>350</v>
      </c>
      <c r="G1827" s="8">
        <v>25585</v>
      </c>
      <c r="I1827" s="16" cm="1">
        <f t="array" ref="I1827">_xlfn.IFS(B1827=2015,G1827/$H$1957,B1827=2016,G1827/$H$1958,B1827=2017,G1827/$H$1959,B1827=2018,G1827/$H$1960,B1827=2019,G1827/$H$1961,B1827=2020,G1827/$H$1962,B1827=2021,G1827/$H$1963,B1827=2022,G1827/$H$1964,B1827=2023,G1827/$H$1965)</f>
        <v>1.7960659062246002E-5</v>
      </c>
      <c r="J1827" s="10" cm="1">
        <f t="array" ref="J1827">_xlfn.IFS(B1827=2015,I1827*$G$2,B1827=2016,I1827*$G$3,B1827=2017,I1827*$G$4,B1827=2018,I1827*$G$5,B1827=2019,I1827*$G$6,B1827=2020,I1827*$G$7,B1827=2021,I1827*$G$8,B1827=2022,I1827*$G$9,B1827=2023,I1827*$G$10)</f>
        <v>4870.9860565110275</v>
      </c>
      <c r="K1827" s="8">
        <f t="shared" si="28"/>
        <v>30455.986056511028</v>
      </c>
      <c r="L1827">
        <f>IFERROR(VLOOKUP(F1827,'LEAID Match'!$A$2:$B$240,2,FALSE),"")</f>
        <v>0</v>
      </c>
    </row>
    <row r="1828" spans="1:12" x14ac:dyDescent="0.2">
      <c r="A1828">
        <v>0</v>
      </c>
      <c r="B1828">
        <v>2017</v>
      </c>
      <c r="C1828" s="4" t="s">
        <v>380</v>
      </c>
      <c r="D1828" s="4" t="s">
        <v>576</v>
      </c>
      <c r="E1828" s="4" t="s">
        <v>578</v>
      </c>
      <c r="F1828" s="4" t="s">
        <v>350</v>
      </c>
      <c r="G1828" s="8">
        <v>17708</v>
      </c>
      <c r="I1828" s="16" cm="1">
        <f t="array" ref="I1828">_xlfn.IFS(B1828=2015,G1828/$H$1957,B1828=2016,G1828/$H$1958,B1828=2017,G1828/$H$1959,B1828=2018,G1828/$H$1960,B1828=2019,G1828/$H$1961,B1828=2020,G1828/$H$1962,B1828=2021,G1828/$H$1963,B1828=2022,G1828/$H$1964,B1828=2023,G1828/$H$1965)</f>
        <v>2.3626240391296225E-5</v>
      </c>
      <c r="J1828" s="10" cm="1">
        <f t="array" ref="J1828">_xlfn.IFS(B1828=2015,I1828*$G$2,B1828=2016,I1828*$G$3,B1828=2017,I1828*$G$4,B1828=2018,I1828*$G$5,B1828=2019,I1828*$G$6,B1828=2020,I1828*$G$7,B1828=2021,I1828*$G$8,B1828=2022,I1828*$G$9,B1828=2023,I1828*$G$10)</f>
        <v>3498.7293031886024</v>
      </c>
      <c r="K1828" s="8">
        <f t="shared" si="28"/>
        <v>21206.729303188604</v>
      </c>
      <c r="L1828">
        <f>IFERROR(VLOOKUP(F1828,'LEAID Match'!$A$2:$B$240,2,FALSE),"")</f>
        <v>0</v>
      </c>
    </row>
    <row r="1829" spans="1:12" x14ac:dyDescent="0.2">
      <c r="A1829">
        <v>0</v>
      </c>
      <c r="B1829">
        <v>2018</v>
      </c>
      <c r="C1829" s="4" t="s">
        <v>380</v>
      </c>
      <c r="D1829" s="4" t="s">
        <v>576</v>
      </c>
      <c r="E1829" s="4" t="s">
        <v>578</v>
      </c>
      <c r="F1829" s="4" t="s">
        <v>350</v>
      </c>
      <c r="G1829" s="8">
        <v>17531</v>
      </c>
      <c r="I1829" s="16" cm="1">
        <f t="array" ref="I1829">_xlfn.IFS(B1829=2015,G1829/$H$1957,B1829=2016,G1829/$H$1958,B1829=2017,G1829/$H$1959,B1829=2018,G1829/$H$1960,B1829=2019,G1829/$H$1961,B1829=2020,G1829/$H$1962,B1829=2021,G1829/$H$1963,B1829=2022,G1829/$H$1964,B1829=2023,G1829/$H$1965)</f>
        <v>2.2557320853092939E-5</v>
      </c>
      <c r="J1829" s="10" cm="1">
        <f t="array" ref="J1829">_xlfn.IFS(B1829=2015,I1829*$G$2,B1829=2016,I1829*$G$3,B1829=2017,I1829*$G$4,B1829=2018,I1829*$G$5,B1829=2019,I1829*$G$6,B1829=2020,I1829*$G$7,B1829=2021,I1829*$G$8,B1829=2022,I1829*$G$9,B1829=2023,I1829*$G$10)</f>
        <v>3395.4164497345769</v>
      </c>
      <c r="K1829" s="8">
        <f t="shared" si="28"/>
        <v>20926.416449734577</v>
      </c>
      <c r="L1829">
        <f>IFERROR(VLOOKUP(F1829,'LEAID Match'!$A$2:$B$240,2,FALSE),"")</f>
        <v>0</v>
      </c>
    </row>
    <row r="1830" spans="1:12" x14ac:dyDescent="0.2">
      <c r="A1830">
        <v>0</v>
      </c>
      <c r="B1830">
        <v>2019</v>
      </c>
      <c r="C1830" s="4" t="s">
        <v>380</v>
      </c>
      <c r="D1830" s="4" t="s">
        <v>576</v>
      </c>
      <c r="E1830" s="4" t="s">
        <v>578</v>
      </c>
      <c r="F1830" s="4" t="s">
        <v>350</v>
      </c>
      <c r="G1830" s="8">
        <v>21127</v>
      </c>
      <c r="I1830" s="16" cm="1">
        <f t="array" ref="I1830">_xlfn.IFS(B1830=2015,G1830/$H$1957,B1830=2016,G1830/$H$1958,B1830=2017,G1830/$H$1959,B1830=2018,G1830/$H$1960,B1830=2019,G1830/$H$1961,B1830=2020,G1830/$H$1962,B1830=2021,G1830/$H$1963,B1830=2022,G1830/$H$1964,B1830=2023,G1830/$H$1965)</f>
        <v>2.6256564849606494E-5</v>
      </c>
      <c r="J1830" s="10" cm="1">
        <f t="array" ref="J1830">_xlfn.IFS(B1830=2015,I1830*$G$2,B1830=2016,I1830*$G$3,B1830=2017,I1830*$G$4,B1830=2018,I1830*$G$5,B1830=2019,I1830*$G$6,B1830=2020,I1830*$G$7,B1830=2021,I1830*$G$8,B1830=2022,I1830*$G$9,B1830=2023,I1830*$G$10)</f>
        <v>4149.2756333545267</v>
      </c>
      <c r="K1830" s="8">
        <f t="shared" si="28"/>
        <v>25276.275633354526</v>
      </c>
      <c r="L1830">
        <f>IFERROR(VLOOKUP(F1830,'LEAID Match'!$A$2:$B$240,2,FALSE),"")</f>
        <v>0</v>
      </c>
    </row>
    <row r="1831" spans="1:12" x14ac:dyDescent="0.2">
      <c r="A1831">
        <v>0</v>
      </c>
      <c r="B1831">
        <v>2020</v>
      </c>
      <c r="C1831" s="4" t="s">
        <v>380</v>
      </c>
      <c r="D1831" s="4" t="s">
        <v>576</v>
      </c>
      <c r="E1831" s="4" t="s">
        <v>578</v>
      </c>
      <c r="F1831" s="4" t="s">
        <v>350</v>
      </c>
      <c r="G1831" s="8">
        <v>24203</v>
      </c>
      <c r="I1831" s="16" cm="1">
        <f t="array" ref="I1831">_xlfn.IFS(B1831=2015,G1831/$H$1957,B1831=2016,G1831/$H$1958,B1831=2017,G1831/$H$1959,B1831=2018,G1831/$H$1960,B1831=2019,G1831/$H$1961,B1831=2020,G1831/$H$1962,B1831=2021,G1831/$H$1963,B1831=2022,G1831/$H$1964,B1831=2023,G1831/$H$1965)</f>
        <v>2.7837404196092047E-5</v>
      </c>
      <c r="J1831" s="10" cm="1">
        <f t="array" ref="J1831">_xlfn.IFS(B1831=2015,I1831*$G$2,B1831=2016,I1831*$G$3,B1831=2017,I1831*$G$4,B1831=2018,I1831*$G$5,B1831=2019,I1831*$G$6,B1831=2020,I1831*$G$7,B1831=2021,I1831*$G$8,B1831=2022,I1831*$G$9,B1831=2023,I1831*$G$10)</f>
        <v>4807.0713554331141</v>
      </c>
      <c r="K1831" s="8">
        <f t="shared" si="28"/>
        <v>29010.071355433116</v>
      </c>
      <c r="L1831">
        <f>IFERROR(VLOOKUP(F1831,'LEAID Match'!$A$2:$B$240,2,FALSE),"")</f>
        <v>0</v>
      </c>
    </row>
    <row r="1832" spans="1:12" x14ac:dyDescent="0.2">
      <c r="A1832">
        <v>0</v>
      </c>
      <c r="B1832">
        <v>2021</v>
      </c>
      <c r="C1832" s="4" t="s">
        <v>380</v>
      </c>
      <c r="D1832" s="4" t="s">
        <v>576</v>
      </c>
      <c r="E1832" s="4" t="s">
        <v>578</v>
      </c>
      <c r="F1832" s="4" t="s">
        <v>350</v>
      </c>
      <c r="G1832" s="8">
        <v>27341</v>
      </c>
      <c r="I1832" s="16" cm="1">
        <f t="array" ref="I1832">_xlfn.IFS(B1832=2015,G1832/$H$1957,B1832=2016,G1832/$H$1958,B1832=2017,G1832/$H$1959,B1832=2018,G1832/$H$1960,B1832=2019,G1832/$H$1961,B1832=2020,G1832/$H$1962,B1832=2021,G1832/$H$1963,B1832=2022,G1832/$H$1964,B1832=2023,G1832/$H$1965)</f>
        <v>3.1245155121058641E-5</v>
      </c>
      <c r="J1832" s="10" cm="1">
        <f t="array" ref="J1832">_xlfn.IFS(B1832=2015,I1832*$G$2,B1832=2016,I1832*$G$3,B1832=2017,I1832*$G$4,B1832=2018,I1832*$G$5,B1832=2019,I1832*$G$6,B1832=2020,I1832*$G$7,B1832=2021,I1832*$G$8,B1832=2022,I1832*$G$9,B1832=2023,I1832*$G$10)</f>
        <v>5362.194662205281</v>
      </c>
      <c r="K1832" s="8">
        <f t="shared" si="28"/>
        <v>32703.194662205282</v>
      </c>
      <c r="L1832">
        <f>IFERROR(VLOOKUP(F1832,'LEAID Match'!$A$2:$B$240,2,FALSE),"")</f>
        <v>0</v>
      </c>
    </row>
    <row r="1833" spans="1:12" x14ac:dyDescent="0.2">
      <c r="A1833">
        <v>0</v>
      </c>
      <c r="B1833">
        <v>2022</v>
      </c>
      <c r="C1833" s="4" t="s">
        <v>380</v>
      </c>
      <c r="D1833" s="4" t="s">
        <v>576</v>
      </c>
      <c r="E1833" s="4" t="s">
        <v>578</v>
      </c>
      <c r="F1833" s="4" t="s">
        <v>350</v>
      </c>
      <c r="G1833" s="8">
        <v>30182</v>
      </c>
      <c r="I1833" s="16" cm="1">
        <f t="array" ref="I1833">_xlfn.IFS(B1833=2015,G1833/$H$1957,B1833=2016,G1833/$H$1958,B1833=2017,G1833/$H$1959,B1833=2018,G1833/$H$1960,B1833=2019,G1833/$H$1961,B1833=2020,G1833/$H$1962,B1833=2021,G1833/$H$1963,B1833=2022,G1833/$H$1964,B1833=2023,G1833/$H$1965)</f>
        <v>3.2439683257952446E-5</v>
      </c>
      <c r="J1833" s="10" cm="1">
        <f t="array" ref="J1833">_xlfn.IFS(B1833=2015,I1833*$G$2,B1833=2016,I1833*$G$3,B1833=2017,I1833*$G$4,B1833=2018,I1833*$G$5,B1833=2019,I1833*$G$6,B1833=2020,I1833*$G$7,B1833=2021,I1833*$G$8,B1833=2022,I1833*$G$9,B1833=2023,I1833*$G$10)</f>
        <v>5501.3047386543003</v>
      </c>
      <c r="K1833" s="8">
        <f t="shared" si="28"/>
        <v>35683.304738654304</v>
      </c>
      <c r="L1833">
        <f>IFERROR(VLOOKUP(F1833,'LEAID Match'!$A$2:$B$240,2,FALSE),"")</f>
        <v>0</v>
      </c>
    </row>
    <row r="1834" spans="1:12" x14ac:dyDescent="0.2">
      <c r="A1834">
        <v>0</v>
      </c>
      <c r="B1834">
        <v>2023</v>
      </c>
      <c r="C1834" s="4" t="s">
        <v>380</v>
      </c>
      <c r="D1834" s="4" t="s">
        <v>576</v>
      </c>
      <c r="E1834" s="4" t="s">
        <v>578</v>
      </c>
      <c r="F1834" s="4" t="s">
        <v>350</v>
      </c>
      <c r="G1834" s="8">
        <v>32433</v>
      </c>
      <c r="I1834" s="16" cm="1">
        <f t="array" ref="I1834">_xlfn.IFS(B1834=2015,G1834/$H$1957,B1834=2016,G1834/$H$1958,B1834=2017,G1834/$H$1959,B1834=2018,G1834/$H$1960,B1834=2019,G1834/$H$1961,B1834=2020,G1834/$H$1962,B1834=2021,G1834/$H$1963,B1834=2022,G1834/$H$1964,B1834=2023,G1834/$H$1965)</f>
        <v>3.2838074893804394E-5</v>
      </c>
      <c r="J1834" s="10" cm="1">
        <f t="array" ref="J1834">_xlfn.IFS(B1834=2015,I1834*$G$2,B1834=2016,I1834*$G$3,B1834=2017,I1834*$G$4,B1834=2018,I1834*$G$5,B1834=2019,I1834*$G$6,B1834=2020,I1834*$G$7,B1834=2021,I1834*$G$8,B1834=2022,I1834*$G$9,B1834=2023,I1834*$G$10)</f>
        <v>5581.990636169231</v>
      </c>
      <c r="K1834" s="8">
        <f t="shared" si="28"/>
        <v>38014.990636169234</v>
      </c>
      <c r="L1834">
        <f>IFERROR(VLOOKUP(F1834,'LEAID Match'!$A$2:$B$240,2,FALSE),"")</f>
        <v>0</v>
      </c>
    </row>
    <row r="1835" spans="1:12" x14ac:dyDescent="0.2">
      <c r="A1835">
        <v>0</v>
      </c>
      <c r="B1835">
        <v>2015</v>
      </c>
      <c r="C1835" s="4" t="s">
        <v>381</v>
      </c>
      <c r="D1835" s="4" t="s">
        <v>576</v>
      </c>
      <c r="E1835" s="4" t="s">
        <v>578</v>
      </c>
      <c r="F1835" s="4" t="s">
        <v>351</v>
      </c>
      <c r="G1835" s="8">
        <v>6661</v>
      </c>
      <c r="I1835" s="16" cm="1">
        <f t="array" ref="I1835">_xlfn.IFS(B1835=2015,G1835/$H$1957,B1835=2016,G1835/$H$1958,B1835=2017,G1835/$H$1959,B1835=2018,G1835/$H$1960,B1835=2019,G1835/$H$1961,B1835=2020,G1835/$H$1962,B1835=2021,G1835/$H$1963,B1835=2022,G1835/$H$1964,B1835=2023,G1835/$H$1965)</f>
        <v>5.1440138020570342E-6</v>
      </c>
      <c r="J1835" s="10" cm="1">
        <f t="array" ref="J1835">_xlfn.IFS(B1835=2015,I1835*$G$2,B1835=2016,I1835*$G$3,B1835=2017,I1835*$G$4,B1835=2018,I1835*$G$5,B1835=2019,I1835*$G$6,B1835=2020,I1835*$G$7,B1835=2021,I1835*$G$8,B1835=2022,I1835*$G$9,B1835=2023,I1835*$G$10)</f>
        <v>1279.0208375790012</v>
      </c>
      <c r="K1835" s="8">
        <f t="shared" si="28"/>
        <v>7940.0208375790007</v>
      </c>
      <c r="L1835">
        <f>IFERROR(VLOOKUP(F1835,'LEAID Match'!$A$2:$B$240,2,FALSE),"")</f>
        <v>0</v>
      </c>
    </row>
    <row r="1836" spans="1:12" x14ac:dyDescent="0.2">
      <c r="A1836">
        <v>0</v>
      </c>
      <c r="B1836">
        <v>2016</v>
      </c>
      <c r="C1836" s="4" t="s">
        <v>381</v>
      </c>
      <c r="D1836" s="4" t="s">
        <v>576</v>
      </c>
      <c r="E1836" s="4" t="s">
        <v>578</v>
      </c>
      <c r="F1836" s="4" t="s">
        <v>351</v>
      </c>
      <c r="G1836" s="8">
        <v>7608</v>
      </c>
      <c r="I1836" s="16" cm="1">
        <f t="array" ref="I1836">_xlfn.IFS(B1836=2015,G1836/$H$1957,B1836=2016,G1836/$H$1958,B1836=2017,G1836/$H$1959,B1836=2018,G1836/$H$1960,B1836=2019,G1836/$H$1961,B1836=2020,G1836/$H$1962,B1836=2021,G1836/$H$1963,B1836=2022,G1836/$H$1964,B1836=2023,G1836/$H$1965)</f>
        <v>5.3408127475304895E-6</v>
      </c>
      <c r="J1836" s="10" cm="1">
        <f t="array" ref="J1836">_xlfn.IFS(B1836=2015,I1836*$G$2,B1836=2016,I1836*$G$3,B1836=2017,I1836*$G$4,B1836=2018,I1836*$G$5,B1836=2019,I1836*$G$6,B1836=2020,I1836*$G$7,B1836=2021,I1836*$G$8,B1836=2022,I1836*$G$9,B1836=2023,I1836*$G$10)</f>
        <v>1448.4448668335313</v>
      </c>
      <c r="K1836" s="8">
        <f t="shared" si="28"/>
        <v>9056.4448668335317</v>
      </c>
      <c r="L1836">
        <f>IFERROR(VLOOKUP(F1836,'LEAID Match'!$A$2:$B$240,2,FALSE),"")</f>
        <v>0</v>
      </c>
    </row>
    <row r="1837" spans="1:12" x14ac:dyDescent="0.2">
      <c r="A1837">
        <v>0</v>
      </c>
      <c r="B1837">
        <v>2017</v>
      </c>
      <c r="C1837" s="4" t="s">
        <v>381</v>
      </c>
      <c r="D1837" s="4" t="s">
        <v>576</v>
      </c>
      <c r="E1837" s="4" t="s">
        <v>578</v>
      </c>
      <c r="F1837" s="4" t="s">
        <v>351</v>
      </c>
      <c r="G1837" s="8">
        <v>3804</v>
      </c>
      <c r="I1837" s="16" cm="1">
        <f t="array" ref="I1837">_xlfn.IFS(B1837=2015,G1837/$H$1957,B1837=2016,G1837/$H$1958,B1837=2017,G1837/$H$1959,B1837=2018,G1837/$H$1960,B1837=2019,G1837/$H$1961,B1837=2020,G1837/$H$1962,B1837=2021,G1837/$H$1963,B1837=2022,G1837/$H$1964,B1837=2023,G1837/$H$1965)</f>
        <v>5.0753455188892496E-6</v>
      </c>
      <c r="J1837" s="10" cm="1">
        <f t="array" ref="J1837">_xlfn.IFS(B1837=2015,I1837*$G$2,B1837=2016,I1837*$G$3,B1837=2017,I1837*$G$4,B1837=2018,I1837*$G$5,B1837=2019,I1837*$G$6,B1837=2020,I1837*$G$7,B1837=2021,I1837*$G$8,B1837=2022,I1837*$G$9,B1837=2023,I1837*$G$10)</f>
        <v>751.59059573805303</v>
      </c>
      <c r="K1837" s="8">
        <f t="shared" si="28"/>
        <v>4555.5905957380528</v>
      </c>
      <c r="L1837">
        <f>IFERROR(VLOOKUP(F1837,'LEAID Match'!$A$2:$B$240,2,FALSE),"")</f>
        <v>0</v>
      </c>
    </row>
    <row r="1838" spans="1:12" x14ac:dyDescent="0.2">
      <c r="A1838">
        <v>0</v>
      </c>
      <c r="B1838">
        <v>2018</v>
      </c>
      <c r="C1838" s="4" t="s">
        <v>381</v>
      </c>
      <c r="D1838" s="4" t="s">
        <v>576</v>
      </c>
      <c r="E1838" s="4" t="s">
        <v>578</v>
      </c>
      <c r="F1838" s="4" t="s">
        <v>351</v>
      </c>
      <c r="G1838" s="8">
        <v>2853</v>
      </c>
      <c r="I1838" s="16" cm="1">
        <f t="array" ref="I1838">_xlfn.IFS(B1838=2015,G1838/$H$1957,B1838=2016,G1838/$H$1958,B1838=2017,G1838/$H$1959,B1838=2018,G1838/$H$1960,B1838=2019,G1838/$H$1961,B1838=2020,G1838/$H$1962,B1838=2021,G1838/$H$1963,B1838=2022,G1838/$H$1964,B1838=2023,G1838/$H$1965)</f>
        <v>3.6709849063872086E-6</v>
      </c>
      <c r="J1838" s="10" cm="1">
        <f t="array" ref="J1838">_xlfn.IFS(B1838=2015,I1838*$G$2,B1838=2016,I1838*$G$3,B1838=2017,I1838*$G$4,B1838=2018,I1838*$G$5,B1838=2019,I1838*$G$6,B1838=2020,I1838*$G$7,B1838=2021,I1838*$G$8,B1838=2022,I1838*$G$9,B1838=2023,I1838*$G$10)</f>
        <v>552.57105305417531</v>
      </c>
      <c r="K1838" s="8">
        <f t="shared" si="28"/>
        <v>3405.5710530541755</v>
      </c>
      <c r="L1838">
        <f>IFERROR(VLOOKUP(F1838,'LEAID Match'!$A$2:$B$240,2,FALSE),"")</f>
        <v>0</v>
      </c>
    </row>
    <row r="1839" spans="1:12" x14ac:dyDescent="0.2">
      <c r="A1839">
        <v>0</v>
      </c>
      <c r="B1839">
        <v>2019</v>
      </c>
      <c r="C1839" s="4" t="s">
        <v>381</v>
      </c>
      <c r="D1839" s="4" t="s">
        <v>576</v>
      </c>
      <c r="E1839" s="4" t="s">
        <v>578</v>
      </c>
      <c r="F1839" s="4" t="s">
        <v>351</v>
      </c>
      <c r="G1839" s="8">
        <v>2995</v>
      </c>
      <c r="I1839" s="16" cm="1">
        <f t="array" ref="I1839">_xlfn.IFS(B1839=2015,G1839/$H$1957,B1839=2016,G1839/$H$1958,B1839=2017,G1839/$H$1959,B1839=2018,G1839/$H$1960,B1839=2019,G1839/$H$1961,B1839=2020,G1839/$H$1962,B1839=2021,G1839/$H$1963,B1839=2022,G1839/$H$1964,B1839=2023,G1839/$H$1965)</f>
        <v>3.7221759703020515E-6</v>
      </c>
      <c r="J1839" s="10" cm="1">
        <f t="array" ref="J1839">_xlfn.IFS(B1839=2015,I1839*$G$2,B1839=2016,I1839*$G$3,B1839=2017,I1839*$G$4,B1839=2018,I1839*$G$5,B1839=2019,I1839*$G$6,B1839=2020,I1839*$G$7,B1839=2021,I1839*$G$8,B1839=2022,I1839*$G$9,B1839=2023,I1839*$G$10)</f>
        <v>588.20847834036101</v>
      </c>
      <c r="K1839" s="8">
        <f t="shared" si="28"/>
        <v>3583.2084783403611</v>
      </c>
      <c r="L1839">
        <f>IFERROR(VLOOKUP(F1839,'LEAID Match'!$A$2:$B$240,2,FALSE),"")</f>
        <v>0</v>
      </c>
    </row>
    <row r="1840" spans="1:12" x14ac:dyDescent="0.2">
      <c r="A1840">
        <v>0</v>
      </c>
      <c r="B1840">
        <v>2020</v>
      </c>
      <c r="C1840" s="4" t="s">
        <v>381</v>
      </c>
      <c r="D1840" s="4" t="s">
        <v>576</v>
      </c>
      <c r="E1840" s="4" t="s">
        <v>578</v>
      </c>
      <c r="F1840" s="4" t="s">
        <v>351</v>
      </c>
      <c r="G1840" s="8">
        <v>5036</v>
      </c>
      <c r="I1840" s="16" cm="1">
        <f t="array" ref="I1840">_xlfn.IFS(B1840=2015,G1840/$H$1957,B1840=2016,G1840/$H$1958,B1840=2017,G1840/$H$1959,B1840=2018,G1840/$H$1960,B1840=2019,G1840/$H$1961,B1840=2020,G1840/$H$1962,B1840=2021,G1840/$H$1963,B1840=2022,G1840/$H$1964,B1840=2023,G1840/$H$1965)</f>
        <v>5.7922227629434181E-6</v>
      </c>
      <c r="J1840" s="10" cm="1">
        <f t="array" ref="J1840">_xlfn.IFS(B1840=2015,I1840*$G$2,B1840=2016,I1840*$G$3,B1840=2017,I1840*$G$4,B1840=2018,I1840*$G$5,B1840=2019,I1840*$G$6,B1840=2020,I1840*$G$7,B1840=2021,I1840*$G$8,B1840=2022,I1840*$G$9,B1840=2023,I1840*$G$10)</f>
        <v>1000.2235816205083</v>
      </c>
      <c r="K1840" s="8">
        <f t="shared" si="28"/>
        <v>6036.2235816205084</v>
      </c>
      <c r="L1840">
        <f>IFERROR(VLOOKUP(F1840,'LEAID Match'!$A$2:$B$240,2,FALSE),"")</f>
        <v>0</v>
      </c>
    </row>
    <row r="1841" spans="1:12" x14ac:dyDescent="0.2">
      <c r="A1841">
        <v>0</v>
      </c>
      <c r="B1841">
        <v>2021</v>
      </c>
      <c r="C1841" s="4" t="s">
        <v>381</v>
      </c>
      <c r="D1841" s="4" t="s">
        <v>576</v>
      </c>
      <c r="E1841" s="4" t="s">
        <v>578</v>
      </c>
      <c r="F1841" s="4" t="s">
        <v>351</v>
      </c>
      <c r="G1841" s="8">
        <v>5855</v>
      </c>
      <c r="I1841" s="16" cm="1">
        <f t="array" ref="I1841">_xlfn.IFS(B1841=2015,G1841/$H$1957,B1841=2016,G1841/$H$1958,B1841=2017,G1841/$H$1959,B1841=2018,G1841/$H$1960,B1841=2019,G1841/$H$1961,B1841=2020,G1841/$H$1962,B1841=2021,G1841/$H$1963,B1841=2022,G1841/$H$1964,B1841=2023,G1841/$H$1965)</f>
        <v>6.6910640881386317E-6</v>
      </c>
      <c r="J1841" s="10" cm="1">
        <f t="array" ref="J1841">_xlfn.IFS(B1841=2015,I1841*$G$2,B1841=2016,I1841*$G$3,B1841=2017,I1841*$G$4,B1841=2018,I1841*$G$5,B1841=2019,I1841*$G$6,B1841=2020,I1841*$G$7,B1841=2021,I1841*$G$8,B1841=2022,I1841*$G$9,B1841=2023,I1841*$G$10)</f>
        <v>1148.2992482795771</v>
      </c>
      <c r="K1841" s="8">
        <f t="shared" si="28"/>
        <v>7003.2992482795771</v>
      </c>
      <c r="L1841">
        <f>IFERROR(VLOOKUP(F1841,'LEAID Match'!$A$2:$B$240,2,FALSE),"")</f>
        <v>0</v>
      </c>
    </row>
    <row r="1842" spans="1:12" x14ac:dyDescent="0.2">
      <c r="A1842">
        <v>0</v>
      </c>
      <c r="B1842">
        <v>2022</v>
      </c>
      <c r="C1842" s="4" t="s">
        <v>381</v>
      </c>
      <c r="D1842" s="4" t="s">
        <v>576</v>
      </c>
      <c r="E1842" s="4" t="s">
        <v>578</v>
      </c>
      <c r="F1842" s="4" t="s">
        <v>351</v>
      </c>
      <c r="G1842" s="8">
        <v>7844</v>
      </c>
      <c r="I1842" s="16" cm="1">
        <f t="array" ref="I1842">_xlfn.IFS(B1842=2015,G1842/$H$1957,B1842=2016,G1842/$H$1958,B1842=2017,G1842/$H$1959,B1842=2018,G1842/$H$1960,B1842=2019,G1842/$H$1961,B1842=2020,G1842/$H$1962,B1842=2021,G1842/$H$1963,B1842=2022,G1842/$H$1964,B1842=2023,G1842/$H$1965)</f>
        <v>8.4307493034053089E-6</v>
      </c>
      <c r="J1842" s="10" cm="1">
        <f t="array" ref="J1842">_xlfn.IFS(B1842=2015,I1842*$G$2,B1842=2016,I1842*$G$3,B1842=2017,I1842*$G$4,B1842=2018,I1842*$G$5,B1842=2019,I1842*$G$6,B1842=2020,I1842*$G$7,B1842=2021,I1842*$G$8,B1842=2022,I1842*$G$9,B1842=2023,I1842*$G$10)</f>
        <v>1429.7340921742873</v>
      </c>
      <c r="K1842" s="8">
        <f t="shared" si="28"/>
        <v>9273.7340921742871</v>
      </c>
      <c r="L1842">
        <f>IFERROR(VLOOKUP(F1842,'LEAID Match'!$A$2:$B$240,2,FALSE),"")</f>
        <v>0</v>
      </c>
    </row>
    <row r="1843" spans="1:12" x14ac:dyDescent="0.2">
      <c r="A1843">
        <v>0</v>
      </c>
      <c r="B1843">
        <v>2023</v>
      </c>
      <c r="C1843" s="4" t="s">
        <v>381</v>
      </c>
      <c r="D1843" s="4" t="s">
        <v>576</v>
      </c>
      <c r="E1843" s="4" t="s">
        <v>578</v>
      </c>
      <c r="F1843" s="4" t="s">
        <v>351</v>
      </c>
      <c r="G1843" s="8">
        <v>9777</v>
      </c>
      <c r="I1843" s="16" cm="1">
        <f t="array" ref="I1843">_xlfn.IFS(B1843=2015,G1843/$H$1957,B1843=2016,G1843/$H$1958,B1843=2017,G1843/$H$1959,B1843=2018,G1843/$H$1960,B1843=2019,G1843/$H$1961,B1843=2020,G1843/$H$1962,B1843=2021,G1843/$H$1963,B1843=2022,G1843/$H$1964,B1843=2023,G1843/$H$1965)</f>
        <v>9.8991107278613007E-6</v>
      </c>
      <c r="J1843" s="10" cm="1">
        <f t="array" ref="J1843">_xlfn.IFS(B1843=2015,I1843*$G$2,B1843=2016,I1843*$G$3,B1843=2017,I1843*$G$4,B1843=2018,I1843*$G$5,B1843=2019,I1843*$G$6,B1843=2020,I1843*$G$7,B1843=2021,I1843*$G$8,B1843=2022,I1843*$G$9,B1843=2023,I1843*$G$10)</f>
        <v>1682.7034948918254</v>
      </c>
      <c r="K1843" s="8">
        <f t="shared" si="28"/>
        <v>11459.703494891826</v>
      </c>
      <c r="L1843">
        <f>IFERROR(VLOOKUP(F1843,'LEAID Match'!$A$2:$B$240,2,FALSE),"")</f>
        <v>0</v>
      </c>
    </row>
    <row r="1844" spans="1:12" x14ac:dyDescent="0.2">
      <c r="A1844">
        <v>0</v>
      </c>
      <c r="B1844">
        <v>2015</v>
      </c>
      <c r="C1844" s="4" t="s">
        <v>382</v>
      </c>
      <c r="D1844" s="4" t="s">
        <v>576</v>
      </c>
      <c r="E1844" s="4" t="s">
        <v>578</v>
      </c>
      <c r="F1844" s="4" t="s">
        <v>352</v>
      </c>
      <c r="G1844" s="8">
        <v>4213</v>
      </c>
      <c r="I1844" s="16" cm="1">
        <f t="array" ref="I1844">_xlfn.IFS(B1844=2015,G1844/$H$1957,B1844=2016,G1844/$H$1958,B1844=2017,G1844/$H$1959,B1844=2018,G1844/$H$1960,B1844=2019,G1844/$H$1961,B1844=2020,G1844/$H$1962,B1844=2021,G1844/$H$1963,B1844=2022,G1844/$H$1964,B1844=2023,G1844/$H$1965)</f>
        <v>3.2535250184756473E-6</v>
      </c>
      <c r="J1844" s="10" cm="1">
        <f t="array" ref="J1844">_xlfn.IFS(B1844=2015,I1844*$G$2,B1844=2016,I1844*$G$3,B1844=2017,I1844*$G$4,B1844=2018,I1844*$G$5,B1844=2019,I1844*$G$6,B1844=2020,I1844*$G$7,B1844=2021,I1844*$G$8,B1844=2022,I1844*$G$9,B1844=2023,I1844*$G$10)</f>
        <v>808.96483842070757</v>
      </c>
      <c r="K1844" s="8">
        <f t="shared" si="28"/>
        <v>5021.9648384207076</v>
      </c>
      <c r="L1844">
        <f>IFERROR(VLOOKUP(F1844,'LEAID Match'!$A$2:$B$240,2,FALSE),"")</f>
        <v>0</v>
      </c>
    </row>
    <row r="1845" spans="1:12" x14ac:dyDescent="0.2">
      <c r="A1845">
        <v>0</v>
      </c>
      <c r="B1845">
        <v>2016</v>
      </c>
      <c r="C1845" s="4" t="s">
        <v>382</v>
      </c>
      <c r="D1845" s="4" t="s">
        <v>576</v>
      </c>
      <c r="E1845" s="4" t="s">
        <v>578</v>
      </c>
      <c r="F1845" s="4" t="s">
        <v>352</v>
      </c>
      <c r="G1845" s="8">
        <v>7955</v>
      </c>
      <c r="I1845" s="16" cm="1">
        <f t="array" ref="I1845">_xlfn.IFS(B1845=2015,G1845/$H$1957,B1845=2016,G1845/$H$1958,B1845=2017,G1845/$H$1959,B1845=2018,G1845/$H$1960,B1845=2019,G1845/$H$1961,B1845=2020,G1845/$H$1962,B1845=2021,G1845/$H$1963,B1845=2022,G1845/$H$1964,B1845=2023,G1845/$H$1965)</f>
        <v>5.5844065991857316E-6</v>
      </c>
      <c r="J1845" s="10" cm="1">
        <f t="array" ref="J1845">_xlfn.IFS(B1845=2015,I1845*$G$2,B1845=2016,I1845*$G$3,B1845=2017,I1845*$G$4,B1845=2018,I1845*$G$5,B1845=2019,I1845*$G$6,B1845=2020,I1845*$G$7,B1845=2021,I1845*$G$8,B1845=2022,I1845*$G$9,B1845=2023,I1845*$G$10)</f>
        <v>1514.508269671496</v>
      </c>
      <c r="K1845" s="8">
        <f t="shared" si="28"/>
        <v>9469.5082696714962</v>
      </c>
      <c r="L1845">
        <f>IFERROR(VLOOKUP(F1845,'LEAID Match'!$A$2:$B$240,2,FALSE),"")</f>
        <v>0</v>
      </c>
    </row>
    <row r="1846" spans="1:12" x14ac:dyDescent="0.2">
      <c r="A1846">
        <v>0</v>
      </c>
      <c r="B1846">
        <v>2017</v>
      </c>
      <c r="C1846" s="4" t="s">
        <v>382</v>
      </c>
      <c r="D1846" s="4" t="s">
        <v>576</v>
      </c>
      <c r="E1846" s="4" t="s">
        <v>578</v>
      </c>
      <c r="F1846" s="4" t="s">
        <v>352</v>
      </c>
      <c r="G1846" s="8">
        <v>3758</v>
      </c>
      <c r="I1846" s="16" cm="1">
        <f t="array" ref="I1846">_xlfn.IFS(B1846=2015,G1846/$H$1957,B1846=2016,G1846/$H$1958,B1846=2017,G1846/$H$1959,B1846=2018,G1846/$H$1960,B1846=2019,G1846/$H$1961,B1846=2020,G1846/$H$1962,B1846=2021,G1846/$H$1963,B1846=2022,G1846/$H$1964,B1846=2023,G1846/$H$1965)</f>
        <v>5.0139717297544167E-6</v>
      </c>
      <c r="J1846" s="10" cm="1">
        <f t="array" ref="J1846">_xlfn.IFS(B1846=2015,I1846*$G$2,B1846=2016,I1846*$G$3,B1846=2017,I1846*$G$4,B1846=2018,I1846*$G$5,B1846=2019,I1846*$G$6,B1846=2020,I1846*$G$7,B1846=2021,I1846*$G$8,B1846=2022,I1846*$G$9,B1846=2023,I1846*$G$10)</f>
        <v>742.50196077381793</v>
      </c>
      <c r="K1846" s="8">
        <f t="shared" si="28"/>
        <v>4500.5019607738177</v>
      </c>
      <c r="L1846">
        <f>IFERROR(VLOOKUP(F1846,'LEAID Match'!$A$2:$B$240,2,FALSE),"")</f>
        <v>0</v>
      </c>
    </row>
    <row r="1847" spans="1:12" x14ac:dyDescent="0.2">
      <c r="A1847">
        <v>0</v>
      </c>
      <c r="B1847">
        <v>2018</v>
      </c>
      <c r="C1847" s="4" t="s">
        <v>382</v>
      </c>
      <c r="D1847" s="4" t="s">
        <v>576</v>
      </c>
      <c r="E1847" s="4" t="s">
        <v>578</v>
      </c>
      <c r="F1847" s="4" t="s">
        <v>352</v>
      </c>
      <c r="G1847" s="8">
        <v>2784</v>
      </c>
      <c r="I1847" s="16" cm="1">
        <f t="array" ref="I1847">_xlfn.IFS(B1847=2015,G1847/$H$1957,B1847=2016,G1847/$H$1958,B1847=2017,G1847/$H$1959,B1847=2018,G1847/$H$1960,B1847=2019,G1847/$H$1961,B1847=2020,G1847/$H$1962,B1847=2021,G1847/$H$1963,B1847=2022,G1847/$H$1964,B1847=2023,G1847/$H$1965)</f>
        <v>3.5822018855176965E-6</v>
      </c>
      <c r="J1847" s="10" cm="1">
        <f t="array" ref="J1847">_xlfn.IFS(B1847=2015,I1847*$G$2,B1847=2016,I1847*$G$3,B1847=2017,I1847*$G$4,B1847=2018,I1847*$G$5,B1847=2019,I1847*$G$6,B1847=2020,I1847*$G$7,B1847=2021,I1847*$G$8,B1847=2022,I1847*$G$9,B1847=2023,I1847*$G$10)</f>
        <v>539.2070843683224</v>
      </c>
      <c r="K1847" s="8">
        <f t="shared" si="28"/>
        <v>3323.2070843683223</v>
      </c>
      <c r="L1847">
        <f>IFERROR(VLOOKUP(F1847,'LEAID Match'!$A$2:$B$240,2,FALSE),"")</f>
        <v>0</v>
      </c>
    </row>
    <row r="1848" spans="1:12" x14ac:dyDescent="0.2">
      <c r="A1848">
        <v>0</v>
      </c>
      <c r="B1848">
        <v>2019</v>
      </c>
      <c r="C1848" s="4" t="s">
        <v>382</v>
      </c>
      <c r="D1848" s="4" t="s">
        <v>576</v>
      </c>
      <c r="E1848" s="4" t="s">
        <v>578</v>
      </c>
      <c r="F1848" s="4" t="s">
        <v>352</v>
      </c>
      <c r="G1848" s="8">
        <v>4582</v>
      </c>
      <c r="I1848" s="16" cm="1">
        <f t="array" ref="I1848">_xlfn.IFS(B1848=2015,G1848/$H$1957,B1848=2016,G1848/$H$1958,B1848=2017,G1848/$H$1959,B1848=2018,G1848/$H$1960,B1848=2019,G1848/$H$1961,B1848=2020,G1848/$H$1962,B1848=2021,G1848/$H$1963,B1848=2022,G1848/$H$1964,B1848=2023,G1848/$H$1965)</f>
        <v>5.6944942557342237E-6</v>
      </c>
      <c r="J1848" s="10" cm="1">
        <f t="array" ref="J1848">_xlfn.IFS(B1848=2015,I1848*$G$2,B1848=2016,I1848*$G$3,B1848=2017,I1848*$G$4,B1848=2018,I1848*$G$5,B1848=2019,I1848*$G$6,B1848=2020,I1848*$G$7,B1848=2021,I1848*$G$8,B1848=2022,I1848*$G$9,B1848=2023,I1848*$G$10)</f>
        <v>899.89023297346705</v>
      </c>
      <c r="K1848" s="8">
        <f t="shared" si="28"/>
        <v>5481.8902329734674</v>
      </c>
      <c r="L1848">
        <f>IFERROR(VLOOKUP(F1848,'LEAID Match'!$A$2:$B$240,2,FALSE),"")</f>
        <v>0</v>
      </c>
    </row>
    <row r="1849" spans="1:12" x14ac:dyDescent="0.2">
      <c r="A1849">
        <v>0</v>
      </c>
      <c r="B1849">
        <v>2020</v>
      </c>
      <c r="C1849" s="4" t="s">
        <v>382</v>
      </c>
      <c r="D1849" s="4" t="s">
        <v>576</v>
      </c>
      <c r="E1849" s="4" t="s">
        <v>578</v>
      </c>
      <c r="F1849" s="4" t="s">
        <v>352</v>
      </c>
      <c r="G1849" s="8">
        <v>5830</v>
      </c>
      <c r="I1849" s="16" cm="1">
        <f t="array" ref="I1849">_xlfn.IFS(B1849=2015,G1849/$H$1957,B1849=2016,G1849/$H$1958,B1849=2017,G1849/$H$1959,B1849=2018,G1849/$H$1960,B1849=2019,G1849/$H$1961,B1849=2020,G1849/$H$1962,B1849=2021,G1849/$H$1963,B1849=2022,G1849/$H$1964,B1849=2023,G1849/$H$1965)</f>
        <v>6.7054524837093191E-6</v>
      </c>
      <c r="J1849" s="10" cm="1">
        <f t="array" ref="J1849">_xlfn.IFS(B1849=2015,I1849*$G$2,B1849=2016,I1849*$G$3,B1849=2017,I1849*$G$4,B1849=2018,I1849*$G$5,B1849=2019,I1849*$G$6,B1849=2020,I1849*$G$7,B1849=2021,I1849*$G$8,B1849=2022,I1849*$G$9,B1849=2023,I1849*$G$10)</f>
        <v>1157.9236459188967</v>
      </c>
      <c r="K1849" s="8">
        <f t="shared" si="28"/>
        <v>6987.9236459188969</v>
      </c>
      <c r="L1849">
        <f>IFERROR(VLOOKUP(F1849,'LEAID Match'!$A$2:$B$240,2,FALSE),"")</f>
        <v>0</v>
      </c>
    </row>
    <row r="1850" spans="1:12" x14ac:dyDescent="0.2">
      <c r="A1850">
        <v>0</v>
      </c>
      <c r="B1850">
        <v>2021</v>
      </c>
      <c r="C1850" s="4" t="s">
        <v>382</v>
      </c>
      <c r="D1850" s="4" t="s">
        <v>576</v>
      </c>
      <c r="E1850" s="4" t="s">
        <v>578</v>
      </c>
      <c r="F1850" s="4" t="s">
        <v>352</v>
      </c>
      <c r="G1850" s="8">
        <v>9033</v>
      </c>
      <c r="I1850" s="16" cm="1">
        <f t="array" ref="I1850">_xlfn.IFS(B1850=2015,G1850/$H$1957,B1850=2016,G1850/$H$1958,B1850=2017,G1850/$H$1959,B1850=2018,G1850/$H$1960,B1850=2019,G1850/$H$1961,B1850=2020,G1850/$H$1962,B1850=2021,G1850/$H$1963,B1850=2022,G1850/$H$1964,B1850=2023,G1850/$H$1965)</f>
        <v>1.0322866252460505E-5</v>
      </c>
      <c r="J1850" s="10" cm="1">
        <f t="array" ref="J1850">_xlfn.IFS(B1850=2015,I1850*$G$2,B1850=2016,I1850*$G$3,B1850=2017,I1850*$G$4,B1850=2018,I1850*$G$5,B1850=2019,I1850*$G$6,B1850=2020,I1850*$G$7,B1850=2021,I1850*$G$8,B1850=2022,I1850*$G$9,B1850=2023,I1850*$G$10)</f>
        <v>1771.5776446984491</v>
      </c>
      <c r="K1850" s="8">
        <f t="shared" si="28"/>
        <v>10804.577644698449</v>
      </c>
      <c r="L1850">
        <f>IFERROR(VLOOKUP(F1850,'LEAID Match'!$A$2:$B$240,2,FALSE),"")</f>
        <v>0</v>
      </c>
    </row>
    <row r="1851" spans="1:12" x14ac:dyDescent="0.2">
      <c r="A1851">
        <v>0</v>
      </c>
      <c r="B1851">
        <v>2022</v>
      </c>
      <c r="C1851" s="4" t="s">
        <v>382</v>
      </c>
      <c r="D1851" s="4" t="s">
        <v>576</v>
      </c>
      <c r="E1851" s="4" t="s">
        <v>578</v>
      </c>
      <c r="F1851" s="4" t="s">
        <v>352</v>
      </c>
      <c r="G1851" s="8">
        <v>4464</v>
      </c>
      <c r="I1851" s="16" cm="1">
        <f t="array" ref="I1851">_xlfn.IFS(B1851=2015,G1851/$H$1957,B1851=2016,G1851/$H$1958,B1851=2017,G1851/$H$1959,B1851=2018,G1851/$H$1960,B1851=2019,G1851/$H$1961,B1851=2020,G1851/$H$1962,B1851=2021,G1851/$H$1963,B1851=2022,G1851/$H$1964,B1851=2023,G1851/$H$1965)</f>
        <v>4.7979175026008788E-6</v>
      </c>
      <c r="J1851" s="10" cm="1">
        <f t="array" ref="J1851">_xlfn.IFS(B1851=2015,I1851*$G$2,B1851=2016,I1851*$G$3,B1851=2017,I1851*$G$4,B1851=2018,I1851*$G$5,B1851=2019,I1851*$G$6,B1851=2020,I1851*$G$7,B1851=2021,I1851*$G$8,B1851=2022,I1851*$G$9,B1851=2023,I1851*$G$10)</f>
        <v>813.65795352702924</v>
      </c>
      <c r="K1851" s="8">
        <f t="shared" si="28"/>
        <v>5277.6579535270293</v>
      </c>
      <c r="L1851">
        <f>IFERROR(VLOOKUP(F1851,'LEAID Match'!$A$2:$B$240,2,FALSE),"")</f>
        <v>0</v>
      </c>
    </row>
    <row r="1852" spans="1:12" x14ac:dyDescent="0.2">
      <c r="A1852">
        <v>0</v>
      </c>
      <c r="B1852">
        <v>2023</v>
      </c>
      <c r="C1852" s="4" t="s">
        <v>382</v>
      </c>
      <c r="D1852" s="4" t="s">
        <v>576</v>
      </c>
      <c r="E1852" s="4" t="s">
        <v>578</v>
      </c>
      <c r="F1852" s="4" t="s">
        <v>352</v>
      </c>
      <c r="G1852" s="8">
        <v>10464</v>
      </c>
      <c r="I1852" s="16" cm="1">
        <f t="array" ref="I1852">_xlfn.IFS(B1852=2015,G1852/$H$1957,B1852=2016,G1852/$H$1958,B1852=2017,G1852/$H$1959,B1852=2018,G1852/$H$1960,B1852=2019,G1852/$H$1961,B1852=2020,G1852/$H$1962,B1852=2021,G1852/$H$1963,B1852=2022,G1852/$H$1964,B1852=2023,G1852/$H$1965)</f>
        <v>1.0594691076643209E-5</v>
      </c>
      <c r="J1852" s="10" cm="1">
        <f t="array" ref="J1852">_xlfn.IFS(B1852=2015,I1852*$G$2,B1852=2016,I1852*$G$3,B1852=2017,I1852*$G$4,B1852=2018,I1852*$G$5,B1852=2019,I1852*$G$6,B1852=2020,I1852*$G$7,B1852=2021,I1852*$G$8,B1852=2022,I1852*$G$9,B1852=2023,I1852*$G$10)</f>
        <v>1800.9419423696495</v>
      </c>
      <c r="K1852" s="8">
        <f t="shared" si="28"/>
        <v>12264.941942369649</v>
      </c>
      <c r="L1852">
        <f>IFERROR(VLOOKUP(F1852,'LEAID Match'!$A$2:$B$240,2,FALSE),"")</f>
        <v>0</v>
      </c>
    </row>
    <row r="1853" spans="1:12" x14ac:dyDescent="0.2">
      <c r="A1853">
        <v>0</v>
      </c>
      <c r="B1853">
        <v>2015</v>
      </c>
      <c r="C1853" s="4" t="s">
        <v>383</v>
      </c>
      <c r="D1853" s="4" t="s">
        <v>576</v>
      </c>
      <c r="E1853" s="4" t="s">
        <v>578</v>
      </c>
      <c r="F1853" s="4" t="s">
        <v>353</v>
      </c>
      <c r="G1853" s="8">
        <v>74830</v>
      </c>
      <c r="I1853" s="16" cm="1">
        <f t="array" ref="I1853">_xlfn.IFS(B1853=2015,G1853/$H$1957,B1853=2016,G1853/$H$1958,B1853=2017,G1853/$H$1959,B1853=2018,G1853/$H$1960,B1853=2019,G1853/$H$1961,B1853=2020,G1853/$H$1962,B1853=2021,G1853/$H$1963,B1853=2022,G1853/$H$1964,B1853=2023,G1853/$H$1965)</f>
        <v>5.7788102808576474E-5</v>
      </c>
      <c r="J1853" s="10" cm="1">
        <f t="array" ref="J1853">_xlfn.IFS(B1853=2015,I1853*$G$2,B1853=2016,I1853*$G$3,B1853=2017,I1853*$G$4,B1853=2018,I1853*$G$5,B1853=2019,I1853*$G$6,B1853=2020,I1853*$G$7,B1853=2021,I1853*$G$8,B1853=2022,I1853*$G$9,B1853=2023,I1853*$G$10)</f>
        <v>14368.582686689188</v>
      </c>
      <c r="K1853" s="8">
        <f t="shared" si="28"/>
        <v>89198.582686689188</v>
      </c>
      <c r="L1853">
        <f>IFERROR(VLOOKUP(F1853,'LEAID Match'!$A$2:$B$240,2,FALSE),"")</f>
        <v>0</v>
      </c>
    </row>
    <row r="1854" spans="1:12" x14ac:dyDescent="0.2">
      <c r="A1854">
        <v>0</v>
      </c>
      <c r="B1854">
        <v>2016</v>
      </c>
      <c r="C1854" s="4" t="s">
        <v>383</v>
      </c>
      <c r="D1854" s="4" t="s">
        <v>576</v>
      </c>
      <c r="E1854" s="4" t="s">
        <v>578</v>
      </c>
      <c r="F1854" s="4" t="s">
        <v>353</v>
      </c>
      <c r="G1854" s="8">
        <v>94501</v>
      </c>
      <c r="I1854" s="16" cm="1">
        <f t="array" ref="I1854">_xlfn.IFS(B1854=2015,G1854/$H$1957,B1854=2016,G1854/$H$1958,B1854=2017,G1854/$H$1959,B1854=2018,G1854/$H$1960,B1854=2019,G1854/$H$1961,B1854=2020,G1854/$H$1962,B1854=2021,G1854/$H$1963,B1854=2022,G1854/$H$1964,B1854=2023,G1854/$H$1965)</f>
        <v>6.6339661600207524E-5</v>
      </c>
      <c r="J1854" s="10" cm="1">
        <f t="array" ref="J1854">_xlfn.IFS(B1854=2015,I1854*$G$2,B1854=2016,I1854*$G$3,B1854=2017,I1854*$G$4,B1854=2018,I1854*$G$5,B1854=2019,I1854*$G$6,B1854=2020,I1854*$G$7,B1854=2021,I1854*$G$8,B1854=2022,I1854*$G$9,B1854=2023,I1854*$G$10)</f>
        <v>17991.52055213401</v>
      </c>
      <c r="K1854" s="8">
        <f t="shared" si="28"/>
        <v>112492.52055213401</v>
      </c>
      <c r="L1854">
        <f>IFERROR(VLOOKUP(F1854,'LEAID Match'!$A$2:$B$240,2,FALSE),"")</f>
        <v>0</v>
      </c>
    </row>
    <row r="1855" spans="1:12" x14ac:dyDescent="0.2">
      <c r="A1855">
        <v>0</v>
      </c>
      <c r="B1855">
        <v>2017</v>
      </c>
      <c r="C1855" s="4" t="s">
        <v>383</v>
      </c>
      <c r="D1855" s="4" t="s">
        <v>576</v>
      </c>
      <c r="E1855" s="4" t="s">
        <v>578</v>
      </c>
      <c r="F1855" s="4" t="s">
        <v>353</v>
      </c>
      <c r="G1855" s="8">
        <v>44812</v>
      </c>
      <c r="I1855" s="16" cm="1">
        <f t="array" ref="I1855">_xlfn.IFS(B1855=2015,G1855/$H$1957,B1855=2016,G1855/$H$1958,B1855=2017,G1855/$H$1959,B1855=2018,G1855/$H$1960,B1855=2019,G1855/$H$1961,B1855=2020,G1855/$H$1962,B1855=2021,G1855/$H$1963,B1855=2022,G1855/$H$1964,B1855=2023,G1855/$H$1965)</f>
        <v>5.9788744319785769E-5</v>
      </c>
      <c r="J1855" s="10" cm="1">
        <f t="array" ref="J1855">_xlfn.IFS(B1855=2015,I1855*$G$2,B1855=2016,I1855*$G$3,B1855=2017,I1855*$G$4,B1855=2018,I1855*$G$5,B1855=2019,I1855*$G$6,B1855=2020,I1855*$G$7,B1855=2021,I1855*$G$8,B1855=2022,I1855*$G$9,B1855=2023,I1855*$G$10)</f>
        <v>8853.9110873327118</v>
      </c>
      <c r="K1855" s="8">
        <f t="shared" si="28"/>
        <v>53665.911087332715</v>
      </c>
      <c r="L1855">
        <f>IFERROR(VLOOKUP(F1855,'LEAID Match'!$A$2:$B$240,2,FALSE),"")</f>
        <v>0</v>
      </c>
    </row>
    <row r="1856" spans="1:12" x14ac:dyDescent="0.2">
      <c r="A1856">
        <v>0</v>
      </c>
      <c r="B1856">
        <v>2018</v>
      </c>
      <c r="C1856" s="4" t="s">
        <v>383</v>
      </c>
      <c r="D1856" s="4" t="s">
        <v>576</v>
      </c>
      <c r="E1856" s="4" t="s">
        <v>578</v>
      </c>
      <c r="F1856" s="4" t="s">
        <v>353</v>
      </c>
      <c r="G1856" s="8">
        <v>47890</v>
      </c>
      <c r="I1856" s="16" cm="1">
        <f t="array" ref="I1856">_xlfn.IFS(B1856=2015,G1856/$H$1957,B1856=2016,G1856/$H$1958,B1856=2017,G1856/$H$1959,B1856=2018,G1856/$H$1960,B1856=2019,G1856/$H$1961,B1856=2020,G1856/$H$1962,B1856=2021,G1856/$H$1963,B1856=2022,G1856/$H$1964,B1856=2023,G1856/$H$1965)</f>
        <v>6.1620563325230778E-5</v>
      </c>
      <c r="J1856" s="10" cm="1">
        <f t="array" ref="J1856">_xlfn.IFS(B1856=2015,I1856*$G$2,B1856=2016,I1856*$G$3,B1856=2017,I1856*$G$4,B1856=2018,I1856*$G$5,B1856=2019,I1856*$G$6,B1856=2020,I1856*$G$7,B1856=2021,I1856*$G$8,B1856=2022,I1856*$G$9,B1856=2023,I1856*$G$10)</f>
        <v>9275.3689908042252</v>
      </c>
      <c r="K1856" s="8">
        <f t="shared" si="28"/>
        <v>57165.368990804229</v>
      </c>
      <c r="L1856">
        <f>IFERROR(VLOOKUP(F1856,'LEAID Match'!$A$2:$B$240,2,FALSE),"")</f>
        <v>0</v>
      </c>
    </row>
    <row r="1857" spans="1:12" x14ac:dyDescent="0.2">
      <c r="A1857">
        <v>0</v>
      </c>
      <c r="B1857">
        <v>2019</v>
      </c>
      <c r="C1857" s="4" t="s">
        <v>383</v>
      </c>
      <c r="D1857" s="4" t="s">
        <v>576</v>
      </c>
      <c r="E1857" s="4" t="s">
        <v>578</v>
      </c>
      <c r="F1857" s="4" t="s">
        <v>353</v>
      </c>
      <c r="G1857" s="8">
        <v>52103</v>
      </c>
      <c r="I1857" s="16" cm="1">
        <f t="array" ref="I1857">_xlfn.IFS(B1857=2015,G1857/$H$1957,B1857=2016,G1857/$H$1958,B1857=2017,G1857/$H$1959,B1857=2018,G1857/$H$1960,B1857=2019,G1857/$H$1961,B1857=2020,G1857/$H$1962,B1857=2021,G1857/$H$1963,B1857=2022,G1857/$H$1964,B1857=2023,G1857/$H$1965)</f>
        <v>6.4753433916743839E-5</v>
      </c>
      <c r="J1857" s="10" cm="1">
        <f t="array" ref="J1857">_xlfn.IFS(B1857=2015,I1857*$G$2,B1857=2016,I1857*$G$3,B1857=2017,I1857*$G$4,B1857=2018,I1857*$G$5,B1857=2019,I1857*$G$6,B1857=2020,I1857*$G$7,B1857=2021,I1857*$G$8,B1857=2022,I1857*$G$9,B1857=2023,I1857*$G$10)</f>
        <v>10232.863554914133</v>
      </c>
      <c r="K1857" s="8">
        <f t="shared" si="28"/>
        <v>62335.863554914133</v>
      </c>
      <c r="L1857">
        <f>IFERROR(VLOOKUP(F1857,'LEAID Match'!$A$2:$B$240,2,FALSE),"")</f>
        <v>0</v>
      </c>
    </row>
    <row r="1858" spans="1:12" x14ac:dyDescent="0.2">
      <c r="A1858">
        <v>0</v>
      </c>
      <c r="B1858">
        <v>2020</v>
      </c>
      <c r="C1858" s="4" t="s">
        <v>383</v>
      </c>
      <c r="D1858" s="4" t="s">
        <v>576</v>
      </c>
      <c r="E1858" s="4" t="s">
        <v>578</v>
      </c>
      <c r="F1858" s="4" t="s">
        <v>353</v>
      </c>
      <c r="G1858" s="8">
        <v>58521</v>
      </c>
      <c r="I1858" s="16" cm="1">
        <f t="array" ref="I1858">_xlfn.IFS(B1858=2015,G1858/$H$1957,B1858=2016,G1858/$H$1958,B1858=2017,G1858/$H$1959,B1858=2018,G1858/$H$1960,B1858=2019,G1858/$H$1961,B1858=2020,G1858/$H$1962,B1858=2021,G1858/$H$1963,B1858=2022,G1858/$H$1964,B1858=2023,G1858/$H$1965)</f>
        <v>6.7308710943250952E-5</v>
      </c>
      <c r="J1858" s="10" cm="1">
        <f t="array" ref="J1858">_xlfn.IFS(B1858=2015,I1858*$G$2,B1858=2016,I1858*$G$3,B1858=2017,I1858*$G$4,B1858=2018,I1858*$G$5,B1858=2019,I1858*$G$6,B1858=2020,I1858*$G$7,B1858=2021,I1858*$G$8,B1858=2022,I1858*$G$9,B1858=2023,I1858*$G$10)</f>
        <v>11623.130305800987</v>
      </c>
      <c r="K1858" s="8">
        <f t="shared" si="28"/>
        <v>70144.130305800994</v>
      </c>
      <c r="L1858">
        <f>IFERROR(VLOOKUP(F1858,'LEAID Match'!$A$2:$B$240,2,FALSE),"")</f>
        <v>0</v>
      </c>
    </row>
    <row r="1859" spans="1:12" x14ac:dyDescent="0.2">
      <c r="A1859">
        <v>0</v>
      </c>
      <c r="B1859">
        <v>2021</v>
      </c>
      <c r="C1859" s="4" t="s">
        <v>383</v>
      </c>
      <c r="D1859" s="4" t="s">
        <v>576</v>
      </c>
      <c r="E1859" s="4" t="s">
        <v>578</v>
      </c>
      <c r="F1859" s="4" t="s">
        <v>353</v>
      </c>
      <c r="G1859" s="8">
        <v>56557</v>
      </c>
      <c r="I1859" s="16" cm="1">
        <f t="array" ref="I1859">_xlfn.IFS(B1859=2015,G1859/$H$1957,B1859=2016,G1859/$H$1958,B1859=2017,G1859/$H$1959,B1859=2018,G1859/$H$1960,B1859=2019,G1859/$H$1961,B1859=2020,G1859/$H$1962,B1859=2021,G1859/$H$1963,B1859=2022,G1859/$H$1964,B1859=2023,G1859/$H$1965)</f>
        <v>6.4633050663169355E-5</v>
      </c>
      <c r="J1859" s="10" cm="1">
        <f t="array" ref="J1859">_xlfn.IFS(B1859=2015,I1859*$G$2,B1859=2016,I1859*$G$3,B1859=2017,I1859*$G$4,B1859=2018,I1859*$G$5,B1859=2019,I1859*$G$6,B1859=2020,I1859*$G$7,B1859=2021,I1859*$G$8,B1859=2022,I1859*$G$9,B1859=2023,I1859*$G$10)</f>
        <v>11092.119655840826</v>
      </c>
      <c r="K1859" s="8">
        <f t="shared" si="28"/>
        <v>67649.119655840826</v>
      </c>
      <c r="L1859">
        <f>IFERROR(VLOOKUP(F1859,'LEAID Match'!$A$2:$B$240,2,FALSE),"")</f>
        <v>0</v>
      </c>
    </row>
    <row r="1860" spans="1:12" x14ac:dyDescent="0.2">
      <c r="A1860">
        <v>0</v>
      </c>
      <c r="B1860">
        <v>2022</v>
      </c>
      <c r="C1860" s="4" t="s">
        <v>383</v>
      </c>
      <c r="D1860" s="4" t="s">
        <v>576</v>
      </c>
      <c r="E1860" s="4" t="s">
        <v>578</v>
      </c>
      <c r="F1860" s="4" t="s">
        <v>353</v>
      </c>
      <c r="G1860" s="8">
        <v>59783</v>
      </c>
      <c r="I1860" s="16" cm="1">
        <f t="array" ref="I1860">_xlfn.IFS(B1860=2015,G1860/$H$1957,B1860=2016,G1860/$H$1958,B1860=2017,G1860/$H$1959,B1860=2018,G1860/$H$1960,B1860=2019,G1860/$H$1961,B1860=2020,G1860/$H$1962,B1860=2021,G1860/$H$1963,B1860=2022,G1860/$H$1964,B1860=2023,G1860/$H$1965)</f>
        <v>6.4254906374997393E-5</v>
      </c>
      <c r="J1860" s="10" cm="1">
        <f t="array" ref="J1860">_xlfn.IFS(B1860=2015,I1860*$G$2,B1860=2016,I1860*$G$3,B1860=2017,I1860*$G$4,B1860=2018,I1860*$G$5,B1860=2019,I1860*$G$6,B1860=2020,I1860*$G$7,B1860=2021,I1860*$G$8,B1860=2022,I1860*$G$9,B1860=2023,I1860*$G$10)</f>
        <v>10896.70999903817</v>
      </c>
      <c r="K1860" s="8">
        <f t="shared" si="28"/>
        <v>70679.709999038168</v>
      </c>
      <c r="L1860">
        <f>IFERROR(VLOOKUP(F1860,'LEAID Match'!$A$2:$B$240,2,FALSE),"")</f>
        <v>0</v>
      </c>
    </row>
    <row r="1861" spans="1:12" x14ac:dyDescent="0.2">
      <c r="A1861">
        <v>0</v>
      </c>
      <c r="B1861">
        <v>2023</v>
      </c>
      <c r="C1861" s="4" t="s">
        <v>383</v>
      </c>
      <c r="D1861" s="4" t="s">
        <v>576</v>
      </c>
      <c r="E1861" s="4" t="s">
        <v>578</v>
      </c>
      <c r="F1861" s="4" t="s">
        <v>353</v>
      </c>
      <c r="G1861" s="8">
        <v>71240</v>
      </c>
      <c r="I1861" s="16" cm="1">
        <f t="array" ref="I1861">_xlfn.IFS(B1861=2015,G1861/$H$1957,B1861=2016,G1861/$H$1958,B1861=2017,G1861/$H$1959,B1861=2018,G1861/$H$1960,B1861=2019,G1861/$H$1961,B1861=2020,G1861/$H$1962,B1861=2021,G1861/$H$1963,B1861=2022,G1861/$H$1964,B1861=2023,G1861/$H$1965)</f>
        <v>7.2129758438461598E-5</v>
      </c>
      <c r="J1861" s="10" cm="1">
        <f t="array" ref="J1861">_xlfn.IFS(B1861=2015,I1861*$G$2,B1861=2016,I1861*$G$3,B1861=2017,I1861*$G$4,B1861=2018,I1861*$G$5,B1861=2019,I1861*$G$6,B1861=2020,I1861*$G$7,B1861=2021,I1861*$G$8,B1861=2022,I1861*$G$9,B1861=2023,I1861*$G$10)</f>
        <v>12260.999997554836</v>
      </c>
      <c r="K1861" s="8">
        <f t="shared" si="28"/>
        <v>83500.999997554842</v>
      </c>
      <c r="L1861">
        <f>IFERROR(VLOOKUP(F1861,'LEAID Match'!$A$2:$B$240,2,FALSE),"")</f>
        <v>0</v>
      </c>
    </row>
    <row r="1862" spans="1:12" x14ac:dyDescent="0.2">
      <c r="A1862">
        <v>0</v>
      </c>
      <c r="B1862">
        <v>2015</v>
      </c>
      <c r="C1862" s="4" t="s">
        <v>384</v>
      </c>
      <c r="D1862" s="4" t="s">
        <v>576</v>
      </c>
      <c r="E1862" s="4" t="s">
        <v>578</v>
      </c>
      <c r="F1862" s="4" t="s">
        <v>354</v>
      </c>
      <c r="G1862" s="8">
        <v>4901626</v>
      </c>
      <c r="I1862" s="16" cm="1">
        <f t="array" ref="I1862">_xlfn.IFS(B1862=2015,G1862/$H$1957,B1862=2016,G1862/$H$1958,B1862=2017,G1862/$H$1959,B1862=2018,G1862/$H$1960,B1862=2019,G1862/$H$1961,B1862=2020,G1862/$H$1962,B1862=2021,G1862/$H$1963,B1862=2022,G1862/$H$1964,B1862=2023,G1862/$H$1965)</f>
        <v>3.7853222934276557E-3</v>
      </c>
      <c r="J1862" s="10" cm="1">
        <f t="array" ref="J1862">_xlfn.IFS(B1862=2015,I1862*$G$2,B1862=2016,I1862*$G$3,B1862=2017,I1862*$G$4,B1862=2018,I1862*$G$5,B1862=2019,I1862*$G$6,B1862=2020,I1862*$G$7,B1862=2021,I1862*$G$8,B1862=2022,I1862*$G$9,B1862=2023,I1862*$G$10)</f>
        <v>941192.28224275785</v>
      </c>
      <c r="K1862" s="8">
        <f t="shared" si="28"/>
        <v>5842818.2822427582</v>
      </c>
      <c r="L1862">
        <f>IFERROR(VLOOKUP(F1862,'LEAID Match'!$A$2:$B$240,2,FALSE),"")</f>
        <v>0</v>
      </c>
    </row>
    <row r="1863" spans="1:12" x14ac:dyDescent="0.2">
      <c r="A1863">
        <v>0</v>
      </c>
      <c r="B1863">
        <v>2016</v>
      </c>
      <c r="C1863" s="4" t="s">
        <v>384</v>
      </c>
      <c r="D1863" s="4" t="s">
        <v>576</v>
      </c>
      <c r="E1863" s="4" t="s">
        <v>578</v>
      </c>
      <c r="F1863" s="4" t="s">
        <v>354</v>
      </c>
      <c r="G1863" s="8">
        <v>5744106</v>
      </c>
      <c r="I1863" s="16" cm="1">
        <f t="array" ref="I1863">_xlfn.IFS(B1863=2015,G1863/$H$1957,B1863=2016,G1863/$H$1958,B1863=2017,G1863/$H$1959,B1863=2018,G1863/$H$1960,B1863=2019,G1863/$H$1961,B1863=2020,G1863/$H$1962,B1863=2021,G1863/$H$1963,B1863=2022,G1863/$H$1964,B1863=2023,G1863/$H$1965)</f>
        <v>4.0323599563573042E-3</v>
      </c>
      <c r="J1863" s="10" cm="1">
        <f t="array" ref="J1863">_xlfn.IFS(B1863=2015,I1863*$G$2,B1863=2016,I1863*$G$3,B1863=2017,I1863*$G$4,B1863=2018,I1863*$G$5,B1863=2019,I1863*$G$6,B1863=2020,I1863*$G$7,B1863=2021,I1863*$G$8,B1863=2022,I1863*$G$9,B1863=2023,I1863*$G$10)</f>
        <v>1093588.4398327665</v>
      </c>
      <c r="K1863" s="8">
        <f t="shared" si="28"/>
        <v>6837694.4398327665</v>
      </c>
      <c r="L1863">
        <f>IFERROR(VLOOKUP(F1863,'LEAID Match'!$A$2:$B$240,2,FALSE),"")</f>
        <v>0</v>
      </c>
    </row>
    <row r="1864" spans="1:12" x14ac:dyDescent="0.2">
      <c r="A1864">
        <v>0</v>
      </c>
      <c r="B1864">
        <v>2017</v>
      </c>
      <c r="C1864" s="4" t="s">
        <v>384</v>
      </c>
      <c r="D1864" s="4" t="s">
        <v>576</v>
      </c>
      <c r="E1864" s="4" t="s">
        <v>578</v>
      </c>
      <c r="F1864" s="4" t="s">
        <v>354</v>
      </c>
      <c r="G1864" s="8">
        <v>3167963</v>
      </c>
      <c r="I1864" s="16" cm="1">
        <f t="array" ref="I1864">_xlfn.IFS(B1864=2015,G1864/$H$1957,B1864=2016,G1864/$H$1958,B1864=2017,G1864/$H$1959,B1864=2018,G1864/$H$1960,B1864=2019,G1864/$H$1961,B1864=2020,G1864/$H$1962,B1864=2021,G1864/$H$1963,B1864=2022,G1864/$H$1964,B1864=2023,G1864/$H$1965)</f>
        <v>4.2267368075859478E-3</v>
      </c>
      <c r="J1864" s="10" cm="1">
        <f t="array" ref="J1864">_xlfn.IFS(B1864=2015,I1864*$G$2,B1864=2016,I1864*$G$3,B1864=2017,I1864*$G$4,B1864=2018,I1864*$G$5,B1864=2019,I1864*$G$6,B1864=2020,I1864*$G$7,B1864=2021,I1864*$G$8,B1864=2022,I1864*$G$9,B1864=2023,I1864*$G$10)</f>
        <v>625923.02798267873</v>
      </c>
      <c r="K1864" s="8">
        <f t="shared" si="28"/>
        <v>3793886.0279826787</v>
      </c>
      <c r="L1864">
        <f>IFERROR(VLOOKUP(F1864,'LEAID Match'!$A$2:$B$240,2,FALSE),"")</f>
        <v>0</v>
      </c>
    </row>
    <row r="1865" spans="1:12" x14ac:dyDescent="0.2">
      <c r="A1865">
        <v>0</v>
      </c>
      <c r="B1865">
        <v>2018</v>
      </c>
      <c r="C1865" s="4" t="s">
        <v>384</v>
      </c>
      <c r="D1865" s="4" t="s">
        <v>576</v>
      </c>
      <c r="E1865" s="4" t="s">
        <v>578</v>
      </c>
      <c r="F1865" s="4" t="s">
        <v>354</v>
      </c>
      <c r="G1865" s="8">
        <v>3384458</v>
      </c>
      <c r="I1865" s="16" cm="1">
        <f t="array" ref="I1865">_xlfn.IFS(B1865=2015,G1865/$H$1957,B1865=2016,G1865/$H$1958,B1865=2017,G1865/$H$1959,B1865=2018,G1865/$H$1960,B1865=2019,G1865/$H$1961,B1865=2020,G1865/$H$1962,B1865=2021,G1865/$H$1963,B1865=2022,G1865/$H$1964,B1865=2023,G1865/$H$1965)</f>
        <v>4.354817467333137E-3</v>
      </c>
      <c r="J1865" s="10" cm="1">
        <f t="array" ref="J1865">_xlfn.IFS(B1865=2015,I1865*$G$2,B1865=2016,I1865*$G$3,B1865=2017,I1865*$G$4,B1865=2018,I1865*$G$5,B1865=2019,I1865*$G$6,B1865=2020,I1865*$G$7,B1865=2021,I1865*$G$8,B1865=2022,I1865*$G$9,B1865=2023,I1865*$G$10)</f>
        <v>655504.21348672558</v>
      </c>
      <c r="K1865" s="8">
        <f t="shared" si="28"/>
        <v>4039962.2134867255</v>
      </c>
      <c r="L1865">
        <f>IFERROR(VLOOKUP(F1865,'LEAID Match'!$A$2:$B$240,2,FALSE),"")</f>
        <v>0</v>
      </c>
    </row>
    <row r="1866" spans="1:12" x14ac:dyDescent="0.2">
      <c r="A1866">
        <v>0</v>
      </c>
      <c r="B1866">
        <v>2019</v>
      </c>
      <c r="C1866" s="4" t="s">
        <v>384</v>
      </c>
      <c r="D1866" s="4" t="s">
        <v>576</v>
      </c>
      <c r="E1866" s="4" t="s">
        <v>578</v>
      </c>
      <c r="F1866" s="4" t="s">
        <v>354</v>
      </c>
      <c r="G1866" s="8">
        <v>3630449</v>
      </c>
      <c r="I1866" s="16" cm="1">
        <f t="array" ref="I1866">_xlfn.IFS(B1866=2015,G1866/$H$1957,B1866=2016,G1866/$H$1958,B1866=2017,G1866/$H$1959,B1866=2018,G1866/$H$1960,B1866=2019,G1866/$H$1961,B1866=2020,G1866/$H$1962,B1866=2021,G1866/$H$1963,B1866=2022,G1866/$H$1964,B1866=2023,G1866/$H$1965)</f>
        <v>4.51190985950154E-3</v>
      </c>
      <c r="J1866" s="10" cm="1">
        <f t="array" ref="J1866">_xlfn.IFS(B1866=2015,I1866*$G$2,B1866=2016,I1866*$G$3,B1866=2017,I1866*$G$4,B1866=2018,I1866*$G$5,B1866=2019,I1866*$G$6,B1866=2020,I1866*$G$7,B1866=2021,I1866*$G$8,B1866=2022,I1866*$G$9,B1866=2023,I1866*$G$10)</f>
        <v>713008.64173031226</v>
      </c>
      <c r="K1866" s="8">
        <f t="shared" si="28"/>
        <v>4343457.6417303123</v>
      </c>
      <c r="L1866">
        <f>IFERROR(VLOOKUP(F1866,'LEAID Match'!$A$2:$B$240,2,FALSE),"")</f>
        <v>0</v>
      </c>
    </row>
    <row r="1867" spans="1:12" x14ac:dyDescent="0.2">
      <c r="A1867">
        <v>0</v>
      </c>
      <c r="B1867">
        <v>2020</v>
      </c>
      <c r="C1867" s="4" t="s">
        <v>384</v>
      </c>
      <c r="D1867" s="4" t="s">
        <v>576</v>
      </c>
      <c r="E1867" s="4" t="s">
        <v>578</v>
      </c>
      <c r="F1867" s="4" t="s">
        <v>354</v>
      </c>
      <c r="G1867" s="8">
        <v>3979775</v>
      </c>
      <c r="I1867" s="16" cm="1">
        <f t="array" ref="I1867">_xlfn.IFS(B1867=2015,G1867/$H$1957,B1867=2016,G1867/$H$1958,B1867=2017,G1867/$H$1959,B1867=2018,G1867/$H$1960,B1867=2019,G1867/$H$1961,B1867=2020,G1867/$H$1962,B1867=2021,G1867/$H$1963,B1867=2022,G1867/$H$1964,B1867=2023,G1867/$H$1965)</f>
        <v>4.5773914508326335E-3</v>
      </c>
      <c r="J1867" s="10" cm="1">
        <f t="array" ref="J1867">_xlfn.IFS(B1867=2015,I1867*$G$2,B1867=2016,I1867*$G$3,B1867=2017,I1867*$G$4,B1867=2018,I1867*$G$5,B1867=2019,I1867*$G$6,B1867=2020,I1867*$G$7,B1867=2021,I1867*$G$8,B1867=2022,I1867*$G$9,B1867=2023,I1867*$G$10)</f>
        <v>790441.78009208874</v>
      </c>
      <c r="K1867" s="8">
        <f t="shared" si="28"/>
        <v>4770216.7800920885</v>
      </c>
      <c r="L1867">
        <f>IFERROR(VLOOKUP(F1867,'LEAID Match'!$A$2:$B$240,2,FALSE),"")</f>
        <v>0</v>
      </c>
    </row>
    <row r="1868" spans="1:12" x14ac:dyDescent="0.2">
      <c r="A1868">
        <v>0</v>
      </c>
      <c r="B1868">
        <v>2021</v>
      </c>
      <c r="C1868" s="4" t="s">
        <v>384</v>
      </c>
      <c r="D1868" s="4" t="s">
        <v>576</v>
      </c>
      <c r="E1868" s="4" t="s">
        <v>578</v>
      </c>
      <c r="F1868" s="4" t="s">
        <v>354</v>
      </c>
      <c r="G1868" s="8">
        <v>3668251</v>
      </c>
      <c r="I1868" s="16" cm="1">
        <f t="array" ref="I1868">_xlfn.IFS(B1868=2015,G1868/$H$1957,B1868=2016,G1868/$H$1958,B1868=2017,G1868/$H$1959,B1868=2018,G1868/$H$1960,B1868=2019,G1868/$H$1961,B1868=2020,G1868/$H$1962,B1868=2021,G1868/$H$1963,B1868=2022,G1868/$H$1964,B1868=2023,G1868/$H$1965)</f>
        <v>4.1920585025411825E-3</v>
      </c>
      <c r="J1868" s="10" cm="1">
        <f t="array" ref="J1868">_xlfn.IFS(B1868=2015,I1868*$G$2,B1868=2016,I1868*$G$3,B1868=2017,I1868*$G$4,B1868=2018,I1868*$G$5,B1868=2019,I1868*$G$6,B1868=2020,I1868*$G$7,B1868=2021,I1868*$G$8,B1868=2022,I1868*$G$9,B1868=2023,I1868*$G$10)</f>
        <v>719427.81653301569</v>
      </c>
      <c r="K1868" s="8">
        <f t="shared" ref="K1868:K1931" si="29">SUM(G1868,J1868)</f>
        <v>4387678.816533016</v>
      </c>
      <c r="L1868">
        <f>IFERROR(VLOOKUP(F1868,'LEAID Match'!$A$2:$B$240,2,FALSE),"")</f>
        <v>0</v>
      </c>
    </row>
    <row r="1869" spans="1:12" x14ac:dyDescent="0.2">
      <c r="A1869">
        <v>0</v>
      </c>
      <c r="B1869">
        <v>2022</v>
      </c>
      <c r="C1869" s="4" t="s">
        <v>384</v>
      </c>
      <c r="D1869" s="4" t="s">
        <v>576</v>
      </c>
      <c r="E1869" s="4" t="s">
        <v>578</v>
      </c>
      <c r="F1869" s="4" t="s">
        <v>354</v>
      </c>
      <c r="G1869" s="8">
        <v>4350322</v>
      </c>
      <c r="I1869" s="16" cm="1">
        <f t="array" ref="I1869">_xlfn.IFS(B1869=2015,G1869/$H$1957,B1869=2016,G1869/$H$1958,B1869=2017,G1869/$H$1959,B1869=2018,G1869/$H$1960,B1869=2019,G1869/$H$1961,B1869=2020,G1869/$H$1962,B1869=2021,G1869/$H$1963,B1869=2022,G1869/$H$1964,B1869=2023,G1869/$H$1965)</f>
        <v>4.675736125839978E-3</v>
      </c>
      <c r="J1869" s="10" cm="1">
        <f t="array" ref="J1869">_xlfn.IFS(B1869=2015,I1869*$G$2,B1869=2016,I1869*$G$3,B1869=2017,I1869*$G$4,B1869=2018,I1869*$G$5,B1869=2019,I1869*$G$6,B1869=2020,I1869*$G$7,B1869=2021,I1869*$G$8,B1869=2022,I1869*$G$9,B1869=2023,I1869*$G$10)</f>
        <v>792937.74545331835</v>
      </c>
      <c r="K1869" s="8">
        <f t="shared" si="29"/>
        <v>5143259.7454533186</v>
      </c>
      <c r="L1869">
        <f>IFERROR(VLOOKUP(F1869,'LEAID Match'!$A$2:$B$240,2,FALSE),"")</f>
        <v>0</v>
      </c>
    </row>
    <row r="1870" spans="1:12" x14ac:dyDescent="0.2">
      <c r="A1870">
        <v>0</v>
      </c>
      <c r="B1870">
        <v>2023</v>
      </c>
      <c r="C1870" s="4" t="s">
        <v>384</v>
      </c>
      <c r="D1870" s="4" t="s">
        <v>576</v>
      </c>
      <c r="E1870" s="4" t="s">
        <v>578</v>
      </c>
      <c r="F1870" s="4" t="s">
        <v>354</v>
      </c>
      <c r="G1870" s="8">
        <v>4573996</v>
      </c>
      <c r="I1870" s="16" cm="1">
        <f t="array" ref="I1870">_xlfn.IFS(B1870=2015,G1870/$H$1957,B1870=2016,G1870/$H$1958,B1870=2017,G1870/$H$1959,B1870=2018,G1870/$H$1960,B1870=2019,G1870/$H$1961,B1870=2020,G1870/$H$1962,B1870=2021,G1870/$H$1963,B1870=2022,G1870/$H$1964,B1870=2023,G1870/$H$1965)</f>
        <v>4.63112333771041E-3</v>
      </c>
      <c r="J1870" s="10" cm="1">
        <f t="array" ref="J1870">_xlfn.IFS(B1870=2015,I1870*$G$2,B1870=2016,I1870*$G$3,B1870=2017,I1870*$G$4,B1870=2018,I1870*$G$5,B1870=2019,I1870*$G$6,B1870=2020,I1870*$G$7,B1870=2021,I1870*$G$8,B1870=2022,I1870*$G$9,B1870=2023,I1870*$G$10)</f>
        <v>787222.97788904875</v>
      </c>
      <c r="K1870" s="8">
        <f t="shared" si="29"/>
        <v>5361218.9778890489</v>
      </c>
      <c r="L1870">
        <f>IFERROR(VLOOKUP(F1870,'LEAID Match'!$A$2:$B$240,2,FALSE),"")</f>
        <v>0</v>
      </c>
    </row>
    <row r="1871" spans="1:12" x14ac:dyDescent="0.2">
      <c r="A1871">
        <v>0</v>
      </c>
      <c r="B1871">
        <v>2023</v>
      </c>
      <c r="C1871" s="4" t="s">
        <v>475</v>
      </c>
      <c r="D1871" s="4" t="s">
        <v>576</v>
      </c>
      <c r="E1871" s="4" t="s">
        <v>578</v>
      </c>
      <c r="F1871" s="4" t="s">
        <v>474</v>
      </c>
      <c r="G1871" s="8">
        <v>90106</v>
      </c>
      <c r="I1871" s="16" cm="1">
        <f t="array" ref="I1871">_xlfn.IFS(B1871=2015,G1871/$H$1957,B1871=2016,G1871/$H$1958,B1871=2017,G1871/$H$1959,B1871=2018,G1871/$H$1960,B1871=2019,G1871/$H$1961,B1871=2020,G1871/$H$1962,B1871=2021,G1871/$H$1963,B1871=2022,G1871/$H$1964,B1871=2023,G1871/$H$1965)</f>
        <v>9.1231387055811644E-5</v>
      </c>
      <c r="J1871" s="10" cm="1">
        <f t="array" ref="J1871">_xlfn.IFS(B1871=2015,I1871*$G$2,B1871=2016,I1871*$G$3,B1871=2017,I1871*$G$4,B1871=2018,I1871*$G$5,B1871=2019,I1871*$G$6,B1871=2020,I1871*$G$7,B1871=2021,I1871*$G$8,B1871=2022,I1871*$G$9,B1871=2023,I1871*$G$10)</f>
        <v>15507.996431494614</v>
      </c>
      <c r="K1871" s="8">
        <f t="shared" si="29"/>
        <v>105613.99643149461</v>
      </c>
      <c r="L1871">
        <f>IFERROR(VLOOKUP(F1871,'LEAID Match'!$A$2:$B$240,2,FALSE),"")</f>
        <v>0</v>
      </c>
    </row>
    <row r="1872" spans="1:12" x14ac:dyDescent="0.2">
      <c r="A1872">
        <v>0</v>
      </c>
      <c r="B1872">
        <v>2015</v>
      </c>
      <c r="C1872" s="4" t="s">
        <v>385</v>
      </c>
      <c r="D1872" s="4" t="s">
        <v>576</v>
      </c>
      <c r="E1872" s="4" t="s">
        <v>578</v>
      </c>
      <c r="F1872" s="4" t="s">
        <v>355</v>
      </c>
      <c r="G1872" s="8">
        <v>57322</v>
      </c>
      <c r="I1872" s="16" cm="1">
        <f t="array" ref="I1872">_xlfn.IFS(B1872=2015,G1872/$H$1957,B1872=2016,G1872/$H$1958,B1872=2017,G1872/$H$1959,B1872=2018,G1872/$H$1960,B1872=2019,G1872/$H$1961,B1872=2020,G1872/$H$1962,B1872=2021,G1872/$H$1963,B1872=2022,G1872/$H$1964,B1872=2023,G1872/$H$1965)</f>
        <v>4.4267401165217434E-5</v>
      </c>
      <c r="J1872" s="10" cm="1">
        <f t="array" ref="J1872">_xlfn.IFS(B1872=2015,I1872*$G$2,B1872=2016,I1872*$G$3,B1872=2017,I1872*$G$4,B1872=2018,I1872*$G$5,B1872=2019,I1872*$G$6,B1872=2020,I1872*$G$7,B1872=2021,I1872*$G$8,B1872=2022,I1872*$G$9,B1872=2023,I1872*$G$10)</f>
        <v>11006.760614277664</v>
      </c>
      <c r="K1872" s="8">
        <f t="shared" si="29"/>
        <v>68328.760614277664</v>
      </c>
      <c r="L1872">
        <f>IFERROR(VLOOKUP(F1872,'LEAID Match'!$A$2:$B$240,2,FALSE),"")</f>
        <v>0</v>
      </c>
    </row>
    <row r="1873" spans="1:12" x14ac:dyDescent="0.2">
      <c r="A1873">
        <v>0</v>
      </c>
      <c r="B1873">
        <v>2016</v>
      </c>
      <c r="C1873" s="4" t="s">
        <v>385</v>
      </c>
      <c r="D1873" s="4" t="s">
        <v>576</v>
      </c>
      <c r="E1873" s="4" t="s">
        <v>578</v>
      </c>
      <c r="F1873" s="4" t="s">
        <v>355</v>
      </c>
      <c r="G1873" s="8">
        <v>64658</v>
      </c>
      <c r="I1873" s="16" cm="1">
        <f t="array" ref="I1873">_xlfn.IFS(B1873=2015,G1873/$H$1957,B1873=2016,G1873/$H$1958,B1873=2017,G1873/$H$1959,B1873=2018,G1873/$H$1960,B1873=2019,G1873/$H$1961,B1873=2020,G1873/$H$1962,B1873=2021,G1873/$H$1963,B1873=2022,G1873/$H$1964,B1873=2023,G1873/$H$1965)</f>
        <v>4.5389888358284228E-5</v>
      </c>
      <c r="J1873" s="10" cm="1">
        <f t="array" ref="J1873">_xlfn.IFS(B1873=2015,I1873*$G$2,B1873=2016,I1873*$G$3,B1873=2017,I1873*$G$4,B1873=2018,I1873*$G$5,B1873=2019,I1873*$G$6,B1873=2020,I1873*$G$7,B1873=2021,I1873*$G$8,B1873=2022,I1873*$G$9,B1873=2023,I1873*$G$10)</f>
        <v>12309.877523622827</v>
      </c>
      <c r="K1873" s="8">
        <f t="shared" si="29"/>
        <v>76967.877523622825</v>
      </c>
      <c r="L1873">
        <f>IFERROR(VLOOKUP(F1873,'LEAID Match'!$A$2:$B$240,2,FALSE),"")</f>
        <v>0</v>
      </c>
    </row>
    <row r="1874" spans="1:12" x14ac:dyDescent="0.2">
      <c r="A1874">
        <v>0</v>
      </c>
      <c r="B1874">
        <v>2017</v>
      </c>
      <c r="C1874" s="4" t="s">
        <v>385</v>
      </c>
      <c r="D1874" s="4" t="s">
        <v>576</v>
      </c>
      <c r="E1874" s="4" t="s">
        <v>578</v>
      </c>
      <c r="F1874" s="4" t="s">
        <v>355</v>
      </c>
      <c r="G1874" s="8">
        <v>35085</v>
      </c>
      <c r="I1874" s="16" cm="1">
        <f t="array" ref="I1874">_xlfn.IFS(B1874=2015,G1874/$H$1957,B1874=2016,G1874/$H$1958,B1874=2017,G1874/$H$1959,B1874=2018,G1874/$H$1960,B1874=2019,G1874/$H$1961,B1874=2020,G1874/$H$1962,B1874=2021,G1874/$H$1963,B1874=2022,G1874/$H$1964,B1874=2023,G1874/$H$1965)</f>
        <v>4.6810856343383107E-5</v>
      </c>
      <c r="J1874" s="10" cm="1">
        <f t="array" ref="J1874">_xlfn.IFS(B1874=2015,I1874*$G$2,B1874=2016,I1874*$G$3,B1874=2017,I1874*$G$4,B1874=2018,I1874*$G$5,B1874=2019,I1874*$G$6,B1874=2020,I1874*$G$7,B1874=2021,I1874*$G$8,B1874=2022,I1874*$G$9,B1874=2023,I1874*$G$10)</f>
        <v>6932.0599504389047</v>
      </c>
      <c r="K1874" s="8">
        <f t="shared" si="29"/>
        <v>42017.059950438903</v>
      </c>
      <c r="L1874">
        <f>IFERROR(VLOOKUP(F1874,'LEAID Match'!$A$2:$B$240,2,FALSE),"")</f>
        <v>0</v>
      </c>
    </row>
    <row r="1875" spans="1:12" x14ac:dyDescent="0.2">
      <c r="A1875">
        <v>0</v>
      </c>
      <c r="B1875">
        <v>2018</v>
      </c>
      <c r="C1875" s="4" t="s">
        <v>385</v>
      </c>
      <c r="D1875" s="4" t="s">
        <v>576</v>
      </c>
      <c r="E1875" s="4" t="s">
        <v>578</v>
      </c>
      <c r="F1875" s="4" t="s">
        <v>355</v>
      </c>
      <c r="G1875" s="8">
        <v>39547</v>
      </c>
      <c r="I1875" s="16" cm="1">
        <f t="array" ref="I1875">_xlfn.IFS(B1875=2015,G1875/$H$1957,B1875=2016,G1875/$H$1958,B1875=2017,G1875/$H$1959,B1875=2018,G1875/$H$1960,B1875=2019,G1875/$H$1961,B1875=2020,G1875/$H$1962,B1875=2021,G1875/$H$1963,B1875=2022,G1875/$H$1964,B1875=2023,G1875/$H$1965)</f>
        <v>5.0885538062704152E-5</v>
      </c>
      <c r="J1875" s="10" cm="1">
        <f t="array" ref="J1875">_xlfn.IFS(B1875=2015,I1875*$G$2,B1875=2016,I1875*$G$3,B1875=2017,I1875*$G$4,B1875=2018,I1875*$G$5,B1875=2019,I1875*$G$6,B1875=2020,I1875*$G$7,B1875=2021,I1875*$G$8,B1875=2022,I1875*$G$9,B1875=2023,I1875*$G$10)</f>
        <v>7659.4908640495869</v>
      </c>
      <c r="K1875" s="8">
        <f t="shared" si="29"/>
        <v>47206.490864049585</v>
      </c>
      <c r="L1875">
        <f>IFERROR(VLOOKUP(F1875,'LEAID Match'!$A$2:$B$240,2,FALSE),"")</f>
        <v>0</v>
      </c>
    </row>
    <row r="1876" spans="1:12" x14ac:dyDescent="0.2">
      <c r="A1876">
        <v>0</v>
      </c>
      <c r="B1876">
        <v>2019</v>
      </c>
      <c r="C1876" s="4" t="s">
        <v>385</v>
      </c>
      <c r="D1876" s="4" t="s">
        <v>576</v>
      </c>
      <c r="E1876" s="4" t="s">
        <v>578</v>
      </c>
      <c r="F1876" s="4" t="s">
        <v>355</v>
      </c>
      <c r="G1876" s="8">
        <v>41486</v>
      </c>
      <c r="I1876" s="16" cm="1">
        <f t="array" ref="I1876">_xlfn.IFS(B1876=2015,G1876/$H$1957,B1876=2016,G1876/$H$1958,B1876=2017,G1876/$H$1959,B1876=2018,G1876/$H$1960,B1876=2019,G1876/$H$1961,B1876=2020,G1876/$H$1962,B1876=2021,G1876/$H$1963,B1876=2022,G1876/$H$1964,B1876=2023,G1876/$H$1965)</f>
        <v>5.1558661871102146E-5</v>
      </c>
      <c r="J1876" s="10" cm="1">
        <f t="array" ref="J1876">_xlfn.IFS(B1876=2015,I1876*$G$2,B1876=2016,I1876*$G$3,B1876=2017,I1876*$G$4,B1876=2018,I1876*$G$5,B1876=2019,I1876*$G$6,B1876=2020,I1876*$G$7,B1876=2021,I1876*$G$8,B1876=2022,I1876*$G$9,B1876=2023,I1876*$G$10)</f>
        <v>8147.718508323278</v>
      </c>
      <c r="K1876" s="8">
        <f t="shared" si="29"/>
        <v>49633.718508323276</v>
      </c>
      <c r="L1876">
        <f>IFERROR(VLOOKUP(F1876,'LEAID Match'!$A$2:$B$240,2,FALSE),"")</f>
        <v>0</v>
      </c>
    </row>
    <row r="1877" spans="1:12" x14ac:dyDescent="0.2">
      <c r="A1877">
        <v>0</v>
      </c>
      <c r="B1877">
        <v>2020</v>
      </c>
      <c r="C1877" s="4" t="s">
        <v>385</v>
      </c>
      <c r="D1877" s="4" t="s">
        <v>576</v>
      </c>
      <c r="E1877" s="4" t="s">
        <v>578</v>
      </c>
      <c r="F1877" s="4" t="s">
        <v>355</v>
      </c>
      <c r="G1877" s="8">
        <v>46129</v>
      </c>
      <c r="I1877" s="16" cm="1">
        <f t="array" ref="I1877">_xlfn.IFS(B1877=2015,G1877/$H$1957,B1877=2016,G1877/$H$1958,B1877=2017,G1877/$H$1959,B1877=2018,G1877/$H$1960,B1877=2019,G1877/$H$1961,B1877=2020,G1877/$H$1962,B1877=2021,G1877/$H$1963,B1877=2022,G1877/$H$1964,B1877=2023,G1877/$H$1965)</f>
        <v>5.3055886384395738E-5</v>
      </c>
      <c r="J1877" s="10" cm="1">
        <f t="array" ref="J1877">_xlfn.IFS(B1877=2015,I1877*$G$2,B1877=2016,I1877*$G$3,B1877=2017,I1877*$G$4,B1877=2018,I1877*$G$5,B1877=2019,I1877*$G$6,B1877=2020,I1877*$G$7,B1877=2021,I1877*$G$8,B1877=2022,I1877*$G$9,B1877=2023,I1877*$G$10)</f>
        <v>9161.8970604790375</v>
      </c>
      <c r="K1877" s="8">
        <f t="shared" si="29"/>
        <v>55290.897060479037</v>
      </c>
      <c r="L1877">
        <f>IFERROR(VLOOKUP(F1877,'LEAID Match'!$A$2:$B$240,2,FALSE),"")</f>
        <v>0</v>
      </c>
    </row>
    <row r="1878" spans="1:12" x14ac:dyDescent="0.2">
      <c r="A1878">
        <v>0</v>
      </c>
      <c r="B1878">
        <v>2021</v>
      </c>
      <c r="C1878" s="4" t="s">
        <v>385</v>
      </c>
      <c r="D1878" s="4" t="s">
        <v>576</v>
      </c>
      <c r="E1878" s="4" t="s">
        <v>578</v>
      </c>
      <c r="F1878" s="4" t="s">
        <v>355</v>
      </c>
      <c r="G1878" s="8">
        <v>42043</v>
      </c>
      <c r="I1878" s="16" cm="1">
        <f t="array" ref="I1878">_xlfn.IFS(B1878=2015,G1878/$H$1957,B1878=2016,G1878/$H$1958,B1878=2017,G1878/$H$1959,B1878=2018,G1878/$H$1960,B1878=2019,G1878/$H$1961,B1878=2020,G1878/$H$1962,B1878=2021,G1878/$H$1963,B1878=2022,G1878/$H$1964,B1878=2023,G1878/$H$1965)</f>
        <v>4.8046525611889408E-5</v>
      </c>
      <c r="J1878" s="10" cm="1">
        <f t="array" ref="J1878">_xlfn.IFS(B1878=2015,I1878*$G$2,B1878=2016,I1878*$G$3,B1878=2017,I1878*$G$4,B1878=2018,I1878*$G$5,B1878=2019,I1878*$G$6,B1878=2020,I1878*$G$7,B1878=2021,I1878*$G$8,B1878=2022,I1878*$G$9,B1878=2023,I1878*$G$10)</f>
        <v>8245.5927063054241</v>
      </c>
      <c r="K1878" s="8">
        <f t="shared" si="29"/>
        <v>50288.592706305426</v>
      </c>
      <c r="L1878">
        <f>IFERROR(VLOOKUP(F1878,'LEAID Match'!$A$2:$B$240,2,FALSE),"")</f>
        <v>0</v>
      </c>
    </row>
    <row r="1879" spans="1:12" x14ac:dyDescent="0.2">
      <c r="A1879">
        <v>0</v>
      </c>
      <c r="B1879">
        <v>2022</v>
      </c>
      <c r="C1879" s="4" t="s">
        <v>385</v>
      </c>
      <c r="D1879" s="4" t="s">
        <v>576</v>
      </c>
      <c r="E1879" s="4" t="s">
        <v>578</v>
      </c>
      <c r="F1879" s="4" t="s">
        <v>355</v>
      </c>
      <c r="G1879" s="8">
        <v>46381</v>
      </c>
      <c r="I1879" s="16" cm="1">
        <f t="array" ref="I1879">_xlfn.IFS(B1879=2015,G1879/$H$1957,B1879=2016,G1879/$H$1958,B1879=2017,G1879/$H$1959,B1879=2018,G1879/$H$1960,B1879=2019,G1879/$H$1961,B1879=2020,G1879/$H$1962,B1879=2021,G1879/$H$1963,B1879=2022,G1879/$H$1964,B1879=2023,G1879/$H$1965)</f>
        <v>4.9850405844115454E-5</v>
      </c>
      <c r="J1879" s="10" cm="1">
        <f t="array" ref="J1879">_xlfn.IFS(B1879=2015,I1879*$G$2,B1879=2016,I1879*$G$3,B1879=2017,I1879*$G$4,B1879=2018,I1879*$G$5,B1879=2019,I1879*$G$6,B1879=2020,I1879*$G$7,B1879=2021,I1879*$G$8,B1879=2022,I1879*$G$9,B1879=2023,I1879*$G$10)</f>
        <v>8453.9134279877126</v>
      </c>
      <c r="K1879" s="8">
        <f t="shared" si="29"/>
        <v>54834.913427987711</v>
      </c>
      <c r="L1879">
        <f>IFERROR(VLOOKUP(F1879,'LEAID Match'!$A$2:$B$240,2,FALSE),"")</f>
        <v>0</v>
      </c>
    </row>
    <row r="1880" spans="1:12" x14ac:dyDescent="0.2">
      <c r="A1880">
        <v>0</v>
      </c>
      <c r="B1880">
        <v>2023</v>
      </c>
      <c r="C1880" s="4" t="s">
        <v>385</v>
      </c>
      <c r="D1880" s="4" t="s">
        <v>576</v>
      </c>
      <c r="E1880" s="4" t="s">
        <v>578</v>
      </c>
      <c r="F1880" s="4" t="s">
        <v>355</v>
      </c>
      <c r="G1880" s="8">
        <v>52036</v>
      </c>
      <c r="I1880" s="16" cm="1">
        <f t="array" ref="I1880">_xlfn.IFS(B1880=2015,G1880/$H$1957,B1880=2016,G1880/$H$1958,B1880=2017,G1880/$H$1959,B1880=2018,G1880/$H$1960,B1880=2019,G1880/$H$1961,B1880=2020,G1880/$H$1962,B1880=2021,G1880/$H$1963,B1880=2022,G1880/$H$1964,B1880=2023,G1880/$H$1965)</f>
        <v>5.2685908339469228E-5</v>
      </c>
      <c r="J1880" s="10" cm="1">
        <f t="array" ref="J1880">_xlfn.IFS(B1880=2015,I1880*$G$2,B1880=2016,I1880*$G$3,B1880=2017,I1880*$G$4,B1880=2018,I1880*$G$5,B1880=2019,I1880*$G$6,B1880=2020,I1880*$G$7,B1880=2021,I1880*$G$8,B1880=2022,I1880*$G$9,B1880=2023,I1880*$G$10)</f>
        <v>8955.8309358894367</v>
      </c>
      <c r="K1880" s="8">
        <f t="shared" si="29"/>
        <v>60991.830935889433</v>
      </c>
      <c r="L1880">
        <f>IFERROR(VLOOKUP(F1880,'LEAID Match'!$A$2:$B$240,2,FALSE),"")</f>
        <v>0</v>
      </c>
    </row>
    <row r="1881" spans="1:12" x14ac:dyDescent="0.2">
      <c r="A1881">
        <v>0</v>
      </c>
      <c r="B1881">
        <v>2015</v>
      </c>
      <c r="C1881" s="4" t="s">
        <v>386</v>
      </c>
      <c r="D1881" s="4" t="s">
        <v>576</v>
      </c>
      <c r="E1881" s="4" t="s">
        <v>578</v>
      </c>
      <c r="F1881" s="4" t="s">
        <v>356</v>
      </c>
      <c r="G1881" s="8">
        <v>21401</v>
      </c>
      <c r="I1881" s="16" cm="1">
        <f t="array" ref="I1881">_xlfn.IFS(B1881=2015,G1881/$H$1957,B1881=2016,G1881/$H$1958,B1881=2017,G1881/$H$1959,B1881=2018,G1881/$H$1960,B1881=2019,G1881/$H$1961,B1881=2020,G1881/$H$1962,B1881=2021,G1881/$H$1963,B1881=2022,G1881/$H$1964,B1881=2023,G1881/$H$1965)</f>
        <v>1.6527103945026661E-5</v>
      </c>
      <c r="J1881" s="10" cm="1">
        <f t="array" ref="J1881">_xlfn.IFS(B1881=2015,I1881*$G$2,B1881=2016,I1881*$G$3,B1881=2017,I1881*$G$4,B1881=2018,I1881*$G$5,B1881=2019,I1881*$G$6,B1881=2020,I1881*$G$7,B1881=2021,I1881*$G$8,B1881=2022,I1881*$G$9,B1881=2023,I1881*$G$10)</f>
        <v>4109.3416821840874</v>
      </c>
      <c r="K1881" s="8">
        <f t="shared" si="29"/>
        <v>25510.341682184087</v>
      </c>
      <c r="L1881">
        <f>IFERROR(VLOOKUP(F1881,'LEAID Match'!$A$2:$B$240,2,FALSE),"")</f>
        <v>0</v>
      </c>
    </row>
    <row r="1882" spans="1:12" x14ac:dyDescent="0.2">
      <c r="A1882">
        <v>0</v>
      </c>
      <c r="B1882">
        <v>2016</v>
      </c>
      <c r="C1882" s="4" t="s">
        <v>386</v>
      </c>
      <c r="D1882" s="4" t="s">
        <v>576</v>
      </c>
      <c r="E1882" s="4" t="s">
        <v>578</v>
      </c>
      <c r="F1882" s="4" t="s">
        <v>356</v>
      </c>
      <c r="G1882" s="8">
        <v>25488</v>
      </c>
      <c r="I1882" s="16" cm="1">
        <f t="array" ref="I1882">_xlfn.IFS(B1882=2015,G1882/$H$1957,B1882=2016,G1882/$H$1958,B1882=2017,G1882/$H$1959,B1882=2018,G1882/$H$1960,B1882=2019,G1882/$H$1961,B1882=2020,G1882/$H$1962,B1882=2021,G1882/$H$1963,B1882=2022,G1882/$H$1964,B1882=2023,G1882/$H$1965)</f>
        <v>1.7892565103714132E-5</v>
      </c>
      <c r="J1882" s="10" cm="1">
        <f t="array" ref="J1882">_xlfn.IFS(B1882=2015,I1882*$G$2,B1882=2016,I1882*$G$3,B1882=2017,I1882*$G$4,B1882=2018,I1882*$G$5,B1882=2019,I1882*$G$6,B1882=2020,I1882*$G$7,B1882=2021,I1882*$G$8,B1882=2022,I1882*$G$9,B1882=2023,I1882*$G$10)</f>
        <v>4852.5187652277918</v>
      </c>
      <c r="K1882" s="8">
        <f t="shared" si="29"/>
        <v>30340.518765227793</v>
      </c>
      <c r="L1882">
        <f>IFERROR(VLOOKUP(F1882,'LEAID Match'!$A$2:$B$240,2,FALSE),"")</f>
        <v>0</v>
      </c>
    </row>
    <row r="1883" spans="1:12" x14ac:dyDescent="0.2">
      <c r="A1883">
        <v>0</v>
      </c>
      <c r="B1883">
        <v>2017</v>
      </c>
      <c r="C1883" s="4" t="s">
        <v>386</v>
      </c>
      <c r="D1883" s="4" t="s">
        <v>576</v>
      </c>
      <c r="E1883" s="4" t="s">
        <v>578</v>
      </c>
      <c r="F1883" s="4" t="s">
        <v>356</v>
      </c>
      <c r="G1883" s="8">
        <v>13234</v>
      </c>
      <c r="I1883" s="16" cm="1">
        <f t="array" ref="I1883">_xlfn.IFS(B1883=2015,G1883/$H$1957,B1883=2016,G1883/$H$1958,B1883=2017,G1883/$H$1959,B1883=2018,G1883/$H$1960,B1883=2019,G1883/$H$1961,B1883=2020,G1883/$H$1962,B1883=2021,G1883/$H$1963,B1883=2022,G1883/$H$1964,B1883=2023,G1883/$H$1965)</f>
        <v>1.7656972291530055E-5</v>
      </c>
      <c r="J1883" s="10" cm="1">
        <f t="array" ref="J1883">_xlfn.IFS(B1883=2015,I1883*$G$2,B1883=2016,I1883*$G$3,B1883=2017,I1883*$G$4,B1883=2018,I1883*$G$5,B1883=2019,I1883*$G$6,B1883=2020,I1883*$G$7,B1883=2021,I1883*$G$8,B1883=2022,I1883*$G$9,B1883=2023,I1883*$G$10)</f>
        <v>2614.7607634062551</v>
      </c>
      <c r="K1883" s="8">
        <f t="shared" si="29"/>
        <v>15848.760763406255</v>
      </c>
      <c r="L1883">
        <f>IFERROR(VLOOKUP(F1883,'LEAID Match'!$A$2:$B$240,2,FALSE),"")</f>
        <v>0</v>
      </c>
    </row>
    <row r="1884" spans="1:12" x14ac:dyDescent="0.2">
      <c r="A1884">
        <v>0</v>
      </c>
      <c r="B1884">
        <v>2018</v>
      </c>
      <c r="C1884" s="4" t="s">
        <v>386</v>
      </c>
      <c r="D1884" s="4" t="s">
        <v>576</v>
      </c>
      <c r="E1884" s="4" t="s">
        <v>578</v>
      </c>
      <c r="F1884" s="4" t="s">
        <v>356</v>
      </c>
      <c r="G1884" s="8">
        <v>15127</v>
      </c>
      <c r="I1884" s="16" cm="1">
        <f t="array" ref="I1884">_xlfn.IFS(B1884=2015,G1884/$H$1957,B1884=2016,G1884/$H$1958,B1884=2017,G1884/$H$1959,B1884=2018,G1884/$H$1960,B1884=2019,G1884/$H$1961,B1884=2020,G1884/$H$1962,B1884=2021,G1884/$H$1963,B1884=2022,G1884/$H$1964,B1884=2023,G1884/$H$1965)</f>
        <v>1.9464068937581248E-5</v>
      </c>
      <c r="J1884" s="10" cm="1">
        <f t="array" ref="J1884">_xlfn.IFS(B1884=2015,I1884*$G$2,B1884=2016,I1884*$G$3,B1884=2017,I1884*$G$4,B1884=2018,I1884*$G$5,B1884=2019,I1884*$G$6,B1884=2020,I1884*$G$7,B1884=2021,I1884*$G$8,B1884=2022,I1884*$G$9,B1884=2023,I1884*$G$10)</f>
        <v>2929.8080334912406</v>
      </c>
      <c r="K1884" s="8">
        <f t="shared" si="29"/>
        <v>18056.808033491241</v>
      </c>
      <c r="L1884">
        <f>IFERROR(VLOOKUP(F1884,'LEAID Match'!$A$2:$B$240,2,FALSE),"")</f>
        <v>0</v>
      </c>
    </row>
    <row r="1885" spans="1:12" x14ac:dyDescent="0.2">
      <c r="A1885">
        <v>0</v>
      </c>
      <c r="B1885">
        <v>2019</v>
      </c>
      <c r="C1885" s="4" t="s">
        <v>386</v>
      </c>
      <c r="D1885" s="4" t="s">
        <v>576</v>
      </c>
      <c r="E1885" s="4" t="s">
        <v>578</v>
      </c>
      <c r="F1885" s="4" t="s">
        <v>356</v>
      </c>
      <c r="G1885" s="8">
        <v>15943</v>
      </c>
      <c r="I1885" s="16" cm="1">
        <f t="array" ref="I1885">_xlfn.IFS(B1885=2015,G1885/$H$1957,B1885=2016,G1885/$H$1958,B1885=2017,G1885/$H$1959,B1885=2018,G1885/$H$1960,B1885=2019,G1885/$H$1961,B1885=2020,G1885/$H$1962,B1885=2021,G1885/$H$1963,B1885=2022,G1885/$H$1964,B1885=2023,G1885/$H$1965)</f>
        <v>1.9813907009858301E-5</v>
      </c>
      <c r="J1885" s="10" cm="1">
        <f t="array" ref="J1885">_xlfn.IFS(B1885=2015,I1885*$G$2,B1885=2016,I1885*$G$3,B1885=2017,I1885*$G$4,B1885=2018,I1885*$G$5,B1885=2019,I1885*$G$6,B1885=2020,I1885*$G$7,B1885=2021,I1885*$G$8,B1885=2022,I1885*$G$9,B1885=2023,I1885*$G$10)</f>
        <v>3131.1545142505429</v>
      </c>
      <c r="K1885" s="8">
        <f t="shared" si="29"/>
        <v>19074.154514250542</v>
      </c>
      <c r="L1885">
        <f>IFERROR(VLOOKUP(F1885,'LEAID Match'!$A$2:$B$240,2,FALSE),"")</f>
        <v>0</v>
      </c>
    </row>
    <row r="1886" spans="1:12" x14ac:dyDescent="0.2">
      <c r="A1886">
        <v>0</v>
      </c>
      <c r="B1886">
        <v>2020</v>
      </c>
      <c r="C1886" s="4" t="s">
        <v>386</v>
      </c>
      <c r="D1886" s="4" t="s">
        <v>576</v>
      </c>
      <c r="E1886" s="4" t="s">
        <v>578</v>
      </c>
      <c r="F1886" s="4" t="s">
        <v>356</v>
      </c>
      <c r="G1886" s="8">
        <v>18511</v>
      </c>
      <c r="I1886" s="16" cm="1">
        <f t="array" ref="I1886">_xlfn.IFS(B1886=2015,G1886/$H$1957,B1886=2016,G1886/$H$1958,B1886=2017,G1886/$H$1959,B1886=2018,G1886/$H$1960,B1886=2019,G1886/$H$1961,B1886=2020,G1886/$H$1962,B1886=2021,G1886/$H$1963,B1886=2022,G1886/$H$1964,B1886=2023,G1886/$H$1965)</f>
        <v>2.1290674258309295E-5</v>
      </c>
      <c r="J1886" s="10" cm="1">
        <f t="array" ref="J1886">_xlfn.IFS(B1886=2015,I1886*$G$2,B1886=2016,I1886*$G$3,B1886=2017,I1886*$G$4,B1886=2018,I1886*$G$5,B1886=2019,I1886*$G$6,B1886=2020,I1886*$G$7,B1886=2021,I1886*$G$8,B1886=2022,I1886*$G$9,B1886=2023,I1886*$G$10)</f>
        <v>3676.5565368104112</v>
      </c>
      <c r="K1886" s="8">
        <f t="shared" si="29"/>
        <v>22187.556536810411</v>
      </c>
      <c r="L1886">
        <f>IFERROR(VLOOKUP(F1886,'LEAID Match'!$A$2:$B$240,2,FALSE),"")</f>
        <v>0</v>
      </c>
    </row>
    <row r="1887" spans="1:12" x14ac:dyDescent="0.2">
      <c r="A1887">
        <v>0</v>
      </c>
      <c r="B1887">
        <v>2021</v>
      </c>
      <c r="C1887" s="4" t="s">
        <v>386</v>
      </c>
      <c r="D1887" s="4" t="s">
        <v>576</v>
      </c>
      <c r="E1887" s="4" t="s">
        <v>578</v>
      </c>
      <c r="F1887" s="4" t="s">
        <v>356</v>
      </c>
      <c r="G1887" s="8">
        <v>18647</v>
      </c>
      <c r="I1887" s="16" cm="1">
        <f t="array" ref="I1887">_xlfn.IFS(B1887=2015,G1887/$H$1957,B1887=2016,G1887/$H$1958,B1887=2017,G1887/$H$1959,B1887=2018,G1887/$H$1960,B1887=2019,G1887/$H$1961,B1887=2020,G1887/$H$1962,B1887=2021,G1887/$H$1963,B1887=2022,G1887/$H$1964,B1887=2023,G1887/$H$1965)</f>
        <v>2.1309696336724351E-5</v>
      </c>
      <c r="J1887" s="10" cm="1">
        <f t="array" ref="J1887">_xlfn.IFS(B1887=2015,I1887*$G$2,B1887=2016,I1887*$G$3,B1887=2017,I1887*$G$4,B1887=2018,I1887*$G$5,B1887=2019,I1887*$G$6,B1887=2020,I1887*$G$7,B1887=2021,I1887*$G$8,B1887=2022,I1887*$G$9,B1887=2023,I1887*$G$10)</f>
        <v>3657.1026614294237</v>
      </c>
      <c r="K1887" s="8">
        <f t="shared" si="29"/>
        <v>22304.102661429424</v>
      </c>
      <c r="L1887">
        <f>IFERROR(VLOOKUP(F1887,'LEAID Match'!$A$2:$B$240,2,FALSE),"")</f>
        <v>0</v>
      </c>
    </row>
    <row r="1888" spans="1:12" x14ac:dyDescent="0.2">
      <c r="A1888">
        <v>0</v>
      </c>
      <c r="B1888">
        <v>2022</v>
      </c>
      <c r="C1888" s="4" t="s">
        <v>386</v>
      </c>
      <c r="D1888" s="4" t="s">
        <v>576</v>
      </c>
      <c r="E1888" s="4" t="s">
        <v>578</v>
      </c>
      <c r="F1888" s="4" t="s">
        <v>356</v>
      </c>
      <c r="G1888" s="8">
        <v>19839</v>
      </c>
      <c r="I1888" s="16" cm="1">
        <f t="array" ref="I1888">_xlfn.IFS(B1888=2015,G1888/$H$1957,B1888=2016,G1888/$H$1958,B1888=2017,G1888/$H$1959,B1888=2018,G1888/$H$1960,B1888=2019,G1888/$H$1961,B1888=2020,G1888/$H$1962,B1888=2021,G1888/$H$1963,B1888=2022,G1888/$H$1964,B1888=2023,G1888/$H$1965)</f>
        <v>2.132300298702931E-5</v>
      </c>
      <c r="J1888" s="10" cm="1">
        <f t="array" ref="J1888">_xlfn.IFS(B1888=2015,I1888*$G$2,B1888=2016,I1888*$G$3,B1888=2017,I1888*$G$4,B1888=2018,I1888*$G$5,B1888=2019,I1888*$G$6,B1888=2020,I1888*$G$7,B1888=2021,I1888*$G$8,B1888=2022,I1888*$G$9,B1888=2023,I1888*$G$10)</f>
        <v>3616.0753001843041</v>
      </c>
      <c r="K1888" s="8">
        <f t="shared" si="29"/>
        <v>23455.075300184304</v>
      </c>
      <c r="L1888">
        <f>IFERROR(VLOOKUP(F1888,'LEAID Match'!$A$2:$B$240,2,FALSE),"")</f>
        <v>0</v>
      </c>
    </row>
    <row r="1889" spans="1:12" x14ac:dyDescent="0.2">
      <c r="A1889">
        <v>0</v>
      </c>
      <c r="B1889">
        <v>2023</v>
      </c>
      <c r="C1889" s="4" t="s">
        <v>386</v>
      </c>
      <c r="D1889" s="4" t="s">
        <v>576</v>
      </c>
      <c r="E1889" s="4" t="s">
        <v>578</v>
      </c>
      <c r="F1889" s="4" t="s">
        <v>356</v>
      </c>
      <c r="G1889" s="8">
        <v>21645</v>
      </c>
      <c r="I1889" s="16" cm="1">
        <f t="array" ref="I1889">_xlfn.IFS(B1889=2015,G1889/$H$1957,B1889=2016,G1889/$H$1958,B1889=2017,G1889/$H$1959,B1889=2018,G1889/$H$1960,B1889=2019,G1889/$H$1961,B1889=2020,G1889/$H$1962,B1889=2021,G1889/$H$1963,B1889=2022,G1889/$H$1964,B1889=2023,G1889/$H$1965)</f>
        <v>2.191533718978806E-5</v>
      </c>
      <c r="J1889" s="10" cm="1">
        <f t="array" ref="J1889">_xlfn.IFS(B1889=2015,I1889*$G$2,B1889=2016,I1889*$G$3,B1889=2017,I1889*$G$4,B1889=2018,I1889*$G$5,B1889=2019,I1889*$G$6,B1889=2020,I1889*$G$7,B1889=2021,I1889*$G$8,B1889=2022,I1889*$G$9,B1889=2023,I1889*$G$10)</f>
        <v>3725.2855831986872</v>
      </c>
      <c r="K1889" s="8">
        <f t="shared" si="29"/>
        <v>25370.285583198689</v>
      </c>
      <c r="L1889">
        <f>IFERROR(VLOOKUP(F1889,'LEAID Match'!$A$2:$B$240,2,FALSE),"")</f>
        <v>0</v>
      </c>
    </row>
    <row r="1890" spans="1:12" x14ac:dyDescent="0.2">
      <c r="A1890">
        <v>0</v>
      </c>
      <c r="B1890">
        <v>2015</v>
      </c>
      <c r="C1890" s="4" t="s">
        <v>387</v>
      </c>
      <c r="D1890" s="4" t="s">
        <v>576</v>
      </c>
      <c r="E1890" s="4" t="s">
        <v>578</v>
      </c>
      <c r="F1890" s="4" t="s">
        <v>357</v>
      </c>
      <c r="G1890" s="8">
        <v>6357</v>
      </c>
      <c r="I1890" s="16" cm="1">
        <f t="array" ref="I1890">_xlfn.IFS(B1890=2015,G1890/$H$1957,B1890=2016,G1890/$H$1958,B1890=2017,G1890/$H$1959,B1890=2018,G1890/$H$1960,B1890=2019,G1890/$H$1961,B1890=2020,G1890/$H$1962,B1890=2021,G1890/$H$1963,B1890=2022,G1890/$H$1964,B1890=2023,G1890/$H$1965)</f>
        <v>4.9092472210894116E-6</v>
      </c>
      <c r="J1890" s="10" cm="1">
        <f t="array" ref="J1890">_xlfn.IFS(B1890=2015,I1890*$G$2,B1890=2016,I1890*$G$3,B1890=2017,I1890*$G$4,B1890=2018,I1890*$G$5,B1890=2019,I1890*$G$6,B1890=2020,I1890*$G$7,B1890=2021,I1890*$G$8,B1890=2022,I1890*$G$9,B1890=2023,I1890*$G$10)</f>
        <v>1220.6478703632656</v>
      </c>
      <c r="K1890" s="8">
        <f t="shared" si="29"/>
        <v>7577.6478703632656</v>
      </c>
      <c r="L1890">
        <f>IFERROR(VLOOKUP(F1890,'LEAID Match'!$A$2:$B$240,2,FALSE),"")</f>
        <v>0</v>
      </c>
    </row>
    <row r="1891" spans="1:12" x14ac:dyDescent="0.2">
      <c r="A1891">
        <v>0</v>
      </c>
      <c r="B1891">
        <v>2016</v>
      </c>
      <c r="C1891" s="4" t="s">
        <v>387</v>
      </c>
      <c r="D1891" s="4" t="s">
        <v>576</v>
      </c>
      <c r="E1891" s="4" t="s">
        <v>578</v>
      </c>
      <c r="F1891" s="4" t="s">
        <v>357</v>
      </c>
      <c r="G1891" s="8">
        <v>5867</v>
      </c>
      <c r="I1891" s="16" cm="1">
        <f t="array" ref="I1891">_xlfn.IFS(B1891=2015,G1891/$H$1957,B1891=2016,G1891/$H$1958,B1891=2017,G1891/$H$1959,B1891=2018,G1891/$H$1960,B1891=2019,G1891/$H$1961,B1891=2020,G1891/$H$1962,B1891=2021,G1891/$H$1963,B1891=2022,G1891/$H$1964,B1891=2023,G1891/$H$1965)</f>
        <v>4.1186314918193195E-6</v>
      </c>
      <c r="J1891" s="10" cm="1">
        <f t="array" ref="J1891">_xlfn.IFS(B1891=2015,I1891*$G$2,B1891=2016,I1891*$G$3,B1891=2017,I1891*$G$4,B1891=2018,I1891*$G$5,B1891=2019,I1891*$G$6,B1891=2020,I1891*$G$7,B1891=2021,I1891*$G$8,B1891=2022,I1891*$G$9,B1891=2023,I1891*$G$10)</f>
        <v>1116.9855459663943</v>
      </c>
      <c r="K1891" s="8">
        <f t="shared" si="29"/>
        <v>6983.9855459663941</v>
      </c>
      <c r="L1891">
        <f>IFERROR(VLOOKUP(F1891,'LEAID Match'!$A$2:$B$240,2,FALSE),"")</f>
        <v>0</v>
      </c>
    </row>
    <row r="1892" spans="1:12" x14ac:dyDescent="0.2">
      <c r="A1892">
        <v>0</v>
      </c>
      <c r="B1892">
        <v>2017</v>
      </c>
      <c r="C1892" s="4" t="s">
        <v>387</v>
      </c>
      <c r="D1892" s="4" t="s">
        <v>576</v>
      </c>
      <c r="E1892" s="4" t="s">
        <v>578</v>
      </c>
      <c r="F1892" s="4" t="s">
        <v>357</v>
      </c>
      <c r="G1892" s="8">
        <v>2735</v>
      </c>
      <c r="I1892" s="16" cm="1">
        <f t="array" ref="I1892">_xlfn.IFS(B1892=2015,G1892/$H$1957,B1892=2016,G1892/$H$1958,B1892=2017,G1892/$H$1959,B1892=2018,G1892/$H$1960,B1892=2019,G1892/$H$1961,B1892=2020,G1892/$H$1962,B1892=2021,G1892/$H$1963,B1892=2022,G1892/$H$1964,B1892=2023,G1892/$H$1965)</f>
        <v>3.6490720279080174E-6</v>
      </c>
      <c r="J1892" s="10" cm="1">
        <f t="array" ref="J1892">_xlfn.IFS(B1892=2015,I1892*$G$2,B1892=2016,I1892*$G$3,B1892=2017,I1892*$G$4,B1892=2018,I1892*$G$5,B1892=2019,I1892*$G$6,B1892=2020,I1892*$G$7,B1892=2021,I1892*$G$8,B1892=2022,I1892*$G$9,B1892=2023,I1892*$G$10)</f>
        <v>540.37862233006706</v>
      </c>
      <c r="K1892" s="8">
        <f t="shared" si="29"/>
        <v>3275.3786223300672</v>
      </c>
      <c r="L1892">
        <f>IFERROR(VLOOKUP(F1892,'LEAID Match'!$A$2:$B$240,2,FALSE),"")</f>
        <v>0</v>
      </c>
    </row>
    <row r="1893" spans="1:12" x14ac:dyDescent="0.2">
      <c r="A1893">
        <v>0</v>
      </c>
      <c r="B1893">
        <v>2018</v>
      </c>
      <c r="C1893" s="4" t="s">
        <v>387</v>
      </c>
      <c r="D1893" s="4" t="s">
        <v>576</v>
      </c>
      <c r="E1893" s="4" t="s">
        <v>578</v>
      </c>
      <c r="F1893" s="4" t="s">
        <v>357</v>
      </c>
      <c r="G1893" s="8">
        <v>573</v>
      </c>
      <c r="I1893" s="16" cm="1">
        <f t="array" ref="I1893">_xlfn.IFS(B1893=2015,G1893/$H$1957,B1893=2016,G1893/$H$1958,B1893=2017,G1893/$H$1959,B1893=2018,G1893/$H$1960,B1893=2019,G1893/$H$1961,B1893=2020,G1893/$H$1962,B1893=2021,G1893/$H$1963,B1893=2022,G1893/$H$1964,B1893=2023,G1893/$H$1965)</f>
        <v>7.3728508635116389E-7</v>
      </c>
      <c r="J1893" s="10" cm="1">
        <f t="array" ref="J1893">_xlfn.IFS(B1893=2015,I1893*$G$2,B1893=2016,I1893*$G$3,B1893=2017,I1893*$G$4,B1893=2018,I1893*$G$5,B1893=2019,I1893*$G$6,B1893=2020,I1893*$G$7,B1893=2021,I1893*$G$8,B1893=2022,I1893*$G$9,B1893=2023,I1893*$G$10)</f>
        <v>110.97904430425604</v>
      </c>
      <c r="K1893" s="8">
        <f t="shared" si="29"/>
        <v>683.97904430425604</v>
      </c>
      <c r="L1893">
        <f>IFERROR(VLOOKUP(F1893,'LEAID Match'!$A$2:$B$240,2,FALSE),"")</f>
        <v>0</v>
      </c>
    </row>
    <row r="1894" spans="1:12" x14ac:dyDescent="0.2">
      <c r="A1894">
        <v>0</v>
      </c>
      <c r="B1894">
        <v>2019</v>
      </c>
      <c r="C1894" s="4" t="s">
        <v>387</v>
      </c>
      <c r="D1894" s="4" t="s">
        <v>576</v>
      </c>
      <c r="E1894" s="4" t="s">
        <v>578</v>
      </c>
      <c r="F1894" s="4" t="s">
        <v>357</v>
      </c>
      <c r="I1894" s="16" cm="1">
        <f t="array" ref="I1894">_xlfn.IFS(B1894=2015,G1894/$H$1957,B1894=2016,G1894/$H$1958,B1894=2017,G1894/$H$1959,B1894=2018,G1894/$H$1960,B1894=2019,G1894/$H$1961,B1894=2020,G1894/$H$1962,B1894=2021,G1894/$H$1963,B1894=2022,G1894/$H$1964,B1894=2023,G1894/$H$1965)</f>
        <v>0</v>
      </c>
      <c r="J1894" s="10" cm="1">
        <f t="array" ref="J1894">_xlfn.IFS(B1894=2015,I1894*$G$2,B1894=2016,I1894*$G$3,B1894=2017,I1894*$G$4,B1894=2018,I1894*$G$5,B1894=2019,I1894*$G$6,B1894=2020,I1894*$G$7,B1894=2021,I1894*$G$8,B1894=2022,I1894*$G$9,B1894=2023,I1894*$G$10)</f>
        <v>0</v>
      </c>
      <c r="K1894" s="8">
        <f t="shared" si="29"/>
        <v>0</v>
      </c>
      <c r="L1894">
        <f>IFERROR(VLOOKUP(F1894,'LEAID Match'!$A$2:$B$240,2,FALSE),"")</f>
        <v>0</v>
      </c>
    </row>
    <row r="1895" spans="1:12" x14ac:dyDescent="0.2">
      <c r="A1895">
        <v>0</v>
      </c>
      <c r="B1895">
        <v>2020</v>
      </c>
      <c r="C1895" s="4" t="s">
        <v>387</v>
      </c>
      <c r="D1895" s="4" t="s">
        <v>576</v>
      </c>
      <c r="E1895" s="4" t="s">
        <v>578</v>
      </c>
      <c r="F1895" s="4" t="s">
        <v>357</v>
      </c>
      <c r="I1895" s="16" cm="1">
        <f t="array" ref="I1895">_xlfn.IFS(B1895=2015,G1895/$H$1957,B1895=2016,G1895/$H$1958,B1895=2017,G1895/$H$1959,B1895=2018,G1895/$H$1960,B1895=2019,G1895/$H$1961,B1895=2020,G1895/$H$1962,B1895=2021,G1895/$H$1963,B1895=2022,G1895/$H$1964,B1895=2023,G1895/$H$1965)</f>
        <v>0</v>
      </c>
      <c r="J1895" s="10" cm="1">
        <f t="array" ref="J1895">_xlfn.IFS(B1895=2015,I1895*$G$2,B1895=2016,I1895*$G$3,B1895=2017,I1895*$G$4,B1895=2018,I1895*$G$5,B1895=2019,I1895*$G$6,B1895=2020,I1895*$G$7,B1895=2021,I1895*$G$8,B1895=2022,I1895*$G$9,B1895=2023,I1895*$G$10)</f>
        <v>0</v>
      </c>
      <c r="K1895" s="8">
        <f t="shared" si="29"/>
        <v>0</v>
      </c>
      <c r="L1895">
        <f>IFERROR(VLOOKUP(F1895,'LEAID Match'!$A$2:$B$240,2,FALSE),"")</f>
        <v>0</v>
      </c>
    </row>
    <row r="1896" spans="1:12" x14ac:dyDescent="0.2">
      <c r="A1896">
        <v>0</v>
      </c>
      <c r="B1896">
        <v>2021</v>
      </c>
      <c r="C1896" s="4" t="s">
        <v>387</v>
      </c>
      <c r="D1896" s="4" t="s">
        <v>576</v>
      </c>
      <c r="E1896" s="4" t="s">
        <v>578</v>
      </c>
      <c r="F1896" s="4" t="s">
        <v>357</v>
      </c>
      <c r="I1896" s="16" cm="1">
        <f t="array" ref="I1896">_xlfn.IFS(B1896=2015,G1896/$H$1957,B1896=2016,G1896/$H$1958,B1896=2017,G1896/$H$1959,B1896=2018,G1896/$H$1960,B1896=2019,G1896/$H$1961,B1896=2020,G1896/$H$1962,B1896=2021,G1896/$H$1963,B1896=2022,G1896/$H$1964,B1896=2023,G1896/$H$1965)</f>
        <v>0</v>
      </c>
      <c r="J1896" s="10" cm="1">
        <f t="array" ref="J1896">_xlfn.IFS(B1896=2015,I1896*$G$2,B1896=2016,I1896*$G$3,B1896=2017,I1896*$G$4,B1896=2018,I1896*$G$5,B1896=2019,I1896*$G$6,B1896=2020,I1896*$G$7,B1896=2021,I1896*$G$8,B1896=2022,I1896*$G$9,B1896=2023,I1896*$G$10)</f>
        <v>0</v>
      </c>
      <c r="K1896" s="8">
        <f t="shared" si="29"/>
        <v>0</v>
      </c>
      <c r="L1896">
        <f>IFERROR(VLOOKUP(F1896,'LEAID Match'!$A$2:$B$240,2,FALSE),"")</f>
        <v>0</v>
      </c>
    </row>
    <row r="1897" spans="1:12" x14ac:dyDescent="0.2">
      <c r="A1897">
        <v>0</v>
      </c>
      <c r="B1897">
        <v>2022</v>
      </c>
      <c r="C1897" s="4" t="s">
        <v>387</v>
      </c>
      <c r="D1897" s="4" t="s">
        <v>576</v>
      </c>
      <c r="E1897" s="4" t="s">
        <v>578</v>
      </c>
      <c r="F1897" s="4" t="s">
        <v>357</v>
      </c>
      <c r="I1897" s="16" cm="1">
        <f t="array" ref="I1897">_xlfn.IFS(B1897=2015,G1897/$H$1957,B1897=2016,G1897/$H$1958,B1897=2017,G1897/$H$1959,B1897=2018,G1897/$H$1960,B1897=2019,G1897/$H$1961,B1897=2020,G1897/$H$1962,B1897=2021,G1897/$H$1963,B1897=2022,G1897/$H$1964,B1897=2023,G1897/$H$1965)</f>
        <v>0</v>
      </c>
      <c r="J1897" s="10" cm="1">
        <f t="array" ref="J1897">_xlfn.IFS(B1897=2015,I1897*$G$2,B1897=2016,I1897*$G$3,B1897=2017,I1897*$G$4,B1897=2018,I1897*$G$5,B1897=2019,I1897*$G$6,B1897=2020,I1897*$G$7,B1897=2021,I1897*$G$8,B1897=2022,I1897*$G$9,B1897=2023,I1897*$G$10)</f>
        <v>0</v>
      </c>
      <c r="K1897" s="8">
        <f t="shared" si="29"/>
        <v>0</v>
      </c>
      <c r="L1897">
        <f>IFERROR(VLOOKUP(F1897,'LEAID Match'!$A$2:$B$240,2,FALSE),"")</f>
        <v>0</v>
      </c>
    </row>
    <row r="1898" spans="1:12" x14ac:dyDescent="0.2">
      <c r="A1898">
        <v>0</v>
      </c>
      <c r="B1898">
        <v>2023</v>
      </c>
      <c r="C1898" s="4" t="s">
        <v>387</v>
      </c>
      <c r="D1898" s="4" t="s">
        <v>576</v>
      </c>
      <c r="E1898" s="4" t="s">
        <v>578</v>
      </c>
      <c r="F1898" s="4" t="s">
        <v>357</v>
      </c>
      <c r="I1898" s="16" cm="1">
        <f t="array" ref="I1898">_xlfn.IFS(B1898=2015,G1898/$H$1957,B1898=2016,G1898/$H$1958,B1898=2017,G1898/$H$1959,B1898=2018,G1898/$H$1960,B1898=2019,G1898/$H$1961,B1898=2020,G1898/$H$1962,B1898=2021,G1898/$H$1963,B1898=2022,G1898/$H$1964,B1898=2023,G1898/$H$1965)</f>
        <v>0</v>
      </c>
      <c r="J1898" s="10" cm="1">
        <f t="array" ref="J1898">_xlfn.IFS(B1898=2015,I1898*$G$2,B1898=2016,I1898*$G$3,B1898=2017,I1898*$G$4,B1898=2018,I1898*$G$5,B1898=2019,I1898*$G$6,B1898=2020,I1898*$G$7,B1898=2021,I1898*$G$8,B1898=2022,I1898*$G$9,B1898=2023,I1898*$G$10)</f>
        <v>0</v>
      </c>
      <c r="K1898" s="8">
        <f t="shared" si="29"/>
        <v>0</v>
      </c>
      <c r="L1898">
        <f>IFERROR(VLOOKUP(F1898,'LEAID Match'!$A$2:$B$240,2,FALSE),"")</f>
        <v>0</v>
      </c>
    </row>
    <row r="1899" spans="1:12" x14ac:dyDescent="0.2">
      <c r="A1899">
        <v>0</v>
      </c>
      <c r="B1899">
        <v>2015</v>
      </c>
      <c r="C1899" s="4" t="s">
        <v>388</v>
      </c>
      <c r="D1899" s="4" t="s">
        <v>576</v>
      </c>
      <c r="E1899" s="4" t="s">
        <v>578</v>
      </c>
      <c r="F1899" s="4" t="s">
        <v>358</v>
      </c>
      <c r="G1899" s="8">
        <v>26848</v>
      </c>
      <c r="I1899" s="16" cm="1">
        <f t="array" ref="I1899">_xlfn.IFS(B1899=2015,G1899/$H$1957,B1899=2016,G1899/$H$1958,B1899=2017,G1899/$H$1959,B1899=2018,G1899/$H$1960,B1899=2019,G1899/$H$1961,B1899=2020,G1899/$H$1962,B1899=2021,G1899/$H$1963,B1899=2022,G1899/$H$1964,B1899=2023,G1899/$H$1965)</f>
        <v>2.0733595940193253E-5</v>
      </c>
      <c r="J1899" s="10" cm="1">
        <f t="array" ref="J1899">_xlfn.IFS(B1899=2015,I1899*$G$2,B1899=2016,I1899*$G$3,B1899=2017,I1899*$G$4,B1899=2018,I1899*$G$5,B1899=2019,I1899*$G$6,B1899=2020,I1899*$G$7,B1899=2021,I1899*$G$8,B1899=2022,I1899*$G$9,B1899=2023,I1899*$G$10)</f>
        <v>5155.2546835791964</v>
      </c>
      <c r="K1899" s="8">
        <f t="shared" si="29"/>
        <v>32003.254683579195</v>
      </c>
      <c r="L1899">
        <f>IFERROR(VLOOKUP(F1899,'LEAID Match'!$A$2:$B$240,2,FALSE),"")</f>
        <v>0</v>
      </c>
    </row>
    <row r="1900" spans="1:12" x14ac:dyDescent="0.2">
      <c r="A1900">
        <v>0</v>
      </c>
      <c r="B1900">
        <v>2016</v>
      </c>
      <c r="C1900" s="4" t="s">
        <v>388</v>
      </c>
      <c r="D1900" s="4" t="s">
        <v>576</v>
      </c>
      <c r="E1900" s="4" t="s">
        <v>578</v>
      </c>
      <c r="F1900" s="4" t="s">
        <v>358</v>
      </c>
      <c r="G1900" s="8">
        <v>29186</v>
      </c>
      <c r="I1900" s="16" cm="1">
        <f t="array" ref="I1900">_xlfn.IFS(B1900=2015,G1900/$H$1957,B1900=2016,G1900/$H$1958,B1900=2017,G1900/$H$1959,B1900=2018,G1900/$H$1960,B1900=2019,G1900/$H$1961,B1900=2020,G1900/$H$1962,B1900=2021,G1900/$H$1963,B1900=2022,G1900/$H$1964,B1900=2023,G1900/$H$1965)</f>
        <v>2.0488559522795068E-5</v>
      </c>
      <c r="J1900" s="10" cm="1">
        <f t="array" ref="J1900">_xlfn.IFS(B1900=2015,I1900*$G$2,B1900=2016,I1900*$G$3,B1900=2017,I1900*$G$4,B1900=2018,I1900*$G$5,B1900=2019,I1900*$G$6,B1900=2020,I1900*$G$7,B1900=2021,I1900*$G$8,B1900=2022,I1900*$G$9,B1900=2023,I1900*$G$10)</f>
        <v>5556.5604473453523</v>
      </c>
      <c r="K1900" s="8">
        <f t="shared" si="29"/>
        <v>34742.56044734535</v>
      </c>
      <c r="L1900">
        <f>IFERROR(VLOOKUP(F1900,'LEAID Match'!$A$2:$B$240,2,FALSE),"")</f>
        <v>0</v>
      </c>
    </row>
    <row r="1901" spans="1:12" x14ac:dyDescent="0.2">
      <c r="A1901">
        <v>0</v>
      </c>
      <c r="B1901">
        <v>2017</v>
      </c>
      <c r="C1901" s="4" t="s">
        <v>388</v>
      </c>
      <c r="D1901" s="4" t="s">
        <v>576</v>
      </c>
      <c r="E1901" s="4" t="s">
        <v>578</v>
      </c>
      <c r="F1901" s="4" t="s">
        <v>358</v>
      </c>
      <c r="G1901" s="8">
        <v>13560</v>
      </c>
      <c r="I1901" s="16" cm="1">
        <f t="array" ref="I1901">_xlfn.IFS(B1901=2015,G1901/$H$1957,B1901=2016,G1901/$H$1958,B1901=2017,G1901/$H$1959,B1901=2018,G1901/$H$1960,B1901=2019,G1901/$H$1961,B1901=2020,G1901/$H$1962,B1901=2021,G1901/$H$1963,B1901=2022,G1901/$H$1964,B1901=2023,G1901/$H$1965)</f>
        <v>1.8091925666703004E-5</v>
      </c>
      <c r="J1901" s="10" cm="1">
        <f t="array" ref="J1901">_xlfn.IFS(B1901=2015,I1901*$G$2,B1901=2016,I1901*$G$3,B1901=2017,I1901*$G$4,B1901=2018,I1901*$G$5,B1901=2019,I1901*$G$6,B1901=2020,I1901*$G$7,B1901=2021,I1901*$G$8,B1901=2022,I1901*$G$9,B1901=2023,I1901*$G$10)</f>
        <v>2679.1715242397477</v>
      </c>
      <c r="K1901" s="8">
        <f t="shared" si="29"/>
        <v>16239.171524239748</v>
      </c>
      <c r="L1901">
        <f>IFERROR(VLOOKUP(F1901,'LEAID Match'!$A$2:$B$240,2,FALSE),"")</f>
        <v>0</v>
      </c>
    </row>
    <row r="1902" spans="1:12" x14ac:dyDescent="0.2">
      <c r="A1902">
        <v>0</v>
      </c>
      <c r="B1902">
        <v>2018</v>
      </c>
      <c r="C1902" s="4" t="s">
        <v>388</v>
      </c>
      <c r="D1902" s="4" t="s">
        <v>576</v>
      </c>
      <c r="E1902" s="4" t="s">
        <v>578</v>
      </c>
      <c r="F1902" s="4" t="s">
        <v>358</v>
      </c>
      <c r="G1902" s="8">
        <v>8563</v>
      </c>
      <c r="I1902" s="16" cm="1">
        <f t="array" ref="I1902">_xlfn.IFS(B1902=2015,G1902/$H$1957,B1902=2016,G1902/$H$1958,B1902=2017,G1902/$H$1959,B1902=2018,G1902/$H$1960,B1902=2019,G1902/$H$1961,B1902=2020,G1902/$H$1962,B1902=2021,G1902/$H$1963,B1902=2022,G1902/$H$1964,B1902=2023,G1902/$H$1965)</f>
        <v>1.1018101560951162E-5</v>
      </c>
      <c r="J1902" s="10" cm="1">
        <f t="array" ref="J1902">_xlfn.IFS(B1902=2015,I1902*$G$2,B1902=2016,I1902*$G$3,B1902=2017,I1902*$G$4,B1902=2018,I1902*$G$5,B1902=2019,I1902*$G$6,B1902=2020,I1902*$G$7,B1902=2021,I1902*$G$8,B1902=2022,I1902*$G$9,B1902=2023,I1902*$G$10)</f>
        <v>1658.4878819848941</v>
      </c>
      <c r="K1902" s="8">
        <f t="shared" si="29"/>
        <v>10221.487881984895</v>
      </c>
      <c r="L1902">
        <f>IFERROR(VLOOKUP(F1902,'LEAID Match'!$A$2:$B$240,2,FALSE),"")</f>
        <v>0</v>
      </c>
    </row>
    <row r="1903" spans="1:12" x14ac:dyDescent="0.2">
      <c r="A1903">
        <v>0</v>
      </c>
      <c r="B1903">
        <v>2019</v>
      </c>
      <c r="C1903" s="4" t="s">
        <v>388</v>
      </c>
      <c r="D1903" s="4" t="s">
        <v>576</v>
      </c>
      <c r="E1903" s="4" t="s">
        <v>578</v>
      </c>
      <c r="F1903" s="4" t="s">
        <v>358</v>
      </c>
      <c r="G1903" s="8">
        <v>16250</v>
      </c>
      <c r="I1903" s="16" cm="1">
        <f t="array" ref="I1903">_xlfn.IFS(B1903=2015,G1903/$H$1957,B1903=2016,G1903/$H$1958,B1903=2017,G1903/$H$1959,B1903=2018,G1903/$H$1960,B1903=2019,G1903/$H$1961,B1903=2020,G1903/$H$1962,B1903=2021,G1903/$H$1963,B1903=2022,G1903/$H$1964,B1903=2023,G1903/$H$1965)</f>
        <v>2.0195445581772399E-5</v>
      </c>
      <c r="J1903" s="10" cm="1">
        <f t="array" ref="J1903">_xlfn.IFS(B1903=2015,I1903*$G$2,B1903=2016,I1903*$G$3,B1903=2017,I1903*$G$4,B1903=2018,I1903*$G$5,B1903=2019,I1903*$G$6,B1903=2020,I1903*$G$7,B1903=2021,I1903*$G$8,B1903=2022,I1903*$G$9,B1903=2023,I1903*$G$10)</f>
        <v>3191.4483382406897</v>
      </c>
      <c r="K1903" s="8">
        <f t="shared" si="29"/>
        <v>19441.448338240691</v>
      </c>
      <c r="L1903">
        <f>IFERROR(VLOOKUP(F1903,'LEAID Match'!$A$2:$B$240,2,FALSE),"")</f>
        <v>0</v>
      </c>
    </row>
    <row r="1904" spans="1:12" x14ac:dyDescent="0.2">
      <c r="A1904">
        <v>0</v>
      </c>
      <c r="B1904">
        <v>2020</v>
      </c>
      <c r="C1904" s="4" t="s">
        <v>388</v>
      </c>
      <c r="D1904" s="4" t="s">
        <v>576</v>
      </c>
      <c r="E1904" s="4" t="s">
        <v>578</v>
      </c>
      <c r="F1904" s="4" t="s">
        <v>358</v>
      </c>
      <c r="G1904" s="8">
        <v>25882</v>
      </c>
      <c r="I1904" s="16" cm="1">
        <f t="array" ref="I1904">_xlfn.IFS(B1904=2015,G1904/$H$1957,B1904=2016,G1904/$H$1958,B1904=2017,G1904/$H$1959,B1904=2018,G1904/$H$1960,B1904=2019,G1904/$H$1961,B1904=2020,G1904/$H$1962,B1904=2021,G1904/$H$1963,B1904=2022,G1904/$H$1964,B1904=2023,G1904/$H$1965)</f>
        <v>2.9768528504865282E-5</v>
      </c>
      <c r="J1904" s="10" cm="1">
        <f t="array" ref="J1904">_xlfn.IFS(B1904=2015,I1904*$G$2,B1904=2016,I1904*$G$3,B1904=2017,I1904*$G$4,B1904=2018,I1904*$G$5,B1904=2019,I1904*$G$6,B1904=2020,I1904*$G$7,B1904=2021,I1904*$G$8,B1904=2022,I1904*$G$9,B1904=2023,I1904*$G$10)</f>
        <v>5140.5454208701349</v>
      </c>
      <c r="K1904" s="8">
        <f t="shared" si="29"/>
        <v>31022.545420870134</v>
      </c>
      <c r="L1904">
        <f>IFERROR(VLOOKUP(F1904,'LEAID Match'!$A$2:$B$240,2,FALSE),"")</f>
        <v>0</v>
      </c>
    </row>
    <row r="1905" spans="1:12" x14ac:dyDescent="0.2">
      <c r="A1905">
        <v>0</v>
      </c>
      <c r="B1905">
        <v>2021</v>
      </c>
      <c r="C1905" s="4" t="s">
        <v>388</v>
      </c>
      <c r="D1905" s="4" t="s">
        <v>576</v>
      </c>
      <c r="E1905" s="4" t="s">
        <v>578</v>
      </c>
      <c r="F1905" s="4" t="s">
        <v>358</v>
      </c>
      <c r="G1905" s="8">
        <v>16337</v>
      </c>
      <c r="I1905" s="16" cm="1">
        <f t="array" ref="I1905">_xlfn.IFS(B1905=2015,G1905/$H$1957,B1905=2016,G1905/$H$1958,B1905=2017,G1905/$H$1959,B1905=2018,G1905/$H$1960,B1905=2019,G1905/$H$1961,B1905=2020,G1905/$H$1962,B1905=2021,G1905/$H$1963,B1905=2022,G1905/$H$1964,B1905=2023,G1905/$H$1965)</f>
        <v>1.8669840137988187E-5</v>
      </c>
      <c r="J1905" s="10" cm="1">
        <f t="array" ref="J1905">_xlfn.IFS(B1905=2015,I1905*$G$2,B1905=2016,I1905*$G$3,B1905=2017,I1905*$G$4,B1905=2018,I1905*$G$5,B1905=2019,I1905*$G$6,B1905=2020,I1905*$G$7,B1905=2021,I1905*$G$8,B1905=2022,I1905*$G$9,B1905=2023,I1905*$G$10)</f>
        <v>3204.0588931073362</v>
      </c>
      <c r="K1905" s="8">
        <f t="shared" si="29"/>
        <v>19541.058893107336</v>
      </c>
      <c r="L1905">
        <f>IFERROR(VLOOKUP(F1905,'LEAID Match'!$A$2:$B$240,2,FALSE),"")</f>
        <v>0</v>
      </c>
    </row>
    <row r="1906" spans="1:12" x14ac:dyDescent="0.2">
      <c r="A1906">
        <v>0</v>
      </c>
      <c r="B1906">
        <v>2022</v>
      </c>
      <c r="C1906" s="4" t="s">
        <v>388</v>
      </c>
      <c r="D1906" s="4" t="s">
        <v>576</v>
      </c>
      <c r="E1906" s="4" t="s">
        <v>578</v>
      </c>
      <c r="F1906" s="4" t="s">
        <v>358</v>
      </c>
      <c r="G1906" s="8">
        <v>18611</v>
      </c>
      <c r="I1906" s="16" cm="1">
        <f t="array" ref="I1906">_xlfn.IFS(B1906=2015,G1906/$H$1957,B1906=2016,G1906/$H$1958,B1906=2017,G1906/$H$1959,B1906=2018,G1906/$H$1960,B1906=2019,G1906/$H$1961,B1906=2020,G1906/$H$1962,B1906=2021,G1906/$H$1963,B1906=2022,G1906/$H$1964,B1906=2023,G1906/$H$1965)</f>
        <v>2.0003145752890898E-5</v>
      </c>
      <c r="J1906" s="10" cm="1">
        <f t="array" ref="J1906">_xlfn.IFS(B1906=2015,I1906*$G$2,B1906=2016,I1906*$G$3,B1906=2017,I1906*$G$4,B1906=2018,I1906*$G$5,B1906=2019,I1906*$G$6,B1906=2020,I1906*$G$7,B1906=2021,I1906*$G$8,B1906=2022,I1906*$G$9,B1906=2023,I1906*$G$10)</f>
        <v>3392.2464545455964</v>
      </c>
      <c r="K1906" s="8">
        <f t="shared" si="29"/>
        <v>22003.246454545595</v>
      </c>
      <c r="L1906">
        <f>IFERROR(VLOOKUP(F1906,'LEAID Match'!$A$2:$B$240,2,FALSE),"")</f>
        <v>0</v>
      </c>
    </row>
    <row r="1907" spans="1:12" x14ac:dyDescent="0.2">
      <c r="A1907">
        <v>0</v>
      </c>
      <c r="B1907">
        <v>2023</v>
      </c>
      <c r="C1907" s="4" t="s">
        <v>388</v>
      </c>
      <c r="D1907" s="4" t="s">
        <v>576</v>
      </c>
      <c r="E1907" s="4" t="s">
        <v>578</v>
      </c>
      <c r="F1907" s="4" t="s">
        <v>358</v>
      </c>
      <c r="G1907" s="8">
        <v>21371</v>
      </c>
      <c r="I1907" s="16" cm="1">
        <f t="array" ref="I1907">_xlfn.IFS(B1907=2015,G1907/$H$1957,B1907=2016,G1907/$H$1958,B1907=2017,G1907/$H$1959,B1907=2018,G1907/$H$1960,B1907=2019,G1907/$H$1961,B1907=2020,G1907/$H$1962,B1907=2021,G1907/$H$1963,B1907=2022,G1907/$H$1964,B1907=2023,G1907/$H$1965)</f>
        <v>2.1637915041947822E-5</v>
      </c>
      <c r="J1907" s="10" cm="1">
        <f t="array" ref="J1907">_xlfn.IFS(B1907=2015,I1907*$G$2,B1907=2016,I1907*$G$3,B1907=2017,I1907*$G$4,B1907=2018,I1907*$G$5,B1907=2019,I1907*$G$6,B1907=2020,I1907*$G$7,B1907=2021,I1907*$G$8,B1907=2022,I1907*$G$9,B1907=2023,I1907*$G$10)</f>
        <v>3678.1278909003991</v>
      </c>
      <c r="K1907" s="8">
        <f t="shared" si="29"/>
        <v>25049.1278909004</v>
      </c>
      <c r="L1907">
        <f>IFERROR(VLOOKUP(F1907,'LEAID Match'!$A$2:$B$240,2,FALSE),"")</f>
        <v>0</v>
      </c>
    </row>
    <row r="1908" spans="1:12" x14ac:dyDescent="0.2">
      <c r="A1908">
        <v>0</v>
      </c>
      <c r="B1908">
        <v>2015</v>
      </c>
      <c r="C1908" s="4" t="s">
        <v>389</v>
      </c>
      <c r="D1908" s="4" t="s">
        <v>576</v>
      </c>
      <c r="E1908" s="4" t="s">
        <v>578</v>
      </c>
      <c r="F1908" s="4" t="s">
        <v>359</v>
      </c>
      <c r="G1908" s="8">
        <v>3584069</v>
      </c>
      <c r="I1908" s="16" cm="1">
        <f t="array" ref="I1908">_xlfn.IFS(B1908=2015,G1908/$H$1957,B1908=2016,G1908/$H$1958,B1908=2017,G1908/$H$1959,B1908=2018,G1908/$H$1960,B1908=2019,G1908/$H$1961,B1908=2020,G1908/$H$1962,B1908=2021,G1908/$H$1963,B1908=2022,G1908/$H$1964,B1908=2023,G1908/$H$1965)</f>
        <v>2.767827714085686E-3</v>
      </c>
      <c r="J1908" s="10" cm="1">
        <f t="array" ref="J1908">_xlfn.IFS(B1908=2015,I1908*$G$2,B1908=2016,I1908*$G$3,B1908=2017,I1908*$G$4,B1908=2018,I1908*$G$5,B1908=2019,I1908*$G$6,B1908=2020,I1908*$G$7,B1908=2021,I1908*$G$8,B1908=2022,I1908*$G$9,B1908=2023,I1908*$G$10)</f>
        <v>688199.80998662871</v>
      </c>
      <c r="K1908" s="8">
        <f t="shared" si="29"/>
        <v>4272268.8099866286</v>
      </c>
      <c r="L1908">
        <f>IFERROR(VLOOKUP(F1908,'LEAID Match'!$A$2:$B$240,2,FALSE),"")</f>
        <v>0</v>
      </c>
    </row>
    <row r="1909" spans="1:12" x14ac:dyDescent="0.2">
      <c r="A1909">
        <v>0</v>
      </c>
      <c r="B1909">
        <v>2016</v>
      </c>
      <c r="C1909" s="4" t="s">
        <v>389</v>
      </c>
      <c r="D1909" s="4" t="s">
        <v>576</v>
      </c>
      <c r="E1909" s="4" t="s">
        <v>578</v>
      </c>
      <c r="F1909" s="4" t="s">
        <v>359</v>
      </c>
      <c r="G1909" s="8">
        <v>4134102</v>
      </c>
      <c r="I1909" s="16" cm="1">
        <f t="array" ref="I1909">_xlfn.IFS(B1909=2015,G1909/$H$1957,B1909=2016,G1909/$H$1958,B1909=2017,G1909/$H$1959,B1909=2018,G1909/$H$1960,B1909=2019,G1909/$H$1961,B1909=2020,G1909/$H$1962,B1909=2021,G1909/$H$1963,B1909=2022,G1909/$H$1964,B1909=2023,G1909/$H$1965)</f>
        <v>2.9021378366444915E-3</v>
      </c>
      <c r="J1909" s="10" cm="1">
        <f t="array" ref="J1909">_xlfn.IFS(B1909=2015,I1909*$G$2,B1909=2016,I1909*$G$3,B1909=2017,I1909*$G$4,B1909=2018,I1909*$G$5,B1909=2019,I1909*$G$6,B1909=2020,I1909*$G$7,B1909=2021,I1909*$G$8,B1909=2022,I1909*$G$9,B1909=2023,I1909*$G$10)</f>
        <v>787068.71988252294</v>
      </c>
      <c r="K1909" s="8">
        <f t="shared" si="29"/>
        <v>4921170.7198825227</v>
      </c>
      <c r="L1909">
        <f>IFERROR(VLOOKUP(F1909,'LEAID Match'!$A$2:$B$240,2,FALSE),"")</f>
        <v>0</v>
      </c>
    </row>
    <row r="1910" spans="1:12" x14ac:dyDescent="0.2">
      <c r="A1910">
        <v>0</v>
      </c>
      <c r="B1910">
        <v>2017</v>
      </c>
      <c r="C1910" s="4" t="s">
        <v>389</v>
      </c>
      <c r="D1910" s="4" t="s">
        <v>576</v>
      </c>
      <c r="E1910" s="4" t="s">
        <v>578</v>
      </c>
      <c r="F1910" s="4" t="s">
        <v>359</v>
      </c>
      <c r="G1910" s="8">
        <v>1785078</v>
      </c>
      <c r="I1910" s="16" cm="1">
        <f t="array" ref="I1910">_xlfn.IFS(B1910=2015,G1910/$H$1957,B1910=2016,G1910/$H$1958,B1910=2017,G1910/$H$1959,B1910=2018,G1910/$H$1960,B1910=2019,G1910/$H$1961,B1910=2020,G1910/$H$1962,B1910=2021,G1910/$H$1963,B1910=2022,G1910/$H$1964,B1910=2023,G1910/$H$1965)</f>
        <v>2.3816739295919515E-3</v>
      </c>
      <c r="J1910" s="10" cm="1">
        <f t="array" ref="J1910">_xlfn.IFS(B1910=2015,I1910*$G$2,B1910=2016,I1910*$G$3,B1910=2017,I1910*$G$4,B1910=2018,I1910*$G$5,B1910=2019,I1910*$G$6,B1910=2020,I1910*$G$7,B1910=2021,I1910*$G$8,B1910=2022,I1910*$G$9,B1910=2023,I1910*$G$10)</f>
        <v>352693.96358015039</v>
      </c>
      <c r="K1910" s="8">
        <f t="shared" si="29"/>
        <v>2137771.9635801502</v>
      </c>
      <c r="L1910">
        <f>IFERROR(VLOOKUP(F1910,'LEAID Match'!$A$2:$B$240,2,FALSE),"")</f>
        <v>0</v>
      </c>
    </row>
    <row r="1911" spans="1:12" x14ac:dyDescent="0.2">
      <c r="A1911">
        <v>0</v>
      </c>
      <c r="B1911">
        <v>2018</v>
      </c>
      <c r="C1911" s="4" t="s">
        <v>389</v>
      </c>
      <c r="D1911" s="4" t="s">
        <v>576</v>
      </c>
      <c r="E1911" s="4" t="s">
        <v>578</v>
      </c>
      <c r="F1911" s="4" t="s">
        <v>359</v>
      </c>
      <c r="G1911" s="8">
        <v>1993680</v>
      </c>
      <c r="I1911" s="16" cm="1">
        <f t="array" ref="I1911">_xlfn.IFS(B1911=2015,G1911/$H$1957,B1911=2016,G1911/$H$1958,B1911=2017,G1911/$H$1959,B1911=2018,G1911/$H$1960,B1911=2019,G1911/$H$1961,B1911=2020,G1911/$H$1962,B1911=2021,G1911/$H$1963,B1911=2022,G1911/$H$1964,B1911=2023,G1911/$H$1965)</f>
        <v>2.565288884740992E-3</v>
      </c>
      <c r="J1911" s="10" cm="1">
        <f t="array" ref="J1911">_xlfn.IFS(B1911=2015,I1911*$G$2,B1911=2016,I1911*$G$3,B1911=2017,I1911*$G$4,B1911=2018,I1911*$G$5,B1911=2019,I1911*$G$6,B1911=2020,I1911*$G$7,B1911=2021,I1911*$G$8,B1911=2022,I1911*$G$9,B1911=2023,I1911*$G$10)</f>
        <v>386137.34912479785</v>
      </c>
      <c r="K1911" s="8">
        <f t="shared" si="29"/>
        <v>2379817.3491247976</v>
      </c>
      <c r="L1911">
        <f>IFERROR(VLOOKUP(F1911,'LEAID Match'!$A$2:$B$240,2,FALSE),"")</f>
        <v>0</v>
      </c>
    </row>
    <row r="1912" spans="1:12" x14ac:dyDescent="0.2">
      <c r="A1912">
        <v>0</v>
      </c>
      <c r="B1912">
        <v>2019</v>
      </c>
      <c r="C1912" s="4" t="s">
        <v>389</v>
      </c>
      <c r="D1912" s="4" t="s">
        <v>576</v>
      </c>
      <c r="E1912" s="4" t="s">
        <v>578</v>
      </c>
      <c r="F1912" s="4" t="s">
        <v>359</v>
      </c>
      <c r="G1912" s="8">
        <v>1984921</v>
      </c>
      <c r="I1912" s="16" cm="1">
        <f t="array" ref="I1912">_xlfn.IFS(B1912=2015,G1912/$H$1957,B1912=2016,G1912/$H$1958,B1912=2017,G1912/$H$1959,B1912=2018,G1912/$H$1960,B1912=2019,G1912/$H$1961,B1912=2020,G1912/$H$1962,B1912=2021,G1912/$H$1963,B1912=2022,G1912/$H$1964,B1912=2023,G1912/$H$1965)</f>
        <v>2.4668531716687541E-3</v>
      </c>
      <c r="J1912" s="10" cm="1">
        <f t="array" ref="J1912">_xlfn.IFS(B1912=2015,I1912*$G$2,B1912=2016,I1912*$G$3,B1912=2017,I1912*$G$4,B1912=2018,I1912*$G$5,B1912=2019,I1912*$G$6,B1912=2020,I1912*$G$7,B1912=2021,I1912*$G$8,B1912=2022,I1912*$G$9,B1912=2023,I1912*$G$10)</f>
        <v>389832.1739685568</v>
      </c>
      <c r="K1912" s="8">
        <f t="shared" si="29"/>
        <v>2374753.1739685568</v>
      </c>
      <c r="L1912">
        <f>IFERROR(VLOOKUP(F1912,'LEAID Match'!$A$2:$B$240,2,FALSE),"")</f>
        <v>0</v>
      </c>
    </row>
    <row r="1913" spans="1:12" x14ac:dyDescent="0.2">
      <c r="A1913">
        <v>0</v>
      </c>
      <c r="B1913">
        <v>2020</v>
      </c>
      <c r="C1913" s="4" t="s">
        <v>389</v>
      </c>
      <c r="D1913" s="4" t="s">
        <v>576</v>
      </c>
      <c r="E1913" s="4" t="s">
        <v>578</v>
      </c>
      <c r="F1913" s="4" t="s">
        <v>359</v>
      </c>
      <c r="G1913" s="8">
        <v>2110852</v>
      </c>
      <c r="I1913" s="16" cm="1">
        <f t="array" ref="I1913">_xlfn.IFS(B1913=2015,G1913/$H$1957,B1913=2016,G1913/$H$1958,B1913=2017,G1913/$H$1959,B1913=2018,G1913/$H$1960,B1913=2019,G1913/$H$1961,B1913=2020,G1913/$H$1962,B1913=2021,G1913/$H$1963,B1913=2022,G1913/$H$1964,B1913=2023,G1913/$H$1965)</f>
        <v>2.4278246631462752E-3</v>
      </c>
      <c r="J1913" s="10" cm="1">
        <f t="array" ref="J1913">_xlfn.IFS(B1913=2015,I1913*$G$2,B1913=2016,I1913*$G$3,B1913=2017,I1913*$G$4,B1913=2018,I1913*$G$5,B1913=2019,I1913*$G$6,B1913=2020,I1913*$G$7,B1913=2021,I1913*$G$8,B1913=2022,I1913*$G$9,B1913=2023,I1913*$G$10)</f>
        <v>419246.21678133711</v>
      </c>
      <c r="K1913" s="8">
        <f t="shared" si="29"/>
        <v>2530098.2167813373</v>
      </c>
      <c r="L1913">
        <f>IFERROR(VLOOKUP(F1913,'LEAID Match'!$A$2:$B$240,2,FALSE),"")</f>
        <v>0</v>
      </c>
    </row>
    <row r="1914" spans="1:12" x14ac:dyDescent="0.2">
      <c r="A1914">
        <v>0</v>
      </c>
      <c r="B1914">
        <v>2021</v>
      </c>
      <c r="C1914" s="4" t="s">
        <v>389</v>
      </c>
      <c r="D1914" s="4" t="s">
        <v>576</v>
      </c>
      <c r="E1914" s="4" t="s">
        <v>578</v>
      </c>
      <c r="F1914" s="4" t="s">
        <v>359</v>
      </c>
      <c r="G1914" s="8">
        <v>2119678</v>
      </c>
      <c r="I1914" s="16" cm="1">
        <f t="array" ref="I1914">_xlfn.IFS(B1914=2015,G1914/$H$1957,B1914=2016,G1914/$H$1958,B1914=2017,G1914/$H$1959,B1914=2018,G1914/$H$1960,B1914=2019,G1914/$H$1961,B1914=2020,G1914/$H$1962,B1914=2021,G1914/$H$1963,B1914=2022,G1914/$H$1964,B1914=2023,G1914/$H$1965)</f>
        <v>2.4223571894479109E-3</v>
      </c>
      <c r="J1914" s="10" cm="1">
        <f t="array" ref="J1914">_xlfn.IFS(B1914=2015,I1914*$G$2,B1914=2016,I1914*$G$3,B1914=2017,I1914*$G$4,B1914=2018,I1914*$G$5,B1914=2019,I1914*$G$6,B1914=2020,I1914*$G$7,B1914=2021,I1914*$G$8,B1914=2022,I1914*$G$9,B1914=2023,I1914*$G$10)</f>
        <v>415717.27651490306</v>
      </c>
      <c r="K1914" s="8">
        <f t="shared" si="29"/>
        <v>2535395.2765149032</v>
      </c>
      <c r="L1914">
        <f>IFERROR(VLOOKUP(F1914,'LEAID Match'!$A$2:$B$240,2,FALSE),"")</f>
        <v>0</v>
      </c>
    </row>
    <row r="1915" spans="1:12" x14ac:dyDescent="0.2">
      <c r="A1915">
        <v>0</v>
      </c>
      <c r="B1915">
        <v>2022</v>
      </c>
      <c r="C1915" s="4" t="s">
        <v>389</v>
      </c>
      <c r="D1915" s="4" t="s">
        <v>576</v>
      </c>
      <c r="E1915" s="4" t="s">
        <v>578</v>
      </c>
      <c r="F1915" s="4" t="s">
        <v>359</v>
      </c>
      <c r="G1915" s="8">
        <v>2090296</v>
      </c>
      <c r="I1915" s="16" cm="1">
        <f t="array" ref="I1915">_xlfn.IFS(B1915=2015,G1915/$H$1957,B1915=2016,G1915/$H$1958,B1915=2017,G1915/$H$1959,B1915=2018,G1915/$H$1960,B1915=2019,G1915/$H$1961,B1915=2020,G1915/$H$1962,B1915=2021,G1915/$H$1963,B1915=2022,G1915/$H$1964,B1915=2023,G1915/$H$1965)</f>
        <v>2.2466549650574839E-3</v>
      </c>
      <c r="J1915" s="10" cm="1">
        <f t="array" ref="J1915">_xlfn.IFS(B1915=2015,I1915*$G$2,B1915=2016,I1915*$G$3,B1915=2017,I1915*$G$4,B1915=2018,I1915*$G$5,B1915=2019,I1915*$G$6,B1915=2020,I1915*$G$7,B1915=2021,I1915*$G$8,B1915=2022,I1915*$G$9,B1915=2023,I1915*$G$10)</f>
        <v>381000.44032834569</v>
      </c>
      <c r="K1915" s="8">
        <f t="shared" si="29"/>
        <v>2471296.4403283456</v>
      </c>
      <c r="L1915">
        <f>IFERROR(VLOOKUP(F1915,'LEAID Match'!$A$2:$B$240,2,FALSE),"")</f>
        <v>0</v>
      </c>
    </row>
    <row r="1916" spans="1:12" x14ac:dyDescent="0.2">
      <c r="A1916">
        <v>0</v>
      </c>
      <c r="B1916">
        <v>2023</v>
      </c>
      <c r="C1916" s="4" t="s">
        <v>389</v>
      </c>
      <c r="D1916" s="4" t="s">
        <v>576</v>
      </c>
      <c r="E1916" s="4" t="s">
        <v>578</v>
      </c>
      <c r="F1916" s="4" t="s">
        <v>359</v>
      </c>
      <c r="G1916" s="8">
        <v>2051298</v>
      </c>
      <c r="I1916" s="16" cm="1">
        <f t="array" ref="I1916">_xlfn.IFS(B1916=2015,G1916/$H$1957,B1916=2016,G1916/$H$1958,B1916=2017,G1916/$H$1959,B1916=2018,G1916/$H$1960,B1916=2019,G1916/$H$1961,B1916=2020,G1916/$H$1962,B1916=2021,G1916/$H$1963,B1916=2022,G1916/$H$1964,B1916=2023,G1916/$H$1965)</f>
        <v>2.0769178723371619E-3</v>
      </c>
      <c r="J1916" s="10" cm="1">
        <f t="array" ref="J1916">_xlfn.IFS(B1916=2015,I1916*$G$2,B1916=2016,I1916*$G$3,B1916=2017,I1916*$G$4,B1916=2018,I1916*$G$5,B1916=2019,I1916*$G$6,B1916=2020,I1916*$G$7,B1916=2021,I1916*$G$8,B1916=2022,I1916*$G$9,B1916=2023,I1916*$G$10)</f>
        <v>353045.54706603376</v>
      </c>
      <c r="K1916" s="8">
        <f t="shared" si="29"/>
        <v>2404343.5470660338</v>
      </c>
      <c r="L1916">
        <f>IFERROR(VLOOKUP(F1916,'LEAID Match'!$A$2:$B$240,2,FALSE),"")</f>
        <v>0</v>
      </c>
    </row>
    <row r="1917" spans="1:12" x14ac:dyDescent="0.2">
      <c r="A1917">
        <v>0</v>
      </c>
      <c r="B1917">
        <v>2016</v>
      </c>
      <c r="C1917" s="4" t="s">
        <v>404</v>
      </c>
      <c r="D1917" s="4" t="s">
        <v>576</v>
      </c>
      <c r="E1917" s="4" t="s">
        <v>578</v>
      </c>
      <c r="F1917" s="4" t="s">
        <v>411</v>
      </c>
      <c r="G1917" s="8">
        <v>33647</v>
      </c>
      <c r="I1917" s="16" cm="1">
        <f t="array" ref="I1917">_xlfn.IFS(B1917=2015,G1917/$H$1957,B1917=2016,G1917/$H$1958,B1917=2017,G1917/$H$1959,B1917=2018,G1917/$H$1960,B1917=2019,G1917/$H$1961,B1917=2020,G1917/$H$1962,B1917=2021,G1917/$H$1963,B1917=2022,G1917/$H$1964,B1917=2023,G1917/$H$1965)</f>
        <v>2.3620179615688538E-5</v>
      </c>
      <c r="J1917" s="10" cm="1">
        <f t="array" ref="J1917">_xlfn.IFS(B1917=2015,I1917*$G$2,B1917=2016,I1917*$G$3,B1917=2017,I1917*$G$4,B1917=2018,I1917*$G$5,B1917=2019,I1917*$G$6,B1917=2020,I1917*$G$7,B1917=2021,I1917*$G$8,B1917=2022,I1917*$G$9,B1917=2023,I1917*$G$10)</f>
        <v>6405.8654619279478</v>
      </c>
      <c r="K1917" s="8">
        <f t="shared" si="29"/>
        <v>40052.865461927948</v>
      </c>
      <c r="L1917">
        <f>IFERROR(VLOOKUP(F1917,'LEAID Match'!$A$2:$B$240,2,FALSE),"")</f>
        <v>0</v>
      </c>
    </row>
    <row r="1918" spans="1:12" x14ac:dyDescent="0.2">
      <c r="A1918">
        <v>0</v>
      </c>
      <c r="B1918">
        <v>2017</v>
      </c>
      <c r="C1918" s="4" t="s">
        <v>404</v>
      </c>
      <c r="D1918" s="4" t="s">
        <v>576</v>
      </c>
      <c r="E1918" s="4" t="s">
        <v>578</v>
      </c>
      <c r="F1918" s="4" t="s">
        <v>411</v>
      </c>
      <c r="G1918" s="8">
        <v>31964</v>
      </c>
      <c r="I1918" s="16" cm="1">
        <f t="array" ref="I1918">_xlfn.IFS(B1918=2015,G1918/$H$1957,B1918=2016,G1918/$H$1958,B1918=2017,G1918/$H$1959,B1918=2018,G1918/$H$1960,B1918=2019,G1918/$H$1961,B1918=2020,G1918/$H$1962,B1918=2021,G1918/$H$1963,B1918=2022,G1918/$H$1964,B1918=2023,G1918/$H$1965)</f>
        <v>4.2646778171865404E-5</v>
      </c>
      <c r="J1918" s="10" cm="1">
        <f t="array" ref="J1918">_xlfn.IFS(B1918=2015,I1918*$G$2,B1918=2016,I1918*$G$3,B1918=2017,I1918*$G$4,B1918=2018,I1918*$G$5,B1918=2019,I1918*$G$6,B1918=2020,I1918*$G$7,B1918=2021,I1918*$G$8,B1918=2022,I1918*$G$9,B1918=2023,I1918*$G$10)</f>
        <v>6315.4158260176473</v>
      </c>
      <c r="K1918" s="8">
        <f t="shared" si="29"/>
        <v>38279.415826017648</v>
      </c>
      <c r="L1918">
        <f>IFERROR(VLOOKUP(F1918,'LEAID Match'!$A$2:$B$240,2,FALSE),"")</f>
        <v>0</v>
      </c>
    </row>
    <row r="1919" spans="1:12" x14ac:dyDescent="0.2">
      <c r="A1919">
        <v>0</v>
      </c>
      <c r="B1919">
        <v>2018</v>
      </c>
      <c r="C1919" s="4" t="s">
        <v>404</v>
      </c>
      <c r="D1919" s="4" t="s">
        <v>576</v>
      </c>
      <c r="E1919" s="4" t="s">
        <v>578</v>
      </c>
      <c r="F1919" s="4" t="s">
        <v>411</v>
      </c>
      <c r="G1919" s="8">
        <v>35971</v>
      </c>
      <c r="I1919" s="16" cm="1">
        <f t="array" ref="I1919">_xlfn.IFS(B1919=2015,G1919/$H$1957,B1919=2016,G1919/$H$1958,B1919=2017,G1919/$H$1959,B1919=2018,G1919/$H$1960,B1919=2019,G1919/$H$1961,B1919=2020,G1919/$H$1962,B1919=2021,G1919/$H$1963,B1919=2022,G1919/$H$1964,B1919=2023,G1919/$H$1965)</f>
        <v>4.6284261502858145E-5</v>
      </c>
      <c r="J1919" s="10" cm="1">
        <f t="array" ref="J1919">_xlfn.IFS(B1919=2015,I1919*$G$2,B1919=2016,I1919*$G$3,B1919=2017,I1919*$G$4,B1919=2018,I1919*$G$5,B1919=2019,I1919*$G$6,B1919=2020,I1919*$G$7,B1919=2021,I1919*$G$8,B1919=2022,I1919*$G$9,B1919=2023,I1919*$G$10)</f>
        <v>6966.8886608523453</v>
      </c>
      <c r="K1919" s="8">
        <f t="shared" si="29"/>
        <v>42937.888660852346</v>
      </c>
      <c r="L1919">
        <f>IFERROR(VLOOKUP(F1919,'LEAID Match'!$A$2:$B$240,2,FALSE),"")</f>
        <v>0</v>
      </c>
    </row>
    <row r="1920" spans="1:12" x14ac:dyDescent="0.2">
      <c r="A1920">
        <v>0</v>
      </c>
      <c r="B1920">
        <v>2019</v>
      </c>
      <c r="C1920" s="4" t="s">
        <v>404</v>
      </c>
      <c r="D1920" s="4" t="s">
        <v>576</v>
      </c>
      <c r="E1920" s="4" t="s">
        <v>578</v>
      </c>
      <c r="F1920" s="4" t="s">
        <v>411</v>
      </c>
      <c r="G1920" s="8">
        <v>32380</v>
      </c>
      <c r="I1920" s="16" cm="1">
        <f t="array" ref="I1920">_xlfn.IFS(B1920=2015,G1920/$H$1957,B1920=2016,G1920/$H$1958,B1920=2017,G1920/$H$1959,B1920=2018,G1920/$H$1960,B1920=2019,G1920/$H$1961,B1920=2020,G1920/$H$1962,B1920=2021,G1920/$H$1963,B1920=2022,G1920/$H$1964,B1920=2023,G1920/$H$1965)</f>
        <v>4.0241755565402483E-5</v>
      </c>
      <c r="J1920" s="10" cm="1">
        <f t="array" ref="J1920">_xlfn.IFS(B1920=2015,I1920*$G$2,B1920=2016,I1920*$G$3,B1920=2017,I1920*$G$4,B1920=2018,I1920*$G$5,B1920=2019,I1920*$G$6,B1920=2020,I1920*$G$7,B1920=2021,I1920*$G$8,B1920=2022,I1920*$G$9,B1920=2023,I1920*$G$10)</f>
        <v>6359.329057983603</v>
      </c>
      <c r="K1920" s="8">
        <f t="shared" si="29"/>
        <v>38739.329057983603</v>
      </c>
      <c r="L1920">
        <f>IFERROR(VLOOKUP(F1920,'LEAID Match'!$A$2:$B$240,2,FALSE),"")</f>
        <v>0</v>
      </c>
    </row>
    <row r="1921" spans="1:12" x14ac:dyDescent="0.2">
      <c r="A1921">
        <v>0</v>
      </c>
      <c r="B1921">
        <v>2020</v>
      </c>
      <c r="C1921" s="4" t="s">
        <v>404</v>
      </c>
      <c r="D1921" s="4" t="s">
        <v>576</v>
      </c>
      <c r="E1921" s="4" t="s">
        <v>578</v>
      </c>
      <c r="F1921" s="4" t="s">
        <v>411</v>
      </c>
      <c r="G1921" s="8">
        <v>36703</v>
      </c>
      <c r="I1921" s="16" cm="1">
        <f t="array" ref="I1921">_xlfn.IFS(B1921=2015,G1921/$H$1957,B1921=2016,G1921/$H$1958,B1921=2017,G1921/$H$1959,B1921=2018,G1921/$H$1960,B1921=2019,G1921/$H$1961,B1921=2020,G1921/$H$1962,B1921=2021,G1921/$H$1963,B1921=2022,G1921/$H$1964,B1921=2023,G1921/$H$1965)</f>
        <v>4.2214446399585441E-5</v>
      </c>
      <c r="J1921" s="10" cm="1">
        <f t="array" ref="J1921">_xlfn.IFS(B1921=2015,I1921*$G$2,B1921=2016,I1921*$G$3,B1921=2017,I1921*$G$4,B1921=2018,I1921*$G$5,B1921=2019,I1921*$G$6,B1921=2020,I1921*$G$7,B1921=2021,I1921*$G$8,B1921=2022,I1921*$G$9,B1921=2023,I1921*$G$10)</f>
        <v>7289.7549873346943</v>
      </c>
      <c r="K1921" s="8">
        <f t="shared" si="29"/>
        <v>43992.754987334694</v>
      </c>
      <c r="L1921">
        <f>IFERROR(VLOOKUP(F1921,'LEAID Match'!$A$2:$B$240,2,FALSE),"")</f>
        <v>0</v>
      </c>
    </row>
    <row r="1922" spans="1:12" x14ac:dyDescent="0.2">
      <c r="A1922">
        <v>0</v>
      </c>
      <c r="B1922">
        <v>2021</v>
      </c>
      <c r="C1922" s="4" t="s">
        <v>404</v>
      </c>
      <c r="D1922" s="4" t="s">
        <v>576</v>
      </c>
      <c r="E1922" s="4" t="s">
        <v>578</v>
      </c>
      <c r="F1922" s="4" t="s">
        <v>411</v>
      </c>
      <c r="G1922" s="8">
        <v>36464</v>
      </c>
      <c r="I1922" s="16" cm="1">
        <f t="array" ref="I1922">_xlfn.IFS(B1922=2015,G1922/$H$1957,B1922=2016,G1922/$H$1958,B1922=2017,G1922/$H$1959,B1922=2018,G1922/$H$1960,B1922=2019,G1922/$H$1961,B1922=2020,G1922/$H$1962,B1922=2021,G1922/$H$1963,B1922=2022,G1922/$H$1964,B1922=2023,G1922/$H$1965)</f>
        <v>4.1670872913729647E-5</v>
      </c>
      <c r="J1922" s="10" cm="1">
        <f t="array" ref="J1922">_xlfn.IFS(B1922=2015,I1922*$G$2,B1922=2016,I1922*$G$3,B1922=2017,I1922*$G$4,B1922=2018,I1922*$G$5,B1922=2019,I1922*$G$6,B1922=2020,I1922*$G$7,B1922=2021,I1922*$G$8,B1922=2022,I1922*$G$9,B1922=2023,I1922*$G$10)</f>
        <v>7151.4233628123829</v>
      </c>
      <c r="K1922" s="8">
        <f t="shared" si="29"/>
        <v>43615.423362812384</v>
      </c>
      <c r="L1922">
        <f>IFERROR(VLOOKUP(F1922,'LEAID Match'!$A$2:$B$240,2,FALSE),"")</f>
        <v>0</v>
      </c>
    </row>
    <row r="1923" spans="1:12" x14ac:dyDescent="0.2">
      <c r="A1923">
        <v>0</v>
      </c>
      <c r="B1923">
        <v>2022</v>
      </c>
      <c r="C1923" s="4" t="s">
        <v>404</v>
      </c>
      <c r="D1923" s="4" t="s">
        <v>576</v>
      </c>
      <c r="E1923" s="4" t="s">
        <v>578</v>
      </c>
      <c r="F1923" s="4" t="s">
        <v>411</v>
      </c>
      <c r="G1923" s="8">
        <v>36835</v>
      </c>
      <c r="I1923" s="16" cm="1">
        <f t="array" ref="I1923">_xlfn.IFS(B1923=2015,G1923/$H$1957,B1923=2016,G1923/$H$1958,B1923=2017,G1923/$H$1959,B1923=2018,G1923/$H$1960,B1923=2019,G1923/$H$1961,B1923=2020,G1923/$H$1962,B1923=2021,G1923/$H$1963,B1923=2022,G1923/$H$1964,B1923=2023,G1923/$H$1965)</f>
        <v>3.9590343012612765E-5</v>
      </c>
      <c r="J1923" s="10" cm="1">
        <f t="array" ref="J1923">_xlfn.IFS(B1923=2015,I1923*$G$2,B1923=2016,I1923*$G$3,B1923=2017,I1923*$G$4,B1923=2018,I1923*$G$5,B1923=2019,I1923*$G$6,B1923=2020,I1923*$G$7,B1923=2021,I1923*$G$8,B1923=2022,I1923*$G$9,B1923=2023,I1923*$G$10)</f>
        <v>6713.9540139265509</v>
      </c>
      <c r="K1923" s="8">
        <f t="shared" si="29"/>
        <v>43548.954013926552</v>
      </c>
      <c r="L1923">
        <f>IFERROR(VLOOKUP(F1923,'LEAID Match'!$A$2:$B$240,2,FALSE),"")</f>
        <v>0</v>
      </c>
    </row>
    <row r="1924" spans="1:12" x14ac:dyDescent="0.2">
      <c r="A1924">
        <v>0</v>
      </c>
      <c r="B1924">
        <v>2023</v>
      </c>
      <c r="C1924" s="4" t="s">
        <v>404</v>
      </c>
      <c r="D1924" s="4" t="s">
        <v>576</v>
      </c>
      <c r="E1924" s="4" t="s">
        <v>578</v>
      </c>
      <c r="F1924" s="4" t="s">
        <v>411</v>
      </c>
      <c r="G1924" s="8">
        <v>44997</v>
      </c>
      <c r="I1924" s="16" cm="1">
        <f t="array" ref="I1924">_xlfn.IFS(B1924=2015,G1924/$H$1957,B1924=2016,G1924/$H$1958,B1924=2017,G1924/$H$1959,B1924=2018,G1924/$H$1960,B1924=2019,G1924/$H$1961,B1924=2020,G1924/$H$1962,B1924=2021,G1924/$H$1963,B1924=2022,G1924/$H$1964,B1924=2023,G1924/$H$1965)</f>
        <v>4.5558994110828981E-5</v>
      </c>
      <c r="J1924" s="10" cm="1">
        <f t="array" ref="J1924">_xlfn.IFS(B1924=2015,I1924*$G$2,B1924=2016,I1924*$G$3,B1924=2017,I1924*$G$4,B1924=2018,I1924*$G$5,B1924=2019,I1924*$G$6,B1924=2020,I1924*$G$7,B1924=2021,I1924*$G$8,B1924=2022,I1924*$G$9,B1924=2023,I1924*$G$10)</f>
        <v>7744.3601472483861</v>
      </c>
      <c r="K1924" s="8">
        <f t="shared" si="29"/>
        <v>52741.360147248386</v>
      </c>
      <c r="L1924">
        <f>IFERROR(VLOOKUP(F1924,'LEAID Match'!$A$2:$B$240,2,FALSE),"")</f>
        <v>0</v>
      </c>
    </row>
    <row r="1925" spans="1:12" x14ac:dyDescent="0.2">
      <c r="A1925">
        <v>0</v>
      </c>
      <c r="B1925">
        <v>2020</v>
      </c>
      <c r="C1925" s="4" t="s">
        <v>437</v>
      </c>
      <c r="D1925" s="4" t="s">
        <v>576</v>
      </c>
      <c r="E1925" s="4" t="s">
        <v>578</v>
      </c>
      <c r="F1925" s="4" t="s">
        <v>435</v>
      </c>
      <c r="G1925" s="8">
        <v>14640</v>
      </c>
      <c r="I1925" s="16" cm="1">
        <f t="array" ref="I1925">_xlfn.IFS(B1925=2015,G1925/$H$1957,B1925=2016,G1925/$H$1958,B1925=2017,G1925/$H$1959,B1925=2018,G1925/$H$1960,B1925=2019,G1925/$H$1961,B1925=2020,G1925/$H$1962,B1925=2021,G1925/$H$1963,B1925=2022,G1925/$H$1964,B1925=2023,G1925/$H$1965)</f>
        <v>1.6838391828731462E-5</v>
      </c>
      <c r="J1925" s="10" cm="1">
        <f t="array" ref="J1925">_xlfn.IFS(B1925=2015,I1925*$G$2,B1925=2016,I1925*$G$3,B1925=2017,I1925*$G$4,B1925=2018,I1925*$G$5,B1925=2019,I1925*$G$6,B1925=2020,I1925*$G$7,B1925=2021,I1925*$G$8,B1925=2022,I1925*$G$9,B1925=2023,I1925*$G$10)</f>
        <v>2907.7190696831299</v>
      </c>
      <c r="K1925" s="8">
        <f t="shared" si="29"/>
        <v>17547.719069683131</v>
      </c>
      <c r="L1925">
        <f>IFERROR(VLOOKUP(F1925,'LEAID Match'!$A$2:$B$240,2,FALSE),"")</f>
        <v>0</v>
      </c>
    </row>
    <row r="1926" spans="1:12" x14ac:dyDescent="0.2">
      <c r="A1926">
        <v>0</v>
      </c>
      <c r="B1926">
        <v>2021</v>
      </c>
      <c r="C1926" s="4" t="s">
        <v>437</v>
      </c>
      <c r="D1926" s="4" t="s">
        <v>576</v>
      </c>
      <c r="E1926" s="4" t="s">
        <v>578</v>
      </c>
      <c r="F1926" s="4" t="s">
        <v>435</v>
      </c>
      <c r="G1926" s="8">
        <v>12963</v>
      </c>
      <c r="I1926" s="16" cm="1">
        <f t="array" ref="I1926">_xlfn.IFS(B1926=2015,G1926/$H$1957,B1926=2016,G1926/$H$1958,B1926=2017,G1926/$H$1959,B1926=2018,G1926/$H$1960,B1926=2019,G1926/$H$1961,B1926=2020,G1926/$H$1962,B1926=2021,G1926/$H$1963,B1926=2022,G1926/$H$1964,B1926=2023,G1926/$H$1965)</f>
        <v>1.4814050174985668E-5</v>
      </c>
      <c r="J1926" s="10" cm="1">
        <f t="array" ref="J1926">_xlfn.IFS(B1926=2015,I1926*$G$2,B1926=2016,I1926*$G$3,B1926=2017,I1926*$G$4,B1926=2018,I1926*$G$5,B1926=2019,I1926*$G$6,B1926=2020,I1926*$G$7,B1926=2021,I1926*$G$8,B1926=2022,I1926*$G$9,B1926=2023,I1926*$G$10)</f>
        <v>2542.3404193762867</v>
      </c>
      <c r="K1926" s="8">
        <f t="shared" si="29"/>
        <v>15505.340419376287</v>
      </c>
      <c r="L1926">
        <f>IFERROR(VLOOKUP(F1926,'LEAID Match'!$A$2:$B$240,2,FALSE),"")</f>
        <v>0</v>
      </c>
    </row>
    <row r="1927" spans="1:12" x14ac:dyDescent="0.2">
      <c r="A1927">
        <v>0</v>
      </c>
      <c r="B1927">
        <v>2022</v>
      </c>
      <c r="C1927" s="4" t="s">
        <v>437</v>
      </c>
      <c r="D1927" s="4" t="s">
        <v>576</v>
      </c>
      <c r="E1927" s="4" t="s">
        <v>578</v>
      </c>
      <c r="F1927" s="4" t="s">
        <v>435</v>
      </c>
      <c r="G1927" s="8">
        <v>11160</v>
      </c>
      <c r="I1927" s="16" cm="1">
        <f t="array" ref="I1927">_xlfn.IFS(B1927=2015,G1927/$H$1957,B1927=2016,G1927/$H$1958,B1927=2017,G1927/$H$1959,B1927=2018,G1927/$H$1960,B1927=2019,G1927/$H$1961,B1927=2020,G1927/$H$1962,B1927=2021,G1927/$H$1963,B1927=2022,G1927/$H$1964,B1927=2023,G1927/$H$1965)</f>
        <v>1.1994793756502198E-5</v>
      </c>
      <c r="J1927" s="10" cm="1">
        <f t="array" ref="J1927">_xlfn.IFS(B1927=2015,I1927*$G$2,B1927=2016,I1927*$G$3,B1927=2017,I1927*$G$4,B1927=2018,I1927*$G$5,B1927=2019,I1927*$G$6,B1927=2020,I1927*$G$7,B1927=2021,I1927*$G$8,B1927=2022,I1927*$G$9,B1927=2023,I1927*$G$10)</f>
        <v>2034.1448838175731</v>
      </c>
      <c r="K1927" s="8">
        <f t="shared" si="29"/>
        <v>13194.144883817573</v>
      </c>
      <c r="L1927">
        <f>IFERROR(VLOOKUP(F1927,'LEAID Match'!$A$2:$B$240,2,FALSE),"")</f>
        <v>0</v>
      </c>
    </row>
    <row r="1928" spans="1:12" x14ac:dyDescent="0.2">
      <c r="A1928">
        <v>0</v>
      </c>
      <c r="B1928">
        <v>2023</v>
      </c>
      <c r="C1928" s="4" t="s">
        <v>437</v>
      </c>
      <c r="D1928" s="4" t="s">
        <v>576</v>
      </c>
      <c r="E1928" s="4" t="s">
        <v>578</v>
      </c>
      <c r="F1928" s="4" t="s">
        <v>435</v>
      </c>
      <c r="G1928" s="8">
        <v>10230</v>
      </c>
      <c r="I1928" s="16" cm="1">
        <f t="array" ref="I1928">_xlfn.IFS(B1928=2015,G1928/$H$1957,B1928=2016,G1928/$H$1958,B1928=2017,G1928/$H$1959,B1928=2018,G1928/$H$1960,B1928=2019,G1928/$H$1961,B1928=2020,G1928/$H$1962,B1928=2021,G1928/$H$1963,B1928=2022,G1928/$H$1964,B1928=2023,G1928/$H$1965)</f>
        <v>1.0357768512429285E-5</v>
      </c>
      <c r="J1928" s="10" cm="1">
        <f t="array" ref="J1928">_xlfn.IFS(B1928=2015,I1928*$G$2,B1928=2016,I1928*$G$3,B1928=2017,I1928*$G$4,B1928=2018,I1928*$G$5,B1928=2019,I1928*$G$6,B1928=2020,I1928*$G$7,B1928=2021,I1928*$G$8,B1928=2022,I1928*$G$9,B1928=2023,I1928*$G$10)</f>
        <v>1760.6685847134474</v>
      </c>
      <c r="K1928" s="8">
        <f t="shared" si="29"/>
        <v>11990.668584713447</v>
      </c>
      <c r="L1928">
        <f>IFERROR(VLOOKUP(F1928,'LEAID Match'!$A$2:$B$240,2,FALSE),"")</f>
        <v>0</v>
      </c>
    </row>
    <row r="1929" spans="1:12" x14ac:dyDescent="0.2">
      <c r="A1929">
        <v>0</v>
      </c>
      <c r="B1929">
        <v>2020</v>
      </c>
      <c r="C1929" s="4" t="s">
        <v>438</v>
      </c>
      <c r="D1929" s="4" t="s">
        <v>576</v>
      </c>
      <c r="E1929" s="4" t="s">
        <v>578</v>
      </c>
      <c r="F1929" s="4" t="s">
        <v>436</v>
      </c>
      <c r="G1929" s="8">
        <v>25029</v>
      </c>
      <c r="I1929" s="16" cm="1">
        <f t="array" ref="I1929">_xlfn.IFS(B1929=2015,G1929/$H$1957,B1929=2016,G1929/$H$1958,B1929=2017,G1929/$H$1959,B1929=2018,G1929/$H$1960,B1929=2019,G1929/$H$1961,B1929=2020,G1929/$H$1962,B1929=2021,G1929/$H$1963,B1929=2022,G1929/$H$1964,B1929=2023,G1929/$H$1965)</f>
        <v>2.8787439144898892E-5</v>
      </c>
      <c r="J1929" s="10" cm="1">
        <f t="array" ref="J1929">_xlfn.IFS(B1929=2015,I1929*$G$2,B1929=2016,I1929*$G$3,B1929=2017,I1929*$G$4,B1929=2018,I1929*$G$5,B1929=2019,I1929*$G$6,B1929=2020,I1929*$G$7,B1929=2021,I1929*$G$8,B1929=2022,I1929*$G$9,B1929=2023,I1929*$G$10)</f>
        <v>4971.1270898291705</v>
      </c>
      <c r="K1929" s="8">
        <f t="shared" si="29"/>
        <v>30000.12708982917</v>
      </c>
      <c r="L1929">
        <f>IFERROR(VLOOKUP(F1929,'LEAID Match'!$A$2:$B$240,2,FALSE),"")</f>
        <v>0</v>
      </c>
    </row>
    <row r="1930" spans="1:12" x14ac:dyDescent="0.2">
      <c r="A1930">
        <v>0</v>
      </c>
      <c r="B1930">
        <v>2021</v>
      </c>
      <c r="C1930" s="4" t="s">
        <v>438</v>
      </c>
      <c r="D1930" s="4" t="s">
        <v>576</v>
      </c>
      <c r="E1930" s="4" t="s">
        <v>578</v>
      </c>
      <c r="F1930" s="4" t="s">
        <v>436</v>
      </c>
      <c r="G1930" s="8">
        <v>58671</v>
      </c>
      <c r="I1930" s="16" cm="1">
        <f t="array" ref="I1930">_xlfn.IFS(B1930=2015,G1930/$H$1957,B1930=2016,G1930/$H$1958,B1930=2017,G1930/$H$1959,B1930=2018,G1930/$H$1960,B1930=2019,G1930/$H$1961,B1930=2020,G1930/$H$1962,B1930=2021,G1930/$H$1963,B1930=2022,G1930/$H$1964,B1930=2023,G1930/$H$1965)</f>
        <v>6.7048919063224883E-5</v>
      </c>
      <c r="J1930" s="10" cm="1">
        <f t="array" ref="J1930">_xlfn.IFS(B1930=2015,I1930*$G$2,B1930=2016,I1930*$G$3,B1930=2017,I1930*$G$4,B1930=2018,I1930*$G$5,B1930=2019,I1930*$G$6,B1930=2020,I1930*$G$7,B1930=2021,I1930*$G$8,B1930=2022,I1930*$G$9,B1930=2023,I1930*$G$10)</f>
        <v>11506.723346850738</v>
      </c>
      <c r="K1930" s="8">
        <f t="shared" si="29"/>
        <v>70177.723346850733</v>
      </c>
      <c r="L1930">
        <f>IFERROR(VLOOKUP(F1930,'LEAID Match'!$A$2:$B$240,2,FALSE),"")</f>
        <v>0</v>
      </c>
    </row>
    <row r="1931" spans="1:12" x14ac:dyDescent="0.2">
      <c r="A1931">
        <v>0</v>
      </c>
      <c r="B1931">
        <v>2022</v>
      </c>
      <c r="C1931" s="4" t="s">
        <v>438</v>
      </c>
      <c r="D1931" s="4" t="s">
        <v>576</v>
      </c>
      <c r="E1931" s="4" t="s">
        <v>578</v>
      </c>
      <c r="F1931" s="4" t="s">
        <v>436</v>
      </c>
      <c r="G1931" s="8">
        <v>71399</v>
      </c>
      <c r="I1931" s="16" cm="1">
        <f t="array" ref="I1931">_xlfn.IFS(B1931=2015,G1931/$H$1957,B1931=2016,G1931/$H$1958,B1931=2017,G1931/$H$1959,B1931=2018,G1931/$H$1960,B1931=2019,G1931/$H$1961,B1931=2020,G1931/$H$1962,B1931=2021,G1931/$H$1963,B1931=2022,G1931/$H$1964,B1931=2023,G1931/$H$1965)</f>
        <v>7.6739809983915807E-5</v>
      </c>
      <c r="J1931" s="10" cm="1">
        <f t="array" ref="J1931">_xlfn.IFS(B1931=2015,I1931*$G$2,B1931=2016,I1931*$G$3,B1931=2017,I1931*$G$4,B1931=2018,I1931*$G$5,B1931=2019,I1931*$G$6,B1931=2020,I1931*$G$7,B1931=2021,I1931*$G$8,B1931=2022,I1931*$G$9,B1931=2023,I1931*$G$10)</f>
        <v>13013.970480259042</v>
      </c>
      <c r="K1931" s="8">
        <f t="shared" si="29"/>
        <v>84412.970480259042</v>
      </c>
      <c r="L1931">
        <f>IFERROR(VLOOKUP(F1931,'LEAID Match'!$A$2:$B$240,2,FALSE),"")</f>
        <v>0</v>
      </c>
    </row>
    <row r="1932" spans="1:12" x14ac:dyDescent="0.2">
      <c r="A1932">
        <v>0</v>
      </c>
      <c r="B1932">
        <v>2023</v>
      </c>
      <c r="C1932" s="4" t="s">
        <v>438</v>
      </c>
      <c r="D1932" s="4" t="s">
        <v>576</v>
      </c>
      <c r="E1932" s="4" t="s">
        <v>578</v>
      </c>
      <c r="F1932" s="4" t="s">
        <v>436</v>
      </c>
      <c r="G1932" s="8">
        <v>97580</v>
      </c>
      <c r="I1932" s="16" cm="1">
        <f t="array" ref="I1932">_xlfn.IFS(B1932=2015,G1932/$H$1957,B1932=2016,G1932/$H$1958,B1932=2017,G1932/$H$1959,B1932=2018,G1932/$H$1960,B1932=2019,G1932/$H$1961,B1932=2020,G1932/$H$1962,B1932=2021,G1932/$H$1963,B1932=2022,G1932/$H$1964,B1932=2023,G1932/$H$1965)</f>
        <v>9.879873425638803E-5</v>
      </c>
      <c r="J1932" s="10" cm="1">
        <f t="array" ref="J1932">_xlfn.IFS(B1932=2015,I1932*$G$2,B1932=2016,I1932*$G$3,B1932=2017,I1932*$G$4,B1932=2018,I1932*$G$5,B1932=2019,I1932*$G$6,B1932=2020,I1932*$G$7,B1932=2021,I1932*$G$8,B1932=2022,I1932*$G$9,B1932=2023,I1932*$G$10)</f>
        <v>16794.334359368346</v>
      </c>
      <c r="K1932" s="8">
        <f t="shared" ref="K1932:K1943" si="30">SUM(G1932,J1932)</f>
        <v>114374.33435936834</v>
      </c>
      <c r="L1932">
        <f>IFERROR(VLOOKUP(F1932,'LEAID Match'!$A$2:$B$240,2,FALSE),"")</f>
        <v>0</v>
      </c>
    </row>
    <row r="1933" spans="1:12" x14ac:dyDescent="0.2">
      <c r="A1933">
        <v>0</v>
      </c>
      <c r="B1933">
        <v>2022</v>
      </c>
      <c r="C1933" s="4" t="s">
        <v>462</v>
      </c>
      <c r="D1933" s="4" t="s">
        <v>576</v>
      </c>
      <c r="E1933" s="4" t="s">
        <v>578</v>
      </c>
      <c r="F1933" s="4" t="s">
        <v>436</v>
      </c>
      <c r="G1933" s="8">
        <v>29636</v>
      </c>
      <c r="I1933" s="16" cm="1">
        <f t="array" ref="I1933">_xlfn.IFS(B1933=2015,G1933/$H$1957,B1933=2016,G1933/$H$1958,B1933=2017,G1933/$H$1959,B1933=2018,G1933/$H$1960,B1933=2019,G1933/$H$1961,B1933=2020,G1933/$H$1962,B1933=2021,G1933/$H$1963,B1933=2022,G1933/$H$1964,B1933=2023,G1933/$H$1965)</f>
        <v>3.1852841197822505E-5</v>
      </c>
      <c r="J1933" s="10" cm="1">
        <f t="array" ref="J1933">_xlfn.IFS(B1933=2015,I1933*$G$2,B1933=2016,I1933*$G$3,B1933=2017,I1933*$G$4,B1933=2018,I1933*$G$5,B1933=2019,I1933*$G$6,B1933=2020,I1933*$G$7,B1933=2021,I1933*$G$8,B1933=2022,I1933*$G$9,B1933=2023,I1933*$G$10)</f>
        <v>5401.784747026667</v>
      </c>
      <c r="K1933" s="8">
        <f t="shared" si="30"/>
        <v>35037.784747026664</v>
      </c>
      <c r="L1933">
        <f>IFERROR(VLOOKUP(F1933,'LEAID Match'!$A$2:$B$240,2,FALSE),"")</f>
        <v>0</v>
      </c>
    </row>
    <row r="1934" spans="1:12" x14ac:dyDescent="0.2">
      <c r="A1934">
        <v>0</v>
      </c>
      <c r="B1934">
        <v>2023</v>
      </c>
      <c r="C1934" s="4" t="s">
        <v>462</v>
      </c>
      <c r="D1934" s="4" t="s">
        <v>576</v>
      </c>
      <c r="E1934" s="4" t="s">
        <v>578</v>
      </c>
      <c r="F1934" s="4" t="s">
        <v>436</v>
      </c>
      <c r="G1934" s="8">
        <v>36261</v>
      </c>
      <c r="I1934" s="16" cm="1">
        <f t="array" ref="I1934">_xlfn.IFS(B1934=2015,G1934/$H$1957,B1934=2016,G1934/$H$1958,B1934=2017,G1934/$H$1959,B1934=2018,G1934/$H$1960,B1934=2019,G1934/$H$1961,B1934=2020,G1934/$H$1962,B1934=2021,G1934/$H$1963,B1934=2022,G1934/$H$1964,B1934=2023,G1934/$H$1965)</f>
        <v>3.6713885046842453E-5</v>
      </c>
      <c r="J1934" s="10" cm="1">
        <f t="array" ref="J1934">_xlfn.IFS(B1934=2015,I1934*$G$2,B1934=2016,I1934*$G$3,B1934=2017,I1934*$G$4,B1934=2018,I1934*$G$5,B1934=2019,I1934*$G$6,B1934=2020,I1934*$G$7,B1934=2021,I1934*$G$8,B1934=2022,I1934*$G$9,B1934=2023,I1934*$G$10)</f>
        <v>6240.8214614168446</v>
      </c>
      <c r="K1934" s="8">
        <f t="shared" si="30"/>
        <v>42501.821461416846</v>
      </c>
      <c r="L1934">
        <f>IFERROR(VLOOKUP(F1934,'LEAID Match'!$A$2:$B$240,2,FALSE),"")</f>
        <v>0</v>
      </c>
    </row>
    <row r="1935" spans="1:12" x14ac:dyDescent="0.2">
      <c r="A1935">
        <v>3200001</v>
      </c>
      <c r="B1935">
        <v>2015</v>
      </c>
      <c r="D1935" s="4" t="s">
        <v>576</v>
      </c>
      <c r="E1935" s="4" t="s">
        <v>578</v>
      </c>
      <c r="F1935" s="4" t="s">
        <v>567</v>
      </c>
      <c r="G1935" s="8">
        <v>12113731</v>
      </c>
      <c r="J1935" s="10">
        <v>2326034.2846159311</v>
      </c>
      <c r="K1935" s="8">
        <f t="shared" si="30"/>
        <v>14439765.28461593</v>
      </c>
      <c r="L1935">
        <f>IFERROR(VLOOKUP(F1935,'LEAID Match'!$A$2:$B$240,2,FALSE),"")</f>
        <v>3200001</v>
      </c>
    </row>
    <row r="1936" spans="1:12" x14ac:dyDescent="0.2">
      <c r="A1936">
        <v>3200001</v>
      </c>
      <c r="B1936">
        <v>2016</v>
      </c>
      <c r="D1936" s="4" t="s">
        <v>576</v>
      </c>
      <c r="E1936" s="4" t="s">
        <v>578</v>
      </c>
      <c r="F1936" s="4" t="s">
        <v>567</v>
      </c>
      <c r="G1936" s="8">
        <v>17645220</v>
      </c>
      <c r="J1936" s="10">
        <v>3359375.4381109835</v>
      </c>
      <c r="K1936" s="8">
        <f t="shared" si="30"/>
        <v>21004595.438110985</v>
      </c>
      <c r="L1936">
        <f>IFERROR(VLOOKUP(F1936,'LEAID Match'!$A$2:$B$240,2,FALSE),"")</f>
        <v>3200001</v>
      </c>
    </row>
    <row r="1937" spans="1:12" x14ac:dyDescent="0.2">
      <c r="A1937">
        <v>3200001</v>
      </c>
      <c r="B1937">
        <v>2017</v>
      </c>
      <c r="D1937" s="4" t="s">
        <v>576</v>
      </c>
      <c r="E1937" s="4" t="s">
        <v>578</v>
      </c>
      <c r="F1937" s="4" t="s">
        <v>567</v>
      </c>
      <c r="G1937" s="8">
        <v>11448136</v>
      </c>
      <c r="J1937" s="10">
        <v>2261911.5027156286</v>
      </c>
      <c r="K1937" s="8">
        <f t="shared" si="30"/>
        <v>13710047.502715629</v>
      </c>
      <c r="L1937">
        <f>IFERROR(VLOOKUP(F1937,'LEAID Match'!$A$2:$B$240,2,FALSE),"")</f>
        <v>3200001</v>
      </c>
    </row>
    <row r="1938" spans="1:12" x14ac:dyDescent="0.2">
      <c r="A1938">
        <v>3200001</v>
      </c>
      <c r="B1938">
        <v>2018</v>
      </c>
      <c r="D1938" s="4" t="s">
        <v>576</v>
      </c>
      <c r="E1938" s="4" t="s">
        <v>578</v>
      </c>
      <c r="F1938" s="4" t="s">
        <v>567</v>
      </c>
      <c r="G1938" s="8">
        <v>14404210</v>
      </c>
      <c r="J1938" s="10">
        <v>2789817.5562963481</v>
      </c>
      <c r="K1938" s="8">
        <f t="shared" si="30"/>
        <v>17194027.556296349</v>
      </c>
      <c r="L1938">
        <f>IFERROR(VLOOKUP(F1938,'LEAID Match'!$A$2:$B$240,2,FALSE),"")</f>
        <v>3200001</v>
      </c>
    </row>
    <row r="1939" spans="1:12" x14ac:dyDescent="0.2">
      <c r="A1939">
        <v>3200001</v>
      </c>
      <c r="B1939">
        <v>2019</v>
      </c>
      <c r="D1939" s="4" t="s">
        <v>576</v>
      </c>
      <c r="E1939" s="4" t="s">
        <v>578</v>
      </c>
      <c r="F1939" s="4" t="s">
        <v>567</v>
      </c>
      <c r="G1939" s="8">
        <v>17080752</v>
      </c>
      <c r="J1939" s="10">
        <v>3354605.3899262357</v>
      </c>
      <c r="K1939" s="8">
        <f t="shared" si="30"/>
        <v>20435357.389926236</v>
      </c>
      <c r="L1939">
        <f>IFERROR(VLOOKUP(F1939,'LEAID Match'!$A$2:$B$240,2,FALSE),"")</f>
        <v>3200001</v>
      </c>
    </row>
    <row r="1940" spans="1:12" x14ac:dyDescent="0.2">
      <c r="A1940">
        <v>3200001</v>
      </c>
      <c r="B1940">
        <v>2020</v>
      </c>
      <c r="D1940" s="4" t="s">
        <v>576</v>
      </c>
      <c r="E1940" s="4" t="s">
        <v>578</v>
      </c>
      <c r="F1940" s="4" t="s">
        <v>567</v>
      </c>
      <c r="G1940" s="8">
        <v>21347611</v>
      </c>
      <c r="J1940" s="10">
        <v>4239949.1527921688</v>
      </c>
      <c r="K1940" s="8">
        <f t="shared" si="30"/>
        <v>25587560.152792171</v>
      </c>
      <c r="L1940">
        <f>IFERROR(VLOOKUP(F1940,'LEAID Match'!$A$2:$B$240,2,FALSE),"")</f>
        <v>3200001</v>
      </c>
    </row>
    <row r="1941" spans="1:12" x14ac:dyDescent="0.2">
      <c r="A1941">
        <v>3200001</v>
      </c>
      <c r="B1941">
        <v>2021</v>
      </c>
      <c r="D1941" s="4" t="s">
        <v>576</v>
      </c>
      <c r="E1941" s="4" t="s">
        <v>578</v>
      </c>
      <c r="F1941" s="4" t="s">
        <v>567</v>
      </c>
      <c r="G1941" s="8">
        <v>23620492</v>
      </c>
      <c r="J1941" s="10">
        <v>4632518.0542431716</v>
      </c>
      <c r="K1941" s="8">
        <f t="shared" si="30"/>
        <v>28253010.05424317</v>
      </c>
      <c r="L1941">
        <f>IFERROR(VLOOKUP(F1941,'LEAID Match'!$A$2:$B$240,2,FALSE),"")</f>
        <v>3200001</v>
      </c>
    </row>
    <row r="1942" spans="1:12" x14ac:dyDescent="0.2">
      <c r="A1942">
        <v>3200001</v>
      </c>
      <c r="B1942">
        <v>2022</v>
      </c>
      <c r="D1942" s="4" t="s">
        <v>576</v>
      </c>
      <c r="E1942" s="4" t="s">
        <v>578</v>
      </c>
      <c r="F1942" s="4" t="s">
        <v>567</v>
      </c>
      <c r="G1942" s="8">
        <v>27130542</v>
      </c>
      <c r="J1942" s="10">
        <v>4945112.2943098377</v>
      </c>
      <c r="K1942" s="8">
        <f t="shared" si="30"/>
        <v>32075654.29430984</v>
      </c>
      <c r="L1942">
        <f>IFERROR(VLOOKUP(F1942,'LEAID Match'!$A$2:$B$240,2,FALSE),"")</f>
        <v>3200001</v>
      </c>
    </row>
    <row r="1943" spans="1:12" x14ac:dyDescent="0.2">
      <c r="A1943">
        <v>3200001</v>
      </c>
      <c r="B1943">
        <v>2023</v>
      </c>
      <c r="D1943" s="4" t="s">
        <v>576</v>
      </c>
      <c r="E1943" s="4" t="s">
        <v>578</v>
      </c>
      <c r="F1943" s="4" t="s">
        <v>567</v>
      </c>
      <c r="G1943" s="8">
        <v>31690717</v>
      </c>
      <c r="J1943" s="10">
        <v>5454237.5218909457</v>
      </c>
      <c r="K1943" s="8">
        <f t="shared" si="30"/>
        <v>37144954.521890946</v>
      </c>
      <c r="L1943">
        <f>IFERROR(VLOOKUP(F1943,'LEAID Match'!$A$2:$B$240,2,FALSE),"")</f>
        <v>3200001</v>
      </c>
    </row>
    <row r="1945" spans="1:12" x14ac:dyDescent="0.2">
      <c r="G1945" s="8" t="s">
        <v>571</v>
      </c>
    </row>
    <row r="1946" spans="1:12" x14ac:dyDescent="0.2">
      <c r="G1946">
        <v>2015</v>
      </c>
      <c r="H1946" s="10">
        <v>248642575</v>
      </c>
      <c r="J1946" s="10"/>
    </row>
    <row r="1947" spans="1:12" x14ac:dyDescent="0.2">
      <c r="G1947">
        <v>2016</v>
      </c>
      <c r="H1947" s="10">
        <v>271203080</v>
      </c>
      <c r="J1947" s="10"/>
    </row>
    <row r="1948" spans="1:12" x14ac:dyDescent="0.2">
      <c r="G1948">
        <v>2017</v>
      </c>
      <c r="H1948" s="10">
        <v>148086587</v>
      </c>
      <c r="J1948" s="10"/>
    </row>
    <row r="1949" spans="1:12" x14ac:dyDescent="0.2">
      <c r="G1949">
        <v>2018</v>
      </c>
      <c r="H1949" s="10">
        <v>150523924</v>
      </c>
      <c r="J1949" s="10"/>
    </row>
    <row r="1950" spans="1:12" x14ac:dyDescent="0.2">
      <c r="G1950">
        <v>2019</v>
      </c>
      <c r="H1950" s="10">
        <v>158028122</v>
      </c>
      <c r="J1950" s="10"/>
    </row>
    <row r="1951" spans="1:12" x14ac:dyDescent="0.2">
      <c r="G1951">
        <v>2020</v>
      </c>
      <c r="H1951" s="10">
        <v>172683894</v>
      </c>
      <c r="J1951" s="10"/>
    </row>
    <row r="1952" spans="1:12" x14ac:dyDescent="0.2">
      <c r="G1952">
        <v>2021</v>
      </c>
      <c r="H1952" s="10">
        <v>171616836</v>
      </c>
      <c r="J1952" s="10"/>
    </row>
    <row r="1953" spans="7:10" x14ac:dyDescent="0.2">
      <c r="G1953">
        <v>2022</v>
      </c>
      <c r="H1953" s="10">
        <v>169585649</v>
      </c>
      <c r="J1953" s="10"/>
    </row>
    <row r="1954" spans="7:10" x14ac:dyDescent="0.2">
      <c r="G1954">
        <v>2023</v>
      </c>
      <c r="H1954" s="10">
        <v>169985319</v>
      </c>
      <c r="J1954" s="10"/>
    </row>
    <row r="1955" spans="7:10" x14ac:dyDescent="0.2">
      <c r="G1955"/>
      <c r="H1955" s="10"/>
      <c r="J1955" s="10"/>
    </row>
    <row r="1956" spans="7:10" x14ac:dyDescent="0.2">
      <c r="G1956" s="8" t="s">
        <v>572</v>
      </c>
    </row>
    <row r="1957" spans="7:10" x14ac:dyDescent="0.2">
      <c r="G1957">
        <v>2015</v>
      </c>
      <c r="H1957" s="10">
        <f>SUMIF($B$11:$B$1934,G1957,$G$11:$G$1934)</f>
        <v>1294903213</v>
      </c>
    </row>
    <row r="1958" spans="7:10" x14ac:dyDescent="0.2">
      <c r="G1958">
        <v>2016</v>
      </c>
      <c r="H1958" s="10">
        <f>SUMIF($B$11:$B$1934,G1958,$G$11:$G$1934)</f>
        <v>1424502292</v>
      </c>
    </row>
    <row r="1959" spans="7:10" x14ac:dyDescent="0.2">
      <c r="G1959">
        <v>2017</v>
      </c>
      <c r="H1959" s="10">
        <f>SUMIF($B$11:$B$1934,G1959,$G$11:$G$1934)</f>
        <v>749505622</v>
      </c>
    </row>
    <row r="1960" spans="7:10" x14ac:dyDescent="0.2">
      <c r="G1960">
        <v>2018</v>
      </c>
      <c r="H1960" s="10">
        <f>SUMIF($B$11:$B$1934,G1960,$G$11:$G$1934)</f>
        <v>777175628</v>
      </c>
    </row>
    <row r="1961" spans="7:10" x14ac:dyDescent="0.2">
      <c r="G1961">
        <v>2019</v>
      </c>
      <c r="H1961" s="10">
        <f>SUMIF($B$11:$B$1934,G1961,$G$11:$G$1934)</f>
        <v>804636864</v>
      </c>
    </row>
    <row r="1962" spans="7:10" x14ac:dyDescent="0.2">
      <c r="G1962">
        <v>2020</v>
      </c>
      <c r="H1962" s="10">
        <f>SUMIF($B$11:$B$1934,G1962,$G$11:$G$1934)</f>
        <v>869441699</v>
      </c>
    </row>
    <row r="1963" spans="7:10" x14ac:dyDescent="0.2">
      <c r="G1963">
        <v>2021</v>
      </c>
      <c r="H1963" s="10">
        <f>SUMIF($B$11:$B$1934,G1963,$G$11:$G$1934)</f>
        <v>875047664</v>
      </c>
    </row>
    <row r="1964" spans="7:10" x14ac:dyDescent="0.2">
      <c r="G1964">
        <v>2022</v>
      </c>
      <c r="H1964" s="10">
        <f>SUMIF($B$11:$B$1934,G1964,$G$11:$G$1934)</f>
        <v>930403659</v>
      </c>
    </row>
    <row r="1965" spans="7:10" x14ac:dyDescent="0.2">
      <c r="G1965">
        <v>2023</v>
      </c>
      <c r="H1965" s="10">
        <f>SUMIF($B$11:$B$1934,G1965,$G$11:$G$1934)</f>
        <v>987664475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2E090-27C9-A74D-8802-FF18AB473A49}">
  <sheetPr>
    <tabColor rgb="FFFFFF00"/>
  </sheetPr>
  <dimension ref="A1:B1935"/>
  <sheetViews>
    <sheetView topLeftCell="A240" workbookViewId="0">
      <selection activeCell="E51" sqref="E51"/>
    </sheetView>
  </sheetViews>
  <sheetFormatPr baseColWidth="10" defaultRowHeight="16" x14ac:dyDescent="0.2"/>
  <cols>
    <col min="1" max="1" width="49.33203125" style="12" bestFit="1" customWidth="1"/>
  </cols>
  <sheetData>
    <row r="1" spans="1:2" x14ac:dyDescent="0.2">
      <c r="A1" s="11" t="s">
        <v>42</v>
      </c>
      <c r="B1" t="s">
        <v>482</v>
      </c>
    </row>
    <row r="2" spans="1:2" x14ac:dyDescent="0.2">
      <c r="A2" s="12" t="s">
        <v>94</v>
      </c>
    </row>
    <row r="3" spans="1:2" x14ac:dyDescent="0.2">
      <c r="A3" s="12" t="s">
        <v>88</v>
      </c>
    </row>
    <row r="4" spans="1:2" x14ac:dyDescent="0.2">
      <c r="A4" s="12" t="s">
        <v>9</v>
      </c>
    </row>
    <row r="5" spans="1:2" x14ac:dyDescent="0.2">
      <c r="A5" s="12" t="s">
        <v>199</v>
      </c>
    </row>
    <row r="6" spans="1:2" x14ac:dyDescent="0.2">
      <c r="A6" s="12" t="s">
        <v>105</v>
      </c>
    </row>
    <row r="7" spans="1:2" x14ac:dyDescent="0.2">
      <c r="A7" s="12" t="s">
        <v>414</v>
      </c>
    </row>
    <row r="8" spans="1:2" x14ac:dyDescent="0.2">
      <c r="A8" s="12" t="s">
        <v>114</v>
      </c>
    </row>
    <row r="9" spans="1:2" x14ac:dyDescent="0.2">
      <c r="A9" s="12" t="s">
        <v>85</v>
      </c>
    </row>
    <row r="10" spans="1:2" x14ac:dyDescent="0.2">
      <c r="A10" s="12" t="s">
        <v>338</v>
      </c>
    </row>
    <row r="11" spans="1:2" x14ac:dyDescent="0.2">
      <c r="A11" s="12" t="s">
        <v>84</v>
      </c>
    </row>
    <row r="12" spans="1:2" x14ac:dyDescent="0.2">
      <c r="A12" s="12" t="s">
        <v>466</v>
      </c>
    </row>
    <row r="13" spans="1:2" x14ac:dyDescent="0.2">
      <c r="A13" s="12" t="s">
        <v>186</v>
      </c>
    </row>
    <row r="14" spans="1:2" x14ac:dyDescent="0.2">
      <c r="A14" s="12" t="s">
        <v>335</v>
      </c>
    </row>
    <row r="15" spans="1:2" x14ac:dyDescent="0.2">
      <c r="A15" s="12" t="s">
        <v>3</v>
      </c>
    </row>
    <row r="16" spans="1:2" x14ac:dyDescent="0.2">
      <c r="A16" s="12" t="s">
        <v>2</v>
      </c>
    </row>
    <row r="17" spans="1:2" x14ac:dyDescent="0.2">
      <c r="A17" s="12" t="s">
        <v>102</v>
      </c>
    </row>
    <row r="18" spans="1:2" x14ac:dyDescent="0.2">
      <c r="A18" s="12" t="s">
        <v>272</v>
      </c>
    </row>
    <row r="19" spans="1:2" x14ac:dyDescent="0.2">
      <c r="A19" s="12" t="s">
        <v>8</v>
      </c>
    </row>
    <row r="20" spans="1:2" x14ac:dyDescent="0.2">
      <c r="A20" s="12" t="s">
        <v>16</v>
      </c>
    </row>
    <row r="21" spans="1:2" x14ac:dyDescent="0.2">
      <c r="A21" s="12" t="s">
        <v>350</v>
      </c>
    </row>
    <row r="22" spans="1:2" x14ac:dyDescent="0.2">
      <c r="A22" s="12" t="s">
        <v>347</v>
      </c>
    </row>
    <row r="23" spans="1:2" x14ac:dyDescent="0.2">
      <c r="A23" s="12" t="s">
        <v>358</v>
      </c>
    </row>
    <row r="24" spans="1:2" x14ac:dyDescent="0.2">
      <c r="A24" s="12" t="s">
        <v>31</v>
      </c>
      <c r="B24">
        <v>3200390</v>
      </c>
    </row>
    <row r="25" spans="1:2" x14ac:dyDescent="0.2">
      <c r="A25" s="12" t="s">
        <v>93</v>
      </c>
    </row>
    <row r="26" spans="1:2" x14ac:dyDescent="0.2">
      <c r="A26" s="12" t="s">
        <v>191</v>
      </c>
    </row>
    <row r="27" spans="1:2" x14ac:dyDescent="0.2">
      <c r="A27" s="12" t="s">
        <v>266</v>
      </c>
    </row>
    <row r="28" spans="1:2" x14ac:dyDescent="0.2">
      <c r="A28" s="12" t="s">
        <v>286</v>
      </c>
    </row>
    <row r="29" spans="1:2" x14ac:dyDescent="0.2">
      <c r="A29" s="12" t="s">
        <v>19</v>
      </c>
      <c r="B29">
        <v>3200030</v>
      </c>
    </row>
    <row r="30" spans="1:2" x14ac:dyDescent="0.2">
      <c r="A30" s="12" t="s">
        <v>119</v>
      </c>
    </row>
    <row r="31" spans="1:2" x14ac:dyDescent="0.2">
      <c r="A31" s="12" t="s">
        <v>118</v>
      </c>
    </row>
    <row r="32" spans="1:2" x14ac:dyDescent="0.2">
      <c r="A32" s="12" t="s">
        <v>200</v>
      </c>
    </row>
    <row r="33" spans="1:1" x14ac:dyDescent="0.2">
      <c r="A33" s="12" t="s">
        <v>201</v>
      </c>
    </row>
    <row r="34" spans="1:1" x14ac:dyDescent="0.2">
      <c r="A34" s="12" t="s">
        <v>202</v>
      </c>
    </row>
    <row r="35" spans="1:1" x14ac:dyDescent="0.2">
      <c r="A35" s="12" t="s">
        <v>203</v>
      </c>
    </row>
    <row r="36" spans="1:1" x14ac:dyDescent="0.2">
      <c r="A36" s="12" t="s">
        <v>204</v>
      </c>
    </row>
    <row r="37" spans="1:1" x14ac:dyDescent="0.2">
      <c r="A37" s="12" t="s">
        <v>205</v>
      </c>
    </row>
    <row r="38" spans="1:1" x14ac:dyDescent="0.2">
      <c r="A38" s="12" t="s">
        <v>206</v>
      </c>
    </row>
    <row r="39" spans="1:1" x14ac:dyDescent="0.2">
      <c r="A39" s="12" t="s">
        <v>259</v>
      </c>
    </row>
    <row r="40" spans="1:1" x14ac:dyDescent="0.2">
      <c r="A40" s="12" t="s">
        <v>248</v>
      </c>
    </row>
    <row r="41" spans="1:1" x14ac:dyDescent="0.2">
      <c r="A41" s="12" t="s">
        <v>249</v>
      </c>
    </row>
    <row r="42" spans="1:1" x14ac:dyDescent="0.2">
      <c r="A42" s="12" t="s">
        <v>256</v>
      </c>
    </row>
    <row r="43" spans="1:1" x14ac:dyDescent="0.2">
      <c r="A43" s="12" t="s">
        <v>257</v>
      </c>
    </row>
    <row r="44" spans="1:1" x14ac:dyDescent="0.2">
      <c r="A44" s="12" t="s">
        <v>250</v>
      </c>
    </row>
    <row r="45" spans="1:1" x14ac:dyDescent="0.2">
      <c r="A45" s="12" t="s">
        <v>251</v>
      </c>
    </row>
    <row r="46" spans="1:1" x14ac:dyDescent="0.2">
      <c r="A46" s="12" t="s">
        <v>252</v>
      </c>
    </row>
    <row r="47" spans="1:1" x14ac:dyDescent="0.2">
      <c r="A47" s="12" t="s">
        <v>253</v>
      </c>
    </row>
    <row r="48" spans="1:1" x14ac:dyDescent="0.2">
      <c r="A48" s="12" t="s">
        <v>331</v>
      </c>
    </row>
    <row r="49" spans="1:2" x14ac:dyDescent="0.2">
      <c r="A49" s="12" t="s">
        <v>258</v>
      </c>
    </row>
    <row r="50" spans="1:2" x14ac:dyDescent="0.2">
      <c r="A50" s="12" t="s">
        <v>254</v>
      </c>
    </row>
    <row r="51" spans="1:2" x14ac:dyDescent="0.2">
      <c r="A51" s="12" t="s">
        <v>255</v>
      </c>
    </row>
    <row r="52" spans="1:2" x14ac:dyDescent="0.2">
      <c r="A52" s="12" t="s">
        <v>454</v>
      </c>
    </row>
    <row r="53" spans="1:2" x14ac:dyDescent="0.2">
      <c r="A53" s="12" t="s">
        <v>20</v>
      </c>
      <c r="B53">
        <v>3200060</v>
      </c>
    </row>
    <row r="54" spans="1:2" x14ac:dyDescent="0.2">
      <c r="A54" s="12" t="s">
        <v>121</v>
      </c>
    </row>
    <row r="55" spans="1:2" x14ac:dyDescent="0.2">
      <c r="A55" s="12" t="s">
        <v>120</v>
      </c>
    </row>
    <row r="56" spans="1:2" x14ac:dyDescent="0.2">
      <c r="A56" s="12" t="s">
        <v>467</v>
      </c>
    </row>
    <row r="57" spans="1:2" x14ac:dyDescent="0.2">
      <c r="A57" s="12" t="s">
        <v>342</v>
      </c>
    </row>
    <row r="58" spans="1:2" x14ac:dyDescent="0.2">
      <c r="A58" s="12" t="s">
        <v>339</v>
      </c>
    </row>
    <row r="59" spans="1:2" x14ac:dyDescent="0.2">
      <c r="A59" s="12" t="s">
        <v>98</v>
      </c>
    </row>
    <row r="60" spans="1:2" x14ac:dyDescent="0.2">
      <c r="A60" s="12" t="s">
        <v>40</v>
      </c>
    </row>
    <row r="61" spans="1:2" x14ac:dyDescent="0.2">
      <c r="A61" s="12" t="s">
        <v>6</v>
      </c>
    </row>
    <row r="62" spans="1:2" x14ac:dyDescent="0.2">
      <c r="A62" s="12" t="s">
        <v>441</v>
      </c>
    </row>
    <row r="63" spans="1:2" x14ac:dyDescent="0.2">
      <c r="A63" s="12" t="s">
        <v>108</v>
      </c>
    </row>
    <row r="64" spans="1:2" x14ac:dyDescent="0.2">
      <c r="A64" s="12" t="s">
        <v>417</v>
      </c>
    </row>
    <row r="65" spans="1:2" x14ac:dyDescent="0.2">
      <c r="A65" s="12" t="s">
        <v>112</v>
      </c>
    </row>
    <row r="66" spans="1:2" x14ac:dyDescent="0.2">
      <c r="A66" s="12" t="s">
        <v>356</v>
      </c>
    </row>
    <row r="67" spans="1:2" x14ac:dyDescent="0.2">
      <c r="A67" s="12" t="s">
        <v>21</v>
      </c>
      <c r="B67">
        <v>3200090</v>
      </c>
    </row>
    <row r="68" spans="1:2" x14ac:dyDescent="0.2">
      <c r="A68" s="12" t="s">
        <v>273</v>
      </c>
    </row>
    <row r="69" spans="1:2" x14ac:dyDescent="0.2">
      <c r="A69" s="12" t="s">
        <v>124</v>
      </c>
    </row>
    <row r="70" spans="1:2" x14ac:dyDescent="0.2">
      <c r="A70" s="12" t="s">
        <v>464</v>
      </c>
    </row>
    <row r="71" spans="1:2" x14ac:dyDescent="0.2">
      <c r="A71" s="12" t="s">
        <v>268</v>
      </c>
    </row>
    <row r="72" spans="1:2" x14ac:dyDescent="0.2">
      <c r="A72" s="12" t="s">
        <v>288</v>
      </c>
    </row>
    <row r="73" spans="1:2" x14ac:dyDescent="0.2">
      <c r="A73" s="12" t="s">
        <v>472</v>
      </c>
    </row>
    <row r="74" spans="1:2" x14ac:dyDescent="0.2">
      <c r="A74" s="12" t="s">
        <v>167</v>
      </c>
    </row>
    <row r="75" spans="1:2" x14ac:dyDescent="0.2">
      <c r="A75" s="12" t="s">
        <v>22</v>
      </c>
      <c r="B75">
        <v>3200120</v>
      </c>
    </row>
    <row r="76" spans="1:2" x14ac:dyDescent="0.2">
      <c r="A76" s="12" t="s">
        <v>275</v>
      </c>
    </row>
    <row r="77" spans="1:2" x14ac:dyDescent="0.2">
      <c r="A77" s="12" t="s">
        <v>166</v>
      </c>
    </row>
    <row r="78" spans="1:2" x14ac:dyDescent="0.2">
      <c r="A78" s="12" t="s">
        <v>567</v>
      </c>
      <c r="B78">
        <v>3200001</v>
      </c>
    </row>
    <row r="79" spans="1:2" x14ac:dyDescent="0.2">
      <c r="A79" s="12" t="s">
        <v>460</v>
      </c>
    </row>
    <row r="80" spans="1:2" x14ac:dyDescent="0.2">
      <c r="A80" s="12" t="s">
        <v>103</v>
      </c>
    </row>
    <row r="81" spans="1:2" x14ac:dyDescent="0.2">
      <c r="A81" s="12" t="s">
        <v>281</v>
      </c>
    </row>
    <row r="82" spans="1:2" x14ac:dyDescent="0.2">
      <c r="A82" s="12" t="s">
        <v>392</v>
      </c>
    </row>
    <row r="83" spans="1:2" x14ac:dyDescent="0.2">
      <c r="A83" s="12" t="s">
        <v>23</v>
      </c>
      <c r="B83">
        <v>3200150</v>
      </c>
    </row>
    <row r="84" spans="1:2" x14ac:dyDescent="0.2">
      <c r="A84" s="12" t="s">
        <v>168</v>
      </c>
    </row>
    <row r="85" spans="1:2" x14ac:dyDescent="0.2">
      <c r="A85" s="12" t="s">
        <v>24</v>
      </c>
      <c r="B85">
        <v>3200180</v>
      </c>
    </row>
    <row r="86" spans="1:2" x14ac:dyDescent="0.2">
      <c r="A86" s="12" t="s">
        <v>169</v>
      </c>
    </row>
    <row r="87" spans="1:2" x14ac:dyDescent="0.2">
      <c r="A87" s="12" t="s">
        <v>343</v>
      </c>
    </row>
    <row r="88" spans="1:2" x14ac:dyDescent="0.2">
      <c r="A88" s="12" t="s">
        <v>442</v>
      </c>
    </row>
    <row r="89" spans="1:2" x14ac:dyDescent="0.2">
      <c r="A89" s="12" t="s">
        <v>86</v>
      </c>
    </row>
    <row r="90" spans="1:2" x14ac:dyDescent="0.2">
      <c r="A90" s="12" t="s">
        <v>411</v>
      </c>
    </row>
    <row r="91" spans="1:2" x14ac:dyDescent="0.2">
      <c r="A91" s="12" t="s">
        <v>115</v>
      </c>
    </row>
    <row r="92" spans="1:2" x14ac:dyDescent="0.2">
      <c r="A92" s="12" t="s">
        <v>415</v>
      </c>
    </row>
    <row r="93" spans="1:2" x14ac:dyDescent="0.2">
      <c r="A93" s="12" t="s">
        <v>351</v>
      </c>
    </row>
    <row r="94" spans="1:2" x14ac:dyDescent="0.2">
      <c r="A94" s="12" t="s">
        <v>439</v>
      </c>
    </row>
    <row r="95" spans="1:2" x14ac:dyDescent="0.2">
      <c r="A95" s="12" t="s">
        <v>349</v>
      </c>
    </row>
    <row r="96" spans="1:2" x14ac:dyDescent="0.2">
      <c r="A96" s="12" t="s">
        <v>187</v>
      </c>
    </row>
    <row r="97" spans="1:2" x14ac:dyDescent="0.2">
      <c r="A97" s="12" t="s">
        <v>334</v>
      </c>
    </row>
    <row r="98" spans="1:2" x14ac:dyDescent="0.2">
      <c r="A98" s="12" t="s">
        <v>346</v>
      </c>
    </row>
    <row r="99" spans="1:2" x14ac:dyDescent="0.2">
      <c r="A99" s="12" t="s">
        <v>89</v>
      </c>
    </row>
    <row r="100" spans="1:2" x14ac:dyDescent="0.2">
      <c r="A100" s="12" t="s">
        <v>110</v>
      </c>
    </row>
    <row r="101" spans="1:2" x14ac:dyDescent="0.2">
      <c r="A101" s="12" t="s">
        <v>25</v>
      </c>
      <c r="B101">
        <v>3200210</v>
      </c>
    </row>
    <row r="102" spans="1:2" x14ac:dyDescent="0.2">
      <c r="A102" s="12" t="s">
        <v>170</v>
      </c>
    </row>
    <row r="103" spans="1:2" x14ac:dyDescent="0.2">
      <c r="A103" s="12" t="s">
        <v>185</v>
      </c>
    </row>
    <row r="104" spans="1:2" x14ac:dyDescent="0.2">
      <c r="A104" s="12" t="s">
        <v>37</v>
      </c>
    </row>
    <row r="105" spans="1:2" x14ac:dyDescent="0.2">
      <c r="A105" s="12" t="s">
        <v>109</v>
      </c>
    </row>
    <row r="106" spans="1:2" x14ac:dyDescent="0.2">
      <c r="A106" s="12" t="s">
        <v>355</v>
      </c>
    </row>
    <row r="107" spans="1:2" x14ac:dyDescent="0.2">
      <c r="A107" s="12" t="s">
        <v>333</v>
      </c>
    </row>
    <row r="108" spans="1:2" x14ac:dyDescent="0.2">
      <c r="A108" s="12" t="s">
        <v>95</v>
      </c>
    </row>
    <row r="109" spans="1:2" x14ac:dyDescent="0.2">
      <c r="A109" s="12" t="s">
        <v>337</v>
      </c>
    </row>
    <row r="110" spans="1:2" x14ac:dyDescent="0.2">
      <c r="A110" s="12" t="s">
        <v>357</v>
      </c>
    </row>
    <row r="111" spans="1:2" x14ac:dyDescent="0.2">
      <c r="A111" s="12" t="s">
        <v>402</v>
      </c>
    </row>
    <row r="112" spans="1:2" x14ac:dyDescent="0.2">
      <c r="A112" s="12" t="s">
        <v>26</v>
      </c>
      <c r="B112">
        <v>3200240</v>
      </c>
    </row>
    <row r="113" spans="1:2" x14ac:dyDescent="0.2">
      <c r="A113" s="12" t="s">
        <v>197</v>
      </c>
    </row>
    <row r="114" spans="1:2" x14ac:dyDescent="0.2">
      <c r="A114" s="12" t="s">
        <v>171</v>
      </c>
    </row>
    <row r="115" spans="1:2" x14ac:dyDescent="0.2">
      <c r="A115" s="12" t="s">
        <v>448</v>
      </c>
    </row>
    <row r="116" spans="1:2" x14ac:dyDescent="0.2">
      <c r="A116" s="12" t="s">
        <v>117</v>
      </c>
    </row>
    <row r="117" spans="1:2" x14ac:dyDescent="0.2">
      <c r="A117" s="12" t="s">
        <v>113</v>
      </c>
    </row>
    <row r="118" spans="1:2" x14ac:dyDescent="0.2">
      <c r="A118" s="12" t="s">
        <v>408</v>
      </c>
    </row>
    <row r="119" spans="1:2" x14ac:dyDescent="0.2">
      <c r="A119" s="12" t="s">
        <v>10</v>
      </c>
    </row>
    <row r="120" spans="1:2" x14ac:dyDescent="0.2">
      <c r="A120" s="12" t="s">
        <v>27</v>
      </c>
      <c r="B120">
        <v>3200270</v>
      </c>
    </row>
    <row r="121" spans="1:2" x14ac:dyDescent="0.2">
      <c r="A121" s="12" t="s">
        <v>193</v>
      </c>
    </row>
    <row r="122" spans="1:2" x14ac:dyDescent="0.2">
      <c r="A122" s="12" t="s">
        <v>172</v>
      </c>
    </row>
    <row r="123" spans="1:2" x14ac:dyDescent="0.2">
      <c r="A123" s="12" t="s">
        <v>7</v>
      </c>
    </row>
    <row r="124" spans="1:2" x14ac:dyDescent="0.2">
      <c r="A124" s="12" t="s">
        <v>192</v>
      </c>
    </row>
    <row r="125" spans="1:2" x14ac:dyDescent="0.2">
      <c r="A125" s="12" t="s">
        <v>279</v>
      </c>
    </row>
    <row r="126" spans="1:2" x14ac:dyDescent="0.2">
      <c r="A126" s="12" t="s">
        <v>123</v>
      </c>
    </row>
    <row r="127" spans="1:2" x14ac:dyDescent="0.2">
      <c r="A127" s="12" t="s">
        <v>181</v>
      </c>
    </row>
    <row r="128" spans="1:2" x14ac:dyDescent="0.2">
      <c r="A128" s="12" t="s">
        <v>183</v>
      </c>
    </row>
    <row r="129" spans="1:2" x14ac:dyDescent="0.2">
      <c r="A129" s="12" t="s">
        <v>28</v>
      </c>
      <c r="B129">
        <v>3200300</v>
      </c>
    </row>
    <row r="130" spans="1:2" x14ac:dyDescent="0.2">
      <c r="A130" s="12" t="s">
        <v>173</v>
      </c>
    </row>
    <row r="131" spans="1:2" x14ac:dyDescent="0.2">
      <c r="A131" s="12" t="s">
        <v>87</v>
      </c>
    </row>
    <row r="132" spans="1:2" x14ac:dyDescent="0.2">
      <c r="A132" s="12" t="s">
        <v>398</v>
      </c>
    </row>
    <row r="133" spans="1:2" x14ac:dyDescent="0.2">
      <c r="A133" s="12" t="s">
        <v>416</v>
      </c>
    </row>
    <row r="134" spans="1:2" x14ac:dyDescent="0.2">
      <c r="A134" s="12" t="s">
        <v>116</v>
      </c>
    </row>
    <row r="135" spans="1:2" x14ac:dyDescent="0.2">
      <c r="A135" s="12" t="s">
        <v>341</v>
      </c>
    </row>
    <row r="136" spans="1:2" x14ac:dyDescent="0.2">
      <c r="A136" s="12" t="s">
        <v>278</v>
      </c>
    </row>
    <row r="137" spans="1:2" x14ac:dyDescent="0.2">
      <c r="A137" s="12" t="s">
        <v>287</v>
      </c>
    </row>
    <row r="138" spans="1:2" x14ac:dyDescent="0.2">
      <c r="A138" s="12" t="s">
        <v>29</v>
      </c>
      <c r="B138">
        <v>3200330</v>
      </c>
    </row>
    <row r="139" spans="1:2" x14ac:dyDescent="0.2">
      <c r="A139" s="12" t="s">
        <v>174</v>
      </c>
    </row>
    <row r="140" spans="1:2" x14ac:dyDescent="0.2">
      <c r="A140" s="12" t="s">
        <v>447</v>
      </c>
    </row>
    <row r="141" spans="1:2" x14ac:dyDescent="0.2">
      <c r="A141" s="12" t="s">
        <v>196</v>
      </c>
    </row>
    <row r="142" spans="1:2" x14ac:dyDescent="0.2">
      <c r="A142" s="12" t="s">
        <v>270</v>
      </c>
    </row>
    <row r="143" spans="1:2" x14ac:dyDescent="0.2">
      <c r="A143" s="12" t="s">
        <v>188</v>
      </c>
    </row>
    <row r="144" spans="1:2" x14ac:dyDescent="0.2">
      <c r="A144" s="12" t="s">
        <v>264</v>
      </c>
    </row>
    <row r="145" spans="1:1" x14ac:dyDescent="0.2">
      <c r="A145" s="12" t="s">
        <v>425</v>
      </c>
    </row>
    <row r="146" spans="1:1" x14ac:dyDescent="0.2">
      <c r="A146" s="12" t="s">
        <v>92</v>
      </c>
    </row>
    <row r="147" spans="1:1" x14ac:dyDescent="0.2">
      <c r="A147" s="12" t="s">
        <v>412</v>
      </c>
    </row>
    <row r="148" spans="1:1" x14ac:dyDescent="0.2">
      <c r="A148" s="12" t="s">
        <v>474</v>
      </c>
    </row>
    <row r="149" spans="1:1" x14ac:dyDescent="0.2">
      <c r="A149" s="12" t="s">
        <v>399</v>
      </c>
    </row>
    <row r="150" spans="1:1" x14ac:dyDescent="0.2">
      <c r="A150" s="12" t="s">
        <v>283</v>
      </c>
    </row>
    <row r="151" spans="1:1" x14ac:dyDescent="0.2">
      <c r="A151" s="12" t="s">
        <v>5</v>
      </c>
    </row>
    <row r="152" spans="1:1" x14ac:dyDescent="0.2">
      <c r="A152" s="12" t="s">
        <v>1</v>
      </c>
    </row>
    <row r="153" spans="1:1" x14ac:dyDescent="0.2">
      <c r="A153" s="12" t="s">
        <v>390</v>
      </c>
    </row>
    <row r="154" spans="1:1" x14ac:dyDescent="0.2">
      <c r="A154" s="12" t="s">
        <v>100</v>
      </c>
    </row>
    <row r="155" spans="1:1" x14ac:dyDescent="0.2">
      <c r="A155" s="12" t="s">
        <v>434</v>
      </c>
    </row>
    <row r="156" spans="1:1" x14ac:dyDescent="0.2">
      <c r="A156" s="12" t="s">
        <v>433</v>
      </c>
    </row>
    <row r="157" spans="1:1" x14ac:dyDescent="0.2">
      <c r="A157" s="12" t="s">
        <v>14</v>
      </c>
    </row>
    <row r="158" spans="1:1" x14ac:dyDescent="0.2">
      <c r="A158" s="12" t="s">
        <v>12</v>
      </c>
    </row>
    <row r="159" spans="1:1" x14ac:dyDescent="0.2">
      <c r="A159" s="12" t="s">
        <v>11</v>
      </c>
    </row>
    <row r="160" spans="1:1" x14ac:dyDescent="0.2">
      <c r="A160" s="12" t="s">
        <v>353</v>
      </c>
    </row>
    <row r="161" spans="1:2" x14ac:dyDescent="0.2">
      <c r="A161" s="12" t="s">
        <v>432</v>
      </c>
    </row>
    <row r="162" spans="1:2" x14ac:dyDescent="0.2">
      <c r="A162" s="12" t="s">
        <v>418</v>
      </c>
    </row>
    <row r="163" spans="1:2" x14ac:dyDescent="0.2">
      <c r="A163" s="12" t="s">
        <v>348</v>
      </c>
    </row>
    <row r="164" spans="1:2" x14ac:dyDescent="0.2">
      <c r="A164" s="12" t="s">
        <v>99</v>
      </c>
    </row>
    <row r="165" spans="1:2" x14ac:dyDescent="0.2">
      <c r="A165" s="12" t="s">
        <v>175</v>
      </c>
    </row>
    <row r="166" spans="1:2" x14ac:dyDescent="0.2">
      <c r="A166" s="12" t="s">
        <v>30</v>
      </c>
      <c r="B166">
        <v>3200360</v>
      </c>
    </row>
    <row r="167" spans="1:2" x14ac:dyDescent="0.2">
      <c r="A167" s="12" t="s">
        <v>106</v>
      </c>
    </row>
    <row r="168" spans="1:2" x14ac:dyDescent="0.2">
      <c r="A168" s="12" t="s">
        <v>38</v>
      </c>
    </row>
    <row r="169" spans="1:2" x14ac:dyDescent="0.2">
      <c r="A169" s="12" t="s">
        <v>194</v>
      </c>
    </row>
    <row r="170" spans="1:2" x14ac:dyDescent="0.2">
      <c r="A170" s="12" t="s">
        <v>340</v>
      </c>
    </row>
    <row r="171" spans="1:2" x14ac:dyDescent="0.2">
      <c r="A171" s="12" t="s">
        <v>32</v>
      </c>
      <c r="B171">
        <v>3200420</v>
      </c>
    </row>
    <row r="172" spans="1:2" x14ac:dyDescent="0.2">
      <c r="A172" s="12" t="s">
        <v>330</v>
      </c>
    </row>
    <row r="173" spans="1:2" x14ac:dyDescent="0.2">
      <c r="A173" s="12" t="s">
        <v>282</v>
      </c>
    </row>
    <row r="174" spans="1:2" x14ac:dyDescent="0.2">
      <c r="A174" s="12" t="s">
        <v>176</v>
      </c>
    </row>
    <row r="175" spans="1:2" x14ac:dyDescent="0.2">
      <c r="A175" s="12" t="s">
        <v>189</v>
      </c>
    </row>
    <row r="176" spans="1:2" x14ac:dyDescent="0.2">
      <c r="A176" s="12" t="s">
        <v>440</v>
      </c>
    </row>
    <row r="177" spans="1:1" x14ac:dyDescent="0.2">
      <c r="A177" s="12" t="s">
        <v>111</v>
      </c>
    </row>
    <row r="178" spans="1:1" x14ac:dyDescent="0.2">
      <c r="A178" s="12" t="s">
        <v>451</v>
      </c>
    </row>
    <row r="179" spans="1:1" x14ac:dyDescent="0.2">
      <c r="A179" s="12" t="s">
        <v>101</v>
      </c>
    </row>
    <row r="180" spans="1:1" x14ac:dyDescent="0.2">
      <c r="A180" s="12" t="s">
        <v>96</v>
      </c>
    </row>
    <row r="181" spans="1:1" x14ac:dyDescent="0.2">
      <c r="A181" s="12" t="s">
        <v>90</v>
      </c>
    </row>
    <row r="182" spans="1:1" x14ac:dyDescent="0.2">
      <c r="A182" s="12" t="s">
        <v>284</v>
      </c>
    </row>
    <row r="183" spans="1:1" x14ac:dyDescent="0.2">
      <c r="A183" s="12" t="s">
        <v>271</v>
      </c>
    </row>
    <row r="184" spans="1:1" x14ac:dyDescent="0.2">
      <c r="A184" s="12" t="s">
        <v>280</v>
      </c>
    </row>
    <row r="185" spans="1:1" x14ac:dyDescent="0.2">
      <c r="A185" s="12" t="s">
        <v>179</v>
      </c>
    </row>
    <row r="186" spans="1:1" x14ac:dyDescent="0.2">
      <c r="A186" s="12" t="s">
        <v>277</v>
      </c>
    </row>
    <row r="187" spans="1:1" x14ac:dyDescent="0.2">
      <c r="A187" s="12" t="s">
        <v>354</v>
      </c>
    </row>
    <row r="188" spans="1:1" x14ac:dyDescent="0.2">
      <c r="A188" s="12" t="s">
        <v>352</v>
      </c>
    </row>
    <row r="189" spans="1:1" x14ac:dyDescent="0.2">
      <c r="A189" s="12" t="s">
        <v>463</v>
      </c>
    </row>
    <row r="190" spans="1:1" x14ac:dyDescent="0.2">
      <c r="A190" s="12" t="s">
        <v>39</v>
      </c>
    </row>
    <row r="191" spans="1:1" x14ac:dyDescent="0.2">
      <c r="A191" s="12" t="s">
        <v>426</v>
      </c>
    </row>
    <row r="192" spans="1:1" x14ac:dyDescent="0.2">
      <c r="A192" s="12" t="s">
        <v>104</v>
      </c>
    </row>
    <row r="193" spans="1:2" x14ac:dyDescent="0.2">
      <c r="A193" s="12" t="s">
        <v>91</v>
      </c>
    </row>
    <row r="194" spans="1:2" x14ac:dyDescent="0.2">
      <c r="A194" s="12" t="s">
        <v>407</v>
      </c>
    </row>
    <row r="195" spans="1:2" x14ac:dyDescent="0.2">
      <c r="A195" s="12" t="s">
        <v>395</v>
      </c>
    </row>
    <row r="196" spans="1:2" x14ac:dyDescent="0.2">
      <c r="A196" s="12" t="s">
        <v>359</v>
      </c>
    </row>
    <row r="197" spans="1:2" x14ac:dyDescent="0.2">
      <c r="A197" s="12" t="s">
        <v>107</v>
      </c>
    </row>
    <row r="198" spans="1:2" x14ac:dyDescent="0.2">
      <c r="A198" s="12" t="s">
        <v>122</v>
      </c>
    </row>
    <row r="199" spans="1:2" x14ac:dyDescent="0.2">
      <c r="A199" s="12" t="s">
        <v>4</v>
      </c>
    </row>
    <row r="200" spans="1:2" x14ac:dyDescent="0.2">
      <c r="A200" s="12" t="s">
        <v>13</v>
      </c>
    </row>
    <row r="201" spans="1:2" x14ac:dyDescent="0.2">
      <c r="A201" s="12" t="s">
        <v>285</v>
      </c>
    </row>
    <row r="202" spans="1:2" x14ac:dyDescent="0.2">
      <c r="A202" s="12" t="s">
        <v>15</v>
      </c>
    </row>
    <row r="203" spans="1:2" x14ac:dyDescent="0.2">
      <c r="A203" s="12" t="s">
        <v>424</v>
      </c>
    </row>
    <row r="204" spans="1:2" x14ac:dyDescent="0.2">
      <c r="A204" s="12" t="s">
        <v>405</v>
      </c>
    </row>
    <row r="205" spans="1:2" x14ac:dyDescent="0.2">
      <c r="A205" s="12" t="s">
        <v>0</v>
      </c>
    </row>
    <row r="206" spans="1:2" x14ac:dyDescent="0.2">
      <c r="A206" s="12" t="s">
        <v>33</v>
      </c>
      <c r="B206">
        <v>3200450</v>
      </c>
    </row>
    <row r="207" spans="1:2" x14ac:dyDescent="0.2">
      <c r="A207" s="12" t="s">
        <v>177</v>
      </c>
    </row>
    <row r="208" spans="1:2" x14ac:dyDescent="0.2">
      <c r="A208" s="12" t="s">
        <v>269</v>
      </c>
    </row>
    <row r="209" spans="1:1" x14ac:dyDescent="0.2">
      <c r="A209" s="12" t="s">
        <v>195</v>
      </c>
    </row>
    <row r="210" spans="1:1" x14ac:dyDescent="0.2">
      <c r="A210" s="12" t="s">
        <v>274</v>
      </c>
    </row>
    <row r="211" spans="1:1" x14ac:dyDescent="0.2">
      <c r="A211" s="12" t="s">
        <v>431</v>
      </c>
    </row>
    <row r="212" spans="1:1" x14ac:dyDescent="0.2">
      <c r="A212" s="12" t="s">
        <v>263</v>
      </c>
    </row>
    <row r="213" spans="1:1" x14ac:dyDescent="0.2">
      <c r="A213" s="12" t="s">
        <v>436</v>
      </c>
    </row>
    <row r="214" spans="1:1" x14ac:dyDescent="0.2">
      <c r="A214" s="12" t="s">
        <v>453</v>
      </c>
    </row>
    <row r="215" spans="1:1" x14ac:dyDescent="0.2">
      <c r="A215" s="12" t="s">
        <v>97</v>
      </c>
    </row>
    <row r="216" spans="1:1" x14ac:dyDescent="0.2">
      <c r="A216" s="12" t="s">
        <v>394</v>
      </c>
    </row>
    <row r="217" spans="1:1" x14ac:dyDescent="0.2">
      <c r="A217" s="12" t="s">
        <v>435</v>
      </c>
    </row>
    <row r="218" spans="1:1" x14ac:dyDescent="0.2">
      <c r="A218" s="12" t="s">
        <v>332</v>
      </c>
    </row>
    <row r="219" spans="1:1" x14ac:dyDescent="0.2">
      <c r="A219" s="12" t="s">
        <v>267</v>
      </c>
    </row>
    <row r="220" spans="1:1" x14ac:dyDescent="0.2">
      <c r="A220" s="12" t="s">
        <v>345</v>
      </c>
    </row>
    <row r="221" spans="1:1" x14ac:dyDescent="0.2">
      <c r="A221" s="12" t="s">
        <v>260</v>
      </c>
    </row>
    <row r="222" spans="1:1" x14ac:dyDescent="0.2">
      <c r="A222" s="12" t="s">
        <v>184</v>
      </c>
    </row>
    <row r="223" spans="1:1" x14ac:dyDescent="0.2">
      <c r="A223" s="12" t="s">
        <v>17</v>
      </c>
    </row>
    <row r="224" spans="1:1" x14ac:dyDescent="0.2">
      <c r="A224" s="12" t="s">
        <v>18</v>
      </c>
    </row>
    <row r="225" spans="1:2" x14ac:dyDescent="0.2">
      <c r="A225" s="12" t="s">
        <v>198</v>
      </c>
    </row>
    <row r="226" spans="1:2" x14ac:dyDescent="0.2">
      <c r="A226" s="12" t="s">
        <v>261</v>
      </c>
    </row>
    <row r="227" spans="1:2" x14ac:dyDescent="0.2">
      <c r="A227" s="12" t="s">
        <v>34</v>
      </c>
      <c r="B227">
        <v>3200480</v>
      </c>
    </row>
    <row r="228" spans="1:2" x14ac:dyDescent="0.2">
      <c r="A228" s="12" t="s">
        <v>35</v>
      </c>
    </row>
    <row r="229" spans="1:2" x14ac:dyDescent="0.2">
      <c r="A229" s="12" t="s">
        <v>262</v>
      </c>
    </row>
    <row r="230" spans="1:2" x14ac:dyDescent="0.2">
      <c r="A230" s="12" t="s">
        <v>178</v>
      </c>
    </row>
    <row r="231" spans="1:2" x14ac:dyDescent="0.2">
      <c r="A231" s="12" t="s">
        <v>458</v>
      </c>
    </row>
    <row r="232" spans="1:2" x14ac:dyDescent="0.2">
      <c r="A232" s="12" t="s">
        <v>265</v>
      </c>
    </row>
    <row r="233" spans="1:2" x14ac:dyDescent="0.2">
      <c r="A233" s="12" t="s">
        <v>36</v>
      </c>
      <c r="B233">
        <v>3200510</v>
      </c>
    </row>
    <row r="234" spans="1:2" x14ac:dyDescent="0.2">
      <c r="A234" s="12" t="s">
        <v>182</v>
      </c>
    </row>
    <row r="235" spans="1:2" x14ac:dyDescent="0.2">
      <c r="A235" s="12" t="s">
        <v>180</v>
      </c>
    </row>
    <row r="236" spans="1:2" x14ac:dyDescent="0.2">
      <c r="A236" s="12" t="s">
        <v>336</v>
      </c>
    </row>
    <row r="237" spans="1:2" x14ac:dyDescent="0.2">
      <c r="A237" s="12" t="s">
        <v>276</v>
      </c>
    </row>
    <row r="238" spans="1:2" x14ac:dyDescent="0.2">
      <c r="A238" s="12" t="s">
        <v>190</v>
      </c>
    </row>
    <row r="239" spans="1:2" x14ac:dyDescent="0.2">
      <c r="A239" s="12" t="s">
        <v>344</v>
      </c>
    </row>
    <row r="240" spans="1:2" x14ac:dyDescent="0.2">
      <c r="A240" s="12" t="s">
        <v>465</v>
      </c>
    </row>
    <row r="241" spans="1:1" x14ac:dyDescent="0.2">
      <c r="A241" s="13"/>
    </row>
    <row r="242" spans="1:1" x14ac:dyDescent="0.2">
      <c r="A242" s="13"/>
    </row>
    <row r="243" spans="1:1" x14ac:dyDescent="0.2">
      <c r="A243" s="13"/>
    </row>
    <row r="244" spans="1:1" x14ac:dyDescent="0.2">
      <c r="A244" s="13"/>
    </row>
    <row r="245" spans="1:1" x14ac:dyDescent="0.2">
      <c r="A245" s="13"/>
    </row>
    <row r="246" spans="1:1" x14ac:dyDescent="0.2">
      <c r="A246" s="13"/>
    </row>
    <row r="247" spans="1:1" x14ac:dyDescent="0.2">
      <c r="A247" s="13"/>
    </row>
    <row r="248" spans="1:1" x14ac:dyDescent="0.2">
      <c r="A248" s="13"/>
    </row>
    <row r="249" spans="1:1" x14ac:dyDescent="0.2">
      <c r="A249" s="13"/>
    </row>
    <row r="250" spans="1:1" x14ac:dyDescent="0.2">
      <c r="A250" s="13"/>
    </row>
    <row r="251" spans="1:1" x14ac:dyDescent="0.2">
      <c r="A251" s="13"/>
    </row>
    <row r="252" spans="1:1" x14ac:dyDescent="0.2">
      <c r="A252" s="13"/>
    </row>
    <row r="253" spans="1:1" x14ac:dyDescent="0.2">
      <c r="A253" s="13"/>
    </row>
    <row r="254" spans="1:1" x14ac:dyDescent="0.2">
      <c r="A254" s="13"/>
    </row>
    <row r="255" spans="1:1" x14ac:dyDescent="0.2">
      <c r="A255" s="13"/>
    </row>
    <row r="256" spans="1:1" x14ac:dyDescent="0.2">
      <c r="A256" s="13"/>
    </row>
    <row r="257" spans="1:1" x14ac:dyDescent="0.2">
      <c r="A257" s="13"/>
    </row>
    <row r="258" spans="1:1" x14ac:dyDescent="0.2">
      <c r="A258" s="13"/>
    </row>
    <row r="259" spans="1:1" x14ac:dyDescent="0.2">
      <c r="A259" s="13"/>
    </row>
    <row r="260" spans="1:1" x14ac:dyDescent="0.2">
      <c r="A260" s="13"/>
    </row>
    <row r="261" spans="1:1" x14ac:dyDescent="0.2">
      <c r="A261" s="13"/>
    </row>
    <row r="262" spans="1:1" x14ac:dyDescent="0.2">
      <c r="A262" s="13"/>
    </row>
    <row r="263" spans="1:1" x14ac:dyDescent="0.2">
      <c r="A263" s="13"/>
    </row>
    <row r="264" spans="1:1" x14ac:dyDescent="0.2">
      <c r="A264" s="13"/>
    </row>
    <row r="265" spans="1:1" x14ac:dyDescent="0.2">
      <c r="A265" s="13"/>
    </row>
    <row r="266" spans="1:1" x14ac:dyDescent="0.2">
      <c r="A266" s="13"/>
    </row>
    <row r="267" spans="1:1" x14ac:dyDescent="0.2">
      <c r="A267" s="13"/>
    </row>
    <row r="268" spans="1:1" x14ac:dyDescent="0.2">
      <c r="A268" s="13"/>
    </row>
    <row r="269" spans="1:1" x14ac:dyDescent="0.2">
      <c r="A269" s="13"/>
    </row>
    <row r="270" spans="1:1" x14ac:dyDescent="0.2">
      <c r="A270" s="13"/>
    </row>
    <row r="271" spans="1:1" x14ac:dyDescent="0.2">
      <c r="A271" s="13"/>
    </row>
    <row r="272" spans="1:1" x14ac:dyDescent="0.2">
      <c r="A272" s="13"/>
    </row>
    <row r="273" spans="1:1" x14ac:dyDescent="0.2">
      <c r="A273" s="13"/>
    </row>
    <row r="274" spans="1:1" x14ac:dyDescent="0.2">
      <c r="A274" s="13"/>
    </row>
    <row r="275" spans="1:1" x14ac:dyDescent="0.2">
      <c r="A275" s="13"/>
    </row>
    <row r="276" spans="1:1" x14ac:dyDescent="0.2">
      <c r="A276" s="13"/>
    </row>
    <row r="277" spans="1:1" x14ac:dyDescent="0.2">
      <c r="A277" s="13"/>
    </row>
    <row r="278" spans="1:1" x14ac:dyDescent="0.2">
      <c r="A278" s="13"/>
    </row>
    <row r="279" spans="1:1" x14ac:dyDescent="0.2">
      <c r="A279" s="13"/>
    </row>
    <row r="280" spans="1:1" x14ac:dyDescent="0.2">
      <c r="A280" s="13"/>
    </row>
    <row r="281" spans="1:1" x14ac:dyDescent="0.2">
      <c r="A281" s="13"/>
    </row>
    <row r="282" spans="1:1" x14ac:dyDescent="0.2">
      <c r="A282" s="13"/>
    </row>
    <row r="283" spans="1:1" x14ac:dyDescent="0.2">
      <c r="A283" s="13"/>
    </row>
    <row r="284" spans="1:1" x14ac:dyDescent="0.2">
      <c r="A284" s="13"/>
    </row>
    <row r="285" spans="1:1" x14ac:dyDescent="0.2">
      <c r="A285" s="13"/>
    </row>
    <row r="286" spans="1:1" x14ac:dyDescent="0.2">
      <c r="A286" s="13"/>
    </row>
    <row r="287" spans="1:1" x14ac:dyDescent="0.2">
      <c r="A287" s="13"/>
    </row>
    <row r="288" spans="1:1" x14ac:dyDescent="0.2">
      <c r="A288" s="13"/>
    </row>
    <row r="289" spans="1:1" x14ac:dyDescent="0.2">
      <c r="A289" s="13"/>
    </row>
    <row r="290" spans="1:1" x14ac:dyDescent="0.2">
      <c r="A290" s="13"/>
    </row>
    <row r="291" spans="1:1" x14ac:dyDescent="0.2">
      <c r="A291" s="13"/>
    </row>
    <row r="292" spans="1:1" x14ac:dyDescent="0.2">
      <c r="A292" s="13"/>
    </row>
    <row r="293" spans="1:1" x14ac:dyDescent="0.2">
      <c r="A293" s="13"/>
    </row>
    <row r="294" spans="1:1" x14ac:dyDescent="0.2">
      <c r="A294" s="13"/>
    </row>
    <row r="295" spans="1:1" x14ac:dyDescent="0.2">
      <c r="A295" s="13"/>
    </row>
    <row r="296" spans="1:1" x14ac:dyDescent="0.2">
      <c r="A296" s="13"/>
    </row>
    <row r="297" spans="1:1" x14ac:dyDescent="0.2">
      <c r="A297" s="13"/>
    </row>
    <row r="298" spans="1:1" x14ac:dyDescent="0.2">
      <c r="A298" s="13"/>
    </row>
    <row r="299" spans="1:1" x14ac:dyDescent="0.2">
      <c r="A299" s="13"/>
    </row>
    <row r="300" spans="1:1" x14ac:dyDescent="0.2">
      <c r="A300" s="13"/>
    </row>
    <row r="301" spans="1:1" x14ac:dyDescent="0.2">
      <c r="A301" s="13"/>
    </row>
    <row r="302" spans="1:1" x14ac:dyDescent="0.2">
      <c r="A302" s="13"/>
    </row>
    <row r="303" spans="1:1" x14ac:dyDescent="0.2">
      <c r="A303" s="13"/>
    </row>
    <row r="304" spans="1:1" x14ac:dyDescent="0.2">
      <c r="A304" s="13"/>
    </row>
    <row r="305" spans="1:1" x14ac:dyDescent="0.2">
      <c r="A305" s="13"/>
    </row>
    <row r="306" spans="1:1" x14ac:dyDescent="0.2">
      <c r="A306" s="13"/>
    </row>
    <row r="307" spans="1:1" x14ac:dyDescent="0.2">
      <c r="A307" s="13"/>
    </row>
    <row r="308" spans="1:1" x14ac:dyDescent="0.2">
      <c r="A308" s="13"/>
    </row>
    <row r="309" spans="1:1" x14ac:dyDescent="0.2">
      <c r="A309" s="13"/>
    </row>
    <row r="310" spans="1:1" x14ac:dyDescent="0.2">
      <c r="A310" s="13"/>
    </row>
    <row r="311" spans="1:1" x14ac:dyDescent="0.2">
      <c r="A311" s="13"/>
    </row>
    <row r="312" spans="1:1" x14ac:dyDescent="0.2">
      <c r="A312" s="13"/>
    </row>
    <row r="313" spans="1:1" x14ac:dyDescent="0.2">
      <c r="A313" s="13"/>
    </row>
    <row r="314" spans="1:1" x14ac:dyDescent="0.2">
      <c r="A314" s="13"/>
    </row>
    <row r="315" spans="1:1" x14ac:dyDescent="0.2">
      <c r="A315" s="13"/>
    </row>
    <row r="316" spans="1:1" x14ac:dyDescent="0.2">
      <c r="A316" s="13"/>
    </row>
    <row r="317" spans="1:1" x14ac:dyDescent="0.2">
      <c r="A317" s="13"/>
    </row>
    <row r="318" spans="1:1" x14ac:dyDescent="0.2">
      <c r="A318" s="13"/>
    </row>
    <row r="319" spans="1:1" x14ac:dyDescent="0.2">
      <c r="A319" s="13"/>
    </row>
    <row r="320" spans="1:1" x14ac:dyDescent="0.2">
      <c r="A320" s="13"/>
    </row>
    <row r="321" spans="1:1" x14ac:dyDescent="0.2">
      <c r="A321" s="13"/>
    </row>
    <row r="322" spans="1:1" x14ac:dyDescent="0.2">
      <c r="A322" s="13"/>
    </row>
    <row r="323" spans="1:1" x14ac:dyDescent="0.2">
      <c r="A323" s="13"/>
    </row>
    <row r="324" spans="1:1" x14ac:dyDescent="0.2">
      <c r="A324" s="13"/>
    </row>
    <row r="325" spans="1:1" x14ac:dyDescent="0.2">
      <c r="A325" s="13"/>
    </row>
    <row r="326" spans="1:1" x14ac:dyDescent="0.2">
      <c r="A326" s="13"/>
    </row>
    <row r="327" spans="1:1" x14ac:dyDescent="0.2">
      <c r="A327" s="13"/>
    </row>
    <row r="328" spans="1:1" x14ac:dyDescent="0.2">
      <c r="A328" s="13"/>
    </row>
    <row r="329" spans="1:1" x14ac:dyDescent="0.2">
      <c r="A329" s="13"/>
    </row>
    <row r="330" spans="1:1" x14ac:dyDescent="0.2">
      <c r="A330" s="13"/>
    </row>
    <row r="331" spans="1:1" x14ac:dyDescent="0.2">
      <c r="A331" s="13"/>
    </row>
    <row r="332" spans="1:1" x14ac:dyDescent="0.2">
      <c r="A332" s="13"/>
    </row>
    <row r="333" spans="1:1" x14ac:dyDescent="0.2">
      <c r="A333" s="13"/>
    </row>
    <row r="334" spans="1:1" x14ac:dyDescent="0.2">
      <c r="A334" s="13"/>
    </row>
    <row r="335" spans="1:1" x14ac:dyDescent="0.2">
      <c r="A335" s="13"/>
    </row>
    <row r="336" spans="1:1" x14ac:dyDescent="0.2">
      <c r="A336" s="13"/>
    </row>
    <row r="337" spans="1:1" x14ac:dyDescent="0.2">
      <c r="A337" s="13"/>
    </row>
    <row r="338" spans="1:1" x14ac:dyDescent="0.2">
      <c r="A338" s="13"/>
    </row>
    <row r="339" spans="1:1" x14ac:dyDescent="0.2">
      <c r="A339" s="13"/>
    </row>
    <row r="340" spans="1:1" x14ac:dyDescent="0.2">
      <c r="A340" s="13"/>
    </row>
    <row r="341" spans="1:1" x14ac:dyDescent="0.2">
      <c r="A341" s="13"/>
    </row>
    <row r="342" spans="1:1" x14ac:dyDescent="0.2">
      <c r="A342" s="13"/>
    </row>
    <row r="343" spans="1:1" x14ac:dyDescent="0.2">
      <c r="A343" s="13"/>
    </row>
    <row r="344" spans="1:1" x14ac:dyDescent="0.2">
      <c r="A344" s="13"/>
    </row>
    <row r="345" spans="1:1" x14ac:dyDescent="0.2">
      <c r="A345" s="13"/>
    </row>
    <row r="346" spans="1:1" x14ac:dyDescent="0.2">
      <c r="A346" s="13"/>
    </row>
    <row r="347" spans="1:1" x14ac:dyDescent="0.2">
      <c r="A347" s="13"/>
    </row>
    <row r="348" spans="1:1" x14ac:dyDescent="0.2">
      <c r="A348" s="13"/>
    </row>
    <row r="349" spans="1:1" x14ac:dyDescent="0.2">
      <c r="A349" s="13"/>
    </row>
    <row r="350" spans="1:1" x14ac:dyDescent="0.2">
      <c r="A350" s="13"/>
    </row>
    <row r="351" spans="1:1" x14ac:dyDescent="0.2">
      <c r="A351" s="13"/>
    </row>
    <row r="352" spans="1:1" x14ac:dyDescent="0.2">
      <c r="A352" s="13"/>
    </row>
    <row r="353" spans="1:1" x14ac:dyDescent="0.2">
      <c r="A353" s="13"/>
    </row>
    <row r="354" spans="1:1" x14ac:dyDescent="0.2">
      <c r="A354" s="13"/>
    </row>
    <row r="355" spans="1:1" x14ac:dyDescent="0.2">
      <c r="A355" s="13"/>
    </row>
    <row r="356" spans="1:1" x14ac:dyDescent="0.2">
      <c r="A356" s="13"/>
    </row>
    <row r="357" spans="1:1" x14ac:dyDescent="0.2">
      <c r="A357" s="13"/>
    </row>
    <row r="358" spans="1:1" x14ac:dyDescent="0.2">
      <c r="A358" s="13"/>
    </row>
    <row r="359" spans="1:1" x14ac:dyDescent="0.2">
      <c r="A359" s="13"/>
    </row>
    <row r="360" spans="1:1" x14ac:dyDescent="0.2">
      <c r="A360" s="13"/>
    </row>
    <row r="361" spans="1:1" x14ac:dyDescent="0.2">
      <c r="A361" s="13"/>
    </row>
    <row r="362" spans="1:1" x14ac:dyDescent="0.2">
      <c r="A362" s="13"/>
    </row>
    <row r="363" spans="1:1" x14ac:dyDescent="0.2">
      <c r="A363" s="13"/>
    </row>
    <row r="364" spans="1:1" x14ac:dyDescent="0.2">
      <c r="A364" s="13"/>
    </row>
    <row r="365" spans="1:1" x14ac:dyDescent="0.2">
      <c r="A365" s="13"/>
    </row>
    <row r="366" spans="1:1" x14ac:dyDescent="0.2">
      <c r="A366" s="13"/>
    </row>
    <row r="367" spans="1:1" x14ac:dyDescent="0.2">
      <c r="A367" s="13"/>
    </row>
    <row r="368" spans="1:1" x14ac:dyDescent="0.2">
      <c r="A368" s="13"/>
    </row>
    <row r="369" spans="1:1" x14ac:dyDescent="0.2">
      <c r="A369" s="13"/>
    </row>
    <row r="370" spans="1:1" x14ac:dyDescent="0.2">
      <c r="A370" s="13"/>
    </row>
    <row r="371" spans="1:1" x14ac:dyDescent="0.2">
      <c r="A371" s="13"/>
    </row>
    <row r="372" spans="1:1" x14ac:dyDescent="0.2">
      <c r="A372" s="13"/>
    </row>
    <row r="373" spans="1:1" x14ac:dyDescent="0.2">
      <c r="A373" s="13"/>
    </row>
    <row r="374" spans="1:1" x14ac:dyDescent="0.2">
      <c r="A374" s="13"/>
    </row>
    <row r="375" spans="1:1" x14ac:dyDescent="0.2">
      <c r="A375" s="13"/>
    </row>
    <row r="376" spans="1:1" x14ac:dyDescent="0.2">
      <c r="A376" s="13"/>
    </row>
    <row r="377" spans="1:1" x14ac:dyDescent="0.2">
      <c r="A377" s="13"/>
    </row>
    <row r="378" spans="1:1" x14ac:dyDescent="0.2">
      <c r="A378" s="13"/>
    </row>
    <row r="379" spans="1:1" x14ac:dyDescent="0.2">
      <c r="A379" s="13"/>
    </row>
    <row r="380" spans="1:1" x14ac:dyDescent="0.2">
      <c r="A380" s="13"/>
    </row>
    <row r="381" spans="1:1" x14ac:dyDescent="0.2">
      <c r="A381" s="13"/>
    </row>
    <row r="382" spans="1:1" x14ac:dyDescent="0.2">
      <c r="A382" s="13"/>
    </row>
    <row r="383" spans="1:1" x14ac:dyDescent="0.2">
      <c r="A383" s="13"/>
    </row>
    <row r="384" spans="1:1" x14ac:dyDescent="0.2">
      <c r="A384" s="13"/>
    </row>
    <row r="385" spans="1:1" x14ac:dyDescent="0.2">
      <c r="A385" s="13"/>
    </row>
    <row r="386" spans="1:1" x14ac:dyDescent="0.2">
      <c r="A386" s="13"/>
    </row>
    <row r="387" spans="1:1" x14ac:dyDescent="0.2">
      <c r="A387" s="13"/>
    </row>
    <row r="388" spans="1:1" x14ac:dyDescent="0.2">
      <c r="A388" s="13"/>
    </row>
    <row r="389" spans="1:1" x14ac:dyDescent="0.2">
      <c r="A389" s="13"/>
    </row>
    <row r="390" spans="1:1" x14ac:dyDescent="0.2">
      <c r="A390" s="13"/>
    </row>
    <row r="391" spans="1:1" x14ac:dyDescent="0.2">
      <c r="A391" s="13"/>
    </row>
    <row r="392" spans="1:1" x14ac:dyDescent="0.2">
      <c r="A392" s="13"/>
    </row>
    <row r="393" spans="1:1" x14ac:dyDescent="0.2">
      <c r="A393" s="13"/>
    </row>
    <row r="394" spans="1:1" x14ac:dyDescent="0.2">
      <c r="A394" s="13"/>
    </row>
    <row r="395" spans="1:1" x14ac:dyDescent="0.2">
      <c r="A395" s="13"/>
    </row>
    <row r="396" spans="1:1" x14ac:dyDescent="0.2">
      <c r="A396" s="13"/>
    </row>
    <row r="397" spans="1:1" x14ac:dyDescent="0.2">
      <c r="A397" s="13"/>
    </row>
    <row r="398" spans="1:1" x14ac:dyDescent="0.2">
      <c r="A398" s="13"/>
    </row>
    <row r="399" spans="1:1" x14ac:dyDescent="0.2">
      <c r="A399" s="13"/>
    </row>
    <row r="400" spans="1:1" x14ac:dyDescent="0.2">
      <c r="A400" s="13"/>
    </row>
    <row r="401" spans="1:1" x14ac:dyDescent="0.2">
      <c r="A401" s="13"/>
    </row>
    <row r="402" spans="1:1" x14ac:dyDescent="0.2">
      <c r="A402" s="13"/>
    </row>
    <row r="403" spans="1:1" x14ac:dyDescent="0.2">
      <c r="A403" s="13"/>
    </row>
    <row r="404" spans="1:1" x14ac:dyDescent="0.2">
      <c r="A404" s="13"/>
    </row>
    <row r="405" spans="1:1" x14ac:dyDescent="0.2">
      <c r="A405" s="13"/>
    </row>
    <row r="406" spans="1:1" x14ac:dyDescent="0.2">
      <c r="A406" s="13"/>
    </row>
    <row r="407" spans="1:1" x14ac:dyDescent="0.2">
      <c r="A407" s="13"/>
    </row>
    <row r="408" spans="1:1" x14ac:dyDescent="0.2">
      <c r="A408" s="13"/>
    </row>
    <row r="409" spans="1:1" x14ac:dyDescent="0.2">
      <c r="A409" s="13"/>
    </row>
    <row r="410" spans="1:1" x14ac:dyDescent="0.2">
      <c r="A410" s="13"/>
    </row>
    <row r="411" spans="1:1" x14ac:dyDescent="0.2">
      <c r="A411" s="13"/>
    </row>
    <row r="412" spans="1:1" x14ac:dyDescent="0.2">
      <c r="A412" s="13"/>
    </row>
    <row r="413" spans="1:1" x14ac:dyDescent="0.2">
      <c r="A413" s="13"/>
    </row>
    <row r="414" spans="1:1" x14ac:dyDescent="0.2">
      <c r="A414" s="13"/>
    </row>
    <row r="415" spans="1:1" x14ac:dyDescent="0.2">
      <c r="A415" s="13"/>
    </row>
    <row r="416" spans="1:1" x14ac:dyDescent="0.2">
      <c r="A416" s="13"/>
    </row>
    <row r="417" spans="1:1" x14ac:dyDescent="0.2">
      <c r="A417" s="13"/>
    </row>
    <row r="418" spans="1:1" x14ac:dyDescent="0.2">
      <c r="A418" s="13"/>
    </row>
    <row r="419" spans="1:1" x14ac:dyDescent="0.2">
      <c r="A419" s="13"/>
    </row>
    <row r="420" spans="1:1" x14ac:dyDescent="0.2">
      <c r="A420" s="13"/>
    </row>
    <row r="421" spans="1:1" x14ac:dyDescent="0.2">
      <c r="A421" s="13"/>
    </row>
    <row r="422" spans="1:1" x14ac:dyDescent="0.2">
      <c r="A422" s="13"/>
    </row>
    <row r="423" spans="1:1" x14ac:dyDescent="0.2">
      <c r="A423" s="13"/>
    </row>
    <row r="424" spans="1:1" x14ac:dyDescent="0.2">
      <c r="A424" s="13"/>
    </row>
    <row r="425" spans="1:1" x14ac:dyDescent="0.2">
      <c r="A425" s="13"/>
    </row>
    <row r="426" spans="1:1" x14ac:dyDescent="0.2">
      <c r="A426" s="13"/>
    </row>
    <row r="427" spans="1:1" x14ac:dyDescent="0.2">
      <c r="A427" s="13"/>
    </row>
    <row r="428" spans="1:1" x14ac:dyDescent="0.2">
      <c r="A428" s="13"/>
    </row>
    <row r="429" spans="1:1" x14ac:dyDescent="0.2">
      <c r="A429" s="13"/>
    </row>
    <row r="430" spans="1:1" x14ac:dyDescent="0.2">
      <c r="A430" s="13"/>
    </row>
    <row r="431" spans="1:1" x14ac:dyDescent="0.2">
      <c r="A431" s="13"/>
    </row>
    <row r="432" spans="1:1" x14ac:dyDescent="0.2">
      <c r="A432" s="13"/>
    </row>
    <row r="433" spans="1:1" x14ac:dyDescent="0.2">
      <c r="A433" s="13"/>
    </row>
    <row r="434" spans="1:1" x14ac:dyDescent="0.2">
      <c r="A434" s="13"/>
    </row>
    <row r="435" spans="1:1" x14ac:dyDescent="0.2">
      <c r="A435" s="13"/>
    </row>
    <row r="436" spans="1:1" x14ac:dyDescent="0.2">
      <c r="A436" s="13"/>
    </row>
    <row r="437" spans="1:1" x14ac:dyDescent="0.2">
      <c r="A437" s="13"/>
    </row>
    <row r="438" spans="1:1" x14ac:dyDescent="0.2">
      <c r="A438" s="13"/>
    </row>
    <row r="439" spans="1:1" x14ac:dyDescent="0.2">
      <c r="A439" s="13"/>
    </row>
    <row r="440" spans="1:1" x14ac:dyDescent="0.2">
      <c r="A440" s="13"/>
    </row>
    <row r="441" spans="1:1" x14ac:dyDescent="0.2">
      <c r="A441" s="13"/>
    </row>
    <row r="442" spans="1:1" x14ac:dyDescent="0.2">
      <c r="A442" s="13"/>
    </row>
    <row r="443" spans="1:1" x14ac:dyDescent="0.2">
      <c r="A443" s="13"/>
    </row>
    <row r="444" spans="1:1" x14ac:dyDescent="0.2">
      <c r="A444" s="13"/>
    </row>
    <row r="445" spans="1:1" x14ac:dyDescent="0.2">
      <c r="A445" s="13"/>
    </row>
    <row r="446" spans="1:1" x14ac:dyDescent="0.2">
      <c r="A446" s="13"/>
    </row>
    <row r="447" spans="1:1" x14ac:dyDescent="0.2">
      <c r="A447" s="13"/>
    </row>
    <row r="448" spans="1:1" x14ac:dyDescent="0.2">
      <c r="A448" s="13"/>
    </row>
    <row r="449" spans="1:1" x14ac:dyDescent="0.2">
      <c r="A449" s="13"/>
    </row>
    <row r="450" spans="1:1" x14ac:dyDescent="0.2">
      <c r="A450" s="13"/>
    </row>
    <row r="451" spans="1:1" x14ac:dyDescent="0.2">
      <c r="A451" s="13"/>
    </row>
    <row r="452" spans="1:1" x14ac:dyDescent="0.2">
      <c r="A452" s="13"/>
    </row>
    <row r="453" spans="1:1" x14ac:dyDescent="0.2">
      <c r="A453" s="13"/>
    </row>
    <row r="454" spans="1:1" x14ac:dyDescent="0.2">
      <c r="A454" s="13"/>
    </row>
    <row r="455" spans="1:1" x14ac:dyDescent="0.2">
      <c r="A455" s="13"/>
    </row>
    <row r="456" spans="1:1" x14ac:dyDescent="0.2">
      <c r="A456" s="13"/>
    </row>
    <row r="457" spans="1:1" x14ac:dyDescent="0.2">
      <c r="A457" s="13"/>
    </row>
    <row r="458" spans="1:1" x14ac:dyDescent="0.2">
      <c r="A458" s="13"/>
    </row>
    <row r="459" spans="1:1" x14ac:dyDescent="0.2">
      <c r="A459" s="13"/>
    </row>
    <row r="460" spans="1:1" x14ac:dyDescent="0.2">
      <c r="A460" s="13"/>
    </row>
    <row r="461" spans="1:1" x14ac:dyDescent="0.2">
      <c r="A461" s="13"/>
    </row>
    <row r="462" spans="1:1" x14ac:dyDescent="0.2">
      <c r="A462" s="13"/>
    </row>
    <row r="463" spans="1:1" x14ac:dyDescent="0.2">
      <c r="A463" s="13"/>
    </row>
    <row r="464" spans="1:1" x14ac:dyDescent="0.2">
      <c r="A464" s="13"/>
    </row>
    <row r="465" spans="1:1" x14ac:dyDescent="0.2">
      <c r="A465" s="13"/>
    </row>
    <row r="466" spans="1:1" x14ac:dyDescent="0.2">
      <c r="A466" s="13"/>
    </row>
    <row r="467" spans="1:1" x14ac:dyDescent="0.2">
      <c r="A467" s="13"/>
    </row>
    <row r="468" spans="1:1" x14ac:dyDescent="0.2">
      <c r="A468" s="13"/>
    </row>
    <row r="469" spans="1:1" x14ac:dyDescent="0.2">
      <c r="A469" s="13"/>
    </row>
    <row r="470" spans="1:1" x14ac:dyDescent="0.2">
      <c r="A470" s="13"/>
    </row>
    <row r="471" spans="1:1" x14ac:dyDescent="0.2">
      <c r="A471" s="13"/>
    </row>
    <row r="472" spans="1:1" x14ac:dyDescent="0.2">
      <c r="A472" s="13"/>
    </row>
    <row r="473" spans="1:1" x14ac:dyDescent="0.2">
      <c r="A473" s="13"/>
    </row>
    <row r="474" spans="1:1" x14ac:dyDescent="0.2">
      <c r="A474" s="13"/>
    </row>
    <row r="475" spans="1:1" x14ac:dyDescent="0.2">
      <c r="A475" s="13"/>
    </row>
    <row r="476" spans="1:1" x14ac:dyDescent="0.2">
      <c r="A476" s="13"/>
    </row>
    <row r="477" spans="1:1" x14ac:dyDescent="0.2">
      <c r="A477" s="13"/>
    </row>
    <row r="478" spans="1:1" x14ac:dyDescent="0.2">
      <c r="A478" s="13"/>
    </row>
    <row r="479" spans="1:1" x14ac:dyDescent="0.2">
      <c r="A479" s="13"/>
    </row>
    <row r="480" spans="1:1" x14ac:dyDescent="0.2">
      <c r="A480" s="13"/>
    </row>
    <row r="481" spans="1:1" x14ac:dyDescent="0.2">
      <c r="A481" s="13"/>
    </row>
    <row r="482" spans="1:1" x14ac:dyDescent="0.2">
      <c r="A482" s="13"/>
    </row>
    <row r="483" spans="1:1" x14ac:dyDescent="0.2">
      <c r="A483" s="13"/>
    </row>
    <row r="484" spans="1:1" x14ac:dyDescent="0.2">
      <c r="A484" s="13"/>
    </row>
    <row r="485" spans="1:1" x14ac:dyDescent="0.2">
      <c r="A485" s="13"/>
    </row>
    <row r="486" spans="1:1" x14ac:dyDescent="0.2">
      <c r="A486" s="13"/>
    </row>
    <row r="487" spans="1:1" x14ac:dyDescent="0.2">
      <c r="A487" s="13"/>
    </row>
    <row r="488" spans="1:1" x14ac:dyDescent="0.2">
      <c r="A488" s="13"/>
    </row>
    <row r="489" spans="1:1" x14ac:dyDescent="0.2">
      <c r="A489" s="13"/>
    </row>
    <row r="490" spans="1:1" x14ac:dyDescent="0.2">
      <c r="A490" s="13"/>
    </row>
    <row r="491" spans="1:1" x14ac:dyDescent="0.2">
      <c r="A491" s="13"/>
    </row>
    <row r="492" spans="1:1" x14ac:dyDescent="0.2">
      <c r="A492" s="13"/>
    </row>
    <row r="493" spans="1:1" x14ac:dyDescent="0.2">
      <c r="A493" s="13"/>
    </row>
    <row r="494" spans="1:1" x14ac:dyDescent="0.2">
      <c r="A494" s="13"/>
    </row>
    <row r="495" spans="1:1" x14ac:dyDescent="0.2">
      <c r="A495" s="13"/>
    </row>
    <row r="496" spans="1:1" x14ac:dyDescent="0.2">
      <c r="A496" s="13"/>
    </row>
    <row r="497" spans="1:1" x14ac:dyDescent="0.2">
      <c r="A497" s="13"/>
    </row>
    <row r="498" spans="1:1" x14ac:dyDescent="0.2">
      <c r="A498" s="13"/>
    </row>
    <row r="499" spans="1:1" x14ac:dyDescent="0.2">
      <c r="A499" s="13"/>
    </row>
    <row r="500" spans="1:1" x14ac:dyDescent="0.2">
      <c r="A500" s="13"/>
    </row>
    <row r="501" spans="1:1" x14ac:dyDescent="0.2">
      <c r="A501" s="13"/>
    </row>
    <row r="502" spans="1:1" x14ac:dyDescent="0.2">
      <c r="A502" s="13"/>
    </row>
    <row r="503" spans="1:1" x14ac:dyDescent="0.2">
      <c r="A503" s="13"/>
    </row>
    <row r="504" spans="1:1" x14ac:dyDescent="0.2">
      <c r="A504" s="13"/>
    </row>
    <row r="505" spans="1:1" x14ac:dyDescent="0.2">
      <c r="A505" s="13"/>
    </row>
    <row r="506" spans="1:1" x14ac:dyDescent="0.2">
      <c r="A506" s="13"/>
    </row>
    <row r="507" spans="1:1" x14ac:dyDescent="0.2">
      <c r="A507" s="13"/>
    </row>
    <row r="508" spans="1:1" x14ac:dyDescent="0.2">
      <c r="A508" s="13"/>
    </row>
    <row r="509" spans="1:1" x14ac:dyDescent="0.2">
      <c r="A509" s="13"/>
    </row>
    <row r="510" spans="1:1" x14ac:dyDescent="0.2">
      <c r="A510" s="13"/>
    </row>
    <row r="511" spans="1:1" x14ac:dyDescent="0.2">
      <c r="A511" s="13"/>
    </row>
    <row r="512" spans="1:1" x14ac:dyDescent="0.2">
      <c r="A512" s="13"/>
    </row>
    <row r="513" spans="1:1" x14ac:dyDescent="0.2">
      <c r="A513" s="13"/>
    </row>
    <row r="514" spans="1:1" x14ac:dyDescent="0.2">
      <c r="A514" s="13"/>
    </row>
    <row r="515" spans="1:1" x14ac:dyDescent="0.2">
      <c r="A515" s="13"/>
    </row>
    <row r="516" spans="1:1" x14ac:dyDescent="0.2">
      <c r="A516" s="13"/>
    </row>
    <row r="517" spans="1:1" x14ac:dyDescent="0.2">
      <c r="A517" s="13"/>
    </row>
    <row r="518" spans="1:1" x14ac:dyDescent="0.2">
      <c r="A518" s="13"/>
    </row>
    <row r="519" spans="1:1" x14ac:dyDescent="0.2">
      <c r="A519" s="13"/>
    </row>
    <row r="520" spans="1:1" x14ac:dyDescent="0.2">
      <c r="A520" s="13"/>
    </row>
    <row r="521" spans="1:1" x14ac:dyDescent="0.2">
      <c r="A521" s="13"/>
    </row>
    <row r="522" spans="1:1" x14ac:dyDescent="0.2">
      <c r="A522" s="13"/>
    </row>
    <row r="523" spans="1:1" x14ac:dyDescent="0.2">
      <c r="A523" s="13"/>
    </row>
    <row r="524" spans="1:1" x14ac:dyDescent="0.2">
      <c r="A524" s="13"/>
    </row>
    <row r="525" spans="1:1" x14ac:dyDescent="0.2">
      <c r="A525" s="13"/>
    </row>
    <row r="526" spans="1:1" x14ac:dyDescent="0.2">
      <c r="A526" s="13"/>
    </row>
    <row r="527" spans="1:1" x14ac:dyDescent="0.2">
      <c r="A527" s="13"/>
    </row>
    <row r="528" spans="1:1" x14ac:dyDescent="0.2">
      <c r="A528" s="13"/>
    </row>
    <row r="529" spans="1:1" x14ac:dyDescent="0.2">
      <c r="A529" s="13"/>
    </row>
    <row r="530" spans="1:1" x14ac:dyDescent="0.2">
      <c r="A530" s="13"/>
    </row>
    <row r="531" spans="1:1" x14ac:dyDescent="0.2">
      <c r="A531" s="13"/>
    </row>
    <row r="532" spans="1:1" x14ac:dyDescent="0.2">
      <c r="A532" s="13"/>
    </row>
    <row r="533" spans="1:1" x14ac:dyDescent="0.2">
      <c r="A533" s="13"/>
    </row>
    <row r="534" spans="1:1" x14ac:dyDescent="0.2">
      <c r="A534" s="13"/>
    </row>
    <row r="535" spans="1:1" x14ac:dyDescent="0.2">
      <c r="A535" s="13"/>
    </row>
    <row r="536" spans="1:1" x14ac:dyDescent="0.2">
      <c r="A536" s="13"/>
    </row>
    <row r="537" spans="1:1" x14ac:dyDescent="0.2">
      <c r="A537" s="13"/>
    </row>
    <row r="538" spans="1:1" x14ac:dyDescent="0.2">
      <c r="A538" s="13"/>
    </row>
    <row r="539" spans="1:1" x14ac:dyDescent="0.2">
      <c r="A539" s="13"/>
    </row>
    <row r="540" spans="1:1" x14ac:dyDescent="0.2">
      <c r="A540" s="13"/>
    </row>
    <row r="541" spans="1:1" x14ac:dyDescent="0.2">
      <c r="A541" s="13"/>
    </row>
    <row r="542" spans="1:1" x14ac:dyDescent="0.2">
      <c r="A542" s="13"/>
    </row>
    <row r="543" spans="1:1" x14ac:dyDescent="0.2">
      <c r="A543" s="13"/>
    </row>
    <row r="544" spans="1:1" x14ac:dyDescent="0.2">
      <c r="A544" s="13"/>
    </row>
    <row r="545" spans="1:1" x14ac:dyDescent="0.2">
      <c r="A545" s="13"/>
    </row>
    <row r="546" spans="1:1" x14ac:dyDescent="0.2">
      <c r="A546" s="13"/>
    </row>
    <row r="547" spans="1:1" x14ac:dyDescent="0.2">
      <c r="A547" s="13"/>
    </row>
    <row r="548" spans="1:1" x14ac:dyDescent="0.2">
      <c r="A548" s="13"/>
    </row>
    <row r="549" spans="1:1" x14ac:dyDescent="0.2">
      <c r="A549" s="13"/>
    </row>
    <row r="550" spans="1:1" x14ac:dyDescent="0.2">
      <c r="A550" s="13"/>
    </row>
    <row r="551" spans="1:1" x14ac:dyDescent="0.2">
      <c r="A551" s="13"/>
    </row>
    <row r="552" spans="1:1" x14ac:dyDescent="0.2">
      <c r="A552" s="13"/>
    </row>
    <row r="553" spans="1:1" x14ac:dyDescent="0.2">
      <c r="A553" s="13"/>
    </row>
    <row r="554" spans="1:1" x14ac:dyDescent="0.2">
      <c r="A554" s="13"/>
    </row>
    <row r="555" spans="1:1" x14ac:dyDescent="0.2">
      <c r="A555" s="13"/>
    </row>
    <row r="556" spans="1:1" x14ac:dyDescent="0.2">
      <c r="A556" s="13"/>
    </row>
    <row r="557" spans="1:1" x14ac:dyDescent="0.2">
      <c r="A557" s="13"/>
    </row>
    <row r="558" spans="1:1" x14ac:dyDescent="0.2">
      <c r="A558" s="13"/>
    </row>
    <row r="559" spans="1:1" x14ac:dyDescent="0.2">
      <c r="A559" s="13"/>
    </row>
    <row r="560" spans="1:1" x14ac:dyDescent="0.2">
      <c r="A560" s="13"/>
    </row>
    <row r="561" spans="1:1" x14ac:dyDescent="0.2">
      <c r="A561" s="13"/>
    </row>
    <row r="562" spans="1:1" x14ac:dyDescent="0.2">
      <c r="A562" s="13"/>
    </row>
    <row r="563" spans="1:1" x14ac:dyDescent="0.2">
      <c r="A563" s="13"/>
    </row>
    <row r="564" spans="1:1" x14ac:dyDescent="0.2">
      <c r="A564" s="13"/>
    </row>
    <row r="565" spans="1:1" x14ac:dyDescent="0.2">
      <c r="A565" s="13"/>
    </row>
    <row r="566" spans="1:1" x14ac:dyDescent="0.2">
      <c r="A566" s="13"/>
    </row>
    <row r="567" spans="1:1" x14ac:dyDescent="0.2">
      <c r="A567" s="13"/>
    </row>
    <row r="568" spans="1:1" x14ac:dyDescent="0.2">
      <c r="A568" s="13"/>
    </row>
    <row r="569" spans="1:1" x14ac:dyDescent="0.2">
      <c r="A569" s="13"/>
    </row>
    <row r="570" spans="1:1" x14ac:dyDescent="0.2">
      <c r="A570" s="13"/>
    </row>
    <row r="571" spans="1:1" x14ac:dyDescent="0.2">
      <c r="A571" s="13"/>
    </row>
    <row r="572" spans="1:1" x14ac:dyDescent="0.2">
      <c r="A572" s="13"/>
    </row>
    <row r="573" spans="1:1" x14ac:dyDescent="0.2">
      <c r="A573" s="13"/>
    </row>
    <row r="574" spans="1:1" x14ac:dyDescent="0.2">
      <c r="A574" s="13"/>
    </row>
    <row r="575" spans="1:1" x14ac:dyDescent="0.2">
      <c r="A575" s="13"/>
    </row>
    <row r="576" spans="1:1" x14ac:dyDescent="0.2">
      <c r="A576" s="13"/>
    </row>
    <row r="577" spans="1:1" x14ac:dyDescent="0.2">
      <c r="A577" s="13"/>
    </row>
    <row r="578" spans="1:1" x14ac:dyDescent="0.2">
      <c r="A578" s="13"/>
    </row>
    <row r="579" spans="1:1" x14ac:dyDescent="0.2">
      <c r="A579" s="13"/>
    </row>
    <row r="580" spans="1:1" x14ac:dyDescent="0.2">
      <c r="A580" s="13"/>
    </row>
    <row r="581" spans="1:1" x14ac:dyDescent="0.2">
      <c r="A581" s="13"/>
    </row>
    <row r="582" spans="1:1" x14ac:dyDescent="0.2">
      <c r="A582" s="13"/>
    </row>
    <row r="583" spans="1:1" x14ac:dyDescent="0.2">
      <c r="A583" s="13"/>
    </row>
    <row r="584" spans="1:1" x14ac:dyDescent="0.2">
      <c r="A584" s="13"/>
    </row>
    <row r="585" spans="1:1" x14ac:dyDescent="0.2">
      <c r="A585" s="13"/>
    </row>
    <row r="586" spans="1:1" x14ac:dyDescent="0.2">
      <c r="A586" s="13"/>
    </row>
    <row r="587" spans="1:1" x14ac:dyDescent="0.2">
      <c r="A587" s="13"/>
    </row>
    <row r="588" spans="1:1" x14ac:dyDescent="0.2">
      <c r="A588" s="13"/>
    </row>
    <row r="589" spans="1:1" x14ac:dyDescent="0.2">
      <c r="A589" s="13"/>
    </row>
    <row r="590" spans="1:1" x14ac:dyDescent="0.2">
      <c r="A590" s="13"/>
    </row>
    <row r="591" spans="1:1" x14ac:dyDescent="0.2">
      <c r="A591" s="13"/>
    </row>
    <row r="592" spans="1:1" x14ac:dyDescent="0.2">
      <c r="A592" s="13"/>
    </row>
    <row r="593" spans="1:1" x14ac:dyDescent="0.2">
      <c r="A593" s="13"/>
    </row>
    <row r="594" spans="1:1" x14ac:dyDescent="0.2">
      <c r="A594" s="13"/>
    </row>
    <row r="595" spans="1:1" x14ac:dyDescent="0.2">
      <c r="A595" s="13"/>
    </row>
    <row r="596" spans="1:1" x14ac:dyDescent="0.2">
      <c r="A596" s="13"/>
    </row>
    <row r="597" spans="1:1" x14ac:dyDescent="0.2">
      <c r="A597" s="13"/>
    </row>
    <row r="598" spans="1:1" x14ac:dyDescent="0.2">
      <c r="A598" s="13"/>
    </row>
    <row r="599" spans="1:1" x14ac:dyDescent="0.2">
      <c r="A599" s="13"/>
    </row>
    <row r="600" spans="1:1" x14ac:dyDescent="0.2">
      <c r="A600" s="13"/>
    </row>
    <row r="601" spans="1:1" x14ac:dyDescent="0.2">
      <c r="A601" s="13"/>
    </row>
    <row r="602" spans="1:1" x14ac:dyDescent="0.2">
      <c r="A602" s="13"/>
    </row>
    <row r="603" spans="1:1" x14ac:dyDescent="0.2">
      <c r="A603" s="13"/>
    </row>
    <row r="604" spans="1:1" x14ac:dyDescent="0.2">
      <c r="A604" s="13"/>
    </row>
    <row r="605" spans="1:1" x14ac:dyDescent="0.2">
      <c r="A605" s="13"/>
    </row>
    <row r="606" spans="1:1" x14ac:dyDescent="0.2">
      <c r="A606" s="13"/>
    </row>
    <row r="607" spans="1:1" x14ac:dyDescent="0.2">
      <c r="A607" s="13"/>
    </row>
    <row r="608" spans="1:1" x14ac:dyDescent="0.2">
      <c r="A608" s="13"/>
    </row>
    <row r="609" spans="1:1" x14ac:dyDescent="0.2">
      <c r="A609" s="13"/>
    </row>
    <row r="610" spans="1:1" x14ac:dyDescent="0.2">
      <c r="A610" s="13"/>
    </row>
    <row r="611" spans="1:1" x14ac:dyDescent="0.2">
      <c r="A611" s="13"/>
    </row>
    <row r="612" spans="1:1" x14ac:dyDescent="0.2">
      <c r="A612" s="13"/>
    </row>
    <row r="613" spans="1:1" x14ac:dyDescent="0.2">
      <c r="A613" s="13"/>
    </row>
    <row r="614" spans="1:1" x14ac:dyDescent="0.2">
      <c r="A614" s="13"/>
    </row>
    <row r="615" spans="1:1" x14ac:dyDescent="0.2">
      <c r="A615" s="13"/>
    </row>
    <row r="616" spans="1:1" x14ac:dyDescent="0.2">
      <c r="A616" s="13"/>
    </row>
    <row r="617" spans="1:1" x14ac:dyDescent="0.2">
      <c r="A617" s="13"/>
    </row>
    <row r="618" spans="1:1" x14ac:dyDescent="0.2">
      <c r="A618" s="13"/>
    </row>
    <row r="619" spans="1:1" x14ac:dyDescent="0.2">
      <c r="A619" s="13"/>
    </row>
    <row r="620" spans="1:1" x14ac:dyDescent="0.2">
      <c r="A620" s="13"/>
    </row>
    <row r="621" spans="1:1" x14ac:dyDescent="0.2">
      <c r="A621" s="13"/>
    </row>
    <row r="622" spans="1:1" x14ac:dyDescent="0.2">
      <c r="A622" s="13"/>
    </row>
    <row r="623" spans="1:1" x14ac:dyDescent="0.2">
      <c r="A623" s="13"/>
    </row>
    <row r="624" spans="1:1" x14ac:dyDescent="0.2">
      <c r="A624" s="13"/>
    </row>
    <row r="625" spans="1:1" x14ac:dyDescent="0.2">
      <c r="A625" s="13"/>
    </row>
    <row r="626" spans="1:1" x14ac:dyDescent="0.2">
      <c r="A626" s="13"/>
    </row>
    <row r="627" spans="1:1" x14ac:dyDescent="0.2">
      <c r="A627" s="13"/>
    </row>
    <row r="628" spans="1:1" x14ac:dyDescent="0.2">
      <c r="A628" s="13"/>
    </row>
    <row r="629" spans="1:1" x14ac:dyDescent="0.2">
      <c r="A629" s="13"/>
    </row>
    <row r="630" spans="1:1" x14ac:dyDescent="0.2">
      <c r="A630" s="13"/>
    </row>
    <row r="631" spans="1:1" x14ac:dyDescent="0.2">
      <c r="A631" s="13"/>
    </row>
    <row r="632" spans="1:1" x14ac:dyDescent="0.2">
      <c r="A632" s="13"/>
    </row>
    <row r="633" spans="1:1" x14ac:dyDescent="0.2">
      <c r="A633" s="13"/>
    </row>
    <row r="634" spans="1:1" x14ac:dyDescent="0.2">
      <c r="A634" s="13"/>
    </row>
    <row r="635" spans="1:1" x14ac:dyDescent="0.2">
      <c r="A635" s="13"/>
    </row>
    <row r="636" spans="1:1" x14ac:dyDescent="0.2">
      <c r="A636" s="13"/>
    </row>
    <row r="637" spans="1:1" x14ac:dyDescent="0.2">
      <c r="A637" s="13"/>
    </row>
    <row r="638" spans="1:1" x14ac:dyDescent="0.2">
      <c r="A638" s="13"/>
    </row>
    <row r="639" spans="1:1" x14ac:dyDescent="0.2">
      <c r="A639" s="13"/>
    </row>
    <row r="640" spans="1:1" x14ac:dyDescent="0.2">
      <c r="A640" s="13"/>
    </row>
    <row r="641" spans="1:1" x14ac:dyDescent="0.2">
      <c r="A641" s="13"/>
    </row>
    <row r="642" spans="1:1" x14ac:dyDescent="0.2">
      <c r="A642" s="13"/>
    </row>
    <row r="643" spans="1:1" x14ac:dyDescent="0.2">
      <c r="A643" s="13"/>
    </row>
    <row r="644" spans="1:1" x14ac:dyDescent="0.2">
      <c r="A644" s="13"/>
    </row>
    <row r="645" spans="1:1" x14ac:dyDescent="0.2">
      <c r="A645" s="13"/>
    </row>
    <row r="646" spans="1:1" x14ac:dyDescent="0.2">
      <c r="A646" s="13"/>
    </row>
    <row r="647" spans="1:1" x14ac:dyDescent="0.2">
      <c r="A647" s="13"/>
    </row>
    <row r="648" spans="1:1" x14ac:dyDescent="0.2">
      <c r="A648" s="13"/>
    </row>
    <row r="649" spans="1:1" x14ac:dyDescent="0.2">
      <c r="A649" s="13"/>
    </row>
    <row r="650" spans="1:1" x14ac:dyDescent="0.2">
      <c r="A650" s="13"/>
    </row>
    <row r="651" spans="1:1" x14ac:dyDescent="0.2">
      <c r="A651" s="13"/>
    </row>
    <row r="652" spans="1:1" x14ac:dyDescent="0.2">
      <c r="A652" s="13"/>
    </row>
    <row r="653" spans="1:1" x14ac:dyDescent="0.2">
      <c r="A653" s="13"/>
    </row>
    <row r="654" spans="1:1" x14ac:dyDescent="0.2">
      <c r="A654" s="13"/>
    </row>
    <row r="655" spans="1:1" x14ac:dyDescent="0.2">
      <c r="A655" s="13"/>
    </row>
    <row r="656" spans="1:1" x14ac:dyDescent="0.2">
      <c r="A656" s="13"/>
    </row>
    <row r="657" spans="1:1" x14ac:dyDescent="0.2">
      <c r="A657" s="13"/>
    </row>
    <row r="658" spans="1:1" x14ac:dyDescent="0.2">
      <c r="A658" s="13"/>
    </row>
    <row r="659" spans="1:1" x14ac:dyDescent="0.2">
      <c r="A659" s="13"/>
    </row>
    <row r="660" spans="1:1" x14ac:dyDescent="0.2">
      <c r="A660" s="13"/>
    </row>
    <row r="661" spans="1:1" x14ac:dyDescent="0.2">
      <c r="A661" s="13"/>
    </row>
    <row r="662" spans="1:1" x14ac:dyDescent="0.2">
      <c r="A662" s="13"/>
    </row>
    <row r="663" spans="1:1" x14ac:dyDescent="0.2">
      <c r="A663" s="13"/>
    </row>
    <row r="664" spans="1:1" x14ac:dyDescent="0.2">
      <c r="A664" s="13"/>
    </row>
    <row r="665" spans="1:1" x14ac:dyDescent="0.2">
      <c r="A665" s="13"/>
    </row>
    <row r="666" spans="1:1" x14ac:dyDescent="0.2">
      <c r="A666" s="13"/>
    </row>
    <row r="667" spans="1:1" x14ac:dyDescent="0.2">
      <c r="A667" s="13"/>
    </row>
    <row r="668" spans="1:1" x14ac:dyDescent="0.2">
      <c r="A668" s="13"/>
    </row>
    <row r="669" spans="1:1" x14ac:dyDescent="0.2">
      <c r="A669" s="13"/>
    </row>
    <row r="670" spans="1:1" x14ac:dyDescent="0.2">
      <c r="A670" s="13"/>
    </row>
    <row r="671" spans="1:1" x14ac:dyDescent="0.2">
      <c r="A671" s="13"/>
    </row>
    <row r="672" spans="1:1" x14ac:dyDescent="0.2">
      <c r="A672" s="13"/>
    </row>
    <row r="673" spans="1:1" x14ac:dyDescent="0.2">
      <c r="A673" s="13"/>
    </row>
    <row r="674" spans="1:1" x14ac:dyDescent="0.2">
      <c r="A674" s="13"/>
    </row>
    <row r="675" spans="1:1" x14ac:dyDescent="0.2">
      <c r="A675" s="13"/>
    </row>
    <row r="676" spans="1:1" x14ac:dyDescent="0.2">
      <c r="A676" s="13"/>
    </row>
    <row r="677" spans="1:1" x14ac:dyDescent="0.2">
      <c r="A677" s="13"/>
    </row>
    <row r="678" spans="1:1" x14ac:dyDescent="0.2">
      <c r="A678" s="13"/>
    </row>
    <row r="679" spans="1:1" x14ac:dyDescent="0.2">
      <c r="A679" s="13"/>
    </row>
    <row r="680" spans="1:1" x14ac:dyDescent="0.2">
      <c r="A680" s="13"/>
    </row>
    <row r="681" spans="1:1" x14ac:dyDescent="0.2">
      <c r="A681" s="13"/>
    </row>
    <row r="682" spans="1:1" x14ac:dyDescent="0.2">
      <c r="A682" s="13"/>
    </row>
    <row r="683" spans="1:1" x14ac:dyDescent="0.2">
      <c r="A683" s="13"/>
    </row>
    <row r="684" spans="1:1" x14ac:dyDescent="0.2">
      <c r="A684" s="13"/>
    </row>
    <row r="685" spans="1:1" x14ac:dyDescent="0.2">
      <c r="A685" s="13"/>
    </row>
    <row r="686" spans="1:1" x14ac:dyDescent="0.2">
      <c r="A686" s="13"/>
    </row>
    <row r="687" spans="1:1" x14ac:dyDescent="0.2">
      <c r="A687" s="13"/>
    </row>
    <row r="688" spans="1:1" x14ac:dyDescent="0.2">
      <c r="A688" s="13"/>
    </row>
    <row r="689" spans="1:1" x14ac:dyDescent="0.2">
      <c r="A689" s="13"/>
    </row>
    <row r="690" spans="1:1" x14ac:dyDescent="0.2">
      <c r="A690" s="13"/>
    </row>
    <row r="691" spans="1:1" x14ac:dyDescent="0.2">
      <c r="A691" s="13"/>
    </row>
    <row r="692" spans="1:1" x14ac:dyDescent="0.2">
      <c r="A692" s="13"/>
    </row>
    <row r="693" spans="1:1" x14ac:dyDescent="0.2">
      <c r="A693" s="13"/>
    </row>
    <row r="694" spans="1:1" x14ac:dyDescent="0.2">
      <c r="A694" s="13"/>
    </row>
    <row r="695" spans="1:1" x14ac:dyDescent="0.2">
      <c r="A695" s="13"/>
    </row>
    <row r="696" spans="1:1" x14ac:dyDescent="0.2">
      <c r="A696" s="13"/>
    </row>
    <row r="697" spans="1:1" x14ac:dyDescent="0.2">
      <c r="A697" s="13"/>
    </row>
    <row r="698" spans="1:1" x14ac:dyDescent="0.2">
      <c r="A698" s="13"/>
    </row>
    <row r="699" spans="1:1" x14ac:dyDescent="0.2">
      <c r="A699" s="13"/>
    </row>
    <row r="700" spans="1:1" x14ac:dyDescent="0.2">
      <c r="A700" s="13"/>
    </row>
    <row r="701" spans="1:1" x14ac:dyDescent="0.2">
      <c r="A701" s="13"/>
    </row>
    <row r="702" spans="1:1" x14ac:dyDescent="0.2">
      <c r="A702" s="13"/>
    </row>
    <row r="703" spans="1:1" x14ac:dyDescent="0.2">
      <c r="A703" s="13"/>
    </row>
    <row r="704" spans="1:1" x14ac:dyDescent="0.2">
      <c r="A704" s="13"/>
    </row>
    <row r="705" spans="1:1" x14ac:dyDescent="0.2">
      <c r="A705" s="13"/>
    </row>
    <row r="706" spans="1:1" x14ac:dyDescent="0.2">
      <c r="A706" s="13"/>
    </row>
    <row r="707" spans="1:1" x14ac:dyDescent="0.2">
      <c r="A707" s="13"/>
    </row>
    <row r="708" spans="1:1" x14ac:dyDescent="0.2">
      <c r="A708" s="13"/>
    </row>
    <row r="709" spans="1:1" x14ac:dyDescent="0.2">
      <c r="A709" s="13"/>
    </row>
    <row r="710" spans="1:1" x14ac:dyDescent="0.2">
      <c r="A710" s="13"/>
    </row>
    <row r="711" spans="1:1" x14ac:dyDescent="0.2">
      <c r="A711" s="13"/>
    </row>
    <row r="712" spans="1:1" x14ac:dyDescent="0.2">
      <c r="A712" s="13"/>
    </row>
    <row r="713" spans="1:1" x14ac:dyDescent="0.2">
      <c r="A713" s="13"/>
    </row>
    <row r="714" spans="1:1" x14ac:dyDescent="0.2">
      <c r="A714" s="13"/>
    </row>
    <row r="715" spans="1:1" x14ac:dyDescent="0.2">
      <c r="A715" s="13"/>
    </row>
    <row r="716" spans="1:1" x14ac:dyDescent="0.2">
      <c r="A716" s="13"/>
    </row>
    <row r="717" spans="1:1" x14ac:dyDescent="0.2">
      <c r="A717" s="13"/>
    </row>
    <row r="718" spans="1:1" x14ac:dyDescent="0.2">
      <c r="A718" s="13"/>
    </row>
    <row r="719" spans="1:1" x14ac:dyDescent="0.2">
      <c r="A719" s="13"/>
    </row>
    <row r="720" spans="1:1" x14ac:dyDescent="0.2">
      <c r="A720" s="13"/>
    </row>
    <row r="721" spans="1:1" x14ac:dyDescent="0.2">
      <c r="A721" s="13"/>
    </row>
    <row r="722" spans="1:1" x14ac:dyDescent="0.2">
      <c r="A722" s="13"/>
    </row>
    <row r="723" spans="1:1" x14ac:dyDescent="0.2">
      <c r="A723" s="13"/>
    </row>
    <row r="724" spans="1:1" x14ac:dyDescent="0.2">
      <c r="A724" s="13"/>
    </row>
    <row r="725" spans="1:1" x14ac:dyDescent="0.2">
      <c r="A725" s="13"/>
    </row>
    <row r="726" spans="1:1" x14ac:dyDescent="0.2">
      <c r="A726" s="13"/>
    </row>
    <row r="727" spans="1:1" x14ac:dyDescent="0.2">
      <c r="A727" s="13"/>
    </row>
    <row r="728" spans="1:1" x14ac:dyDescent="0.2">
      <c r="A728" s="13"/>
    </row>
    <row r="729" spans="1:1" x14ac:dyDescent="0.2">
      <c r="A729" s="13"/>
    </row>
    <row r="730" spans="1:1" x14ac:dyDescent="0.2">
      <c r="A730" s="13"/>
    </row>
    <row r="731" spans="1:1" x14ac:dyDescent="0.2">
      <c r="A731" s="13"/>
    </row>
    <row r="732" spans="1:1" x14ac:dyDescent="0.2">
      <c r="A732" s="13"/>
    </row>
    <row r="733" spans="1:1" x14ac:dyDescent="0.2">
      <c r="A733" s="13"/>
    </row>
    <row r="734" spans="1:1" x14ac:dyDescent="0.2">
      <c r="A734" s="13"/>
    </row>
    <row r="735" spans="1:1" x14ac:dyDescent="0.2">
      <c r="A735" s="13"/>
    </row>
    <row r="736" spans="1:1" x14ac:dyDescent="0.2">
      <c r="A736" s="13"/>
    </row>
    <row r="737" spans="1:1" x14ac:dyDescent="0.2">
      <c r="A737" s="13"/>
    </row>
    <row r="738" spans="1:1" x14ac:dyDescent="0.2">
      <c r="A738" s="13"/>
    </row>
    <row r="739" spans="1:1" x14ac:dyDescent="0.2">
      <c r="A739" s="13"/>
    </row>
    <row r="740" spans="1:1" x14ac:dyDescent="0.2">
      <c r="A740" s="13"/>
    </row>
    <row r="741" spans="1:1" x14ac:dyDescent="0.2">
      <c r="A741" s="13"/>
    </row>
    <row r="742" spans="1:1" x14ac:dyDescent="0.2">
      <c r="A742" s="13"/>
    </row>
    <row r="743" spans="1:1" x14ac:dyDescent="0.2">
      <c r="A743" s="13"/>
    </row>
    <row r="744" spans="1:1" x14ac:dyDescent="0.2">
      <c r="A744" s="13"/>
    </row>
    <row r="745" spans="1:1" x14ac:dyDescent="0.2">
      <c r="A745" s="13"/>
    </row>
    <row r="746" spans="1:1" x14ac:dyDescent="0.2">
      <c r="A746" s="13"/>
    </row>
    <row r="747" spans="1:1" x14ac:dyDescent="0.2">
      <c r="A747" s="13"/>
    </row>
    <row r="748" spans="1:1" x14ac:dyDescent="0.2">
      <c r="A748" s="13"/>
    </row>
    <row r="749" spans="1:1" x14ac:dyDescent="0.2">
      <c r="A749" s="13"/>
    </row>
    <row r="750" spans="1:1" x14ac:dyDescent="0.2">
      <c r="A750" s="13"/>
    </row>
    <row r="751" spans="1:1" x14ac:dyDescent="0.2">
      <c r="A751" s="13"/>
    </row>
    <row r="752" spans="1:1" x14ac:dyDescent="0.2">
      <c r="A752" s="13"/>
    </row>
    <row r="753" spans="1:1" x14ac:dyDescent="0.2">
      <c r="A753" s="13"/>
    </row>
    <row r="754" spans="1:1" x14ac:dyDescent="0.2">
      <c r="A754" s="13"/>
    </row>
    <row r="755" spans="1:1" x14ac:dyDescent="0.2">
      <c r="A755" s="13"/>
    </row>
    <row r="756" spans="1:1" x14ac:dyDescent="0.2">
      <c r="A756" s="13"/>
    </row>
    <row r="757" spans="1:1" x14ac:dyDescent="0.2">
      <c r="A757" s="13"/>
    </row>
    <row r="758" spans="1:1" x14ac:dyDescent="0.2">
      <c r="A758" s="13"/>
    </row>
    <row r="759" spans="1:1" x14ac:dyDescent="0.2">
      <c r="A759" s="13"/>
    </row>
    <row r="760" spans="1:1" x14ac:dyDescent="0.2">
      <c r="A760" s="13"/>
    </row>
    <row r="761" spans="1:1" x14ac:dyDescent="0.2">
      <c r="A761" s="13"/>
    </row>
    <row r="762" spans="1:1" x14ac:dyDescent="0.2">
      <c r="A762" s="13"/>
    </row>
    <row r="763" spans="1:1" x14ac:dyDescent="0.2">
      <c r="A763" s="13"/>
    </row>
    <row r="764" spans="1:1" x14ac:dyDescent="0.2">
      <c r="A764" s="13"/>
    </row>
    <row r="765" spans="1:1" x14ac:dyDescent="0.2">
      <c r="A765" s="13"/>
    </row>
    <row r="766" spans="1:1" x14ac:dyDescent="0.2">
      <c r="A766" s="13"/>
    </row>
    <row r="767" spans="1:1" x14ac:dyDescent="0.2">
      <c r="A767" s="13"/>
    </row>
    <row r="768" spans="1:1" x14ac:dyDescent="0.2">
      <c r="A768" s="13"/>
    </row>
    <row r="769" spans="1:1" x14ac:dyDescent="0.2">
      <c r="A769" s="13"/>
    </row>
    <row r="770" spans="1:1" x14ac:dyDescent="0.2">
      <c r="A770" s="13"/>
    </row>
    <row r="771" spans="1:1" x14ac:dyDescent="0.2">
      <c r="A771" s="13"/>
    </row>
    <row r="772" spans="1:1" x14ac:dyDescent="0.2">
      <c r="A772" s="13"/>
    </row>
    <row r="773" spans="1:1" x14ac:dyDescent="0.2">
      <c r="A773" s="13"/>
    </row>
    <row r="774" spans="1:1" x14ac:dyDescent="0.2">
      <c r="A774" s="13"/>
    </row>
    <row r="775" spans="1:1" x14ac:dyDescent="0.2">
      <c r="A775" s="13"/>
    </row>
    <row r="776" spans="1:1" x14ac:dyDescent="0.2">
      <c r="A776" s="13"/>
    </row>
    <row r="777" spans="1:1" x14ac:dyDescent="0.2">
      <c r="A777" s="13"/>
    </row>
    <row r="778" spans="1:1" x14ac:dyDescent="0.2">
      <c r="A778" s="13"/>
    </row>
    <row r="779" spans="1:1" x14ac:dyDescent="0.2">
      <c r="A779" s="13"/>
    </row>
    <row r="780" spans="1:1" x14ac:dyDescent="0.2">
      <c r="A780" s="13"/>
    </row>
    <row r="781" spans="1:1" x14ac:dyDescent="0.2">
      <c r="A781" s="13"/>
    </row>
    <row r="782" spans="1:1" x14ac:dyDescent="0.2">
      <c r="A782" s="13"/>
    </row>
    <row r="783" spans="1:1" x14ac:dyDescent="0.2">
      <c r="A783" s="13"/>
    </row>
    <row r="784" spans="1:1" x14ac:dyDescent="0.2">
      <c r="A784" s="13"/>
    </row>
    <row r="785" spans="1:1" x14ac:dyDescent="0.2">
      <c r="A785" s="13"/>
    </row>
    <row r="786" spans="1:1" x14ac:dyDescent="0.2">
      <c r="A786" s="13"/>
    </row>
    <row r="787" spans="1:1" x14ac:dyDescent="0.2">
      <c r="A787" s="13"/>
    </row>
    <row r="788" spans="1:1" x14ac:dyDescent="0.2">
      <c r="A788" s="13"/>
    </row>
    <row r="789" spans="1:1" x14ac:dyDescent="0.2">
      <c r="A789" s="13"/>
    </row>
    <row r="790" spans="1:1" x14ac:dyDescent="0.2">
      <c r="A790" s="13"/>
    </row>
    <row r="791" spans="1:1" x14ac:dyDescent="0.2">
      <c r="A791" s="13"/>
    </row>
    <row r="792" spans="1:1" x14ac:dyDescent="0.2">
      <c r="A792" s="13"/>
    </row>
    <row r="793" spans="1:1" x14ac:dyDescent="0.2">
      <c r="A793" s="13"/>
    </row>
    <row r="794" spans="1:1" x14ac:dyDescent="0.2">
      <c r="A794" s="13"/>
    </row>
    <row r="795" spans="1:1" x14ac:dyDescent="0.2">
      <c r="A795" s="13"/>
    </row>
    <row r="796" spans="1:1" x14ac:dyDescent="0.2">
      <c r="A796" s="13"/>
    </row>
    <row r="797" spans="1:1" x14ac:dyDescent="0.2">
      <c r="A797" s="13"/>
    </row>
    <row r="798" spans="1:1" x14ac:dyDescent="0.2">
      <c r="A798" s="13"/>
    </row>
    <row r="799" spans="1:1" x14ac:dyDescent="0.2">
      <c r="A799" s="13"/>
    </row>
    <row r="800" spans="1:1" x14ac:dyDescent="0.2">
      <c r="A800" s="13"/>
    </row>
    <row r="801" spans="1:1" x14ac:dyDescent="0.2">
      <c r="A801" s="13"/>
    </row>
    <row r="802" spans="1:1" x14ac:dyDescent="0.2">
      <c r="A802" s="13"/>
    </row>
    <row r="803" spans="1:1" x14ac:dyDescent="0.2">
      <c r="A803" s="13"/>
    </row>
    <row r="804" spans="1:1" x14ac:dyDescent="0.2">
      <c r="A804" s="13"/>
    </row>
    <row r="805" spans="1:1" x14ac:dyDescent="0.2">
      <c r="A805" s="13"/>
    </row>
    <row r="806" spans="1:1" x14ac:dyDescent="0.2">
      <c r="A806" s="13"/>
    </row>
    <row r="807" spans="1:1" x14ac:dyDescent="0.2">
      <c r="A807" s="13"/>
    </row>
    <row r="808" spans="1:1" x14ac:dyDescent="0.2">
      <c r="A808" s="13"/>
    </row>
    <row r="809" spans="1:1" x14ac:dyDescent="0.2">
      <c r="A809" s="13"/>
    </row>
    <row r="810" spans="1:1" x14ac:dyDescent="0.2">
      <c r="A810" s="13"/>
    </row>
    <row r="811" spans="1:1" x14ac:dyDescent="0.2">
      <c r="A811" s="13"/>
    </row>
    <row r="812" spans="1:1" x14ac:dyDescent="0.2">
      <c r="A812" s="13"/>
    </row>
    <row r="813" spans="1:1" x14ac:dyDescent="0.2">
      <c r="A813" s="13"/>
    </row>
    <row r="814" spans="1:1" x14ac:dyDescent="0.2">
      <c r="A814" s="13"/>
    </row>
    <row r="815" spans="1:1" x14ac:dyDescent="0.2">
      <c r="A815" s="13"/>
    </row>
    <row r="816" spans="1:1" x14ac:dyDescent="0.2">
      <c r="A816" s="13"/>
    </row>
    <row r="817" spans="1:1" x14ac:dyDescent="0.2">
      <c r="A817" s="13"/>
    </row>
    <row r="818" spans="1:1" x14ac:dyDescent="0.2">
      <c r="A818" s="13"/>
    </row>
    <row r="819" spans="1:1" x14ac:dyDescent="0.2">
      <c r="A819" s="13"/>
    </row>
    <row r="820" spans="1:1" x14ac:dyDescent="0.2">
      <c r="A820" s="13"/>
    </row>
    <row r="821" spans="1:1" x14ac:dyDescent="0.2">
      <c r="A821" s="13"/>
    </row>
    <row r="822" spans="1:1" x14ac:dyDescent="0.2">
      <c r="A822" s="13"/>
    </row>
    <row r="823" spans="1:1" x14ac:dyDescent="0.2">
      <c r="A823" s="13"/>
    </row>
    <row r="824" spans="1:1" x14ac:dyDescent="0.2">
      <c r="A824" s="13"/>
    </row>
    <row r="825" spans="1:1" x14ac:dyDescent="0.2">
      <c r="A825" s="13"/>
    </row>
    <row r="826" spans="1:1" x14ac:dyDescent="0.2">
      <c r="A826" s="13"/>
    </row>
    <row r="827" spans="1:1" x14ac:dyDescent="0.2">
      <c r="A827" s="13"/>
    </row>
    <row r="828" spans="1:1" x14ac:dyDescent="0.2">
      <c r="A828" s="13"/>
    </row>
    <row r="829" spans="1:1" x14ac:dyDescent="0.2">
      <c r="A829" s="13"/>
    </row>
    <row r="830" spans="1:1" x14ac:dyDescent="0.2">
      <c r="A830" s="13"/>
    </row>
    <row r="831" spans="1:1" x14ac:dyDescent="0.2">
      <c r="A831" s="13"/>
    </row>
    <row r="832" spans="1:1" x14ac:dyDescent="0.2">
      <c r="A832" s="13"/>
    </row>
    <row r="833" spans="1:1" x14ac:dyDescent="0.2">
      <c r="A833" s="13"/>
    </row>
    <row r="834" spans="1:1" x14ac:dyDescent="0.2">
      <c r="A834" s="13"/>
    </row>
    <row r="835" spans="1:1" x14ac:dyDescent="0.2">
      <c r="A835" s="13"/>
    </row>
    <row r="836" spans="1:1" x14ac:dyDescent="0.2">
      <c r="A836" s="13"/>
    </row>
    <row r="837" spans="1:1" x14ac:dyDescent="0.2">
      <c r="A837" s="13"/>
    </row>
    <row r="838" spans="1:1" x14ac:dyDescent="0.2">
      <c r="A838" s="13"/>
    </row>
    <row r="839" spans="1:1" x14ac:dyDescent="0.2">
      <c r="A839" s="13"/>
    </row>
    <row r="840" spans="1:1" x14ac:dyDescent="0.2">
      <c r="A840" s="13"/>
    </row>
    <row r="841" spans="1:1" x14ac:dyDescent="0.2">
      <c r="A841" s="13"/>
    </row>
    <row r="842" spans="1:1" x14ac:dyDescent="0.2">
      <c r="A842" s="13"/>
    </row>
    <row r="843" spans="1:1" x14ac:dyDescent="0.2">
      <c r="A843" s="13"/>
    </row>
    <row r="844" spans="1:1" x14ac:dyDescent="0.2">
      <c r="A844" s="13"/>
    </row>
    <row r="845" spans="1:1" x14ac:dyDescent="0.2">
      <c r="A845" s="13"/>
    </row>
    <row r="846" spans="1:1" x14ac:dyDescent="0.2">
      <c r="A846" s="13"/>
    </row>
    <row r="847" spans="1:1" x14ac:dyDescent="0.2">
      <c r="A847" s="13"/>
    </row>
    <row r="848" spans="1:1" x14ac:dyDescent="0.2">
      <c r="A848" s="13"/>
    </row>
    <row r="849" spans="1:1" x14ac:dyDescent="0.2">
      <c r="A849" s="13"/>
    </row>
    <row r="850" spans="1:1" x14ac:dyDescent="0.2">
      <c r="A850" s="13"/>
    </row>
    <row r="851" spans="1:1" x14ac:dyDescent="0.2">
      <c r="A851" s="13"/>
    </row>
    <row r="852" spans="1:1" x14ac:dyDescent="0.2">
      <c r="A852" s="13"/>
    </row>
    <row r="853" spans="1:1" x14ac:dyDescent="0.2">
      <c r="A853" s="13"/>
    </row>
    <row r="854" spans="1:1" x14ac:dyDescent="0.2">
      <c r="A854" s="13"/>
    </row>
    <row r="855" spans="1:1" x14ac:dyDescent="0.2">
      <c r="A855" s="13"/>
    </row>
    <row r="856" spans="1:1" x14ac:dyDescent="0.2">
      <c r="A856" s="13"/>
    </row>
    <row r="857" spans="1:1" x14ac:dyDescent="0.2">
      <c r="A857" s="13"/>
    </row>
    <row r="858" spans="1:1" x14ac:dyDescent="0.2">
      <c r="A858" s="13"/>
    </row>
    <row r="859" spans="1:1" x14ac:dyDescent="0.2">
      <c r="A859" s="13"/>
    </row>
    <row r="860" spans="1:1" x14ac:dyDescent="0.2">
      <c r="A860" s="13"/>
    </row>
    <row r="861" spans="1:1" x14ac:dyDescent="0.2">
      <c r="A861" s="13"/>
    </row>
    <row r="862" spans="1:1" x14ac:dyDescent="0.2">
      <c r="A862" s="13"/>
    </row>
    <row r="863" spans="1:1" x14ac:dyDescent="0.2">
      <c r="A863" s="13"/>
    </row>
    <row r="864" spans="1:1" x14ac:dyDescent="0.2">
      <c r="A864" s="13"/>
    </row>
    <row r="865" spans="1:1" x14ac:dyDescent="0.2">
      <c r="A865" s="13"/>
    </row>
    <row r="866" spans="1:1" x14ac:dyDescent="0.2">
      <c r="A866" s="13"/>
    </row>
    <row r="867" spans="1:1" x14ac:dyDescent="0.2">
      <c r="A867" s="13"/>
    </row>
    <row r="868" spans="1:1" x14ac:dyDescent="0.2">
      <c r="A868" s="13"/>
    </row>
    <row r="869" spans="1:1" x14ac:dyDescent="0.2">
      <c r="A869" s="13"/>
    </row>
    <row r="870" spans="1:1" x14ac:dyDescent="0.2">
      <c r="A870" s="13"/>
    </row>
    <row r="871" spans="1:1" x14ac:dyDescent="0.2">
      <c r="A871" s="13"/>
    </row>
    <row r="872" spans="1:1" x14ac:dyDescent="0.2">
      <c r="A872" s="13"/>
    </row>
    <row r="873" spans="1:1" x14ac:dyDescent="0.2">
      <c r="A873" s="13"/>
    </row>
    <row r="874" spans="1:1" x14ac:dyDescent="0.2">
      <c r="A874" s="13"/>
    </row>
    <row r="875" spans="1:1" x14ac:dyDescent="0.2">
      <c r="A875" s="13"/>
    </row>
    <row r="876" spans="1:1" x14ac:dyDescent="0.2">
      <c r="A876" s="13"/>
    </row>
    <row r="877" spans="1:1" x14ac:dyDescent="0.2">
      <c r="A877" s="13"/>
    </row>
    <row r="878" spans="1:1" x14ac:dyDescent="0.2">
      <c r="A878" s="13"/>
    </row>
    <row r="879" spans="1:1" x14ac:dyDescent="0.2">
      <c r="A879" s="13"/>
    </row>
    <row r="880" spans="1:1" x14ac:dyDescent="0.2">
      <c r="A880" s="13"/>
    </row>
    <row r="881" spans="1:1" x14ac:dyDescent="0.2">
      <c r="A881" s="13"/>
    </row>
    <row r="882" spans="1:1" x14ac:dyDescent="0.2">
      <c r="A882" s="13"/>
    </row>
    <row r="883" spans="1:1" x14ac:dyDescent="0.2">
      <c r="A883" s="13"/>
    </row>
    <row r="884" spans="1:1" x14ac:dyDescent="0.2">
      <c r="A884" s="13"/>
    </row>
    <row r="885" spans="1:1" x14ac:dyDescent="0.2">
      <c r="A885" s="13"/>
    </row>
    <row r="886" spans="1:1" x14ac:dyDescent="0.2">
      <c r="A886" s="13"/>
    </row>
    <row r="887" spans="1:1" x14ac:dyDescent="0.2">
      <c r="A887" s="13"/>
    </row>
    <row r="888" spans="1:1" x14ac:dyDescent="0.2">
      <c r="A888" s="13"/>
    </row>
    <row r="889" spans="1:1" x14ac:dyDescent="0.2">
      <c r="A889" s="13"/>
    </row>
    <row r="890" spans="1:1" x14ac:dyDescent="0.2">
      <c r="A890" s="13"/>
    </row>
    <row r="891" spans="1:1" x14ac:dyDescent="0.2">
      <c r="A891" s="13"/>
    </row>
    <row r="892" spans="1:1" x14ac:dyDescent="0.2">
      <c r="A892" s="13"/>
    </row>
    <row r="893" spans="1:1" x14ac:dyDescent="0.2">
      <c r="A893" s="13"/>
    </row>
    <row r="894" spans="1:1" x14ac:dyDescent="0.2">
      <c r="A894" s="13"/>
    </row>
    <row r="895" spans="1:1" x14ac:dyDescent="0.2">
      <c r="A895" s="13"/>
    </row>
    <row r="896" spans="1:1" x14ac:dyDescent="0.2">
      <c r="A896" s="13"/>
    </row>
    <row r="897" spans="1:1" x14ac:dyDescent="0.2">
      <c r="A897" s="13"/>
    </row>
    <row r="898" spans="1:1" x14ac:dyDescent="0.2">
      <c r="A898" s="13"/>
    </row>
    <row r="899" spans="1:1" x14ac:dyDescent="0.2">
      <c r="A899" s="13"/>
    </row>
    <row r="900" spans="1:1" x14ac:dyDescent="0.2">
      <c r="A900" s="13"/>
    </row>
    <row r="901" spans="1:1" x14ac:dyDescent="0.2">
      <c r="A901" s="13"/>
    </row>
    <row r="902" spans="1:1" x14ac:dyDescent="0.2">
      <c r="A902" s="13"/>
    </row>
    <row r="903" spans="1:1" x14ac:dyDescent="0.2">
      <c r="A903" s="13"/>
    </row>
    <row r="904" spans="1:1" x14ac:dyDescent="0.2">
      <c r="A904" s="13"/>
    </row>
    <row r="905" spans="1:1" x14ac:dyDescent="0.2">
      <c r="A905" s="13"/>
    </row>
    <row r="906" spans="1:1" x14ac:dyDescent="0.2">
      <c r="A906" s="13"/>
    </row>
    <row r="907" spans="1:1" x14ac:dyDescent="0.2">
      <c r="A907" s="13"/>
    </row>
    <row r="908" spans="1:1" x14ac:dyDescent="0.2">
      <c r="A908" s="13"/>
    </row>
    <row r="909" spans="1:1" x14ac:dyDescent="0.2">
      <c r="A909" s="13"/>
    </row>
    <row r="910" spans="1:1" x14ac:dyDescent="0.2">
      <c r="A910" s="13"/>
    </row>
    <row r="911" spans="1:1" x14ac:dyDescent="0.2">
      <c r="A911" s="13"/>
    </row>
    <row r="912" spans="1:1" x14ac:dyDescent="0.2">
      <c r="A912" s="13"/>
    </row>
    <row r="913" spans="1:1" x14ac:dyDescent="0.2">
      <c r="A913" s="13"/>
    </row>
    <row r="914" spans="1:1" x14ac:dyDescent="0.2">
      <c r="A914" s="13"/>
    </row>
    <row r="915" spans="1:1" x14ac:dyDescent="0.2">
      <c r="A915" s="13"/>
    </row>
    <row r="916" spans="1:1" x14ac:dyDescent="0.2">
      <c r="A916" s="13"/>
    </row>
    <row r="917" spans="1:1" x14ac:dyDescent="0.2">
      <c r="A917" s="13"/>
    </row>
    <row r="918" spans="1:1" x14ac:dyDescent="0.2">
      <c r="A918" s="13"/>
    </row>
    <row r="919" spans="1:1" x14ac:dyDescent="0.2">
      <c r="A919" s="13"/>
    </row>
    <row r="920" spans="1:1" x14ac:dyDescent="0.2">
      <c r="A920" s="13"/>
    </row>
    <row r="921" spans="1:1" x14ac:dyDescent="0.2">
      <c r="A921" s="13"/>
    </row>
    <row r="922" spans="1:1" x14ac:dyDescent="0.2">
      <c r="A922" s="13"/>
    </row>
    <row r="923" spans="1:1" x14ac:dyDescent="0.2">
      <c r="A923" s="13"/>
    </row>
    <row r="924" spans="1:1" x14ac:dyDescent="0.2">
      <c r="A924" s="13"/>
    </row>
    <row r="925" spans="1:1" x14ac:dyDescent="0.2">
      <c r="A925" s="13"/>
    </row>
    <row r="926" spans="1:1" x14ac:dyDescent="0.2">
      <c r="A926" s="13"/>
    </row>
    <row r="927" spans="1:1" x14ac:dyDescent="0.2">
      <c r="A927" s="13"/>
    </row>
    <row r="928" spans="1:1" x14ac:dyDescent="0.2">
      <c r="A928" s="13"/>
    </row>
    <row r="929" spans="1:1" x14ac:dyDescent="0.2">
      <c r="A929" s="13"/>
    </row>
    <row r="930" spans="1:1" x14ac:dyDescent="0.2">
      <c r="A930" s="13"/>
    </row>
    <row r="931" spans="1:1" x14ac:dyDescent="0.2">
      <c r="A931" s="13"/>
    </row>
    <row r="932" spans="1:1" x14ac:dyDescent="0.2">
      <c r="A932" s="13"/>
    </row>
    <row r="933" spans="1:1" x14ac:dyDescent="0.2">
      <c r="A933" s="13"/>
    </row>
    <row r="934" spans="1:1" x14ac:dyDescent="0.2">
      <c r="A934" s="13"/>
    </row>
    <row r="935" spans="1:1" x14ac:dyDescent="0.2">
      <c r="A935" s="13"/>
    </row>
    <row r="936" spans="1:1" x14ac:dyDescent="0.2">
      <c r="A936" s="13"/>
    </row>
    <row r="937" spans="1:1" x14ac:dyDescent="0.2">
      <c r="A937" s="13"/>
    </row>
    <row r="938" spans="1:1" x14ac:dyDescent="0.2">
      <c r="A938" s="13"/>
    </row>
    <row r="939" spans="1:1" x14ac:dyDescent="0.2">
      <c r="A939" s="13"/>
    </row>
    <row r="940" spans="1:1" x14ac:dyDescent="0.2">
      <c r="A940" s="13"/>
    </row>
    <row r="941" spans="1:1" x14ac:dyDescent="0.2">
      <c r="A941" s="13"/>
    </row>
    <row r="942" spans="1:1" x14ac:dyDescent="0.2">
      <c r="A942" s="13"/>
    </row>
    <row r="943" spans="1:1" x14ac:dyDescent="0.2">
      <c r="A943" s="13"/>
    </row>
    <row r="944" spans="1:1" x14ac:dyDescent="0.2">
      <c r="A944" s="13"/>
    </row>
    <row r="945" spans="1:1" x14ac:dyDescent="0.2">
      <c r="A945" s="13"/>
    </row>
    <row r="946" spans="1:1" x14ac:dyDescent="0.2">
      <c r="A946" s="13"/>
    </row>
    <row r="947" spans="1:1" x14ac:dyDescent="0.2">
      <c r="A947" s="13"/>
    </row>
    <row r="948" spans="1:1" x14ac:dyDescent="0.2">
      <c r="A948" s="13"/>
    </row>
    <row r="949" spans="1:1" x14ac:dyDescent="0.2">
      <c r="A949" s="13"/>
    </row>
    <row r="950" spans="1:1" x14ac:dyDescent="0.2">
      <c r="A950" s="13"/>
    </row>
    <row r="951" spans="1:1" x14ac:dyDescent="0.2">
      <c r="A951" s="13"/>
    </row>
    <row r="952" spans="1:1" x14ac:dyDescent="0.2">
      <c r="A952" s="13"/>
    </row>
    <row r="953" spans="1:1" x14ac:dyDescent="0.2">
      <c r="A953" s="13"/>
    </row>
    <row r="954" spans="1:1" x14ac:dyDescent="0.2">
      <c r="A954" s="13"/>
    </row>
    <row r="955" spans="1:1" x14ac:dyDescent="0.2">
      <c r="A955" s="13"/>
    </row>
    <row r="956" spans="1:1" x14ac:dyDescent="0.2">
      <c r="A956" s="13"/>
    </row>
    <row r="957" spans="1:1" x14ac:dyDescent="0.2">
      <c r="A957" s="13"/>
    </row>
    <row r="958" spans="1:1" x14ac:dyDescent="0.2">
      <c r="A958" s="13"/>
    </row>
    <row r="959" spans="1:1" x14ac:dyDescent="0.2">
      <c r="A959" s="13"/>
    </row>
    <row r="960" spans="1:1" x14ac:dyDescent="0.2">
      <c r="A960" s="13"/>
    </row>
    <row r="961" spans="1:1" x14ac:dyDescent="0.2">
      <c r="A961" s="13"/>
    </row>
    <row r="962" spans="1:1" x14ac:dyDescent="0.2">
      <c r="A962" s="13"/>
    </row>
    <row r="963" spans="1:1" x14ac:dyDescent="0.2">
      <c r="A963" s="13"/>
    </row>
    <row r="964" spans="1:1" x14ac:dyDescent="0.2">
      <c r="A964" s="13"/>
    </row>
    <row r="965" spans="1:1" x14ac:dyDescent="0.2">
      <c r="A965" s="13"/>
    </row>
    <row r="966" spans="1:1" x14ac:dyDescent="0.2">
      <c r="A966" s="13"/>
    </row>
    <row r="967" spans="1:1" x14ac:dyDescent="0.2">
      <c r="A967" s="13"/>
    </row>
    <row r="968" spans="1:1" x14ac:dyDescent="0.2">
      <c r="A968" s="13"/>
    </row>
    <row r="969" spans="1:1" x14ac:dyDescent="0.2">
      <c r="A969" s="13"/>
    </row>
    <row r="970" spans="1:1" x14ac:dyDescent="0.2">
      <c r="A970" s="13"/>
    </row>
    <row r="971" spans="1:1" x14ac:dyDescent="0.2">
      <c r="A971" s="13"/>
    </row>
    <row r="972" spans="1:1" x14ac:dyDescent="0.2">
      <c r="A972" s="13"/>
    </row>
    <row r="973" spans="1:1" x14ac:dyDescent="0.2">
      <c r="A973" s="13"/>
    </row>
    <row r="974" spans="1:1" x14ac:dyDescent="0.2">
      <c r="A974" s="13"/>
    </row>
    <row r="975" spans="1:1" x14ac:dyDescent="0.2">
      <c r="A975" s="13"/>
    </row>
    <row r="976" spans="1:1" x14ac:dyDescent="0.2">
      <c r="A976" s="13"/>
    </row>
    <row r="977" spans="1:1" x14ac:dyDescent="0.2">
      <c r="A977" s="13"/>
    </row>
    <row r="978" spans="1:1" x14ac:dyDescent="0.2">
      <c r="A978" s="13"/>
    </row>
    <row r="979" spans="1:1" x14ac:dyDescent="0.2">
      <c r="A979" s="13"/>
    </row>
    <row r="980" spans="1:1" x14ac:dyDescent="0.2">
      <c r="A980" s="13"/>
    </row>
    <row r="981" spans="1:1" x14ac:dyDescent="0.2">
      <c r="A981" s="13"/>
    </row>
    <row r="982" spans="1:1" x14ac:dyDescent="0.2">
      <c r="A982" s="13"/>
    </row>
    <row r="983" spans="1:1" x14ac:dyDescent="0.2">
      <c r="A983" s="13"/>
    </row>
    <row r="984" spans="1:1" x14ac:dyDescent="0.2">
      <c r="A984" s="13"/>
    </row>
    <row r="985" spans="1:1" x14ac:dyDescent="0.2">
      <c r="A985" s="13"/>
    </row>
    <row r="986" spans="1:1" x14ac:dyDescent="0.2">
      <c r="A986" s="13"/>
    </row>
    <row r="987" spans="1:1" x14ac:dyDescent="0.2">
      <c r="A987" s="13"/>
    </row>
    <row r="988" spans="1:1" x14ac:dyDescent="0.2">
      <c r="A988" s="13"/>
    </row>
    <row r="989" spans="1:1" x14ac:dyDescent="0.2">
      <c r="A989" s="13"/>
    </row>
    <row r="990" spans="1:1" x14ac:dyDescent="0.2">
      <c r="A990" s="13"/>
    </row>
    <row r="991" spans="1:1" x14ac:dyDescent="0.2">
      <c r="A991" s="13"/>
    </row>
    <row r="992" spans="1:1" x14ac:dyDescent="0.2">
      <c r="A992" s="13"/>
    </row>
    <row r="993" spans="1:1" x14ac:dyDescent="0.2">
      <c r="A993" s="13"/>
    </row>
    <row r="994" spans="1:1" x14ac:dyDescent="0.2">
      <c r="A994" s="13"/>
    </row>
    <row r="995" spans="1:1" x14ac:dyDescent="0.2">
      <c r="A995" s="13"/>
    </row>
    <row r="996" spans="1:1" x14ac:dyDescent="0.2">
      <c r="A996" s="13"/>
    </row>
    <row r="997" spans="1:1" x14ac:dyDescent="0.2">
      <c r="A997" s="13"/>
    </row>
    <row r="998" spans="1:1" x14ac:dyDescent="0.2">
      <c r="A998" s="13"/>
    </row>
    <row r="999" spans="1:1" x14ac:dyDescent="0.2">
      <c r="A999" s="13"/>
    </row>
    <row r="1000" spans="1:1" x14ac:dyDescent="0.2">
      <c r="A1000" s="13"/>
    </row>
    <row r="1001" spans="1:1" x14ac:dyDescent="0.2">
      <c r="A1001" s="13"/>
    </row>
    <row r="1002" spans="1:1" x14ac:dyDescent="0.2">
      <c r="A1002" s="13"/>
    </row>
    <row r="1003" spans="1:1" x14ac:dyDescent="0.2">
      <c r="A1003" s="13"/>
    </row>
    <row r="1004" spans="1:1" x14ac:dyDescent="0.2">
      <c r="A1004" s="13"/>
    </row>
    <row r="1005" spans="1:1" x14ac:dyDescent="0.2">
      <c r="A1005" s="13"/>
    </row>
    <row r="1006" spans="1:1" x14ac:dyDescent="0.2">
      <c r="A1006" s="13"/>
    </row>
    <row r="1007" spans="1:1" x14ac:dyDescent="0.2">
      <c r="A1007" s="13"/>
    </row>
    <row r="1008" spans="1:1" x14ac:dyDescent="0.2">
      <c r="A1008" s="13"/>
    </row>
    <row r="1009" spans="1:1" x14ac:dyDescent="0.2">
      <c r="A1009" s="13"/>
    </row>
    <row r="1010" spans="1:1" x14ac:dyDescent="0.2">
      <c r="A1010" s="13"/>
    </row>
    <row r="1011" spans="1:1" x14ac:dyDescent="0.2">
      <c r="A1011" s="13"/>
    </row>
    <row r="1012" spans="1:1" x14ac:dyDescent="0.2">
      <c r="A1012" s="13"/>
    </row>
    <row r="1013" spans="1:1" x14ac:dyDescent="0.2">
      <c r="A1013" s="13"/>
    </row>
    <row r="1014" spans="1:1" x14ac:dyDescent="0.2">
      <c r="A1014" s="13"/>
    </row>
    <row r="1015" spans="1:1" x14ac:dyDescent="0.2">
      <c r="A1015" s="13"/>
    </row>
    <row r="1016" spans="1:1" x14ac:dyDescent="0.2">
      <c r="A1016" s="13"/>
    </row>
    <row r="1017" spans="1:1" x14ac:dyDescent="0.2">
      <c r="A1017" s="13"/>
    </row>
    <row r="1018" spans="1:1" x14ac:dyDescent="0.2">
      <c r="A1018" s="13"/>
    </row>
    <row r="1019" spans="1:1" x14ac:dyDescent="0.2">
      <c r="A1019" s="13"/>
    </row>
    <row r="1020" spans="1:1" x14ac:dyDescent="0.2">
      <c r="A1020" s="13"/>
    </row>
    <row r="1021" spans="1:1" x14ac:dyDescent="0.2">
      <c r="A1021" s="13"/>
    </row>
    <row r="1022" spans="1:1" x14ac:dyDescent="0.2">
      <c r="A1022" s="13"/>
    </row>
    <row r="1023" spans="1:1" x14ac:dyDescent="0.2">
      <c r="A1023" s="13"/>
    </row>
    <row r="1024" spans="1:1" x14ac:dyDescent="0.2">
      <c r="A1024" s="13"/>
    </row>
    <row r="1025" spans="1:1" x14ac:dyDescent="0.2">
      <c r="A1025" s="13"/>
    </row>
    <row r="1026" spans="1:1" x14ac:dyDescent="0.2">
      <c r="A1026" s="13"/>
    </row>
    <row r="1027" spans="1:1" x14ac:dyDescent="0.2">
      <c r="A1027" s="13"/>
    </row>
    <row r="1028" spans="1:1" x14ac:dyDescent="0.2">
      <c r="A1028" s="13"/>
    </row>
    <row r="1029" spans="1:1" x14ac:dyDescent="0.2">
      <c r="A1029" s="13"/>
    </row>
    <row r="1030" spans="1:1" x14ac:dyDescent="0.2">
      <c r="A1030" s="13"/>
    </row>
    <row r="1031" spans="1:1" x14ac:dyDescent="0.2">
      <c r="A1031" s="13"/>
    </row>
    <row r="1032" spans="1:1" x14ac:dyDescent="0.2">
      <c r="A1032" s="13"/>
    </row>
    <row r="1033" spans="1:1" x14ac:dyDescent="0.2">
      <c r="A1033" s="13"/>
    </row>
    <row r="1034" spans="1:1" x14ac:dyDescent="0.2">
      <c r="A1034" s="13"/>
    </row>
    <row r="1035" spans="1:1" x14ac:dyDescent="0.2">
      <c r="A1035" s="13"/>
    </row>
    <row r="1036" spans="1:1" x14ac:dyDescent="0.2">
      <c r="A1036" s="13"/>
    </row>
    <row r="1037" spans="1:1" x14ac:dyDescent="0.2">
      <c r="A1037" s="13"/>
    </row>
    <row r="1038" spans="1:1" x14ac:dyDescent="0.2">
      <c r="A1038" s="13"/>
    </row>
    <row r="1039" spans="1:1" x14ac:dyDescent="0.2">
      <c r="A1039" s="13"/>
    </row>
    <row r="1040" spans="1:1" x14ac:dyDescent="0.2">
      <c r="A1040" s="13"/>
    </row>
    <row r="1041" spans="1:1" x14ac:dyDescent="0.2">
      <c r="A1041" s="13"/>
    </row>
    <row r="1042" spans="1:1" x14ac:dyDescent="0.2">
      <c r="A1042" s="13"/>
    </row>
    <row r="1043" spans="1:1" x14ac:dyDescent="0.2">
      <c r="A1043" s="13"/>
    </row>
    <row r="1044" spans="1:1" x14ac:dyDescent="0.2">
      <c r="A1044" s="13"/>
    </row>
    <row r="1045" spans="1:1" x14ac:dyDescent="0.2">
      <c r="A1045" s="13"/>
    </row>
    <row r="1046" spans="1:1" x14ac:dyDescent="0.2">
      <c r="A1046" s="13"/>
    </row>
    <row r="1047" spans="1:1" x14ac:dyDescent="0.2">
      <c r="A1047" s="13"/>
    </row>
    <row r="1048" spans="1:1" x14ac:dyDescent="0.2">
      <c r="A1048" s="13"/>
    </row>
    <row r="1049" spans="1:1" x14ac:dyDescent="0.2">
      <c r="A1049" s="13"/>
    </row>
    <row r="1050" spans="1:1" x14ac:dyDescent="0.2">
      <c r="A1050" s="13"/>
    </row>
    <row r="1051" spans="1:1" x14ac:dyDescent="0.2">
      <c r="A1051" s="13"/>
    </row>
    <row r="1052" spans="1:1" x14ac:dyDescent="0.2">
      <c r="A1052" s="13"/>
    </row>
    <row r="1053" spans="1:1" x14ac:dyDescent="0.2">
      <c r="A1053" s="13"/>
    </row>
    <row r="1054" spans="1:1" x14ac:dyDescent="0.2">
      <c r="A1054" s="13"/>
    </row>
    <row r="1055" spans="1:1" x14ac:dyDescent="0.2">
      <c r="A1055" s="13"/>
    </row>
    <row r="1056" spans="1:1" x14ac:dyDescent="0.2">
      <c r="A1056" s="13"/>
    </row>
    <row r="1057" spans="1:1" x14ac:dyDescent="0.2">
      <c r="A1057" s="13"/>
    </row>
    <row r="1058" spans="1:1" x14ac:dyDescent="0.2">
      <c r="A1058" s="13"/>
    </row>
    <row r="1059" spans="1:1" x14ac:dyDescent="0.2">
      <c r="A1059" s="13"/>
    </row>
    <row r="1060" spans="1:1" x14ac:dyDescent="0.2">
      <c r="A1060" s="13"/>
    </row>
    <row r="1061" spans="1:1" x14ac:dyDescent="0.2">
      <c r="A1061" s="13"/>
    </row>
    <row r="1062" spans="1:1" x14ac:dyDescent="0.2">
      <c r="A1062" s="13"/>
    </row>
    <row r="1063" spans="1:1" x14ac:dyDescent="0.2">
      <c r="A1063" s="13"/>
    </row>
    <row r="1064" spans="1:1" x14ac:dyDescent="0.2">
      <c r="A1064" s="13"/>
    </row>
    <row r="1065" spans="1:1" x14ac:dyDescent="0.2">
      <c r="A1065" s="13"/>
    </row>
    <row r="1066" spans="1:1" x14ac:dyDescent="0.2">
      <c r="A1066" s="13"/>
    </row>
    <row r="1067" spans="1:1" x14ac:dyDescent="0.2">
      <c r="A1067" s="13"/>
    </row>
    <row r="1068" spans="1:1" x14ac:dyDescent="0.2">
      <c r="A1068" s="13"/>
    </row>
    <row r="1069" spans="1:1" x14ac:dyDescent="0.2">
      <c r="A1069" s="13"/>
    </row>
    <row r="1070" spans="1:1" x14ac:dyDescent="0.2">
      <c r="A1070" s="13"/>
    </row>
    <row r="1071" spans="1:1" x14ac:dyDescent="0.2">
      <c r="A1071" s="13"/>
    </row>
    <row r="1072" spans="1:1" x14ac:dyDescent="0.2">
      <c r="A1072" s="13"/>
    </row>
    <row r="1073" spans="1:1" x14ac:dyDescent="0.2">
      <c r="A1073" s="13"/>
    </row>
    <row r="1074" spans="1:1" x14ac:dyDescent="0.2">
      <c r="A1074" s="13"/>
    </row>
    <row r="1075" spans="1:1" x14ac:dyDescent="0.2">
      <c r="A1075" s="13"/>
    </row>
    <row r="1076" spans="1:1" x14ac:dyDescent="0.2">
      <c r="A1076" s="13"/>
    </row>
    <row r="1077" spans="1:1" x14ac:dyDescent="0.2">
      <c r="A1077" s="13"/>
    </row>
    <row r="1078" spans="1:1" x14ac:dyDescent="0.2">
      <c r="A1078" s="13"/>
    </row>
    <row r="1079" spans="1:1" x14ac:dyDescent="0.2">
      <c r="A1079" s="13"/>
    </row>
    <row r="1080" spans="1:1" x14ac:dyDescent="0.2">
      <c r="A1080" s="13"/>
    </row>
    <row r="1081" spans="1:1" x14ac:dyDescent="0.2">
      <c r="A1081" s="13"/>
    </row>
    <row r="1082" spans="1:1" x14ac:dyDescent="0.2">
      <c r="A1082" s="13"/>
    </row>
    <row r="1083" spans="1:1" x14ac:dyDescent="0.2">
      <c r="A1083" s="13"/>
    </row>
    <row r="1084" spans="1:1" x14ac:dyDescent="0.2">
      <c r="A1084" s="13"/>
    </row>
    <row r="1085" spans="1:1" x14ac:dyDescent="0.2">
      <c r="A1085" s="13"/>
    </row>
    <row r="1086" spans="1:1" x14ac:dyDescent="0.2">
      <c r="A1086" s="13"/>
    </row>
    <row r="1087" spans="1:1" x14ac:dyDescent="0.2">
      <c r="A1087" s="13"/>
    </row>
    <row r="1088" spans="1:1" x14ac:dyDescent="0.2">
      <c r="A1088" s="13"/>
    </row>
    <row r="1089" spans="1:1" x14ac:dyDescent="0.2">
      <c r="A1089" s="13"/>
    </row>
    <row r="1090" spans="1:1" x14ac:dyDescent="0.2">
      <c r="A1090" s="13"/>
    </row>
    <row r="1091" spans="1:1" x14ac:dyDescent="0.2">
      <c r="A1091" s="13"/>
    </row>
    <row r="1092" spans="1:1" x14ac:dyDescent="0.2">
      <c r="A1092" s="13"/>
    </row>
    <row r="1093" spans="1:1" x14ac:dyDescent="0.2">
      <c r="A1093" s="13"/>
    </row>
    <row r="1094" spans="1:1" x14ac:dyDescent="0.2">
      <c r="A1094" s="13"/>
    </row>
    <row r="1095" spans="1:1" x14ac:dyDescent="0.2">
      <c r="A1095" s="13"/>
    </row>
    <row r="1096" spans="1:1" x14ac:dyDescent="0.2">
      <c r="A1096" s="13"/>
    </row>
    <row r="1097" spans="1:1" x14ac:dyDescent="0.2">
      <c r="A1097" s="13"/>
    </row>
    <row r="1098" spans="1:1" x14ac:dyDescent="0.2">
      <c r="A1098" s="13"/>
    </row>
    <row r="1099" spans="1:1" x14ac:dyDescent="0.2">
      <c r="A1099" s="13"/>
    </row>
    <row r="1100" spans="1:1" x14ac:dyDescent="0.2">
      <c r="A1100" s="13"/>
    </row>
    <row r="1101" spans="1:1" x14ac:dyDescent="0.2">
      <c r="A1101" s="13"/>
    </row>
    <row r="1102" spans="1:1" x14ac:dyDescent="0.2">
      <c r="A1102" s="13"/>
    </row>
    <row r="1103" spans="1:1" x14ac:dyDescent="0.2">
      <c r="A1103" s="13"/>
    </row>
    <row r="1104" spans="1:1" x14ac:dyDescent="0.2">
      <c r="A1104" s="13"/>
    </row>
    <row r="1105" spans="1:1" x14ac:dyDescent="0.2">
      <c r="A1105" s="13"/>
    </row>
    <row r="1106" spans="1:1" x14ac:dyDescent="0.2">
      <c r="A1106" s="13"/>
    </row>
    <row r="1107" spans="1:1" x14ac:dyDescent="0.2">
      <c r="A1107" s="13"/>
    </row>
    <row r="1108" spans="1:1" x14ac:dyDescent="0.2">
      <c r="A1108" s="13"/>
    </row>
    <row r="1109" spans="1:1" x14ac:dyDescent="0.2">
      <c r="A1109" s="13"/>
    </row>
    <row r="1110" spans="1:1" x14ac:dyDescent="0.2">
      <c r="A1110" s="13"/>
    </row>
    <row r="1111" spans="1:1" x14ac:dyDescent="0.2">
      <c r="A1111" s="13"/>
    </row>
    <row r="1112" spans="1:1" x14ac:dyDescent="0.2">
      <c r="A1112" s="13"/>
    </row>
    <row r="1113" spans="1:1" x14ac:dyDescent="0.2">
      <c r="A1113" s="13"/>
    </row>
    <row r="1114" spans="1:1" x14ac:dyDescent="0.2">
      <c r="A1114" s="13"/>
    </row>
    <row r="1115" spans="1:1" x14ac:dyDescent="0.2">
      <c r="A1115" s="13"/>
    </row>
    <row r="1116" spans="1:1" x14ac:dyDescent="0.2">
      <c r="A1116" s="13"/>
    </row>
    <row r="1117" spans="1:1" x14ac:dyDescent="0.2">
      <c r="A1117" s="13"/>
    </row>
    <row r="1118" spans="1:1" x14ac:dyDescent="0.2">
      <c r="A1118" s="13"/>
    </row>
    <row r="1119" spans="1:1" x14ac:dyDescent="0.2">
      <c r="A1119" s="13"/>
    </row>
    <row r="1120" spans="1:1" x14ac:dyDescent="0.2">
      <c r="A1120" s="13"/>
    </row>
    <row r="1121" spans="1:1" x14ac:dyDescent="0.2">
      <c r="A1121" s="13"/>
    </row>
    <row r="1122" spans="1:1" x14ac:dyDescent="0.2">
      <c r="A1122" s="13"/>
    </row>
    <row r="1123" spans="1:1" x14ac:dyDescent="0.2">
      <c r="A1123" s="13"/>
    </row>
    <row r="1124" spans="1:1" x14ac:dyDescent="0.2">
      <c r="A1124" s="13"/>
    </row>
    <row r="1125" spans="1:1" x14ac:dyDescent="0.2">
      <c r="A1125" s="13"/>
    </row>
    <row r="1126" spans="1:1" x14ac:dyDescent="0.2">
      <c r="A1126" s="13"/>
    </row>
    <row r="1127" spans="1:1" x14ac:dyDescent="0.2">
      <c r="A1127" s="13"/>
    </row>
    <row r="1128" spans="1:1" x14ac:dyDescent="0.2">
      <c r="A1128" s="13"/>
    </row>
    <row r="1129" spans="1:1" x14ac:dyDescent="0.2">
      <c r="A1129" s="13"/>
    </row>
    <row r="1130" spans="1:1" x14ac:dyDescent="0.2">
      <c r="A1130" s="13"/>
    </row>
    <row r="1131" spans="1:1" x14ac:dyDescent="0.2">
      <c r="A1131" s="13"/>
    </row>
    <row r="1132" spans="1:1" x14ac:dyDescent="0.2">
      <c r="A1132" s="13"/>
    </row>
    <row r="1133" spans="1:1" x14ac:dyDescent="0.2">
      <c r="A1133" s="13"/>
    </row>
    <row r="1134" spans="1:1" x14ac:dyDescent="0.2">
      <c r="A1134" s="13"/>
    </row>
    <row r="1135" spans="1:1" x14ac:dyDescent="0.2">
      <c r="A1135" s="13"/>
    </row>
    <row r="1136" spans="1:1" x14ac:dyDescent="0.2">
      <c r="A1136" s="13"/>
    </row>
    <row r="1137" spans="1:1" x14ac:dyDescent="0.2">
      <c r="A1137" s="13"/>
    </row>
    <row r="1138" spans="1:1" x14ac:dyDescent="0.2">
      <c r="A1138" s="13"/>
    </row>
    <row r="1139" spans="1:1" x14ac:dyDescent="0.2">
      <c r="A1139" s="13"/>
    </row>
    <row r="1140" spans="1:1" x14ac:dyDescent="0.2">
      <c r="A1140" s="13"/>
    </row>
    <row r="1141" spans="1:1" x14ac:dyDescent="0.2">
      <c r="A1141" s="13"/>
    </row>
    <row r="1142" spans="1:1" x14ac:dyDescent="0.2">
      <c r="A1142" s="13"/>
    </row>
    <row r="1143" spans="1:1" x14ac:dyDescent="0.2">
      <c r="A1143" s="13"/>
    </row>
    <row r="1144" spans="1:1" x14ac:dyDescent="0.2">
      <c r="A1144" s="13"/>
    </row>
    <row r="1145" spans="1:1" x14ac:dyDescent="0.2">
      <c r="A1145" s="13"/>
    </row>
    <row r="1146" spans="1:1" x14ac:dyDescent="0.2">
      <c r="A1146" s="13"/>
    </row>
    <row r="1147" spans="1:1" x14ac:dyDescent="0.2">
      <c r="A1147" s="13"/>
    </row>
    <row r="1148" spans="1:1" x14ac:dyDescent="0.2">
      <c r="A1148" s="13"/>
    </row>
    <row r="1149" spans="1:1" x14ac:dyDescent="0.2">
      <c r="A1149" s="13"/>
    </row>
    <row r="1150" spans="1:1" x14ac:dyDescent="0.2">
      <c r="A1150" s="13"/>
    </row>
    <row r="1151" spans="1:1" x14ac:dyDescent="0.2">
      <c r="A1151" s="13"/>
    </row>
    <row r="1152" spans="1:1" x14ac:dyDescent="0.2">
      <c r="A1152" s="13"/>
    </row>
    <row r="1153" spans="1:1" x14ac:dyDescent="0.2">
      <c r="A1153" s="13"/>
    </row>
    <row r="1154" spans="1:1" x14ac:dyDescent="0.2">
      <c r="A1154" s="13"/>
    </row>
    <row r="1155" spans="1:1" x14ac:dyDescent="0.2">
      <c r="A1155" s="13"/>
    </row>
    <row r="1156" spans="1:1" x14ac:dyDescent="0.2">
      <c r="A1156" s="13"/>
    </row>
    <row r="1157" spans="1:1" x14ac:dyDescent="0.2">
      <c r="A1157" s="13"/>
    </row>
    <row r="1158" spans="1:1" x14ac:dyDescent="0.2">
      <c r="A1158" s="13"/>
    </row>
    <row r="1159" spans="1:1" x14ac:dyDescent="0.2">
      <c r="A1159" s="13"/>
    </row>
    <row r="1160" spans="1:1" x14ac:dyDescent="0.2">
      <c r="A1160" s="13"/>
    </row>
    <row r="1161" spans="1:1" x14ac:dyDescent="0.2">
      <c r="A1161" s="13"/>
    </row>
    <row r="1162" spans="1:1" x14ac:dyDescent="0.2">
      <c r="A1162" s="13"/>
    </row>
    <row r="1163" spans="1:1" x14ac:dyDescent="0.2">
      <c r="A1163" s="13"/>
    </row>
    <row r="1164" spans="1:1" x14ac:dyDescent="0.2">
      <c r="A1164" s="13"/>
    </row>
    <row r="1165" spans="1:1" x14ac:dyDescent="0.2">
      <c r="A1165" s="13"/>
    </row>
    <row r="1166" spans="1:1" x14ac:dyDescent="0.2">
      <c r="A1166" s="13"/>
    </row>
    <row r="1167" spans="1:1" x14ac:dyDescent="0.2">
      <c r="A1167" s="13"/>
    </row>
    <row r="1168" spans="1:1" x14ac:dyDescent="0.2">
      <c r="A1168" s="13"/>
    </row>
    <row r="1169" spans="1:1" x14ac:dyDescent="0.2">
      <c r="A1169" s="13"/>
    </row>
    <row r="1170" spans="1:1" x14ac:dyDescent="0.2">
      <c r="A1170" s="13"/>
    </row>
    <row r="1171" spans="1:1" x14ac:dyDescent="0.2">
      <c r="A1171" s="13"/>
    </row>
    <row r="1172" spans="1:1" x14ac:dyDescent="0.2">
      <c r="A1172" s="13"/>
    </row>
    <row r="1173" spans="1:1" x14ac:dyDescent="0.2">
      <c r="A1173" s="13"/>
    </row>
    <row r="1174" spans="1:1" x14ac:dyDescent="0.2">
      <c r="A1174" s="13"/>
    </row>
    <row r="1175" spans="1:1" x14ac:dyDescent="0.2">
      <c r="A1175" s="13"/>
    </row>
    <row r="1176" spans="1:1" x14ac:dyDescent="0.2">
      <c r="A1176" s="13"/>
    </row>
    <row r="1177" spans="1:1" x14ac:dyDescent="0.2">
      <c r="A1177" s="13"/>
    </row>
    <row r="1178" spans="1:1" x14ac:dyDescent="0.2">
      <c r="A1178" s="13"/>
    </row>
    <row r="1179" spans="1:1" x14ac:dyDescent="0.2">
      <c r="A1179" s="13"/>
    </row>
    <row r="1180" spans="1:1" x14ac:dyDescent="0.2">
      <c r="A1180" s="13"/>
    </row>
    <row r="1181" spans="1:1" x14ac:dyDescent="0.2">
      <c r="A1181" s="13"/>
    </row>
    <row r="1182" spans="1:1" x14ac:dyDescent="0.2">
      <c r="A1182" s="13"/>
    </row>
    <row r="1183" spans="1:1" x14ac:dyDescent="0.2">
      <c r="A1183" s="13"/>
    </row>
    <row r="1184" spans="1:1" x14ac:dyDescent="0.2">
      <c r="A1184" s="13"/>
    </row>
    <row r="1185" spans="1:1" x14ac:dyDescent="0.2">
      <c r="A1185" s="13"/>
    </row>
    <row r="1186" spans="1:1" x14ac:dyDescent="0.2">
      <c r="A1186" s="13"/>
    </row>
    <row r="1187" spans="1:1" x14ac:dyDescent="0.2">
      <c r="A1187" s="13"/>
    </row>
    <row r="1188" spans="1:1" x14ac:dyDescent="0.2">
      <c r="A1188" s="13"/>
    </row>
    <row r="1189" spans="1:1" x14ac:dyDescent="0.2">
      <c r="A1189" s="13"/>
    </row>
    <row r="1190" spans="1:1" x14ac:dyDescent="0.2">
      <c r="A1190" s="13"/>
    </row>
    <row r="1191" spans="1:1" x14ac:dyDescent="0.2">
      <c r="A1191" s="13"/>
    </row>
    <row r="1192" spans="1:1" x14ac:dyDescent="0.2">
      <c r="A1192" s="13"/>
    </row>
    <row r="1193" spans="1:1" x14ac:dyDescent="0.2">
      <c r="A1193" s="13"/>
    </row>
    <row r="1194" spans="1:1" x14ac:dyDescent="0.2">
      <c r="A1194" s="13"/>
    </row>
    <row r="1195" spans="1:1" x14ac:dyDescent="0.2">
      <c r="A1195" s="13"/>
    </row>
    <row r="1196" spans="1:1" x14ac:dyDescent="0.2">
      <c r="A1196" s="13"/>
    </row>
    <row r="1197" spans="1:1" x14ac:dyDescent="0.2">
      <c r="A1197" s="13"/>
    </row>
    <row r="1198" spans="1:1" x14ac:dyDescent="0.2">
      <c r="A1198" s="13"/>
    </row>
    <row r="1199" spans="1:1" x14ac:dyDescent="0.2">
      <c r="A1199" s="13"/>
    </row>
    <row r="1200" spans="1:1" x14ac:dyDescent="0.2">
      <c r="A1200" s="13"/>
    </row>
    <row r="1201" spans="1:1" x14ac:dyDescent="0.2">
      <c r="A1201" s="13"/>
    </row>
    <row r="1202" spans="1:1" x14ac:dyDescent="0.2">
      <c r="A1202" s="13"/>
    </row>
    <row r="1203" spans="1:1" x14ac:dyDescent="0.2">
      <c r="A1203" s="13"/>
    </row>
    <row r="1204" spans="1:1" x14ac:dyDescent="0.2">
      <c r="A1204" s="13"/>
    </row>
    <row r="1205" spans="1:1" x14ac:dyDescent="0.2">
      <c r="A1205" s="13"/>
    </row>
    <row r="1206" spans="1:1" x14ac:dyDescent="0.2">
      <c r="A1206" s="13"/>
    </row>
    <row r="1207" spans="1:1" x14ac:dyDescent="0.2">
      <c r="A1207" s="13"/>
    </row>
    <row r="1208" spans="1:1" x14ac:dyDescent="0.2">
      <c r="A1208" s="13"/>
    </row>
    <row r="1209" spans="1:1" x14ac:dyDescent="0.2">
      <c r="A1209" s="13"/>
    </row>
    <row r="1210" spans="1:1" x14ac:dyDescent="0.2">
      <c r="A1210" s="13"/>
    </row>
    <row r="1211" spans="1:1" x14ac:dyDescent="0.2">
      <c r="A1211" s="13"/>
    </row>
    <row r="1212" spans="1:1" x14ac:dyDescent="0.2">
      <c r="A1212" s="13"/>
    </row>
    <row r="1213" spans="1:1" x14ac:dyDescent="0.2">
      <c r="A1213" s="13"/>
    </row>
    <row r="1214" spans="1:1" x14ac:dyDescent="0.2">
      <c r="A1214" s="13"/>
    </row>
    <row r="1215" spans="1:1" x14ac:dyDescent="0.2">
      <c r="A1215" s="13"/>
    </row>
    <row r="1216" spans="1:1" x14ac:dyDescent="0.2">
      <c r="A1216" s="13"/>
    </row>
    <row r="1217" spans="1:1" x14ac:dyDescent="0.2">
      <c r="A1217" s="13"/>
    </row>
    <row r="1218" spans="1:1" x14ac:dyDescent="0.2">
      <c r="A1218" s="13"/>
    </row>
    <row r="1219" spans="1:1" x14ac:dyDescent="0.2">
      <c r="A1219" s="13"/>
    </row>
    <row r="1220" spans="1:1" x14ac:dyDescent="0.2">
      <c r="A1220" s="13"/>
    </row>
    <row r="1221" spans="1:1" x14ac:dyDescent="0.2">
      <c r="A1221" s="13"/>
    </row>
    <row r="1222" spans="1:1" x14ac:dyDescent="0.2">
      <c r="A1222" s="13"/>
    </row>
    <row r="1223" spans="1:1" x14ac:dyDescent="0.2">
      <c r="A1223" s="13"/>
    </row>
    <row r="1224" spans="1:1" x14ac:dyDescent="0.2">
      <c r="A1224" s="13"/>
    </row>
    <row r="1225" spans="1:1" x14ac:dyDescent="0.2">
      <c r="A1225" s="13"/>
    </row>
    <row r="1226" spans="1:1" x14ac:dyDescent="0.2">
      <c r="A1226" s="13"/>
    </row>
    <row r="1227" spans="1:1" x14ac:dyDescent="0.2">
      <c r="A1227" s="13"/>
    </row>
    <row r="1228" spans="1:1" x14ac:dyDescent="0.2">
      <c r="A1228" s="13"/>
    </row>
    <row r="1229" spans="1:1" x14ac:dyDescent="0.2">
      <c r="A1229" s="13"/>
    </row>
    <row r="1230" spans="1:1" x14ac:dyDescent="0.2">
      <c r="A1230" s="13"/>
    </row>
    <row r="1231" spans="1:1" x14ac:dyDescent="0.2">
      <c r="A1231" s="13"/>
    </row>
    <row r="1232" spans="1:1" x14ac:dyDescent="0.2">
      <c r="A1232" s="13"/>
    </row>
    <row r="1233" spans="1:1" x14ac:dyDescent="0.2">
      <c r="A1233" s="13"/>
    </row>
    <row r="1234" spans="1:1" x14ac:dyDescent="0.2">
      <c r="A1234" s="13"/>
    </row>
    <row r="1235" spans="1:1" x14ac:dyDescent="0.2">
      <c r="A1235" s="13"/>
    </row>
    <row r="1236" spans="1:1" x14ac:dyDescent="0.2">
      <c r="A1236" s="13"/>
    </row>
    <row r="1237" spans="1:1" x14ac:dyDescent="0.2">
      <c r="A1237" s="13"/>
    </row>
    <row r="1238" spans="1:1" x14ac:dyDescent="0.2">
      <c r="A1238" s="13"/>
    </row>
    <row r="1239" spans="1:1" x14ac:dyDescent="0.2">
      <c r="A1239" s="13"/>
    </row>
    <row r="1240" spans="1:1" x14ac:dyDescent="0.2">
      <c r="A1240" s="13"/>
    </row>
    <row r="1241" spans="1:1" x14ac:dyDescent="0.2">
      <c r="A1241" s="13"/>
    </row>
    <row r="1242" spans="1:1" x14ac:dyDescent="0.2">
      <c r="A1242" s="13"/>
    </row>
    <row r="1243" spans="1:1" x14ac:dyDescent="0.2">
      <c r="A1243" s="13"/>
    </row>
    <row r="1244" spans="1:1" x14ac:dyDescent="0.2">
      <c r="A1244" s="13"/>
    </row>
    <row r="1245" spans="1:1" x14ac:dyDescent="0.2">
      <c r="A1245" s="13"/>
    </row>
    <row r="1246" spans="1:1" x14ac:dyDescent="0.2">
      <c r="A1246" s="13"/>
    </row>
    <row r="1247" spans="1:1" x14ac:dyDescent="0.2">
      <c r="A1247" s="13"/>
    </row>
    <row r="1248" spans="1:1" x14ac:dyDescent="0.2">
      <c r="A1248" s="13"/>
    </row>
    <row r="1249" spans="1:1" x14ac:dyDescent="0.2">
      <c r="A1249" s="13"/>
    </row>
    <row r="1250" spans="1:1" x14ac:dyDescent="0.2">
      <c r="A1250" s="13"/>
    </row>
    <row r="1251" spans="1:1" x14ac:dyDescent="0.2">
      <c r="A1251" s="13"/>
    </row>
    <row r="1252" spans="1:1" x14ac:dyDescent="0.2">
      <c r="A1252" s="13"/>
    </row>
    <row r="1253" spans="1:1" x14ac:dyDescent="0.2">
      <c r="A1253" s="13"/>
    </row>
    <row r="1254" spans="1:1" x14ac:dyDescent="0.2">
      <c r="A1254" s="13"/>
    </row>
    <row r="1255" spans="1:1" x14ac:dyDescent="0.2">
      <c r="A1255" s="13"/>
    </row>
    <row r="1256" spans="1:1" x14ac:dyDescent="0.2">
      <c r="A1256" s="13"/>
    </row>
    <row r="1257" spans="1:1" x14ac:dyDescent="0.2">
      <c r="A1257" s="13"/>
    </row>
    <row r="1258" spans="1:1" x14ac:dyDescent="0.2">
      <c r="A1258" s="13"/>
    </row>
    <row r="1259" spans="1:1" x14ac:dyDescent="0.2">
      <c r="A1259" s="13"/>
    </row>
    <row r="1260" spans="1:1" x14ac:dyDescent="0.2">
      <c r="A1260" s="13"/>
    </row>
    <row r="1261" spans="1:1" x14ac:dyDescent="0.2">
      <c r="A1261" s="13"/>
    </row>
    <row r="1262" spans="1:1" x14ac:dyDescent="0.2">
      <c r="A1262" s="13"/>
    </row>
    <row r="1263" spans="1:1" x14ac:dyDescent="0.2">
      <c r="A1263" s="13"/>
    </row>
    <row r="1264" spans="1:1" x14ac:dyDescent="0.2">
      <c r="A1264" s="13"/>
    </row>
    <row r="1265" spans="1:1" x14ac:dyDescent="0.2">
      <c r="A1265" s="13"/>
    </row>
    <row r="1266" spans="1:1" x14ac:dyDescent="0.2">
      <c r="A1266" s="13"/>
    </row>
    <row r="1267" spans="1:1" x14ac:dyDescent="0.2">
      <c r="A1267" s="13"/>
    </row>
    <row r="1268" spans="1:1" x14ac:dyDescent="0.2">
      <c r="A1268" s="13"/>
    </row>
    <row r="1269" spans="1:1" x14ac:dyDescent="0.2">
      <c r="A1269" s="13"/>
    </row>
    <row r="1270" spans="1:1" x14ac:dyDescent="0.2">
      <c r="A1270" s="13"/>
    </row>
    <row r="1271" spans="1:1" x14ac:dyDescent="0.2">
      <c r="A1271" s="13"/>
    </row>
    <row r="1272" spans="1:1" x14ac:dyDescent="0.2">
      <c r="A1272" s="13"/>
    </row>
    <row r="1273" spans="1:1" x14ac:dyDescent="0.2">
      <c r="A1273" s="13"/>
    </row>
    <row r="1274" spans="1:1" x14ac:dyDescent="0.2">
      <c r="A1274" s="13"/>
    </row>
    <row r="1275" spans="1:1" x14ac:dyDescent="0.2">
      <c r="A1275" s="13"/>
    </row>
    <row r="1276" spans="1:1" x14ac:dyDescent="0.2">
      <c r="A1276" s="13"/>
    </row>
    <row r="1277" spans="1:1" x14ac:dyDescent="0.2">
      <c r="A1277" s="13"/>
    </row>
    <row r="1278" spans="1:1" x14ac:dyDescent="0.2">
      <c r="A1278" s="13"/>
    </row>
    <row r="1279" spans="1:1" x14ac:dyDescent="0.2">
      <c r="A1279" s="13"/>
    </row>
    <row r="1280" spans="1:1" x14ac:dyDescent="0.2">
      <c r="A1280" s="13"/>
    </row>
    <row r="1281" spans="1:1" x14ac:dyDescent="0.2">
      <c r="A1281" s="13"/>
    </row>
    <row r="1282" spans="1:1" x14ac:dyDescent="0.2">
      <c r="A1282" s="13"/>
    </row>
    <row r="1283" spans="1:1" x14ac:dyDescent="0.2">
      <c r="A1283" s="13"/>
    </row>
    <row r="1284" spans="1:1" x14ac:dyDescent="0.2">
      <c r="A1284" s="13"/>
    </row>
    <row r="1285" spans="1:1" x14ac:dyDescent="0.2">
      <c r="A1285" s="13"/>
    </row>
    <row r="1286" spans="1:1" x14ac:dyDescent="0.2">
      <c r="A1286" s="13"/>
    </row>
    <row r="1287" spans="1:1" x14ac:dyDescent="0.2">
      <c r="A1287" s="13"/>
    </row>
    <row r="1288" spans="1:1" x14ac:dyDescent="0.2">
      <c r="A1288" s="13"/>
    </row>
    <row r="1289" spans="1:1" x14ac:dyDescent="0.2">
      <c r="A1289" s="13"/>
    </row>
    <row r="1290" spans="1:1" x14ac:dyDescent="0.2">
      <c r="A1290" s="13"/>
    </row>
    <row r="1291" spans="1:1" x14ac:dyDescent="0.2">
      <c r="A1291" s="13"/>
    </row>
    <row r="1292" spans="1:1" x14ac:dyDescent="0.2">
      <c r="A1292" s="13"/>
    </row>
    <row r="1293" spans="1:1" x14ac:dyDescent="0.2">
      <c r="A1293" s="13"/>
    </row>
    <row r="1294" spans="1:1" x14ac:dyDescent="0.2">
      <c r="A1294" s="13"/>
    </row>
    <row r="1295" spans="1:1" x14ac:dyDescent="0.2">
      <c r="A1295" s="13"/>
    </row>
    <row r="1296" spans="1:1" x14ac:dyDescent="0.2">
      <c r="A1296" s="13"/>
    </row>
    <row r="1297" spans="1:1" x14ac:dyDescent="0.2">
      <c r="A1297" s="13"/>
    </row>
    <row r="1298" spans="1:1" x14ac:dyDescent="0.2">
      <c r="A1298" s="13"/>
    </row>
    <row r="1299" spans="1:1" x14ac:dyDescent="0.2">
      <c r="A1299" s="13"/>
    </row>
    <row r="1300" spans="1:1" x14ac:dyDescent="0.2">
      <c r="A1300" s="13"/>
    </row>
    <row r="1301" spans="1:1" x14ac:dyDescent="0.2">
      <c r="A1301" s="13"/>
    </row>
    <row r="1302" spans="1:1" x14ac:dyDescent="0.2">
      <c r="A1302" s="13"/>
    </row>
    <row r="1303" spans="1:1" x14ac:dyDescent="0.2">
      <c r="A1303" s="13"/>
    </row>
    <row r="1304" spans="1:1" x14ac:dyDescent="0.2">
      <c r="A1304" s="13"/>
    </row>
    <row r="1305" spans="1:1" x14ac:dyDescent="0.2">
      <c r="A1305" s="13"/>
    </row>
    <row r="1306" spans="1:1" x14ac:dyDescent="0.2">
      <c r="A1306" s="13"/>
    </row>
    <row r="1307" spans="1:1" x14ac:dyDescent="0.2">
      <c r="A1307" s="13"/>
    </row>
    <row r="1308" spans="1:1" x14ac:dyDescent="0.2">
      <c r="A1308" s="13"/>
    </row>
    <row r="1309" spans="1:1" x14ac:dyDescent="0.2">
      <c r="A1309" s="13"/>
    </row>
    <row r="1310" spans="1:1" x14ac:dyDescent="0.2">
      <c r="A1310" s="13"/>
    </row>
    <row r="1311" spans="1:1" x14ac:dyDescent="0.2">
      <c r="A1311" s="13"/>
    </row>
    <row r="1312" spans="1:1" x14ac:dyDescent="0.2">
      <c r="A1312" s="13"/>
    </row>
    <row r="1313" spans="1:1" x14ac:dyDescent="0.2">
      <c r="A1313" s="13"/>
    </row>
    <row r="1314" spans="1:1" x14ac:dyDescent="0.2">
      <c r="A1314" s="13"/>
    </row>
    <row r="1315" spans="1:1" x14ac:dyDescent="0.2">
      <c r="A1315" s="13"/>
    </row>
    <row r="1316" spans="1:1" x14ac:dyDescent="0.2">
      <c r="A1316" s="13"/>
    </row>
    <row r="1317" spans="1:1" x14ac:dyDescent="0.2">
      <c r="A1317" s="13"/>
    </row>
    <row r="1318" spans="1:1" x14ac:dyDescent="0.2">
      <c r="A1318" s="13"/>
    </row>
    <row r="1319" spans="1:1" x14ac:dyDescent="0.2">
      <c r="A1319" s="13"/>
    </row>
    <row r="1320" spans="1:1" x14ac:dyDescent="0.2">
      <c r="A1320" s="13"/>
    </row>
    <row r="1321" spans="1:1" x14ac:dyDescent="0.2">
      <c r="A1321" s="13"/>
    </row>
    <row r="1322" spans="1:1" x14ac:dyDescent="0.2">
      <c r="A1322" s="13"/>
    </row>
    <row r="1323" spans="1:1" x14ac:dyDescent="0.2">
      <c r="A1323" s="13"/>
    </row>
    <row r="1324" spans="1:1" x14ac:dyDescent="0.2">
      <c r="A1324" s="13"/>
    </row>
    <row r="1325" spans="1:1" x14ac:dyDescent="0.2">
      <c r="A1325" s="13"/>
    </row>
    <row r="1326" spans="1:1" x14ac:dyDescent="0.2">
      <c r="A1326" s="13"/>
    </row>
    <row r="1327" spans="1:1" x14ac:dyDescent="0.2">
      <c r="A1327" s="13"/>
    </row>
    <row r="1328" spans="1:1" x14ac:dyDescent="0.2">
      <c r="A1328" s="13"/>
    </row>
    <row r="1329" spans="1:1" x14ac:dyDescent="0.2">
      <c r="A1329" s="13"/>
    </row>
    <row r="1330" spans="1:1" x14ac:dyDescent="0.2">
      <c r="A1330" s="13"/>
    </row>
    <row r="1331" spans="1:1" x14ac:dyDescent="0.2">
      <c r="A1331" s="13"/>
    </row>
    <row r="1332" spans="1:1" x14ac:dyDescent="0.2">
      <c r="A1332" s="13"/>
    </row>
    <row r="1333" spans="1:1" x14ac:dyDescent="0.2">
      <c r="A1333" s="13"/>
    </row>
    <row r="1334" spans="1:1" x14ac:dyDescent="0.2">
      <c r="A1334" s="13"/>
    </row>
    <row r="1335" spans="1:1" x14ac:dyDescent="0.2">
      <c r="A1335" s="13"/>
    </row>
    <row r="1336" spans="1:1" x14ac:dyDescent="0.2">
      <c r="A1336" s="13"/>
    </row>
    <row r="1337" spans="1:1" x14ac:dyDescent="0.2">
      <c r="A1337" s="13"/>
    </row>
    <row r="1338" spans="1:1" x14ac:dyDescent="0.2">
      <c r="A1338" s="13"/>
    </row>
    <row r="1339" spans="1:1" x14ac:dyDescent="0.2">
      <c r="A1339" s="13"/>
    </row>
    <row r="1340" spans="1:1" x14ac:dyDescent="0.2">
      <c r="A1340" s="13"/>
    </row>
    <row r="1341" spans="1:1" x14ac:dyDescent="0.2">
      <c r="A1341" s="13"/>
    </row>
    <row r="1342" spans="1:1" x14ac:dyDescent="0.2">
      <c r="A1342" s="13"/>
    </row>
    <row r="1343" spans="1:1" x14ac:dyDescent="0.2">
      <c r="A1343" s="13"/>
    </row>
    <row r="1344" spans="1:1" x14ac:dyDescent="0.2">
      <c r="A1344" s="13"/>
    </row>
    <row r="1345" spans="1:1" x14ac:dyDescent="0.2">
      <c r="A1345" s="13"/>
    </row>
    <row r="1346" spans="1:1" x14ac:dyDescent="0.2">
      <c r="A1346" s="13"/>
    </row>
    <row r="1347" spans="1:1" x14ac:dyDescent="0.2">
      <c r="A1347" s="13"/>
    </row>
    <row r="1348" spans="1:1" x14ac:dyDescent="0.2">
      <c r="A1348" s="13"/>
    </row>
    <row r="1349" spans="1:1" x14ac:dyDescent="0.2">
      <c r="A1349" s="13"/>
    </row>
    <row r="1350" spans="1:1" x14ac:dyDescent="0.2">
      <c r="A1350" s="13"/>
    </row>
    <row r="1351" spans="1:1" x14ac:dyDescent="0.2">
      <c r="A1351" s="13"/>
    </row>
    <row r="1352" spans="1:1" x14ac:dyDescent="0.2">
      <c r="A1352" s="13"/>
    </row>
    <row r="1353" spans="1:1" x14ac:dyDescent="0.2">
      <c r="A1353" s="13"/>
    </row>
    <row r="1354" spans="1:1" x14ac:dyDescent="0.2">
      <c r="A1354" s="13"/>
    </row>
    <row r="1355" spans="1:1" x14ac:dyDescent="0.2">
      <c r="A1355" s="13"/>
    </row>
    <row r="1356" spans="1:1" x14ac:dyDescent="0.2">
      <c r="A1356" s="13"/>
    </row>
    <row r="1357" spans="1:1" x14ac:dyDescent="0.2">
      <c r="A1357" s="13"/>
    </row>
    <row r="1358" spans="1:1" x14ac:dyDescent="0.2">
      <c r="A1358" s="13"/>
    </row>
    <row r="1359" spans="1:1" x14ac:dyDescent="0.2">
      <c r="A1359" s="13"/>
    </row>
    <row r="1360" spans="1:1" x14ac:dyDescent="0.2">
      <c r="A1360" s="13"/>
    </row>
    <row r="1361" spans="1:1" x14ac:dyDescent="0.2">
      <c r="A1361" s="13"/>
    </row>
    <row r="1362" spans="1:1" x14ac:dyDescent="0.2">
      <c r="A1362" s="13"/>
    </row>
    <row r="1363" spans="1:1" x14ac:dyDescent="0.2">
      <c r="A1363" s="13"/>
    </row>
    <row r="1364" spans="1:1" x14ac:dyDescent="0.2">
      <c r="A1364" s="13"/>
    </row>
    <row r="1365" spans="1:1" x14ac:dyDescent="0.2">
      <c r="A1365" s="13"/>
    </row>
    <row r="1366" spans="1:1" x14ac:dyDescent="0.2">
      <c r="A1366" s="13"/>
    </row>
    <row r="1367" spans="1:1" x14ac:dyDescent="0.2">
      <c r="A1367" s="13"/>
    </row>
    <row r="1368" spans="1:1" x14ac:dyDescent="0.2">
      <c r="A1368" s="13"/>
    </row>
    <row r="1369" spans="1:1" x14ac:dyDescent="0.2">
      <c r="A1369" s="13"/>
    </row>
    <row r="1370" spans="1:1" x14ac:dyDescent="0.2">
      <c r="A1370" s="13"/>
    </row>
    <row r="1371" spans="1:1" x14ac:dyDescent="0.2">
      <c r="A1371" s="13"/>
    </row>
    <row r="1372" spans="1:1" x14ac:dyDescent="0.2">
      <c r="A1372" s="13"/>
    </row>
    <row r="1373" spans="1:1" x14ac:dyDescent="0.2">
      <c r="A1373" s="13"/>
    </row>
    <row r="1374" spans="1:1" x14ac:dyDescent="0.2">
      <c r="A1374" s="13"/>
    </row>
    <row r="1375" spans="1:1" x14ac:dyDescent="0.2">
      <c r="A1375" s="13"/>
    </row>
    <row r="1376" spans="1:1" x14ac:dyDescent="0.2">
      <c r="A1376" s="13"/>
    </row>
    <row r="1377" spans="1:1" x14ac:dyDescent="0.2">
      <c r="A1377" s="13"/>
    </row>
    <row r="1378" spans="1:1" x14ac:dyDescent="0.2">
      <c r="A1378" s="13"/>
    </row>
    <row r="1379" spans="1:1" x14ac:dyDescent="0.2">
      <c r="A1379" s="13"/>
    </row>
    <row r="1380" spans="1:1" x14ac:dyDescent="0.2">
      <c r="A1380" s="13"/>
    </row>
    <row r="1381" spans="1:1" x14ac:dyDescent="0.2">
      <c r="A1381" s="13"/>
    </row>
    <row r="1382" spans="1:1" x14ac:dyDescent="0.2">
      <c r="A1382" s="13"/>
    </row>
    <row r="1383" spans="1:1" x14ac:dyDescent="0.2">
      <c r="A1383" s="13"/>
    </row>
    <row r="1384" spans="1:1" x14ac:dyDescent="0.2">
      <c r="A1384" s="13"/>
    </row>
    <row r="1385" spans="1:1" x14ac:dyDescent="0.2">
      <c r="A1385" s="13"/>
    </row>
    <row r="1386" spans="1:1" x14ac:dyDescent="0.2">
      <c r="A1386" s="13"/>
    </row>
    <row r="1387" spans="1:1" x14ac:dyDescent="0.2">
      <c r="A1387" s="13"/>
    </row>
    <row r="1388" spans="1:1" x14ac:dyDescent="0.2">
      <c r="A1388" s="13"/>
    </row>
    <row r="1389" spans="1:1" x14ac:dyDescent="0.2">
      <c r="A1389" s="13"/>
    </row>
    <row r="1390" spans="1:1" x14ac:dyDescent="0.2">
      <c r="A1390" s="13"/>
    </row>
    <row r="1391" spans="1:1" x14ac:dyDescent="0.2">
      <c r="A1391" s="13"/>
    </row>
    <row r="1392" spans="1:1" x14ac:dyDescent="0.2">
      <c r="A1392" s="13"/>
    </row>
    <row r="1393" spans="1:1" x14ac:dyDescent="0.2">
      <c r="A1393" s="13"/>
    </row>
    <row r="1394" spans="1:1" x14ac:dyDescent="0.2">
      <c r="A1394" s="13"/>
    </row>
    <row r="1395" spans="1:1" x14ac:dyDescent="0.2">
      <c r="A1395" s="13"/>
    </row>
    <row r="1396" spans="1:1" x14ac:dyDescent="0.2">
      <c r="A1396" s="13"/>
    </row>
    <row r="1397" spans="1:1" x14ac:dyDescent="0.2">
      <c r="A1397" s="13"/>
    </row>
    <row r="1398" spans="1:1" x14ac:dyDescent="0.2">
      <c r="A1398" s="13"/>
    </row>
    <row r="1399" spans="1:1" x14ac:dyDescent="0.2">
      <c r="A1399" s="13"/>
    </row>
    <row r="1400" spans="1:1" x14ac:dyDescent="0.2">
      <c r="A1400" s="13"/>
    </row>
    <row r="1401" spans="1:1" x14ac:dyDescent="0.2">
      <c r="A1401" s="13"/>
    </row>
    <row r="1402" spans="1:1" x14ac:dyDescent="0.2">
      <c r="A1402" s="13"/>
    </row>
    <row r="1403" spans="1:1" x14ac:dyDescent="0.2">
      <c r="A1403" s="13"/>
    </row>
    <row r="1404" spans="1:1" x14ac:dyDescent="0.2">
      <c r="A1404" s="13"/>
    </row>
    <row r="1405" spans="1:1" x14ac:dyDescent="0.2">
      <c r="A1405" s="13"/>
    </row>
    <row r="1406" spans="1:1" x14ac:dyDescent="0.2">
      <c r="A1406" s="13"/>
    </row>
    <row r="1407" spans="1:1" x14ac:dyDescent="0.2">
      <c r="A1407" s="13"/>
    </row>
    <row r="1408" spans="1:1" x14ac:dyDescent="0.2">
      <c r="A1408" s="13"/>
    </row>
    <row r="1409" spans="1:1" x14ac:dyDescent="0.2">
      <c r="A1409" s="13"/>
    </row>
    <row r="1410" spans="1:1" x14ac:dyDescent="0.2">
      <c r="A1410" s="13"/>
    </row>
    <row r="1411" spans="1:1" x14ac:dyDescent="0.2">
      <c r="A1411" s="13"/>
    </row>
    <row r="1412" spans="1:1" x14ac:dyDescent="0.2">
      <c r="A1412" s="13"/>
    </row>
    <row r="1413" spans="1:1" x14ac:dyDescent="0.2">
      <c r="A1413" s="13"/>
    </row>
    <row r="1414" spans="1:1" x14ac:dyDescent="0.2">
      <c r="A1414" s="13"/>
    </row>
    <row r="1415" spans="1:1" x14ac:dyDescent="0.2">
      <c r="A1415" s="13"/>
    </row>
    <row r="1416" spans="1:1" x14ac:dyDescent="0.2">
      <c r="A1416" s="13"/>
    </row>
    <row r="1417" spans="1:1" x14ac:dyDescent="0.2">
      <c r="A1417" s="13"/>
    </row>
    <row r="1418" spans="1:1" x14ac:dyDescent="0.2">
      <c r="A1418" s="13"/>
    </row>
    <row r="1419" spans="1:1" x14ac:dyDescent="0.2">
      <c r="A1419" s="13"/>
    </row>
    <row r="1420" spans="1:1" x14ac:dyDescent="0.2">
      <c r="A1420" s="13"/>
    </row>
    <row r="1421" spans="1:1" x14ac:dyDescent="0.2">
      <c r="A1421" s="13"/>
    </row>
    <row r="1422" spans="1:1" x14ac:dyDescent="0.2">
      <c r="A1422" s="13"/>
    </row>
    <row r="1423" spans="1:1" x14ac:dyDescent="0.2">
      <c r="A1423" s="13"/>
    </row>
    <row r="1424" spans="1:1" x14ac:dyDescent="0.2">
      <c r="A1424" s="13"/>
    </row>
    <row r="1425" spans="1:1" x14ac:dyDescent="0.2">
      <c r="A1425" s="13"/>
    </row>
    <row r="1426" spans="1:1" x14ac:dyDescent="0.2">
      <c r="A1426" s="13"/>
    </row>
    <row r="1427" spans="1:1" x14ac:dyDescent="0.2">
      <c r="A1427" s="13"/>
    </row>
    <row r="1428" spans="1:1" x14ac:dyDescent="0.2">
      <c r="A1428" s="13"/>
    </row>
    <row r="1429" spans="1:1" x14ac:dyDescent="0.2">
      <c r="A1429" s="13"/>
    </row>
    <row r="1430" spans="1:1" x14ac:dyDescent="0.2">
      <c r="A1430" s="13"/>
    </row>
    <row r="1431" spans="1:1" x14ac:dyDescent="0.2">
      <c r="A1431" s="13"/>
    </row>
    <row r="1432" spans="1:1" x14ac:dyDescent="0.2">
      <c r="A1432" s="13"/>
    </row>
    <row r="1433" spans="1:1" x14ac:dyDescent="0.2">
      <c r="A1433" s="13"/>
    </row>
    <row r="1434" spans="1:1" x14ac:dyDescent="0.2">
      <c r="A1434" s="13"/>
    </row>
    <row r="1435" spans="1:1" x14ac:dyDescent="0.2">
      <c r="A1435" s="13"/>
    </row>
    <row r="1436" spans="1:1" x14ac:dyDescent="0.2">
      <c r="A1436" s="13"/>
    </row>
    <row r="1437" spans="1:1" x14ac:dyDescent="0.2">
      <c r="A1437" s="13"/>
    </row>
    <row r="1438" spans="1:1" x14ac:dyDescent="0.2">
      <c r="A1438" s="13"/>
    </row>
    <row r="1439" spans="1:1" x14ac:dyDescent="0.2">
      <c r="A1439" s="13"/>
    </row>
    <row r="1440" spans="1:1" x14ac:dyDescent="0.2">
      <c r="A1440" s="13"/>
    </row>
    <row r="1441" spans="1:1" x14ac:dyDescent="0.2">
      <c r="A1441" s="13"/>
    </row>
    <row r="1442" spans="1:1" x14ac:dyDescent="0.2">
      <c r="A1442" s="13"/>
    </row>
    <row r="1443" spans="1:1" x14ac:dyDescent="0.2">
      <c r="A1443" s="13"/>
    </row>
    <row r="1444" spans="1:1" x14ac:dyDescent="0.2">
      <c r="A1444" s="13"/>
    </row>
    <row r="1445" spans="1:1" x14ac:dyDescent="0.2">
      <c r="A1445" s="13"/>
    </row>
    <row r="1446" spans="1:1" x14ac:dyDescent="0.2">
      <c r="A1446" s="13"/>
    </row>
    <row r="1447" spans="1:1" x14ac:dyDescent="0.2">
      <c r="A1447" s="13"/>
    </row>
    <row r="1448" spans="1:1" x14ac:dyDescent="0.2">
      <c r="A1448" s="13"/>
    </row>
    <row r="1449" spans="1:1" x14ac:dyDescent="0.2">
      <c r="A1449" s="13"/>
    </row>
    <row r="1450" spans="1:1" x14ac:dyDescent="0.2">
      <c r="A1450" s="13"/>
    </row>
    <row r="1451" spans="1:1" x14ac:dyDescent="0.2">
      <c r="A1451" s="13"/>
    </row>
    <row r="1452" spans="1:1" x14ac:dyDescent="0.2">
      <c r="A1452" s="13"/>
    </row>
    <row r="1453" spans="1:1" x14ac:dyDescent="0.2">
      <c r="A1453" s="13"/>
    </row>
    <row r="1454" spans="1:1" x14ac:dyDescent="0.2">
      <c r="A1454" s="13"/>
    </row>
    <row r="1455" spans="1:1" x14ac:dyDescent="0.2">
      <c r="A1455" s="13"/>
    </row>
    <row r="1456" spans="1:1" x14ac:dyDescent="0.2">
      <c r="A1456" s="13"/>
    </row>
    <row r="1457" spans="1:1" x14ac:dyDescent="0.2">
      <c r="A1457" s="13"/>
    </row>
    <row r="1458" spans="1:1" x14ac:dyDescent="0.2">
      <c r="A1458" s="13"/>
    </row>
    <row r="1459" spans="1:1" x14ac:dyDescent="0.2">
      <c r="A1459" s="13"/>
    </row>
    <row r="1460" spans="1:1" x14ac:dyDescent="0.2">
      <c r="A1460" s="13"/>
    </row>
    <row r="1461" spans="1:1" x14ac:dyDescent="0.2">
      <c r="A1461" s="13"/>
    </row>
    <row r="1462" spans="1:1" x14ac:dyDescent="0.2">
      <c r="A1462" s="13"/>
    </row>
    <row r="1463" spans="1:1" x14ac:dyDescent="0.2">
      <c r="A1463" s="13"/>
    </row>
    <row r="1464" spans="1:1" x14ac:dyDescent="0.2">
      <c r="A1464" s="13"/>
    </row>
    <row r="1465" spans="1:1" x14ac:dyDescent="0.2">
      <c r="A1465" s="13"/>
    </row>
    <row r="1466" spans="1:1" x14ac:dyDescent="0.2">
      <c r="A1466" s="13"/>
    </row>
    <row r="1467" spans="1:1" x14ac:dyDescent="0.2">
      <c r="A1467" s="13"/>
    </row>
    <row r="1468" spans="1:1" x14ac:dyDescent="0.2">
      <c r="A1468" s="13"/>
    </row>
    <row r="1469" spans="1:1" x14ac:dyDescent="0.2">
      <c r="A1469" s="13"/>
    </row>
    <row r="1470" spans="1:1" x14ac:dyDescent="0.2">
      <c r="A1470" s="13"/>
    </row>
    <row r="1471" spans="1:1" x14ac:dyDescent="0.2">
      <c r="A1471" s="13"/>
    </row>
    <row r="1472" spans="1:1" x14ac:dyDescent="0.2">
      <c r="A1472" s="13"/>
    </row>
    <row r="1473" spans="1:1" x14ac:dyDescent="0.2">
      <c r="A1473" s="13"/>
    </row>
    <row r="1474" spans="1:1" x14ac:dyDescent="0.2">
      <c r="A1474" s="13"/>
    </row>
    <row r="1475" spans="1:1" x14ac:dyDescent="0.2">
      <c r="A1475" s="13"/>
    </row>
    <row r="1476" spans="1:1" x14ac:dyDescent="0.2">
      <c r="A1476" s="13"/>
    </row>
    <row r="1477" spans="1:1" x14ac:dyDescent="0.2">
      <c r="A1477" s="13"/>
    </row>
    <row r="1478" spans="1:1" x14ac:dyDescent="0.2">
      <c r="A1478" s="13"/>
    </row>
    <row r="1479" spans="1:1" x14ac:dyDescent="0.2">
      <c r="A1479" s="13"/>
    </row>
    <row r="1480" spans="1:1" x14ac:dyDescent="0.2">
      <c r="A1480" s="13"/>
    </row>
    <row r="1481" spans="1:1" x14ac:dyDescent="0.2">
      <c r="A1481" s="13"/>
    </row>
    <row r="1482" spans="1:1" x14ac:dyDescent="0.2">
      <c r="A1482" s="13"/>
    </row>
    <row r="1483" spans="1:1" x14ac:dyDescent="0.2">
      <c r="A1483" s="13"/>
    </row>
    <row r="1484" spans="1:1" x14ac:dyDescent="0.2">
      <c r="A1484" s="13"/>
    </row>
    <row r="1485" spans="1:1" x14ac:dyDescent="0.2">
      <c r="A1485" s="13"/>
    </row>
    <row r="1486" spans="1:1" x14ac:dyDescent="0.2">
      <c r="A1486" s="13"/>
    </row>
    <row r="1487" spans="1:1" x14ac:dyDescent="0.2">
      <c r="A1487" s="13"/>
    </row>
    <row r="1488" spans="1:1" x14ac:dyDescent="0.2">
      <c r="A1488" s="13"/>
    </row>
    <row r="1489" spans="1:1" x14ac:dyDescent="0.2">
      <c r="A1489" s="13"/>
    </row>
    <row r="1490" spans="1:1" x14ac:dyDescent="0.2">
      <c r="A1490" s="13"/>
    </row>
    <row r="1491" spans="1:1" x14ac:dyDescent="0.2">
      <c r="A1491" s="13"/>
    </row>
    <row r="1492" spans="1:1" x14ac:dyDescent="0.2">
      <c r="A1492" s="13"/>
    </row>
    <row r="1493" spans="1:1" x14ac:dyDescent="0.2">
      <c r="A1493" s="13"/>
    </row>
    <row r="1494" spans="1:1" x14ac:dyDescent="0.2">
      <c r="A1494" s="13"/>
    </row>
    <row r="1495" spans="1:1" x14ac:dyDescent="0.2">
      <c r="A1495" s="13"/>
    </row>
    <row r="1496" spans="1:1" x14ac:dyDescent="0.2">
      <c r="A1496" s="13"/>
    </row>
    <row r="1497" spans="1:1" x14ac:dyDescent="0.2">
      <c r="A1497" s="13"/>
    </row>
    <row r="1498" spans="1:1" x14ac:dyDescent="0.2">
      <c r="A1498" s="13"/>
    </row>
    <row r="1499" spans="1:1" x14ac:dyDescent="0.2">
      <c r="A1499" s="13"/>
    </row>
    <row r="1500" spans="1:1" x14ac:dyDescent="0.2">
      <c r="A1500" s="13"/>
    </row>
    <row r="1501" spans="1:1" x14ac:dyDescent="0.2">
      <c r="A1501" s="13"/>
    </row>
    <row r="1502" spans="1:1" x14ac:dyDescent="0.2">
      <c r="A1502" s="13"/>
    </row>
    <row r="1503" spans="1:1" x14ac:dyDescent="0.2">
      <c r="A1503" s="13"/>
    </row>
    <row r="1504" spans="1:1" x14ac:dyDescent="0.2">
      <c r="A1504" s="13"/>
    </row>
    <row r="1505" spans="1:1" x14ac:dyDescent="0.2">
      <c r="A1505" s="13"/>
    </row>
    <row r="1506" spans="1:1" x14ac:dyDescent="0.2">
      <c r="A1506" s="13"/>
    </row>
    <row r="1507" spans="1:1" x14ac:dyDescent="0.2">
      <c r="A1507" s="13"/>
    </row>
    <row r="1508" spans="1:1" x14ac:dyDescent="0.2">
      <c r="A1508" s="13"/>
    </row>
    <row r="1509" spans="1:1" x14ac:dyDescent="0.2">
      <c r="A1509" s="13"/>
    </row>
    <row r="1510" spans="1:1" x14ac:dyDescent="0.2">
      <c r="A1510" s="13"/>
    </row>
    <row r="1511" spans="1:1" x14ac:dyDescent="0.2">
      <c r="A1511" s="13"/>
    </row>
    <row r="1512" spans="1:1" x14ac:dyDescent="0.2">
      <c r="A1512" s="13"/>
    </row>
    <row r="1513" spans="1:1" x14ac:dyDescent="0.2">
      <c r="A1513" s="13"/>
    </row>
    <row r="1514" spans="1:1" x14ac:dyDescent="0.2">
      <c r="A1514" s="13"/>
    </row>
    <row r="1515" spans="1:1" x14ac:dyDescent="0.2">
      <c r="A1515" s="13"/>
    </row>
    <row r="1516" spans="1:1" x14ac:dyDescent="0.2">
      <c r="A1516" s="13"/>
    </row>
    <row r="1517" spans="1:1" x14ac:dyDescent="0.2">
      <c r="A1517" s="13"/>
    </row>
    <row r="1518" spans="1:1" x14ac:dyDescent="0.2">
      <c r="A1518" s="13"/>
    </row>
    <row r="1519" spans="1:1" x14ac:dyDescent="0.2">
      <c r="A1519" s="13"/>
    </row>
    <row r="1520" spans="1:1" x14ac:dyDescent="0.2">
      <c r="A1520" s="13"/>
    </row>
    <row r="1521" spans="1:1" x14ac:dyDescent="0.2">
      <c r="A1521" s="13"/>
    </row>
    <row r="1522" spans="1:1" x14ac:dyDescent="0.2">
      <c r="A1522" s="13"/>
    </row>
    <row r="1523" spans="1:1" x14ac:dyDescent="0.2">
      <c r="A1523" s="13"/>
    </row>
    <row r="1524" spans="1:1" x14ac:dyDescent="0.2">
      <c r="A1524" s="13"/>
    </row>
    <row r="1525" spans="1:1" x14ac:dyDescent="0.2">
      <c r="A1525" s="13"/>
    </row>
    <row r="1526" spans="1:1" x14ac:dyDescent="0.2">
      <c r="A1526" s="13"/>
    </row>
    <row r="1527" spans="1:1" x14ac:dyDescent="0.2">
      <c r="A1527" s="13"/>
    </row>
    <row r="1528" spans="1:1" x14ac:dyDescent="0.2">
      <c r="A1528" s="13"/>
    </row>
    <row r="1529" spans="1:1" x14ac:dyDescent="0.2">
      <c r="A1529" s="13"/>
    </row>
    <row r="1530" spans="1:1" x14ac:dyDescent="0.2">
      <c r="A1530" s="13"/>
    </row>
    <row r="1531" spans="1:1" x14ac:dyDescent="0.2">
      <c r="A1531" s="13"/>
    </row>
    <row r="1532" spans="1:1" x14ac:dyDescent="0.2">
      <c r="A1532" s="13"/>
    </row>
    <row r="1533" spans="1:1" x14ac:dyDescent="0.2">
      <c r="A1533" s="13"/>
    </row>
    <row r="1534" spans="1:1" x14ac:dyDescent="0.2">
      <c r="A1534" s="13"/>
    </row>
    <row r="1535" spans="1:1" x14ac:dyDescent="0.2">
      <c r="A1535" s="13"/>
    </row>
    <row r="1536" spans="1:1" x14ac:dyDescent="0.2">
      <c r="A1536" s="13"/>
    </row>
    <row r="1537" spans="1:1" x14ac:dyDescent="0.2">
      <c r="A1537" s="13"/>
    </row>
    <row r="1538" spans="1:1" x14ac:dyDescent="0.2">
      <c r="A1538" s="13"/>
    </row>
    <row r="1539" spans="1:1" x14ac:dyDescent="0.2">
      <c r="A1539" s="13"/>
    </row>
    <row r="1540" spans="1:1" x14ac:dyDescent="0.2">
      <c r="A1540" s="13"/>
    </row>
    <row r="1541" spans="1:1" x14ac:dyDescent="0.2">
      <c r="A1541" s="13"/>
    </row>
    <row r="1542" spans="1:1" x14ac:dyDescent="0.2">
      <c r="A1542" s="13"/>
    </row>
    <row r="1543" spans="1:1" x14ac:dyDescent="0.2">
      <c r="A1543" s="13"/>
    </row>
    <row r="1544" spans="1:1" x14ac:dyDescent="0.2">
      <c r="A1544" s="13"/>
    </row>
    <row r="1545" spans="1:1" x14ac:dyDescent="0.2">
      <c r="A1545" s="13"/>
    </row>
    <row r="1546" spans="1:1" x14ac:dyDescent="0.2">
      <c r="A1546" s="13"/>
    </row>
    <row r="1547" spans="1:1" x14ac:dyDescent="0.2">
      <c r="A1547" s="13"/>
    </row>
    <row r="1548" spans="1:1" x14ac:dyDescent="0.2">
      <c r="A1548" s="13"/>
    </row>
    <row r="1549" spans="1:1" x14ac:dyDescent="0.2">
      <c r="A1549" s="13"/>
    </row>
    <row r="1550" spans="1:1" x14ac:dyDescent="0.2">
      <c r="A1550" s="13"/>
    </row>
    <row r="1551" spans="1:1" x14ac:dyDescent="0.2">
      <c r="A1551" s="13"/>
    </row>
    <row r="1552" spans="1:1" x14ac:dyDescent="0.2">
      <c r="A1552" s="13"/>
    </row>
    <row r="1553" spans="1:1" x14ac:dyDescent="0.2">
      <c r="A1553" s="13"/>
    </row>
    <row r="1554" spans="1:1" x14ac:dyDescent="0.2">
      <c r="A1554" s="13"/>
    </row>
    <row r="1555" spans="1:1" x14ac:dyDescent="0.2">
      <c r="A1555" s="13"/>
    </row>
    <row r="1556" spans="1:1" x14ac:dyDescent="0.2">
      <c r="A1556" s="13"/>
    </row>
    <row r="1557" spans="1:1" x14ac:dyDescent="0.2">
      <c r="A1557" s="13"/>
    </row>
    <row r="1558" spans="1:1" x14ac:dyDescent="0.2">
      <c r="A1558" s="13"/>
    </row>
    <row r="1559" spans="1:1" x14ac:dyDescent="0.2">
      <c r="A1559" s="13"/>
    </row>
    <row r="1560" spans="1:1" x14ac:dyDescent="0.2">
      <c r="A1560" s="13"/>
    </row>
    <row r="1561" spans="1:1" x14ac:dyDescent="0.2">
      <c r="A1561" s="13"/>
    </row>
    <row r="1562" spans="1:1" x14ac:dyDescent="0.2">
      <c r="A1562" s="13"/>
    </row>
    <row r="1563" spans="1:1" x14ac:dyDescent="0.2">
      <c r="A1563" s="13"/>
    </row>
    <row r="1564" spans="1:1" x14ac:dyDescent="0.2">
      <c r="A1564" s="13"/>
    </row>
    <row r="1565" spans="1:1" x14ac:dyDescent="0.2">
      <c r="A1565" s="13"/>
    </row>
    <row r="1566" spans="1:1" x14ac:dyDescent="0.2">
      <c r="A1566" s="13"/>
    </row>
    <row r="1567" spans="1:1" x14ac:dyDescent="0.2">
      <c r="A1567" s="13"/>
    </row>
    <row r="1568" spans="1:1" x14ac:dyDescent="0.2">
      <c r="A1568" s="13"/>
    </row>
    <row r="1569" spans="1:1" x14ac:dyDescent="0.2">
      <c r="A1569" s="13"/>
    </row>
    <row r="1570" spans="1:1" x14ac:dyDescent="0.2">
      <c r="A1570" s="13"/>
    </row>
    <row r="1571" spans="1:1" x14ac:dyDescent="0.2">
      <c r="A1571" s="13"/>
    </row>
    <row r="1572" spans="1:1" x14ac:dyDescent="0.2">
      <c r="A1572" s="13"/>
    </row>
    <row r="1573" spans="1:1" x14ac:dyDescent="0.2">
      <c r="A1573" s="13"/>
    </row>
    <row r="1574" spans="1:1" x14ac:dyDescent="0.2">
      <c r="A1574" s="13"/>
    </row>
    <row r="1575" spans="1:1" x14ac:dyDescent="0.2">
      <c r="A1575" s="13"/>
    </row>
    <row r="1576" spans="1:1" x14ac:dyDescent="0.2">
      <c r="A1576" s="13"/>
    </row>
    <row r="1577" spans="1:1" x14ac:dyDescent="0.2">
      <c r="A1577" s="13"/>
    </row>
    <row r="1578" spans="1:1" x14ac:dyDescent="0.2">
      <c r="A1578" s="13"/>
    </row>
    <row r="1579" spans="1:1" x14ac:dyDescent="0.2">
      <c r="A1579" s="13"/>
    </row>
    <row r="1580" spans="1:1" x14ac:dyDescent="0.2">
      <c r="A1580" s="13"/>
    </row>
    <row r="1581" spans="1:1" x14ac:dyDescent="0.2">
      <c r="A1581" s="13"/>
    </row>
    <row r="1582" spans="1:1" x14ac:dyDescent="0.2">
      <c r="A1582" s="13"/>
    </row>
    <row r="1583" spans="1:1" x14ac:dyDescent="0.2">
      <c r="A1583" s="13"/>
    </row>
    <row r="1584" spans="1:1" x14ac:dyDescent="0.2">
      <c r="A1584" s="13"/>
    </row>
    <row r="1585" spans="1:1" x14ac:dyDescent="0.2">
      <c r="A1585" s="13"/>
    </row>
    <row r="1586" spans="1:1" x14ac:dyDescent="0.2">
      <c r="A1586" s="13"/>
    </row>
    <row r="1587" spans="1:1" x14ac:dyDescent="0.2">
      <c r="A1587" s="13"/>
    </row>
    <row r="1588" spans="1:1" x14ac:dyDescent="0.2">
      <c r="A1588" s="13"/>
    </row>
    <row r="1589" spans="1:1" x14ac:dyDescent="0.2">
      <c r="A1589" s="13"/>
    </row>
    <row r="1590" spans="1:1" x14ac:dyDescent="0.2">
      <c r="A1590" s="13"/>
    </row>
    <row r="1591" spans="1:1" x14ac:dyDescent="0.2">
      <c r="A1591" s="13"/>
    </row>
    <row r="1592" spans="1:1" x14ac:dyDescent="0.2">
      <c r="A1592" s="13"/>
    </row>
    <row r="1593" spans="1:1" x14ac:dyDescent="0.2">
      <c r="A1593" s="13"/>
    </row>
    <row r="1594" spans="1:1" x14ac:dyDescent="0.2">
      <c r="A1594" s="13"/>
    </row>
    <row r="1595" spans="1:1" x14ac:dyDescent="0.2">
      <c r="A1595" s="13"/>
    </row>
    <row r="1596" spans="1:1" x14ac:dyDescent="0.2">
      <c r="A1596" s="13"/>
    </row>
    <row r="1597" spans="1:1" x14ac:dyDescent="0.2">
      <c r="A1597" s="13"/>
    </row>
    <row r="1598" spans="1:1" x14ac:dyDescent="0.2">
      <c r="A1598" s="13"/>
    </row>
    <row r="1599" spans="1:1" x14ac:dyDescent="0.2">
      <c r="A1599" s="13"/>
    </row>
    <row r="1600" spans="1:1" x14ac:dyDescent="0.2">
      <c r="A1600" s="13"/>
    </row>
    <row r="1601" spans="1:1" x14ac:dyDescent="0.2">
      <c r="A1601" s="13"/>
    </row>
    <row r="1602" spans="1:1" x14ac:dyDescent="0.2">
      <c r="A1602" s="13"/>
    </row>
    <row r="1603" spans="1:1" x14ac:dyDescent="0.2">
      <c r="A1603" s="13"/>
    </row>
    <row r="1604" spans="1:1" x14ac:dyDescent="0.2">
      <c r="A1604" s="13"/>
    </row>
    <row r="1605" spans="1:1" x14ac:dyDescent="0.2">
      <c r="A1605" s="13"/>
    </row>
    <row r="1606" spans="1:1" x14ac:dyDescent="0.2">
      <c r="A1606" s="13"/>
    </row>
    <row r="1607" spans="1:1" x14ac:dyDescent="0.2">
      <c r="A1607" s="13"/>
    </row>
    <row r="1608" spans="1:1" x14ac:dyDescent="0.2">
      <c r="A1608" s="13"/>
    </row>
    <row r="1609" spans="1:1" x14ac:dyDescent="0.2">
      <c r="A1609" s="13"/>
    </row>
    <row r="1610" spans="1:1" x14ac:dyDescent="0.2">
      <c r="A1610" s="13"/>
    </row>
    <row r="1611" spans="1:1" x14ac:dyDescent="0.2">
      <c r="A1611" s="13"/>
    </row>
    <row r="1612" spans="1:1" x14ac:dyDescent="0.2">
      <c r="A1612" s="13"/>
    </row>
    <row r="1613" spans="1:1" x14ac:dyDescent="0.2">
      <c r="A1613" s="13"/>
    </row>
    <row r="1614" spans="1:1" x14ac:dyDescent="0.2">
      <c r="A1614" s="13"/>
    </row>
    <row r="1615" spans="1:1" x14ac:dyDescent="0.2">
      <c r="A1615" s="13"/>
    </row>
    <row r="1616" spans="1:1" x14ac:dyDescent="0.2">
      <c r="A1616" s="13"/>
    </row>
    <row r="1617" spans="1:1" x14ac:dyDescent="0.2">
      <c r="A1617" s="13"/>
    </row>
    <row r="1618" spans="1:1" x14ac:dyDescent="0.2">
      <c r="A1618" s="13"/>
    </row>
    <row r="1619" spans="1:1" x14ac:dyDescent="0.2">
      <c r="A1619" s="13"/>
    </row>
    <row r="1620" spans="1:1" x14ac:dyDescent="0.2">
      <c r="A1620" s="13"/>
    </row>
    <row r="1621" spans="1:1" x14ac:dyDescent="0.2">
      <c r="A1621" s="13"/>
    </row>
    <row r="1622" spans="1:1" x14ac:dyDescent="0.2">
      <c r="A1622" s="13"/>
    </row>
    <row r="1623" spans="1:1" x14ac:dyDescent="0.2">
      <c r="A1623" s="13"/>
    </row>
    <row r="1624" spans="1:1" x14ac:dyDescent="0.2">
      <c r="A1624" s="13"/>
    </row>
    <row r="1625" spans="1:1" x14ac:dyDescent="0.2">
      <c r="A1625" s="13"/>
    </row>
    <row r="1626" spans="1:1" x14ac:dyDescent="0.2">
      <c r="A1626" s="13"/>
    </row>
    <row r="1627" spans="1:1" x14ac:dyDescent="0.2">
      <c r="A1627" s="13"/>
    </row>
    <row r="1628" spans="1:1" x14ac:dyDescent="0.2">
      <c r="A1628" s="13"/>
    </row>
    <row r="1629" spans="1:1" x14ac:dyDescent="0.2">
      <c r="A1629" s="13"/>
    </row>
    <row r="1630" spans="1:1" x14ac:dyDescent="0.2">
      <c r="A1630" s="13"/>
    </row>
    <row r="1631" spans="1:1" x14ac:dyDescent="0.2">
      <c r="A1631" s="13"/>
    </row>
    <row r="1632" spans="1:1" x14ac:dyDescent="0.2">
      <c r="A1632" s="13"/>
    </row>
    <row r="1633" spans="1:1" x14ac:dyDescent="0.2">
      <c r="A1633" s="13"/>
    </row>
    <row r="1634" spans="1:1" x14ac:dyDescent="0.2">
      <c r="A1634" s="13"/>
    </row>
    <row r="1635" spans="1:1" x14ac:dyDescent="0.2">
      <c r="A1635" s="13"/>
    </row>
    <row r="1636" spans="1:1" x14ac:dyDescent="0.2">
      <c r="A1636" s="13"/>
    </row>
    <row r="1637" spans="1:1" x14ac:dyDescent="0.2">
      <c r="A1637" s="13"/>
    </row>
    <row r="1638" spans="1:1" x14ac:dyDescent="0.2">
      <c r="A1638" s="13"/>
    </row>
    <row r="1639" spans="1:1" x14ac:dyDescent="0.2">
      <c r="A1639" s="13"/>
    </row>
    <row r="1640" spans="1:1" x14ac:dyDescent="0.2">
      <c r="A1640" s="13"/>
    </row>
    <row r="1641" spans="1:1" x14ac:dyDescent="0.2">
      <c r="A1641" s="13"/>
    </row>
    <row r="1642" spans="1:1" x14ac:dyDescent="0.2">
      <c r="A1642" s="13"/>
    </row>
    <row r="1643" spans="1:1" x14ac:dyDescent="0.2">
      <c r="A1643" s="13"/>
    </row>
    <row r="1644" spans="1:1" x14ac:dyDescent="0.2">
      <c r="A1644" s="13"/>
    </row>
    <row r="1645" spans="1:1" x14ac:dyDescent="0.2">
      <c r="A1645" s="13"/>
    </row>
    <row r="1646" spans="1:1" x14ac:dyDescent="0.2">
      <c r="A1646" s="13"/>
    </row>
    <row r="1647" spans="1:1" x14ac:dyDescent="0.2">
      <c r="A1647" s="13"/>
    </row>
    <row r="1648" spans="1:1" x14ac:dyDescent="0.2">
      <c r="A1648" s="13"/>
    </row>
    <row r="1649" spans="1:1" x14ac:dyDescent="0.2">
      <c r="A1649" s="13"/>
    </row>
    <row r="1650" spans="1:1" x14ac:dyDescent="0.2">
      <c r="A1650" s="13"/>
    </row>
    <row r="1651" spans="1:1" x14ac:dyDescent="0.2">
      <c r="A1651" s="13"/>
    </row>
    <row r="1652" spans="1:1" x14ac:dyDescent="0.2">
      <c r="A1652" s="13"/>
    </row>
    <row r="1653" spans="1:1" x14ac:dyDescent="0.2">
      <c r="A1653" s="13"/>
    </row>
    <row r="1654" spans="1:1" x14ac:dyDescent="0.2">
      <c r="A1654" s="13"/>
    </row>
    <row r="1655" spans="1:1" x14ac:dyDescent="0.2">
      <c r="A1655" s="13"/>
    </row>
    <row r="1656" spans="1:1" x14ac:dyDescent="0.2">
      <c r="A1656" s="13"/>
    </row>
    <row r="1657" spans="1:1" x14ac:dyDescent="0.2">
      <c r="A1657" s="13"/>
    </row>
    <row r="1658" spans="1:1" x14ac:dyDescent="0.2">
      <c r="A1658" s="13"/>
    </row>
    <row r="1659" spans="1:1" x14ac:dyDescent="0.2">
      <c r="A1659" s="13"/>
    </row>
    <row r="1660" spans="1:1" x14ac:dyDescent="0.2">
      <c r="A1660" s="13"/>
    </row>
    <row r="1661" spans="1:1" x14ac:dyDescent="0.2">
      <c r="A1661" s="13"/>
    </row>
    <row r="1662" spans="1:1" x14ac:dyDescent="0.2">
      <c r="A1662" s="13"/>
    </row>
    <row r="1663" spans="1:1" x14ac:dyDescent="0.2">
      <c r="A1663" s="13"/>
    </row>
    <row r="1664" spans="1:1" x14ac:dyDescent="0.2">
      <c r="A1664" s="13"/>
    </row>
    <row r="1665" spans="1:1" x14ac:dyDescent="0.2">
      <c r="A1665" s="13"/>
    </row>
    <row r="1666" spans="1:1" x14ac:dyDescent="0.2">
      <c r="A1666" s="13"/>
    </row>
    <row r="1667" spans="1:1" x14ac:dyDescent="0.2">
      <c r="A1667" s="13"/>
    </row>
    <row r="1668" spans="1:1" x14ac:dyDescent="0.2">
      <c r="A1668" s="13"/>
    </row>
    <row r="1669" spans="1:1" x14ac:dyDescent="0.2">
      <c r="A1669" s="13"/>
    </row>
    <row r="1670" spans="1:1" x14ac:dyDescent="0.2">
      <c r="A1670" s="13"/>
    </row>
    <row r="1671" spans="1:1" x14ac:dyDescent="0.2">
      <c r="A1671" s="13"/>
    </row>
    <row r="1672" spans="1:1" x14ac:dyDescent="0.2">
      <c r="A1672" s="13"/>
    </row>
    <row r="1673" spans="1:1" x14ac:dyDescent="0.2">
      <c r="A1673" s="13"/>
    </row>
    <row r="1674" spans="1:1" x14ac:dyDescent="0.2">
      <c r="A1674" s="13"/>
    </row>
    <row r="1675" spans="1:1" x14ac:dyDescent="0.2">
      <c r="A1675" s="13"/>
    </row>
    <row r="1676" spans="1:1" x14ac:dyDescent="0.2">
      <c r="A1676" s="13"/>
    </row>
    <row r="1677" spans="1:1" x14ac:dyDescent="0.2">
      <c r="A1677" s="13"/>
    </row>
    <row r="1678" spans="1:1" x14ac:dyDescent="0.2">
      <c r="A1678" s="13"/>
    </row>
    <row r="1679" spans="1:1" x14ac:dyDescent="0.2">
      <c r="A1679" s="13"/>
    </row>
    <row r="1680" spans="1:1" x14ac:dyDescent="0.2">
      <c r="A1680" s="13"/>
    </row>
    <row r="1681" spans="1:1" x14ac:dyDescent="0.2">
      <c r="A1681" s="13"/>
    </row>
    <row r="1682" spans="1:1" x14ac:dyDescent="0.2">
      <c r="A1682" s="13"/>
    </row>
    <row r="1683" spans="1:1" x14ac:dyDescent="0.2">
      <c r="A1683" s="13"/>
    </row>
    <row r="1684" spans="1:1" x14ac:dyDescent="0.2">
      <c r="A1684" s="13"/>
    </row>
    <row r="1685" spans="1:1" x14ac:dyDescent="0.2">
      <c r="A1685" s="13"/>
    </row>
    <row r="1686" spans="1:1" x14ac:dyDescent="0.2">
      <c r="A1686" s="13"/>
    </row>
    <row r="1687" spans="1:1" x14ac:dyDescent="0.2">
      <c r="A1687" s="13"/>
    </row>
    <row r="1688" spans="1:1" x14ac:dyDescent="0.2">
      <c r="A1688" s="13"/>
    </row>
    <row r="1689" spans="1:1" x14ac:dyDescent="0.2">
      <c r="A1689" s="13"/>
    </row>
    <row r="1690" spans="1:1" x14ac:dyDescent="0.2">
      <c r="A1690" s="13"/>
    </row>
    <row r="1691" spans="1:1" x14ac:dyDescent="0.2">
      <c r="A1691" s="13"/>
    </row>
    <row r="1692" spans="1:1" x14ac:dyDescent="0.2">
      <c r="A1692" s="13"/>
    </row>
    <row r="1693" spans="1:1" x14ac:dyDescent="0.2">
      <c r="A1693" s="13"/>
    </row>
    <row r="1694" spans="1:1" x14ac:dyDescent="0.2">
      <c r="A1694" s="13"/>
    </row>
    <row r="1695" spans="1:1" x14ac:dyDescent="0.2">
      <c r="A1695" s="13"/>
    </row>
    <row r="1696" spans="1:1" x14ac:dyDescent="0.2">
      <c r="A1696" s="13"/>
    </row>
    <row r="1697" spans="1:1" x14ac:dyDescent="0.2">
      <c r="A1697" s="13"/>
    </row>
    <row r="1698" spans="1:1" x14ac:dyDescent="0.2">
      <c r="A1698" s="13"/>
    </row>
    <row r="1699" spans="1:1" x14ac:dyDescent="0.2">
      <c r="A1699" s="13"/>
    </row>
    <row r="1700" spans="1:1" x14ac:dyDescent="0.2">
      <c r="A1700" s="13"/>
    </row>
    <row r="1701" spans="1:1" x14ac:dyDescent="0.2">
      <c r="A1701" s="13"/>
    </row>
    <row r="1702" spans="1:1" x14ac:dyDescent="0.2">
      <c r="A1702" s="13"/>
    </row>
    <row r="1703" spans="1:1" x14ac:dyDescent="0.2">
      <c r="A1703" s="13"/>
    </row>
    <row r="1704" spans="1:1" x14ac:dyDescent="0.2">
      <c r="A1704" s="13"/>
    </row>
    <row r="1705" spans="1:1" x14ac:dyDescent="0.2">
      <c r="A1705" s="13"/>
    </row>
    <row r="1706" spans="1:1" x14ac:dyDescent="0.2">
      <c r="A1706" s="13"/>
    </row>
    <row r="1707" spans="1:1" x14ac:dyDescent="0.2">
      <c r="A1707" s="13"/>
    </row>
    <row r="1708" spans="1:1" x14ac:dyDescent="0.2">
      <c r="A1708" s="13"/>
    </row>
    <row r="1709" spans="1:1" x14ac:dyDescent="0.2">
      <c r="A1709" s="13"/>
    </row>
    <row r="1710" spans="1:1" x14ac:dyDescent="0.2">
      <c r="A1710" s="13"/>
    </row>
    <row r="1711" spans="1:1" x14ac:dyDescent="0.2">
      <c r="A1711" s="13"/>
    </row>
    <row r="1712" spans="1:1" x14ac:dyDescent="0.2">
      <c r="A1712" s="13"/>
    </row>
    <row r="1713" spans="1:1" x14ac:dyDescent="0.2">
      <c r="A1713" s="13"/>
    </row>
    <row r="1714" spans="1:1" x14ac:dyDescent="0.2">
      <c r="A1714" s="13"/>
    </row>
    <row r="1715" spans="1:1" x14ac:dyDescent="0.2">
      <c r="A1715" s="13"/>
    </row>
    <row r="1716" spans="1:1" x14ac:dyDescent="0.2">
      <c r="A1716" s="13"/>
    </row>
    <row r="1717" spans="1:1" x14ac:dyDescent="0.2">
      <c r="A1717" s="13"/>
    </row>
    <row r="1718" spans="1:1" x14ac:dyDescent="0.2">
      <c r="A1718" s="13"/>
    </row>
    <row r="1719" spans="1:1" x14ac:dyDescent="0.2">
      <c r="A1719" s="13"/>
    </row>
    <row r="1720" spans="1:1" x14ac:dyDescent="0.2">
      <c r="A1720" s="13"/>
    </row>
    <row r="1721" spans="1:1" x14ac:dyDescent="0.2">
      <c r="A1721" s="13"/>
    </row>
    <row r="1722" spans="1:1" x14ac:dyDescent="0.2">
      <c r="A1722" s="13"/>
    </row>
    <row r="1723" spans="1:1" x14ac:dyDescent="0.2">
      <c r="A1723" s="13"/>
    </row>
    <row r="1724" spans="1:1" x14ac:dyDescent="0.2">
      <c r="A1724" s="13"/>
    </row>
    <row r="1725" spans="1:1" x14ac:dyDescent="0.2">
      <c r="A1725" s="13"/>
    </row>
    <row r="1726" spans="1:1" x14ac:dyDescent="0.2">
      <c r="A1726" s="13"/>
    </row>
    <row r="1727" spans="1:1" x14ac:dyDescent="0.2">
      <c r="A1727" s="13"/>
    </row>
    <row r="1728" spans="1:1" x14ac:dyDescent="0.2">
      <c r="A1728" s="13"/>
    </row>
    <row r="1729" spans="1:1" x14ac:dyDescent="0.2">
      <c r="A1729" s="13"/>
    </row>
    <row r="1730" spans="1:1" x14ac:dyDescent="0.2">
      <c r="A1730" s="13"/>
    </row>
    <row r="1731" spans="1:1" x14ac:dyDescent="0.2">
      <c r="A1731" s="13"/>
    </row>
    <row r="1732" spans="1:1" x14ac:dyDescent="0.2">
      <c r="A1732" s="13"/>
    </row>
    <row r="1733" spans="1:1" x14ac:dyDescent="0.2">
      <c r="A1733" s="13"/>
    </row>
    <row r="1734" spans="1:1" x14ac:dyDescent="0.2">
      <c r="A1734" s="13"/>
    </row>
    <row r="1735" spans="1:1" x14ac:dyDescent="0.2">
      <c r="A1735" s="13"/>
    </row>
    <row r="1736" spans="1:1" x14ac:dyDescent="0.2">
      <c r="A1736" s="13"/>
    </row>
    <row r="1737" spans="1:1" x14ac:dyDescent="0.2">
      <c r="A1737" s="13"/>
    </row>
    <row r="1738" spans="1:1" x14ac:dyDescent="0.2">
      <c r="A1738" s="13"/>
    </row>
    <row r="1739" spans="1:1" x14ac:dyDescent="0.2">
      <c r="A1739" s="13"/>
    </row>
    <row r="1740" spans="1:1" x14ac:dyDescent="0.2">
      <c r="A1740" s="13"/>
    </row>
    <row r="1741" spans="1:1" x14ac:dyDescent="0.2">
      <c r="A1741" s="13"/>
    </row>
    <row r="1742" spans="1:1" x14ac:dyDescent="0.2">
      <c r="A1742" s="13"/>
    </row>
    <row r="1743" spans="1:1" x14ac:dyDescent="0.2">
      <c r="A1743" s="13"/>
    </row>
    <row r="1744" spans="1:1" x14ac:dyDescent="0.2">
      <c r="A1744" s="13"/>
    </row>
    <row r="1745" spans="1:1" x14ac:dyDescent="0.2">
      <c r="A1745" s="13"/>
    </row>
    <row r="1746" spans="1:1" x14ac:dyDescent="0.2">
      <c r="A1746" s="13"/>
    </row>
    <row r="1747" spans="1:1" x14ac:dyDescent="0.2">
      <c r="A1747" s="13"/>
    </row>
    <row r="1748" spans="1:1" x14ac:dyDescent="0.2">
      <c r="A1748" s="13"/>
    </row>
    <row r="1749" spans="1:1" x14ac:dyDescent="0.2">
      <c r="A1749" s="13"/>
    </row>
    <row r="1750" spans="1:1" x14ac:dyDescent="0.2">
      <c r="A1750" s="13"/>
    </row>
    <row r="1751" spans="1:1" x14ac:dyDescent="0.2">
      <c r="A1751" s="13"/>
    </row>
    <row r="1752" spans="1:1" x14ac:dyDescent="0.2">
      <c r="A1752" s="13"/>
    </row>
    <row r="1753" spans="1:1" x14ac:dyDescent="0.2">
      <c r="A1753" s="13"/>
    </row>
    <row r="1754" spans="1:1" x14ac:dyDescent="0.2">
      <c r="A1754" s="13"/>
    </row>
    <row r="1755" spans="1:1" x14ac:dyDescent="0.2">
      <c r="A1755" s="13"/>
    </row>
    <row r="1756" spans="1:1" x14ac:dyDescent="0.2">
      <c r="A1756" s="13"/>
    </row>
    <row r="1757" spans="1:1" x14ac:dyDescent="0.2">
      <c r="A1757" s="13"/>
    </row>
    <row r="1758" spans="1:1" x14ac:dyDescent="0.2">
      <c r="A1758" s="13"/>
    </row>
    <row r="1759" spans="1:1" x14ac:dyDescent="0.2">
      <c r="A1759" s="13"/>
    </row>
    <row r="1760" spans="1:1" x14ac:dyDescent="0.2">
      <c r="A1760" s="13"/>
    </row>
    <row r="1761" spans="1:1" x14ac:dyDescent="0.2">
      <c r="A1761" s="13"/>
    </row>
    <row r="1762" spans="1:1" x14ac:dyDescent="0.2">
      <c r="A1762" s="13"/>
    </row>
    <row r="1763" spans="1:1" x14ac:dyDescent="0.2">
      <c r="A1763" s="13"/>
    </row>
    <row r="1764" spans="1:1" x14ac:dyDescent="0.2">
      <c r="A1764" s="13"/>
    </row>
    <row r="1765" spans="1:1" x14ac:dyDescent="0.2">
      <c r="A1765" s="13"/>
    </row>
    <row r="1766" spans="1:1" x14ac:dyDescent="0.2">
      <c r="A1766" s="13"/>
    </row>
    <row r="1767" spans="1:1" x14ac:dyDescent="0.2">
      <c r="A1767" s="13"/>
    </row>
    <row r="1768" spans="1:1" x14ac:dyDescent="0.2">
      <c r="A1768" s="13"/>
    </row>
    <row r="1769" spans="1:1" x14ac:dyDescent="0.2">
      <c r="A1769" s="13"/>
    </row>
    <row r="1770" spans="1:1" x14ac:dyDescent="0.2">
      <c r="A1770" s="13"/>
    </row>
    <row r="1771" spans="1:1" x14ac:dyDescent="0.2">
      <c r="A1771" s="13"/>
    </row>
    <row r="1772" spans="1:1" x14ac:dyDescent="0.2">
      <c r="A1772" s="13"/>
    </row>
    <row r="1773" spans="1:1" x14ac:dyDescent="0.2">
      <c r="A1773" s="13"/>
    </row>
    <row r="1774" spans="1:1" x14ac:dyDescent="0.2">
      <c r="A1774" s="13"/>
    </row>
    <row r="1775" spans="1:1" x14ac:dyDescent="0.2">
      <c r="A1775" s="13"/>
    </row>
    <row r="1776" spans="1:1" x14ac:dyDescent="0.2">
      <c r="A1776" s="13"/>
    </row>
    <row r="1777" spans="1:1" x14ac:dyDescent="0.2">
      <c r="A1777" s="13"/>
    </row>
    <row r="1778" spans="1:1" x14ac:dyDescent="0.2">
      <c r="A1778" s="13"/>
    </row>
    <row r="1779" spans="1:1" x14ac:dyDescent="0.2">
      <c r="A1779" s="13"/>
    </row>
    <row r="1780" spans="1:1" x14ac:dyDescent="0.2">
      <c r="A1780" s="13"/>
    </row>
    <row r="1781" spans="1:1" x14ac:dyDescent="0.2">
      <c r="A1781" s="13"/>
    </row>
    <row r="1782" spans="1:1" x14ac:dyDescent="0.2">
      <c r="A1782" s="13"/>
    </row>
    <row r="1783" spans="1:1" x14ac:dyDescent="0.2">
      <c r="A1783" s="13"/>
    </row>
    <row r="1784" spans="1:1" x14ac:dyDescent="0.2">
      <c r="A1784" s="13"/>
    </row>
    <row r="1785" spans="1:1" x14ac:dyDescent="0.2">
      <c r="A1785" s="13"/>
    </row>
    <row r="1786" spans="1:1" x14ac:dyDescent="0.2">
      <c r="A1786" s="13"/>
    </row>
    <row r="1787" spans="1:1" x14ac:dyDescent="0.2">
      <c r="A1787" s="13"/>
    </row>
    <row r="1788" spans="1:1" x14ac:dyDescent="0.2">
      <c r="A1788" s="13"/>
    </row>
    <row r="1789" spans="1:1" x14ac:dyDescent="0.2">
      <c r="A1789" s="13"/>
    </row>
    <row r="1790" spans="1:1" x14ac:dyDescent="0.2">
      <c r="A1790" s="13"/>
    </row>
    <row r="1791" spans="1:1" x14ac:dyDescent="0.2">
      <c r="A1791" s="13"/>
    </row>
    <row r="1792" spans="1:1" x14ac:dyDescent="0.2">
      <c r="A1792" s="13"/>
    </row>
    <row r="1793" spans="1:1" x14ac:dyDescent="0.2">
      <c r="A1793" s="13"/>
    </row>
    <row r="1794" spans="1:1" x14ac:dyDescent="0.2">
      <c r="A1794" s="13"/>
    </row>
    <row r="1795" spans="1:1" x14ac:dyDescent="0.2">
      <c r="A1795" s="13"/>
    </row>
    <row r="1796" spans="1:1" x14ac:dyDescent="0.2">
      <c r="A1796" s="13"/>
    </row>
    <row r="1797" spans="1:1" x14ac:dyDescent="0.2">
      <c r="A1797" s="13"/>
    </row>
    <row r="1798" spans="1:1" x14ac:dyDescent="0.2">
      <c r="A1798" s="13"/>
    </row>
    <row r="1799" spans="1:1" x14ac:dyDescent="0.2">
      <c r="A1799" s="13"/>
    </row>
    <row r="1800" spans="1:1" x14ac:dyDescent="0.2">
      <c r="A1800" s="13"/>
    </row>
    <row r="1801" spans="1:1" x14ac:dyDescent="0.2">
      <c r="A1801" s="13"/>
    </row>
    <row r="1802" spans="1:1" x14ac:dyDescent="0.2">
      <c r="A1802" s="13"/>
    </row>
    <row r="1803" spans="1:1" x14ac:dyDescent="0.2">
      <c r="A1803" s="13"/>
    </row>
    <row r="1804" spans="1:1" x14ac:dyDescent="0.2">
      <c r="A1804" s="13"/>
    </row>
    <row r="1805" spans="1:1" x14ac:dyDescent="0.2">
      <c r="A1805" s="13"/>
    </row>
    <row r="1806" spans="1:1" x14ac:dyDescent="0.2">
      <c r="A1806" s="13"/>
    </row>
    <row r="1807" spans="1:1" x14ac:dyDescent="0.2">
      <c r="A1807" s="13"/>
    </row>
    <row r="1808" spans="1:1" x14ac:dyDescent="0.2">
      <c r="A1808" s="13"/>
    </row>
    <row r="1809" spans="1:1" x14ac:dyDescent="0.2">
      <c r="A1809" s="13"/>
    </row>
    <row r="1810" spans="1:1" x14ac:dyDescent="0.2">
      <c r="A1810" s="13"/>
    </row>
    <row r="1811" spans="1:1" x14ac:dyDescent="0.2">
      <c r="A1811" s="13"/>
    </row>
    <row r="1812" spans="1:1" x14ac:dyDescent="0.2">
      <c r="A1812" s="13"/>
    </row>
    <row r="1813" spans="1:1" x14ac:dyDescent="0.2">
      <c r="A1813" s="13"/>
    </row>
    <row r="1814" spans="1:1" x14ac:dyDescent="0.2">
      <c r="A1814" s="13"/>
    </row>
    <row r="1815" spans="1:1" x14ac:dyDescent="0.2">
      <c r="A1815" s="13"/>
    </row>
    <row r="1816" spans="1:1" x14ac:dyDescent="0.2">
      <c r="A1816" s="13"/>
    </row>
    <row r="1817" spans="1:1" x14ac:dyDescent="0.2">
      <c r="A1817" s="13"/>
    </row>
    <row r="1818" spans="1:1" x14ac:dyDescent="0.2">
      <c r="A1818" s="13"/>
    </row>
    <row r="1819" spans="1:1" x14ac:dyDescent="0.2">
      <c r="A1819" s="13"/>
    </row>
    <row r="1820" spans="1:1" x14ac:dyDescent="0.2">
      <c r="A1820" s="13"/>
    </row>
    <row r="1821" spans="1:1" x14ac:dyDescent="0.2">
      <c r="A1821" s="13"/>
    </row>
    <row r="1822" spans="1:1" x14ac:dyDescent="0.2">
      <c r="A1822" s="13"/>
    </row>
    <row r="1823" spans="1:1" x14ac:dyDescent="0.2">
      <c r="A1823" s="13"/>
    </row>
    <row r="1824" spans="1:1" x14ac:dyDescent="0.2">
      <c r="A1824" s="13"/>
    </row>
    <row r="1825" spans="1:1" x14ac:dyDescent="0.2">
      <c r="A1825" s="13"/>
    </row>
    <row r="1826" spans="1:1" x14ac:dyDescent="0.2">
      <c r="A1826" s="13"/>
    </row>
    <row r="1827" spans="1:1" x14ac:dyDescent="0.2">
      <c r="A1827" s="13"/>
    </row>
    <row r="1828" spans="1:1" x14ac:dyDescent="0.2">
      <c r="A1828" s="13"/>
    </row>
    <row r="1829" spans="1:1" x14ac:dyDescent="0.2">
      <c r="A1829" s="13"/>
    </row>
    <row r="1830" spans="1:1" x14ac:dyDescent="0.2">
      <c r="A1830" s="13"/>
    </row>
    <row r="1831" spans="1:1" x14ac:dyDescent="0.2">
      <c r="A1831" s="13"/>
    </row>
    <row r="1832" spans="1:1" x14ac:dyDescent="0.2">
      <c r="A1832" s="13"/>
    </row>
    <row r="1833" spans="1:1" x14ac:dyDescent="0.2">
      <c r="A1833" s="13"/>
    </row>
    <row r="1834" spans="1:1" x14ac:dyDescent="0.2">
      <c r="A1834" s="13"/>
    </row>
    <row r="1835" spans="1:1" x14ac:dyDescent="0.2">
      <c r="A1835" s="13"/>
    </row>
    <row r="1836" spans="1:1" x14ac:dyDescent="0.2">
      <c r="A1836" s="13"/>
    </row>
    <row r="1837" spans="1:1" x14ac:dyDescent="0.2">
      <c r="A1837" s="13"/>
    </row>
    <row r="1838" spans="1:1" x14ac:dyDescent="0.2">
      <c r="A1838" s="13"/>
    </row>
    <row r="1839" spans="1:1" x14ac:dyDescent="0.2">
      <c r="A1839" s="13"/>
    </row>
    <row r="1840" spans="1:1" x14ac:dyDescent="0.2">
      <c r="A1840" s="13"/>
    </row>
    <row r="1841" spans="1:1" x14ac:dyDescent="0.2">
      <c r="A1841" s="13"/>
    </row>
    <row r="1842" spans="1:1" x14ac:dyDescent="0.2">
      <c r="A1842" s="13"/>
    </row>
    <row r="1843" spans="1:1" x14ac:dyDescent="0.2">
      <c r="A1843" s="13"/>
    </row>
    <row r="1844" spans="1:1" x14ac:dyDescent="0.2">
      <c r="A1844" s="13"/>
    </row>
    <row r="1845" spans="1:1" x14ac:dyDescent="0.2">
      <c r="A1845" s="13"/>
    </row>
    <row r="1846" spans="1:1" x14ac:dyDescent="0.2">
      <c r="A1846" s="13"/>
    </row>
    <row r="1847" spans="1:1" x14ac:dyDescent="0.2">
      <c r="A1847" s="13"/>
    </row>
    <row r="1848" spans="1:1" x14ac:dyDescent="0.2">
      <c r="A1848" s="13"/>
    </row>
    <row r="1849" spans="1:1" x14ac:dyDescent="0.2">
      <c r="A1849" s="13"/>
    </row>
    <row r="1850" spans="1:1" x14ac:dyDescent="0.2">
      <c r="A1850" s="13"/>
    </row>
    <row r="1851" spans="1:1" x14ac:dyDescent="0.2">
      <c r="A1851" s="13"/>
    </row>
    <row r="1852" spans="1:1" x14ac:dyDescent="0.2">
      <c r="A1852" s="13"/>
    </row>
    <row r="1853" spans="1:1" x14ac:dyDescent="0.2">
      <c r="A1853" s="13"/>
    </row>
    <row r="1854" spans="1:1" x14ac:dyDescent="0.2">
      <c r="A1854" s="13"/>
    </row>
    <row r="1855" spans="1:1" x14ac:dyDescent="0.2">
      <c r="A1855" s="13"/>
    </row>
    <row r="1856" spans="1:1" x14ac:dyDescent="0.2">
      <c r="A1856" s="13"/>
    </row>
    <row r="1857" spans="1:1" x14ac:dyDescent="0.2">
      <c r="A1857" s="13"/>
    </row>
    <row r="1858" spans="1:1" x14ac:dyDescent="0.2">
      <c r="A1858" s="13"/>
    </row>
    <row r="1859" spans="1:1" x14ac:dyDescent="0.2">
      <c r="A1859" s="13"/>
    </row>
    <row r="1860" spans="1:1" x14ac:dyDescent="0.2">
      <c r="A1860" s="13"/>
    </row>
    <row r="1861" spans="1:1" x14ac:dyDescent="0.2">
      <c r="A1861" s="13"/>
    </row>
    <row r="1862" spans="1:1" x14ac:dyDescent="0.2">
      <c r="A1862" s="13"/>
    </row>
    <row r="1863" spans="1:1" x14ac:dyDescent="0.2">
      <c r="A1863" s="13"/>
    </row>
    <row r="1864" spans="1:1" x14ac:dyDescent="0.2">
      <c r="A1864" s="13"/>
    </row>
    <row r="1865" spans="1:1" x14ac:dyDescent="0.2">
      <c r="A1865" s="13"/>
    </row>
    <row r="1866" spans="1:1" x14ac:dyDescent="0.2">
      <c r="A1866" s="13"/>
    </row>
    <row r="1867" spans="1:1" x14ac:dyDescent="0.2">
      <c r="A1867" s="13"/>
    </row>
    <row r="1868" spans="1:1" x14ac:dyDescent="0.2">
      <c r="A1868" s="13"/>
    </row>
    <row r="1869" spans="1:1" x14ac:dyDescent="0.2">
      <c r="A1869" s="13"/>
    </row>
    <row r="1870" spans="1:1" x14ac:dyDescent="0.2">
      <c r="A1870" s="13"/>
    </row>
    <row r="1871" spans="1:1" x14ac:dyDescent="0.2">
      <c r="A1871" s="13"/>
    </row>
    <row r="1872" spans="1:1" x14ac:dyDescent="0.2">
      <c r="A1872" s="13"/>
    </row>
    <row r="1873" spans="1:1" x14ac:dyDescent="0.2">
      <c r="A1873" s="13"/>
    </row>
    <row r="1874" spans="1:1" x14ac:dyDescent="0.2">
      <c r="A1874" s="13"/>
    </row>
    <row r="1875" spans="1:1" x14ac:dyDescent="0.2">
      <c r="A1875" s="13"/>
    </row>
    <row r="1876" spans="1:1" x14ac:dyDescent="0.2">
      <c r="A1876" s="13"/>
    </row>
    <row r="1877" spans="1:1" x14ac:dyDescent="0.2">
      <c r="A1877" s="13"/>
    </row>
    <row r="1878" spans="1:1" x14ac:dyDescent="0.2">
      <c r="A1878" s="13"/>
    </row>
    <row r="1879" spans="1:1" x14ac:dyDescent="0.2">
      <c r="A1879" s="13"/>
    </row>
    <row r="1880" spans="1:1" x14ac:dyDescent="0.2">
      <c r="A1880" s="13"/>
    </row>
    <row r="1881" spans="1:1" x14ac:dyDescent="0.2">
      <c r="A1881" s="13"/>
    </row>
    <row r="1882" spans="1:1" x14ac:dyDescent="0.2">
      <c r="A1882" s="13"/>
    </row>
    <row r="1883" spans="1:1" x14ac:dyDescent="0.2">
      <c r="A1883" s="13"/>
    </row>
    <row r="1884" spans="1:1" x14ac:dyDescent="0.2">
      <c r="A1884" s="13"/>
    </row>
    <row r="1885" spans="1:1" x14ac:dyDescent="0.2">
      <c r="A1885" s="13"/>
    </row>
    <row r="1886" spans="1:1" x14ac:dyDescent="0.2">
      <c r="A1886" s="13"/>
    </row>
    <row r="1887" spans="1:1" x14ac:dyDescent="0.2">
      <c r="A1887" s="13"/>
    </row>
    <row r="1888" spans="1:1" x14ac:dyDescent="0.2">
      <c r="A1888" s="13"/>
    </row>
    <row r="1889" spans="1:1" x14ac:dyDescent="0.2">
      <c r="A1889" s="13"/>
    </row>
    <row r="1890" spans="1:1" x14ac:dyDescent="0.2">
      <c r="A1890" s="13"/>
    </row>
    <row r="1891" spans="1:1" x14ac:dyDescent="0.2">
      <c r="A1891" s="13"/>
    </row>
    <row r="1892" spans="1:1" x14ac:dyDescent="0.2">
      <c r="A1892" s="13"/>
    </row>
    <row r="1893" spans="1:1" x14ac:dyDescent="0.2">
      <c r="A1893" s="13"/>
    </row>
    <row r="1894" spans="1:1" x14ac:dyDescent="0.2">
      <c r="A1894" s="13"/>
    </row>
    <row r="1895" spans="1:1" x14ac:dyDescent="0.2">
      <c r="A1895" s="13"/>
    </row>
    <row r="1896" spans="1:1" x14ac:dyDescent="0.2">
      <c r="A1896" s="13"/>
    </row>
    <row r="1897" spans="1:1" x14ac:dyDescent="0.2">
      <c r="A1897" s="13"/>
    </row>
    <row r="1898" spans="1:1" x14ac:dyDescent="0.2">
      <c r="A1898" s="13"/>
    </row>
    <row r="1899" spans="1:1" x14ac:dyDescent="0.2">
      <c r="A1899" s="13"/>
    </row>
    <row r="1900" spans="1:1" x14ac:dyDescent="0.2">
      <c r="A1900" s="13"/>
    </row>
    <row r="1901" spans="1:1" x14ac:dyDescent="0.2">
      <c r="A1901" s="13"/>
    </row>
    <row r="1902" spans="1:1" x14ac:dyDescent="0.2">
      <c r="A1902" s="13"/>
    </row>
    <row r="1903" spans="1:1" x14ac:dyDescent="0.2">
      <c r="A1903" s="13"/>
    </row>
    <row r="1904" spans="1:1" x14ac:dyDescent="0.2">
      <c r="A1904" s="13"/>
    </row>
    <row r="1905" spans="1:1" x14ac:dyDescent="0.2">
      <c r="A1905" s="13"/>
    </row>
    <row r="1906" spans="1:1" x14ac:dyDescent="0.2">
      <c r="A1906" s="13"/>
    </row>
    <row r="1907" spans="1:1" x14ac:dyDescent="0.2">
      <c r="A1907" s="13"/>
    </row>
    <row r="1908" spans="1:1" x14ac:dyDescent="0.2">
      <c r="A1908" s="13"/>
    </row>
    <row r="1909" spans="1:1" x14ac:dyDescent="0.2">
      <c r="A1909" s="13"/>
    </row>
    <row r="1910" spans="1:1" x14ac:dyDescent="0.2">
      <c r="A1910" s="13"/>
    </row>
    <row r="1911" spans="1:1" x14ac:dyDescent="0.2">
      <c r="A1911" s="13"/>
    </row>
    <row r="1912" spans="1:1" x14ac:dyDescent="0.2">
      <c r="A1912" s="13"/>
    </row>
    <row r="1913" spans="1:1" x14ac:dyDescent="0.2">
      <c r="A1913" s="13"/>
    </row>
    <row r="1914" spans="1:1" x14ac:dyDescent="0.2">
      <c r="A1914" s="13"/>
    </row>
    <row r="1915" spans="1:1" x14ac:dyDescent="0.2">
      <c r="A1915" s="13"/>
    </row>
    <row r="1916" spans="1:1" x14ac:dyDescent="0.2">
      <c r="A1916" s="13"/>
    </row>
    <row r="1917" spans="1:1" x14ac:dyDescent="0.2">
      <c r="A1917" s="13"/>
    </row>
    <row r="1918" spans="1:1" x14ac:dyDescent="0.2">
      <c r="A1918" s="13"/>
    </row>
    <row r="1919" spans="1:1" x14ac:dyDescent="0.2">
      <c r="A1919" s="13"/>
    </row>
    <row r="1920" spans="1:1" x14ac:dyDescent="0.2">
      <c r="A1920" s="13"/>
    </row>
    <row r="1921" spans="1:1" x14ac:dyDescent="0.2">
      <c r="A1921" s="13"/>
    </row>
    <row r="1922" spans="1:1" x14ac:dyDescent="0.2">
      <c r="A1922" s="13"/>
    </row>
    <row r="1923" spans="1:1" x14ac:dyDescent="0.2">
      <c r="A1923" s="13"/>
    </row>
    <row r="1924" spans="1:1" x14ac:dyDescent="0.2">
      <c r="A1924" s="13"/>
    </row>
    <row r="1925" spans="1:1" x14ac:dyDescent="0.2">
      <c r="A1925" s="13"/>
    </row>
    <row r="1926" spans="1:1" x14ac:dyDescent="0.2">
      <c r="A1926" s="13"/>
    </row>
    <row r="1927" spans="1:1" x14ac:dyDescent="0.2">
      <c r="A1927" s="13"/>
    </row>
    <row r="1928" spans="1:1" x14ac:dyDescent="0.2">
      <c r="A1928" s="13"/>
    </row>
    <row r="1929" spans="1:1" x14ac:dyDescent="0.2">
      <c r="A1929" s="13"/>
    </row>
    <row r="1930" spans="1:1" x14ac:dyDescent="0.2">
      <c r="A1930" s="13"/>
    </row>
    <row r="1931" spans="1:1" x14ac:dyDescent="0.2">
      <c r="A1931" s="13"/>
    </row>
    <row r="1932" spans="1:1" x14ac:dyDescent="0.2">
      <c r="A1932" s="13"/>
    </row>
    <row r="1933" spans="1:1" x14ac:dyDescent="0.2">
      <c r="A1933" s="13"/>
    </row>
    <row r="1934" spans="1:1" x14ac:dyDescent="0.2">
      <c r="A1934" s="13"/>
    </row>
    <row r="1935" spans="1:1" x14ac:dyDescent="0.2">
      <c r="A1935" s="13"/>
    </row>
  </sheetData>
  <autoFilter ref="A1:B240" xr:uid="{48C2E090-27C9-A74D-8802-FF18AB473A49}">
    <sortState xmlns:xlrd2="http://schemas.microsoft.com/office/spreadsheetml/2017/richdata2" ref="A2:B240">
      <sortCondition ref="A1:A240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7588-05B8-7046-8A07-C9DFE5702E27}">
  <sheetPr>
    <tabColor rgb="FFFFFF00"/>
  </sheetPr>
  <dimension ref="A1:E84"/>
  <sheetViews>
    <sheetView workbookViewId="0">
      <selection activeCell="C2" sqref="C2:C10"/>
    </sheetView>
  </sheetViews>
  <sheetFormatPr baseColWidth="10" defaultRowHeight="16" x14ac:dyDescent="0.2"/>
  <cols>
    <col min="2" max="2" width="18.83203125" bestFit="1" customWidth="1"/>
    <col min="3" max="3" width="19.33203125" customWidth="1"/>
    <col min="5" max="5" width="50" bestFit="1" customWidth="1"/>
  </cols>
  <sheetData>
    <row r="1" spans="1:5" ht="18" x14ac:dyDescent="0.2">
      <c r="A1" t="s">
        <v>477</v>
      </c>
      <c r="B1" t="s">
        <v>569</v>
      </c>
      <c r="C1" t="s">
        <v>570</v>
      </c>
      <c r="E1" s="14" t="s">
        <v>483</v>
      </c>
    </row>
    <row r="2" spans="1:5" x14ac:dyDescent="0.2">
      <c r="A2">
        <v>2015</v>
      </c>
      <c r="B2" s="10">
        <f>SUMIFS(Summary!$G$2:$G$1934,Summary!$H$2:$H$1934,1,Summary!$B$2:$B$1934,'State Sponsored Charter Schools'!$A2)</f>
        <v>12113731</v>
      </c>
      <c r="C2" s="10">
        <f>SUMIFS(Summary!$J$2:$J$1934,Summary!$H$2:$H$1934,1,Summary!$B$2:$B$1934,'State Sponsored Charter Schools'!$A2)</f>
        <v>2326034.2846159311</v>
      </c>
      <c r="E2" s="15" t="s">
        <v>484</v>
      </c>
    </row>
    <row r="3" spans="1:5" x14ac:dyDescent="0.2">
      <c r="A3">
        <v>2016</v>
      </c>
      <c r="B3" s="10">
        <f>SUMIFS(Summary!$G$2:$G$1934,Summary!$H$2:$H$1934,1,Summary!$B$2:$B$1934,'State Sponsored Charter Schools'!A3)</f>
        <v>17645220</v>
      </c>
      <c r="C3" s="10">
        <f>SUMIFS(Summary!$J$2:$J$1934,Summary!$H$2:$H$1934,1,Summary!$B$2:$B$1934,'State Sponsored Charter Schools'!$A3)</f>
        <v>3359375.4381109835</v>
      </c>
      <c r="E3" s="15" t="s">
        <v>485</v>
      </c>
    </row>
    <row r="4" spans="1:5" x14ac:dyDescent="0.2">
      <c r="A4">
        <v>2017</v>
      </c>
      <c r="B4" s="10">
        <f>SUMIFS(Summary!$G$2:$G$1934,Summary!$H$2:$H$1934,1,Summary!$B$2:$B$1934,'State Sponsored Charter Schools'!A4)</f>
        <v>11448136</v>
      </c>
      <c r="C4" s="10">
        <f>SUMIFS(Summary!$J$2:$J$1934,Summary!$H$2:$H$1934,1,Summary!$B$2:$B$1934,'State Sponsored Charter Schools'!$A4)</f>
        <v>2261911.5027156286</v>
      </c>
      <c r="E4" s="15" t="s">
        <v>486</v>
      </c>
    </row>
    <row r="5" spans="1:5" x14ac:dyDescent="0.2">
      <c r="A5">
        <v>2018</v>
      </c>
      <c r="B5" s="10">
        <f>SUMIFS(Summary!$G$2:$G$1934,Summary!$H$2:$H$1934,1,Summary!$B$2:$B$1934,'State Sponsored Charter Schools'!A5)</f>
        <v>14404210</v>
      </c>
      <c r="C5" s="10">
        <f>SUMIFS(Summary!$J$2:$J$1934,Summary!$H$2:$H$1934,1,Summary!$B$2:$B$1934,'State Sponsored Charter Schools'!$A5)</f>
        <v>2789817.5562963481</v>
      </c>
      <c r="E5" s="15" t="s">
        <v>487</v>
      </c>
    </row>
    <row r="6" spans="1:5" x14ac:dyDescent="0.2">
      <c r="A6">
        <v>2019</v>
      </c>
      <c r="B6" s="10">
        <f>SUMIFS(Summary!$G$2:$G$1934,Summary!$H$2:$H$1934,1,Summary!$B$2:$B$1934,'State Sponsored Charter Schools'!A6)</f>
        <v>17080752</v>
      </c>
      <c r="C6" s="10">
        <f>SUMIFS(Summary!$J$2:$J$1934,Summary!$H$2:$H$1934,1,Summary!$B$2:$B$1934,'State Sponsored Charter Schools'!$A6)</f>
        <v>3354605.3899262357</v>
      </c>
      <c r="E6" s="15" t="s">
        <v>488</v>
      </c>
    </row>
    <row r="7" spans="1:5" ht="18" x14ac:dyDescent="0.2">
      <c r="A7">
        <v>2020</v>
      </c>
      <c r="B7" s="10">
        <f>SUMIFS(Summary!$G$2:$G$1934,Summary!$H$2:$H$1934,1,Summary!$B$2:$B$1934,'State Sponsored Charter Schools'!A7)</f>
        <v>21347611</v>
      </c>
      <c r="C7" s="10">
        <f>SUMIFS(Summary!$J$2:$J$1934,Summary!$H$2:$H$1934,1,Summary!$B$2:$B$1934,'State Sponsored Charter Schools'!$A7)</f>
        <v>4239949.1527921688</v>
      </c>
      <c r="E7" s="14" t="s">
        <v>489</v>
      </c>
    </row>
    <row r="8" spans="1:5" x14ac:dyDescent="0.2">
      <c r="A8">
        <v>2021</v>
      </c>
      <c r="B8" s="10">
        <f>SUMIFS(Summary!$G$2:$G$1934,Summary!$H$2:$H$1934,1,Summary!$B$2:$B$1934,'State Sponsored Charter Schools'!A8)</f>
        <v>23620492</v>
      </c>
      <c r="C8" s="10">
        <f>SUMIFS(Summary!$J$2:$J$1934,Summary!$H$2:$H$1934,1,Summary!$B$2:$B$1934,'State Sponsored Charter Schools'!$A8)</f>
        <v>4632518.0542431716</v>
      </c>
      <c r="E8" s="15" t="s">
        <v>490</v>
      </c>
    </row>
    <row r="9" spans="1:5" ht="18" x14ac:dyDescent="0.2">
      <c r="A9">
        <v>2022</v>
      </c>
      <c r="B9" s="10">
        <f>SUMIFS(Summary!$G$2:$G$1934,Summary!$H$2:$H$1934,1,Summary!$B$2:$B$1934,'State Sponsored Charter Schools'!A9)</f>
        <v>27130542</v>
      </c>
      <c r="C9" s="10">
        <f>SUMIFS(Summary!$J$2:$J$1934,Summary!$H$2:$H$1934,1,Summary!$B$2:$B$1934,'State Sponsored Charter Schools'!$A9)</f>
        <v>4945112.2943098377</v>
      </c>
      <c r="E9" s="14" t="s">
        <v>491</v>
      </c>
    </row>
    <row r="10" spans="1:5" x14ac:dyDescent="0.2">
      <c r="A10">
        <v>2023</v>
      </c>
      <c r="B10" s="10">
        <f>SUMIFS(Summary!$G$2:$G$1934,Summary!$H$2:$H$1934,1,Summary!$B$2:$B$1934,'State Sponsored Charter Schools'!A10)</f>
        <v>31690717</v>
      </c>
      <c r="C10" s="10">
        <f>SUMIFS(Summary!$J$2:$J$1934,Summary!$H$2:$H$1934,1,Summary!$B$2:$B$1934,'State Sponsored Charter Schools'!$A10)</f>
        <v>5454237.5218909457</v>
      </c>
      <c r="E10" s="15" t="s">
        <v>492</v>
      </c>
    </row>
    <row r="11" spans="1:5" x14ac:dyDescent="0.2">
      <c r="E11" s="15" t="s">
        <v>493</v>
      </c>
    </row>
    <row r="12" spans="1:5" x14ac:dyDescent="0.2">
      <c r="E12" s="15" t="s">
        <v>494</v>
      </c>
    </row>
    <row r="13" spans="1:5" x14ac:dyDescent="0.2">
      <c r="E13" s="15" t="s">
        <v>495</v>
      </c>
    </row>
    <row r="14" spans="1:5" x14ac:dyDescent="0.2">
      <c r="E14" s="15" t="s">
        <v>496</v>
      </c>
    </row>
    <row r="15" spans="1:5" x14ac:dyDescent="0.2">
      <c r="E15" s="15" t="s">
        <v>497</v>
      </c>
    </row>
    <row r="16" spans="1:5" x14ac:dyDescent="0.2">
      <c r="E16" s="15" t="s">
        <v>498</v>
      </c>
    </row>
    <row r="17" spans="5:5" x14ac:dyDescent="0.2">
      <c r="E17" s="15" t="s">
        <v>499</v>
      </c>
    </row>
    <row r="18" spans="5:5" x14ac:dyDescent="0.2">
      <c r="E18" s="15" t="s">
        <v>500</v>
      </c>
    </row>
    <row r="19" spans="5:5" x14ac:dyDescent="0.2">
      <c r="E19" s="15" t="s">
        <v>501</v>
      </c>
    </row>
    <row r="20" spans="5:5" x14ac:dyDescent="0.2">
      <c r="E20" s="15" t="s">
        <v>502</v>
      </c>
    </row>
    <row r="21" spans="5:5" x14ac:dyDescent="0.2">
      <c r="E21" s="15" t="s">
        <v>503</v>
      </c>
    </row>
    <row r="22" spans="5:5" ht="18" x14ac:dyDescent="0.2">
      <c r="E22" s="14" t="s">
        <v>504</v>
      </c>
    </row>
    <row r="23" spans="5:5" x14ac:dyDescent="0.2">
      <c r="E23" s="15" t="s">
        <v>505</v>
      </c>
    </row>
    <row r="24" spans="5:5" x14ac:dyDescent="0.2">
      <c r="E24" s="15" t="s">
        <v>506</v>
      </c>
    </row>
    <row r="25" spans="5:5" x14ac:dyDescent="0.2">
      <c r="E25" s="15" t="s">
        <v>507</v>
      </c>
    </row>
    <row r="26" spans="5:5" x14ac:dyDescent="0.2">
      <c r="E26" s="15" t="s">
        <v>508</v>
      </c>
    </row>
    <row r="27" spans="5:5" x14ac:dyDescent="0.2">
      <c r="E27" s="15" t="s">
        <v>509</v>
      </c>
    </row>
    <row r="28" spans="5:5" x14ac:dyDescent="0.2">
      <c r="E28" s="15" t="s">
        <v>510</v>
      </c>
    </row>
    <row r="29" spans="5:5" x14ac:dyDescent="0.2">
      <c r="E29" s="15" t="s">
        <v>511</v>
      </c>
    </row>
    <row r="30" spans="5:5" x14ac:dyDescent="0.2">
      <c r="E30" s="15" t="s">
        <v>512</v>
      </c>
    </row>
    <row r="31" spans="5:5" x14ac:dyDescent="0.2">
      <c r="E31" s="15" t="s">
        <v>513</v>
      </c>
    </row>
    <row r="32" spans="5:5" x14ac:dyDescent="0.2">
      <c r="E32" s="15" t="s">
        <v>514</v>
      </c>
    </row>
    <row r="33" spans="5:5" x14ac:dyDescent="0.2">
      <c r="E33" s="15" t="s">
        <v>515</v>
      </c>
    </row>
    <row r="34" spans="5:5" x14ac:dyDescent="0.2">
      <c r="E34" s="15" t="s">
        <v>516</v>
      </c>
    </row>
    <row r="35" spans="5:5" x14ac:dyDescent="0.2">
      <c r="E35" s="15" t="s">
        <v>517</v>
      </c>
    </row>
    <row r="36" spans="5:5" x14ac:dyDescent="0.2">
      <c r="E36" s="15" t="s">
        <v>518</v>
      </c>
    </row>
    <row r="37" spans="5:5" x14ac:dyDescent="0.2">
      <c r="E37" s="15" t="s">
        <v>519</v>
      </c>
    </row>
    <row r="38" spans="5:5" x14ac:dyDescent="0.2">
      <c r="E38" s="15" t="s">
        <v>520</v>
      </c>
    </row>
    <row r="39" spans="5:5" x14ac:dyDescent="0.2">
      <c r="E39" s="15" t="s">
        <v>521</v>
      </c>
    </row>
    <row r="40" spans="5:5" x14ac:dyDescent="0.2">
      <c r="E40" s="15" t="s">
        <v>522</v>
      </c>
    </row>
    <row r="41" spans="5:5" x14ac:dyDescent="0.2">
      <c r="E41" s="15" t="s">
        <v>523</v>
      </c>
    </row>
    <row r="42" spans="5:5" x14ac:dyDescent="0.2">
      <c r="E42" s="15" t="s">
        <v>524</v>
      </c>
    </row>
    <row r="43" spans="5:5" x14ac:dyDescent="0.2">
      <c r="E43" s="15" t="s">
        <v>525</v>
      </c>
    </row>
    <row r="44" spans="5:5" x14ac:dyDescent="0.2">
      <c r="E44" s="15" t="s">
        <v>526</v>
      </c>
    </row>
    <row r="45" spans="5:5" x14ac:dyDescent="0.2">
      <c r="E45" s="15" t="s">
        <v>527</v>
      </c>
    </row>
    <row r="46" spans="5:5" x14ac:dyDescent="0.2">
      <c r="E46" s="15" t="s">
        <v>528</v>
      </c>
    </row>
    <row r="47" spans="5:5" x14ac:dyDescent="0.2">
      <c r="E47" s="15" t="s">
        <v>529</v>
      </c>
    </row>
    <row r="48" spans="5:5" x14ac:dyDescent="0.2">
      <c r="E48" s="15" t="s">
        <v>530</v>
      </c>
    </row>
    <row r="49" spans="5:5" x14ac:dyDescent="0.2">
      <c r="E49" s="15" t="s">
        <v>531</v>
      </c>
    </row>
    <row r="50" spans="5:5" x14ac:dyDescent="0.2">
      <c r="E50" s="15" t="s">
        <v>532</v>
      </c>
    </row>
    <row r="51" spans="5:5" x14ac:dyDescent="0.2">
      <c r="E51" s="15" t="s">
        <v>533</v>
      </c>
    </row>
    <row r="52" spans="5:5" x14ac:dyDescent="0.2">
      <c r="E52" s="15" t="s">
        <v>534</v>
      </c>
    </row>
    <row r="53" spans="5:5" x14ac:dyDescent="0.2">
      <c r="E53" s="15" t="s">
        <v>535</v>
      </c>
    </row>
    <row r="54" spans="5:5" x14ac:dyDescent="0.2">
      <c r="E54" s="15" t="s">
        <v>536</v>
      </c>
    </row>
    <row r="55" spans="5:5" x14ac:dyDescent="0.2">
      <c r="E55" s="15" t="s">
        <v>537</v>
      </c>
    </row>
    <row r="56" spans="5:5" x14ac:dyDescent="0.2">
      <c r="E56" s="15" t="s">
        <v>538</v>
      </c>
    </row>
    <row r="57" spans="5:5" x14ac:dyDescent="0.2">
      <c r="E57" s="15" t="s">
        <v>539</v>
      </c>
    </row>
    <row r="58" spans="5:5" x14ac:dyDescent="0.2">
      <c r="E58" s="15" t="s">
        <v>540</v>
      </c>
    </row>
    <row r="59" spans="5:5" x14ac:dyDescent="0.2">
      <c r="E59" s="15" t="s">
        <v>541</v>
      </c>
    </row>
    <row r="60" spans="5:5" x14ac:dyDescent="0.2">
      <c r="E60" s="15" t="s">
        <v>542</v>
      </c>
    </row>
    <row r="61" spans="5:5" x14ac:dyDescent="0.2">
      <c r="E61" s="15" t="s">
        <v>543</v>
      </c>
    </row>
    <row r="62" spans="5:5" x14ac:dyDescent="0.2">
      <c r="E62" s="15" t="s">
        <v>544</v>
      </c>
    </row>
    <row r="63" spans="5:5" x14ac:dyDescent="0.2">
      <c r="E63" s="15" t="s">
        <v>545</v>
      </c>
    </row>
    <row r="64" spans="5:5" x14ac:dyDescent="0.2">
      <c r="E64" s="15" t="s">
        <v>546</v>
      </c>
    </row>
    <row r="65" spans="5:5" x14ac:dyDescent="0.2">
      <c r="E65" s="15" t="s">
        <v>547</v>
      </c>
    </row>
    <row r="66" spans="5:5" x14ac:dyDescent="0.2">
      <c r="E66" s="15" t="s">
        <v>548</v>
      </c>
    </row>
    <row r="67" spans="5:5" x14ac:dyDescent="0.2">
      <c r="E67" s="15" t="s">
        <v>549</v>
      </c>
    </row>
    <row r="68" spans="5:5" x14ac:dyDescent="0.2">
      <c r="E68" s="15" t="s">
        <v>550</v>
      </c>
    </row>
    <row r="69" spans="5:5" x14ac:dyDescent="0.2">
      <c r="E69" s="15" t="s">
        <v>551</v>
      </c>
    </row>
    <row r="70" spans="5:5" x14ac:dyDescent="0.2">
      <c r="E70" s="15" t="s">
        <v>552</v>
      </c>
    </row>
    <row r="71" spans="5:5" x14ac:dyDescent="0.2">
      <c r="E71" s="15" t="s">
        <v>553</v>
      </c>
    </row>
    <row r="72" spans="5:5" x14ac:dyDescent="0.2">
      <c r="E72" s="15" t="s">
        <v>554</v>
      </c>
    </row>
    <row r="73" spans="5:5" x14ac:dyDescent="0.2">
      <c r="E73" s="15" t="s">
        <v>555</v>
      </c>
    </row>
    <row r="74" spans="5:5" x14ac:dyDescent="0.2">
      <c r="E74" s="15" t="s">
        <v>556</v>
      </c>
    </row>
    <row r="75" spans="5:5" x14ac:dyDescent="0.2">
      <c r="E75" s="15" t="s">
        <v>557</v>
      </c>
    </row>
    <row r="76" spans="5:5" x14ac:dyDescent="0.2">
      <c r="E76" s="15" t="s">
        <v>558</v>
      </c>
    </row>
    <row r="77" spans="5:5" x14ac:dyDescent="0.2">
      <c r="E77" s="15" t="s">
        <v>559</v>
      </c>
    </row>
    <row r="78" spans="5:5" x14ac:dyDescent="0.2">
      <c r="E78" s="15" t="s">
        <v>560</v>
      </c>
    </row>
    <row r="79" spans="5:5" x14ac:dyDescent="0.2">
      <c r="E79" s="15" t="s">
        <v>561</v>
      </c>
    </row>
    <row r="80" spans="5:5" x14ac:dyDescent="0.2">
      <c r="E80" s="15" t="s">
        <v>562</v>
      </c>
    </row>
    <row r="81" spans="5:5" x14ac:dyDescent="0.2">
      <c r="E81" s="15" t="s">
        <v>563</v>
      </c>
    </row>
    <row r="82" spans="5:5" x14ac:dyDescent="0.2">
      <c r="E82" s="15" t="s">
        <v>564</v>
      </c>
    </row>
    <row r="83" spans="5:5" x14ac:dyDescent="0.2">
      <c r="E83" s="15" t="s">
        <v>565</v>
      </c>
    </row>
    <row r="84" spans="5:5" x14ac:dyDescent="0.2">
      <c r="E84" s="15" t="s">
        <v>566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50230-537B-4E41-8510-FA07BE506A0B}">
  <sheetPr>
    <tabColor rgb="FFFFFF00"/>
  </sheetPr>
  <dimension ref="A1:E11"/>
  <sheetViews>
    <sheetView tabSelected="1" workbookViewId="0">
      <selection activeCell="D23" sqref="D23"/>
    </sheetView>
  </sheetViews>
  <sheetFormatPr baseColWidth="10" defaultRowHeight="16" x14ac:dyDescent="0.2"/>
  <cols>
    <col min="2" max="3" width="17.6640625" bestFit="1" customWidth="1"/>
  </cols>
  <sheetData>
    <row r="1" spans="1:5" x14ac:dyDescent="0.2">
      <c r="A1" s="6" t="s">
        <v>476</v>
      </c>
      <c r="B1" s="6"/>
      <c r="C1" s="6"/>
      <c r="D1" s="6"/>
      <c r="E1" s="6"/>
    </row>
    <row r="2" spans="1:5" x14ac:dyDescent="0.2">
      <c r="A2" s="2" t="s">
        <v>477</v>
      </c>
      <c r="B2" s="2" t="s">
        <v>478</v>
      </c>
      <c r="C2" s="2" t="s">
        <v>479</v>
      </c>
      <c r="D2" s="2" t="s">
        <v>480</v>
      </c>
      <c r="E2" s="2" t="s">
        <v>481</v>
      </c>
    </row>
    <row r="3" spans="1:5" x14ac:dyDescent="0.2">
      <c r="A3" s="2">
        <v>2015</v>
      </c>
      <c r="B3" s="5">
        <v>1543545788</v>
      </c>
      <c r="C3" s="5">
        <f>SUMIF(Summary!B:B,Check!A3,Summary!G:G)</f>
        <v>1555659519</v>
      </c>
      <c r="D3" s="1">
        <f>B3-C3+'State Sponsored Charter Schools'!B2</f>
        <v>0</v>
      </c>
    </row>
    <row r="4" spans="1:5" x14ac:dyDescent="0.2">
      <c r="A4" s="2">
        <v>2016</v>
      </c>
      <c r="B4" s="5">
        <v>1695705372</v>
      </c>
      <c r="C4" s="5">
        <f>SUMIF(Summary!B:B,Check!A4,Summary!G:G)</f>
        <v>1713350592</v>
      </c>
      <c r="D4" s="1">
        <f>B4-C4+'State Sponsored Charter Schools'!B3</f>
        <v>0</v>
      </c>
    </row>
    <row r="5" spans="1:5" x14ac:dyDescent="0.2">
      <c r="A5" s="2">
        <v>2017</v>
      </c>
      <c r="B5" s="5">
        <v>897592209</v>
      </c>
      <c r="C5" s="5">
        <f>SUMIF(Summary!B:B,Check!A5,Summary!G:G)</f>
        <v>909040345</v>
      </c>
      <c r="D5" s="1">
        <f>B5-C5+'State Sponsored Charter Schools'!B4</f>
        <v>0</v>
      </c>
    </row>
    <row r="6" spans="1:5" x14ac:dyDescent="0.2">
      <c r="A6" s="2">
        <v>2018</v>
      </c>
      <c r="B6" s="5">
        <v>927699552</v>
      </c>
      <c r="C6" s="5">
        <f>SUMIF(Summary!B:B,Check!A6,Summary!G:G)</f>
        <v>942103762</v>
      </c>
      <c r="D6" s="1">
        <f>B6-C6+'State Sponsored Charter Schools'!B5</f>
        <v>0</v>
      </c>
    </row>
    <row r="7" spans="1:5" x14ac:dyDescent="0.2">
      <c r="A7" s="2">
        <v>2019</v>
      </c>
      <c r="B7" s="5">
        <v>962664986</v>
      </c>
      <c r="C7" s="5">
        <f>SUMIF(Summary!B:B,Check!A7,Summary!G:G)</f>
        <v>979745738</v>
      </c>
      <c r="D7" s="1">
        <f>B7-C7+'State Sponsored Charter Schools'!B6</f>
        <v>0</v>
      </c>
    </row>
    <row r="8" spans="1:5" x14ac:dyDescent="0.2">
      <c r="A8" s="2">
        <v>2020</v>
      </c>
      <c r="B8" s="5">
        <v>1042125593</v>
      </c>
      <c r="C8" s="5">
        <f>SUMIF(Summary!B:B,Check!A8,Summary!G:G)</f>
        <v>1063473204</v>
      </c>
      <c r="D8" s="1">
        <f>B8-C8+'State Sponsored Charter Schools'!B7</f>
        <v>0</v>
      </c>
    </row>
    <row r="9" spans="1:5" x14ac:dyDescent="0.2">
      <c r="A9" s="2">
        <v>2021</v>
      </c>
      <c r="B9" s="5">
        <v>1046664500</v>
      </c>
      <c r="C9" s="5">
        <f>SUMIF(Summary!B:B,Check!A9,Summary!G:G)</f>
        <v>1070284992</v>
      </c>
      <c r="D9" s="1">
        <f>B9-C9+'State Sponsored Charter Schools'!B8</f>
        <v>0</v>
      </c>
    </row>
    <row r="10" spans="1:5" x14ac:dyDescent="0.2">
      <c r="A10" s="2">
        <v>2022</v>
      </c>
      <c r="B10" s="5">
        <v>1099989308</v>
      </c>
      <c r="C10" s="5">
        <f>SUMIF(Summary!B:B,Check!A10,Summary!G:G)</f>
        <v>1127119850</v>
      </c>
      <c r="D10" s="1">
        <f>B10-C10+'State Sponsored Charter Schools'!B9</f>
        <v>0</v>
      </c>
    </row>
    <row r="11" spans="1:5" x14ac:dyDescent="0.2">
      <c r="A11" s="2">
        <v>2023</v>
      </c>
      <c r="B11" s="5">
        <v>1157649798</v>
      </c>
      <c r="C11" s="5">
        <f>SUMIF(Summary!B:B,Check!A11,Summary!G:G)</f>
        <v>1189340511</v>
      </c>
      <c r="D11" s="1">
        <f>B11-C11+'State Sponsored Charter Schools'!B10</f>
        <v>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LEAID Match</vt:lpstr>
      <vt:lpstr>State Sponsored Charter Schools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Michael Gelberg</dc:creator>
  <cp:lastModifiedBy>Gregory Kearney</cp:lastModifiedBy>
  <dcterms:created xsi:type="dcterms:W3CDTF">2025-02-07T19:32:47Z</dcterms:created>
  <dcterms:modified xsi:type="dcterms:W3CDTF">2025-02-08T03:47:54Z</dcterms:modified>
</cp:coreProperties>
</file>