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New Jersey/"/>
    </mc:Choice>
  </mc:AlternateContent>
  <xr:revisionPtr revIDLastSave="0" documentId="13_ncr:1_{DFB37765-2D7D-394C-9F32-4D4570DAADB0}" xr6:coauthVersionLast="47" xr6:coauthVersionMax="47" xr10:uidLastSave="{00000000-0000-0000-0000-000000000000}"/>
  <bookViews>
    <workbookView xWindow="-7400" yWindow="-27740" windowWidth="23780" windowHeight="25540" xr2:uid="{618DA45A-BE33-684E-9EB0-E9CB75E805CB}"/>
  </bookViews>
  <sheets>
    <sheet name="Full Data" sheetId="4" r:id="rId1"/>
    <sheet name="Other Data --&gt;" sheetId="5" r:id="rId2"/>
    <sheet name="GASB Match" sheetId="1" r:id="rId3"/>
  </sheets>
  <definedNames>
    <definedName name="_xlnm._FilterDatabase" localSheetId="0" hidden="1">'Full Data'!$B$1:$F$1</definedName>
    <definedName name="_xlnm._FilterDatabase" localSheetId="2" hidden="1">'GASB Match'!$A$1:$E$6042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93" i="4" l="1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3002" i="4"/>
  <c r="E3003" i="4"/>
  <c r="E3004" i="4"/>
  <c r="E3005" i="4"/>
  <c r="E3006" i="4"/>
  <c r="E3007" i="4"/>
  <c r="E3008" i="4"/>
  <c r="E3009" i="4"/>
  <c r="E3010" i="4"/>
  <c r="E3011" i="4"/>
  <c r="E3012" i="4"/>
  <c r="E3013" i="4"/>
  <c r="E3014" i="4"/>
  <c r="E3015" i="4"/>
  <c r="E3016" i="4"/>
  <c r="E3017" i="4"/>
  <c r="E3018" i="4"/>
  <c r="E3019" i="4"/>
  <c r="E3020" i="4"/>
  <c r="E3021" i="4"/>
  <c r="E3022" i="4"/>
  <c r="E3023" i="4"/>
  <c r="E3024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40" i="4"/>
  <c r="E3041" i="4"/>
  <c r="E3042" i="4"/>
  <c r="E3043" i="4"/>
  <c r="E3044" i="4"/>
  <c r="E3045" i="4"/>
  <c r="E3046" i="4"/>
  <c r="E3047" i="4"/>
  <c r="E3048" i="4"/>
  <c r="E3049" i="4"/>
  <c r="E3050" i="4"/>
  <c r="E3051" i="4"/>
  <c r="E3052" i="4"/>
  <c r="E3053" i="4"/>
  <c r="E3054" i="4"/>
  <c r="E3055" i="4"/>
  <c r="E3056" i="4"/>
  <c r="E3057" i="4"/>
  <c r="E3058" i="4"/>
  <c r="E3059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48" i="4"/>
  <c r="E3449" i="4"/>
  <c r="E3450" i="4"/>
  <c r="E3451" i="4"/>
  <c r="E3452" i="4"/>
  <c r="E3453" i="4"/>
  <c r="E3454" i="4"/>
  <c r="E3455" i="4"/>
  <c r="E3456" i="4"/>
  <c r="E3457" i="4"/>
  <c r="E3458" i="4"/>
  <c r="E3459" i="4"/>
  <c r="E3460" i="4"/>
  <c r="E3461" i="4"/>
  <c r="E3462" i="4"/>
  <c r="E3463" i="4"/>
  <c r="E3464" i="4"/>
  <c r="E3465" i="4"/>
  <c r="E3466" i="4"/>
  <c r="E346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2592" i="4"/>
  <c r="A3494" i="4"/>
  <c r="A3737" i="4"/>
  <c r="A3746" i="4"/>
  <c r="A4828" i="4"/>
  <c r="A5417" i="4"/>
  <c r="A6044" i="4"/>
  <c r="A3" i="4"/>
  <c r="A107" i="4"/>
  <c r="A122" i="4"/>
  <c r="A131" i="4"/>
  <c r="A566" i="4"/>
  <c r="A584" i="4"/>
  <c r="A1395" i="4"/>
  <c r="A1404" i="4"/>
  <c r="A1526" i="4"/>
  <c r="A1643" i="4"/>
  <c r="A1800" i="4"/>
  <c r="A1804" i="4"/>
  <c r="A1950" i="4"/>
  <c r="A2085" i="4"/>
  <c r="A2103" i="4"/>
  <c r="A2879" i="4"/>
  <c r="A3059" i="4"/>
  <c r="A3149" i="4"/>
  <c r="A3665" i="4"/>
  <c r="A3939" i="4"/>
  <c r="A4050" i="4"/>
  <c r="A4419" i="4"/>
  <c r="A4473" i="4"/>
  <c r="A5034" i="4"/>
  <c r="A5631" i="4"/>
  <c r="A5993" i="4"/>
  <c r="A5088" i="4"/>
  <c r="A53" i="4"/>
  <c r="A80" i="4"/>
  <c r="A308" i="4"/>
  <c r="A317" i="4"/>
  <c r="A326" i="4"/>
  <c r="A335" i="4"/>
  <c r="A344" i="4"/>
  <c r="A461" i="4"/>
  <c r="A753" i="4"/>
  <c r="A762" i="4"/>
  <c r="A913" i="4"/>
  <c r="A949" i="4"/>
  <c r="A1033" i="4"/>
  <c r="A1138" i="4"/>
  <c r="A1210" i="4"/>
  <c r="A1304" i="4"/>
  <c r="A1364" i="4"/>
  <c r="A1431" i="4"/>
  <c r="A1458" i="4"/>
  <c r="A1472" i="4"/>
  <c r="A1481" i="4"/>
  <c r="A1490" i="4"/>
  <c r="A1571" i="4"/>
  <c r="A1598" i="4"/>
  <c r="A1652" i="4"/>
  <c r="A1692" i="4"/>
  <c r="A1813" i="4"/>
  <c r="A1867" i="4"/>
  <c r="A2013" i="4"/>
  <c r="A2175" i="4"/>
  <c r="A2202" i="4"/>
  <c r="A2220" i="4"/>
  <c r="A2301" i="4"/>
  <c r="A2319" i="4"/>
  <c r="A2834" i="4"/>
  <c r="A2906" i="4"/>
  <c r="A2933" i="4"/>
  <c r="A3023" i="4"/>
  <c r="A3050" i="4"/>
  <c r="A3204" i="4"/>
  <c r="A3350" i="4"/>
  <c r="A3512" i="4"/>
  <c r="A3530" i="4"/>
  <c r="A3749" i="4"/>
  <c r="A3813" i="4"/>
  <c r="A3921" i="4"/>
  <c r="A3930" i="4"/>
  <c r="A3948" i="4"/>
  <c r="A3957" i="4"/>
  <c r="A3975" i="4"/>
  <c r="A4071" i="4"/>
  <c r="A4089" i="4"/>
  <c r="A4125" i="4"/>
  <c r="A4143" i="4"/>
  <c r="A4152" i="4"/>
  <c r="A4170" i="4"/>
  <c r="A4545" i="4"/>
  <c r="A4554" i="4"/>
  <c r="A4630" i="4"/>
  <c r="A4639" i="4"/>
  <c r="A4648" i="4"/>
  <c r="A4666" i="4"/>
  <c r="A4675" i="4"/>
  <c r="A4684" i="4"/>
  <c r="A4747" i="4"/>
  <c r="A4774" i="4"/>
  <c r="A4873" i="4"/>
  <c r="A4882" i="4"/>
  <c r="A4891" i="4"/>
  <c r="A5115" i="4"/>
  <c r="A5381" i="4"/>
  <c r="A5390" i="4"/>
  <c r="A5399" i="4"/>
  <c r="A5613" i="4"/>
  <c r="A5699" i="4"/>
  <c r="A5717" i="4"/>
  <c r="A5984" i="4"/>
  <c r="A6119" i="4"/>
  <c r="A6074" i="4"/>
  <c r="A6164" i="4"/>
  <c r="A203" i="4"/>
  <c r="A407" i="4"/>
  <c r="A488" i="4"/>
  <c r="A602" i="4"/>
  <c r="A611" i="4"/>
  <c r="A620" i="4"/>
  <c r="A629" i="4"/>
  <c r="A847" i="4"/>
  <c r="A856" i="4"/>
  <c r="A1093" i="4"/>
  <c r="A1120" i="4"/>
  <c r="A1322" i="4"/>
  <c r="A1371" i="4"/>
  <c r="A1544" i="4"/>
  <c r="A1625" i="4"/>
  <c r="A2058" i="4"/>
  <c r="A2816" i="4"/>
  <c r="A3014" i="4"/>
  <c r="A3105" i="4"/>
  <c r="A3140" i="4"/>
  <c r="A3213" i="4"/>
  <c r="A3222" i="4"/>
  <c r="A3539" i="4"/>
  <c r="A3620" i="4"/>
  <c r="A3629" i="4"/>
  <c r="A3719" i="4"/>
  <c r="A3858" i="4"/>
  <c r="A3912" i="4"/>
  <c r="A4134" i="4"/>
  <c r="A4281" i="4"/>
  <c r="A4563" i="4"/>
  <c r="A4617" i="4"/>
  <c r="A4693" i="4"/>
  <c r="A4711" i="4"/>
  <c r="A4720" i="4"/>
  <c r="A4989" i="4"/>
  <c r="A5169" i="4"/>
  <c r="A5232" i="4"/>
  <c r="A5363" i="4"/>
  <c r="A5806" i="4"/>
  <c r="A5957" i="4"/>
  <c r="A6047" i="4"/>
  <c r="A6137" i="4"/>
  <c r="A149" i="4"/>
  <c r="A194" i="4"/>
  <c r="A265" i="4"/>
  <c r="A371" i="4"/>
  <c r="A380" i="4"/>
  <c r="A416" i="4"/>
  <c r="A575" i="4"/>
  <c r="A674" i="4"/>
  <c r="A678" i="4"/>
  <c r="A687" i="4"/>
  <c r="A699" i="4"/>
  <c r="A709" i="4"/>
  <c r="A713" i="4"/>
  <c r="A714" i="4"/>
  <c r="A829" i="4"/>
  <c r="A904" i="4"/>
  <c r="A970" i="4"/>
  <c r="A1071" i="4"/>
  <c r="A1331" i="4"/>
  <c r="A1349" i="4"/>
  <c r="A1746" i="4"/>
  <c r="A1840" i="4"/>
  <c r="A1876" i="4"/>
  <c r="A1903" i="4"/>
  <c r="A2031" i="4"/>
  <c r="A2040" i="4"/>
  <c r="A2049" i="4"/>
  <c r="A2475" i="4"/>
  <c r="A5429" i="4"/>
  <c r="A2665" i="4"/>
  <c r="A2732" i="4"/>
  <c r="A2750" i="4"/>
  <c r="A2780" i="4"/>
  <c r="A2864" i="4"/>
  <c r="A3041" i="4"/>
  <c r="A3272" i="4"/>
  <c r="A3611" i="4"/>
  <c r="A3984" i="4"/>
  <c r="A4299" i="4"/>
  <c r="A4365" i="4"/>
  <c r="A4864" i="4"/>
  <c r="A5025" i="4"/>
  <c r="A5259" i="4"/>
  <c r="A5298" i="4"/>
  <c r="A5690" i="4"/>
  <c r="A5837" i="4"/>
  <c r="A6065" i="4"/>
  <c r="A6146" i="4"/>
  <c r="A158" i="4"/>
  <c r="A726" i="4"/>
  <c r="A735" i="4"/>
  <c r="A744" i="4"/>
  <c r="A811" i="4"/>
  <c r="A1147" i="4"/>
  <c r="A2996" i="4"/>
  <c r="A3005" i="4"/>
  <c r="A3302" i="4"/>
  <c r="A3903" i="4"/>
  <c r="A3996" i="4"/>
  <c r="A5280" i="4"/>
  <c r="A5622" i="4"/>
  <c r="A5876" i="4"/>
  <c r="A6020" i="4"/>
  <c r="A6029" i="4"/>
  <c r="A6083" i="4"/>
  <c r="A533" i="4"/>
  <c r="A988" i="4"/>
  <c r="A1047" i="4"/>
  <c r="A1056" i="4"/>
  <c r="A1062" i="4"/>
  <c r="A1084" i="4"/>
  <c r="A1192" i="4"/>
  <c r="A1581" i="4"/>
  <c r="A1977" i="4"/>
  <c r="A2407" i="4"/>
  <c r="A2759" i="4"/>
  <c r="A3195" i="4"/>
  <c r="A3395" i="4"/>
  <c r="A3404" i="4"/>
  <c r="A5289" i="4"/>
  <c r="A5586" i="4"/>
  <c r="A5667" i="4"/>
  <c r="A5676" i="4"/>
  <c r="A2" i="4"/>
  <c r="A256" i="4"/>
  <c r="A434" i="4"/>
  <c r="A593" i="4"/>
  <c r="A656" i="4"/>
  <c r="A780" i="4"/>
  <c r="A1174" i="4"/>
  <c r="A1282" i="4"/>
  <c r="A1283" i="4"/>
  <c r="A1295" i="4"/>
  <c r="A1499" i="4"/>
  <c r="A1508" i="4"/>
  <c r="A1517" i="4"/>
  <c r="A1589" i="4"/>
  <c r="A1858" i="4"/>
  <c r="A1912" i="4"/>
  <c r="A1932" i="4"/>
  <c r="A2495" i="4"/>
  <c r="A2687" i="4"/>
  <c r="A2924" i="4"/>
  <c r="A3158" i="4"/>
  <c r="A3167" i="4"/>
  <c r="A3368" i="4"/>
  <c r="A3485" i="4"/>
  <c r="A3728" i="4"/>
  <c r="A3767" i="4"/>
  <c r="A3777" i="4"/>
  <c r="A3780" i="4"/>
  <c r="A3789" i="4"/>
  <c r="A3840" i="4"/>
  <c r="A3885" i="4"/>
  <c r="A3966" i="4"/>
  <c r="A4098" i="4"/>
  <c r="A4317" i="4"/>
  <c r="A4482" i="4"/>
  <c r="A4738" i="4"/>
  <c r="A4792" i="4"/>
  <c r="A4819" i="4"/>
  <c r="A5142" i="4"/>
  <c r="A5372" i="4"/>
  <c r="A5577" i="4"/>
  <c r="A5649" i="4"/>
  <c r="A5685" i="4"/>
  <c r="A5894" i="4"/>
  <c r="A5939" i="4"/>
  <c r="A886" i="4"/>
  <c r="A895" i="4"/>
  <c r="A1129" i="4"/>
  <c r="A1165" i="4"/>
  <c r="A1255" i="4"/>
  <c r="A1358" i="4"/>
  <c r="A1422" i="4"/>
  <c r="A1701" i="4"/>
  <c r="A1831" i="4"/>
  <c r="A1849" i="4"/>
  <c r="A1885" i="4"/>
  <c r="A1894" i="4"/>
  <c r="A1987" i="4"/>
  <c r="A2193" i="4"/>
  <c r="A2628" i="4"/>
  <c r="A2942" i="4"/>
  <c r="A3122" i="4"/>
  <c r="A3459" i="4"/>
  <c r="A3674" i="4"/>
  <c r="A4272" i="4"/>
  <c r="A4392" i="4"/>
  <c r="A5124" i="4"/>
  <c r="A5354" i="4"/>
  <c r="A5810" i="4"/>
  <c r="A5864" i="4"/>
  <c r="A5885" i="4"/>
  <c r="A5975" i="4"/>
  <c r="A6101" i="4"/>
  <c r="A6110" i="4"/>
  <c r="A220" i="4"/>
  <c r="A1201" i="4"/>
  <c r="A1273" i="4"/>
  <c r="A1449" i="4"/>
  <c r="A1535" i="4"/>
  <c r="A2004" i="4"/>
  <c r="A2184" i="4"/>
  <c r="A2328" i="4"/>
  <c r="A2337" i="4"/>
  <c r="A2346" i="4"/>
  <c r="A2439" i="4"/>
  <c r="A2540" i="4"/>
  <c r="A2556" i="4"/>
  <c r="A2565" i="4"/>
  <c r="A2601" i="4"/>
  <c r="A2789" i="4"/>
  <c r="A2843" i="4"/>
  <c r="A3285" i="4"/>
  <c r="A3822" i="4"/>
  <c r="A4980" i="4"/>
  <c r="A5016" i="4"/>
  <c r="A5500" i="4"/>
  <c r="A5568" i="4"/>
  <c r="A5855" i="4"/>
  <c r="A5930" i="4"/>
  <c r="A35" i="4"/>
  <c r="A398" i="4"/>
  <c r="A452" i="4"/>
  <c r="A665" i="4"/>
  <c r="A931" i="4"/>
  <c r="A940" i="4"/>
  <c r="A1102" i="4"/>
  <c r="A1111" i="4"/>
  <c r="A1237" i="4"/>
  <c r="A1616" i="4"/>
  <c r="A1711" i="4"/>
  <c r="A1791" i="4"/>
  <c r="A2112" i="4"/>
  <c r="A2256" i="4"/>
  <c r="A2355" i="4"/>
  <c r="A2448" i="4"/>
  <c r="A2457" i="4"/>
  <c r="A2466" i="4"/>
  <c r="A2637" i="4"/>
  <c r="A2729" i="4"/>
  <c r="A2798" i="4"/>
  <c r="A2807" i="4"/>
  <c r="A3359" i="4"/>
  <c r="A3867" i="4"/>
  <c r="A4581" i="4"/>
  <c r="A5133" i="4"/>
  <c r="A5277" i="4"/>
  <c r="A5408" i="4"/>
  <c r="A5550" i="4"/>
  <c r="A5873" i="4"/>
  <c r="A1313" i="4"/>
  <c r="A1553" i="4"/>
  <c r="A1661" i="4"/>
  <c r="A1662" i="4"/>
  <c r="A2094" i="4"/>
  <c r="A2416" i="4"/>
  <c r="A2486" i="4"/>
  <c r="A2768" i="4"/>
  <c r="A3249" i="4"/>
  <c r="A3254" i="4"/>
  <c r="A3263" i="4"/>
  <c r="A4116" i="4"/>
  <c r="A4259" i="4"/>
  <c r="A4497" i="4"/>
  <c r="A4506" i="4"/>
  <c r="A4729" i="4"/>
  <c r="A5467" i="4"/>
  <c r="A5658" i="4"/>
  <c r="A5948" i="4"/>
  <c r="A21" i="4"/>
  <c r="A771" i="4"/>
  <c r="A1013" i="4"/>
  <c r="A1219" i="4"/>
  <c r="A1246" i="4"/>
  <c r="A1380" i="4"/>
  <c r="A1941" i="4"/>
  <c r="A2211" i="4"/>
  <c r="A2274" i="4"/>
  <c r="A2522" i="4"/>
  <c r="A3293" i="4"/>
  <c r="A3311" i="4"/>
  <c r="A3320" i="4"/>
  <c r="A3323" i="4"/>
  <c r="A3332" i="4"/>
  <c r="A3386" i="4"/>
  <c r="A3467" i="4"/>
  <c r="A3710" i="4"/>
  <c r="A3831" i="4"/>
  <c r="A4062" i="4"/>
  <c r="A4335" i="4"/>
  <c r="A4383" i="4"/>
  <c r="A4935" i="4"/>
  <c r="A5079" i="4"/>
  <c r="A5106" i="4"/>
  <c r="A5151" i="4"/>
  <c r="A5160" i="4"/>
  <c r="A5196" i="4"/>
  <c r="A6092" i="4"/>
  <c r="A12" i="4"/>
  <c r="A98" i="4"/>
  <c r="A140" i="4"/>
  <c r="A167" i="4"/>
  <c r="A274" i="4"/>
  <c r="A506" i="4"/>
  <c r="A557" i="4"/>
  <c r="A979" i="4"/>
  <c r="A1075" i="4"/>
  <c r="A1340" i="4"/>
  <c r="A1562" i="4"/>
  <c r="A1607" i="4"/>
  <c r="A1755" i="4"/>
  <c r="A1764" i="4"/>
  <c r="A1773" i="4"/>
  <c r="A2238" i="4"/>
  <c r="A2247" i="4"/>
  <c r="A2283" i="4"/>
  <c r="A2364" i="4"/>
  <c r="A2382" i="4"/>
  <c r="A2425" i="4"/>
  <c r="A2592" i="4"/>
  <c r="A2619" i="4"/>
  <c r="A2915" i="4"/>
  <c r="A2960" i="4"/>
  <c r="A3068" i="4"/>
  <c r="A3077" i="4"/>
  <c r="A3176" i="4"/>
  <c r="A3186" i="4"/>
  <c r="A3341" i="4"/>
  <c r="A3377" i="4"/>
  <c r="A3422" i="4"/>
  <c r="A3431" i="4"/>
  <c r="A3449" i="4"/>
  <c r="A3683" i="4"/>
  <c r="A3692" i="4"/>
  <c r="A4023" i="4"/>
  <c r="A4041" i="4"/>
  <c r="A4590" i="4"/>
  <c r="A4599" i="4"/>
  <c r="A4608" i="4"/>
  <c r="A4783" i="4"/>
  <c r="A4846" i="4"/>
  <c r="A4855" i="4"/>
  <c r="A4953" i="4"/>
  <c r="A4998" i="4"/>
  <c r="A5007" i="4"/>
  <c r="A5205" i="4"/>
  <c r="A5214" i="4"/>
  <c r="A5440" i="4"/>
  <c r="A5491" i="4"/>
  <c r="A5595" i="4"/>
  <c r="A5708" i="4"/>
  <c r="A5903" i="4"/>
  <c r="A470" i="4"/>
  <c r="A479" i="4"/>
  <c r="A638" i="4"/>
  <c r="A820" i="4"/>
  <c r="A838" i="4"/>
  <c r="A1156" i="4"/>
  <c r="A1183" i="4"/>
  <c r="A1264" i="4"/>
  <c r="A1634" i="4"/>
  <c r="A2130" i="4"/>
  <c r="A2139" i="4"/>
  <c r="A2148" i="4"/>
  <c r="A2531" i="4"/>
  <c r="A2646" i="4"/>
  <c r="A2846" i="4"/>
  <c r="A2969" i="4"/>
  <c r="A3032" i="4"/>
  <c r="A3231" i="4"/>
  <c r="A3240" i="4"/>
  <c r="A3413" i="4"/>
  <c r="A3521" i="4"/>
  <c r="A3548" i="4"/>
  <c r="A3557" i="4"/>
  <c r="A3566" i="4"/>
  <c r="A3575" i="4"/>
  <c r="A3584" i="4"/>
  <c r="A3602" i="4"/>
  <c r="A3638" i="4"/>
  <c r="A3647" i="4"/>
  <c r="A3701" i="4"/>
  <c r="A4161" i="4"/>
  <c r="A4326" i="4"/>
  <c r="A4572" i="4"/>
  <c r="A4702" i="4"/>
  <c r="A4756" i="4"/>
  <c r="A4765" i="4"/>
  <c r="A4837" i="4"/>
  <c r="A5788" i="4"/>
  <c r="A5921" i="4"/>
  <c r="A6002" i="4"/>
  <c r="A185" i="4"/>
  <c r="A211" i="4"/>
  <c r="A238" i="4"/>
  <c r="A362" i="4"/>
  <c r="A524" i="4"/>
  <c r="A802" i="4"/>
  <c r="A1228" i="4"/>
  <c r="A2504" i="4"/>
  <c r="A2513" i="4"/>
  <c r="A2678" i="4"/>
  <c r="A2702" i="4"/>
  <c r="A2720" i="4"/>
  <c r="A2741" i="4"/>
  <c r="A2888" i="4"/>
  <c r="A2951" i="4"/>
  <c r="A3086" i="4"/>
  <c r="A4005" i="4"/>
  <c r="A4014" i="4"/>
  <c r="A4032" i="4"/>
  <c r="A4374" i="4"/>
  <c r="A4428" i="4"/>
  <c r="A4446" i="4"/>
  <c r="A4455" i="4"/>
  <c r="A4962" i="4"/>
  <c r="A4971" i="4"/>
  <c r="A5178" i="4"/>
  <c r="A5241" i="4"/>
  <c r="A5449" i="4"/>
  <c r="A5482" i="4"/>
  <c r="A443" i="4"/>
  <c r="A877" i="4"/>
  <c r="A922" i="4"/>
  <c r="A997" i="4"/>
  <c r="A2067" i="4"/>
  <c r="A2229" i="4"/>
  <c r="A2574" i="4"/>
  <c r="A2711" i="4"/>
  <c r="A2897" i="4"/>
  <c r="A3849" i="4"/>
  <c r="A4185" i="4"/>
  <c r="A4188" i="4"/>
  <c r="A4197" i="4"/>
  <c r="A4206" i="4"/>
  <c r="A4215" i="4"/>
  <c r="A4224" i="4"/>
  <c r="A4241" i="4"/>
  <c r="A4250" i="4"/>
  <c r="A4464" i="4"/>
  <c r="A4509" i="4"/>
  <c r="A4657" i="4"/>
  <c r="A5458" i="4"/>
  <c r="A5735" i="4"/>
  <c r="A5846" i="4"/>
  <c r="A5912" i="4"/>
  <c r="A6128" i="4"/>
  <c r="A62" i="4"/>
  <c r="A1440" i="4"/>
  <c r="A2987" i="4"/>
  <c r="A3095" i="4"/>
  <c r="A4080" i="4"/>
  <c r="A4290" i="4"/>
  <c r="A4308" i="4"/>
  <c r="A4401" i="4"/>
  <c r="A4527" i="4"/>
  <c r="A4900" i="4"/>
  <c r="A4909" i="4"/>
  <c r="A4918" i="4"/>
  <c r="A5604" i="4"/>
  <c r="A6155" i="4"/>
  <c r="A247" i="4"/>
  <c r="A389" i="4"/>
  <c r="A497" i="4"/>
  <c r="A515" i="4"/>
  <c r="A548" i="4"/>
  <c r="A793" i="4"/>
  <c r="A1720" i="4"/>
  <c r="A1959" i="4"/>
  <c r="A2292" i="4"/>
  <c r="A3131" i="4"/>
  <c r="A3503" i="4"/>
  <c r="A3876" i="4"/>
  <c r="A5043" i="4"/>
  <c r="A5052" i="4"/>
  <c r="A5061" i="4"/>
  <c r="A5070" i="4"/>
  <c r="A5097" i="4"/>
  <c r="A5770" i="4"/>
  <c r="A5819" i="4"/>
  <c r="A5828" i="4"/>
  <c r="A89" i="4"/>
  <c r="A647" i="4"/>
  <c r="A1674" i="4"/>
  <c r="A1683" i="4"/>
  <c r="A1737" i="4"/>
  <c r="A1968" i="4"/>
  <c r="A2076" i="4"/>
  <c r="A2121" i="4"/>
  <c r="A2157" i="4"/>
  <c r="A2265" i="4"/>
  <c r="A2373" i="4"/>
  <c r="A2656" i="4"/>
  <c r="A2693" i="4"/>
  <c r="A2825" i="4"/>
  <c r="A3476" i="4"/>
  <c r="A3798" i="4"/>
  <c r="A4053" i="4"/>
  <c r="A4927" i="4"/>
  <c r="A5187" i="4"/>
  <c r="A5250" i="4"/>
  <c r="A5268" i="4"/>
  <c r="A5316" i="4"/>
  <c r="A5325" i="4"/>
  <c r="A5326" i="4"/>
  <c r="A5336" i="4"/>
  <c r="A5345" i="4"/>
  <c r="A5559" i="4"/>
  <c r="A5640" i="4"/>
  <c r="A5726" i="4"/>
  <c r="A176" i="4"/>
  <c r="A353" i="4"/>
  <c r="A789" i="4"/>
  <c r="A868" i="4"/>
  <c r="A1022" i="4"/>
  <c r="A1413" i="4"/>
  <c r="A1822" i="4"/>
  <c r="A2310" i="4"/>
  <c r="A2610" i="4"/>
  <c r="A2855" i="4"/>
  <c r="A3656" i="4"/>
  <c r="A3758" i="4"/>
  <c r="A4410" i="4"/>
  <c r="A4518" i="4"/>
  <c r="A4536" i="4"/>
  <c r="A4801" i="4"/>
  <c r="A4810" i="4"/>
  <c r="A4944" i="4"/>
  <c r="A5223" i="4"/>
  <c r="A5307" i="4"/>
  <c r="A5509" i="4"/>
  <c r="A5518" i="4"/>
  <c r="A5527" i="4"/>
  <c r="A5532" i="4"/>
  <c r="A5541" i="4"/>
  <c r="A5966" i="4"/>
  <c r="A6056" i="4"/>
  <c r="A44" i="4"/>
  <c r="A71" i="4"/>
  <c r="A291" i="4"/>
  <c r="A425" i="4"/>
  <c r="A1728" i="4"/>
  <c r="A1782" i="4"/>
  <c r="A1923" i="4"/>
  <c r="A1995" i="4"/>
  <c r="A2022" i="4"/>
  <c r="A2166" i="4"/>
  <c r="A2398" i="4"/>
  <c r="A2669" i="4"/>
  <c r="A2978" i="4"/>
  <c r="A3113" i="4"/>
  <c r="A3894" i="4"/>
  <c r="A4107" i="4"/>
  <c r="A4356" i="4"/>
  <c r="A4437" i="4"/>
  <c r="A4621" i="4"/>
  <c r="A5744" i="4"/>
  <c r="A5752" i="4"/>
  <c r="A5761" i="4"/>
  <c r="A5779" i="4"/>
  <c r="A5797" i="4"/>
  <c r="A6011" i="4"/>
  <c r="A34" i="4"/>
  <c r="A229" i="4"/>
  <c r="A3440" i="4"/>
  <c r="A3593" i="4"/>
  <c r="A2584" i="4"/>
  <c r="A3495" i="4"/>
  <c r="A3738" i="4"/>
  <c r="A3747" i="4"/>
  <c r="A4829" i="4"/>
  <c r="A5418" i="4"/>
  <c r="A6045" i="4"/>
  <c r="A4" i="4"/>
  <c r="A108" i="4"/>
  <c r="A123" i="4"/>
  <c r="A132" i="4"/>
  <c r="A567" i="4"/>
  <c r="A585" i="4"/>
  <c r="A1396" i="4"/>
  <c r="A1405" i="4"/>
  <c r="A1527" i="4"/>
  <c r="A1644" i="4"/>
  <c r="A1801" i="4"/>
  <c r="A1805" i="4"/>
  <c r="A1951" i="4"/>
  <c r="A2086" i="4"/>
  <c r="A2104" i="4"/>
  <c r="A2880" i="4"/>
  <c r="A3060" i="4"/>
  <c r="A3150" i="4"/>
  <c r="A3666" i="4"/>
  <c r="A3940" i="4"/>
  <c r="A4420" i="4"/>
  <c r="A4474" i="4"/>
  <c r="A5035" i="4"/>
  <c r="A5632" i="4"/>
  <c r="A5994" i="4"/>
  <c r="A5089" i="4"/>
  <c r="A54" i="4"/>
  <c r="A81" i="4"/>
  <c r="A309" i="4"/>
  <c r="A318" i="4"/>
  <c r="A327" i="4"/>
  <c r="A336" i="4"/>
  <c r="A345" i="4"/>
  <c r="A462" i="4"/>
  <c r="A754" i="4"/>
  <c r="A763" i="4"/>
  <c r="A914" i="4"/>
  <c r="A950" i="4"/>
  <c r="A1034" i="4"/>
  <c r="A1139" i="4"/>
  <c r="A1211" i="4"/>
  <c r="A1305" i="4"/>
  <c r="A1432" i="4"/>
  <c r="A1459" i="4"/>
  <c r="A1473" i="4"/>
  <c r="A1482" i="4"/>
  <c r="A1491" i="4"/>
  <c r="A1572" i="4"/>
  <c r="A1599" i="4"/>
  <c r="A1653" i="4"/>
  <c r="A1693" i="4"/>
  <c r="A1814" i="4"/>
  <c r="A1868" i="4"/>
  <c r="A2014" i="4"/>
  <c r="A2176" i="4"/>
  <c r="A2203" i="4"/>
  <c r="A2221" i="4"/>
  <c r="A2302" i="4"/>
  <c r="A2320" i="4"/>
  <c r="A2835" i="4"/>
  <c r="A2907" i="4"/>
  <c r="A2934" i="4"/>
  <c r="A3024" i="4"/>
  <c r="A3051" i="4"/>
  <c r="A3205" i="4"/>
  <c r="A3351" i="4"/>
  <c r="A3513" i="4"/>
  <c r="A3531" i="4"/>
  <c r="A3750" i="4"/>
  <c r="A3814" i="4"/>
  <c r="A3922" i="4"/>
  <c r="A3931" i="4"/>
  <c r="A3949" i="4"/>
  <c r="A3958" i="4"/>
  <c r="A3976" i="4"/>
  <c r="A4072" i="4"/>
  <c r="A4090" i="4"/>
  <c r="A4126" i="4"/>
  <c r="A4144" i="4"/>
  <c r="A4153" i="4"/>
  <c r="A4171" i="4"/>
  <c r="A4239" i="4"/>
  <c r="A4546" i="4"/>
  <c r="A4555" i="4"/>
  <c r="A4631" i="4"/>
  <c r="A4640" i="4"/>
  <c r="A4649" i="4"/>
  <c r="A4667" i="4"/>
  <c r="A4676" i="4"/>
  <c r="A4685" i="4"/>
  <c r="A4748" i="4"/>
  <c r="A4775" i="4"/>
  <c r="A4874" i="4"/>
  <c r="A4883" i="4"/>
  <c r="A4892" i="4"/>
  <c r="A5116" i="4"/>
  <c r="A5382" i="4"/>
  <c r="A5391" i="4"/>
  <c r="A5400" i="4"/>
  <c r="A5614" i="4"/>
  <c r="A5700" i="4"/>
  <c r="A5718" i="4"/>
  <c r="A5985" i="4"/>
  <c r="A6120" i="4"/>
  <c r="A6075" i="4"/>
  <c r="A6165" i="4"/>
  <c r="A204" i="4"/>
  <c r="A306" i="4"/>
  <c r="A408" i="4"/>
  <c r="A489" i="4"/>
  <c r="A603" i="4"/>
  <c r="A612" i="4"/>
  <c r="A621" i="4"/>
  <c r="A630" i="4"/>
  <c r="A848" i="4"/>
  <c r="A857" i="4"/>
  <c r="A1094" i="4"/>
  <c r="A1121" i="4"/>
  <c r="A1323" i="4"/>
  <c r="A1372" i="4"/>
  <c r="A1545" i="4"/>
  <c r="A1626" i="4"/>
  <c r="A2059" i="4"/>
  <c r="A2817" i="4"/>
  <c r="A3015" i="4"/>
  <c r="A3106" i="4"/>
  <c r="A3141" i="4"/>
  <c r="A3214" i="4"/>
  <c r="A3223" i="4"/>
  <c r="A3540" i="4"/>
  <c r="A3621" i="4"/>
  <c r="A3630" i="4"/>
  <c r="A3720" i="4"/>
  <c r="A3859" i="4"/>
  <c r="A3913" i="4"/>
  <c r="A4135" i="4"/>
  <c r="A4282" i="4"/>
  <c r="A4564" i="4"/>
  <c r="A4618" i="4"/>
  <c r="A4694" i="4"/>
  <c r="A4712" i="4"/>
  <c r="A4721" i="4"/>
  <c r="A4990" i="4"/>
  <c r="A5170" i="4"/>
  <c r="A5233" i="4"/>
  <c r="A5364" i="4"/>
  <c r="A5807" i="4"/>
  <c r="A5958" i="4"/>
  <c r="A6048" i="4"/>
  <c r="A6138" i="4"/>
  <c r="A150" i="4"/>
  <c r="A195" i="4"/>
  <c r="A266" i="4"/>
  <c r="A372" i="4"/>
  <c r="A381" i="4"/>
  <c r="A417" i="4"/>
  <c r="A576" i="4"/>
  <c r="A675" i="4"/>
  <c r="A679" i="4"/>
  <c r="A688" i="4"/>
  <c r="A700" i="4"/>
  <c r="A710" i="4"/>
  <c r="A715" i="4"/>
  <c r="A716" i="4"/>
  <c r="A830" i="4"/>
  <c r="A865" i="4"/>
  <c r="A905" i="4"/>
  <c r="A971" i="4"/>
  <c r="A1072" i="4"/>
  <c r="A1332" i="4"/>
  <c r="A1350" i="4"/>
  <c r="A1747" i="4"/>
  <c r="A1841" i="4"/>
  <c r="A1877" i="4"/>
  <c r="A1904" i="4"/>
  <c r="A2032" i="4"/>
  <c r="A2041" i="4"/>
  <c r="A2050" i="4"/>
  <c r="A5430" i="4"/>
  <c r="A2666" i="4"/>
  <c r="A2733" i="4"/>
  <c r="A2751" i="4"/>
  <c r="A2781" i="4"/>
  <c r="A2865" i="4"/>
  <c r="A3042" i="4"/>
  <c r="A3273" i="4"/>
  <c r="A3612" i="4"/>
  <c r="A3985" i="4"/>
  <c r="A4300" i="4"/>
  <c r="A4366" i="4"/>
  <c r="A4865" i="4"/>
  <c r="A5026" i="4"/>
  <c r="A5260" i="4"/>
  <c r="A5299" i="4"/>
  <c r="A5691" i="4"/>
  <c r="A5838" i="4"/>
  <c r="A6066" i="4"/>
  <c r="A6147" i="4"/>
  <c r="A159" i="4"/>
  <c r="A727" i="4"/>
  <c r="A736" i="4"/>
  <c r="A745" i="4"/>
  <c r="A812" i="4"/>
  <c r="A1148" i="4"/>
  <c r="A2997" i="4"/>
  <c r="A3006" i="4"/>
  <c r="A3303" i="4"/>
  <c r="A3904" i="4"/>
  <c r="A3997" i="4"/>
  <c r="A5281" i="4"/>
  <c r="A5623" i="4"/>
  <c r="A5877" i="4"/>
  <c r="A6021" i="4"/>
  <c r="A6030" i="4"/>
  <c r="A6084" i="4"/>
  <c r="A534" i="4"/>
  <c r="A989" i="4"/>
  <c r="A1048" i="4"/>
  <c r="A1057" i="4"/>
  <c r="A1063" i="4"/>
  <c r="A1085" i="4"/>
  <c r="A1193" i="4"/>
  <c r="A1582" i="4"/>
  <c r="A1978" i="4"/>
  <c r="A2408" i="4"/>
  <c r="A2760" i="4"/>
  <c r="A3196" i="4"/>
  <c r="A3396" i="4"/>
  <c r="A3405" i="4"/>
  <c r="A5290" i="4"/>
  <c r="A5587" i="4"/>
  <c r="A5668" i="4"/>
  <c r="A5677" i="4"/>
  <c r="A257" i="4"/>
  <c r="A435" i="4"/>
  <c r="A594" i="4"/>
  <c r="A657" i="4"/>
  <c r="A781" i="4"/>
  <c r="A1175" i="4"/>
  <c r="A1284" i="4"/>
  <c r="A1285" i="4"/>
  <c r="A1296" i="4"/>
  <c r="A1500" i="4"/>
  <c r="A1509" i="4"/>
  <c r="A1518" i="4"/>
  <c r="A1590" i="4"/>
  <c r="A1859" i="4"/>
  <c r="A1933" i="4"/>
  <c r="A2496" i="4"/>
  <c r="A2688" i="4"/>
  <c r="A2925" i="4"/>
  <c r="A3159" i="4"/>
  <c r="A3168" i="4"/>
  <c r="A3283" i="4"/>
  <c r="A3369" i="4"/>
  <c r="A3486" i="4"/>
  <c r="A3729" i="4"/>
  <c r="A3768" i="4"/>
  <c r="A3778" i="4"/>
  <c r="A3781" i="4"/>
  <c r="A3785" i="4"/>
  <c r="A3790" i="4"/>
  <c r="A3841" i="4"/>
  <c r="A3886" i="4"/>
  <c r="A3967" i="4"/>
  <c r="A4099" i="4"/>
  <c r="A4268" i="4"/>
  <c r="A4318" i="4"/>
  <c r="A4348" i="4"/>
  <c r="A4483" i="4"/>
  <c r="A4739" i="4"/>
  <c r="A4793" i="4"/>
  <c r="A4820" i="4"/>
  <c r="A5143" i="4"/>
  <c r="A5373" i="4"/>
  <c r="A5578" i="4"/>
  <c r="A5650" i="4"/>
  <c r="A5686" i="4"/>
  <c r="A5895" i="4"/>
  <c r="A5940" i="4"/>
  <c r="A887" i="4"/>
  <c r="A896" i="4"/>
  <c r="A1130" i="4"/>
  <c r="A1166" i="4"/>
  <c r="A1256" i="4"/>
  <c r="A1359" i="4"/>
  <c r="A1423" i="4"/>
  <c r="A1702" i="4"/>
  <c r="A1832" i="4"/>
  <c r="A1850" i="4"/>
  <c r="A1886" i="4"/>
  <c r="A1895" i="4"/>
  <c r="A1988" i="4"/>
  <c r="A2194" i="4"/>
  <c r="A2629" i="4"/>
  <c r="A2943" i="4"/>
  <c r="A3123" i="4"/>
  <c r="A3460" i="4"/>
  <c r="A3675" i="4"/>
  <c r="A4273" i="4"/>
  <c r="A4393" i="4"/>
  <c r="A5125" i="4"/>
  <c r="A5355" i="4"/>
  <c r="A5811" i="4"/>
  <c r="A5865" i="4"/>
  <c r="A5886" i="4"/>
  <c r="A5976" i="4"/>
  <c r="A6102" i="4"/>
  <c r="A6111" i="4"/>
  <c r="A221" i="4"/>
  <c r="A289" i="4"/>
  <c r="A1202" i="4"/>
  <c r="A1274" i="4"/>
  <c r="A1450" i="4"/>
  <c r="A1536" i="4"/>
  <c r="A2005" i="4"/>
  <c r="A2185" i="4"/>
  <c r="A2329" i="4"/>
  <c r="A2338" i="4"/>
  <c r="A2347" i="4"/>
  <c r="A2440" i="4"/>
  <c r="A2541" i="4"/>
  <c r="A2557" i="4"/>
  <c r="A2566" i="4"/>
  <c r="A2602" i="4"/>
  <c r="A2790" i="4"/>
  <c r="A3286" i="4"/>
  <c r="A3823" i="4"/>
  <c r="A4981" i="4"/>
  <c r="A5017" i="4"/>
  <c r="A5501" i="4"/>
  <c r="A5569" i="4"/>
  <c r="A5856" i="4"/>
  <c r="A5931" i="4"/>
  <c r="A36" i="4"/>
  <c r="A399" i="4"/>
  <c r="A453" i="4"/>
  <c r="A666" i="4"/>
  <c r="A932" i="4"/>
  <c r="A941" i="4"/>
  <c r="A1103" i="4"/>
  <c r="A1112" i="4"/>
  <c r="A1238" i="4"/>
  <c r="A1617" i="4"/>
  <c r="A1712" i="4"/>
  <c r="A1792" i="4"/>
  <c r="A2113" i="4"/>
  <c r="A2257" i="4"/>
  <c r="A2356" i="4"/>
  <c r="A2449" i="4"/>
  <c r="A2458" i="4"/>
  <c r="A2467" i="4"/>
  <c r="A2638" i="4"/>
  <c r="A2730" i="4"/>
  <c r="A2799" i="4"/>
  <c r="A2808" i="4"/>
  <c r="A3360" i="4"/>
  <c r="A3868" i="4"/>
  <c r="A4582" i="4"/>
  <c r="A5134" i="4"/>
  <c r="A5278" i="4"/>
  <c r="A5409" i="4"/>
  <c r="A5551" i="4"/>
  <c r="A5874" i="4"/>
  <c r="A1314" i="4"/>
  <c r="A1554" i="4"/>
  <c r="A1663" i="4"/>
  <c r="A1664" i="4"/>
  <c r="A2095" i="4"/>
  <c r="A2417" i="4"/>
  <c r="A2487" i="4"/>
  <c r="A2769" i="4"/>
  <c r="A3250" i="4"/>
  <c r="A3255" i="4"/>
  <c r="A3264" i="4"/>
  <c r="A4117" i="4"/>
  <c r="A4260" i="4"/>
  <c r="A4498" i="4"/>
  <c r="A4507" i="4"/>
  <c r="A4730" i="4"/>
  <c r="A5468" i="4"/>
  <c r="A5659" i="4"/>
  <c r="A5949" i="4"/>
  <c r="A22" i="4"/>
  <c r="A772" i="4"/>
  <c r="A1014" i="4"/>
  <c r="A1220" i="4"/>
  <c r="A1247" i="4"/>
  <c r="A1381" i="4"/>
  <c r="A1942" i="4"/>
  <c r="A2212" i="4"/>
  <c r="A2275" i="4"/>
  <c r="A2523" i="4"/>
  <c r="A3294" i="4"/>
  <c r="A3312" i="4"/>
  <c r="A3321" i="4"/>
  <c r="A3324" i="4"/>
  <c r="A3333" i="4"/>
  <c r="A3387" i="4"/>
  <c r="A3468" i="4"/>
  <c r="A3711" i="4"/>
  <c r="A3832" i="4"/>
  <c r="A4063" i="4"/>
  <c r="A4336" i="4"/>
  <c r="A4384" i="4"/>
  <c r="A4936" i="4"/>
  <c r="A5080" i="4"/>
  <c r="A5107" i="4"/>
  <c r="A5152" i="4"/>
  <c r="A5161" i="4"/>
  <c r="A5197" i="4"/>
  <c r="A6093" i="4"/>
  <c r="A13" i="4"/>
  <c r="A99" i="4"/>
  <c r="A141" i="4"/>
  <c r="A168" i="4"/>
  <c r="A275" i="4"/>
  <c r="A507" i="4"/>
  <c r="A558" i="4"/>
  <c r="A980" i="4"/>
  <c r="A1076" i="4"/>
  <c r="A1341" i="4"/>
  <c r="A1563" i="4"/>
  <c r="A1608" i="4"/>
  <c r="A1756" i="4"/>
  <c r="A1765" i="4"/>
  <c r="A1774" i="4"/>
  <c r="A2239" i="4"/>
  <c r="A2248" i="4"/>
  <c r="A2284" i="4"/>
  <c r="A2365" i="4"/>
  <c r="A2383" i="4"/>
  <c r="A2426" i="4"/>
  <c r="A2593" i="4"/>
  <c r="A2620" i="4"/>
  <c r="A2916" i="4"/>
  <c r="A2961" i="4"/>
  <c r="A3069" i="4"/>
  <c r="A3078" i="4"/>
  <c r="A3177" i="4"/>
  <c r="A3187" i="4"/>
  <c r="A3342" i="4"/>
  <c r="A3378" i="4"/>
  <c r="A3423" i="4"/>
  <c r="A3432" i="4"/>
  <c r="A3450" i="4"/>
  <c r="A3684" i="4"/>
  <c r="A3693" i="4"/>
  <c r="A4024" i="4"/>
  <c r="A4042" i="4"/>
  <c r="A4591" i="4"/>
  <c r="A4600" i="4"/>
  <c r="A4609" i="4"/>
  <c r="A4784" i="4"/>
  <c r="A4847" i="4"/>
  <c r="A4856" i="4"/>
  <c r="A4954" i="4"/>
  <c r="A4999" i="4"/>
  <c r="A5008" i="4"/>
  <c r="A5206" i="4"/>
  <c r="A5215" i="4"/>
  <c r="A5441" i="4"/>
  <c r="A5492" i="4"/>
  <c r="A5596" i="4"/>
  <c r="A5709" i="4"/>
  <c r="A5904" i="4"/>
  <c r="A471" i="4"/>
  <c r="A480" i="4"/>
  <c r="A639" i="4"/>
  <c r="A821" i="4"/>
  <c r="A839" i="4"/>
  <c r="A1157" i="4"/>
  <c r="A1184" i="4"/>
  <c r="A1265" i="4"/>
  <c r="A1635" i="4"/>
  <c r="A2131" i="4"/>
  <c r="A2140" i="4"/>
  <c r="A2149" i="4"/>
  <c r="A2532" i="4"/>
  <c r="A2647" i="4"/>
  <c r="A2847" i="4"/>
  <c r="A2970" i="4"/>
  <c r="A3033" i="4"/>
  <c r="A3232" i="4"/>
  <c r="A3241" i="4"/>
  <c r="A3414" i="4"/>
  <c r="A3522" i="4"/>
  <c r="A3549" i="4"/>
  <c r="A3558" i="4"/>
  <c r="A3567" i="4"/>
  <c r="A3576" i="4"/>
  <c r="A3585" i="4"/>
  <c r="A3603" i="4"/>
  <c r="A3639" i="4"/>
  <c r="A3648" i="4"/>
  <c r="A3702" i="4"/>
  <c r="A4162" i="4"/>
  <c r="A4327" i="4"/>
  <c r="A4573" i="4"/>
  <c r="A4703" i="4"/>
  <c r="A4757" i="4"/>
  <c r="A4766" i="4"/>
  <c r="A4838" i="4"/>
  <c r="A5789" i="4"/>
  <c r="A5922" i="4"/>
  <c r="A6003" i="4"/>
  <c r="A186" i="4"/>
  <c r="A212" i="4"/>
  <c r="A239" i="4"/>
  <c r="A363" i="4"/>
  <c r="A525" i="4"/>
  <c r="A803" i="4"/>
  <c r="A1229" i="4"/>
  <c r="A2505" i="4"/>
  <c r="A2514" i="4"/>
  <c r="A2679" i="4"/>
  <c r="A2703" i="4"/>
  <c r="A2721" i="4"/>
  <c r="A2742" i="4"/>
  <c r="A2889" i="4"/>
  <c r="A2952" i="4"/>
  <c r="A3087" i="4"/>
  <c r="A4006" i="4"/>
  <c r="A4015" i="4"/>
  <c r="A4033" i="4"/>
  <c r="A4375" i="4"/>
  <c r="A4429" i="4"/>
  <c r="A4447" i="4"/>
  <c r="A4456" i="4"/>
  <c r="A4963" i="4"/>
  <c r="A4972" i="4"/>
  <c r="A5179" i="4"/>
  <c r="A5242" i="4"/>
  <c r="A5450" i="4"/>
  <c r="A5483" i="4"/>
  <c r="A444" i="4"/>
  <c r="A878" i="4"/>
  <c r="A923" i="4"/>
  <c r="A998" i="4"/>
  <c r="A2068" i="4"/>
  <c r="A2230" i="4"/>
  <c r="A2575" i="4"/>
  <c r="A2712" i="4"/>
  <c r="A2898" i="4"/>
  <c r="A3850" i="4"/>
  <c r="A4186" i="4"/>
  <c r="A4189" i="4"/>
  <c r="A4198" i="4"/>
  <c r="A4207" i="4"/>
  <c r="A4216" i="4"/>
  <c r="A4225" i="4"/>
  <c r="A4242" i="4"/>
  <c r="A4251" i="4"/>
  <c r="A4465" i="4"/>
  <c r="A4510" i="4"/>
  <c r="A4658" i="4"/>
  <c r="A5459" i="4"/>
  <c r="A5736" i="4"/>
  <c r="A5847" i="4"/>
  <c r="A5913" i="4"/>
  <c r="A6129" i="4"/>
  <c r="A63" i="4"/>
  <c r="A1441" i="4"/>
  <c r="A2988" i="4"/>
  <c r="A3096" i="4"/>
  <c r="A4081" i="4"/>
  <c r="A4291" i="4"/>
  <c r="A4309" i="4"/>
  <c r="A4402" i="4"/>
  <c r="A4528" i="4"/>
  <c r="A4901" i="4"/>
  <c r="A4910" i="4"/>
  <c r="A4919" i="4"/>
  <c r="A5605" i="4"/>
  <c r="A6156" i="4"/>
  <c r="A248" i="4"/>
  <c r="A390" i="4"/>
  <c r="A498" i="4"/>
  <c r="A516" i="4"/>
  <c r="A549" i="4"/>
  <c r="A794" i="4"/>
  <c r="A1721" i="4"/>
  <c r="A1960" i="4"/>
  <c r="A2293" i="4"/>
  <c r="A3132" i="4"/>
  <c r="A3504" i="4"/>
  <c r="A3877" i="4"/>
  <c r="A5044" i="4"/>
  <c r="A5053" i="4"/>
  <c r="A5062" i="4"/>
  <c r="A5071" i="4"/>
  <c r="A5098" i="4"/>
  <c r="A5432" i="4"/>
  <c r="A5771" i="4"/>
  <c r="A5820" i="4"/>
  <c r="A5829" i="4"/>
  <c r="A90" i="4"/>
  <c r="A648" i="4"/>
  <c r="A1675" i="4"/>
  <c r="A1684" i="4"/>
  <c r="A1738" i="4"/>
  <c r="A1969" i="4"/>
  <c r="A2077" i="4"/>
  <c r="A2122" i="4"/>
  <c r="A2158" i="4"/>
  <c r="A2266" i="4"/>
  <c r="A2374" i="4"/>
  <c r="A2657" i="4"/>
  <c r="A2694" i="4"/>
  <c r="A2826" i="4"/>
  <c r="A3477" i="4"/>
  <c r="A3799" i="4"/>
  <c r="A4054" i="4"/>
  <c r="A5188" i="4"/>
  <c r="A5251" i="4"/>
  <c r="A5269" i="4"/>
  <c r="A5317" i="4"/>
  <c r="A5327" i="4"/>
  <c r="A5328" i="4"/>
  <c r="A5337" i="4"/>
  <c r="A5346" i="4"/>
  <c r="A5560" i="4"/>
  <c r="A5641" i="4"/>
  <c r="A5727" i="4"/>
  <c r="A177" i="4"/>
  <c r="A354" i="4"/>
  <c r="A790" i="4"/>
  <c r="A869" i="4"/>
  <c r="A1023" i="4"/>
  <c r="A1414" i="4"/>
  <c r="A1823" i="4"/>
  <c r="A2311" i="4"/>
  <c r="A2611" i="4"/>
  <c r="A2856" i="4"/>
  <c r="A3657" i="4"/>
  <c r="A3759" i="4"/>
  <c r="A4411" i="4"/>
  <c r="A4519" i="4"/>
  <c r="A4537" i="4"/>
  <c r="A4802" i="4"/>
  <c r="A4811" i="4"/>
  <c r="A4945" i="4"/>
  <c r="A5224" i="4"/>
  <c r="A5308" i="4"/>
  <c r="A5510" i="4"/>
  <c r="A5519" i="4"/>
  <c r="A5528" i="4"/>
  <c r="A5533" i="4"/>
  <c r="A5542" i="4"/>
  <c r="A5967" i="4"/>
  <c r="A6057" i="4"/>
  <c r="A45" i="4"/>
  <c r="A72" i="4"/>
  <c r="A292" i="4"/>
  <c r="A426" i="4"/>
  <c r="A1729" i="4"/>
  <c r="A1783" i="4"/>
  <c r="A1924" i="4"/>
  <c r="A1996" i="4"/>
  <c r="A2023" i="4"/>
  <c r="A2167" i="4"/>
  <c r="A2399" i="4"/>
  <c r="A2670" i="4"/>
  <c r="A2979" i="4"/>
  <c r="A3114" i="4"/>
  <c r="A3895" i="4"/>
  <c r="A4108" i="4"/>
  <c r="A4357" i="4"/>
  <c r="A4438" i="4"/>
  <c r="A4622" i="4"/>
  <c r="A5745" i="4"/>
  <c r="A5753" i="4"/>
  <c r="A5762" i="4"/>
  <c r="A5780" i="4"/>
  <c r="A5798" i="4"/>
  <c r="A6012" i="4"/>
  <c r="A230" i="4"/>
  <c r="A3441" i="4"/>
  <c r="A3594" i="4"/>
  <c r="A2585" i="4"/>
  <c r="A3496" i="4"/>
  <c r="A3739" i="4"/>
  <c r="A3807" i="4"/>
  <c r="A4830" i="4"/>
  <c r="A5419" i="4"/>
  <c r="A6038" i="4"/>
  <c r="A5" i="4"/>
  <c r="A109" i="4"/>
  <c r="A116" i="4"/>
  <c r="A124" i="4"/>
  <c r="A133" i="4"/>
  <c r="A568" i="4"/>
  <c r="A586" i="4"/>
  <c r="A1397" i="4"/>
  <c r="A1406" i="4"/>
  <c r="A1528" i="4"/>
  <c r="A1645" i="4"/>
  <c r="A1802" i="4"/>
  <c r="A1806" i="4"/>
  <c r="A1952" i="4"/>
  <c r="A2087" i="4"/>
  <c r="A2105" i="4"/>
  <c r="A2881" i="4"/>
  <c r="A3061" i="4"/>
  <c r="A3151" i="4"/>
  <c r="A3667" i="4"/>
  <c r="A3941" i="4"/>
  <c r="A4051" i="4"/>
  <c r="A4421" i="4"/>
  <c r="A4475" i="4"/>
  <c r="A5036" i="4"/>
  <c r="A5633" i="4"/>
  <c r="A5995" i="4"/>
  <c r="A55" i="4"/>
  <c r="A82" i="4"/>
  <c r="A310" i="4"/>
  <c r="A319" i="4"/>
  <c r="A328" i="4"/>
  <c r="A337" i="4"/>
  <c r="A346" i="4"/>
  <c r="A463" i="4"/>
  <c r="A755" i="4"/>
  <c r="A764" i="4"/>
  <c r="A915" i="4"/>
  <c r="A951" i="4"/>
  <c r="A1035" i="4"/>
  <c r="A1140" i="4"/>
  <c r="A1212" i="4"/>
  <c r="A1306" i="4"/>
  <c r="A1365" i="4"/>
  <c r="A1433" i="4"/>
  <c r="A1460" i="4"/>
  <c r="A1474" i="4"/>
  <c r="A1483" i="4"/>
  <c r="A1492" i="4"/>
  <c r="A1573" i="4"/>
  <c r="A1600" i="4"/>
  <c r="A1654" i="4"/>
  <c r="A1694" i="4"/>
  <c r="A1815" i="4"/>
  <c r="A1869" i="4"/>
  <c r="A2015" i="4"/>
  <c r="A2177" i="4"/>
  <c r="A2204" i="4"/>
  <c r="A2222" i="4"/>
  <c r="A2303" i="4"/>
  <c r="A2321" i="4"/>
  <c r="A2836" i="4"/>
  <c r="A2908" i="4"/>
  <c r="A2935" i="4"/>
  <c r="A3025" i="4"/>
  <c r="A3052" i="4"/>
  <c r="A3206" i="4"/>
  <c r="A3352" i="4"/>
  <c r="A3514" i="4"/>
  <c r="A3532" i="4"/>
  <c r="A3751" i="4"/>
  <c r="A3815" i="4"/>
  <c r="A3923" i="4"/>
  <c r="A3932" i="4"/>
  <c r="A3950" i="4"/>
  <c r="A3959" i="4"/>
  <c r="A3977" i="4"/>
  <c r="A4073" i="4"/>
  <c r="A4091" i="4"/>
  <c r="A4127" i="4"/>
  <c r="A4145" i="4"/>
  <c r="A4154" i="4"/>
  <c r="A4172" i="4"/>
  <c r="A4233" i="4"/>
  <c r="A4547" i="4"/>
  <c r="A4556" i="4"/>
  <c r="A4632" i="4"/>
  <c r="A4641" i="4"/>
  <c r="A4650" i="4"/>
  <c r="A4668" i="4"/>
  <c r="A4677" i="4"/>
  <c r="A4686" i="4"/>
  <c r="A4749" i="4"/>
  <c r="A4776" i="4"/>
  <c r="A4875" i="4"/>
  <c r="A4884" i="4"/>
  <c r="A4893" i="4"/>
  <c r="A5090" i="4"/>
  <c r="A5117" i="4"/>
  <c r="A5383" i="4"/>
  <c r="A5392" i="4"/>
  <c r="A5401" i="4"/>
  <c r="A5615" i="4"/>
  <c r="A5701" i="4"/>
  <c r="A5719" i="4"/>
  <c r="A5986" i="4"/>
  <c r="A6121" i="4"/>
  <c r="A6076" i="4"/>
  <c r="A6166" i="4"/>
  <c r="A205" i="4"/>
  <c r="A300" i="4"/>
  <c r="A409" i="4"/>
  <c r="A490" i="4"/>
  <c r="A604" i="4"/>
  <c r="A613" i="4"/>
  <c r="A622" i="4"/>
  <c r="A631" i="4"/>
  <c r="A849" i="4"/>
  <c r="A858" i="4"/>
  <c r="A1095" i="4"/>
  <c r="A1122" i="4"/>
  <c r="A1324" i="4"/>
  <c r="A1373" i="4"/>
  <c r="A1546" i="4"/>
  <c r="A1627" i="4"/>
  <c r="A2060" i="4"/>
  <c r="A2818" i="4"/>
  <c r="A3016" i="4"/>
  <c r="A3107" i="4"/>
  <c r="A3142" i="4"/>
  <c r="A3215" i="4"/>
  <c r="A3224" i="4"/>
  <c r="A3541" i="4"/>
  <c r="A3622" i="4"/>
  <c r="A3631" i="4"/>
  <c r="A3721" i="4"/>
  <c r="A3860" i="4"/>
  <c r="A3914" i="4"/>
  <c r="A4136" i="4"/>
  <c r="A4283" i="4"/>
  <c r="A4565" i="4"/>
  <c r="A4619" i="4"/>
  <c r="A4695" i="4"/>
  <c r="A4713" i="4"/>
  <c r="A4722" i="4"/>
  <c r="A4991" i="4"/>
  <c r="A5171" i="4"/>
  <c r="A5234" i="4"/>
  <c r="A5365" i="4"/>
  <c r="A5808" i="4"/>
  <c r="A5959" i="4"/>
  <c r="A6049" i="4"/>
  <c r="A6139" i="4"/>
  <c r="A151" i="4"/>
  <c r="A196" i="4"/>
  <c r="A267" i="4"/>
  <c r="A373" i="4"/>
  <c r="A382" i="4"/>
  <c r="A418" i="4"/>
  <c r="A577" i="4"/>
  <c r="A676" i="4"/>
  <c r="A680" i="4"/>
  <c r="A689" i="4"/>
  <c r="A696" i="4"/>
  <c r="A701" i="4"/>
  <c r="A712" i="4"/>
  <c r="A717" i="4"/>
  <c r="A718" i="4"/>
  <c r="A831" i="4"/>
  <c r="A867" i="4"/>
  <c r="A906" i="4"/>
  <c r="A972" i="4"/>
  <c r="A1073" i="4"/>
  <c r="A1333" i="4"/>
  <c r="A1351" i="4"/>
  <c r="A1748" i="4"/>
  <c r="A1842" i="4"/>
  <c r="A1878" i="4"/>
  <c r="A1905" i="4"/>
  <c r="A2033" i="4"/>
  <c r="A2042" i="4"/>
  <c r="A2051" i="4"/>
  <c r="A2391" i="4"/>
  <c r="A2476" i="4"/>
  <c r="A2667" i="4"/>
  <c r="A2734" i="4"/>
  <c r="A2752" i="4"/>
  <c r="A2782" i="4"/>
  <c r="A2866" i="4"/>
  <c r="A3043" i="4"/>
  <c r="A3274" i="4"/>
  <c r="A3613" i="4"/>
  <c r="A3986" i="4"/>
  <c r="A4301" i="4"/>
  <c r="A4367" i="4"/>
  <c r="A4866" i="4"/>
  <c r="A5027" i="4"/>
  <c r="A5261" i="4"/>
  <c r="A5300" i="4"/>
  <c r="A5426" i="4"/>
  <c r="A5692" i="4"/>
  <c r="A5839" i="4"/>
  <c r="A6067" i="4"/>
  <c r="A6148" i="4"/>
  <c r="A160" i="4"/>
  <c r="A728" i="4"/>
  <c r="A737" i="4"/>
  <c r="A746" i="4"/>
  <c r="A813" i="4"/>
  <c r="A1149" i="4"/>
  <c r="A2998" i="4"/>
  <c r="A3007" i="4"/>
  <c r="A3304" i="4"/>
  <c r="A3905" i="4"/>
  <c r="A3998" i="4"/>
  <c r="A5282" i="4"/>
  <c r="A5624" i="4"/>
  <c r="A5878" i="4"/>
  <c r="A6022" i="4"/>
  <c r="A6031" i="4"/>
  <c r="A6085" i="4"/>
  <c r="A535" i="4"/>
  <c r="A542" i="4"/>
  <c r="A990" i="4"/>
  <c r="A1006" i="4"/>
  <c r="A1049" i="4"/>
  <c r="A1058" i="4"/>
  <c r="A1064" i="4"/>
  <c r="A1086" i="4"/>
  <c r="A1194" i="4"/>
  <c r="A1583" i="4"/>
  <c r="A1979" i="4"/>
  <c r="A2409" i="4"/>
  <c r="A2761" i="4"/>
  <c r="A3197" i="4"/>
  <c r="A3397" i="4"/>
  <c r="A3406" i="4"/>
  <c r="A5291" i="4"/>
  <c r="A5588" i="4"/>
  <c r="A5669" i="4"/>
  <c r="A5678" i="4"/>
  <c r="A258" i="4"/>
  <c r="A436" i="4"/>
  <c r="A595" i="4"/>
  <c r="A658" i="4"/>
  <c r="A782" i="4"/>
  <c r="A1176" i="4"/>
  <c r="A1286" i="4"/>
  <c r="A1287" i="4"/>
  <c r="A1297" i="4"/>
  <c r="A1501" i="4"/>
  <c r="A1510" i="4"/>
  <c r="A1519" i="4"/>
  <c r="A1591" i="4"/>
  <c r="A1860" i="4"/>
  <c r="A1913" i="4"/>
  <c r="A1934" i="4"/>
  <c r="A2497" i="4"/>
  <c r="A2689" i="4"/>
  <c r="A2873" i="4"/>
  <c r="A2926" i="4"/>
  <c r="A3160" i="4"/>
  <c r="A3169" i="4"/>
  <c r="A3281" i="4"/>
  <c r="A3370" i="4"/>
  <c r="A3487" i="4"/>
  <c r="A3730" i="4"/>
  <c r="A3769" i="4"/>
  <c r="A3771" i="4"/>
  <c r="A3782" i="4"/>
  <c r="A3786" i="4"/>
  <c r="A3791" i="4"/>
  <c r="A3842" i="4"/>
  <c r="A3887" i="4"/>
  <c r="A3968" i="4"/>
  <c r="A4100" i="4"/>
  <c r="A4269" i="4"/>
  <c r="A4319" i="4"/>
  <c r="A4349" i="4"/>
  <c r="A4484" i="4"/>
  <c r="A4740" i="4"/>
  <c r="A4794" i="4"/>
  <c r="A4821" i="4"/>
  <c r="A5144" i="4"/>
  <c r="A5374" i="4"/>
  <c r="A5579" i="4"/>
  <c r="A5651" i="4"/>
  <c r="A5687" i="4"/>
  <c r="A5896" i="4"/>
  <c r="A5941" i="4"/>
  <c r="A888" i="4"/>
  <c r="A897" i="4"/>
  <c r="A1131" i="4"/>
  <c r="A1167" i="4"/>
  <c r="A1257" i="4"/>
  <c r="A1360" i="4"/>
  <c r="A1424" i="4"/>
  <c r="A1703" i="4"/>
  <c r="A1833" i="4"/>
  <c r="A1851" i="4"/>
  <c r="A1887" i="4"/>
  <c r="A1896" i="4"/>
  <c r="A1989" i="4"/>
  <c r="A2195" i="4"/>
  <c r="A2630" i="4"/>
  <c r="A2944" i="4"/>
  <c r="A3124" i="4"/>
  <c r="A3461" i="4"/>
  <c r="A3676" i="4"/>
  <c r="A4274" i="4"/>
  <c r="A4394" i="4"/>
  <c r="A5126" i="4"/>
  <c r="A5356" i="4"/>
  <c r="A5812" i="4"/>
  <c r="A5866" i="4"/>
  <c r="A5887" i="4"/>
  <c r="A5977" i="4"/>
  <c r="A6103" i="4"/>
  <c r="A6112" i="4"/>
  <c r="A222" i="4"/>
  <c r="A283" i="4"/>
  <c r="A1203" i="4"/>
  <c r="A1275" i="4"/>
  <c r="A1451" i="4"/>
  <c r="A1537" i="4"/>
  <c r="A1920" i="4"/>
  <c r="A2006" i="4"/>
  <c r="A2188" i="4"/>
  <c r="A2330" i="4"/>
  <c r="A2339" i="4"/>
  <c r="A2348" i="4"/>
  <c r="A2441" i="4"/>
  <c r="A2542" i="4"/>
  <c r="A2549" i="4"/>
  <c r="A2558" i="4"/>
  <c r="A2567" i="4"/>
  <c r="A2603" i="4"/>
  <c r="A2791" i="4"/>
  <c r="A2844" i="4"/>
  <c r="A3287" i="4"/>
  <c r="A3824" i="4"/>
  <c r="A4982" i="4"/>
  <c r="A5018" i="4"/>
  <c r="A5502" i="4"/>
  <c r="A5570" i="4"/>
  <c r="A5857" i="4"/>
  <c r="A5932" i="4"/>
  <c r="A37" i="4"/>
  <c r="A400" i="4"/>
  <c r="A454" i="4"/>
  <c r="A667" i="4"/>
  <c r="A933" i="4"/>
  <c r="A942" i="4"/>
  <c r="A1104" i="4"/>
  <c r="A1113" i="4"/>
  <c r="A1239" i="4"/>
  <c r="A1618" i="4"/>
  <c r="A1713" i="4"/>
  <c r="A1793" i="4"/>
  <c r="A2114" i="4"/>
  <c r="A2258" i="4"/>
  <c r="A2357" i="4"/>
  <c r="A2450" i="4"/>
  <c r="A2459" i="4"/>
  <c r="A2468" i="4"/>
  <c r="A2639" i="4"/>
  <c r="A2800" i="4"/>
  <c r="A2809" i="4"/>
  <c r="A3361" i="4"/>
  <c r="A3869" i="4"/>
  <c r="A4583" i="4"/>
  <c r="A5136" i="4"/>
  <c r="A5410" i="4"/>
  <c r="A5552" i="4"/>
  <c r="A1315" i="4"/>
  <c r="A1555" i="4"/>
  <c r="A1665" i="4"/>
  <c r="A1666" i="4"/>
  <c r="A2096" i="4"/>
  <c r="A2418" i="4"/>
  <c r="A2483" i="4"/>
  <c r="A2488" i="4"/>
  <c r="A2770" i="4"/>
  <c r="A3251" i="4"/>
  <c r="A3256" i="4"/>
  <c r="A3265" i="4"/>
  <c r="A4118" i="4"/>
  <c r="A4261" i="4"/>
  <c r="A4491" i="4"/>
  <c r="A4499" i="4"/>
  <c r="A4731" i="4"/>
  <c r="A5469" i="4"/>
  <c r="A5476" i="4"/>
  <c r="A5660" i="4"/>
  <c r="A5950" i="4"/>
  <c r="A23" i="4"/>
  <c r="A773" i="4"/>
  <c r="A1015" i="4"/>
  <c r="A1221" i="4"/>
  <c r="A1248" i="4"/>
  <c r="A1382" i="4"/>
  <c r="A1389" i="4"/>
  <c r="A1943" i="4"/>
  <c r="A2214" i="4"/>
  <c r="A2276" i="4"/>
  <c r="A2524" i="4"/>
  <c r="A3295" i="4"/>
  <c r="A3313" i="4"/>
  <c r="A3325" i="4"/>
  <c r="A3334" i="4"/>
  <c r="A3388" i="4"/>
  <c r="A3469" i="4"/>
  <c r="A3712" i="4"/>
  <c r="A3833" i="4"/>
  <c r="A4064" i="4"/>
  <c r="A4337" i="4"/>
  <c r="A4385" i="4"/>
  <c r="A4937" i="4"/>
  <c r="A5081" i="4"/>
  <c r="A5108" i="4"/>
  <c r="A5153" i="4"/>
  <c r="A5162" i="4"/>
  <c r="A5198" i="4"/>
  <c r="A6094" i="4"/>
  <c r="A14" i="4"/>
  <c r="A100" i="4"/>
  <c r="A142" i="4"/>
  <c r="A169" i="4"/>
  <c r="A276" i="4"/>
  <c r="A508" i="4"/>
  <c r="A559" i="4"/>
  <c r="A981" i="4"/>
  <c r="A1077" i="4"/>
  <c r="A1342" i="4"/>
  <c r="A1564" i="4"/>
  <c r="A1609" i="4"/>
  <c r="A1757" i="4"/>
  <c r="A1766" i="4"/>
  <c r="A1775" i="4"/>
  <c r="A2240" i="4"/>
  <c r="A2249" i="4"/>
  <c r="A2285" i="4"/>
  <c r="A2366" i="4"/>
  <c r="A2384" i="4"/>
  <c r="A2427" i="4"/>
  <c r="A2594" i="4"/>
  <c r="A2621" i="4"/>
  <c r="A2917" i="4"/>
  <c r="A2962" i="4"/>
  <c r="A3070" i="4"/>
  <c r="A3079" i="4"/>
  <c r="A3178" i="4"/>
  <c r="A3188" i="4"/>
  <c r="A3343" i="4"/>
  <c r="A3379" i="4"/>
  <c r="A3424" i="4"/>
  <c r="A3433" i="4"/>
  <c r="A3451" i="4"/>
  <c r="A3685" i="4"/>
  <c r="A3694" i="4"/>
  <c r="A4025" i="4"/>
  <c r="A4043" i="4"/>
  <c r="A4592" i="4"/>
  <c r="A4601" i="4"/>
  <c r="A4610" i="4"/>
  <c r="A4785" i="4"/>
  <c r="A4848" i="4"/>
  <c r="A4857" i="4"/>
  <c r="A4955" i="4"/>
  <c r="A5000" i="4"/>
  <c r="A5009" i="4"/>
  <c r="A5207" i="4"/>
  <c r="A5216" i="4"/>
  <c r="A5442" i="4"/>
  <c r="A5493" i="4"/>
  <c r="A5597" i="4"/>
  <c r="A5710" i="4"/>
  <c r="A5905" i="4"/>
  <c r="A472" i="4"/>
  <c r="A481" i="4"/>
  <c r="A640" i="4"/>
  <c r="A822" i="4"/>
  <c r="A840" i="4"/>
  <c r="A1158" i="4"/>
  <c r="A1185" i="4"/>
  <c r="A1266" i="4"/>
  <c r="A1636" i="4"/>
  <c r="A2132" i="4"/>
  <c r="A2141" i="4"/>
  <c r="A2150" i="4"/>
  <c r="A2533" i="4"/>
  <c r="A2648" i="4"/>
  <c r="A2848" i="4"/>
  <c r="A2971" i="4"/>
  <c r="A3034" i="4"/>
  <c r="A3233" i="4"/>
  <c r="A3242" i="4"/>
  <c r="A3415" i="4"/>
  <c r="A3523" i="4"/>
  <c r="A3550" i="4"/>
  <c r="A3559" i="4"/>
  <c r="A3568" i="4"/>
  <c r="A3577" i="4"/>
  <c r="A3586" i="4"/>
  <c r="A3604" i="4"/>
  <c r="A3640" i="4"/>
  <c r="A3649" i="4"/>
  <c r="A3703" i="4"/>
  <c r="A4163" i="4"/>
  <c r="A4328" i="4"/>
  <c r="A4574" i="4"/>
  <c r="A4704" i="4"/>
  <c r="A4758" i="4"/>
  <c r="A4767" i="4"/>
  <c r="A4839" i="4"/>
  <c r="A5790" i="4"/>
  <c r="A5923" i="4"/>
  <c r="A6004" i="4"/>
  <c r="A187" i="4"/>
  <c r="A213" i="4"/>
  <c r="A240" i="4"/>
  <c r="A364" i="4"/>
  <c r="A526" i="4"/>
  <c r="A804" i="4"/>
  <c r="A1230" i="4"/>
  <c r="A2506" i="4"/>
  <c r="A2515" i="4"/>
  <c r="A2680" i="4"/>
  <c r="A2704" i="4"/>
  <c r="A2722" i="4"/>
  <c r="A2743" i="4"/>
  <c r="A2890" i="4"/>
  <c r="A2953" i="4"/>
  <c r="A3088" i="4"/>
  <c r="A4007" i="4"/>
  <c r="A4016" i="4"/>
  <c r="A4034" i="4"/>
  <c r="A4376" i="4"/>
  <c r="A4430" i="4"/>
  <c r="A4448" i="4"/>
  <c r="A4457" i="4"/>
  <c r="A4964" i="4"/>
  <c r="A4973" i="4"/>
  <c r="A5180" i="4"/>
  <c r="A5243" i="4"/>
  <c r="A5451" i="4"/>
  <c r="A5484" i="4"/>
  <c r="A445" i="4"/>
  <c r="A879" i="4"/>
  <c r="A924" i="4"/>
  <c r="A999" i="4"/>
  <c r="A2069" i="4"/>
  <c r="A2231" i="4"/>
  <c r="A2576" i="4"/>
  <c r="A2713" i="4"/>
  <c r="A2899" i="4"/>
  <c r="A3851" i="4"/>
  <c r="A4179" i="4"/>
  <c r="A4190" i="4"/>
  <c r="A4199" i="4"/>
  <c r="A4208" i="4"/>
  <c r="A4217" i="4"/>
  <c r="A4226" i="4"/>
  <c r="A4243" i="4"/>
  <c r="A4252" i="4"/>
  <c r="A4466" i="4"/>
  <c r="A4511" i="4"/>
  <c r="A4659" i="4"/>
  <c r="A5460" i="4"/>
  <c r="A5737" i="4"/>
  <c r="A5848" i="4"/>
  <c r="A5914" i="4"/>
  <c r="A6130" i="4"/>
  <c r="A64" i="4"/>
  <c r="A1442" i="4"/>
  <c r="A2989" i="4"/>
  <c r="A3097" i="4"/>
  <c r="A4082" i="4"/>
  <c r="A4292" i="4"/>
  <c r="A4310" i="4"/>
  <c r="A4403" i="4"/>
  <c r="A4529" i="4"/>
  <c r="A4902" i="4"/>
  <c r="A4911" i="4"/>
  <c r="A4920" i="4"/>
  <c r="A5606" i="4"/>
  <c r="A6157" i="4"/>
  <c r="A249" i="4"/>
  <c r="A391" i="4"/>
  <c r="A499" i="4"/>
  <c r="A517" i="4"/>
  <c r="A550" i="4"/>
  <c r="A795" i="4"/>
  <c r="A1722" i="4"/>
  <c r="A1961" i="4"/>
  <c r="A2294" i="4"/>
  <c r="A3133" i="4"/>
  <c r="A3505" i="4"/>
  <c r="A3878" i="4"/>
  <c r="A5045" i="4"/>
  <c r="A5054" i="4"/>
  <c r="A5063" i="4"/>
  <c r="A5072" i="4"/>
  <c r="A5099" i="4"/>
  <c r="A5434" i="4"/>
  <c r="A5772" i="4"/>
  <c r="A5821" i="4"/>
  <c r="A5830" i="4"/>
  <c r="A91" i="4"/>
  <c r="A649" i="4"/>
  <c r="A1676" i="4"/>
  <c r="A1685" i="4"/>
  <c r="A1739" i="4"/>
  <c r="A1970" i="4"/>
  <c r="A2078" i="4"/>
  <c r="A2123" i="4"/>
  <c r="A2159" i="4"/>
  <c r="A2267" i="4"/>
  <c r="A2375" i="4"/>
  <c r="A2658" i="4"/>
  <c r="A2695" i="4"/>
  <c r="A2827" i="4"/>
  <c r="A3478" i="4"/>
  <c r="A3800" i="4"/>
  <c r="A4055" i="4"/>
  <c r="A4928" i="4"/>
  <c r="A5189" i="4"/>
  <c r="A5252" i="4"/>
  <c r="A5270" i="4"/>
  <c r="A5318" i="4"/>
  <c r="A5329" i="4"/>
  <c r="A5338" i="4"/>
  <c r="A5347" i="4"/>
  <c r="A5561" i="4"/>
  <c r="A5642" i="4"/>
  <c r="A5728" i="4"/>
  <c r="A178" i="4"/>
  <c r="A355" i="4"/>
  <c r="A791" i="4"/>
  <c r="A870" i="4"/>
  <c r="A1024" i="4"/>
  <c r="A1415" i="4"/>
  <c r="A1824" i="4"/>
  <c r="A2312" i="4"/>
  <c r="A2612" i="4"/>
  <c r="A2857" i="4"/>
  <c r="A3658" i="4"/>
  <c r="A3760" i="4"/>
  <c r="A4412" i="4"/>
  <c r="A4520" i="4"/>
  <c r="A4538" i="4"/>
  <c r="A4803" i="4"/>
  <c r="A4812" i="4"/>
  <c r="A4946" i="4"/>
  <c r="A5225" i="4"/>
  <c r="A5309" i="4"/>
  <c r="A5511" i="4"/>
  <c r="A5520" i="4"/>
  <c r="A5529" i="4"/>
  <c r="A5534" i="4"/>
  <c r="A5543" i="4"/>
  <c r="A5968" i="4"/>
  <c r="A6058" i="4"/>
  <c r="A46" i="4"/>
  <c r="A73" i="4"/>
  <c r="A293" i="4"/>
  <c r="A427" i="4"/>
  <c r="A1730" i="4"/>
  <c r="A1784" i="4"/>
  <c r="A1925" i="4"/>
  <c r="A1997" i="4"/>
  <c r="A2024" i="4"/>
  <c r="A2168" i="4"/>
  <c r="A2400" i="4"/>
  <c r="A2671" i="4"/>
  <c r="A2980" i="4"/>
  <c r="A3115" i="4"/>
  <c r="A3896" i="4"/>
  <c r="A4109" i="4"/>
  <c r="A4358" i="4"/>
  <c r="A4439" i="4"/>
  <c r="A4623" i="4"/>
  <c r="A5746" i="4"/>
  <c r="A5754" i="4"/>
  <c r="A5763" i="4"/>
  <c r="A5781" i="4"/>
  <c r="A5799" i="4"/>
  <c r="A6013" i="4"/>
  <c r="A231" i="4"/>
  <c r="A3442" i="4"/>
  <c r="A3595" i="4"/>
  <c r="A2586" i="4"/>
  <c r="A3497" i="4"/>
  <c r="A3740" i="4"/>
  <c r="A3808" i="4"/>
  <c r="A4831" i="4"/>
  <c r="A5420" i="4"/>
  <c r="A6039" i="4"/>
  <c r="A6" i="4"/>
  <c r="A110" i="4"/>
  <c r="A117" i="4"/>
  <c r="A125" i="4"/>
  <c r="A134" i="4"/>
  <c r="A569" i="4"/>
  <c r="A587" i="4"/>
  <c r="A1398" i="4"/>
  <c r="A1407" i="4"/>
  <c r="A1529" i="4"/>
  <c r="A1646" i="4"/>
  <c r="A1807" i="4"/>
  <c r="A1953" i="4"/>
  <c r="A2088" i="4"/>
  <c r="A2106" i="4"/>
  <c r="A2478" i="4"/>
  <c r="A2882" i="4"/>
  <c r="A3062" i="4"/>
  <c r="A3152" i="4"/>
  <c r="A3668" i="4"/>
  <c r="A3942" i="4"/>
  <c r="A4422" i="4"/>
  <c r="A4476" i="4"/>
  <c r="A5037" i="4"/>
  <c r="A5634" i="4"/>
  <c r="A5996" i="4"/>
  <c r="A56" i="4"/>
  <c r="A83" i="4"/>
  <c r="A311" i="4"/>
  <c r="A320" i="4"/>
  <c r="A329" i="4"/>
  <c r="A338" i="4"/>
  <c r="A347" i="4"/>
  <c r="A464" i="4"/>
  <c r="A756" i="4"/>
  <c r="A765" i="4"/>
  <c r="A916" i="4"/>
  <c r="A952" i="4"/>
  <c r="A1036" i="4"/>
  <c r="A1141" i="4"/>
  <c r="A1213" i="4"/>
  <c r="A1307" i="4"/>
  <c r="A1366" i="4"/>
  <c r="A1434" i="4"/>
  <c r="A1461" i="4"/>
  <c r="A1475" i="4"/>
  <c r="A1484" i="4"/>
  <c r="A1493" i="4"/>
  <c r="A1574" i="4"/>
  <c r="A1601" i="4"/>
  <c r="A1655" i="4"/>
  <c r="A1695" i="4"/>
  <c r="A1816" i="4"/>
  <c r="A1870" i="4"/>
  <c r="A2016" i="4"/>
  <c r="A2178" i="4"/>
  <c r="A2205" i="4"/>
  <c r="A2223" i="4"/>
  <c r="A2304" i="4"/>
  <c r="A2322" i="4"/>
  <c r="A2837" i="4"/>
  <c r="A2909" i="4"/>
  <c r="A2936" i="4"/>
  <c r="A3026" i="4"/>
  <c r="A3053" i="4"/>
  <c r="A3207" i="4"/>
  <c r="A3353" i="4"/>
  <c r="A3515" i="4"/>
  <c r="A3533" i="4"/>
  <c r="A3752" i="4"/>
  <c r="A3816" i="4"/>
  <c r="A3924" i="4"/>
  <c r="A3933" i="4"/>
  <c r="A3951" i="4"/>
  <c r="A3960" i="4"/>
  <c r="A3978" i="4"/>
  <c r="A4074" i="4"/>
  <c r="A4092" i="4"/>
  <c r="A4128" i="4"/>
  <c r="A4146" i="4"/>
  <c r="A4155" i="4"/>
  <c r="A4173" i="4"/>
  <c r="A4234" i="4"/>
  <c r="A4548" i="4"/>
  <c r="A4557" i="4"/>
  <c r="A4633" i="4"/>
  <c r="A4642" i="4"/>
  <c r="A4651" i="4"/>
  <c r="A4669" i="4"/>
  <c r="A4678" i="4"/>
  <c r="A4687" i="4"/>
  <c r="A4750" i="4"/>
  <c r="A4777" i="4"/>
  <c r="A4876" i="4"/>
  <c r="A4885" i="4"/>
  <c r="A4894" i="4"/>
  <c r="A5091" i="4"/>
  <c r="A5118" i="4"/>
  <c r="A5384" i="4"/>
  <c r="A5393" i="4"/>
  <c r="A5402" i="4"/>
  <c r="A5616" i="4"/>
  <c r="A5702" i="4"/>
  <c r="A5720" i="4"/>
  <c r="A5987" i="4"/>
  <c r="A6122" i="4"/>
  <c r="A6077" i="4"/>
  <c r="A6167" i="4"/>
  <c r="A206" i="4"/>
  <c r="A301" i="4"/>
  <c r="A410" i="4"/>
  <c r="A491" i="4"/>
  <c r="A605" i="4"/>
  <c r="A614" i="4"/>
  <c r="A623" i="4"/>
  <c r="A632" i="4"/>
  <c r="A850" i="4"/>
  <c r="A859" i="4"/>
  <c r="A1096" i="4"/>
  <c r="A1123" i="4"/>
  <c r="A1325" i="4"/>
  <c r="A1374" i="4"/>
  <c r="A1547" i="4"/>
  <c r="A1628" i="4"/>
  <c r="A2061" i="4"/>
  <c r="A2819" i="4"/>
  <c r="A3017" i="4"/>
  <c r="A3104" i="4"/>
  <c r="A3143" i="4"/>
  <c r="A3216" i="4"/>
  <c r="A3225" i="4"/>
  <c r="A3542" i="4"/>
  <c r="A3623" i="4"/>
  <c r="A3632" i="4"/>
  <c r="A3722" i="4"/>
  <c r="A3861" i="4"/>
  <c r="A3915" i="4"/>
  <c r="A4137" i="4"/>
  <c r="A4284" i="4"/>
  <c r="A4566" i="4"/>
  <c r="A4696" i="4"/>
  <c r="A4714" i="4"/>
  <c r="A4723" i="4"/>
  <c r="A4992" i="4"/>
  <c r="A5172" i="4"/>
  <c r="A5235" i="4"/>
  <c r="A5366" i="4"/>
  <c r="A5960" i="4"/>
  <c r="A6050" i="4"/>
  <c r="A6140" i="4"/>
  <c r="A152" i="4"/>
  <c r="A197" i="4"/>
  <c r="A268" i="4"/>
  <c r="A374" i="4"/>
  <c r="A383" i="4"/>
  <c r="A419" i="4"/>
  <c r="A578" i="4"/>
  <c r="A681" i="4"/>
  <c r="A690" i="4"/>
  <c r="A697" i="4"/>
  <c r="A702" i="4"/>
  <c r="A719" i="4"/>
  <c r="A832" i="4"/>
  <c r="A907" i="4"/>
  <c r="A973" i="4"/>
  <c r="A1334" i="4"/>
  <c r="A1352" i="4"/>
  <c r="A1749" i="4"/>
  <c r="A1843" i="4"/>
  <c r="A1879" i="4"/>
  <c r="A1906" i="4"/>
  <c r="A2034" i="4"/>
  <c r="A2043" i="4"/>
  <c r="A2052" i="4"/>
  <c r="A2392" i="4"/>
  <c r="A2735" i="4"/>
  <c r="A2753" i="4"/>
  <c r="A2783" i="4"/>
  <c r="A2867" i="4"/>
  <c r="A3044" i="4"/>
  <c r="A3275" i="4"/>
  <c r="A3614" i="4"/>
  <c r="A3987" i="4"/>
  <c r="A4302" i="4"/>
  <c r="A4368" i="4"/>
  <c r="A4867" i="4"/>
  <c r="A5028" i="4"/>
  <c r="A5262" i="4"/>
  <c r="A5301" i="4"/>
  <c r="A5427" i="4"/>
  <c r="A5693" i="4"/>
  <c r="A5840" i="4"/>
  <c r="A6068" i="4"/>
  <c r="A6149" i="4"/>
  <c r="A161" i="4"/>
  <c r="A729" i="4"/>
  <c r="A738" i="4"/>
  <c r="A747" i="4"/>
  <c r="A814" i="4"/>
  <c r="A1150" i="4"/>
  <c r="A2999" i="4"/>
  <c r="A3008" i="4"/>
  <c r="A3305" i="4"/>
  <c r="A3906" i="4"/>
  <c r="A3999" i="4"/>
  <c r="A5283" i="4"/>
  <c r="A5625" i="4"/>
  <c r="A5879" i="4"/>
  <c r="A6023" i="4"/>
  <c r="A6032" i="4"/>
  <c r="A6086" i="4"/>
  <c r="A536" i="4"/>
  <c r="A543" i="4"/>
  <c r="A991" i="4"/>
  <c r="A1007" i="4"/>
  <c r="A1050" i="4"/>
  <c r="A1059" i="4"/>
  <c r="A1065" i="4"/>
  <c r="A1087" i="4"/>
  <c r="A1195" i="4"/>
  <c r="A1580" i="4"/>
  <c r="A1980" i="4"/>
  <c r="A2410" i="4"/>
  <c r="A2762" i="4"/>
  <c r="A3198" i="4"/>
  <c r="A3398" i="4"/>
  <c r="A3407" i="4"/>
  <c r="A5292" i="4"/>
  <c r="A5589" i="4"/>
  <c r="A5670" i="4"/>
  <c r="A5679" i="4"/>
  <c r="A259" i="4"/>
  <c r="A437" i="4"/>
  <c r="A596" i="4"/>
  <c r="A659" i="4"/>
  <c r="A783" i="4"/>
  <c r="A1177" i="4"/>
  <c r="A1288" i="4"/>
  <c r="A1298" i="4"/>
  <c r="A1502" i="4"/>
  <c r="A1511" i="4"/>
  <c r="A1520" i="4"/>
  <c r="A1592" i="4"/>
  <c r="A1861" i="4"/>
  <c r="A1914" i="4"/>
  <c r="A1935" i="4"/>
  <c r="A2498" i="4"/>
  <c r="A2690" i="4"/>
  <c r="A2874" i="4"/>
  <c r="A2927" i="4"/>
  <c r="A3161" i="4"/>
  <c r="A3170" i="4"/>
  <c r="A3282" i="4"/>
  <c r="A3371" i="4"/>
  <c r="A3488" i="4"/>
  <c r="A3731" i="4"/>
  <c r="A3772" i="4"/>
  <c r="A3783" i="4"/>
  <c r="A3787" i="4"/>
  <c r="A3792" i="4"/>
  <c r="A3843" i="4"/>
  <c r="A3888" i="4"/>
  <c r="A3969" i="4"/>
  <c r="A4101" i="4"/>
  <c r="A4270" i="4"/>
  <c r="A4320" i="4"/>
  <c r="A4350" i="4"/>
  <c r="A4485" i="4"/>
  <c r="A4741" i="4"/>
  <c r="A4795" i="4"/>
  <c r="A4822" i="4"/>
  <c r="A5145" i="4"/>
  <c r="A5375" i="4"/>
  <c r="A5580" i="4"/>
  <c r="A5652" i="4"/>
  <c r="A5688" i="4"/>
  <c r="A5897" i="4"/>
  <c r="A5942" i="4"/>
  <c r="A889" i="4"/>
  <c r="A898" i="4"/>
  <c r="A1132" i="4"/>
  <c r="A1168" i="4"/>
  <c r="A1258" i="4"/>
  <c r="A1361" i="4"/>
  <c r="A1425" i="4"/>
  <c r="A1709" i="4"/>
  <c r="A1834" i="4"/>
  <c r="A1852" i="4"/>
  <c r="A1888" i="4"/>
  <c r="A1897" i="4"/>
  <c r="A1986" i="4"/>
  <c r="A2196" i="4"/>
  <c r="A2631" i="4"/>
  <c r="A2945" i="4"/>
  <c r="A3125" i="4"/>
  <c r="A3458" i="4"/>
  <c r="A3677" i="4"/>
  <c r="A4275" i="4"/>
  <c r="A4395" i="4"/>
  <c r="A5127" i="4"/>
  <c r="A5357" i="4"/>
  <c r="A5818" i="4"/>
  <c r="A5867" i="4"/>
  <c r="A5888" i="4"/>
  <c r="A5978" i="4"/>
  <c r="A6104" i="4"/>
  <c r="A6113" i="4"/>
  <c r="A223" i="4"/>
  <c r="A284" i="4"/>
  <c r="A1204" i="4"/>
  <c r="A1276" i="4"/>
  <c r="A1452" i="4"/>
  <c r="A1467" i="4"/>
  <c r="A1538" i="4"/>
  <c r="A1921" i="4"/>
  <c r="A2007" i="4"/>
  <c r="A2186" i="4"/>
  <c r="A2331" i="4"/>
  <c r="A2340" i="4"/>
  <c r="A2349" i="4"/>
  <c r="A2434" i="4"/>
  <c r="A2442" i="4"/>
  <c r="A2543" i="4"/>
  <c r="A2550" i="4"/>
  <c r="A2559" i="4"/>
  <c r="A2568" i="4"/>
  <c r="A2604" i="4"/>
  <c r="A2792" i="4"/>
  <c r="A3288" i="4"/>
  <c r="A3825" i="4"/>
  <c r="A4983" i="4"/>
  <c r="A5019" i="4"/>
  <c r="A5503" i="4"/>
  <c r="A5571" i="4"/>
  <c r="A5858" i="4"/>
  <c r="A5933" i="4"/>
  <c r="A38" i="4"/>
  <c r="A401" i="4"/>
  <c r="A455" i="4"/>
  <c r="A668" i="4"/>
  <c r="A934" i="4"/>
  <c r="A943" i="4"/>
  <c r="A1105" i="4"/>
  <c r="A1114" i="4"/>
  <c r="A1240" i="4"/>
  <c r="A1619" i="4"/>
  <c r="A1710" i="4"/>
  <c r="A1794" i="4"/>
  <c r="A2115" i="4"/>
  <c r="A2259" i="4"/>
  <c r="A2358" i="4"/>
  <c r="A2451" i="4"/>
  <c r="A2460" i="4"/>
  <c r="A2469" i="4"/>
  <c r="A2640" i="4"/>
  <c r="A2801" i="4"/>
  <c r="A2810" i="4"/>
  <c r="A3362" i="4"/>
  <c r="A3870" i="4"/>
  <c r="A4584" i="4"/>
  <c r="A5137" i="4"/>
  <c r="A5411" i="4"/>
  <c r="A5553" i="4"/>
  <c r="A1316" i="4"/>
  <c r="A1556" i="4"/>
  <c r="A1667" i="4"/>
  <c r="A2097" i="4"/>
  <c r="A2419" i="4"/>
  <c r="A2484" i="4"/>
  <c r="A2489" i="4"/>
  <c r="A2771" i="4"/>
  <c r="A3252" i="4"/>
  <c r="A3257" i="4"/>
  <c r="A3266" i="4"/>
  <c r="A4119" i="4"/>
  <c r="A4262" i="4"/>
  <c r="A4492" i="4"/>
  <c r="A4500" i="4"/>
  <c r="A4732" i="4"/>
  <c r="A5470" i="4"/>
  <c r="A5477" i="4"/>
  <c r="A5661" i="4"/>
  <c r="A5951" i="4"/>
  <c r="A24" i="4"/>
  <c r="A774" i="4"/>
  <c r="A1016" i="4"/>
  <c r="A1222" i="4"/>
  <c r="A1249" i="4"/>
  <c r="A1383" i="4"/>
  <c r="A1390" i="4"/>
  <c r="A1944" i="4"/>
  <c r="A2215" i="4"/>
  <c r="A2277" i="4"/>
  <c r="A2525" i="4"/>
  <c r="A3296" i="4"/>
  <c r="A3314" i="4"/>
  <c r="A3326" i="4"/>
  <c r="A3335" i="4"/>
  <c r="A3389" i="4"/>
  <c r="A3470" i="4"/>
  <c r="A3713" i="4"/>
  <c r="A3834" i="4"/>
  <c r="A4065" i="4"/>
  <c r="A4338" i="4"/>
  <c r="A4386" i="4"/>
  <c r="A4938" i="4"/>
  <c r="A5082" i="4"/>
  <c r="A5109" i="4"/>
  <c r="A5154" i="4"/>
  <c r="A5163" i="4"/>
  <c r="A5199" i="4"/>
  <c r="A6095" i="4"/>
  <c r="A15" i="4"/>
  <c r="A101" i="4"/>
  <c r="A143" i="4"/>
  <c r="A170" i="4"/>
  <c r="A277" i="4"/>
  <c r="A509" i="4"/>
  <c r="A560" i="4"/>
  <c r="A982" i="4"/>
  <c r="A1078" i="4"/>
  <c r="A1343" i="4"/>
  <c r="A1565" i="4"/>
  <c r="A1610" i="4"/>
  <c r="A1758" i="4"/>
  <c r="A1767" i="4"/>
  <c r="A1776" i="4"/>
  <c r="A2241" i="4"/>
  <c r="A2250" i="4"/>
  <c r="A2286" i="4"/>
  <c r="A2367" i="4"/>
  <c r="A2385" i="4"/>
  <c r="A2428" i="4"/>
  <c r="A2595" i="4"/>
  <c r="A2622" i="4"/>
  <c r="A2918" i="4"/>
  <c r="A2963" i="4"/>
  <c r="A3071" i="4"/>
  <c r="A3080" i="4"/>
  <c r="A3179" i="4"/>
  <c r="A3189" i="4"/>
  <c r="A3344" i="4"/>
  <c r="A3380" i="4"/>
  <c r="A3425" i="4"/>
  <c r="A3434" i="4"/>
  <c r="A3452" i="4"/>
  <c r="A3686" i="4"/>
  <c r="A3695" i="4"/>
  <c r="A4026" i="4"/>
  <c r="A4044" i="4"/>
  <c r="A4593" i="4"/>
  <c r="A4602" i="4"/>
  <c r="A4611" i="4"/>
  <c r="A4786" i="4"/>
  <c r="A4849" i="4"/>
  <c r="A4858" i="4"/>
  <c r="A4956" i="4"/>
  <c r="A5001" i="4"/>
  <c r="A5010" i="4"/>
  <c r="A5208" i="4"/>
  <c r="A5217" i="4"/>
  <c r="A5443" i="4"/>
  <c r="A5494" i="4"/>
  <c r="A5598" i="4"/>
  <c r="A5711" i="4"/>
  <c r="A5906" i="4"/>
  <c r="A473" i="4"/>
  <c r="A482" i="4"/>
  <c r="A641" i="4"/>
  <c r="A823" i="4"/>
  <c r="A841" i="4"/>
  <c r="A1159" i="4"/>
  <c r="A1186" i="4"/>
  <c r="A1267" i="4"/>
  <c r="A1637" i="4"/>
  <c r="A2133" i="4"/>
  <c r="A2142" i="4"/>
  <c r="A2151" i="4"/>
  <c r="A2534" i="4"/>
  <c r="A2649" i="4"/>
  <c r="A2849" i="4"/>
  <c r="A2972" i="4"/>
  <c r="A3035" i="4"/>
  <c r="A3234" i="4"/>
  <c r="A3243" i="4"/>
  <c r="A3416" i="4"/>
  <c r="A3524" i="4"/>
  <c r="A3551" i="4"/>
  <c r="A3560" i="4"/>
  <c r="A3569" i="4"/>
  <c r="A3578" i="4"/>
  <c r="A3587" i="4"/>
  <c r="A3605" i="4"/>
  <c r="A3641" i="4"/>
  <c r="A3650" i="4"/>
  <c r="A3704" i="4"/>
  <c r="A4164" i="4"/>
  <c r="A4329" i="4"/>
  <c r="A4575" i="4"/>
  <c r="A4705" i="4"/>
  <c r="A4759" i="4"/>
  <c r="A4768" i="4"/>
  <c r="A4840" i="4"/>
  <c r="A5791" i="4"/>
  <c r="A5924" i="4"/>
  <c r="A6005" i="4"/>
  <c r="A188" i="4"/>
  <c r="A214" i="4"/>
  <c r="A241" i="4"/>
  <c r="A365" i="4"/>
  <c r="A527" i="4"/>
  <c r="A805" i="4"/>
  <c r="A1231" i="4"/>
  <c r="A2507" i="4"/>
  <c r="A2516" i="4"/>
  <c r="A2681" i="4"/>
  <c r="A2705" i="4"/>
  <c r="A2723" i="4"/>
  <c r="A2744" i="4"/>
  <c r="A2891" i="4"/>
  <c r="A2954" i="4"/>
  <c r="A3089" i="4"/>
  <c r="A4008" i="4"/>
  <c r="A4017" i="4"/>
  <c r="A4035" i="4"/>
  <c r="A4377" i="4"/>
  <c r="A4431" i="4"/>
  <c r="A4449" i="4"/>
  <c r="A4458" i="4"/>
  <c r="A4965" i="4"/>
  <c r="A4974" i="4"/>
  <c r="A5181" i="4"/>
  <c r="A5244" i="4"/>
  <c r="A5452" i="4"/>
  <c r="A5485" i="4"/>
  <c r="A446" i="4"/>
  <c r="A880" i="4"/>
  <c r="A925" i="4"/>
  <c r="A1000" i="4"/>
  <c r="A2070" i="4"/>
  <c r="A2232" i="4"/>
  <c r="A2577" i="4"/>
  <c r="A2714" i="4"/>
  <c r="A2900" i="4"/>
  <c r="A3852" i="4"/>
  <c r="A4180" i="4"/>
  <c r="A4191" i="4"/>
  <c r="A4200" i="4"/>
  <c r="A4209" i="4"/>
  <c r="A4218" i="4"/>
  <c r="A4227" i="4"/>
  <c r="A4244" i="4"/>
  <c r="A4253" i="4"/>
  <c r="A4467" i="4"/>
  <c r="A4512" i="4"/>
  <c r="A4660" i="4"/>
  <c r="A5461" i="4"/>
  <c r="A5738" i="4"/>
  <c r="A5849" i="4"/>
  <c r="A5915" i="4"/>
  <c r="A6131" i="4"/>
  <c r="A65" i="4"/>
  <c r="A1443" i="4"/>
  <c r="A2990" i="4"/>
  <c r="A3098" i="4"/>
  <c r="A4083" i="4"/>
  <c r="A4293" i="4"/>
  <c r="A4311" i="4"/>
  <c r="A4404" i="4"/>
  <c r="A4530" i="4"/>
  <c r="A4903" i="4"/>
  <c r="A4912" i="4"/>
  <c r="A4921" i="4"/>
  <c r="A5607" i="4"/>
  <c r="A6158" i="4"/>
  <c r="A250" i="4"/>
  <c r="A392" i="4"/>
  <c r="A500" i="4"/>
  <c r="A518" i="4"/>
  <c r="A551" i="4"/>
  <c r="A796" i="4"/>
  <c r="A1719" i="4"/>
  <c r="A1962" i="4"/>
  <c r="A2295" i="4"/>
  <c r="A3134" i="4"/>
  <c r="A3506" i="4"/>
  <c r="A3879" i="4"/>
  <c r="A5046" i="4"/>
  <c r="A5055" i="4"/>
  <c r="A5064" i="4"/>
  <c r="A5073" i="4"/>
  <c r="A5100" i="4"/>
  <c r="A5435" i="4"/>
  <c r="A5773" i="4"/>
  <c r="A5822" i="4"/>
  <c r="A5831" i="4"/>
  <c r="A92" i="4"/>
  <c r="A650" i="4"/>
  <c r="A1677" i="4"/>
  <c r="A1686" i="4"/>
  <c r="A1740" i="4"/>
  <c r="A1971" i="4"/>
  <c r="A2079" i="4"/>
  <c r="A2124" i="4"/>
  <c r="A2160" i="4"/>
  <c r="A2268" i="4"/>
  <c r="A2376" i="4"/>
  <c r="A2659" i="4"/>
  <c r="A2696" i="4"/>
  <c r="A2828" i="4"/>
  <c r="A3479" i="4"/>
  <c r="A3801" i="4"/>
  <c r="A4056" i="4"/>
  <c r="A4929" i="4"/>
  <c r="A5190" i="4"/>
  <c r="A5253" i="4"/>
  <c r="A5271" i="4"/>
  <c r="A5319" i="4"/>
  <c r="A5330" i="4"/>
  <c r="A5339" i="4"/>
  <c r="A5348" i="4"/>
  <c r="A5562" i="4"/>
  <c r="A5643" i="4"/>
  <c r="A5729" i="4"/>
  <c r="A179" i="4"/>
  <c r="A356" i="4"/>
  <c r="A871" i="4"/>
  <c r="A958" i="4"/>
  <c r="A1025" i="4"/>
  <c r="A1042" i="4"/>
  <c r="A1416" i="4"/>
  <c r="A1825" i="4"/>
  <c r="A2313" i="4"/>
  <c r="A2613" i="4"/>
  <c r="A2858" i="4"/>
  <c r="A3659" i="4"/>
  <c r="A3761" i="4"/>
  <c r="A4413" i="4"/>
  <c r="A4521" i="4"/>
  <c r="A4539" i="4"/>
  <c r="A4804" i="4"/>
  <c r="A4813" i="4"/>
  <c r="A4947" i="4"/>
  <c r="A5226" i="4"/>
  <c r="A5310" i="4"/>
  <c r="A5512" i="4"/>
  <c r="A5521" i="4"/>
  <c r="A5530" i="4"/>
  <c r="A5535" i="4"/>
  <c r="A5544" i="4"/>
  <c r="A5969" i="4"/>
  <c r="A6059" i="4"/>
  <c r="A47" i="4"/>
  <c r="A74" i="4"/>
  <c r="A294" i="4"/>
  <c r="A428" i="4"/>
  <c r="A1731" i="4"/>
  <c r="A1785" i="4"/>
  <c r="A1926" i="4"/>
  <c r="A1998" i="4"/>
  <c r="A2025" i="4"/>
  <c r="A2169" i="4"/>
  <c r="A2401" i="4"/>
  <c r="A2672" i="4"/>
  <c r="A2981" i="4"/>
  <c r="A3116" i="4"/>
  <c r="A3897" i="4"/>
  <c r="A4110" i="4"/>
  <c r="A4359" i="4"/>
  <c r="A4440" i="4"/>
  <c r="A4624" i="4"/>
  <c r="A5747" i="4"/>
  <c r="A5755" i="4"/>
  <c r="A5764" i="4"/>
  <c r="A5782" i="4"/>
  <c r="A5800" i="4"/>
  <c r="A6014" i="4"/>
  <c r="A232" i="4"/>
  <c r="A3443" i="4"/>
  <c r="A3596" i="4"/>
  <c r="A2587" i="4"/>
  <c r="A3498" i="4"/>
  <c r="A3741" i="4"/>
  <c r="A3809" i="4"/>
  <c r="A4832" i="4"/>
  <c r="A5421" i="4"/>
  <c r="A6040" i="4"/>
  <c r="A7" i="4"/>
  <c r="A111" i="4"/>
  <c r="A118" i="4"/>
  <c r="A126" i="4"/>
  <c r="A135" i="4"/>
  <c r="A570" i="4"/>
  <c r="A588" i="4"/>
  <c r="A1399" i="4"/>
  <c r="A1408" i="4"/>
  <c r="A1530" i="4"/>
  <c r="A1647" i="4"/>
  <c r="A1808" i="4"/>
  <c r="A1954" i="4"/>
  <c r="A2089" i="4"/>
  <c r="A2107" i="4"/>
  <c r="A2479" i="4"/>
  <c r="A2883" i="4"/>
  <c r="A3063" i="4"/>
  <c r="A3153" i="4"/>
  <c r="A3669" i="4"/>
  <c r="A3943" i="4"/>
  <c r="A4423" i="4"/>
  <c r="A4477" i="4"/>
  <c r="A5038" i="4"/>
  <c r="A5635" i="4"/>
  <c r="A5997" i="4"/>
  <c r="A57" i="4"/>
  <c r="A84" i="4"/>
  <c r="A312" i="4"/>
  <c r="A321" i="4"/>
  <c r="A330" i="4"/>
  <c r="A339" i="4"/>
  <c r="A348" i="4"/>
  <c r="A465" i="4"/>
  <c r="A757" i="4"/>
  <c r="A766" i="4"/>
  <c r="A917" i="4"/>
  <c r="A953" i="4"/>
  <c r="A1037" i="4"/>
  <c r="A1142" i="4"/>
  <c r="A1214" i="4"/>
  <c r="A1308" i="4"/>
  <c r="A1367" i="4"/>
  <c r="A1435" i="4"/>
  <c r="A1462" i="4"/>
  <c r="A1476" i="4"/>
  <c r="A1485" i="4"/>
  <c r="A1494" i="4"/>
  <c r="A1575" i="4"/>
  <c r="A1602" i="4"/>
  <c r="A1656" i="4"/>
  <c r="A1696" i="4"/>
  <c r="A1817" i="4"/>
  <c r="A1871" i="4"/>
  <c r="A2017" i="4"/>
  <c r="A2179" i="4"/>
  <c r="A2206" i="4"/>
  <c r="A2224" i="4"/>
  <c r="A2305" i="4"/>
  <c r="A2323" i="4"/>
  <c r="A2838" i="4"/>
  <c r="A2910" i="4"/>
  <c r="A2937" i="4"/>
  <c r="A3027" i="4"/>
  <c r="A3054" i="4"/>
  <c r="A3208" i="4"/>
  <c r="A3354" i="4"/>
  <c r="A3516" i="4"/>
  <c r="A3534" i="4"/>
  <c r="A3753" i="4"/>
  <c r="A3817" i="4"/>
  <c r="A3925" i="4"/>
  <c r="A3934" i="4"/>
  <c r="A3952" i="4"/>
  <c r="A3961" i="4"/>
  <c r="A3979" i="4"/>
  <c r="A4075" i="4"/>
  <c r="A4093" i="4"/>
  <c r="A4129" i="4"/>
  <c r="A4147" i="4"/>
  <c r="A4156" i="4"/>
  <c r="A4174" i="4"/>
  <c r="A4235" i="4"/>
  <c r="A4549" i="4"/>
  <c r="A4558" i="4"/>
  <c r="A4634" i="4"/>
  <c r="A4643" i="4"/>
  <c r="A4652" i="4"/>
  <c r="A4670" i="4"/>
  <c r="A4679" i="4"/>
  <c r="A4688" i="4"/>
  <c r="A4751" i="4"/>
  <c r="A4778" i="4"/>
  <c r="A4877" i="4"/>
  <c r="A4886" i="4"/>
  <c r="A4895" i="4"/>
  <c r="A5092" i="4"/>
  <c r="A5119" i="4"/>
  <c r="A5385" i="4"/>
  <c r="A5394" i="4"/>
  <c r="A5403" i="4"/>
  <c r="A5617" i="4"/>
  <c r="A5703" i="4"/>
  <c r="A5721" i="4"/>
  <c r="A5988" i="4"/>
  <c r="A6123" i="4"/>
  <c r="A6078" i="4"/>
  <c r="A6168" i="4"/>
  <c r="A207" i="4"/>
  <c r="A302" i="4"/>
  <c r="A411" i="4"/>
  <c r="A492" i="4"/>
  <c r="A606" i="4"/>
  <c r="A615" i="4"/>
  <c r="A624" i="4"/>
  <c r="A633" i="4"/>
  <c r="A851" i="4"/>
  <c r="A860" i="4"/>
  <c r="A1097" i="4"/>
  <c r="A1124" i="4"/>
  <c r="A1326" i="4"/>
  <c r="A1375" i="4"/>
  <c r="A1548" i="4"/>
  <c r="A1629" i="4"/>
  <c r="A2062" i="4"/>
  <c r="A2820" i="4"/>
  <c r="A3018" i="4"/>
  <c r="A3108" i="4"/>
  <c r="A3144" i="4"/>
  <c r="A3217" i="4"/>
  <c r="A3226" i="4"/>
  <c r="A3543" i="4"/>
  <c r="A3624" i="4"/>
  <c r="A3633" i="4"/>
  <c r="A3723" i="4"/>
  <c r="A3862" i="4"/>
  <c r="A3916" i="4"/>
  <c r="A4138" i="4"/>
  <c r="A4285" i="4"/>
  <c r="A4567" i="4"/>
  <c r="A4697" i="4"/>
  <c r="A4715" i="4"/>
  <c r="A4724" i="4"/>
  <c r="A4993" i="4"/>
  <c r="A5173" i="4"/>
  <c r="A5236" i="4"/>
  <c r="A5367" i="4"/>
  <c r="A5961" i="4"/>
  <c r="A6051" i="4"/>
  <c r="A6141" i="4"/>
  <c r="A153" i="4"/>
  <c r="A198" i="4"/>
  <c r="A269" i="4"/>
  <c r="A375" i="4"/>
  <c r="A384" i="4"/>
  <c r="A420" i="4"/>
  <c r="A579" i="4"/>
  <c r="A682" i="4"/>
  <c r="A691" i="4"/>
  <c r="A703" i="4"/>
  <c r="A720" i="4"/>
  <c r="A833" i="4"/>
  <c r="A908" i="4"/>
  <c r="A974" i="4"/>
  <c r="A1335" i="4"/>
  <c r="A1353" i="4"/>
  <c r="A1750" i="4"/>
  <c r="A1844" i="4"/>
  <c r="A1880" i="4"/>
  <c r="A1907" i="4"/>
  <c r="A2035" i="4"/>
  <c r="A2044" i="4"/>
  <c r="A2053" i="4"/>
  <c r="A2393" i="4"/>
  <c r="A2736" i="4"/>
  <c r="A2754" i="4"/>
  <c r="A2784" i="4"/>
  <c r="A2868" i="4"/>
  <c r="A3045" i="4"/>
  <c r="A3276" i="4"/>
  <c r="A3615" i="4"/>
  <c r="A3988" i="4"/>
  <c r="A4303" i="4"/>
  <c r="A4369" i="4"/>
  <c r="A4868" i="4"/>
  <c r="A5029" i="4"/>
  <c r="A5263" i="4"/>
  <c r="A5302" i="4"/>
  <c r="A5428" i="4"/>
  <c r="A5694" i="4"/>
  <c r="A5841" i="4"/>
  <c r="A6069" i="4"/>
  <c r="A6150" i="4"/>
  <c r="A162" i="4"/>
  <c r="A730" i="4"/>
  <c r="A739" i="4"/>
  <c r="A748" i="4"/>
  <c r="A815" i="4"/>
  <c r="A1151" i="4"/>
  <c r="A3000" i="4"/>
  <c r="A3009" i="4"/>
  <c r="A3306" i="4"/>
  <c r="A3907" i="4"/>
  <c r="A4000" i="4"/>
  <c r="A5284" i="4"/>
  <c r="A5626" i="4"/>
  <c r="A5880" i="4"/>
  <c r="A6024" i="4"/>
  <c r="A6033" i="4"/>
  <c r="A6087" i="4"/>
  <c r="A537" i="4"/>
  <c r="A544" i="4"/>
  <c r="A992" i="4"/>
  <c r="A1008" i="4"/>
  <c r="A1051" i="4"/>
  <c r="A1060" i="4"/>
  <c r="A1066" i="4"/>
  <c r="A1088" i="4"/>
  <c r="A1196" i="4"/>
  <c r="A1584" i="4"/>
  <c r="A1981" i="4"/>
  <c r="A2411" i="4"/>
  <c r="A2763" i="4"/>
  <c r="A3199" i="4"/>
  <c r="A3399" i="4"/>
  <c r="A3408" i="4"/>
  <c r="A5293" i="4"/>
  <c r="A5590" i="4"/>
  <c r="A5671" i="4"/>
  <c r="A5680" i="4"/>
  <c r="A260" i="4"/>
  <c r="A438" i="4"/>
  <c r="A597" i="4"/>
  <c r="A660" i="4"/>
  <c r="A784" i="4"/>
  <c r="A1178" i="4"/>
  <c r="A1289" i="4"/>
  <c r="A1299" i="4"/>
  <c r="A1503" i="4"/>
  <c r="A1512" i="4"/>
  <c r="A1521" i="4"/>
  <c r="A1593" i="4"/>
  <c r="A1862" i="4"/>
  <c r="A1915" i="4"/>
  <c r="A1936" i="4"/>
  <c r="A2499" i="4"/>
  <c r="A2691" i="4"/>
  <c r="A2875" i="4"/>
  <c r="A2928" i="4"/>
  <c r="A3162" i="4"/>
  <c r="A3171" i="4"/>
  <c r="A3372" i="4"/>
  <c r="A3489" i="4"/>
  <c r="A3732" i="4"/>
  <c r="A3773" i="4"/>
  <c r="A3793" i="4"/>
  <c r="A3844" i="4"/>
  <c r="A3889" i="4"/>
  <c r="A3970" i="4"/>
  <c r="A4102" i="4"/>
  <c r="A4321" i="4"/>
  <c r="A4351" i="4"/>
  <c r="A4486" i="4"/>
  <c r="A4742" i="4"/>
  <c r="A4796" i="4"/>
  <c r="A4823" i="4"/>
  <c r="A5146" i="4"/>
  <c r="A5376" i="4"/>
  <c r="A5581" i="4"/>
  <c r="A5653" i="4"/>
  <c r="A5898" i="4"/>
  <c r="A5943" i="4"/>
  <c r="A890" i="4"/>
  <c r="A899" i="4"/>
  <c r="A1133" i="4"/>
  <c r="A1169" i="4"/>
  <c r="A1259" i="4"/>
  <c r="A1426" i="4"/>
  <c r="A1704" i="4"/>
  <c r="A1835" i="4"/>
  <c r="A1853" i="4"/>
  <c r="A1889" i="4"/>
  <c r="A1898" i="4"/>
  <c r="A1990" i="4"/>
  <c r="A2197" i="4"/>
  <c r="A2632" i="4"/>
  <c r="A2946" i="4"/>
  <c r="A3126" i="4"/>
  <c r="A3462" i="4"/>
  <c r="A3678" i="4"/>
  <c r="A4276" i="4"/>
  <c r="A4396" i="4"/>
  <c r="A5128" i="4"/>
  <c r="A5358" i="4"/>
  <c r="A5813" i="4"/>
  <c r="A5868" i="4"/>
  <c r="A5889" i="4"/>
  <c r="A5979" i="4"/>
  <c r="A6105" i="4"/>
  <c r="A6114" i="4"/>
  <c r="A224" i="4"/>
  <c r="A285" i="4"/>
  <c r="A1205" i="4"/>
  <c r="A1277" i="4"/>
  <c r="A1453" i="4"/>
  <c r="A1468" i="4"/>
  <c r="A1539" i="4"/>
  <c r="A1922" i="4"/>
  <c r="A2008" i="4"/>
  <c r="A2189" i="4"/>
  <c r="A2332" i="4"/>
  <c r="A2341" i="4"/>
  <c r="A2350" i="4"/>
  <c r="A2435" i="4"/>
  <c r="A2443" i="4"/>
  <c r="A2544" i="4"/>
  <c r="A2551" i="4"/>
  <c r="A2560" i="4"/>
  <c r="A2569" i="4"/>
  <c r="A2605" i="4"/>
  <c r="A2793" i="4"/>
  <c r="A3289" i="4"/>
  <c r="A3826" i="4"/>
  <c r="A4984" i="4"/>
  <c r="A5020" i="4"/>
  <c r="A5504" i="4"/>
  <c r="A5572" i="4"/>
  <c r="A5859" i="4"/>
  <c r="A5934" i="4"/>
  <c r="A39" i="4"/>
  <c r="A402" i="4"/>
  <c r="A456" i="4"/>
  <c r="A669" i="4"/>
  <c r="A935" i="4"/>
  <c r="A944" i="4"/>
  <c r="A1106" i="4"/>
  <c r="A1115" i="4"/>
  <c r="A1241" i="4"/>
  <c r="A1620" i="4"/>
  <c r="A1714" i="4"/>
  <c r="A1795" i="4"/>
  <c r="A2116" i="4"/>
  <c r="A2260" i="4"/>
  <c r="A2359" i="4"/>
  <c r="A2452" i="4"/>
  <c r="A2461" i="4"/>
  <c r="A2470" i="4"/>
  <c r="A2641" i="4"/>
  <c r="A2802" i="4"/>
  <c r="A2811" i="4"/>
  <c r="A3363" i="4"/>
  <c r="A3871" i="4"/>
  <c r="A4585" i="4"/>
  <c r="A5138" i="4"/>
  <c r="A5412" i="4"/>
  <c r="A5554" i="4"/>
  <c r="A1317" i="4"/>
  <c r="A1557" i="4"/>
  <c r="A1668" i="4"/>
  <c r="A2098" i="4"/>
  <c r="A2420" i="4"/>
  <c r="A2485" i="4"/>
  <c r="A2490" i="4"/>
  <c r="A2772" i="4"/>
  <c r="A3258" i="4"/>
  <c r="A3267" i="4"/>
  <c r="A4120" i="4"/>
  <c r="A4263" i="4"/>
  <c r="A4493" i="4"/>
  <c r="A4501" i="4"/>
  <c r="A4733" i="4"/>
  <c r="A5471" i="4"/>
  <c r="A5478" i="4"/>
  <c r="A5662" i="4"/>
  <c r="A5952" i="4"/>
  <c r="A25" i="4"/>
  <c r="A775" i="4"/>
  <c r="A1017" i="4"/>
  <c r="A1223" i="4"/>
  <c r="A1250" i="4"/>
  <c r="A1384" i="4"/>
  <c r="A1391" i="4"/>
  <c r="A1945" i="4"/>
  <c r="A2216" i="4"/>
  <c r="A2278" i="4"/>
  <c r="A2526" i="4"/>
  <c r="A3297" i="4"/>
  <c r="A3315" i="4"/>
  <c r="A3327" i="4"/>
  <c r="A3336" i="4"/>
  <c r="A3390" i="4"/>
  <c r="A3471" i="4"/>
  <c r="A3714" i="4"/>
  <c r="A3835" i="4"/>
  <c r="A4066" i="4"/>
  <c r="A4339" i="4"/>
  <c r="A4387" i="4"/>
  <c r="A4939" i="4"/>
  <c r="A5083" i="4"/>
  <c r="A5110" i="4"/>
  <c r="A5155" i="4"/>
  <c r="A5164" i="4"/>
  <c r="A5200" i="4"/>
  <c r="A6096" i="4"/>
  <c r="A16" i="4"/>
  <c r="A102" i="4"/>
  <c r="A144" i="4"/>
  <c r="A171" i="4"/>
  <c r="A278" i="4"/>
  <c r="A510" i="4"/>
  <c r="A561" i="4"/>
  <c r="A983" i="4"/>
  <c r="A1079" i="4"/>
  <c r="A1344" i="4"/>
  <c r="A1566" i="4"/>
  <c r="A1611" i="4"/>
  <c r="A1759" i="4"/>
  <c r="A1768" i="4"/>
  <c r="A1777" i="4"/>
  <c r="A2242" i="4"/>
  <c r="A2251" i="4"/>
  <c r="A2287" i="4"/>
  <c r="A2368" i="4"/>
  <c r="A2386" i="4"/>
  <c r="A2429" i="4"/>
  <c r="A2596" i="4"/>
  <c r="A2623" i="4"/>
  <c r="A2919" i="4"/>
  <c r="A2964" i="4"/>
  <c r="A3072" i="4"/>
  <c r="A3081" i="4"/>
  <c r="A3180" i="4"/>
  <c r="A3190" i="4"/>
  <c r="A3345" i="4"/>
  <c r="A3381" i="4"/>
  <c r="A3426" i="4"/>
  <c r="A3435" i="4"/>
  <c r="A3453" i="4"/>
  <c r="A3687" i="4"/>
  <c r="A3696" i="4"/>
  <c r="A4027" i="4"/>
  <c r="A4045" i="4"/>
  <c r="A4594" i="4"/>
  <c r="A4603" i="4"/>
  <c r="A4612" i="4"/>
  <c r="A4787" i="4"/>
  <c r="A4850" i="4"/>
  <c r="A4859" i="4"/>
  <c r="A4957" i="4"/>
  <c r="A5002" i="4"/>
  <c r="A5011" i="4"/>
  <c r="A5209" i="4"/>
  <c r="A5218" i="4"/>
  <c r="A5444" i="4"/>
  <c r="A5495" i="4"/>
  <c r="A5599" i="4"/>
  <c r="A5712" i="4"/>
  <c r="A5907" i="4"/>
  <c r="A474" i="4"/>
  <c r="A483" i="4"/>
  <c r="A642" i="4"/>
  <c r="A824" i="4"/>
  <c r="A842" i="4"/>
  <c r="A1160" i="4"/>
  <c r="A1187" i="4"/>
  <c r="A1268" i="4"/>
  <c r="A1638" i="4"/>
  <c r="A2134" i="4"/>
  <c r="A2143" i="4"/>
  <c r="A2152" i="4"/>
  <c r="A2535" i="4"/>
  <c r="A2650" i="4"/>
  <c r="A2850" i="4"/>
  <c r="A2973" i="4"/>
  <c r="A3036" i="4"/>
  <c r="A3235" i="4"/>
  <c r="A3244" i="4"/>
  <c r="A3417" i="4"/>
  <c r="A3525" i="4"/>
  <c r="A3552" i="4"/>
  <c r="A3561" i="4"/>
  <c r="A3570" i="4"/>
  <c r="A3579" i="4"/>
  <c r="A3588" i="4"/>
  <c r="A3606" i="4"/>
  <c r="A3642" i="4"/>
  <c r="A3651" i="4"/>
  <c r="A3705" i="4"/>
  <c r="A4165" i="4"/>
  <c r="A4330" i="4"/>
  <c r="A4576" i="4"/>
  <c r="A4706" i="4"/>
  <c r="A4760" i="4"/>
  <c r="A4769" i="4"/>
  <c r="A4841" i="4"/>
  <c r="A5792" i="4"/>
  <c r="A5925" i="4"/>
  <c r="A6006" i="4"/>
  <c r="A189" i="4"/>
  <c r="A215" i="4"/>
  <c r="A242" i="4"/>
  <c r="A366" i="4"/>
  <c r="A528" i="4"/>
  <c r="A806" i="4"/>
  <c r="A1232" i="4"/>
  <c r="A2508" i="4"/>
  <c r="A2517" i="4"/>
  <c r="A2682" i="4"/>
  <c r="A2706" i="4"/>
  <c r="A2724" i="4"/>
  <c r="A2745" i="4"/>
  <c r="A2892" i="4"/>
  <c r="A2955" i="4"/>
  <c r="A3090" i="4"/>
  <c r="A4009" i="4"/>
  <c r="A4018" i="4"/>
  <c r="A4036" i="4"/>
  <c r="A4378" i="4"/>
  <c r="A4432" i="4"/>
  <c r="A4450" i="4"/>
  <c r="A4459" i="4"/>
  <c r="A4966" i="4"/>
  <c r="A4975" i="4"/>
  <c r="A5182" i="4"/>
  <c r="A5245" i="4"/>
  <c r="A5453" i="4"/>
  <c r="A5486" i="4"/>
  <c r="A447" i="4"/>
  <c r="A881" i="4"/>
  <c r="A926" i="4"/>
  <c r="A966" i="4"/>
  <c r="A1001" i="4"/>
  <c r="A2071" i="4"/>
  <c r="A2233" i="4"/>
  <c r="A2578" i="4"/>
  <c r="A2715" i="4"/>
  <c r="A2901" i="4"/>
  <c r="A3853" i="4"/>
  <c r="A4181" i="4"/>
  <c r="A4192" i="4"/>
  <c r="A4201" i="4"/>
  <c r="A4210" i="4"/>
  <c r="A4219" i="4"/>
  <c r="A4228" i="4"/>
  <c r="A4245" i="4"/>
  <c r="A4254" i="4"/>
  <c r="A4344" i="4"/>
  <c r="A4468" i="4"/>
  <c r="A4513" i="4"/>
  <c r="A4661" i="4"/>
  <c r="A5462" i="4"/>
  <c r="A5739" i="4"/>
  <c r="A5850" i="4"/>
  <c r="A5916" i="4"/>
  <c r="A6132" i="4"/>
  <c r="A66" i="4"/>
  <c r="A1444" i="4"/>
  <c r="A2991" i="4"/>
  <c r="A3099" i="4"/>
  <c r="A4084" i="4"/>
  <c r="A4294" i="4"/>
  <c r="A4312" i="4"/>
  <c r="A4405" i="4"/>
  <c r="A4531" i="4"/>
  <c r="A4904" i="4"/>
  <c r="A4913" i="4"/>
  <c r="A4922" i="4"/>
  <c r="A5608" i="4"/>
  <c r="A6159" i="4"/>
  <c r="A251" i="4"/>
  <c r="A393" i="4"/>
  <c r="A501" i="4"/>
  <c r="A519" i="4"/>
  <c r="A552" i="4"/>
  <c r="A797" i="4"/>
  <c r="A1723" i="4"/>
  <c r="A1963" i="4"/>
  <c r="A2296" i="4"/>
  <c r="A3135" i="4"/>
  <c r="A3507" i="4"/>
  <c r="A3880" i="4"/>
  <c r="A5047" i="4"/>
  <c r="A5056" i="4"/>
  <c r="A5065" i="4"/>
  <c r="A5074" i="4"/>
  <c r="A5101" i="4"/>
  <c r="A5436" i="4"/>
  <c r="A5774" i="4"/>
  <c r="A5823" i="4"/>
  <c r="A5832" i="4"/>
  <c r="A93" i="4"/>
  <c r="A651" i="4"/>
  <c r="A1678" i="4"/>
  <c r="A1687" i="4"/>
  <c r="A1741" i="4"/>
  <c r="A1972" i="4"/>
  <c r="A2080" i="4"/>
  <c r="A2125" i="4"/>
  <c r="A2161" i="4"/>
  <c r="A2269" i="4"/>
  <c r="A2377" i="4"/>
  <c r="A2660" i="4"/>
  <c r="A2697" i="4"/>
  <c r="A2829" i="4"/>
  <c r="A3480" i="4"/>
  <c r="A3802" i="4"/>
  <c r="A4057" i="4"/>
  <c r="A4930" i="4"/>
  <c r="A5191" i="4"/>
  <c r="A5254" i="4"/>
  <c r="A5272" i="4"/>
  <c r="A5320" i="4"/>
  <c r="A5331" i="4"/>
  <c r="A5340" i="4"/>
  <c r="A5349" i="4"/>
  <c r="A5563" i="4"/>
  <c r="A5644" i="4"/>
  <c r="A5730" i="4"/>
  <c r="A180" i="4"/>
  <c r="A357" i="4"/>
  <c r="A872" i="4"/>
  <c r="A959" i="4"/>
  <c r="A1026" i="4"/>
  <c r="A1043" i="4"/>
  <c r="A1417" i="4"/>
  <c r="A1826" i="4"/>
  <c r="A2314" i="4"/>
  <c r="A2614" i="4"/>
  <c r="A2859" i="4"/>
  <c r="A3660" i="4"/>
  <c r="A3762" i="4"/>
  <c r="A4414" i="4"/>
  <c r="A4522" i="4"/>
  <c r="A4540" i="4"/>
  <c r="A4805" i="4"/>
  <c r="A4814" i="4"/>
  <c r="A4948" i="4"/>
  <c r="A5227" i="4"/>
  <c r="A5311" i="4"/>
  <c r="A5513" i="4"/>
  <c r="A5522" i="4"/>
  <c r="A5536" i="4"/>
  <c r="A5545" i="4"/>
  <c r="A5970" i="4"/>
  <c r="A6060" i="4"/>
  <c r="A48" i="4"/>
  <c r="A75" i="4"/>
  <c r="A295" i="4"/>
  <c r="A429" i="4"/>
  <c r="A1732" i="4"/>
  <c r="A1786" i="4"/>
  <c r="A1927" i="4"/>
  <c r="A1999" i="4"/>
  <c r="A2026" i="4"/>
  <c r="A2170" i="4"/>
  <c r="A2402" i="4"/>
  <c r="A2673" i="4"/>
  <c r="A2982" i="4"/>
  <c r="A3117" i="4"/>
  <c r="A3898" i="4"/>
  <c r="A4111" i="4"/>
  <c r="A4360" i="4"/>
  <c r="A4441" i="4"/>
  <c r="A4625" i="4"/>
  <c r="A5748" i="4"/>
  <c r="A5756" i="4"/>
  <c r="A5765" i="4"/>
  <c r="A5783" i="4"/>
  <c r="A5801" i="4"/>
  <c r="A6015" i="4"/>
  <c r="A233" i="4"/>
  <c r="A3444" i="4"/>
  <c r="A3597" i="4"/>
  <c r="A2588" i="4"/>
  <c r="A3499" i="4"/>
  <c r="A3742" i="4"/>
  <c r="A3810" i="4"/>
  <c r="A4833" i="4"/>
  <c r="A5422" i="4"/>
  <c r="A6041" i="4"/>
  <c r="A8" i="4"/>
  <c r="A112" i="4"/>
  <c r="A119" i="4"/>
  <c r="A127" i="4"/>
  <c r="A136" i="4"/>
  <c r="A571" i="4"/>
  <c r="A589" i="4"/>
  <c r="A1400" i="4"/>
  <c r="A1409" i="4"/>
  <c r="A1531" i="4"/>
  <c r="A1648" i="4"/>
  <c r="A1809" i="4"/>
  <c r="A1955" i="4"/>
  <c r="A2090" i="4"/>
  <c r="A2108" i="4"/>
  <c r="A2480" i="4"/>
  <c r="A2884" i="4"/>
  <c r="A3064" i="4"/>
  <c r="A3154" i="4"/>
  <c r="A3670" i="4"/>
  <c r="A3944" i="4"/>
  <c r="A4424" i="4"/>
  <c r="A4478" i="4"/>
  <c r="A5039" i="4"/>
  <c r="A5636" i="4"/>
  <c r="A5998" i="4"/>
  <c r="A58" i="4"/>
  <c r="A85" i="4"/>
  <c r="A313" i="4"/>
  <c r="A322" i="4"/>
  <c r="A331" i="4"/>
  <c r="A340" i="4"/>
  <c r="A349" i="4"/>
  <c r="A466" i="4"/>
  <c r="A758" i="4"/>
  <c r="A767" i="4"/>
  <c r="A918" i="4"/>
  <c r="A954" i="4"/>
  <c r="A1038" i="4"/>
  <c r="A1143" i="4"/>
  <c r="A1215" i="4"/>
  <c r="A1309" i="4"/>
  <c r="A1368" i="4"/>
  <c r="A1436" i="4"/>
  <c r="A1463" i="4"/>
  <c r="A1477" i="4"/>
  <c r="A1486" i="4"/>
  <c r="A1495" i="4"/>
  <c r="A1576" i="4"/>
  <c r="A1603" i="4"/>
  <c r="A1657" i="4"/>
  <c r="A1697" i="4"/>
  <c r="A1818" i="4"/>
  <c r="A1872" i="4"/>
  <c r="A2018" i="4"/>
  <c r="A2180" i="4"/>
  <c r="A2207" i="4"/>
  <c r="A2225" i="4"/>
  <c r="A2306" i="4"/>
  <c r="A2324" i="4"/>
  <c r="A2839" i="4"/>
  <c r="A2911" i="4"/>
  <c r="A2938" i="4"/>
  <c r="A3028" i="4"/>
  <c r="A3055" i="4"/>
  <c r="A3209" i="4"/>
  <c r="A3355" i="4"/>
  <c r="A3517" i="4"/>
  <c r="A3535" i="4"/>
  <c r="A3754" i="4"/>
  <c r="A3818" i="4"/>
  <c r="A3926" i="4"/>
  <c r="A3935" i="4"/>
  <c r="A3953" i="4"/>
  <c r="A3962" i="4"/>
  <c r="A3980" i="4"/>
  <c r="A4076" i="4"/>
  <c r="A4094" i="4"/>
  <c r="A4130" i="4"/>
  <c r="A4148" i="4"/>
  <c r="A4157" i="4"/>
  <c r="A4175" i="4"/>
  <c r="A4236" i="4"/>
  <c r="A4550" i="4"/>
  <c r="A4559" i="4"/>
  <c r="A4635" i="4"/>
  <c r="A4644" i="4"/>
  <c r="A4653" i="4"/>
  <c r="A4671" i="4"/>
  <c r="A4680" i="4"/>
  <c r="A4689" i="4"/>
  <c r="A4752" i="4"/>
  <c r="A4779" i="4"/>
  <c r="A4878" i="4"/>
  <c r="A4887" i="4"/>
  <c r="A4896" i="4"/>
  <c r="A5093" i="4"/>
  <c r="A5120" i="4"/>
  <c r="A5386" i="4"/>
  <c r="A5395" i="4"/>
  <c r="A5404" i="4"/>
  <c r="A5618" i="4"/>
  <c r="A5704" i="4"/>
  <c r="A5722" i="4"/>
  <c r="A5989" i="4"/>
  <c r="A6124" i="4"/>
  <c r="A6079" i="4"/>
  <c r="A6169" i="4"/>
  <c r="A208" i="4"/>
  <c r="A303" i="4"/>
  <c r="A412" i="4"/>
  <c r="A493" i="4"/>
  <c r="A607" i="4"/>
  <c r="A616" i="4"/>
  <c r="A625" i="4"/>
  <c r="A634" i="4"/>
  <c r="A852" i="4"/>
  <c r="A861" i="4"/>
  <c r="A1098" i="4"/>
  <c r="A1125" i="4"/>
  <c r="A1327" i="4"/>
  <c r="A1376" i="4"/>
  <c r="A1549" i="4"/>
  <c r="A1630" i="4"/>
  <c r="A2063" i="4"/>
  <c r="A2821" i="4"/>
  <c r="A3019" i="4"/>
  <c r="A3109" i="4"/>
  <c r="A3145" i="4"/>
  <c r="A3218" i="4"/>
  <c r="A3227" i="4"/>
  <c r="A3544" i="4"/>
  <c r="A3625" i="4"/>
  <c r="A3634" i="4"/>
  <c r="A3724" i="4"/>
  <c r="A3863" i="4"/>
  <c r="A3917" i="4"/>
  <c r="A4139" i="4"/>
  <c r="A4286" i="4"/>
  <c r="A4568" i="4"/>
  <c r="A4698" i="4"/>
  <c r="A4716" i="4"/>
  <c r="A4725" i="4"/>
  <c r="A4994" i="4"/>
  <c r="A5174" i="4"/>
  <c r="A5237" i="4"/>
  <c r="A5368" i="4"/>
  <c r="A5962" i="4"/>
  <c r="A6052" i="4"/>
  <c r="A6142" i="4"/>
  <c r="A154" i="4"/>
  <c r="A199" i="4"/>
  <c r="A270" i="4"/>
  <c r="A376" i="4"/>
  <c r="A385" i="4"/>
  <c r="A421" i="4"/>
  <c r="A580" i="4"/>
  <c r="A683" i="4"/>
  <c r="A692" i="4"/>
  <c r="A704" i="4"/>
  <c r="A721" i="4"/>
  <c r="A834" i="4"/>
  <c r="A909" i="4"/>
  <c r="A975" i="4"/>
  <c r="A1336" i="4"/>
  <c r="A1354" i="4"/>
  <c r="A1751" i="4"/>
  <c r="A1845" i="4"/>
  <c r="A1881" i="4"/>
  <c r="A1908" i="4"/>
  <c r="A2036" i="4"/>
  <c r="A2045" i="4"/>
  <c r="A2054" i="4"/>
  <c r="A2394" i="4"/>
  <c r="A2737" i="4"/>
  <c r="A2755" i="4"/>
  <c r="A2785" i="4"/>
  <c r="A2869" i="4"/>
  <c r="A3046" i="4"/>
  <c r="A3277" i="4"/>
  <c r="A3616" i="4"/>
  <c r="A3989" i="4"/>
  <c r="A4304" i="4"/>
  <c r="A4370" i="4"/>
  <c r="A4869" i="4"/>
  <c r="A5030" i="4"/>
  <c r="A5264" i="4"/>
  <c r="A5303" i="4"/>
  <c r="A5695" i="4"/>
  <c r="A5842" i="4"/>
  <c r="A6070" i="4"/>
  <c r="A6151" i="4"/>
  <c r="A163" i="4"/>
  <c r="A731" i="4"/>
  <c r="A740" i="4"/>
  <c r="A749" i="4"/>
  <c r="A816" i="4"/>
  <c r="A1152" i="4"/>
  <c r="A3001" i="4"/>
  <c r="A3010" i="4"/>
  <c r="A3307" i="4"/>
  <c r="A3908" i="4"/>
  <c r="A4001" i="4"/>
  <c r="A5285" i="4"/>
  <c r="A5627" i="4"/>
  <c r="A5881" i="4"/>
  <c r="A6025" i="4"/>
  <c r="A6034" i="4"/>
  <c r="A6088" i="4"/>
  <c r="A538" i="4"/>
  <c r="A545" i="4"/>
  <c r="A993" i="4"/>
  <c r="A1009" i="4"/>
  <c r="A1052" i="4"/>
  <c r="A1067" i="4"/>
  <c r="A1089" i="4"/>
  <c r="A1197" i="4"/>
  <c r="A1585" i="4"/>
  <c r="A1982" i="4"/>
  <c r="A2412" i="4"/>
  <c r="A2764" i="4"/>
  <c r="A3200" i="4"/>
  <c r="A3400" i="4"/>
  <c r="A3409" i="4"/>
  <c r="A5294" i="4"/>
  <c r="A5591" i="4"/>
  <c r="A5672" i="4"/>
  <c r="A5681" i="4"/>
  <c r="A261" i="4"/>
  <c r="A439" i="4"/>
  <c r="A598" i="4"/>
  <c r="A661" i="4"/>
  <c r="A785" i="4"/>
  <c r="A1179" i="4"/>
  <c r="A1290" i="4"/>
  <c r="A1300" i="4"/>
  <c r="A1504" i="4"/>
  <c r="A1513" i="4"/>
  <c r="A1522" i="4"/>
  <c r="A1594" i="4"/>
  <c r="A1863" i="4"/>
  <c r="A1916" i="4"/>
  <c r="A1937" i="4"/>
  <c r="A2500" i="4"/>
  <c r="A2777" i="4"/>
  <c r="A2876" i="4"/>
  <c r="A2929" i="4"/>
  <c r="A3163" i="4"/>
  <c r="A3172" i="4"/>
  <c r="A3373" i="4"/>
  <c r="A3490" i="4"/>
  <c r="A3733" i="4"/>
  <c r="A3774" i="4"/>
  <c r="A3794" i="4"/>
  <c r="A3845" i="4"/>
  <c r="A3890" i="4"/>
  <c r="A3971" i="4"/>
  <c r="A4103" i="4"/>
  <c r="A4322" i="4"/>
  <c r="A4352" i="4"/>
  <c r="A4487" i="4"/>
  <c r="A4743" i="4"/>
  <c r="A4797" i="4"/>
  <c r="A4824" i="4"/>
  <c r="A5147" i="4"/>
  <c r="A5377" i="4"/>
  <c r="A5582" i="4"/>
  <c r="A5654" i="4"/>
  <c r="A5899" i="4"/>
  <c r="A5944" i="4"/>
  <c r="A891" i="4"/>
  <c r="A900" i="4"/>
  <c r="A1134" i="4"/>
  <c r="A1170" i="4"/>
  <c r="A1260" i="4"/>
  <c r="A1427" i="4"/>
  <c r="A1705" i="4"/>
  <c r="A1836" i="4"/>
  <c r="A1854" i="4"/>
  <c r="A1890" i="4"/>
  <c r="A1899" i="4"/>
  <c r="A1991" i="4"/>
  <c r="A2198" i="4"/>
  <c r="A2633" i="4"/>
  <c r="A2947" i="4"/>
  <c r="A3127" i="4"/>
  <c r="A3463" i="4"/>
  <c r="A3679" i="4"/>
  <c r="A4277" i="4"/>
  <c r="A4397" i="4"/>
  <c r="A5129" i="4"/>
  <c r="A5359" i="4"/>
  <c r="A5814" i="4"/>
  <c r="A5869" i="4"/>
  <c r="A5890" i="4"/>
  <c r="A5980" i="4"/>
  <c r="A6106" i="4"/>
  <c r="A6115" i="4"/>
  <c r="A225" i="4"/>
  <c r="A286" i="4"/>
  <c r="A1206" i="4"/>
  <c r="A1278" i="4"/>
  <c r="A1454" i="4"/>
  <c r="A1469" i="4"/>
  <c r="A1540" i="4"/>
  <c r="A2009" i="4"/>
  <c r="A2190" i="4"/>
  <c r="A2333" i="4"/>
  <c r="A2342" i="4"/>
  <c r="A2351" i="4"/>
  <c r="A2436" i="4"/>
  <c r="A2444" i="4"/>
  <c r="A2545" i="4"/>
  <c r="A2552" i="4"/>
  <c r="A2561" i="4"/>
  <c r="A2570" i="4"/>
  <c r="A2606" i="4"/>
  <c r="A2794" i="4"/>
  <c r="A3290" i="4"/>
  <c r="A3827" i="4"/>
  <c r="A4985" i="4"/>
  <c r="A5021" i="4"/>
  <c r="A5505" i="4"/>
  <c r="A5573" i="4"/>
  <c r="A5860" i="4"/>
  <c r="A5935" i="4"/>
  <c r="A40" i="4"/>
  <c r="A403" i="4"/>
  <c r="A457" i="4"/>
  <c r="A670" i="4"/>
  <c r="A936" i="4"/>
  <c r="A945" i="4"/>
  <c r="A1107" i="4"/>
  <c r="A1116" i="4"/>
  <c r="A1242" i="4"/>
  <c r="A1621" i="4"/>
  <c r="A1715" i="4"/>
  <c r="A1796" i="4"/>
  <c r="A2117" i="4"/>
  <c r="A2261" i="4"/>
  <c r="A2360" i="4"/>
  <c r="A2453" i="4"/>
  <c r="A2462" i="4"/>
  <c r="A2471" i="4"/>
  <c r="A2642" i="4"/>
  <c r="A2803" i="4"/>
  <c r="A2812" i="4"/>
  <c r="A3364" i="4"/>
  <c r="A3872" i="4"/>
  <c r="A4586" i="4"/>
  <c r="A5139" i="4"/>
  <c r="A5413" i="4"/>
  <c r="A5555" i="4"/>
  <c r="A1318" i="4"/>
  <c r="A1558" i="4"/>
  <c r="A1669" i="4"/>
  <c r="A2099" i="4"/>
  <c r="A2421" i="4"/>
  <c r="A2491" i="4"/>
  <c r="A2773" i="4"/>
  <c r="A3259" i="4"/>
  <c r="A3268" i="4"/>
  <c r="A4121" i="4"/>
  <c r="A4264" i="4"/>
  <c r="A4494" i="4"/>
  <c r="A4502" i="4"/>
  <c r="A4734" i="4"/>
  <c r="A5472" i="4"/>
  <c r="A5479" i="4"/>
  <c r="A5663" i="4"/>
  <c r="A5953" i="4"/>
  <c r="A26" i="4"/>
  <c r="A776" i="4"/>
  <c r="A1018" i="4"/>
  <c r="A1224" i="4"/>
  <c r="A1251" i="4"/>
  <c r="A1385" i="4"/>
  <c r="A1392" i="4"/>
  <c r="A1946" i="4"/>
  <c r="A2217" i="4"/>
  <c r="A2279" i="4"/>
  <c r="A2527" i="4"/>
  <c r="A3298" i="4"/>
  <c r="A3316" i="4"/>
  <c r="A3328" i="4"/>
  <c r="A3337" i="4"/>
  <c r="A3391" i="4"/>
  <c r="A3472" i="4"/>
  <c r="A3715" i="4"/>
  <c r="A3836" i="4"/>
  <c r="A4067" i="4"/>
  <c r="A4340" i="4"/>
  <c r="A4388" i="4"/>
  <c r="A4940" i="4"/>
  <c r="A5084" i="4"/>
  <c r="A5111" i="4"/>
  <c r="A5156" i="4"/>
  <c r="A5165" i="4"/>
  <c r="A5201" i="4"/>
  <c r="A6097" i="4"/>
  <c r="A17" i="4"/>
  <c r="A103" i="4"/>
  <c r="A145" i="4"/>
  <c r="A172" i="4"/>
  <c r="A279" i="4"/>
  <c r="A511" i="4"/>
  <c r="A562" i="4"/>
  <c r="A963" i="4"/>
  <c r="A984" i="4"/>
  <c r="A1080" i="4"/>
  <c r="A1345" i="4"/>
  <c r="A1567" i="4"/>
  <c r="A1612" i="4"/>
  <c r="A1760" i="4"/>
  <c r="A1769" i="4"/>
  <c r="A1778" i="4"/>
  <c r="A2243" i="4"/>
  <c r="A2252" i="4"/>
  <c r="A2288" i="4"/>
  <c r="A2369" i="4"/>
  <c r="A2387" i="4"/>
  <c r="A2430" i="4"/>
  <c r="A2597" i="4"/>
  <c r="A2624" i="4"/>
  <c r="A2920" i="4"/>
  <c r="A2965" i="4"/>
  <c r="A3073" i="4"/>
  <c r="A3082" i="4"/>
  <c r="A3181" i="4"/>
  <c r="A3191" i="4"/>
  <c r="A3346" i="4"/>
  <c r="A3382" i="4"/>
  <c r="A3427" i="4"/>
  <c r="A3436" i="4"/>
  <c r="A3454" i="4"/>
  <c r="A3688" i="4"/>
  <c r="A3697" i="4"/>
  <c r="A4028" i="4"/>
  <c r="A4046" i="4"/>
  <c r="A4595" i="4"/>
  <c r="A4604" i="4"/>
  <c r="A4613" i="4"/>
  <c r="A4788" i="4"/>
  <c r="A4851" i="4"/>
  <c r="A4860" i="4"/>
  <c r="A4958" i="4"/>
  <c r="A5003" i="4"/>
  <c r="A5012" i="4"/>
  <c r="A5210" i="4"/>
  <c r="A5219" i="4"/>
  <c r="A5445" i="4"/>
  <c r="A5496" i="4"/>
  <c r="A5600" i="4"/>
  <c r="A5713" i="4"/>
  <c r="A5908" i="4"/>
  <c r="A475" i="4"/>
  <c r="A484" i="4"/>
  <c r="A643" i="4"/>
  <c r="A825" i="4"/>
  <c r="A843" i="4"/>
  <c r="A1161" i="4"/>
  <c r="A1188" i="4"/>
  <c r="A1269" i="4"/>
  <c r="A1639" i="4"/>
  <c r="A2135" i="4"/>
  <c r="A2144" i="4"/>
  <c r="A2153" i="4"/>
  <c r="A2536" i="4"/>
  <c r="A2651" i="4"/>
  <c r="A2851" i="4"/>
  <c r="A2974" i="4"/>
  <c r="A3037" i="4"/>
  <c r="A3236" i="4"/>
  <c r="A3245" i="4"/>
  <c r="A3418" i="4"/>
  <c r="A3526" i="4"/>
  <c r="A3553" i="4"/>
  <c r="A3562" i="4"/>
  <c r="A3571" i="4"/>
  <c r="A3580" i="4"/>
  <c r="A3589" i="4"/>
  <c r="A3607" i="4"/>
  <c r="A3643" i="4"/>
  <c r="A3652" i="4"/>
  <c r="A3706" i="4"/>
  <c r="A4166" i="4"/>
  <c r="A4331" i="4"/>
  <c r="A4577" i="4"/>
  <c r="A4707" i="4"/>
  <c r="A4761" i="4"/>
  <c r="A4770" i="4"/>
  <c r="A4842" i="4"/>
  <c r="A5793" i="4"/>
  <c r="A5926" i="4"/>
  <c r="A6007" i="4"/>
  <c r="A190" i="4"/>
  <c r="A216" i="4"/>
  <c r="A243" i="4"/>
  <c r="A367" i="4"/>
  <c r="A529" i="4"/>
  <c r="A807" i="4"/>
  <c r="A1233" i="4"/>
  <c r="A2509" i="4"/>
  <c r="A2518" i="4"/>
  <c r="A2683" i="4"/>
  <c r="A2707" i="4"/>
  <c r="A2725" i="4"/>
  <c r="A2746" i="4"/>
  <c r="A2893" i="4"/>
  <c r="A2956" i="4"/>
  <c r="A3091" i="4"/>
  <c r="A3993" i="4"/>
  <c r="A4010" i="4"/>
  <c r="A4019" i="4"/>
  <c r="A4037" i="4"/>
  <c r="A4379" i="4"/>
  <c r="A4433" i="4"/>
  <c r="A4451" i="4"/>
  <c r="A4460" i="4"/>
  <c r="A4967" i="4"/>
  <c r="A4976" i="4"/>
  <c r="A5183" i="4"/>
  <c r="A5246" i="4"/>
  <c r="A5454" i="4"/>
  <c r="A5487" i="4"/>
  <c r="A448" i="4"/>
  <c r="A882" i="4"/>
  <c r="A927" i="4"/>
  <c r="A967" i="4"/>
  <c r="A1002" i="4"/>
  <c r="A2072" i="4"/>
  <c r="A2234" i="4"/>
  <c r="A2579" i="4"/>
  <c r="A2716" i="4"/>
  <c r="A2902" i="4"/>
  <c r="A3854" i="4"/>
  <c r="A4182" i="4"/>
  <c r="A4193" i="4"/>
  <c r="A4202" i="4"/>
  <c r="A4211" i="4"/>
  <c r="A4220" i="4"/>
  <c r="A4229" i="4"/>
  <c r="A4246" i="4"/>
  <c r="A4255" i="4"/>
  <c r="A4345" i="4"/>
  <c r="A4469" i="4"/>
  <c r="A4514" i="4"/>
  <c r="A4662" i="4"/>
  <c r="A5463" i="4"/>
  <c r="A5740" i="4"/>
  <c r="A5851" i="4"/>
  <c r="A5917" i="4"/>
  <c r="A6133" i="4"/>
  <c r="A67" i="4"/>
  <c r="A1445" i="4"/>
  <c r="A2992" i="4"/>
  <c r="A3100" i="4"/>
  <c r="A4085" i="4"/>
  <c r="A4295" i="4"/>
  <c r="A4313" i="4"/>
  <c r="A4406" i="4"/>
  <c r="A4532" i="4"/>
  <c r="A4905" i="4"/>
  <c r="A4914" i="4"/>
  <c r="A4923" i="4"/>
  <c r="A5609" i="4"/>
  <c r="A6160" i="4"/>
  <c r="A252" i="4"/>
  <c r="A394" i="4"/>
  <c r="A502" i="4"/>
  <c r="A520" i="4"/>
  <c r="A553" i="4"/>
  <c r="A798" i="4"/>
  <c r="A1724" i="4"/>
  <c r="A1964" i="4"/>
  <c r="A2297" i="4"/>
  <c r="A3136" i="4"/>
  <c r="A3508" i="4"/>
  <c r="A3881" i="4"/>
  <c r="A5048" i="4"/>
  <c r="A5057" i="4"/>
  <c r="A5066" i="4"/>
  <c r="A5075" i="4"/>
  <c r="A5102" i="4"/>
  <c r="A5437" i="4"/>
  <c r="A5775" i="4"/>
  <c r="A5824" i="4"/>
  <c r="A5833" i="4"/>
  <c r="A94" i="4"/>
  <c r="A652" i="4"/>
  <c r="A1679" i="4"/>
  <c r="A1688" i="4"/>
  <c r="A1742" i="4"/>
  <c r="A1973" i="4"/>
  <c r="A2081" i="4"/>
  <c r="A2126" i="4"/>
  <c r="A2162" i="4"/>
  <c r="A2270" i="4"/>
  <c r="A2378" i="4"/>
  <c r="A2661" i="4"/>
  <c r="A2698" i="4"/>
  <c r="A2830" i="4"/>
  <c r="A3481" i="4"/>
  <c r="A3803" i="4"/>
  <c r="A4058" i="4"/>
  <c r="A4931" i="4"/>
  <c r="A5192" i="4"/>
  <c r="A5255" i="4"/>
  <c r="A5273" i="4"/>
  <c r="A5321" i="4"/>
  <c r="A5332" i="4"/>
  <c r="A5341" i="4"/>
  <c r="A5350" i="4"/>
  <c r="A5564" i="4"/>
  <c r="A5645" i="4"/>
  <c r="A5731" i="4"/>
  <c r="A181" i="4"/>
  <c r="A358" i="4"/>
  <c r="A873" i="4"/>
  <c r="A960" i="4"/>
  <c r="A1027" i="4"/>
  <c r="A1044" i="4"/>
  <c r="A1418" i="4"/>
  <c r="A1827" i="4"/>
  <c r="A2315" i="4"/>
  <c r="A2615" i="4"/>
  <c r="A2860" i="4"/>
  <c r="A3661" i="4"/>
  <c r="A3763" i="4"/>
  <c r="A4415" i="4"/>
  <c r="A4523" i="4"/>
  <c r="A4541" i="4"/>
  <c r="A4806" i="4"/>
  <c r="A4815" i="4"/>
  <c r="A4949" i="4"/>
  <c r="A5228" i="4"/>
  <c r="A5312" i="4"/>
  <c r="A5514" i="4"/>
  <c r="A5523" i="4"/>
  <c r="A5537" i="4"/>
  <c r="A5546" i="4"/>
  <c r="A5971" i="4"/>
  <c r="A6061" i="4"/>
  <c r="A49" i="4"/>
  <c r="A76" i="4"/>
  <c r="A296" i="4"/>
  <c r="A430" i="4"/>
  <c r="A1733" i="4"/>
  <c r="A1787" i="4"/>
  <c r="A1928" i="4"/>
  <c r="A2000" i="4"/>
  <c r="A2027" i="4"/>
  <c r="A2171" i="4"/>
  <c r="A2403" i="4"/>
  <c r="A2674" i="4"/>
  <c r="A2983" i="4"/>
  <c r="A3118" i="4"/>
  <c r="A3899" i="4"/>
  <c r="A4112" i="4"/>
  <c r="A4361" i="4"/>
  <c r="A4442" i="4"/>
  <c r="A4626" i="4"/>
  <c r="A5749" i="4"/>
  <c r="A5757" i="4"/>
  <c r="A5766" i="4"/>
  <c r="A5784" i="4"/>
  <c r="A5802" i="4"/>
  <c r="A6016" i="4"/>
  <c r="A234" i="4"/>
  <c r="A3445" i="4"/>
  <c r="A3598" i="4"/>
  <c r="A2589" i="4"/>
  <c r="A3500" i="4"/>
  <c r="A3743" i="4"/>
  <c r="A3811" i="4"/>
  <c r="A4834" i="4"/>
  <c r="A5423" i="4"/>
  <c r="A6042" i="4"/>
  <c r="A9" i="4"/>
  <c r="A113" i="4"/>
  <c r="A120" i="4"/>
  <c r="A128" i="4"/>
  <c r="A137" i="4"/>
  <c r="A572" i="4"/>
  <c r="A590" i="4"/>
  <c r="A1401" i="4"/>
  <c r="A1410" i="4"/>
  <c r="A1532" i="4"/>
  <c r="A1649" i="4"/>
  <c r="A1810" i="4"/>
  <c r="A1956" i="4"/>
  <c r="A2091" i="4"/>
  <c r="A2109" i="4"/>
  <c r="A2481" i="4"/>
  <c r="A2885" i="4"/>
  <c r="A3065" i="4"/>
  <c r="A3155" i="4"/>
  <c r="A3671" i="4"/>
  <c r="A3945" i="4"/>
  <c r="A4425" i="4"/>
  <c r="A4479" i="4"/>
  <c r="A5040" i="4"/>
  <c r="A5637" i="4"/>
  <c r="A5999" i="4"/>
  <c r="A59" i="4"/>
  <c r="A86" i="4"/>
  <c r="A314" i="4"/>
  <c r="A323" i="4"/>
  <c r="A332" i="4"/>
  <c r="A341" i="4"/>
  <c r="A350" i="4"/>
  <c r="A467" i="4"/>
  <c r="A759" i="4"/>
  <c r="A768" i="4"/>
  <c r="A919" i="4"/>
  <c r="A955" i="4"/>
  <c r="A1039" i="4"/>
  <c r="A1144" i="4"/>
  <c r="A1216" i="4"/>
  <c r="A1310" i="4"/>
  <c r="A1369" i="4"/>
  <c r="A1437" i="4"/>
  <c r="A1464" i="4"/>
  <c r="A1478" i="4"/>
  <c r="A1487" i="4"/>
  <c r="A1496" i="4"/>
  <c r="A1577" i="4"/>
  <c r="A1604" i="4"/>
  <c r="A1658" i="4"/>
  <c r="A1698" i="4"/>
  <c r="A1819" i="4"/>
  <c r="A1873" i="4"/>
  <c r="A2019" i="4"/>
  <c r="A2181" i="4"/>
  <c r="A2208" i="4"/>
  <c r="A2226" i="4"/>
  <c r="A2307" i="4"/>
  <c r="A2325" i="4"/>
  <c r="A2840" i="4"/>
  <c r="A2912" i="4"/>
  <c r="A2939" i="4"/>
  <c r="A3029" i="4"/>
  <c r="A3056" i="4"/>
  <c r="A3210" i="4"/>
  <c r="A3356" i="4"/>
  <c r="A3518" i="4"/>
  <c r="A3536" i="4"/>
  <c r="A3755" i="4"/>
  <c r="A3819" i="4"/>
  <c r="A3927" i="4"/>
  <c r="A3936" i="4"/>
  <c r="A3954" i="4"/>
  <c r="A3963" i="4"/>
  <c r="A3981" i="4"/>
  <c r="A4077" i="4"/>
  <c r="A4095" i="4"/>
  <c r="A4131" i="4"/>
  <c r="A4149" i="4"/>
  <c r="A4158" i="4"/>
  <c r="A4176" i="4"/>
  <c r="A4237" i="4"/>
  <c r="A4551" i="4"/>
  <c r="A4560" i="4"/>
  <c r="A4636" i="4"/>
  <c r="A4645" i="4"/>
  <c r="A4654" i="4"/>
  <c r="A4672" i="4"/>
  <c r="A4681" i="4"/>
  <c r="A4690" i="4"/>
  <c r="A4753" i="4"/>
  <c r="A4780" i="4"/>
  <c r="A4879" i="4"/>
  <c r="A4888" i="4"/>
  <c r="A4897" i="4"/>
  <c r="A5094" i="4"/>
  <c r="A5121" i="4"/>
  <c r="A5387" i="4"/>
  <c r="A5396" i="4"/>
  <c r="A5405" i="4"/>
  <c r="A5619" i="4"/>
  <c r="A5705" i="4"/>
  <c r="A5723" i="4"/>
  <c r="A5990" i="4"/>
  <c r="A6125" i="4"/>
  <c r="A6080" i="4"/>
  <c r="A6170" i="4"/>
  <c r="A209" i="4"/>
  <c r="A304" i="4"/>
  <c r="A413" i="4"/>
  <c r="A494" i="4"/>
  <c r="A608" i="4"/>
  <c r="A617" i="4"/>
  <c r="A626" i="4"/>
  <c r="A635" i="4"/>
  <c r="A853" i="4"/>
  <c r="A862" i="4"/>
  <c r="A1099" i="4"/>
  <c r="A1126" i="4"/>
  <c r="A1328" i="4"/>
  <c r="A1377" i="4"/>
  <c r="A1550" i="4"/>
  <c r="A1631" i="4"/>
  <c r="A2064" i="4"/>
  <c r="A2822" i="4"/>
  <c r="A3020" i="4"/>
  <c r="A3110" i="4"/>
  <c r="A3146" i="4"/>
  <c r="A3219" i="4"/>
  <c r="A3228" i="4"/>
  <c r="A3545" i="4"/>
  <c r="A3626" i="4"/>
  <c r="A3635" i="4"/>
  <c r="A3725" i="4"/>
  <c r="A3864" i="4"/>
  <c r="A3918" i="4"/>
  <c r="A4140" i="4"/>
  <c r="A4287" i="4"/>
  <c r="A4569" i="4"/>
  <c r="A4699" i="4"/>
  <c r="A4717" i="4"/>
  <c r="A4726" i="4"/>
  <c r="A4995" i="4"/>
  <c r="A5175" i="4"/>
  <c r="A5238" i="4"/>
  <c r="A5369" i="4"/>
  <c r="A5963" i="4"/>
  <c r="A6053" i="4"/>
  <c r="A6143" i="4"/>
  <c r="A155" i="4"/>
  <c r="A200" i="4"/>
  <c r="A271" i="4"/>
  <c r="A377" i="4"/>
  <c r="A386" i="4"/>
  <c r="A422" i="4"/>
  <c r="A581" i="4"/>
  <c r="A684" i="4"/>
  <c r="A693" i="4"/>
  <c r="A705" i="4"/>
  <c r="A722" i="4"/>
  <c r="A835" i="4"/>
  <c r="A910" i="4"/>
  <c r="A976" i="4"/>
  <c r="A1337" i="4"/>
  <c r="A1355" i="4"/>
  <c r="A1752" i="4"/>
  <c r="A1846" i="4"/>
  <c r="A1882" i="4"/>
  <c r="A1909" i="4"/>
  <c r="A2037" i="4"/>
  <c r="A2046" i="4"/>
  <c r="A2055" i="4"/>
  <c r="A2395" i="4"/>
  <c r="A2738" i="4"/>
  <c r="A2756" i="4"/>
  <c r="A2786" i="4"/>
  <c r="A2870" i="4"/>
  <c r="A3047" i="4"/>
  <c r="A3278" i="4"/>
  <c r="A3617" i="4"/>
  <c r="A3990" i="4"/>
  <c r="A4305" i="4"/>
  <c r="A4371" i="4"/>
  <c r="A4870" i="4"/>
  <c r="A5031" i="4"/>
  <c r="A5265" i="4"/>
  <c r="A5304" i="4"/>
  <c r="A5696" i="4"/>
  <c r="A5843" i="4"/>
  <c r="A6071" i="4"/>
  <c r="A6152" i="4"/>
  <c r="A164" i="4"/>
  <c r="A732" i="4"/>
  <c r="A741" i="4"/>
  <c r="A750" i="4"/>
  <c r="A817" i="4"/>
  <c r="A1153" i="4"/>
  <c r="A3002" i="4"/>
  <c r="A3011" i="4"/>
  <c r="A3308" i="4"/>
  <c r="A3909" i="4"/>
  <c r="A4002" i="4"/>
  <c r="A5286" i="4"/>
  <c r="A5628" i="4"/>
  <c r="A5882" i="4"/>
  <c r="A6026" i="4"/>
  <c r="A6035" i="4"/>
  <c r="A6089" i="4"/>
  <c r="A539" i="4"/>
  <c r="A546" i="4"/>
  <c r="A994" i="4"/>
  <c r="A1010" i="4"/>
  <c r="A1053" i="4"/>
  <c r="A1068" i="4"/>
  <c r="A1090" i="4"/>
  <c r="A1198" i="4"/>
  <c r="A1586" i="4"/>
  <c r="A1983" i="4"/>
  <c r="A2413" i="4"/>
  <c r="A2765" i="4"/>
  <c r="A3201" i="4"/>
  <c r="A3401" i="4"/>
  <c r="A3410" i="4"/>
  <c r="A5295" i="4"/>
  <c r="A5592" i="4"/>
  <c r="A5673" i="4"/>
  <c r="A5682" i="4"/>
  <c r="A30" i="4"/>
  <c r="A262" i="4"/>
  <c r="A440" i="4"/>
  <c r="A599" i="4"/>
  <c r="A662" i="4"/>
  <c r="A786" i="4"/>
  <c r="A1180" i="4"/>
  <c r="A1291" i="4"/>
  <c r="A1301" i="4"/>
  <c r="A1505" i="4"/>
  <c r="A1514" i="4"/>
  <c r="A1523" i="4"/>
  <c r="A1595" i="4"/>
  <c r="A1864" i="4"/>
  <c r="A1917" i="4"/>
  <c r="A1938" i="4"/>
  <c r="A2501" i="4"/>
  <c r="A2778" i="4"/>
  <c r="A2877" i="4"/>
  <c r="A2930" i="4"/>
  <c r="A3164" i="4"/>
  <c r="A3173" i="4"/>
  <c r="A3374" i="4"/>
  <c r="A3491" i="4"/>
  <c r="A3734" i="4"/>
  <c r="A3775" i="4"/>
  <c r="A3795" i="4"/>
  <c r="A3846" i="4"/>
  <c r="A3891" i="4"/>
  <c r="A3972" i="4"/>
  <c r="A4104" i="4"/>
  <c r="A4323" i="4"/>
  <c r="A4353" i="4"/>
  <c r="A4488" i="4"/>
  <c r="A4744" i="4"/>
  <c r="A4798" i="4"/>
  <c r="A4825" i="4"/>
  <c r="A5148" i="4"/>
  <c r="A5378" i="4"/>
  <c r="A5583" i="4"/>
  <c r="A5655" i="4"/>
  <c r="A5900" i="4"/>
  <c r="A5945" i="4"/>
  <c r="A892" i="4"/>
  <c r="A901" i="4"/>
  <c r="A1135" i="4"/>
  <c r="A1171" i="4"/>
  <c r="A1261" i="4"/>
  <c r="A1428" i="4"/>
  <c r="A1706" i="4"/>
  <c r="A1837" i="4"/>
  <c r="A1855" i="4"/>
  <c r="A1891" i="4"/>
  <c r="A1900" i="4"/>
  <c r="A1992" i="4"/>
  <c r="A2199" i="4"/>
  <c r="A2634" i="4"/>
  <c r="A2948" i="4"/>
  <c r="A3128" i="4"/>
  <c r="A3464" i="4"/>
  <c r="A3680" i="4"/>
  <c r="A4278" i="4"/>
  <c r="A4398" i="4"/>
  <c r="A5130" i="4"/>
  <c r="A5360" i="4"/>
  <c r="A5815" i="4"/>
  <c r="A5870" i="4"/>
  <c r="A5891" i="4"/>
  <c r="A5981" i="4"/>
  <c r="A6107" i="4"/>
  <c r="A6116" i="4"/>
  <c r="A226" i="4"/>
  <c r="A287" i="4"/>
  <c r="A1207" i="4"/>
  <c r="A1279" i="4"/>
  <c r="A1455" i="4"/>
  <c r="A1470" i="4"/>
  <c r="A1541" i="4"/>
  <c r="A2010" i="4"/>
  <c r="A2191" i="4"/>
  <c r="A2334" i="4"/>
  <c r="A2343" i="4"/>
  <c r="A2352" i="4"/>
  <c r="A2437" i="4"/>
  <c r="A2445" i="4"/>
  <c r="A2546" i="4"/>
  <c r="A2553" i="4"/>
  <c r="A2562" i="4"/>
  <c r="A2571" i="4"/>
  <c r="A2607" i="4"/>
  <c r="A2795" i="4"/>
  <c r="A3291" i="4"/>
  <c r="A3828" i="4"/>
  <c r="A4986" i="4"/>
  <c r="A5022" i="4"/>
  <c r="A5506" i="4"/>
  <c r="A5574" i="4"/>
  <c r="A5861" i="4"/>
  <c r="A5936" i="4"/>
  <c r="A41" i="4"/>
  <c r="A404" i="4"/>
  <c r="A458" i="4"/>
  <c r="A671" i="4"/>
  <c r="A937" i="4"/>
  <c r="A946" i="4"/>
  <c r="A1108" i="4"/>
  <c r="A1117" i="4"/>
  <c r="A1243" i="4"/>
  <c r="A1622" i="4"/>
  <c r="A1716" i="4"/>
  <c r="A1797" i="4"/>
  <c r="A2118" i="4"/>
  <c r="A2262" i="4"/>
  <c r="A2361" i="4"/>
  <c r="A2454" i="4"/>
  <c r="A2463" i="4"/>
  <c r="A2472" i="4"/>
  <c r="A2643" i="4"/>
  <c r="A2804" i="4"/>
  <c r="A2813" i="4"/>
  <c r="A3365" i="4"/>
  <c r="A3873" i="4"/>
  <c r="A4587" i="4"/>
  <c r="A5140" i="4"/>
  <c r="A5414" i="4"/>
  <c r="A5556" i="4"/>
  <c r="A32" i="4"/>
  <c r="A1319" i="4"/>
  <c r="A1559" i="4"/>
  <c r="A1670" i="4"/>
  <c r="A2100" i="4"/>
  <c r="A2422" i="4"/>
  <c r="A2492" i="4"/>
  <c r="A2774" i="4"/>
  <c r="A3260" i="4"/>
  <c r="A3269" i="4"/>
  <c r="A4122" i="4"/>
  <c r="A4265" i="4"/>
  <c r="A4495" i="4"/>
  <c r="A4503" i="4"/>
  <c r="A4735" i="4"/>
  <c r="A5473" i="4"/>
  <c r="A5480" i="4"/>
  <c r="A5664" i="4"/>
  <c r="A5954" i="4"/>
  <c r="A27" i="4"/>
  <c r="A777" i="4"/>
  <c r="A1019" i="4"/>
  <c r="A1225" i="4"/>
  <c r="A1252" i="4"/>
  <c r="A1386" i="4"/>
  <c r="A1393" i="4"/>
  <c r="A1947" i="4"/>
  <c r="A2218" i="4"/>
  <c r="A2280" i="4"/>
  <c r="A2528" i="4"/>
  <c r="A3299" i="4"/>
  <c r="A3317" i="4"/>
  <c r="A3329" i="4"/>
  <c r="A3338" i="4"/>
  <c r="A3392" i="4"/>
  <c r="A3473" i="4"/>
  <c r="A3716" i="4"/>
  <c r="A3837" i="4"/>
  <c r="A4068" i="4"/>
  <c r="A4341" i="4"/>
  <c r="A4389" i="4"/>
  <c r="A4941" i="4"/>
  <c r="A5085" i="4"/>
  <c r="A5112" i="4"/>
  <c r="A5157" i="4"/>
  <c r="A5166" i="4"/>
  <c r="A5202" i="4"/>
  <c r="A6098" i="4"/>
  <c r="A18" i="4"/>
  <c r="A104" i="4"/>
  <c r="A146" i="4"/>
  <c r="A173" i="4"/>
  <c r="A280" i="4"/>
  <c r="A512" i="4"/>
  <c r="A563" i="4"/>
  <c r="A964" i="4"/>
  <c r="A985" i="4"/>
  <c r="A1081" i="4"/>
  <c r="A1346" i="4"/>
  <c r="A1568" i="4"/>
  <c r="A1613" i="4"/>
  <c r="A1761" i="4"/>
  <c r="A1770" i="4"/>
  <c r="A1779" i="4"/>
  <c r="A2244" i="4"/>
  <c r="A2253" i="4"/>
  <c r="A2289" i="4"/>
  <c r="A2370" i="4"/>
  <c r="A2388" i="4"/>
  <c r="A2431" i="4"/>
  <c r="A2598" i="4"/>
  <c r="A2625" i="4"/>
  <c r="A2921" i="4"/>
  <c r="A2966" i="4"/>
  <c r="A3074" i="4"/>
  <c r="A3083" i="4"/>
  <c r="A3182" i="4"/>
  <c r="A3192" i="4"/>
  <c r="A3347" i="4"/>
  <c r="A3383" i="4"/>
  <c r="A3428" i="4"/>
  <c r="A3437" i="4"/>
  <c r="A3455" i="4"/>
  <c r="A3689" i="4"/>
  <c r="A3698" i="4"/>
  <c r="A4029" i="4"/>
  <c r="A4047" i="4"/>
  <c r="A4596" i="4"/>
  <c r="A4605" i="4"/>
  <c r="A4614" i="4"/>
  <c r="A4789" i="4"/>
  <c r="A4852" i="4"/>
  <c r="A4861" i="4"/>
  <c r="A4959" i="4"/>
  <c r="A5004" i="4"/>
  <c r="A5013" i="4"/>
  <c r="A5211" i="4"/>
  <c r="A5220" i="4"/>
  <c r="A5446" i="4"/>
  <c r="A5497" i="4"/>
  <c r="A5601" i="4"/>
  <c r="A5714" i="4"/>
  <c r="A5909" i="4"/>
  <c r="A476" i="4"/>
  <c r="A485" i="4"/>
  <c r="A644" i="4"/>
  <c r="A826" i="4"/>
  <c r="A844" i="4"/>
  <c r="A1162" i="4"/>
  <c r="A1189" i="4"/>
  <c r="A1270" i="4"/>
  <c r="A1640" i="4"/>
  <c r="A2136" i="4"/>
  <c r="A2145" i="4"/>
  <c r="A2154" i="4"/>
  <c r="A2537" i="4"/>
  <c r="A2652" i="4"/>
  <c r="A2852" i="4"/>
  <c r="A2975" i="4"/>
  <c r="A3038" i="4"/>
  <c r="A3237" i="4"/>
  <c r="A3246" i="4"/>
  <c r="A3419" i="4"/>
  <c r="A3527" i="4"/>
  <c r="A3554" i="4"/>
  <c r="A3563" i="4"/>
  <c r="A3572" i="4"/>
  <c r="A3581" i="4"/>
  <c r="A3590" i="4"/>
  <c r="A3608" i="4"/>
  <c r="A3644" i="4"/>
  <c r="A3653" i="4"/>
  <c r="A3707" i="4"/>
  <c r="A4167" i="4"/>
  <c r="A4332" i="4"/>
  <c r="A4578" i="4"/>
  <c r="A4708" i="4"/>
  <c r="A4762" i="4"/>
  <c r="A4771" i="4"/>
  <c r="A4843" i="4"/>
  <c r="A5794" i="4"/>
  <c r="A5927" i="4"/>
  <c r="A6008" i="4"/>
  <c r="A191" i="4"/>
  <c r="A217" i="4"/>
  <c r="A244" i="4"/>
  <c r="A368" i="4"/>
  <c r="A530" i="4"/>
  <c r="A808" i="4"/>
  <c r="A1234" i="4"/>
  <c r="A2510" i="4"/>
  <c r="A2519" i="4"/>
  <c r="A2684" i="4"/>
  <c r="A2708" i="4"/>
  <c r="A2726" i="4"/>
  <c r="A2747" i="4"/>
  <c r="A2894" i="4"/>
  <c r="A2957" i="4"/>
  <c r="A3092" i="4"/>
  <c r="A3994" i="4"/>
  <c r="A4011" i="4"/>
  <c r="A4020" i="4"/>
  <c r="A4038" i="4"/>
  <c r="A4380" i="4"/>
  <c r="A4434" i="4"/>
  <c r="A4452" i="4"/>
  <c r="A4461" i="4"/>
  <c r="A4968" i="4"/>
  <c r="A4977" i="4"/>
  <c r="A5184" i="4"/>
  <c r="A5247" i="4"/>
  <c r="A5455" i="4"/>
  <c r="A5488" i="4"/>
  <c r="A449" i="4"/>
  <c r="A883" i="4"/>
  <c r="A928" i="4"/>
  <c r="A968" i="4"/>
  <c r="A1003" i="4"/>
  <c r="A2073" i="4"/>
  <c r="A2235" i="4"/>
  <c r="A2580" i="4"/>
  <c r="A2717" i="4"/>
  <c r="A2903" i="4"/>
  <c r="A3855" i="4"/>
  <c r="A4183" i="4"/>
  <c r="A4194" i="4"/>
  <c r="A4203" i="4"/>
  <c r="A4212" i="4"/>
  <c r="A4221" i="4"/>
  <c r="A4230" i="4"/>
  <c r="A4247" i="4"/>
  <c r="A4256" i="4"/>
  <c r="A4346" i="4"/>
  <c r="A4470" i="4"/>
  <c r="A4515" i="4"/>
  <c r="A4663" i="4"/>
  <c r="A5464" i="4"/>
  <c r="A5741" i="4"/>
  <c r="A5852" i="4"/>
  <c r="A5918" i="4"/>
  <c r="A6134" i="4"/>
  <c r="A68" i="4"/>
  <c r="A1031" i="4"/>
  <c r="A1446" i="4"/>
  <c r="A2993" i="4"/>
  <c r="A3101" i="4"/>
  <c r="A4086" i="4"/>
  <c r="A4296" i="4"/>
  <c r="A4314" i="4"/>
  <c r="A4407" i="4"/>
  <c r="A4533" i="4"/>
  <c r="A4906" i="4"/>
  <c r="A4915" i="4"/>
  <c r="A4924" i="4"/>
  <c r="A5610" i="4"/>
  <c r="A6161" i="4"/>
  <c r="A253" i="4"/>
  <c r="A395" i="4"/>
  <c r="A503" i="4"/>
  <c r="A521" i="4"/>
  <c r="A554" i="4"/>
  <c r="A799" i="4"/>
  <c r="A1725" i="4"/>
  <c r="A1965" i="4"/>
  <c r="A2298" i="4"/>
  <c r="A3137" i="4"/>
  <c r="A3509" i="4"/>
  <c r="A3882" i="4"/>
  <c r="A5049" i="4"/>
  <c r="A5058" i="4"/>
  <c r="A5067" i="4"/>
  <c r="A5076" i="4"/>
  <c r="A5103" i="4"/>
  <c r="A5438" i="4"/>
  <c r="A5776" i="4"/>
  <c r="A5825" i="4"/>
  <c r="A5834" i="4"/>
  <c r="A95" i="4"/>
  <c r="A653" i="4"/>
  <c r="A1680" i="4"/>
  <c r="A1689" i="4"/>
  <c r="A1743" i="4"/>
  <c r="A1974" i="4"/>
  <c r="A2082" i="4"/>
  <c r="A2127" i="4"/>
  <c r="A2163" i="4"/>
  <c r="A2271" i="4"/>
  <c r="A2379" i="4"/>
  <c r="A2662" i="4"/>
  <c r="A2699" i="4"/>
  <c r="A2831" i="4"/>
  <c r="A3482" i="4"/>
  <c r="A3804" i="4"/>
  <c r="A4059" i="4"/>
  <c r="A4932" i="4"/>
  <c r="A5193" i="4"/>
  <c r="A5256" i="4"/>
  <c r="A5274" i="4"/>
  <c r="A5322" i="4"/>
  <c r="A5333" i="4"/>
  <c r="A5342" i="4"/>
  <c r="A5351" i="4"/>
  <c r="A5565" i="4"/>
  <c r="A5646" i="4"/>
  <c r="A5732" i="4"/>
  <c r="A182" i="4"/>
  <c r="A359" i="4"/>
  <c r="A874" i="4"/>
  <c r="A961" i="4"/>
  <c r="A1028" i="4"/>
  <c r="A1045" i="4"/>
  <c r="A1419" i="4"/>
  <c r="A1828" i="4"/>
  <c r="A2316" i="4"/>
  <c r="A2616" i="4"/>
  <c r="A2861" i="4"/>
  <c r="A3662" i="4"/>
  <c r="A3764" i="4"/>
  <c r="A4416" i="4"/>
  <c r="A4524" i="4"/>
  <c r="A4542" i="4"/>
  <c r="A4807" i="4"/>
  <c r="A4816" i="4"/>
  <c r="A4950" i="4"/>
  <c r="A5229" i="4"/>
  <c r="A5313" i="4"/>
  <c r="A5515" i="4"/>
  <c r="A5524" i="4"/>
  <c r="A5538" i="4"/>
  <c r="A5547" i="4"/>
  <c r="A5972" i="4"/>
  <c r="A6062" i="4"/>
  <c r="A50" i="4"/>
  <c r="A77" i="4"/>
  <c r="A297" i="4"/>
  <c r="A431" i="4"/>
  <c r="A1734" i="4"/>
  <c r="A1788" i="4"/>
  <c r="A1929" i="4"/>
  <c r="A2001" i="4"/>
  <c r="A2028" i="4"/>
  <c r="A2172" i="4"/>
  <c r="A2404" i="4"/>
  <c r="A2675" i="4"/>
  <c r="A2984" i="4"/>
  <c r="A3119" i="4"/>
  <c r="A3900" i="4"/>
  <c r="A4113" i="4"/>
  <c r="A4362" i="4"/>
  <c r="A4443" i="4"/>
  <c r="A4627" i="4"/>
  <c r="A5750" i="4"/>
  <c r="A5758" i="4"/>
  <c r="A5767" i="4"/>
  <c r="A5785" i="4"/>
  <c r="A5803" i="4"/>
  <c r="A6017" i="4"/>
  <c r="A235" i="4"/>
  <c r="A3446" i="4"/>
  <c r="A3599" i="4"/>
  <c r="A3812" i="4"/>
  <c r="A4835" i="4"/>
  <c r="A3744" i="4"/>
  <c r="A2590" i="4"/>
  <c r="A6043" i="4"/>
  <c r="A3501" i="4"/>
  <c r="A5424" i="4"/>
  <c r="A3339" i="4"/>
  <c r="A342" i="4"/>
  <c r="A5474" i="4"/>
  <c r="A2101" i="4"/>
  <c r="A3261" i="4"/>
  <c r="A5955" i="4"/>
  <c r="A1320" i="4"/>
  <c r="A1560" i="4"/>
  <c r="A2423" i="4"/>
  <c r="A2775" i="4"/>
  <c r="A4496" i="4"/>
  <c r="A4736" i="4"/>
  <c r="A3717" i="4"/>
  <c r="A1394" i="4"/>
  <c r="A4342" i="4"/>
  <c r="A6099" i="4"/>
  <c r="A778" i="4"/>
  <c r="A1020" i="4"/>
  <c r="A1226" i="4"/>
  <c r="A1253" i="4"/>
  <c r="A2281" i="4"/>
  <c r="A2529" i="4"/>
  <c r="A4069" i="4"/>
  <c r="A3300" i="4"/>
  <c r="A3318" i="4"/>
  <c r="A3393" i="4"/>
  <c r="A3474" i="4"/>
  <c r="A3838" i="4"/>
  <c r="A4390" i="4"/>
  <c r="A1387" i="4"/>
  <c r="A4942" i="4"/>
  <c r="A5086" i="4"/>
  <c r="A5113" i="4"/>
  <c r="A5158" i="4"/>
  <c r="A5167" i="4"/>
  <c r="A5203" i="4"/>
  <c r="A105" i="4"/>
  <c r="A4615" i="4"/>
  <c r="A2967" i="4"/>
  <c r="A147" i="4"/>
  <c r="A986" i="4"/>
  <c r="A174" i="4"/>
  <c r="A281" i="4"/>
  <c r="A513" i="4"/>
  <c r="A564" i="4"/>
  <c r="A1347" i="4"/>
  <c r="A1569" i="4"/>
  <c r="A1614" i="4"/>
  <c r="A1762" i="4"/>
  <c r="A1780" i="4"/>
  <c r="A2290" i="4"/>
  <c r="A2371" i="4"/>
  <c r="A2432" i="4"/>
  <c r="A2599" i="4"/>
  <c r="A2626" i="4"/>
  <c r="A2922" i="4"/>
  <c r="A3075" i="4"/>
  <c r="A236" i="4"/>
  <c r="A3084" i="4"/>
  <c r="A3183" i="4"/>
  <c r="A3193" i="4"/>
  <c r="A3348" i="4"/>
  <c r="A3384" i="4"/>
  <c r="A3429" i="4"/>
  <c r="A3690" i="4"/>
  <c r="A3699" i="4"/>
  <c r="A4048" i="4"/>
  <c r="A4030" i="4"/>
  <c r="A2245" i="4"/>
  <c r="A4597" i="4"/>
  <c r="A4853" i="4"/>
  <c r="A5014" i="4"/>
  <c r="A5447" i="4"/>
  <c r="A5212" i="4"/>
  <c r="A5498" i="4"/>
  <c r="A5602" i="4"/>
  <c r="A5715" i="4"/>
  <c r="A5910" i="4"/>
  <c r="A1082" i="4"/>
  <c r="A4960" i="4"/>
  <c r="A5221" i="4"/>
  <c r="A4790" i="4"/>
  <c r="A1771" i="4"/>
  <c r="A4862" i="4"/>
  <c r="A3456" i="4"/>
  <c r="A5005" i="4"/>
  <c r="A2254" i="4"/>
  <c r="A3447" i="4"/>
  <c r="A477" i="4"/>
  <c r="A486" i="4"/>
  <c r="A645" i="4"/>
  <c r="A845" i="4"/>
  <c r="A1163" i="4"/>
  <c r="A1190" i="4"/>
  <c r="A1641" i="4"/>
  <c r="A2137" i="4"/>
  <c r="A2146" i="4"/>
  <c r="A2155" i="4"/>
  <c r="A2538" i="4"/>
  <c r="A2653" i="4"/>
  <c r="A2853" i="4"/>
  <c r="A3039" i="4"/>
  <c r="A3238" i="4"/>
  <c r="A3247" i="4"/>
  <c r="A3420" i="4"/>
  <c r="A3528" i="4"/>
  <c r="A3582" i="4"/>
  <c r="A3654" i="4"/>
  <c r="A3609" i="4"/>
  <c r="A3645" i="4"/>
  <c r="A3708" i="4"/>
  <c r="A2976" i="4"/>
  <c r="A4333" i="4"/>
  <c r="A3591" i="4"/>
  <c r="A4579" i="4"/>
  <c r="A4709" i="4"/>
  <c r="A4763" i="4"/>
  <c r="A4772" i="4"/>
  <c r="A4844" i="4"/>
  <c r="A5795" i="4"/>
  <c r="A6009" i="4"/>
  <c r="A1271" i="4"/>
  <c r="A4168" i="4"/>
  <c r="A3573" i="4"/>
  <c r="A5928" i="4"/>
  <c r="A3555" i="4"/>
  <c r="A827" i="4"/>
  <c r="A2727" i="4"/>
  <c r="A4381" i="4"/>
  <c r="A809" i="4"/>
  <c r="A218" i="4"/>
  <c r="A245" i="4"/>
  <c r="A369" i="4"/>
  <c r="A531" i="4"/>
  <c r="A5456" i="4"/>
  <c r="A1235" i="4"/>
  <c r="A2511" i="4"/>
  <c r="A2520" i="4"/>
  <c r="A2685" i="4"/>
  <c r="A2709" i="4"/>
  <c r="A2748" i="4"/>
  <c r="A2895" i="4"/>
  <c r="A3093" i="4"/>
  <c r="A4039" i="4"/>
  <c r="A4021" i="4"/>
  <c r="A4435" i="4"/>
  <c r="A4462" i="4"/>
  <c r="A4453" i="4"/>
  <c r="A4969" i="4"/>
  <c r="A4978" i="4"/>
  <c r="A5248" i="4"/>
  <c r="A5489" i="4"/>
  <c r="A192" i="4"/>
  <c r="A2958" i="4"/>
  <c r="A5185" i="4"/>
  <c r="A4248" i="4"/>
  <c r="A929" i="4"/>
  <c r="A4195" i="4"/>
  <c r="A450" i="4"/>
  <c r="A2074" i="4"/>
  <c r="A2236" i="4"/>
  <c r="A2904" i="4"/>
  <c r="A3856" i="4"/>
  <c r="A4471" i="4"/>
  <c r="A4516" i="4"/>
  <c r="A4664" i="4"/>
  <c r="A5465" i="4"/>
  <c r="A4213" i="4"/>
  <c r="A5742" i="4"/>
  <c r="A5853" i="4"/>
  <c r="A5919" i="4"/>
  <c r="A6135" i="4"/>
  <c r="A2718" i="4"/>
  <c r="A4204" i="4"/>
  <c r="A4231" i="4"/>
  <c r="A4907" i="4"/>
  <c r="A69" i="4"/>
  <c r="A1447" i="4"/>
  <c r="A2994" i="4"/>
  <c r="A4315" i="4"/>
  <c r="A3102" i="4"/>
  <c r="A4087" i="4"/>
  <c r="A6162" i="4"/>
  <c r="A4408" i="4"/>
  <c r="A4534" i="4"/>
  <c r="A5611" i="4"/>
  <c r="A4297" i="4"/>
  <c r="A4916" i="4"/>
  <c r="A5077" i="4"/>
  <c r="A254" i="4"/>
  <c r="A396" i="4"/>
  <c r="A504" i="4"/>
  <c r="A522" i="4"/>
  <c r="A555" i="4"/>
  <c r="A1726" i="4"/>
  <c r="A2299" i="4"/>
  <c r="A3510" i="4"/>
  <c r="A3883" i="4"/>
  <c r="A1966" i="4"/>
  <c r="A5104" i="4"/>
  <c r="A5777" i="4"/>
  <c r="A5826" i="4"/>
  <c r="A3138" i="4"/>
  <c r="A5068" i="4"/>
  <c r="A5835" i="4"/>
  <c r="A5050" i="4"/>
  <c r="A5323" i="4"/>
  <c r="A96" i="4"/>
  <c r="A654" i="4"/>
  <c r="A1681" i="4"/>
  <c r="A1690" i="4"/>
  <c r="A1744" i="4"/>
  <c r="A1975" i="4"/>
  <c r="A2083" i="4"/>
  <c r="A2272" i="4"/>
  <c r="A2128" i="4"/>
  <c r="A2164" i="4"/>
  <c r="A2380" i="4"/>
  <c r="A2700" i="4"/>
  <c r="A3483" i="4"/>
  <c r="A3805" i="4"/>
  <c r="A4060" i="4"/>
  <c r="A4933" i="4"/>
  <c r="A5194" i="4"/>
  <c r="A2832" i="4"/>
  <c r="A5257" i="4"/>
  <c r="A5275" i="4"/>
  <c r="A5647" i="4"/>
  <c r="A2663" i="4"/>
  <c r="A5352" i="4"/>
  <c r="A5733" i="4"/>
  <c r="A1420" i="4"/>
  <c r="A2617" i="4"/>
  <c r="A4417" i="4"/>
  <c r="A875" i="4"/>
  <c r="A1029" i="4"/>
  <c r="A1829" i="4"/>
  <c r="A2317" i="4"/>
  <c r="A2862" i="4"/>
  <c r="A3663" i="4"/>
  <c r="A3765" i="4"/>
  <c r="A360" i="4"/>
  <c r="A4543" i="4"/>
  <c r="A4808" i="4"/>
  <c r="A5516" i="4"/>
  <c r="A4817" i="4"/>
  <c r="A4951" i="4"/>
  <c r="A5230" i="4"/>
  <c r="A5314" i="4"/>
  <c r="A5548" i="4"/>
  <c r="A5973" i="4"/>
  <c r="A6063" i="4"/>
  <c r="A3600" i="4"/>
  <c r="A4363" i="4"/>
  <c r="A3901" i="4"/>
  <c r="A51" i="4"/>
  <c r="A78" i="4"/>
  <c r="A298" i="4"/>
  <c r="A432" i="4"/>
  <c r="A1735" i="4"/>
  <c r="A1789" i="4"/>
  <c r="A2002" i="4"/>
  <c r="A2029" i="4"/>
  <c r="A2173" i="4"/>
  <c r="A2405" i="4"/>
  <c r="A2676" i="4"/>
  <c r="A2985" i="4"/>
  <c r="A3120" i="4"/>
  <c r="A4114" i="4"/>
  <c r="A4444" i="4"/>
  <c r="A5786" i="4"/>
  <c r="A5804" i="4"/>
  <c r="A6018" i="4"/>
  <c r="A5768" i="4"/>
  <c r="A1930" i="4"/>
  <c r="A1515" i="4"/>
  <c r="A627" i="4"/>
  <c r="A4222" i="4"/>
  <c r="A3270" i="4"/>
  <c r="A1054" i="4"/>
  <c r="A3564" i="4"/>
  <c r="A2446" i="4"/>
  <c r="A1901" i="4"/>
  <c r="A138" i="4"/>
  <c r="A751" i="4"/>
  <c r="A3330" i="4"/>
  <c r="A706" i="4"/>
  <c r="A5343" i="4"/>
  <c r="A333" i="4"/>
  <c r="A4925" i="4"/>
  <c r="A4012" i="4"/>
  <c r="A3438" i="4"/>
  <c r="A5525" i="4"/>
  <c r="A5759" i="4"/>
  <c r="A5059" i="4"/>
  <c r="A114" i="4"/>
  <c r="A4426" i="4"/>
  <c r="A10" i="4"/>
  <c r="A1402" i="4"/>
  <c r="A2110" i="4"/>
  <c r="A2886" i="4"/>
  <c r="A3156" i="4"/>
  <c r="A5638" i="4"/>
  <c r="A591" i="4"/>
  <c r="A1411" i="4"/>
  <c r="A1533" i="4"/>
  <c r="A1650" i="4"/>
  <c r="A1811" i="4"/>
  <c r="A2092" i="4"/>
  <c r="A3672" i="4"/>
  <c r="A3946" i="4"/>
  <c r="A4480" i="4"/>
  <c r="A5041" i="4"/>
  <c r="A6000" i="4"/>
  <c r="A573" i="4"/>
  <c r="A3066" i="4"/>
  <c r="A1957" i="4"/>
  <c r="A129" i="4"/>
  <c r="A1820" i="4"/>
  <c r="A324" i="4"/>
  <c r="A2020" i="4"/>
  <c r="A60" i="4"/>
  <c r="A87" i="4"/>
  <c r="A351" i="4"/>
  <c r="A468" i="4"/>
  <c r="A760" i="4"/>
  <c r="A920" i="4"/>
  <c r="A956" i="4"/>
  <c r="A1040" i="4"/>
  <c r="A1145" i="4"/>
  <c r="A1217" i="4"/>
  <c r="A1438" i="4"/>
  <c r="A1311" i="4"/>
  <c r="A1370" i="4"/>
  <c r="A1465" i="4"/>
  <c r="A1479" i="4"/>
  <c r="A1488" i="4"/>
  <c r="A1578" i="4"/>
  <c r="A1605" i="4"/>
  <c r="A769" i="4"/>
  <c r="A1659" i="4"/>
  <c r="A1699" i="4"/>
  <c r="A1874" i="4"/>
  <c r="A2182" i="4"/>
  <c r="A2209" i="4"/>
  <c r="A2227" i="4"/>
  <c r="A2308" i="4"/>
  <c r="A2326" i="4"/>
  <c r="A3057" i="4"/>
  <c r="A2841" i="4"/>
  <c r="A2913" i="4"/>
  <c r="A2940" i="4"/>
  <c r="A5122" i="4"/>
  <c r="A3030" i="4"/>
  <c r="A3211" i="4"/>
  <c r="A3357" i="4"/>
  <c r="A4754" i="4"/>
  <c r="A3537" i="4"/>
  <c r="A3937" i="4"/>
  <c r="A3519" i="4"/>
  <c r="A3756" i="4"/>
  <c r="A3820" i="4"/>
  <c r="A3964" i="4"/>
  <c r="A3955" i="4"/>
  <c r="A3982" i="4"/>
  <c r="A4078" i="4"/>
  <c r="A4096" i="4"/>
  <c r="A4646" i="4"/>
  <c r="A4177" i="4"/>
  <c r="A4132" i="4"/>
  <c r="A4150" i="4"/>
  <c r="A4159" i="4"/>
  <c r="A4561" i="4"/>
  <c r="A4637" i="4"/>
  <c r="A4655" i="4"/>
  <c r="A4682" i="4"/>
  <c r="A4691" i="4"/>
  <c r="A4880" i="4"/>
  <c r="A4552" i="4"/>
  <c r="A4898" i="4"/>
  <c r="A4889" i="4"/>
  <c r="A5388" i="4"/>
  <c r="A5406" i="4"/>
  <c r="A5620" i="4"/>
  <c r="A5706" i="4"/>
  <c r="A5724" i="4"/>
  <c r="A5991" i="4"/>
  <c r="A6126" i="4"/>
  <c r="A6081" i="4"/>
  <c r="A6171" i="4"/>
  <c r="A4673" i="4"/>
  <c r="A4781" i="4"/>
  <c r="A3928" i="4"/>
  <c r="A5095" i="4"/>
  <c r="A609" i="4"/>
  <c r="A495" i="4"/>
  <c r="A618" i="4"/>
  <c r="A2823" i="4"/>
  <c r="A414" i="4"/>
  <c r="A636" i="4"/>
  <c r="A3147" i="4"/>
  <c r="A854" i="4"/>
  <c r="A863" i="4"/>
  <c r="A1127" i="4"/>
  <c r="A1329" i="4"/>
  <c r="A1378" i="4"/>
  <c r="A1551" i="4"/>
  <c r="A1632" i="4"/>
  <c r="A2065" i="4"/>
  <c r="A3021" i="4"/>
  <c r="A3111" i="4"/>
  <c r="A3229" i="4"/>
  <c r="A3546" i="4"/>
  <c r="A3636" i="4"/>
  <c r="A3220" i="4"/>
  <c r="A3726" i="4"/>
  <c r="A3627" i="4"/>
  <c r="A3865" i="4"/>
  <c r="A4141" i="4"/>
  <c r="A4288" i="4"/>
  <c r="A4718" i="4"/>
  <c r="A4727" i="4"/>
  <c r="A4996" i="4"/>
  <c r="A5176" i="4"/>
  <c r="A5239" i="4"/>
  <c r="A5370" i="4"/>
  <c r="A6054" i="4"/>
  <c r="A6144" i="4"/>
  <c r="A4570" i="4"/>
  <c r="A3919" i="4"/>
  <c r="A1100" i="4"/>
  <c r="A5964" i="4"/>
  <c r="A685" i="4"/>
  <c r="A1338" i="4"/>
  <c r="A156" i="4"/>
  <c r="A201" i="4"/>
  <c r="A272" i="4"/>
  <c r="A378" i="4"/>
  <c r="A387" i="4"/>
  <c r="A582" i="4"/>
  <c r="A911" i="4"/>
  <c r="A694" i="4"/>
  <c r="A977" i="4"/>
  <c r="A423" i="4"/>
  <c r="A836" i="4"/>
  <c r="A1847" i="4"/>
  <c r="A1883" i="4"/>
  <c r="A1910" i="4"/>
  <c r="A2047" i="4"/>
  <c r="A2056" i="4"/>
  <c r="A2038" i="4"/>
  <c r="A2739" i="4"/>
  <c r="A2757" i="4"/>
  <c r="A3048" i="4"/>
  <c r="A3279" i="4"/>
  <c r="A3618" i="4"/>
  <c r="A3991" i="4"/>
  <c r="A4306" i="4"/>
  <c r="A4871" i="4"/>
  <c r="A5305" i="4"/>
  <c r="A5697" i="4"/>
  <c r="A5844" i="4"/>
  <c r="A6072" i="4"/>
  <c r="A6153" i="4"/>
  <c r="A5032" i="4"/>
  <c r="A2871" i="4"/>
  <c r="A4372" i="4"/>
  <c r="A5266" i="4"/>
  <c r="A733" i="4"/>
  <c r="A742" i="4"/>
  <c r="A165" i="4"/>
  <c r="A1154" i="4"/>
  <c r="A3012" i="4"/>
  <c r="A3309" i="4"/>
  <c r="A3910" i="4"/>
  <c r="A4003" i="4"/>
  <c r="A5287" i="4"/>
  <c r="A5629" i="4"/>
  <c r="A5883" i="4"/>
  <c r="A6027" i="4"/>
  <c r="A6090" i="4"/>
  <c r="A6036" i="4"/>
  <c r="A3003" i="4"/>
  <c r="A540" i="4"/>
  <c r="A5674" i="4"/>
  <c r="A3402" i="4"/>
  <c r="A995" i="4"/>
  <c r="A1091" i="4"/>
  <c r="A1199" i="4"/>
  <c r="A1587" i="4"/>
  <c r="A1984" i="4"/>
  <c r="A2414" i="4"/>
  <c r="A2766" i="4"/>
  <c r="A3202" i="4"/>
  <c r="A1069" i="4"/>
  <c r="A5296" i="4"/>
  <c r="A5593" i="4"/>
  <c r="A3796" i="4"/>
  <c r="A263" i="4"/>
  <c r="A1506" i="4"/>
  <c r="A441" i="4"/>
  <c r="A1302" i="4"/>
  <c r="A2502" i="4"/>
  <c r="A3492" i="4"/>
  <c r="A4105" i="4"/>
  <c r="A5149" i="4"/>
  <c r="A663" i="4"/>
  <c r="A1596" i="4"/>
  <c r="A787" i="4"/>
  <c r="A1524" i="4"/>
  <c r="A1865" i="4"/>
  <c r="A2931" i="4"/>
  <c r="A3375" i="4"/>
  <c r="A3847" i="4"/>
  <c r="A3973" i="4"/>
  <c r="A4799" i="4"/>
  <c r="A5656" i="4"/>
  <c r="A5946" i="4"/>
  <c r="A5901" i="4"/>
  <c r="A6108" i="4"/>
  <c r="A1892" i="4"/>
  <c r="A893" i="4"/>
  <c r="A1172" i="4"/>
  <c r="A1262" i="4"/>
  <c r="A1429" i="4"/>
  <c r="A1707" i="4"/>
  <c r="A1856" i="4"/>
  <c r="A1993" i="4"/>
  <c r="A2200" i="4"/>
  <c r="A2949" i="4"/>
  <c r="A3129" i="4"/>
  <c r="A3465" i="4"/>
  <c r="A3681" i="4"/>
  <c r="A4279" i="4"/>
  <c r="A4399" i="4"/>
  <c r="A5131" i="4"/>
  <c r="A5361" i="4"/>
  <c r="A5816" i="4"/>
  <c r="A5871" i="4"/>
  <c r="A5892" i="4"/>
  <c r="A5982" i="4"/>
  <c r="A6117" i="4"/>
  <c r="A1136" i="4"/>
  <c r="A902" i="4"/>
  <c r="A2635" i="4"/>
  <c r="A1838" i="4"/>
  <c r="A2572" i="4"/>
  <c r="A227" i="4"/>
  <c r="A2335" i="4"/>
  <c r="A2608" i="4"/>
  <c r="A3829" i="4"/>
  <c r="A5507" i="4"/>
  <c r="A5862" i="4"/>
  <c r="A5937" i="4"/>
  <c r="A1280" i="4"/>
  <c r="A2011" i="4"/>
  <c r="A2192" i="4"/>
  <c r="A4987" i="4"/>
  <c r="A1623" i="4"/>
  <c r="A2473" i="4"/>
  <c r="A42" i="4"/>
  <c r="A405" i="4"/>
  <c r="A459" i="4"/>
  <c r="A672" i="4"/>
  <c r="A938" i="4"/>
  <c r="A947" i="4"/>
  <c r="A1109" i="4"/>
  <c r="A1244" i="4"/>
  <c r="A1717" i="4"/>
  <c r="A1798" i="4"/>
  <c r="A2119" i="4"/>
  <c r="A2263" i="4"/>
  <c r="A2362" i="4"/>
  <c r="A2644" i="4"/>
  <c r="A2805" i="4"/>
  <c r="A2814" i="4"/>
  <c r="A2455" i="4"/>
  <c r="A3366" i="4"/>
  <c r="A4588" i="4"/>
  <c r="A5415" i="4"/>
  <c r="A5557" i="4"/>
  <c r="A3874" i="4"/>
  <c r="A1118" i="4"/>
  <c r="A2464" i="4"/>
  <c r="A5141" i="4"/>
  <c r="A5665" i="4"/>
  <c r="A4504" i="4"/>
  <c r="A2493" i="4"/>
  <c r="A4123" i="4"/>
  <c r="A4525" i="4"/>
  <c r="A1671" i="4"/>
  <c r="A4266" i="4"/>
  <c r="A5481" i="4"/>
  <c r="A33" i="4"/>
  <c r="A1948" i="4"/>
  <c r="A1292" i="4"/>
  <c r="A28" i="4"/>
  <c r="A2219" i="4"/>
  <c r="A19" i="4"/>
  <c r="A2389" i="4"/>
  <c r="A4606" i="4"/>
  <c r="A965" i="4"/>
  <c r="A3995" i="4"/>
  <c r="A884" i="4"/>
  <c r="A4257" i="4"/>
  <c r="A1004" i="4"/>
  <c r="A2581" i="4"/>
  <c r="A4184" i="4"/>
  <c r="A969" i="4"/>
  <c r="A1032" i="4"/>
  <c r="A800" i="4"/>
  <c r="A5439" i="4"/>
  <c r="A5334" i="4"/>
  <c r="A5566" i="4"/>
  <c r="A5539" i="4"/>
  <c r="A183" i="4"/>
  <c r="A962" i="4"/>
  <c r="A1046" i="4"/>
  <c r="A4628" i="4"/>
  <c r="A121" i="4"/>
  <c r="A2482" i="4"/>
  <c r="A5397" i="4"/>
  <c r="A315" i="4"/>
  <c r="A4238" i="4"/>
  <c r="A4700" i="4"/>
  <c r="A305" i="4"/>
  <c r="A2787" i="4"/>
  <c r="A723" i="4"/>
  <c r="A1753" i="4"/>
  <c r="A1356" i="4"/>
  <c r="A2396" i="4"/>
  <c r="A2655" i="4"/>
  <c r="A3185" i="4"/>
  <c r="A708" i="4"/>
  <c r="A818" i="4"/>
  <c r="A5683" i="4"/>
  <c r="A3411" i="4"/>
  <c r="A1011" i="4"/>
  <c r="A547" i="4"/>
  <c r="A4745" i="4"/>
  <c r="A3892" i="4"/>
  <c r="A3165" i="4"/>
  <c r="A1181" i="4"/>
  <c r="A1497" i="4"/>
  <c r="A3174" i="4"/>
  <c r="A3735" i="4"/>
  <c r="A1918" i="4"/>
  <c r="A5379" i="4"/>
  <c r="A5584" i="4"/>
  <c r="A600" i="4"/>
  <c r="A4489" i="4"/>
  <c r="A3776" i="4"/>
  <c r="A1939" i="4"/>
  <c r="A4324" i="4"/>
  <c r="A4826" i="4"/>
  <c r="A4354" i="4"/>
  <c r="A2878" i="4"/>
  <c r="A4347" i="4"/>
  <c r="A2779" i="4"/>
  <c r="A31" i="4"/>
  <c r="A2344" i="4"/>
  <c r="A1456" i="4"/>
  <c r="A2796" i="4"/>
  <c r="A5023" i="4"/>
  <c r="A2547" i="4"/>
  <c r="A2563" i="4"/>
  <c r="A5575" i="4"/>
  <c r="A1543" i="4"/>
  <c r="A2353" i="4"/>
  <c r="A1208" i="4"/>
  <c r="A288" i="4"/>
  <c r="A2554" i="4"/>
  <c r="A1471" i="4"/>
  <c r="A2438" i="4"/>
  <c r="A2591" i="4"/>
  <c r="A3502" i="4"/>
  <c r="A3745" i="4"/>
  <c r="A3748" i="4"/>
  <c r="A4836" i="4"/>
  <c r="A5425" i="4"/>
  <c r="A6046" i="4"/>
  <c r="A11" i="4"/>
  <c r="A115" i="4"/>
  <c r="A130" i="4"/>
  <c r="A139" i="4"/>
  <c r="A574" i="4"/>
  <c r="A592" i="4"/>
  <c r="A1403" i="4"/>
  <c r="A1412" i="4"/>
  <c r="A1534" i="4"/>
  <c r="A1651" i="4"/>
  <c r="A1803" i="4"/>
  <c r="A1812" i="4"/>
  <c r="A1958" i="4"/>
  <c r="A2093" i="4"/>
  <c r="A2111" i="4"/>
  <c r="A2887" i="4"/>
  <c r="A3067" i="4"/>
  <c r="A3157" i="4"/>
  <c r="A3673" i="4"/>
  <c r="A3947" i="4"/>
  <c r="A4052" i="4"/>
  <c r="A4427" i="4"/>
  <c r="A4481" i="4"/>
  <c r="A5042" i="4"/>
  <c r="A5639" i="4"/>
  <c r="A6001" i="4"/>
  <c r="A5096" i="4"/>
  <c r="A61" i="4"/>
  <c r="A88" i="4"/>
  <c r="A316" i="4"/>
  <c r="A325" i="4"/>
  <c r="A334" i="4"/>
  <c r="A343" i="4"/>
  <c r="A352" i="4"/>
  <c r="A469" i="4"/>
  <c r="A761" i="4"/>
  <c r="A770" i="4"/>
  <c r="A921" i="4"/>
  <c r="A957" i="4"/>
  <c r="A1041" i="4"/>
  <c r="A1146" i="4"/>
  <c r="A1218" i="4"/>
  <c r="A1312" i="4"/>
  <c r="A1363" i="4"/>
  <c r="A1439" i="4"/>
  <c r="A1466" i="4"/>
  <c r="A1480" i="4"/>
  <c r="A1489" i="4"/>
  <c r="A1498" i="4"/>
  <c r="A1579" i="4"/>
  <c r="A1606" i="4"/>
  <c r="A1660" i="4"/>
  <c r="A1700" i="4"/>
  <c r="A1821" i="4"/>
  <c r="A1875" i="4"/>
  <c r="A2021" i="4"/>
  <c r="A2183" i="4"/>
  <c r="A2210" i="4"/>
  <c r="A2228" i="4"/>
  <c r="A2309" i="4"/>
  <c r="A2327" i="4"/>
  <c r="A2842" i="4"/>
  <c r="A2914" i="4"/>
  <c r="A2941" i="4"/>
  <c r="A3031" i="4"/>
  <c r="A3058" i="4"/>
  <c r="A3212" i="4"/>
  <c r="A3358" i="4"/>
  <c r="A3520" i="4"/>
  <c r="A3538" i="4"/>
  <c r="A3757" i="4"/>
  <c r="A3821" i="4"/>
  <c r="A3929" i="4"/>
  <c r="A3938" i="4"/>
  <c r="A3956" i="4"/>
  <c r="A3965" i="4"/>
  <c r="A3983" i="4"/>
  <c r="A4079" i="4"/>
  <c r="A4097" i="4"/>
  <c r="A4133" i="4"/>
  <c r="A4151" i="4"/>
  <c r="A4160" i="4"/>
  <c r="A4178" i="4"/>
  <c r="A4240" i="4"/>
  <c r="A4553" i="4"/>
  <c r="A4562" i="4"/>
  <c r="A4638" i="4"/>
  <c r="A4647" i="4"/>
  <c r="A4656" i="4"/>
  <c r="A4674" i="4"/>
  <c r="A4683" i="4"/>
  <c r="A4692" i="4"/>
  <c r="A4755" i="4"/>
  <c r="A4782" i="4"/>
  <c r="A4881" i="4"/>
  <c r="A4890" i="4"/>
  <c r="A4899" i="4"/>
  <c r="A5123" i="4"/>
  <c r="A5389" i="4"/>
  <c r="A5398" i="4"/>
  <c r="A5407" i="4"/>
  <c r="A5621" i="4"/>
  <c r="A5707" i="4"/>
  <c r="A5725" i="4"/>
  <c r="A5992" i="4"/>
  <c r="A6127" i="4"/>
  <c r="A6082" i="4"/>
  <c r="A6172" i="4"/>
  <c r="A210" i="4"/>
  <c r="A307" i="4"/>
  <c r="A415" i="4"/>
  <c r="A496" i="4"/>
  <c r="A610" i="4"/>
  <c r="A619" i="4"/>
  <c r="A628" i="4"/>
  <c r="A637" i="4"/>
  <c r="A855" i="4"/>
  <c r="A864" i="4"/>
  <c r="A1101" i="4"/>
  <c r="A1128" i="4"/>
  <c r="A1330" i="4"/>
  <c r="A1379" i="4"/>
  <c r="A1552" i="4"/>
  <c r="A1633" i="4"/>
  <c r="A2066" i="4"/>
  <c r="A2824" i="4"/>
  <c r="A3022" i="4"/>
  <c r="A3112" i="4"/>
  <c r="A3148" i="4"/>
  <c r="A3221" i="4"/>
  <c r="A3230" i="4"/>
  <c r="A3547" i="4"/>
  <c r="A3628" i="4"/>
  <c r="A3637" i="4"/>
  <c r="A3727" i="4"/>
  <c r="A3866" i="4"/>
  <c r="A3920" i="4"/>
  <c r="A4142" i="4"/>
  <c r="A4289" i="4"/>
  <c r="A4571" i="4"/>
  <c r="A4620" i="4"/>
  <c r="A4701" i="4"/>
  <c r="A4719" i="4"/>
  <c r="A4728" i="4"/>
  <c r="A4997" i="4"/>
  <c r="A5177" i="4"/>
  <c r="A5240" i="4"/>
  <c r="A5371" i="4"/>
  <c r="A5809" i="4"/>
  <c r="A5965" i="4"/>
  <c r="A6055" i="4"/>
  <c r="A6145" i="4"/>
  <c r="A157" i="4"/>
  <c r="A202" i="4"/>
  <c r="A273" i="4"/>
  <c r="A379" i="4"/>
  <c r="A388" i="4"/>
  <c r="A424" i="4"/>
  <c r="A583" i="4"/>
  <c r="A677" i="4"/>
  <c r="A686" i="4"/>
  <c r="A695" i="4"/>
  <c r="A698" i="4"/>
  <c r="A707" i="4"/>
  <c r="A711" i="4"/>
  <c r="A724" i="4"/>
  <c r="A725" i="4"/>
  <c r="A837" i="4"/>
  <c r="A866" i="4"/>
  <c r="A912" i="4"/>
  <c r="A978" i="4"/>
  <c r="A1074" i="4"/>
  <c r="A1339" i="4"/>
  <c r="A1357" i="4"/>
  <c r="A1754" i="4"/>
  <c r="A1848" i="4"/>
  <c r="A1884" i="4"/>
  <c r="A1911" i="4"/>
  <c r="A2039" i="4"/>
  <c r="A2048" i="4"/>
  <c r="A2057" i="4"/>
  <c r="A2397" i="4"/>
  <c r="A2477" i="4"/>
  <c r="A5431" i="4"/>
  <c r="A2668" i="4"/>
  <c r="A2740" i="4"/>
  <c r="A2758" i="4"/>
  <c r="A2788" i="4"/>
  <c r="A2872" i="4"/>
  <c r="A3049" i="4"/>
  <c r="A3280" i="4"/>
  <c r="A3619" i="4"/>
  <c r="A3992" i="4"/>
  <c r="A4307" i="4"/>
  <c r="A4373" i="4"/>
  <c r="A4872" i="4"/>
  <c r="A5033" i="4"/>
  <c r="A5267" i="4"/>
  <c r="A5306" i="4"/>
  <c r="A5698" i="4"/>
  <c r="A5845" i="4"/>
  <c r="A6073" i="4"/>
  <c r="A6154" i="4"/>
  <c r="A166" i="4"/>
  <c r="A734" i="4"/>
  <c r="A743" i="4"/>
  <c r="A752" i="4"/>
  <c r="A819" i="4"/>
  <c r="A1155" i="4"/>
  <c r="A3004" i="4"/>
  <c r="A3013" i="4"/>
  <c r="A3310" i="4"/>
  <c r="A3911" i="4"/>
  <c r="A4004" i="4"/>
  <c r="A5288" i="4"/>
  <c r="A5630" i="4"/>
  <c r="A5884" i="4"/>
  <c r="A6028" i="4"/>
  <c r="A6037" i="4"/>
  <c r="A6091" i="4"/>
  <c r="A541" i="4"/>
  <c r="A996" i="4"/>
  <c r="A1012" i="4"/>
  <c r="A1055" i="4"/>
  <c r="A1061" i="4"/>
  <c r="A1070" i="4"/>
  <c r="A1092" i="4"/>
  <c r="A1200" i="4"/>
  <c r="A1588" i="4"/>
  <c r="A1985" i="4"/>
  <c r="A2415" i="4"/>
  <c r="A2767" i="4"/>
  <c r="A3203" i="4"/>
  <c r="A3403" i="4"/>
  <c r="A3412" i="4"/>
  <c r="A5297" i="4"/>
  <c r="A5594" i="4"/>
  <c r="A5675" i="4"/>
  <c r="A5684" i="4"/>
  <c r="A264" i="4"/>
  <c r="A442" i="4"/>
  <c r="A601" i="4"/>
  <c r="A664" i="4"/>
  <c r="A788" i="4"/>
  <c r="A1182" i="4"/>
  <c r="A1293" i="4"/>
  <c r="A1294" i="4"/>
  <c r="A1303" i="4"/>
  <c r="A1507" i="4"/>
  <c r="A1516" i="4"/>
  <c r="A1525" i="4"/>
  <c r="A1597" i="4"/>
  <c r="A1866" i="4"/>
  <c r="A1919" i="4"/>
  <c r="A1940" i="4"/>
  <c r="A2503" i="4"/>
  <c r="A2692" i="4"/>
  <c r="A2932" i="4"/>
  <c r="A3166" i="4"/>
  <c r="A3175" i="4"/>
  <c r="A3284" i="4"/>
  <c r="A3376" i="4"/>
  <c r="A3493" i="4"/>
  <c r="A3736" i="4"/>
  <c r="A3770" i="4"/>
  <c r="A3779" i="4"/>
  <c r="A3784" i="4"/>
  <c r="A3788" i="4"/>
  <c r="A3797" i="4"/>
  <c r="A3848" i="4"/>
  <c r="A3893" i="4"/>
  <c r="A3974" i="4"/>
  <c r="A4106" i="4"/>
  <c r="A4271" i="4"/>
  <c r="A4325" i="4"/>
  <c r="A4355" i="4"/>
  <c r="A4490" i="4"/>
  <c r="A4746" i="4"/>
  <c r="A4800" i="4"/>
  <c r="A4827" i="4"/>
  <c r="A5150" i="4"/>
  <c r="A5380" i="4"/>
  <c r="A5585" i="4"/>
  <c r="A5657" i="4"/>
  <c r="A5689" i="4"/>
  <c r="A5902" i="4"/>
  <c r="A5947" i="4"/>
  <c r="A894" i="4"/>
  <c r="A903" i="4"/>
  <c r="A1137" i="4"/>
  <c r="A1173" i="4"/>
  <c r="A1263" i="4"/>
  <c r="A1362" i="4"/>
  <c r="A1430" i="4"/>
  <c r="A1708" i="4"/>
  <c r="A1839" i="4"/>
  <c r="A1857" i="4"/>
  <c r="A1893" i="4"/>
  <c r="A1902" i="4"/>
  <c r="A1994" i="4"/>
  <c r="A2201" i="4"/>
  <c r="A2636" i="4"/>
  <c r="A2950" i="4"/>
  <c r="A3130" i="4"/>
  <c r="A3466" i="4"/>
  <c r="A3682" i="4"/>
  <c r="A4280" i="4"/>
  <c r="A4400" i="4"/>
  <c r="A5132" i="4"/>
  <c r="A5362" i="4"/>
  <c r="A5817" i="4"/>
  <c r="A5872" i="4"/>
  <c r="A5893" i="4"/>
  <c r="A5983" i="4"/>
  <c r="A6109" i="4"/>
  <c r="A6118" i="4"/>
  <c r="A290" i="4"/>
  <c r="A228" i="4"/>
  <c r="A1209" i="4"/>
  <c r="A1281" i="4"/>
  <c r="A1457" i="4"/>
  <c r="A1542" i="4"/>
  <c r="A2012" i="4"/>
  <c r="A2187" i="4"/>
  <c r="A2336" i="4"/>
  <c r="A2345" i="4"/>
  <c r="A2354" i="4"/>
  <c r="A2447" i="4"/>
  <c r="A2548" i="4"/>
  <c r="A2555" i="4"/>
  <c r="A2564" i="4"/>
  <c r="A2573" i="4"/>
  <c r="A2609" i="4"/>
  <c r="A2797" i="4"/>
  <c r="A2845" i="4"/>
  <c r="A3292" i="4"/>
  <c r="A3830" i="4"/>
  <c r="A4988" i="4"/>
  <c r="A5024" i="4"/>
  <c r="A5508" i="4"/>
  <c r="A5576" i="4"/>
  <c r="A5863" i="4"/>
  <c r="A5938" i="4"/>
  <c r="A43" i="4"/>
  <c r="A406" i="4"/>
  <c r="A460" i="4"/>
  <c r="A673" i="4"/>
  <c r="A939" i="4"/>
  <c r="A948" i="4"/>
  <c r="A1110" i="4"/>
  <c r="A1119" i="4"/>
  <c r="A1245" i="4"/>
  <c r="A1624" i="4"/>
  <c r="A1718" i="4"/>
  <c r="A1799" i="4"/>
  <c r="A2120" i="4"/>
  <c r="A2264" i="4"/>
  <c r="A2363" i="4"/>
  <c r="A2456" i="4"/>
  <c r="A2465" i="4"/>
  <c r="A2474" i="4"/>
  <c r="A2645" i="4"/>
  <c r="A2731" i="4"/>
  <c r="A2806" i="4"/>
  <c r="A2815" i="4"/>
  <c r="A3367" i="4"/>
  <c r="A3875" i="4"/>
  <c r="A4589" i="4"/>
  <c r="A5135" i="4"/>
  <c r="A5279" i="4"/>
  <c r="A5416" i="4"/>
  <c r="A5558" i="4"/>
  <c r="A5875" i="4"/>
  <c r="A1321" i="4"/>
  <c r="A1561" i="4"/>
  <c r="A1672" i="4"/>
  <c r="A1673" i="4"/>
  <c r="A2102" i="4"/>
  <c r="A2424" i="4"/>
  <c r="A2494" i="4"/>
  <c r="A2776" i="4"/>
  <c r="A3253" i="4"/>
  <c r="A3262" i="4"/>
  <c r="A3271" i="4"/>
  <c r="A4124" i="4"/>
  <c r="A4267" i="4"/>
  <c r="A4505" i="4"/>
  <c r="A4508" i="4"/>
  <c r="A4737" i="4"/>
  <c r="A5475" i="4"/>
  <c r="A5666" i="4"/>
  <c r="A5956" i="4"/>
  <c r="A29" i="4"/>
  <c r="A779" i="4"/>
  <c r="A1021" i="4"/>
  <c r="A1227" i="4"/>
  <c r="A1254" i="4"/>
  <c r="A1388" i="4"/>
  <c r="A1949" i="4"/>
  <c r="A2213" i="4"/>
  <c r="A2282" i="4"/>
  <c r="A2530" i="4"/>
  <c r="A3301" i="4"/>
  <c r="A3319" i="4"/>
  <c r="A3322" i="4"/>
  <c r="A3331" i="4"/>
  <c r="A3340" i="4"/>
  <c r="A3394" i="4"/>
  <c r="A3475" i="4"/>
  <c r="A3718" i="4"/>
  <c r="A3839" i="4"/>
  <c r="A4070" i="4"/>
  <c r="A4343" i="4"/>
  <c r="A4391" i="4"/>
  <c r="A4943" i="4"/>
  <c r="A5087" i="4"/>
  <c r="A5114" i="4"/>
  <c r="A5159" i="4"/>
  <c r="A5168" i="4"/>
  <c r="A5204" i="4"/>
  <c r="A6100" i="4"/>
  <c r="A20" i="4"/>
  <c r="A106" i="4"/>
  <c r="A148" i="4"/>
  <c r="A175" i="4"/>
  <c r="A282" i="4"/>
  <c r="A514" i="4"/>
  <c r="A565" i="4"/>
  <c r="A987" i="4"/>
  <c r="A1083" i="4"/>
  <c r="A1348" i="4"/>
  <c r="A1570" i="4"/>
  <c r="A1615" i="4"/>
  <c r="A1763" i="4"/>
  <c r="A1772" i="4"/>
  <c r="A1781" i="4"/>
  <c r="A2246" i="4"/>
  <c r="A2255" i="4"/>
  <c r="A2291" i="4"/>
  <c r="A2372" i="4"/>
  <c r="A2390" i="4"/>
  <c r="A2433" i="4"/>
  <c r="A2600" i="4"/>
  <c r="A2627" i="4"/>
  <c r="A2923" i="4"/>
  <c r="A2968" i="4"/>
  <c r="A3076" i="4"/>
  <c r="A3085" i="4"/>
  <c r="A3184" i="4"/>
  <c r="A3194" i="4"/>
  <c r="A3349" i="4"/>
  <c r="A3385" i="4"/>
  <c r="A3430" i="4"/>
  <c r="A3439" i="4"/>
  <c r="A3457" i="4"/>
  <c r="A3691" i="4"/>
  <c r="A3700" i="4"/>
  <c r="A4031" i="4"/>
  <c r="A4049" i="4"/>
  <c r="A4598" i="4"/>
  <c r="A4607" i="4"/>
  <c r="A4616" i="4"/>
  <c r="A4791" i="4"/>
  <c r="A4854" i="4"/>
  <c r="A4863" i="4"/>
  <c r="A4961" i="4"/>
  <c r="A5006" i="4"/>
  <c r="A5015" i="4"/>
  <c r="A5213" i="4"/>
  <c r="A5222" i="4"/>
  <c r="A5448" i="4"/>
  <c r="A5499" i="4"/>
  <c r="A5603" i="4"/>
  <c r="A5716" i="4"/>
  <c r="A5911" i="4"/>
  <c r="A478" i="4"/>
  <c r="A487" i="4"/>
  <c r="A646" i="4"/>
  <c r="A828" i="4"/>
  <c r="A846" i="4"/>
  <c r="A1164" i="4"/>
  <c r="A1191" i="4"/>
  <c r="A1272" i="4"/>
  <c r="A1642" i="4"/>
  <c r="A2138" i="4"/>
  <c r="A2147" i="4"/>
  <c r="A2156" i="4"/>
  <c r="A2539" i="4"/>
  <c r="A2654" i="4"/>
  <c r="A2854" i="4"/>
  <c r="A2977" i="4"/>
  <c r="A3040" i="4"/>
  <c r="A3239" i="4"/>
  <c r="A3248" i="4"/>
  <c r="A3421" i="4"/>
  <c r="A3529" i="4"/>
  <c r="A3556" i="4"/>
  <c r="A3565" i="4"/>
  <c r="A3574" i="4"/>
  <c r="A3583" i="4"/>
  <c r="A3592" i="4"/>
  <c r="A3610" i="4"/>
  <c r="A3646" i="4"/>
  <c r="A3655" i="4"/>
  <c r="A3709" i="4"/>
  <c r="A4169" i="4"/>
  <c r="A4334" i="4"/>
  <c r="A4580" i="4"/>
  <c r="A4710" i="4"/>
  <c r="A4764" i="4"/>
  <c r="A4773" i="4"/>
  <c r="A4845" i="4"/>
  <c r="A5796" i="4"/>
  <c r="A5929" i="4"/>
  <c r="A6010" i="4"/>
  <c r="A193" i="4"/>
  <c r="A219" i="4"/>
  <c r="A246" i="4"/>
  <c r="A370" i="4"/>
  <c r="A532" i="4"/>
  <c r="A810" i="4"/>
  <c r="A1236" i="4"/>
  <c r="A2512" i="4"/>
  <c r="A2521" i="4"/>
  <c r="A2686" i="4"/>
  <c r="A2710" i="4"/>
  <c r="A2728" i="4"/>
  <c r="A2749" i="4"/>
  <c r="A2896" i="4"/>
  <c r="A2959" i="4"/>
  <c r="A3094" i="4"/>
  <c r="A4013" i="4"/>
  <c r="A4022" i="4"/>
  <c r="A4040" i="4"/>
  <c r="A4382" i="4"/>
  <c r="A4436" i="4"/>
  <c r="A4454" i="4"/>
  <c r="A4463" i="4"/>
  <c r="A4970" i="4"/>
  <c r="A4979" i="4"/>
  <c r="A5186" i="4"/>
  <c r="A5249" i="4"/>
  <c r="A5457" i="4"/>
  <c r="A5490" i="4"/>
  <c r="A451" i="4"/>
  <c r="A885" i="4"/>
  <c r="A930" i="4"/>
  <c r="A1005" i="4"/>
  <c r="A2075" i="4"/>
  <c r="A2237" i="4"/>
  <c r="A2582" i="4"/>
  <c r="A2719" i="4"/>
  <c r="A2905" i="4"/>
  <c r="A3857" i="4"/>
  <c r="A4187" i="4"/>
  <c r="A4196" i="4"/>
  <c r="A4205" i="4"/>
  <c r="A4214" i="4"/>
  <c r="A4223" i="4"/>
  <c r="A4232" i="4"/>
  <c r="A4249" i="4"/>
  <c r="A4258" i="4"/>
  <c r="A4472" i="4"/>
  <c r="A4517" i="4"/>
  <c r="A4665" i="4"/>
  <c r="A5466" i="4"/>
  <c r="A5743" i="4"/>
  <c r="A5854" i="4"/>
  <c r="A5920" i="4"/>
  <c r="A6136" i="4"/>
  <c r="A70" i="4"/>
  <c r="A1448" i="4"/>
  <c r="A2995" i="4"/>
  <c r="A3103" i="4"/>
  <c r="A4088" i="4"/>
  <c r="A4298" i="4"/>
  <c r="A4316" i="4"/>
  <c r="A4409" i="4"/>
  <c r="A4535" i="4"/>
  <c r="A4908" i="4"/>
  <c r="A4917" i="4"/>
  <c r="A4926" i="4"/>
  <c r="A5612" i="4"/>
  <c r="A6163" i="4"/>
  <c r="A255" i="4"/>
  <c r="A397" i="4"/>
  <c r="A505" i="4"/>
  <c r="A523" i="4"/>
  <c r="A556" i="4"/>
  <c r="A801" i="4"/>
  <c r="A1727" i="4"/>
  <c r="A1967" i="4"/>
  <c r="A2300" i="4"/>
  <c r="A3139" i="4"/>
  <c r="A3511" i="4"/>
  <c r="A3884" i="4"/>
  <c r="A5051" i="4"/>
  <c r="A5060" i="4"/>
  <c r="A5069" i="4"/>
  <c r="A5078" i="4"/>
  <c r="A5105" i="4"/>
  <c r="A5433" i="4"/>
  <c r="A5778" i="4"/>
  <c r="A5827" i="4"/>
  <c r="A5836" i="4"/>
  <c r="A97" i="4"/>
  <c r="A655" i="4"/>
  <c r="A1682" i="4"/>
  <c r="A1691" i="4"/>
  <c r="A1745" i="4"/>
  <c r="A1976" i="4"/>
  <c r="A2084" i="4"/>
  <c r="A2129" i="4"/>
  <c r="A2165" i="4"/>
  <c r="A2273" i="4"/>
  <c r="A2381" i="4"/>
  <c r="A2664" i="4"/>
  <c r="A2701" i="4"/>
  <c r="A2833" i="4"/>
  <c r="A3484" i="4"/>
  <c r="A3806" i="4"/>
  <c r="A4061" i="4"/>
  <c r="A4934" i="4"/>
  <c r="A5195" i="4"/>
  <c r="A5258" i="4"/>
  <c r="A5276" i="4"/>
  <c r="A5324" i="4"/>
  <c r="A5335" i="4"/>
  <c r="A5344" i="4"/>
  <c r="A5353" i="4"/>
  <c r="A5567" i="4"/>
  <c r="A5648" i="4"/>
  <c r="A5734" i="4"/>
  <c r="A184" i="4"/>
  <c r="A361" i="4"/>
  <c r="A792" i="4"/>
  <c r="A876" i="4"/>
  <c r="A1030" i="4"/>
  <c r="A1421" i="4"/>
  <c r="A1830" i="4"/>
  <c r="A2318" i="4"/>
  <c r="A2618" i="4"/>
  <c r="A2863" i="4"/>
  <c r="A3664" i="4"/>
  <c r="A3766" i="4"/>
  <c r="A4418" i="4"/>
  <c r="A4526" i="4"/>
  <c r="A4544" i="4"/>
  <c r="A4809" i="4"/>
  <c r="A4818" i="4"/>
  <c r="A4952" i="4"/>
  <c r="A5231" i="4"/>
  <c r="A5315" i="4"/>
  <c r="A5517" i="4"/>
  <c r="A5526" i="4"/>
  <c r="A5531" i="4"/>
  <c r="A5540" i="4"/>
  <c r="A5549" i="4"/>
  <c r="A5974" i="4"/>
  <c r="A6064" i="4"/>
  <c r="A52" i="4"/>
  <c r="A79" i="4"/>
  <c r="A299" i="4"/>
  <c r="A433" i="4"/>
  <c r="A1736" i="4"/>
  <c r="A1790" i="4"/>
  <c r="A1931" i="4"/>
  <c r="A2003" i="4"/>
  <c r="A2030" i="4"/>
  <c r="A2174" i="4"/>
  <c r="A2406" i="4"/>
  <c r="A2677" i="4"/>
  <c r="A2986" i="4"/>
  <c r="A3121" i="4"/>
  <c r="A3902" i="4"/>
  <c r="A4115" i="4"/>
  <c r="A4364" i="4"/>
  <c r="A4445" i="4"/>
  <c r="A4629" i="4"/>
  <c r="A5751" i="4"/>
  <c r="A5760" i="4"/>
  <c r="A5769" i="4"/>
  <c r="A5787" i="4"/>
  <c r="A5805" i="4"/>
  <c r="A6019" i="4"/>
  <c r="A237" i="4"/>
  <c r="A3448" i="4"/>
  <c r="A3601" i="4"/>
  <c r="A2583" i="4"/>
  <c r="E6177" i="4" l="1"/>
  <c r="E6198" i="4" s="1"/>
  <c r="E6178" i="4"/>
  <c r="E6199" i="4" s="1"/>
  <c r="E6179" i="4"/>
  <c r="E6200" i="4" s="1"/>
  <c r="E6180" i="4"/>
  <c r="E6201" i="4" s="1"/>
  <c r="E6181" i="4"/>
  <c r="E6202" i="4" s="1"/>
  <c r="E6182" i="4"/>
  <c r="E6203" i="4" s="1"/>
  <c r="E6183" i="4"/>
  <c r="E6204" i="4" s="1"/>
  <c r="E6176" i="4"/>
  <c r="E6197" i="4" s="1"/>
  <c r="D6044" i="1" l="1"/>
  <c r="E247" i="1" l="1"/>
</calcChain>
</file>

<file path=xl/sharedStrings.xml><?xml version="1.0" encoding="utf-8"?>
<sst xmlns="http://schemas.openxmlformats.org/spreadsheetml/2006/main" count="23518" uniqueCount="1478">
  <si>
    <t>Year</t>
  </si>
  <si>
    <t>Absecon Bd of Ed</t>
  </si>
  <si>
    <t>Atlantic City Bd of Ed</t>
  </si>
  <si>
    <t>Atlantic Co Special Services</t>
  </si>
  <si>
    <t>Atlantic Co Vocational Schools</t>
  </si>
  <si>
    <t>Brigantine City Bd of Ed</t>
  </si>
  <si>
    <t>Buena Regional School Dist</t>
  </si>
  <si>
    <t>Egg Harbor City Bd of Ed</t>
  </si>
  <si>
    <t>Egg Harbor Twp Bd of Ed</t>
  </si>
  <si>
    <t>Estell Manor Bd of Ed</t>
  </si>
  <si>
    <t>Folsom Borough Bd of Ed</t>
  </si>
  <si>
    <t>Galloway Community Charter Sch</t>
  </si>
  <si>
    <t>Galloway Township Bd of Ed</t>
  </si>
  <si>
    <t>Greater Egg Harbor Regional</t>
  </si>
  <si>
    <t>Hamilton Twp Bd Ed (Atlantic)</t>
  </si>
  <si>
    <t>Hammonton Town Bd of Ed</t>
  </si>
  <si>
    <t>Linwood Bd of Ed</t>
  </si>
  <si>
    <t>Mainland Regional H S</t>
  </si>
  <si>
    <t>Margate City Bd of Ed</t>
  </si>
  <si>
    <t>Mullica Twp Bd of Ed</t>
  </si>
  <si>
    <t>Northfield Bd of Ed</t>
  </si>
  <si>
    <t>Pleasantville Bd of Ed</t>
  </si>
  <si>
    <t>Port Republic City Bd of Ed</t>
  </si>
  <si>
    <t>Somers Point City Bd of Ed</t>
  </si>
  <si>
    <t>Ventnor City Bd of Ed</t>
  </si>
  <si>
    <t>Weymouth Township Bd of Ed</t>
  </si>
  <si>
    <t>South Bergen Jointure Comm</t>
  </si>
  <si>
    <t>Allendale Boro Bd of Ed</t>
  </si>
  <si>
    <t>Alpine Bd of Ed</t>
  </si>
  <si>
    <t>Bergen Arts &amp; Science Chrtr Sch</t>
  </si>
  <si>
    <t>Bergen Co Bd of Special Servs</t>
  </si>
  <si>
    <t>Bergen Co Vocational School</t>
  </si>
  <si>
    <t>Bergenfield Bd of Ed</t>
  </si>
  <si>
    <t>Bogota Boro Bd of Ed</t>
  </si>
  <si>
    <t>Carlstadt Borough Bd of Ed</t>
  </si>
  <si>
    <t>Carlstadt E.Rutherford Bd of Ed</t>
  </si>
  <si>
    <t>Cliffside Park Bd of Ed</t>
  </si>
  <si>
    <t>Closter Board of Education</t>
  </si>
  <si>
    <t>Cresskill Bd of Ed</t>
  </si>
  <si>
    <t>Demarest Boro Bd of Ed</t>
  </si>
  <si>
    <t>Dumont Borough Bd of Ed</t>
  </si>
  <si>
    <t>East Rutherford Boro Bd of Ed</t>
  </si>
  <si>
    <t>Edgewater Boro Bd of Ed</t>
  </si>
  <si>
    <t>Elmwood Park Borough Bd of Ed</t>
  </si>
  <si>
    <t>Emerson Borough Bd of Ed</t>
  </si>
  <si>
    <t>Englewood City Bd of Ed</t>
  </si>
  <si>
    <t>Englewood Cliffs Bd of Ed</t>
  </si>
  <si>
    <t>Englewood On The Palisades Char</t>
  </si>
  <si>
    <t>Fair Lawn Bd of Ed</t>
  </si>
  <si>
    <t>Fairview Boro Bd of Ed</t>
  </si>
  <si>
    <t>Fort Lee Bd of Ed</t>
  </si>
  <si>
    <t>Franklin Lakes Bd of Ed</t>
  </si>
  <si>
    <t>Garfield City Bd of Ed</t>
  </si>
  <si>
    <t>Glen Rock Borough Bd of Ed</t>
  </si>
  <si>
    <t>Hackensack City Bd of Ed</t>
  </si>
  <si>
    <t>Harrington Park Bd of Ed</t>
  </si>
  <si>
    <t>Hasbrouck Heights Bd of Ed</t>
  </si>
  <si>
    <t>Haworth Borough Bd of Ed</t>
  </si>
  <si>
    <t>Hillsdale Borough Bd of Ed</t>
  </si>
  <si>
    <t>Ho-Ho-Kus Bd of Ed</t>
  </si>
  <si>
    <t>Leonia Borough Bd of Ed</t>
  </si>
  <si>
    <t>Little Ferry Bd of Ed</t>
  </si>
  <si>
    <t>Lodi Bd of Ed</t>
  </si>
  <si>
    <t>Lyndhurst Twp Bd of Ed</t>
  </si>
  <si>
    <t>Mahwah Bd of Ed</t>
  </si>
  <si>
    <t>Maywood Bd of Ed</t>
  </si>
  <si>
    <t>Midland Park Boro Bd of Ed</t>
  </si>
  <si>
    <t>Montvale Borough Bd of Ed</t>
  </si>
  <si>
    <t>Moonachie Borough Bd of Ed</t>
  </si>
  <si>
    <t>New Milford Bd of Ed</t>
  </si>
  <si>
    <t>North Arlington Bd of Ed</t>
  </si>
  <si>
    <t>Northern Highlands Reg H S</t>
  </si>
  <si>
    <t>Northern Valley Reg H S Dist</t>
  </si>
  <si>
    <t>Northvale Bd of Ed</t>
  </si>
  <si>
    <t>Norwood Bd of Ed</t>
  </si>
  <si>
    <t>Oakland Bd of Ed</t>
  </si>
  <si>
    <t>Old Tappan Bd of Ed</t>
  </si>
  <si>
    <t>Oradell Bd of Ed</t>
  </si>
  <si>
    <t>Palisades Park Bd of Ed</t>
  </si>
  <si>
    <t>Paramus Bd of Ed</t>
  </si>
  <si>
    <t>Park Ridge Boro Bd of Ed</t>
  </si>
  <si>
    <t>Pascack Valley Reg H S Dist</t>
  </si>
  <si>
    <t>Ramapo Indian Hills Reg H S D</t>
  </si>
  <si>
    <t>Ramsey Borough Bd of Ed</t>
  </si>
  <si>
    <t>Ridgefield Boro Bd of Ed</t>
  </si>
  <si>
    <t>Ridgefield Park Bd of Ed</t>
  </si>
  <si>
    <t>Ridgewood Twp Bd of Ed</t>
  </si>
  <si>
    <t>River Dell Reg School District</t>
  </si>
  <si>
    <t>River Edge Boro Bd of Ed</t>
  </si>
  <si>
    <t>River Vale Twp Bd of Ed</t>
  </si>
  <si>
    <t>Rochelle Park Twp Bd of Ed</t>
  </si>
  <si>
    <t>Rockleigh Borough Board of Ed</t>
  </si>
  <si>
    <t>Rutherford Boro Bd of Ed</t>
  </si>
  <si>
    <t>Saddle Brook Bd of Ed</t>
  </si>
  <si>
    <t>Saddle River Bd of Ed</t>
  </si>
  <si>
    <t>South Hackensack Bd of Ed</t>
  </si>
  <si>
    <t>Teaneck Bd of Ed</t>
  </si>
  <si>
    <t>Teaneck Community Charter Sch</t>
  </si>
  <si>
    <t>Tenafly Bd of Ed</t>
  </si>
  <si>
    <t>Upper Saddle River Bd of Ed</t>
  </si>
  <si>
    <t>Waldwick Boro Bd of Ed</t>
  </si>
  <si>
    <t>Wallington Borough Bd of Ed</t>
  </si>
  <si>
    <t>Westwood Reg Sch District</t>
  </si>
  <si>
    <t>Woodcliff Lake Bd of Ed</t>
  </si>
  <si>
    <t>Wood-Ridge Bd of Ed</t>
  </si>
  <si>
    <t>Wyckoff Township Bd of Ed</t>
  </si>
  <si>
    <t>Bass River Twp Bd of Ed</t>
  </si>
  <si>
    <t>Beverly City Bd of Ed</t>
  </si>
  <si>
    <t>Bordentown Reg Sch District</t>
  </si>
  <si>
    <t>Burlington City Bd of Ed</t>
  </si>
  <si>
    <t>Burlington Co Bd Spcl Services</t>
  </si>
  <si>
    <t>Burlington Co Institute of Tech</t>
  </si>
  <si>
    <t>Burlington Twp Bd of Ed</t>
  </si>
  <si>
    <t>Chesterfield Twp Bd of Ed</t>
  </si>
  <si>
    <t>Cinnaminson Twp Bd of Ed</t>
  </si>
  <si>
    <t>Delanco Twp Bd of Ed</t>
  </si>
  <si>
    <t>Delran Twp Bd of Ed</t>
  </si>
  <si>
    <t>Eastampton Township Bd of Ed</t>
  </si>
  <si>
    <t>Edgewater Park Twp Bd of Ed</t>
  </si>
  <si>
    <t>Evesham Twp Bd of Ed</t>
  </si>
  <si>
    <t>Florence Township Bd of Ed</t>
  </si>
  <si>
    <t>Hainesport Township Bd of Ed</t>
  </si>
  <si>
    <t>Lenape Regional H S District</t>
  </si>
  <si>
    <t>Lumberton Twp Bd of Ed</t>
  </si>
  <si>
    <t>Mansfield Twp Bd Ed (Burlingtn)</t>
  </si>
  <si>
    <t>Maple Shade Bd of Ed</t>
  </si>
  <si>
    <t>Medford Lakes Boro Bd of Ed</t>
  </si>
  <si>
    <t>Medford Township Bd of Ed</t>
  </si>
  <si>
    <t>Moorestown Township Bd of Ed</t>
  </si>
  <si>
    <t>Mount Holly Twp Bd of Ed</t>
  </si>
  <si>
    <t>Mount Laurel Twp Bd of Ed</t>
  </si>
  <si>
    <t>New Hanover Twp Bd of Ed</t>
  </si>
  <si>
    <t>North Hanover Township Bd of Ed</t>
  </si>
  <si>
    <t>Northern Burlington Co Reg</t>
  </si>
  <si>
    <t>Palmyra Borough Bd of Ed</t>
  </si>
  <si>
    <t>Pemberton Township Bd of Ed</t>
  </si>
  <si>
    <t>Rancocas Valley Regional H S</t>
  </si>
  <si>
    <t>Renaissance Reg Leadership Chtr</t>
  </si>
  <si>
    <t>Riverbank Chtr Schl of Excell.</t>
  </si>
  <si>
    <t>Riverside Township Bd of Ed</t>
  </si>
  <si>
    <t>Riverton Boro School Board</t>
  </si>
  <si>
    <t>Shamong Twp Bd of Ed</t>
  </si>
  <si>
    <t>Southampton Twp Bd of Ed</t>
  </si>
  <si>
    <t>Springfield Twp Bd of Ed (Burl)</t>
  </si>
  <si>
    <t>Tabernacle Twp Bd of Ed</t>
  </si>
  <si>
    <t>Washington Twp Bd of Ed (Burl)</t>
  </si>
  <si>
    <t>Westampton Township Bd of Ed</t>
  </si>
  <si>
    <t>Willingboro Twp Bd of Ed</t>
  </si>
  <si>
    <t>Woodland Twp Bd of Ed</t>
  </si>
  <si>
    <t>Audubon Borough Bd of Ed</t>
  </si>
  <si>
    <t>Barrington Boro Bd of Ed</t>
  </si>
  <si>
    <t>Bellmawr Borough Bd of Ed</t>
  </si>
  <si>
    <t>Berlin Borough Bd of Ed</t>
  </si>
  <si>
    <t>Berlin Township Bd of Ed</t>
  </si>
  <si>
    <t>Black Horse Pike Reg Sch Dist</t>
  </si>
  <si>
    <t>Brooklawn Boro Bd of Ed</t>
  </si>
  <si>
    <t>Camden Academy Charter High Sch</t>
  </si>
  <si>
    <t>Camden City Bd of Ed</t>
  </si>
  <si>
    <t>Camden Co Ed Services Comm</t>
  </si>
  <si>
    <t>Camden County Technical Schools</t>
  </si>
  <si>
    <t>Camden's Pride Charter School</t>
  </si>
  <si>
    <t>Camdens Promise Charter School</t>
  </si>
  <si>
    <t>Cherry Hill Twp Bd of Ed</t>
  </si>
  <si>
    <t>Clementon Bd of Ed</t>
  </si>
  <si>
    <t>Collingswood Borough Bd of Ed</t>
  </si>
  <si>
    <t>D.U.E. Season Charter School</t>
  </si>
  <si>
    <t>Eastern Camden Co Reg Sch Dist</t>
  </si>
  <si>
    <t>Eco Charter School</t>
  </si>
  <si>
    <t>Freedom Academy Charter School</t>
  </si>
  <si>
    <t>Gibbsboro Borough Bd of Ed</t>
  </si>
  <si>
    <t>Gloucester City Bd of Ed</t>
  </si>
  <si>
    <t>Gloucester Twp Bd of Ed</t>
  </si>
  <si>
    <t>Haddon Heights Bd of Ed</t>
  </si>
  <si>
    <t>Haddon Township Bd of Ed</t>
  </si>
  <si>
    <t>Haddonfield Bd of Ed</t>
  </si>
  <si>
    <t>The Kingdom Charter School</t>
  </si>
  <si>
    <t>Knowledge A to Z Charter School</t>
  </si>
  <si>
    <t>Laurel Springs Borough Bd of Ed</t>
  </si>
  <si>
    <t>Lawnside Borough Bd of Ed</t>
  </si>
  <si>
    <t>Leap Academy Charter School</t>
  </si>
  <si>
    <t>Lindenwold Borough Bd of Ed</t>
  </si>
  <si>
    <t>Magnolia Borough Bd of Ed</t>
  </si>
  <si>
    <t>Merchantville Boro Bd of Ed</t>
  </si>
  <si>
    <t>Mount Ephraim Bd of Ed</t>
  </si>
  <si>
    <t>Oaklyn Borough Bd of Ed</t>
  </si>
  <si>
    <t>Pennsauken Twp Bd of Ed</t>
  </si>
  <si>
    <t>Pine Hill Borough Bd of Ed</t>
  </si>
  <si>
    <t>Runnemede Borough Bd of Ed</t>
  </si>
  <si>
    <t>Somerdale Boro Bd of Ed</t>
  </si>
  <si>
    <t>Sterling High School District</t>
  </si>
  <si>
    <t>Stratford Bd of Ed</t>
  </si>
  <si>
    <t>Voorhees Twp Bd of Ed</t>
  </si>
  <si>
    <t>Waterford Twp Bd of Ed</t>
  </si>
  <si>
    <t>Winslow Township Bd of Ed</t>
  </si>
  <si>
    <t>Woodlynne Bd of Ed</t>
  </si>
  <si>
    <t>Avalon Borough Bd of Ed</t>
  </si>
  <si>
    <t>Cape May City Bd of Ed</t>
  </si>
  <si>
    <t>Cape May Co Special Services</t>
  </si>
  <si>
    <t>Cape May Co Technical Sch Dist</t>
  </si>
  <si>
    <t>Charter Tech</t>
  </si>
  <si>
    <t>Dennis Twp Bd of Ed</t>
  </si>
  <si>
    <t>Lower Cape May Reg School Dist</t>
  </si>
  <si>
    <t>Lower Township Bd of Ed</t>
  </si>
  <si>
    <t>Middle Township Bd of Ed</t>
  </si>
  <si>
    <t>North Wildwood Bd of Ed</t>
  </si>
  <si>
    <t>Ocean City Bd of Ed</t>
  </si>
  <si>
    <t>Stone Harbor Bd of Ed</t>
  </si>
  <si>
    <t>Upper Township Bd of Ed</t>
  </si>
  <si>
    <t>West Cape May Boro Bd of Ed</t>
  </si>
  <si>
    <t>Wildwood City Bd of Ed</t>
  </si>
  <si>
    <t>Wildwood Crest Bd of Ed</t>
  </si>
  <si>
    <t>Woodbine Borough Bd of Ed</t>
  </si>
  <si>
    <t>Bridgeton Bd of Ed</t>
  </si>
  <si>
    <t>Commercial Twp Bd of Ed</t>
  </si>
  <si>
    <t>Cumberland Co Bd of Voc Ed</t>
  </si>
  <si>
    <t>Cumberland Regional School Dist</t>
  </si>
  <si>
    <t>Deerfield Township Bd of Ed</t>
  </si>
  <si>
    <t>Downe Twp Bd of Ed</t>
  </si>
  <si>
    <t>Fairfield Twp Bd Ed (Cumberlnd)</t>
  </si>
  <si>
    <t>Greenwich Twp Bd Ed (Cumbrland)</t>
  </si>
  <si>
    <t>Hopewell Twp Bd Ed (Cumberland)</t>
  </si>
  <si>
    <t>Lawrence Twp Bd Ed (Cumberland)</t>
  </si>
  <si>
    <t>Maurice River Township Bd of Ed</t>
  </si>
  <si>
    <t>Millville Bd of Ed</t>
  </si>
  <si>
    <t>Millville Public Charter School</t>
  </si>
  <si>
    <t>Stow Creek Township Bd of Ed</t>
  </si>
  <si>
    <t>Upper Deerfield Twp Bd of Ed</t>
  </si>
  <si>
    <t>Vineland City Bd of Ed</t>
  </si>
  <si>
    <t>Vineland Public Charter School</t>
  </si>
  <si>
    <t>Belleville Bd of Ed</t>
  </si>
  <si>
    <t>Bloomfield Twp Bd of Ed</t>
  </si>
  <si>
    <t>Burch Chtr Schl of Excellence</t>
  </si>
  <si>
    <t>Caldwell West Caldwell Bd of Ed</t>
  </si>
  <si>
    <t>Cedar Grove Twp Bd of Ed</t>
  </si>
  <si>
    <t>Discovery Charter School</t>
  </si>
  <si>
    <t>East Orange Community Chart Sch</t>
  </si>
  <si>
    <t>East Orange School District</t>
  </si>
  <si>
    <t>Essex Co Educational Serv Comm</t>
  </si>
  <si>
    <t>Essex Co Vocational School</t>
  </si>
  <si>
    <t>Essex Fells Bd of Ed</t>
  </si>
  <si>
    <t>Fairfield Twp Bd of Ed (Essex)</t>
  </si>
  <si>
    <t>Glen Ridge Bd of Ed</t>
  </si>
  <si>
    <t>Gray Charter School</t>
  </si>
  <si>
    <t>Great Oaks Charter School</t>
  </si>
  <si>
    <t>Irvington Bd of Ed</t>
  </si>
  <si>
    <t>Lady Liberty Academy Charter Sc</t>
  </si>
  <si>
    <t>Livingston Bd of Ed</t>
  </si>
  <si>
    <t>Maria L. Varisco-Rogers Charter</t>
  </si>
  <si>
    <t>Marion P. Thomas Charter Sch</t>
  </si>
  <si>
    <t>Millburn Twp Public Schools</t>
  </si>
  <si>
    <t>Montclair Bd of Ed</t>
  </si>
  <si>
    <t>New Horizon Comm Charter School</t>
  </si>
  <si>
    <t>Newark Charter School</t>
  </si>
  <si>
    <t>Newark Educators' Comm Chtr Sch</t>
  </si>
  <si>
    <t>Newark Legacy Charter School</t>
  </si>
  <si>
    <t>Newark Public Schools</t>
  </si>
  <si>
    <t>North Caldwell Bd of Ed</t>
  </si>
  <si>
    <t>North Star Academy Charter Sch</t>
  </si>
  <si>
    <t>Nutley Bd of Ed</t>
  </si>
  <si>
    <t>Orange City Bd of Ed</t>
  </si>
  <si>
    <t>Peoples Preparatory Charter Sch</t>
  </si>
  <si>
    <t>Pride Academy Charter School</t>
  </si>
  <si>
    <t>Robert Treat Academy Charter Sc</t>
  </si>
  <si>
    <t>Roseland Bd of Ed</t>
  </si>
  <si>
    <t>Roseville Community Charter Sch</t>
  </si>
  <si>
    <t>South Orange-Maplewood Bd of Ed</t>
  </si>
  <si>
    <t>Team Academy Charter School</t>
  </si>
  <si>
    <t>University Heights Charter Schl</t>
  </si>
  <si>
    <t>Verona Bd of Ed</t>
  </si>
  <si>
    <t>Visions Academy Charter H.S.</t>
  </si>
  <si>
    <t>West Essex Regional Sch Dist</t>
  </si>
  <si>
    <t>West Orange Township Bd of Ed</t>
  </si>
  <si>
    <t>Clayton Borough Bd of Ed</t>
  </si>
  <si>
    <t>Clearview Regional Bd of Ed</t>
  </si>
  <si>
    <t>Delsea Reg High Sch District</t>
  </si>
  <si>
    <t>Deptford Twp Bd of Ed</t>
  </si>
  <si>
    <t>East Greenwich Bd of Education</t>
  </si>
  <si>
    <t>Ed Information &amp; Resource Ctr</t>
  </si>
  <si>
    <t>Elk Twp Bd of Ed</t>
  </si>
  <si>
    <t>Franklin Twp Bd of Ed (Glocstr)</t>
  </si>
  <si>
    <t>Gateway Regional High School</t>
  </si>
  <si>
    <t>Glassboro Bd of Ed</t>
  </si>
  <si>
    <t>Gloucester Co Sp Serv Sch Dist</t>
  </si>
  <si>
    <t>Gloucester Co Vo-Tech Sch Dist</t>
  </si>
  <si>
    <t>Greenwich Twp Bd Ed (Gloucster)</t>
  </si>
  <si>
    <t>Harrison Twp Bd Ed (Gloucester)</t>
  </si>
  <si>
    <t>Kingsway Regional School Dist</t>
  </si>
  <si>
    <t>Logan Township Bd of Ed</t>
  </si>
  <si>
    <t>Mantua Township Bd of Ed</t>
  </si>
  <si>
    <t>Monroe Twp Bd of Ed (Gloucestr)</t>
  </si>
  <si>
    <t>National Park Board of Educ</t>
  </si>
  <si>
    <t>Paulsboro Boro Bd of Ed</t>
  </si>
  <si>
    <t>Pitman Bd of Ed</t>
  </si>
  <si>
    <t>South Harrison Twp Bd of Ed</t>
  </si>
  <si>
    <t>Swedesboro Woolwich Bd of Ed</t>
  </si>
  <si>
    <t>Washington Twp Bd of Ed (Glouc)</t>
  </si>
  <si>
    <t>Wenonah Borough Bd of Ed</t>
  </si>
  <si>
    <t>West Deptford Twp Bd of Ed</t>
  </si>
  <si>
    <t>Westville Board of Ed</t>
  </si>
  <si>
    <t>Woodbury City Bd of Ed</t>
  </si>
  <si>
    <t>Woodbury Heights Board of Ed</t>
  </si>
  <si>
    <t>Bayonne Board of Ed</t>
  </si>
  <si>
    <t>Dr Lena Edwards Acad Chrtr Schl</t>
  </si>
  <si>
    <t>East Newark Borough Bd of Ed</t>
  </si>
  <si>
    <t>Elysian Charter Sch of Hoboken</t>
  </si>
  <si>
    <t>Ethical Comm Chrtr Schl - J.C.</t>
  </si>
  <si>
    <t>Guttenberg Boro Bd of Ed</t>
  </si>
  <si>
    <t>Harrison Town Bd of Ed (Hudson)</t>
  </si>
  <si>
    <t>Hoboken Board of Education</t>
  </si>
  <si>
    <t>Hoboken Charter School</t>
  </si>
  <si>
    <t>Hoboken Dual Language Ch School</t>
  </si>
  <si>
    <t>Hudson Co Schools of Technology</t>
  </si>
  <si>
    <t>Jersey City Comm Charter School</t>
  </si>
  <si>
    <t>Jersey City Golden Door Charter</t>
  </si>
  <si>
    <t>Jersey City Public Schools</t>
  </si>
  <si>
    <t>Kearny Town Bd of Ed</t>
  </si>
  <si>
    <t>Learning Comm. Charter School</t>
  </si>
  <si>
    <t>Mets Charter School</t>
  </si>
  <si>
    <t>North Bergen Bd of Ed</t>
  </si>
  <si>
    <t>Secaucus Town Bd of Ed</t>
  </si>
  <si>
    <t>Soaring Heights Charter School</t>
  </si>
  <si>
    <t>Union City Bd of Ed</t>
  </si>
  <si>
    <t>University Academy Charter Hs</t>
  </si>
  <si>
    <t>Weehawken Twp Bd of Ed</t>
  </si>
  <si>
    <t>West New York Bd of Ed</t>
  </si>
  <si>
    <t>Alexandria Twp Bd of Ed</t>
  </si>
  <si>
    <t>Bethlehem Twp Bd of Ed</t>
  </si>
  <si>
    <t>Bloomsbury Borough Bd of Ed</t>
  </si>
  <si>
    <t>Califon Boro Bd of Ed</t>
  </si>
  <si>
    <t>Clinton Town Bd of Ed</t>
  </si>
  <si>
    <t>Clinton Twp Bd of Ed</t>
  </si>
  <si>
    <t>Delaware Twp Bd of Ed</t>
  </si>
  <si>
    <t>Delaware Valley Reg H S Dist</t>
  </si>
  <si>
    <t>East Amwell Township Bd of Ed</t>
  </si>
  <si>
    <t>Flemington Raritan Bd of Ed</t>
  </si>
  <si>
    <t>Franklin Twp Bd of Ed (Huntrdn)</t>
  </si>
  <si>
    <t>Frenchtown Borough Bd of Ed</t>
  </si>
  <si>
    <t>Hampton Borough Bd of Ed</t>
  </si>
  <si>
    <t>High Bridge Borough Bd of Ed</t>
  </si>
  <si>
    <t>Holland Twp Bd of Ed</t>
  </si>
  <si>
    <t>Hunterdon Central High School</t>
  </si>
  <si>
    <t>Hunterdon Co Educ Srvcs Comm</t>
  </si>
  <si>
    <t>Hunterdon County Vocational</t>
  </si>
  <si>
    <t>Kingwood Township Bd of Ed</t>
  </si>
  <si>
    <t>Lambertville City Bd of Ed</t>
  </si>
  <si>
    <t>Lebanon Borough Bd of Ed</t>
  </si>
  <si>
    <t>Lebanon Township Bd of Ed</t>
  </si>
  <si>
    <t>Milford Borough Bd of Ed</t>
  </si>
  <si>
    <t>North Hunterdon-Voorhees</t>
  </si>
  <si>
    <t>Readington Twp Bd of Ed</t>
  </si>
  <si>
    <t>South Hunterdon Reg Bd of Ed</t>
  </si>
  <si>
    <t>Stockton Borough Bd of Ed</t>
  </si>
  <si>
    <t>Tewksbury Twp Bd of Ed</t>
  </si>
  <si>
    <t>Union Twp of Ed (Hunterdon)</t>
  </si>
  <si>
    <t>West Amwell Twp Bd of Ed</t>
  </si>
  <si>
    <t>East Windsor Reg School Dist</t>
  </si>
  <si>
    <t>Ewing Township Bd of Ed</t>
  </si>
  <si>
    <t>Foundation Academy Charter Schl</t>
  </si>
  <si>
    <t>Hamilton Twp Bd of Ed (Mercer)</t>
  </si>
  <si>
    <t>Hopewell Valley Reg Sch Dist</t>
  </si>
  <si>
    <t>International Charter School</t>
  </si>
  <si>
    <t>Lawrence Twp Bd of Ed (Mercer)</t>
  </si>
  <si>
    <t>Mercer Co Special Ser Sch Dist</t>
  </si>
  <si>
    <t>Mercer Co Vocational Schools</t>
  </si>
  <si>
    <t>Pace Charter School of Hamilton</t>
  </si>
  <si>
    <t>Paul Robeson Chtr School</t>
  </si>
  <si>
    <t>Princeton Charter School</t>
  </si>
  <si>
    <t>Princeton Regional School</t>
  </si>
  <si>
    <t>Robbinsville Twp Bd of Ed</t>
  </si>
  <si>
    <t>Trenton City Bd of Ed</t>
  </si>
  <si>
    <t>Village Charter School</t>
  </si>
  <si>
    <t>West Windsor Plainsboro Reg</t>
  </si>
  <si>
    <t>Academy For Urban Leadership</t>
  </si>
  <si>
    <t>Carteret Bd of Ed</t>
  </si>
  <si>
    <t>Cranbury Township Bd of Ed</t>
  </si>
  <si>
    <t>Dunellen Board of Education</t>
  </si>
  <si>
    <t>East Brunswick Twp Bd of Ed</t>
  </si>
  <si>
    <t>Edison Twp Bd of Ed</t>
  </si>
  <si>
    <t>Greater Brunswick Chart.School</t>
  </si>
  <si>
    <t>Hatikvah Internat'l Acad Chrtr</t>
  </si>
  <si>
    <t>Highland Park Bd of Ed</t>
  </si>
  <si>
    <t>Jamesburg Borough Bd of Ed</t>
  </si>
  <si>
    <t>Metuchen Boro Bd of Ed</t>
  </si>
  <si>
    <t>Middlesex Bd of Ed</t>
  </si>
  <si>
    <t>Middlesex Co Ed Serv Comm</t>
  </si>
  <si>
    <t>Middlesex Co Vocational School</t>
  </si>
  <si>
    <t>Milltown Borough Bd of Ed</t>
  </si>
  <si>
    <t>Monroe Twp Bd of Ed (Middlesex)</t>
  </si>
  <si>
    <t>New Brunswick Bd of Ed</t>
  </si>
  <si>
    <t>North Brunswick Bd of Ed</t>
  </si>
  <si>
    <t>Old Bridge Bd of Ed</t>
  </si>
  <si>
    <t>Perth Amboy Bd of Ed</t>
  </si>
  <si>
    <t>Piscataway Bd of Ed Admn Bldg</t>
  </si>
  <si>
    <t>Sayreville Bd of Ed_Selover Elm</t>
  </si>
  <si>
    <t>South Amboy Bd of Ed</t>
  </si>
  <si>
    <t>South Brunswick Bd of Ed</t>
  </si>
  <si>
    <t>South Plainfield Bd of Ed</t>
  </si>
  <si>
    <t>South River Boro Bd of Ed</t>
  </si>
  <si>
    <t>Spotswood Bd of Ed</t>
  </si>
  <si>
    <t>Woodbridge Township Bd of Ed</t>
  </si>
  <si>
    <t>Academy Charter High School</t>
  </si>
  <si>
    <t>Asbury Park Bd of Ed</t>
  </si>
  <si>
    <t>Atlantic Highlands Bd of Ed</t>
  </si>
  <si>
    <t>Avon By The Sea Boro Bd of Ed</t>
  </si>
  <si>
    <t>Belmar Boro Bd of Ed</t>
  </si>
  <si>
    <t>Bradley Beach Bd of Ed</t>
  </si>
  <si>
    <t>Brielle Boro Bd of Ed</t>
  </si>
  <si>
    <t>Colts Neck Twp Bd of Ed</t>
  </si>
  <si>
    <t>Deal Boro Bd of Ed</t>
  </si>
  <si>
    <t>Eatontown Bd of Ed</t>
  </si>
  <si>
    <t>Fair Haven Borough Bd of Ed</t>
  </si>
  <si>
    <t>Farmingdale Bd of Ed</t>
  </si>
  <si>
    <t>Freehold Boro Bd of Ed</t>
  </si>
  <si>
    <t>Freehold Reg H S District</t>
  </si>
  <si>
    <t>Freehold Twp Bd of Ed</t>
  </si>
  <si>
    <t>Hazlet Twp Bd of Ed</t>
  </si>
  <si>
    <t>Henry Hudson Reg Sch Dist</t>
  </si>
  <si>
    <t>Highlands Boro Bd of Ed</t>
  </si>
  <si>
    <t>Holmdel Township Bd of Ed</t>
  </si>
  <si>
    <t>Hope Academy Charter School</t>
  </si>
  <si>
    <t>Howell Twp Bd of Ed</t>
  </si>
  <si>
    <t>Keansburg Board of Education</t>
  </si>
  <si>
    <t>Keyport Borough Bd of Ed</t>
  </si>
  <si>
    <t>Little Silver Bd of Ed</t>
  </si>
  <si>
    <t>Long Branch Bd of Ed</t>
  </si>
  <si>
    <t>Manalapan Englishtown Regional</t>
  </si>
  <si>
    <t>Manasquan Borough Bd of Ed</t>
  </si>
  <si>
    <t>Marlboro Township Bd of Ed</t>
  </si>
  <si>
    <t>Matawan-Aberdeen Reg School</t>
  </si>
  <si>
    <t>Middletown Twp Bd of Ed</t>
  </si>
  <si>
    <t>Millstone Township Bd of Ed</t>
  </si>
  <si>
    <t>Monmouth Beach Bd of Ed</t>
  </si>
  <si>
    <t>Monmouth Co Vocational Schools</t>
  </si>
  <si>
    <t>Monmouth Regional School</t>
  </si>
  <si>
    <t>Neptune City Bd of Ed</t>
  </si>
  <si>
    <t>Neptune Twp Bd of Ed</t>
  </si>
  <si>
    <t>Ocean Twp Bd of Ed (Monmouth)</t>
  </si>
  <si>
    <t>Oceanport Schools</t>
  </si>
  <si>
    <t>Red Bank Bd of Ed</t>
  </si>
  <si>
    <t>Red Bank Charter School</t>
  </si>
  <si>
    <t>Red Bank Regional High School</t>
  </si>
  <si>
    <t>Roosevelt Borough Bd of Ed</t>
  </si>
  <si>
    <t>Rumson Boro Bd of Ed</t>
  </si>
  <si>
    <t>Rumson Fair Haven Regional H.S.</t>
  </si>
  <si>
    <t>Sea Girt Bd of Ed</t>
  </si>
  <si>
    <t>Shore Regional H S District</t>
  </si>
  <si>
    <t>Shrewsbury Borough Bd of Ed</t>
  </si>
  <si>
    <t>Spring Lake Boro Bd of Ed</t>
  </si>
  <si>
    <t>Spring Lake Heights Bd of Ed</t>
  </si>
  <si>
    <t>Tinton Falls Board of Education</t>
  </si>
  <si>
    <t>Union Beach Boro Bd of Ed</t>
  </si>
  <si>
    <t>Upper Freehold Regional</t>
  </si>
  <si>
    <t>Wall Township Bd of Ed</t>
  </si>
  <si>
    <t>West Long Branch Bd of Ed</t>
  </si>
  <si>
    <t>Boonton Town Bd of Ed</t>
  </si>
  <si>
    <t>Boonton Twp Bd of Ed</t>
  </si>
  <si>
    <t>Butler Boro Bd of Ed</t>
  </si>
  <si>
    <t>Chathams School District</t>
  </si>
  <si>
    <t>Chester Twp Bd of Ed</t>
  </si>
  <si>
    <t>Denville Twp Bd of Ed</t>
  </si>
  <si>
    <t>Dover Bd of Ed</t>
  </si>
  <si>
    <t>East Hanover Twp Bd of Ed</t>
  </si>
  <si>
    <t>Florham Park Bd of Ed</t>
  </si>
  <si>
    <t>Hanover Park Reg H S Dist</t>
  </si>
  <si>
    <t>Hanover Township Bd of Ed</t>
  </si>
  <si>
    <t>Harding Township Bd of Ed</t>
  </si>
  <si>
    <t>Jefferson Township Bd of Ed</t>
  </si>
  <si>
    <t>Kinnelon Borough Bd of Ed</t>
  </si>
  <si>
    <t>Lincoln Park Boro Bd of Ed</t>
  </si>
  <si>
    <t>Long Hill Twp Bd of Ed</t>
  </si>
  <si>
    <t>Madison Boro Bd of Ed</t>
  </si>
  <si>
    <t>Mendham Boro Bd of Ed</t>
  </si>
  <si>
    <t>Mendham Township Bd of Ed</t>
  </si>
  <si>
    <t>Mine Hill Twp Bd of Ed</t>
  </si>
  <si>
    <t>Montville Twp Bd of Ed</t>
  </si>
  <si>
    <t>Morris Co Educ Services Comm</t>
  </si>
  <si>
    <t>Morris Co Vocational Sch Dist</t>
  </si>
  <si>
    <t>Morris Hills Regional District</t>
  </si>
  <si>
    <t>Morris Plains Bd of Ed</t>
  </si>
  <si>
    <t>Morris School District</t>
  </si>
  <si>
    <t>Mount Arlington Bd of Ed</t>
  </si>
  <si>
    <t>Mount Olive Twp Bd of Ed</t>
  </si>
  <si>
    <t>Mountain Lakes Boro Bd of Ed</t>
  </si>
  <si>
    <t>Netcong Borough Bd of Ed</t>
  </si>
  <si>
    <t>Parsippany Troy Hills Bd of Ed</t>
  </si>
  <si>
    <t>Pequannock Twp Bd of Ed</t>
  </si>
  <si>
    <t>Randolph Township Bd of Ed</t>
  </si>
  <si>
    <t>Riverdale Borough Bd of Ed</t>
  </si>
  <si>
    <t>Rockaway Borough Bd of Ed</t>
  </si>
  <si>
    <t>Rockaway Township Bd of Ed</t>
  </si>
  <si>
    <t>Roxbury Twp Bd of Ed</t>
  </si>
  <si>
    <t>Washington Twp Bd Ed (Morris)</t>
  </si>
  <si>
    <t>West Morris Reg H S Dist</t>
  </si>
  <si>
    <t>Wharton Borough Bd of Ed</t>
  </si>
  <si>
    <t>Barnegat Twp Bd of Ed</t>
  </si>
  <si>
    <t>Bay Head Bd of Ed</t>
  </si>
  <si>
    <t>Beach Haven Borough Bd of Ed</t>
  </si>
  <si>
    <t>Berkeley Twp Bd of Ed</t>
  </si>
  <si>
    <t>Brick Twp Bd of Ed</t>
  </si>
  <si>
    <t>Central Regional H S Dist</t>
  </si>
  <si>
    <t>Eagleswood Twp Bd of Ed</t>
  </si>
  <si>
    <t>Island Heights Boro Bd of Ed</t>
  </si>
  <si>
    <t>Jackson Township Bd of Ed</t>
  </si>
  <si>
    <t>Lacey Township Bd of Ed</t>
  </si>
  <si>
    <t>Lakehurst Borough Bd of Ed</t>
  </si>
  <si>
    <t>Lakewood Twp Bd of Ed</t>
  </si>
  <si>
    <t>Lavallette Borough Bd of Ed</t>
  </si>
  <si>
    <t>Little Egg Harbor Twp Bd of Ed</t>
  </si>
  <si>
    <t>Long Beach Island Bd of Ed</t>
  </si>
  <si>
    <t>Manchester Township Bd of Ed</t>
  </si>
  <si>
    <t>Ocean County Vocational School</t>
  </si>
  <si>
    <t>Ocean Gate Bd of Ed</t>
  </si>
  <si>
    <t>Ocean Twp Bd of Ed (Ocean)</t>
  </si>
  <si>
    <t>Pinelands Reg School District</t>
  </si>
  <si>
    <t>Plumsted Twp Bd of Ed</t>
  </si>
  <si>
    <t>Point Pleasant Beach Bd of Ed</t>
  </si>
  <si>
    <t>Point Pleasant Boro Bd of Ed</t>
  </si>
  <si>
    <t>Seaside Heights Bd of Ed</t>
  </si>
  <si>
    <t>Seaside Park Bd of Ed</t>
  </si>
  <si>
    <t>Southern Regional H S District</t>
  </si>
  <si>
    <t>Stafford Township Bd of Ed</t>
  </si>
  <si>
    <t>Toms River School Dist</t>
  </si>
  <si>
    <t>Tuckerton Boro Bd of Ed</t>
  </si>
  <si>
    <t>Bloomingdale Bd of Ed</t>
  </si>
  <si>
    <t>Classical Acad. Charter School</t>
  </si>
  <si>
    <t>Clifton City Bd of Ed</t>
  </si>
  <si>
    <t>Community Ch School of Paterson</t>
  </si>
  <si>
    <t>Haledon Borough Bd of Ed</t>
  </si>
  <si>
    <t>Hawthorne Bd of Ed</t>
  </si>
  <si>
    <t>John P Holland Charter School</t>
  </si>
  <si>
    <t>Lakeland Regional H S Dist</t>
  </si>
  <si>
    <t>Little Falls Bd of Ed</t>
  </si>
  <si>
    <t>North Haledon Boro Bd of Ed</t>
  </si>
  <si>
    <t>Passaic Arts and Science Charter School</t>
  </si>
  <si>
    <t>Passaic Board of Education</t>
  </si>
  <si>
    <t>Passaic Co Manchester Reg High</t>
  </si>
  <si>
    <t>Passaic Co Regional Hs Dist 1</t>
  </si>
  <si>
    <t>Passaic Co Vocational School</t>
  </si>
  <si>
    <t>Passaic Co. Ed Serv Commision</t>
  </si>
  <si>
    <t>Paterson Bd of Ed</t>
  </si>
  <si>
    <t>Paterson Chart Sch-Science/Tech</t>
  </si>
  <si>
    <t>Pompton Lakes Bd of Ed</t>
  </si>
  <si>
    <t>Prospect Park Bd of Ed</t>
  </si>
  <si>
    <t>Ringwood Boro Bd of Ed</t>
  </si>
  <si>
    <t>Totowa Borough Bd of Ed</t>
  </si>
  <si>
    <t>Wanaque Bd of Ed</t>
  </si>
  <si>
    <t>Wayne Board of Education</t>
  </si>
  <si>
    <t>West Milford Township Bd of Ed</t>
  </si>
  <si>
    <t>Woodland Park Bd of Ed</t>
  </si>
  <si>
    <t>Alloway Twp Bd of Ed</t>
  </si>
  <si>
    <t>Elsinboro Township Bd of Ed</t>
  </si>
  <si>
    <t>Lower Alloways Creek Bd of Ed</t>
  </si>
  <si>
    <t>Mannington Township Bd of Ed</t>
  </si>
  <si>
    <t>Oldmans Twp Bd of Ed</t>
  </si>
  <si>
    <t>Penns Grove Carneys Point Reg</t>
  </si>
  <si>
    <t>Pennsville Twp Bd of Ed</t>
  </si>
  <si>
    <t>Pittsgrove Twp Bd of Ed</t>
  </si>
  <si>
    <t>Quinton Township Bd of Ed</t>
  </si>
  <si>
    <t>Salem City Bd of Ed</t>
  </si>
  <si>
    <t>Salem Co Sp Services Sch Dist</t>
  </si>
  <si>
    <t>Salem Co Vocational Tech School</t>
  </si>
  <si>
    <t>Upper Pittsgrove Twp Bd of Ed</t>
  </si>
  <si>
    <t>Woodstown-Pilesgrove Reg Sch</t>
  </si>
  <si>
    <t>Bedminster Twp Bd of Ed</t>
  </si>
  <si>
    <t>Bernards Twp Bd of Ed</t>
  </si>
  <si>
    <t>Bound Brook Boro Bd of Ed</t>
  </si>
  <si>
    <t>Branchburg Twp Bd of Ed</t>
  </si>
  <si>
    <t>Bridgewater-Raritan Reg Sch Dis</t>
  </si>
  <si>
    <t>Central Jersey Coll Prep Chrtr</t>
  </si>
  <si>
    <t>Franklin Twp Bd of Ed (Somerst)</t>
  </si>
  <si>
    <t>Green Brook Bd of Ed</t>
  </si>
  <si>
    <t>Hillsborough Twp Bd of Ed</t>
  </si>
  <si>
    <t>Manville Borough Bd of Ed</t>
  </si>
  <si>
    <t>Montgomery Twp Bd of Ed</t>
  </si>
  <si>
    <t>North Plainfield Bd of Ed</t>
  </si>
  <si>
    <t>Somerset Co Ed Ctnl Srvc Comm</t>
  </si>
  <si>
    <t>Somerset Co Vocational School</t>
  </si>
  <si>
    <t>Somerset Hills Bd of Ed</t>
  </si>
  <si>
    <t>Somerville Bd of Ed</t>
  </si>
  <si>
    <t>South Bound Brook Bd of Ed</t>
  </si>
  <si>
    <t>Warren Township Bd of Ed</t>
  </si>
  <si>
    <t>Watchung Borough Bd of Ed</t>
  </si>
  <si>
    <t>Watchung Hills Regional H S</t>
  </si>
  <si>
    <t>Andover Regional Bd of Ed</t>
  </si>
  <si>
    <t>Byram Twp Bd of Ed</t>
  </si>
  <si>
    <t>Frankford Township Bd of Ed</t>
  </si>
  <si>
    <t>Franklin Boro Bd of Ed</t>
  </si>
  <si>
    <t>Fredon Township Bd of Ed</t>
  </si>
  <si>
    <t>Green Township Bd of Ed</t>
  </si>
  <si>
    <t>Hamburg Borough Bd of Ed</t>
  </si>
  <si>
    <t>Hampton Township Bd of Ed</t>
  </si>
  <si>
    <t>Hardyston Township Bd of Ed</t>
  </si>
  <si>
    <t>High Point Reg High School</t>
  </si>
  <si>
    <t>Hopatcong Board of Education</t>
  </si>
  <si>
    <t>Kittatinny Regional H S</t>
  </si>
  <si>
    <t>Lafayette Board of Education</t>
  </si>
  <si>
    <t>Lenape Valley Reg H S Dist</t>
  </si>
  <si>
    <t>Montague Bd of Ed</t>
  </si>
  <si>
    <t>Newton Bd of Ed</t>
  </si>
  <si>
    <t>Ogdensburg Bd of Ed</t>
  </si>
  <si>
    <t>Sandyston Walpack School Dist</t>
  </si>
  <si>
    <t>Sparta Bd of Ed</t>
  </si>
  <si>
    <t>Stanhope Borough Bd of Ed</t>
  </si>
  <si>
    <t>Stillwater Township Bd of Ed</t>
  </si>
  <si>
    <t>Sussex Co Ed Serv Comm Bd of Ed</t>
  </si>
  <si>
    <t>Sussex County Charter School</t>
  </si>
  <si>
    <t>Sussex County Vocational</t>
  </si>
  <si>
    <t>Sussex-Wantage Reg Sch Dist</t>
  </si>
  <si>
    <t>Unity Charter School</t>
  </si>
  <si>
    <t>Vernon Township Bd of Ed</t>
  </si>
  <si>
    <t>Wallkill Vall Reg H S</t>
  </si>
  <si>
    <t>Barack Obama Green Charter H.S.</t>
  </si>
  <si>
    <t>Berkeley Heights Bd of Ed</t>
  </si>
  <si>
    <t>Central Jersey Arts Charter Sch</t>
  </si>
  <si>
    <t>Clark Twp Bd of Ed</t>
  </si>
  <si>
    <t>Cranford Twp Bd of Ed</t>
  </si>
  <si>
    <t>Elizabeth Bd of Ed</t>
  </si>
  <si>
    <t>Garwood Borough Bd of Ed</t>
  </si>
  <si>
    <t>Hillside Board of Education</t>
  </si>
  <si>
    <t>Kenilworth Borough Bd of Ed</t>
  </si>
  <si>
    <t>Linden City Bd of Ed</t>
  </si>
  <si>
    <t>Mountainside Boro Bd of Ed</t>
  </si>
  <si>
    <t>New Providence Bd of Ed</t>
  </si>
  <si>
    <t>Plainfield Bd of Ed</t>
  </si>
  <si>
    <t>Queen City Academy Charter Sch</t>
  </si>
  <si>
    <t>Rahway City Bd of Ed</t>
  </si>
  <si>
    <t>Roselle Boro Bd of Ed</t>
  </si>
  <si>
    <t>Roselle Park Boro Bd of Ed</t>
  </si>
  <si>
    <t>Scotch Plains Fanwood Bd of Ed</t>
  </si>
  <si>
    <t>Springfield Twp Bd Ed (Union)</t>
  </si>
  <si>
    <t>Summit Board of Education</t>
  </si>
  <si>
    <t>Union Co Educ Serv Commission</t>
  </si>
  <si>
    <t>Union Co Vocational Schools</t>
  </si>
  <si>
    <t>Union County Teams Charter Schl</t>
  </si>
  <si>
    <t>Union Twp Bd of Ed (Union)</t>
  </si>
  <si>
    <t>Westfield Town Bd of Ed</t>
  </si>
  <si>
    <t>Winfield Township Bd of Ed</t>
  </si>
  <si>
    <t>Allamuchy Bd of Ed</t>
  </si>
  <si>
    <t>Alpha Bd of Ed</t>
  </si>
  <si>
    <t>Belvidere Town Bd of Ed</t>
  </si>
  <si>
    <t>Blairstown Twp Bd of Ed</t>
  </si>
  <si>
    <t>Franklin Twp Bd of Ed (Warren)</t>
  </si>
  <si>
    <t>Frelinghuysen Twp Bd of Ed</t>
  </si>
  <si>
    <t>Great Meadows Regional Bd of Ed</t>
  </si>
  <si>
    <t>Greenwich Twp Bd of Ed (Warren)</t>
  </si>
  <si>
    <t>Hackettstown Bd of Ed</t>
  </si>
  <si>
    <t>Harmony Township Bd of Ed</t>
  </si>
  <si>
    <t>Hope Twp Bd of Ed</t>
  </si>
  <si>
    <t>Knowlton Twp Bd of Ed</t>
  </si>
  <si>
    <t>Lopatcong Township Bd of Ed</t>
  </si>
  <si>
    <t>Mansfield Twp Bd of Ed (Warren)</t>
  </si>
  <si>
    <t>North Warren Reg High School</t>
  </si>
  <si>
    <t>Oxford Twp Bd of Ed</t>
  </si>
  <si>
    <t>Phillipsburg Town Bd of Ed</t>
  </si>
  <si>
    <t>Pohatcong Twp Boe</t>
  </si>
  <si>
    <t>Ridge And Valley Charter School</t>
  </si>
  <si>
    <t>Warren Co Sp Services Sch Dist</t>
  </si>
  <si>
    <t>Warren Co Vocational School</t>
  </si>
  <si>
    <t>Warren Hills Reg Schools</t>
  </si>
  <si>
    <t>Washington Boro Bd of Ed</t>
  </si>
  <si>
    <t>Washington Twp Bd Ed (Warren)</t>
  </si>
  <si>
    <t>White Township Bd of Ed</t>
  </si>
  <si>
    <t>Bayshore Jointure Commission</t>
  </si>
  <si>
    <t>Monmouth Ocean Ed Serv Comm</t>
  </si>
  <si>
    <t>Morris-Union Jointure Comm</t>
  </si>
  <si>
    <t>Paterson Arts &amp; Science Charter School</t>
  </si>
  <si>
    <t>Benjamin Banneker Prep Charter School</t>
  </si>
  <si>
    <t>City Invicible Charter School</t>
  </si>
  <si>
    <t>Merti Prep. Charter School Newark</t>
  </si>
  <si>
    <t>Newark Prep Charter School</t>
  </si>
  <si>
    <t>Paulo Freire Charter School</t>
  </si>
  <si>
    <t>Beloved Community Charter School</t>
  </si>
  <si>
    <t>Thomas Edison Energy - Smart Charter</t>
  </si>
  <si>
    <t>Edgewater Booro Bd of Ed</t>
  </si>
  <si>
    <t>Camden Community Charter School</t>
  </si>
  <si>
    <t>Hope Community Charter School</t>
  </si>
  <si>
    <t>Compass Academy Charter School</t>
  </si>
  <si>
    <t>Jersey City Global Charter School</t>
  </si>
  <si>
    <t>Sandyston Walpack School District</t>
  </si>
  <si>
    <t>ABSECON BD OF ED</t>
  </si>
  <si>
    <t>ATLANTIC CITY BD OF ED</t>
  </si>
  <si>
    <t>ATLANTIC CITY COMMUNITY CHARTER</t>
  </si>
  <si>
    <t>ATLANTIC CO SPECIAL SERVICES</t>
  </si>
  <si>
    <t>ATLANTIC CO VOCATIONAL SCHOOLS</t>
  </si>
  <si>
    <t>BRIGANTINE CITY BD OF ED</t>
  </si>
  <si>
    <t>BUENA REGIONAL SCHOOL DIST</t>
  </si>
  <si>
    <t>EGG HARBOR CITY BD OF ED</t>
  </si>
  <si>
    <t>EGG HARBOR TWP BD OF ED</t>
  </si>
  <si>
    <t>ESTELL MANOR BD OF ED</t>
  </si>
  <si>
    <t>FOLSOM BOROUGH BD OF ED</t>
  </si>
  <si>
    <t>GALLOWAY COMMUNITY CHARTER SCH</t>
  </si>
  <si>
    <t>GALLOWAY TOWNSHIP BD OF ED</t>
  </si>
  <si>
    <t>GREATER EGG HARBOR REGIONAL</t>
  </si>
  <si>
    <t>HAMILTON TWP BD ED (ATLANTIC)</t>
  </si>
  <si>
    <t>HAMMONTON TOWN BD OF ED</t>
  </si>
  <si>
    <t>LINWOOD BD OF ED</t>
  </si>
  <si>
    <t>MAINLAND REGIONAL H S</t>
  </si>
  <si>
    <t>MARGATE CITY BD OF ED</t>
  </si>
  <si>
    <t>MULLICA TWP BD OF ED</t>
  </si>
  <si>
    <t>NORTHFIELD BD OF ED</t>
  </si>
  <si>
    <t>PLEASANTVILLE BD OF ED</t>
  </si>
  <si>
    <t>PORT REPUBLIC CITY BD OF ED</t>
  </si>
  <si>
    <t>SOMERS POINT CITY BD OF ED</t>
  </si>
  <si>
    <t>VENTNOR CITY BD OF ED</t>
  </si>
  <si>
    <t>WEYMOUTH TOWNSHIP BD OF ED</t>
  </si>
  <si>
    <t>ALLENDALE BORO BD OF ED</t>
  </si>
  <si>
    <t>ALPINE BD OF ED</t>
  </si>
  <si>
    <t>BERGEN ARTS &amp; SCIENCE CHRTR SCH</t>
  </si>
  <si>
    <t>BERGEN CO BD OF SPECIAL SERVS</t>
  </si>
  <si>
    <t>BERGEN CO VOCATIONAL SCHOOL</t>
  </si>
  <si>
    <t>BERGENFIELD BD OF ED</t>
  </si>
  <si>
    <t>BOGOTA BORO BD OF ED</t>
  </si>
  <si>
    <t>CARLSTADT BOROUGH BD OF ED</t>
  </si>
  <si>
    <t>CARLSTADT E.RUTHERFORD BD OF ED</t>
  </si>
  <si>
    <t>CLIFFSIDE PARK BD OF ED</t>
  </si>
  <si>
    <t>CLOSTER BOARD OF EDUCATION</t>
  </si>
  <si>
    <t>CRESSKILL BD OF ED</t>
  </si>
  <si>
    <t>DEMAREST BORO BD OF ED</t>
  </si>
  <si>
    <t>DUMONT BOROUGH BD OF ED</t>
  </si>
  <si>
    <t>EAST RUTHERFORD BORO BD OF ED</t>
  </si>
  <si>
    <t>EDGEWATER BORO BD OF ED</t>
  </si>
  <si>
    <t>ELMWOOD PARK BOROUGH BD OF ED</t>
  </si>
  <si>
    <t>EMERSON BOROUGH BD OF ED</t>
  </si>
  <si>
    <t>ENGLEWOOD CITY BD OF ED</t>
  </si>
  <si>
    <t>ENGLEWOOD CLIFFS BD OF ED</t>
  </si>
  <si>
    <t>ENGLEWOOD ON THE PALISADES CHAR</t>
  </si>
  <si>
    <t>FAIR LAWN BD OF ED</t>
  </si>
  <si>
    <t>FAIRVIEW BORO BD OF ED</t>
  </si>
  <si>
    <t>FORT LEE BD OF ED</t>
  </si>
  <si>
    <t>FRANKLIN LAKES BD OF ED</t>
  </si>
  <si>
    <t>GARFIELD CITY BD OF ED</t>
  </si>
  <si>
    <t>GLEN ROCK BOROUGH BD OF ED</t>
  </si>
  <si>
    <t>HACKENSACK CITY BD OF ED</t>
  </si>
  <si>
    <t>HARRINGTON PARK BD OF ED</t>
  </si>
  <si>
    <t>HASBROUCK HEIGHTS BD OF ED</t>
  </si>
  <si>
    <t>HAWORTH BOROUGH BD OF ED</t>
  </si>
  <si>
    <t>HILLSDALE BOROUGH BD OF ED</t>
  </si>
  <si>
    <t>HO-HO-KUS BD OF ED</t>
  </si>
  <si>
    <t>LEONIA BOROUGH BD OF ED</t>
  </si>
  <si>
    <t>LITTLE FERRY BD OF ED</t>
  </si>
  <si>
    <t>LODI BD OF ED</t>
  </si>
  <si>
    <t>LYNDHURST TWP BD OF ED</t>
  </si>
  <si>
    <t>MAHWAH BD OF ED</t>
  </si>
  <si>
    <t>MAYWOOD BD OF ED</t>
  </si>
  <si>
    <t>MIDLAND PARK BORO BD OF ED</t>
  </si>
  <si>
    <t>MONTVALE BOROUGH BD OF ED</t>
  </si>
  <si>
    <t>MOONACHIE BOROUGH BD OF ED</t>
  </si>
  <si>
    <t>NEW MILFORD BD OF ED</t>
  </si>
  <si>
    <t>NORTH ARLINGTON BD OF ED</t>
  </si>
  <si>
    <t>NORTHERN HIGHLANDS REG H S</t>
  </si>
  <si>
    <t>NORTHERN VALLEY REG H S DIST</t>
  </si>
  <si>
    <t>NORTHVALE BD OF ED</t>
  </si>
  <si>
    <t>NORWOOD BD OF ED</t>
  </si>
  <si>
    <t>OAKLAND BD OF ED</t>
  </si>
  <si>
    <t>OLD TAPPAN BD OF ED</t>
  </si>
  <si>
    <t>ORADELL BD OF ED</t>
  </si>
  <si>
    <t>PALISADES PARK BD OF ED</t>
  </si>
  <si>
    <t>PARAMUS BD OF ED</t>
  </si>
  <si>
    <t>PARK RIDGE BORO BD OF ED</t>
  </si>
  <si>
    <t>PASCACK VALLEY REG H S DIST</t>
  </si>
  <si>
    <t>PATERSON ARTS &amp; SCIENCE CH SCHL</t>
  </si>
  <si>
    <t>RAMAPO INDIAN HILLS REG H S D</t>
  </si>
  <si>
    <t>RAMSEY BOROUGH BD OF ED</t>
  </si>
  <si>
    <t>RIDGEFIELD BORO BD OF ED</t>
  </si>
  <si>
    <t>RIDGEFIELD PARK BD OF ED</t>
  </si>
  <si>
    <t>RIDGEWOOD TWP BD OF ED</t>
  </si>
  <si>
    <t>RIVER DELL REG SCHOOL DISTRICT</t>
  </si>
  <si>
    <t>RIVER EDGE BORO BD OF ED</t>
  </si>
  <si>
    <t>RIVER VALE TWP BD OF ED</t>
  </si>
  <si>
    <t>ROCHELLE PARK TWP BD OF ED</t>
  </si>
  <si>
    <t>ROCKLEIGH BOROUGH BOARD OF ED</t>
  </si>
  <si>
    <t>RUTHERFORD BORO BD OF ED</t>
  </si>
  <si>
    <t>SADDLE BROOK BD OF ED</t>
  </si>
  <si>
    <t>SADDLE RIVER BD OF ED</t>
  </si>
  <si>
    <t>SOUTH BERGEN JOINTURE COMM</t>
  </si>
  <si>
    <t>SOUTH HACKENSACK BD OF ED</t>
  </si>
  <si>
    <t>TEANECK BD OF ED</t>
  </si>
  <si>
    <t>TEANECK COMMUNITY CHARTER SCH</t>
  </si>
  <si>
    <t>TENAFLY BD OF ED</t>
  </si>
  <si>
    <t>UPPER SADDLE RIVER BD OF ED</t>
  </si>
  <si>
    <t>WALDWICK BORO BD OF ED</t>
  </si>
  <si>
    <t>WALLINGTON BOROUGH BD OF ED</t>
  </si>
  <si>
    <t>WESTWOOD REG SCH DISTRICT</t>
  </si>
  <si>
    <t>WOODCLIFF LAKE BD OF ED</t>
  </si>
  <si>
    <t>WOOD-RIDGE BD OF ED</t>
  </si>
  <si>
    <t>WYCKOFF TOWNSHIP BD OF ED</t>
  </si>
  <si>
    <t>BASS RIVER TWP BD OF ED</t>
  </si>
  <si>
    <t>BENJAMIN BANNEKER PREP CH SCHL</t>
  </si>
  <si>
    <t>BEVERLY CITY BD OF ED</t>
  </si>
  <si>
    <t>BORDENTOWN REG SCH DISTRICT</t>
  </si>
  <si>
    <t>BURLINGTON CITY BD OF ED</t>
  </si>
  <si>
    <t>BURLINGTON CO BD SPCL SERVICES</t>
  </si>
  <si>
    <t>BURLINGTON CO INSTITUTE OF TECH</t>
  </si>
  <si>
    <t>BURLINGTON TWP BD OF ED</t>
  </si>
  <si>
    <t>CHESTERFIELD TWP BD OF ED</t>
  </si>
  <si>
    <t>CINNAMINSON TWP BD OF ED</t>
  </si>
  <si>
    <t>DELANCO TWP BD OF ED</t>
  </si>
  <si>
    <t>DELRAN TWP BD OF ED</t>
  </si>
  <si>
    <t>EASTAMPTON TOWNSHIP BD OF ED</t>
  </si>
  <si>
    <t>EDGEWATER PARK TWP BD OF ED</t>
  </si>
  <si>
    <t>EVESHAM TWP BD OF ED</t>
  </si>
  <si>
    <t>FLORENCE TOWNSHIP BD OF ED</t>
  </si>
  <si>
    <t>HAINESPORT TOWNSHIP BD OF ED</t>
  </si>
  <si>
    <t>LENAPE REGIONAL H S DISTRICT</t>
  </si>
  <si>
    <t>LUMBERTON TWP BD OF ED</t>
  </si>
  <si>
    <t>MANSFIELD TWP BD ED (BURLINGTN)</t>
  </si>
  <si>
    <t>MAPLE SHADE BD OF ED</t>
  </si>
  <si>
    <t>MEDFORD LAKES BORO BD OF ED</t>
  </si>
  <si>
    <t>MEDFORD TOWNSHIP BD OF ED</t>
  </si>
  <si>
    <t>MOORESTOWN TOWNSHIP BD OF ED</t>
  </si>
  <si>
    <t>MOUNT HOLLY TWP BD OF ED</t>
  </si>
  <si>
    <t>MOUNT LAUREL TWP BD OF ED</t>
  </si>
  <si>
    <t>NEW HANOVER TWP BD OF ED</t>
  </si>
  <si>
    <t>NORTH HANOVER TOWNSHIP BD OF ED</t>
  </si>
  <si>
    <t>NORTHERN BURLINGTON CO REG</t>
  </si>
  <si>
    <t>PALMYRA BOROUGH BD OF ED</t>
  </si>
  <si>
    <t>PEMBERTON TOWNSHIP BD OF ED</t>
  </si>
  <si>
    <t>RANCOCAS VALLEY REGIONAL H S</t>
  </si>
  <si>
    <t>RENAISSANCE REG LEADERSHIP CHTR</t>
  </si>
  <si>
    <t>RIVERBANK CHTR SCHL OF EXCELL.</t>
  </si>
  <si>
    <t>RIVERSIDE TOWNSHIP BD OF ED</t>
  </si>
  <si>
    <t>RIVERTON BORO SCHOOL BOARD</t>
  </si>
  <si>
    <t>SHAMONG TWP BD OF ED</t>
  </si>
  <si>
    <t>SOUTHAMPTON TWP BD OF ED</t>
  </si>
  <si>
    <t>SPRINGFIELD TWP BD OF ED (BURL)</t>
  </si>
  <si>
    <t>TABERNACLE TWP BD OF ED</t>
  </si>
  <si>
    <t>WASHINGTON TWP BD OF ED (BURL)</t>
  </si>
  <si>
    <t>WESTAMPTON TOWNSHIP BD OF ED</t>
  </si>
  <si>
    <t>WILLINGBORO TWP BD OF ED</t>
  </si>
  <si>
    <t>WOODLAND TWP BD OF ED</t>
  </si>
  <si>
    <t>AUDUBON BOROUGH BD OF ED</t>
  </si>
  <si>
    <t>BARRINGTON BORO BD OF ED</t>
  </si>
  <si>
    <t>BELLMAWR BOROUGH BD OF ED</t>
  </si>
  <si>
    <t>BERLIN BOROUGH BD OF ED</t>
  </si>
  <si>
    <t>BERLIN TOWNSHIP BD OF ED</t>
  </si>
  <si>
    <t>BLACK HORSE PIKE REG SCH DIST</t>
  </si>
  <si>
    <t>BROOKLAWN BORO BD OF ED</t>
  </si>
  <si>
    <t>CAMDEN ACADEMY CHARTER HIGH SCH</t>
  </si>
  <si>
    <t>CAMDEN CITY BD OF ED</t>
  </si>
  <si>
    <t>CAMDEN CO ED SERVICES COMM</t>
  </si>
  <si>
    <t>CAMDEN COMMUNITY CHARTER SCHOOL</t>
  </si>
  <si>
    <t>CAMDEN COUNTY TECHNICAL SCHOOLS</t>
  </si>
  <si>
    <t>CAMDENS PRIDE CHARTER SCHOOL</t>
  </si>
  <si>
    <t>CAMDENS PROMISE CHARTER SCHOOL</t>
  </si>
  <si>
    <t>CHERRY HILL TWP BD OF ED</t>
  </si>
  <si>
    <t>CITY INVINCIBLE CHARTER SCHOOL</t>
  </si>
  <si>
    <t>CLEMENTON BD OF ED</t>
  </si>
  <si>
    <t>COLLINGSWOOD BOROUGH BD OF ED</t>
  </si>
  <si>
    <t>D.U.E. SEASON CHARTER SCHOOL</t>
  </si>
  <si>
    <t>EASTERN CAMDEN CO REG SCH DIST</t>
  </si>
  <si>
    <t>ECO CHARTER SCHOOL</t>
  </si>
  <si>
    <t>FREEDOM ACADEMY CHARTER SCHOOL</t>
  </si>
  <si>
    <t>GIBBSBORO BOROUGH BD OF ED</t>
  </si>
  <si>
    <t>GLOUCESTER CITY BD OF ED</t>
  </si>
  <si>
    <t>GLOUCESTER TWP BD OF ED</t>
  </si>
  <si>
    <t>HADDON HEIGHTS BD OF ED</t>
  </si>
  <si>
    <t>HADDON TOWNSHIP BD OF ED</t>
  </si>
  <si>
    <t>HADDONFIELD BD OF ED</t>
  </si>
  <si>
    <t>HOPE COMMUNITY CHARTER SCHOOL</t>
  </si>
  <si>
    <t>KNOWLEDGE A TO Z CHARTER SCHOOL</t>
  </si>
  <si>
    <t>LAUREL SPRINGS BOROUGH BD OF ED</t>
  </si>
  <si>
    <t>LAWNSIDE BOROUGH BD OF ED</t>
  </si>
  <si>
    <t>LEAP ACADEMY CHARTER SCHOOL</t>
  </si>
  <si>
    <t>LINDENWOLD BOROUGH BD OF ED</t>
  </si>
  <si>
    <t>MAGNOLIA BOROUGH BD OF ED</t>
  </si>
  <si>
    <t>MERCHANTVILLE BORO BD OF ED</t>
  </si>
  <si>
    <t>MOUNT EPHRAIM BD OF ED</t>
  </si>
  <si>
    <t>OAKLYN BOROUGH BD OF ED</t>
  </si>
  <si>
    <t>PENNSAUKEN TWP BD OF ED</t>
  </si>
  <si>
    <t>PINE HILL BOROUGH BD OF ED</t>
  </si>
  <si>
    <t>RUNNEMEDE BOROUGH BD OF ED</t>
  </si>
  <si>
    <t>SOMERDALE BORO BD OF ED</t>
  </si>
  <si>
    <t>STERLING HIGH SCHOOL DISTRICT</t>
  </si>
  <si>
    <t>STRATFORD BD OF ED</t>
  </si>
  <si>
    <t>THE KINGDOM CH SCHL LEADERSHIP</t>
  </si>
  <si>
    <t>VOORHEES TWP BD OF ED</t>
  </si>
  <si>
    <t>WATERFORD TWP BD OF ED</t>
  </si>
  <si>
    <t>WINSLOW TOWNSHIP BD OF ED</t>
  </si>
  <si>
    <t>WOODLYNNE BD OF ED</t>
  </si>
  <si>
    <t>AVALON BOROUGH BD OF ED</t>
  </si>
  <si>
    <t>CAPE MAY CITY BD OF ED</t>
  </si>
  <si>
    <t>CAPE MAY CO SPECIAL SERVICES</t>
  </si>
  <si>
    <t>CAPE MAY CO TECHNICAL SCH DIST</t>
  </si>
  <si>
    <t>CHARTER TECH</t>
  </si>
  <si>
    <t>DENNIS TWP BD OF ED</t>
  </si>
  <si>
    <t>LOWER CAPE MAY REG SCHOOL DIST</t>
  </si>
  <si>
    <t>LOWER TOWNSHIP BD OF ED</t>
  </si>
  <si>
    <t>MIDDLE TOWNSHIP BD OF ED</t>
  </si>
  <si>
    <t>NORTH WILDWOOD BD OF ED</t>
  </si>
  <si>
    <t>OCEAN CITY BD OF ED</t>
  </si>
  <si>
    <t>STONE HARBOR BD OF ED</t>
  </si>
  <si>
    <t>UPPER TOWNSHIP BD OF ED</t>
  </si>
  <si>
    <t>WEST CAPE MAY BORO BD OF ED</t>
  </si>
  <si>
    <t>WILDWOOD CITY BD OF ED</t>
  </si>
  <si>
    <t>WILDWOOD CREST BD OF ED</t>
  </si>
  <si>
    <t>WOODBINE BOROUGH BD OF ED</t>
  </si>
  <si>
    <t>BRIDGETON BD OF ED</t>
  </si>
  <si>
    <t>BRIDGETON PUBLIC CHARTER SCHOOL</t>
  </si>
  <si>
    <t>COMMERCIAL TWP BD OF ED</t>
  </si>
  <si>
    <t>COMPASS ACADEMY CHARTER SCHOOL</t>
  </si>
  <si>
    <t>CUMBERLAND CO BD OF VOC ED</t>
  </si>
  <si>
    <t>CUMBERLAND REGIONAL SCHOOL DIST</t>
  </si>
  <si>
    <t>DEERFIELD TOWNSHIP BD OF ED</t>
  </si>
  <si>
    <t>DOWNE TWP BD OF ED</t>
  </si>
  <si>
    <t>FAIRFIELD TWP BD ED (CUMBERLND)</t>
  </si>
  <si>
    <t>GREENWICH TWP BD ED (CUMBRLAND)</t>
  </si>
  <si>
    <t>HOPEWELL TWP BD ED (CUMBERLAND)</t>
  </si>
  <si>
    <t>LAWRENCE TWP BD ED (CUMBERLAND)</t>
  </si>
  <si>
    <t>MAURICE RIVER TOWNSHIP BD OF ED</t>
  </si>
  <si>
    <t>MILLVILLE BD OF ED</t>
  </si>
  <si>
    <t>MILLVILLE PUBLIC CHARTER SCHOOL</t>
  </si>
  <si>
    <t>STOW CREEK TOWNSHIP BD OF ED</t>
  </si>
  <si>
    <t>UPPER DEERFIELD TWP BD OF ED</t>
  </si>
  <si>
    <t>VINELAND CITY BD OF ED</t>
  </si>
  <si>
    <t>VINELAND PUBLIC CHARTER SCHOOL</t>
  </si>
  <si>
    <t>BELLEVILLE BD OF ED</t>
  </si>
  <si>
    <t>BLOOMFIELD TWP BD OF ED</t>
  </si>
  <si>
    <t>BURCH CHTR SCHL OF EXCELLENCE</t>
  </si>
  <si>
    <t>CALDWELL WEST CALDWELL BD OF ED</t>
  </si>
  <si>
    <t>CEDAR GROVE TWP BD OF ED</t>
  </si>
  <si>
    <t>DISCOVERY CHARTER SCHOOL</t>
  </si>
  <si>
    <t>EAST ORANGE COMMUNITY CHART SCH</t>
  </si>
  <si>
    <t>EAST ORANGE SCHOOL DISTRICT</t>
  </si>
  <si>
    <t>ESSEX CO EDUCATIONAL SERV COMM</t>
  </si>
  <si>
    <t>ESSEX CO VOCATIONAL SCHOOL</t>
  </si>
  <si>
    <t>ESSEX FELLS BD OF ED</t>
  </si>
  <si>
    <t>FAIRFIELD TWP BD OF ED (ESSEX)</t>
  </si>
  <si>
    <t>GLEN RIDGE BD OF ED</t>
  </si>
  <si>
    <t>GRAY CHARTER SCHOOL</t>
  </si>
  <si>
    <t>GREAT OAKS CHARTER SCHOOL</t>
  </si>
  <si>
    <t>IRVINGTON BD OF ED</t>
  </si>
  <si>
    <t>LADY LIBERTY ACADEMY CHARTER SC</t>
  </si>
  <si>
    <t>LINK COMMUNITY CHARTER SCHOOL</t>
  </si>
  <si>
    <t>LIVINGSTON BD OF ED</t>
  </si>
  <si>
    <t>MARIA L. VARISCO-ROGERS CHARTER</t>
  </si>
  <si>
    <t>MARION P. THOMAS CHARTER SCH</t>
  </si>
  <si>
    <t>MERIT PREP. CHARTER SCHL NEWARK</t>
  </si>
  <si>
    <t>MILLBURN TWP PUBLIC SCHOOLS</t>
  </si>
  <si>
    <t>MONTCLAIR BD OF ED</t>
  </si>
  <si>
    <t>NEW HORIZON COMM CHARTER SCHOOL</t>
  </si>
  <si>
    <t>NEWARK CHARTER SCHOOL</t>
  </si>
  <si>
    <t>NEWARK EDUCATORS COMM CHTR SCH</t>
  </si>
  <si>
    <t>NEWARK LEGACY CHARTER SCHOOL</t>
  </si>
  <si>
    <t>NEWARK PREP CHARTER SCHOOL</t>
  </si>
  <si>
    <t>NEWARK PUBLIC SCHOOLS</t>
  </si>
  <si>
    <t>NORTH CALDWELL BD OF ED</t>
  </si>
  <si>
    <t>NORTH STAR ACADEMY CHARTER SCH</t>
  </si>
  <si>
    <t>NUTLEY BD OF ED</t>
  </si>
  <si>
    <t>ORANGE CITY BD OF ED</t>
  </si>
  <si>
    <t>PAULO FREIRE CHARTER SCHOOL</t>
  </si>
  <si>
    <t>PEOPLES PREPARATORY CHARTER SCH</t>
  </si>
  <si>
    <t>PRIDE ACADEMY CHARTER SCHOOL</t>
  </si>
  <si>
    <t>ROBERT TREAT ACADEMY CHARTER SC</t>
  </si>
  <si>
    <t>ROSELAND BD OF ED</t>
  </si>
  <si>
    <t>ROSEVILLE COMMUNITY CHARTER SCH</t>
  </si>
  <si>
    <t>SOUTH ORANGE-MAPLEWOOD BD OF ED</t>
  </si>
  <si>
    <t>TEAM ACADEMY CHARTER SCHOOL</t>
  </si>
  <si>
    <t>UNIVERSITY HEIGHTS CHARTER SCHL</t>
  </si>
  <si>
    <t>VERONA BD OF ED</t>
  </si>
  <si>
    <t>VISIONS ACADEMY CHARTER H.S.</t>
  </si>
  <si>
    <t>WEST ESSEX REGIONAL SCH DIST</t>
  </si>
  <si>
    <t>WEST ORANGE TOWNSHIP BD OF ED</t>
  </si>
  <si>
    <t>CLAYTON BOROUGH BD OF ED</t>
  </si>
  <si>
    <t>CLEARVIEW REGIONAL BD OF ED</t>
  </si>
  <si>
    <t>DELSEA REG HIGH SCH DISTRICT</t>
  </si>
  <si>
    <t>DEPTFORD TWP BD OF ED</t>
  </si>
  <si>
    <t>EAST GREENWICH BD OF EDUCATION</t>
  </si>
  <si>
    <t>ED INFORMATION &amp; RESOURCE CTR</t>
  </si>
  <si>
    <t>ELK TWP BD OF ED</t>
  </si>
  <si>
    <t>FRANKLIN TWP BD OF ED (GLOCSTR)</t>
  </si>
  <si>
    <t>GATEWAY REGIONAL HIGH SCHOOL</t>
  </si>
  <si>
    <t>GLASSBORO BD OF ED</t>
  </si>
  <si>
    <t>GLOUCESTER CO SP SERV SCH DIST</t>
  </si>
  <si>
    <t>GLOUCESTER CO VO-TECH SCH DIST</t>
  </si>
  <si>
    <t>GREENWICH TWP BD ED (GLOUCSTER)</t>
  </si>
  <si>
    <t>HARRISON TWP BD ED (GLOUCESTER)</t>
  </si>
  <si>
    <t>KINGSWAY REGIONAL SCHOOL DIST</t>
  </si>
  <si>
    <t>LOGAN TOWNSHIP BD OF ED</t>
  </si>
  <si>
    <t>MANTUA TOWNSHIP BD OF ED</t>
  </si>
  <si>
    <t>MONROE TWP BD OF ED (GLOUCESTR)</t>
  </si>
  <si>
    <t>NATIONAL PARK BOARD OF EDUC</t>
  </si>
  <si>
    <t>PAULSBORO BORO BD OF ED</t>
  </si>
  <si>
    <t>PITMAN BD OF ED</t>
  </si>
  <si>
    <t>SOUTH HARRISON TWP BD OF ED</t>
  </si>
  <si>
    <t>SWEDESBORO WOOLWICH BD OF ED</t>
  </si>
  <si>
    <t>WASHINGTON TWP BD OF ED (GLOUC)</t>
  </si>
  <si>
    <t>WENONAH BOROUGH BD OF ED</t>
  </si>
  <si>
    <t>WEST DEPTFORD TWP BD OF ED</t>
  </si>
  <si>
    <t>WESTVILLE BOARD OF ED</t>
  </si>
  <si>
    <t>WOODBURY CITY BD OF ED</t>
  </si>
  <si>
    <t>WOODBURY HEIGHTS BOARD OF ED</t>
  </si>
  <si>
    <t>BAYONNE BOARD OF ED</t>
  </si>
  <si>
    <t>BELOVED COMMUNITY CHARTER SCHL</t>
  </si>
  <si>
    <t>DR LENA EDWARDS ACAD CHRTR SCHL</t>
  </si>
  <si>
    <t>EAST NEWARK BOROUGH BD OF ED</t>
  </si>
  <si>
    <t>ELYSIAN CHARTER SCH OF HOBOKEN</t>
  </si>
  <si>
    <t>ETHICAL COMM CHRTR SCHL - J.C.</t>
  </si>
  <si>
    <t>GREAT FUTURES CHARTER HIGH SCHO</t>
  </si>
  <si>
    <t>GUTTENBERG BORO BD OF ED</t>
  </si>
  <si>
    <t>HARRISON TOWN BD OF ED(HUDSON)</t>
  </si>
  <si>
    <t>HOBOKEN BOARD OF EDUCATION</t>
  </si>
  <si>
    <t>HOBOKEN CHARTER SCHOOL</t>
  </si>
  <si>
    <t>HOBOKEN DUAL LANGUAGE CH SCHOOL</t>
  </si>
  <si>
    <t>HUDSON CO SCHOOLS OF TECHNOLOGY</t>
  </si>
  <si>
    <t>JERSEY CITY COMM CHARTER SCHOOL</t>
  </si>
  <si>
    <t>JERSEY CITY GLOBAL CHARTER SCH</t>
  </si>
  <si>
    <t>JERSEY CITY GOLDEN DOOR CHARTER</t>
  </si>
  <si>
    <t>JERSEY CITY PUBLIC SCHOOLS</t>
  </si>
  <si>
    <t>KEARNY TOWN BD OF ED</t>
  </si>
  <si>
    <t>LEARNING COMM. CHARTER SCHOOL</t>
  </si>
  <si>
    <t>METS CHARTER SCHOOL</t>
  </si>
  <si>
    <t>NORTH BERGEN BD OF ED</t>
  </si>
  <si>
    <t>SECAUCUS TOWN BD OF ED</t>
  </si>
  <si>
    <t>SOARING HEIGHTS CHARTER SCHOOL</t>
  </si>
  <si>
    <t>UNION CITY BD OF ED</t>
  </si>
  <si>
    <t>UNIVERSITY ACADEMY CHARTER HS</t>
  </si>
  <si>
    <t>WEEHAWKEN TWP BD OF ED</t>
  </si>
  <si>
    <t>WEST NEW YORK BD OF ED</t>
  </si>
  <si>
    <t>ALEXANDRIA TWP BD OF ED</t>
  </si>
  <si>
    <t>BETHLEHEM TWP BD OF ED</t>
  </si>
  <si>
    <t>BLOOMSBURY BOROUGH BD OF ED</t>
  </si>
  <si>
    <t>CALIFON BORO BD OF ED</t>
  </si>
  <si>
    <t>CLINTON TOWN BD OF ED</t>
  </si>
  <si>
    <t>CLINTON TWP BD OF ED</t>
  </si>
  <si>
    <t>DELAWARE TWP BD OF ED</t>
  </si>
  <si>
    <t>DELAWARE VALLEY REG H S DIST</t>
  </si>
  <si>
    <t>EAST AMWELL TOWNSHIP BD OF ED</t>
  </si>
  <si>
    <t>FLEMINGTON RARITAN BD OF ED</t>
  </si>
  <si>
    <t>FRANKLIN TWP BD OF ED (HUNTRDN)</t>
  </si>
  <si>
    <t>FRENCHTOWN BOROUGH BD OF ED</t>
  </si>
  <si>
    <t>HAMPTON BOROUGH BD OF ED</t>
  </si>
  <si>
    <t>HIGH BRIDGE BOROUGH BD OF ED</t>
  </si>
  <si>
    <t>HOLLAND TWP BD OF ED</t>
  </si>
  <si>
    <t>HUNTERDON CENTRAL HIGH SCHOOL</t>
  </si>
  <si>
    <t>HUNTERDON CO EDUC SRVCS COMM</t>
  </si>
  <si>
    <t>HUNTERDON COUNTY VOCATIONAL</t>
  </si>
  <si>
    <t>KINGWOOD TOWNSHIP BD OF ED</t>
  </si>
  <si>
    <t>LEBANON BOROUGH BD OF ED</t>
  </si>
  <si>
    <t>LEBANON TOWNSHIP BD OF ED</t>
  </si>
  <si>
    <t>MILFORD BOROUGH BD OF ED</t>
  </si>
  <si>
    <t>NORTH HUNTERDON-VOORHEES</t>
  </si>
  <si>
    <t>READINGTON TWP BD OF ED</t>
  </si>
  <si>
    <t>SOUTH HUNTERDON REG SCH DIST</t>
  </si>
  <si>
    <t>TEWKSBURY TWP BD OF ED</t>
  </si>
  <si>
    <t>UNION TWP OF ED (HUNTERDON)</t>
  </si>
  <si>
    <t>EAST WINDSOR REG SCHOOL DIST</t>
  </si>
  <si>
    <t>EWING TOWNSHIP BD OF ED</t>
  </si>
  <si>
    <t>FOUNDATION ACADEMY CHARTER SCHL</t>
  </si>
  <si>
    <t>HAMILTON TWP BD OF ED (MERCER)</t>
  </si>
  <si>
    <t>HOPEWELL VALLEY REG SCH DIST</t>
  </si>
  <si>
    <t>INTERNAT. ACAD. OF TRENTON C/S</t>
  </si>
  <si>
    <t>INTERNATIONAL CHARTER SCHOOL</t>
  </si>
  <si>
    <t>LAWRENCE TWP BD OF ED (MERCER)</t>
  </si>
  <si>
    <t>MERCER CO SPECIAL SER SCH DIST</t>
  </si>
  <si>
    <t>MERCER CO VOCATIONAL SCHOOLS</t>
  </si>
  <si>
    <t>PACE CHARTER SCHOOL OF HAMILTON</t>
  </si>
  <si>
    <t>PAUL ROBESON CHTR SCHOOL</t>
  </si>
  <si>
    <t>PRINCETON BOARD OF EDUCATION</t>
  </si>
  <si>
    <t>PRINCETON CHARTER SCHOOL</t>
  </si>
  <si>
    <t>ROBBINSVILLE TWP BD OF ED</t>
  </si>
  <si>
    <t>TRENTON CITY BD OF ED</t>
  </si>
  <si>
    <t>TRENTON STEM TO CIVICS CHARTER</t>
  </si>
  <si>
    <t>VILLAGE CHARTER SCHOOL</t>
  </si>
  <si>
    <t>WEST WINDSOR PLAINSBORO REG</t>
  </si>
  <si>
    <t>ACADEMY FOR URBAN LEADERSHIP</t>
  </si>
  <si>
    <t>CARTERET BD OF ED</t>
  </si>
  <si>
    <t>CRANBURY TOWNSHIP BD OF ED</t>
  </si>
  <si>
    <t>DUNELLEN BOARD OF EDUCATION</t>
  </si>
  <si>
    <t>EAST BRUNSWICK TWP BD OF ED</t>
  </si>
  <si>
    <t>EDISON TWP BD OF ED</t>
  </si>
  <si>
    <t>EDUCATIONAL SERV.COMM OF NJ</t>
  </si>
  <si>
    <t>GREATER BRUNSWICK CHART.SCHOOL</t>
  </si>
  <si>
    <t>HATIKVAH INTERNATL ACAD CHRTR</t>
  </si>
  <si>
    <t>HIGHLAND PARK BD OF ED</t>
  </si>
  <si>
    <t>JAMESBURG BOROUGH BD OF ED</t>
  </si>
  <si>
    <t>METUCHEN BORO BD OF ED</t>
  </si>
  <si>
    <t>MIDDLESEX BD OF ED</t>
  </si>
  <si>
    <t>MIDDLESEX CO VOCATIONAL SCHOOL</t>
  </si>
  <si>
    <t>MILLTOWN BOROUGH BD OF ED</t>
  </si>
  <si>
    <t>MONROE TWP BD OF ED (MIDDLESEX)</t>
  </si>
  <si>
    <t>NEW BRUNSWICK BD OF ED</t>
  </si>
  <si>
    <t>NORTH BRUNSWICK BD OF ED</t>
  </si>
  <si>
    <t>OLD BRIDGE BD OF ED</t>
  </si>
  <si>
    <t>PERTH AMBOY BD OF ED</t>
  </si>
  <si>
    <t>PISCATAWAY BD OF ED ADMN BLDG</t>
  </si>
  <si>
    <t>SAYREVILLE BD OF ED_SELOVER ELM</t>
  </si>
  <si>
    <t>SOUTH AMBOY BD OF ED</t>
  </si>
  <si>
    <t>SOUTH BRUNSWICK BD OF ED</t>
  </si>
  <si>
    <t>SOUTH PLAINFIELD BD OF ED</t>
  </si>
  <si>
    <t>SOUTH RIVER BORO BD OF ED</t>
  </si>
  <si>
    <t>SPOTSWOOD BD OF ED</t>
  </si>
  <si>
    <t>WOODBRIDGE TOWNSHIP BD OF ED</t>
  </si>
  <si>
    <t>ACADEMY CHARTER HIGH SCHOOL</t>
  </si>
  <si>
    <t>ASBURY PARK BD OF ED</t>
  </si>
  <si>
    <t>ATLANTIC HIGHLANDS BD OF ED</t>
  </si>
  <si>
    <t>AVON BY THE SEA BORO BD OF ED</t>
  </si>
  <si>
    <t>BELMAR BORO BD OF ED</t>
  </si>
  <si>
    <t>BRADLEY BEACH BD OF ED</t>
  </si>
  <si>
    <t>BRIELLE BORO BD OF ED</t>
  </si>
  <si>
    <t>COLTS NECK TWP BD OF ED</t>
  </si>
  <si>
    <t>DEAL BORO BD OF ED</t>
  </si>
  <si>
    <t>EATONTOWN BD OF ED</t>
  </si>
  <si>
    <t>FAIR HAVEN BOROUGH BD OF ED</t>
  </si>
  <si>
    <t>FARMINGDALE BD OF ED</t>
  </si>
  <si>
    <t>FREEHOLD BORO BD OF ED</t>
  </si>
  <si>
    <t>FREEHOLD REG H S DISTRICT</t>
  </si>
  <si>
    <t>FREEHOLD TWP BD OF ED</t>
  </si>
  <si>
    <t>HAZLET TWP BD OF ED</t>
  </si>
  <si>
    <t>HENRY HUDSON REG SCH DIST</t>
  </si>
  <si>
    <t>HIGHLANDS BORO BD OF ED</t>
  </si>
  <si>
    <t>HOLMDEL TOWNSHIP BD OF ED</t>
  </si>
  <si>
    <t>HOPE ACADEMY CHARTER SCHOOL</t>
  </si>
  <si>
    <t>HOWELL TWP BD OF ED</t>
  </si>
  <si>
    <t>KEANSBURG BOARD OF EDUCATION</t>
  </si>
  <si>
    <t>KEYPORT BOROUGH BD OF ED</t>
  </si>
  <si>
    <t>LITTLE SILVER BD OF ED</t>
  </si>
  <si>
    <t>LONG BRANCH BD OF ED</t>
  </si>
  <si>
    <t>MANALAPAN ENGLISHTOWN REGIONAL</t>
  </si>
  <si>
    <t>MANASQUAN BOROUGH BD OF ED</t>
  </si>
  <si>
    <t>MARLBORO TOWNSHIP BD OF ED</t>
  </si>
  <si>
    <t>MATAWAN-ABERDEEN REG SCHOOL</t>
  </si>
  <si>
    <t>MIDDLETOWN TWP BD OF ED</t>
  </si>
  <si>
    <t>MILLSTONE TOWNSHIP BD OF ED</t>
  </si>
  <si>
    <t>MONMOUTH BEACH BD OF ED</t>
  </si>
  <si>
    <t>MONMOUTH CO VOCATIONAL SCHOOLS</t>
  </si>
  <si>
    <t>MONMOUTH REGIONAL SCHOOL</t>
  </si>
  <si>
    <t>NEPTUNE CITY BD OF ED</t>
  </si>
  <si>
    <t>NEPTUNE TWP BD OF ED</t>
  </si>
  <si>
    <t>OCEAN TWP BD OF ED (MONMOUTH)</t>
  </si>
  <si>
    <t>OCEANPORT SCHOOLS</t>
  </si>
  <si>
    <t>RED BANK BD OF ED</t>
  </si>
  <si>
    <t>RED BANK CHARTER SCHOOL</t>
  </si>
  <si>
    <t>RED BANK REGIONAL HIGH SCHOOL</t>
  </si>
  <si>
    <t>ROOSEVELT BOROUGH BD OF ED</t>
  </si>
  <si>
    <t>RUMSON BORO BD OF ED</t>
  </si>
  <si>
    <t>RUMSON FAIR HAVEN REGIONAL H.S.</t>
  </si>
  <si>
    <t>SEA GIRT BD OF ED</t>
  </si>
  <si>
    <t>SHORE REGIONAL H S DISTRICT</t>
  </si>
  <si>
    <t>SHREWSBURY BOROUGH BD OF ED</t>
  </si>
  <si>
    <t>SPRING LAKE BORO BD OF ED</t>
  </si>
  <si>
    <t>SPRING LAKE HEIGHTS BD OF ED</t>
  </si>
  <si>
    <t>TINTON FALLS BOARD OF EDUCATION</t>
  </si>
  <si>
    <t>UNION BEACH BORO BD OF ED</t>
  </si>
  <si>
    <t>UPPER FREEHOLD REGIONAL</t>
  </si>
  <si>
    <t>WALL TOWNSHIP BD OF ED</t>
  </si>
  <si>
    <t>WEST LONG BRANCH BD OF ED</t>
  </si>
  <si>
    <t>BOONTON TOWN BD OF ED</t>
  </si>
  <si>
    <t>BOONTON TWP BD OF ED</t>
  </si>
  <si>
    <t>BUTLER BORO BD OF ED</t>
  </si>
  <si>
    <t>CHATHAMS SCHOOL DISTRICT</t>
  </si>
  <si>
    <t>CHESTER TWP BD OF ED</t>
  </si>
  <si>
    <t>DENVILLE TWP BD OF ED</t>
  </si>
  <si>
    <t>DOVER BD OF ED</t>
  </si>
  <si>
    <t>EAST HANOVER TWP BD OF ED</t>
  </si>
  <si>
    <t>FLORHAM PARK BD OF ED</t>
  </si>
  <si>
    <t>HANOVER PARK REG H S DIST</t>
  </si>
  <si>
    <t>HANOVER TOWNSHIP BD OF ED</t>
  </si>
  <si>
    <t>HARDING TOWNSHIP BD OF ED</t>
  </si>
  <si>
    <t>JEFFERSON TOWNSHIP BD OF ED</t>
  </si>
  <si>
    <t>KINNELON BOROUGH BD OF ED</t>
  </si>
  <si>
    <t>LINCOLN PARK BORO BD OF ED</t>
  </si>
  <si>
    <t>LONG HILL TWP BD OF ED</t>
  </si>
  <si>
    <t>MADISON BORO BD OF ED</t>
  </si>
  <si>
    <t>MENDHAM BORO BD OF ED</t>
  </si>
  <si>
    <t>MENDHAM TOWNSHIP BD OF ED</t>
  </si>
  <si>
    <t>MINE HILL TWP BD OF ED</t>
  </si>
  <si>
    <t>MONTVILLE TWP BD OF ED</t>
  </si>
  <si>
    <t>MORRIS CO EDUC SERVICES COMM</t>
  </si>
  <si>
    <t>MORRIS CO VOCATIONAL SCH DIST</t>
  </si>
  <si>
    <t>MORRIS HILLS REGIONAL DISTRICT</t>
  </si>
  <si>
    <t>MORRIS PLAINS BD OF ED</t>
  </si>
  <si>
    <t>MORRIS SCHOOL DISTRICT</t>
  </si>
  <si>
    <t>MOUNT ARLINGTON BD OF ED</t>
  </si>
  <si>
    <t>MOUNT OLIVE TWP BD OF ED</t>
  </si>
  <si>
    <t>MOUNTAIN LAKES BORO BD OF ED</t>
  </si>
  <si>
    <t>NETCONG BOROUGH BD OF ED</t>
  </si>
  <si>
    <t>PARSIPPANY TROY HILLS BD OF ED</t>
  </si>
  <si>
    <t>PEQUANNOCK TWP BD OF ED</t>
  </si>
  <si>
    <t>RANDOLPH TOWNSHIP BD OF ED</t>
  </si>
  <si>
    <t>RIVERDALE BOROUGH BD OF ED</t>
  </si>
  <si>
    <t>ROCKAWAY BOROUGH BD OF ED</t>
  </si>
  <si>
    <t>ROCKAWAY TOWNSHIP BD OF ED</t>
  </si>
  <si>
    <t>ROXBURY TWP BD OF ED</t>
  </si>
  <si>
    <t>WASHINGTON TWP BD ED (MORRIS)</t>
  </si>
  <si>
    <t>WEST MORRIS REG H S DIST</t>
  </si>
  <si>
    <t>WHARTON BOROUGH BD OF ED</t>
  </si>
  <si>
    <t>BARNEGAT TWP BD OF ED</t>
  </si>
  <si>
    <t>BAY HEAD BD OF ED</t>
  </si>
  <si>
    <t>BEACH HAVEN BOROUGH BD OF ED</t>
  </si>
  <si>
    <t>BERKELEY TWP BD OF ED</t>
  </si>
  <si>
    <t>BRICK TWP BD OF ED</t>
  </si>
  <si>
    <t>CENTRAL REGIONAL H S DIST</t>
  </si>
  <si>
    <t>EAGLESWOOD TWP BD OF ED</t>
  </si>
  <si>
    <t>ISLAND HEIGHTS BORO BD OF ED</t>
  </si>
  <si>
    <t>JACKSON TOWNSHIP BD OF ED</t>
  </si>
  <si>
    <t>LACEY TOWNSHIP BD OF ED</t>
  </si>
  <si>
    <t>LAKEHURST BOROUGH BD OF ED</t>
  </si>
  <si>
    <t>LAKEWOOD TWP BD OF ED</t>
  </si>
  <si>
    <t>LAVALLETTE BOROUGH BD OF ED</t>
  </si>
  <si>
    <t>LITTLE EGG HARBOR TWP BD OF ED</t>
  </si>
  <si>
    <t>LONG BEACH ISLAND BD OF ED</t>
  </si>
  <si>
    <t>MANCHESTER TOWNSHIP BD OF ED</t>
  </si>
  <si>
    <t>OCEAN COUNTY VOCATIONAL SCHOOL</t>
  </si>
  <si>
    <t>OCEAN GATE BD OF ED</t>
  </si>
  <si>
    <t>OCEAN TWP BD OF ED (OCEAN)</t>
  </si>
  <si>
    <t>PINELANDS REG SCHOOL DISTRICT</t>
  </si>
  <si>
    <t>PLUMSTED TWP BD OF ED</t>
  </si>
  <si>
    <t>POINT PLEASANT BEACH BD OF ED</t>
  </si>
  <si>
    <t>POINT PLEASANT BORO BD OF ED</t>
  </si>
  <si>
    <t>SEASIDE HEIGHTS BD OF ED</t>
  </si>
  <si>
    <t>SEASIDE PARK BD OF ED</t>
  </si>
  <si>
    <t>SOUTHERN REGIONAL H S DISTRICT</t>
  </si>
  <si>
    <t>STAFFORD TOWNSHIP BD OF ED</t>
  </si>
  <si>
    <t>TOMS RIVER SCHOOL DIST</t>
  </si>
  <si>
    <t>TUCKERTON BORO BD OF ED</t>
  </si>
  <si>
    <t>BLOOMINGDALE BD OF ED</t>
  </si>
  <si>
    <t>CLASSICAL ACAD. CHARTER SCHOOL</t>
  </si>
  <si>
    <t>CLIFTON CITY BD OF ED</t>
  </si>
  <si>
    <t>COMMUNITY CH SCHOOL OF PATERSON</t>
  </si>
  <si>
    <t>HALEDON BOROUGH BD OF ED</t>
  </si>
  <si>
    <t>HAWTHORNE BD OF ED</t>
  </si>
  <si>
    <t>JOHN P HOLLAND CHARTER SCHOOL</t>
  </si>
  <si>
    <t>LAKELAND REGIONAL H S DIST</t>
  </si>
  <si>
    <t>LITTLE FALLS BD OF ED</t>
  </si>
  <si>
    <t>NORTH HALEDON BORO BD OF ED</t>
  </si>
  <si>
    <t>PASSAIC ARTS &amp; SCIENCE CHTR SCH</t>
  </si>
  <si>
    <t>PASSAIC BOARD OF EDUCATION</t>
  </si>
  <si>
    <t>PASSAIC CO MANCHESTER REG HIGH</t>
  </si>
  <si>
    <t>PASSAIC CO REGIONAL HS DIST 1</t>
  </si>
  <si>
    <t>PASSAIC CO VOCATIONAL SCHOOL</t>
  </si>
  <si>
    <t>PASSAIC CO. ED SERV COMMISION</t>
  </si>
  <si>
    <t>PATERSON BD OF ED</t>
  </si>
  <si>
    <t>PATERSON CHART SCH-SCIENCE/TECH</t>
  </si>
  <si>
    <t>POMPTON LAKES BD OF ED</t>
  </si>
  <si>
    <t>PROSPECT PARK BD OF ED</t>
  </si>
  <si>
    <t>RINGWOOD BORO BD OF ED</t>
  </si>
  <si>
    <t>TOTOWA BOROUGH BD OF ED</t>
  </si>
  <si>
    <t>WANAQUE BD OF ED</t>
  </si>
  <si>
    <t>WAYNE BOARD OF EDUCATION</t>
  </si>
  <si>
    <t>WEST MILFORD TOWNSHIP BD OF ED</t>
  </si>
  <si>
    <t>WOODLAND PARK BD OF ED</t>
  </si>
  <si>
    <t>ALLOWAY TWP BD OF ED</t>
  </si>
  <si>
    <t>ELSINBORO TOWNSHIP BD OF ED</t>
  </si>
  <si>
    <t>LOWER ALLOWAYS CREEK BD OF ED</t>
  </si>
  <si>
    <t>MANNINGTON TOWNSHIP BD OF ED</t>
  </si>
  <si>
    <t>OLDMANS TWP BD OF ED</t>
  </si>
  <si>
    <t>PENNS GROVE CARNEYS POINT REG</t>
  </si>
  <si>
    <t>PENNSVILLE TWP BD OF ED</t>
  </si>
  <si>
    <t>PITTSGROVE TWP BD OF ED</t>
  </si>
  <si>
    <t>QUINTON TOWNSHIP BD OF ED</t>
  </si>
  <si>
    <t>SALEM CITY BD OF ED</t>
  </si>
  <si>
    <t>SALEM CO SP SERVICES SCH DIST</t>
  </si>
  <si>
    <t>SALEM CO VOCATIONAL TECH SCHOOL</t>
  </si>
  <si>
    <t>UPPER PITTSGROVE TWP BD OF ED</t>
  </si>
  <si>
    <t>WOODSTOWN-PILESGROVE REG SCH</t>
  </si>
  <si>
    <t>BEDMINSTER TWP BD OF ED</t>
  </si>
  <si>
    <t>BERNARDS TWP BD OF ED</t>
  </si>
  <si>
    <t>BOUND BROOK BORO BD OF ED</t>
  </si>
  <si>
    <t>BRANCHBURG TWP BD OF ED</t>
  </si>
  <si>
    <t>BRIDGEWATER-RARITAN REG SCH DIS</t>
  </si>
  <si>
    <t>CENTRAL JERSEY COLL PREP CHRTR</t>
  </si>
  <si>
    <t>FRANKLIN TWP BD OF ED (SOMERST)</t>
  </si>
  <si>
    <t>GREEN BROOK BD OF ED</t>
  </si>
  <si>
    <t>HILLSBOROUGH TWP BD OF ED</t>
  </si>
  <si>
    <t>MANVILLE BOROUGH BD OF ED</t>
  </si>
  <si>
    <t>MONTGOMERY TWP BD OF ED</t>
  </si>
  <si>
    <t>NORTH PLAINFIELD BD OF ED</t>
  </si>
  <si>
    <t>SOMERSET CO ED CTNL SRVC COMM</t>
  </si>
  <si>
    <t>SOMERSET CO VOCATIONAL SCHOOL</t>
  </si>
  <si>
    <t>SOMERSET HILLS BD OF ED</t>
  </si>
  <si>
    <t>SOMERVILLE BD OF ED</t>
  </si>
  <si>
    <t>SOUTH BOUND BROOK BD OF ED</t>
  </si>
  <si>
    <t>THOMAS EDISON ENERGY-SMART CHTR</t>
  </si>
  <si>
    <t>WARREN TOWNSHIP BD OF ED</t>
  </si>
  <si>
    <t>WATCHUNG BOROUGH BD OF ED</t>
  </si>
  <si>
    <t>WATCHUNG HILLS REGIONAL H S</t>
  </si>
  <si>
    <t>ANDOVER REGIONAL BD OF ED</t>
  </si>
  <si>
    <t>BYRAM TWP BD OF ED</t>
  </si>
  <si>
    <t>FRANKFORD TOWNSHIP BD OF ED</t>
  </si>
  <si>
    <t>FRANKLIN BORO BD OF ED</t>
  </si>
  <si>
    <t>FREDON TOWNSHIP BD OF ED</t>
  </si>
  <si>
    <t>GREEN TOWNSHIP BD OF ED</t>
  </si>
  <si>
    <t>HAMBURG BOROUGH BD OF ED</t>
  </si>
  <si>
    <t>HAMPTON TOWNSHIP BD OF ED</t>
  </si>
  <si>
    <t>HARDYSTON TOWNSHIP BD OF ED</t>
  </si>
  <si>
    <t>HIGH POINT REG HIGH SCHOOL</t>
  </si>
  <si>
    <t>HOPATCONG BOARD OF EDUCATION</t>
  </si>
  <si>
    <t>KITTATINNY REGIONAL H S</t>
  </si>
  <si>
    <t>LAFAYETTE BOARD OF EDUCATION</t>
  </si>
  <si>
    <t>LENAPE VALLEY REG H S DIST</t>
  </si>
  <si>
    <t>MONTAGUE BD OF ED</t>
  </si>
  <si>
    <t>NEWTON BD OF ED</t>
  </si>
  <si>
    <t>OGDENSBURG BD OF ED</t>
  </si>
  <si>
    <t>SANDYSTON WALPACK SCHOOL DIST</t>
  </si>
  <si>
    <t>SPARTA BD OF ED</t>
  </si>
  <si>
    <t>STANHOPE BOROUGH BD OF ED</t>
  </si>
  <si>
    <t>STILLWATER TOWNSHIP BD OF ED</t>
  </si>
  <si>
    <t>SUSSEX CO ED SERV COMM BD OF ED</t>
  </si>
  <si>
    <t>SUSSEX COUNTY CHARTER SCHOOL</t>
  </si>
  <si>
    <t>SUSSEX COUNTY VOCATIONAL</t>
  </si>
  <si>
    <t>SUSSEX-WANTAGE REG SCH DIST</t>
  </si>
  <si>
    <t>UNITY CHARTER SCHOOL</t>
  </si>
  <si>
    <t>VERNON TOWNSHIP BD OF ED</t>
  </si>
  <si>
    <t>WALLKILL VALL REG H S</t>
  </si>
  <si>
    <t>BARACK OBAMA GREEN CHARTER H.S.</t>
  </si>
  <si>
    <t>BERKELEY HEIGHTS BD OF ED</t>
  </si>
  <si>
    <t>CENTRAL JERSEY ARTS CHARTER SCH</t>
  </si>
  <si>
    <t>CLARK TWP BD OF ED</t>
  </si>
  <si>
    <t>CRANFORD TWP BD OF ED</t>
  </si>
  <si>
    <t>ELIZABETH BD OF ED</t>
  </si>
  <si>
    <t>GARWOOD BOROUGH BD OF ED</t>
  </si>
  <si>
    <t>HILLSIDE BOARD OF EDUCATION</t>
  </si>
  <si>
    <t>KENILWORTH BOROUGH BD OF ED</t>
  </si>
  <si>
    <t>LINDEN CITY BD OF ED</t>
  </si>
  <si>
    <t>MOUNTAINSIDE BORO BD OF ED</t>
  </si>
  <si>
    <t>NEW PROVIDENCE BD OF ED</t>
  </si>
  <si>
    <t>PLAINFIELD BD OF ED</t>
  </si>
  <si>
    <t>QUEEN CITY ACADEMY CHARTER SCH</t>
  </si>
  <si>
    <t>RAHWAY CITY BD OF ED</t>
  </si>
  <si>
    <t>ROSELLE BORO BD OF ED</t>
  </si>
  <si>
    <t>ROSELLE PARK BORO BD OF ED</t>
  </si>
  <si>
    <t>SCOTCH PLAINS FANWOOD BD OF ED</t>
  </si>
  <si>
    <t>SPRINGFIELD TWP BD ED (UNION)</t>
  </si>
  <si>
    <t>SUMMIT BOARD OF EDUCATION</t>
  </si>
  <si>
    <t>UNION CO EDUC SERV COMMISSION</t>
  </si>
  <si>
    <t>UNION CO VOCATIONAL SCHOOLS</t>
  </si>
  <si>
    <t>UNION COUNTY TEAMS CHARTER SCHL</t>
  </si>
  <si>
    <t>UNION TWP BD OF ED (UNION)</t>
  </si>
  <si>
    <t>WESTFIELD TOWN BD OF ED</t>
  </si>
  <si>
    <t>WINFIELD TOWNSHIP BD OF ED</t>
  </si>
  <si>
    <t>ALLAMUCHY BD OF ED</t>
  </si>
  <si>
    <t>ALPHA BD OF ED</t>
  </si>
  <si>
    <t>BELVIDERE TOWN BD OF ED</t>
  </si>
  <si>
    <t>BLAIRSTOWN TWP BD OF ED</t>
  </si>
  <si>
    <t>FRANKLIN TWP BD OF ED (WARREN)</t>
  </si>
  <si>
    <t>FRELINGHUYSEN TWP BD OF ED</t>
  </si>
  <si>
    <t>GREAT MEADOWS REGIONAL BD OF ED</t>
  </si>
  <si>
    <t>GREENWICH TWP BD OF ED (WARREN)</t>
  </si>
  <si>
    <t>HACKETTSTOWN BD OF ED</t>
  </si>
  <si>
    <t>HARMONY TOWNSHIP BD OF ED</t>
  </si>
  <si>
    <t>HOPE TWP BD OF ED</t>
  </si>
  <si>
    <t>KNOWLTON TWP BD OF ED</t>
  </si>
  <si>
    <t>LOPATCONG TOWNSHIP BD OF ED</t>
  </si>
  <si>
    <t>MANSFIELD TWP BD OF ED (WARREN)</t>
  </si>
  <si>
    <t>NORTH WARREN REG HIGH SCHOOL</t>
  </si>
  <si>
    <t>OXFORD TWP BD OF ED</t>
  </si>
  <si>
    <t>PHILLIPSBURG TOWN BD OF ED</t>
  </si>
  <si>
    <t>POHATCONG TWP BOE</t>
  </si>
  <si>
    <t>RIDGE AND VALLEY CHARTER SCHOOL</t>
  </si>
  <si>
    <t>WARREN CO SP SERVICES SCH DIST</t>
  </si>
  <si>
    <t>WARREN CO VOCATIONAL SCHOOL</t>
  </si>
  <si>
    <t>WARREN HILLS REG SCHOOLS</t>
  </si>
  <si>
    <t>WASHINGTON BORO BD OF ED</t>
  </si>
  <si>
    <t>WASHINGTON TWP BD ED (WARREN)</t>
  </si>
  <si>
    <t>WHITE TOWNSHIP BD OF ED</t>
  </si>
  <si>
    <t>BAYSHORE JOINTURE COMMISSION</t>
  </si>
  <si>
    <t>MONMOUTH OCEAN ED SERV COMM</t>
  </si>
  <si>
    <t>MORRIS-UNION JOINTURE COMM</t>
  </si>
  <si>
    <t>INTERN.ACAD OF ATLANT.CITY C/S</t>
  </si>
  <si>
    <t>MANSFIELD TWP BD ED (BURL)</t>
  </si>
  <si>
    <t>FAIRFIELD TWP BD ED (CUMBERLAND)</t>
  </si>
  <si>
    <t>FRANKLIN TWP BD OF ED (GLOUCESTER)</t>
  </si>
  <si>
    <t>GREENWICH TWP BD ED (GLOUCESTER)</t>
  </si>
  <si>
    <t>MONROE TWP BD OF ED (GLOUCESTER)</t>
  </si>
  <si>
    <t>WASHINGTON TWP BD OF ED (GLOUCESTER)</t>
  </si>
  <si>
    <t>EMPOWERMENT ACADEMY C/S INC.</t>
  </si>
  <si>
    <t>HARRISON TOWN BD OF ED (HUDSON)</t>
  </si>
  <si>
    <t>HUDSON ARTS &amp; SCIENCES C/S</t>
  </si>
  <si>
    <t>FRANKLIN TWP BD OF ED (HUNTERDON)</t>
  </si>
  <si>
    <t>FRANKLIN TWP BD OF ED (SOMERSET)</t>
  </si>
  <si>
    <t>COLLEGE ACHIEVE CENTRAL C/S</t>
  </si>
  <si>
    <t>CRESTHAVEN ACADEMY CHARTER SCHO</t>
  </si>
  <si>
    <t>COLLEGE ACHIEVE PATERSON C/S</t>
  </si>
  <si>
    <t>PHILIPS ACADEMY C/S OF PATERSON</t>
  </si>
  <si>
    <t>LEAD CHARTER SCHOOL</t>
  </si>
  <si>
    <t>COLLEGE ACHIEVE GREATER ASBURY</t>
  </si>
  <si>
    <t>OCEAN ACADEMY CHARTER SCHOOL</t>
  </si>
  <si>
    <t>ACHIEVE COMMUNITY CHART. SCHOOL</t>
  </si>
  <si>
    <t>ACHIEVERS EARLY COLLEGE PREP</t>
  </si>
  <si>
    <t>CREATIVITY COLABORATORY C/S</t>
  </si>
  <si>
    <t>KIPP COOPER NORCROSS ACADEMY</t>
  </si>
  <si>
    <t>MASTERY SCHOOLS OF CAMDEN</t>
  </si>
  <si>
    <t>CAMDEN PREP</t>
  </si>
  <si>
    <t>ETHICAL COMM CHRTR SCHL – J.C.</t>
  </si>
  <si>
    <t>LEAID</t>
  </si>
  <si>
    <t>state_contributions</t>
  </si>
  <si>
    <t>district_name</t>
  </si>
  <si>
    <t>New Jersey</t>
  </si>
  <si>
    <t>state</t>
  </si>
  <si>
    <t>Employer</t>
  </si>
  <si>
    <t>ID</t>
  </si>
  <si>
    <t>County</t>
  </si>
  <si>
    <t>Allocation</t>
  </si>
  <si>
    <t>Kean University</t>
  </si>
  <si>
    <t>Montclair State University</t>
  </si>
  <si>
    <t>New Jersey City University</t>
  </si>
  <si>
    <t>New Jersey Institute of Technology</t>
  </si>
  <si>
    <t>Rowan University</t>
  </si>
  <si>
    <t>The College of New Jersey</t>
  </si>
  <si>
    <t>William Paterson University of New Jersey</t>
  </si>
  <si>
    <t>Atlantic</t>
  </si>
  <si>
    <t>Oceanside Charter School</t>
  </si>
  <si>
    <t>Bergen</t>
  </si>
  <si>
    <t>Bergen Community College</t>
  </si>
  <si>
    <t>Burlington</t>
  </si>
  <si>
    <t>Camden</t>
  </si>
  <si>
    <t>Institute For Excellence Ch Sch</t>
  </si>
  <si>
    <t>Cape May</t>
  </si>
  <si>
    <t>Cumberland</t>
  </si>
  <si>
    <t>Cumberland County College</t>
  </si>
  <si>
    <t>100 Legacy Academy Charter School</t>
  </si>
  <si>
    <t>Essex</t>
  </si>
  <si>
    <t>Gloucester</t>
  </si>
  <si>
    <t>Hudson</t>
  </si>
  <si>
    <t>Liberty Academy Charter School</t>
  </si>
  <si>
    <t>Hunterdon</t>
  </si>
  <si>
    <t>Mercer</t>
  </si>
  <si>
    <t>Mercer Co Community College</t>
  </si>
  <si>
    <t>Middlesex</t>
  </si>
  <si>
    <t>Middlesex County College</t>
  </si>
  <si>
    <t>Monmouth</t>
  </si>
  <si>
    <t>Morris</t>
  </si>
  <si>
    <t>Ocean</t>
  </si>
  <si>
    <t>Passaic</t>
  </si>
  <si>
    <t>Salem</t>
  </si>
  <si>
    <t>Somerset</t>
  </si>
  <si>
    <t>Sussex</t>
  </si>
  <si>
    <t>Union</t>
  </si>
  <si>
    <t>Union County College</t>
  </si>
  <si>
    <t>Warren</t>
  </si>
  <si>
    <t>Adelaide Sanford Charter School</t>
  </si>
  <si>
    <t>Multiple</t>
  </si>
  <si>
    <t>Philips Academy Charter School</t>
  </si>
  <si>
    <t>Institute for Excellence Charter School</t>
  </si>
  <si>
    <t>KEAN UNIVERSITY</t>
  </si>
  <si>
    <t>MONTCLAIR STATE UNIVERSITY</t>
  </si>
  <si>
    <t>NEW JERSEY CITY UNIVERSITY</t>
  </si>
  <si>
    <t>NJ INSTITUTE OF TECHNOLOGY</t>
  </si>
  <si>
    <t>ROWAN UNIVERSITY</t>
  </si>
  <si>
    <t>THE COLLEGE OF NEW JERSEY</t>
  </si>
  <si>
    <t>WILLIAM PATERSON UNIV OF NJ</t>
  </si>
  <si>
    <t>ATLANTIC</t>
  </si>
  <si>
    <t>OCEANSIDE CHARTER SCHOOL</t>
  </si>
  <si>
    <t>BERGEN</t>
  </si>
  <si>
    <t>BERGEN COMMUNITY COLLEGE</t>
  </si>
  <si>
    <t>BURLINGTON</t>
  </si>
  <si>
    <t>CAMDEN</t>
  </si>
  <si>
    <t>INSTITUTE FOR EXCELLENCE CH SCH</t>
  </si>
  <si>
    <t>CAPE MAY</t>
  </si>
  <si>
    <t>CUMBERLAND</t>
  </si>
  <si>
    <t>CUMBERLAND COUNTY COLLEGE</t>
  </si>
  <si>
    <t>CUMBERLAND $</t>
  </si>
  <si>
    <t>ESSEX</t>
  </si>
  <si>
    <t>PHILIPS ACADEMY CHARTER SCHOOL</t>
  </si>
  <si>
    <t>GLOUCESTER</t>
  </si>
  <si>
    <t>GLOUCESTER $</t>
  </si>
  <si>
    <t>HUDSON</t>
  </si>
  <si>
    <t>LIBERTY ACADEMY CHARTER SCHOOL</t>
  </si>
  <si>
    <t>HUNTERDON</t>
  </si>
  <si>
    <t>MERCER</t>
  </si>
  <si>
    <t>MERCER CO COMMUNITY COLLEGE</t>
  </si>
  <si>
    <t>MIDDLESEX</t>
  </si>
  <si>
    <t>MIDDLESEX COUNTY COLLEGE</t>
  </si>
  <si>
    <t>MONMOUTH</t>
  </si>
  <si>
    <t>MORRIS</t>
  </si>
  <si>
    <t>OCEAN</t>
  </si>
  <si>
    <t>PASSAIC</t>
  </si>
  <si>
    <t>SALEM</t>
  </si>
  <si>
    <t>SOMERSET</t>
  </si>
  <si>
    <t>SUSSEX</t>
  </si>
  <si>
    <t>UNION</t>
  </si>
  <si>
    <t>UNION COUNTY COLLEGE</t>
  </si>
  <si>
    <t>WARREN</t>
  </si>
  <si>
    <t>MULTIPLE</t>
  </si>
  <si>
    <t>BURLINGTON $</t>
  </si>
  <si>
    <t>GASB 68 Reports</t>
  </si>
  <si>
    <t>Summed Formulas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</si>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</sst>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rgb="FF000000"/>
      <name val="Aptos Narrow"/>
      <scheme val="minor"/>
    </font>
    <font>
      <sz val="14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3" fillId="0" borderId="0" xfId="0" applyFont="1"/>
    <xf numFmtId="164" fontId="3" fillId="0" borderId="0" xfId="1" applyNumberFormat="1" applyFont="1"/>
    <xf numFmtId="1" fontId="3" fillId="0" borderId="0" xfId="1" applyNumberFormat="1" applyFont="1" applyBorder="1" applyAlignment="1">
      <alignment horizontal="right" vertical="center" wrapText="1"/>
    </xf>
    <xf numFmtId="1" fontId="2" fillId="0" borderId="0" xfId="1" applyNumberFormat="1" applyFont="1" applyBorder="1" applyAlignment="1">
      <alignment horizontal="right" vertical="center"/>
    </xf>
    <xf numFmtId="1" fontId="2" fillId="0" borderId="0" xfId="1" applyNumberFormat="1" applyFont="1" applyFill="1" applyBorder="1" applyAlignment="1">
      <alignment horizontal="right" vertical="center"/>
    </xf>
    <xf numFmtId="1" fontId="3" fillId="0" borderId="0" xfId="1" applyNumberFormat="1" applyFont="1" applyAlignment="1">
      <alignment horizontal="right" vertical="center"/>
    </xf>
    <xf numFmtId="164" fontId="0" fillId="0" borderId="0" xfId="1" applyNumberFormat="1" applyFont="1"/>
    <xf numFmtId="164" fontId="3" fillId="0" borderId="0" xfId="1" applyNumberFormat="1" applyFont="1" applyBorder="1" applyAlignment="1">
      <alignment horizontal="right" vertical="center" wrapText="1"/>
    </xf>
    <xf numFmtId="3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 applyBorder="1"/>
    <xf numFmtId="0" fontId="4" fillId="0" borderId="0" xfId="0" applyFont="1" applyBorder="1"/>
    <xf numFmtId="0" fontId="5" fillId="0" borderId="0" xfId="0" applyFont="1" applyBorder="1"/>
    <xf numFmtId="6" fontId="4" fillId="0" borderId="0" xfId="0" applyNumberFormat="1" applyFont="1" applyBorder="1"/>
    <xf numFmtId="3" fontId="4" fillId="0" borderId="0" xfId="0" applyNumberFormat="1" applyFont="1" applyBorder="1"/>
    <xf numFmtId="0" fontId="5" fillId="0" borderId="0" xfId="0" applyFont="1" applyBorder="1" applyAlignment="1">
      <alignment vertical="center" wrapText="1"/>
    </xf>
    <xf numFmtId="6" fontId="5" fillId="0" borderId="0" xfId="0" applyNumberFormat="1" applyFont="1" applyBorder="1" applyAlignment="1">
      <alignment horizontal="right" vertical="center" wrapText="1"/>
    </xf>
    <xf numFmtId="3" fontId="5" fillId="0" borderId="0" xfId="0" applyNumberFormat="1" applyFont="1" applyBorder="1" applyAlignment="1">
      <alignment horizontal="right" vertical="center" wrapText="1"/>
    </xf>
    <xf numFmtId="6" fontId="5" fillId="0" borderId="0" xfId="0" applyNumberFormat="1" applyFont="1" applyBorder="1" applyAlignment="1">
      <alignment horizontal="left" vertical="center" wrapText="1" indent="1"/>
    </xf>
    <xf numFmtId="0" fontId="5" fillId="0" borderId="0" xfId="0" applyFont="1" applyBorder="1" applyAlignment="1">
      <alignment horizontal="left" vertical="center" wrapText="1"/>
    </xf>
    <xf numFmtId="6" fontId="5" fillId="0" borderId="0" xfId="0" applyNumberFormat="1" applyFont="1" applyBorder="1" applyAlignment="1">
      <alignment horizontal="left" vertical="center" wrapText="1"/>
    </xf>
    <xf numFmtId="6" fontId="5" fillId="0" borderId="0" xfId="0" applyNumberFormat="1" applyFont="1" applyBorder="1" applyAlignment="1">
      <alignment vertical="center" wrapText="1"/>
    </xf>
    <xf numFmtId="0" fontId="4" fillId="0" borderId="0" xfId="0" applyFont="1" applyFill="1" applyBorder="1"/>
    <xf numFmtId="0" fontId="5" fillId="0" borderId="0" xfId="0" applyFont="1" applyBorder="1" applyAlignment="1">
      <alignment vertical="center"/>
    </xf>
    <xf numFmtId="164" fontId="0" fillId="0" borderId="0" xfId="0" applyNumberFormat="1"/>
    <xf numFmtId="0" fontId="6" fillId="0" borderId="0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CB1C9-4AF8-B243-B0A0-29C6A258B73A}">
  <sheetPr>
    <tabColor rgb="FF002060"/>
  </sheetPr>
  <dimension ref="A1:F6204"/>
  <sheetViews>
    <sheetView tabSelected="1" topLeftCell="A6079" workbookViewId="0">
      <selection activeCell="C6096" sqref="C6096"/>
    </sheetView>
  </sheetViews>
  <sheetFormatPr baseColWidth="10" defaultRowHeight="16" x14ac:dyDescent="0.2"/>
  <cols>
    <col min="3" max="3" width="38.33203125" bestFit="1" customWidth="1"/>
    <col min="5" max="5" width="16" bestFit="1" customWidth="1"/>
    <col min="6" max="6" width="12" bestFit="1" customWidth="1"/>
  </cols>
  <sheetData>
    <row r="1" spans="1:6" x14ac:dyDescent="0.2">
      <c r="A1" s="31" t="s">
        <v>1384</v>
      </c>
      <c r="B1" s="16" t="s">
        <v>0</v>
      </c>
      <c r="C1" s="16" t="s">
        <v>1389</v>
      </c>
      <c r="D1" s="16" t="s">
        <v>1390</v>
      </c>
      <c r="E1" s="16" t="s">
        <v>1391</v>
      </c>
      <c r="F1" s="16" t="s">
        <v>1392</v>
      </c>
    </row>
    <row r="2" spans="1:6" ht="16" customHeight="1" x14ac:dyDescent="0.2">
      <c r="A2" t="str">
        <f>IFERROR(VLOOKUP(C2,'GASB Match'!$D$2:$F$6042,3,FALSE),"")</f>
        <v/>
      </c>
      <c r="B2" s="17">
        <v>2015</v>
      </c>
      <c r="C2" s="17" t="s">
        <v>1410</v>
      </c>
      <c r="D2" s="17">
        <v>6105</v>
      </c>
      <c r="E2" s="17" t="s">
        <v>1411</v>
      </c>
      <c r="F2" s="20">
        <v>9100</v>
      </c>
    </row>
    <row r="3" spans="1:6" ht="16" customHeight="1" x14ac:dyDescent="0.2">
      <c r="A3">
        <f>IFERROR(VLOOKUP(C3,'GASB Match'!$D$2:$F$6042,3,FALSE),"")</f>
        <v>3400660</v>
      </c>
      <c r="B3" s="17">
        <v>2015</v>
      </c>
      <c r="C3" s="17" t="s">
        <v>1</v>
      </c>
      <c r="D3" s="17">
        <v>1020</v>
      </c>
      <c r="E3" s="17" t="s">
        <v>1400</v>
      </c>
      <c r="F3" s="20">
        <v>282904</v>
      </c>
    </row>
    <row r="4" spans="1:6" ht="16" customHeight="1" x14ac:dyDescent="0.2">
      <c r="A4">
        <f>IFERROR(VLOOKUP(C4,'GASB Match'!$D$2:$F$6042,3,FALSE),"")</f>
        <v>3400660</v>
      </c>
      <c r="B4" s="17">
        <v>2016</v>
      </c>
      <c r="C4" s="17" t="s">
        <v>1</v>
      </c>
      <c r="D4" s="17">
        <v>1020</v>
      </c>
      <c r="E4" s="17" t="s">
        <v>1400</v>
      </c>
      <c r="F4" s="20">
        <v>418086</v>
      </c>
    </row>
    <row r="5" spans="1:6" ht="16" customHeight="1" x14ac:dyDescent="0.2">
      <c r="A5">
        <f>IFERROR(VLOOKUP(C5,'GASB Match'!$D$2:$F$6042,3,FALSE),"")</f>
        <v>3400660</v>
      </c>
      <c r="B5" s="17">
        <v>2018</v>
      </c>
      <c r="C5" s="17" t="s">
        <v>679</v>
      </c>
      <c r="D5" s="17">
        <v>1020</v>
      </c>
      <c r="E5" s="17" t="s">
        <v>1441</v>
      </c>
      <c r="F5" s="20">
        <v>791517</v>
      </c>
    </row>
    <row r="6" spans="1:6" ht="16" customHeight="1" x14ac:dyDescent="0.2">
      <c r="A6">
        <f>IFERROR(VLOOKUP(C6,'GASB Match'!$D$2:$F$6042,3,FALSE),"")</f>
        <v>3400660</v>
      </c>
      <c r="B6" s="17">
        <v>2019</v>
      </c>
      <c r="C6" s="17" t="s">
        <v>679</v>
      </c>
      <c r="D6" s="17">
        <v>1020</v>
      </c>
      <c r="E6" s="17" t="s">
        <v>1441</v>
      </c>
      <c r="F6" s="20">
        <v>1113713</v>
      </c>
    </row>
    <row r="7" spans="1:6" ht="16" customHeight="1" x14ac:dyDescent="0.2">
      <c r="A7">
        <f>IFERROR(VLOOKUP(C7,'GASB Match'!$D$2:$F$6042,3,FALSE),"")</f>
        <v>3400660</v>
      </c>
      <c r="B7" s="17">
        <v>2020</v>
      </c>
      <c r="C7" s="21" t="s">
        <v>679</v>
      </c>
      <c r="D7" s="17">
        <v>1020</v>
      </c>
      <c r="E7" s="17" t="s">
        <v>1441</v>
      </c>
      <c r="F7" s="23">
        <v>1228260</v>
      </c>
    </row>
    <row r="8" spans="1:6" ht="16" customHeight="1" x14ac:dyDescent="0.2">
      <c r="A8">
        <f>IFERROR(VLOOKUP(C8,'GASB Match'!$D$2:$F$6042,3,FALSE),"")</f>
        <v>3400660</v>
      </c>
      <c r="B8" s="17">
        <v>2021</v>
      </c>
      <c r="C8" s="25" t="s">
        <v>679</v>
      </c>
      <c r="D8" s="17">
        <v>1020</v>
      </c>
      <c r="E8" s="17" t="s">
        <v>1441</v>
      </c>
      <c r="F8" s="23">
        <v>1670181</v>
      </c>
    </row>
    <row r="9" spans="1:6" ht="16" customHeight="1" x14ac:dyDescent="0.2">
      <c r="A9">
        <f>IFERROR(VLOOKUP(C9,'GASB Match'!$D$2:$F$6042,3,FALSE),"")</f>
        <v>3400660</v>
      </c>
      <c r="B9" s="17">
        <v>2022</v>
      </c>
      <c r="C9" s="21" t="s">
        <v>679</v>
      </c>
      <c r="D9" s="17">
        <v>1020</v>
      </c>
      <c r="E9" s="17" t="s">
        <v>1441</v>
      </c>
      <c r="F9" s="23">
        <v>2498460</v>
      </c>
    </row>
    <row r="10" spans="1:6" ht="16" customHeight="1" x14ac:dyDescent="0.2">
      <c r="A10">
        <f>IFERROR(VLOOKUP(C10,'GASB Match'!$D$2:$F$6042,3,FALSE),"")</f>
        <v>3400660</v>
      </c>
      <c r="B10" s="17">
        <v>2023</v>
      </c>
      <c r="C10" s="21" t="s">
        <v>679</v>
      </c>
      <c r="D10" s="17">
        <v>1020</v>
      </c>
      <c r="E10" s="17" t="s">
        <v>1441</v>
      </c>
      <c r="F10" s="23">
        <v>2580589</v>
      </c>
    </row>
    <row r="11" spans="1:6" ht="16" customHeight="1" x14ac:dyDescent="0.2">
      <c r="A11">
        <f>IFERROR(VLOOKUP(C11,'GASB Match'!$D$2:$F$6042,3,FALSE),"")</f>
        <v>3400660</v>
      </c>
      <c r="B11" s="28">
        <v>2017</v>
      </c>
      <c r="C11" s="29" t="s">
        <v>1</v>
      </c>
      <c r="D11" s="17">
        <v>1020</v>
      </c>
      <c r="E11" s="17" t="s">
        <v>1400</v>
      </c>
      <c r="F11" s="29">
        <v>606121</v>
      </c>
    </row>
    <row r="12" spans="1:6" ht="16" customHeight="1" x14ac:dyDescent="0.2">
      <c r="A12">
        <f>IFERROR(VLOOKUP(C12,'GASB Match'!$D$2:$F$6042,3,FALSE),"")</f>
        <v>3400048</v>
      </c>
      <c r="B12" s="17">
        <v>2015</v>
      </c>
      <c r="C12" s="17" t="s">
        <v>400</v>
      </c>
      <c r="D12" s="17">
        <v>311</v>
      </c>
      <c r="E12" s="17" t="s">
        <v>1420</v>
      </c>
      <c r="F12" s="20">
        <v>73554</v>
      </c>
    </row>
    <row r="13" spans="1:6" ht="16" customHeight="1" x14ac:dyDescent="0.2">
      <c r="A13">
        <f>IFERROR(VLOOKUP(C13,'GASB Match'!$D$2:$F$6042,3,FALSE),"")</f>
        <v>3400048</v>
      </c>
      <c r="B13" s="17">
        <v>2016</v>
      </c>
      <c r="C13" s="17" t="s">
        <v>400</v>
      </c>
      <c r="D13" s="17">
        <v>311</v>
      </c>
      <c r="E13" s="17" t="s">
        <v>1420</v>
      </c>
      <c r="F13" s="20">
        <v>107688</v>
      </c>
    </row>
    <row r="14" spans="1:6" ht="16" customHeight="1" x14ac:dyDescent="0.2">
      <c r="A14">
        <f>IFERROR(VLOOKUP(C14,'GASB Match'!$D$2:$F$6042,3,FALSE),"")</f>
        <v>3400048</v>
      </c>
      <c r="B14" s="17">
        <v>2018</v>
      </c>
      <c r="C14" s="17" t="s">
        <v>1092</v>
      </c>
      <c r="D14" s="17">
        <v>311</v>
      </c>
      <c r="E14" s="17" t="s">
        <v>1463</v>
      </c>
      <c r="F14" s="20">
        <v>225408</v>
      </c>
    </row>
    <row r="15" spans="1:6" ht="16" customHeight="1" x14ac:dyDescent="0.2">
      <c r="A15">
        <f>IFERROR(VLOOKUP(C15,'GASB Match'!$D$2:$F$6042,3,FALSE),"")</f>
        <v>3400048</v>
      </c>
      <c r="B15" s="17">
        <v>2019</v>
      </c>
      <c r="C15" s="17" t="s">
        <v>1092</v>
      </c>
      <c r="D15" s="17">
        <v>311</v>
      </c>
      <c r="E15" s="17" t="s">
        <v>1463</v>
      </c>
      <c r="F15" s="20">
        <v>287048</v>
      </c>
    </row>
    <row r="16" spans="1:6" ht="16" customHeight="1" x14ac:dyDescent="0.2">
      <c r="A16">
        <f>IFERROR(VLOOKUP(C16,'GASB Match'!$D$2:$F$6042,3,FALSE),"")</f>
        <v>3400048</v>
      </c>
      <c r="B16" s="17">
        <v>2020</v>
      </c>
      <c r="C16" s="21" t="s">
        <v>1092</v>
      </c>
      <c r="D16" s="17">
        <v>311</v>
      </c>
      <c r="E16" s="17" t="s">
        <v>1463</v>
      </c>
      <c r="F16" s="23">
        <v>336652</v>
      </c>
    </row>
    <row r="17" spans="1:6" ht="16" customHeight="1" x14ac:dyDescent="0.2">
      <c r="A17">
        <f>IFERROR(VLOOKUP(C17,'GASB Match'!$D$2:$F$6042,3,FALSE),"")</f>
        <v>3400048</v>
      </c>
      <c r="B17" s="17">
        <v>2021</v>
      </c>
      <c r="C17" s="25" t="s">
        <v>1092</v>
      </c>
      <c r="D17" s="17">
        <v>311</v>
      </c>
      <c r="E17" s="17" t="s">
        <v>1463</v>
      </c>
      <c r="F17" s="23">
        <v>360807</v>
      </c>
    </row>
    <row r="18" spans="1:6" ht="16" customHeight="1" x14ac:dyDescent="0.2">
      <c r="A18">
        <f>IFERROR(VLOOKUP(C18,'GASB Match'!$D$2:$F$6042,3,FALSE),"")</f>
        <v>3400048</v>
      </c>
      <c r="B18" s="17">
        <v>2022</v>
      </c>
      <c r="C18" s="21" t="s">
        <v>1092</v>
      </c>
      <c r="D18" s="17">
        <v>311</v>
      </c>
      <c r="E18" s="17" t="s">
        <v>1463</v>
      </c>
      <c r="F18" s="23">
        <v>573976</v>
      </c>
    </row>
    <row r="19" spans="1:6" ht="16" customHeight="1" x14ac:dyDescent="0.2">
      <c r="A19">
        <f>IFERROR(VLOOKUP(C19,'GASB Match'!$D$2:$F$6042,3,FALSE),"")</f>
        <v>3400048</v>
      </c>
      <c r="B19" s="17">
        <v>2023</v>
      </c>
      <c r="C19" s="21" t="s">
        <v>1092</v>
      </c>
      <c r="D19" s="17">
        <v>311</v>
      </c>
      <c r="E19" s="17" t="s">
        <v>1463</v>
      </c>
      <c r="F19" s="23">
        <v>553871</v>
      </c>
    </row>
    <row r="20" spans="1:6" ht="16" customHeight="1" x14ac:dyDescent="0.2">
      <c r="A20">
        <f>IFERROR(VLOOKUP(C20,'GASB Match'!$D$2:$F$6042,3,FALSE),"")</f>
        <v>3400048</v>
      </c>
      <c r="B20" s="28">
        <v>2017</v>
      </c>
      <c r="C20" s="29" t="s">
        <v>400</v>
      </c>
      <c r="D20" s="17">
        <v>311</v>
      </c>
      <c r="E20" s="17" t="s">
        <v>1420</v>
      </c>
      <c r="F20" s="29">
        <v>158928</v>
      </c>
    </row>
    <row r="21" spans="1:6" ht="16" customHeight="1" x14ac:dyDescent="0.2">
      <c r="A21">
        <f>IFERROR(VLOOKUP(C21,'GASB Match'!$D$2:$F$6042,3,FALSE),"")</f>
        <v>3400741</v>
      </c>
      <c r="B21" s="17">
        <v>2015</v>
      </c>
      <c r="C21" s="17" t="s">
        <v>372</v>
      </c>
      <c r="D21" s="17">
        <v>255</v>
      </c>
      <c r="E21" s="17" t="s">
        <v>1418</v>
      </c>
      <c r="F21" s="20">
        <v>63067</v>
      </c>
    </row>
    <row r="22" spans="1:6" ht="16" customHeight="1" x14ac:dyDescent="0.2">
      <c r="A22">
        <f>IFERROR(VLOOKUP(C22,'GASB Match'!$D$2:$F$6042,3,FALSE),"")</f>
        <v>3400741</v>
      </c>
      <c r="B22" s="17">
        <v>2016</v>
      </c>
      <c r="C22" s="17" t="s">
        <v>372</v>
      </c>
      <c r="D22" s="17">
        <v>255</v>
      </c>
      <c r="E22" s="17" t="s">
        <v>1418</v>
      </c>
      <c r="F22" s="20">
        <v>176922</v>
      </c>
    </row>
    <row r="23" spans="1:6" ht="16" customHeight="1" x14ac:dyDescent="0.2">
      <c r="A23">
        <f>IFERROR(VLOOKUP(C23,'GASB Match'!$D$2:$F$6042,3,FALSE),"")</f>
        <v>3400741</v>
      </c>
      <c r="B23" s="17">
        <v>2018</v>
      </c>
      <c r="C23" s="17" t="s">
        <v>1064</v>
      </c>
      <c r="D23" s="17">
        <v>255</v>
      </c>
      <c r="E23" s="17" t="s">
        <v>1461</v>
      </c>
      <c r="F23" s="20">
        <v>349154</v>
      </c>
    </row>
    <row r="24" spans="1:6" ht="16" customHeight="1" x14ac:dyDescent="0.2">
      <c r="A24">
        <f>IFERROR(VLOOKUP(C24,'GASB Match'!$D$2:$F$6042,3,FALSE),"")</f>
        <v>3400741</v>
      </c>
      <c r="B24" s="17">
        <v>2019</v>
      </c>
      <c r="C24" s="17" t="s">
        <v>1064</v>
      </c>
      <c r="D24" s="17">
        <v>255</v>
      </c>
      <c r="E24" s="17" t="s">
        <v>1461</v>
      </c>
      <c r="F24" s="20">
        <v>501826</v>
      </c>
    </row>
    <row r="25" spans="1:6" ht="16" customHeight="1" x14ac:dyDescent="0.2">
      <c r="A25">
        <f>IFERROR(VLOOKUP(C25,'GASB Match'!$D$2:$F$6042,3,FALSE),"")</f>
        <v>3400741</v>
      </c>
      <c r="B25" s="17">
        <v>2020</v>
      </c>
      <c r="C25" s="21" t="s">
        <v>1064</v>
      </c>
      <c r="D25" s="17">
        <v>255</v>
      </c>
      <c r="E25" s="17" t="s">
        <v>1461</v>
      </c>
      <c r="F25" s="23">
        <v>746166</v>
      </c>
    </row>
    <row r="26" spans="1:6" ht="16" customHeight="1" x14ac:dyDescent="0.2">
      <c r="A26">
        <f>IFERROR(VLOOKUP(C26,'GASB Match'!$D$2:$F$6042,3,FALSE),"")</f>
        <v>3400741</v>
      </c>
      <c r="B26" s="17">
        <v>2021</v>
      </c>
      <c r="C26" s="25" t="s">
        <v>1064</v>
      </c>
      <c r="D26" s="17">
        <v>255</v>
      </c>
      <c r="E26" s="17" t="s">
        <v>1461</v>
      </c>
      <c r="F26" s="23">
        <v>1039200</v>
      </c>
    </row>
    <row r="27" spans="1:6" ht="16" customHeight="1" x14ac:dyDescent="0.2">
      <c r="A27">
        <f>IFERROR(VLOOKUP(C27,'GASB Match'!$D$2:$F$6042,3,FALSE),"")</f>
        <v>3400741</v>
      </c>
      <c r="B27" s="17">
        <v>2022</v>
      </c>
      <c r="C27" s="21" t="s">
        <v>1064</v>
      </c>
      <c r="D27" s="17">
        <v>255</v>
      </c>
      <c r="E27" s="17" t="s">
        <v>1461</v>
      </c>
      <c r="F27" s="23">
        <v>1339016</v>
      </c>
    </row>
    <row r="28" spans="1:6" ht="16" customHeight="1" x14ac:dyDescent="0.2">
      <c r="A28">
        <f>IFERROR(VLOOKUP(C28,'GASB Match'!$D$2:$F$6042,3,FALSE),"")</f>
        <v>3400741</v>
      </c>
      <c r="B28" s="17">
        <v>2023</v>
      </c>
      <c r="C28" s="21" t="s">
        <v>1064</v>
      </c>
      <c r="D28" s="17">
        <v>255</v>
      </c>
      <c r="E28" s="17" t="s">
        <v>1461</v>
      </c>
      <c r="F28" s="23">
        <v>1286828</v>
      </c>
    </row>
    <row r="29" spans="1:6" ht="16" customHeight="1" x14ac:dyDescent="0.2">
      <c r="A29">
        <f>IFERROR(VLOOKUP(C29,'GASB Match'!$D$2:$F$6042,3,FALSE),"")</f>
        <v>3400741</v>
      </c>
      <c r="B29" s="28">
        <v>2017</v>
      </c>
      <c r="C29" s="29" t="s">
        <v>372</v>
      </c>
      <c r="D29" s="17">
        <v>255</v>
      </c>
      <c r="E29" s="17" t="s">
        <v>1418</v>
      </c>
      <c r="F29" s="29">
        <v>202398</v>
      </c>
    </row>
    <row r="30" spans="1:6" ht="16" customHeight="1" x14ac:dyDescent="0.2">
      <c r="A30">
        <f>IFERROR(VLOOKUP(C30,'GASB Match'!$D$2:$F$6042,3,FALSE),"")</f>
        <v>3400792</v>
      </c>
      <c r="B30" s="17">
        <v>2022</v>
      </c>
      <c r="C30" s="21" t="s">
        <v>1377</v>
      </c>
      <c r="D30" s="17">
        <v>6113</v>
      </c>
      <c r="E30" s="17" t="s">
        <v>1452</v>
      </c>
      <c r="F30" s="23">
        <v>629171</v>
      </c>
    </row>
    <row r="31" spans="1:6" ht="16" customHeight="1" x14ac:dyDescent="0.2">
      <c r="A31">
        <f>IFERROR(VLOOKUP(C31,'GASB Match'!$D$2:$F$6042,3,FALSE),"")</f>
        <v>3400792</v>
      </c>
      <c r="B31" s="17">
        <v>2023</v>
      </c>
      <c r="C31" s="21" t="s">
        <v>1377</v>
      </c>
      <c r="D31" s="17">
        <v>6113</v>
      </c>
      <c r="E31" s="17" t="s">
        <v>1452</v>
      </c>
      <c r="F31" s="23">
        <v>571400</v>
      </c>
    </row>
    <row r="32" spans="1:6" ht="16" customHeight="1" x14ac:dyDescent="0.2">
      <c r="A32">
        <f>IFERROR(VLOOKUP(C32,'GASB Match'!$D$2:$F$6042,3,FALSE),"")</f>
        <v>3400794</v>
      </c>
      <c r="B32" s="17">
        <v>2022</v>
      </c>
      <c r="C32" s="21" t="s">
        <v>1378</v>
      </c>
      <c r="D32" s="17">
        <v>138</v>
      </c>
      <c r="E32" s="17" t="s">
        <v>1459</v>
      </c>
      <c r="F32" s="23">
        <v>154876</v>
      </c>
    </row>
    <row r="33" spans="1:6" ht="16" customHeight="1" x14ac:dyDescent="0.2">
      <c r="A33">
        <f>IFERROR(VLOOKUP(C33,'GASB Match'!$D$2:$F$6042,3,FALSE),"")</f>
        <v>3400794</v>
      </c>
      <c r="B33" s="17">
        <v>2023</v>
      </c>
      <c r="C33" s="21" t="s">
        <v>1378</v>
      </c>
      <c r="D33" s="17">
        <v>138</v>
      </c>
      <c r="E33" s="17" t="s">
        <v>1459</v>
      </c>
      <c r="F33" s="23">
        <v>218085</v>
      </c>
    </row>
    <row r="34" spans="1:6" ht="16" customHeight="1" x14ac:dyDescent="0.2">
      <c r="A34" t="str">
        <f>IFERROR(VLOOKUP(C34,'GASB Match'!$D$2:$F$6042,3,FALSE),"")</f>
        <v/>
      </c>
      <c r="B34" s="17">
        <v>2015</v>
      </c>
      <c r="C34" s="17" t="s">
        <v>1430</v>
      </c>
      <c r="D34" s="17">
        <v>6096</v>
      </c>
      <c r="E34" s="17" t="s">
        <v>1431</v>
      </c>
      <c r="F34" s="20">
        <v>63207</v>
      </c>
    </row>
    <row r="35" spans="1:6" ht="16" customHeight="1" x14ac:dyDescent="0.2">
      <c r="A35">
        <f>IFERROR(VLOOKUP(C35,'GASB Match'!$D$2:$F$6042,3,FALSE),"")</f>
        <v>3400690</v>
      </c>
      <c r="B35" s="17">
        <v>2015</v>
      </c>
      <c r="C35" s="17" t="s">
        <v>325</v>
      </c>
      <c r="D35" s="17">
        <v>9011</v>
      </c>
      <c r="E35" s="17" t="s">
        <v>1415</v>
      </c>
      <c r="F35" s="20">
        <v>273753</v>
      </c>
    </row>
    <row r="36" spans="1:6" ht="16" customHeight="1" x14ac:dyDescent="0.2">
      <c r="A36">
        <f>IFERROR(VLOOKUP(C36,'GASB Match'!$D$2:$F$6042,3,FALSE),"")</f>
        <v>3400690</v>
      </c>
      <c r="B36" s="17">
        <v>2016</v>
      </c>
      <c r="C36" s="17" t="s">
        <v>325</v>
      </c>
      <c r="D36" s="17">
        <v>9011</v>
      </c>
      <c r="E36" s="17" t="s">
        <v>1415</v>
      </c>
      <c r="F36" s="20">
        <v>398902</v>
      </c>
    </row>
    <row r="37" spans="1:6" ht="16" customHeight="1" x14ac:dyDescent="0.2">
      <c r="A37">
        <f>IFERROR(VLOOKUP(C37,'GASB Match'!$D$2:$F$6042,3,FALSE),"")</f>
        <v>3400690</v>
      </c>
      <c r="B37" s="17">
        <v>2018</v>
      </c>
      <c r="C37" s="17" t="s">
        <v>1018</v>
      </c>
      <c r="D37" s="17">
        <v>9011</v>
      </c>
      <c r="E37" s="17" t="s">
        <v>1458</v>
      </c>
      <c r="F37" s="20">
        <v>725244</v>
      </c>
    </row>
    <row r="38" spans="1:6" ht="16" customHeight="1" x14ac:dyDescent="0.2">
      <c r="A38">
        <f>IFERROR(VLOOKUP(C38,'GASB Match'!$D$2:$F$6042,3,FALSE),"")</f>
        <v>3400690</v>
      </c>
      <c r="B38" s="17">
        <v>2019</v>
      </c>
      <c r="C38" s="17" t="s">
        <v>1018</v>
      </c>
      <c r="D38" s="17">
        <v>9011</v>
      </c>
      <c r="E38" s="17" t="s">
        <v>1458</v>
      </c>
      <c r="F38" s="20">
        <v>940500</v>
      </c>
    </row>
    <row r="39" spans="1:6" ht="16" customHeight="1" x14ac:dyDescent="0.2">
      <c r="A39">
        <f>IFERROR(VLOOKUP(C39,'GASB Match'!$D$2:$F$6042,3,FALSE),"")</f>
        <v>3400690</v>
      </c>
      <c r="B39" s="17">
        <v>2020</v>
      </c>
      <c r="C39" s="21" t="s">
        <v>1018</v>
      </c>
      <c r="D39" s="17">
        <v>9011</v>
      </c>
      <c r="E39" s="17" t="s">
        <v>1458</v>
      </c>
      <c r="F39" s="23">
        <v>1010248</v>
      </c>
    </row>
    <row r="40" spans="1:6" ht="16" customHeight="1" x14ac:dyDescent="0.2">
      <c r="A40">
        <f>IFERROR(VLOOKUP(C40,'GASB Match'!$D$2:$F$6042,3,FALSE),"")</f>
        <v>3400690</v>
      </c>
      <c r="B40" s="17">
        <v>2021</v>
      </c>
      <c r="C40" s="25" t="s">
        <v>1018</v>
      </c>
      <c r="D40" s="17">
        <v>9011</v>
      </c>
      <c r="E40" s="17" t="s">
        <v>1458</v>
      </c>
      <c r="F40" s="23">
        <v>1370715</v>
      </c>
    </row>
    <row r="41" spans="1:6" ht="16" customHeight="1" x14ac:dyDescent="0.2">
      <c r="A41">
        <f>IFERROR(VLOOKUP(C41,'GASB Match'!$D$2:$F$6042,3,FALSE),"")</f>
        <v>3400690</v>
      </c>
      <c r="B41" s="17">
        <v>2022</v>
      </c>
      <c r="C41" s="21" t="s">
        <v>1018</v>
      </c>
      <c r="D41" s="17">
        <v>9011</v>
      </c>
      <c r="E41" s="17" t="s">
        <v>1458</v>
      </c>
      <c r="F41" s="23">
        <v>1787890</v>
      </c>
    </row>
    <row r="42" spans="1:6" ht="16" customHeight="1" x14ac:dyDescent="0.2">
      <c r="A42">
        <f>IFERROR(VLOOKUP(C42,'GASB Match'!$D$2:$F$6042,3,FALSE),"")</f>
        <v>3400690</v>
      </c>
      <c r="B42" s="17">
        <v>2023</v>
      </c>
      <c r="C42" s="21" t="s">
        <v>1018</v>
      </c>
      <c r="D42" s="17">
        <v>9011</v>
      </c>
      <c r="E42" s="17" t="s">
        <v>1458</v>
      </c>
      <c r="F42" s="23">
        <v>1730320</v>
      </c>
    </row>
    <row r="43" spans="1:6" ht="16" customHeight="1" x14ac:dyDescent="0.2">
      <c r="A43">
        <f>IFERROR(VLOOKUP(C43,'GASB Match'!$D$2:$F$6042,3,FALSE),"")</f>
        <v>3400690</v>
      </c>
      <c r="B43" s="28">
        <v>2017</v>
      </c>
      <c r="C43" s="29" t="s">
        <v>325</v>
      </c>
      <c r="D43" s="17">
        <v>9011</v>
      </c>
      <c r="E43" s="17" t="s">
        <v>1415</v>
      </c>
      <c r="F43" s="29">
        <v>561733</v>
      </c>
    </row>
    <row r="44" spans="1:6" ht="16" customHeight="1" x14ac:dyDescent="0.2">
      <c r="A44">
        <f>IFERROR(VLOOKUP(C44,'GASB Match'!$D$2:$F$6042,3,FALSE),"")</f>
        <v>3400720</v>
      </c>
      <c r="B44" s="17">
        <v>2015</v>
      </c>
      <c r="C44" s="17" t="s">
        <v>637</v>
      </c>
      <c r="D44" s="17">
        <v>911</v>
      </c>
      <c r="E44" s="17" t="s">
        <v>1429</v>
      </c>
      <c r="F44" s="20">
        <v>119052</v>
      </c>
    </row>
    <row r="45" spans="1:6" ht="16" customHeight="1" x14ac:dyDescent="0.2">
      <c r="A45">
        <f>IFERROR(VLOOKUP(C45,'GASB Match'!$D$2:$F$6042,3,FALSE),"")</f>
        <v>3400720</v>
      </c>
      <c r="B45" s="17">
        <v>2016</v>
      </c>
      <c r="C45" s="17" t="s">
        <v>637</v>
      </c>
      <c r="D45" s="17">
        <v>911</v>
      </c>
      <c r="E45" s="17" t="s">
        <v>1429</v>
      </c>
      <c r="F45" s="20">
        <v>187473</v>
      </c>
    </row>
    <row r="46" spans="1:6" ht="16" customHeight="1" x14ac:dyDescent="0.2">
      <c r="A46">
        <f>IFERROR(VLOOKUP(C46,'GASB Match'!$D$2:$F$6042,3,FALSE),"")</f>
        <v>3400720</v>
      </c>
      <c r="B46" s="17">
        <v>2018</v>
      </c>
      <c r="C46" s="17" t="s">
        <v>1330</v>
      </c>
      <c r="D46" s="17">
        <v>911</v>
      </c>
      <c r="E46" s="17" t="s">
        <v>1472</v>
      </c>
      <c r="F46" s="20">
        <v>329535</v>
      </c>
    </row>
    <row r="47" spans="1:6" ht="16" customHeight="1" x14ac:dyDescent="0.2">
      <c r="A47">
        <f>IFERROR(VLOOKUP(C47,'GASB Match'!$D$2:$F$6042,3,FALSE),"")</f>
        <v>3400720</v>
      </c>
      <c r="B47" s="17">
        <v>2019</v>
      </c>
      <c r="C47" s="17" t="s">
        <v>1330</v>
      </c>
      <c r="D47" s="17">
        <v>911</v>
      </c>
      <c r="E47" s="17" t="s">
        <v>1472</v>
      </c>
      <c r="F47" s="20">
        <v>423417</v>
      </c>
    </row>
    <row r="48" spans="1:6" ht="16" customHeight="1" x14ac:dyDescent="0.2">
      <c r="A48">
        <f>IFERROR(VLOOKUP(C48,'GASB Match'!$D$2:$F$6042,3,FALSE),"")</f>
        <v>3400720</v>
      </c>
      <c r="B48" s="17">
        <v>2020</v>
      </c>
      <c r="C48" s="21" t="s">
        <v>1330</v>
      </c>
      <c r="D48" s="17">
        <v>911</v>
      </c>
      <c r="E48" s="17" t="s">
        <v>1472</v>
      </c>
      <c r="F48" s="23">
        <v>530522</v>
      </c>
    </row>
    <row r="49" spans="1:6" ht="16" customHeight="1" x14ac:dyDescent="0.2">
      <c r="A49">
        <f>IFERROR(VLOOKUP(C49,'GASB Match'!$D$2:$F$6042,3,FALSE),"")</f>
        <v>3400720</v>
      </c>
      <c r="B49" s="17">
        <v>2021</v>
      </c>
      <c r="C49" s="25" t="s">
        <v>1330</v>
      </c>
      <c r="D49" s="17">
        <v>911</v>
      </c>
      <c r="E49" s="17" t="s">
        <v>1472</v>
      </c>
      <c r="F49" s="23">
        <v>717187</v>
      </c>
    </row>
    <row r="50" spans="1:6" ht="16" customHeight="1" x14ac:dyDescent="0.2">
      <c r="A50">
        <f>IFERROR(VLOOKUP(C50,'GASB Match'!$D$2:$F$6042,3,FALSE),"")</f>
        <v>3400720</v>
      </c>
      <c r="B50" s="17">
        <v>2022</v>
      </c>
      <c r="C50" s="21" t="s">
        <v>1330</v>
      </c>
      <c r="D50" s="17">
        <v>911</v>
      </c>
      <c r="E50" s="17" t="s">
        <v>1472</v>
      </c>
      <c r="F50" s="23">
        <v>1042307</v>
      </c>
    </row>
    <row r="51" spans="1:6" ht="16" customHeight="1" x14ac:dyDescent="0.2">
      <c r="A51">
        <f>IFERROR(VLOOKUP(C51,'GASB Match'!$D$2:$F$6042,3,FALSE),"")</f>
        <v>3400720</v>
      </c>
      <c r="B51" s="17">
        <v>2023</v>
      </c>
      <c r="C51" s="21" t="s">
        <v>1330</v>
      </c>
      <c r="D51" s="17">
        <v>911</v>
      </c>
      <c r="E51" s="17" t="s">
        <v>1472</v>
      </c>
      <c r="F51" s="23">
        <v>1109427</v>
      </c>
    </row>
    <row r="52" spans="1:6" ht="16" customHeight="1" x14ac:dyDescent="0.2">
      <c r="A52">
        <f>IFERROR(VLOOKUP(C52,'GASB Match'!$D$2:$F$6042,3,FALSE),"")</f>
        <v>3400720</v>
      </c>
      <c r="B52" s="28">
        <v>2017</v>
      </c>
      <c r="C52" s="29" t="s">
        <v>637</v>
      </c>
      <c r="D52" s="17">
        <v>911</v>
      </c>
      <c r="E52" s="17" t="s">
        <v>1429</v>
      </c>
      <c r="F52" s="29">
        <v>257288</v>
      </c>
    </row>
    <row r="53" spans="1:6" ht="16" customHeight="1" x14ac:dyDescent="0.2">
      <c r="A53">
        <f>IFERROR(VLOOKUP(C53,'GASB Match'!$D$2:$F$6042,3,FALSE),"")</f>
        <v>3400750</v>
      </c>
      <c r="B53" s="17">
        <v>2015</v>
      </c>
      <c r="C53" s="17" t="s">
        <v>27</v>
      </c>
      <c r="D53" s="17">
        <v>2021</v>
      </c>
      <c r="E53" s="17" t="s">
        <v>1402</v>
      </c>
      <c r="F53" s="20">
        <v>336605</v>
      </c>
    </row>
    <row r="54" spans="1:6" ht="16" customHeight="1" x14ac:dyDescent="0.2">
      <c r="A54">
        <f>IFERROR(VLOOKUP(C54,'GASB Match'!$D$2:$F$6042,3,FALSE),"")</f>
        <v>3400750</v>
      </c>
      <c r="B54" s="17">
        <v>2016</v>
      </c>
      <c r="C54" s="17" t="s">
        <v>27</v>
      </c>
      <c r="D54" s="17">
        <v>2021</v>
      </c>
      <c r="E54" s="17" t="s">
        <v>1402</v>
      </c>
      <c r="F54" s="20">
        <v>506654</v>
      </c>
    </row>
    <row r="55" spans="1:6" ht="16" customHeight="1" x14ac:dyDescent="0.2">
      <c r="A55">
        <f>IFERROR(VLOOKUP(C55,'GASB Match'!$D$2:$F$6042,3,FALSE),"")</f>
        <v>3400750</v>
      </c>
      <c r="B55" s="17">
        <v>2018</v>
      </c>
      <c r="C55" s="17" t="s">
        <v>705</v>
      </c>
      <c r="D55" s="17">
        <v>2021</v>
      </c>
      <c r="E55" s="17" t="s">
        <v>1443</v>
      </c>
      <c r="F55" s="20">
        <v>991860</v>
      </c>
    </row>
    <row r="56" spans="1:6" ht="16" customHeight="1" x14ac:dyDescent="0.2">
      <c r="A56">
        <f>IFERROR(VLOOKUP(C56,'GASB Match'!$D$2:$F$6042,3,FALSE),"")</f>
        <v>3400750</v>
      </c>
      <c r="B56" s="17">
        <v>2019</v>
      </c>
      <c r="C56" s="17" t="s">
        <v>705</v>
      </c>
      <c r="D56" s="17">
        <v>2021</v>
      </c>
      <c r="E56" s="17" t="s">
        <v>1443</v>
      </c>
      <c r="F56" s="20">
        <v>1342155</v>
      </c>
    </row>
    <row r="57" spans="1:6" ht="16" customHeight="1" x14ac:dyDescent="0.2">
      <c r="A57">
        <f>IFERROR(VLOOKUP(C57,'GASB Match'!$D$2:$F$6042,3,FALSE),"")</f>
        <v>3400750</v>
      </c>
      <c r="B57" s="17">
        <v>2020</v>
      </c>
      <c r="C57" s="21" t="s">
        <v>705</v>
      </c>
      <c r="D57" s="17">
        <v>2021</v>
      </c>
      <c r="E57" s="17" t="s">
        <v>1443</v>
      </c>
      <c r="F57" s="23">
        <v>1480695</v>
      </c>
    </row>
    <row r="58" spans="1:6" ht="16" customHeight="1" x14ac:dyDescent="0.2">
      <c r="A58">
        <f>IFERROR(VLOOKUP(C58,'GASB Match'!$D$2:$F$6042,3,FALSE),"")</f>
        <v>3400750</v>
      </c>
      <c r="B58" s="17">
        <v>2021</v>
      </c>
      <c r="C58" s="25" t="s">
        <v>705</v>
      </c>
      <c r="D58" s="17">
        <v>2021</v>
      </c>
      <c r="E58" s="17" t="s">
        <v>1443</v>
      </c>
      <c r="F58" s="23">
        <v>1956029</v>
      </c>
    </row>
    <row r="59" spans="1:6" ht="16" customHeight="1" x14ac:dyDescent="0.2">
      <c r="A59">
        <f>IFERROR(VLOOKUP(C59,'GASB Match'!$D$2:$F$6042,3,FALSE),"")</f>
        <v>3400750</v>
      </c>
      <c r="B59" s="17">
        <v>2022</v>
      </c>
      <c r="C59" s="21" t="s">
        <v>705</v>
      </c>
      <c r="D59" s="17">
        <v>2021</v>
      </c>
      <c r="E59" s="17" t="s">
        <v>1443</v>
      </c>
      <c r="F59" s="23">
        <v>2731490</v>
      </c>
    </row>
    <row r="60" spans="1:6" ht="16" customHeight="1" x14ac:dyDescent="0.2">
      <c r="A60">
        <f>IFERROR(VLOOKUP(C60,'GASB Match'!$D$2:$F$6042,3,FALSE),"")</f>
        <v>3400750</v>
      </c>
      <c r="B60" s="17">
        <v>2023</v>
      </c>
      <c r="C60" s="21" t="s">
        <v>705</v>
      </c>
      <c r="D60" s="17">
        <v>2021</v>
      </c>
      <c r="E60" s="17" t="s">
        <v>1443</v>
      </c>
      <c r="F60" s="23">
        <v>2617739</v>
      </c>
    </row>
    <row r="61" spans="1:6" ht="16" customHeight="1" x14ac:dyDescent="0.2">
      <c r="A61">
        <f>IFERROR(VLOOKUP(C61,'GASB Match'!$D$2:$F$6042,3,FALSE),"")</f>
        <v>3400750</v>
      </c>
      <c r="B61" s="28">
        <v>2017</v>
      </c>
      <c r="C61" s="29" t="s">
        <v>27</v>
      </c>
      <c r="D61" s="17">
        <v>2021</v>
      </c>
      <c r="E61" s="17" t="s">
        <v>1402</v>
      </c>
      <c r="F61" s="29">
        <v>713649</v>
      </c>
    </row>
    <row r="62" spans="1:6" ht="16" customHeight="1" x14ac:dyDescent="0.2">
      <c r="A62">
        <f>IFERROR(VLOOKUP(C62,'GASB Match'!$D$2:$F$6042,3,FALSE),"")</f>
        <v>3400810</v>
      </c>
      <c r="B62" s="17">
        <v>2015</v>
      </c>
      <c r="C62" s="17" t="s">
        <v>549</v>
      </c>
      <c r="D62" s="17">
        <v>711</v>
      </c>
      <c r="E62" s="17" t="s">
        <v>1424</v>
      </c>
      <c r="F62" s="20">
        <v>162229</v>
      </c>
    </row>
    <row r="63" spans="1:6" ht="16" customHeight="1" x14ac:dyDescent="0.2">
      <c r="A63">
        <f>IFERROR(VLOOKUP(C63,'GASB Match'!$D$2:$F$6042,3,FALSE),"")</f>
        <v>3400810</v>
      </c>
      <c r="B63" s="17">
        <v>2016</v>
      </c>
      <c r="C63" s="17" t="s">
        <v>549</v>
      </c>
      <c r="D63" s="17">
        <v>711</v>
      </c>
      <c r="E63" s="17" t="s">
        <v>1424</v>
      </c>
      <c r="F63" s="20">
        <v>228644</v>
      </c>
    </row>
    <row r="64" spans="1:6" ht="16" customHeight="1" x14ac:dyDescent="0.2">
      <c r="A64">
        <f>IFERROR(VLOOKUP(C64,'GASB Match'!$D$2:$F$6042,3,FALSE),"")</f>
        <v>3400810</v>
      </c>
      <c r="B64" s="17">
        <v>2018</v>
      </c>
      <c r="C64" s="17" t="s">
        <v>1241</v>
      </c>
      <c r="D64" s="17">
        <v>711</v>
      </c>
      <c r="E64" s="17" t="s">
        <v>1467</v>
      </c>
      <c r="F64" s="20">
        <v>385424</v>
      </c>
    </row>
    <row r="65" spans="1:6" ht="16" customHeight="1" x14ac:dyDescent="0.2">
      <c r="A65">
        <f>IFERROR(VLOOKUP(C65,'GASB Match'!$D$2:$F$6042,3,FALSE),"")</f>
        <v>3400810</v>
      </c>
      <c r="B65" s="17">
        <v>2019</v>
      </c>
      <c r="C65" s="17" t="s">
        <v>1241</v>
      </c>
      <c r="D65" s="17">
        <v>711</v>
      </c>
      <c r="E65" s="17" t="s">
        <v>1467</v>
      </c>
      <c r="F65" s="20">
        <v>490049</v>
      </c>
    </row>
    <row r="66" spans="1:6" ht="16" customHeight="1" x14ac:dyDescent="0.2">
      <c r="A66">
        <f>IFERROR(VLOOKUP(C66,'GASB Match'!$D$2:$F$6042,3,FALSE),"")</f>
        <v>3400810</v>
      </c>
      <c r="B66" s="17">
        <v>2020</v>
      </c>
      <c r="C66" s="21" t="s">
        <v>1241</v>
      </c>
      <c r="D66" s="17">
        <v>711</v>
      </c>
      <c r="E66" s="17" t="s">
        <v>1467</v>
      </c>
      <c r="F66" s="23">
        <v>555965</v>
      </c>
    </row>
    <row r="67" spans="1:6" ht="16" customHeight="1" x14ac:dyDescent="0.2">
      <c r="A67">
        <f>IFERROR(VLOOKUP(C67,'GASB Match'!$D$2:$F$6042,3,FALSE),"")</f>
        <v>3400810</v>
      </c>
      <c r="B67" s="17">
        <v>2021</v>
      </c>
      <c r="C67" s="25" t="s">
        <v>1241</v>
      </c>
      <c r="D67" s="17">
        <v>711</v>
      </c>
      <c r="E67" s="17" t="s">
        <v>1467</v>
      </c>
      <c r="F67" s="23">
        <v>699462</v>
      </c>
    </row>
    <row r="68" spans="1:6" ht="16" customHeight="1" x14ac:dyDescent="0.2">
      <c r="A68">
        <f>IFERROR(VLOOKUP(C68,'GASB Match'!$D$2:$F$6042,3,FALSE),"")</f>
        <v>3400810</v>
      </c>
      <c r="B68" s="17">
        <v>2022</v>
      </c>
      <c r="C68" s="21" t="s">
        <v>1241</v>
      </c>
      <c r="D68" s="17">
        <v>711</v>
      </c>
      <c r="E68" s="17" t="s">
        <v>1467</v>
      </c>
      <c r="F68" s="23">
        <v>894777</v>
      </c>
    </row>
    <row r="69" spans="1:6" ht="16" customHeight="1" x14ac:dyDescent="0.2">
      <c r="A69">
        <f>IFERROR(VLOOKUP(C69,'GASB Match'!$D$2:$F$6042,3,FALSE),"")</f>
        <v>3400810</v>
      </c>
      <c r="B69" s="17">
        <v>2023</v>
      </c>
      <c r="C69" s="21" t="s">
        <v>1241</v>
      </c>
      <c r="D69" s="17">
        <v>711</v>
      </c>
      <c r="E69" s="17" t="s">
        <v>1467</v>
      </c>
      <c r="F69" s="22">
        <v>717951</v>
      </c>
    </row>
    <row r="70" spans="1:6" ht="16" customHeight="1" x14ac:dyDescent="0.2">
      <c r="A70">
        <f>IFERROR(VLOOKUP(C70,'GASB Match'!$D$2:$F$6042,3,FALSE),"")</f>
        <v>3400810</v>
      </c>
      <c r="B70" s="28">
        <v>2017</v>
      </c>
      <c r="C70" s="29" t="s">
        <v>549</v>
      </c>
      <c r="D70" s="17">
        <v>711</v>
      </c>
      <c r="E70" s="17" t="s">
        <v>1424</v>
      </c>
      <c r="F70" s="29">
        <v>316317</v>
      </c>
    </row>
    <row r="71" spans="1:6" ht="16" customHeight="1" x14ac:dyDescent="0.2">
      <c r="A71">
        <f>IFERROR(VLOOKUP(C71,'GASB Match'!$D$2:$F$6042,3,FALSE),"")</f>
        <v>3400840</v>
      </c>
      <c r="B71" s="17">
        <v>2015</v>
      </c>
      <c r="C71" s="17" t="s">
        <v>638</v>
      </c>
      <c r="D71" s="17">
        <v>912</v>
      </c>
      <c r="E71" s="17" t="s">
        <v>1429</v>
      </c>
      <c r="F71" s="20">
        <v>101854</v>
      </c>
    </row>
    <row r="72" spans="1:6" ht="16" customHeight="1" x14ac:dyDescent="0.2">
      <c r="A72">
        <f>IFERROR(VLOOKUP(C72,'GASB Match'!$D$2:$F$6042,3,FALSE),"")</f>
        <v>3400840</v>
      </c>
      <c r="B72" s="17">
        <v>2016</v>
      </c>
      <c r="C72" s="17" t="s">
        <v>638</v>
      </c>
      <c r="D72" s="17">
        <v>912</v>
      </c>
      <c r="E72" s="17" t="s">
        <v>1429</v>
      </c>
      <c r="F72" s="20">
        <v>134172</v>
      </c>
    </row>
    <row r="73" spans="1:6" ht="16" customHeight="1" x14ac:dyDescent="0.2">
      <c r="A73">
        <f>IFERROR(VLOOKUP(C73,'GASB Match'!$D$2:$F$6042,3,FALSE),"")</f>
        <v>3400840</v>
      </c>
      <c r="B73" s="17">
        <v>2018</v>
      </c>
      <c r="C73" s="17" t="s">
        <v>1331</v>
      </c>
      <c r="D73" s="17">
        <v>912</v>
      </c>
      <c r="E73" s="17" t="s">
        <v>1472</v>
      </c>
      <c r="F73" s="19">
        <v>224419</v>
      </c>
    </row>
    <row r="74" spans="1:6" ht="16" customHeight="1" x14ac:dyDescent="0.2">
      <c r="A74">
        <f>IFERROR(VLOOKUP(C74,'GASB Match'!$D$2:$F$6042,3,FALSE),"")</f>
        <v>3400840</v>
      </c>
      <c r="B74" s="17">
        <v>2019</v>
      </c>
      <c r="C74" s="17" t="s">
        <v>1331</v>
      </c>
      <c r="D74" s="17">
        <v>912</v>
      </c>
      <c r="E74" s="17" t="s">
        <v>1472</v>
      </c>
      <c r="F74" s="20">
        <v>300846</v>
      </c>
    </row>
    <row r="75" spans="1:6" ht="16" customHeight="1" x14ac:dyDescent="0.2">
      <c r="A75">
        <f>IFERROR(VLOOKUP(C75,'GASB Match'!$D$2:$F$6042,3,FALSE),"")</f>
        <v>3400840</v>
      </c>
      <c r="B75" s="17">
        <v>2020</v>
      </c>
      <c r="C75" s="21" t="s">
        <v>1331</v>
      </c>
      <c r="D75" s="17">
        <v>912</v>
      </c>
      <c r="E75" s="17" t="s">
        <v>1472</v>
      </c>
      <c r="F75" s="23">
        <v>332488</v>
      </c>
    </row>
    <row r="76" spans="1:6" ht="16" customHeight="1" x14ac:dyDescent="0.2">
      <c r="A76">
        <f>IFERROR(VLOOKUP(C76,'GASB Match'!$D$2:$F$6042,3,FALSE),"")</f>
        <v>3400840</v>
      </c>
      <c r="B76" s="17">
        <v>2021</v>
      </c>
      <c r="C76" s="25" t="s">
        <v>1331</v>
      </c>
      <c r="D76" s="17">
        <v>912</v>
      </c>
      <c r="E76" s="17" t="s">
        <v>1472</v>
      </c>
      <c r="F76" s="23">
        <v>410813</v>
      </c>
    </row>
    <row r="77" spans="1:6" ht="16" customHeight="1" x14ac:dyDescent="0.2">
      <c r="A77">
        <f>IFERROR(VLOOKUP(C77,'GASB Match'!$D$2:$F$6042,3,FALSE),"")</f>
        <v>3400840</v>
      </c>
      <c r="B77" s="17">
        <v>2022</v>
      </c>
      <c r="C77" s="21" t="s">
        <v>1331</v>
      </c>
      <c r="D77" s="17">
        <v>912</v>
      </c>
      <c r="E77" s="17" t="s">
        <v>1472</v>
      </c>
      <c r="F77" s="23">
        <v>667734</v>
      </c>
    </row>
    <row r="78" spans="1:6" ht="16" customHeight="1" x14ac:dyDescent="0.2">
      <c r="A78">
        <f>IFERROR(VLOOKUP(C78,'GASB Match'!$D$2:$F$6042,3,FALSE),"")</f>
        <v>3400840</v>
      </c>
      <c r="B78" s="17">
        <v>2023</v>
      </c>
      <c r="C78" s="21" t="s">
        <v>1331</v>
      </c>
      <c r="D78" s="17">
        <v>912</v>
      </c>
      <c r="E78" s="17" t="s">
        <v>1472</v>
      </c>
      <c r="F78" s="23">
        <v>684582</v>
      </c>
    </row>
    <row r="79" spans="1:6" ht="16" customHeight="1" x14ac:dyDescent="0.2">
      <c r="A79">
        <f>IFERROR(VLOOKUP(C79,'GASB Match'!$D$2:$F$6042,3,FALSE),"")</f>
        <v>3400840</v>
      </c>
      <c r="B79" s="28">
        <v>2017</v>
      </c>
      <c r="C79" s="29" t="s">
        <v>638</v>
      </c>
      <c r="D79" s="17">
        <v>912</v>
      </c>
      <c r="E79" s="17" t="s">
        <v>1429</v>
      </c>
      <c r="F79" s="29">
        <v>191312</v>
      </c>
    </row>
    <row r="80" spans="1:6" ht="16" customHeight="1" x14ac:dyDescent="0.2">
      <c r="A80">
        <f>IFERROR(VLOOKUP(C80,'GASB Match'!$D$2:$F$6042,3,FALSE),"")</f>
        <v>3400870</v>
      </c>
      <c r="B80" s="17">
        <v>2015</v>
      </c>
      <c r="C80" s="17" t="s">
        <v>28</v>
      </c>
      <c r="D80" s="17">
        <v>2022</v>
      </c>
      <c r="E80" s="17" t="s">
        <v>1402</v>
      </c>
      <c r="F80" s="20">
        <v>108392</v>
      </c>
    </row>
    <row r="81" spans="1:6" ht="16" customHeight="1" x14ac:dyDescent="0.2">
      <c r="A81">
        <f>IFERROR(VLOOKUP(C81,'GASB Match'!$D$2:$F$6042,3,FALSE),"")</f>
        <v>3400870</v>
      </c>
      <c r="B81" s="17">
        <v>2016</v>
      </c>
      <c r="C81" s="17" t="s">
        <v>28</v>
      </c>
      <c r="D81" s="17">
        <v>2022</v>
      </c>
      <c r="E81" s="17" t="s">
        <v>1402</v>
      </c>
      <c r="F81" s="20">
        <v>136955</v>
      </c>
    </row>
    <row r="82" spans="1:6" ht="16" customHeight="1" x14ac:dyDescent="0.2">
      <c r="A82">
        <f>IFERROR(VLOOKUP(C82,'GASB Match'!$D$2:$F$6042,3,FALSE),"")</f>
        <v>3400870</v>
      </c>
      <c r="B82" s="17">
        <v>2018</v>
      </c>
      <c r="C82" s="17" t="s">
        <v>706</v>
      </c>
      <c r="D82" s="17">
        <v>2022</v>
      </c>
      <c r="E82" s="17" t="s">
        <v>1443</v>
      </c>
      <c r="F82" s="20">
        <v>307972</v>
      </c>
    </row>
    <row r="83" spans="1:6" ht="16" customHeight="1" x14ac:dyDescent="0.2">
      <c r="A83">
        <f>IFERROR(VLOOKUP(C83,'GASB Match'!$D$2:$F$6042,3,FALSE),"")</f>
        <v>3400870</v>
      </c>
      <c r="B83" s="17">
        <v>2019</v>
      </c>
      <c r="C83" s="17" t="s">
        <v>706</v>
      </c>
      <c r="D83" s="17">
        <v>2022</v>
      </c>
      <c r="E83" s="17" t="s">
        <v>1443</v>
      </c>
      <c r="F83" s="20">
        <v>397486</v>
      </c>
    </row>
    <row r="84" spans="1:6" ht="16" customHeight="1" x14ac:dyDescent="0.2">
      <c r="A84">
        <f>IFERROR(VLOOKUP(C84,'GASB Match'!$D$2:$F$6042,3,FALSE),"")</f>
        <v>3400870</v>
      </c>
      <c r="B84" s="17">
        <v>2020</v>
      </c>
      <c r="C84" s="21" t="s">
        <v>706</v>
      </c>
      <c r="D84" s="17">
        <v>2022</v>
      </c>
      <c r="E84" s="17" t="s">
        <v>1443</v>
      </c>
      <c r="F84" s="23">
        <v>467026</v>
      </c>
    </row>
    <row r="85" spans="1:6" ht="16" customHeight="1" x14ac:dyDescent="0.2">
      <c r="A85">
        <f>IFERROR(VLOOKUP(C85,'GASB Match'!$D$2:$F$6042,3,FALSE),"")</f>
        <v>3400870</v>
      </c>
      <c r="B85" s="17">
        <v>2021</v>
      </c>
      <c r="C85" s="25" t="s">
        <v>706</v>
      </c>
      <c r="D85" s="17">
        <v>2022</v>
      </c>
      <c r="E85" s="17" t="s">
        <v>1443</v>
      </c>
      <c r="F85" s="23">
        <v>551640</v>
      </c>
    </row>
    <row r="86" spans="1:6" ht="16" customHeight="1" x14ac:dyDescent="0.2">
      <c r="A86">
        <f>IFERROR(VLOOKUP(C86,'GASB Match'!$D$2:$F$6042,3,FALSE),"")</f>
        <v>3400870</v>
      </c>
      <c r="B86" s="17">
        <v>2022</v>
      </c>
      <c r="C86" s="21" t="s">
        <v>706</v>
      </c>
      <c r="D86" s="17">
        <v>2022</v>
      </c>
      <c r="E86" s="17" t="s">
        <v>1443</v>
      </c>
      <c r="F86" s="23">
        <v>809112</v>
      </c>
    </row>
    <row r="87" spans="1:6" ht="16" customHeight="1" x14ac:dyDescent="0.2">
      <c r="A87">
        <f>IFERROR(VLOOKUP(C87,'GASB Match'!$D$2:$F$6042,3,FALSE),"")</f>
        <v>3400870</v>
      </c>
      <c r="B87" s="17">
        <v>2023</v>
      </c>
      <c r="C87" s="21" t="s">
        <v>706</v>
      </c>
      <c r="D87" s="17">
        <v>2022</v>
      </c>
      <c r="E87" s="17" t="s">
        <v>1443</v>
      </c>
      <c r="F87" s="23">
        <v>733519</v>
      </c>
    </row>
    <row r="88" spans="1:6" ht="16" customHeight="1" x14ac:dyDescent="0.2">
      <c r="A88">
        <f>IFERROR(VLOOKUP(C88,'GASB Match'!$D$2:$F$6042,3,FALSE),"")</f>
        <v>3400870</v>
      </c>
      <c r="B88" s="28">
        <v>2017</v>
      </c>
      <c r="C88" s="29" t="s">
        <v>28</v>
      </c>
      <c r="D88" s="17">
        <v>2022</v>
      </c>
      <c r="E88" s="17" t="s">
        <v>1402</v>
      </c>
      <c r="F88" s="29">
        <v>219102</v>
      </c>
    </row>
    <row r="89" spans="1:6" ht="16" customHeight="1" x14ac:dyDescent="0.2">
      <c r="A89">
        <f>IFERROR(VLOOKUP(C89,'GASB Match'!$D$2:$F$6042,3,FALSE),"")</f>
        <v>3400900</v>
      </c>
      <c r="B89" s="17">
        <v>2015</v>
      </c>
      <c r="C89" s="17" t="s">
        <v>583</v>
      </c>
      <c r="D89" s="17">
        <v>772</v>
      </c>
      <c r="E89" s="17" t="s">
        <v>1426</v>
      </c>
      <c r="F89" s="20">
        <v>252173</v>
      </c>
    </row>
    <row r="90" spans="1:6" ht="16" customHeight="1" x14ac:dyDescent="0.2">
      <c r="A90">
        <f>IFERROR(VLOOKUP(C90,'GASB Match'!$D$2:$F$6042,3,FALSE),"")</f>
        <v>3400900</v>
      </c>
      <c r="B90" s="17">
        <v>2016</v>
      </c>
      <c r="C90" s="17" t="s">
        <v>583</v>
      </c>
      <c r="D90" s="17">
        <v>772</v>
      </c>
      <c r="E90" s="17" t="s">
        <v>1426</v>
      </c>
      <c r="F90" s="20">
        <v>355314</v>
      </c>
    </row>
    <row r="91" spans="1:6" ht="16" customHeight="1" x14ac:dyDescent="0.2">
      <c r="A91">
        <f>IFERROR(VLOOKUP(C91,'GASB Match'!$D$2:$F$6042,3,FALSE),"")</f>
        <v>3400900</v>
      </c>
      <c r="B91" s="17">
        <v>2018</v>
      </c>
      <c r="C91" s="17" t="s">
        <v>1276</v>
      </c>
      <c r="D91" s="17">
        <v>772</v>
      </c>
      <c r="E91" s="17" t="s">
        <v>1469</v>
      </c>
      <c r="F91" s="20">
        <v>687470</v>
      </c>
    </row>
    <row r="92" spans="1:6" ht="16" customHeight="1" x14ac:dyDescent="0.2">
      <c r="A92">
        <f>IFERROR(VLOOKUP(C92,'GASB Match'!$D$2:$F$6042,3,FALSE),"")</f>
        <v>3400900</v>
      </c>
      <c r="B92" s="17">
        <v>2019</v>
      </c>
      <c r="C92" s="17" t="s">
        <v>1276</v>
      </c>
      <c r="D92" s="17">
        <v>772</v>
      </c>
      <c r="E92" s="17" t="s">
        <v>1469</v>
      </c>
      <c r="F92" s="20">
        <v>893743</v>
      </c>
    </row>
    <row r="93" spans="1:6" ht="16" customHeight="1" x14ac:dyDescent="0.2">
      <c r="A93">
        <f>IFERROR(VLOOKUP(C93,'GASB Match'!$D$2:$F$6042,3,FALSE),"")</f>
        <v>3400900</v>
      </c>
      <c r="B93" s="17">
        <v>2020</v>
      </c>
      <c r="C93" s="21" t="s">
        <v>1276</v>
      </c>
      <c r="D93" s="17">
        <v>772</v>
      </c>
      <c r="E93" s="17" t="s">
        <v>1469</v>
      </c>
      <c r="F93" s="23">
        <v>845966</v>
      </c>
    </row>
    <row r="94" spans="1:6" ht="16" customHeight="1" x14ac:dyDescent="0.2">
      <c r="A94">
        <f>IFERROR(VLOOKUP(C94,'GASB Match'!$D$2:$F$6042,3,FALSE),"")</f>
        <v>3400900</v>
      </c>
      <c r="B94" s="17">
        <v>2021</v>
      </c>
      <c r="C94" s="25" t="s">
        <v>1276</v>
      </c>
      <c r="D94" s="17">
        <v>772</v>
      </c>
      <c r="E94" s="17" t="s">
        <v>1469</v>
      </c>
      <c r="F94" s="23">
        <v>1012971</v>
      </c>
    </row>
    <row r="95" spans="1:6" ht="16" customHeight="1" x14ac:dyDescent="0.2">
      <c r="A95">
        <f>IFERROR(VLOOKUP(C95,'GASB Match'!$D$2:$F$6042,3,FALSE),"")</f>
        <v>3400900</v>
      </c>
      <c r="B95" s="17">
        <v>2022</v>
      </c>
      <c r="C95" s="21" t="s">
        <v>1276</v>
      </c>
      <c r="D95" s="17">
        <v>772</v>
      </c>
      <c r="E95" s="17" t="s">
        <v>1469</v>
      </c>
      <c r="F95" s="23">
        <v>1471708</v>
      </c>
    </row>
    <row r="96" spans="1:6" ht="16" customHeight="1" x14ac:dyDescent="0.2">
      <c r="A96">
        <f>IFERROR(VLOOKUP(C96,'GASB Match'!$D$2:$F$6042,3,FALSE),"")</f>
        <v>3400900</v>
      </c>
      <c r="B96" s="17">
        <v>2023</v>
      </c>
      <c r="C96" s="21" t="s">
        <v>1276</v>
      </c>
      <c r="D96" s="17">
        <v>772</v>
      </c>
      <c r="E96" s="17" t="s">
        <v>1469</v>
      </c>
      <c r="F96" s="23">
        <v>1586995</v>
      </c>
    </row>
    <row r="97" spans="1:6" ht="16" customHeight="1" x14ac:dyDescent="0.2">
      <c r="A97">
        <f>IFERROR(VLOOKUP(C97,'GASB Match'!$D$2:$F$6042,3,FALSE),"")</f>
        <v>3400900</v>
      </c>
      <c r="B97" s="28">
        <v>2017</v>
      </c>
      <c r="C97" s="29" t="s">
        <v>583</v>
      </c>
      <c r="D97" s="17">
        <v>772</v>
      </c>
      <c r="E97" s="17" t="s">
        <v>1426</v>
      </c>
      <c r="F97" s="29">
        <v>484737</v>
      </c>
    </row>
    <row r="98" spans="1:6" ht="16" customHeight="1" x14ac:dyDescent="0.2">
      <c r="A98">
        <f>IFERROR(VLOOKUP(C98,'GASB Match'!$D$2:$F$6042,3,FALSE),"")</f>
        <v>3400930</v>
      </c>
      <c r="B98" s="17">
        <v>2015</v>
      </c>
      <c r="C98" s="17" t="s">
        <v>401</v>
      </c>
      <c r="D98" s="17">
        <v>300</v>
      </c>
      <c r="E98" s="17" t="s">
        <v>1420</v>
      </c>
      <c r="F98" s="20">
        <v>1254884</v>
      </c>
    </row>
    <row r="99" spans="1:6" ht="16" customHeight="1" x14ac:dyDescent="0.2">
      <c r="A99">
        <f>IFERROR(VLOOKUP(C99,'GASB Match'!$D$2:$F$6042,3,FALSE),"")</f>
        <v>3400930</v>
      </c>
      <c r="B99" s="17">
        <v>2016</v>
      </c>
      <c r="C99" s="17" t="s">
        <v>401</v>
      </c>
      <c r="D99" s="17">
        <v>300</v>
      </c>
      <c r="E99" s="17" t="s">
        <v>1420</v>
      </c>
      <c r="F99" s="20">
        <v>1877311</v>
      </c>
    </row>
    <row r="100" spans="1:6" ht="16" customHeight="1" x14ac:dyDescent="0.2">
      <c r="A100">
        <f>IFERROR(VLOOKUP(C100,'GASB Match'!$D$2:$F$6042,3,FALSE),"")</f>
        <v>3400930</v>
      </c>
      <c r="B100" s="17">
        <v>2018</v>
      </c>
      <c r="C100" s="17" t="s">
        <v>1093</v>
      </c>
      <c r="D100" s="17">
        <v>300</v>
      </c>
      <c r="E100" s="17" t="s">
        <v>1463</v>
      </c>
      <c r="F100" s="20">
        <v>3685469</v>
      </c>
    </row>
    <row r="101" spans="1:6" ht="16" customHeight="1" x14ac:dyDescent="0.2">
      <c r="A101">
        <f>IFERROR(VLOOKUP(C101,'GASB Match'!$D$2:$F$6042,3,FALSE),"")</f>
        <v>3400930</v>
      </c>
      <c r="B101" s="17">
        <v>2019</v>
      </c>
      <c r="C101" s="17" t="s">
        <v>1093</v>
      </c>
      <c r="D101" s="17">
        <v>300</v>
      </c>
      <c r="E101" s="17" t="s">
        <v>1463</v>
      </c>
      <c r="F101" s="20">
        <v>4707382</v>
      </c>
    </row>
    <row r="102" spans="1:6" ht="16" customHeight="1" x14ac:dyDescent="0.2">
      <c r="A102">
        <f>IFERROR(VLOOKUP(C102,'GASB Match'!$D$2:$F$6042,3,FALSE),"")</f>
        <v>3400930</v>
      </c>
      <c r="B102" s="17">
        <v>2020</v>
      </c>
      <c r="C102" s="21" t="s">
        <v>1093</v>
      </c>
      <c r="D102" s="17">
        <v>300</v>
      </c>
      <c r="E102" s="17" t="s">
        <v>1463</v>
      </c>
      <c r="F102" s="23">
        <v>5029927</v>
      </c>
    </row>
    <row r="103" spans="1:6" ht="16" customHeight="1" x14ac:dyDescent="0.2">
      <c r="A103">
        <f>IFERROR(VLOOKUP(C103,'GASB Match'!$D$2:$F$6042,3,FALSE),"")</f>
        <v>3400930</v>
      </c>
      <c r="B103" s="17">
        <v>2021</v>
      </c>
      <c r="C103" s="25" t="s">
        <v>1093</v>
      </c>
      <c r="D103" s="17">
        <v>300</v>
      </c>
      <c r="E103" s="17" t="s">
        <v>1463</v>
      </c>
      <c r="F103" s="23">
        <v>6211978</v>
      </c>
    </row>
    <row r="104" spans="1:6" ht="16" customHeight="1" x14ac:dyDescent="0.2">
      <c r="A104">
        <f>IFERROR(VLOOKUP(C104,'GASB Match'!$D$2:$F$6042,3,FALSE),"")</f>
        <v>3400930</v>
      </c>
      <c r="B104" s="17">
        <v>2022</v>
      </c>
      <c r="C104" s="21" t="s">
        <v>1093</v>
      </c>
      <c r="D104" s="17">
        <v>300</v>
      </c>
      <c r="E104" s="17" t="s">
        <v>1463</v>
      </c>
      <c r="F104" s="23">
        <v>8560590</v>
      </c>
    </row>
    <row r="105" spans="1:6" ht="16" customHeight="1" x14ac:dyDescent="0.2">
      <c r="A105">
        <f>IFERROR(VLOOKUP(C105,'GASB Match'!$D$2:$F$6042,3,FALSE),"")</f>
        <v>3400930</v>
      </c>
      <c r="B105" s="17">
        <v>2023</v>
      </c>
      <c r="C105" s="21" t="s">
        <v>1093</v>
      </c>
      <c r="D105" s="17">
        <v>300</v>
      </c>
      <c r="E105" s="17" t="s">
        <v>1463</v>
      </c>
      <c r="F105" s="23">
        <v>7707421</v>
      </c>
    </row>
    <row r="106" spans="1:6" ht="16" customHeight="1" x14ac:dyDescent="0.2">
      <c r="A106">
        <f>IFERROR(VLOOKUP(C106,'GASB Match'!$D$2:$F$6042,3,FALSE),"")</f>
        <v>3400930</v>
      </c>
      <c r="B106" s="28">
        <v>2017</v>
      </c>
      <c r="C106" s="29" t="s">
        <v>401</v>
      </c>
      <c r="D106" s="17">
        <v>300</v>
      </c>
      <c r="E106" s="17" t="s">
        <v>1420</v>
      </c>
      <c r="F106" s="29">
        <v>2721224</v>
      </c>
    </row>
    <row r="107" spans="1:6" ht="16" customHeight="1" x14ac:dyDescent="0.2">
      <c r="A107">
        <f>IFERROR(VLOOKUP(C107,'GASB Match'!$D$2:$F$6042,3,FALSE),"")</f>
        <v>3400960</v>
      </c>
      <c r="B107" s="17">
        <v>2015</v>
      </c>
      <c r="C107" s="17" t="s">
        <v>2</v>
      </c>
      <c r="D107" s="17">
        <v>1000</v>
      </c>
      <c r="E107" s="17" t="s">
        <v>1400</v>
      </c>
      <c r="F107" s="20">
        <v>3532554</v>
      </c>
    </row>
    <row r="108" spans="1:6" ht="16" customHeight="1" x14ac:dyDescent="0.2">
      <c r="A108">
        <f>IFERROR(VLOOKUP(C108,'GASB Match'!$D$2:$F$6042,3,FALSE),"")</f>
        <v>3400960</v>
      </c>
      <c r="B108" s="17">
        <v>2016</v>
      </c>
      <c r="C108" s="17" t="s">
        <v>2</v>
      </c>
      <c r="D108" s="17">
        <v>1000</v>
      </c>
      <c r="E108" s="17" t="s">
        <v>1400</v>
      </c>
      <c r="F108" s="20">
        <v>5455655</v>
      </c>
    </row>
    <row r="109" spans="1:6" ht="16" customHeight="1" x14ac:dyDescent="0.2">
      <c r="A109">
        <f>IFERROR(VLOOKUP(C109,'GASB Match'!$D$2:$F$6042,3,FALSE),"")</f>
        <v>3400960</v>
      </c>
      <c r="B109" s="17">
        <v>2018</v>
      </c>
      <c r="C109" s="17" t="s">
        <v>680</v>
      </c>
      <c r="D109" s="17">
        <v>1000</v>
      </c>
      <c r="E109" s="17" t="s">
        <v>1441</v>
      </c>
      <c r="F109" s="20">
        <v>9251405</v>
      </c>
    </row>
    <row r="110" spans="1:6" ht="16" customHeight="1" x14ac:dyDescent="0.2">
      <c r="A110">
        <f>IFERROR(VLOOKUP(C110,'GASB Match'!$D$2:$F$6042,3,FALSE),"")</f>
        <v>3400960</v>
      </c>
      <c r="B110" s="17">
        <v>2019</v>
      </c>
      <c r="C110" s="17" t="s">
        <v>680</v>
      </c>
      <c r="D110" s="17">
        <v>1000</v>
      </c>
      <c r="E110" s="17" t="s">
        <v>1441</v>
      </c>
      <c r="F110" s="20">
        <v>11664506</v>
      </c>
    </row>
    <row r="111" spans="1:6" ht="16" customHeight="1" x14ac:dyDescent="0.2">
      <c r="A111">
        <f>IFERROR(VLOOKUP(C111,'GASB Match'!$D$2:$F$6042,3,FALSE),"")</f>
        <v>3400960</v>
      </c>
      <c r="B111" s="17">
        <v>2020</v>
      </c>
      <c r="C111" s="21" t="s">
        <v>680</v>
      </c>
      <c r="D111" s="17">
        <v>1000</v>
      </c>
      <c r="E111" s="17" t="s">
        <v>1441</v>
      </c>
      <c r="F111" s="23">
        <v>13606126</v>
      </c>
    </row>
    <row r="112" spans="1:6" ht="16" customHeight="1" x14ac:dyDescent="0.2">
      <c r="A112">
        <f>IFERROR(VLOOKUP(C112,'GASB Match'!$D$2:$F$6042,3,FALSE),"")</f>
        <v>3400960</v>
      </c>
      <c r="B112" s="17">
        <v>2021</v>
      </c>
      <c r="C112" s="25" t="s">
        <v>680</v>
      </c>
      <c r="D112" s="17">
        <v>1000</v>
      </c>
      <c r="E112" s="17" t="s">
        <v>1441</v>
      </c>
      <c r="F112" s="23">
        <v>17474609</v>
      </c>
    </row>
    <row r="113" spans="1:6" ht="16" customHeight="1" x14ac:dyDescent="0.2">
      <c r="A113">
        <f>IFERROR(VLOOKUP(C113,'GASB Match'!$D$2:$F$6042,3,FALSE),"")</f>
        <v>3400960</v>
      </c>
      <c r="B113" s="17">
        <v>2022</v>
      </c>
      <c r="C113" s="21" t="s">
        <v>680</v>
      </c>
      <c r="D113" s="17">
        <v>1000</v>
      </c>
      <c r="E113" s="17" t="s">
        <v>1441</v>
      </c>
      <c r="F113" s="23">
        <v>24156121</v>
      </c>
    </row>
    <row r="114" spans="1:6" ht="16" customHeight="1" x14ac:dyDescent="0.2">
      <c r="A114">
        <f>IFERROR(VLOOKUP(C114,'GASB Match'!$D$2:$F$6042,3,FALSE),"")</f>
        <v>3400960</v>
      </c>
      <c r="B114" s="17">
        <v>2023</v>
      </c>
      <c r="C114" s="21" t="s">
        <v>680</v>
      </c>
      <c r="D114" s="17">
        <v>1000</v>
      </c>
      <c r="E114" s="17" t="s">
        <v>1441</v>
      </c>
      <c r="F114" s="23">
        <v>22962785</v>
      </c>
    </row>
    <row r="115" spans="1:6" ht="16" customHeight="1" x14ac:dyDescent="0.2">
      <c r="A115">
        <f>IFERROR(VLOOKUP(C115,'GASB Match'!$D$2:$F$6042,3,FALSE),"")</f>
        <v>3400960</v>
      </c>
      <c r="B115" s="28">
        <v>2017</v>
      </c>
      <c r="C115" s="29" t="s">
        <v>2</v>
      </c>
      <c r="D115" s="17">
        <v>1000</v>
      </c>
      <c r="E115" s="17" t="s">
        <v>1400</v>
      </c>
      <c r="F115" s="29">
        <v>7713311</v>
      </c>
    </row>
    <row r="116" spans="1:6" ht="16" customHeight="1" x14ac:dyDescent="0.2">
      <c r="A116">
        <f>IFERROR(VLOOKUP(C116,'GASB Match'!$D$2:$F$6042,3,FALSE),"")</f>
        <v>3400771</v>
      </c>
      <c r="B116" s="17">
        <v>2018</v>
      </c>
      <c r="C116" s="17" t="s">
        <v>681</v>
      </c>
      <c r="D116" s="17">
        <v>1099</v>
      </c>
      <c r="E116" s="17" t="s">
        <v>1441</v>
      </c>
      <c r="F116" s="20">
        <v>123744</v>
      </c>
    </row>
    <row r="117" spans="1:6" ht="16" customHeight="1" x14ac:dyDescent="0.2">
      <c r="A117">
        <f>IFERROR(VLOOKUP(C117,'GASB Match'!$D$2:$F$6042,3,FALSE),"")</f>
        <v>3400771</v>
      </c>
      <c r="B117" s="17">
        <v>2019</v>
      </c>
      <c r="C117" s="17" t="s">
        <v>681</v>
      </c>
      <c r="D117" s="17">
        <v>1099</v>
      </c>
      <c r="E117" s="17" t="s">
        <v>1441</v>
      </c>
      <c r="F117" s="20">
        <v>289634</v>
      </c>
    </row>
    <row r="118" spans="1:6" ht="16" customHeight="1" x14ac:dyDescent="0.2">
      <c r="A118">
        <f>IFERROR(VLOOKUP(C118,'GASB Match'!$D$2:$F$6042,3,FALSE),"")</f>
        <v>3400771</v>
      </c>
      <c r="B118" s="17">
        <v>2020</v>
      </c>
      <c r="C118" s="21" t="s">
        <v>681</v>
      </c>
      <c r="D118" s="17">
        <v>1099</v>
      </c>
      <c r="E118" s="17" t="s">
        <v>1441</v>
      </c>
      <c r="F118" s="23">
        <v>422465</v>
      </c>
    </row>
    <row r="119" spans="1:6" ht="16" customHeight="1" x14ac:dyDescent="0.2">
      <c r="A119">
        <f>IFERROR(VLOOKUP(C119,'GASB Match'!$D$2:$F$6042,3,FALSE),"")</f>
        <v>3400771</v>
      </c>
      <c r="B119" s="17">
        <v>2021</v>
      </c>
      <c r="C119" s="25" t="s">
        <v>681</v>
      </c>
      <c r="D119" s="17">
        <v>1099</v>
      </c>
      <c r="E119" s="17" t="s">
        <v>1441</v>
      </c>
      <c r="F119" s="23">
        <v>564419</v>
      </c>
    </row>
    <row r="120" spans="1:6" ht="16" customHeight="1" x14ac:dyDescent="0.2">
      <c r="A120">
        <f>IFERROR(VLOOKUP(C120,'GASB Match'!$D$2:$F$6042,3,FALSE),"")</f>
        <v>3400771</v>
      </c>
      <c r="B120" s="17">
        <v>2022</v>
      </c>
      <c r="C120" s="21" t="s">
        <v>681</v>
      </c>
      <c r="D120" s="17">
        <v>1099</v>
      </c>
      <c r="E120" s="17" t="s">
        <v>1441</v>
      </c>
      <c r="F120" s="23">
        <v>730510</v>
      </c>
    </row>
    <row r="121" spans="1:6" ht="16" customHeight="1" x14ac:dyDescent="0.2">
      <c r="A121">
        <f>IFERROR(VLOOKUP(C121,'GASB Match'!$D$2:$F$6042,3,FALSE),"")</f>
        <v>3400771</v>
      </c>
      <c r="B121" s="17">
        <v>2023</v>
      </c>
      <c r="C121" s="21" t="s">
        <v>681</v>
      </c>
      <c r="D121" s="17">
        <v>1099</v>
      </c>
      <c r="E121" s="17" t="s">
        <v>1441</v>
      </c>
      <c r="F121" s="23">
        <v>942950</v>
      </c>
    </row>
    <row r="122" spans="1:6" ht="16" customHeight="1" x14ac:dyDescent="0.2">
      <c r="A122">
        <f>IFERROR(VLOOKUP(C122,'GASB Match'!$D$2:$F$6042,3,FALSE),"")</f>
        <v>3400006</v>
      </c>
      <c r="B122" s="17">
        <v>2015</v>
      </c>
      <c r="C122" s="17" t="s">
        <v>3</v>
      </c>
      <c r="D122" s="17">
        <v>1098</v>
      </c>
      <c r="E122" s="17" t="s">
        <v>1400</v>
      </c>
      <c r="F122" s="20">
        <v>421691</v>
      </c>
    </row>
    <row r="123" spans="1:6" ht="16" customHeight="1" x14ac:dyDescent="0.2">
      <c r="A123">
        <f>IFERROR(VLOOKUP(C123,'GASB Match'!$D$2:$F$6042,3,FALSE),"")</f>
        <v>3400006</v>
      </c>
      <c r="B123" s="17">
        <v>2016</v>
      </c>
      <c r="C123" s="17" t="s">
        <v>3</v>
      </c>
      <c r="D123" s="17">
        <v>1098</v>
      </c>
      <c r="E123" s="17" t="s">
        <v>1400</v>
      </c>
      <c r="F123" s="20">
        <v>610676</v>
      </c>
    </row>
    <row r="124" spans="1:6" ht="16" customHeight="1" x14ac:dyDescent="0.2">
      <c r="A124">
        <f>IFERROR(VLOOKUP(C124,'GASB Match'!$D$2:$F$6042,3,FALSE),"")</f>
        <v>3400006</v>
      </c>
      <c r="B124" s="17">
        <v>2018</v>
      </c>
      <c r="C124" s="17" t="s">
        <v>682</v>
      </c>
      <c r="D124" s="17">
        <v>1098</v>
      </c>
      <c r="E124" s="17" t="s">
        <v>1441</v>
      </c>
      <c r="F124" s="20">
        <v>1041921</v>
      </c>
    </row>
    <row r="125" spans="1:6" ht="16" customHeight="1" x14ac:dyDescent="0.2">
      <c r="A125">
        <f>IFERROR(VLOOKUP(C125,'GASB Match'!$D$2:$F$6042,3,FALSE),"")</f>
        <v>3400006</v>
      </c>
      <c r="B125" s="17">
        <v>2019</v>
      </c>
      <c r="C125" s="17" t="s">
        <v>682</v>
      </c>
      <c r="D125" s="17">
        <v>1098</v>
      </c>
      <c r="E125" s="17" t="s">
        <v>1441</v>
      </c>
      <c r="F125" s="20">
        <v>1421850</v>
      </c>
    </row>
    <row r="126" spans="1:6" ht="16" customHeight="1" x14ac:dyDescent="0.2">
      <c r="A126">
        <f>IFERROR(VLOOKUP(C126,'GASB Match'!$D$2:$F$6042,3,FALSE),"")</f>
        <v>3400006</v>
      </c>
      <c r="B126" s="17">
        <v>2020</v>
      </c>
      <c r="C126" s="21" t="s">
        <v>682</v>
      </c>
      <c r="D126" s="17">
        <v>1098</v>
      </c>
      <c r="E126" s="17" t="s">
        <v>1441</v>
      </c>
      <c r="F126" s="23">
        <v>1562685</v>
      </c>
    </row>
    <row r="127" spans="1:6" ht="16" customHeight="1" x14ac:dyDescent="0.2">
      <c r="A127">
        <f>IFERROR(VLOOKUP(C127,'GASB Match'!$D$2:$F$6042,3,FALSE),"")</f>
        <v>3400006</v>
      </c>
      <c r="B127" s="17">
        <v>2021</v>
      </c>
      <c r="C127" s="25" t="s">
        <v>682</v>
      </c>
      <c r="D127" s="17">
        <v>1098</v>
      </c>
      <c r="E127" s="17" t="s">
        <v>1441</v>
      </c>
      <c r="F127" s="23">
        <v>1899855</v>
      </c>
    </row>
    <row r="128" spans="1:6" ht="16" customHeight="1" x14ac:dyDescent="0.2">
      <c r="A128">
        <f>IFERROR(VLOOKUP(C128,'GASB Match'!$D$2:$F$6042,3,FALSE),"")</f>
        <v>3400006</v>
      </c>
      <c r="B128" s="17">
        <v>2022</v>
      </c>
      <c r="C128" s="21" t="s">
        <v>682</v>
      </c>
      <c r="D128" s="17">
        <v>1098</v>
      </c>
      <c r="E128" s="17" t="s">
        <v>1441</v>
      </c>
      <c r="F128" s="23">
        <v>2630566</v>
      </c>
    </row>
    <row r="129" spans="1:6" ht="16" customHeight="1" x14ac:dyDescent="0.2">
      <c r="A129">
        <f>IFERROR(VLOOKUP(C129,'GASB Match'!$D$2:$F$6042,3,FALSE),"")</f>
        <v>3400006</v>
      </c>
      <c r="B129" s="17">
        <v>2023</v>
      </c>
      <c r="C129" s="21" t="s">
        <v>682</v>
      </c>
      <c r="D129" s="17">
        <v>1098</v>
      </c>
      <c r="E129" s="17" t="s">
        <v>1441</v>
      </c>
      <c r="F129" s="23">
        <v>2510687</v>
      </c>
    </row>
    <row r="130" spans="1:6" ht="16" customHeight="1" x14ac:dyDescent="0.2">
      <c r="A130">
        <f>IFERROR(VLOOKUP(C130,'GASB Match'!$D$2:$F$6042,3,FALSE),"")</f>
        <v>3400006</v>
      </c>
      <c r="B130" s="28">
        <v>2017</v>
      </c>
      <c r="C130" s="29" t="s">
        <v>3</v>
      </c>
      <c r="D130" s="17">
        <v>1098</v>
      </c>
      <c r="E130" s="17" t="s">
        <v>1400</v>
      </c>
      <c r="F130" s="29">
        <v>836431</v>
      </c>
    </row>
    <row r="131" spans="1:6" ht="16" customHeight="1" x14ac:dyDescent="0.2">
      <c r="A131">
        <f>IFERROR(VLOOKUP(C131,'GASB Match'!$D$2:$F$6042,3,FALSE),"")</f>
        <v>3400990</v>
      </c>
      <c r="B131" s="17">
        <v>2015</v>
      </c>
      <c r="C131" s="17" t="s">
        <v>4</v>
      </c>
      <c r="D131" s="17">
        <v>969</v>
      </c>
      <c r="E131" s="17" t="s">
        <v>1400</v>
      </c>
      <c r="F131" s="20">
        <v>295880</v>
      </c>
    </row>
    <row r="132" spans="1:6" ht="16" customHeight="1" x14ac:dyDescent="0.2">
      <c r="A132">
        <f>IFERROR(VLOOKUP(C132,'GASB Match'!$D$2:$F$6042,3,FALSE),"")</f>
        <v>3400990</v>
      </c>
      <c r="B132" s="17">
        <v>2016</v>
      </c>
      <c r="C132" s="17" t="s">
        <v>4</v>
      </c>
      <c r="D132" s="17">
        <v>969</v>
      </c>
      <c r="E132" s="17" t="s">
        <v>1400</v>
      </c>
      <c r="F132" s="20">
        <v>527844</v>
      </c>
    </row>
    <row r="133" spans="1:6" ht="16" customHeight="1" x14ac:dyDescent="0.2">
      <c r="A133">
        <f>IFERROR(VLOOKUP(C133,'GASB Match'!$D$2:$F$6042,3,FALSE),"")</f>
        <v>3400990</v>
      </c>
      <c r="B133" s="17">
        <v>2018</v>
      </c>
      <c r="C133" s="17" t="s">
        <v>683</v>
      </c>
      <c r="D133" s="17">
        <v>969</v>
      </c>
      <c r="E133" s="17" t="s">
        <v>1441</v>
      </c>
      <c r="F133" s="20">
        <v>1300077</v>
      </c>
    </row>
    <row r="134" spans="1:6" ht="16" customHeight="1" x14ac:dyDescent="0.2">
      <c r="A134">
        <f>IFERROR(VLOOKUP(C134,'GASB Match'!$D$2:$F$6042,3,FALSE),"")</f>
        <v>3400990</v>
      </c>
      <c r="B134" s="17">
        <v>2019</v>
      </c>
      <c r="C134" s="17" t="s">
        <v>683</v>
      </c>
      <c r="D134" s="17">
        <v>969</v>
      </c>
      <c r="E134" s="17" t="s">
        <v>1441</v>
      </c>
      <c r="F134" s="20">
        <v>1724848</v>
      </c>
    </row>
    <row r="135" spans="1:6" ht="16" customHeight="1" x14ac:dyDescent="0.2">
      <c r="A135">
        <f>IFERROR(VLOOKUP(C135,'GASB Match'!$D$2:$F$6042,3,FALSE),"")</f>
        <v>3400990</v>
      </c>
      <c r="B135" s="17">
        <v>2020</v>
      </c>
      <c r="C135" s="21" t="s">
        <v>683</v>
      </c>
      <c r="D135" s="17">
        <v>969</v>
      </c>
      <c r="E135" s="17" t="s">
        <v>1441</v>
      </c>
      <c r="F135" s="23">
        <v>1993900</v>
      </c>
    </row>
    <row r="136" spans="1:6" ht="16" customHeight="1" x14ac:dyDescent="0.2">
      <c r="A136">
        <f>IFERROR(VLOOKUP(C136,'GASB Match'!$D$2:$F$6042,3,FALSE),"")</f>
        <v>3400990</v>
      </c>
      <c r="B136" s="17">
        <v>2021</v>
      </c>
      <c r="C136" s="25" t="s">
        <v>683</v>
      </c>
      <c r="D136" s="17">
        <v>969</v>
      </c>
      <c r="E136" s="17" t="s">
        <v>1441</v>
      </c>
      <c r="F136" s="23">
        <v>2668882</v>
      </c>
    </row>
    <row r="137" spans="1:6" ht="16" customHeight="1" x14ac:dyDescent="0.2">
      <c r="A137">
        <f>IFERROR(VLOOKUP(C137,'GASB Match'!$D$2:$F$6042,3,FALSE),"")</f>
        <v>3400990</v>
      </c>
      <c r="B137" s="17">
        <v>2022</v>
      </c>
      <c r="C137" s="21" t="s">
        <v>683</v>
      </c>
      <c r="D137" s="17">
        <v>969</v>
      </c>
      <c r="E137" s="17" t="s">
        <v>1441</v>
      </c>
      <c r="F137" s="23">
        <v>3989640</v>
      </c>
    </row>
    <row r="138" spans="1:6" ht="16" customHeight="1" x14ac:dyDescent="0.2">
      <c r="A138">
        <f>IFERROR(VLOOKUP(C138,'GASB Match'!$D$2:$F$6042,3,FALSE),"")</f>
        <v>3400990</v>
      </c>
      <c r="B138" s="17">
        <v>2023</v>
      </c>
      <c r="C138" s="21" t="s">
        <v>683</v>
      </c>
      <c r="D138" s="17">
        <v>969</v>
      </c>
      <c r="E138" s="17" t="s">
        <v>1441</v>
      </c>
      <c r="F138" s="23">
        <v>3990911</v>
      </c>
    </row>
    <row r="139" spans="1:6" ht="16" customHeight="1" x14ac:dyDescent="0.2">
      <c r="A139">
        <f>IFERROR(VLOOKUP(C139,'GASB Match'!$D$2:$F$6042,3,FALSE),"")</f>
        <v>3400990</v>
      </c>
      <c r="B139" s="28">
        <v>2017</v>
      </c>
      <c r="C139" s="29" t="s">
        <v>4</v>
      </c>
      <c r="D139" s="17">
        <v>969</v>
      </c>
      <c r="E139" s="17" t="s">
        <v>1400</v>
      </c>
      <c r="F139" s="29">
        <v>867285</v>
      </c>
    </row>
    <row r="140" spans="1:6" ht="16" customHeight="1" x14ac:dyDescent="0.2">
      <c r="A140">
        <f>IFERROR(VLOOKUP(C140,'GASB Match'!$D$2:$F$6042,3,FALSE),"")</f>
        <v>3401020</v>
      </c>
      <c r="B140" s="17">
        <v>2015</v>
      </c>
      <c r="C140" s="17" t="s">
        <v>402</v>
      </c>
      <c r="D140" s="17">
        <v>321</v>
      </c>
      <c r="E140" s="17" t="s">
        <v>1420</v>
      </c>
      <c r="F140" s="20">
        <v>139783</v>
      </c>
    </row>
    <row r="141" spans="1:6" ht="16" customHeight="1" x14ac:dyDescent="0.2">
      <c r="A141">
        <f>IFERROR(VLOOKUP(C141,'GASB Match'!$D$2:$F$6042,3,FALSE),"")</f>
        <v>3401020</v>
      </c>
      <c r="B141" s="17">
        <v>2016</v>
      </c>
      <c r="C141" s="17" t="s">
        <v>402</v>
      </c>
      <c r="D141" s="17">
        <v>321</v>
      </c>
      <c r="E141" s="17" t="s">
        <v>1420</v>
      </c>
      <c r="F141" s="20">
        <v>212822</v>
      </c>
    </row>
    <row r="142" spans="1:6" ht="16" customHeight="1" x14ac:dyDescent="0.2">
      <c r="A142">
        <f>IFERROR(VLOOKUP(C142,'GASB Match'!$D$2:$F$6042,3,FALSE),"")</f>
        <v>3401020</v>
      </c>
      <c r="B142" s="17">
        <v>2018</v>
      </c>
      <c r="C142" s="17" t="s">
        <v>1094</v>
      </c>
      <c r="D142" s="17">
        <v>321</v>
      </c>
      <c r="E142" s="17" t="s">
        <v>1463</v>
      </c>
      <c r="F142" s="20">
        <v>390759</v>
      </c>
    </row>
    <row r="143" spans="1:6" ht="16" customHeight="1" x14ac:dyDescent="0.2">
      <c r="A143">
        <f>IFERROR(VLOOKUP(C143,'GASB Match'!$D$2:$F$6042,3,FALSE),"")</f>
        <v>3401020</v>
      </c>
      <c r="B143" s="17">
        <v>2019</v>
      </c>
      <c r="C143" s="17" t="s">
        <v>1094</v>
      </c>
      <c r="D143" s="17">
        <v>321</v>
      </c>
      <c r="E143" s="17" t="s">
        <v>1463</v>
      </c>
      <c r="F143" s="20">
        <v>530919</v>
      </c>
    </row>
    <row r="144" spans="1:6" ht="16" customHeight="1" x14ac:dyDescent="0.2">
      <c r="A144">
        <f>IFERROR(VLOOKUP(C144,'GASB Match'!$D$2:$F$6042,3,FALSE),"")</f>
        <v>3401020</v>
      </c>
      <c r="B144" s="17">
        <v>2020</v>
      </c>
      <c r="C144" s="21" t="s">
        <v>1094</v>
      </c>
      <c r="D144" s="17">
        <v>321</v>
      </c>
      <c r="E144" s="17" t="s">
        <v>1463</v>
      </c>
      <c r="F144" s="23">
        <v>599558</v>
      </c>
    </row>
    <row r="145" spans="1:6" ht="16" customHeight="1" x14ac:dyDescent="0.2">
      <c r="A145">
        <f>IFERROR(VLOOKUP(C145,'GASB Match'!$D$2:$F$6042,3,FALSE),"")</f>
        <v>3401020</v>
      </c>
      <c r="B145" s="17">
        <v>2021</v>
      </c>
      <c r="C145" s="25" t="s">
        <v>1094</v>
      </c>
      <c r="D145" s="17">
        <v>321</v>
      </c>
      <c r="E145" s="17" t="s">
        <v>1463</v>
      </c>
      <c r="F145" s="23">
        <v>725933</v>
      </c>
    </row>
    <row r="146" spans="1:6" ht="16" customHeight="1" x14ac:dyDescent="0.2">
      <c r="A146">
        <f>IFERROR(VLOOKUP(C146,'GASB Match'!$D$2:$F$6042,3,FALSE),"")</f>
        <v>3401020</v>
      </c>
      <c r="B146" s="17">
        <v>2022</v>
      </c>
      <c r="C146" s="21" t="s">
        <v>1094</v>
      </c>
      <c r="D146" s="17">
        <v>321</v>
      </c>
      <c r="E146" s="17" t="s">
        <v>1463</v>
      </c>
      <c r="F146" s="23">
        <v>1158782</v>
      </c>
    </row>
    <row r="147" spans="1:6" ht="16" customHeight="1" x14ac:dyDescent="0.2">
      <c r="A147">
        <f>IFERROR(VLOOKUP(C147,'GASB Match'!$D$2:$F$6042,3,FALSE),"")</f>
        <v>3401020</v>
      </c>
      <c r="B147" s="17">
        <v>2023</v>
      </c>
      <c r="C147" s="21" t="s">
        <v>1094</v>
      </c>
      <c r="D147" s="17">
        <v>321</v>
      </c>
      <c r="E147" s="17" t="s">
        <v>1463</v>
      </c>
      <c r="F147" s="23">
        <v>1031566</v>
      </c>
    </row>
    <row r="148" spans="1:6" ht="16" customHeight="1" x14ac:dyDescent="0.2">
      <c r="A148">
        <f>IFERROR(VLOOKUP(C148,'GASB Match'!$D$2:$F$6042,3,FALSE),"")</f>
        <v>3401020</v>
      </c>
      <c r="B148" s="28">
        <v>2017</v>
      </c>
      <c r="C148" s="29" t="s">
        <v>402</v>
      </c>
      <c r="D148" s="17">
        <v>321</v>
      </c>
      <c r="E148" s="17" t="s">
        <v>1420</v>
      </c>
      <c r="F148" s="29">
        <v>300604</v>
      </c>
    </row>
    <row r="149" spans="1:6" ht="16" customHeight="1" x14ac:dyDescent="0.2">
      <c r="A149">
        <f>IFERROR(VLOOKUP(C149,'GASB Match'!$D$2:$F$6042,3,FALSE),"")</f>
        <v>3401050</v>
      </c>
      <c r="B149" s="17">
        <v>2015</v>
      </c>
      <c r="C149" s="17" t="s">
        <v>149</v>
      </c>
      <c r="D149" s="17">
        <v>4011</v>
      </c>
      <c r="E149" s="17" t="s">
        <v>1405</v>
      </c>
      <c r="F149" s="20">
        <v>559594</v>
      </c>
    </row>
    <row r="150" spans="1:6" ht="16" customHeight="1" x14ac:dyDescent="0.2">
      <c r="A150">
        <f>IFERROR(VLOOKUP(C150,'GASB Match'!$D$2:$F$6042,3,FALSE),"")</f>
        <v>3401050</v>
      </c>
      <c r="B150" s="17">
        <v>2016</v>
      </c>
      <c r="C150" s="17" t="s">
        <v>149</v>
      </c>
      <c r="D150" s="17">
        <v>4011</v>
      </c>
      <c r="E150" s="17" t="s">
        <v>1405</v>
      </c>
      <c r="F150" s="20">
        <v>848379</v>
      </c>
    </row>
    <row r="151" spans="1:6" ht="16" customHeight="1" x14ac:dyDescent="0.2">
      <c r="A151">
        <f>IFERROR(VLOOKUP(C151,'GASB Match'!$D$2:$F$6042,3,FALSE),"")</f>
        <v>3401050</v>
      </c>
      <c r="B151" s="17">
        <v>2018</v>
      </c>
      <c r="C151" s="17" t="s">
        <v>830</v>
      </c>
      <c r="D151" s="17">
        <v>4011</v>
      </c>
      <c r="E151" s="17" t="s">
        <v>1446</v>
      </c>
      <c r="F151" s="20">
        <v>1624754</v>
      </c>
    </row>
    <row r="152" spans="1:6" ht="16" customHeight="1" x14ac:dyDescent="0.2">
      <c r="A152">
        <f>IFERROR(VLOOKUP(C152,'GASB Match'!$D$2:$F$6042,3,FALSE),"")</f>
        <v>3401050</v>
      </c>
      <c r="B152" s="17">
        <v>2019</v>
      </c>
      <c r="C152" s="17" t="s">
        <v>830</v>
      </c>
      <c r="D152" s="17">
        <v>4011</v>
      </c>
      <c r="E152" s="17" t="s">
        <v>1446</v>
      </c>
      <c r="F152" s="20">
        <v>2118860</v>
      </c>
    </row>
    <row r="153" spans="1:6" ht="16" customHeight="1" x14ac:dyDescent="0.2">
      <c r="A153">
        <f>IFERROR(VLOOKUP(C153,'GASB Match'!$D$2:$F$6042,3,FALSE),"")</f>
        <v>3401050</v>
      </c>
      <c r="B153" s="17">
        <v>2020</v>
      </c>
      <c r="C153" s="21" t="s">
        <v>830</v>
      </c>
      <c r="D153" s="17">
        <v>4011</v>
      </c>
      <c r="E153" s="17" t="s">
        <v>1446</v>
      </c>
      <c r="F153" s="23">
        <v>2435906</v>
      </c>
    </row>
    <row r="154" spans="1:6" ht="16" customHeight="1" x14ac:dyDescent="0.2">
      <c r="A154">
        <f>IFERROR(VLOOKUP(C154,'GASB Match'!$D$2:$F$6042,3,FALSE),"")</f>
        <v>3401050</v>
      </c>
      <c r="B154" s="17">
        <v>2021</v>
      </c>
      <c r="C154" s="25" t="s">
        <v>830</v>
      </c>
      <c r="D154" s="17">
        <v>4011</v>
      </c>
      <c r="E154" s="17" t="s">
        <v>1446</v>
      </c>
      <c r="F154" s="23">
        <v>3135381</v>
      </c>
    </row>
    <row r="155" spans="1:6" ht="16" customHeight="1" x14ac:dyDescent="0.2">
      <c r="A155">
        <f>IFERROR(VLOOKUP(C155,'GASB Match'!$D$2:$F$6042,3,FALSE),"")</f>
        <v>3401050</v>
      </c>
      <c r="B155" s="17">
        <v>2022</v>
      </c>
      <c r="C155" s="21" t="s">
        <v>830</v>
      </c>
      <c r="D155" s="17">
        <v>4011</v>
      </c>
      <c r="E155" s="17" t="s">
        <v>1446</v>
      </c>
      <c r="F155" s="23">
        <v>4354923</v>
      </c>
    </row>
    <row r="156" spans="1:6" ht="16" customHeight="1" x14ac:dyDescent="0.2">
      <c r="A156">
        <f>IFERROR(VLOOKUP(C156,'GASB Match'!$D$2:$F$6042,3,FALSE),"")</f>
        <v>3401050</v>
      </c>
      <c r="B156" s="17">
        <v>2023</v>
      </c>
      <c r="C156" s="21" t="s">
        <v>830</v>
      </c>
      <c r="D156" s="17">
        <v>4011</v>
      </c>
      <c r="E156" s="17" t="s">
        <v>1446</v>
      </c>
      <c r="F156" s="23">
        <v>4220069</v>
      </c>
    </row>
    <row r="157" spans="1:6" ht="16" customHeight="1" x14ac:dyDescent="0.2">
      <c r="A157">
        <f>IFERROR(VLOOKUP(C157,'GASB Match'!$D$2:$F$6042,3,FALSE),"")</f>
        <v>3401050</v>
      </c>
      <c r="B157" s="28">
        <v>2017</v>
      </c>
      <c r="C157" s="29" t="s">
        <v>149</v>
      </c>
      <c r="D157" s="17">
        <v>4011</v>
      </c>
      <c r="E157" s="17" t="s">
        <v>1405</v>
      </c>
      <c r="F157" s="29">
        <v>1205797</v>
      </c>
    </row>
    <row r="158" spans="1:6" ht="16" customHeight="1" x14ac:dyDescent="0.2">
      <c r="A158">
        <f>IFERROR(VLOOKUP(C158,'GASB Match'!$D$2:$F$6042,3,FALSE),"")</f>
        <v>3401110</v>
      </c>
      <c r="B158" s="17">
        <v>2015</v>
      </c>
      <c r="C158" s="17" t="s">
        <v>195</v>
      </c>
      <c r="D158" s="17">
        <v>5011</v>
      </c>
      <c r="E158" s="17" t="s">
        <v>1407</v>
      </c>
      <c r="F158" s="20">
        <v>74244</v>
      </c>
    </row>
    <row r="159" spans="1:6" ht="16" customHeight="1" x14ac:dyDescent="0.2">
      <c r="A159">
        <f>IFERROR(VLOOKUP(C159,'GASB Match'!$D$2:$F$6042,3,FALSE),"")</f>
        <v>3401110</v>
      </c>
      <c r="B159" s="17">
        <v>2016</v>
      </c>
      <c r="C159" s="17" t="s">
        <v>195</v>
      </c>
      <c r="D159" s="17">
        <v>5011</v>
      </c>
      <c r="E159" s="17" t="s">
        <v>1407</v>
      </c>
      <c r="F159" s="20">
        <v>112406</v>
      </c>
    </row>
    <row r="160" spans="1:6" ht="16" customHeight="1" x14ac:dyDescent="0.2">
      <c r="A160">
        <f>IFERROR(VLOOKUP(C160,'GASB Match'!$D$2:$F$6042,3,FALSE),"")</f>
        <v>3401110</v>
      </c>
      <c r="B160" s="17">
        <v>2018</v>
      </c>
      <c r="C160" s="17" t="s">
        <v>879</v>
      </c>
      <c r="D160" s="17">
        <v>5011</v>
      </c>
      <c r="E160" s="17" t="s">
        <v>1448</v>
      </c>
      <c r="F160" s="20">
        <v>182939</v>
      </c>
    </row>
    <row r="161" spans="1:6" ht="16" customHeight="1" x14ac:dyDescent="0.2">
      <c r="A161">
        <f>IFERROR(VLOOKUP(C161,'GASB Match'!$D$2:$F$6042,3,FALSE),"")</f>
        <v>3401110</v>
      </c>
      <c r="B161" s="17">
        <v>2019</v>
      </c>
      <c r="C161" s="17" t="s">
        <v>879</v>
      </c>
      <c r="D161" s="17">
        <v>5011</v>
      </c>
      <c r="E161" s="17" t="s">
        <v>1448</v>
      </c>
      <c r="F161" s="20">
        <v>232666</v>
      </c>
    </row>
    <row r="162" spans="1:6" ht="16" customHeight="1" x14ac:dyDescent="0.2">
      <c r="A162">
        <f>IFERROR(VLOOKUP(C162,'GASB Match'!$D$2:$F$6042,3,FALSE),"")</f>
        <v>3401110</v>
      </c>
      <c r="B162" s="17">
        <v>2020</v>
      </c>
      <c r="C162" s="21" t="s">
        <v>879</v>
      </c>
      <c r="D162" s="17">
        <v>5011</v>
      </c>
      <c r="E162" s="17" t="s">
        <v>1448</v>
      </c>
      <c r="F162" s="23">
        <v>335592</v>
      </c>
    </row>
    <row r="163" spans="1:6" ht="16" customHeight="1" x14ac:dyDescent="0.2">
      <c r="A163">
        <f>IFERROR(VLOOKUP(C163,'GASB Match'!$D$2:$F$6042,3,FALSE),"")</f>
        <v>3401110</v>
      </c>
      <c r="B163" s="17">
        <v>2021</v>
      </c>
      <c r="C163" s="25" t="s">
        <v>879</v>
      </c>
      <c r="D163" s="17">
        <v>5011</v>
      </c>
      <c r="E163" s="17" t="s">
        <v>1448</v>
      </c>
      <c r="F163" s="23">
        <v>426468</v>
      </c>
    </row>
    <row r="164" spans="1:6" ht="16" customHeight="1" x14ac:dyDescent="0.2">
      <c r="A164">
        <f>IFERROR(VLOOKUP(C164,'GASB Match'!$D$2:$F$6042,3,FALSE),"")</f>
        <v>3401110</v>
      </c>
      <c r="B164" s="17">
        <v>2022</v>
      </c>
      <c r="C164" s="21" t="s">
        <v>879</v>
      </c>
      <c r="D164" s="17">
        <v>5011</v>
      </c>
      <c r="E164" s="17" t="s">
        <v>1448</v>
      </c>
      <c r="F164" s="23">
        <v>621076</v>
      </c>
    </row>
    <row r="165" spans="1:6" ht="16" customHeight="1" x14ac:dyDescent="0.2">
      <c r="A165">
        <f>IFERROR(VLOOKUP(C165,'GASB Match'!$D$2:$F$6042,3,FALSE),"")</f>
        <v>3401110</v>
      </c>
      <c r="B165" s="17">
        <v>2023</v>
      </c>
      <c r="C165" s="21" t="s">
        <v>879</v>
      </c>
      <c r="D165" s="17">
        <v>5011</v>
      </c>
      <c r="E165" s="17" t="s">
        <v>1448</v>
      </c>
      <c r="F165" s="23">
        <v>694479</v>
      </c>
    </row>
    <row r="166" spans="1:6" ht="16" customHeight="1" x14ac:dyDescent="0.2">
      <c r="A166">
        <f>IFERROR(VLOOKUP(C166,'GASB Match'!$D$2:$F$6042,3,FALSE),"")</f>
        <v>3401110</v>
      </c>
      <c r="B166" s="28">
        <v>2017</v>
      </c>
      <c r="C166" s="29" t="s">
        <v>195</v>
      </c>
      <c r="D166" s="17">
        <v>5011</v>
      </c>
      <c r="E166" s="17" t="s">
        <v>1407</v>
      </c>
      <c r="F166" s="29">
        <v>155907</v>
      </c>
    </row>
    <row r="167" spans="1:6" ht="16" customHeight="1" x14ac:dyDescent="0.2">
      <c r="A167">
        <f>IFERROR(VLOOKUP(C167,'GASB Match'!$D$2:$F$6042,3,FALSE),"")</f>
        <v>3401140</v>
      </c>
      <c r="B167" s="17">
        <v>2015</v>
      </c>
      <c r="C167" s="17" t="s">
        <v>403</v>
      </c>
      <c r="D167" s="17">
        <v>323</v>
      </c>
      <c r="E167" s="17" t="s">
        <v>1420</v>
      </c>
      <c r="F167" s="20">
        <v>64941</v>
      </c>
    </row>
    <row r="168" spans="1:6" ht="16" customHeight="1" x14ac:dyDescent="0.2">
      <c r="A168">
        <f>IFERROR(VLOOKUP(C168,'GASB Match'!$D$2:$F$6042,3,FALSE),"")</f>
        <v>3401140</v>
      </c>
      <c r="B168" s="17">
        <v>2016</v>
      </c>
      <c r="C168" s="17" t="s">
        <v>403</v>
      </c>
      <c r="D168" s="17">
        <v>323</v>
      </c>
      <c r="E168" s="17" t="s">
        <v>1420</v>
      </c>
      <c r="F168" s="20">
        <v>91946</v>
      </c>
    </row>
    <row r="169" spans="1:6" ht="16" customHeight="1" x14ac:dyDescent="0.2">
      <c r="A169">
        <f>IFERROR(VLOOKUP(C169,'GASB Match'!$D$2:$F$6042,3,FALSE),"")</f>
        <v>3401140</v>
      </c>
      <c r="B169" s="17">
        <v>2018</v>
      </c>
      <c r="C169" s="17" t="s">
        <v>1095</v>
      </c>
      <c r="D169" s="17">
        <v>323</v>
      </c>
      <c r="E169" s="17" t="s">
        <v>1463</v>
      </c>
      <c r="F169" s="20">
        <v>178319</v>
      </c>
    </row>
    <row r="170" spans="1:6" ht="16" customHeight="1" x14ac:dyDescent="0.2">
      <c r="A170">
        <f>IFERROR(VLOOKUP(C170,'GASB Match'!$D$2:$F$6042,3,FALSE),"")</f>
        <v>3401140</v>
      </c>
      <c r="B170" s="17">
        <v>2019</v>
      </c>
      <c r="C170" s="17" t="s">
        <v>1095</v>
      </c>
      <c r="D170" s="17">
        <v>323</v>
      </c>
      <c r="E170" s="17" t="s">
        <v>1463</v>
      </c>
      <c r="F170" s="20">
        <v>250646</v>
      </c>
    </row>
    <row r="171" spans="1:6" ht="16" customHeight="1" x14ac:dyDescent="0.2">
      <c r="A171">
        <f>IFERROR(VLOOKUP(C171,'GASB Match'!$D$2:$F$6042,3,FALSE),"")</f>
        <v>3401140</v>
      </c>
      <c r="B171" s="17">
        <v>2020</v>
      </c>
      <c r="C171" s="21" t="s">
        <v>1095</v>
      </c>
      <c r="D171" s="17">
        <v>323</v>
      </c>
      <c r="E171" s="17" t="s">
        <v>1463</v>
      </c>
      <c r="F171" s="23">
        <v>302832</v>
      </c>
    </row>
    <row r="172" spans="1:6" ht="16" customHeight="1" x14ac:dyDescent="0.2">
      <c r="A172">
        <f>IFERROR(VLOOKUP(C172,'GASB Match'!$D$2:$F$6042,3,FALSE),"")</f>
        <v>3401140</v>
      </c>
      <c r="B172" s="17">
        <v>2021</v>
      </c>
      <c r="C172" s="25" t="s">
        <v>1095</v>
      </c>
      <c r="D172" s="17">
        <v>323</v>
      </c>
      <c r="E172" s="17" t="s">
        <v>1463</v>
      </c>
      <c r="F172" s="23">
        <v>371872</v>
      </c>
    </row>
    <row r="173" spans="1:6" ht="16" customHeight="1" x14ac:dyDescent="0.2">
      <c r="A173">
        <f>IFERROR(VLOOKUP(C173,'GASB Match'!$D$2:$F$6042,3,FALSE),"")</f>
        <v>3401140</v>
      </c>
      <c r="B173" s="17">
        <v>2022</v>
      </c>
      <c r="C173" s="21" t="s">
        <v>1095</v>
      </c>
      <c r="D173" s="17">
        <v>323</v>
      </c>
      <c r="E173" s="17" t="s">
        <v>1463</v>
      </c>
      <c r="F173" s="23">
        <v>529108</v>
      </c>
    </row>
    <row r="174" spans="1:6" ht="16" customHeight="1" x14ac:dyDescent="0.2">
      <c r="A174">
        <f>IFERROR(VLOOKUP(C174,'GASB Match'!$D$2:$F$6042,3,FALSE),"")</f>
        <v>3401140</v>
      </c>
      <c r="B174" s="17">
        <v>2023</v>
      </c>
      <c r="C174" s="21" t="s">
        <v>1095</v>
      </c>
      <c r="D174" s="17">
        <v>323</v>
      </c>
      <c r="E174" s="17" t="s">
        <v>1463</v>
      </c>
      <c r="F174" s="23">
        <v>533761</v>
      </c>
    </row>
    <row r="175" spans="1:6" ht="16" customHeight="1" x14ac:dyDescent="0.2">
      <c r="A175">
        <f>IFERROR(VLOOKUP(C175,'GASB Match'!$D$2:$F$6042,3,FALSE),"")</f>
        <v>3401140</v>
      </c>
      <c r="B175" s="28">
        <v>2017</v>
      </c>
      <c r="C175" s="29" t="s">
        <v>403</v>
      </c>
      <c r="D175" s="17">
        <v>323</v>
      </c>
      <c r="E175" s="17" t="s">
        <v>1420</v>
      </c>
      <c r="F175" s="29">
        <v>111687</v>
      </c>
    </row>
    <row r="176" spans="1:6" ht="16" customHeight="1" x14ac:dyDescent="0.2">
      <c r="A176">
        <f>IFERROR(VLOOKUP(C176,'GASB Match'!$D$2:$F$6042,3,FALSE),"")</f>
        <v>3400740</v>
      </c>
      <c r="B176" s="17">
        <v>2015</v>
      </c>
      <c r="C176" s="17" t="s">
        <v>611</v>
      </c>
      <c r="D176" s="17">
        <v>854</v>
      </c>
      <c r="E176" s="17" t="s">
        <v>1427</v>
      </c>
      <c r="F176" s="20">
        <v>57362</v>
      </c>
    </row>
    <row r="177" spans="1:6" ht="16" customHeight="1" x14ac:dyDescent="0.2">
      <c r="A177">
        <f>IFERROR(VLOOKUP(C177,'GASB Match'!$D$2:$F$6042,3,FALSE),"")</f>
        <v>3400740</v>
      </c>
      <c r="B177" s="17">
        <v>2016</v>
      </c>
      <c r="C177" s="17" t="s">
        <v>611</v>
      </c>
      <c r="D177" s="17">
        <v>854</v>
      </c>
      <c r="E177" s="17" t="s">
        <v>1427</v>
      </c>
      <c r="F177" s="20">
        <v>79731</v>
      </c>
    </row>
    <row r="178" spans="1:6" ht="16" customHeight="1" x14ac:dyDescent="0.2">
      <c r="A178">
        <f>IFERROR(VLOOKUP(C178,'GASB Match'!$D$2:$F$6042,3,FALSE),"")</f>
        <v>3400740</v>
      </c>
      <c r="B178" s="17">
        <v>2018</v>
      </c>
      <c r="C178" s="17" t="s">
        <v>1304</v>
      </c>
      <c r="D178" s="17">
        <v>854</v>
      </c>
      <c r="E178" s="17" t="s">
        <v>1470</v>
      </c>
      <c r="F178" s="20">
        <v>197574</v>
      </c>
    </row>
    <row r="179" spans="1:6" ht="16" customHeight="1" x14ac:dyDescent="0.2">
      <c r="A179">
        <f>IFERROR(VLOOKUP(C179,'GASB Match'!$D$2:$F$6042,3,FALSE),"")</f>
        <v>3400740</v>
      </c>
      <c r="B179" s="17">
        <v>2019</v>
      </c>
      <c r="C179" s="17" t="s">
        <v>1304</v>
      </c>
      <c r="D179" s="17">
        <v>854</v>
      </c>
      <c r="E179" s="17" t="s">
        <v>1470</v>
      </c>
      <c r="F179" s="20">
        <v>201978</v>
      </c>
    </row>
    <row r="180" spans="1:6" ht="16" customHeight="1" x14ac:dyDescent="0.2">
      <c r="A180">
        <f>IFERROR(VLOOKUP(C180,'GASB Match'!$D$2:$F$6042,3,FALSE),"")</f>
        <v>3400740</v>
      </c>
      <c r="B180" s="17">
        <v>2020</v>
      </c>
      <c r="C180" s="21" t="s">
        <v>1304</v>
      </c>
      <c r="D180" s="17">
        <v>854</v>
      </c>
      <c r="E180" s="17" t="s">
        <v>1470</v>
      </c>
      <c r="F180" s="23">
        <v>271892</v>
      </c>
    </row>
    <row r="181" spans="1:6" ht="16" customHeight="1" x14ac:dyDescent="0.2">
      <c r="A181">
        <f>IFERROR(VLOOKUP(C181,'GASB Match'!$D$2:$F$6042,3,FALSE),"")</f>
        <v>3400740</v>
      </c>
      <c r="B181" s="17">
        <v>2021</v>
      </c>
      <c r="C181" s="25" t="s">
        <v>1304</v>
      </c>
      <c r="D181" s="17">
        <v>854</v>
      </c>
      <c r="E181" s="17" t="s">
        <v>1470</v>
      </c>
      <c r="F181" s="23">
        <v>355085</v>
      </c>
    </row>
    <row r="182" spans="1:6" ht="16" customHeight="1" x14ac:dyDescent="0.2">
      <c r="A182">
        <f>IFERROR(VLOOKUP(C182,'GASB Match'!$D$2:$F$6042,3,FALSE),"")</f>
        <v>3400740</v>
      </c>
      <c r="B182" s="17">
        <v>2022</v>
      </c>
      <c r="C182" s="21" t="s">
        <v>1304</v>
      </c>
      <c r="D182" s="17">
        <v>854</v>
      </c>
      <c r="E182" s="17" t="s">
        <v>1470</v>
      </c>
      <c r="F182" s="23">
        <v>560224</v>
      </c>
    </row>
    <row r="183" spans="1:6" ht="16" customHeight="1" x14ac:dyDescent="0.2">
      <c r="A183">
        <f>IFERROR(VLOOKUP(C183,'GASB Match'!$D$2:$F$6042,3,FALSE),"")</f>
        <v>3400740</v>
      </c>
      <c r="B183" s="17">
        <v>2023</v>
      </c>
      <c r="C183" s="21" t="s">
        <v>1304</v>
      </c>
      <c r="D183" s="17">
        <v>854</v>
      </c>
      <c r="E183" s="17" t="s">
        <v>1470</v>
      </c>
      <c r="F183" s="23">
        <v>551085</v>
      </c>
    </row>
    <row r="184" spans="1:6" ht="16" customHeight="1" x14ac:dyDescent="0.2">
      <c r="A184">
        <f>IFERROR(VLOOKUP(C184,'GASB Match'!$D$2:$F$6042,3,FALSE),"")</f>
        <v>3400740</v>
      </c>
      <c r="B184" s="28">
        <v>2017</v>
      </c>
      <c r="C184" s="29" t="s">
        <v>611</v>
      </c>
      <c r="D184" s="17">
        <v>854</v>
      </c>
      <c r="E184" s="17" t="s">
        <v>1427</v>
      </c>
      <c r="F184" s="29">
        <v>126144</v>
      </c>
    </row>
    <row r="185" spans="1:6" ht="16" customHeight="1" x14ac:dyDescent="0.2">
      <c r="A185">
        <f>IFERROR(VLOOKUP(C185,'GASB Match'!$D$2:$F$6042,3,FALSE),"")</f>
        <v>3416470</v>
      </c>
      <c r="B185" s="17">
        <v>2015</v>
      </c>
      <c r="C185" s="17" t="s">
        <v>494</v>
      </c>
      <c r="D185" s="17">
        <v>535</v>
      </c>
      <c r="E185" s="17" t="s">
        <v>1422</v>
      </c>
      <c r="F185" s="20">
        <v>1017014</v>
      </c>
    </row>
    <row r="186" spans="1:6" ht="16" customHeight="1" x14ac:dyDescent="0.2">
      <c r="A186">
        <f>IFERROR(VLOOKUP(C186,'GASB Match'!$D$2:$F$6042,3,FALSE),"")</f>
        <v>3416470</v>
      </c>
      <c r="B186" s="17">
        <v>2016</v>
      </c>
      <c r="C186" s="17" t="s">
        <v>494</v>
      </c>
      <c r="D186" s="17">
        <v>535</v>
      </c>
      <c r="E186" s="17" t="s">
        <v>1422</v>
      </c>
      <c r="F186" s="20">
        <v>1519408</v>
      </c>
    </row>
    <row r="187" spans="1:6" ht="16" customHeight="1" x14ac:dyDescent="0.2">
      <c r="A187">
        <f>IFERROR(VLOOKUP(C187,'GASB Match'!$D$2:$F$6042,3,FALSE),"")</f>
        <v>3416470</v>
      </c>
      <c r="B187" s="17">
        <v>2018</v>
      </c>
      <c r="C187" s="17" t="s">
        <v>1186</v>
      </c>
      <c r="D187" s="17">
        <v>535</v>
      </c>
      <c r="E187" s="17" t="s">
        <v>1465</v>
      </c>
      <c r="F187" s="20">
        <v>2898104</v>
      </c>
    </row>
    <row r="188" spans="1:6" ht="16" customHeight="1" x14ac:dyDescent="0.2">
      <c r="A188">
        <f>IFERROR(VLOOKUP(C188,'GASB Match'!$D$2:$F$6042,3,FALSE),"")</f>
        <v>3416470</v>
      </c>
      <c r="B188" s="17">
        <v>2019</v>
      </c>
      <c r="C188" s="17" t="s">
        <v>1186</v>
      </c>
      <c r="D188" s="17">
        <v>535</v>
      </c>
      <c r="E188" s="17" t="s">
        <v>1465</v>
      </c>
      <c r="F188" s="20">
        <v>3831495</v>
      </c>
    </row>
    <row r="189" spans="1:6" ht="16" customHeight="1" x14ac:dyDescent="0.2">
      <c r="A189">
        <f>IFERROR(VLOOKUP(C189,'GASB Match'!$D$2:$F$6042,3,FALSE),"")</f>
        <v>3416470</v>
      </c>
      <c r="B189" s="17">
        <v>2020</v>
      </c>
      <c r="C189" s="21" t="s">
        <v>1186</v>
      </c>
      <c r="D189" s="17">
        <v>535</v>
      </c>
      <c r="E189" s="17" t="s">
        <v>1465</v>
      </c>
      <c r="F189" s="23">
        <v>4346385</v>
      </c>
    </row>
    <row r="190" spans="1:6" ht="16" customHeight="1" x14ac:dyDescent="0.2">
      <c r="A190">
        <f>IFERROR(VLOOKUP(C190,'GASB Match'!$D$2:$F$6042,3,FALSE),"")</f>
        <v>3416470</v>
      </c>
      <c r="B190" s="17">
        <v>2021</v>
      </c>
      <c r="C190" s="25" t="s">
        <v>1186</v>
      </c>
      <c r="D190" s="17">
        <v>535</v>
      </c>
      <c r="E190" s="17" t="s">
        <v>1465</v>
      </c>
      <c r="F190" s="23">
        <v>6023957</v>
      </c>
    </row>
    <row r="191" spans="1:6" ht="16" customHeight="1" x14ac:dyDescent="0.2">
      <c r="A191">
        <f>IFERROR(VLOOKUP(C191,'GASB Match'!$D$2:$F$6042,3,FALSE),"")</f>
        <v>3416470</v>
      </c>
      <c r="B191" s="17">
        <v>2022</v>
      </c>
      <c r="C191" s="21" t="s">
        <v>1186</v>
      </c>
      <c r="D191" s="17">
        <v>535</v>
      </c>
      <c r="E191" s="17" t="s">
        <v>1465</v>
      </c>
      <c r="F191" s="22">
        <v>8582274</v>
      </c>
    </row>
    <row r="192" spans="1:6" ht="16" customHeight="1" x14ac:dyDescent="0.2">
      <c r="A192">
        <f>IFERROR(VLOOKUP(C192,'GASB Match'!$D$2:$F$6042,3,FALSE),"")</f>
        <v>3416470</v>
      </c>
      <c r="B192" s="17">
        <v>2023</v>
      </c>
      <c r="C192" s="21" t="s">
        <v>1186</v>
      </c>
      <c r="D192" s="17">
        <v>535</v>
      </c>
      <c r="E192" s="17" t="s">
        <v>1465</v>
      </c>
      <c r="F192" s="23">
        <v>8731359</v>
      </c>
    </row>
    <row r="193" spans="1:6" ht="16" customHeight="1" x14ac:dyDescent="0.2">
      <c r="A193">
        <f>IFERROR(VLOOKUP(C193,'GASB Match'!$D$2:$F$6042,3,FALSE),"")</f>
        <v>3416470</v>
      </c>
      <c r="B193" s="28">
        <v>2017</v>
      </c>
      <c r="C193" s="29" t="s">
        <v>494</v>
      </c>
      <c r="D193" s="17">
        <v>535</v>
      </c>
      <c r="E193" s="17" t="s">
        <v>1422</v>
      </c>
      <c r="F193" s="29">
        <v>2090422</v>
      </c>
    </row>
    <row r="194" spans="1:6" ht="16" customHeight="1" x14ac:dyDescent="0.2">
      <c r="A194">
        <f>IFERROR(VLOOKUP(C194,'GASB Match'!$D$2:$F$6042,3,FALSE),"")</f>
        <v>3401170</v>
      </c>
      <c r="B194" s="17">
        <v>2015</v>
      </c>
      <c r="C194" s="17" t="s">
        <v>150</v>
      </c>
      <c r="D194" s="17">
        <v>4012</v>
      </c>
      <c r="E194" s="17" t="s">
        <v>1405</v>
      </c>
      <c r="F194" s="20">
        <v>214414</v>
      </c>
    </row>
    <row r="195" spans="1:6" ht="16" customHeight="1" x14ac:dyDescent="0.2">
      <c r="A195">
        <f>IFERROR(VLOOKUP(C195,'GASB Match'!$D$2:$F$6042,3,FALSE),"")</f>
        <v>3401170</v>
      </c>
      <c r="B195" s="17">
        <v>2016</v>
      </c>
      <c r="C195" s="17" t="s">
        <v>150</v>
      </c>
      <c r="D195" s="17">
        <v>4012</v>
      </c>
      <c r="E195" s="17" t="s">
        <v>1405</v>
      </c>
      <c r="F195" s="20">
        <v>342733</v>
      </c>
    </row>
    <row r="196" spans="1:6" ht="16" customHeight="1" x14ac:dyDescent="0.2">
      <c r="A196">
        <f>IFERROR(VLOOKUP(C196,'GASB Match'!$D$2:$F$6042,3,FALSE),"")</f>
        <v>3401170</v>
      </c>
      <c r="B196" s="17">
        <v>2018</v>
      </c>
      <c r="C196" s="17" t="s">
        <v>831</v>
      </c>
      <c r="D196" s="17">
        <v>4012</v>
      </c>
      <c r="E196" s="17" t="s">
        <v>1446</v>
      </c>
      <c r="F196" s="20">
        <v>677729</v>
      </c>
    </row>
    <row r="197" spans="1:6" ht="16" customHeight="1" x14ac:dyDescent="0.2">
      <c r="A197">
        <f>IFERROR(VLOOKUP(C197,'GASB Match'!$D$2:$F$6042,3,FALSE),"")</f>
        <v>3401170</v>
      </c>
      <c r="B197" s="17">
        <v>2019</v>
      </c>
      <c r="C197" s="17" t="s">
        <v>831</v>
      </c>
      <c r="D197" s="17">
        <v>4012</v>
      </c>
      <c r="E197" s="17" t="s">
        <v>1446</v>
      </c>
      <c r="F197" s="20">
        <v>916869</v>
      </c>
    </row>
    <row r="198" spans="1:6" ht="16" customHeight="1" x14ac:dyDescent="0.2">
      <c r="A198">
        <f>IFERROR(VLOOKUP(C198,'GASB Match'!$D$2:$F$6042,3,FALSE),"")</f>
        <v>3401170</v>
      </c>
      <c r="B198" s="17">
        <v>2020</v>
      </c>
      <c r="C198" s="21" t="s">
        <v>831</v>
      </c>
      <c r="D198" s="17">
        <v>4012</v>
      </c>
      <c r="E198" s="17" t="s">
        <v>1446</v>
      </c>
      <c r="F198" s="23">
        <v>1095330</v>
      </c>
    </row>
    <row r="199" spans="1:6" ht="16" customHeight="1" x14ac:dyDescent="0.2">
      <c r="A199">
        <f>IFERROR(VLOOKUP(C199,'GASB Match'!$D$2:$F$6042,3,FALSE),"")</f>
        <v>3401170</v>
      </c>
      <c r="B199" s="17">
        <v>2021</v>
      </c>
      <c r="C199" s="25" t="s">
        <v>831</v>
      </c>
      <c r="D199" s="17">
        <v>4012</v>
      </c>
      <c r="E199" s="17" t="s">
        <v>1446</v>
      </c>
      <c r="F199" s="23">
        <v>1351489</v>
      </c>
    </row>
    <row r="200" spans="1:6" ht="16" customHeight="1" x14ac:dyDescent="0.2">
      <c r="A200">
        <f>IFERROR(VLOOKUP(C200,'GASB Match'!$D$2:$F$6042,3,FALSE),"")</f>
        <v>3401170</v>
      </c>
      <c r="B200" s="17">
        <v>2022</v>
      </c>
      <c r="C200" s="21" t="s">
        <v>831</v>
      </c>
      <c r="D200" s="17">
        <v>4012</v>
      </c>
      <c r="E200" s="17" t="s">
        <v>1446</v>
      </c>
      <c r="F200" s="23">
        <v>1889859</v>
      </c>
    </row>
    <row r="201" spans="1:6" ht="16" customHeight="1" x14ac:dyDescent="0.2">
      <c r="A201">
        <f>IFERROR(VLOOKUP(C201,'GASB Match'!$D$2:$F$6042,3,FALSE),"")</f>
        <v>3401170</v>
      </c>
      <c r="B201" s="17">
        <v>2023</v>
      </c>
      <c r="C201" s="21" t="s">
        <v>831</v>
      </c>
      <c r="D201" s="17">
        <v>4012</v>
      </c>
      <c r="E201" s="17" t="s">
        <v>1446</v>
      </c>
      <c r="F201" s="23">
        <v>1860668</v>
      </c>
    </row>
    <row r="202" spans="1:6" ht="16" customHeight="1" x14ac:dyDescent="0.2">
      <c r="A202">
        <f>IFERROR(VLOOKUP(C202,'GASB Match'!$D$2:$F$6042,3,FALSE),"")</f>
        <v>3401170</v>
      </c>
      <c r="B202" s="28">
        <v>2017</v>
      </c>
      <c r="C202" s="29" t="s">
        <v>150</v>
      </c>
      <c r="D202" s="17">
        <v>4012</v>
      </c>
      <c r="E202" s="17" t="s">
        <v>1405</v>
      </c>
      <c r="F202" s="29">
        <v>504559</v>
      </c>
    </row>
    <row r="203" spans="1:6" ht="16" customHeight="1" x14ac:dyDescent="0.2">
      <c r="A203">
        <f>IFERROR(VLOOKUP(C203,'GASB Match'!$D$2:$F$6042,3,FALSE),"")</f>
        <v>3401200</v>
      </c>
      <c r="B203" s="17">
        <v>2015</v>
      </c>
      <c r="C203" s="17" t="s">
        <v>106</v>
      </c>
      <c r="D203" s="17">
        <v>3011</v>
      </c>
      <c r="E203" s="17" t="s">
        <v>1404</v>
      </c>
      <c r="F203" s="20">
        <v>53896</v>
      </c>
    </row>
    <row r="204" spans="1:6" ht="16" customHeight="1" x14ac:dyDescent="0.2">
      <c r="A204">
        <f>IFERROR(VLOOKUP(C204,'GASB Match'!$D$2:$F$6042,3,FALSE),"")</f>
        <v>3401200</v>
      </c>
      <c r="B204" s="17">
        <v>2016</v>
      </c>
      <c r="C204" s="17" t="s">
        <v>106</v>
      </c>
      <c r="D204" s="17">
        <v>3011</v>
      </c>
      <c r="E204" s="17" t="s">
        <v>1404</v>
      </c>
      <c r="F204" s="20">
        <v>91854</v>
      </c>
    </row>
    <row r="205" spans="1:6" ht="16" customHeight="1" x14ac:dyDescent="0.2">
      <c r="A205">
        <f>IFERROR(VLOOKUP(C205,'GASB Match'!$D$2:$F$6042,3,FALSE),"")</f>
        <v>3401200</v>
      </c>
      <c r="B205" s="17">
        <v>2018</v>
      </c>
      <c r="C205" s="17" t="s">
        <v>786</v>
      </c>
      <c r="D205" s="17">
        <v>3011</v>
      </c>
      <c r="E205" s="17" t="s">
        <v>1445</v>
      </c>
      <c r="F205" s="20">
        <v>169172</v>
      </c>
    </row>
    <row r="206" spans="1:6" ht="16" customHeight="1" x14ac:dyDescent="0.2">
      <c r="A206">
        <f>IFERROR(VLOOKUP(C206,'GASB Match'!$D$2:$F$6042,3,FALSE),"")</f>
        <v>3401200</v>
      </c>
      <c r="B206" s="17">
        <v>2019</v>
      </c>
      <c r="C206" s="17" t="s">
        <v>786</v>
      </c>
      <c r="D206" s="17">
        <v>3011</v>
      </c>
      <c r="E206" s="17" t="s">
        <v>1445</v>
      </c>
      <c r="F206" s="20">
        <v>195343</v>
      </c>
    </row>
    <row r="207" spans="1:6" ht="16" customHeight="1" x14ac:dyDescent="0.2">
      <c r="A207">
        <f>IFERROR(VLOOKUP(C207,'GASB Match'!$D$2:$F$6042,3,FALSE),"")</f>
        <v>3401200</v>
      </c>
      <c r="B207" s="17">
        <v>2020</v>
      </c>
      <c r="C207" s="21" t="s">
        <v>786</v>
      </c>
      <c r="D207" s="17">
        <v>3011</v>
      </c>
      <c r="E207" s="17" t="s">
        <v>1445</v>
      </c>
      <c r="F207" s="23">
        <v>194240</v>
      </c>
    </row>
    <row r="208" spans="1:6" ht="16" customHeight="1" x14ac:dyDescent="0.2">
      <c r="A208">
        <f>IFERROR(VLOOKUP(C208,'GASB Match'!$D$2:$F$6042,3,FALSE),"")</f>
        <v>3401200</v>
      </c>
      <c r="B208" s="17">
        <v>2021</v>
      </c>
      <c r="C208" s="25" t="s">
        <v>786</v>
      </c>
      <c r="D208" s="17">
        <v>3011</v>
      </c>
      <c r="E208" s="17" t="s">
        <v>1445</v>
      </c>
      <c r="F208" s="23">
        <v>269381</v>
      </c>
    </row>
    <row r="209" spans="1:6" ht="16" customHeight="1" x14ac:dyDescent="0.2">
      <c r="A209">
        <f>IFERROR(VLOOKUP(C209,'GASB Match'!$D$2:$F$6042,3,FALSE),"")</f>
        <v>3401200</v>
      </c>
      <c r="B209" s="17">
        <v>2022</v>
      </c>
      <c r="C209" s="21" t="s">
        <v>786</v>
      </c>
      <c r="D209" s="17">
        <v>3011</v>
      </c>
      <c r="E209" s="17" t="s">
        <v>1445</v>
      </c>
      <c r="F209" s="23">
        <v>348951</v>
      </c>
    </row>
    <row r="210" spans="1:6" ht="16" customHeight="1" x14ac:dyDescent="0.2">
      <c r="A210">
        <f>IFERROR(VLOOKUP(C210,'GASB Match'!$D$2:$F$6042,3,FALSE),"")</f>
        <v>3401200</v>
      </c>
      <c r="B210" s="28">
        <v>2017</v>
      </c>
      <c r="C210" s="29" t="s">
        <v>106</v>
      </c>
      <c r="D210" s="17">
        <v>3011</v>
      </c>
      <c r="E210" s="17" t="s">
        <v>1404</v>
      </c>
      <c r="F210" s="29">
        <v>124036</v>
      </c>
    </row>
    <row r="211" spans="1:6" ht="16" customHeight="1" x14ac:dyDescent="0.2">
      <c r="A211">
        <f>IFERROR(VLOOKUP(C211,'GASB Match'!$D$2:$F$6042,3,FALSE),"")</f>
        <v>3401230</v>
      </c>
      <c r="B211" s="17">
        <v>2015</v>
      </c>
      <c r="C211" s="17" t="s">
        <v>495</v>
      </c>
      <c r="D211" s="17">
        <v>511</v>
      </c>
      <c r="E211" s="17" t="s">
        <v>1422</v>
      </c>
      <c r="F211" s="20">
        <v>48437</v>
      </c>
    </row>
    <row r="212" spans="1:6" ht="16" customHeight="1" x14ac:dyDescent="0.2">
      <c r="A212">
        <f>IFERROR(VLOOKUP(C212,'GASB Match'!$D$2:$F$6042,3,FALSE),"")</f>
        <v>3401230</v>
      </c>
      <c r="B212" s="17">
        <v>2016</v>
      </c>
      <c r="C212" s="17" t="s">
        <v>495</v>
      </c>
      <c r="D212" s="17">
        <v>511</v>
      </c>
      <c r="E212" s="17" t="s">
        <v>1422</v>
      </c>
      <c r="F212" s="20">
        <v>72935</v>
      </c>
    </row>
    <row r="213" spans="1:6" ht="16" customHeight="1" x14ac:dyDescent="0.2">
      <c r="A213">
        <f>IFERROR(VLOOKUP(C213,'GASB Match'!$D$2:$F$6042,3,FALSE),"")</f>
        <v>3401230</v>
      </c>
      <c r="B213" s="17">
        <v>2018</v>
      </c>
      <c r="C213" s="17" t="s">
        <v>1187</v>
      </c>
      <c r="D213" s="17">
        <v>511</v>
      </c>
      <c r="E213" s="17" t="s">
        <v>1465</v>
      </c>
      <c r="F213" s="20">
        <v>150891</v>
      </c>
    </row>
    <row r="214" spans="1:6" ht="16" customHeight="1" x14ac:dyDescent="0.2">
      <c r="A214">
        <f>IFERROR(VLOOKUP(C214,'GASB Match'!$D$2:$F$6042,3,FALSE),"")</f>
        <v>3401230</v>
      </c>
      <c r="B214" s="17">
        <v>2019</v>
      </c>
      <c r="C214" s="17" t="s">
        <v>1187</v>
      </c>
      <c r="D214" s="17">
        <v>511</v>
      </c>
      <c r="E214" s="17" t="s">
        <v>1465</v>
      </c>
      <c r="F214" s="20">
        <v>200491</v>
      </c>
    </row>
    <row r="215" spans="1:6" ht="16" customHeight="1" x14ac:dyDescent="0.2">
      <c r="A215">
        <f>IFERROR(VLOOKUP(C215,'GASB Match'!$D$2:$F$6042,3,FALSE),"")</f>
        <v>3401230</v>
      </c>
      <c r="B215" s="17">
        <v>2020</v>
      </c>
      <c r="C215" s="21" t="s">
        <v>1187</v>
      </c>
      <c r="D215" s="17">
        <v>511</v>
      </c>
      <c r="E215" s="17" t="s">
        <v>1465</v>
      </c>
      <c r="F215" s="23">
        <v>240861</v>
      </c>
    </row>
    <row r="216" spans="1:6" ht="16" customHeight="1" x14ac:dyDescent="0.2">
      <c r="A216">
        <f>IFERROR(VLOOKUP(C216,'GASB Match'!$D$2:$F$6042,3,FALSE),"")</f>
        <v>3401230</v>
      </c>
      <c r="B216" s="17">
        <v>2021</v>
      </c>
      <c r="C216" s="25" t="s">
        <v>1187</v>
      </c>
      <c r="D216" s="17">
        <v>511</v>
      </c>
      <c r="E216" s="17" t="s">
        <v>1465</v>
      </c>
      <c r="F216" s="23">
        <v>323580</v>
      </c>
    </row>
    <row r="217" spans="1:6" ht="16" customHeight="1" x14ac:dyDescent="0.2">
      <c r="A217">
        <f>IFERROR(VLOOKUP(C217,'GASB Match'!$D$2:$F$6042,3,FALSE),"")</f>
        <v>3401230</v>
      </c>
      <c r="B217" s="17">
        <v>2022</v>
      </c>
      <c r="C217" s="21" t="s">
        <v>1187</v>
      </c>
      <c r="D217" s="17">
        <v>511</v>
      </c>
      <c r="E217" s="17" t="s">
        <v>1465</v>
      </c>
      <c r="F217" s="23">
        <v>423425</v>
      </c>
    </row>
    <row r="218" spans="1:6" ht="16" customHeight="1" x14ac:dyDescent="0.2">
      <c r="A218">
        <f>IFERROR(VLOOKUP(C218,'GASB Match'!$D$2:$F$6042,3,FALSE),"")</f>
        <v>3401230</v>
      </c>
      <c r="B218" s="17">
        <v>2023</v>
      </c>
      <c r="C218" s="21" t="s">
        <v>1187</v>
      </c>
      <c r="D218" s="17">
        <v>511</v>
      </c>
      <c r="E218" s="17" t="s">
        <v>1465</v>
      </c>
      <c r="F218" s="23">
        <v>448383</v>
      </c>
    </row>
    <row r="219" spans="1:6" ht="16" customHeight="1" x14ac:dyDescent="0.2">
      <c r="A219">
        <f>IFERROR(VLOOKUP(C219,'GASB Match'!$D$2:$F$6042,3,FALSE),"")</f>
        <v>3401230</v>
      </c>
      <c r="B219" s="28">
        <v>2017</v>
      </c>
      <c r="C219" s="29" t="s">
        <v>495</v>
      </c>
      <c r="D219" s="17">
        <v>511</v>
      </c>
      <c r="E219" s="17" t="s">
        <v>1422</v>
      </c>
      <c r="F219" s="29">
        <v>95023</v>
      </c>
    </row>
    <row r="220" spans="1:6" ht="16" customHeight="1" x14ac:dyDescent="0.2">
      <c r="A220">
        <f>IFERROR(VLOOKUP(C220,'GASB Match'!$D$2:$F$6042,3,FALSE),"")</f>
        <v>3401260</v>
      </c>
      <c r="B220" s="17">
        <v>2015</v>
      </c>
      <c r="C220" s="17" t="s">
        <v>301</v>
      </c>
      <c r="D220" s="17">
        <v>8010</v>
      </c>
      <c r="E220" s="17" t="s">
        <v>1413</v>
      </c>
      <c r="F220" s="20">
        <v>3023507</v>
      </c>
    </row>
    <row r="221" spans="1:6" ht="16" customHeight="1" x14ac:dyDescent="0.2">
      <c r="A221">
        <f>IFERROR(VLOOKUP(C221,'GASB Match'!$D$2:$F$6042,3,FALSE),"")</f>
        <v>3401260</v>
      </c>
      <c r="B221" s="17">
        <v>2016</v>
      </c>
      <c r="C221" s="17" t="s">
        <v>301</v>
      </c>
      <c r="D221" s="17">
        <v>8010</v>
      </c>
      <c r="E221" s="17" t="s">
        <v>1413</v>
      </c>
      <c r="F221" s="20">
        <v>4285310</v>
      </c>
    </row>
    <row r="222" spans="1:6" ht="16" customHeight="1" x14ac:dyDescent="0.2">
      <c r="A222">
        <f>IFERROR(VLOOKUP(C222,'GASB Match'!$D$2:$F$6042,3,FALSE),"")</f>
        <v>3401260</v>
      </c>
      <c r="B222" s="17">
        <v>2018</v>
      </c>
      <c r="C222" s="17" t="s">
        <v>991</v>
      </c>
      <c r="D222" s="17">
        <v>8010</v>
      </c>
      <c r="E222" s="17" t="s">
        <v>1456</v>
      </c>
      <c r="F222" s="20">
        <v>8960982</v>
      </c>
    </row>
    <row r="223" spans="1:6" ht="16" customHeight="1" x14ac:dyDescent="0.2">
      <c r="A223">
        <f>IFERROR(VLOOKUP(C223,'GASB Match'!$D$2:$F$6042,3,FALSE),"")</f>
        <v>3401260</v>
      </c>
      <c r="B223" s="17">
        <v>2019</v>
      </c>
      <c r="C223" s="17" t="s">
        <v>991</v>
      </c>
      <c r="D223" s="17">
        <v>8010</v>
      </c>
      <c r="E223" s="17" t="s">
        <v>1456</v>
      </c>
      <c r="F223" s="20">
        <v>12059485</v>
      </c>
    </row>
    <row r="224" spans="1:6" ht="16" customHeight="1" x14ac:dyDescent="0.2">
      <c r="A224">
        <f>IFERROR(VLOOKUP(C224,'GASB Match'!$D$2:$F$6042,3,FALSE),"")</f>
        <v>3401260</v>
      </c>
      <c r="B224" s="17">
        <v>2020</v>
      </c>
      <c r="C224" s="21" t="s">
        <v>991</v>
      </c>
      <c r="D224" s="17">
        <v>8010</v>
      </c>
      <c r="E224" s="17" t="s">
        <v>1456</v>
      </c>
      <c r="F224" s="23">
        <v>12557076</v>
      </c>
    </row>
    <row r="225" spans="1:6" ht="16" customHeight="1" x14ac:dyDescent="0.2">
      <c r="A225">
        <f>IFERROR(VLOOKUP(C225,'GASB Match'!$D$2:$F$6042,3,FALSE),"")</f>
        <v>3401260</v>
      </c>
      <c r="B225" s="17">
        <v>2021</v>
      </c>
      <c r="C225" s="25" t="s">
        <v>991</v>
      </c>
      <c r="D225" s="17">
        <v>8010</v>
      </c>
      <c r="E225" s="17" t="s">
        <v>1456</v>
      </c>
      <c r="F225" s="22">
        <v>16734106</v>
      </c>
    </row>
    <row r="226" spans="1:6" ht="16" customHeight="1" x14ac:dyDescent="0.2">
      <c r="A226">
        <f>IFERROR(VLOOKUP(C226,'GASB Match'!$D$2:$F$6042,3,FALSE),"")</f>
        <v>3401260</v>
      </c>
      <c r="B226" s="17">
        <v>2022</v>
      </c>
      <c r="C226" s="21" t="s">
        <v>991</v>
      </c>
      <c r="D226" s="17">
        <v>8010</v>
      </c>
      <c r="E226" s="17" t="s">
        <v>1456</v>
      </c>
      <c r="F226" s="23">
        <v>25097051</v>
      </c>
    </row>
    <row r="227" spans="1:6" ht="16" customHeight="1" x14ac:dyDescent="0.2">
      <c r="A227">
        <f>IFERROR(VLOOKUP(C227,'GASB Match'!$D$2:$F$6042,3,FALSE),"")</f>
        <v>3401260</v>
      </c>
      <c r="B227" s="17">
        <v>2023</v>
      </c>
      <c r="C227" s="21" t="s">
        <v>991</v>
      </c>
      <c r="D227" s="17">
        <v>8010</v>
      </c>
      <c r="E227" s="17" t="s">
        <v>1456</v>
      </c>
      <c r="F227" s="23">
        <v>26028803</v>
      </c>
    </row>
    <row r="228" spans="1:6" ht="16" customHeight="1" x14ac:dyDescent="0.2">
      <c r="A228">
        <f>IFERROR(VLOOKUP(C228,'GASB Match'!$D$2:$F$6042,3,FALSE),"")</f>
        <v>3401260</v>
      </c>
      <c r="B228" s="28">
        <v>2017</v>
      </c>
      <c r="C228" s="29" t="s">
        <v>301</v>
      </c>
      <c r="D228" s="17">
        <v>8010</v>
      </c>
      <c r="E228" s="17" t="s">
        <v>1413</v>
      </c>
      <c r="F228" s="29">
        <v>6743390</v>
      </c>
    </row>
    <row r="229" spans="1:6" ht="16" customHeight="1" x14ac:dyDescent="0.2">
      <c r="A229">
        <f>IFERROR(VLOOKUP(C229,'GASB Match'!$D$2:$F$6042,3,FALSE),"")</f>
        <v>3400069</v>
      </c>
      <c r="B229" s="17">
        <v>2015</v>
      </c>
      <c r="C229" s="17" t="s">
        <v>662</v>
      </c>
      <c r="D229" s="17">
        <v>340</v>
      </c>
      <c r="E229" s="17" t="s">
        <v>1431</v>
      </c>
      <c r="F229" s="20">
        <v>33683</v>
      </c>
    </row>
    <row r="230" spans="1:6" ht="16" customHeight="1" x14ac:dyDescent="0.2">
      <c r="A230">
        <f>IFERROR(VLOOKUP(C230,'GASB Match'!$D$2:$F$6042,3,FALSE),"")</f>
        <v>3400069</v>
      </c>
      <c r="B230" s="17">
        <v>2016</v>
      </c>
      <c r="C230" s="17" t="s">
        <v>662</v>
      </c>
      <c r="D230" s="17">
        <v>340</v>
      </c>
      <c r="E230" s="17" t="s">
        <v>1431</v>
      </c>
      <c r="F230" s="20">
        <v>70459</v>
      </c>
    </row>
    <row r="231" spans="1:6" ht="16" customHeight="1" x14ac:dyDescent="0.2">
      <c r="A231">
        <f>IFERROR(VLOOKUP(C231,'GASB Match'!$D$2:$F$6042,3,FALSE),"")</f>
        <v>3400069</v>
      </c>
      <c r="B231" s="17">
        <v>2018</v>
      </c>
      <c r="C231" s="17" t="s">
        <v>1355</v>
      </c>
      <c r="D231" s="17">
        <v>340</v>
      </c>
      <c r="E231" s="17" t="s">
        <v>1473</v>
      </c>
      <c r="F231" s="20">
        <v>158599</v>
      </c>
    </row>
    <row r="232" spans="1:6" ht="16" customHeight="1" x14ac:dyDescent="0.2">
      <c r="A232">
        <f>IFERROR(VLOOKUP(C232,'GASB Match'!$D$2:$F$6042,3,FALSE),"")</f>
        <v>3400069</v>
      </c>
      <c r="B232" s="17">
        <v>2019</v>
      </c>
      <c r="C232" s="17" t="s">
        <v>1355</v>
      </c>
      <c r="D232" s="17">
        <v>340</v>
      </c>
      <c r="E232" s="17" t="s">
        <v>1473</v>
      </c>
      <c r="F232" s="20">
        <v>196352</v>
      </c>
    </row>
    <row r="233" spans="1:6" ht="16" customHeight="1" x14ac:dyDescent="0.2">
      <c r="A233">
        <f>IFERROR(VLOOKUP(C233,'GASB Match'!$D$2:$F$6042,3,FALSE),"")</f>
        <v>3400069</v>
      </c>
      <c r="B233" s="17">
        <v>2020</v>
      </c>
      <c r="C233" s="21" t="s">
        <v>1355</v>
      </c>
      <c r="D233" s="17">
        <v>340</v>
      </c>
      <c r="E233" s="17" t="s">
        <v>1473</v>
      </c>
      <c r="F233" s="23">
        <v>228252</v>
      </c>
    </row>
    <row r="234" spans="1:6" ht="16" customHeight="1" x14ac:dyDescent="0.2">
      <c r="A234">
        <f>IFERROR(VLOOKUP(C234,'GASB Match'!$D$2:$F$6042,3,FALSE),"")</f>
        <v>3400069</v>
      </c>
      <c r="B234" s="17">
        <v>2021</v>
      </c>
      <c r="C234" s="25" t="s">
        <v>1355</v>
      </c>
      <c r="D234" s="17">
        <v>340</v>
      </c>
      <c r="E234" s="17" t="s">
        <v>1473</v>
      </c>
      <c r="F234" s="23">
        <v>329734</v>
      </c>
    </row>
    <row r="235" spans="1:6" ht="16" customHeight="1" x14ac:dyDescent="0.2">
      <c r="A235">
        <f>IFERROR(VLOOKUP(C235,'GASB Match'!$D$2:$F$6042,3,FALSE),"")</f>
        <v>3400069</v>
      </c>
      <c r="B235" s="17">
        <v>2022</v>
      </c>
      <c r="C235" s="21" t="s">
        <v>1355</v>
      </c>
      <c r="D235" s="17">
        <v>340</v>
      </c>
      <c r="E235" s="17" t="s">
        <v>1473</v>
      </c>
      <c r="F235" s="23">
        <v>480076</v>
      </c>
    </row>
    <row r="236" spans="1:6" ht="16" customHeight="1" x14ac:dyDescent="0.2">
      <c r="A236">
        <f>IFERROR(VLOOKUP(C236,'GASB Match'!$D$2:$F$6042,3,FALSE),"")</f>
        <v>3400069</v>
      </c>
      <c r="B236" s="17">
        <v>2023</v>
      </c>
      <c r="C236" s="21" t="s">
        <v>1355</v>
      </c>
      <c r="D236" s="17">
        <v>340</v>
      </c>
      <c r="E236" s="17" t="s">
        <v>1473</v>
      </c>
      <c r="F236" s="23">
        <v>500617</v>
      </c>
    </row>
    <row r="237" spans="1:6" ht="16" customHeight="1" x14ac:dyDescent="0.2">
      <c r="A237">
        <f>IFERROR(VLOOKUP(C237,'GASB Match'!$D$2:$F$6042,3,FALSE),"")</f>
        <v>3400069</v>
      </c>
      <c r="B237" s="28">
        <v>2017</v>
      </c>
      <c r="C237" s="29" t="s">
        <v>662</v>
      </c>
      <c r="D237" s="17">
        <v>340</v>
      </c>
      <c r="E237" s="17" t="s">
        <v>1431</v>
      </c>
      <c r="F237" s="29">
        <v>114433</v>
      </c>
    </row>
    <row r="238" spans="1:6" ht="16" customHeight="1" x14ac:dyDescent="0.2">
      <c r="A238">
        <f>IFERROR(VLOOKUP(C238,'GASB Match'!$D$2:$F$6042,3,FALSE),"")</f>
        <v>3401290</v>
      </c>
      <c r="B238" s="17">
        <v>2015</v>
      </c>
      <c r="C238" s="17" t="s">
        <v>496</v>
      </c>
      <c r="D238" s="17">
        <v>512</v>
      </c>
      <c r="E238" s="17" t="s">
        <v>1422</v>
      </c>
      <c r="F238" s="20">
        <v>42475</v>
      </c>
    </row>
    <row r="239" spans="1:6" ht="16" customHeight="1" x14ac:dyDescent="0.2">
      <c r="A239">
        <f>IFERROR(VLOOKUP(C239,'GASB Match'!$D$2:$F$6042,3,FALSE),"")</f>
        <v>3401290</v>
      </c>
      <c r="B239" s="17">
        <v>2016</v>
      </c>
      <c r="C239" s="17" t="s">
        <v>496</v>
      </c>
      <c r="D239" s="17">
        <v>512</v>
      </c>
      <c r="E239" s="17" t="s">
        <v>1422</v>
      </c>
      <c r="F239" s="20">
        <v>51270</v>
      </c>
    </row>
    <row r="240" spans="1:6" ht="16" customHeight="1" x14ac:dyDescent="0.2">
      <c r="A240">
        <f>IFERROR(VLOOKUP(C240,'GASB Match'!$D$2:$F$6042,3,FALSE),"")</f>
        <v>3401290</v>
      </c>
      <c r="B240" s="17">
        <v>2018</v>
      </c>
      <c r="C240" s="17" t="s">
        <v>1188</v>
      </c>
      <c r="D240" s="17">
        <v>512</v>
      </c>
      <c r="E240" s="17" t="s">
        <v>1465</v>
      </c>
      <c r="F240" s="20">
        <v>119684</v>
      </c>
    </row>
    <row r="241" spans="1:6" ht="16" customHeight="1" x14ac:dyDescent="0.2">
      <c r="A241">
        <f>IFERROR(VLOOKUP(C241,'GASB Match'!$D$2:$F$6042,3,FALSE),"")</f>
        <v>3401290</v>
      </c>
      <c r="B241" s="17">
        <v>2019</v>
      </c>
      <c r="C241" s="17" t="s">
        <v>1188</v>
      </c>
      <c r="D241" s="17">
        <v>512</v>
      </c>
      <c r="E241" s="17" t="s">
        <v>1465</v>
      </c>
      <c r="F241" s="20">
        <v>122471</v>
      </c>
    </row>
    <row r="242" spans="1:6" ht="16" customHeight="1" x14ac:dyDescent="0.2">
      <c r="A242">
        <f>IFERROR(VLOOKUP(C242,'GASB Match'!$D$2:$F$6042,3,FALSE),"")</f>
        <v>3401290</v>
      </c>
      <c r="B242" s="17">
        <v>2020</v>
      </c>
      <c r="C242" s="21" t="s">
        <v>1188</v>
      </c>
      <c r="D242" s="17">
        <v>512</v>
      </c>
      <c r="E242" s="17" t="s">
        <v>1465</v>
      </c>
      <c r="F242" s="23">
        <v>160655</v>
      </c>
    </row>
    <row r="243" spans="1:6" ht="16" customHeight="1" x14ac:dyDescent="0.2">
      <c r="A243">
        <f>IFERROR(VLOOKUP(C243,'GASB Match'!$D$2:$F$6042,3,FALSE),"")</f>
        <v>3401290</v>
      </c>
      <c r="B243" s="17">
        <v>2021</v>
      </c>
      <c r="C243" s="25" t="s">
        <v>1188</v>
      </c>
      <c r="D243" s="17">
        <v>512</v>
      </c>
      <c r="E243" s="17" t="s">
        <v>1465</v>
      </c>
      <c r="F243" s="23">
        <v>165264</v>
      </c>
    </row>
    <row r="244" spans="1:6" ht="16" customHeight="1" x14ac:dyDescent="0.2">
      <c r="A244">
        <f>IFERROR(VLOOKUP(C244,'GASB Match'!$D$2:$F$6042,3,FALSE),"")</f>
        <v>3401290</v>
      </c>
      <c r="B244" s="17">
        <v>2022</v>
      </c>
      <c r="C244" s="21" t="s">
        <v>1188</v>
      </c>
      <c r="D244" s="17">
        <v>512</v>
      </c>
      <c r="E244" s="17" t="s">
        <v>1465</v>
      </c>
      <c r="F244" s="23">
        <v>299941</v>
      </c>
    </row>
    <row r="245" spans="1:6" ht="16" customHeight="1" x14ac:dyDescent="0.2">
      <c r="A245">
        <f>IFERROR(VLOOKUP(C245,'GASB Match'!$D$2:$F$6042,3,FALSE),"")</f>
        <v>3401290</v>
      </c>
      <c r="B245" s="17">
        <v>2023</v>
      </c>
      <c r="C245" s="21" t="s">
        <v>1188</v>
      </c>
      <c r="D245" s="17">
        <v>512</v>
      </c>
      <c r="E245" s="17" t="s">
        <v>1465</v>
      </c>
      <c r="F245" s="23">
        <v>293885</v>
      </c>
    </row>
    <row r="246" spans="1:6" ht="16" customHeight="1" x14ac:dyDescent="0.2">
      <c r="A246">
        <f>IFERROR(VLOOKUP(C246,'GASB Match'!$D$2:$F$6042,3,FALSE),"")</f>
        <v>3401290</v>
      </c>
      <c r="B246" s="28">
        <v>2017</v>
      </c>
      <c r="C246" s="29" t="s">
        <v>496</v>
      </c>
      <c r="D246" s="17">
        <v>512</v>
      </c>
      <c r="E246" s="17" t="s">
        <v>1422</v>
      </c>
      <c r="F246" s="29">
        <v>62147</v>
      </c>
    </row>
    <row r="247" spans="1:6" ht="16" customHeight="1" x14ac:dyDescent="0.2">
      <c r="A247">
        <f>IFERROR(VLOOKUP(C247,'GASB Match'!$D$2:$F$6042,3,FALSE),"")</f>
        <v>3401320</v>
      </c>
      <c r="B247" s="17">
        <v>2015</v>
      </c>
      <c r="C247" s="17" t="s">
        <v>563</v>
      </c>
      <c r="D247" s="17">
        <v>741</v>
      </c>
      <c r="E247" s="17" t="s">
        <v>1425</v>
      </c>
      <c r="F247" s="20">
        <v>253036</v>
      </c>
    </row>
    <row r="248" spans="1:6" ht="16" customHeight="1" x14ac:dyDescent="0.2">
      <c r="A248">
        <f>IFERROR(VLOOKUP(C248,'GASB Match'!$D$2:$F$6042,3,FALSE),"")</f>
        <v>3401320</v>
      </c>
      <c r="B248" s="17">
        <v>2016</v>
      </c>
      <c r="C248" s="17" t="s">
        <v>563</v>
      </c>
      <c r="D248" s="17">
        <v>741</v>
      </c>
      <c r="E248" s="17" t="s">
        <v>1425</v>
      </c>
      <c r="F248" s="20">
        <v>342337</v>
      </c>
    </row>
    <row r="249" spans="1:6" ht="16" customHeight="1" x14ac:dyDescent="0.2">
      <c r="A249">
        <f>IFERROR(VLOOKUP(C249,'GASB Match'!$D$2:$F$6042,3,FALSE),"")</f>
        <v>3401320</v>
      </c>
      <c r="B249" s="17">
        <v>2018</v>
      </c>
      <c r="C249" s="17" t="s">
        <v>1255</v>
      </c>
      <c r="D249" s="17">
        <v>741</v>
      </c>
      <c r="E249" s="17" t="s">
        <v>1468</v>
      </c>
      <c r="F249" s="20">
        <v>665123</v>
      </c>
    </row>
    <row r="250" spans="1:6" ht="16" customHeight="1" x14ac:dyDescent="0.2">
      <c r="A250">
        <f>IFERROR(VLOOKUP(C250,'GASB Match'!$D$2:$F$6042,3,FALSE),"")</f>
        <v>3401320</v>
      </c>
      <c r="B250" s="17">
        <v>2019</v>
      </c>
      <c r="C250" s="17" t="s">
        <v>1255</v>
      </c>
      <c r="D250" s="17">
        <v>741</v>
      </c>
      <c r="E250" s="17" t="s">
        <v>1468</v>
      </c>
      <c r="F250" s="20">
        <v>895119</v>
      </c>
    </row>
    <row r="251" spans="1:6" ht="16" customHeight="1" x14ac:dyDescent="0.2">
      <c r="A251">
        <f>IFERROR(VLOOKUP(C251,'GASB Match'!$D$2:$F$6042,3,FALSE),"")</f>
        <v>3401320</v>
      </c>
      <c r="B251" s="17">
        <v>2020</v>
      </c>
      <c r="C251" s="21" t="s">
        <v>1255</v>
      </c>
      <c r="D251" s="17">
        <v>741</v>
      </c>
      <c r="E251" s="17" t="s">
        <v>1468</v>
      </c>
      <c r="F251" s="23">
        <v>1058258</v>
      </c>
    </row>
    <row r="252" spans="1:6" ht="16" customHeight="1" x14ac:dyDescent="0.2">
      <c r="A252">
        <f>IFERROR(VLOOKUP(C252,'GASB Match'!$D$2:$F$6042,3,FALSE),"")</f>
        <v>3401320</v>
      </c>
      <c r="B252" s="17">
        <v>2021</v>
      </c>
      <c r="C252" s="25" t="s">
        <v>1255</v>
      </c>
      <c r="D252" s="17">
        <v>741</v>
      </c>
      <c r="E252" s="17" t="s">
        <v>1468</v>
      </c>
      <c r="F252" s="23">
        <v>1388074</v>
      </c>
    </row>
    <row r="253" spans="1:6" ht="16" customHeight="1" x14ac:dyDescent="0.2">
      <c r="A253">
        <f>IFERROR(VLOOKUP(C253,'GASB Match'!$D$2:$F$6042,3,FALSE),"")</f>
        <v>3401320</v>
      </c>
      <c r="B253" s="17">
        <v>2022</v>
      </c>
      <c r="C253" s="21" t="s">
        <v>1255</v>
      </c>
      <c r="D253" s="17">
        <v>741</v>
      </c>
      <c r="E253" s="17" t="s">
        <v>1468</v>
      </c>
      <c r="F253" s="23">
        <v>1848507</v>
      </c>
    </row>
    <row r="254" spans="1:6" ht="16" customHeight="1" x14ac:dyDescent="0.2">
      <c r="A254">
        <f>IFERROR(VLOOKUP(C254,'GASB Match'!$D$2:$F$6042,3,FALSE),"")</f>
        <v>3401320</v>
      </c>
      <c r="B254" s="17">
        <v>2023</v>
      </c>
      <c r="C254" s="21" t="s">
        <v>1255</v>
      </c>
      <c r="D254" s="17">
        <v>741</v>
      </c>
      <c r="E254" s="17" t="s">
        <v>1468</v>
      </c>
      <c r="F254" s="23">
        <v>1896374</v>
      </c>
    </row>
    <row r="255" spans="1:6" ht="16" customHeight="1" x14ac:dyDescent="0.2">
      <c r="A255">
        <f>IFERROR(VLOOKUP(C255,'GASB Match'!$D$2:$F$6042,3,FALSE),"")</f>
        <v>3401320</v>
      </c>
      <c r="B255" s="28">
        <v>2017</v>
      </c>
      <c r="C255" s="29" t="s">
        <v>563</v>
      </c>
      <c r="D255" s="17">
        <v>741</v>
      </c>
      <c r="E255" s="17" t="s">
        <v>1425</v>
      </c>
      <c r="F255" s="29">
        <v>536824</v>
      </c>
    </row>
    <row r="256" spans="1:6" ht="16" customHeight="1" x14ac:dyDescent="0.2">
      <c r="A256">
        <f>IFERROR(VLOOKUP(C256,'GASB Match'!$D$2:$F$6042,3,FALSE),"")</f>
        <v>3401350</v>
      </c>
      <c r="B256" s="17">
        <v>2015</v>
      </c>
      <c r="C256" s="17" t="s">
        <v>229</v>
      </c>
      <c r="D256" s="17">
        <v>6010</v>
      </c>
      <c r="E256" s="17" t="s">
        <v>1411</v>
      </c>
      <c r="F256" s="20">
        <v>1589444</v>
      </c>
    </row>
    <row r="257" spans="1:6" ht="16" customHeight="1" x14ac:dyDescent="0.2">
      <c r="A257">
        <f>IFERROR(VLOOKUP(C257,'GASB Match'!$D$2:$F$6042,3,FALSE),"")</f>
        <v>3401350</v>
      </c>
      <c r="B257" s="17">
        <v>2016</v>
      </c>
      <c r="C257" s="17" t="s">
        <v>229</v>
      </c>
      <c r="D257" s="17">
        <v>6010</v>
      </c>
      <c r="E257" s="17" t="s">
        <v>1411</v>
      </c>
      <c r="F257" s="20">
        <v>2376276</v>
      </c>
    </row>
    <row r="258" spans="1:6" ht="16" customHeight="1" x14ac:dyDescent="0.2">
      <c r="A258">
        <f>IFERROR(VLOOKUP(C258,'GASB Match'!$D$2:$F$6042,3,FALSE),"")</f>
        <v>3401350</v>
      </c>
      <c r="B258" s="17">
        <v>2018</v>
      </c>
      <c r="C258" s="17" t="s">
        <v>915</v>
      </c>
      <c r="D258" s="17">
        <v>6010</v>
      </c>
      <c r="E258" s="17" t="s">
        <v>1452</v>
      </c>
      <c r="F258" s="20">
        <v>4245950</v>
      </c>
    </row>
    <row r="259" spans="1:6" ht="16" customHeight="1" x14ac:dyDescent="0.2">
      <c r="A259">
        <f>IFERROR(VLOOKUP(C259,'GASB Match'!$D$2:$F$6042,3,FALSE),"")</f>
        <v>3401350</v>
      </c>
      <c r="B259" s="17">
        <v>2019</v>
      </c>
      <c r="C259" s="17" t="s">
        <v>915</v>
      </c>
      <c r="D259" s="17">
        <v>6010</v>
      </c>
      <c r="E259" s="17" t="s">
        <v>1452</v>
      </c>
      <c r="F259" s="20">
        <v>5867414</v>
      </c>
    </row>
    <row r="260" spans="1:6" ht="16" customHeight="1" x14ac:dyDescent="0.2">
      <c r="A260">
        <f>IFERROR(VLOOKUP(C260,'GASB Match'!$D$2:$F$6042,3,FALSE),"")</f>
        <v>3401350</v>
      </c>
      <c r="B260" s="17">
        <v>2020</v>
      </c>
      <c r="C260" s="21" t="s">
        <v>915</v>
      </c>
      <c r="D260" s="17">
        <v>6010</v>
      </c>
      <c r="E260" s="17" t="s">
        <v>1452</v>
      </c>
      <c r="F260" s="23">
        <v>6472373</v>
      </c>
    </row>
    <row r="261" spans="1:6" ht="16" customHeight="1" x14ac:dyDescent="0.2">
      <c r="A261">
        <f>IFERROR(VLOOKUP(C261,'GASB Match'!$D$2:$F$6042,3,FALSE),"")</f>
        <v>3401350</v>
      </c>
      <c r="B261" s="17">
        <v>2021</v>
      </c>
      <c r="C261" s="25" t="s">
        <v>915</v>
      </c>
      <c r="D261" s="17">
        <v>6010</v>
      </c>
      <c r="E261" s="17" t="s">
        <v>1452</v>
      </c>
      <c r="F261" s="23">
        <v>8751109</v>
      </c>
    </row>
    <row r="262" spans="1:6" ht="16" customHeight="1" x14ac:dyDescent="0.2">
      <c r="A262">
        <f>IFERROR(VLOOKUP(C262,'GASB Match'!$D$2:$F$6042,3,FALSE),"")</f>
        <v>3401350</v>
      </c>
      <c r="B262" s="17">
        <v>2022</v>
      </c>
      <c r="C262" s="21" t="s">
        <v>915</v>
      </c>
      <c r="D262" s="17">
        <v>6010</v>
      </c>
      <c r="E262" s="17" t="s">
        <v>1452</v>
      </c>
      <c r="F262" s="23">
        <v>12825811</v>
      </c>
    </row>
    <row r="263" spans="1:6" ht="16" customHeight="1" x14ac:dyDescent="0.2">
      <c r="A263">
        <f>IFERROR(VLOOKUP(C263,'GASB Match'!$D$2:$F$6042,3,FALSE),"")</f>
        <v>3401350</v>
      </c>
      <c r="B263" s="17">
        <v>2023</v>
      </c>
      <c r="C263" s="21" t="s">
        <v>915</v>
      </c>
      <c r="D263" s="17">
        <v>6010</v>
      </c>
      <c r="E263" s="17" t="s">
        <v>1452</v>
      </c>
      <c r="F263" s="23">
        <v>13026961</v>
      </c>
    </row>
    <row r="264" spans="1:6" ht="16" customHeight="1" x14ac:dyDescent="0.2">
      <c r="A264">
        <f>IFERROR(VLOOKUP(C264,'GASB Match'!$D$2:$F$6042,3,FALSE),"")</f>
        <v>3401350</v>
      </c>
      <c r="B264" s="28">
        <v>2017</v>
      </c>
      <c r="C264" s="29" t="s">
        <v>229</v>
      </c>
      <c r="D264" s="17">
        <v>6010</v>
      </c>
      <c r="E264" s="17" t="s">
        <v>1411</v>
      </c>
      <c r="F264" s="29">
        <v>3206864</v>
      </c>
    </row>
    <row r="265" spans="1:6" ht="16" customHeight="1" x14ac:dyDescent="0.2">
      <c r="A265">
        <f>IFERROR(VLOOKUP(C265,'GASB Match'!$D$2:$F$6042,3,FALSE),"")</f>
        <v>3401380</v>
      </c>
      <c r="B265" s="17">
        <v>2015</v>
      </c>
      <c r="C265" s="17" t="s">
        <v>151</v>
      </c>
      <c r="D265" s="17">
        <v>4013</v>
      </c>
      <c r="E265" s="17" t="s">
        <v>1405</v>
      </c>
      <c r="F265" s="20">
        <v>342604</v>
      </c>
    </row>
    <row r="266" spans="1:6" ht="16" customHeight="1" x14ac:dyDescent="0.2">
      <c r="A266">
        <f>IFERROR(VLOOKUP(C266,'GASB Match'!$D$2:$F$6042,3,FALSE),"")</f>
        <v>3401380</v>
      </c>
      <c r="B266" s="17">
        <v>2016</v>
      </c>
      <c r="C266" s="17" t="s">
        <v>151</v>
      </c>
      <c r="D266" s="17">
        <v>4013</v>
      </c>
      <c r="E266" s="17" t="s">
        <v>1405</v>
      </c>
      <c r="F266" s="20">
        <v>517548</v>
      </c>
    </row>
    <row r="267" spans="1:6" ht="16" customHeight="1" x14ac:dyDescent="0.2">
      <c r="A267">
        <f>IFERROR(VLOOKUP(C267,'GASB Match'!$D$2:$F$6042,3,FALSE),"")</f>
        <v>3401380</v>
      </c>
      <c r="B267" s="17">
        <v>2018</v>
      </c>
      <c r="C267" s="17" t="s">
        <v>832</v>
      </c>
      <c r="D267" s="17">
        <v>4013</v>
      </c>
      <c r="E267" s="17" t="s">
        <v>1446</v>
      </c>
      <c r="F267" s="20">
        <v>1064027</v>
      </c>
    </row>
    <row r="268" spans="1:6" ht="16" customHeight="1" x14ac:dyDescent="0.2">
      <c r="A268">
        <f>IFERROR(VLOOKUP(C268,'GASB Match'!$D$2:$F$6042,3,FALSE),"")</f>
        <v>3401380</v>
      </c>
      <c r="B268" s="17">
        <v>2019</v>
      </c>
      <c r="C268" s="17" t="s">
        <v>832</v>
      </c>
      <c r="D268" s="17">
        <v>4013</v>
      </c>
      <c r="E268" s="17" t="s">
        <v>1446</v>
      </c>
      <c r="F268" s="20">
        <v>1419109</v>
      </c>
    </row>
    <row r="269" spans="1:6" ht="16" customHeight="1" x14ac:dyDescent="0.2">
      <c r="A269">
        <f>IFERROR(VLOOKUP(C269,'GASB Match'!$D$2:$F$6042,3,FALSE),"")</f>
        <v>3401380</v>
      </c>
      <c r="B269" s="17">
        <v>2020</v>
      </c>
      <c r="C269" s="21" t="s">
        <v>832</v>
      </c>
      <c r="D269" s="17">
        <v>4013</v>
      </c>
      <c r="E269" s="17" t="s">
        <v>1446</v>
      </c>
      <c r="F269" s="23">
        <v>1621350</v>
      </c>
    </row>
    <row r="270" spans="1:6" ht="16" customHeight="1" x14ac:dyDescent="0.2">
      <c r="A270">
        <f>IFERROR(VLOOKUP(C270,'GASB Match'!$D$2:$F$6042,3,FALSE),"")</f>
        <v>3401380</v>
      </c>
      <c r="B270" s="17">
        <v>2021</v>
      </c>
      <c r="C270" s="25" t="s">
        <v>832</v>
      </c>
      <c r="D270" s="17">
        <v>4013</v>
      </c>
      <c r="E270" s="17" t="s">
        <v>1446</v>
      </c>
      <c r="F270" s="23">
        <v>2147054</v>
      </c>
    </row>
    <row r="271" spans="1:6" ht="16" customHeight="1" x14ac:dyDescent="0.2">
      <c r="A271">
        <f>IFERROR(VLOOKUP(C271,'GASB Match'!$D$2:$F$6042,3,FALSE),"")</f>
        <v>3401380</v>
      </c>
      <c r="B271" s="17">
        <v>2022</v>
      </c>
      <c r="C271" s="21" t="s">
        <v>832</v>
      </c>
      <c r="D271" s="17">
        <v>4013</v>
      </c>
      <c r="E271" s="17" t="s">
        <v>1446</v>
      </c>
      <c r="F271" s="23">
        <v>3290848</v>
      </c>
    </row>
    <row r="272" spans="1:6" ht="16" customHeight="1" x14ac:dyDescent="0.2">
      <c r="A272">
        <f>IFERROR(VLOOKUP(C272,'GASB Match'!$D$2:$F$6042,3,FALSE),"")</f>
        <v>3401380</v>
      </c>
      <c r="B272" s="17">
        <v>2023</v>
      </c>
      <c r="C272" s="21" t="s">
        <v>832</v>
      </c>
      <c r="D272" s="17">
        <v>4013</v>
      </c>
      <c r="E272" s="17" t="s">
        <v>1446</v>
      </c>
      <c r="F272" s="23">
        <v>3539695</v>
      </c>
    </row>
    <row r="273" spans="1:6" ht="16" customHeight="1" x14ac:dyDescent="0.2">
      <c r="A273">
        <f>IFERROR(VLOOKUP(C273,'GASB Match'!$D$2:$F$6042,3,FALSE),"")</f>
        <v>3401380</v>
      </c>
      <c r="B273" s="28">
        <v>2017</v>
      </c>
      <c r="C273" s="29" t="s">
        <v>151</v>
      </c>
      <c r="D273" s="17">
        <v>4013</v>
      </c>
      <c r="E273" s="17" t="s">
        <v>1405</v>
      </c>
      <c r="F273" s="29">
        <v>756568</v>
      </c>
    </row>
    <row r="274" spans="1:6" ht="16" customHeight="1" x14ac:dyDescent="0.2">
      <c r="A274">
        <f>IFERROR(VLOOKUP(C274,'GASB Match'!$D$2:$F$6042,3,FALSE),"")</f>
        <v>3401410</v>
      </c>
      <c r="B274" s="17">
        <v>2015</v>
      </c>
      <c r="C274" s="17" t="s">
        <v>404</v>
      </c>
      <c r="D274" s="17">
        <v>324</v>
      </c>
      <c r="E274" s="17" t="s">
        <v>1420</v>
      </c>
      <c r="F274" s="20">
        <v>212681</v>
      </c>
    </row>
    <row r="275" spans="1:6" ht="16" customHeight="1" x14ac:dyDescent="0.2">
      <c r="A275">
        <f>IFERROR(VLOOKUP(C275,'GASB Match'!$D$2:$F$6042,3,FALSE),"")</f>
        <v>3401410</v>
      </c>
      <c r="B275" s="17">
        <v>2016</v>
      </c>
      <c r="C275" s="17" t="s">
        <v>404</v>
      </c>
      <c r="D275" s="17">
        <v>324</v>
      </c>
      <c r="E275" s="17" t="s">
        <v>1420</v>
      </c>
      <c r="F275" s="20">
        <v>311265</v>
      </c>
    </row>
    <row r="276" spans="1:6" ht="16" customHeight="1" x14ac:dyDescent="0.2">
      <c r="A276">
        <f>IFERROR(VLOOKUP(C276,'GASB Match'!$D$2:$F$6042,3,FALSE),"")</f>
        <v>3401410</v>
      </c>
      <c r="B276" s="17">
        <v>2018</v>
      </c>
      <c r="C276" s="17" t="s">
        <v>1096</v>
      </c>
      <c r="D276" s="17">
        <v>324</v>
      </c>
      <c r="E276" s="17" t="s">
        <v>1463</v>
      </c>
      <c r="F276" s="20">
        <v>566811</v>
      </c>
    </row>
    <row r="277" spans="1:6" ht="16" customHeight="1" x14ac:dyDescent="0.2">
      <c r="A277">
        <f>IFERROR(VLOOKUP(C277,'GASB Match'!$D$2:$F$6042,3,FALSE),"")</f>
        <v>3401410</v>
      </c>
      <c r="B277" s="17">
        <v>2019</v>
      </c>
      <c r="C277" s="17" t="s">
        <v>1096</v>
      </c>
      <c r="D277" s="17">
        <v>324</v>
      </c>
      <c r="E277" s="17" t="s">
        <v>1463</v>
      </c>
      <c r="F277" s="20">
        <v>777636</v>
      </c>
    </row>
    <row r="278" spans="1:6" ht="16" customHeight="1" x14ac:dyDescent="0.2">
      <c r="A278">
        <f>IFERROR(VLOOKUP(C278,'GASB Match'!$D$2:$F$6042,3,FALSE),"")</f>
        <v>3401410</v>
      </c>
      <c r="B278" s="17">
        <v>2020</v>
      </c>
      <c r="C278" s="21" t="s">
        <v>1096</v>
      </c>
      <c r="D278" s="17">
        <v>324</v>
      </c>
      <c r="E278" s="17" t="s">
        <v>1463</v>
      </c>
      <c r="F278" s="23">
        <v>870831</v>
      </c>
    </row>
    <row r="279" spans="1:6" ht="16" customHeight="1" x14ac:dyDescent="0.2">
      <c r="A279">
        <f>IFERROR(VLOOKUP(C279,'GASB Match'!$D$2:$F$6042,3,FALSE),"")</f>
        <v>3401410</v>
      </c>
      <c r="B279" s="17">
        <v>2021</v>
      </c>
      <c r="C279" s="25" t="s">
        <v>1096</v>
      </c>
      <c r="D279" s="17">
        <v>324</v>
      </c>
      <c r="E279" s="17" t="s">
        <v>1463</v>
      </c>
      <c r="F279" s="23">
        <v>1122874</v>
      </c>
    </row>
    <row r="280" spans="1:6" ht="16" customHeight="1" x14ac:dyDescent="0.2">
      <c r="A280">
        <f>IFERROR(VLOOKUP(C280,'GASB Match'!$D$2:$F$6042,3,FALSE),"")</f>
        <v>3401410</v>
      </c>
      <c r="B280" s="17">
        <v>2022</v>
      </c>
      <c r="C280" s="21" t="s">
        <v>1096</v>
      </c>
      <c r="D280" s="17">
        <v>324</v>
      </c>
      <c r="E280" s="17" t="s">
        <v>1463</v>
      </c>
      <c r="F280" s="23">
        <v>1541965</v>
      </c>
    </row>
    <row r="281" spans="1:6" ht="16" customHeight="1" x14ac:dyDescent="0.2">
      <c r="A281">
        <f>IFERROR(VLOOKUP(C281,'GASB Match'!$D$2:$F$6042,3,FALSE),"")</f>
        <v>3401410</v>
      </c>
      <c r="B281" s="17">
        <v>2023</v>
      </c>
      <c r="C281" s="21" t="s">
        <v>1096</v>
      </c>
      <c r="D281" s="17">
        <v>324</v>
      </c>
      <c r="E281" s="17" t="s">
        <v>1463</v>
      </c>
      <c r="F281" s="23">
        <v>1525290</v>
      </c>
    </row>
    <row r="282" spans="1:6" ht="16" customHeight="1" x14ac:dyDescent="0.2">
      <c r="A282">
        <f>IFERROR(VLOOKUP(C282,'GASB Match'!$D$2:$F$6042,3,FALSE),"")</f>
        <v>3401410</v>
      </c>
      <c r="B282" s="28">
        <v>2017</v>
      </c>
      <c r="C282" s="29" t="s">
        <v>404</v>
      </c>
      <c r="D282" s="17">
        <v>324</v>
      </c>
      <c r="E282" s="17" t="s">
        <v>1420</v>
      </c>
      <c r="F282" s="29">
        <v>446000</v>
      </c>
    </row>
    <row r="283" spans="1:6" ht="16" customHeight="1" x14ac:dyDescent="0.2">
      <c r="A283">
        <f>IFERROR(VLOOKUP(C283,'GASB Match'!$D$2:$F$6042,3,FALSE),"")</f>
        <v>3400759</v>
      </c>
      <c r="B283" s="17">
        <v>2018</v>
      </c>
      <c r="C283" s="17" t="s">
        <v>992</v>
      </c>
      <c r="D283" s="17">
        <v>8097</v>
      </c>
      <c r="E283" s="17" t="s">
        <v>1456</v>
      </c>
      <c r="F283" s="20">
        <v>307561</v>
      </c>
    </row>
    <row r="284" spans="1:6" ht="16" customHeight="1" x14ac:dyDescent="0.2">
      <c r="A284">
        <f>IFERROR(VLOOKUP(C284,'GASB Match'!$D$2:$F$6042,3,FALSE),"")</f>
        <v>3400759</v>
      </c>
      <c r="B284" s="17">
        <v>2019</v>
      </c>
      <c r="C284" s="17" t="s">
        <v>992</v>
      </c>
      <c r="D284" s="17">
        <v>8097</v>
      </c>
      <c r="E284" s="17" t="s">
        <v>1456</v>
      </c>
      <c r="F284" s="20">
        <v>534632</v>
      </c>
    </row>
    <row r="285" spans="1:6" ht="16" customHeight="1" x14ac:dyDescent="0.2">
      <c r="A285">
        <f>IFERROR(VLOOKUP(C285,'GASB Match'!$D$2:$F$6042,3,FALSE),"")</f>
        <v>3400759</v>
      </c>
      <c r="B285" s="17">
        <v>2020</v>
      </c>
      <c r="C285" s="21" t="s">
        <v>992</v>
      </c>
      <c r="D285" s="17">
        <v>8097</v>
      </c>
      <c r="E285" s="17" t="s">
        <v>1456</v>
      </c>
      <c r="F285" s="23">
        <v>748118</v>
      </c>
    </row>
    <row r="286" spans="1:6" ht="16" customHeight="1" x14ac:dyDescent="0.2">
      <c r="A286">
        <f>IFERROR(VLOOKUP(C286,'GASB Match'!$D$2:$F$6042,3,FALSE),"")</f>
        <v>3400759</v>
      </c>
      <c r="B286" s="17">
        <v>2021</v>
      </c>
      <c r="C286" s="25" t="s">
        <v>992</v>
      </c>
      <c r="D286" s="17">
        <v>8097</v>
      </c>
      <c r="E286" s="17" t="s">
        <v>1456</v>
      </c>
      <c r="F286" s="23">
        <v>1227705</v>
      </c>
    </row>
    <row r="287" spans="1:6" ht="16" customHeight="1" x14ac:dyDescent="0.2">
      <c r="A287">
        <f>IFERROR(VLOOKUP(C287,'GASB Match'!$D$2:$F$6042,3,FALSE),"")</f>
        <v>3400759</v>
      </c>
      <c r="B287" s="17">
        <v>2022</v>
      </c>
      <c r="C287" s="21" t="s">
        <v>992</v>
      </c>
      <c r="D287" s="17">
        <v>8097</v>
      </c>
      <c r="E287" s="17" t="s">
        <v>1456</v>
      </c>
      <c r="F287" s="23">
        <v>2184718</v>
      </c>
    </row>
    <row r="288" spans="1:6" ht="16" customHeight="1" x14ac:dyDescent="0.2">
      <c r="A288">
        <f>IFERROR(VLOOKUP(C288,'GASB Match'!$D$2:$F$6042,3,FALSE),"")</f>
        <v>3400759</v>
      </c>
      <c r="B288" s="17">
        <v>2023</v>
      </c>
      <c r="C288" s="21" t="s">
        <v>992</v>
      </c>
      <c r="D288" s="17">
        <v>8097</v>
      </c>
      <c r="E288" s="17" t="s">
        <v>1456</v>
      </c>
      <c r="F288" s="23">
        <v>2696563</v>
      </c>
    </row>
    <row r="289" spans="1:6" ht="16" customHeight="1" x14ac:dyDescent="0.2">
      <c r="A289">
        <f>IFERROR(VLOOKUP(C289,'GASB Match'!$D$2:$F$6042,3,FALSE),"")</f>
        <v>3400759</v>
      </c>
      <c r="B289" s="17">
        <v>2016</v>
      </c>
      <c r="C289" s="17" t="s">
        <v>671</v>
      </c>
      <c r="D289" s="17">
        <v>8097</v>
      </c>
      <c r="E289" s="17" t="s">
        <v>1413</v>
      </c>
      <c r="F289" s="20">
        <v>148240</v>
      </c>
    </row>
    <row r="290" spans="1:6" ht="16" customHeight="1" x14ac:dyDescent="0.2">
      <c r="A290">
        <f>IFERROR(VLOOKUP(C290,'GASB Match'!$D$2:$F$6042,3,FALSE),"")</f>
        <v>3400759</v>
      </c>
      <c r="B290" s="28">
        <v>2017</v>
      </c>
      <c r="C290" s="29" t="s">
        <v>671</v>
      </c>
      <c r="D290" s="17">
        <v>8097</v>
      </c>
      <c r="E290" s="17" t="s">
        <v>1413</v>
      </c>
      <c r="F290" s="29">
        <v>251092</v>
      </c>
    </row>
    <row r="291" spans="1:6" ht="16" customHeight="1" x14ac:dyDescent="0.2">
      <c r="A291">
        <f>IFERROR(VLOOKUP(C291,'GASB Match'!$D$2:$F$6042,3,FALSE),"")</f>
        <v>3401440</v>
      </c>
      <c r="B291" s="17">
        <v>2015</v>
      </c>
      <c r="C291" s="17" t="s">
        <v>639</v>
      </c>
      <c r="D291" s="17">
        <v>913</v>
      </c>
      <c r="E291" s="17" t="s">
        <v>1429</v>
      </c>
      <c r="F291" s="20">
        <v>309817</v>
      </c>
    </row>
    <row r="292" spans="1:6" ht="16" customHeight="1" x14ac:dyDescent="0.2">
      <c r="A292">
        <f>IFERROR(VLOOKUP(C292,'GASB Match'!$D$2:$F$6042,3,FALSE),"")</f>
        <v>3401440</v>
      </c>
      <c r="B292" s="17">
        <v>2016</v>
      </c>
      <c r="C292" s="17" t="s">
        <v>639</v>
      </c>
      <c r="D292" s="17">
        <v>913</v>
      </c>
      <c r="E292" s="17" t="s">
        <v>1429</v>
      </c>
      <c r="F292" s="20">
        <v>419308</v>
      </c>
    </row>
    <row r="293" spans="1:6" ht="16" customHeight="1" x14ac:dyDescent="0.2">
      <c r="A293">
        <f>IFERROR(VLOOKUP(C293,'GASB Match'!$D$2:$F$6042,3,FALSE),"")</f>
        <v>3401440</v>
      </c>
      <c r="B293" s="17">
        <v>2018</v>
      </c>
      <c r="C293" s="17" t="s">
        <v>1332</v>
      </c>
      <c r="D293" s="17">
        <v>913</v>
      </c>
      <c r="E293" s="17" t="s">
        <v>1472</v>
      </c>
      <c r="F293" s="20">
        <v>826127</v>
      </c>
    </row>
    <row r="294" spans="1:6" ht="16" customHeight="1" x14ac:dyDescent="0.2">
      <c r="A294">
        <f>IFERROR(VLOOKUP(C294,'GASB Match'!$D$2:$F$6042,3,FALSE),"")</f>
        <v>3401440</v>
      </c>
      <c r="B294" s="17">
        <v>2019</v>
      </c>
      <c r="C294" s="17" t="s">
        <v>1332</v>
      </c>
      <c r="D294" s="17">
        <v>913</v>
      </c>
      <c r="E294" s="17" t="s">
        <v>1472</v>
      </c>
      <c r="F294" s="20">
        <v>1054228</v>
      </c>
    </row>
    <row r="295" spans="1:6" ht="16" customHeight="1" x14ac:dyDescent="0.2">
      <c r="A295">
        <f>IFERROR(VLOOKUP(C295,'GASB Match'!$D$2:$F$6042,3,FALSE),"")</f>
        <v>3401440</v>
      </c>
      <c r="B295" s="17">
        <v>2020</v>
      </c>
      <c r="C295" s="21" t="s">
        <v>1332</v>
      </c>
      <c r="D295" s="17">
        <v>913</v>
      </c>
      <c r="E295" s="17" t="s">
        <v>1472</v>
      </c>
      <c r="F295" s="23">
        <v>1183569</v>
      </c>
    </row>
    <row r="296" spans="1:6" ht="16" customHeight="1" x14ac:dyDescent="0.2">
      <c r="A296">
        <f>IFERROR(VLOOKUP(C296,'GASB Match'!$D$2:$F$6042,3,FALSE),"")</f>
        <v>3401440</v>
      </c>
      <c r="B296" s="17">
        <v>2021</v>
      </c>
      <c r="C296" s="25" t="s">
        <v>1332</v>
      </c>
      <c r="D296" s="17">
        <v>913</v>
      </c>
      <c r="E296" s="17" t="s">
        <v>1472</v>
      </c>
      <c r="F296" s="23">
        <v>1426810</v>
      </c>
    </row>
    <row r="297" spans="1:6" ht="16" customHeight="1" x14ac:dyDescent="0.2">
      <c r="A297">
        <f>IFERROR(VLOOKUP(C297,'GASB Match'!$D$2:$F$6042,3,FALSE),"")</f>
        <v>3401440</v>
      </c>
      <c r="B297" s="17">
        <v>2022</v>
      </c>
      <c r="C297" s="21" t="s">
        <v>1332</v>
      </c>
      <c r="D297" s="17">
        <v>913</v>
      </c>
      <c r="E297" s="17" t="s">
        <v>1472</v>
      </c>
      <c r="F297" s="23">
        <v>2247874</v>
      </c>
    </row>
    <row r="298" spans="1:6" ht="16" customHeight="1" x14ac:dyDescent="0.2">
      <c r="A298">
        <f>IFERROR(VLOOKUP(C298,'GASB Match'!$D$2:$F$6042,3,FALSE),"")</f>
        <v>3401440</v>
      </c>
      <c r="B298" s="17">
        <v>2023</v>
      </c>
      <c r="C298" s="21" t="s">
        <v>1332</v>
      </c>
      <c r="D298" s="17">
        <v>913</v>
      </c>
      <c r="E298" s="17" t="s">
        <v>1472</v>
      </c>
      <c r="F298" s="23">
        <v>2281673</v>
      </c>
    </row>
    <row r="299" spans="1:6" ht="16" customHeight="1" x14ac:dyDescent="0.2">
      <c r="A299">
        <f>IFERROR(VLOOKUP(C299,'GASB Match'!$D$2:$F$6042,3,FALSE),"")</f>
        <v>3401440</v>
      </c>
      <c r="B299" s="28">
        <v>2017</v>
      </c>
      <c r="C299" s="29" t="s">
        <v>639</v>
      </c>
      <c r="D299" s="17">
        <v>913</v>
      </c>
      <c r="E299" s="17" t="s">
        <v>1429</v>
      </c>
      <c r="F299" s="29">
        <v>607567</v>
      </c>
    </row>
    <row r="300" spans="1:6" ht="16" customHeight="1" x14ac:dyDescent="0.2">
      <c r="A300">
        <f>IFERROR(VLOOKUP(C300,'GASB Match'!$D$2:$F$6042,3,FALSE),"")</f>
        <v>3400744</v>
      </c>
      <c r="B300" s="17">
        <v>2018</v>
      </c>
      <c r="C300" s="17" t="s">
        <v>787</v>
      </c>
      <c r="D300" s="17">
        <v>3058</v>
      </c>
      <c r="E300" s="17" t="s">
        <v>1445</v>
      </c>
      <c r="F300" s="20">
        <v>134452</v>
      </c>
    </row>
    <row r="301" spans="1:6" ht="16" customHeight="1" x14ac:dyDescent="0.2">
      <c r="A301">
        <f>IFERROR(VLOOKUP(C301,'GASB Match'!$D$2:$F$6042,3,FALSE),"")</f>
        <v>3400744</v>
      </c>
      <c r="B301" s="17">
        <v>2019</v>
      </c>
      <c r="C301" s="17" t="s">
        <v>787</v>
      </c>
      <c r="D301" s="17">
        <v>3058</v>
      </c>
      <c r="E301" s="17" t="s">
        <v>1445</v>
      </c>
      <c r="F301" s="20">
        <v>206120</v>
      </c>
    </row>
    <row r="302" spans="1:6" ht="16" customHeight="1" x14ac:dyDescent="0.2">
      <c r="A302">
        <f>IFERROR(VLOOKUP(C302,'GASB Match'!$D$2:$F$6042,3,FALSE),"")</f>
        <v>3400744</v>
      </c>
      <c r="B302" s="17">
        <v>2020</v>
      </c>
      <c r="C302" s="21" t="s">
        <v>787</v>
      </c>
      <c r="D302" s="17">
        <v>3058</v>
      </c>
      <c r="E302" s="17" t="s">
        <v>1445</v>
      </c>
      <c r="F302" s="23">
        <v>267661</v>
      </c>
    </row>
    <row r="303" spans="1:6" ht="16" customHeight="1" x14ac:dyDescent="0.2">
      <c r="A303">
        <f>IFERROR(VLOOKUP(C303,'GASB Match'!$D$2:$F$6042,3,FALSE),"")</f>
        <v>3400744</v>
      </c>
      <c r="B303" s="17">
        <v>2021</v>
      </c>
      <c r="C303" s="25" t="s">
        <v>787</v>
      </c>
      <c r="D303" s="17">
        <v>3058</v>
      </c>
      <c r="E303" s="17" t="s">
        <v>1445</v>
      </c>
      <c r="F303" s="23">
        <v>545782</v>
      </c>
    </row>
    <row r="304" spans="1:6" ht="16" customHeight="1" x14ac:dyDescent="0.2">
      <c r="A304">
        <f>IFERROR(VLOOKUP(C304,'GASB Match'!$D$2:$F$6042,3,FALSE),"")</f>
        <v>3400744</v>
      </c>
      <c r="B304" s="17">
        <v>2022</v>
      </c>
      <c r="C304" s="21" t="s">
        <v>787</v>
      </c>
      <c r="D304" s="17">
        <v>3058</v>
      </c>
      <c r="E304" s="17" t="s">
        <v>1445</v>
      </c>
      <c r="F304" s="23">
        <v>866463</v>
      </c>
    </row>
    <row r="305" spans="1:6" ht="16" customHeight="1" x14ac:dyDescent="0.2">
      <c r="A305">
        <f>IFERROR(VLOOKUP(C305,'GASB Match'!$D$2:$F$6042,3,FALSE),"")</f>
        <v>3400744</v>
      </c>
      <c r="B305" s="17">
        <v>2023</v>
      </c>
      <c r="C305" s="21" t="s">
        <v>787</v>
      </c>
      <c r="D305" s="17">
        <v>3058</v>
      </c>
      <c r="E305" s="17" t="s">
        <v>1445</v>
      </c>
      <c r="F305" s="23">
        <v>750303</v>
      </c>
    </row>
    <row r="306" spans="1:6" ht="16" customHeight="1" x14ac:dyDescent="0.2">
      <c r="A306">
        <f>IFERROR(VLOOKUP(C306,'GASB Match'!$D$2:$F$6042,3,FALSE),"")</f>
        <v>3400744</v>
      </c>
      <c r="B306" s="17">
        <v>2016</v>
      </c>
      <c r="C306" s="17" t="s">
        <v>666</v>
      </c>
      <c r="D306" s="17">
        <v>3058</v>
      </c>
      <c r="E306" s="17" t="s">
        <v>1404</v>
      </c>
      <c r="F306" s="20">
        <v>52482</v>
      </c>
    </row>
    <row r="307" spans="1:6" ht="16" customHeight="1" x14ac:dyDescent="0.2">
      <c r="A307">
        <f>IFERROR(VLOOKUP(C307,'GASB Match'!$D$2:$F$6042,3,FALSE),"")</f>
        <v>3400744</v>
      </c>
      <c r="B307" s="28">
        <v>2017</v>
      </c>
      <c r="C307" s="29" t="s">
        <v>666</v>
      </c>
      <c r="D307" s="17">
        <v>3058</v>
      </c>
      <c r="E307" s="17" t="s">
        <v>1404</v>
      </c>
      <c r="F307" s="29">
        <v>101583</v>
      </c>
    </row>
    <row r="308" spans="1:6" ht="16" customHeight="1" x14ac:dyDescent="0.2">
      <c r="A308">
        <f>IFERROR(VLOOKUP(C308,'GASB Match'!$D$2:$F$6042,3,FALSE),"")</f>
        <v>3400715</v>
      </c>
      <c r="B308" s="17">
        <v>2015</v>
      </c>
      <c r="C308" s="17" t="s">
        <v>29</v>
      </c>
      <c r="D308" s="17">
        <v>2098</v>
      </c>
      <c r="E308" s="17" t="s">
        <v>1402</v>
      </c>
      <c r="F308" s="20">
        <v>150231</v>
      </c>
    </row>
    <row r="309" spans="1:6" ht="16" customHeight="1" x14ac:dyDescent="0.2">
      <c r="A309">
        <f>IFERROR(VLOOKUP(C309,'GASB Match'!$D$2:$F$6042,3,FALSE),"")</f>
        <v>3400715</v>
      </c>
      <c r="B309" s="17">
        <v>2016</v>
      </c>
      <c r="C309" s="17" t="s">
        <v>29</v>
      </c>
      <c r="D309" s="17">
        <v>2098</v>
      </c>
      <c r="E309" s="17" t="s">
        <v>1402</v>
      </c>
      <c r="F309" s="20">
        <v>283741</v>
      </c>
    </row>
    <row r="310" spans="1:6" ht="16" customHeight="1" x14ac:dyDescent="0.2">
      <c r="A310">
        <f>IFERROR(VLOOKUP(C310,'GASB Match'!$D$2:$F$6042,3,FALSE),"")</f>
        <v>3400715</v>
      </c>
      <c r="B310" s="17">
        <v>2018</v>
      </c>
      <c r="C310" s="17" t="s">
        <v>707</v>
      </c>
      <c r="D310" s="17">
        <v>2098</v>
      </c>
      <c r="E310" s="17" t="s">
        <v>1443</v>
      </c>
      <c r="F310" s="20">
        <v>686594</v>
      </c>
    </row>
    <row r="311" spans="1:6" ht="16" customHeight="1" x14ac:dyDescent="0.2">
      <c r="A311">
        <f>IFERROR(VLOOKUP(C311,'GASB Match'!$D$2:$F$6042,3,FALSE),"")</f>
        <v>3400715</v>
      </c>
      <c r="B311" s="17">
        <v>2019</v>
      </c>
      <c r="C311" s="17" t="s">
        <v>707</v>
      </c>
      <c r="D311" s="17">
        <v>2098</v>
      </c>
      <c r="E311" s="17" t="s">
        <v>1443</v>
      </c>
      <c r="F311" s="20">
        <v>878450</v>
      </c>
    </row>
    <row r="312" spans="1:6" ht="16" customHeight="1" x14ac:dyDescent="0.2">
      <c r="A312">
        <f>IFERROR(VLOOKUP(C312,'GASB Match'!$D$2:$F$6042,3,FALSE),"")</f>
        <v>3400715</v>
      </c>
      <c r="B312" s="17">
        <v>2020</v>
      </c>
      <c r="C312" s="21" t="s">
        <v>707</v>
      </c>
      <c r="D312" s="17">
        <v>2098</v>
      </c>
      <c r="E312" s="17" t="s">
        <v>1443</v>
      </c>
      <c r="F312" s="23">
        <v>1072642</v>
      </c>
    </row>
    <row r="313" spans="1:6" ht="16" customHeight="1" x14ac:dyDescent="0.2">
      <c r="A313">
        <f>IFERROR(VLOOKUP(C313,'GASB Match'!$D$2:$F$6042,3,FALSE),"")</f>
        <v>3400715</v>
      </c>
      <c r="B313" s="17">
        <v>2021</v>
      </c>
      <c r="C313" s="25" t="s">
        <v>707</v>
      </c>
      <c r="D313" s="17">
        <v>2098</v>
      </c>
      <c r="E313" s="17" t="s">
        <v>1443</v>
      </c>
      <c r="F313" s="23">
        <v>1373826</v>
      </c>
    </row>
    <row r="314" spans="1:6" ht="16" customHeight="1" x14ac:dyDescent="0.2">
      <c r="A314">
        <f>IFERROR(VLOOKUP(C314,'GASB Match'!$D$2:$F$6042,3,FALSE),"")</f>
        <v>3400715</v>
      </c>
      <c r="B314" s="17">
        <v>2022</v>
      </c>
      <c r="C314" s="21" t="s">
        <v>707</v>
      </c>
      <c r="D314" s="17">
        <v>2098</v>
      </c>
      <c r="E314" s="17" t="s">
        <v>1443</v>
      </c>
      <c r="F314" s="23">
        <v>2060052</v>
      </c>
    </row>
    <row r="315" spans="1:6" ht="16" customHeight="1" x14ac:dyDescent="0.2">
      <c r="A315">
        <f>IFERROR(VLOOKUP(C315,'GASB Match'!$D$2:$F$6042,3,FALSE),"")</f>
        <v>3400715</v>
      </c>
      <c r="B315" s="17">
        <v>2023</v>
      </c>
      <c r="C315" s="21" t="s">
        <v>707</v>
      </c>
      <c r="D315" s="17">
        <v>2098</v>
      </c>
      <c r="E315" s="17" t="s">
        <v>1443</v>
      </c>
      <c r="F315" s="23">
        <v>2088658</v>
      </c>
    </row>
    <row r="316" spans="1:6" ht="16" customHeight="1" x14ac:dyDescent="0.2">
      <c r="A316">
        <f>IFERROR(VLOOKUP(C316,'GASB Match'!$D$2:$F$6042,3,FALSE),"")</f>
        <v>3400715</v>
      </c>
      <c r="B316" s="28">
        <v>2017</v>
      </c>
      <c r="C316" s="29" t="s">
        <v>29</v>
      </c>
      <c r="D316" s="17">
        <v>2098</v>
      </c>
      <c r="E316" s="17" t="s">
        <v>1402</v>
      </c>
      <c r="F316" s="29">
        <v>482826</v>
      </c>
    </row>
    <row r="317" spans="1:6" ht="16" customHeight="1" x14ac:dyDescent="0.2">
      <c r="A317">
        <f>IFERROR(VLOOKUP(C317,'GASB Match'!$D$2:$F$6042,3,FALSE),"")</f>
        <v>3401450</v>
      </c>
      <c r="B317" s="17">
        <v>2015</v>
      </c>
      <c r="C317" s="17" t="s">
        <v>30</v>
      </c>
      <c r="D317" s="17">
        <v>2001</v>
      </c>
      <c r="E317" s="17" t="s">
        <v>1402</v>
      </c>
      <c r="F317" s="20">
        <v>1587581</v>
      </c>
    </row>
    <row r="318" spans="1:6" ht="16" customHeight="1" x14ac:dyDescent="0.2">
      <c r="A318">
        <f>IFERROR(VLOOKUP(C318,'GASB Match'!$D$2:$F$6042,3,FALSE),"")</f>
        <v>3401450</v>
      </c>
      <c r="B318" s="17">
        <v>2016</v>
      </c>
      <c r="C318" s="17" t="s">
        <v>30</v>
      </c>
      <c r="D318" s="17">
        <v>2001</v>
      </c>
      <c r="E318" s="17" t="s">
        <v>1402</v>
      </c>
      <c r="F318" s="20">
        <v>2322338</v>
      </c>
    </row>
    <row r="319" spans="1:6" ht="16" customHeight="1" x14ac:dyDescent="0.2">
      <c r="A319">
        <f>IFERROR(VLOOKUP(C319,'GASB Match'!$D$2:$F$6042,3,FALSE),"")</f>
        <v>3401450</v>
      </c>
      <c r="B319" s="17">
        <v>2018</v>
      </c>
      <c r="C319" s="17" t="s">
        <v>708</v>
      </c>
      <c r="D319" s="17">
        <v>2001</v>
      </c>
      <c r="E319" s="17" t="s">
        <v>1443</v>
      </c>
      <c r="F319" s="20">
        <v>4623337</v>
      </c>
    </row>
    <row r="320" spans="1:6" ht="16" customHeight="1" x14ac:dyDescent="0.2">
      <c r="A320">
        <f>IFERROR(VLOOKUP(C320,'GASB Match'!$D$2:$F$6042,3,FALSE),"")</f>
        <v>3401450</v>
      </c>
      <c r="B320" s="17">
        <v>2019</v>
      </c>
      <c r="C320" s="17" t="s">
        <v>708</v>
      </c>
      <c r="D320" s="17">
        <v>2001</v>
      </c>
      <c r="E320" s="17" t="s">
        <v>1443</v>
      </c>
      <c r="F320" s="20">
        <v>5874091</v>
      </c>
    </row>
    <row r="321" spans="1:6" ht="16" customHeight="1" x14ac:dyDescent="0.2">
      <c r="A321">
        <f>IFERROR(VLOOKUP(C321,'GASB Match'!$D$2:$F$6042,3,FALSE),"")</f>
        <v>3401450</v>
      </c>
      <c r="B321" s="17">
        <v>2020</v>
      </c>
      <c r="C321" s="21" t="s">
        <v>708</v>
      </c>
      <c r="D321" s="17">
        <v>2001</v>
      </c>
      <c r="E321" s="17" t="s">
        <v>1443</v>
      </c>
      <c r="F321" s="23">
        <v>6256532</v>
      </c>
    </row>
    <row r="322" spans="1:6" ht="16" customHeight="1" x14ac:dyDescent="0.2">
      <c r="A322">
        <f>IFERROR(VLOOKUP(C322,'GASB Match'!$D$2:$F$6042,3,FALSE),"")</f>
        <v>3401450</v>
      </c>
      <c r="B322" s="17">
        <v>2021</v>
      </c>
      <c r="C322" s="25" t="s">
        <v>708</v>
      </c>
      <c r="D322" s="17">
        <v>2001</v>
      </c>
      <c r="E322" s="17" t="s">
        <v>1443</v>
      </c>
      <c r="F322" s="23">
        <v>8067087</v>
      </c>
    </row>
    <row r="323" spans="1:6" ht="16" customHeight="1" x14ac:dyDescent="0.2">
      <c r="A323">
        <f>IFERROR(VLOOKUP(C323,'GASB Match'!$D$2:$F$6042,3,FALSE),"")</f>
        <v>3401450</v>
      </c>
      <c r="B323" s="17">
        <v>2022</v>
      </c>
      <c r="C323" s="21" t="s">
        <v>708</v>
      </c>
      <c r="D323" s="17">
        <v>2001</v>
      </c>
      <c r="E323" s="17" t="s">
        <v>1443</v>
      </c>
      <c r="F323" s="23">
        <v>11297478</v>
      </c>
    </row>
    <row r="324" spans="1:6" ht="16" customHeight="1" x14ac:dyDescent="0.2">
      <c r="A324">
        <f>IFERROR(VLOOKUP(C324,'GASB Match'!$D$2:$F$6042,3,FALSE),"")</f>
        <v>3401450</v>
      </c>
      <c r="B324" s="17">
        <v>2023</v>
      </c>
      <c r="C324" s="21" t="s">
        <v>708</v>
      </c>
      <c r="D324" s="17">
        <v>2001</v>
      </c>
      <c r="E324" s="17" t="s">
        <v>1443</v>
      </c>
      <c r="F324" s="23">
        <v>10854219</v>
      </c>
    </row>
    <row r="325" spans="1:6" ht="16" customHeight="1" x14ac:dyDescent="0.2">
      <c r="A325">
        <f>IFERROR(VLOOKUP(C325,'GASB Match'!$D$2:$F$6042,3,FALSE),"")</f>
        <v>3401450</v>
      </c>
      <c r="B325" s="28">
        <v>2017</v>
      </c>
      <c r="C325" s="29" t="s">
        <v>30</v>
      </c>
      <c r="D325" s="17">
        <v>2001</v>
      </c>
      <c r="E325" s="17" t="s">
        <v>1402</v>
      </c>
      <c r="F325" s="29">
        <v>3079160</v>
      </c>
    </row>
    <row r="326" spans="1:6" ht="16" customHeight="1" x14ac:dyDescent="0.2">
      <c r="A326">
        <f>IFERROR(VLOOKUP(C326,'GASB Match'!$D$2:$F$6042,3,FALSE),"")</f>
        <v>3401470</v>
      </c>
      <c r="B326" s="17">
        <v>2015</v>
      </c>
      <c r="C326" s="17" t="s">
        <v>31</v>
      </c>
      <c r="D326" s="17">
        <v>980</v>
      </c>
      <c r="E326" s="17" t="s">
        <v>1402</v>
      </c>
      <c r="F326" s="20">
        <v>1270073</v>
      </c>
    </row>
    <row r="327" spans="1:6" ht="16" customHeight="1" x14ac:dyDescent="0.2">
      <c r="A327">
        <f>IFERROR(VLOOKUP(C327,'GASB Match'!$D$2:$F$6042,3,FALSE),"")</f>
        <v>3401470</v>
      </c>
      <c r="B327" s="17">
        <v>2016</v>
      </c>
      <c r="C327" s="17" t="s">
        <v>31</v>
      </c>
      <c r="D327" s="17">
        <v>980</v>
      </c>
      <c r="E327" s="17" t="s">
        <v>1402</v>
      </c>
      <c r="F327" s="20">
        <v>1896233</v>
      </c>
    </row>
    <row r="328" spans="1:6" ht="16" customHeight="1" x14ac:dyDescent="0.2">
      <c r="A328">
        <f>IFERROR(VLOOKUP(C328,'GASB Match'!$D$2:$F$6042,3,FALSE),"")</f>
        <v>3401470</v>
      </c>
      <c r="B328" s="17">
        <v>2018</v>
      </c>
      <c r="C328" s="17" t="s">
        <v>709</v>
      </c>
      <c r="D328" s="17">
        <v>980</v>
      </c>
      <c r="E328" s="17" t="s">
        <v>1443</v>
      </c>
      <c r="F328" s="20">
        <v>3635335</v>
      </c>
    </row>
    <row r="329" spans="1:6" ht="16" customHeight="1" x14ac:dyDescent="0.2">
      <c r="A329">
        <f>IFERROR(VLOOKUP(C329,'GASB Match'!$D$2:$F$6042,3,FALSE),"")</f>
        <v>3401470</v>
      </c>
      <c r="B329" s="17">
        <v>2019</v>
      </c>
      <c r="C329" s="17" t="s">
        <v>709</v>
      </c>
      <c r="D329" s="17">
        <v>980</v>
      </c>
      <c r="E329" s="17" t="s">
        <v>1443</v>
      </c>
      <c r="F329" s="20">
        <v>4714323</v>
      </c>
    </row>
    <row r="330" spans="1:6" ht="16" customHeight="1" x14ac:dyDescent="0.2">
      <c r="A330">
        <f>IFERROR(VLOOKUP(C330,'GASB Match'!$D$2:$F$6042,3,FALSE),"")</f>
        <v>3401470</v>
      </c>
      <c r="B330" s="17">
        <v>2020</v>
      </c>
      <c r="C330" s="21" t="s">
        <v>709</v>
      </c>
      <c r="D330" s="17">
        <v>980</v>
      </c>
      <c r="E330" s="17" t="s">
        <v>1443</v>
      </c>
      <c r="F330" s="23">
        <v>5506044</v>
      </c>
    </row>
    <row r="331" spans="1:6" ht="16" customHeight="1" x14ac:dyDescent="0.2">
      <c r="A331">
        <f>IFERROR(VLOOKUP(C331,'GASB Match'!$D$2:$F$6042,3,FALSE),"")</f>
        <v>3401470</v>
      </c>
      <c r="B331" s="17">
        <v>2021</v>
      </c>
      <c r="C331" s="25" t="s">
        <v>709</v>
      </c>
      <c r="D331" s="17">
        <v>980</v>
      </c>
      <c r="E331" s="17" t="s">
        <v>1443</v>
      </c>
      <c r="F331" s="23">
        <v>7183325</v>
      </c>
    </row>
    <row r="332" spans="1:6" ht="16" customHeight="1" x14ac:dyDescent="0.2">
      <c r="A332">
        <f>IFERROR(VLOOKUP(C332,'GASB Match'!$D$2:$F$6042,3,FALSE),"")</f>
        <v>3401470</v>
      </c>
      <c r="B332" s="17">
        <v>2022</v>
      </c>
      <c r="C332" s="21" t="s">
        <v>709</v>
      </c>
      <c r="D332" s="17">
        <v>980</v>
      </c>
      <c r="E332" s="17" t="s">
        <v>1443</v>
      </c>
      <c r="F332" s="23">
        <v>10498385</v>
      </c>
    </row>
    <row r="333" spans="1:6" ht="16" customHeight="1" x14ac:dyDescent="0.2">
      <c r="A333">
        <f>IFERROR(VLOOKUP(C333,'GASB Match'!$D$2:$F$6042,3,FALSE),"")</f>
        <v>3401470</v>
      </c>
      <c r="B333" s="17">
        <v>2023</v>
      </c>
      <c r="C333" s="21" t="s">
        <v>709</v>
      </c>
      <c r="D333" s="17">
        <v>980</v>
      </c>
      <c r="E333" s="17" t="s">
        <v>1443</v>
      </c>
      <c r="F333" s="23">
        <v>10712892</v>
      </c>
    </row>
    <row r="334" spans="1:6" ht="16" customHeight="1" x14ac:dyDescent="0.2">
      <c r="A334">
        <f>IFERROR(VLOOKUP(C334,'GASB Match'!$D$2:$F$6042,3,FALSE),"")</f>
        <v>3401470</v>
      </c>
      <c r="B334" s="28">
        <v>2017</v>
      </c>
      <c r="C334" s="29" t="s">
        <v>31</v>
      </c>
      <c r="D334" s="17">
        <v>980</v>
      </c>
      <c r="E334" s="17" t="s">
        <v>1402</v>
      </c>
      <c r="F334" s="29">
        <v>2692647</v>
      </c>
    </row>
    <row r="335" spans="1:6" ht="16" customHeight="1" x14ac:dyDescent="0.2">
      <c r="A335" t="str">
        <f>IFERROR(VLOOKUP(C335,'GASB Match'!$D$2:$F$6042,3,FALSE),"")</f>
        <v/>
      </c>
      <c r="B335" s="17">
        <v>2015</v>
      </c>
      <c r="C335" s="17" t="s">
        <v>1403</v>
      </c>
      <c r="D335" s="17">
        <v>2030</v>
      </c>
      <c r="E335" s="17" t="s">
        <v>1402</v>
      </c>
      <c r="F335" s="20">
        <v>14830</v>
      </c>
    </row>
    <row r="336" spans="1:6" ht="16" customHeight="1" x14ac:dyDescent="0.2">
      <c r="A336" t="str">
        <f>IFERROR(VLOOKUP(C336,'GASB Match'!$D$2:$F$6042,3,FALSE),"")</f>
        <v/>
      </c>
      <c r="B336" s="17">
        <v>2016</v>
      </c>
      <c r="C336" s="17" t="s">
        <v>1403</v>
      </c>
      <c r="D336" s="17">
        <v>2030</v>
      </c>
      <c r="E336" s="17" t="s">
        <v>1402</v>
      </c>
      <c r="F336" s="20">
        <v>11328</v>
      </c>
    </row>
    <row r="337" spans="1:6" ht="16" customHeight="1" x14ac:dyDescent="0.2">
      <c r="A337" t="str">
        <f>IFERROR(VLOOKUP(C337,'GASB Match'!$D$2:$F$6042,3,FALSE),"")</f>
        <v/>
      </c>
      <c r="B337" s="17">
        <v>2018</v>
      </c>
      <c r="C337" s="17" t="s">
        <v>1444</v>
      </c>
      <c r="D337" s="17">
        <v>2030</v>
      </c>
      <c r="E337" s="17" t="s">
        <v>1443</v>
      </c>
      <c r="F337" s="20">
        <v>21120</v>
      </c>
    </row>
    <row r="338" spans="1:6" ht="16" customHeight="1" x14ac:dyDescent="0.2">
      <c r="A338" t="str">
        <f>IFERROR(VLOOKUP(C338,'GASB Match'!$D$2:$F$6042,3,FALSE),"")</f>
        <v/>
      </c>
      <c r="B338" s="17">
        <v>2019</v>
      </c>
      <c r="C338" s="17" t="s">
        <v>1444</v>
      </c>
      <c r="D338" s="17">
        <v>2030</v>
      </c>
      <c r="E338" s="17" t="s">
        <v>1443</v>
      </c>
      <c r="F338" s="20">
        <v>29112</v>
      </c>
    </row>
    <row r="339" spans="1:6" ht="16" customHeight="1" x14ac:dyDescent="0.2">
      <c r="A339" t="str">
        <f>IFERROR(VLOOKUP(C339,'GASB Match'!$D$2:$F$6042,3,FALSE),"")</f>
        <v/>
      </c>
      <c r="B339" s="17">
        <v>2020</v>
      </c>
      <c r="C339" s="21" t="s">
        <v>1444</v>
      </c>
      <c r="D339" s="17">
        <v>2030</v>
      </c>
      <c r="E339" s="17" t="s">
        <v>1443</v>
      </c>
      <c r="F339" s="23">
        <v>32655</v>
      </c>
    </row>
    <row r="340" spans="1:6" ht="16" customHeight="1" x14ac:dyDescent="0.2">
      <c r="A340" t="str">
        <f>IFERROR(VLOOKUP(C340,'GASB Match'!$D$2:$F$6042,3,FALSE),"")</f>
        <v/>
      </c>
      <c r="B340" s="17">
        <v>2021</v>
      </c>
      <c r="C340" s="25" t="s">
        <v>1444</v>
      </c>
      <c r="D340" s="17">
        <v>2030</v>
      </c>
      <c r="E340" s="17" t="s">
        <v>1443</v>
      </c>
      <c r="F340" s="23">
        <v>42145</v>
      </c>
    </row>
    <row r="341" spans="1:6" ht="16" customHeight="1" x14ac:dyDescent="0.2">
      <c r="A341" t="str">
        <f>IFERROR(VLOOKUP(C341,'GASB Match'!$D$2:$F$6042,3,FALSE),"")</f>
        <v/>
      </c>
      <c r="B341" s="17">
        <v>2022</v>
      </c>
      <c r="C341" s="21" t="s">
        <v>1444</v>
      </c>
      <c r="D341" s="17">
        <v>2030</v>
      </c>
      <c r="E341" s="17" t="s">
        <v>1443</v>
      </c>
      <c r="F341" s="23">
        <v>58717</v>
      </c>
    </row>
    <row r="342" spans="1:6" ht="16" customHeight="1" x14ac:dyDescent="0.2">
      <c r="A342" t="str">
        <f>IFERROR(VLOOKUP(C342,'GASB Match'!$D$2:$F$6042,3,FALSE),"")</f>
        <v/>
      </c>
      <c r="B342" s="17">
        <v>2023</v>
      </c>
      <c r="C342" s="21" t="s">
        <v>1444</v>
      </c>
      <c r="D342" s="17">
        <v>2030</v>
      </c>
      <c r="E342" s="17" t="s">
        <v>1443</v>
      </c>
      <c r="F342" s="23">
        <v>57587</v>
      </c>
    </row>
    <row r="343" spans="1:6" ht="16" customHeight="1" x14ac:dyDescent="0.2">
      <c r="A343" t="str">
        <f>IFERROR(VLOOKUP(C343,'GASB Match'!$D$2:$F$6042,3,FALSE),"")</f>
        <v/>
      </c>
      <c r="B343" s="28">
        <v>2017</v>
      </c>
      <c r="C343" s="29" t="s">
        <v>1403</v>
      </c>
      <c r="D343" s="17">
        <v>2030</v>
      </c>
      <c r="E343" s="17" t="s">
        <v>1402</v>
      </c>
      <c r="F343" s="29">
        <v>15890</v>
      </c>
    </row>
    <row r="344" spans="1:6" ht="16" customHeight="1" x14ac:dyDescent="0.2">
      <c r="A344">
        <f>IFERROR(VLOOKUP(C344,'GASB Match'!$D$2:$F$6042,3,FALSE),"")</f>
        <v>3401500</v>
      </c>
      <c r="B344" s="17">
        <v>2015</v>
      </c>
      <c r="C344" s="17" t="s">
        <v>32</v>
      </c>
      <c r="D344" s="17">
        <v>2023</v>
      </c>
      <c r="E344" s="17" t="s">
        <v>1402</v>
      </c>
      <c r="F344" s="20">
        <v>1261573</v>
      </c>
    </row>
    <row r="345" spans="1:6" ht="16" customHeight="1" x14ac:dyDescent="0.2">
      <c r="A345">
        <f>IFERROR(VLOOKUP(C345,'GASB Match'!$D$2:$F$6042,3,FALSE),"")</f>
        <v>3401500</v>
      </c>
      <c r="B345" s="17">
        <v>2016</v>
      </c>
      <c r="C345" s="17" t="s">
        <v>32</v>
      </c>
      <c r="D345" s="17">
        <v>2023</v>
      </c>
      <c r="E345" s="17" t="s">
        <v>1402</v>
      </c>
      <c r="F345" s="20">
        <v>1804336</v>
      </c>
    </row>
    <row r="346" spans="1:6" ht="16" customHeight="1" x14ac:dyDescent="0.2">
      <c r="A346">
        <f>IFERROR(VLOOKUP(C346,'GASB Match'!$D$2:$F$6042,3,FALSE),"")</f>
        <v>3401500</v>
      </c>
      <c r="B346" s="17">
        <v>2018</v>
      </c>
      <c r="C346" s="17" t="s">
        <v>710</v>
      </c>
      <c r="D346" s="17">
        <v>2023</v>
      </c>
      <c r="E346" s="17" t="s">
        <v>1443</v>
      </c>
      <c r="F346" s="20">
        <v>3617716</v>
      </c>
    </row>
    <row r="347" spans="1:6" ht="16" customHeight="1" x14ac:dyDescent="0.2">
      <c r="A347">
        <f>IFERROR(VLOOKUP(C347,'GASB Match'!$D$2:$F$6042,3,FALSE),"")</f>
        <v>3401500</v>
      </c>
      <c r="B347" s="17">
        <v>2019</v>
      </c>
      <c r="C347" s="17" t="s">
        <v>710</v>
      </c>
      <c r="D347" s="17">
        <v>2023</v>
      </c>
      <c r="E347" s="17" t="s">
        <v>1443</v>
      </c>
      <c r="F347" s="20">
        <v>4832166</v>
      </c>
    </row>
    <row r="348" spans="1:6" ht="16" customHeight="1" x14ac:dyDescent="0.2">
      <c r="A348">
        <f>IFERROR(VLOOKUP(C348,'GASB Match'!$D$2:$F$6042,3,FALSE),"")</f>
        <v>3401500</v>
      </c>
      <c r="B348" s="17">
        <v>2020</v>
      </c>
      <c r="C348" s="21" t="s">
        <v>710</v>
      </c>
      <c r="D348" s="17">
        <v>2023</v>
      </c>
      <c r="E348" s="17" t="s">
        <v>1443</v>
      </c>
      <c r="F348" s="23">
        <v>5386755</v>
      </c>
    </row>
    <row r="349" spans="1:6" ht="16" customHeight="1" x14ac:dyDescent="0.2">
      <c r="A349">
        <f>IFERROR(VLOOKUP(C349,'GASB Match'!$D$2:$F$6042,3,FALSE),"")</f>
        <v>3401500</v>
      </c>
      <c r="B349" s="17">
        <v>2021</v>
      </c>
      <c r="C349" s="25" t="s">
        <v>710</v>
      </c>
      <c r="D349" s="17">
        <v>2023</v>
      </c>
      <c r="E349" s="17" t="s">
        <v>1443</v>
      </c>
      <c r="F349" s="23">
        <v>6844375</v>
      </c>
    </row>
    <row r="350" spans="1:6" ht="16" customHeight="1" x14ac:dyDescent="0.2">
      <c r="A350">
        <f>IFERROR(VLOOKUP(C350,'GASB Match'!$D$2:$F$6042,3,FALSE),"")</f>
        <v>3401500</v>
      </c>
      <c r="B350" s="17">
        <v>2022</v>
      </c>
      <c r="C350" s="21" t="s">
        <v>710</v>
      </c>
      <c r="D350" s="17">
        <v>2023</v>
      </c>
      <c r="E350" s="17" t="s">
        <v>1443</v>
      </c>
      <c r="F350" s="23">
        <v>10162551</v>
      </c>
    </row>
    <row r="351" spans="1:6" ht="16" customHeight="1" x14ac:dyDescent="0.2">
      <c r="A351">
        <f>IFERROR(VLOOKUP(C351,'GASB Match'!$D$2:$F$6042,3,FALSE),"")</f>
        <v>3401500</v>
      </c>
      <c r="B351" s="17">
        <v>2023</v>
      </c>
      <c r="C351" s="21" t="s">
        <v>710</v>
      </c>
      <c r="D351" s="17">
        <v>2023</v>
      </c>
      <c r="E351" s="17" t="s">
        <v>1443</v>
      </c>
      <c r="F351" s="23">
        <v>10130081</v>
      </c>
    </row>
    <row r="352" spans="1:6" ht="16" customHeight="1" x14ac:dyDescent="0.2">
      <c r="A352">
        <f>IFERROR(VLOOKUP(C352,'GASB Match'!$D$2:$F$6042,3,FALSE),"")</f>
        <v>3401500</v>
      </c>
      <c r="B352" s="28">
        <v>2017</v>
      </c>
      <c r="C352" s="29" t="s">
        <v>32</v>
      </c>
      <c r="D352" s="17">
        <v>2023</v>
      </c>
      <c r="E352" s="17" t="s">
        <v>1402</v>
      </c>
      <c r="F352" s="29">
        <v>2708886</v>
      </c>
    </row>
    <row r="353" spans="1:6" ht="16" customHeight="1" x14ac:dyDescent="0.2">
      <c r="A353">
        <f>IFERROR(VLOOKUP(C353,'GASB Match'!$D$2:$F$6042,3,FALSE),"")</f>
        <v>3401530</v>
      </c>
      <c r="B353" s="17">
        <v>2015</v>
      </c>
      <c r="C353" s="17" t="s">
        <v>612</v>
      </c>
      <c r="D353" s="17">
        <v>838</v>
      </c>
      <c r="E353" s="17" t="s">
        <v>1427</v>
      </c>
      <c r="F353" s="20">
        <v>1171087</v>
      </c>
    </row>
    <row r="354" spans="1:6" ht="16" customHeight="1" x14ac:dyDescent="0.2">
      <c r="A354">
        <f>IFERROR(VLOOKUP(C354,'GASB Match'!$D$2:$F$6042,3,FALSE),"")</f>
        <v>3401530</v>
      </c>
      <c r="B354" s="17">
        <v>2016</v>
      </c>
      <c r="C354" s="17" t="s">
        <v>612</v>
      </c>
      <c r="D354" s="17">
        <v>838</v>
      </c>
      <c r="E354" s="17" t="s">
        <v>1427</v>
      </c>
      <c r="F354" s="20">
        <v>1782485</v>
      </c>
    </row>
    <row r="355" spans="1:6" ht="16" customHeight="1" x14ac:dyDescent="0.2">
      <c r="A355">
        <f>IFERROR(VLOOKUP(C355,'GASB Match'!$D$2:$F$6042,3,FALSE),"")</f>
        <v>3401530</v>
      </c>
      <c r="B355" s="17">
        <v>2018</v>
      </c>
      <c r="C355" s="17" t="s">
        <v>1305</v>
      </c>
      <c r="D355" s="17">
        <v>838</v>
      </c>
      <c r="E355" s="17" t="s">
        <v>1470</v>
      </c>
      <c r="F355" s="20">
        <v>3407168</v>
      </c>
    </row>
    <row r="356" spans="1:6" ht="16" customHeight="1" x14ac:dyDescent="0.2">
      <c r="A356">
        <f>IFERROR(VLOOKUP(C356,'GASB Match'!$D$2:$F$6042,3,FALSE),"")</f>
        <v>3401530</v>
      </c>
      <c r="B356" s="17">
        <v>2019</v>
      </c>
      <c r="C356" s="17" t="s">
        <v>1305</v>
      </c>
      <c r="D356" s="17">
        <v>838</v>
      </c>
      <c r="E356" s="17" t="s">
        <v>1470</v>
      </c>
      <c r="F356" s="20">
        <v>4525390</v>
      </c>
    </row>
    <row r="357" spans="1:6" ht="16" customHeight="1" x14ac:dyDescent="0.2">
      <c r="A357">
        <f>IFERROR(VLOOKUP(C357,'GASB Match'!$D$2:$F$6042,3,FALSE),"")</f>
        <v>3401530</v>
      </c>
      <c r="B357" s="17">
        <v>2020</v>
      </c>
      <c r="C357" s="21" t="s">
        <v>1305</v>
      </c>
      <c r="D357" s="17">
        <v>838</v>
      </c>
      <c r="E357" s="17" t="s">
        <v>1470</v>
      </c>
      <c r="F357" s="23">
        <v>5148809</v>
      </c>
    </row>
    <row r="358" spans="1:6" ht="16" customHeight="1" x14ac:dyDescent="0.2">
      <c r="A358">
        <f>IFERROR(VLOOKUP(C358,'GASB Match'!$D$2:$F$6042,3,FALSE),"")</f>
        <v>3401530</v>
      </c>
      <c r="B358" s="17">
        <v>2021</v>
      </c>
      <c r="C358" s="25" t="s">
        <v>1305</v>
      </c>
      <c r="D358" s="17">
        <v>838</v>
      </c>
      <c r="E358" s="17" t="s">
        <v>1470</v>
      </c>
      <c r="F358" s="23">
        <v>6396887</v>
      </c>
    </row>
    <row r="359" spans="1:6" ht="16" customHeight="1" x14ac:dyDescent="0.2">
      <c r="A359">
        <f>IFERROR(VLOOKUP(C359,'GASB Match'!$D$2:$F$6042,3,FALSE),"")</f>
        <v>3401530</v>
      </c>
      <c r="B359" s="17">
        <v>2022</v>
      </c>
      <c r="C359" s="21" t="s">
        <v>1305</v>
      </c>
      <c r="D359" s="17">
        <v>838</v>
      </c>
      <c r="E359" s="17" t="s">
        <v>1470</v>
      </c>
      <c r="F359" s="23">
        <v>9413820</v>
      </c>
    </row>
    <row r="360" spans="1:6" ht="16" customHeight="1" x14ac:dyDescent="0.2">
      <c r="A360">
        <f>IFERROR(VLOOKUP(C360,'GASB Match'!$D$2:$F$6042,3,FALSE),"")</f>
        <v>3401530</v>
      </c>
      <c r="B360" s="17">
        <v>2023</v>
      </c>
      <c r="C360" s="21" t="s">
        <v>1305</v>
      </c>
      <c r="D360" s="17">
        <v>838</v>
      </c>
      <c r="E360" s="17" t="s">
        <v>1470</v>
      </c>
      <c r="F360" s="23">
        <v>9516028</v>
      </c>
    </row>
    <row r="361" spans="1:6" ht="16" customHeight="1" x14ac:dyDescent="0.2">
      <c r="A361">
        <f>IFERROR(VLOOKUP(C361,'GASB Match'!$D$2:$F$6042,3,FALSE),"")</f>
        <v>3401530</v>
      </c>
      <c r="B361" s="28">
        <v>2017</v>
      </c>
      <c r="C361" s="29" t="s">
        <v>612</v>
      </c>
      <c r="D361" s="17">
        <v>838</v>
      </c>
      <c r="E361" s="17" t="s">
        <v>1427</v>
      </c>
      <c r="F361" s="29">
        <v>2478013</v>
      </c>
    </row>
    <row r="362" spans="1:6" ht="16" customHeight="1" x14ac:dyDescent="0.2">
      <c r="A362">
        <f>IFERROR(VLOOKUP(C362,'GASB Match'!$D$2:$F$6042,3,FALSE),"")</f>
        <v>3401560</v>
      </c>
      <c r="B362" s="17">
        <v>2015</v>
      </c>
      <c r="C362" s="17" t="s">
        <v>497</v>
      </c>
      <c r="D362" s="17">
        <v>513</v>
      </c>
      <c r="E362" s="17" t="s">
        <v>1422</v>
      </c>
      <c r="F362" s="20">
        <v>676638</v>
      </c>
    </row>
    <row r="363" spans="1:6" ht="16" customHeight="1" x14ac:dyDescent="0.2">
      <c r="A363">
        <f>IFERROR(VLOOKUP(C363,'GASB Match'!$D$2:$F$6042,3,FALSE),"")</f>
        <v>3401560</v>
      </c>
      <c r="B363" s="17">
        <v>2016</v>
      </c>
      <c r="C363" s="17" t="s">
        <v>497</v>
      </c>
      <c r="D363" s="17">
        <v>513</v>
      </c>
      <c r="E363" s="17" t="s">
        <v>1422</v>
      </c>
      <c r="F363" s="20">
        <v>1032560</v>
      </c>
    </row>
    <row r="364" spans="1:6" ht="16" customHeight="1" x14ac:dyDescent="0.2">
      <c r="A364">
        <f>IFERROR(VLOOKUP(C364,'GASB Match'!$D$2:$F$6042,3,FALSE),"")</f>
        <v>3401560</v>
      </c>
      <c r="B364" s="17">
        <v>2018</v>
      </c>
      <c r="C364" s="17" t="s">
        <v>1189</v>
      </c>
      <c r="D364" s="17">
        <v>513</v>
      </c>
      <c r="E364" s="17" t="s">
        <v>1465</v>
      </c>
      <c r="F364" s="20">
        <v>1959435</v>
      </c>
    </row>
    <row r="365" spans="1:6" ht="16" customHeight="1" x14ac:dyDescent="0.2">
      <c r="A365">
        <f>IFERROR(VLOOKUP(C365,'GASB Match'!$D$2:$F$6042,3,FALSE),"")</f>
        <v>3401560</v>
      </c>
      <c r="B365" s="17">
        <v>2019</v>
      </c>
      <c r="C365" s="17" t="s">
        <v>1189</v>
      </c>
      <c r="D365" s="17">
        <v>513</v>
      </c>
      <c r="E365" s="17" t="s">
        <v>1465</v>
      </c>
      <c r="F365" s="20">
        <v>2620819</v>
      </c>
    </row>
    <row r="366" spans="1:6" ht="16" customHeight="1" x14ac:dyDescent="0.2">
      <c r="A366">
        <f>IFERROR(VLOOKUP(C366,'GASB Match'!$D$2:$F$6042,3,FALSE),"")</f>
        <v>3401560</v>
      </c>
      <c r="B366" s="17">
        <v>2020</v>
      </c>
      <c r="C366" s="21" t="s">
        <v>1189</v>
      </c>
      <c r="D366" s="17">
        <v>513</v>
      </c>
      <c r="E366" s="17" t="s">
        <v>1465</v>
      </c>
      <c r="F366" s="23">
        <v>3050701</v>
      </c>
    </row>
    <row r="367" spans="1:6" ht="16" customHeight="1" x14ac:dyDescent="0.2">
      <c r="A367">
        <f>IFERROR(VLOOKUP(C367,'GASB Match'!$D$2:$F$6042,3,FALSE),"")</f>
        <v>3401560</v>
      </c>
      <c r="B367" s="17">
        <v>2021</v>
      </c>
      <c r="C367" s="25" t="s">
        <v>1189</v>
      </c>
      <c r="D367" s="17">
        <v>513</v>
      </c>
      <c r="E367" s="17" t="s">
        <v>1465</v>
      </c>
      <c r="F367" s="23">
        <v>4254179</v>
      </c>
    </row>
    <row r="368" spans="1:6" ht="16" customHeight="1" x14ac:dyDescent="0.2">
      <c r="A368">
        <f>IFERROR(VLOOKUP(C368,'GASB Match'!$D$2:$F$6042,3,FALSE),"")</f>
        <v>3401560</v>
      </c>
      <c r="B368" s="17">
        <v>2022</v>
      </c>
      <c r="C368" s="21" t="s">
        <v>1189</v>
      </c>
      <c r="D368" s="17">
        <v>513</v>
      </c>
      <c r="E368" s="17" t="s">
        <v>1465</v>
      </c>
      <c r="F368" s="23">
        <v>6261788</v>
      </c>
    </row>
    <row r="369" spans="1:6" ht="16" customHeight="1" x14ac:dyDescent="0.2">
      <c r="A369">
        <f>IFERROR(VLOOKUP(C369,'GASB Match'!$D$2:$F$6042,3,FALSE),"")</f>
        <v>3401560</v>
      </c>
      <c r="B369" s="17">
        <v>2023</v>
      </c>
      <c r="C369" s="21" t="s">
        <v>1189</v>
      </c>
      <c r="D369" s="17">
        <v>513</v>
      </c>
      <c r="E369" s="17" t="s">
        <v>1465</v>
      </c>
      <c r="F369" s="23">
        <v>6385037</v>
      </c>
    </row>
    <row r="370" spans="1:6" ht="16" customHeight="1" x14ac:dyDescent="0.2">
      <c r="A370">
        <f>IFERROR(VLOOKUP(C370,'GASB Match'!$D$2:$F$6042,3,FALSE),"")</f>
        <v>3401560</v>
      </c>
      <c r="B370" s="28">
        <v>2017</v>
      </c>
      <c r="C370" s="29" t="s">
        <v>497</v>
      </c>
      <c r="D370" s="17">
        <v>513</v>
      </c>
      <c r="E370" s="17" t="s">
        <v>1422</v>
      </c>
      <c r="F370" s="29">
        <v>1448382</v>
      </c>
    </row>
    <row r="371" spans="1:6" ht="16" customHeight="1" x14ac:dyDescent="0.2">
      <c r="A371">
        <f>IFERROR(VLOOKUP(C371,'GASB Match'!$D$2:$F$6042,3,FALSE),"")</f>
        <v>3401590</v>
      </c>
      <c r="B371" s="17">
        <v>2015</v>
      </c>
      <c r="C371" s="17" t="s">
        <v>152</v>
      </c>
      <c r="D371" s="17">
        <v>4014</v>
      </c>
      <c r="E371" s="17" t="s">
        <v>1405</v>
      </c>
      <c r="F371" s="20">
        <v>290462</v>
      </c>
    </row>
    <row r="372" spans="1:6" ht="16" customHeight="1" x14ac:dyDescent="0.2">
      <c r="A372">
        <f>IFERROR(VLOOKUP(C372,'GASB Match'!$D$2:$F$6042,3,FALSE),"")</f>
        <v>3401590</v>
      </c>
      <c r="B372" s="17">
        <v>2016</v>
      </c>
      <c r="C372" s="17" t="s">
        <v>152</v>
      </c>
      <c r="D372" s="17">
        <v>4014</v>
      </c>
      <c r="E372" s="17" t="s">
        <v>1405</v>
      </c>
      <c r="F372" s="20">
        <v>425758</v>
      </c>
    </row>
    <row r="373" spans="1:6" ht="16" customHeight="1" x14ac:dyDescent="0.2">
      <c r="A373">
        <f>IFERROR(VLOOKUP(C373,'GASB Match'!$D$2:$F$6042,3,FALSE),"")</f>
        <v>3401590</v>
      </c>
      <c r="B373" s="17">
        <v>2018</v>
      </c>
      <c r="C373" s="17" t="s">
        <v>833</v>
      </c>
      <c r="D373" s="17">
        <v>4014</v>
      </c>
      <c r="E373" s="17" t="s">
        <v>1446</v>
      </c>
      <c r="F373" s="20">
        <v>783696</v>
      </c>
    </row>
    <row r="374" spans="1:6" ht="16" customHeight="1" x14ac:dyDescent="0.2">
      <c r="A374">
        <f>IFERROR(VLOOKUP(C374,'GASB Match'!$D$2:$F$6042,3,FALSE),"")</f>
        <v>3401590</v>
      </c>
      <c r="B374" s="17">
        <v>2019</v>
      </c>
      <c r="C374" s="17" t="s">
        <v>833</v>
      </c>
      <c r="D374" s="17">
        <v>4014</v>
      </c>
      <c r="E374" s="17" t="s">
        <v>1446</v>
      </c>
      <c r="F374" s="20">
        <v>1079056</v>
      </c>
    </row>
    <row r="375" spans="1:6" ht="16" customHeight="1" x14ac:dyDescent="0.2">
      <c r="A375">
        <f>IFERROR(VLOOKUP(C375,'GASB Match'!$D$2:$F$6042,3,FALSE),"")</f>
        <v>3401590</v>
      </c>
      <c r="B375" s="17">
        <v>2020</v>
      </c>
      <c r="C375" s="21" t="s">
        <v>833</v>
      </c>
      <c r="D375" s="17">
        <v>4014</v>
      </c>
      <c r="E375" s="17" t="s">
        <v>1446</v>
      </c>
      <c r="F375" s="23">
        <v>1164798</v>
      </c>
    </row>
    <row r="376" spans="1:6" ht="16" customHeight="1" x14ac:dyDescent="0.2">
      <c r="A376">
        <f>IFERROR(VLOOKUP(C376,'GASB Match'!$D$2:$F$6042,3,FALSE),"")</f>
        <v>3401590</v>
      </c>
      <c r="B376" s="17">
        <v>2021</v>
      </c>
      <c r="C376" s="25" t="s">
        <v>833</v>
      </c>
      <c r="D376" s="17">
        <v>4014</v>
      </c>
      <c r="E376" s="17" t="s">
        <v>1446</v>
      </c>
      <c r="F376" s="23">
        <v>1438248</v>
      </c>
    </row>
    <row r="377" spans="1:6" ht="16" customHeight="1" x14ac:dyDescent="0.2">
      <c r="A377">
        <f>IFERROR(VLOOKUP(C377,'GASB Match'!$D$2:$F$6042,3,FALSE),"")</f>
        <v>3401590</v>
      </c>
      <c r="B377" s="17">
        <v>2022</v>
      </c>
      <c r="C377" s="21" t="s">
        <v>833</v>
      </c>
      <c r="D377" s="17">
        <v>4014</v>
      </c>
      <c r="E377" s="17" t="s">
        <v>1446</v>
      </c>
      <c r="F377" s="23">
        <v>2030203</v>
      </c>
    </row>
    <row r="378" spans="1:6" ht="16" customHeight="1" x14ac:dyDescent="0.2">
      <c r="A378">
        <f>IFERROR(VLOOKUP(C378,'GASB Match'!$D$2:$F$6042,3,FALSE),"")</f>
        <v>3401590</v>
      </c>
      <c r="B378" s="17">
        <v>2023</v>
      </c>
      <c r="C378" s="21" t="s">
        <v>833</v>
      </c>
      <c r="D378" s="17">
        <v>4014</v>
      </c>
      <c r="E378" s="17" t="s">
        <v>1446</v>
      </c>
      <c r="F378" s="23">
        <v>2063216</v>
      </c>
    </row>
    <row r="379" spans="1:6" ht="16" customHeight="1" x14ac:dyDescent="0.2">
      <c r="A379">
        <f>IFERROR(VLOOKUP(C379,'GASB Match'!$D$2:$F$6042,3,FALSE),"")</f>
        <v>3401590</v>
      </c>
      <c r="B379" s="28">
        <v>2017</v>
      </c>
      <c r="C379" s="29" t="s">
        <v>152</v>
      </c>
      <c r="D379" s="17">
        <v>4014</v>
      </c>
      <c r="E379" s="17" t="s">
        <v>1405</v>
      </c>
      <c r="F379" s="29">
        <v>568834</v>
      </c>
    </row>
    <row r="380" spans="1:6" ht="16" customHeight="1" x14ac:dyDescent="0.2">
      <c r="A380">
        <f>IFERROR(VLOOKUP(C380,'GASB Match'!$D$2:$F$6042,3,FALSE),"")</f>
        <v>3401620</v>
      </c>
      <c r="B380" s="17">
        <v>2015</v>
      </c>
      <c r="C380" s="17" t="s">
        <v>153</v>
      </c>
      <c r="D380" s="17">
        <v>4015</v>
      </c>
      <c r="E380" s="17" t="s">
        <v>1405</v>
      </c>
      <c r="F380" s="20">
        <v>265858</v>
      </c>
    </row>
    <row r="381" spans="1:6" ht="16" customHeight="1" x14ac:dyDescent="0.2">
      <c r="A381">
        <f>IFERROR(VLOOKUP(C381,'GASB Match'!$D$2:$F$6042,3,FALSE),"")</f>
        <v>3401620</v>
      </c>
      <c r="B381" s="17">
        <v>2016</v>
      </c>
      <c r="C381" s="17" t="s">
        <v>153</v>
      </c>
      <c r="D381" s="17">
        <v>4015</v>
      </c>
      <c r="E381" s="17" t="s">
        <v>1405</v>
      </c>
      <c r="F381" s="20">
        <v>399888</v>
      </c>
    </row>
    <row r="382" spans="1:6" ht="16" customHeight="1" x14ac:dyDescent="0.2">
      <c r="A382">
        <f>IFERROR(VLOOKUP(C382,'GASB Match'!$D$2:$F$6042,3,FALSE),"")</f>
        <v>3401620</v>
      </c>
      <c r="B382" s="17">
        <v>2018</v>
      </c>
      <c r="C382" s="17" t="s">
        <v>834</v>
      </c>
      <c r="D382" s="17">
        <v>4015</v>
      </c>
      <c r="E382" s="17" t="s">
        <v>1446</v>
      </c>
      <c r="F382" s="20">
        <v>842173</v>
      </c>
    </row>
    <row r="383" spans="1:6" ht="16" customHeight="1" x14ac:dyDescent="0.2">
      <c r="A383">
        <f>IFERROR(VLOOKUP(C383,'GASB Match'!$D$2:$F$6042,3,FALSE),"")</f>
        <v>3401620</v>
      </c>
      <c r="B383" s="17">
        <v>2019</v>
      </c>
      <c r="C383" s="17" t="s">
        <v>834</v>
      </c>
      <c r="D383" s="17">
        <v>4015</v>
      </c>
      <c r="E383" s="17" t="s">
        <v>1446</v>
      </c>
      <c r="F383" s="20">
        <v>1063162</v>
      </c>
    </row>
    <row r="384" spans="1:6" ht="16" customHeight="1" x14ac:dyDescent="0.2">
      <c r="A384">
        <f>IFERROR(VLOOKUP(C384,'GASB Match'!$D$2:$F$6042,3,FALSE),"")</f>
        <v>3401620</v>
      </c>
      <c r="B384" s="17">
        <v>2020</v>
      </c>
      <c r="C384" s="21" t="s">
        <v>834</v>
      </c>
      <c r="D384" s="17">
        <v>4015</v>
      </c>
      <c r="E384" s="17" t="s">
        <v>1446</v>
      </c>
      <c r="F384" s="23">
        <v>1170768</v>
      </c>
    </row>
    <row r="385" spans="1:6" ht="16" customHeight="1" x14ac:dyDescent="0.2">
      <c r="A385">
        <f>IFERROR(VLOOKUP(C385,'GASB Match'!$D$2:$F$6042,3,FALSE),"")</f>
        <v>3401620</v>
      </c>
      <c r="B385" s="17">
        <v>2021</v>
      </c>
      <c r="C385" s="25" t="s">
        <v>834</v>
      </c>
      <c r="D385" s="17">
        <v>4015</v>
      </c>
      <c r="E385" s="17" t="s">
        <v>1446</v>
      </c>
      <c r="F385" s="23">
        <v>1581580</v>
      </c>
    </row>
    <row r="386" spans="1:6" ht="16" customHeight="1" x14ac:dyDescent="0.2">
      <c r="A386">
        <f>IFERROR(VLOOKUP(C386,'GASB Match'!$D$2:$F$6042,3,FALSE),"")</f>
        <v>3401620</v>
      </c>
      <c r="B386" s="17">
        <v>2022</v>
      </c>
      <c r="C386" s="21" t="s">
        <v>834</v>
      </c>
      <c r="D386" s="17">
        <v>4015</v>
      </c>
      <c r="E386" s="17" t="s">
        <v>1446</v>
      </c>
      <c r="F386" s="23">
        <v>2123265</v>
      </c>
    </row>
    <row r="387" spans="1:6" ht="16" customHeight="1" x14ac:dyDescent="0.2">
      <c r="A387">
        <f>IFERROR(VLOOKUP(C387,'GASB Match'!$D$2:$F$6042,3,FALSE),"")</f>
        <v>3401620</v>
      </c>
      <c r="B387" s="17">
        <v>2023</v>
      </c>
      <c r="C387" s="21" t="s">
        <v>834</v>
      </c>
      <c r="D387" s="17">
        <v>4015</v>
      </c>
      <c r="E387" s="17" t="s">
        <v>1446</v>
      </c>
      <c r="F387" s="23">
        <v>1926217</v>
      </c>
    </row>
    <row r="388" spans="1:6" ht="16" customHeight="1" x14ac:dyDescent="0.2">
      <c r="A388">
        <f>IFERROR(VLOOKUP(C388,'GASB Match'!$D$2:$F$6042,3,FALSE),"")</f>
        <v>3401620</v>
      </c>
      <c r="B388" s="28">
        <v>2017</v>
      </c>
      <c r="C388" s="29" t="s">
        <v>153</v>
      </c>
      <c r="D388" s="17">
        <v>4015</v>
      </c>
      <c r="E388" s="17" t="s">
        <v>1405</v>
      </c>
      <c r="F388" s="29">
        <v>574961</v>
      </c>
    </row>
    <row r="389" spans="1:6" ht="16" customHeight="1" x14ac:dyDescent="0.2">
      <c r="A389">
        <f>IFERROR(VLOOKUP(C389,'GASB Match'!$D$2:$F$6042,3,FALSE),"")</f>
        <v>3401650</v>
      </c>
      <c r="B389" s="17">
        <v>2015</v>
      </c>
      <c r="C389" s="17" t="s">
        <v>564</v>
      </c>
      <c r="D389" s="17">
        <v>742</v>
      </c>
      <c r="E389" s="17" t="s">
        <v>1425</v>
      </c>
      <c r="F389" s="20">
        <v>2034277</v>
      </c>
    </row>
    <row r="390" spans="1:6" ht="16" customHeight="1" x14ac:dyDescent="0.2">
      <c r="A390">
        <f>IFERROR(VLOOKUP(C390,'GASB Match'!$D$2:$F$6042,3,FALSE),"")</f>
        <v>3401650</v>
      </c>
      <c r="B390" s="17">
        <v>2016</v>
      </c>
      <c r="C390" s="17" t="s">
        <v>564</v>
      </c>
      <c r="D390" s="17">
        <v>742</v>
      </c>
      <c r="E390" s="17" t="s">
        <v>1425</v>
      </c>
      <c r="F390" s="20">
        <v>3041126</v>
      </c>
    </row>
    <row r="391" spans="1:6" ht="16" customHeight="1" x14ac:dyDescent="0.2">
      <c r="A391">
        <f>IFERROR(VLOOKUP(C391,'GASB Match'!$D$2:$F$6042,3,FALSE),"")</f>
        <v>3401650</v>
      </c>
      <c r="B391" s="17">
        <v>2018</v>
      </c>
      <c r="C391" s="17" t="s">
        <v>1256</v>
      </c>
      <c r="D391" s="17">
        <v>742</v>
      </c>
      <c r="E391" s="17" t="s">
        <v>1468</v>
      </c>
      <c r="F391" s="20">
        <v>5954624</v>
      </c>
    </row>
    <row r="392" spans="1:6" ht="16" customHeight="1" x14ac:dyDescent="0.2">
      <c r="A392">
        <f>IFERROR(VLOOKUP(C392,'GASB Match'!$D$2:$F$6042,3,FALSE),"")</f>
        <v>3401650</v>
      </c>
      <c r="B392" s="17">
        <v>2019</v>
      </c>
      <c r="C392" s="17" t="s">
        <v>1256</v>
      </c>
      <c r="D392" s="17">
        <v>742</v>
      </c>
      <c r="E392" s="17" t="s">
        <v>1468</v>
      </c>
      <c r="F392" s="20">
        <v>7914707</v>
      </c>
    </row>
    <row r="393" spans="1:6" ht="16" customHeight="1" x14ac:dyDescent="0.2">
      <c r="A393">
        <f>IFERROR(VLOOKUP(C393,'GASB Match'!$D$2:$F$6042,3,FALSE),"")</f>
        <v>3401650</v>
      </c>
      <c r="B393" s="17">
        <v>2020</v>
      </c>
      <c r="C393" s="21" t="s">
        <v>1256</v>
      </c>
      <c r="D393" s="17">
        <v>742</v>
      </c>
      <c r="E393" s="17" t="s">
        <v>1468</v>
      </c>
      <c r="F393" s="23">
        <v>9100441</v>
      </c>
    </row>
    <row r="394" spans="1:6" ht="16" customHeight="1" x14ac:dyDescent="0.2">
      <c r="A394">
        <f>IFERROR(VLOOKUP(C394,'GASB Match'!$D$2:$F$6042,3,FALSE),"")</f>
        <v>3401650</v>
      </c>
      <c r="B394" s="17">
        <v>2021</v>
      </c>
      <c r="C394" s="25" t="s">
        <v>1256</v>
      </c>
      <c r="D394" s="17">
        <v>742</v>
      </c>
      <c r="E394" s="17" t="s">
        <v>1468</v>
      </c>
      <c r="F394" s="23">
        <v>11676418</v>
      </c>
    </row>
    <row r="395" spans="1:6" ht="16" customHeight="1" x14ac:dyDescent="0.2">
      <c r="A395">
        <f>IFERROR(VLOOKUP(C395,'GASB Match'!$D$2:$F$6042,3,FALSE),"")</f>
        <v>3401650</v>
      </c>
      <c r="B395" s="17">
        <v>2022</v>
      </c>
      <c r="C395" s="21" t="s">
        <v>1256</v>
      </c>
      <c r="D395" s="17">
        <v>742</v>
      </c>
      <c r="E395" s="17" t="s">
        <v>1468</v>
      </c>
      <c r="F395" s="23">
        <v>16926305</v>
      </c>
    </row>
    <row r="396" spans="1:6" ht="16" customHeight="1" x14ac:dyDescent="0.2">
      <c r="A396">
        <f>IFERROR(VLOOKUP(C396,'GASB Match'!$D$2:$F$6042,3,FALSE),"")</f>
        <v>3401650</v>
      </c>
      <c r="B396" s="17">
        <v>2023</v>
      </c>
      <c r="C396" s="21" t="s">
        <v>1256</v>
      </c>
      <c r="D396" s="17">
        <v>742</v>
      </c>
      <c r="E396" s="17" t="s">
        <v>1468</v>
      </c>
      <c r="F396" s="23">
        <v>17046259</v>
      </c>
    </row>
    <row r="397" spans="1:6" ht="16" customHeight="1" x14ac:dyDescent="0.2">
      <c r="A397">
        <f>IFERROR(VLOOKUP(C397,'GASB Match'!$D$2:$F$6042,3,FALSE),"")</f>
        <v>3401650</v>
      </c>
      <c r="B397" s="28">
        <v>2017</v>
      </c>
      <c r="C397" s="29" t="s">
        <v>564</v>
      </c>
      <c r="D397" s="17">
        <v>742</v>
      </c>
      <c r="E397" s="17" t="s">
        <v>1425</v>
      </c>
      <c r="F397" s="29">
        <v>4288992</v>
      </c>
    </row>
    <row r="398" spans="1:6" ht="16" customHeight="1" x14ac:dyDescent="0.2">
      <c r="A398">
        <f>IFERROR(VLOOKUP(C398,'GASB Match'!$D$2:$F$6042,3,FALSE),"")</f>
        <v>3401710</v>
      </c>
      <c r="B398" s="17">
        <v>2015</v>
      </c>
      <c r="C398" s="17" t="s">
        <v>326</v>
      </c>
      <c r="D398" s="17">
        <v>9012</v>
      </c>
      <c r="E398" s="17" t="s">
        <v>1415</v>
      </c>
      <c r="F398" s="20">
        <v>201875</v>
      </c>
    </row>
    <row r="399" spans="1:6" ht="16" customHeight="1" x14ac:dyDescent="0.2">
      <c r="A399">
        <f>IFERROR(VLOOKUP(C399,'GASB Match'!$D$2:$F$6042,3,FALSE),"")</f>
        <v>3401710</v>
      </c>
      <c r="B399" s="17">
        <v>2016</v>
      </c>
      <c r="C399" s="17" t="s">
        <v>326</v>
      </c>
      <c r="D399" s="17">
        <v>9012</v>
      </c>
      <c r="E399" s="17" t="s">
        <v>1415</v>
      </c>
      <c r="F399" s="20">
        <v>305152</v>
      </c>
    </row>
    <row r="400" spans="1:6" ht="16" customHeight="1" x14ac:dyDescent="0.2">
      <c r="A400">
        <f>IFERROR(VLOOKUP(C400,'GASB Match'!$D$2:$F$6042,3,FALSE),"")</f>
        <v>3401710</v>
      </c>
      <c r="B400" s="17">
        <v>2018</v>
      </c>
      <c r="C400" s="17" t="s">
        <v>1019</v>
      </c>
      <c r="D400" s="17">
        <v>9012</v>
      </c>
      <c r="E400" s="17" t="s">
        <v>1458</v>
      </c>
      <c r="F400" s="20">
        <v>562237</v>
      </c>
    </row>
    <row r="401" spans="1:6" ht="16" customHeight="1" x14ac:dyDescent="0.2">
      <c r="A401">
        <f>IFERROR(VLOOKUP(C401,'GASB Match'!$D$2:$F$6042,3,FALSE),"")</f>
        <v>3401710</v>
      </c>
      <c r="B401" s="17">
        <v>2019</v>
      </c>
      <c r="C401" s="17" t="s">
        <v>1019</v>
      </c>
      <c r="D401" s="17">
        <v>9012</v>
      </c>
      <c r="E401" s="17" t="s">
        <v>1458</v>
      </c>
      <c r="F401" s="20">
        <v>716771</v>
      </c>
    </row>
    <row r="402" spans="1:6" ht="16" customHeight="1" x14ac:dyDescent="0.2">
      <c r="A402">
        <f>IFERROR(VLOOKUP(C402,'GASB Match'!$D$2:$F$6042,3,FALSE),"")</f>
        <v>3401710</v>
      </c>
      <c r="B402" s="17">
        <v>2020</v>
      </c>
      <c r="C402" s="21" t="s">
        <v>1019</v>
      </c>
      <c r="D402" s="17">
        <v>9012</v>
      </c>
      <c r="E402" s="17" t="s">
        <v>1458</v>
      </c>
      <c r="F402" s="23">
        <v>770620</v>
      </c>
    </row>
    <row r="403" spans="1:6" ht="16" customHeight="1" x14ac:dyDescent="0.2">
      <c r="A403">
        <f>IFERROR(VLOOKUP(C403,'GASB Match'!$D$2:$F$6042,3,FALSE),"")</f>
        <v>3401710</v>
      </c>
      <c r="B403" s="17">
        <v>2021</v>
      </c>
      <c r="C403" s="25" t="s">
        <v>1019</v>
      </c>
      <c r="D403" s="17">
        <v>9012</v>
      </c>
      <c r="E403" s="17" t="s">
        <v>1458</v>
      </c>
      <c r="F403" s="23">
        <v>1003593</v>
      </c>
    </row>
    <row r="404" spans="1:6" ht="16" customHeight="1" x14ac:dyDescent="0.2">
      <c r="A404">
        <f>IFERROR(VLOOKUP(C404,'GASB Match'!$D$2:$F$6042,3,FALSE),"")</f>
        <v>3401710</v>
      </c>
      <c r="B404" s="17">
        <v>2022</v>
      </c>
      <c r="C404" s="21" t="s">
        <v>1019</v>
      </c>
      <c r="D404" s="17">
        <v>9012</v>
      </c>
      <c r="E404" s="17" t="s">
        <v>1458</v>
      </c>
      <c r="F404" s="23">
        <v>1295007</v>
      </c>
    </row>
    <row r="405" spans="1:6" ht="16" customHeight="1" x14ac:dyDescent="0.2">
      <c r="A405">
        <f>IFERROR(VLOOKUP(C405,'GASB Match'!$D$2:$F$6042,3,FALSE),"")</f>
        <v>3401710</v>
      </c>
      <c r="B405" s="17">
        <v>2023</v>
      </c>
      <c r="C405" s="21" t="s">
        <v>1019</v>
      </c>
      <c r="D405" s="17">
        <v>9012</v>
      </c>
      <c r="E405" s="17" t="s">
        <v>1458</v>
      </c>
      <c r="F405" s="23">
        <v>1175923</v>
      </c>
    </row>
    <row r="406" spans="1:6" ht="16" customHeight="1" x14ac:dyDescent="0.2">
      <c r="A406">
        <f>IFERROR(VLOOKUP(C406,'GASB Match'!$D$2:$F$6042,3,FALSE),"")</f>
        <v>3401710</v>
      </c>
      <c r="B406" s="28">
        <v>2017</v>
      </c>
      <c r="C406" s="29" t="s">
        <v>326</v>
      </c>
      <c r="D406" s="17">
        <v>9012</v>
      </c>
      <c r="E406" s="17" t="s">
        <v>1415</v>
      </c>
      <c r="F406" s="29">
        <v>416199</v>
      </c>
    </row>
    <row r="407" spans="1:6" ht="16" customHeight="1" x14ac:dyDescent="0.2">
      <c r="A407">
        <f>IFERROR(VLOOKUP(C407,'GASB Match'!$D$2:$F$6042,3,FALSE),"")</f>
        <v>3401740</v>
      </c>
      <c r="B407" s="17">
        <v>2015</v>
      </c>
      <c r="C407" s="17" t="s">
        <v>107</v>
      </c>
      <c r="D407" s="17">
        <v>3012</v>
      </c>
      <c r="E407" s="17" t="s">
        <v>1404</v>
      </c>
      <c r="F407" s="20">
        <v>106417</v>
      </c>
    </row>
    <row r="408" spans="1:6" ht="16" customHeight="1" x14ac:dyDescent="0.2">
      <c r="A408">
        <f>IFERROR(VLOOKUP(C408,'GASB Match'!$D$2:$F$6042,3,FALSE),"")</f>
        <v>3401740</v>
      </c>
      <c r="B408" s="17">
        <v>2016</v>
      </c>
      <c r="C408" s="17" t="s">
        <v>107</v>
      </c>
      <c r="D408" s="17">
        <v>3012</v>
      </c>
      <c r="E408" s="17" t="s">
        <v>1404</v>
      </c>
      <c r="F408" s="20">
        <v>139005</v>
      </c>
    </row>
    <row r="409" spans="1:6" ht="16" customHeight="1" x14ac:dyDescent="0.2">
      <c r="A409">
        <f>IFERROR(VLOOKUP(C409,'GASB Match'!$D$2:$F$6042,3,FALSE),"")</f>
        <v>3401740</v>
      </c>
      <c r="B409" s="17">
        <v>2018</v>
      </c>
      <c r="C409" s="17" t="s">
        <v>788</v>
      </c>
      <c r="D409" s="17">
        <v>3012</v>
      </c>
      <c r="E409" s="17" t="s">
        <v>1445</v>
      </c>
      <c r="F409" s="20">
        <v>324727</v>
      </c>
    </row>
    <row r="410" spans="1:6" ht="16" customHeight="1" x14ac:dyDescent="0.2">
      <c r="A410">
        <f>IFERROR(VLOOKUP(C410,'GASB Match'!$D$2:$F$6042,3,FALSE),"")</f>
        <v>3401740</v>
      </c>
      <c r="B410" s="17">
        <v>2019</v>
      </c>
      <c r="C410" s="17" t="s">
        <v>788</v>
      </c>
      <c r="D410" s="17">
        <v>3012</v>
      </c>
      <c r="E410" s="17" t="s">
        <v>1445</v>
      </c>
      <c r="F410" s="20">
        <v>427401</v>
      </c>
    </row>
    <row r="411" spans="1:6" ht="16" customHeight="1" x14ac:dyDescent="0.2">
      <c r="A411">
        <f>IFERROR(VLOOKUP(C411,'GASB Match'!$D$2:$F$6042,3,FALSE),"")</f>
        <v>3401740</v>
      </c>
      <c r="B411" s="17">
        <v>2020</v>
      </c>
      <c r="C411" s="21" t="s">
        <v>788</v>
      </c>
      <c r="D411" s="17">
        <v>3012</v>
      </c>
      <c r="E411" s="17" t="s">
        <v>1445</v>
      </c>
      <c r="F411" s="23">
        <v>494046</v>
      </c>
    </row>
    <row r="412" spans="1:6" ht="16" customHeight="1" x14ac:dyDescent="0.2">
      <c r="A412">
        <f>IFERROR(VLOOKUP(C412,'GASB Match'!$D$2:$F$6042,3,FALSE),"")</f>
        <v>3401740</v>
      </c>
      <c r="B412" s="17">
        <v>2021</v>
      </c>
      <c r="C412" s="25" t="s">
        <v>788</v>
      </c>
      <c r="D412" s="17">
        <v>3012</v>
      </c>
      <c r="E412" s="17" t="s">
        <v>1445</v>
      </c>
      <c r="F412" s="23">
        <v>632742</v>
      </c>
    </row>
    <row r="413" spans="1:6" ht="16" customHeight="1" x14ac:dyDescent="0.2">
      <c r="A413">
        <f>IFERROR(VLOOKUP(C413,'GASB Match'!$D$2:$F$6042,3,FALSE),"")</f>
        <v>3401740</v>
      </c>
      <c r="B413" s="17">
        <v>2022</v>
      </c>
      <c r="C413" s="21" t="s">
        <v>788</v>
      </c>
      <c r="D413" s="17">
        <v>3012</v>
      </c>
      <c r="E413" s="17" t="s">
        <v>1445</v>
      </c>
      <c r="F413" s="23">
        <v>934928</v>
      </c>
    </row>
    <row r="414" spans="1:6" ht="16" customHeight="1" x14ac:dyDescent="0.2">
      <c r="A414">
        <f>IFERROR(VLOOKUP(C414,'GASB Match'!$D$2:$F$6042,3,FALSE),"")</f>
        <v>3401740</v>
      </c>
      <c r="B414" s="17">
        <v>2023</v>
      </c>
      <c r="C414" s="21" t="s">
        <v>788</v>
      </c>
      <c r="D414" s="17">
        <v>3012</v>
      </c>
      <c r="E414" s="17" t="s">
        <v>1445</v>
      </c>
      <c r="F414" s="23">
        <v>991945</v>
      </c>
    </row>
    <row r="415" spans="1:6" ht="16" customHeight="1" x14ac:dyDescent="0.2">
      <c r="A415">
        <f>IFERROR(VLOOKUP(C415,'GASB Match'!$D$2:$F$6042,3,FALSE),"")</f>
        <v>3401740</v>
      </c>
      <c r="B415" s="28">
        <v>2017</v>
      </c>
      <c r="C415" s="29" t="s">
        <v>107</v>
      </c>
      <c r="D415" s="17">
        <v>3012</v>
      </c>
      <c r="E415" s="17" t="s">
        <v>1404</v>
      </c>
      <c r="F415" s="29">
        <v>225513</v>
      </c>
    </row>
    <row r="416" spans="1:6" ht="16" customHeight="1" x14ac:dyDescent="0.2">
      <c r="A416">
        <f>IFERROR(VLOOKUP(C416,'GASB Match'!$D$2:$F$6042,3,FALSE),"")</f>
        <v>3401770</v>
      </c>
      <c r="B416" s="17">
        <v>2015</v>
      </c>
      <c r="C416" s="17" t="s">
        <v>154</v>
      </c>
      <c r="D416" s="17">
        <v>4025</v>
      </c>
      <c r="E416" s="17" t="s">
        <v>1405</v>
      </c>
      <c r="F416" s="20">
        <v>1231885</v>
      </c>
    </row>
    <row r="417" spans="1:6" ht="16" customHeight="1" x14ac:dyDescent="0.2">
      <c r="A417">
        <f>IFERROR(VLOOKUP(C417,'GASB Match'!$D$2:$F$6042,3,FALSE),"")</f>
        <v>3401770</v>
      </c>
      <c r="B417" s="17">
        <v>2016</v>
      </c>
      <c r="C417" s="17" t="s">
        <v>154</v>
      </c>
      <c r="D417" s="17">
        <v>4025</v>
      </c>
      <c r="E417" s="17" t="s">
        <v>1405</v>
      </c>
      <c r="F417" s="20">
        <v>1871321</v>
      </c>
    </row>
    <row r="418" spans="1:6" ht="16" customHeight="1" x14ac:dyDescent="0.2">
      <c r="A418">
        <f>IFERROR(VLOOKUP(C418,'GASB Match'!$D$2:$F$6042,3,FALSE),"")</f>
        <v>3401770</v>
      </c>
      <c r="B418" s="17">
        <v>2018</v>
      </c>
      <c r="C418" s="17" t="s">
        <v>835</v>
      </c>
      <c r="D418" s="17">
        <v>4025</v>
      </c>
      <c r="E418" s="17" t="s">
        <v>1446</v>
      </c>
      <c r="F418" s="20">
        <v>3581177</v>
      </c>
    </row>
    <row r="419" spans="1:6" ht="16" customHeight="1" x14ac:dyDescent="0.2">
      <c r="A419">
        <f>IFERROR(VLOOKUP(C419,'GASB Match'!$D$2:$F$6042,3,FALSE),"")</f>
        <v>3401770</v>
      </c>
      <c r="B419" s="17">
        <v>2019</v>
      </c>
      <c r="C419" s="17" t="s">
        <v>835</v>
      </c>
      <c r="D419" s="17">
        <v>4025</v>
      </c>
      <c r="E419" s="17" t="s">
        <v>1446</v>
      </c>
      <c r="F419" s="20">
        <v>4905839</v>
      </c>
    </row>
    <row r="420" spans="1:6" ht="16" customHeight="1" x14ac:dyDescent="0.2">
      <c r="A420">
        <f>IFERROR(VLOOKUP(C420,'GASB Match'!$D$2:$F$6042,3,FALSE),"")</f>
        <v>3401770</v>
      </c>
      <c r="B420" s="17">
        <v>2020</v>
      </c>
      <c r="C420" s="21" t="s">
        <v>835</v>
      </c>
      <c r="D420" s="17">
        <v>4025</v>
      </c>
      <c r="E420" s="17" t="s">
        <v>1446</v>
      </c>
      <c r="F420" s="23">
        <v>5479228</v>
      </c>
    </row>
    <row r="421" spans="1:6" ht="16" customHeight="1" x14ac:dyDescent="0.2">
      <c r="A421">
        <f>IFERROR(VLOOKUP(C421,'GASB Match'!$D$2:$F$6042,3,FALSE),"")</f>
        <v>3401770</v>
      </c>
      <c r="B421" s="17">
        <v>2021</v>
      </c>
      <c r="C421" s="25" t="s">
        <v>835</v>
      </c>
      <c r="D421" s="17">
        <v>4025</v>
      </c>
      <c r="E421" s="17" t="s">
        <v>1446</v>
      </c>
      <c r="F421" s="23">
        <v>7289898</v>
      </c>
    </row>
    <row r="422" spans="1:6" ht="16" customHeight="1" x14ac:dyDescent="0.2">
      <c r="A422">
        <f>IFERROR(VLOOKUP(C422,'GASB Match'!$D$2:$F$6042,3,FALSE),"")</f>
        <v>3401770</v>
      </c>
      <c r="B422" s="17">
        <v>2022</v>
      </c>
      <c r="C422" s="21" t="s">
        <v>835</v>
      </c>
      <c r="D422" s="17">
        <v>4025</v>
      </c>
      <c r="E422" s="17" t="s">
        <v>1446</v>
      </c>
      <c r="F422" s="23">
        <v>10302980</v>
      </c>
    </row>
    <row r="423" spans="1:6" ht="16" customHeight="1" x14ac:dyDescent="0.2">
      <c r="A423">
        <f>IFERROR(VLOOKUP(C423,'GASB Match'!$D$2:$F$6042,3,FALSE),"")</f>
        <v>3401770</v>
      </c>
      <c r="B423" s="17">
        <v>2023</v>
      </c>
      <c r="C423" s="21" t="s">
        <v>835</v>
      </c>
      <c r="D423" s="17">
        <v>4025</v>
      </c>
      <c r="E423" s="17" t="s">
        <v>1446</v>
      </c>
      <c r="F423" s="23">
        <v>10253414</v>
      </c>
    </row>
    <row r="424" spans="1:6" ht="16" customHeight="1" x14ac:dyDescent="0.2">
      <c r="A424">
        <f>IFERROR(VLOOKUP(C424,'GASB Match'!$D$2:$F$6042,3,FALSE),"")</f>
        <v>3401770</v>
      </c>
      <c r="B424" s="28">
        <v>2017</v>
      </c>
      <c r="C424" s="29" t="s">
        <v>154</v>
      </c>
      <c r="D424" s="17">
        <v>4025</v>
      </c>
      <c r="E424" s="17" t="s">
        <v>1405</v>
      </c>
      <c r="F424" s="29">
        <v>2614055</v>
      </c>
    </row>
    <row r="425" spans="1:6" ht="16" customHeight="1" x14ac:dyDescent="0.2">
      <c r="A425">
        <f>IFERROR(VLOOKUP(C425,'GASB Match'!$D$2:$F$6042,3,FALSE),"")</f>
        <v>3401800</v>
      </c>
      <c r="B425" s="17">
        <v>2015</v>
      </c>
      <c r="C425" s="17" t="s">
        <v>640</v>
      </c>
      <c r="D425" s="17">
        <v>914</v>
      </c>
      <c r="E425" s="17" t="s">
        <v>1429</v>
      </c>
      <c r="F425" s="20">
        <v>219076</v>
      </c>
    </row>
    <row r="426" spans="1:6" ht="16" customHeight="1" x14ac:dyDescent="0.2">
      <c r="A426">
        <f>IFERROR(VLOOKUP(C426,'GASB Match'!$D$2:$F$6042,3,FALSE),"")</f>
        <v>3401800</v>
      </c>
      <c r="B426" s="17">
        <v>2016</v>
      </c>
      <c r="C426" s="17" t="s">
        <v>640</v>
      </c>
      <c r="D426" s="17">
        <v>914</v>
      </c>
      <c r="E426" s="17" t="s">
        <v>1429</v>
      </c>
      <c r="F426" s="20">
        <v>306653</v>
      </c>
    </row>
    <row r="427" spans="1:6" ht="16" customHeight="1" x14ac:dyDescent="0.2">
      <c r="A427">
        <f>IFERROR(VLOOKUP(C427,'GASB Match'!$D$2:$F$6042,3,FALSE),"")</f>
        <v>3401800</v>
      </c>
      <c r="B427" s="17">
        <v>2018</v>
      </c>
      <c r="C427" s="17" t="s">
        <v>1333</v>
      </c>
      <c r="D427" s="17">
        <v>914</v>
      </c>
      <c r="E427" s="17" t="s">
        <v>1472</v>
      </c>
      <c r="F427" s="20">
        <v>554182</v>
      </c>
    </row>
    <row r="428" spans="1:6" ht="16" customHeight="1" x14ac:dyDescent="0.2">
      <c r="A428">
        <f>IFERROR(VLOOKUP(C428,'GASB Match'!$D$2:$F$6042,3,FALSE),"")</f>
        <v>3401800</v>
      </c>
      <c r="B428" s="17">
        <v>2019</v>
      </c>
      <c r="C428" s="17" t="s">
        <v>1333</v>
      </c>
      <c r="D428" s="17">
        <v>914</v>
      </c>
      <c r="E428" s="17" t="s">
        <v>1472</v>
      </c>
      <c r="F428" s="20">
        <v>757299</v>
      </c>
    </row>
    <row r="429" spans="1:6" ht="16" customHeight="1" x14ac:dyDescent="0.2">
      <c r="A429">
        <f>IFERROR(VLOOKUP(C429,'GASB Match'!$D$2:$F$6042,3,FALSE),"")</f>
        <v>3401800</v>
      </c>
      <c r="B429" s="17">
        <v>2020</v>
      </c>
      <c r="C429" s="21" t="s">
        <v>1333</v>
      </c>
      <c r="D429" s="17">
        <v>914</v>
      </c>
      <c r="E429" s="17" t="s">
        <v>1472</v>
      </c>
      <c r="F429" s="23">
        <v>863553</v>
      </c>
    </row>
    <row r="430" spans="1:6" ht="16" customHeight="1" x14ac:dyDescent="0.2">
      <c r="A430">
        <f>IFERROR(VLOOKUP(C430,'GASB Match'!$D$2:$F$6042,3,FALSE),"")</f>
        <v>3401800</v>
      </c>
      <c r="B430" s="17">
        <v>2021</v>
      </c>
      <c r="C430" s="25" t="s">
        <v>1333</v>
      </c>
      <c r="D430" s="17">
        <v>914</v>
      </c>
      <c r="E430" s="17" t="s">
        <v>1472</v>
      </c>
      <c r="F430" s="23">
        <v>1066848</v>
      </c>
    </row>
    <row r="431" spans="1:6" ht="16" customHeight="1" x14ac:dyDescent="0.2">
      <c r="A431">
        <f>IFERROR(VLOOKUP(C431,'GASB Match'!$D$2:$F$6042,3,FALSE),"")</f>
        <v>3401800</v>
      </c>
      <c r="B431" s="17">
        <v>2022</v>
      </c>
      <c r="C431" s="21" t="s">
        <v>1333</v>
      </c>
      <c r="D431" s="17">
        <v>914</v>
      </c>
      <c r="E431" s="17" t="s">
        <v>1472</v>
      </c>
      <c r="F431" s="23">
        <v>1330892</v>
      </c>
    </row>
    <row r="432" spans="1:6" ht="16" customHeight="1" x14ac:dyDescent="0.2">
      <c r="A432">
        <f>IFERROR(VLOOKUP(C432,'GASB Match'!$D$2:$F$6042,3,FALSE),"")</f>
        <v>3401800</v>
      </c>
      <c r="B432" s="17">
        <v>2023</v>
      </c>
      <c r="C432" s="21" t="s">
        <v>1333</v>
      </c>
      <c r="D432" s="17">
        <v>914</v>
      </c>
      <c r="E432" s="17" t="s">
        <v>1472</v>
      </c>
      <c r="F432" s="23">
        <v>1438927</v>
      </c>
    </row>
    <row r="433" spans="1:6" ht="16" customHeight="1" x14ac:dyDescent="0.2">
      <c r="A433">
        <f>IFERROR(VLOOKUP(C433,'GASB Match'!$D$2:$F$6042,3,FALSE),"")</f>
        <v>3401800</v>
      </c>
      <c r="B433" s="28">
        <v>2017</v>
      </c>
      <c r="C433" s="29" t="s">
        <v>640</v>
      </c>
      <c r="D433" s="17">
        <v>914</v>
      </c>
      <c r="E433" s="17" t="s">
        <v>1429</v>
      </c>
      <c r="F433" s="29">
        <v>423766</v>
      </c>
    </row>
    <row r="434" spans="1:6" ht="16" customHeight="1" x14ac:dyDescent="0.2">
      <c r="A434">
        <f>IFERROR(VLOOKUP(C434,'GASB Match'!$D$2:$F$6042,3,FALSE),"")</f>
        <v>3401830</v>
      </c>
      <c r="B434" s="17">
        <v>2015</v>
      </c>
      <c r="C434" s="17" t="s">
        <v>230</v>
      </c>
      <c r="D434" s="17">
        <v>6020</v>
      </c>
      <c r="E434" s="17" t="s">
        <v>1411</v>
      </c>
      <c r="F434" s="20">
        <v>2022014</v>
      </c>
    </row>
    <row r="435" spans="1:6" ht="16" customHeight="1" x14ac:dyDescent="0.2">
      <c r="A435">
        <f>IFERROR(VLOOKUP(C435,'GASB Match'!$D$2:$F$6042,3,FALSE),"")</f>
        <v>3401830</v>
      </c>
      <c r="B435" s="17">
        <v>2016</v>
      </c>
      <c r="C435" s="17" t="s">
        <v>230</v>
      </c>
      <c r="D435" s="17">
        <v>6020</v>
      </c>
      <c r="E435" s="17" t="s">
        <v>1411</v>
      </c>
      <c r="F435" s="20">
        <v>2814471</v>
      </c>
    </row>
    <row r="436" spans="1:6" ht="16" customHeight="1" x14ac:dyDescent="0.2">
      <c r="A436">
        <f>IFERROR(VLOOKUP(C436,'GASB Match'!$D$2:$F$6042,3,FALSE),"")</f>
        <v>3401830</v>
      </c>
      <c r="B436" s="17">
        <v>2018</v>
      </c>
      <c r="C436" s="17" t="s">
        <v>916</v>
      </c>
      <c r="D436" s="17">
        <v>6020</v>
      </c>
      <c r="E436" s="17" t="s">
        <v>1452</v>
      </c>
      <c r="F436" s="20">
        <v>5904066</v>
      </c>
    </row>
    <row r="437" spans="1:6" ht="16" customHeight="1" x14ac:dyDescent="0.2">
      <c r="A437">
        <f>IFERROR(VLOOKUP(C437,'GASB Match'!$D$2:$F$6042,3,FALSE),"")</f>
        <v>3401830</v>
      </c>
      <c r="B437" s="17">
        <v>2019</v>
      </c>
      <c r="C437" s="17" t="s">
        <v>916</v>
      </c>
      <c r="D437" s="17">
        <v>6020</v>
      </c>
      <c r="E437" s="17" t="s">
        <v>1452</v>
      </c>
      <c r="F437" s="20">
        <v>7940300</v>
      </c>
    </row>
    <row r="438" spans="1:6" ht="16" customHeight="1" x14ac:dyDescent="0.2">
      <c r="A438">
        <f>IFERROR(VLOOKUP(C438,'GASB Match'!$D$2:$F$6042,3,FALSE),"")</f>
        <v>3401830</v>
      </c>
      <c r="B438" s="17">
        <v>2020</v>
      </c>
      <c r="C438" s="21" t="s">
        <v>916</v>
      </c>
      <c r="D438" s="17">
        <v>6020</v>
      </c>
      <c r="E438" s="17" t="s">
        <v>1452</v>
      </c>
      <c r="F438" s="23">
        <v>9277258</v>
      </c>
    </row>
    <row r="439" spans="1:6" ht="16" customHeight="1" x14ac:dyDescent="0.2">
      <c r="A439">
        <f>IFERROR(VLOOKUP(C439,'GASB Match'!$D$2:$F$6042,3,FALSE),"")</f>
        <v>3401830</v>
      </c>
      <c r="B439" s="17">
        <v>2021</v>
      </c>
      <c r="C439" s="25" t="s">
        <v>916</v>
      </c>
      <c r="D439" s="17">
        <v>6020</v>
      </c>
      <c r="E439" s="17" t="s">
        <v>1452</v>
      </c>
      <c r="F439" s="23">
        <v>12222990</v>
      </c>
    </row>
    <row r="440" spans="1:6" ht="16" customHeight="1" x14ac:dyDescent="0.2">
      <c r="A440">
        <f>IFERROR(VLOOKUP(C440,'GASB Match'!$D$2:$F$6042,3,FALSE),"")</f>
        <v>3401830</v>
      </c>
      <c r="B440" s="17">
        <v>2022</v>
      </c>
      <c r="C440" s="21" t="s">
        <v>916</v>
      </c>
      <c r="D440" s="17">
        <v>6020</v>
      </c>
      <c r="E440" s="17" t="s">
        <v>1452</v>
      </c>
      <c r="F440" s="23">
        <v>17882412</v>
      </c>
    </row>
    <row r="441" spans="1:6" ht="16" customHeight="1" x14ac:dyDescent="0.2">
      <c r="A441">
        <f>IFERROR(VLOOKUP(C441,'GASB Match'!$D$2:$F$6042,3,FALSE),"")</f>
        <v>3401830</v>
      </c>
      <c r="B441" s="17">
        <v>2023</v>
      </c>
      <c r="C441" s="21" t="s">
        <v>916</v>
      </c>
      <c r="D441" s="17">
        <v>6020</v>
      </c>
      <c r="E441" s="17" t="s">
        <v>1452</v>
      </c>
      <c r="F441" s="23">
        <v>18335605</v>
      </c>
    </row>
    <row r="442" spans="1:6" ht="16" customHeight="1" x14ac:dyDescent="0.2">
      <c r="A442">
        <f>IFERROR(VLOOKUP(C442,'GASB Match'!$D$2:$F$6042,3,FALSE),"")</f>
        <v>3401830</v>
      </c>
      <c r="B442" s="28">
        <v>2017</v>
      </c>
      <c r="C442" s="29" t="s">
        <v>230</v>
      </c>
      <c r="D442" s="17">
        <v>6020</v>
      </c>
      <c r="E442" s="17" t="s">
        <v>1411</v>
      </c>
      <c r="F442" s="29">
        <v>4282608</v>
      </c>
    </row>
    <row r="443" spans="1:6" ht="16" customHeight="1" x14ac:dyDescent="0.2">
      <c r="A443">
        <f>IFERROR(VLOOKUP(C443,'GASB Match'!$D$2:$F$6042,3,FALSE),"")</f>
        <v>3401860</v>
      </c>
      <c r="B443" s="17">
        <v>2015</v>
      </c>
      <c r="C443" s="17" t="s">
        <v>523</v>
      </c>
      <c r="D443" s="17">
        <v>631</v>
      </c>
      <c r="E443" s="17" t="s">
        <v>1423</v>
      </c>
      <c r="F443" s="20">
        <v>233736</v>
      </c>
    </row>
    <row r="444" spans="1:6" ht="16" customHeight="1" x14ac:dyDescent="0.2">
      <c r="A444">
        <f>IFERROR(VLOOKUP(C444,'GASB Match'!$D$2:$F$6042,3,FALSE),"")</f>
        <v>3401860</v>
      </c>
      <c r="B444" s="17">
        <v>2016</v>
      </c>
      <c r="C444" s="17" t="s">
        <v>523</v>
      </c>
      <c r="D444" s="17">
        <v>631</v>
      </c>
      <c r="E444" s="17" t="s">
        <v>1423</v>
      </c>
      <c r="F444" s="20">
        <v>366250</v>
      </c>
    </row>
    <row r="445" spans="1:6" ht="16" customHeight="1" x14ac:dyDescent="0.2">
      <c r="A445">
        <f>IFERROR(VLOOKUP(C445,'GASB Match'!$D$2:$F$6042,3,FALSE),"")</f>
        <v>3401860</v>
      </c>
      <c r="B445" s="17">
        <v>2018</v>
      </c>
      <c r="C445" s="17" t="s">
        <v>1215</v>
      </c>
      <c r="D445" s="17">
        <v>631</v>
      </c>
      <c r="E445" s="17" t="s">
        <v>1466</v>
      </c>
      <c r="F445" s="20">
        <v>633859</v>
      </c>
    </row>
    <row r="446" spans="1:6" ht="16" customHeight="1" x14ac:dyDescent="0.2">
      <c r="A446">
        <f>IFERROR(VLOOKUP(C446,'GASB Match'!$D$2:$F$6042,3,FALSE),"")</f>
        <v>3401860</v>
      </c>
      <c r="B446" s="17">
        <v>2019</v>
      </c>
      <c r="C446" s="17" t="s">
        <v>1215</v>
      </c>
      <c r="D446" s="17">
        <v>631</v>
      </c>
      <c r="E446" s="17" t="s">
        <v>1466</v>
      </c>
      <c r="F446" s="20">
        <v>856449</v>
      </c>
    </row>
    <row r="447" spans="1:6" ht="16" customHeight="1" x14ac:dyDescent="0.2">
      <c r="A447">
        <f>IFERROR(VLOOKUP(C447,'GASB Match'!$D$2:$F$6042,3,FALSE),"")</f>
        <v>3401860</v>
      </c>
      <c r="B447" s="17">
        <v>2020</v>
      </c>
      <c r="C447" s="21" t="s">
        <v>1215</v>
      </c>
      <c r="D447" s="17">
        <v>631</v>
      </c>
      <c r="E447" s="17" t="s">
        <v>1466</v>
      </c>
      <c r="F447" s="23">
        <v>960281</v>
      </c>
    </row>
    <row r="448" spans="1:6" ht="16" customHeight="1" x14ac:dyDescent="0.2">
      <c r="A448">
        <f>IFERROR(VLOOKUP(C448,'GASB Match'!$D$2:$F$6042,3,FALSE),"")</f>
        <v>3401860</v>
      </c>
      <c r="B448" s="17">
        <v>2021</v>
      </c>
      <c r="C448" s="25" t="s">
        <v>1215</v>
      </c>
      <c r="D448" s="17">
        <v>631</v>
      </c>
      <c r="E448" s="17" t="s">
        <v>1466</v>
      </c>
      <c r="F448" s="23">
        <v>1188264</v>
      </c>
    </row>
    <row r="449" spans="1:6" ht="16" customHeight="1" x14ac:dyDescent="0.2">
      <c r="A449">
        <f>IFERROR(VLOOKUP(C449,'GASB Match'!$D$2:$F$6042,3,FALSE),"")</f>
        <v>3401860</v>
      </c>
      <c r="B449" s="17">
        <v>2022</v>
      </c>
      <c r="C449" s="21" t="s">
        <v>1215</v>
      </c>
      <c r="D449" s="17">
        <v>631</v>
      </c>
      <c r="E449" s="17" t="s">
        <v>1466</v>
      </c>
      <c r="F449" s="23">
        <v>1747681</v>
      </c>
    </row>
    <row r="450" spans="1:6" ht="16" customHeight="1" x14ac:dyDescent="0.2">
      <c r="A450">
        <f>IFERROR(VLOOKUP(C450,'GASB Match'!$D$2:$F$6042,3,FALSE),"")</f>
        <v>3401860</v>
      </c>
      <c r="B450" s="17">
        <v>2023</v>
      </c>
      <c r="C450" s="21" t="s">
        <v>1215</v>
      </c>
      <c r="D450" s="17">
        <v>631</v>
      </c>
      <c r="E450" s="17" t="s">
        <v>1466</v>
      </c>
      <c r="F450" s="23">
        <v>1869488</v>
      </c>
    </row>
    <row r="451" spans="1:6" ht="16" customHeight="1" x14ac:dyDescent="0.2">
      <c r="A451">
        <f>IFERROR(VLOOKUP(C451,'GASB Match'!$D$2:$F$6042,3,FALSE),"")</f>
        <v>3401860</v>
      </c>
      <c r="B451" s="28">
        <v>2017</v>
      </c>
      <c r="C451" s="29" t="s">
        <v>523</v>
      </c>
      <c r="D451" s="17">
        <v>631</v>
      </c>
      <c r="E451" s="17" t="s">
        <v>1423</v>
      </c>
      <c r="F451" s="29">
        <v>488639</v>
      </c>
    </row>
    <row r="452" spans="1:6" ht="16" customHeight="1" x14ac:dyDescent="0.2">
      <c r="A452">
        <f>IFERROR(VLOOKUP(C452,'GASB Match'!$D$2:$F$6042,3,FALSE),"")</f>
        <v>3401890</v>
      </c>
      <c r="B452" s="17">
        <v>2015</v>
      </c>
      <c r="C452" s="17" t="s">
        <v>327</v>
      </c>
      <c r="D452" s="17">
        <v>9013</v>
      </c>
      <c r="E452" s="17" t="s">
        <v>1415</v>
      </c>
      <c r="F452" s="20">
        <v>53948</v>
      </c>
    </row>
    <row r="453" spans="1:6" ht="16" customHeight="1" x14ac:dyDescent="0.2">
      <c r="A453">
        <f>IFERROR(VLOOKUP(C453,'GASB Match'!$D$2:$F$6042,3,FALSE),"")</f>
        <v>3401890</v>
      </c>
      <c r="B453" s="17">
        <v>2016</v>
      </c>
      <c r="C453" s="17" t="s">
        <v>327</v>
      </c>
      <c r="D453" s="17">
        <v>9013</v>
      </c>
      <c r="E453" s="17" t="s">
        <v>1415</v>
      </c>
      <c r="F453" s="20">
        <v>85072</v>
      </c>
    </row>
    <row r="454" spans="1:6" ht="16" customHeight="1" x14ac:dyDescent="0.2">
      <c r="A454">
        <f>IFERROR(VLOOKUP(C454,'GASB Match'!$D$2:$F$6042,3,FALSE),"")</f>
        <v>3401890</v>
      </c>
      <c r="B454" s="17">
        <v>2018</v>
      </c>
      <c r="C454" s="17" t="s">
        <v>1020</v>
      </c>
      <c r="D454" s="17">
        <v>9013</v>
      </c>
      <c r="E454" s="17" t="s">
        <v>1458</v>
      </c>
      <c r="F454" s="20">
        <v>172758</v>
      </c>
    </row>
    <row r="455" spans="1:6" ht="16" customHeight="1" x14ac:dyDescent="0.2">
      <c r="A455">
        <f>IFERROR(VLOOKUP(C455,'GASB Match'!$D$2:$F$6042,3,FALSE),"")</f>
        <v>3401890</v>
      </c>
      <c r="B455" s="17">
        <v>2019</v>
      </c>
      <c r="C455" s="17" t="s">
        <v>1020</v>
      </c>
      <c r="D455" s="17">
        <v>9013</v>
      </c>
      <c r="E455" s="17" t="s">
        <v>1458</v>
      </c>
      <c r="F455" s="20">
        <v>202048</v>
      </c>
    </row>
    <row r="456" spans="1:6" ht="16" customHeight="1" x14ac:dyDescent="0.2">
      <c r="A456">
        <f>IFERROR(VLOOKUP(C456,'GASB Match'!$D$2:$F$6042,3,FALSE),"")</f>
        <v>3401890</v>
      </c>
      <c r="B456" s="17">
        <v>2020</v>
      </c>
      <c r="C456" s="21" t="s">
        <v>1020</v>
      </c>
      <c r="D456" s="17">
        <v>9013</v>
      </c>
      <c r="E456" s="17" t="s">
        <v>1458</v>
      </c>
      <c r="F456" s="23">
        <v>202327</v>
      </c>
    </row>
    <row r="457" spans="1:6" ht="16" customHeight="1" x14ac:dyDescent="0.2">
      <c r="A457">
        <f>IFERROR(VLOOKUP(C457,'GASB Match'!$D$2:$F$6042,3,FALSE),"")</f>
        <v>3401890</v>
      </c>
      <c r="B457" s="17">
        <v>2021</v>
      </c>
      <c r="C457" s="25" t="s">
        <v>1020</v>
      </c>
      <c r="D457" s="17">
        <v>9013</v>
      </c>
      <c r="E457" s="17" t="s">
        <v>1458</v>
      </c>
      <c r="F457" s="23">
        <v>252996</v>
      </c>
    </row>
    <row r="458" spans="1:6" ht="16" customHeight="1" x14ac:dyDescent="0.2">
      <c r="A458">
        <f>IFERROR(VLOOKUP(C458,'GASB Match'!$D$2:$F$6042,3,FALSE),"")</f>
        <v>3401890</v>
      </c>
      <c r="B458" s="17">
        <v>2022</v>
      </c>
      <c r="C458" s="21" t="s">
        <v>1020</v>
      </c>
      <c r="D458" s="17">
        <v>9013</v>
      </c>
      <c r="E458" s="17" t="s">
        <v>1458</v>
      </c>
      <c r="F458" s="23">
        <v>425889</v>
      </c>
    </row>
    <row r="459" spans="1:6" ht="16" customHeight="1" x14ac:dyDescent="0.2">
      <c r="A459">
        <f>IFERROR(VLOOKUP(C459,'GASB Match'!$D$2:$F$6042,3,FALSE),"")</f>
        <v>3401890</v>
      </c>
      <c r="B459" s="17">
        <v>2023</v>
      </c>
      <c r="C459" s="21" t="s">
        <v>1020</v>
      </c>
      <c r="D459" s="17">
        <v>9013</v>
      </c>
      <c r="E459" s="17" t="s">
        <v>1458</v>
      </c>
      <c r="F459" s="23">
        <v>429251</v>
      </c>
    </row>
    <row r="460" spans="1:6" ht="16" customHeight="1" x14ac:dyDescent="0.2">
      <c r="A460">
        <f>IFERROR(VLOOKUP(C460,'GASB Match'!$D$2:$F$6042,3,FALSE),"")</f>
        <v>3401890</v>
      </c>
      <c r="B460" s="28">
        <v>2017</v>
      </c>
      <c r="C460" s="29" t="s">
        <v>327</v>
      </c>
      <c r="D460" s="17">
        <v>9013</v>
      </c>
      <c r="E460" s="17" t="s">
        <v>1415</v>
      </c>
      <c r="F460" s="29">
        <v>129897</v>
      </c>
    </row>
    <row r="461" spans="1:6" ht="16" customHeight="1" x14ac:dyDescent="0.2">
      <c r="A461">
        <f>IFERROR(VLOOKUP(C461,'GASB Match'!$D$2:$F$6042,3,FALSE),"")</f>
        <v>3401920</v>
      </c>
      <c r="B461" s="17">
        <v>2015</v>
      </c>
      <c r="C461" s="17" t="s">
        <v>33</v>
      </c>
      <c r="D461" s="17">
        <v>2024</v>
      </c>
      <c r="E461" s="17" t="s">
        <v>1402</v>
      </c>
      <c r="F461" s="20">
        <v>388144</v>
      </c>
    </row>
    <row r="462" spans="1:6" ht="16" customHeight="1" x14ac:dyDescent="0.2">
      <c r="A462">
        <f>IFERROR(VLOOKUP(C462,'GASB Match'!$D$2:$F$6042,3,FALSE),"")</f>
        <v>3401920</v>
      </c>
      <c r="B462" s="17">
        <v>2016</v>
      </c>
      <c r="C462" s="17" t="s">
        <v>33</v>
      </c>
      <c r="D462" s="17">
        <v>2024</v>
      </c>
      <c r="E462" s="17" t="s">
        <v>1402</v>
      </c>
      <c r="F462" s="20">
        <v>607999</v>
      </c>
    </row>
    <row r="463" spans="1:6" ht="16" customHeight="1" x14ac:dyDescent="0.2">
      <c r="A463">
        <f>IFERROR(VLOOKUP(C463,'GASB Match'!$D$2:$F$6042,3,FALSE),"")</f>
        <v>3401920</v>
      </c>
      <c r="B463" s="17">
        <v>2018</v>
      </c>
      <c r="C463" s="17" t="s">
        <v>711</v>
      </c>
      <c r="D463" s="17">
        <v>2024</v>
      </c>
      <c r="E463" s="17" t="s">
        <v>1443</v>
      </c>
      <c r="F463" s="20">
        <v>1145979</v>
      </c>
    </row>
    <row r="464" spans="1:6" ht="16" customHeight="1" x14ac:dyDescent="0.2">
      <c r="A464">
        <f>IFERROR(VLOOKUP(C464,'GASB Match'!$D$2:$F$6042,3,FALSE),"")</f>
        <v>3401920</v>
      </c>
      <c r="B464" s="17">
        <v>2019</v>
      </c>
      <c r="C464" s="17" t="s">
        <v>711</v>
      </c>
      <c r="D464" s="17">
        <v>2024</v>
      </c>
      <c r="E464" s="17" t="s">
        <v>1443</v>
      </c>
      <c r="F464" s="20">
        <v>1562913</v>
      </c>
    </row>
    <row r="465" spans="1:6" ht="16" customHeight="1" x14ac:dyDescent="0.2">
      <c r="A465">
        <f>IFERROR(VLOOKUP(C465,'GASB Match'!$D$2:$F$6042,3,FALSE),"")</f>
        <v>3401920</v>
      </c>
      <c r="B465" s="17">
        <v>2020</v>
      </c>
      <c r="C465" s="21" t="s">
        <v>711</v>
      </c>
      <c r="D465" s="17">
        <v>2024</v>
      </c>
      <c r="E465" s="17" t="s">
        <v>1443</v>
      </c>
      <c r="F465" s="23">
        <v>1739095</v>
      </c>
    </row>
    <row r="466" spans="1:6" ht="16" customHeight="1" x14ac:dyDescent="0.2">
      <c r="A466">
        <f>IFERROR(VLOOKUP(C466,'GASB Match'!$D$2:$F$6042,3,FALSE),"")</f>
        <v>3401920</v>
      </c>
      <c r="B466" s="17">
        <v>2021</v>
      </c>
      <c r="C466" s="25" t="s">
        <v>711</v>
      </c>
      <c r="D466" s="17">
        <v>2024</v>
      </c>
      <c r="E466" s="17" t="s">
        <v>1443</v>
      </c>
      <c r="F466" s="23">
        <v>2366599</v>
      </c>
    </row>
    <row r="467" spans="1:6" ht="16" customHeight="1" x14ac:dyDescent="0.2">
      <c r="A467">
        <f>IFERROR(VLOOKUP(C467,'GASB Match'!$D$2:$F$6042,3,FALSE),"")</f>
        <v>3401920</v>
      </c>
      <c r="B467" s="17">
        <v>2022</v>
      </c>
      <c r="C467" s="21" t="s">
        <v>711</v>
      </c>
      <c r="D467" s="17">
        <v>2024</v>
      </c>
      <c r="E467" s="17" t="s">
        <v>1443</v>
      </c>
      <c r="F467" s="23">
        <v>3448659</v>
      </c>
    </row>
    <row r="468" spans="1:6" ht="16" customHeight="1" x14ac:dyDescent="0.2">
      <c r="A468">
        <f>IFERROR(VLOOKUP(C468,'GASB Match'!$D$2:$F$6042,3,FALSE),"")</f>
        <v>3401920</v>
      </c>
      <c r="B468" s="17">
        <v>2023</v>
      </c>
      <c r="C468" s="21" t="s">
        <v>711</v>
      </c>
      <c r="D468" s="17">
        <v>2024</v>
      </c>
      <c r="E468" s="17" t="s">
        <v>1443</v>
      </c>
      <c r="F468" s="23">
        <v>3596571</v>
      </c>
    </row>
    <row r="469" spans="1:6" ht="16" customHeight="1" x14ac:dyDescent="0.2">
      <c r="A469">
        <f>IFERROR(VLOOKUP(C469,'GASB Match'!$D$2:$F$6042,3,FALSE),"")</f>
        <v>3401920</v>
      </c>
      <c r="B469" s="28">
        <v>2017</v>
      </c>
      <c r="C469" s="29" t="s">
        <v>33</v>
      </c>
      <c r="D469" s="17">
        <v>2024</v>
      </c>
      <c r="E469" s="17" t="s">
        <v>1402</v>
      </c>
      <c r="F469" s="29">
        <v>822050</v>
      </c>
    </row>
    <row r="470" spans="1:6" ht="16" customHeight="1" x14ac:dyDescent="0.2">
      <c r="A470">
        <f>IFERROR(VLOOKUP(C470,'GASB Match'!$D$2:$F$6042,3,FALSE),"")</f>
        <v>3401950</v>
      </c>
      <c r="B470" s="17">
        <v>2015</v>
      </c>
      <c r="C470" s="17" t="s">
        <v>454</v>
      </c>
      <c r="D470" s="17">
        <v>411</v>
      </c>
      <c r="E470" s="17" t="s">
        <v>1421</v>
      </c>
      <c r="F470" s="20">
        <v>543740</v>
      </c>
    </row>
    <row r="471" spans="1:6" ht="16" customHeight="1" x14ac:dyDescent="0.2">
      <c r="A471">
        <f>IFERROR(VLOOKUP(C471,'GASB Match'!$D$2:$F$6042,3,FALSE),"")</f>
        <v>3401950</v>
      </c>
      <c r="B471" s="17">
        <v>2016</v>
      </c>
      <c r="C471" s="17" t="s">
        <v>454</v>
      </c>
      <c r="D471" s="17">
        <v>411</v>
      </c>
      <c r="E471" s="17" t="s">
        <v>1421</v>
      </c>
      <c r="F471" s="20">
        <v>832832</v>
      </c>
    </row>
    <row r="472" spans="1:6" ht="16" customHeight="1" x14ac:dyDescent="0.2">
      <c r="A472">
        <f>IFERROR(VLOOKUP(C472,'GASB Match'!$D$2:$F$6042,3,FALSE),"")</f>
        <v>3401950</v>
      </c>
      <c r="B472" s="17">
        <v>2018</v>
      </c>
      <c r="C472" s="17" t="s">
        <v>1146</v>
      </c>
      <c r="D472" s="17">
        <v>411</v>
      </c>
      <c r="E472" s="17" t="s">
        <v>1464</v>
      </c>
      <c r="F472" s="20">
        <v>1692388</v>
      </c>
    </row>
    <row r="473" spans="1:6" ht="16" customHeight="1" x14ac:dyDescent="0.2">
      <c r="A473">
        <f>IFERROR(VLOOKUP(C473,'GASB Match'!$D$2:$F$6042,3,FALSE),"")</f>
        <v>3401950</v>
      </c>
      <c r="B473" s="17">
        <v>2019</v>
      </c>
      <c r="C473" s="17" t="s">
        <v>1146</v>
      </c>
      <c r="D473" s="17">
        <v>411</v>
      </c>
      <c r="E473" s="17" t="s">
        <v>1464</v>
      </c>
      <c r="F473" s="20">
        <v>2287223</v>
      </c>
    </row>
    <row r="474" spans="1:6" ht="16" customHeight="1" x14ac:dyDescent="0.2">
      <c r="A474">
        <f>IFERROR(VLOOKUP(C474,'GASB Match'!$D$2:$F$6042,3,FALSE),"")</f>
        <v>3401950</v>
      </c>
      <c r="B474" s="17">
        <v>2020</v>
      </c>
      <c r="C474" s="21" t="s">
        <v>1146</v>
      </c>
      <c r="D474" s="17">
        <v>411</v>
      </c>
      <c r="E474" s="17" t="s">
        <v>1464</v>
      </c>
      <c r="F474" s="23">
        <v>2585802</v>
      </c>
    </row>
    <row r="475" spans="1:6" ht="16" customHeight="1" x14ac:dyDescent="0.2">
      <c r="A475">
        <f>IFERROR(VLOOKUP(C475,'GASB Match'!$D$2:$F$6042,3,FALSE),"")</f>
        <v>3401950</v>
      </c>
      <c r="B475" s="17">
        <v>2021</v>
      </c>
      <c r="C475" s="25" t="s">
        <v>1146</v>
      </c>
      <c r="D475" s="17">
        <v>411</v>
      </c>
      <c r="E475" s="17" t="s">
        <v>1464</v>
      </c>
      <c r="F475" s="23">
        <v>3427163</v>
      </c>
    </row>
    <row r="476" spans="1:6" ht="16" customHeight="1" x14ac:dyDescent="0.2">
      <c r="A476">
        <f>IFERROR(VLOOKUP(C476,'GASB Match'!$D$2:$F$6042,3,FALSE),"")</f>
        <v>3401950</v>
      </c>
      <c r="B476" s="17">
        <v>2022</v>
      </c>
      <c r="C476" s="21" t="s">
        <v>1146</v>
      </c>
      <c r="D476" s="17">
        <v>411</v>
      </c>
      <c r="E476" s="17" t="s">
        <v>1464</v>
      </c>
      <c r="F476" s="23">
        <v>4964118</v>
      </c>
    </row>
    <row r="477" spans="1:6" ht="16" customHeight="1" x14ac:dyDescent="0.2">
      <c r="A477">
        <f>IFERROR(VLOOKUP(C477,'GASB Match'!$D$2:$F$6042,3,FALSE),"")</f>
        <v>3401950</v>
      </c>
      <c r="B477" s="17">
        <v>2023</v>
      </c>
      <c r="C477" s="21" t="s">
        <v>1146</v>
      </c>
      <c r="D477" s="17">
        <v>411</v>
      </c>
      <c r="E477" s="17" t="s">
        <v>1464</v>
      </c>
      <c r="F477" s="23">
        <v>5041761</v>
      </c>
    </row>
    <row r="478" spans="1:6" ht="16" customHeight="1" x14ac:dyDescent="0.2">
      <c r="A478">
        <f>IFERROR(VLOOKUP(C478,'GASB Match'!$D$2:$F$6042,3,FALSE),"")</f>
        <v>3401950</v>
      </c>
      <c r="B478" s="28">
        <v>2017</v>
      </c>
      <c r="C478" s="29" t="s">
        <v>454</v>
      </c>
      <c r="D478" s="17">
        <v>411</v>
      </c>
      <c r="E478" s="17" t="s">
        <v>1421</v>
      </c>
      <c r="F478" s="29">
        <v>1217455</v>
      </c>
    </row>
    <row r="479" spans="1:6" ht="16" customHeight="1" x14ac:dyDescent="0.2">
      <c r="A479">
        <f>IFERROR(VLOOKUP(C479,'GASB Match'!$D$2:$F$6042,3,FALSE),"")</f>
        <v>3401980</v>
      </c>
      <c r="B479" s="17">
        <v>2015</v>
      </c>
      <c r="C479" s="17" t="s">
        <v>455</v>
      </c>
      <c r="D479" s="17">
        <v>412</v>
      </c>
      <c r="E479" s="17" t="s">
        <v>1421</v>
      </c>
      <c r="F479" s="20">
        <v>194548</v>
      </c>
    </row>
    <row r="480" spans="1:6" ht="16" customHeight="1" x14ac:dyDescent="0.2">
      <c r="A480">
        <f>IFERROR(VLOOKUP(C480,'GASB Match'!$D$2:$F$6042,3,FALSE),"")</f>
        <v>3401980</v>
      </c>
      <c r="B480" s="17">
        <v>2016</v>
      </c>
      <c r="C480" s="17" t="s">
        <v>455</v>
      </c>
      <c r="D480" s="17">
        <v>412</v>
      </c>
      <c r="E480" s="17" t="s">
        <v>1421</v>
      </c>
      <c r="F480" s="20">
        <v>283932</v>
      </c>
    </row>
    <row r="481" spans="1:6" ht="16" customHeight="1" x14ac:dyDescent="0.2">
      <c r="A481">
        <f>IFERROR(VLOOKUP(C481,'GASB Match'!$D$2:$F$6042,3,FALSE),"")</f>
        <v>3401980</v>
      </c>
      <c r="B481" s="17">
        <v>2018</v>
      </c>
      <c r="C481" s="17" t="s">
        <v>1147</v>
      </c>
      <c r="D481" s="17">
        <v>412</v>
      </c>
      <c r="E481" s="17" t="s">
        <v>1464</v>
      </c>
      <c r="F481" s="20">
        <v>555962</v>
      </c>
    </row>
    <row r="482" spans="1:6" ht="16" customHeight="1" x14ac:dyDescent="0.2">
      <c r="A482">
        <f>IFERROR(VLOOKUP(C482,'GASB Match'!$D$2:$F$6042,3,FALSE),"")</f>
        <v>3401980</v>
      </c>
      <c r="B482" s="17">
        <v>2019</v>
      </c>
      <c r="C482" s="17" t="s">
        <v>1147</v>
      </c>
      <c r="D482" s="17">
        <v>412</v>
      </c>
      <c r="E482" s="17" t="s">
        <v>1464</v>
      </c>
      <c r="F482" s="20">
        <v>697333</v>
      </c>
    </row>
    <row r="483" spans="1:6" ht="16" customHeight="1" x14ac:dyDescent="0.2">
      <c r="A483">
        <f>IFERROR(VLOOKUP(C483,'GASB Match'!$D$2:$F$6042,3,FALSE),"")</f>
        <v>3401980</v>
      </c>
      <c r="B483" s="17">
        <v>2020</v>
      </c>
      <c r="C483" s="21" t="s">
        <v>1147</v>
      </c>
      <c r="D483" s="17">
        <v>412</v>
      </c>
      <c r="E483" s="17" t="s">
        <v>1464</v>
      </c>
      <c r="F483" s="23">
        <v>783772</v>
      </c>
    </row>
    <row r="484" spans="1:6" ht="16" customHeight="1" x14ac:dyDescent="0.2">
      <c r="A484">
        <f>IFERROR(VLOOKUP(C484,'GASB Match'!$D$2:$F$6042,3,FALSE),"")</f>
        <v>3401980</v>
      </c>
      <c r="B484" s="17">
        <v>2021</v>
      </c>
      <c r="C484" s="25" t="s">
        <v>1147</v>
      </c>
      <c r="D484" s="17">
        <v>412</v>
      </c>
      <c r="E484" s="17" t="s">
        <v>1464</v>
      </c>
      <c r="F484" s="23">
        <v>1001182</v>
      </c>
    </row>
    <row r="485" spans="1:6" ht="16" customHeight="1" x14ac:dyDescent="0.2">
      <c r="A485">
        <f>IFERROR(VLOOKUP(C485,'GASB Match'!$D$2:$F$6042,3,FALSE),"")</f>
        <v>3401980</v>
      </c>
      <c r="B485" s="17">
        <v>2022</v>
      </c>
      <c r="C485" s="21" t="s">
        <v>1147</v>
      </c>
      <c r="D485" s="17">
        <v>412</v>
      </c>
      <c r="E485" s="17" t="s">
        <v>1464</v>
      </c>
      <c r="F485" s="23">
        <v>1404689</v>
      </c>
    </row>
    <row r="486" spans="1:6" ht="16" customHeight="1" x14ac:dyDescent="0.2">
      <c r="A486">
        <f>IFERROR(VLOOKUP(C486,'GASB Match'!$D$2:$F$6042,3,FALSE),"")</f>
        <v>3401980</v>
      </c>
      <c r="B486" s="17">
        <v>2023</v>
      </c>
      <c r="C486" s="21" t="s">
        <v>1147</v>
      </c>
      <c r="D486" s="17">
        <v>412</v>
      </c>
      <c r="E486" s="17" t="s">
        <v>1464</v>
      </c>
      <c r="F486" s="23">
        <v>1429698</v>
      </c>
    </row>
    <row r="487" spans="1:6" ht="16" customHeight="1" x14ac:dyDescent="0.2">
      <c r="A487">
        <f>IFERROR(VLOOKUP(C487,'GASB Match'!$D$2:$F$6042,3,FALSE),"")</f>
        <v>3401980</v>
      </c>
      <c r="B487" s="28">
        <v>2017</v>
      </c>
      <c r="C487" s="29" t="s">
        <v>455</v>
      </c>
      <c r="D487" s="17">
        <v>412</v>
      </c>
      <c r="E487" s="17" t="s">
        <v>1421</v>
      </c>
      <c r="F487" s="29">
        <v>375760</v>
      </c>
    </row>
    <row r="488" spans="1:6" ht="16" customHeight="1" x14ac:dyDescent="0.2">
      <c r="A488">
        <f>IFERROR(VLOOKUP(C488,'GASB Match'!$D$2:$F$6042,3,FALSE),"")</f>
        <v>3402030</v>
      </c>
      <c r="B488" s="17">
        <v>2015</v>
      </c>
      <c r="C488" s="17" t="s">
        <v>108</v>
      </c>
      <c r="D488" s="17">
        <v>3001</v>
      </c>
      <c r="E488" s="17" t="s">
        <v>1404</v>
      </c>
      <c r="F488" s="20">
        <v>790930</v>
      </c>
    </row>
    <row r="489" spans="1:6" ht="16" customHeight="1" x14ac:dyDescent="0.2">
      <c r="A489">
        <f>IFERROR(VLOOKUP(C489,'GASB Match'!$D$2:$F$6042,3,FALSE),"")</f>
        <v>3402030</v>
      </c>
      <c r="B489" s="17">
        <v>2016</v>
      </c>
      <c r="C489" s="17" t="s">
        <v>108</v>
      </c>
      <c r="D489" s="17">
        <v>3001</v>
      </c>
      <c r="E489" s="17" t="s">
        <v>1404</v>
      </c>
      <c r="F489" s="20">
        <v>1212474</v>
      </c>
    </row>
    <row r="490" spans="1:6" ht="16" customHeight="1" x14ac:dyDescent="0.2">
      <c r="A490">
        <f>IFERROR(VLOOKUP(C490,'GASB Match'!$D$2:$F$6042,3,FALSE),"")</f>
        <v>3402030</v>
      </c>
      <c r="B490" s="17">
        <v>2018</v>
      </c>
      <c r="C490" s="17" t="s">
        <v>789</v>
      </c>
      <c r="D490" s="17">
        <v>3001</v>
      </c>
      <c r="E490" s="17" t="s">
        <v>1445</v>
      </c>
      <c r="F490" s="20">
        <v>2288095</v>
      </c>
    </row>
    <row r="491" spans="1:6" ht="16" customHeight="1" x14ac:dyDescent="0.2">
      <c r="A491">
        <f>IFERROR(VLOOKUP(C491,'GASB Match'!$D$2:$F$6042,3,FALSE),"")</f>
        <v>3402030</v>
      </c>
      <c r="B491" s="17">
        <v>2019</v>
      </c>
      <c r="C491" s="17" t="s">
        <v>789</v>
      </c>
      <c r="D491" s="17">
        <v>3001</v>
      </c>
      <c r="E491" s="17" t="s">
        <v>1445</v>
      </c>
      <c r="F491" s="20">
        <v>3055062</v>
      </c>
    </row>
    <row r="492" spans="1:6" ht="16" customHeight="1" x14ac:dyDescent="0.2">
      <c r="A492">
        <f>IFERROR(VLOOKUP(C492,'GASB Match'!$D$2:$F$6042,3,FALSE),"")</f>
        <v>3402030</v>
      </c>
      <c r="B492" s="17">
        <v>2020</v>
      </c>
      <c r="C492" s="21" t="s">
        <v>789</v>
      </c>
      <c r="D492" s="17">
        <v>3001</v>
      </c>
      <c r="E492" s="17" t="s">
        <v>1445</v>
      </c>
      <c r="F492" s="23">
        <v>3504980</v>
      </c>
    </row>
    <row r="493" spans="1:6" ht="16" customHeight="1" x14ac:dyDescent="0.2">
      <c r="A493">
        <f>IFERROR(VLOOKUP(C493,'GASB Match'!$D$2:$F$6042,3,FALSE),"")</f>
        <v>3402030</v>
      </c>
      <c r="B493" s="17">
        <v>2021</v>
      </c>
      <c r="C493" s="25" t="s">
        <v>789</v>
      </c>
      <c r="D493" s="17">
        <v>3001</v>
      </c>
      <c r="E493" s="17" t="s">
        <v>1445</v>
      </c>
      <c r="F493" s="23">
        <v>4419255</v>
      </c>
    </row>
    <row r="494" spans="1:6" ht="16" customHeight="1" x14ac:dyDescent="0.2">
      <c r="A494">
        <f>IFERROR(VLOOKUP(C494,'GASB Match'!$D$2:$F$6042,3,FALSE),"")</f>
        <v>3402030</v>
      </c>
      <c r="B494" s="17">
        <v>2022</v>
      </c>
      <c r="C494" s="21" t="s">
        <v>789</v>
      </c>
      <c r="D494" s="17">
        <v>3001</v>
      </c>
      <c r="E494" s="17" t="s">
        <v>1445</v>
      </c>
      <c r="F494" s="23">
        <v>6645162</v>
      </c>
    </row>
    <row r="495" spans="1:6" ht="16" customHeight="1" x14ac:dyDescent="0.2">
      <c r="A495">
        <f>IFERROR(VLOOKUP(C495,'GASB Match'!$D$2:$F$6042,3,FALSE),"")</f>
        <v>3402030</v>
      </c>
      <c r="B495" s="17">
        <v>2023</v>
      </c>
      <c r="C495" s="21" t="s">
        <v>789</v>
      </c>
      <c r="D495" s="17">
        <v>3001</v>
      </c>
      <c r="E495" s="17" t="s">
        <v>1445</v>
      </c>
      <c r="F495" s="23">
        <v>6735815</v>
      </c>
    </row>
    <row r="496" spans="1:6" ht="16" customHeight="1" x14ac:dyDescent="0.2">
      <c r="A496">
        <f>IFERROR(VLOOKUP(C496,'GASB Match'!$D$2:$F$6042,3,FALSE),"")</f>
        <v>3402030</v>
      </c>
      <c r="B496" s="28">
        <v>2017</v>
      </c>
      <c r="C496" s="29" t="s">
        <v>108</v>
      </c>
      <c r="D496" s="17">
        <v>3001</v>
      </c>
      <c r="E496" s="17" t="s">
        <v>1404</v>
      </c>
      <c r="F496" s="29">
        <v>1788301</v>
      </c>
    </row>
    <row r="497" spans="1:6" ht="16" customHeight="1" x14ac:dyDescent="0.2">
      <c r="A497">
        <f>IFERROR(VLOOKUP(C497,'GASB Match'!$D$2:$F$6042,3,FALSE),"")</f>
        <v>3402100</v>
      </c>
      <c r="B497" s="17">
        <v>2015</v>
      </c>
      <c r="C497" s="17" t="s">
        <v>565</v>
      </c>
      <c r="D497" s="17">
        <v>743</v>
      </c>
      <c r="E497" s="17" t="s">
        <v>1425</v>
      </c>
      <c r="F497" s="20">
        <v>504491</v>
      </c>
    </row>
    <row r="498" spans="1:6" ht="16" customHeight="1" x14ac:dyDescent="0.2">
      <c r="A498">
        <f>IFERROR(VLOOKUP(C498,'GASB Match'!$D$2:$F$6042,3,FALSE),"")</f>
        <v>3402100</v>
      </c>
      <c r="B498" s="17">
        <v>2016</v>
      </c>
      <c r="C498" s="17" t="s">
        <v>565</v>
      </c>
      <c r="D498" s="17">
        <v>743</v>
      </c>
      <c r="E498" s="17" t="s">
        <v>1425</v>
      </c>
      <c r="F498" s="20">
        <v>827534</v>
      </c>
    </row>
    <row r="499" spans="1:6" ht="16" customHeight="1" x14ac:dyDescent="0.2">
      <c r="A499">
        <f>IFERROR(VLOOKUP(C499,'GASB Match'!$D$2:$F$6042,3,FALSE),"")</f>
        <v>3402100</v>
      </c>
      <c r="B499" s="17">
        <v>2018</v>
      </c>
      <c r="C499" s="17" t="s">
        <v>1257</v>
      </c>
      <c r="D499" s="17">
        <v>743</v>
      </c>
      <c r="E499" s="17" t="s">
        <v>1468</v>
      </c>
      <c r="F499" s="20">
        <v>1693848</v>
      </c>
    </row>
    <row r="500" spans="1:6" ht="16" customHeight="1" x14ac:dyDescent="0.2">
      <c r="A500">
        <f>IFERROR(VLOOKUP(C500,'GASB Match'!$D$2:$F$6042,3,FALSE),"")</f>
        <v>3402100</v>
      </c>
      <c r="B500" s="17">
        <v>2019</v>
      </c>
      <c r="C500" s="17" t="s">
        <v>1257</v>
      </c>
      <c r="D500" s="17">
        <v>743</v>
      </c>
      <c r="E500" s="17" t="s">
        <v>1468</v>
      </c>
      <c r="F500" s="20">
        <v>2307724</v>
      </c>
    </row>
    <row r="501" spans="1:6" ht="16" customHeight="1" x14ac:dyDescent="0.2">
      <c r="A501">
        <f>IFERROR(VLOOKUP(C501,'GASB Match'!$D$2:$F$6042,3,FALSE),"")</f>
        <v>3402100</v>
      </c>
      <c r="B501" s="17">
        <v>2020</v>
      </c>
      <c r="C501" s="21" t="s">
        <v>1257</v>
      </c>
      <c r="D501" s="17">
        <v>743</v>
      </c>
      <c r="E501" s="17" t="s">
        <v>1468</v>
      </c>
      <c r="F501" s="23">
        <v>2504422</v>
      </c>
    </row>
    <row r="502" spans="1:6" ht="16" customHeight="1" x14ac:dyDescent="0.2">
      <c r="A502">
        <f>IFERROR(VLOOKUP(C502,'GASB Match'!$D$2:$F$6042,3,FALSE),"")</f>
        <v>3402100</v>
      </c>
      <c r="B502" s="17">
        <v>2021</v>
      </c>
      <c r="C502" s="25" t="s">
        <v>1257</v>
      </c>
      <c r="D502" s="17">
        <v>743</v>
      </c>
      <c r="E502" s="17" t="s">
        <v>1468</v>
      </c>
      <c r="F502" s="23">
        <v>3607932</v>
      </c>
    </row>
    <row r="503" spans="1:6" ht="16" customHeight="1" x14ac:dyDescent="0.2">
      <c r="A503">
        <f>IFERROR(VLOOKUP(C503,'GASB Match'!$D$2:$F$6042,3,FALSE),"")</f>
        <v>3402100</v>
      </c>
      <c r="B503" s="17">
        <v>2022</v>
      </c>
      <c r="C503" s="21" t="s">
        <v>1257</v>
      </c>
      <c r="D503" s="17">
        <v>743</v>
      </c>
      <c r="E503" s="17" t="s">
        <v>1468</v>
      </c>
      <c r="F503" s="23">
        <v>5532114</v>
      </c>
    </row>
    <row r="504" spans="1:6" ht="16" customHeight="1" x14ac:dyDescent="0.2">
      <c r="A504">
        <f>IFERROR(VLOOKUP(C504,'GASB Match'!$D$2:$F$6042,3,FALSE),"")</f>
        <v>3402100</v>
      </c>
      <c r="B504" s="17">
        <v>2023</v>
      </c>
      <c r="C504" s="21" t="s">
        <v>1257</v>
      </c>
      <c r="D504" s="17">
        <v>743</v>
      </c>
      <c r="E504" s="17" t="s">
        <v>1468</v>
      </c>
      <c r="F504" s="23">
        <v>5567619</v>
      </c>
    </row>
    <row r="505" spans="1:6" ht="16" customHeight="1" x14ac:dyDescent="0.2">
      <c r="A505">
        <f>IFERROR(VLOOKUP(C505,'GASB Match'!$D$2:$F$6042,3,FALSE),"")</f>
        <v>3402100</v>
      </c>
      <c r="B505" s="28">
        <v>2017</v>
      </c>
      <c r="C505" s="29" t="s">
        <v>565</v>
      </c>
      <c r="D505" s="17">
        <v>743</v>
      </c>
      <c r="E505" s="17" t="s">
        <v>1425</v>
      </c>
      <c r="F505" s="29">
        <v>1178083</v>
      </c>
    </row>
    <row r="506" spans="1:6" ht="16" customHeight="1" x14ac:dyDescent="0.2">
      <c r="A506">
        <f>IFERROR(VLOOKUP(C506,'GASB Match'!$D$2:$F$6042,3,FALSE),"")</f>
        <v>3402130</v>
      </c>
      <c r="B506" s="17">
        <v>2015</v>
      </c>
      <c r="C506" s="17" t="s">
        <v>405</v>
      </c>
      <c r="D506" s="17">
        <v>325</v>
      </c>
      <c r="E506" s="17" t="s">
        <v>1420</v>
      </c>
      <c r="F506" s="20">
        <v>130376</v>
      </c>
    </row>
    <row r="507" spans="1:6" ht="16" customHeight="1" x14ac:dyDescent="0.2">
      <c r="A507">
        <f>IFERROR(VLOOKUP(C507,'GASB Match'!$D$2:$F$6042,3,FALSE),"")</f>
        <v>3402130</v>
      </c>
      <c r="B507" s="17">
        <v>2016</v>
      </c>
      <c r="C507" s="17" t="s">
        <v>405</v>
      </c>
      <c r="D507" s="17">
        <v>325</v>
      </c>
      <c r="E507" s="17" t="s">
        <v>1420</v>
      </c>
      <c r="F507" s="20">
        <v>204263</v>
      </c>
    </row>
    <row r="508" spans="1:6" ht="16" customHeight="1" x14ac:dyDescent="0.2">
      <c r="A508">
        <f>IFERROR(VLOOKUP(C508,'GASB Match'!$D$2:$F$6042,3,FALSE),"")</f>
        <v>3402130</v>
      </c>
      <c r="B508" s="17">
        <v>2018</v>
      </c>
      <c r="C508" s="17" t="s">
        <v>1097</v>
      </c>
      <c r="D508" s="17">
        <v>325</v>
      </c>
      <c r="E508" s="17" t="s">
        <v>1463</v>
      </c>
      <c r="F508" s="20">
        <v>372423</v>
      </c>
    </row>
    <row r="509" spans="1:6" ht="16" customHeight="1" x14ac:dyDescent="0.2">
      <c r="A509">
        <f>IFERROR(VLOOKUP(C509,'GASB Match'!$D$2:$F$6042,3,FALSE),"")</f>
        <v>3402130</v>
      </c>
      <c r="B509" s="17">
        <v>2019</v>
      </c>
      <c r="C509" s="17" t="s">
        <v>1097</v>
      </c>
      <c r="D509" s="17">
        <v>325</v>
      </c>
      <c r="E509" s="17" t="s">
        <v>1463</v>
      </c>
      <c r="F509" s="20">
        <v>558342</v>
      </c>
    </row>
    <row r="510" spans="1:6" ht="16" customHeight="1" x14ac:dyDescent="0.2">
      <c r="A510">
        <f>IFERROR(VLOOKUP(C510,'GASB Match'!$D$2:$F$6042,3,FALSE),"")</f>
        <v>3402130</v>
      </c>
      <c r="B510" s="17">
        <v>2020</v>
      </c>
      <c r="C510" s="21" t="s">
        <v>1097</v>
      </c>
      <c r="D510" s="17">
        <v>325</v>
      </c>
      <c r="E510" s="17" t="s">
        <v>1463</v>
      </c>
      <c r="F510" s="23">
        <v>599144</v>
      </c>
    </row>
    <row r="511" spans="1:6" ht="16" customHeight="1" x14ac:dyDescent="0.2">
      <c r="A511">
        <f>IFERROR(VLOOKUP(C511,'GASB Match'!$D$2:$F$6042,3,FALSE),"")</f>
        <v>3402130</v>
      </c>
      <c r="B511" s="17">
        <v>2021</v>
      </c>
      <c r="C511" s="25" t="s">
        <v>1097</v>
      </c>
      <c r="D511" s="17">
        <v>325</v>
      </c>
      <c r="E511" s="17" t="s">
        <v>1463</v>
      </c>
      <c r="F511" s="23">
        <v>738825</v>
      </c>
    </row>
    <row r="512" spans="1:6" ht="16" customHeight="1" x14ac:dyDescent="0.2">
      <c r="A512">
        <f>IFERROR(VLOOKUP(C512,'GASB Match'!$D$2:$F$6042,3,FALSE),"")</f>
        <v>3402130</v>
      </c>
      <c r="B512" s="17">
        <v>2022</v>
      </c>
      <c r="C512" s="21" t="s">
        <v>1097</v>
      </c>
      <c r="D512" s="17">
        <v>325</v>
      </c>
      <c r="E512" s="17" t="s">
        <v>1463</v>
      </c>
      <c r="F512" s="23">
        <v>1063526</v>
      </c>
    </row>
    <row r="513" spans="1:6" ht="16" customHeight="1" x14ac:dyDescent="0.2">
      <c r="A513">
        <f>IFERROR(VLOOKUP(C513,'GASB Match'!$D$2:$F$6042,3,FALSE),"")</f>
        <v>3402130</v>
      </c>
      <c r="B513" s="17">
        <v>2023</v>
      </c>
      <c r="C513" s="21" t="s">
        <v>1097</v>
      </c>
      <c r="D513" s="17">
        <v>325</v>
      </c>
      <c r="E513" s="17" t="s">
        <v>1463</v>
      </c>
      <c r="F513" s="23">
        <v>1023013</v>
      </c>
    </row>
    <row r="514" spans="1:6" ht="16" customHeight="1" x14ac:dyDescent="0.2">
      <c r="A514">
        <f>IFERROR(VLOOKUP(C514,'GASB Match'!$D$2:$F$6042,3,FALSE),"")</f>
        <v>3402130</v>
      </c>
      <c r="B514" s="28">
        <v>2017</v>
      </c>
      <c r="C514" s="29" t="s">
        <v>405</v>
      </c>
      <c r="D514" s="17">
        <v>325</v>
      </c>
      <c r="E514" s="17" t="s">
        <v>1420</v>
      </c>
      <c r="F514" s="29">
        <v>266840</v>
      </c>
    </row>
    <row r="515" spans="1:6" ht="16" customHeight="1" x14ac:dyDescent="0.2">
      <c r="A515">
        <f>IFERROR(VLOOKUP(C515,'GASB Match'!$D$2:$F$6042,3,FALSE),"")</f>
        <v>3402160</v>
      </c>
      <c r="B515" s="17">
        <v>2015</v>
      </c>
      <c r="C515" s="17" t="s">
        <v>566</v>
      </c>
      <c r="D515" s="17">
        <v>744</v>
      </c>
      <c r="E515" s="17" t="s">
        <v>1425</v>
      </c>
      <c r="F515" s="20">
        <v>703280</v>
      </c>
    </row>
    <row r="516" spans="1:6" ht="16" customHeight="1" x14ac:dyDescent="0.2">
      <c r="A516">
        <f>IFERROR(VLOOKUP(C516,'GASB Match'!$D$2:$F$6042,3,FALSE),"")</f>
        <v>3402160</v>
      </c>
      <c r="B516" s="17">
        <v>2016</v>
      </c>
      <c r="C516" s="17" t="s">
        <v>566</v>
      </c>
      <c r="D516" s="17">
        <v>744</v>
      </c>
      <c r="E516" s="17" t="s">
        <v>1425</v>
      </c>
      <c r="F516" s="20">
        <v>1021048</v>
      </c>
    </row>
    <row r="517" spans="1:6" ht="16" customHeight="1" x14ac:dyDescent="0.2">
      <c r="A517">
        <f>IFERROR(VLOOKUP(C517,'GASB Match'!$D$2:$F$6042,3,FALSE),"")</f>
        <v>3402160</v>
      </c>
      <c r="B517" s="17">
        <v>2018</v>
      </c>
      <c r="C517" s="17" t="s">
        <v>1258</v>
      </c>
      <c r="D517" s="17">
        <v>744</v>
      </c>
      <c r="E517" s="17" t="s">
        <v>1468</v>
      </c>
      <c r="F517" s="20">
        <v>1899426</v>
      </c>
    </row>
    <row r="518" spans="1:6" ht="16" customHeight="1" x14ac:dyDescent="0.2">
      <c r="A518">
        <f>IFERROR(VLOOKUP(C518,'GASB Match'!$D$2:$F$6042,3,FALSE),"")</f>
        <v>3402160</v>
      </c>
      <c r="B518" s="17">
        <v>2019</v>
      </c>
      <c r="C518" s="17" t="s">
        <v>1258</v>
      </c>
      <c r="D518" s="17">
        <v>744</v>
      </c>
      <c r="E518" s="17" t="s">
        <v>1468</v>
      </c>
      <c r="F518" s="20">
        <v>2490664</v>
      </c>
    </row>
    <row r="519" spans="1:6" ht="16" customHeight="1" x14ac:dyDescent="0.2">
      <c r="A519">
        <f>IFERROR(VLOOKUP(C519,'GASB Match'!$D$2:$F$6042,3,FALSE),"")</f>
        <v>3402160</v>
      </c>
      <c r="B519" s="17">
        <v>2020</v>
      </c>
      <c r="C519" s="21" t="s">
        <v>1258</v>
      </c>
      <c r="D519" s="17">
        <v>744</v>
      </c>
      <c r="E519" s="17" t="s">
        <v>1468</v>
      </c>
      <c r="F519" s="23">
        <v>2790482</v>
      </c>
    </row>
    <row r="520" spans="1:6" ht="16" customHeight="1" x14ac:dyDescent="0.2">
      <c r="A520">
        <f>IFERROR(VLOOKUP(C520,'GASB Match'!$D$2:$F$6042,3,FALSE),"")</f>
        <v>3402160</v>
      </c>
      <c r="B520" s="17">
        <v>2021</v>
      </c>
      <c r="C520" s="25" t="s">
        <v>1258</v>
      </c>
      <c r="D520" s="17">
        <v>744</v>
      </c>
      <c r="E520" s="17" t="s">
        <v>1468</v>
      </c>
      <c r="F520" s="23">
        <v>3593205</v>
      </c>
    </row>
    <row r="521" spans="1:6" ht="16" customHeight="1" x14ac:dyDescent="0.2">
      <c r="A521">
        <f>IFERROR(VLOOKUP(C521,'GASB Match'!$D$2:$F$6042,3,FALSE),"")</f>
        <v>3402160</v>
      </c>
      <c r="B521" s="17">
        <v>2022</v>
      </c>
      <c r="C521" s="21" t="s">
        <v>1258</v>
      </c>
      <c r="D521" s="17">
        <v>744</v>
      </c>
      <c r="E521" s="17" t="s">
        <v>1468</v>
      </c>
      <c r="F521" s="23">
        <v>5064353</v>
      </c>
    </row>
    <row r="522" spans="1:6" ht="16" customHeight="1" x14ac:dyDescent="0.2">
      <c r="A522">
        <f>IFERROR(VLOOKUP(C522,'GASB Match'!$D$2:$F$6042,3,FALSE),"")</f>
        <v>3402160</v>
      </c>
      <c r="B522" s="17">
        <v>2023</v>
      </c>
      <c r="C522" s="21" t="s">
        <v>1258</v>
      </c>
      <c r="D522" s="17">
        <v>744</v>
      </c>
      <c r="E522" s="17" t="s">
        <v>1468</v>
      </c>
      <c r="F522" s="23">
        <v>4936884</v>
      </c>
    </row>
    <row r="523" spans="1:6" ht="16" customHeight="1" x14ac:dyDescent="0.2">
      <c r="A523">
        <f>IFERROR(VLOOKUP(C523,'GASB Match'!$D$2:$F$6042,3,FALSE),"")</f>
        <v>3402160</v>
      </c>
      <c r="B523" s="28">
        <v>2017</v>
      </c>
      <c r="C523" s="29" t="s">
        <v>566</v>
      </c>
      <c r="D523" s="17">
        <v>744</v>
      </c>
      <c r="E523" s="17" t="s">
        <v>1425</v>
      </c>
      <c r="F523" s="29">
        <v>1464956</v>
      </c>
    </row>
    <row r="524" spans="1:6" ht="16" customHeight="1" x14ac:dyDescent="0.2">
      <c r="A524">
        <f>IFERROR(VLOOKUP(C524,'GASB Match'!$D$2:$F$6042,3,FALSE),"")</f>
        <v>3402220</v>
      </c>
      <c r="B524" s="17">
        <v>2015</v>
      </c>
      <c r="C524" s="17" t="s">
        <v>498</v>
      </c>
      <c r="D524" s="17">
        <v>514</v>
      </c>
      <c r="E524" s="17" t="s">
        <v>1422</v>
      </c>
      <c r="F524" s="20">
        <v>3261094</v>
      </c>
    </row>
    <row r="525" spans="1:6" ht="16" customHeight="1" x14ac:dyDescent="0.2">
      <c r="A525">
        <f>IFERROR(VLOOKUP(C525,'GASB Match'!$D$2:$F$6042,3,FALSE),"")</f>
        <v>3402220</v>
      </c>
      <c r="B525" s="17">
        <v>2016</v>
      </c>
      <c r="C525" s="17" t="s">
        <v>498</v>
      </c>
      <c r="D525" s="17">
        <v>514</v>
      </c>
      <c r="E525" s="17" t="s">
        <v>1422</v>
      </c>
      <c r="F525" s="20">
        <v>4894333</v>
      </c>
    </row>
    <row r="526" spans="1:6" ht="16" customHeight="1" x14ac:dyDescent="0.2">
      <c r="A526">
        <f>IFERROR(VLOOKUP(C526,'GASB Match'!$D$2:$F$6042,3,FALSE),"")</f>
        <v>3402220</v>
      </c>
      <c r="B526" s="17">
        <v>2018</v>
      </c>
      <c r="C526" s="17" t="s">
        <v>1190</v>
      </c>
      <c r="D526" s="17">
        <v>514</v>
      </c>
      <c r="E526" s="17" t="s">
        <v>1465</v>
      </c>
      <c r="F526" s="20">
        <v>9215178</v>
      </c>
    </row>
    <row r="527" spans="1:6" ht="16" customHeight="1" x14ac:dyDescent="0.2">
      <c r="A527">
        <f>IFERROR(VLOOKUP(C527,'GASB Match'!$D$2:$F$6042,3,FALSE),"")</f>
        <v>3402220</v>
      </c>
      <c r="B527" s="17">
        <v>2019</v>
      </c>
      <c r="C527" s="17" t="s">
        <v>1190</v>
      </c>
      <c r="D527" s="17">
        <v>514</v>
      </c>
      <c r="E527" s="17" t="s">
        <v>1465</v>
      </c>
      <c r="F527" s="20">
        <v>12247713</v>
      </c>
    </row>
    <row r="528" spans="1:6" ht="16" customHeight="1" x14ac:dyDescent="0.2">
      <c r="A528">
        <f>IFERROR(VLOOKUP(C528,'GASB Match'!$D$2:$F$6042,3,FALSE),"")</f>
        <v>3402220</v>
      </c>
      <c r="B528" s="17">
        <v>2020</v>
      </c>
      <c r="C528" s="21" t="s">
        <v>1190</v>
      </c>
      <c r="D528" s="17">
        <v>514</v>
      </c>
      <c r="E528" s="17" t="s">
        <v>1465</v>
      </c>
      <c r="F528" s="23">
        <v>13943940</v>
      </c>
    </row>
    <row r="529" spans="1:6" ht="16" customHeight="1" x14ac:dyDescent="0.2">
      <c r="A529">
        <f>IFERROR(VLOOKUP(C529,'GASB Match'!$D$2:$F$6042,3,FALSE),"")</f>
        <v>3402220</v>
      </c>
      <c r="B529" s="17">
        <v>2021</v>
      </c>
      <c r="C529" s="25" t="s">
        <v>1190</v>
      </c>
      <c r="D529" s="17">
        <v>514</v>
      </c>
      <c r="E529" s="17" t="s">
        <v>1465</v>
      </c>
      <c r="F529" s="23">
        <v>16940414</v>
      </c>
    </row>
    <row r="530" spans="1:6" ht="16" customHeight="1" x14ac:dyDescent="0.2">
      <c r="A530">
        <f>IFERROR(VLOOKUP(C530,'GASB Match'!$D$2:$F$6042,3,FALSE),"")</f>
        <v>3402220</v>
      </c>
      <c r="B530" s="17">
        <v>2022</v>
      </c>
      <c r="C530" s="21" t="s">
        <v>1190</v>
      </c>
      <c r="D530" s="17">
        <v>514</v>
      </c>
      <c r="E530" s="17" t="s">
        <v>1465</v>
      </c>
      <c r="F530" s="23">
        <v>24384644</v>
      </c>
    </row>
    <row r="531" spans="1:6" ht="16" customHeight="1" x14ac:dyDescent="0.2">
      <c r="A531">
        <f>IFERROR(VLOOKUP(C531,'GASB Match'!$D$2:$F$6042,3,FALSE),"")</f>
        <v>3402220</v>
      </c>
      <c r="B531" s="17">
        <v>2023</v>
      </c>
      <c r="C531" s="21" t="s">
        <v>1190</v>
      </c>
      <c r="D531" s="17">
        <v>514</v>
      </c>
      <c r="E531" s="17" t="s">
        <v>1465</v>
      </c>
      <c r="F531" s="23">
        <v>23592463</v>
      </c>
    </row>
    <row r="532" spans="1:6" ht="16" customHeight="1" x14ac:dyDescent="0.2">
      <c r="A532">
        <f>IFERROR(VLOOKUP(C532,'GASB Match'!$D$2:$F$6042,3,FALSE),"")</f>
        <v>3402220</v>
      </c>
      <c r="B532" s="28">
        <v>2017</v>
      </c>
      <c r="C532" s="29" t="s">
        <v>498</v>
      </c>
      <c r="D532" s="17">
        <v>514</v>
      </c>
      <c r="E532" s="17" t="s">
        <v>1422</v>
      </c>
      <c r="F532" s="29">
        <v>6934613</v>
      </c>
    </row>
    <row r="533" spans="1:6" ht="16" customHeight="1" x14ac:dyDescent="0.2">
      <c r="A533">
        <f>IFERROR(VLOOKUP(C533,'GASB Match'!$D$2:$F$6042,3,FALSE),"")</f>
        <v>3402250</v>
      </c>
      <c r="B533" s="17">
        <v>2015</v>
      </c>
      <c r="C533" s="17" t="s">
        <v>212</v>
      </c>
      <c r="D533" s="17">
        <v>5050</v>
      </c>
      <c r="E533" s="17" t="s">
        <v>1408</v>
      </c>
      <c r="F533" s="20">
        <v>1974034</v>
      </c>
    </row>
    <row r="534" spans="1:6" ht="16" customHeight="1" x14ac:dyDescent="0.2">
      <c r="A534">
        <f>IFERROR(VLOOKUP(C534,'GASB Match'!$D$2:$F$6042,3,FALSE),"")</f>
        <v>3402250</v>
      </c>
      <c r="B534" s="17">
        <v>2016</v>
      </c>
      <c r="C534" s="17" t="s">
        <v>212</v>
      </c>
      <c r="D534" s="17">
        <v>5050</v>
      </c>
      <c r="E534" s="17" t="s">
        <v>1408</v>
      </c>
      <c r="F534" s="20">
        <v>3016820</v>
      </c>
    </row>
    <row r="535" spans="1:6" ht="16" customHeight="1" x14ac:dyDescent="0.2">
      <c r="A535">
        <f>IFERROR(VLOOKUP(C535,'GASB Match'!$D$2:$F$6042,3,FALSE),"")</f>
        <v>3402250</v>
      </c>
      <c r="B535" s="17">
        <v>2018</v>
      </c>
      <c r="C535" s="17" t="s">
        <v>896</v>
      </c>
      <c r="D535" s="17">
        <v>5050</v>
      </c>
      <c r="E535" s="17" t="s">
        <v>1449</v>
      </c>
      <c r="F535" s="20">
        <v>5741377</v>
      </c>
    </row>
    <row r="536" spans="1:6" ht="16" customHeight="1" x14ac:dyDescent="0.2">
      <c r="A536">
        <f>IFERROR(VLOOKUP(C536,'GASB Match'!$D$2:$F$6042,3,FALSE),"")</f>
        <v>3402250</v>
      </c>
      <c r="B536" s="17">
        <v>2019</v>
      </c>
      <c r="C536" s="17" t="s">
        <v>896</v>
      </c>
      <c r="D536" s="17">
        <v>5050</v>
      </c>
      <c r="E536" s="17" t="s">
        <v>1449</v>
      </c>
      <c r="F536" s="20">
        <v>7198142</v>
      </c>
    </row>
    <row r="537" spans="1:6" ht="16" customHeight="1" x14ac:dyDescent="0.2">
      <c r="A537">
        <f>IFERROR(VLOOKUP(C537,'GASB Match'!$D$2:$F$6042,3,FALSE),"")</f>
        <v>3402250</v>
      </c>
      <c r="B537" s="17">
        <v>2020</v>
      </c>
      <c r="C537" s="21" t="s">
        <v>896</v>
      </c>
      <c r="D537" s="17">
        <v>5050</v>
      </c>
      <c r="E537" s="17" t="s">
        <v>1449</v>
      </c>
      <c r="F537" s="23">
        <v>8482974</v>
      </c>
    </row>
    <row r="538" spans="1:6" ht="16" customHeight="1" x14ac:dyDescent="0.2">
      <c r="A538">
        <f>IFERROR(VLOOKUP(C538,'GASB Match'!$D$2:$F$6042,3,FALSE),"")</f>
        <v>3402250</v>
      </c>
      <c r="B538" s="17">
        <v>2021</v>
      </c>
      <c r="C538" s="25" t="s">
        <v>896</v>
      </c>
      <c r="D538" s="17">
        <v>5050</v>
      </c>
      <c r="E538" s="17" t="s">
        <v>1449</v>
      </c>
      <c r="F538" s="23">
        <v>10526174</v>
      </c>
    </row>
    <row r="539" spans="1:6" ht="16" customHeight="1" x14ac:dyDescent="0.2">
      <c r="A539">
        <f>IFERROR(VLOOKUP(C539,'GASB Match'!$D$2:$F$6042,3,FALSE),"")</f>
        <v>3402250</v>
      </c>
      <c r="B539" s="17">
        <v>2022</v>
      </c>
      <c r="C539" s="21" t="s">
        <v>896</v>
      </c>
      <c r="D539" s="17">
        <v>5050</v>
      </c>
      <c r="E539" s="17" t="s">
        <v>1449</v>
      </c>
      <c r="F539" s="23">
        <v>15924533</v>
      </c>
    </row>
    <row r="540" spans="1:6" ht="16" customHeight="1" x14ac:dyDescent="0.2">
      <c r="A540">
        <f>IFERROR(VLOOKUP(C540,'GASB Match'!$D$2:$F$6042,3,FALSE),"")</f>
        <v>3402250</v>
      </c>
      <c r="B540" s="17">
        <v>2023</v>
      </c>
      <c r="C540" s="21" t="s">
        <v>896</v>
      </c>
      <c r="D540" s="17">
        <v>5050</v>
      </c>
      <c r="E540" s="17" t="s">
        <v>1449</v>
      </c>
      <c r="F540" s="23">
        <v>15724161</v>
      </c>
    </row>
    <row r="541" spans="1:6" ht="16" customHeight="1" x14ac:dyDescent="0.2">
      <c r="A541">
        <f>IFERROR(VLOOKUP(C541,'GASB Match'!$D$2:$F$6042,3,FALSE),"")</f>
        <v>3402250</v>
      </c>
      <c r="B541" s="28">
        <v>2017</v>
      </c>
      <c r="C541" s="29" t="s">
        <v>212</v>
      </c>
      <c r="D541" s="17">
        <v>5050</v>
      </c>
      <c r="E541" s="17" t="s">
        <v>1408</v>
      </c>
      <c r="F541" s="29">
        <v>4251364</v>
      </c>
    </row>
    <row r="542" spans="1:6" ht="16" customHeight="1" x14ac:dyDescent="0.2">
      <c r="A542">
        <f>IFERROR(VLOOKUP(C542,'GASB Match'!$D$2:$F$6042,3,FALSE),"")</f>
        <v>3400782</v>
      </c>
      <c r="B542" s="17">
        <v>2018</v>
      </c>
      <c r="C542" s="17" t="s">
        <v>897</v>
      </c>
      <c r="D542" s="17">
        <v>5096</v>
      </c>
      <c r="E542" s="17" t="s">
        <v>1449</v>
      </c>
      <c r="F542" s="20">
        <v>28884</v>
      </c>
    </row>
    <row r="543" spans="1:6" ht="16" customHeight="1" x14ac:dyDescent="0.2">
      <c r="A543">
        <f>IFERROR(VLOOKUP(C543,'GASB Match'!$D$2:$F$6042,3,FALSE),"")</f>
        <v>3400782</v>
      </c>
      <c r="B543" s="17">
        <v>2019</v>
      </c>
      <c r="C543" s="17" t="s">
        <v>897</v>
      </c>
      <c r="D543" s="17">
        <v>5096</v>
      </c>
      <c r="E543" s="17" t="s">
        <v>1449</v>
      </c>
      <c r="F543" s="20">
        <v>117025</v>
      </c>
    </row>
    <row r="544" spans="1:6" ht="16" customHeight="1" x14ac:dyDescent="0.2">
      <c r="A544">
        <f>IFERROR(VLOOKUP(C544,'GASB Match'!$D$2:$F$6042,3,FALSE),"")</f>
        <v>3400782</v>
      </c>
      <c r="B544" s="17">
        <v>2020</v>
      </c>
      <c r="C544" s="21" t="s">
        <v>897</v>
      </c>
      <c r="D544" s="17">
        <v>5096</v>
      </c>
      <c r="E544" s="17" t="s">
        <v>1449</v>
      </c>
      <c r="F544" s="23">
        <v>121766</v>
      </c>
    </row>
    <row r="545" spans="1:6" ht="16" customHeight="1" x14ac:dyDescent="0.2">
      <c r="A545">
        <f>IFERROR(VLOOKUP(C545,'GASB Match'!$D$2:$F$6042,3,FALSE),"")</f>
        <v>3400782</v>
      </c>
      <c r="B545" s="17">
        <v>2021</v>
      </c>
      <c r="C545" s="25" t="s">
        <v>897</v>
      </c>
      <c r="D545" s="17">
        <v>5096</v>
      </c>
      <c r="E545" s="17" t="s">
        <v>1449</v>
      </c>
      <c r="F545" s="23">
        <v>131993</v>
      </c>
    </row>
    <row r="546" spans="1:6" ht="16" customHeight="1" x14ac:dyDescent="0.2">
      <c r="A546">
        <f>IFERROR(VLOOKUP(C546,'GASB Match'!$D$2:$F$6042,3,FALSE),"")</f>
        <v>3400782</v>
      </c>
      <c r="B546" s="17">
        <v>2022</v>
      </c>
      <c r="C546" s="21" t="s">
        <v>897</v>
      </c>
      <c r="D546" s="17">
        <v>5096</v>
      </c>
      <c r="E546" s="17" t="s">
        <v>1449</v>
      </c>
      <c r="F546" s="23">
        <v>193173</v>
      </c>
    </row>
    <row r="547" spans="1:6" ht="16" customHeight="1" x14ac:dyDescent="0.2">
      <c r="A547">
        <f>IFERROR(VLOOKUP(C547,'GASB Match'!$D$2:$F$6042,3,FALSE),"")</f>
        <v>3400782</v>
      </c>
      <c r="B547" s="17">
        <v>2023</v>
      </c>
      <c r="C547" s="21" t="s">
        <v>897</v>
      </c>
      <c r="D547" s="17">
        <v>5096</v>
      </c>
      <c r="E547" s="17" t="s">
        <v>1449</v>
      </c>
      <c r="F547" s="23">
        <v>212672</v>
      </c>
    </row>
    <row r="548" spans="1:6" ht="16" customHeight="1" x14ac:dyDescent="0.2">
      <c r="A548">
        <f>IFERROR(VLOOKUP(C548,'GASB Match'!$D$2:$F$6042,3,FALSE),"")</f>
        <v>3402280</v>
      </c>
      <c r="B548" s="17">
        <v>2015</v>
      </c>
      <c r="C548" s="17" t="s">
        <v>567</v>
      </c>
      <c r="D548" s="17">
        <v>745</v>
      </c>
      <c r="E548" s="17" t="s">
        <v>1425</v>
      </c>
      <c r="F548" s="20">
        <v>3500442</v>
      </c>
    </row>
    <row r="549" spans="1:6" ht="16" customHeight="1" x14ac:dyDescent="0.2">
      <c r="A549">
        <f>IFERROR(VLOOKUP(C549,'GASB Match'!$D$2:$F$6042,3,FALSE),"")</f>
        <v>3402280</v>
      </c>
      <c r="B549" s="17">
        <v>2016</v>
      </c>
      <c r="C549" s="17" t="s">
        <v>567</v>
      </c>
      <c r="D549" s="17">
        <v>745</v>
      </c>
      <c r="E549" s="17" t="s">
        <v>1425</v>
      </c>
      <c r="F549" s="20">
        <v>5265095</v>
      </c>
    </row>
    <row r="550" spans="1:6" ht="16" customHeight="1" x14ac:dyDescent="0.2">
      <c r="A550">
        <f>IFERROR(VLOOKUP(C550,'GASB Match'!$D$2:$F$6042,3,FALSE),"")</f>
        <v>3402280</v>
      </c>
      <c r="B550" s="17">
        <v>2018</v>
      </c>
      <c r="C550" s="17" t="s">
        <v>1259</v>
      </c>
      <c r="D550" s="17">
        <v>745</v>
      </c>
      <c r="E550" s="17" t="s">
        <v>1468</v>
      </c>
      <c r="F550" s="20">
        <v>10047797</v>
      </c>
    </row>
    <row r="551" spans="1:6" ht="16" customHeight="1" x14ac:dyDescent="0.2">
      <c r="A551">
        <f>IFERROR(VLOOKUP(C551,'GASB Match'!$D$2:$F$6042,3,FALSE),"")</f>
        <v>3402280</v>
      </c>
      <c r="B551" s="17">
        <v>2019</v>
      </c>
      <c r="C551" s="17" t="s">
        <v>1259</v>
      </c>
      <c r="D551" s="17">
        <v>745</v>
      </c>
      <c r="E551" s="17" t="s">
        <v>1468</v>
      </c>
      <c r="F551" s="20">
        <v>13580031</v>
      </c>
    </row>
    <row r="552" spans="1:6" ht="16" customHeight="1" x14ac:dyDescent="0.2">
      <c r="A552">
        <f>IFERROR(VLOOKUP(C552,'GASB Match'!$D$2:$F$6042,3,FALSE),"")</f>
        <v>3402280</v>
      </c>
      <c r="B552" s="17">
        <v>2020</v>
      </c>
      <c r="C552" s="21" t="s">
        <v>1259</v>
      </c>
      <c r="D552" s="17">
        <v>745</v>
      </c>
      <c r="E552" s="17" t="s">
        <v>1468</v>
      </c>
      <c r="F552" s="23">
        <v>15459889</v>
      </c>
    </row>
    <row r="553" spans="1:6" ht="16" customHeight="1" x14ac:dyDescent="0.2">
      <c r="A553">
        <f>IFERROR(VLOOKUP(C553,'GASB Match'!$D$2:$F$6042,3,FALSE),"")</f>
        <v>3402280</v>
      </c>
      <c r="B553" s="17">
        <v>2021</v>
      </c>
      <c r="C553" s="25" t="s">
        <v>1259</v>
      </c>
      <c r="D553" s="17">
        <v>745</v>
      </c>
      <c r="E553" s="17" t="s">
        <v>1468</v>
      </c>
      <c r="F553" s="23">
        <v>19610768</v>
      </c>
    </row>
    <row r="554" spans="1:6" ht="16" customHeight="1" x14ac:dyDescent="0.2">
      <c r="A554">
        <f>IFERROR(VLOOKUP(C554,'GASB Match'!$D$2:$F$6042,3,FALSE),"")</f>
        <v>3402280</v>
      </c>
      <c r="B554" s="17">
        <v>2022</v>
      </c>
      <c r="C554" s="21" t="s">
        <v>1259</v>
      </c>
      <c r="D554" s="17">
        <v>745</v>
      </c>
      <c r="E554" s="17" t="s">
        <v>1468</v>
      </c>
      <c r="F554" s="23">
        <v>28045601</v>
      </c>
    </row>
    <row r="555" spans="1:6" ht="16" customHeight="1" x14ac:dyDescent="0.2">
      <c r="A555">
        <f>IFERROR(VLOOKUP(C555,'GASB Match'!$D$2:$F$6042,3,FALSE),"")</f>
        <v>3402280</v>
      </c>
      <c r="B555" s="17">
        <v>2023</v>
      </c>
      <c r="C555" s="21" t="s">
        <v>1259</v>
      </c>
      <c r="D555" s="17">
        <v>745</v>
      </c>
      <c r="E555" s="17" t="s">
        <v>1468</v>
      </c>
      <c r="F555" s="23">
        <v>27686282</v>
      </c>
    </row>
    <row r="556" spans="1:6" ht="16" customHeight="1" x14ac:dyDescent="0.2">
      <c r="A556">
        <f>IFERROR(VLOOKUP(C556,'GASB Match'!$D$2:$F$6042,3,FALSE),"")</f>
        <v>3402280</v>
      </c>
      <c r="B556" s="28">
        <v>2017</v>
      </c>
      <c r="C556" s="29" t="s">
        <v>567</v>
      </c>
      <c r="D556" s="17">
        <v>745</v>
      </c>
      <c r="E556" s="17" t="s">
        <v>1425</v>
      </c>
      <c r="F556" s="29">
        <v>7418533</v>
      </c>
    </row>
    <row r="557" spans="1:6" ht="16" customHeight="1" x14ac:dyDescent="0.2">
      <c r="A557">
        <f>IFERROR(VLOOKUP(C557,'GASB Match'!$D$2:$F$6042,3,FALSE),"")</f>
        <v>3402310</v>
      </c>
      <c r="B557" s="17">
        <v>2015</v>
      </c>
      <c r="C557" s="17" t="s">
        <v>406</v>
      </c>
      <c r="D557" s="17">
        <v>326</v>
      </c>
      <c r="E557" s="17" t="s">
        <v>1420</v>
      </c>
      <c r="F557" s="20">
        <v>197298</v>
      </c>
    </row>
    <row r="558" spans="1:6" ht="16" customHeight="1" x14ac:dyDescent="0.2">
      <c r="A558">
        <f>IFERROR(VLOOKUP(C558,'GASB Match'!$D$2:$F$6042,3,FALSE),"")</f>
        <v>3402310</v>
      </c>
      <c r="B558" s="17">
        <v>2016</v>
      </c>
      <c r="C558" s="17" t="s">
        <v>406</v>
      </c>
      <c r="D558" s="17">
        <v>326</v>
      </c>
      <c r="E558" s="17" t="s">
        <v>1420</v>
      </c>
      <c r="F558" s="20">
        <v>296484</v>
      </c>
    </row>
    <row r="559" spans="1:6" ht="16" customHeight="1" x14ac:dyDescent="0.2">
      <c r="A559">
        <f>IFERROR(VLOOKUP(C559,'GASB Match'!$D$2:$F$6042,3,FALSE),"")</f>
        <v>3402310</v>
      </c>
      <c r="B559" s="17">
        <v>2018</v>
      </c>
      <c r="C559" s="17" t="s">
        <v>1098</v>
      </c>
      <c r="D559" s="17">
        <v>326</v>
      </c>
      <c r="E559" s="17" t="s">
        <v>1463</v>
      </c>
      <c r="F559" s="20">
        <v>561698</v>
      </c>
    </row>
    <row r="560" spans="1:6" ht="16" customHeight="1" x14ac:dyDescent="0.2">
      <c r="A560">
        <f>IFERROR(VLOOKUP(C560,'GASB Match'!$D$2:$F$6042,3,FALSE),"")</f>
        <v>3402310</v>
      </c>
      <c r="B560" s="17">
        <v>2019</v>
      </c>
      <c r="C560" s="17" t="s">
        <v>1098</v>
      </c>
      <c r="D560" s="17">
        <v>326</v>
      </c>
      <c r="E560" s="17" t="s">
        <v>1463</v>
      </c>
      <c r="F560" s="20">
        <v>734737</v>
      </c>
    </row>
    <row r="561" spans="1:6" ht="16" customHeight="1" x14ac:dyDescent="0.2">
      <c r="A561">
        <f>IFERROR(VLOOKUP(C561,'GASB Match'!$D$2:$F$6042,3,FALSE),"")</f>
        <v>3402310</v>
      </c>
      <c r="B561" s="17">
        <v>2020</v>
      </c>
      <c r="C561" s="21" t="s">
        <v>1098</v>
      </c>
      <c r="D561" s="17">
        <v>326</v>
      </c>
      <c r="E561" s="17" t="s">
        <v>1463</v>
      </c>
      <c r="F561" s="23">
        <v>840856</v>
      </c>
    </row>
    <row r="562" spans="1:6" ht="16" customHeight="1" x14ac:dyDescent="0.2">
      <c r="A562">
        <f>IFERROR(VLOOKUP(C562,'GASB Match'!$D$2:$F$6042,3,FALSE),"")</f>
        <v>3402310</v>
      </c>
      <c r="B562" s="17">
        <v>2021</v>
      </c>
      <c r="C562" s="25" t="s">
        <v>1098</v>
      </c>
      <c r="D562" s="17">
        <v>326</v>
      </c>
      <c r="E562" s="17" t="s">
        <v>1463</v>
      </c>
      <c r="F562" s="23">
        <v>1100559</v>
      </c>
    </row>
    <row r="563" spans="1:6" ht="16" customHeight="1" x14ac:dyDescent="0.2">
      <c r="A563">
        <f>IFERROR(VLOOKUP(C563,'GASB Match'!$D$2:$F$6042,3,FALSE),"")</f>
        <v>3402310</v>
      </c>
      <c r="B563" s="17">
        <v>2022</v>
      </c>
      <c r="C563" s="21" t="s">
        <v>1098</v>
      </c>
      <c r="D563" s="17">
        <v>326</v>
      </c>
      <c r="E563" s="17" t="s">
        <v>1463</v>
      </c>
      <c r="F563" s="23">
        <v>1561856</v>
      </c>
    </row>
    <row r="564" spans="1:6" ht="16" customHeight="1" x14ac:dyDescent="0.2">
      <c r="A564">
        <f>IFERROR(VLOOKUP(C564,'GASB Match'!$D$2:$F$6042,3,FALSE),"")</f>
        <v>3402310</v>
      </c>
      <c r="B564" s="17">
        <v>2023</v>
      </c>
      <c r="C564" s="21" t="s">
        <v>1098</v>
      </c>
      <c r="D564" s="17">
        <v>326</v>
      </c>
      <c r="E564" s="17" t="s">
        <v>1463</v>
      </c>
      <c r="F564" s="23">
        <v>1623190</v>
      </c>
    </row>
    <row r="565" spans="1:6" ht="16" customHeight="1" x14ac:dyDescent="0.2">
      <c r="A565">
        <f>IFERROR(VLOOKUP(C565,'GASB Match'!$D$2:$F$6042,3,FALSE),"")</f>
        <v>3402310</v>
      </c>
      <c r="B565" s="28">
        <v>2017</v>
      </c>
      <c r="C565" s="29" t="s">
        <v>406</v>
      </c>
      <c r="D565" s="17">
        <v>326</v>
      </c>
      <c r="E565" s="17" t="s">
        <v>1420</v>
      </c>
      <c r="F565" s="29">
        <v>407846</v>
      </c>
    </row>
    <row r="566" spans="1:6" ht="16" customHeight="1" x14ac:dyDescent="0.2">
      <c r="A566">
        <f>IFERROR(VLOOKUP(C566,'GASB Match'!$D$2:$F$6042,3,FALSE),"")</f>
        <v>3402340</v>
      </c>
      <c r="B566" s="17">
        <v>2015</v>
      </c>
      <c r="C566" s="17" t="s">
        <v>5</v>
      </c>
      <c r="D566" s="17">
        <v>1094</v>
      </c>
      <c r="E566" s="17" t="s">
        <v>1400</v>
      </c>
      <c r="F566" s="20">
        <v>352032</v>
      </c>
    </row>
    <row r="567" spans="1:6" ht="16" customHeight="1" x14ac:dyDescent="0.2">
      <c r="A567">
        <f>IFERROR(VLOOKUP(C567,'GASB Match'!$D$2:$F$6042,3,FALSE),"")</f>
        <v>3402340</v>
      </c>
      <c r="B567" s="17">
        <v>2016</v>
      </c>
      <c r="C567" s="17" t="s">
        <v>5</v>
      </c>
      <c r="D567" s="17">
        <v>1094</v>
      </c>
      <c r="E567" s="17" t="s">
        <v>1400</v>
      </c>
      <c r="F567" s="20">
        <v>552100</v>
      </c>
    </row>
    <row r="568" spans="1:6" ht="16" customHeight="1" x14ac:dyDescent="0.2">
      <c r="A568">
        <f>IFERROR(VLOOKUP(C568,'GASB Match'!$D$2:$F$6042,3,FALSE),"")</f>
        <v>3402340</v>
      </c>
      <c r="B568" s="17">
        <v>2018</v>
      </c>
      <c r="C568" s="17" t="s">
        <v>684</v>
      </c>
      <c r="D568" s="17">
        <v>1094</v>
      </c>
      <c r="E568" s="17" t="s">
        <v>1441</v>
      </c>
      <c r="F568" s="20">
        <v>1021788</v>
      </c>
    </row>
    <row r="569" spans="1:6" ht="16" customHeight="1" x14ac:dyDescent="0.2">
      <c r="A569">
        <f>IFERROR(VLOOKUP(C569,'GASB Match'!$D$2:$F$6042,3,FALSE),"")</f>
        <v>3402340</v>
      </c>
      <c r="B569" s="17">
        <v>2019</v>
      </c>
      <c r="C569" s="17" t="s">
        <v>684</v>
      </c>
      <c r="D569" s="17">
        <v>1094</v>
      </c>
      <c r="E569" s="17" t="s">
        <v>1441</v>
      </c>
      <c r="F569" s="20">
        <v>1328627</v>
      </c>
    </row>
    <row r="570" spans="1:6" ht="16" customHeight="1" x14ac:dyDescent="0.2">
      <c r="A570">
        <f>IFERROR(VLOOKUP(C570,'GASB Match'!$D$2:$F$6042,3,FALSE),"")</f>
        <v>3402340</v>
      </c>
      <c r="B570" s="17">
        <v>2020</v>
      </c>
      <c r="C570" s="21" t="s">
        <v>684</v>
      </c>
      <c r="D570" s="17">
        <v>1094</v>
      </c>
      <c r="E570" s="17" t="s">
        <v>1441</v>
      </c>
      <c r="F570" s="23">
        <v>1424363</v>
      </c>
    </row>
    <row r="571" spans="1:6" ht="16" customHeight="1" x14ac:dyDescent="0.2">
      <c r="A571">
        <f>IFERROR(VLOOKUP(C571,'GASB Match'!$D$2:$F$6042,3,FALSE),"")</f>
        <v>3402340</v>
      </c>
      <c r="B571" s="17">
        <v>2021</v>
      </c>
      <c r="C571" s="25" t="s">
        <v>684</v>
      </c>
      <c r="D571" s="17">
        <v>1094</v>
      </c>
      <c r="E571" s="17" t="s">
        <v>1441</v>
      </c>
      <c r="F571" s="23">
        <v>1806740</v>
      </c>
    </row>
    <row r="572" spans="1:6" ht="16" customHeight="1" x14ac:dyDescent="0.2">
      <c r="A572">
        <f>IFERROR(VLOOKUP(C572,'GASB Match'!$D$2:$F$6042,3,FALSE),"")</f>
        <v>3402340</v>
      </c>
      <c r="B572" s="17">
        <v>2022</v>
      </c>
      <c r="C572" s="21" t="s">
        <v>684</v>
      </c>
      <c r="D572" s="17">
        <v>1094</v>
      </c>
      <c r="E572" s="17" t="s">
        <v>1441</v>
      </c>
      <c r="F572" s="23">
        <v>2513531</v>
      </c>
    </row>
    <row r="573" spans="1:6" ht="16" customHeight="1" x14ac:dyDescent="0.2">
      <c r="A573">
        <f>IFERROR(VLOOKUP(C573,'GASB Match'!$D$2:$F$6042,3,FALSE),"")</f>
        <v>3402340</v>
      </c>
      <c r="B573" s="17">
        <v>2023</v>
      </c>
      <c r="C573" s="21" t="s">
        <v>684</v>
      </c>
      <c r="D573" s="17">
        <v>1094</v>
      </c>
      <c r="E573" s="17" t="s">
        <v>1441</v>
      </c>
      <c r="F573" s="23">
        <v>2313626</v>
      </c>
    </row>
    <row r="574" spans="1:6" ht="16" customHeight="1" x14ac:dyDescent="0.2">
      <c r="A574">
        <f>IFERROR(VLOOKUP(C574,'GASB Match'!$D$2:$F$6042,3,FALSE),"")</f>
        <v>3402340</v>
      </c>
      <c r="B574" s="28">
        <v>2017</v>
      </c>
      <c r="C574" s="29" t="s">
        <v>5</v>
      </c>
      <c r="D574" s="17">
        <v>1094</v>
      </c>
      <c r="E574" s="17" t="s">
        <v>1400</v>
      </c>
      <c r="F574" s="29">
        <v>727436</v>
      </c>
    </row>
    <row r="575" spans="1:6" ht="16" customHeight="1" x14ac:dyDescent="0.2">
      <c r="A575">
        <f>IFERROR(VLOOKUP(C575,'GASB Match'!$D$2:$F$6042,3,FALSE),"")</f>
        <v>3402370</v>
      </c>
      <c r="B575" s="17">
        <v>2015</v>
      </c>
      <c r="C575" s="17" t="s">
        <v>155</v>
      </c>
      <c r="D575" s="17">
        <v>4016</v>
      </c>
      <c r="E575" s="17" t="s">
        <v>1405</v>
      </c>
      <c r="F575" s="20">
        <v>100347</v>
      </c>
    </row>
    <row r="576" spans="1:6" ht="16" customHeight="1" x14ac:dyDescent="0.2">
      <c r="A576">
        <f>IFERROR(VLOOKUP(C576,'GASB Match'!$D$2:$F$6042,3,FALSE),"")</f>
        <v>3402370</v>
      </c>
      <c r="B576" s="17">
        <v>2016</v>
      </c>
      <c r="C576" s="17" t="s">
        <v>155</v>
      </c>
      <c r="D576" s="17">
        <v>4016</v>
      </c>
      <c r="E576" s="17" t="s">
        <v>1405</v>
      </c>
      <c r="F576" s="20">
        <v>153798</v>
      </c>
    </row>
    <row r="577" spans="1:6" ht="16" customHeight="1" x14ac:dyDescent="0.2">
      <c r="A577">
        <f>IFERROR(VLOOKUP(C577,'GASB Match'!$D$2:$F$6042,3,FALSE),"")</f>
        <v>3402370</v>
      </c>
      <c r="B577" s="17">
        <v>2018</v>
      </c>
      <c r="C577" s="17" t="s">
        <v>836</v>
      </c>
      <c r="D577" s="17">
        <v>4016</v>
      </c>
      <c r="E577" s="17" t="s">
        <v>1446</v>
      </c>
      <c r="F577" s="20">
        <v>316002</v>
      </c>
    </row>
    <row r="578" spans="1:6" ht="16" customHeight="1" x14ac:dyDescent="0.2">
      <c r="A578">
        <f>IFERROR(VLOOKUP(C578,'GASB Match'!$D$2:$F$6042,3,FALSE),"")</f>
        <v>3402370</v>
      </c>
      <c r="B578" s="17">
        <v>2019</v>
      </c>
      <c r="C578" s="17" t="s">
        <v>836</v>
      </c>
      <c r="D578" s="17">
        <v>4016</v>
      </c>
      <c r="E578" s="17" t="s">
        <v>1446</v>
      </c>
      <c r="F578" s="20">
        <v>398769</v>
      </c>
    </row>
    <row r="579" spans="1:6" ht="16" customHeight="1" x14ac:dyDescent="0.2">
      <c r="A579">
        <f>IFERROR(VLOOKUP(C579,'GASB Match'!$D$2:$F$6042,3,FALSE),"")</f>
        <v>3402370</v>
      </c>
      <c r="B579" s="17">
        <v>2020</v>
      </c>
      <c r="C579" s="21" t="s">
        <v>836</v>
      </c>
      <c r="D579" s="17">
        <v>4016</v>
      </c>
      <c r="E579" s="17" t="s">
        <v>1446</v>
      </c>
      <c r="F579" s="23">
        <v>437121</v>
      </c>
    </row>
    <row r="580" spans="1:6" ht="16" customHeight="1" x14ac:dyDescent="0.2">
      <c r="A580">
        <f>IFERROR(VLOOKUP(C580,'GASB Match'!$D$2:$F$6042,3,FALSE),"")</f>
        <v>3402370</v>
      </c>
      <c r="B580" s="17">
        <v>2021</v>
      </c>
      <c r="C580" s="25" t="s">
        <v>836</v>
      </c>
      <c r="D580" s="17">
        <v>4016</v>
      </c>
      <c r="E580" s="17" t="s">
        <v>1446</v>
      </c>
      <c r="F580" s="23">
        <v>590527</v>
      </c>
    </row>
    <row r="581" spans="1:6" ht="16" customHeight="1" x14ac:dyDescent="0.2">
      <c r="A581">
        <f>IFERROR(VLOOKUP(C581,'GASB Match'!$D$2:$F$6042,3,FALSE),"")</f>
        <v>3402370</v>
      </c>
      <c r="B581" s="17">
        <v>2022</v>
      </c>
      <c r="C581" s="21" t="s">
        <v>836</v>
      </c>
      <c r="D581" s="17">
        <v>4016</v>
      </c>
      <c r="E581" s="17" t="s">
        <v>1446</v>
      </c>
      <c r="F581" s="23">
        <v>829074</v>
      </c>
    </row>
    <row r="582" spans="1:6" ht="16" customHeight="1" x14ac:dyDescent="0.2">
      <c r="A582">
        <f>IFERROR(VLOOKUP(C582,'GASB Match'!$D$2:$F$6042,3,FALSE),"")</f>
        <v>3402370</v>
      </c>
      <c r="B582" s="17">
        <v>2023</v>
      </c>
      <c r="C582" s="21" t="s">
        <v>836</v>
      </c>
      <c r="D582" s="17">
        <v>4016</v>
      </c>
      <c r="E582" s="17" t="s">
        <v>1446</v>
      </c>
      <c r="F582" s="23">
        <v>830272</v>
      </c>
    </row>
    <row r="583" spans="1:6" ht="16" customHeight="1" x14ac:dyDescent="0.2">
      <c r="A583">
        <f>IFERROR(VLOOKUP(C583,'GASB Match'!$D$2:$F$6042,3,FALSE),"")</f>
        <v>3402370</v>
      </c>
      <c r="B583" s="28">
        <v>2017</v>
      </c>
      <c r="C583" s="29" t="s">
        <v>155</v>
      </c>
      <c r="D583" s="17">
        <v>4016</v>
      </c>
      <c r="E583" s="17" t="s">
        <v>1405</v>
      </c>
      <c r="F583" s="29">
        <v>220796</v>
      </c>
    </row>
    <row r="584" spans="1:6" ht="16" customHeight="1" x14ac:dyDescent="0.2">
      <c r="A584">
        <f>IFERROR(VLOOKUP(C584,'GASB Match'!$D$2:$F$6042,3,FALSE),"")</f>
        <v>3402400</v>
      </c>
      <c r="B584" s="17">
        <v>2015</v>
      </c>
      <c r="C584" s="17" t="s">
        <v>6</v>
      </c>
      <c r="D584" s="17">
        <v>1081</v>
      </c>
      <c r="E584" s="17" t="s">
        <v>1400</v>
      </c>
      <c r="F584" s="20">
        <v>835489</v>
      </c>
    </row>
    <row r="585" spans="1:6" ht="16" customHeight="1" x14ac:dyDescent="0.2">
      <c r="A585">
        <f>IFERROR(VLOOKUP(C585,'GASB Match'!$D$2:$F$6042,3,FALSE),"")</f>
        <v>3402400</v>
      </c>
      <c r="B585" s="17">
        <v>2016</v>
      </c>
      <c r="C585" s="17" t="s">
        <v>6</v>
      </c>
      <c r="D585" s="17">
        <v>1081</v>
      </c>
      <c r="E585" s="17" t="s">
        <v>1400</v>
      </c>
      <c r="F585" s="20">
        <v>1148920</v>
      </c>
    </row>
    <row r="586" spans="1:6" ht="16" customHeight="1" x14ac:dyDescent="0.2">
      <c r="A586">
        <f>IFERROR(VLOOKUP(C586,'GASB Match'!$D$2:$F$6042,3,FALSE),"")</f>
        <v>3402400</v>
      </c>
      <c r="B586" s="17">
        <v>2018</v>
      </c>
      <c r="C586" s="17" t="s">
        <v>685</v>
      </c>
      <c r="D586" s="17">
        <v>1081</v>
      </c>
      <c r="E586" s="17" t="s">
        <v>1441</v>
      </c>
      <c r="F586" s="20">
        <v>2195285</v>
      </c>
    </row>
    <row r="587" spans="1:6" ht="16" customHeight="1" x14ac:dyDescent="0.2">
      <c r="A587">
        <f>IFERROR(VLOOKUP(C587,'GASB Match'!$D$2:$F$6042,3,FALSE),"")</f>
        <v>3402400</v>
      </c>
      <c r="B587" s="17">
        <v>2019</v>
      </c>
      <c r="C587" s="17" t="s">
        <v>685</v>
      </c>
      <c r="D587" s="17">
        <v>1081</v>
      </c>
      <c r="E587" s="17" t="s">
        <v>1441</v>
      </c>
      <c r="F587" s="20">
        <v>2867178</v>
      </c>
    </row>
    <row r="588" spans="1:6" ht="16" customHeight="1" x14ac:dyDescent="0.2">
      <c r="A588">
        <f>IFERROR(VLOOKUP(C588,'GASB Match'!$D$2:$F$6042,3,FALSE),"")</f>
        <v>3402400</v>
      </c>
      <c r="B588" s="17">
        <v>2020</v>
      </c>
      <c r="C588" s="21" t="s">
        <v>685</v>
      </c>
      <c r="D588" s="17">
        <v>1081</v>
      </c>
      <c r="E588" s="17" t="s">
        <v>1441</v>
      </c>
      <c r="F588" s="23">
        <v>3112789</v>
      </c>
    </row>
    <row r="589" spans="1:6" ht="16" customHeight="1" x14ac:dyDescent="0.2">
      <c r="A589">
        <f>IFERROR(VLOOKUP(C589,'GASB Match'!$D$2:$F$6042,3,FALSE),"")</f>
        <v>3402400</v>
      </c>
      <c r="B589" s="17">
        <v>2021</v>
      </c>
      <c r="C589" s="25" t="s">
        <v>685</v>
      </c>
      <c r="D589" s="17">
        <v>1081</v>
      </c>
      <c r="E589" s="17" t="s">
        <v>1441</v>
      </c>
      <c r="F589" s="23">
        <v>4051428</v>
      </c>
    </row>
    <row r="590" spans="1:6" ht="16" customHeight="1" x14ac:dyDescent="0.2">
      <c r="A590">
        <f>IFERROR(VLOOKUP(C590,'GASB Match'!$D$2:$F$6042,3,FALSE),"")</f>
        <v>3402400</v>
      </c>
      <c r="B590" s="17">
        <v>2022</v>
      </c>
      <c r="C590" s="21" t="s">
        <v>685</v>
      </c>
      <c r="D590" s="17">
        <v>1081</v>
      </c>
      <c r="E590" s="17" t="s">
        <v>1441</v>
      </c>
      <c r="F590" s="23">
        <v>5651159</v>
      </c>
    </row>
    <row r="591" spans="1:6" ht="16" customHeight="1" x14ac:dyDescent="0.2">
      <c r="A591">
        <f>IFERROR(VLOOKUP(C591,'GASB Match'!$D$2:$F$6042,3,FALSE),"")</f>
        <v>3402400</v>
      </c>
      <c r="B591" s="17">
        <v>2023</v>
      </c>
      <c r="C591" s="21" t="s">
        <v>685</v>
      </c>
      <c r="D591" s="17">
        <v>1081</v>
      </c>
      <c r="E591" s="17" t="s">
        <v>1441</v>
      </c>
      <c r="F591" s="23">
        <v>5681613</v>
      </c>
    </row>
    <row r="592" spans="1:6" ht="16" customHeight="1" x14ac:dyDescent="0.2">
      <c r="A592">
        <f>IFERROR(VLOOKUP(C592,'GASB Match'!$D$2:$F$6042,3,FALSE),"")</f>
        <v>3402400</v>
      </c>
      <c r="B592" s="28">
        <v>2017</v>
      </c>
      <c r="C592" s="29" t="s">
        <v>6</v>
      </c>
      <c r="D592" s="17">
        <v>1081</v>
      </c>
      <c r="E592" s="17" t="s">
        <v>1400</v>
      </c>
      <c r="F592" s="29">
        <v>1668280</v>
      </c>
    </row>
    <row r="593" spans="1:6" ht="16" customHeight="1" x14ac:dyDescent="0.2">
      <c r="A593">
        <f>IFERROR(VLOOKUP(C593,'GASB Match'!$D$2:$F$6042,3,FALSE),"")</f>
        <v>3400724</v>
      </c>
      <c r="B593" s="17">
        <v>2015</v>
      </c>
      <c r="C593" s="17" t="s">
        <v>231</v>
      </c>
      <c r="D593" s="17">
        <v>6097</v>
      </c>
      <c r="E593" s="17" t="s">
        <v>1411</v>
      </c>
      <c r="F593" s="20">
        <v>64974</v>
      </c>
    </row>
    <row r="594" spans="1:6" ht="16" customHeight="1" x14ac:dyDescent="0.2">
      <c r="A594">
        <f>IFERROR(VLOOKUP(C594,'GASB Match'!$D$2:$F$6042,3,FALSE),"")</f>
        <v>3400724</v>
      </c>
      <c r="B594" s="17">
        <v>2016</v>
      </c>
      <c r="C594" s="17" t="s">
        <v>231</v>
      </c>
      <c r="D594" s="17">
        <v>6097</v>
      </c>
      <c r="E594" s="17" t="s">
        <v>1411</v>
      </c>
      <c r="F594" s="20">
        <v>134503</v>
      </c>
    </row>
    <row r="595" spans="1:6" ht="16" customHeight="1" x14ac:dyDescent="0.2">
      <c r="A595">
        <f>IFERROR(VLOOKUP(C595,'GASB Match'!$D$2:$F$6042,3,FALSE),"")</f>
        <v>3400724</v>
      </c>
      <c r="B595" s="17">
        <v>2018</v>
      </c>
      <c r="C595" s="17" t="s">
        <v>917</v>
      </c>
      <c r="D595" s="17">
        <v>6097</v>
      </c>
      <c r="E595" s="17" t="s">
        <v>1452</v>
      </c>
      <c r="F595" s="20">
        <v>274736</v>
      </c>
    </row>
    <row r="596" spans="1:6" ht="16" customHeight="1" x14ac:dyDescent="0.2">
      <c r="A596">
        <f>IFERROR(VLOOKUP(C596,'GASB Match'!$D$2:$F$6042,3,FALSE),"")</f>
        <v>3400724</v>
      </c>
      <c r="B596" s="17">
        <v>2019</v>
      </c>
      <c r="C596" s="17" t="s">
        <v>917</v>
      </c>
      <c r="D596" s="17">
        <v>6097</v>
      </c>
      <c r="E596" s="17" t="s">
        <v>1452</v>
      </c>
      <c r="F596" s="20">
        <v>311588</v>
      </c>
    </row>
    <row r="597" spans="1:6" ht="16" customHeight="1" x14ac:dyDescent="0.2">
      <c r="A597">
        <f>IFERROR(VLOOKUP(C597,'GASB Match'!$D$2:$F$6042,3,FALSE),"")</f>
        <v>3400724</v>
      </c>
      <c r="B597" s="17">
        <v>2020</v>
      </c>
      <c r="C597" s="21" t="s">
        <v>917</v>
      </c>
      <c r="D597" s="17">
        <v>6097</v>
      </c>
      <c r="E597" s="17" t="s">
        <v>1452</v>
      </c>
      <c r="F597" s="23">
        <v>338112</v>
      </c>
    </row>
    <row r="598" spans="1:6" ht="16" customHeight="1" x14ac:dyDescent="0.2">
      <c r="A598">
        <f>IFERROR(VLOOKUP(C598,'GASB Match'!$D$2:$F$6042,3,FALSE),"")</f>
        <v>3400724</v>
      </c>
      <c r="B598" s="17">
        <v>2021</v>
      </c>
      <c r="C598" s="25" t="s">
        <v>917</v>
      </c>
      <c r="D598" s="17">
        <v>6097</v>
      </c>
      <c r="E598" s="17" t="s">
        <v>1452</v>
      </c>
      <c r="F598" s="23">
        <v>460786</v>
      </c>
    </row>
    <row r="599" spans="1:6" ht="16" customHeight="1" x14ac:dyDescent="0.2">
      <c r="A599">
        <f>IFERROR(VLOOKUP(C599,'GASB Match'!$D$2:$F$6042,3,FALSE),"")</f>
        <v>3400724</v>
      </c>
      <c r="B599" s="17">
        <v>2022</v>
      </c>
      <c r="C599" s="21" t="s">
        <v>917</v>
      </c>
      <c r="D599" s="17">
        <v>6097</v>
      </c>
      <c r="E599" s="17" t="s">
        <v>1452</v>
      </c>
      <c r="F599" s="23">
        <v>570398</v>
      </c>
    </row>
    <row r="600" spans="1:6" ht="16" customHeight="1" x14ac:dyDescent="0.2">
      <c r="A600">
        <f>IFERROR(VLOOKUP(C600,'GASB Match'!$D$2:$F$6042,3,FALSE),"")</f>
        <v>3400724</v>
      </c>
      <c r="B600" s="17">
        <v>2023</v>
      </c>
      <c r="C600" s="21" t="s">
        <v>917</v>
      </c>
      <c r="D600" s="17">
        <v>6097</v>
      </c>
      <c r="E600" s="17" t="s">
        <v>1452</v>
      </c>
      <c r="F600" s="23">
        <v>485209</v>
      </c>
    </row>
    <row r="601" spans="1:6" ht="16" customHeight="1" x14ac:dyDescent="0.2">
      <c r="A601">
        <f>IFERROR(VLOOKUP(C601,'GASB Match'!$D$2:$F$6042,3,FALSE),"")</f>
        <v>3400724</v>
      </c>
      <c r="B601" s="28">
        <v>2017</v>
      </c>
      <c r="C601" s="29" t="s">
        <v>231</v>
      </c>
      <c r="D601" s="17">
        <v>6097</v>
      </c>
      <c r="E601" s="17" t="s">
        <v>1411</v>
      </c>
      <c r="F601" s="29">
        <v>189272</v>
      </c>
    </row>
    <row r="602" spans="1:6" ht="16" customHeight="1" x14ac:dyDescent="0.2">
      <c r="A602">
        <f>IFERROR(VLOOKUP(C602,'GASB Match'!$D$2:$F$6042,3,FALSE),"")</f>
        <v>3402430</v>
      </c>
      <c r="B602" s="17">
        <v>2015</v>
      </c>
      <c r="C602" s="17" t="s">
        <v>109</v>
      </c>
      <c r="D602" s="17">
        <v>3000</v>
      </c>
      <c r="E602" s="17" t="s">
        <v>1404</v>
      </c>
      <c r="F602" s="20">
        <v>832985</v>
      </c>
    </row>
    <row r="603" spans="1:6" ht="16" customHeight="1" x14ac:dyDescent="0.2">
      <c r="A603">
        <f>IFERROR(VLOOKUP(C603,'GASB Match'!$D$2:$F$6042,3,FALSE),"")</f>
        <v>3402430</v>
      </c>
      <c r="B603" s="17">
        <v>2016</v>
      </c>
      <c r="C603" s="17" t="s">
        <v>109</v>
      </c>
      <c r="D603" s="17">
        <v>3000</v>
      </c>
      <c r="E603" s="17" t="s">
        <v>1404</v>
      </c>
      <c r="F603" s="20">
        <v>1227211</v>
      </c>
    </row>
    <row r="604" spans="1:6" ht="16" customHeight="1" x14ac:dyDescent="0.2">
      <c r="A604">
        <f>IFERROR(VLOOKUP(C604,'GASB Match'!$D$2:$F$6042,3,FALSE),"")</f>
        <v>3402430</v>
      </c>
      <c r="B604" s="17">
        <v>2018</v>
      </c>
      <c r="C604" s="17" t="s">
        <v>790</v>
      </c>
      <c r="D604" s="17">
        <v>3000</v>
      </c>
      <c r="E604" s="17" t="s">
        <v>1445</v>
      </c>
      <c r="F604" s="20">
        <v>2348150</v>
      </c>
    </row>
    <row r="605" spans="1:6" ht="16" customHeight="1" x14ac:dyDescent="0.2">
      <c r="A605">
        <f>IFERROR(VLOOKUP(C605,'GASB Match'!$D$2:$F$6042,3,FALSE),"")</f>
        <v>3402430</v>
      </c>
      <c r="B605" s="17">
        <v>2019</v>
      </c>
      <c r="C605" s="17" t="s">
        <v>790</v>
      </c>
      <c r="D605" s="17">
        <v>3000</v>
      </c>
      <c r="E605" s="17" t="s">
        <v>1445</v>
      </c>
      <c r="F605" s="20">
        <v>2969161</v>
      </c>
    </row>
    <row r="606" spans="1:6" ht="16" customHeight="1" x14ac:dyDescent="0.2">
      <c r="A606">
        <f>IFERROR(VLOOKUP(C606,'GASB Match'!$D$2:$F$6042,3,FALSE),"")</f>
        <v>3402430</v>
      </c>
      <c r="B606" s="17">
        <v>2020</v>
      </c>
      <c r="C606" s="21" t="s">
        <v>790</v>
      </c>
      <c r="D606" s="17">
        <v>3000</v>
      </c>
      <c r="E606" s="17" t="s">
        <v>1445</v>
      </c>
      <c r="F606" s="23">
        <v>3346695</v>
      </c>
    </row>
    <row r="607" spans="1:6" ht="16" customHeight="1" x14ac:dyDescent="0.2">
      <c r="A607">
        <f>IFERROR(VLOOKUP(C607,'GASB Match'!$D$2:$F$6042,3,FALSE),"")</f>
        <v>3402430</v>
      </c>
      <c r="B607" s="17">
        <v>2021</v>
      </c>
      <c r="C607" s="25" t="s">
        <v>790</v>
      </c>
      <c r="D607" s="17">
        <v>3000</v>
      </c>
      <c r="E607" s="17" t="s">
        <v>1445</v>
      </c>
      <c r="F607" s="23">
        <v>4080119</v>
      </c>
    </row>
    <row r="608" spans="1:6" ht="16" customHeight="1" x14ac:dyDescent="0.2">
      <c r="A608">
        <f>IFERROR(VLOOKUP(C608,'GASB Match'!$D$2:$F$6042,3,FALSE),"")</f>
        <v>3402430</v>
      </c>
      <c r="B608" s="17">
        <v>2022</v>
      </c>
      <c r="C608" s="21" t="s">
        <v>790</v>
      </c>
      <c r="D608" s="17">
        <v>3000</v>
      </c>
      <c r="E608" s="17" t="s">
        <v>1445</v>
      </c>
      <c r="F608" s="23">
        <v>5751585</v>
      </c>
    </row>
    <row r="609" spans="1:6" ht="16" customHeight="1" x14ac:dyDescent="0.2">
      <c r="A609">
        <f>IFERROR(VLOOKUP(C609,'GASB Match'!$D$2:$F$6042,3,FALSE),"")</f>
        <v>3402430</v>
      </c>
      <c r="B609" s="17">
        <v>2023</v>
      </c>
      <c r="C609" s="21" t="s">
        <v>790</v>
      </c>
      <c r="D609" s="17">
        <v>3000</v>
      </c>
      <c r="E609" s="17" t="s">
        <v>1445</v>
      </c>
      <c r="F609" s="23">
        <v>5968288</v>
      </c>
    </row>
    <row r="610" spans="1:6" ht="16" customHeight="1" x14ac:dyDescent="0.2">
      <c r="A610">
        <f>IFERROR(VLOOKUP(C610,'GASB Match'!$D$2:$F$6042,3,FALSE),"")</f>
        <v>3402430</v>
      </c>
      <c r="B610" s="28">
        <v>2017</v>
      </c>
      <c r="C610" s="29" t="s">
        <v>109</v>
      </c>
      <c r="D610" s="17">
        <v>3000</v>
      </c>
      <c r="E610" s="17" t="s">
        <v>1404</v>
      </c>
      <c r="F610" s="29">
        <v>1683868</v>
      </c>
    </row>
    <row r="611" spans="1:6" ht="16" customHeight="1" x14ac:dyDescent="0.2">
      <c r="A611">
        <f>IFERROR(VLOOKUP(C611,'GASB Match'!$D$2:$F$6042,3,FALSE),"")</f>
        <v>3402440</v>
      </c>
      <c r="B611" s="17">
        <v>2015</v>
      </c>
      <c r="C611" s="17" t="s">
        <v>110</v>
      </c>
      <c r="D611" s="17">
        <v>3003</v>
      </c>
      <c r="E611" s="17" t="s">
        <v>1404</v>
      </c>
      <c r="F611" s="20">
        <v>1009528</v>
      </c>
    </row>
    <row r="612" spans="1:6" ht="16" customHeight="1" x14ac:dyDescent="0.2">
      <c r="A612">
        <f>IFERROR(VLOOKUP(C612,'GASB Match'!$D$2:$F$6042,3,FALSE),"")</f>
        <v>3402440</v>
      </c>
      <c r="B612" s="17">
        <v>2016</v>
      </c>
      <c r="C612" s="17" t="s">
        <v>110</v>
      </c>
      <c r="D612" s="17">
        <v>3003</v>
      </c>
      <c r="E612" s="17" t="s">
        <v>1404</v>
      </c>
      <c r="F612" s="20">
        <v>1350186</v>
      </c>
    </row>
    <row r="613" spans="1:6" ht="16" customHeight="1" x14ac:dyDescent="0.2">
      <c r="A613">
        <f>IFERROR(VLOOKUP(C613,'GASB Match'!$D$2:$F$6042,3,FALSE),"")</f>
        <v>3402440</v>
      </c>
      <c r="B613" s="17">
        <v>2018</v>
      </c>
      <c r="C613" s="17" t="s">
        <v>791</v>
      </c>
      <c r="D613" s="17">
        <v>3003</v>
      </c>
      <c r="E613" s="17" t="s">
        <v>1445</v>
      </c>
      <c r="F613" s="20">
        <v>2513292</v>
      </c>
    </row>
    <row r="614" spans="1:6" ht="16" customHeight="1" x14ac:dyDescent="0.2">
      <c r="A614">
        <f>IFERROR(VLOOKUP(C614,'GASB Match'!$D$2:$F$6042,3,FALSE),"")</f>
        <v>3402440</v>
      </c>
      <c r="B614" s="17">
        <v>2019</v>
      </c>
      <c r="C614" s="17" t="s">
        <v>791</v>
      </c>
      <c r="D614" s="17">
        <v>3003</v>
      </c>
      <c r="E614" s="17" t="s">
        <v>1445</v>
      </c>
      <c r="F614" s="20">
        <v>3320384</v>
      </c>
    </row>
    <row r="615" spans="1:6" ht="16" customHeight="1" x14ac:dyDescent="0.2">
      <c r="A615">
        <f>IFERROR(VLOOKUP(C615,'GASB Match'!$D$2:$F$6042,3,FALSE),"")</f>
        <v>3402440</v>
      </c>
      <c r="B615" s="17">
        <v>2020</v>
      </c>
      <c r="C615" s="21" t="s">
        <v>791</v>
      </c>
      <c r="D615" s="17">
        <v>3003</v>
      </c>
      <c r="E615" s="17" t="s">
        <v>1445</v>
      </c>
      <c r="F615" s="23">
        <v>3724125</v>
      </c>
    </row>
    <row r="616" spans="1:6" ht="16" customHeight="1" x14ac:dyDescent="0.2">
      <c r="A616">
        <f>IFERROR(VLOOKUP(C616,'GASB Match'!$D$2:$F$6042,3,FALSE),"")</f>
        <v>3402440</v>
      </c>
      <c r="B616" s="17">
        <v>2021</v>
      </c>
      <c r="C616" s="25" t="s">
        <v>791</v>
      </c>
      <c r="D616" s="17">
        <v>3003</v>
      </c>
      <c r="E616" s="17" t="s">
        <v>1445</v>
      </c>
      <c r="F616" s="23">
        <v>4605279</v>
      </c>
    </row>
    <row r="617" spans="1:6" ht="16" customHeight="1" x14ac:dyDescent="0.2">
      <c r="A617">
        <f>IFERROR(VLOOKUP(C617,'GASB Match'!$D$2:$F$6042,3,FALSE),"")</f>
        <v>3402440</v>
      </c>
      <c r="B617" s="17">
        <v>2022</v>
      </c>
      <c r="C617" s="21" t="s">
        <v>791</v>
      </c>
      <c r="D617" s="17">
        <v>3003</v>
      </c>
      <c r="E617" s="17" t="s">
        <v>1445</v>
      </c>
      <c r="F617" s="23">
        <v>6509657</v>
      </c>
    </row>
    <row r="618" spans="1:6" ht="16" customHeight="1" x14ac:dyDescent="0.2">
      <c r="A618">
        <f>IFERROR(VLOOKUP(C618,'GASB Match'!$D$2:$F$6042,3,FALSE),"")</f>
        <v>3402440</v>
      </c>
      <c r="B618" s="17">
        <v>2023</v>
      </c>
      <c r="C618" s="21" t="s">
        <v>791</v>
      </c>
      <c r="D618" s="17">
        <v>3003</v>
      </c>
      <c r="E618" s="17" t="s">
        <v>1445</v>
      </c>
      <c r="F618" s="23">
        <v>6253866</v>
      </c>
    </row>
    <row r="619" spans="1:6" ht="16" customHeight="1" x14ac:dyDescent="0.2">
      <c r="A619">
        <f>IFERROR(VLOOKUP(C619,'GASB Match'!$D$2:$F$6042,3,FALSE),"")</f>
        <v>3402440</v>
      </c>
      <c r="B619" s="28">
        <v>2017</v>
      </c>
      <c r="C619" s="29" t="s">
        <v>110</v>
      </c>
      <c r="D619" s="17">
        <v>3003</v>
      </c>
      <c r="E619" s="17" t="s">
        <v>1404</v>
      </c>
      <c r="F619" s="29">
        <v>1865723</v>
      </c>
    </row>
    <row r="620" spans="1:6" ht="16" customHeight="1" x14ac:dyDescent="0.2">
      <c r="A620">
        <f>IFERROR(VLOOKUP(C620,'GASB Match'!$D$2:$F$6042,3,FALSE),"")</f>
        <v>3402490</v>
      </c>
      <c r="B620" s="17">
        <v>2015</v>
      </c>
      <c r="C620" s="17" t="s">
        <v>111</v>
      </c>
      <c r="D620" s="17">
        <v>951</v>
      </c>
      <c r="E620" s="17" t="s">
        <v>1404</v>
      </c>
      <c r="F620" s="20">
        <v>704986</v>
      </c>
    </row>
    <row r="621" spans="1:6" ht="16" customHeight="1" x14ac:dyDescent="0.2">
      <c r="A621">
        <f>IFERROR(VLOOKUP(C621,'GASB Match'!$D$2:$F$6042,3,FALSE),"")</f>
        <v>3402490</v>
      </c>
      <c r="B621" s="17">
        <v>2016</v>
      </c>
      <c r="C621" s="17" t="s">
        <v>111</v>
      </c>
      <c r="D621" s="17">
        <v>951</v>
      </c>
      <c r="E621" s="17" t="s">
        <v>1404</v>
      </c>
      <c r="F621" s="20">
        <v>1050600</v>
      </c>
    </row>
    <row r="622" spans="1:6" ht="16" customHeight="1" x14ac:dyDescent="0.2">
      <c r="A622">
        <f>IFERROR(VLOOKUP(C622,'GASB Match'!$D$2:$F$6042,3,FALSE),"")</f>
        <v>3402490</v>
      </c>
      <c r="B622" s="17">
        <v>2018</v>
      </c>
      <c r="C622" s="17" t="s">
        <v>792</v>
      </c>
      <c r="D622" s="17">
        <v>951</v>
      </c>
      <c r="E622" s="17" t="s">
        <v>1445</v>
      </c>
      <c r="F622" s="19">
        <v>1910458</v>
      </c>
    </row>
    <row r="623" spans="1:6" ht="16" customHeight="1" x14ac:dyDescent="0.2">
      <c r="A623">
        <f>IFERROR(VLOOKUP(C623,'GASB Match'!$D$2:$F$6042,3,FALSE),"")</f>
        <v>3402490</v>
      </c>
      <c r="B623" s="17">
        <v>2019</v>
      </c>
      <c r="C623" s="17" t="s">
        <v>792</v>
      </c>
      <c r="D623" s="17">
        <v>951</v>
      </c>
      <c r="E623" s="17" t="s">
        <v>1445</v>
      </c>
      <c r="F623" s="20">
        <v>2468585</v>
      </c>
    </row>
    <row r="624" spans="1:6" ht="16" customHeight="1" x14ac:dyDescent="0.2">
      <c r="A624">
        <f>IFERROR(VLOOKUP(C624,'GASB Match'!$D$2:$F$6042,3,FALSE),"")</f>
        <v>3402490</v>
      </c>
      <c r="B624" s="17">
        <v>2020</v>
      </c>
      <c r="C624" s="21" t="s">
        <v>792</v>
      </c>
      <c r="D624" s="17">
        <v>951</v>
      </c>
      <c r="E624" s="17" t="s">
        <v>1445</v>
      </c>
      <c r="F624" s="23">
        <v>2716001</v>
      </c>
    </row>
    <row r="625" spans="1:6" ht="16" customHeight="1" x14ac:dyDescent="0.2">
      <c r="A625">
        <f>IFERROR(VLOOKUP(C625,'GASB Match'!$D$2:$F$6042,3,FALSE),"")</f>
        <v>3402490</v>
      </c>
      <c r="B625" s="17">
        <v>2021</v>
      </c>
      <c r="C625" s="25" t="s">
        <v>792</v>
      </c>
      <c r="D625" s="17">
        <v>951</v>
      </c>
      <c r="E625" s="17" t="s">
        <v>1445</v>
      </c>
      <c r="F625" s="23">
        <v>3463347</v>
      </c>
    </row>
    <row r="626" spans="1:6" ht="16" customHeight="1" x14ac:dyDescent="0.2">
      <c r="A626">
        <f>IFERROR(VLOOKUP(C626,'GASB Match'!$D$2:$F$6042,3,FALSE),"")</f>
        <v>3402490</v>
      </c>
      <c r="B626" s="17">
        <v>2022</v>
      </c>
      <c r="C626" s="21" t="s">
        <v>792</v>
      </c>
      <c r="D626" s="17">
        <v>951</v>
      </c>
      <c r="E626" s="17" t="s">
        <v>1445</v>
      </c>
      <c r="F626" s="23">
        <v>5094131</v>
      </c>
    </row>
    <row r="627" spans="1:6" ht="16" customHeight="1" x14ac:dyDescent="0.2">
      <c r="A627">
        <f>IFERROR(VLOOKUP(C627,'GASB Match'!$D$2:$F$6042,3,FALSE),"")</f>
        <v>3402490</v>
      </c>
      <c r="B627" s="17">
        <v>2023</v>
      </c>
      <c r="C627" s="21" t="s">
        <v>792</v>
      </c>
      <c r="D627" s="17">
        <v>951</v>
      </c>
      <c r="E627" s="17" t="s">
        <v>1445</v>
      </c>
      <c r="F627" s="23">
        <v>5358604</v>
      </c>
    </row>
    <row r="628" spans="1:6" ht="16" customHeight="1" x14ac:dyDescent="0.2">
      <c r="A628">
        <f>IFERROR(VLOOKUP(C628,'GASB Match'!$D$2:$F$6042,3,FALSE),"")</f>
        <v>3402490</v>
      </c>
      <c r="B628" s="28">
        <v>2017</v>
      </c>
      <c r="C628" s="29" t="s">
        <v>111</v>
      </c>
      <c r="D628" s="17">
        <v>951</v>
      </c>
      <c r="E628" s="17" t="s">
        <v>1404</v>
      </c>
      <c r="F628" s="29">
        <v>1499461</v>
      </c>
    </row>
    <row r="629" spans="1:6" ht="16" customHeight="1" x14ac:dyDescent="0.2">
      <c r="A629">
        <f>IFERROR(VLOOKUP(C629,'GASB Match'!$D$2:$F$6042,3,FALSE),"")</f>
        <v>3402460</v>
      </c>
      <c r="B629" s="17">
        <v>2015</v>
      </c>
      <c r="C629" s="17" t="s">
        <v>112</v>
      </c>
      <c r="D629" s="17">
        <v>3014</v>
      </c>
      <c r="E629" s="17" t="s">
        <v>1404</v>
      </c>
      <c r="F629" s="20">
        <v>1317468</v>
      </c>
    </row>
    <row r="630" spans="1:6" ht="16" customHeight="1" x14ac:dyDescent="0.2">
      <c r="A630">
        <f>IFERROR(VLOOKUP(C630,'GASB Match'!$D$2:$F$6042,3,FALSE),"")</f>
        <v>3402460</v>
      </c>
      <c r="B630" s="17">
        <v>2016</v>
      </c>
      <c r="C630" s="17" t="s">
        <v>112</v>
      </c>
      <c r="D630" s="17">
        <v>3014</v>
      </c>
      <c r="E630" s="17" t="s">
        <v>1404</v>
      </c>
      <c r="F630" s="20">
        <v>1925068</v>
      </c>
    </row>
    <row r="631" spans="1:6" ht="16" customHeight="1" x14ac:dyDescent="0.2">
      <c r="A631">
        <f>IFERROR(VLOOKUP(C631,'GASB Match'!$D$2:$F$6042,3,FALSE),"")</f>
        <v>3402460</v>
      </c>
      <c r="B631" s="17">
        <v>2018</v>
      </c>
      <c r="C631" s="17" t="s">
        <v>793</v>
      </c>
      <c r="D631" s="17">
        <v>3014</v>
      </c>
      <c r="E631" s="17" t="s">
        <v>1445</v>
      </c>
      <c r="F631" s="20">
        <v>3687920</v>
      </c>
    </row>
    <row r="632" spans="1:6" ht="16" customHeight="1" x14ac:dyDescent="0.2">
      <c r="A632">
        <f>IFERROR(VLOOKUP(C632,'GASB Match'!$D$2:$F$6042,3,FALSE),"")</f>
        <v>3402460</v>
      </c>
      <c r="B632" s="17">
        <v>2019</v>
      </c>
      <c r="C632" s="17" t="s">
        <v>793</v>
      </c>
      <c r="D632" s="17">
        <v>3014</v>
      </c>
      <c r="E632" s="17" t="s">
        <v>1445</v>
      </c>
      <c r="F632" s="20">
        <v>5034253</v>
      </c>
    </row>
    <row r="633" spans="1:6" ht="16" customHeight="1" x14ac:dyDescent="0.2">
      <c r="A633">
        <f>IFERROR(VLOOKUP(C633,'GASB Match'!$D$2:$F$6042,3,FALSE),"")</f>
        <v>3402460</v>
      </c>
      <c r="B633" s="17">
        <v>2020</v>
      </c>
      <c r="C633" s="21" t="s">
        <v>793</v>
      </c>
      <c r="D633" s="17">
        <v>3014</v>
      </c>
      <c r="E633" s="17" t="s">
        <v>1474</v>
      </c>
      <c r="F633" s="23">
        <v>5677499</v>
      </c>
    </row>
    <row r="634" spans="1:6" ht="16" customHeight="1" x14ac:dyDescent="0.2">
      <c r="A634">
        <f>IFERROR(VLOOKUP(C634,'GASB Match'!$D$2:$F$6042,3,FALSE),"")</f>
        <v>3402460</v>
      </c>
      <c r="B634" s="17">
        <v>2021</v>
      </c>
      <c r="C634" s="25" t="s">
        <v>793</v>
      </c>
      <c r="D634" s="17">
        <v>3014</v>
      </c>
      <c r="E634" s="17" t="s">
        <v>1474</v>
      </c>
      <c r="F634" s="23">
        <v>7504910</v>
      </c>
    </row>
    <row r="635" spans="1:6" ht="16" customHeight="1" x14ac:dyDescent="0.2">
      <c r="A635">
        <f>IFERROR(VLOOKUP(C635,'GASB Match'!$D$2:$F$6042,3,FALSE),"")</f>
        <v>3402460</v>
      </c>
      <c r="B635" s="17">
        <v>2022</v>
      </c>
      <c r="C635" s="21" t="s">
        <v>793</v>
      </c>
      <c r="D635" s="17">
        <v>3014</v>
      </c>
      <c r="E635" s="17" t="s">
        <v>1445</v>
      </c>
      <c r="F635" s="23">
        <v>10592977</v>
      </c>
    </row>
    <row r="636" spans="1:6" ht="16" customHeight="1" x14ac:dyDescent="0.2">
      <c r="A636">
        <f>IFERROR(VLOOKUP(C636,'GASB Match'!$D$2:$F$6042,3,FALSE),"")</f>
        <v>3402460</v>
      </c>
      <c r="B636" s="17">
        <v>2023</v>
      </c>
      <c r="C636" s="21" t="s">
        <v>793</v>
      </c>
      <c r="D636" s="17">
        <v>3014</v>
      </c>
      <c r="E636" s="17" t="s">
        <v>1445</v>
      </c>
      <c r="F636" s="23">
        <v>10415205</v>
      </c>
    </row>
    <row r="637" spans="1:6" ht="16" customHeight="1" x14ac:dyDescent="0.2">
      <c r="A637">
        <f>IFERROR(VLOOKUP(C637,'GASB Match'!$D$2:$F$6042,3,FALSE),"")</f>
        <v>3402460</v>
      </c>
      <c r="B637" s="28">
        <v>2017</v>
      </c>
      <c r="C637" s="29" t="s">
        <v>112</v>
      </c>
      <c r="D637" s="17">
        <v>3014</v>
      </c>
      <c r="E637" s="17" t="s">
        <v>1404</v>
      </c>
      <c r="F637" s="29">
        <v>2742541</v>
      </c>
    </row>
    <row r="638" spans="1:6" ht="16" customHeight="1" x14ac:dyDescent="0.2">
      <c r="A638">
        <f>IFERROR(VLOOKUP(C638,'GASB Match'!$D$2:$F$6042,3,FALSE),"")</f>
        <v>3402520</v>
      </c>
      <c r="B638" s="17">
        <v>2015</v>
      </c>
      <c r="C638" s="17" t="s">
        <v>456</v>
      </c>
      <c r="D638" s="17">
        <v>413</v>
      </c>
      <c r="E638" s="17" t="s">
        <v>1421</v>
      </c>
      <c r="F638" s="20">
        <v>474914</v>
      </c>
    </row>
    <row r="639" spans="1:6" ht="16" customHeight="1" x14ac:dyDescent="0.2">
      <c r="A639">
        <f>IFERROR(VLOOKUP(C639,'GASB Match'!$D$2:$F$6042,3,FALSE),"")</f>
        <v>3402520</v>
      </c>
      <c r="B639" s="17">
        <v>2016</v>
      </c>
      <c r="C639" s="17" t="s">
        <v>456</v>
      </c>
      <c r="D639" s="17">
        <v>413</v>
      </c>
      <c r="E639" s="17" t="s">
        <v>1421</v>
      </c>
      <c r="F639" s="20">
        <v>695449</v>
      </c>
    </row>
    <row r="640" spans="1:6" ht="16" customHeight="1" x14ac:dyDescent="0.2">
      <c r="A640">
        <f>IFERROR(VLOOKUP(C640,'GASB Match'!$D$2:$F$6042,3,FALSE),"")</f>
        <v>3402520</v>
      </c>
      <c r="B640" s="17">
        <v>2018</v>
      </c>
      <c r="C640" s="17" t="s">
        <v>1148</v>
      </c>
      <c r="D640" s="17">
        <v>413</v>
      </c>
      <c r="E640" s="17" t="s">
        <v>1464</v>
      </c>
      <c r="F640" s="20">
        <v>1289521</v>
      </c>
    </row>
    <row r="641" spans="1:6" ht="16" customHeight="1" x14ac:dyDescent="0.2">
      <c r="A641">
        <f>IFERROR(VLOOKUP(C641,'GASB Match'!$D$2:$F$6042,3,FALSE),"")</f>
        <v>3402520</v>
      </c>
      <c r="B641" s="17">
        <v>2019</v>
      </c>
      <c r="C641" s="17" t="s">
        <v>1148</v>
      </c>
      <c r="D641" s="17">
        <v>413</v>
      </c>
      <c r="E641" s="17" t="s">
        <v>1464</v>
      </c>
      <c r="F641" s="20">
        <v>1771168</v>
      </c>
    </row>
    <row r="642" spans="1:6" ht="16" customHeight="1" x14ac:dyDescent="0.2">
      <c r="A642">
        <f>IFERROR(VLOOKUP(C642,'GASB Match'!$D$2:$F$6042,3,FALSE),"")</f>
        <v>3402520</v>
      </c>
      <c r="B642" s="17">
        <v>2020</v>
      </c>
      <c r="C642" s="21" t="s">
        <v>1148</v>
      </c>
      <c r="D642" s="17">
        <v>413</v>
      </c>
      <c r="E642" s="17" t="s">
        <v>1464</v>
      </c>
      <c r="F642" s="23">
        <v>2034421</v>
      </c>
    </row>
    <row r="643" spans="1:6" ht="16" customHeight="1" x14ac:dyDescent="0.2">
      <c r="A643">
        <f>IFERROR(VLOOKUP(C643,'GASB Match'!$D$2:$F$6042,3,FALSE),"")</f>
        <v>3402520</v>
      </c>
      <c r="B643" s="17">
        <v>2021</v>
      </c>
      <c r="C643" s="25" t="s">
        <v>1148</v>
      </c>
      <c r="D643" s="17">
        <v>413</v>
      </c>
      <c r="E643" s="17" t="s">
        <v>1464</v>
      </c>
      <c r="F643" s="23">
        <v>2734293</v>
      </c>
    </row>
    <row r="644" spans="1:6" ht="16" customHeight="1" x14ac:dyDescent="0.2">
      <c r="A644">
        <f>IFERROR(VLOOKUP(C644,'GASB Match'!$D$2:$F$6042,3,FALSE),"")</f>
        <v>3402520</v>
      </c>
      <c r="B644" s="17">
        <v>2022</v>
      </c>
      <c r="C644" s="21" t="s">
        <v>1148</v>
      </c>
      <c r="D644" s="17">
        <v>413</v>
      </c>
      <c r="E644" s="17" t="s">
        <v>1464</v>
      </c>
      <c r="F644" s="23">
        <v>3825844</v>
      </c>
    </row>
    <row r="645" spans="1:6" ht="16" customHeight="1" x14ac:dyDescent="0.2">
      <c r="A645">
        <f>IFERROR(VLOOKUP(C645,'GASB Match'!$D$2:$F$6042,3,FALSE),"")</f>
        <v>3402520</v>
      </c>
      <c r="B645" s="17">
        <v>2023</v>
      </c>
      <c r="C645" s="21" t="s">
        <v>1148</v>
      </c>
      <c r="D645" s="17">
        <v>413</v>
      </c>
      <c r="E645" s="17" t="s">
        <v>1464</v>
      </c>
      <c r="F645" s="23">
        <v>3849227</v>
      </c>
    </row>
    <row r="646" spans="1:6" ht="16" customHeight="1" x14ac:dyDescent="0.2">
      <c r="A646">
        <f>IFERROR(VLOOKUP(C646,'GASB Match'!$D$2:$F$6042,3,FALSE),"")</f>
        <v>3402520</v>
      </c>
      <c r="B646" s="28">
        <v>2017</v>
      </c>
      <c r="C646" s="29" t="s">
        <v>456</v>
      </c>
      <c r="D646" s="17">
        <v>413</v>
      </c>
      <c r="E646" s="17" t="s">
        <v>1421</v>
      </c>
      <c r="F646" s="29">
        <v>1001177</v>
      </c>
    </row>
    <row r="647" spans="1:6" ht="16" customHeight="1" x14ac:dyDescent="0.2">
      <c r="A647">
        <f>IFERROR(VLOOKUP(C647,'GASB Match'!$D$2:$F$6042,3,FALSE),"")</f>
        <v>3402550</v>
      </c>
      <c r="B647" s="17">
        <v>2015</v>
      </c>
      <c r="C647" s="17" t="s">
        <v>584</v>
      </c>
      <c r="D647" s="17">
        <v>774</v>
      </c>
      <c r="E647" s="17" t="s">
        <v>1426</v>
      </c>
      <c r="F647" s="20">
        <v>347593</v>
      </c>
    </row>
    <row r="648" spans="1:6" ht="16" customHeight="1" x14ac:dyDescent="0.2">
      <c r="A648">
        <f>IFERROR(VLOOKUP(C648,'GASB Match'!$D$2:$F$6042,3,FALSE),"")</f>
        <v>3402550</v>
      </c>
      <c r="B648" s="17">
        <v>2016</v>
      </c>
      <c r="C648" s="17" t="s">
        <v>584</v>
      </c>
      <c r="D648" s="17">
        <v>774</v>
      </c>
      <c r="E648" s="17" t="s">
        <v>1426</v>
      </c>
      <c r="F648" s="20">
        <v>512257</v>
      </c>
    </row>
    <row r="649" spans="1:6" ht="16" customHeight="1" x14ac:dyDescent="0.2">
      <c r="A649">
        <f>IFERROR(VLOOKUP(C649,'GASB Match'!$D$2:$F$6042,3,FALSE),"")</f>
        <v>3402550</v>
      </c>
      <c r="B649" s="17">
        <v>2018</v>
      </c>
      <c r="C649" s="17" t="s">
        <v>1277</v>
      </c>
      <c r="D649" s="17">
        <v>774</v>
      </c>
      <c r="E649" s="17" t="s">
        <v>1469</v>
      </c>
      <c r="F649" s="20">
        <v>1000849</v>
      </c>
    </row>
    <row r="650" spans="1:6" ht="16" customHeight="1" x14ac:dyDescent="0.2">
      <c r="A650">
        <f>IFERROR(VLOOKUP(C650,'GASB Match'!$D$2:$F$6042,3,FALSE),"")</f>
        <v>3402550</v>
      </c>
      <c r="B650" s="17">
        <v>2019</v>
      </c>
      <c r="C650" s="17" t="s">
        <v>1277</v>
      </c>
      <c r="D650" s="17">
        <v>774</v>
      </c>
      <c r="E650" s="17" t="s">
        <v>1469</v>
      </c>
      <c r="F650" s="20">
        <v>1338165</v>
      </c>
    </row>
    <row r="651" spans="1:6" ht="16" customHeight="1" x14ac:dyDescent="0.2">
      <c r="A651">
        <f>IFERROR(VLOOKUP(C651,'GASB Match'!$D$2:$F$6042,3,FALSE),"")</f>
        <v>3402550</v>
      </c>
      <c r="B651" s="17">
        <v>2020</v>
      </c>
      <c r="C651" s="21" t="s">
        <v>1277</v>
      </c>
      <c r="D651" s="17">
        <v>774</v>
      </c>
      <c r="E651" s="17" t="s">
        <v>1469</v>
      </c>
      <c r="F651" s="23">
        <v>1527273</v>
      </c>
    </row>
    <row r="652" spans="1:6" ht="16" customHeight="1" x14ac:dyDescent="0.2">
      <c r="A652">
        <f>IFERROR(VLOOKUP(C652,'GASB Match'!$D$2:$F$6042,3,FALSE),"")</f>
        <v>3402550</v>
      </c>
      <c r="B652" s="17">
        <v>2021</v>
      </c>
      <c r="C652" s="25" t="s">
        <v>1277</v>
      </c>
      <c r="D652" s="17">
        <v>774</v>
      </c>
      <c r="E652" s="17" t="s">
        <v>1469</v>
      </c>
      <c r="F652" s="23">
        <v>1925027</v>
      </c>
    </row>
    <row r="653" spans="1:6" ht="16" customHeight="1" x14ac:dyDescent="0.2">
      <c r="A653">
        <f>IFERROR(VLOOKUP(C653,'GASB Match'!$D$2:$F$6042,3,FALSE),"")</f>
        <v>3402550</v>
      </c>
      <c r="B653" s="17">
        <v>2022</v>
      </c>
      <c r="C653" s="21" t="s">
        <v>1277</v>
      </c>
      <c r="D653" s="17">
        <v>774</v>
      </c>
      <c r="E653" s="17" t="s">
        <v>1469</v>
      </c>
      <c r="F653" s="23">
        <v>2588580</v>
      </c>
    </row>
    <row r="654" spans="1:6" ht="16" customHeight="1" x14ac:dyDescent="0.2">
      <c r="A654">
        <f>IFERROR(VLOOKUP(C654,'GASB Match'!$D$2:$F$6042,3,FALSE),"")</f>
        <v>3402550</v>
      </c>
      <c r="B654" s="17">
        <v>2023</v>
      </c>
      <c r="C654" s="21" t="s">
        <v>1277</v>
      </c>
      <c r="D654" s="17">
        <v>774</v>
      </c>
      <c r="E654" s="17" t="s">
        <v>1469</v>
      </c>
      <c r="F654" s="23">
        <v>2427525</v>
      </c>
    </row>
    <row r="655" spans="1:6" ht="16" customHeight="1" x14ac:dyDescent="0.2">
      <c r="A655">
        <f>IFERROR(VLOOKUP(C655,'GASB Match'!$D$2:$F$6042,3,FALSE),"")</f>
        <v>3402550</v>
      </c>
      <c r="B655" s="28">
        <v>2017</v>
      </c>
      <c r="C655" s="29" t="s">
        <v>584</v>
      </c>
      <c r="D655" s="17">
        <v>774</v>
      </c>
      <c r="E655" s="17" t="s">
        <v>1426</v>
      </c>
      <c r="F655" s="29">
        <v>713715</v>
      </c>
    </row>
    <row r="656" spans="1:6" ht="16" customHeight="1" x14ac:dyDescent="0.2">
      <c r="A656">
        <f>IFERROR(VLOOKUP(C656,'GASB Match'!$D$2:$F$6042,3,FALSE),"")</f>
        <v>3402580</v>
      </c>
      <c r="B656" s="17">
        <v>2015</v>
      </c>
      <c r="C656" s="17" t="s">
        <v>232</v>
      </c>
      <c r="D656" s="17">
        <v>6081</v>
      </c>
      <c r="E656" s="17" t="s">
        <v>1411</v>
      </c>
      <c r="F656" s="19">
        <v>927360</v>
      </c>
    </row>
    <row r="657" spans="1:6" ht="16" customHeight="1" x14ac:dyDescent="0.2">
      <c r="A657">
        <f>IFERROR(VLOOKUP(C657,'GASB Match'!$D$2:$F$6042,3,FALSE),"")</f>
        <v>3402580</v>
      </c>
      <c r="B657" s="17">
        <v>2016</v>
      </c>
      <c r="C657" s="17" t="s">
        <v>232</v>
      </c>
      <c r="D657" s="17">
        <v>6081</v>
      </c>
      <c r="E657" s="17" t="s">
        <v>1411</v>
      </c>
      <c r="F657" s="20">
        <v>1336278</v>
      </c>
    </row>
    <row r="658" spans="1:6" ht="16" customHeight="1" x14ac:dyDescent="0.2">
      <c r="A658">
        <f>IFERROR(VLOOKUP(C658,'GASB Match'!$D$2:$F$6042,3,FALSE),"")</f>
        <v>3402580</v>
      </c>
      <c r="B658" s="17">
        <v>2018</v>
      </c>
      <c r="C658" s="17" t="s">
        <v>918</v>
      </c>
      <c r="D658" s="17">
        <v>6081</v>
      </c>
      <c r="E658" s="17" t="s">
        <v>1452</v>
      </c>
      <c r="F658" s="20">
        <v>2688240</v>
      </c>
    </row>
    <row r="659" spans="1:6" ht="16" customHeight="1" x14ac:dyDescent="0.2">
      <c r="A659">
        <f>IFERROR(VLOOKUP(C659,'GASB Match'!$D$2:$F$6042,3,FALSE),"")</f>
        <v>3402580</v>
      </c>
      <c r="B659" s="17">
        <v>2019</v>
      </c>
      <c r="C659" s="17" t="s">
        <v>918</v>
      </c>
      <c r="D659" s="17">
        <v>6081</v>
      </c>
      <c r="E659" s="17" t="s">
        <v>1452</v>
      </c>
      <c r="F659" s="20">
        <v>3649460</v>
      </c>
    </row>
    <row r="660" spans="1:6" ht="16" customHeight="1" x14ac:dyDescent="0.2">
      <c r="A660">
        <f>IFERROR(VLOOKUP(C660,'GASB Match'!$D$2:$F$6042,3,FALSE),"")</f>
        <v>3402580</v>
      </c>
      <c r="B660" s="17">
        <v>2020</v>
      </c>
      <c r="C660" s="21" t="s">
        <v>918</v>
      </c>
      <c r="D660" s="17">
        <v>6081</v>
      </c>
      <c r="E660" s="17" t="s">
        <v>1452</v>
      </c>
      <c r="F660" s="23">
        <v>4031830</v>
      </c>
    </row>
    <row r="661" spans="1:6" ht="16" customHeight="1" x14ac:dyDescent="0.2">
      <c r="A661">
        <f>IFERROR(VLOOKUP(C661,'GASB Match'!$D$2:$F$6042,3,FALSE),"")</f>
        <v>3402580</v>
      </c>
      <c r="B661" s="17">
        <v>2021</v>
      </c>
      <c r="C661" s="25" t="s">
        <v>918</v>
      </c>
      <c r="D661" s="17">
        <v>6081</v>
      </c>
      <c r="E661" s="17" t="s">
        <v>1452</v>
      </c>
      <c r="F661" s="23">
        <v>5323906</v>
      </c>
    </row>
    <row r="662" spans="1:6" ht="16" customHeight="1" x14ac:dyDescent="0.2">
      <c r="A662">
        <f>IFERROR(VLOOKUP(C662,'GASB Match'!$D$2:$F$6042,3,FALSE),"")</f>
        <v>3402580</v>
      </c>
      <c r="B662" s="17">
        <v>2022</v>
      </c>
      <c r="C662" s="21" t="s">
        <v>918</v>
      </c>
      <c r="D662" s="17">
        <v>6081</v>
      </c>
      <c r="E662" s="17" t="s">
        <v>1452</v>
      </c>
      <c r="F662" s="23">
        <v>7860959</v>
      </c>
    </row>
    <row r="663" spans="1:6" ht="16" customHeight="1" x14ac:dyDescent="0.2">
      <c r="A663">
        <f>IFERROR(VLOOKUP(C663,'GASB Match'!$D$2:$F$6042,3,FALSE),"")</f>
        <v>3402580</v>
      </c>
      <c r="B663" s="17">
        <v>2023</v>
      </c>
      <c r="C663" s="21" t="s">
        <v>918</v>
      </c>
      <c r="D663" s="17">
        <v>6081</v>
      </c>
      <c r="E663" s="17" t="s">
        <v>1452</v>
      </c>
      <c r="F663" s="23">
        <v>7885666</v>
      </c>
    </row>
    <row r="664" spans="1:6" ht="16" customHeight="1" x14ac:dyDescent="0.2">
      <c r="A664">
        <f>IFERROR(VLOOKUP(C664,'GASB Match'!$D$2:$F$6042,3,FALSE),"")</f>
        <v>3402580</v>
      </c>
      <c r="B664" s="28">
        <v>2017</v>
      </c>
      <c r="C664" s="29" t="s">
        <v>232</v>
      </c>
      <c r="D664" s="17">
        <v>6081</v>
      </c>
      <c r="E664" s="17" t="s">
        <v>1411</v>
      </c>
      <c r="F664" s="29">
        <v>1995707</v>
      </c>
    </row>
    <row r="665" spans="1:6" ht="16" customHeight="1" x14ac:dyDescent="0.2">
      <c r="A665">
        <f>IFERROR(VLOOKUP(C665,'GASB Match'!$D$2:$F$6042,3,FALSE),"")</f>
        <v>3402610</v>
      </c>
      <c r="B665" s="17">
        <v>2015</v>
      </c>
      <c r="C665" s="17" t="s">
        <v>328</v>
      </c>
      <c r="D665" s="17">
        <v>9014</v>
      </c>
      <c r="E665" s="17" t="s">
        <v>1415</v>
      </c>
      <c r="F665" s="20">
        <v>39132</v>
      </c>
    </row>
    <row r="666" spans="1:6" ht="16" customHeight="1" x14ac:dyDescent="0.2">
      <c r="A666">
        <f>IFERROR(VLOOKUP(C666,'GASB Match'!$D$2:$F$6042,3,FALSE),"")</f>
        <v>3402610</v>
      </c>
      <c r="B666" s="17">
        <v>2016</v>
      </c>
      <c r="C666" s="17" t="s">
        <v>328</v>
      </c>
      <c r="D666" s="17">
        <v>9014</v>
      </c>
      <c r="E666" s="17" t="s">
        <v>1415</v>
      </c>
      <c r="F666" s="20">
        <v>66440</v>
      </c>
    </row>
    <row r="667" spans="1:6" ht="16" customHeight="1" x14ac:dyDescent="0.2">
      <c r="A667">
        <f>IFERROR(VLOOKUP(C667,'GASB Match'!$D$2:$F$6042,3,FALSE),"")</f>
        <v>3402610</v>
      </c>
      <c r="B667" s="17">
        <v>2018</v>
      </c>
      <c r="C667" s="17" t="s">
        <v>1021</v>
      </c>
      <c r="D667" s="17">
        <v>9014</v>
      </c>
      <c r="E667" s="17" t="s">
        <v>1458</v>
      </c>
      <c r="F667" s="20">
        <v>145429</v>
      </c>
    </row>
    <row r="668" spans="1:6" ht="16" customHeight="1" x14ac:dyDescent="0.2">
      <c r="A668">
        <f>IFERROR(VLOOKUP(C668,'GASB Match'!$D$2:$F$6042,3,FALSE),"")</f>
        <v>3402610</v>
      </c>
      <c r="B668" s="17">
        <v>2019</v>
      </c>
      <c r="C668" s="17" t="s">
        <v>1021</v>
      </c>
      <c r="D668" s="17">
        <v>9014</v>
      </c>
      <c r="E668" s="17" t="s">
        <v>1458</v>
      </c>
      <c r="F668" s="20">
        <v>205874</v>
      </c>
    </row>
    <row r="669" spans="1:6" ht="16" customHeight="1" x14ac:dyDescent="0.2">
      <c r="A669">
        <f>IFERROR(VLOOKUP(C669,'GASB Match'!$D$2:$F$6042,3,FALSE),"")</f>
        <v>3402610</v>
      </c>
      <c r="B669" s="17">
        <v>2020</v>
      </c>
      <c r="C669" s="21" t="s">
        <v>1021</v>
      </c>
      <c r="D669" s="17">
        <v>9014</v>
      </c>
      <c r="E669" s="17" t="s">
        <v>1458</v>
      </c>
      <c r="F669" s="23">
        <v>246014</v>
      </c>
    </row>
    <row r="670" spans="1:6" ht="16" customHeight="1" x14ac:dyDescent="0.2">
      <c r="A670">
        <f>IFERROR(VLOOKUP(C670,'GASB Match'!$D$2:$F$6042,3,FALSE),"")</f>
        <v>3402610</v>
      </c>
      <c r="B670" s="17">
        <v>2021</v>
      </c>
      <c r="C670" s="25" t="s">
        <v>1021</v>
      </c>
      <c r="D670" s="17">
        <v>9014</v>
      </c>
      <c r="E670" s="17" t="s">
        <v>1458</v>
      </c>
      <c r="F670" s="23">
        <v>306970</v>
      </c>
    </row>
    <row r="671" spans="1:6" ht="16" customHeight="1" x14ac:dyDescent="0.2">
      <c r="A671">
        <f>IFERROR(VLOOKUP(C671,'GASB Match'!$D$2:$F$6042,3,FALSE),"")</f>
        <v>3402610</v>
      </c>
      <c r="B671" s="17">
        <v>2022</v>
      </c>
      <c r="C671" s="21" t="s">
        <v>1021</v>
      </c>
      <c r="D671" s="17">
        <v>9014</v>
      </c>
      <c r="E671" s="17" t="s">
        <v>1458</v>
      </c>
      <c r="F671" s="23">
        <v>428879</v>
      </c>
    </row>
    <row r="672" spans="1:6" ht="16" customHeight="1" x14ac:dyDescent="0.2">
      <c r="A672">
        <f>IFERROR(VLOOKUP(C672,'GASB Match'!$D$2:$F$6042,3,FALSE),"")</f>
        <v>3402610</v>
      </c>
      <c r="B672" s="17">
        <v>2023</v>
      </c>
      <c r="C672" s="21" t="s">
        <v>1021</v>
      </c>
      <c r="D672" s="17">
        <v>9014</v>
      </c>
      <c r="E672" s="17" t="s">
        <v>1458</v>
      </c>
      <c r="F672" s="23">
        <v>403543</v>
      </c>
    </row>
    <row r="673" spans="1:6" ht="16" customHeight="1" x14ac:dyDescent="0.2">
      <c r="A673">
        <f>IFERROR(VLOOKUP(C673,'GASB Match'!$D$2:$F$6042,3,FALSE),"")</f>
        <v>3402610</v>
      </c>
      <c r="B673" s="28">
        <v>2017</v>
      </c>
      <c r="C673" s="29" t="s">
        <v>328</v>
      </c>
      <c r="D673" s="17">
        <v>9014</v>
      </c>
      <c r="E673" s="17" t="s">
        <v>1415</v>
      </c>
      <c r="F673" s="29">
        <v>108156</v>
      </c>
    </row>
    <row r="674" spans="1:6" ht="16" customHeight="1" x14ac:dyDescent="0.2">
      <c r="A674">
        <f>IFERROR(VLOOKUP(C674,'GASB Match'!$D$2:$F$6042,3,FALSE),"")</f>
        <v>3400071</v>
      </c>
      <c r="B674" s="17">
        <v>2015</v>
      </c>
      <c r="C674" s="17" t="s">
        <v>156</v>
      </c>
      <c r="D674" s="17">
        <v>4003</v>
      </c>
      <c r="E674" s="17" t="s">
        <v>1405</v>
      </c>
      <c r="F674" s="20">
        <v>147203</v>
      </c>
    </row>
    <row r="675" spans="1:6" ht="16" customHeight="1" x14ac:dyDescent="0.2">
      <c r="A675">
        <f>IFERROR(VLOOKUP(C675,'GASB Match'!$D$2:$F$6042,3,FALSE),"")</f>
        <v>3400071</v>
      </c>
      <c r="B675" s="17">
        <v>2016</v>
      </c>
      <c r="C675" s="17" t="s">
        <v>156</v>
      </c>
      <c r="D675" s="17">
        <v>4003</v>
      </c>
      <c r="E675" s="17" t="s">
        <v>1405</v>
      </c>
      <c r="F675" s="20">
        <v>209344</v>
      </c>
    </row>
    <row r="676" spans="1:6" ht="16" customHeight="1" x14ac:dyDescent="0.2">
      <c r="A676">
        <f>IFERROR(VLOOKUP(C676,'GASB Match'!$D$2:$F$6042,3,FALSE),"")</f>
        <v>3400071</v>
      </c>
      <c r="B676" s="17">
        <v>2018</v>
      </c>
      <c r="C676" s="17" t="s">
        <v>837</v>
      </c>
      <c r="D676" s="17">
        <v>4003</v>
      </c>
      <c r="E676" s="17" t="s">
        <v>1446</v>
      </c>
      <c r="F676" s="20">
        <v>94287</v>
      </c>
    </row>
    <row r="677" spans="1:6" ht="16" customHeight="1" x14ac:dyDescent="0.2">
      <c r="A677">
        <f>IFERROR(VLOOKUP(C677,'GASB Match'!$D$2:$F$6042,3,FALSE),"")</f>
        <v>3400071</v>
      </c>
      <c r="B677" s="28">
        <v>2017</v>
      </c>
      <c r="C677" s="29" t="s">
        <v>156</v>
      </c>
      <c r="D677" s="17">
        <v>4003</v>
      </c>
      <c r="E677" s="17" t="s">
        <v>1405</v>
      </c>
      <c r="F677" s="29">
        <v>347119</v>
      </c>
    </row>
    <row r="678" spans="1:6" ht="16" customHeight="1" x14ac:dyDescent="0.2">
      <c r="A678">
        <f>IFERROR(VLOOKUP(C678,'GASB Match'!$D$2:$F$6042,3,FALSE),"")</f>
        <v>3402640</v>
      </c>
      <c r="B678" s="17">
        <v>2015</v>
      </c>
      <c r="C678" s="17" t="s">
        <v>157</v>
      </c>
      <c r="D678" s="17">
        <v>4000</v>
      </c>
      <c r="E678" s="17" t="s">
        <v>1405</v>
      </c>
      <c r="F678" s="20">
        <v>6104990</v>
      </c>
    </row>
    <row r="679" spans="1:6" ht="16" customHeight="1" x14ac:dyDescent="0.2">
      <c r="A679">
        <f>IFERROR(VLOOKUP(C679,'GASB Match'!$D$2:$F$6042,3,FALSE),"")</f>
        <v>3402640</v>
      </c>
      <c r="B679" s="17">
        <v>2016</v>
      </c>
      <c r="C679" s="17" t="s">
        <v>157</v>
      </c>
      <c r="D679" s="17">
        <v>4000</v>
      </c>
      <c r="E679" s="17" t="s">
        <v>1405</v>
      </c>
      <c r="F679" s="20">
        <v>8171207</v>
      </c>
    </row>
    <row r="680" spans="1:6" ht="16" customHeight="1" x14ac:dyDescent="0.2">
      <c r="A680">
        <f>IFERROR(VLOOKUP(C680,'GASB Match'!$D$2:$F$6042,3,FALSE),"")</f>
        <v>3402640</v>
      </c>
      <c r="B680" s="17">
        <v>2018</v>
      </c>
      <c r="C680" s="17" t="s">
        <v>838</v>
      </c>
      <c r="D680" s="17">
        <v>4000</v>
      </c>
      <c r="E680" s="17" t="s">
        <v>1446</v>
      </c>
      <c r="F680" s="20">
        <v>11466462</v>
      </c>
    </row>
    <row r="681" spans="1:6" ht="16" customHeight="1" x14ac:dyDescent="0.2">
      <c r="A681">
        <f>IFERROR(VLOOKUP(C681,'GASB Match'!$D$2:$F$6042,3,FALSE),"")</f>
        <v>3402640</v>
      </c>
      <c r="B681" s="17">
        <v>2019</v>
      </c>
      <c r="C681" s="17" t="s">
        <v>838</v>
      </c>
      <c r="D681" s="17">
        <v>4000</v>
      </c>
      <c r="E681" s="17" t="s">
        <v>1446</v>
      </c>
      <c r="F681" s="20">
        <v>14287367</v>
      </c>
    </row>
    <row r="682" spans="1:6" ht="16" customHeight="1" x14ac:dyDescent="0.2">
      <c r="A682">
        <f>IFERROR(VLOOKUP(C682,'GASB Match'!$D$2:$F$6042,3,FALSE),"")</f>
        <v>3402640</v>
      </c>
      <c r="B682" s="17">
        <v>2020</v>
      </c>
      <c r="C682" s="21" t="s">
        <v>838</v>
      </c>
      <c r="D682" s="17">
        <v>4000</v>
      </c>
      <c r="E682" s="17" t="s">
        <v>1446</v>
      </c>
      <c r="F682" s="23">
        <v>14584583</v>
      </c>
    </row>
    <row r="683" spans="1:6" ht="16" customHeight="1" x14ac:dyDescent="0.2">
      <c r="A683">
        <f>IFERROR(VLOOKUP(C683,'GASB Match'!$D$2:$F$6042,3,FALSE),"")</f>
        <v>3402640</v>
      </c>
      <c r="B683" s="17">
        <v>2021</v>
      </c>
      <c r="C683" s="25" t="s">
        <v>838</v>
      </c>
      <c r="D683" s="17">
        <v>4000</v>
      </c>
      <c r="E683" s="17" t="s">
        <v>1446</v>
      </c>
      <c r="F683" s="23">
        <v>18016487</v>
      </c>
    </row>
    <row r="684" spans="1:6" ht="16" customHeight="1" x14ac:dyDescent="0.2">
      <c r="A684">
        <f>IFERROR(VLOOKUP(C684,'GASB Match'!$D$2:$F$6042,3,FALSE),"")</f>
        <v>3402640</v>
      </c>
      <c r="B684" s="17">
        <v>2022</v>
      </c>
      <c r="C684" s="21" t="s">
        <v>838</v>
      </c>
      <c r="D684" s="17">
        <v>4000</v>
      </c>
      <c r="E684" s="17" t="s">
        <v>1446</v>
      </c>
      <c r="F684" s="23">
        <v>24011948</v>
      </c>
    </row>
    <row r="685" spans="1:6" ht="16" customHeight="1" x14ac:dyDescent="0.2">
      <c r="A685">
        <f>IFERROR(VLOOKUP(C685,'GASB Match'!$D$2:$F$6042,3,FALSE),"")</f>
        <v>3402640</v>
      </c>
      <c r="B685" s="17">
        <v>2023</v>
      </c>
      <c r="C685" s="21" t="s">
        <v>838</v>
      </c>
      <c r="D685" s="17">
        <v>4000</v>
      </c>
      <c r="E685" s="17" t="s">
        <v>1446</v>
      </c>
      <c r="F685" s="23">
        <v>23226970</v>
      </c>
    </row>
    <row r="686" spans="1:6" ht="16" customHeight="1" x14ac:dyDescent="0.2">
      <c r="A686">
        <f>IFERROR(VLOOKUP(C686,'GASB Match'!$D$2:$F$6042,3,FALSE),"")</f>
        <v>3402640</v>
      </c>
      <c r="B686" s="28">
        <v>2017</v>
      </c>
      <c r="C686" s="29" t="s">
        <v>157</v>
      </c>
      <c r="D686" s="17">
        <v>4000</v>
      </c>
      <c r="E686" s="17" t="s">
        <v>1405</v>
      </c>
      <c r="F686" s="29">
        <v>9491562</v>
      </c>
    </row>
    <row r="687" spans="1:6" ht="16" customHeight="1" x14ac:dyDescent="0.2">
      <c r="A687">
        <f>IFERROR(VLOOKUP(C687,'GASB Match'!$D$2:$F$6042,3,FALSE),"")</f>
        <v>3480340</v>
      </c>
      <c r="B687" s="17">
        <v>2015</v>
      </c>
      <c r="C687" s="17" t="s">
        <v>158</v>
      </c>
      <c r="D687" s="17">
        <v>4019</v>
      </c>
      <c r="E687" s="17" t="s">
        <v>1405</v>
      </c>
      <c r="F687" s="20">
        <v>203054</v>
      </c>
    </row>
    <row r="688" spans="1:6" ht="16" customHeight="1" x14ac:dyDescent="0.2">
      <c r="A688">
        <f>IFERROR(VLOOKUP(C688,'GASB Match'!$D$2:$F$6042,3,FALSE),"")</f>
        <v>3480340</v>
      </c>
      <c r="B688" s="17">
        <v>2016</v>
      </c>
      <c r="C688" s="17" t="s">
        <v>158</v>
      </c>
      <c r="D688" s="17">
        <v>4019</v>
      </c>
      <c r="E688" s="17" t="s">
        <v>1405</v>
      </c>
      <c r="F688" s="20">
        <v>269188</v>
      </c>
    </row>
    <row r="689" spans="1:6" ht="16" customHeight="1" x14ac:dyDescent="0.2">
      <c r="A689">
        <f>IFERROR(VLOOKUP(C689,'GASB Match'!$D$2:$F$6042,3,FALSE),"")</f>
        <v>3480340</v>
      </c>
      <c r="B689" s="17">
        <v>2018</v>
      </c>
      <c r="C689" s="17" t="s">
        <v>839</v>
      </c>
      <c r="D689" s="17">
        <v>4019</v>
      </c>
      <c r="E689" s="17" t="s">
        <v>1446</v>
      </c>
      <c r="F689" s="20">
        <v>626007</v>
      </c>
    </row>
    <row r="690" spans="1:6" ht="16" customHeight="1" x14ac:dyDescent="0.2">
      <c r="A690">
        <f>IFERROR(VLOOKUP(C690,'GASB Match'!$D$2:$F$6042,3,FALSE),"")</f>
        <v>3480340</v>
      </c>
      <c r="B690" s="17">
        <v>2019</v>
      </c>
      <c r="C690" s="17" t="s">
        <v>839</v>
      </c>
      <c r="D690" s="17">
        <v>4019</v>
      </c>
      <c r="E690" s="17" t="s">
        <v>1446</v>
      </c>
      <c r="F690" s="20">
        <v>956626</v>
      </c>
    </row>
    <row r="691" spans="1:6" ht="16" customHeight="1" x14ac:dyDescent="0.2">
      <c r="A691">
        <f>IFERROR(VLOOKUP(C691,'GASB Match'!$D$2:$F$6042,3,FALSE),"")</f>
        <v>3480340</v>
      </c>
      <c r="B691" s="17">
        <v>2020</v>
      </c>
      <c r="C691" s="21" t="s">
        <v>839</v>
      </c>
      <c r="D691" s="17">
        <v>4019</v>
      </c>
      <c r="E691" s="17" t="s">
        <v>1446</v>
      </c>
      <c r="F691" s="23">
        <v>1213704</v>
      </c>
    </row>
    <row r="692" spans="1:6" ht="16" customHeight="1" x14ac:dyDescent="0.2">
      <c r="A692">
        <f>IFERROR(VLOOKUP(C692,'GASB Match'!$D$2:$F$6042,3,FALSE),"")</f>
        <v>3480340</v>
      </c>
      <c r="B692" s="17">
        <v>2021</v>
      </c>
      <c r="C692" s="25" t="s">
        <v>839</v>
      </c>
      <c r="D692" s="17">
        <v>4019</v>
      </c>
      <c r="E692" s="17" t="s">
        <v>1446</v>
      </c>
      <c r="F692" s="23">
        <v>1665189</v>
      </c>
    </row>
    <row r="693" spans="1:6" ht="16" customHeight="1" x14ac:dyDescent="0.2">
      <c r="A693">
        <f>IFERROR(VLOOKUP(C693,'GASB Match'!$D$2:$F$6042,3,FALSE),"")</f>
        <v>3480340</v>
      </c>
      <c r="B693" s="17">
        <v>2022</v>
      </c>
      <c r="C693" s="21" t="s">
        <v>839</v>
      </c>
      <c r="D693" s="17">
        <v>4019</v>
      </c>
      <c r="E693" s="17" t="s">
        <v>1446</v>
      </c>
      <c r="F693" s="23">
        <v>2529865</v>
      </c>
    </row>
    <row r="694" spans="1:6" ht="16" customHeight="1" x14ac:dyDescent="0.2">
      <c r="A694">
        <f>IFERROR(VLOOKUP(C694,'GASB Match'!$D$2:$F$6042,3,FALSE),"")</f>
        <v>3480340</v>
      </c>
      <c r="B694" s="17">
        <v>2023</v>
      </c>
      <c r="C694" s="21" t="s">
        <v>839</v>
      </c>
      <c r="D694" s="17">
        <v>4019</v>
      </c>
      <c r="E694" s="17" t="s">
        <v>1446</v>
      </c>
      <c r="F694" s="23">
        <v>2660825</v>
      </c>
    </row>
    <row r="695" spans="1:6" ht="16" customHeight="1" x14ac:dyDescent="0.2">
      <c r="A695">
        <f>IFERROR(VLOOKUP(C695,'GASB Match'!$D$2:$F$6042,3,FALSE),"")</f>
        <v>3480340</v>
      </c>
      <c r="B695" s="28">
        <v>2017</v>
      </c>
      <c r="C695" s="29" t="s">
        <v>158</v>
      </c>
      <c r="D695" s="17">
        <v>4019</v>
      </c>
      <c r="E695" s="17" t="s">
        <v>1405</v>
      </c>
      <c r="F695" s="29">
        <v>420505</v>
      </c>
    </row>
    <row r="696" spans="1:6" ht="16" customHeight="1" x14ac:dyDescent="0.2">
      <c r="A696">
        <f>IFERROR(VLOOKUP(C696,'GASB Match'!$D$2:$F$6042,3,FALSE),"")</f>
        <v>3400768</v>
      </c>
      <c r="B696" s="17">
        <v>2018</v>
      </c>
      <c r="C696" s="17" t="s">
        <v>840</v>
      </c>
      <c r="D696" s="17">
        <v>4082</v>
      </c>
      <c r="E696" s="17" t="s">
        <v>1446</v>
      </c>
      <c r="F696" s="20">
        <v>466814</v>
      </c>
    </row>
    <row r="697" spans="1:6" ht="16" customHeight="1" x14ac:dyDescent="0.2">
      <c r="A697">
        <f>IFERROR(VLOOKUP(C697,'GASB Match'!$D$2:$F$6042,3,FALSE),"")</f>
        <v>3400768</v>
      </c>
      <c r="B697" s="17">
        <v>2019</v>
      </c>
      <c r="C697" s="17" t="s">
        <v>840</v>
      </c>
      <c r="D697" s="17">
        <v>4082</v>
      </c>
      <c r="E697" s="17" t="s">
        <v>1446</v>
      </c>
      <c r="F697" s="20">
        <v>642718</v>
      </c>
    </row>
    <row r="698" spans="1:6" ht="16" customHeight="1" x14ac:dyDescent="0.2">
      <c r="A698">
        <f>IFERROR(VLOOKUP(C698,'GASB Match'!$D$2:$F$6042,3,FALSE),"")</f>
        <v>3400768</v>
      </c>
      <c r="B698" s="28">
        <v>2017</v>
      </c>
      <c r="C698" s="29" t="s">
        <v>674</v>
      </c>
      <c r="D698" s="17">
        <v>4082</v>
      </c>
      <c r="E698" s="17" t="s">
        <v>1405</v>
      </c>
      <c r="F698" s="29">
        <v>177016</v>
      </c>
    </row>
    <row r="699" spans="1:6" ht="16" customHeight="1" x14ac:dyDescent="0.2">
      <c r="A699">
        <f>IFERROR(VLOOKUP(C699,'GASB Match'!$D$2:$F$6042,3,FALSE),"")</f>
        <v>3402670</v>
      </c>
      <c r="B699" s="17">
        <v>2015</v>
      </c>
      <c r="C699" s="17" t="s">
        <v>159</v>
      </c>
      <c r="D699" s="17">
        <v>977</v>
      </c>
      <c r="E699" s="17" t="s">
        <v>1405</v>
      </c>
      <c r="F699" s="20">
        <v>877328</v>
      </c>
    </row>
    <row r="700" spans="1:6" ht="16" customHeight="1" x14ac:dyDescent="0.2">
      <c r="A700">
        <f>IFERROR(VLOOKUP(C700,'GASB Match'!$D$2:$F$6042,3,FALSE),"")</f>
        <v>3402670</v>
      </c>
      <c r="B700" s="17">
        <v>2016</v>
      </c>
      <c r="C700" s="17" t="s">
        <v>159</v>
      </c>
      <c r="D700" s="17">
        <v>977</v>
      </c>
      <c r="E700" s="17" t="s">
        <v>1405</v>
      </c>
      <c r="F700" s="20">
        <v>1303700</v>
      </c>
    </row>
    <row r="701" spans="1:6" ht="16" customHeight="1" x14ac:dyDescent="0.2">
      <c r="A701">
        <f>IFERROR(VLOOKUP(C701,'GASB Match'!$D$2:$F$6042,3,FALSE),"")</f>
        <v>3402670</v>
      </c>
      <c r="B701" s="17">
        <v>2018</v>
      </c>
      <c r="C701" s="17" t="s">
        <v>841</v>
      </c>
      <c r="D701" s="17">
        <v>977</v>
      </c>
      <c r="E701" s="17" t="s">
        <v>1446</v>
      </c>
      <c r="F701" s="20">
        <v>2388134</v>
      </c>
    </row>
    <row r="702" spans="1:6" ht="16" customHeight="1" x14ac:dyDescent="0.2">
      <c r="A702">
        <f>IFERROR(VLOOKUP(C702,'GASB Match'!$D$2:$F$6042,3,FALSE),"")</f>
        <v>3402670</v>
      </c>
      <c r="B702" s="17">
        <v>2019</v>
      </c>
      <c r="C702" s="17" t="s">
        <v>841</v>
      </c>
      <c r="D702" s="17">
        <v>977</v>
      </c>
      <c r="E702" s="17" t="s">
        <v>1446</v>
      </c>
      <c r="F702" s="20">
        <v>3166292</v>
      </c>
    </row>
    <row r="703" spans="1:6" ht="16" customHeight="1" x14ac:dyDescent="0.2">
      <c r="A703">
        <f>IFERROR(VLOOKUP(C703,'GASB Match'!$D$2:$F$6042,3,FALSE),"")</f>
        <v>3402670</v>
      </c>
      <c r="B703" s="17">
        <v>2020</v>
      </c>
      <c r="C703" s="21" t="s">
        <v>841</v>
      </c>
      <c r="D703" s="17">
        <v>977</v>
      </c>
      <c r="E703" s="17" t="s">
        <v>1446</v>
      </c>
      <c r="F703" s="23">
        <v>3479719</v>
      </c>
    </row>
    <row r="704" spans="1:6" ht="16" customHeight="1" x14ac:dyDescent="0.2">
      <c r="A704">
        <f>IFERROR(VLOOKUP(C704,'GASB Match'!$D$2:$F$6042,3,FALSE),"")</f>
        <v>3402670</v>
      </c>
      <c r="B704" s="17">
        <v>2021</v>
      </c>
      <c r="C704" s="25" t="s">
        <v>841</v>
      </c>
      <c r="D704" s="17">
        <v>977</v>
      </c>
      <c r="E704" s="17" t="s">
        <v>1446</v>
      </c>
      <c r="F704" s="23">
        <v>4365229</v>
      </c>
    </row>
    <row r="705" spans="1:6" ht="16" customHeight="1" x14ac:dyDescent="0.2">
      <c r="A705">
        <f>IFERROR(VLOOKUP(C705,'GASB Match'!$D$2:$F$6042,3,FALSE),"")</f>
        <v>3402670</v>
      </c>
      <c r="B705" s="17">
        <v>2022</v>
      </c>
      <c r="C705" s="21" t="s">
        <v>841</v>
      </c>
      <c r="D705" s="17">
        <v>977</v>
      </c>
      <c r="E705" s="17" t="s">
        <v>1446</v>
      </c>
      <c r="F705" s="23">
        <v>6303513</v>
      </c>
    </row>
    <row r="706" spans="1:6" ht="16" customHeight="1" x14ac:dyDescent="0.2">
      <c r="A706">
        <f>IFERROR(VLOOKUP(C706,'GASB Match'!$D$2:$F$6042,3,FALSE),"")</f>
        <v>3402670</v>
      </c>
      <c r="B706" s="17">
        <v>2023</v>
      </c>
      <c r="C706" s="21" t="s">
        <v>841</v>
      </c>
      <c r="D706" s="17">
        <v>977</v>
      </c>
      <c r="E706" s="17" t="s">
        <v>1446</v>
      </c>
      <c r="F706" s="23">
        <v>6185405</v>
      </c>
    </row>
    <row r="707" spans="1:6" ht="16" customHeight="1" x14ac:dyDescent="0.2">
      <c r="A707">
        <f>IFERROR(VLOOKUP(C707,'GASB Match'!$D$2:$F$6042,3,FALSE),"")</f>
        <v>3402670</v>
      </c>
      <c r="B707" s="28">
        <v>2017</v>
      </c>
      <c r="C707" s="29" t="s">
        <v>159</v>
      </c>
      <c r="D707" s="17">
        <v>977</v>
      </c>
      <c r="E707" s="17" t="s">
        <v>1405</v>
      </c>
      <c r="F707" s="29">
        <v>1809116</v>
      </c>
    </row>
    <row r="708" spans="1:6" ht="16" customHeight="1" x14ac:dyDescent="0.2">
      <c r="A708">
        <f>IFERROR(VLOOKUP(C708,'GASB Match'!$D$2:$F$6042,3,FALSE),"")</f>
        <v>3400776</v>
      </c>
      <c r="B708" s="17">
        <v>2023</v>
      </c>
      <c r="C708" s="21" t="s">
        <v>1382</v>
      </c>
      <c r="D708" s="17">
        <v>4086</v>
      </c>
      <c r="E708" s="17" t="s">
        <v>1446</v>
      </c>
      <c r="F708" s="23">
        <v>921194</v>
      </c>
    </row>
    <row r="709" spans="1:6" ht="16" customHeight="1" x14ac:dyDescent="0.2">
      <c r="A709">
        <f>IFERROR(VLOOKUP(C709,'GASB Match'!$D$2:$F$6042,3,FALSE),"")</f>
        <v>3400721</v>
      </c>
      <c r="B709" s="17">
        <v>2015</v>
      </c>
      <c r="C709" s="17" t="s">
        <v>160</v>
      </c>
      <c r="D709" s="17">
        <v>4077</v>
      </c>
      <c r="E709" s="17" t="s">
        <v>1405</v>
      </c>
      <c r="F709" s="20">
        <v>75453</v>
      </c>
    </row>
    <row r="710" spans="1:6" ht="16" customHeight="1" x14ac:dyDescent="0.2">
      <c r="A710">
        <f>IFERROR(VLOOKUP(C710,'GASB Match'!$D$2:$F$6042,3,FALSE),"")</f>
        <v>3400721</v>
      </c>
      <c r="B710" s="17">
        <v>2016</v>
      </c>
      <c r="C710" s="17" t="s">
        <v>160</v>
      </c>
      <c r="D710" s="17">
        <v>4077</v>
      </c>
      <c r="E710" s="17" t="s">
        <v>1405</v>
      </c>
      <c r="F710" s="20">
        <v>115636</v>
      </c>
    </row>
    <row r="711" spans="1:6" ht="16" customHeight="1" x14ac:dyDescent="0.2">
      <c r="A711">
        <f>IFERROR(VLOOKUP(C711,'GASB Match'!$D$2:$F$6042,3,FALSE),"")</f>
        <v>3400721</v>
      </c>
      <c r="B711" s="28">
        <v>2017</v>
      </c>
      <c r="C711" s="29" t="s">
        <v>160</v>
      </c>
      <c r="D711" s="17">
        <v>4077</v>
      </c>
      <c r="E711" s="17" t="s">
        <v>1405</v>
      </c>
      <c r="F711" s="29">
        <v>177334</v>
      </c>
    </row>
    <row r="712" spans="1:6" ht="16" customHeight="1" x14ac:dyDescent="0.2">
      <c r="A712">
        <f>IFERROR(VLOOKUP(C712,'GASB Match'!$D$2:$F$6042,3,FALSE),"")</f>
        <v>3400721</v>
      </c>
      <c r="B712" s="17">
        <v>2018</v>
      </c>
      <c r="C712" s="17" t="s">
        <v>842</v>
      </c>
      <c r="D712" s="17">
        <v>4077</v>
      </c>
      <c r="E712" s="17" t="s">
        <v>1446</v>
      </c>
      <c r="F712" s="20">
        <v>33923</v>
      </c>
    </row>
    <row r="713" spans="1:6" ht="16" customHeight="1" x14ac:dyDescent="0.2">
      <c r="A713">
        <f>IFERROR(VLOOKUP(C713,'GASB Match'!$D$2:$F$6042,3,FALSE),"")</f>
        <v>3400785</v>
      </c>
      <c r="B713" s="17">
        <v>2015</v>
      </c>
      <c r="C713" s="17" t="s">
        <v>161</v>
      </c>
      <c r="D713" s="17">
        <v>4002</v>
      </c>
      <c r="E713" s="17" t="s">
        <v>1405</v>
      </c>
      <c r="F713" s="20">
        <v>1338</v>
      </c>
    </row>
    <row r="714" spans="1:6" ht="16" customHeight="1" x14ac:dyDescent="0.2">
      <c r="A714">
        <f>IFERROR(VLOOKUP(C714,'GASB Match'!$D$2:$F$6042,3,FALSE),"")</f>
        <v>3400785</v>
      </c>
      <c r="B714" s="17">
        <v>2015</v>
      </c>
      <c r="C714" s="17" t="s">
        <v>161</v>
      </c>
      <c r="D714" s="17">
        <v>4002</v>
      </c>
      <c r="E714" s="17" t="s">
        <v>1405</v>
      </c>
      <c r="F714" s="20">
        <v>158143</v>
      </c>
    </row>
    <row r="715" spans="1:6" ht="16" customHeight="1" x14ac:dyDescent="0.2">
      <c r="A715">
        <f>IFERROR(VLOOKUP(C715,'GASB Match'!$D$2:$F$6042,3,FALSE),"")</f>
        <v>3400785</v>
      </c>
      <c r="B715" s="17">
        <v>2016</v>
      </c>
      <c r="C715" s="17" t="s">
        <v>161</v>
      </c>
      <c r="D715" s="17">
        <v>4002</v>
      </c>
      <c r="E715" s="17" t="s">
        <v>1405</v>
      </c>
      <c r="F715" s="20">
        <v>1962</v>
      </c>
    </row>
    <row r="716" spans="1:6" ht="16" customHeight="1" x14ac:dyDescent="0.2">
      <c r="A716">
        <f>IFERROR(VLOOKUP(C716,'GASB Match'!$D$2:$F$6042,3,FALSE),"")</f>
        <v>3400785</v>
      </c>
      <c r="B716" s="17">
        <v>2016</v>
      </c>
      <c r="C716" s="17" t="s">
        <v>161</v>
      </c>
      <c r="D716" s="17">
        <v>4002</v>
      </c>
      <c r="E716" s="17" t="s">
        <v>1405</v>
      </c>
      <c r="F716" s="20">
        <v>226321</v>
      </c>
    </row>
    <row r="717" spans="1:6" ht="16" customHeight="1" x14ac:dyDescent="0.2">
      <c r="A717">
        <f>IFERROR(VLOOKUP(C717,'GASB Match'!$D$2:$F$6042,3,FALSE),"")</f>
        <v>3400785</v>
      </c>
      <c r="B717" s="17">
        <v>2018</v>
      </c>
      <c r="C717" s="17" t="s">
        <v>843</v>
      </c>
      <c r="D717" s="17">
        <v>4002</v>
      </c>
      <c r="E717" s="17" t="s">
        <v>1446</v>
      </c>
      <c r="F717" s="20">
        <v>3625</v>
      </c>
    </row>
    <row r="718" spans="1:6" ht="16" customHeight="1" x14ac:dyDescent="0.2">
      <c r="A718">
        <f>IFERROR(VLOOKUP(C718,'GASB Match'!$D$2:$F$6042,3,FALSE),"")</f>
        <v>3400785</v>
      </c>
      <c r="B718" s="17">
        <v>2018</v>
      </c>
      <c r="C718" s="17" t="s">
        <v>843</v>
      </c>
      <c r="D718" s="17">
        <v>4002</v>
      </c>
      <c r="E718" s="17" t="s">
        <v>1446</v>
      </c>
      <c r="F718" s="20">
        <v>1151612</v>
      </c>
    </row>
    <row r="719" spans="1:6" ht="16" customHeight="1" x14ac:dyDescent="0.2">
      <c r="A719">
        <f>IFERROR(VLOOKUP(C719,'GASB Match'!$D$2:$F$6042,3,FALSE),"")</f>
        <v>3400785</v>
      </c>
      <c r="B719" s="17">
        <v>2019</v>
      </c>
      <c r="C719" s="17" t="s">
        <v>843</v>
      </c>
      <c r="D719" s="17">
        <v>4002</v>
      </c>
      <c r="E719" s="17" t="s">
        <v>1446</v>
      </c>
      <c r="F719" s="20">
        <v>2441573</v>
      </c>
    </row>
    <row r="720" spans="1:6" ht="16" customHeight="1" x14ac:dyDescent="0.2">
      <c r="A720">
        <f>IFERROR(VLOOKUP(C720,'GASB Match'!$D$2:$F$6042,3,FALSE),"")</f>
        <v>3400785</v>
      </c>
      <c r="B720" s="17">
        <v>2020</v>
      </c>
      <c r="C720" s="21" t="s">
        <v>843</v>
      </c>
      <c r="D720" s="17">
        <v>4002</v>
      </c>
      <c r="E720" s="17" t="s">
        <v>1446</v>
      </c>
      <c r="F720" s="23">
        <v>2800927</v>
      </c>
    </row>
    <row r="721" spans="1:6" ht="16" customHeight="1" x14ac:dyDescent="0.2">
      <c r="A721">
        <f>IFERROR(VLOOKUP(C721,'GASB Match'!$D$2:$F$6042,3,FALSE),"")</f>
        <v>3400785</v>
      </c>
      <c r="B721" s="17">
        <v>2021</v>
      </c>
      <c r="C721" s="25" t="s">
        <v>843</v>
      </c>
      <c r="D721" s="17">
        <v>4002</v>
      </c>
      <c r="E721" s="17" t="s">
        <v>1446</v>
      </c>
      <c r="F721" s="23">
        <v>3696085</v>
      </c>
    </row>
    <row r="722" spans="1:6" ht="16" customHeight="1" x14ac:dyDescent="0.2">
      <c r="A722">
        <f>IFERROR(VLOOKUP(C722,'GASB Match'!$D$2:$F$6042,3,FALSE),"")</f>
        <v>3400785</v>
      </c>
      <c r="B722" s="17">
        <v>2022</v>
      </c>
      <c r="C722" s="21" t="s">
        <v>843</v>
      </c>
      <c r="D722" s="17">
        <v>4002</v>
      </c>
      <c r="E722" s="17" t="s">
        <v>1446</v>
      </c>
      <c r="F722" s="23">
        <v>5289398</v>
      </c>
    </row>
    <row r="723" spans="1:6" ht="16" customHeight="1" x14ac:dyDescent="0.2">
      <c r="A723">
        <f>IFERROR(VLOOKUP(C723,'GASB Match'!$D$2:$F$6042,3,FALSE),"")</f>
        <v>3400785</v>
      </c>
      <c r="B723" s="17">
        <v>2023</v>
      </c>
      <c r="C723" s="21" t="s">
        <v>843</v>
      </c>
      <c r="D723" s="17">
        <v>4002</v>
      </c>
      <c r="E723" s="17" t="s">
        <v>1446</v>
      </c>
      <c r="F723" s="23">
        <v>5418559</v>
      </c>
    </row>
    <row r="724" spans="1:6" ht="16" customHeight="1" x14ac:dyDescent="0.2">
      <c r="A724">
        <f>IFERROR(VLOOKUP(C724,'GASB Match'!$D$2:$F$6042,3,FALSE),"")</f>
        <v>3400785</v>
      </c>
      <c r="B724" s="28">
        <v>2017</v>
      </c>
      <c r="C724" s="29" t="s">
        <v>161</v>
      </c>
      <c r="D724" s="17">
        <v>4002</v>
      </c>
      <c r="E724" s="17" t="s">
        <v>1405</v>
      </c>
      <c r="F724" s="29">
        <v>2727</v>
      </c>
    </row>
    <row r="725" spans="1:6" ht="16" customHeight="1" x14ac:dyDescent="0.2">
      <c r="A725">
        <f>IFERROR(VLOOKUP(C725,'GASB Match'!$D$2:$F$6042,3,FALSE),"")</f>
        <v>3400785</v>
      </c>
      <c r="B725" s="28">
        <v>2017</v>
      </c>
      <c r="C725" s="29" t="s">
        <v>161</v>
      </c>
      <c r="D725" s="17">
        <v>4002</v>
      </c>
      <c r="E725" s="17" t="s">
        <v>1405</v>
      </c>
      <c r="F725" s="29">
        <v>354255</v>
      </c>
    </row>
    <row r="726" spans="1:6" ht="16" customHeight="1" x14ac:dyDescent="0.2">
      <c r="A726">
        <f>IFERROR(VLOOKUP(C726,'GASB Match'!$D$2:$F$6042,3,FALSE),"")</f>
        <v>3402700</v>
      </c>
      <c r="B726" s="17">
        <v>2015</v>
      </c>
      <c r="C726" s="17" t="s">
        <v>196</v>
      </c>
      <c r="D726" s="17">
        <v>5000</v>
      </c>
      <c r="E726" s="17" t="s">
        <v>1407</v>
      </c>
      <c r="F726" s="20">
        <v>81913</v>
      </c>
    </row>
    <row r="727" spans="1:6" ht="16" customHeight="1" x14ac:dyDescent="0.2">
      <c r="A727">
        <f>IFERROR(VLOOKUP(C727,'GASB Match'!$D$2:$F$6042,3,FALSE),"")</f>
        <v>3402700</v>
      </c>
      <c r="B727" s="17">
        <v>2016</v>
      </c>
      <c r="C727" s="17" t="s">
        <v>196</v>
      </c>
      <c r="D727" s="17">
        <v>5000</v>
      </c>
      <c r="E727" s="17" t="s">
        <v>1407</v>
      </c>
      <c r="F727" s="20">
        <v>115031</v>
      </c>
    </row>
    <row r="728" spans="1:6" ht="16" customHeight="1" x14ac:dyDescent="0.2">
      <c r="A728">
        <f>IFERROR(VLOOKUP(C728,'GASB Match'!$D$2:$F$6042,3,FALSE),"")</f>
        <v>3402700</v>
      </c>
      <c r="B728" s="17">
        <v>2018</v>
      </c>
      <c r="C728" s="17" t="s">
        <v>880</v>
      </c>
      <c r="D728" s="17">
        <v>5000</v>
      </c>
      <c r="E728" s="17" t="s">
        <v>1448</v>
      </c>
      <c r="F728" s="20">
        <v>219120</v>
      </c>
    </row>
    <row r="729" spans="1:6" ht="16" customHeight="1" x14ac:dyDescent="0.2">
      <c r="A729">
        <f>IFERROR(VLOOKUP(C729,'GASB Match'!$D$2:$F$6042,3,FALSE),"")</f>
        <v>3402700</v>
      </c>
      <c r="B729" s="17">
        <v>2019</v>
      </c>
      <c r="C729" s="17" t="s">
        <v>880</v>
      </c>
      <c r="D729" s="17">
        <v>5000</v>
      </c>
      <c r="E729" s="17" t="s">
        <v>1448</v>
      </c>
      <c r="F729" s="20">
        <v>299017</v>
      </c>
    </row>
    <row r="730" spans="1:6" ht="16" customHeight="1" x14ac:dyDescent="0.2">
      <c r="A730">
        <f>IFERROR(VLOOKUP(C730,'GASB Match'!$D$2:$F$6042,3,FALSE),"")</f>
        <v>3402700</v>
      </c>
      <c r="B730" s="17">
        <v>2020</v>
      </c>
      <c r="C730" s="21" t="s">
        <v>880</v>
      </c>
      <c r="D730" s="17">
        <v>5000</v>
      </c>
      <c r="E730" s="17" t="s">
        <v>1448</v>
      </c>
      <c r="F730" s="23">
        <v>352216</v>
      </c>
    </row>
    <row r="731" spans="1:6" ht="16" customHeight="1" x14ac:dyDescent="0.2">
      <c r="A731">
        <f>IFERROR(VLOOKUP(C731,'GASB Match'!$D$2:$F$6042,3,FALSE),"")</f>
        <v>3402700</v>
      </c>
      <c r="B731" s="17">
        <v>2021</v>
      </c>
      <c r="C731" s="25" t="s">
        <v>880</v>
      </c>
      <c r="D731" s="17">
        <v>5000</v>
      </c>
      <c r="E731" s="17" t="s">
        <v>1448</v>
      </c>
      <c r="F731" s="23">
        <v>442267</v>
      </c>
    </row>
    <row r="732" spans="1:6" ht="16" customHeight="1" x14ac:dyDescent="0.2">
      <c r="A732">
        <f>IFERROR(VLOOKUP(C732,'GASB Match'!$D$2:$F$6042,3,FALSE),"")</f>
        <v>3402700</v>
      </c>
      <c r="B732" s="17">
        <v>2022</v>
      </c>
      <c r="C732" s="21" t="s">
        <v>880</v>
      </c>
      <c r="D732" s="17">
        <v>5000</v>
      </c>
      <c r="E732" s="17" t="s">
        <v>1448</v>
      </c>
      <c r="F732" s="23">
        <v>602608</v>
      </c>
    </row>
    <row r="733" spans="1:6" ht="16" customHeight="1" x14ac:dyDescent="0.2">
      <c r="A733">
        <f>IFERROR(VLOOKUP(C733,'GASB Match'!$D$2:$F$6042,3,FALSE),"")</f>
        <v>3402700</v>
      </c>
      <c r="B733" s="17">
        <v>2023</v>
      </c>
      <c r="C733" s="21" t="s">
        <v>880</v>
      </c>
      <c r="D733" s="17">
        <v>5000</v>
      </c>
      <c r="E733" s="17" t="s">
        <v>1448</v>
      </c>
      <c r="F733" s="23">
        <v>545964</v>
      </c>
    </row>
    <row r="734" spans="1:6" ht="16" customHeight="1" x14ac:dyDescent="0.2">
      <c r="A734">
        <f>IFERROR(VLOOKUP(C734,'GASB Match'!$D$2:$F$6042,3,FALSE),"")</f>
        <v>3402700</v>
      </c>
      <c r="B734" s="28">
        <v>2017</v>
      </c>
      <c r="C734" s="29" t="s">
        <v>196</v>
      </c>
      <c r="D734" s="17">
        <v>5000</v>
      </c>
      <c r="E734" s="17" t="s">
        <v>1407</v>
      </c>
      <c r="F734" s="29">
        <v>158991</v>
      </c>
    </row>
    <row r="735" spans="1:6" ht="16" customHeight="1" x14ac:dyDescent="0.2">
      <c r="A735">
        <f>IFERROR(VLOOKUP(C735,'GASB Match'!$D$2:$F$6042,3,FALSE),"")</f>
        <v>3402740</v>
      </c>
      <c r="B735" s="17">
        <v>2015</v>
      </c>
      <c r="C735" s="17" t="s">
        <v>197</v>
      </c>
      <c r="D735" s="17">
        <v>5001</v>
      </c>
      <c r="E735" s="17" t="s">
        <v>1407</v>
      </c>
      <c r="F735" s="20">
        <v>321738</v>
      </c>
    </row>
    <row r="736" spans="1:6" ht="16" customHeight="1" x14ac:dyDescent="0.2">
      <c r="A736">
        <f>IFERROR(VLOOKUP(C736,'GASB Match'!$D$2:$F$6042,3,FALSE),"")</f>
        <v>3402740</v>
      </c>
      <c r="B736" s="17">
        <v>2016</v>
      </c>
      <c r="C736" s="17" t="s">
        <v>197</v>
      </c>
      <c r="D736" s="17">
        <v>5001</v>
      </c>
      <c r="E736" s="17" t="s">
        <v>1407</v>
      </c>
      <c r="F736" s="20">
        <v>471890</v>
      </c>
    </row>
    <row r="737" spans="1:6" ht="16" customHeight="1" x14ac:dyDescent="0.2">
      <c r="A737">
        <f>IFERROR(VLOOKUP(C737,'GASB Match'!$D$2:$F$6042,3,FALSE),"")</f>
        <v>3402740</v>
      </c>
      <c r="B737" s="17">
        <v>2018</v>
      </c>
      <c r="C737" s="17" t="s">
        <v>881</v>
      </c>
      <c r="D737" s="17">
        <v>5001</v>
      </c>
      <c r="E737" s="17" t="s">
        <v>1448</v>
      </c>
      <c r="F737" s="20">
        <v>782732</v>
      </c>
    </row>
    <row r="738" spans="1:6" ht="16" customHeight="1" x14ac:dyDescent="0.2">
      <c r="A738">
        <f>IFERROR(VLOOKUP(C738,'GASB Match'!$D$2:$F$6042,3,FALSE),"")</f>
        <v>3402740</v>
      </c>
      <c r="B738" s="17">
        <v>2019</v>
      </c>
      <c r="C738" s="17" t="s">
        <v>881</v>
      </c>
      <c r="D738" s="17">
        <v>5001</v>
      </c>
      <c r="E738" s="17" t="s">
        <v>1448</v>
      </c>
      <c r="F738" s="20">
        <v>1018258</v>
      </c>
    </row>
    <row r="739" spans="1:6" ht="16" customHeight="1" x14ac:dyDescent="0.2">
      <c r="A739">
        <f>IFERROR(VLOOKUP(C739,'GASB Match'!$D$2:$F$6042,3,FALSE),"")</f>
        <v>3402740</v>
      </c>
      <c r="B739" s="17">
        <v>2020</v>
      </c>
      <c r="C739" s="21" t="s">
        <v>881</v>
      </c>
      <c r="D739" s="17">
        <v>5001</v>
      </c>
      <c r="E739" s="17" t="s">
        <v>1448</v>
      </c>
      <c r="F739" s="23">
        <v>1102400</v>
      </c>
    </row>
    <row r="740" spans="1:6" ht="16" customHeight="1" x14ac:dyDescent="0.2">
      <c r="A740">
        <f>IFERROR(VLOOKUP(C740,'GASB Match'!$D$2:$F$6042,3,FALSE),"")</f>
        <v>3402740</v>
      </c>
      <c r="B740" s="17">
        <v>2021</v>
      </c>
      <c r="C740" s="25" t="s">
        <v>881</v>
      </c>
      <c r="D740" s="17">
        <v>5001</v>
      </c>
      <c r="E740" s="17" t="s">
        <v>1448</v>
      </c>
      <c r="F740" s="23">
        <v>1453703</v>
      </c>
    </row>
    <row r="741" spans="1:6" ht="16" customHeight="1" x14ac:dyDescent="0.2">
      <c r="A741">
        <f>IFERROR(VLOOKUP(C741,'GASB Match'!$D$2:$F$6042,3,FALSE),"")</f>
        <v>3402740</v>
      </c>
      <c r="B741" s="17">
        <v>2022</v>
      </c>
      <c r="C741" s="21" t="s">
        <v>881</v>
      </c>
      <c r="D741" s="17">
        <v>5001</v>
      </c>
      <c r="E741" s="17" t="s">
        <v>1448</v>
      </c>
      <c r="F741" s="23">
        <v>2074729</v>
      </c>
    </row>
    <row r="742" spans="1:6" ht="16" customHeight="1" x14ac:dyDescent="0.2">
      <c r="A742">
        <f>IFERROR(VLOOKUP(C742,'GASB Match'!$D$2:$F$6042,3,FALSE),"")</f>
        <v>3402740</v>
      </c>
      <c r="B742" s="17">
        <v>2023</v>
      </c>
      <c r="C742" s="21" t="s">
        <v>881</v>
      </c>
      <c r="D742" s="17">
        <v>5001</v>
      </c>
      <c r="E742" s="17" t="s">
        <v>1448</v>
      </c>
      <c r="F742" s="23">
        <v>1903601</v>
      </c>
    </row>
    <row r="743" spans="1:6" ht="16" customHeight="1" x14ac:dyDescent="0.2">
      <c r="A743">
        <f>IFERROR(VLOOKUP(C743,'GASB Match'!$D$2:$F$6042,3,FALSE),"")</f>
        <v>3402740</v>
      </c>
      <c r="B743" s="28">
        <v>2017</v>
      </c>
      <c r="C743" s="29" t="s">
        <v>197</v>
      </c>
      <c r="D743" s="17">
        <v>5001</v>
      </c>
      <c r="E743" s="17" t="s">
        <v>1407</v>
      </c>
      <c r="F743" s="29">
        <v>623321</v>
      </c>
    </row>
    <row r="744" spans="1:6" ht="16" customHeight="1" x14ac:dyDescent="0.2">
      <c r="A744">
        <f>IFERROR(VLOOKUP(C744,'GASB Match'!$D$2:$F$6042,3,FALSE),"")</f>
        <v>3402730</v>
      </c>
      <c r="B744" s="17">
        <v>2015</v>
      </c>
      <c r="C744" s="17" t="s">
        <v>198</v>
      </c>
      <c r="D744" s="17">
        <v>971</v>
      </c>
      <c r="E744" s="17" t="s">
        <v>1407</v>
      </c>
      <c r="F744" s="20">
        <v>320160</v>
      </c>
    </row>
    <row r="745" spans="1:6" ht="16" customHeight="1" x14ac:dyDescent="0.2">
      <c r="A745">
        <f>IFERROR(VLOOKUP(C745,'GASB Match'!$D$2:$F$6042,3,FALSE),"")</f>
        <v>3402730</v>
      </c>
      <c r="B745" s="17">
        <v>2016</v>
      </c>
      <c r="C745" s="17" t="s">
        <v>198</v>
      </c>
      <c r="D745" s="17">
        <v>971</v>
      </c>
      <c r="E745" s="17" t="s">
        <v>1407</v>
      </c>
      <c r="F745" s="20">
        <v>449789</v>
      </c>
    </row>
    <row r="746" spans="1:6" ht="16" customHeight="1" x14ac:dyDescent="0.2">
      <c r="A746">
        <f>IFERROR(VLOOKUP(C746,'GASB Match'!$D$2:$F$6042,3,FALSE),"")</f>
        <v>3402730</v>
      </c>
      <c r="B746" s="17">
        <v>2018</v>
      </c>
      <c r="C746" s="17" t="s">
        <v>882</v>
      </c>
      <c r="D746" s="17">
        <v>971</v>
      </c>
      <c r="E746" s="17" t="s">
        <v>1448</v>
      </c>
      <c r="F746" s="20">
        <v>878050</v>
      </c>
    </row>
    <row r="747" spans="1:6" ht="16" customHeight="1" x14ac:dyDescent="0.2">
      <c r="A747">
        <f>IFERROR(VLOOKUP(C747,'GASB Match'!$D$2:$F$6042,3,FALSE),"")</f>
        <v>3402730</v>
      </c>
      <c r="B747" s="17">
        <v>2019</v>
      </c>
      <c r="C747" s="17" t="s">
        <v>882</v>
      </c>
      <c r="D747" s="17">
        <v>971</v>
      </c>
      <c r="E747" s="17" t="s">
        <v>1448</v>
      </c>
      <c r="F747" s="20">
        <v>1145510</v>
      </c>
    </row>
    <row r="748" spans="1:6" ht="16" customHeight="1" x14ac:dyDescent="0.2">
      <c r="A748">
        <f>IFERROR(VLOOKUP(C748,'GASB Match'!$D$2:$F$6042,3,FALSE),"")</f>
        <v>3402730</v>
      </c>
      <c r="B748" s="17">
        <v>2020</v>
      </c>
      <c r="C748" s="21" t="s">
        <v>882</v>
      </c>
      <c r="D748" s="17">
        <v>971</v>
      </c>
      <c r="E748" s="17" t="s">
        <v>1448</v>
      </c>
      <c r="F748" s="23">
        <v>1295176</v>
      </c>
    </row>
    <row r="749" spans="1:6" ht="16" customHeight="1" x14ac:dyDescent="0.2">
      <c r="A749">
        <f>IFERROR(VLOOKUP(C749,'GASB Match'!$D$2:$F$6042,3,FALSE),"")</f>
        <v>3402730</v>
      </c>
      <c r="B749" s="17">
        <v>2021</v>
      </c>
      <c r="C749" s="25" t="s">
        <v>882</v>
      </c>
      <c r="D749" s="17">
        <v>971</v>
      </c>
      <c r="E749" s="17" t="s">
        <v>1448</v>
      </c>
      <c r="F749" s="23">
        <v>1658977</v>
      </c>
    </row>
    <row r="750" spans="1:6" ht="16" customHeight="1" x14ac:dyDescent="0.2">
      <c r="A750">
        <f>IFERROR(VLOOKUP(C750,'GASB Match'!$D$2:$F$6042,3,FALSE),"")</f>
        <v>3402730</v>
      </c>
      <c r="B750" s="17">
        <v>2022</v>
      </c>
      <c r="C750" s="21" t="s">
        <v>882</v>
      </c>
      <c r="D750" s="17">
        <v>971</v>
      </c>
      <c r="E750" s="17" t="s">
        <v>1448</v>
      </c>
      <c r="F750" s="23">
        <v>2246163</v>
      </c>
    </row>
    <row r="751" spans="1:6" ht="16" customHeight="1" x14ac:dyDescent="0.2">
      <c r="A751">
        <f>IFERROR(VLOOKUP(C751,'GASB Match'!$D$2:$F$6042,3,FALSE),"")</f>
        <v>3402730</v>
      </c>
      <c r="B751" s="17">
        <v>2023</v>
      </c>
      <c r="C751" s="21" t="s">
        <v>882</v>
      </c>
      <c r="D751" s="17">
        <v>971</v>
      </c>
      <c r="E751" s="17" t="s">
        <v>1448</v>
      </c>
      <c r="F751" s="23">
        <v>2257697</v>
      </c>
    </row>
    <row r="752" spans="1:6" ht="16" customHeight="1" x14ac:dyDescent="0.2">
      <c r="A752">
        <f>IFERROR(VLOOKUP(C752,'GASB Match'!$D$2:$F$6042,3,FALSE),"")</f>
        <v>3402730</v>
      </c>
      <c r="B752" s="28">
        <v>2017</v>
      </c>
      <c r="C752" s="29" t="s">
        <v>198</v>
      </c>
      <c r="D752" s="17">
        <v>971</v>
      </c>
      <c r="E752" s="17" t="s">
        <v>1407</v>
      </c>
      <c r="F752" s="29">
        <v>630227</v>
      </c>
    </row>
    <row r="753" spans="1:6" ht="16" customHeight="1" x14ac:dyDescent="0.2">
      <c r="A753">
        <f>IFERROR(VLOOKUP(C753,'GASB Match'!$D$2:$F$6042,3,FALSE),"")</f>
        <v>3402790</v>
      </c>
      <c r="B753" s="17">
        <v>2015</v>
      </c>
      <c r="C753" s="17" t="s">
        <v>34</v>
      </c>
      <c r="D753" s="17">
        <v>2025</v>
      </c>
      <c r="E753" s="17" t="s">
        <v>1402</v>
      </c>
      <c r="F753" s="20">
        <v>235119</v>
      </c>
    </row>
    <row r="754" spans="1:6" ht="16" customHeight="1" x14ac:dyDescent="0.2">
      <c r="A754">
        <f>IFERROR(VLOOKUP(C754,'GASB Match'!$D$2:$F$6042,3,FALSE),"")</f>
        <v>3402790</v>
      </c>
      <c r="B754" s="17">
        <v>2016</v>
      </c>
      <c r="C754" s="17" t="s">
        <v>34</v>
      </c>
      <c r="D754" s="17">
        <v>2025</v>
      </c>
      <c r="E754" s="17" t="s">
        <v>1402</v>
      </c>
      <c r="F754" s="20">
        <v>340076</v>
      </c>
    </row>
    <row r="755" spans="1:6" ht="16" customHeight="1" x14ac:dyDescent="0.2">
      <c r="A755">
        <f>IFERROR(VLOOKUP(C755,'GASB Match'!$D$2:$F$6042,3,FALSE),"")</f>
        <v>3402790</v>
      </c>
      <c r="B755" s="17">
        <v>2018</v>
      </c>
      <c r="C755" s="17" t="s">
        <v>712</v>
      </c>
      <c r="D755" s="17">
        <v>2025</v>
      </c>
      <c r="E755" s="17" t="s">
        <v>1443</v>
      </c>
      <c r="F755" s="20">
        <v>647229</v>
      </c>
    </row>
    <row r="756" spans="1:6" ht="16" customHeight="1" x14ac:dyDescent="0.2">
      <c r="A756">
        <f>IFERROR(VLOOKUP(C756,'GASB Match'!$D$2:$F$6042,3,FALSE),"")</f>
        <v>3402790</v>
      </c>
      <c r="B756" s="17">
        <v>2019</v>
      </c>
      <c r="C756" s="17" t="s">
        <v>712</v>
      </c>
      <c r="D756" s="17">
        <v>2025</v>
      </c>
      <c r="E756" s="17" t="s">
        <v>1443</v>
      </c>
      <c r="F756" s="20">
        <v>820371</v>
      </c>
    </row>
    <row r="757" spans="1:6" ht="16" customHeight="1" x14ac:dyDescent="0.2">
      <c r="A757">
        <f>IFERROR(VLOOKUP(C757,'GASB Match'!$D$2:$F$6042,3,FALSE),"")</f>
        <v>3402790</v>
      </c>
      <c r="B757" s="17">
        <v>2020</v>
      </c>
      <c r="C757" s="21" t="s">
        <v>712</v>
      </c>
      <c r="D757" s="17">
        <v>2025</v>
      </c>
      <c r="E757" s="17" t="s">
        <v>1443</v>
      </c>
      <c r="F757" s="23">
        <v>984864</v>
      </c>
    </row>
    <row r="758" spans="1:6" ht="16" customHeight="1" x14ac:dyDescent="0.2">
      <c r="A758">
        <f>IFERROR(VLOOKUP(C758,'GASB Match'!$D$2:$F$6042,3,FALSE),"")</f>
        <v>3402790</v>
      </c>
      <c r="B758" s="17">
        <v>2021</v>
      </c>
      <c r="C758" s="25" t="s">
        <v>712</v>
      </c>
      <c r="D758" s="17">
        <v>2025</v>
      </c>
      <c r="E758" s="17" t="s">
        <v>1443</v>
      </c>
      <c r="F758" s="23">
        <v>1230888</v>
      </c>
    </row>
    <row r="759" spans="1:6" ht="16" customHeight="1" x14ac:dyDescent="0.2">
      <c r="A759">
        <f>IFERROR(VLOOKUP(C759,'GASB Match'!$D$2:$F$6042,3,FALSE),"")</f>
        <v>3402790</v>
      </c>
      <c r="B759" s="17">
        <v>2022</v>
      </c>
      <c r="C759" s="21" t="s">
        <v>712</v>
      </c>
      <c r="D759" s="17">
        <v>2025</v>
      </c>
      <c r="E759" s="17" t="s">
        <v>1443</v>
      </c>
      <c r="F759" s="23">
        <v>1785464</v>
      </c>
    </row>
    <row r="760" spans="1:6" ht="16" customHeight="1" x14ac:dyDescent="0.2">
      <c r="A760">
        <f>IFERROR(VLOOKUP(C760,'GASB Match'!$D$2:$F$6042,3,FALSE),"")</f>
        <v>3402790</v>
      </c>
      <c r="B760" s="17">
        <v>2023</v>
      </c>
      <c r="C760" s="21" t="s">
        <v>712</v>
      </c>
      <c r="D760" s="17">
        <v>2025</v>
      </c>
      <c r="E760" s="17" t="s">
        <v>1443</v>
      </c>
      <c r="F760" s="23">
        <v>1891788</v>
      </c>
    </row>
    <row r="761" spans="1:6" ht="16" customHeight="1" x14ac:dyDescent="0.2">
      <c r="A761">
        <f>IFERROR(VLOOKUP(C761,'GASB Match'!$D$2:$F$6042,3,FALSE),"")</f>
        <v>3402790</v>
      </c>
      <c r="B761" s="28">
        <v>2017</v>
      </c>
      <c r="C761" s="29" t="s">
        <v>34</v>
      </c>
      <c r="D761" s="17">
        <v>2025</v>
      </c>
      <c r="E761" s="17" t="s">
        <v>1402</v>
      </c>
      <c r="F761" s="29">
        <v>483870</v>
      </c>
    </row>
    <row r="762" spans="1:6" ht="16" customHeight="1" x14ac:dyDescent="0.2">
      <c r="A762">
        <f>IFERROR(VLOOKUP(C762,'GASB Match'!$D$2:$F$6042,3,FALSE),"")</f>
        <v>3402800</v>
      </c>
      <c r="B762" s="17">
        <v>2015</v>
      </c>
      <c r="C762" s="17" t="s">
        <v>35</v>
      </c>
      <c r="D762" s="17">
        <v>2040</v>
      </c>
      <c r="E762" s="17" t="s">
        <v>1402</v>
      </c>
      <c r="F762" s="20">
        <v>225652</v>
      </c>
    </row>
    <row r="763" spans="1:6" ht="16" customHeight="1" x14ac:dyDescent="0.2">
      <c r="A763">
        <f>IFERROR(VLOOKUP(C763,'GASB Match'!$D$2:$F$6042,3,FALSE),"")</f>
        <v>3402800</v>
      </c>
      <c r="B763" s="17">
        <v>2016</v>
      </c>
      <c r="C763" s="17" t="s">
        <v>35</v>
      </c>
      <c r="D763" s="17">
        <v>2040</v>
      </c>
      <c r="E763" s="17" t="s">
        <v>1402</v>
      </c>
      <c r="F763" s="20">
        <v>344214</v>
      </c>
    </row>
    <row r="764" spans="1:6" ht="16" customHeight="1" x14ac:dyDescent="0.2">
      <c r="A764">
        <f>IFERROR(VLOOKUP(C764,'GASB Match'!$D$2:$F$6042,3,FALSE),"")</f>
        <v>3402800</v>
      </c>
      <c r="B764" s="17">
        <v>2018</v>
      </c>
      <c r="C764" s="17" t="s">
        <v>713</v>
      </c>
      <c r="D764" s="17">
        <v>2040</v>
      </c>
      <c r="E764" s="17" t="s">
        <v>1443</v>
      </c>
      <c r="F764" s="20">
        <v>632892</v>
      </c>
    </row>
    <row r="765" spans="1:6" ht="16" customHeight="1" x14ac:dyDescent="0.2">
      <c r="A765">
        <f>IFERROR(VLOOKUP(C765,'GASB Match'!$D$2:$F$6042,3,FALSE),"")</f>
        <v>3402800</v>
      </c>
      <c r="B765" s="17">
        <v>2019</v>
      </c>
      <c r="C765" s="17" t="s">
        <v>713</v>
      </c>
      <c r="D765" s="17">
        <v>2040</v>
      </c>
      <c r="E765" s="17" t="s">
        <v>1443</v>
      </c>
      <c r="F765" s="20">
        <v>828811</v>
      </c>
    </row>
    <row r="766" spans="1:6" ht="16" customHeight="1" x14ac:dyDescent="0.2">
      <c r="A766">
        <f>IFERROR(VLOOKUP(C766,'GASB Match'!$D$2:$F$6042,3,FALSE),"")</f>
        <v>3402800</v>
      </c>
      <c r="B766" s="17">
        <v>2020</v>
      </c>
      <c r="C766" s="21" t="s">
        <v>713</v>
      </c>
      <c r="D766" s="17">
        <v>2040</v>
      </c>
      <c r="E766" s="17" t="s">
        <v>1443</v>
      </c>
      <c r="F766" s="23">
        <v>950480</v>
      </c>
    </row>
    <row r="767" spans="1:6" ht="16" customHeight="1" x14ac:dyDescent="0.2">
      <c r="A767">
        <f>IFERROR(VLOOKUP(C767,'GASB Match'!$D$2:$F$6042,3,FALSE),"")</f>
        <v>3402800</v>
      </c>
      <c r="B767" s="17">
        <v>2021</v>
      </c>
      <c r="C767" s="25" t="s">
        <v>713</v>
      </c>
      <c r="D767" s="17">
        <v>2040</v>
      </c>
      <c r="E767" s="17" t="s">
        <v>1443</v>
      </c>
      <c r="F767" s="23">
        <v>1243254</v>
      </c>
    </row>
    <row r="768" spans="1:6" ht="16" customHeight="1" x14ac:dyDescent="0.2">
      <c r="A768">
        <f>IFERROR(VLOOKUP(C768,'GASB Match'!$D$2:$F$6042,3,FALSE),"")</f>
        <v>3402800</v>
      </c>
      <c r="B768" s="17">
        <v>2022</v>
      </c>
      <c r="C768" s="21" t="s">
        <v>713</v>
      </c>
      <c r="D768" s="17">
        <v>2040</v>
      </c>
      <c r="E768" s="17" t="s">
        <v>1443</v>
      </c>
      <c r="F768" s="23">
        <v>1806070</v>
      </c>
    </row>
    <row r="769" spans="1:6" ht="16" customHeight="1" x14ac:dyDescent="0.2">
      <c r="A769">
        <f>IFERROR(VLOOKUP(C769,'GASB Match'!$D$2:$F$6042,3,FALSE),"")</f>
        <v>3402800</v>
      </c>
      <c r="B769" s="17">
        <v>2023</v>
      </c>
      <c r="C769" s="21" t="s">
        <v>713</v>
      </c>
      <c r="D769" s="17">
        <v>2040</v>
      </c>
      <c r="E769" s="17" t="s">
        <v>1443</v>
      </c>
      <c r="F769" s="23">
        <v>2141120</v>
      </c>
    </row>
    <row r="770" spans="1:6" ht="16" customHeight="1" x14ac:dyDescent="0.2">
      <c r="A770">
        <f>IFERROR(VLOOKUP(C770,'GASB Match'!$D$2:$F$6042,3,FALSE),"")</f>
        <v>3402800</v>
      </c>
      <c r="B770" s="28">
        <v>2017</v>
      </c>
      <c r="C770" s="29" t="s">
        <v>35</v>
      </c>
      <c r="D770" s="17">
        <v>2040</v>
      </c>
      <c r="E770" s="17" t="s">
        <v>1402</v>
      </c>
      <c r="F770" s="29">
        <v>478626</v>
      </c>
    </row>
    <row r="771" spans="1:6" ht="16" customHeight="1" x14ac:dyDescent="0.2">
      <c r="A771">
        <f>IFERROR(VLOOKUP(C771,'GASB Match'!$D$2:$F$6042,3,FALSE),"")</f>
        <v>3402820</v>
      </c>
      <c r="B771" s="17">
        <v>2015</v>
      </c>
      <c r="C771" s="17" t="s">
        <v>373</v>
      </c>
      <c r="D771" s="17">
        <v>231</v>
      </c>
      <c r="E771" s="17" t="s">
        <v>1418</v>
      </c>
      <c r="F771" s="20">
        <v>1198152</v>
      </c>
    </row>
    <row r="772" spans="1:6" ht="16" customHeight="1" x14ac:dyDescent="0.2">
      <c r="A772">
        <f>IFERROR(VLOOKUP(C772,'GASB Match'!$D$2:$F$6042,3,FALSE),"")</f>
        <v>3402820</v>
      </c>
      <c r="B772" s="17">
        <v>2016</v>
      </c>
      <c r="C772" s="17" t="s">
        <v>373</v>
      </c>
      <c r="D772" s="17">
        <v>231</v>
      </c>
      <c r="E772" s="17" t="s">
        <v>1418</v>
      </c>
      <c r="F772" s="20">
        <v>1763564</v>
      </c>
    </row>
    <row r="773" spans="1:6" ht="16" customHeight="1" x14ac:dyDescent="0.2">
      <c r="A773">
        <f>IFERROR(VLOOKUP(C773,'GASB Match'!$D$2:$F$6042,3,FALSE),"")</f>
        <v>3402820</v>
      </c>
      <c r="B773" s="17">
        <v>2018</v>
      </c>
      <c r="C773" s="17" t="s">
        <v>1065</v>
      </c>
      <c r="D773" s="17">
        <v>231</v>
      </c>
      <c r="E773" s="17" t="s">
        <v>1461</v>
      </c>
      <c r="F773" s="20">
        <v>3813567</v>
      </c>
    </row>
    <row r="774" spans="1:6" ht="16" customHeight="1" x14ac:dyDescent="0.2">
      <c r="A774">
        <f>IFERROR(VLOOKUP(C774,'GASB Match'!$D$2:$F$6042,3,FALSE),"")</f>
        <v>3402820</v>
      </c>
      <c r="B774" s="17">
        <v>2019</v>
      </c>
      <c r="C774" s="17" t="s">
        <v>1065</v>
      </c>
      <c r="D774" s="17">
        <v>231</v>
      </c>
      <c r="E774" s="17" t="s">
        <v>1461</v>
      </c>
      <c r="F774" s="20">
        <v>5213253</v>
      </c>
    </row>
    <row r="775" spans="1:6" ht="16" customHeight="1" x14ac:dyDescent="0.2">
      <c r="A775">
        <f>IFERROR(VLOOKUP(C775,'GASB Match'!$D$2:$F$6042,3,FALSE),"")</f>
        <v>3402820</v>
      </c>
      <c r="B775" s="17">
        <v>2020</v>
      </c>
      <c r="C775" s="21" t="s">
        <v>1065</v>
      </c>
      <c r="D775" s="17">
        <v>231</v>
      </c>
      <c r="E775" s="17" t="s">
        <v>1461</v>
      </c>
      <c r="F775" s="23">
        <v>5766026</v>
      </c>
    </row>
    <row r="776" spans="1:6" ht="16" customHeight="1" x14ac:dyDescent="0.2">
      <c r="A776">
        <f>IFERROR(VLOOKUP(C776,'GASB Match'!$D$2:$F$6042,3,FALSE),"")</f>
        <v>3402820</v>
      </c>
      <c r="B776" s="17">
        <v>2021</v>
      </c>
      <c r="C776" s="25" t="s">
        <v>1065</v>
      </c>
      <c r="D776" s="17">
        <v>231</v>
      </c>
      <c r="E776" s="17" t="s">
        <v>1461</v>
      </c>
      <c r="F776" s="23">
        <v>7720320</v>
      </c>
    </row>
    <row r="777" spans="1:6" ht="16" customHeight="1" x14ac:dyDescent="0.2">
      <c r="A777">
        <f>IFERROR(VLOOKUP(C777,'GASB Match'!$D$2:$F$6042,3,FALSE),"")</f>
        <v>3402820</v>
      </c>
      <c r="B777" s="17">
        <v>2022</v>
      </c>
      <c r="C777" s="21" t="s">
        <v>1065</v>
      </c>
      <c r="D777" s="17">
        <v>231</v>
      </c>
      <c r="E777" s="17" t="s">
        <v>1461</v>
      </c>
      <c r="F777" s="23">
        <v>11086803</v>
      </c>
    </row>
    <row r="778" spans="1:6" ht="16" customHeight="1" x14ac:dyDescent="0.2">
      <c r="A778">
        <f>IFERROR(VLOOKUP(C778,'GASB Match'!$D$2:$F$6042,3,FALSE),"")</f>
        <v>3402820</v>
      </c>
      <c r="B778" s="17">
        <v>2023</v>
      </c>
      <c r="C778" s="21" t="s">
        <v>1065</v>
      </c>
      <c r="D778" s="17">
        <v>231</v>
      </c>
      <c r="E778" s="17" t="s">
        <v>1461</v>
      </c>
      <c r="F778" s="23">
        <v>10911080</v>
      </c>
    </row>
    <row r="779" spans="1:6" ht="16" customHeight="1" x14ac:dyDescent="0.2">
      <c r="A779">
        <f>IFERROR(VLOOKUP(C779,'GASB Match'!$D$2:$F$6042,3,FALSE),"")</f>
        <v>3402820</v>
      </c>
      <c r="B779" s="28">
        <v>2017</v>
      </c>
      <c r="C779" s="29" t="s">
        <v>373</v>
      </c>
      <c r="D779" s="17">
        <v>231</v>
      </c>
      <c r="E779" s="17" t="s">
        <v>1418</v>
      </c>
      <c r="F779" s="29">
        <v>2782107</v>
      </c>
    </row>
    <row r="780" spans="1:6" ht="16" customHeight="1" x14ac:dyDescent="0.2">
      <c r="A780">
        <f>IFERROR(VLOOKUP(C780,'GASB Match'!$D$2:$F$6042,3,FALSE),"")</f>
        <v>3402850</v>
      </c>
      <c r="B780" s="17">
        <v>2015</v>
      </c>
      <c r="C780" s="17" t="s">
        <v>233</v>
      </c>
      <c r="D780" s="17">
        <v>6083</v>
      </c>
      <c r="E780" s="17" t="s">
        <v>1411</v>
      </c>
      <c r="F780" s="20">
        <v>552978</v>
      </c>
    </row>
    <row r="781" spans="1:6" ht="16" customHeight="1" x14ac:dyDescent="0.2">
      <c r="A781">
        <f>IFERROR(VLOOKUP(C781,'GASB Match'!$D$2:$F$6042,3,FALSE),"")</f>
        <v>3402850</v>
      </c>
      <c r="B781" s="17">
        <v>2016</v>
      </c>
      <c r="C781" s="17" t="s">
        <v>233</v>
      </c>
      <c r="D781" s="17">
        <v>6083</v>
      </c>
      <c r="E781" s="17" t="s">
        <v>1411</v>
      </c>
      <c r="F781" s="20">
        <v>852137</v>
      </c>
    </row>
    <row r="782" spans="1:6" ht="16" customHeight="1" x14ac:dyDescent="0.2">
      <c r="A782">
        <f>IFERROR(VLOOKUP(C782,'GASB Match'!$D$2:$F$6042,3,FALSE),"")</f>
        <v>3402850</v>
      </c>
      <c r="B782" s="17">
        <v>2018</v>
      </c>
      <c r="C782" s="17" t="s">
        <v>919</v>
      </c>
      <c r="D782" s="17">
        <v>6083</v>
      </c>
      <c r="E782" s="17" t="s">
        <v>1452</v>
      </c>
      <c r="F782" s="20">
        <v>1670346</v>
      </c>
    </row>
    <row r="783" spans="1:6" ht="16" customHeight="1" x14ac:dyDescent="0.2">
      <c r="A783">
        <f>IFERROR(VLOOKUP(C783,'GASB Match'!$D$2:$F$6042,3,FALSE),"")</f>
        <v>3402850</v>
      </c>
      <c r="B783" s="17">
        <v>2019</v>
      </c>
      <c r="C783" s="17" t="s">
        <v>919</v>
      </c>
      <c r="D783" s="17">
        <v>6083</v>
      </c>
      <c r="E783" s="17" t="s">
        <v>1452</v>
      </c>
      <c r="F783" s="20">
        <v>2203221</v>
      </c>
    </row>
    <row r="784" spans="1:6" ht="16" customHeight="1" x14ac:dyDescent="0.2">
      <c r="A784">
        <f>IFERROR(VLOOKUP(C784,'GASB Match'!$D$2:$F$6042,3,FALSE),"")</f>
        <v>3402850</v>
      </c>
      <c r="B784" s="17">
        <v>2020</v>
      </c>
      <c r="C784" s="21" t="s">
        <v>919</v>
      </c>
      <c r="D784" s="17">
        <v>6083</v>
      </c>
      <c r="E784" s="17" t="s">
        <v>1452</v>
      </c>
      <c r="F784" s="23">
        <v>2552910</v>
      </c>
    </row>
    <row r="785" spans="1:6" ht="16" customHeight="1" x14ac:dyDescent="0.2">
      <c r="A785">
        <f>IFERROR(VLOOKUP(C785,'GASB Match'!$D$2:$F$6042,3,FALSE),"")</f>
        <v>3402850</v>
      </c>
      <c r="B785" s="17">
        <v>2021</v>
      </c>
      <c r="C785" s="25" t="s">
        <v>919</v>
      </c>
      <c r="D785" s="17">
        <v>6083</v>
      </c>
      <c r="E785" s="17" t="s">
        <v>1452</v>
      </c>
      <c r="F785" s="23">
        <v>3432390</v>
      </c>
    </row>
    <row r="786" spans="1:6" ht="16" customHeight="1" x14ac:dyDescent="0.2">
      <c r="A786">
        <f>IFERROR(VLOOKUP(C786,'GASB Match'!$D$2:$F$6042,3,FALSE),"")</f>
        <v>3402850</v>
      </c>
      <c r="B786" s="17">
        <v>2022</v>
      </c>
      <c r="C786" s="21" t="s">
        <v>919</v>
      </c>
      <c r="D786" s="17">
        <v>6083</v>
      </c>
      <c r="E786" s="17" t="s">
        <v>1452</v>
      </c>
      <c r="F786" s="23">
        <v>4875787</v>
      </c>
    </row>
    <row r="787" spans="1:6" ht="16" customHeight="1" x14ac:dyDescent="0.2">
      <c r="A787">
        <f>IFERROR(VLOOKUP(C787,'GASB Match'!$D$2:$F$6042,3,FALSE),"")</f>
        <v>3402850</v>
      </c>
      <c r="B787" s="17">
        <v>2023</v>
      </c>
      <c r="C787" s="21" t="s">
        <v>919</v>
      </c>
      <c r="D787" s="17">
        <v>6083</v>
      </c>
      <c r="E787" s="17" t="s">
        <v>1452</v>
      </c>
      <c r="F787" s="23">
        <v>4851814</v>
      </c>
    </row>
    <row r="788" spans="1:6" ht="16" customHeight="1" x14ac:dyDescent="0.2">
      <c r="A788">
        <f>IFERROR(VLOOKUP(C788,'GASB Match'!$D$2:$F$6042,3,FALSE),"")</f>
        <v>3402850</v>
      </c>
      <c r="B788" s="28">
        <v>2017</v>
      </c>
      <c r="C788" s="29" t="s">
        <v>233</v>
      </c>
      <c r="D788" s="17">
        <v>6083</v>
      </c>
      <c r="E788" s="17" t="s">
        <v>1411</v>
      </c>
      <c r="F788" s="29">
        <v>1183760</v>
      </c>
    </row>
    <row r="789" spans="1:6" ht="16" customHeight="1" x14ac:dyDescent="0.2">
      <c r="A789">
        <f>IFERROR(VLOOKUP(C789,'GASB Match'!$D$2:$F$6042,3,FALSE),"")</f>
        <v>3400075</v>
      </c>
      <c r="B789" s="17">
        <v>2015</v>
      </c>
      <c r="C789" s="17" t="s">
        <v>613</v>
      </c>
      <c r="D789" s="17">
        <v>853</v>
      </c>
      <c r="E789" s="17" t="s">
        <v>1427</v>
      </c>
      <c r="F789" s="20">
        <v>70944</v>
      </c>
    </row>
    <row r="790" spans="1:6" ht="16" customHeight="1" x14ac:dyDescent="0.2">
      <c r="A790">
        <f>IFERROR(VLOOKUP(C790,'GASB Match'!$D$2:$F$6042,3,FALSE),"")</f>
        <v>3400075</v>
      </c>
      <c r="B790" s="17">
        <v>2016</v>
      </c>
      <c r="C790" s="17" t="s">
        <v>613</v>
      </c>
      <c r="D790" s="17">
        <v>853</v>
      </c>
      <c r="E790" s="17" t="s">
        <v>1427</v>
      </c>
      <c r="F790" s="20">
        <v>155383</v>
      </c>
    </row>
    <row r="791" spans="1:6" ht="16" customHeight="1" x14ac:dyDescent="0.2">
      <c r="A791">
        <f>IFERROR(VLOOKUP(C791,'GASB Match'!$D$2:$F$6042,3,FALSE),"")</f>
        <v>3400075</v>
      </c>
      <c r="B791" s="17">
        <v>2018</v>
      </c>
      <c r="C791" s="17" t="s">
        <v>1306</v>
      </c>
      <c r="D791" s="17">
        <v>853</v>
      </c>
      <c r="E791" s="17" t="s">
        <v>1470</v>
      </c>
      <c r="F791" s="20">
        <v>75470</v>
      </c>
    </row>
    <row r="792" spans="1:6" ht="16" customHeight="1" x14ac:dyDescent="0.2">
      <c r="A792">
        <f>IFERROR(VLOOKUP(C792,'GASB Match'!$D$2:$F$6042,3,FALSE),"")</f>
        <v>3400075</v>
      </c>
      <c r="B792" s="28">
        <v>2017</v>
      </c>
      <c r="C792" s="29" t="s">
        <v>613</v>
      </c>
      <c r="D792" s="17">
        <v>853</v>
      </c>
      <c r="E792" s="17" t="s">
        <v>1427</v>
      </c>
      <c r="F792" s="29">
        <v>172015</v>
      </c>
    </row>
    <row r="793" spans="1:6" ht="16" customHeight="1" x14ac:dyDescent="0.2">
      <c r="A793">
        <f>IFERROR(VLOOKUP(C793,'GASB Match'!$D$2:$F$6042,3,FALSE),"")</f>
        <v>3400090</v>
      </c>
      <c r="B793" s="17">
        <v>2015</v>
      </c>
      <c r="C793" s="17" t="s">
        <v>568</v>
      </c>
      <c r="D793" s="17">
        <v>769</v>
      </c>
      <c r="E793" s="17" t="s">
        <v>1425</v>
      </c>
      <c r="F793" s="20">
        <v>66454</v>
      </c>
    </row>
    <row r="794" spans="1:6" ht="16" customHeight="1" x14ac:dyDescent="0.2">
      <c r="A794">
        <f>IFERROR(VLOOKUP(C794,'GASB Match'!$D$2:$F$6042,3,FALSE),"")</f>
        <v>3400090</v>
      </c>
      <c r="B794" s="17">
        <v>2016</v>
      </c>
      <c r="C794" s="17" t="s">
        <v>568</v>
      </c>
      <c r="D794" s="17">
        <v>769</v>
      </c>
      <c r="E794" s="17" t="s">
        <v>1425</v>
      </c>
      <c r="F794" s="20">
        <v>118225</v>
      </c>
    </row>
    <row r="795" spans="1:6" ht="16" customHeight="1" x14ac:dyDescent="0.2">
      <c r="A795">
        <f>IFERROR(VLOOKUP(C795,'GASB Match'!$D$2:$F$6042,3,FALSE),"")</f>
        <v>3400090</v>
      </c>
      <c r="B795" s="17">
        <v>2018</v>
      </c>
      <c r="C795" s="17" t="s">
        <v>1260</v>
      </c>
      <c r="D795" s="17">
        <v>769</v>
      </c>
      <c r="E795" s="17" t="s">
        <v>1468</v>
      </c>
      <c r="F795" s="20">
        <v>332935</v>
      </c>
    </row>
    <row r="796" spans="1:6" ht="16" customHeight="1" x14ac:dyDescent="0.2">
      <c r="A796">
        <f>IFERROR(VLOOKUP(C796,'GASB Match'!$D$2:$F$6042,3,FALSE),"")</f>
        <v>3400090</v>
      </c>
      <c r="B796" s="17">
        <v>2019</v>
      </c>
      <c r="C796" s="17" t="s">
        <v>1260</v>
      </c>
      <c r="D796" s="17">
        <v>769</v>
      </c>
      <c r="E796" s="17" t="s">
        <v>1468</v>
      </c>
      <c r="F796" s="20">
        <v>442797</v>
      </c>
    </row>
    <row r="797" spans="1:6" ht="16" customHeight="1" x14ac:dyDescent="0.2">
      <c r="A797">
        <f>IFERROR(VLOOKUP(C797,'GASB Match'!$D$2:$F$6042,3,FALSE),"")</f>
        <v>3400090</v>
      </c>
      <c r="B797" s="17">
        <v>2020</v>
      </c>
      <c r="C797" s="21" t="s">
        <v>1260</v>
      </c>
      <c r="D797" s="17">
        <v>769</v>
      </c>
      <c r="E797" s="17" t="s">
        <v>1468</v>
      </c>
      <c r="F797" s="23">
        <v>553586</v>
      </c>
    </row>
    <row r="798" spans="1:6" ht="16" customHeight="1" x14ac:dyDescent="0.2">
      <c r="A798">
        <f>IFERROR(VLOOKUP(C798,'GASB Match'!$D$2:$F$6042,3,FALSE),"")</f>
        <v>3400090</v>
      </c>
      <c r="B798" s="17">
        <v>2021</v>
      </c>
      <c r="C798" s="25" t="s">
        <v>1260</v>
      </c>
      <c r="D798" s="17">
        <v>769</v>
      </c>
      <c r="E798" s="17" t="s">
        <v>1468</v>
      </c>
      <c r="F798" s="23">
        <v>919693</v>
      </c>
    </row>
    <row r="799" spans="1:6" ht="16" customHeight="1" x14ac:dyDescent="0.2">
      <c r="A799">
        <f>IFERROR(VLOOKUP(C799,'GASB Match'!$D$2:$F$6042,3,FALSE),"")</f>
        <v>3400090</v>
      </c>
      <c r="B799" s="17">
        <v>2022</v>
      </c>
      <c r="C799" s="21" t="s">
        <v>1260</v>
      </c>
      <c r="D799" s="17">
        <v>769</v>
      </c>
      <c r="E799" s="17" t="s">
        <v>1468</v>
      </c>
      <c r="F799" s="23">
        <v>1936544</v>
      </c>
    </row>
    <row r="800" spans="1:6" ht="16" customHeight="1" x14ac:dyDescent="0.2">
      <c r="A800">
        <f>IFERROR(VLOOKUP(C800,'GASB Match'!$D$2:$F$6042,3,FALSE),"")</f>
        <v>3400090</v>
      </c>
      <c r="B800" s="17">
        <v>2023</v>
      </c>
      <c r="C800" s="21" t="s">
        <v>1260</v>
      </c>
      <c r="D800" s="17">
        <v>769</v>
      </c>
      <c r="E800" s="17" t="s">
        <v>1468</v>
      </c>
      <c r="F800" s="23">
        <v>1829191</v>
      </c>
    </row>
    <row r="801" spans="1:6" ht="16" customHeight="1" x14ac:dyDescent="0.2">
      <c r="A801">
        <f>IFERROR(VLOOKUP(C801,'GASB Match'!$D$2:$F$6042,3,FALSE),"")</f>
        <v>3400090</v>
      </c>
      <c r="B801" s="28">
        <v>2017</v>
      </c>
      <c r="C801" s="29" t="s">
        <v>568</v>
      </c>
      <c r="D801" s="17">
        <v>769</v>
      </c>
      <c r="E801" s="17" t="s">
        <v>1425</v>
      </c>
      <c r="F801" s="29">
        <v>195440</v>
      </c>
    </row>
    <row r="802" spans="1:6" ht="16" customHeight="1" x14ac:dyDescent="0.2">
      <c r="A802">
        <f>IFERROR(VLOOKUP(C802,'GASB Match'!$D$2:$F$6042,3,FALSE),"")</f>
        <v>3402910</v>
      </c>
      <c r="B802" s="17">
        <v>2015</v>
      </c>
      <c r="C802" s="17" t="s">
        <v>499</v>
      </c>
      <c r="D802" s="17">
        <v>505</v>
      </c>
      <c r="E802" s="17" t="s">
        <v>1422</v>
      </c>
      <c r="F802" s="20">
        <v>698858</v>
      </c>
    </row>
    <row r="803" spans="1:6" ht="16" customHeight="1" x14ac:dyDescent="0.2">
      <c r="A803">
        <f>IFERROR(VLOOKUP(C803,'GASB Match'!$D$2:$F$6042,3,FALSE),"")</f>
        <v>3402910</v>
      </c>
      <c r="B803" s="17">
        <v>2016</v>
      </c>
      <c r="C803" s="17" t="s">
        <v>499</v>
      </c>
      <c r="D803" s="17">
        <v>505</v>
      </c>
      <c r="E803" s="17" t="s">
        <v>1422</v>
      </c>
      <c r="F803" s="20">
        <v>1053694</v>
      </c>
    </row>
    <row r="804" spans="1:6" ht="16" customHeight="1" x14ac:dyDescent="0.2">
      <c r="A804">
        <f>IFERROR(VLOOKUP(C804,'GASB Match'!$D$2:$F$6042,3,FALSE),"")</f>
        <v>3402910</v>
      </c>
      <c r="B804" s="17">
        <v>2018</v>
      </c>
      <c r="C804" s="17" t="s">
        <v>1191</v>
      </c>
      <c r="D804" s="17">
        <v>505</v>
      </c>
      <c r="E804" s="17" t="s">
        <v>1465</v>
      </c>
      <c r="F804" s="20">
        <v>1992308</v>
      </c>
    </row>
    <row r="805" spans="1:6" ht="16" customHeight="1" x14ac:dyDescent="0.2">
      <c r="A805">
        <f>IFERROR(VLOOKUP(C805,'GASB Match'!$D$2:$F$6042,3,FALSE),"")</f>
        <v>3402910</v>
      </c>
      <c r="B805" s="17">
        <v>2019</v>
      </c>
      <c r="C805" s="17" t="s">
        <v>1191</v>
      </c>
      <c r="D805" s="17">
        <v>505</v>
      </c>
      <c r="E805" s="17" t="s">
        <v>1465</v>
      </c>
      <c r="F805" s="20">
        <v>2705760</v>
      </c>
    </row>
    <row r="806" spans="1:6" ht="16" customHeight="1" x14ac:dyDescent="0.2">
      <c r="A806">
        <f>IFERROR(VLOOKUP(C806,'GASB Match'!$D$2:$F$6042,3,FALSE),"")</f>
        <v>3402910</v>
      </c>
      <c r="B806" s="17">
        <v>2020</v>
      </c>
      <c r="C806" s="21" t="s">
        <v>1191</v>
      </c>
      <c r="D806" s="17">
        <v>505</v>
      </c>
      <c r="E806" s="17" t="s">
        <v>1465</v>
      </c>
      <c r="F806" s="23">
        <v>3121731</v>
      </c>
    </row>
    <row r="807" spans="1:6" ht="16" customHeight="1" x14ac:dyDescent="0.2">
      <c r="A807">
        <f>IFERROR(VLOOKUP(C807,'GASB Match'!$D$2:$F$6042,3,FALSE),"")</f>
        <v>3402910</v>
      </c>
      <c r="B807" s="17">
        <v>2021</v>
      </c>
      <c r="C807" s="25" t="s">
        <v>1191</v>
      </c>
      <c r="D807" s="17">
        <v>505</v>
      </c>
      <c r="E807" s="17" t="s">
        <v>1465</v>
      </c>
      <c r="F807" s="23">
        <v>4069105</v>
      </c>
    </row>
    <row r="808" spans="1:6" ht="16" customHeight="1" x14ac:dyDescent="0.2">
      <c r="A808">
        <f>IFERROR(VLOOKUP(C808,'GASB Match'!$D$2:$F$6042,3,FALSE),"")</f>
        <v>3402910</v>
      </c>
      <c r="B808" s="17">
        <v>2022</v>
      </c>
      <c r="C808" s="21" t="s">
        <v>1191</v>
      </c>
      <c r="D808" s="17">
        <v>505</v>
      </c>
      <c r="E808" s="17" t="s">
        <v>1465</v>
      </c>
      <c r="F808" s="23">
        <v>5842793</v>
      </c>
    </row>
    <row r="809" spans="1:6" ht="16" customHeight="1" x14ac:dyDescent="0.2">
      <c r="A809">
        <f>IFERROR(VLOOKUP(C809,'GASB Match'!$D$2:$F$6042,3,FALSE),"")</f>
        <v>3402910</v>
      </c>
      <c r="B809" s="17">
        <v>2023</v>
      </c>
      <c r="C809" s="21" t="s">
        <v>1191</v>
      </c>
      <c r="D809" s="17">
        <v>505</v>
      </c>
      <c r="E809" s="17" t="s">
        <v>1465</v>
      </c>
      <c r="F809" s="23">
        <v>5888768</v>
      </c>
    </row>
    <row r="810" spans="1:6" ht="16" customHeight="1" x14ac:dyDescent="0.2">
      <c r="A810">
        <f>IFERROR(VLOOKUP(C810,'GASB Match'!$D$2:$F$6042,3,FALSE),"")</f>
        <v>3402910</v>
      </c>
      <c r="B810" s="28">
        <v>2017</v>
      </c>
      <c r="C810" s="29" t="s">
        <v>499</v>
      </c>
      <c r="D810" s="17">
        <v>505</v>
      </c>
      <c r="E810" s="17" t="s">
        <v>1422</v>
      </c>
      <c r="F810" s="29">
        <v>1486686</v>
      </c>
    </row>
    <row r="811" spans="1:6" ht="16" customHeight="1" x14ac:dyDescent="0.2">
      <c r="A811">
        <f>IFERROR(VLOOKUP(C811,'GASB Match'!$D$2:$F$6042,3,FALSE),"")</f>
        <v>3400019</v>
      </c>
      <c r="B811" s="17">
        <v>2015</v>
      </c>
      <c r="C811" s="17" t="s">
        <v>199</v>
      </c>
      <c r="D811" s="17">
        <v>5020</v>
      </c>
      <c r="E811" s="17" t="s">
        <v>1407</v>
      </c>
      <c r="F811" s="20">
        <v>101183</v>
      </c>
    </row>
    <row r="812" spans="1:6" ht="16" customHeight="1" x14ac:dyDescent="0.2">
      <c r="A812">
        <f>IFERROR(VLOOKUP(C812,'GASB Match'!$D$2:$F$6042,3,FALSE),"")</f>
        <v>3400019</v>
      </c>
      <c r="B812" s="17">
        <v>2016</v>
      </c>
      <c r="C812" s="17" t="s">
        <v>199</v>
      </c>
      <c r="D812" s="17">
        <v>5020</v>
      </c>
      <c r="E812" s="17" t="s">
        <v>1407</v>
      </c>
      <c r="F812" s="20">
        <v>166547</v>
      </c>
    </row>
    <row r="813" spans="1:6" ht="16" customHeight="1" x14ac:dyDescent="0.2">
      <c r="A813">
        <f>IFERROR(VLOOKUP(C813,'GASB Match'!$D$2:$F$6042,3,FALSE),"")</f>
        <v>3400019</v>
      </c>
      <c r="B813" s="17">
        <v>2018</v>
      </c>
      <c r="C813" s="17" t="s">
        <v>883</v>
      </c>
      <c r="D813" s="17">
        <v>5020</v>
      </c>
      <c r="E813" s="17" t="s">
        <v>1448</v>
      </c>
      <c r="F813" s="20">
        <v>400678</v>
      </c>
    </row>
    <row r="814" spans="1:6" ht="16" customHeight="1" x14ac:dyDescent="0.2">
      <c r="A814">
        <f>IFERROR(VLOOKUP(C814,'GASB Match'!$D$2:$F$6042,3,FALSE),"")</f>
        <v>3400019</v>
      </c>
      <c r="B814" s="17">
        <v>2019</v>
      </c>
      <c r="C814" s="17" t="s">
        <v>883</v>
      </c>
      <c r="D814" s="17">
        <v>5020</v>
      </c>
      <c r="E814" s="17" t="s">
        <v>1448</v>
      </c>
      <c r="F814" s="20">
        <v>519466</v>
      </c>
    </row>
    <row r="815" spans="1:6" ht="16" customHeight="1" x14ac:dyDescent="0.2">
      <c r="A815">
        <f>IFERROR(VLOOKUP(C815,'GASB Match'!$D$2:$F$6042,3,FALSE),"")</f>
        <v>3400019</v>
      </c>
      <c r="B815" s="17">
        <v>2020</v>
      </c>
      <c r="C815" s="21" t="s">
        <v>883</v>
      </c>
      <c r="D815" s="17">
        <v>5020</v>
      </c>
      <c r="E815" s="17" t="s">
        <v>1448</v>
      </c>
      <c r="F815" s="23">
        <v>614093</v>
      </c>
    </row>
    <row r="816" spans="1:6" ht="16" customHeight="1" x14ac:dyDescent="0.2">
      <c r="A816">
        <f>IFERROR(VLOOKUP(C816,'GASB Match'!$D$2:$F$6042,3,FALSE),"")</f>
        <v>3400019</v>
      </c>
      <c r="B816" s="17">
        <v>2021</v>
      </c>
      <c r="C816" s="25" t="s">
        <v>883</v>
      </c>
      <c r="D816" s="17">
        <v>5020</v>
      </c>
      <c r="E816" s="17" t="s">
        <v>1448</v>
      </c>
      <c r="F816" s="23">
        <v>783084</v>
      </c>
    </row>
    <row r="817" spans="1:6" ht="16" customHeight="1" x14ac:dyDescent="0.2">
      <c r="A817">
        <f>IFERROR(VLOOKUP(C817,'GASB Match'!$D$2:$F$6042,3,FALSE),"")</f>
        <v>3400019</v>
      </c>
      <c r="B817" s="17">
        <v>2022</v>
      </c>
      <c r="C817" s="21" t="s">
        <v>883</v>
      </c>
      <c r="D817" s="17">
        <v>5020</v>
      </c>
      <c r="E817" s="17" t="s">
        <v>1448</v>
      </c>
      <c r="F817" s="23">
        <v>1208472</v>
      </c>
    </row>
    <row r="818" spans="1:6" ht="16" customHeight="1" x14ac:dyDescent="0.2">
      <c r="A818">
        <f>IFERROR(VLOOKUP(C818,'GASB Match'!$D$2:$F$6042,3,FALSE),"")</f>
        <v>3400019</v>
      </c>
      <c r="B818" s="17">
        <v>2023</v>
      </c>
      <c r="C818" s="21" t="s">
        <v>883</v>
      </c>
      <c r="D818" s="17">
        <v>5020</v>
      </c>
      <c r="E818" s="17" t="s">
        <v>1448</v>
      </c>
      <c r="F818" s="23">
        <v>1167257</v>
      </c>
    </row>
    <row r="819" spans="1:6" ht="16" customHeight="1" x14ac:dyDescent="0.2">
      <c r="A819">
        <f>IFERROR(VLOOKUP(C819,'GASB Match'!$D$2:$F$6042,3,FALSE),"")</f>
        <v>3400019</v>
      </c>
      <c r="B819" s="28">
        <v>2017</v>
      </c>
      <c r="C819" s="29" t="s">
        <v>199</v>
      </c>
      <c r="D819" s="17">
        <v>5020</v>
      </c>
      <c r="E819" s="17" t="s">
        <v>1407</v>
      </c>
      <c r="F819" s="29">
        <v>272662</v>
      </c>
    </row>
    <row r="820" spans="1:6" ht="16" customHeight="1" x14ac:dyDescent="0.2">
      <c r="A820">
        <f>IFERROR(VLOOKUP(C820,'GASB Match'!$D$2:$F$6042,3,FALSE),"")</f>
        <v>3400004</v>
      </c>
      <c r="B820" s="17">
        <v>2015</v>
      </c>
      <c r="C820" s="17" t="s">
        <v>457</v>
      </c>
      <c r="D820" s="17">
        <v>455</v>
      </c>
      <c r="E820" s="17" t="s">
        <v>1421</v>
      </c>
      <c r="F820" s="20">
        <v>1450464</v>
      </c>
    </row>
    <row r="821" spans="1:6" ht="16" customHeight="1" x14ac:dyDescent="0.2">
      <c r="A821">
        <f>IFERROR(VLOOKUP(C821,'GASB Match'!$D$2:$F$6042,3,FALSE),"")</f>
        <v>3400004</v>
      </c>
      <c r="B821" s="17">
        <v>2016</v>
      </c>
      <c r="C821" s="17" t="s">
        <v>457</v>
      </c>
      <c r="D821" s="17">
        <v>455</v>
      </c>
      <c r="E821" s="17" t="s">
        <v>1421</v>
      </c>
      <c r="F821" s="20">
        <v>2229758</v>
      </c>
    </row>
    <row r="822" spans="1:6" ht="16" customHeight="1" x14ac:dyDescent="0.2">
      <c r="A822">
        <f>IFERROR(VLOOKUP(C822,'GASB Match'!$D$2:$F$6042,3,FALSE),"")</f>
        <v>3400004</v>
      </c>
      <c r="B822" s="17">
        <v>2018</v>
      </c>
      <c r="C822" s="17" t="s">
        <v>1149</v>
      </c>
      <c r="D822" s="17">
        <v>455</v>
      </c>
      <c r="E822" s="17" t="s">
        <v>1464</v>
      </c>
      <c r="F822" s="19">
        <v>4235574</v>
      </c>
    </row>
    <row r="823" spans="1:6" ht="16" customHeight="1" x14ac:dyDescent="0.2">
      <c r="A823">
        <f>IFERROR(VLOOKUP(C823,'GASB Match'!$D$2:$F$6042,3,FALSE),"")</f>
        <v>3400004</v>
      </c>
      <c r="B823" s="17">
        <v>2019</v>
      </c>
      <c r="C823" s="17" t="s">
        <v>1149</v>
      </c>
      <c r="D823" s="17">
        <v>455</v>
      </c>
      <c r="E823" s="17" t="s">
        <v>1464</v>
      </c>
      <c r="F823" s="20">
        <v>5770794</v>
      </c>
    </row>
    <row r="824" spans="1:6" ht="16" customHeight="1" x14ac:dyDescent="0.2">
      <c r="A824">
        <f>IFERROR(VLOOKUP(C824,'GASB Match'!$D$2:$F$6042,3,FALSE),"")</f>
        <v>3400004</v>
      </c>
      <c r="B824" s="17">
        <v>2020</v>
      </c>
      <c r="C824" s="21" t="s">
        <v>1149</v>
      </c>
      <c r="D824" s="17">
        <v>455</v>
      </c>
      <c r="E824" s="17" t="s">
        <v>1464</v>
      </c>
      <c r="F824" s="23">
        <v>6507034</v>
      </c>
    </row>
    <row r="825" spans="1:6" ht="16" customHeight="1" x14ac:dyDescent="0.2">
      <c r="A825">
        <f>IFERROR(VLOOKUP(C825,'GASB Match'!$D$2:$F$6042,3,FALSE),"")</f>
        <v>3400004</v>
      </c>
      <c r="B825" s="17">
        <v>2021</v>
      </c>
      <c r="C825" s="25" t="s">
        <v>1149</v>
      </c>
      <c r="D825" s="17">
        <v>455</v>
      </c>
      <c r="E825" s="17" t="s">
        <v>1464</v>
      </c>
      <c r="F825" s="23">
        <v>8568430</v>
      </c>
    </row>
    <row r="826" spans="1:6" ht="16" customHeight="1" x14ac:dyDescent="0.2">
      <c r="A826">
        <f>IFERROR(VLOOKUP(C826,'GASB Match'!$D$2:$F$6042,3,FALSE),"")</f>
        <v>3400004</v>
      </c>
      <c r="B826" s="17">
        <v>2022</v>
      </c>
      <c r="C826" s="21" t="s">
        <v>1149</v>
      </c>
      <c r="D826" s="17">
        <v>455</v>
      </c>
      <c r="E826" s="17" t="s">
        <v>1464</v>
      </c>
      <c r="F826" s="23">
        <v>12411774</v>
      </c>
    </row>
    <row r="827" spans="1:6" ht="16" customHeight="1" x14ac:dyDescent="0.2">
      <c r="A827">
        <f>IFERROR(VLOOKUP(C827,'GASB Match'!$D$2:$F$6042,3,FALSE),"")</f>
        <v>3400004</v>
      </c>
      <c r="B827" s="17">
        <v>2023</v>
      </c>
      <c r="C827" s="21" t="s">
        <v>1149</v>
      </c>
      <c r="D827" s="17">
        <v>455</v>
      </c>
      <c r="E827" s="17" t="s">
        <v>1464</v>
      </c>
      <c r="F827" s="23">
        <v>12250414</v>
      </c>
    </row>
    <row r="828" spans="1:6" ht="16" customHeight="1" x14ac:dyDescent="0.2">
      <c r="A828">
        <f>IFERROR(VLOOKUP(C828,'GASB Match'!$D$2:$F$6042,3,FALSE),"")</f>
        <v>3400004</v>
      </c>
      <c r="B828" s="28">
        <v>2017</v>
      </c>
      <c r="C828" s="29" t="s">
        <v>457</v>
      </c>
      <c r="D828" s="17">
        <v>455</v>
      </c>
      <c r="E828" s="17" t="s">
        <v>1421</v>
      </c>
      <c r="F828" s="29">
        <v>3144601</v>
      </c>
    </row>
    <row r="829" spans="1:6" ht="16" customHeight="1" x14ac:dyDescent="0.2">
      <c r="A829">
        <f>IFERROR(VLOOKUP(C829,'GASB Match'!$D$2:$F$6042,3,FALSE),"")</f>
        <v>3403000</v>
      </c>
      <c r="B829" s="17">
        <v>2015</v>
      </c>
      <c r="C829" s="17" t="s">
        <v>162</v>
      </c>
      <c r="D829" s="17">
        <v>4031</v>
      </c>
      <c r="E829" s="17" t="s">
        <v>1405</v>
      </c>
      <c r="F829" s="20">
        <v>4029708</v>
      </c>
    </row>
    <row r="830" spans="1:6" ht="16" customHeight="1" x14ac:dyDescent="0.2">
      <c r="A830">
        <f>IFERROR(VLOOKUP(C830,'GASB Match'!$D$2:$F$6042,3,FALSE),"")</f>
        <v>3403000</v>
      </c>
      <c r="B830" s="17">
        <v>2016</v>
      </c>
      <c r="C830" s="17" t="s">
        <v>162</v>
      </c>
      <c r="D830" s="17">
        <v>4031</v>
      </c>
      <c r="E830" s="17" t="s">
        <v>1405</v>
      </c>
      <c r="F830" s="20">
        <v>5899462</v>
      </c>
    </row>
    <row r="831" spans="1:6" ht="16" customHeight="1" x14ac:dyDescent="0.2">
      <c r="A831">
        <f>IFERROR(VLOOKUP(C831,'GASB Match'!$D$2:$F$6042,3,FALSE),"")</f>
        <v>3403000</v>
      </c>
      <c r="B831" s="17">
        <v>2018</v>
      </c>
      <c r="C831" s="17" t="s">
        <v>844</v>
      </c>
      <c r="D831" s="17">
        <v>4031</v>
      </c>
      <c r="E831" s="17" t="s">
        <v>1446</v>
      </c>
      <c r="F831" s="20">
        <v>11385609</v>
      </c>
    </row>
    <row r="832" spans="1:6" ht="16" customHeight="1" x14ac:dyDescent="0.2">
      <c r="A832">
        <f>IFERROR(VLOOKUP(C832,'GASB Match'!$D$2:$F$6042,3,FALSE),"")</f>
        <v>3403000</v>
      </c>
      <c r="B832" s="17">
        <v>2019</v>
      </c>
      <c r="C832" s="17" t="s">
        <v>844</v>
      </c>
      <c r="D832" s="17">
        <v>4031</v>
      </c>
      <c r="E832" s="17" t="s">
        <v>1446</v>
      </c>
      <c r="F832" s="20">
        <v>15342625</v>
      </c>
    </row>
    <row r="833" spans="1:6" ht="16" customHeight="1" x14ac:dyDescent="0.2">
      <c r="A833">
        <f>IFERROR(VLOOKUP(C833,'GASB Match'!$D$2:$F$6042,3,FALSE),"")</f>
        <v>3403000</v>
      </c>
      <c r="B833" s="17">
        <v>2020</v>
      </c>
      <c r="C833" s="21" t="s">
        <v>844</v>
      </c>
      <c r="D833" s="17">
        <v>4031</v>
      </c>
      <c r="E833" s="17" t="s">
        <v>1446</v>
      </c>
      <c r="F833" s="23">
        <v>17273355</v>
      </c>
    </row>
    <row r="834" spans="1:6" ht="16" customHeight="1" x14ac:dyDescent="0.2">
      <c r="A834">
        <f>IFERROR(VLOOKUP(C834,'GASB Match'!$D$2:$F$6042,3,FALSE),"")</f>
        <v>3403000</v>
      </c>
      <c r="B834" s="17">
        <v>2021</v>
      </c>
      <c r="C834" s="25" t="s">
        <v>844</v>
      </c>
      <c r="D834" s="17">
        <v>4031</v>
      </c>
      <c r="E834" s="17" t="s">
        <v>1446</v>
      </c>
      <c r="F834" s="23">
        <v>22516088</v>
      </c>
    </row>
    <row r="835" spans="1:6" ht="16" customHeight="1" x14ac:dyDescent="0.2">
      <c r="A835">
        <f>IFERROR(VLOOKUP(C835,'GASB Match'!$D$2:$F$6042,3,FALSE),"")</f>
        <v>3403000</v>
      </c>
      <c r="B835" s="17">
        <v>2022</v>
      </c>
      <c r="C835" s="21" t="s">
        <v>844</v>
      </c>
      <c r="D835" s="17">
        <v>4031</v>
      </c>
      <c r="E835" s="17" t="s">
        <v>1446</v>
      </c>
      <c r="F835" s="23">
        <v>32159918</v>
      </c>
    </row>
    <row r="836" spans="1:6" ht="16" customHeight="1" x14ac:dyDescent="0.2">
      <c r="A836">
        <f>IFERROR(VLOOKUP(C836,'GASB Match'!$D$2:$F$6042,3,FALSE),"")</f>
        <v>3403000</v>
      </c>
      <c r="B836" s="17">
        <v>2023</v>
      </c>
      <c r="C836" s="21" t="s">
        <v>844</v>
      </c>
      <c r="D836" s="17">
        <v>4031</v>
      </c>
      <c r="E836" s="17" t="s">
        <v>1446</v>
      </c>
      <c r="F836" s="23">
        <v>32432915</v>
      </c>
    </row>
    <row r="837" spans="1:6" ht="16" customHeight="1" x14ac:dyDescent="0.2">
      <c r="A837">
        <f>IFERROR(VLOOKUP(C837,'GASB Match'!$D$2:$F$6042,3,FALSE),"")</f>
        <v>3403000</v>
      </c>
      <c r="B837" s="28">
        <v>2017</v>
      </c>
      <c r="C837" s="29" t="s">
        <v>162</v>
      </c>
      <c r="D837" s="17">
        <v>4031</v>
      </c>
      <c r="E837" s="17" t="s">
        <v>1405</v>
      </c>
      <c r="F837" s="29">
        <v>8186933</v>
      </c>
    </row>
    <row r="838" spans="1:6" ht="16" customHeight="1" x14ac:dyDescent="0.2">
      <c r="A838">
        <f>IFERROR(VLOOKUP(C838,'GASB Match'!$D$2:$F$6042,3,FALSE),"")</f>
        <v>3403060</v>
      </c>
      <c r="B838" s="17">
        <v>2015</v>
      </c>
      <c r="C838" s="17" t="s">
        <v>458</v>
      </c>
      <c r="D838" s="17">
        <v>416</v>
      </c>
      <c r="E838" s="17" t="s">
        <v>1421</v>
      </c>
      <c r="F838" s="20">
        <v>466927</v>
      </c>
    </row>
    <row r="839" spans="1:6" ht="16" customHeight="1" x14ac:dyDescent="0.2">
      <c r="A839">
        <f>IFERROR(VLOOKUP(C839,'GASB Match'!$D$2:$F$6042,3,FALSE),"")</f>
        <v>3403060</v>
      </c>
      <c r="B839" s="17">
        <v>2016</v>
      </c>
      <c r="C839" s="17" t="s">
        <v>458</v>
      </c>
      <c r="D839" s="17">
        <v>416</v>
      </c>
      <c r="E839" s="17" t="s">
        <v>1421</v>
      </c>
      <c r="F839" s="20">
        <v>702207</v>
      </c>
    </row>
    <row r="840" spans="1:6" ht="16" customHeight="1" x14ac:dyDescent="0.2">
      <c r="A840">
        <f>IFERROR(VLOOKUP(C840,'GASB Match'!$D$2:$F$6042,3,FALSE),"")</f>
        <v>3403060</v>
      </c>
      <c r="B840" s="17">
        <v>2018</v>
      </c>
      <c r="C840" s="17" t="s">
        <v>1150</v>
      </c>
      <c r="D840" s="17">
        <v>416</v>
      </c>
      <c r="E840" s="17" t="s">
        <v>1464</v>
      </c>
      <c r="F840" s="20">
        <v>1353164</v>
      </c>
    </row>
    <row r="841" spans="1:6" ht="16" customHeight="1" x14ac:dyDescent="0.2">
      <c r="A841">
        <f>IFERROR(VLOOKUP(C841,'GASB Match'!$D$2:$F$6042,3,FALSE),"")</f>
        <v>3403060</v>
      </c>
      <c r="B841" s="17">
        <v>2019</v>
      </c>
      <c r="C841" s="17" t="s">
        <v>1150</v>
      </c>
      <c r="D841" s="17">
        <v>416</v>
      </c>
      <c r="E841" s="17" t="s">
        <v>1464</v>
      </c>
      <c r="F841" s="20">
        <v>1793446</v>
      </c>
    </row>
    <row r="842" spans="1:6" ht="16" customHeight="1" x14ac:dyDescent="0.2">
      <c r="A842">
        <f>IFERROR(VLOOKUP(C842,'GASB Match'!$D$2:$F$6042,3,FALSE),"")</f>
        <v>3403060</v>
      </c>
      <c r="B842" s="17">
        <v>2020</v>
      </c>
      <c r="C842" s="21" t="s">
        <v>1150</v>
      </c>
      <c r="D842" s="17">
        <v>416</v>
      </c>
      <c r="E842" s="17" t="s">
        <v>1464</v>
      </c>
      <c r="F842" s="23">
        <v>2021741</v>
      </c>
    </row>
    <row r="843" spans="1:6" ht="16" customHeight="1" x14ac:dyDescent="0.2">
      <c r="A843">
        <f>IFERROR(VLOOKUP(C843,'GASB Match'!$D$2:$F$6042,3,FALSE),"")</f>
        <v>3403060</v>
      </c>
      <c r="B843" s="17">
        <v>2021</v>
      </c>
      <c r="C843" s="25" t="s">
        <v>1150</v>
      </c>
      <c r="D843" s="17">
        <v>416</v>
      </c>
      <c r="E843" s="17" t="s">
        <v>1464</v>
      </c>
      <c r="F843" s="23">
        <v>2555560</v>
      </c>
    </row>
    <row r="844" spans="1:6" ht="16" customHeight="1" x14ac:dyDescent="0.2">
      <c r="A844">
        <f>IFERROR(VLOOKUP(C844,'GASB Match'!$D$2:$F$6042,3,FALSE),"")</f>
        <v>3403060</v>
      </c>
      <c r="B844" s="17">
        <v>2022</v>
      </c>
      <c r="C844" s="21" t="s">
        <v>1150</v>
      </c>
      <c r="D844" s="17">
        <v>416</v>
      </c>
      <c r="E844" s="17" t="s">
        <v>1464</v>
      </c>
      <c r="F844" s="23">
        <v>3605222</v>
      </c>
    </row>
    <row r="845" spans="1:6" ht="16" customHeight="1" x14ac:dyDescent="0.2">
      <c r="A845">
        <f>IFERROR(VLOOKUP(C845,'GASB Match'!$D$2:$F$6042,3,FALSE),"")</f>
        <v>3403060</v>
      </c>
      <c r="B845" s="17">
        <v>2023</v>
      </c>
      <c r="C845" s="21" t="s">
        <v>1150</v>
      </c>
      <c r="D845" s="17">
        <v>416</v>
      </c>
      <c r="E845" s="17" t="s">
        <v>1464</v>
      </c>
      <c r="F845" s="23">
        <v>3528025</v>
      </c>
    </row>
    <row r="846" spans="1:6" ht="16" customHeight="1" x14ac:dyDescent="0.2">
      <c r="A846">
        <f>IFERROR(VLOOKUP(C846,'GASB Match'!$D$2:$F$6042,3,FALSE),"")</f>
        <v>3403060</v>
      </c>
      <c r="B846" s="28">
        <v>2017</v>
      </c>
      <c r="C846" s="29" t="s">
        <v>458</v>
      </c>
      <c r="D846" s="17">
        <v>416</v>
      </c>
      <c r="E846" s="17" t="s">
        <v>1421</v>
      </c>
      <c r="F846" s="29">
        <v>1022161</v>
      </c>
    </row>
    <row r="847" spans="1:6" ht="16" customHeight="1" x14ac:dyDescent="0.2">
      <c r="A847">
        <f>IFERROR(VLOOKUP(C847,'GASB Match'!$D$2:$F$6042,3,FALSE),"")</f>
        <v>3403090</v>
      </c>
      <c r="B847" s="17">
        <v>2015</v>
      </c>
      <c r="C847" s="17" t="s">
        <v>113</v>
      </c>
      <c r="D847" s="17">
        <v>3016</v>
      </c>
      <c r="E847" s="17" t="s">
        <v>1404</v>
      </c>
      <c r="F847" s="20">
        <v>202848</v>
      </c>
    </row>
    <row r="848" spans="1:6" ht="16" customHeight="1" x14ac:dyDescent="0.2">
      <c r="A848">
        <f>IFERROR(VLOOKUP(C848,'GASB Match'!$D$2:$F$6042,3,FALSE),"")</f>
        <v>3403090</v>
      </c>
      <c r="B848" s="17">
        <v>2016</v>
      </c>
      <c r="C848" s="17" t="s">
        <v>113</v>
      </c>
      <c r="D848" s="17">
        <v>3016</v>
      </c>
      <c r="E848" s="17" t="s">
        <v>1404</v>
      </c>
      <c r="F848" s="20">
        <v>294355</v>
      </c>
    </row>
    <row r="849" spans="1:6" ht="16" customHeight="1" x14ac:dyDescent="0.2">
      <c r="A849">
        <f>IFERROR(VLOOKUP(C849,'GASB Match'!$D$2:$F$6042,3,FALSE),"")</f>
        <v>3403090</v>
      </c>
      <c r="B849" s="17">
        <v>2018</v>
      </c>
      <c r="C849" s="17" t="s">
        <v>794</v>
      </c>
      <c r="D849" s="17">
        <v>3016</v>
      </c>
      <c r="E849" s="17" t="s">
        <v>1445</v>
      </c>
      <c r="F849" s="20">
        <v>571504</v>
      </c>
    </row>
    <row r="850" spans="1:6" ht="16" customHeight="1" x14ac:dyDescent="0.2">
      <c r="A850">
        <f>IFERROR(VLOOKUP(C850,'GASB Match'!$D$2:$F$6042,3,FALSE),"")</f>
        <v>3403090</v>
      </c>
      <c r="B850" s="17">
        <v>2019</v>
      </c>
      <c r="C850" s="17" t="s">
        <v>794</v>
      </c>
      <c r="D850" s="17">
        <v>3016</v>
      </c>
      <c r="E850" s="17" t="s">
        <v>1445</v>
      </c>
      <c r="F850" s="20">
        <v>814464</v>
      </c>
    </row>
    <row r="851" spans="1:6" ht="16" customHeight="1" x14ac:dyDescent="0.2">
      <c r="A851">
        <f>IFERROR(VLOOKUP(C851,'GASB Match'!$D$2:$F$6042,3,FALSE),"")</f>
        <v>3403090</v>
      </c>
      <c r="B851" s="17">
        <v>2020</v>
      </c>
      <c r="C851" s="21" t="s">
        <v>794</v>
      </c>
      <c r="D851" s="17">
        <v>3016</v>
      </c>
      <c r="E851" s="17" t="s">
        <v>1445</v>
      </c>
      <c r="F851" s="23">
        <v>969888</v>
      </c>
    </row>
    <row r="852" spans="1:6" ht="16" customHeight="1" x14ac:dyDescent="0.2">
      <c r="A852">
        <f>IFERROR(VLOOKUP(C852,'GASB Match'!$D$2:$F$6042,3,FALSE),"")</f>
        <v>3403090</v>
      </c>
      <c r="B852" s="17">
        <v>2021</v>
      </c>
      <c r="C852" s="25" t="s">
        <v>794</v>
      </c>
      <c r="D852" s="17">
        <v>3016</v>
      </c>
      <c r="E852" s="17" t="s">
        <v>1445</v>
      </c>
      <c r="F852" s="23">
        <v>1249162</v>
      </c>
    </row>
    <row r="853" spans="1:6" ht="16" customHeight="1" x14ac:dyDescent="0.2">
      <c r="A853">
        <f>IFERROR(VLOOKUP(C853,'GASB Match'!$D$2:$F$6042,3,FALSE),"")</f>
        <v>3403090</v>
      </c>
      <c r="B853" s="17">
        <v>2022</v>
      </c>
      <c r="C853" s="21" t="s">
        <v>794</v>
      </c>
      <c r="D853" s="17">
        <v>3016</v>
      </c>
      <c r="E853" s="17" t="s">
        <v>1445</v>
      </c>
      <c r="F853" s="23">
        <v>2070985</v>
      </c>
    </row>
    <row r="854" spans="1:6" ht="16" customHeight="1" x14ac:dyDescent="0.2">
      <c r="A854">
        <f>IFERROR(VLOOKUP(C854,'GASB Match'!$D$2:$F$6042,3,FALSE),"")</f>
        <v>3403090</v>
      </c>
      <c r="B854" s="17">
        <v>2023</v>
      </c>
      <c r="C854" s="21" t="s">
        <v>794</v>
      </c>
      <c r="D854" s="17">
        <v>3016</v>
      </c>
      <c r="E854" s="17" t="s">
        <v>1445</v>
      </c>
      <c r="F854" s="23">
        <v>2093232</v>
      </c>
    </row>
    <row r="855" spans="1:6" ht="16" customHeight="1" x14ac:dyDescent="0.2">
      <c r="A855">
        <f>IFERROR(VLOOKUP(C855,'GASB Match'!$D$2:$F$6042,3,FALSE),"")</f>
        <v>3403090</v>
      </c>
      <c r="B855" s="28">
        <v>2017</v>
      </c>
      <c r="C855" s="29" t="s">
        <v>113</v>
      </c>
      <c r="D855" s="17">
        <v>3016</v>
      </c>
      <c r="E855" s="17" t="s">
        <v>1404</v>
      </c>
      <c r="F855" s="29">
        <v>449584</v>
      </c>
    </row>
    <row r="856" spans="1:6" ht="16" customHeight="1" x14ac:dyDescent="0.2">
      <c r="A856">
        <f>IFERROR(VLOOKUP(C856,'GASB Match'!$D$2:$F$6042,3,FALSE),"")</f>
        <v>3403120</v>
      </c>
      <c r="B856" s="17">
        <v>2015</v>
      </c>
      <c r="C856" s="17" t="s">
        <v>114</v>
      </c>
      <c r="D856" s="17">
        <v>3017</v>
      </c>
      <c r="E856" s="17" t="s">
        <v>1404</v>
      </c>
      <c r="F856" s="19">
        <v>909364</v>
      </c>
    </row>
    <row r="857" spans="1:6" ht="16" customHeight="1" x14ac:dyDescent="0.2">
      <c r="A857">
        <f>IFERROR(VLOOKUP(C857,'GASB Match'!$D$2:$F$6042,3,FALSE),"")</f>
        <v>3403120</v>
      </c>
      <c r="B857" s="17">
        <v>2016</v>
      </c>
      <c r="C857" s="17" t="s">
        <v>114</v>
      </c>
      <c r="D857" s="17">
        <v>3017</v>
      </c>
      <c r="E857" s="17" t="s">
        <v>1404</v>
      </c>
      <c r="F857" s="19">
        <v>1373602</v>
      </c>
    </row>
    <row r="858" spans="1:6" ht="16" customHeight="1" x14ac:dyDescent="0.2">
      <c r="A858">
        <f>IFERROR(VLOOKUP(C858,'GASB Match'!$D$2:$F$6042,3,FALSE),"")</f>
        <v>3403120</v>
      </c>
      <c r="B858" s="17">
        <v>2018</v>
      </c>
      <c r="C858" s="17" t="s">
        <v>795</v>
      </c>
      <c r="D858" s="17">
        <v>3017</v>
      </c>
      <c r="E858" s="17" t="s">
        <v>1445</v>
      </c>
      <c r="F858" s="20">
        <v>2678213</v>
      </c>
    </row>
    <row r="859" spans="1:6" ht="16" customHeight="1" x14ac:dyDescent="0.2">
      <c r="A859">
        <f>IFERROR(VLOOKUP(C859,'GASB Match'!$D$2:$F$6042,3,FALSE),"")</f>
        <v>3403120</v>
      </c>
      <c r="B859" s="17">
        <v>2019</v>
      </c>
      <c r="C859" s="17" t="s">
        <v>795</v>
      </c>
      <c r="D859" s="17">
        <v>3017</v>
      </c>
      <c r="E859" s="17" t="s">
        <v>1445</v>
      </c>
      <c r="F859" s="19">
        <v>3672526</v>
      </c>
    </row>
    <row r="860" spans="1:6" ht="16" customHeight="1" x14ac:dyDescent="0.2">
      <c r="A860">
        <f>IFERROR(VLOOKUP(C860,'GASB Match'!$D$2:$F$6042,3,FALSE),"")</f>
        <v>3403120</v>
      </c>
      <c r="B860" s="17">
        <v>2020</v>
      </c>
      <c r="C860" s="21" t="s">
        <v>795</v>
      </c>
      <c r="D860" s="17">
        <v>3017</v>
      </c>
      <c r="E860" s="17" t="s">
        <v>1445</v>
      </c>
      <c r="F860" s="23">
        <v>4159158</v>
      </c>
    </row>
    <row r="861" spans="1:6" ht="16" customHeight="1" x14ac:dyDescent="0.2">
      <c r="A861">
        <f>IFERROR(VLOOKUP(C861,'GASB Match'!$D$2:$F$6042,3,FALSE),"")</f>
        <v>3403120</v>
      </c>
      <c r="B861" s="17">
        <v>2021</v>
      </c>
      <c r="C861" s="25" t="s">
        <v>795</v>
      </c>
      <c r="D861" s="17">
        <v>3017</v>
      </c>
      <c r="E861" s="17" t="s">
        <v>1445</v>
      </c>
      <c r="F861" s="23">
        <v>5347322</v>
      </c>
    </row>
    <row r="862" spans="1:6" ht="16" customHeight="1" x14ac:dyDescent="0.2">
      <c r="A862">
        <f>IFERROR(VLOOKUP(C862,'GASB Match'!$D$2:$F$6042,3,FALSE),"")</f>
        <v>3403120</v>
      </c>
      <c r="B862" s="17">
        <v>2022</v>
      </c>
      <c r="C862" s="21" t="s">
        <v>795</v>
      </c>
      <c r="D862" s="17">
        <v>3017</v>
      </c>
      <c r="E862" s="17" t="s">
        <v>1445</v>
      </c>
      <c r="F862" s="23">
        <v>7805373</v>
      </c>
    </row>
    <row r="863" spans="1:6" ht="16" customHeight="1" x14ac:dyDescent="0.2">
      <c r="A863">
        <f>IFERROR(VLOOKUP(C863,'GASB Match'!$D$2:$F$6042,3,FALSE),"")</f>
        <v>3403120</v>
      </c>
      <c r="B863" s="17">
        <v>2023</v>
      </c>
      <c r="C863" s="21" t="s">
        <v>795</v>
      </c>
      <c r="D863" s="17">
        <v>3017</v>
      </c>
      <c r="E863" s="17" t="s">
        <v>1445</v>
      </c>
      <c r="F863" s="23">
        <v>7924761</v>
      </c>
    </row>
    <row r="864" spans="1:6" ht="16" customHeight="1" x14ac:dyDescent="0.2">
      <c r="A864">
        <f>IFERROR(VLOOKUP(C864,'GASB Match'!$D$2:$F$6042,3,FALSE),"")</f>
        <v>3403120</v>
      </c>
      <c r="B864" s="28">
        <v>2017</v>
      </c>
      <c r="C864" s="29" t="s">
        <v>114</v>
      </c>
      <c r="D864" s="17">
        <v>3017</v>
      </c>
      <c r="E864" s="17" t="s">
        <v>1404</v>
      </c>
      <c r="F864" s="29">
        <v>1921416</v>
      </c>
    </row>
    <row r="865" spans="1:6" ht="16" customHeight="1" x14ac:dyDescent="0.2">
      <c r="A865">
        <f>IFERROR(VLOOKUP(C865,'GASB Match'!$D$2:$F$6042,3,FALSE),"")</f>
        <v>3400761</v>
      </c>
      <c r="B865" s="17">
        <v>2016</v>
      </c>
      <c r="C865" s="17" t="s">
        <v>667</v>
      </c>
      <c r="D865" s="17">
        <v>4081</v>
      </c>
      <c r="E865" s="17" t="s">
        <v>1405</v>
      </c>
      <c r="F865" s="20">
        <v>125046</v>
      </c>
    </row>
    <row r="866" spans="1:6" ht="16" customHeight="1" x14ac:dyDescent="0.2">
      <c r="A866">
        <f>IFERROR(VLOOKUP(C866,'GASB Match'!$D$2:$F$6042,3,FALSE),"")</f>
        <v>3400761</v>
      </c>
      <c r="B866" s="28">
        <v>2017</v>
      </c>
      <c r="C866" s="29" t="s">
        <v>667</v>
      </c>
      <c r="D866" s="17">
        <v>4081</v>
      </c>
      <c r="E866" s="17" t="s">
        <v>1405</v>
      </c>
      <c r="F866" s="29">
        <v>80344</v>
      </c>
    </row>
    <row r="867" spans="1:6" ht="16" customHeight="1" x14ac:dyDescent="0.2">
      <c r="A867">
        <f>IFERROR(VLOOKUP(C867,'GASB Match'!$D$2:$F$6042,3,FALSE),"")</f>
        <v>3400761</v>
      </c>
      <c r="B867" s="17">
        <v>2018</v>
      </c>
      <c r="C867" s="17" t="s">
        <v>845</v>
      </c>
      <c r="D867" s="17">
        <v>4081</v>
      </c>
      <c r="E867" s="17" t="s">
        <v>1446</v>
      </c>
      <c r="F867" s="20">
        <v>64474</v>
      </c>
    </row>
    <row r="868" spans="1:6" ht="16" customHeight="1" x14ac:dyDescent="0.2">
      <c r="A868">
        <f>IFERROR(VLOOKUP(C868,'GASB Match'!$D$2:$F$6042,3,FALSE),"")</f>
        <v>3403150</v>
      </c>
      <c r="B868" s="17">
        <v>2015</v>
      </c>
      <c r="C868" s="17" t="s">
        <v>614</v>
      </c>
      <c r="D868" s="17">
        <v>831</v>
      </c>
      <c r="E868" s="17" t="s">
        <v>1427</v>
      </c>
      <c r="F868" s="20">
        <v>823098</v>
      </c>
    </row>
    <row r="869" spans="1:6" ht="16" customHeight="1" x14ac:dyDescent="0.2">
      <c r="A869">
        <f>IFERROR(VLOOKUP(C869,'GASB Match'!$D$2:$F$6042,3,FALSE),"")</f>
        <v>3403150</v>
      </c>
      <c r="B869" s="17">
        <v>2016</v>
      </c>
      <c r="C869" s="17" t="s">
        <v>614</v>
      </c>
      <c r="D869" s="17">
        <v>831</v>
      </c>
      <c r="E869" s="17" t="s">
        <v>1427</v>
      </c>
      <c r="F869" s="20">
        <v>1203991</v>
      </c>
    </row>
    <row r="870" spans="1:6" ht="16" customHeight="1" x14ac:dyDescent="0.2">
      <c r="A870">
        <f>IFERROR(VLOOKUP(C870,'GASB Match'!$D$2:$F$6042,3,FALSE),"")</f>
        <v>3403150</v>
      </c>
      <c r="B870" s="17">
        <v>2018</v>
      </c>
      <c r="C870" s="17" t="s">
        <v>1307</v>
      </c>
      <c r="D870" s="17">
        <v>831</v>
      </c>
      <c r="E870" s="17" t="s">
        <v>1470</v>
      </c>
      <c r="F870" s="20">
        <v>2167039</v>
      </c>
    </row>
    <row r="871" spans="1:6" ht="16" customHeight="1" x14ac:dyDescent="0.2">
      <c r="A871">
        <f>IFERROR(VLOOKUP(C871,'GASB Match'!$D$2:$F$6042,3,FALSE),"")</f>
        <v>3403150</v>
      </c>
      <c r="B871" s="17">
        <v>2019</v>
      </c>
      <c r="C871" s="17" t="s">
        <v>1307</v>
      </c>
      <c r="D871" s="17">
        <v>831</v>
      </c>
      <c r="E871" s="17" t="s">
        <v>1470</v>
      </c>
      <c r="F871" s="20">
        <v>2913646</v>
      </c>
    </row>
    <row r="872" spans="1:6" ht="16" customHeight="1" x14ac:dyDescent="0.2">
      <c r="A872">
        <f>IFERROR(VLOOKUP(C872,'GASB Match'!$D$2:$F$6042,3,FALSE),"")</f>
        <v>3403150</v>
      </c>
      <c r="B872" s="17">
        <v>2020</v>
      </c>
      <c r="C872" s="21" t="s">
        <v>1307</v>
      </c>
      <c r="D872" s="17">
        <v>831</v>
      </c>
      <c r="E872" s="17" t="s">
        <v>1470</v>
      </c>
      <c r="F872" s="23">
        <v>3355323</v>
      </c>
    </row>
    <row r="873" spans="1:6" ht="16" customHeight="1" x14ac:dyDescent="0.2">
      <c r="A873">
        <f>IFERROR(VLOOKUP(C873,'GASB Match'!$D$2:$F$6042,3,FALSE),"")</f>
        <v>3403150</v>
      </c>
      <c r="B873" s="17">
        <v>2021</v>
      </c>
      <c r="C873" s="25" t="s">
        <v>1307</v>
      </c>
      <c r="D873" s="17">
        <v>831</v>
      </c>
      <c r="E873" s="17" t="s">
        <v>1470</v>
      </c>
      <c r="F873" s="23">
        <v>4242059</v>
      </c>
    </row>
    <row r="874" spans="1:6" ht="16" customHeight="1" x14ac:dyDescent="0.2">
      <c r="A874">
        <f>IFERROR(VLOOKUP(C874,'GASB Match'!$D$2:$F$6042,3,FALSE),"")</f>
        <v>3403150</v>
      </c>
      <c r="B874" s="17">
        <v>2022</v>
      </c>
      <c r="C874" s="21" t="s">
        <v>1307</v>
      </c>
      <c r="D874" s="17">
        <v>831</v>
      </c>
      <c r="E874" s="17" t="s">
        <v>1470</v>
      </c>
      <c r="F874" s="23">
        <v>5946629</v>
      </c>
    </row>
    <row r="875" spans="1:6" ht="16" customHeight="1" x14ac:dyDescent="0.2">
      <c r="A875">
        <f>IFERROR(VLOOKUP(C875,'GASB Match'!$D$2:$F$6042,3,FALSE),"")</f>
        <v>3403150</v>
      </c>
      <c r="B875" s="17">
        <v>2023</v>
      </c>
      <c r="C875" s="21" t="s">
        <v>1307</v>
      </c>
      <c r="D875" s="17">
        <v>831</v>
      </c>
      <c r="E875" s="17" t="s">
        <v>1470</v>
      </c>
      <c r="F875" s="23">
        <v>5833027</v>
      </c>
    </row>
    <row r="876" spans="1:6" ht="16" customHeight="1" x14ac:dyDescent="0.2">
      <c r="A876">
        <f>IFERROR(VLOOKUP(C876,'GASB Match'!$D$2:$F$6042,3,FALSE),"")</f>
        <v>3403150</v>
      </c>
      <c r="B876" s="28">
        <v>2017</v>
      </c>
      <c r="C876" s="29" t="s">
        <v>614</v>
      </c>
      <c r="D876" s="17">
        <v>831</v>
      </c>
      <c r="E876" s="17" t="s">
        <v>1427</v>
      </c>
      <c r="F876" s="29">
        <v>1605551</v>
      </c>
    </row>
    <row r="877" spans="1:6" ht="16" customHeight="1" x14ac:dyDescent="0.2">
      <c r="A877">
        <f>IFERROR(VLOOKUP(C877,'GASB Match'!$D$2:$F$6042,3,FALSE),"")</f>
        <v>3400052</v>
      </c>
      <c r="B877" s="17">
        <v>2015</v>
      </c>
      <c r="C877" s="17" t="s">
        <v>524</v>
      </c>
      <c r="D877" s="17">
        <v>648</v>
      </c>
      <c r="E877" s="17" t="s">
        <v>1423</v>
      </c>
      <c r="F877" s="20">
        <v>25736</v>
      </c>
    </row>
    <row r="878" spans="1:6" ht="16" customHeight="1" x14ac:dyDescent="0.2">
      <c r="A878">
        <f>IFERROR(VLOOKUP(C878,'GASB Match'!$D$2:$F$6042,3,FALSE),"")</f>
        <v>3400052</v>
      </c>
      <c r="B878" s="17">
        <v>2016</v>
      </c>
      <c r="C878" s="17" t="s">
        <v>524</v>
      </c>
      <c r="D878" s="17">
        <v>648</v>
      </c>
      <c r="E878" s="17" t="s">
        <v>1423</v>
      </c>
      <c r="F878" s="20">
        <v>40264</v>
      </c>
    </row>
    <row r="879" spans="1:6" ht="16" customHeight="1" x14ac:dyDescent="0.2">
      <c r="A879">
        <f>IFERROR(VLOOKUP(C879,'GASB Match'!$D$2:$F$6042,3,FALSE),"")</f>
        <v>3400052</v>
      </c>
      <c r="B879" s="17">
        <v>2018</v>
      </c>
      <c r="C879" s="17" t="s">
        <v>1216</v>
      </c>
      <c r="D879" s="17">
        <v>648</v>
      </c>
      <c r="E879" s="17" t="s">
        <v>1466</v>
      </c>
      <c r="F879" s="20">
        <v>92751</v>
      </c>
    </row>
    <row r="880" spans="1:6" ht="16" customHeight="1" x14ac:dyDescent="0.2">
      <c r="A880">
        <f>IFERROR(VLOOKUP(C880,'GASB Match'!$D$2:$F$6042,3,FALSE),"")</f>
        <v>3400052</v>
      </c>
      <c r="B880" s="17">
        <v>2019</v>
      </c>
      <c r="C880" s="17" t="s">
        <v>1216</v>
      </c>
      <c r="D880" s="17">
        <v>648</v>
      </c>
      <c r="E880" s="17" t="s">
        <v>1466</v>
      </c>
      <c r="F880" s="20">
        <v>114579</v>
      </c>
    </row>
    <row r="881" spans="1:6" ht="16" customHeight="1" x14ac:dyDescent="0.2">
      <c r="A881">
        <f>IFERROR(VLOOKUP(C881,'GASB Match'!$D$2:$F$6042,3,FALSE),"")</f>
        <v>3400052</v>
      </c>
      <c r="B881" s="17">
        <v>2020</v>
      </c>
      <c r="C881" s="21" t="s">
        <v>1216</v>
      </c>
      <c r="D881" s="17">
        <v>648</v>
      </c>
      <c r="E881" s="17" t="s">
        <v>1466</v>
      </c>
      <c r="F881" s="23">
        <v>126882</v>
      </c>
    </row>
    <row r="882" spans="1:6" ht="16" customHeight="1" x14ac:dyDescent="0.2">
      <c r="A882">
        <f>IFERROR(VLOOKUP(C882,'GASB Match'!$D$2:$F$6042,3,FALSE),"")</f>
        <v>3400052</v>
      </c>
      <c r="B882" s="17">
        <v>2021</v>
      </c>
      <c r="C882" s="25" t="s">
        <v>1216</v>
      </c>
      <c r="D882" s="17">
        <v>648</v>
      </c>
      <c r="E882" s="17" t="s">
        <v>1466</v>
      </c>
      <c r="F882" s="23">
        <v>141535</v>
      </c>
    </row>
    <row r="883" spans="1:6" ht="16" customHeight="1" x14ac:dyDescent="0.2">
      <c r="A883">
        <f>IFERROR(VLOOKUP(C883,'GASB Match'!$D$2:$F$6042,3,FALSE),"")</f>
        <v>3400052</v>
      </c>
      <c r="B883" s="17">
        <v>2022</v>
      </c>
      <c r="C883" s="21" t="s">
        <v>1216</v>
      </c>
      <c r="D883" s="17">
        <v>648</v>
      </c>
      <c r="E883" s="17" t="s">
        <v>1466</v>
      </c>
      <c r="F883" s="23">
        <v>316781</v>
      </c>
    </row>
    <row r="884" spans="1:6" ht="16" customHeight="1" x14ac:dyDescent="0.2">
      <c r="A884">
        <f>IFERROR(VLOOKUP(C884,'GASB Match'!$D$2:$F$6042,3,FALSE),"")</f>
        <v>3400052</v>
      </c>
      <c r="B884" s="17">
        <v>2023</v>
      </c>
      <c r="C884" s="21" t="s">
        <v>1216</v>
      </c>
      <c r="D884" s="17">
        <v>648</v>
      </c>
      <c r="E884" s="17" t="s">
        <v>1466</v>
      </c>
      <c r="F884" s="22">
        <v>303056</v>
      </c>
    </row>
    <row r="885" spans="1:6" ht="16" customHeight="1" x14ac:dyDescent="0.2">
      <c r="A885">
        <f>IFERROR(VLOOKUP(C885,'GASB Match'!$D$2:$F$6042,3,FALSE),"")</f>
        <v>3400052</v>
      </c>
      <c r="B885" s="28">
        <v>2017</v>
      </c>
      <c r="C885" s="29" t="s">
        <v>524</v>
      </c>
      <c r="D885" s="17">
        <v>648</v>
      </c>
      <c r="E885" s="17" t="s">
        <v>1423</v>
      </c>
      <c r="F885" s="29">
        <v>65487</v>
      </c>
    </row>
    <row r="886" spans="1:6" ht="16" customHeight="1" x14ac:dyDescent="0.2">
      <c r="A886">
        <f>IFERROR(VLOOKUP(C886,'GASB Match'!$D$2:$F$6042,3,FALSE),"")</f>
        <v>3403180</v>
      </c>
      <c r="B886" s="17">
        <v>2015</v>
      </c>
      <c r="C886" s="17" t="s">
        <v>272</v>
      </c>
      <c r="D886" s="17">
        <v>7011</v>
      </c>
      <c r="E886" s="17" t="s">
        <v>1412</v>
      </c>
      <c r="F886" s="20">
        <v>434622</v>
      </c>
    </row>
    <row r="887" spans="1:6" ht="16" customHeight="1" x14ac:dyDescent="0.2">
      <c r="A887">
        <f>IFERROR(VLOOKUP(C887,'GASB Match'!$D$2:$F$6042,3,FALSE),"")</f>
        <v>3403180</v>
      </c>
      <c r="B887" s="17">
        <v>2016</v>
      </c>
      <c r="C887" s="17" t="s">
        <v>272</v>
      </c>
      <c r="D887" s="17">
        <v>7011</v>
      </c>
      <c r="E887" s="17" t="s">
        <v>1412</v>
      </c>
      <c r="F887" s="20">
        <v>642775</v>
      </c>
    </row>
    <row r="888" spans="1:6" ht="16" customHeight="1" x14ac:dyDescent="0.2">
      <c r="A888">
        <f>IFERROR(VLOOKUP(C888,'GASB Match'!$D$2:$F$6042,3,FALSE),"")</f>
        <v>3403180</v>
      </c>
      <c r="B888" s="17">
        <v>2018</v>
      </c>
      <c r="C888" s="17" t="s">
        <v>962</v>
      </c>
      <c r="D888" s="17">
        <v>7011</v>
      </c>
      <c r="E888" s="17" t="s">
        <v>1454</v>
      </c>
      <c r="F888" s="20">
        <v>1250851</v>
      </c>
    </row>
    <row r="889" spans="1:6" ht="16" customHeight="1" x14ac:dyDescent="0.2">
      <c r="A889">
        <f>IFERROR(VLOOKUP(C889,'GASB Match'!$D$2:$F$6042,3,FALSE),"")</f>
        <v>3403180</v>
      </c>
      <c r="B889" s="17">
        <v>2019</v>
      </c>
      <c r="C889" s="17" t="s">
        <v>962</v>
      </c>
      <c r="D889" s="17">
        <v>7011</v>
      </c>
      <c r="E889" s="17" t="s">
        <v>1454</v>
      </c>
      <c r="F889" s="20">
        <v>1585808</v>
      </c>
    </row>
    <row r="890" spans="1:6" ht="16" customHeight="1" x14ac:dyDescent="0.2">
      <c r="A890">
        <f>IFERROR(VLOOKUP(C890,'GASB Match'!$D$2:$F$6042,3,FALSE),"")</f>
        <v>3403180</v>
      </c>
      <c r="B890" s="17">
        <v>2020</v>
      </c>
      <c r="C890" s="21" t="s">
        <v>962</v>
      </c>
      <c r="D890" s="17">
        <v>7011</v>
      </c>
      <c r="E890" s="17" t="s">
        <v>1454</v>
      </c>
      <c r="F890" s="23">
        <v>1867709</v>
      </c>
    </row>
    <row r="891" spans="1:6" ht="16" customHeight="1" x14ac:dyDescent="0.2">
      <c r="A891">
        <f>IFERROR(VLOOKUP(C891,'GASB Match'!$D$2:$F$6042,3,FALSE),"")</f>
        <v>3403180</v>
      </c>
      <c r="B891" s="17">
        <v>2021</v>
      </c>
      <c r="C891" s="25" t="s">
        <v>962</v>
      </c>
      <c r="D891" s="17">
        <v>7011</v>
      </c>
      <c r="E891" s="17" t="s">
        <v>1454</v>
      </c>
      <c r="F891" s="23">
        <v>2535861</v>
      </c>
    </row>
    <row r="892" spans="1:6" ht="16" customHeight="1" x14ac:dyDescent="0.2">
      <c r="A892">
        <f>IFERROR(VLOOKUP(C892,'GASB Match'!$D$2:$F$6042,3,FALSE),"")</f>
        <v>3403180</v>
      </c>
      <c r="B892" s="17">
        <v>2022</v>
      </c>
      <c r="C892" s="21" t="s">
        <v>962</v>
      </c>
      <c r="D892" s="17">
        <v>7011</v>
      </c>
      <c r="E892" s="17" t="s">
        <v>1454</v>
      </c>
      <c r="F892" s="23">
        <v>3720400</v>
      </c>
    </row>
    <row r="893" spans="1:6" ht="16" customHeight="1" x14ac:dyDescent="0.2">
      <c r="A893">
        <f>IFERROR(VLOOKUP(C893,'GASB Match'!$D$2:$F$6042,3,FALSE),"")</f>
        <v>3403180</v>
      </c>
      <c r="B893" s="17">
        <v>2023</v>
      </c>
      <c r="C893" s="21" t="s">
        <v>962</v>
      </c>
      <c r="D893" s="17">
        <v>7011</v>
      </c>
      <c r="E893" s="17" t="s">
        <v>1454</v>
      </c>
      <c r="F893" s="23">
        <v>3582183</v>
      </c>
    </row>
    <row r="894" spans="1:6" ht="16" customHeight="1" x14ac:dyDescent="0.2">
      <c r="A894">
        <f>IFERROR(VLOOKUP(C894,'GASB Match'!$D$2:$F$6042,3,FALSE),"")</f>
        <v>3403180</v>
      </c>
      <c r="B894" s="28">
        <v>2017</v>
      </c>
      <c r="C894" s="29" t="s">
        <v>272</v>
      </c>
      <c r="D894" s="17">
        <v>7011</v>
      </c>
      <c r="E894" s="17" t="s">
        <v>1412</v>
      </c>
      <c r="F894" s="29">
        <v>921350</v>
      </c>
    </row>
    <row r="895" spans="1:6" ht="16" customHeight="1" x14ac:dyDescent="0.2">
      <c r="A895">
        <f>IFERROR(VLOOKUP(C895,'GASB Match'!$D$2:$F$6042,3,FALSE),"")</f>
        <v>3403210</v>
      </c>
      <c r="B895" s="17">
        <v>2015</v>
      </c>
      <c r="C895" s="17" t="s">
        <v>273</v>
      </c>
      <c r="D895" s="17">
        <v>7036</v>
      </c>
      <c r="E895" s="17" t="s">
        <v>1412</v>
      </c>
      <c r="F895" s="20">
        <v>719232</v>
      </c>
    </row>
    <row r="896" spans="1:6" ht="16" customHeight="1" x14ac:dyDescent="0.2">
      <c r="A896">
        <f>IFERROR(VLOOKUP(C896,'GASB Match'!$D$2:$F$6042,3,FALSE),"")</f>
        <v>3403210</v>
      </c>
      <c r="B896" s="17">
        <v>2016</v>
      </c>
      <c r="C896" s="17" t="s">
        <v>273</v>
      </c>
      <c r="D896" s="17">
        <v>7036</v>
      </c>
      <c r="E896" s="17" t="s">
        <v>1412</v>
      </c>
      <c r="F896" s="20">
        <v>1108781</v>
      </c>
    </row>
    <row r="897" spans="1:6" ht="16" customHeight="1" x14ac:dyDescent="0.2">
      <c r="A897">
        <f>IFERROR(VLOOKUP(C897,'GASB Match'!$D$2:$F$6042,3,FALSE),"")</f>
        <v>3403210</v>
      </c>
      <c r="B897" s="17">
        <v>2018</v>
      </c>
      <c r="C897" s="17" t="s">
        <v>963</v>
      </c>
      <c r="D897" s="17">
        <v>7036</v>
      </c>
      <c r="E897" s="17" t="s">
        <v>1454</v>
      </c>
      <c r="F897" s="20">
        <v>2100540</v>
      </c>
    </row>
    <row r="898" spans="1:6" ht="16" customHeight="1" x14ac:dyDescent="0.2">
      <c r="A898">
        <f>IFERROR(VLOOKUP(C898,'GASB Match'!$D$2:$F$6042,3,FALSE),"")</f>
        <v>3403210</v>
      </c>
      <c r="B898" s="17">
        <v>2019</v>
      </c>
      <c r="C898" s="17" t="s">
        <v>963</v>
      </c>
      <c r="D898" s="17">
        <v>7036</v>
      </c>
      <c r="E898" s="17" t="s">
        <v>1454</v>
      </c>
      <c r="F898" s="20">
        <v>2753752</v>
      </c>
    </row>
    <row r="899" spans="1:6" ht="16" customHeight="1" x14ac:dyDescent="0.2">
      <c r="A899">
        <f>IFERROR(VLOOKUP(C899,'GASB Match'!$D$2:$F$6042,3,FALSE),"")</f>
        <v>3403210</v>
      </c>
      <c r="B899" s="17">
        <v>2020</v>
      </c>
      <c r="C899" s="21" t="s">
        <v>963</v>
      </c>
      <c r="D899" s="17">
        <v>7036</v>
      </c>
      <c r="E899" s="17" t="s">
        <v>1454</v>
      </c>
      <c r="F899" s="23">
        <v>3147145</v>
      </c>
    </row>
    <row r="900" spans="1:6" ht="16" customHeight="1" x14ac:dyDescent="0.2">
      <c r="A900">
        <f>IFERROR(VLOOKUP(C900,'GASB Match'!$D$2:$F$6042,3,FALSE),"")</f>
        <v>3403210</v>
      </c>
      <c r="B900" s="17">
        <v>2021</v>
      </c>
      <c r="C900" s="25" t="s">
        <v>963</v>
      </c>
      <c r="D900" s="17">
        <v>7036</v>
      </c>
      <c r="E900" s="17" t="s">
        <v>1454</v>
      </c>
      <c r="F900" s="23">
        <v>4049229</v>
      </c>
    </row>
    <row r="901" spans="1:6" ht="16" customHeight="1" x14ac:dyDescent="0.2">
      <c r="A901">
        <f>IFERROR(VLOOKUP(C901,'GASB Match'!$D$2:$F$6042,3,FALSE),"")</f>
        <v>3403210</v>
      </c>
      <c r="B901" s="17">
        <v>2022</v>
      </c>
      <c r="C901" s="21" t="s">
        <v>963</v>
      </c>
      <c r="D901" s="17">
        <v>7036</v>
      </c>
      <c r="E901" s="17" t="s">
        <v>1454</v>
      </c>
      <c r="F901" s="23">
        <v>5709783</v>
      </c>
    </row>
    <row r="902" spans="1:6" ht="16" customHeight="1" x14ac:dyDescent="0.2">
      <c r="A902">
        <f>IFERROR(VLOOKUP(C902,'GASB Match'!$D$2:$F$6042,3,FALSE),"")</f>
        <v>3403210</v>
      </c>
      <c r="B902" s="17">
        <v>2023</v>
      </c>
      <c r="C902" s="21" t="s">
        <v>963</v>
      </c>
      <c r="D902" s="17">
        <v>7036</v>
      </c>
      <c r="E902" s="17" t="s">
        <v>1454</v>
      </c>
      <c r="F902" s="23">
        <v>5748392</v>
      </c>
    </row>
    <row r="903" spans="1:6" ht="16" customHeight="1" x14ac:dyDescent="0.2">
      <c r="A903">
        <f>IFERROR(VLOOKUP(C903,'GASB Match'!$D$2:$F$6042,3,FALSE),"")</f>
        <v>3403210</v>
      </c>
      <c r="B903" s="28">
        <v>2017</v>
      </c>
      <c r="C903" s="29" t="s">
        <v>273</v>
      </c>
      <c r="D903" s="17">
        <v>7036</v>
      </c>
      <c r="E903" s="17" t="s">
        <v>1412</v>
      </c>
      <c r="F903" s="29">
        <v>1542464</v>
      </c>
    </row>
    <row r="904" spans="1:6" ht="16" customHeight="1" x14ac:dyDescent="0.2">
      <c r="A904">
        <f>IFERROR(VLOOKUP(C904,'GASB Match'!$D$2:$F$6042,3,FALSE),"")</f>
        <v>3403240</v>
      </c>
      <c r="B904" s="17">
        <v>2015</v>
      </c>
      <c r="C904" s="17" t="s">
        <v>163</v>
      </c>
      <c r="D904" s="17">
        <v>4018</v>
      </c>
      <c r="E904" s="17" t="s">
        <v>1405</v>
      </c>
      <c r="F904" s="20">
        <v>183530</v>
      </c>
    </row>
    <row r="905" spans="1:6" ht="16" customHeight="1" x14ac:dyDescent="0.2">
      <c r="A905">
        <f>IFERROR(VLOOKUP(C905,'GASB Match'!$D$2:$F$6042,3,FALSE),"")</f>
        <v>3403240</v>
      </c>
      <c r="B905" s="17">
        <v>2016</v>
      </c>
      <c r="C905" s="17" t="s">
        <v>163</v>
      </c>
      <c r="D905" s="17">
        <v>4018</v>
      </c>
      <c r="E905" s="17" t="s">
        <v>1405</v>
      </c>
      <c r="F905" s="20">
        <v>256313</v>
      </c>
    </row>
    <row r="906" spans="1:6" ht="16" customHeight="1" x14ac:dyDescent="0.2">
      <c r="A906">
        <f>IFERROR(VLOOKUP(C906,'GASB Match'!$D$2:$F$6042,3,FALSE),"")</f>
        <v>3403240</v>
      </c>
      <c r="B906" s="17">
        <v>2018</v>
      </c>
      <c r="C906" s="17" t="s">
        <v>846</v>
      </c>
      <c r="D906" s="17">
        <v>4018</v>
      </c>
      <c r="E906" s="17" t="s">
        <v>1446</v>
      </c>
      <c r="F906" s="20">
        <v>508474</v>
      </c>
    </row>
    <row r="907" spans="1:6" ht="16" customHeight="1" x14ac:dyDescent="0.2">
      <c r="A907">
        <f>IFERROR(VLOOKUP(C907,'GASB Match'!$D$2:$F$6042,3,FALSE),"")</f>
        <v>3403240</v>
      </c>
      <c r="B907" s="17">
        <v>2019</v>
      </c>
      <c r="C907" s="17" t="s">
        <v>846</v>
      </c>
      <c r="D907" s="17">
        <v>4018</v>
      </c>
      <c r="E907" s="17" t="s">
        <v>1446</v>
      </c>
      <c r="F907" s="20">
        <v>678583</v>
      </c>
    </row>
    <row r="908" spans="1:6" ht="16" customHeight="1" x14ac:dyDescent="0.2">
      <c r="A908">
        <f>IFERROR(VLOOKUP(C908,'GASB Match'!$D$2:$F$6042,3,FALSE),"")</f>
        <v>3403240</v>
      </c>
      <c r="B908" s="17">
        <v>2020</v>
      </c>
      <c r="C908" s="21" t="s">
        <v>846</v>
      </c>
      <c r="D908" s="17">
        <v>4018</v>
      </c>
      <c r="E908" s="17" t="s">
        <v>1446</v>
      </c>
      <c r="F908" s="23">
        <v>721910</v>
      </c>
    </row>
    <row r="909" spans="1:6" ht="16" customHeight="1" x14ac:dyDescent="0.2">
      <c r="A909">
        <f>IFERROR(VLOOKUP(C909,'GASB Match'!$D$2:$F$6042,3,FALSE),"")</f>
        <v>3403240</v>
      </c>
      <c r="B909" s="17">
        <v>2021</v>
      </c>
      <c r="C909" s="25" t="s">
        <v>846</v>
      </c>
      <c r="D909" s="17">
        <v>4018</v>
      </c>
      <c r="E909" s="17" t="s">
        <v>1446</v>
      </c>
      <c r="F909" s="23">
        <v>931050</v>
      </c>
    </row>
    <row r="910" spans="1:6" ht="16" customHeight="1" x14ac:dyDescent="0.2">
      <c r="A910">
        <f>IFERROR(VLOOKUP(C910,'GASB Match'!$D$2:$F$6042,3,FALSE),"")</f>
        <v>3403240</v>
      </c>
      <c r="B910" s="17">
        <v>2022</v>
      </c>
      <c r="C910" s="21" t="s">
        <v>846</v>
      </c>
      <c r="D910" s="17">
        <v>4018</v>
      </c>
      <c r="E910" s="17" t="s">
        <v>1446</v>
      </c>
      <c r="F910" s="23">
        <v>1322704</v>
      </c>
    </row>
    <row r="911" spans="1:6" ht="16" customHeight="1" x14ac:dyDescent="0.2">
      <c r="A911">
        <f>IFERROR(VLOOKUP(C911,'GASB Match'!$D$2:$F$6042,3,FALSE),"")</f>
        <v>3403240</v>
      </c>
      <c r="B911" s="17">
        <v>2023</v>
      </c>
      <c r="C911" s="21" t="s">
        <v>846</v>
      </c>
      <c r="D911" s="17">
        <v>4018</v>
      </c>
      <c r="E911" s="17" t="s">
        <v>1446</v>
      </c>
      <c r="F911" s="23">
        <v>1479060</v>
      </c>
    </row>
    <row r="912" spans="1:6" ht="16" customHeight="1" x14ac:dyDescent="0.2">
      <c r="A912">
        <f>IFERROR(VLOOKUP(C912,'GASB Match'!$D$2:$F$6042,3,FALSE),"")</f>
        <v>3403240</v>
      </c>
      <c r="B912" s="28">
        <v>2017</v>
      </c>
      <c r="C912" s="29" t="s">
        <v>163</v>
      </c>
      <c r="D912" s="17">
        <v>4018</v>
      </c>
      <c r="E912" s="17" t="s">
        <v>1405</v>
      </c>
      <c r="F912" s="29">
        <v>339453</v>
      </c>
    </row>
    <row r="913" spans="1:6" ht="16" customHeight="1" x14ac:dyDescent="0.2">
      <c r="A913">
        <f>IFERROR(VLOOKUP(C913,'GASB Match'!$D$2:$F$6042,3,FALSE),"")</f>
        <v>3403270</v>
      </c>
      <c r="B913" s="17">
        <v>2015</v>
      </c>
      <c r="C913" s="17" t="s">
        <v>36</v>
      </c>
      <c r="D913" s="17">
        <v>2026</v>
      </c>
      <c r="E913" s="17" t="s">
        <v>1402</v>
      </c>
      <c r="F913" s="20">
        <v>959045</v>
      </c>
    </row>
    <row r="914" spans="1:6" ht="16" customHeight="1" x14ac:dyDescent="0.2">
      <c r="A914">
        <f>IFERROR(VLOOKUP(C914,'GASB Match'!$D$2:$F$6042,3,FALSE),"")</f>
        <v>3403270</v>
      </c>
      <c r="B914" s="17">
        <v>2016</v>
      </c>
      <c r="C914" s="17" t="s">
        <v>36</v>
      </c>
      <c r="D914" s="17">
        <v>2026</v>
      </c>
      <c r="E914" s="17" t="s">
        <v>1402</v>
      </c>
      <c r="F914" s="20">
        <v>1467986</v>
      </c>
    </row>
    <row r="915" spans="1:6" ht="16" customHeight="1" x14ac:dyDescent="0.2">
      <c r="A915">
        <f>IFERROR(VLOOKUP(C915,'GASB Match'!$D$2:$F$6042,3,FALSE),"")</f>
        <v>3403270</v>
      </c>
      <c r="B915" s="17">
        <v>2018</v>
      </c>
      <c r="C915" s="17" t="s">
        <v>714</v>
      </c>
      <c r="D915" s="17">
        <v>2026</v>
      </c>
      <c r="E915" s="17" t="s">
        <v>1443</v>
      </c>
      <c r="F915" s="20">
        <v>2781331</v>
      </c>
    </row>
    <row r="916" spans="1:6" ht="16" customHeight="1" x14ac:dyDescent="0.2">
      <c r="A916">
        <f>IFERROR(VLOOKUP(C916,'GASB Match'!$D$2:$F$6042,3,FALSE),"")</f>
        <v>3403270</v>
      </c>
      <c r="B916" s="17">
        <v>2019</v>
      </c>
      <c r="C916" s="17" t="s">
        <v>714</v>
      </c>
      <c r="D916" s="17">
        <v>2026</v>
      </c>
      <c r="E916" s="17" t="s">
        <v>1443</v>
      </c>
      <c r="F916" s="20">
        <v>3930610</v>
      </c>
    </row>
    <row r="917" spans="1:6" ht="16" customHeight="1" x14ac:dyDescent="0.2">
      <c r="A917">
        <f>IFERROR(VLOOKUP(C917,'GASB Match'!$D$2:$F$6042,3,FALSE),"")</f>
        <v>3403270</v>
      </c>
      <c r="B917" s="17">
        <v>2020</v>
      </c>
      <c r="C917" s="21" t="s">
        <v>714</v>
      </c>
      <c r="D917" s="17">
        <v>2026</v>
      </c>
      <c r="E917" s="17" t="s">
        <v>1443</v>
      </c>
      <c r="F917" s="23">
        <v>4463984</v>
      </c>
    </row>
    <row r="918" spans="1:6" ht="16" customHeight="1" x14ac:dyDescent="0.2">
      <c r="A918">
        <f>IFERROR(VLOOKUP(C918,'GASB Match'!$D$2:$F$6042,3,FALSE),"")</f>
        <v>3403270</v>
      </c>
      <c r="B918" s="17">
        <v>2021</v>
      </c>
      <c r="C918" s="25" t="s">
        <v>714</v>
      </c>
      <c r="D918" s="17">
        <v>2026</v>
      </c>
      <c r="E918" s="17" t="s">
        <v>1443</v>
      </c>
      <c r="F918" s="23">
        <v>5521244</v>
      </c>
    </row>
    <row r="919" spans="1:6" ht="16" customHeight="1" x14ac:dyDescent="0.2">
      <c r="A919">
        <f>IFERROR(VLOOKUP(C919,'GASB Match'!$D$2:$F$6042,3,FALSE),"")</f>
        <v>3403270</v>
      </c>
      <c r="B919" s="17">
        <v>2022</v>
      </c>
      <c r="C919" s="21" t="s">
        <v>714</v>
      </c>
      <c r="D919" s="17">
        <v>2026</v>
      </c>
      <c r="E919" s="17" t="s">
        <v>1443</v>
      </c>
      <c r="F919" s="23">
        <v>8201904</v>
      </c>
    </row>
    <row r="920" spans="1:6" ht="16" customHeight="1" x14ac:dyDescent="0.2">
      <c r="A920">
        <f>IFERROR(VLOOKUP(C920,'GASB Match'!$D$2:$F$6042,3,FALSE),"")</f>
        <v>3403270</v>
      </c>
      <c r="B920" s="17">
        <v>2023</v>
      </c>
      <c r="C920" s="21" t="s">
        <v>714</v>
      </c>
      <c r="D920" s="17">
        <v>2026</v>
      </c>
      <c r="E920" s="17" t="s">
        <v>1443</v>
      </c>
      <c r="F920" s="23">
        <v>8664822</v>
      </c>
    </row>
    <row r="921" spans="1:6" ht="16" customHeight="1" x14ac:dyDescent="0.2">
      <c r="A921">
        <f>IFERROR(VLOOKUP(C921,'GASB Match'!$D$2:$F$6042,3,FALSE),"")</f>
        <v>3403270</v>
      </c>
      <c r="B921" s="28">
        <v>2017</v>
      </c>
      <c r="C921" s="29" t="s">
        <v>36</v>
      </c>
      <c r="D921" s="17">
        <v>2026</v>
      </c>
      <c r="E921" s="17" t="s">
        <v>1402</v>
      </c>
      <c r="F921" s="29">
        <v>2097324</v>
      </c>
    </row>
    <row r="922" spans="1:6" ht="16" customHeight="1" x14ac:dyDescent="0.2">
      <c r="A922">
        <f>IFERROR(VLOOKUP(C922,'GASB Match'!$D$2:$F$6042,3,FALSE),"")</f>
        <v>3403300</v>
      </c>
      <c r="B922" s="17">
        <v>2015</v>
      </c>
      <c r="C922" s="17" t="s">
        <v>525</v>
      </c>
      <c r="D922" s="17">
        <v>610</v>
      </c>
      <c r="E922" s="17" t="s">
        <v>1423</v>
      </c>
      <c r="F922" s="20">
        <v>3652017</v>
      </c>
    </row>
    <row r="923" spans="1:6" ht="16" customHeight="1" x14ac:dyDescent="0.2">
      <c r="A923">
        <f>IFERROR(VLOOKUP(C923,'GASB Match'!$D$2:$F$6042,3,FALSE),"")</f>
        <v>3403300</v>
      </c>
      <c r="B923" s="17">
        <v>2016</v>
      </c>
      <c r="C923" s="17" t="s">
        <v>525</v>
      </c>
      <c r="D923" s="17">
        <v>610</v>
      </c>
      <c r="E923" s="17" t="s">
        <v>1423</v>
      </c>
      <c r="F923" s="20">
        <v>5560198</v>
      </c>
    </row>
    <row r="924" spans="1:6" ht="16" customHeight="1" x14ac:dyDescent="0.2">
      <c r="A924">
        <f>IFERROR(VLOOKUP(C924,'GASB Match'!$D$2:$F$6042,3,FALSE),"")</f>
        <v>3403300</v>
      </c>
      <c r="B924" s="17">
        <v>2018</v>
      </c>
      <c r="C924" s="17" t="s">
        <v>1217</v>
      </c>
      <c r="D924" s="17">
        <v>610</v>
      </c>
      <c r="E924" s="17" t="s">
        <v>1466</v>
      </c>
      <c r="F924" s="20">
        <v>10274017</v>
      </c>
    </row>
    <row r="925" spans="1:6" ht="16" customHeight="1" x14ac:dyDescent="0.2">
      <c r="A925">
        <f>IFERROR(VLOOKUP(C925,'GASB Match'!$D$2:$F$6042,3,FALSE),"")</f>
        <v>3403300</v>
      </c>
      <c r="B925" s="17">
        <v>2019</v>
      </c>
      <c r="C925" s="17" t="s">
        <v>1217</v>
      </c>
      <c r="D925" s="17">
        <v>610</v>
      </c>
      <c r="E925" s="17" t="s">
        <v>1466</v>
      </c>
      <c r="F925" s="20">
        <v>13794803</v>
      </c>
    </row>
    <row r="926" spans="1:6" ht="16" customHeight="1" x14ac:dyDescent="0.2">
      <c r="A926">
        <f>IFERROR(VLOOKUP(C926,'GASB Match'!$D$2:$F$6042,3,FALSE),"")</f>
        <v>3403300</v>
      </c>
      <c r="B926" s="17">
        <v>2020</v>
      </c>
      <c r="C926" s="21" t="s">
        <v>1217</v>
      </c>
      <c r="D926" s="17">
        <v>610</v>
      </c>
      <c r="E926" s="17" t="s">
        <v>1466</v>
      </c>
      <c r="F926" s="23">
        <v>15707467</v>
      </c>
    </row>
    <row r="927" spans="1:6" ht="16" customHeight="1" x14ac:dyDescent="0.2">
      <c r="A927">
        <f>IFERROR(VLOOKUP(C927,'GASB Match'!$D$2:$F$6042,3,FALSE),"")</f>
        <v>3403300</v>
      </c>
      <c r="B927" s="17">
        <v>2021</v>
      </c>
      <c r="C927" s="25" t="s">
        <v>1217</v>
      </c>
      <c r="D927" s="17">
        <v>610</v>
      </c>
      <c r="E927" s="17" t="s">
        <v>1466</v>
      </c>
      <c r="F927" s="23">
        <v>20482816</v>
      </c>
    </row>
    <row r="928" spans="1:6" ht="16" customHeight="1" x14ac:dyDescent="0.2">
      <c r="A928">
        <f>IFERROR(VLOOKUP(C928,'GASB Match'!$D$2:$F$6042,3,FALSE),"")</f>
        <v>3403300</v>
      </c>
      <c r="B928" s="17">
        <v>2022</v>
      </c>
      <c r="C928" s="21" t="s">
        <v>1217</v>
      </c>
      <c r="D928" s="17">
        <v>610</v>
      </c>
      <c r="E928" s="17" t="s">
        <v>1466</v>
      </c>
      <c r="F928" s="23">
        <v>29629683</v>
      </c>
    </row>
    <row r="929" spans="1:6" ht="16" customHeight="1" x14ac:dyDescent="0.2">
      <c r="A929">
        <f>IFERROR(VLOOKUP(C929,'GASB Match'!$D$2:$F$6042,3,FALSE),"")</f>
        <v>3403300</v>
      </c>
      <c r="B929" s="17">
        <v>2023</v>
      </c>
      <c r="C929" s="21" t="s">
        <v>1217</v>
      </c>
      <c r="D929" s="17">
        <v>610</v>
      </c>
      <c r="E929" s="17" t="s">
        <v>1466</v>
      </c>
      <c r="F929" s="23">
        <v>28752084</v>
      </c>
    </row>
    <row r="930" spans="1:6" ht="16" customHeight="1" x14ac:dyDescent="0.2">
      <c r="A930">
        <f>IFERROR(VLOOKUP(C930,'GASB Match'!$D$2:$F$6042,3,FALSE),"")</f>
        <v>3403300</v>
      </c>
      <c r="B930" s="28">
        <v>2017</v>
      </c>
      <c r="C930" s="29" t="s">
        <v>525</v>
      </c>
      <c r="D930" s="17">
        <v>610</v>
      </c>
      <c r="E930" s="17" t="s">
        <v>1423</v>
      </c>
      <c r="F930" s="29">
        <v>7829695</v>
      </c>
    </row>
    <row r="931" spans="1:6" ht="16" customHeight="1" x14ac:dyDescent="0.2">
      <c r="A931">
        <f>IFERROR(VLOOKUP(C931,'GASB Match'!$D$2:$F$6042,3,FALSE),"")</f>
        <v>3403330</v>
      </c>
      <c r="B931" s="17">
        <v>2015</v>
      </c>
      <c r="C931" s="17" t="s">
        <v>329</v>
      </c>
      <c r="D931" s="17">
        <v>9015</v>
      </c>
      <c r="E931" s="17" t="s">
        <v>1415</v>
      </c>
      <c r="F931" s="20">
        <v>184024</v>
      </c>
    </row>
    <row r="932" spans="1:6" ht="16" customHeight="1" x14ac:dyDescent="0.2">
      <c r="A932">
        <f>IFERROR(VLOOKUP(C932,'GASB Match'!$D$2:$F$6042,3,FALSE),"")</f>
        <v>3403330</v>
      </c>
      <c r="B932" s="17">
        <v>2016</v>
      </c>
      <c r="C932" s="17" t="s">
        <v>329</v>
      </c>
      <c r="D932" s="17">
        <v>9015</v>
      </c>
      <c r="E932" s="17" t="s">
        <v>1415</v>
      </c>
      <c r="F932" s="20">
        <v>277236</v>
      </c>
    </row>
    <row r="933" spans="1:6" ht="16" customHeight="1" x14ac:dyDescent="0.2">
      <c r="A933">
        <f>IFERROR(VLOOKUP(C933,'GASB Match'!$D$2:$F$6042,3,FALSE),"")</f>
        <v>3403330</v>
      </c>
      <c r="B933" s="17">
        <v>2018</v>
      </c>
      <c r="C933" s="17" t="s">
        <v>1022</v>
      </c>
      <c r="D933" s="17">
        <v>9015</v>
      </c>
      <c r="E933" s="17" t="s">
        <v>1458</v>
      </c>
      <c r="F933" s="20">
        <v>568560</v>
      </c>
    </row>
    <row r="934" spans="1:6" ht="16" customHeight="1" x14ac:dyDescent="0.2">
      <c r="A934">
        <f>IFERROR(VLOOKUP(C934,'GASB Match'!$D$2:$F$6042,3,FALSE),"")</f>
        <v>3403330</v>
      </c>
      <c r="B934" s="17">
        <v>2019</v>
      </c>
      <c r="C934" s="17" t="s">
        <v>1022</v>
      </c>
      <c r="D934" s="17">
        <v>9015</v>
      </c>
      <c r="E934" s="17" t="s">
        <v>1458</v>
      </c>
      <c r="F934" s="20">
        <v>728313</v>
      </c>
    </row>
    <row r="935" spans="1:6" ht="16" customHeight="1" x14ac:dyDescent="0.2">
      <c r="A935">
        <f>IFERROR(VLOOKUP(C935,'GASB Match'!$D$2:$F$6042,3,FALSE),"")</f>
        <v>3403330</v>
      </c>
      <c r="B935" s="17">
        <v>2020</v>
      </c>
      <c r="C935" s="21" t="s">
        <v>1022</v>
      </c>
      <c r="D935" s="17">
        <v>9015</v>
      </c>
      <c r="E935" s="17" t="s">
        <v>1458</v>
      </c>
      <c r="F935" s="23">
        <v>826668</v>
      </c>
    </row>
    <row r="936" spans="1:6" ht="16" customHeight="1" x14ac:dyDescent="0.2">
      <c r="A936">
        <f>IFERROR(VLOOKUP(C936,'GASB Match'!$D$2:$F$6042,3,FALSE),"")</f>
        <v>3403330</v>
      </c>
      <c r="B936" s="17">
        <v>2021</v>
      </c>
      <c r="C936" s="25" t="s">
        <v>1022</v>
      </c>
      <c r="D936" s="17">
        <v>9015</v>
      </c>
      <c r="E936" s="17" t="s">
        <v>1458</v>
      </c>
      <c r="F936" s="23">
        <v>1059932</v>
      </c>
    </row>
    <row r="937" spans="1:6" ht="16" customHeight="1" x14ac:dyDescent="0.2">
      <c r="A937">
        <f>IFERROR(VLOOKUP(C937,'GASB Match'!$D$2:$F$6042,3,FALSE),"")</f>
        <v>3403330</v>
      </c>
      <c r="B937" s="17">
        <v>2022</v>
      </c>
      <c r="C937" s="21" t="s">
        <v>1022</v>
      </c>
      <c r="D937" s="17">
        <v>9015</v>
      </c>
      <c r="E937" s="17" t="s">
        <v>1458</v>
      </c>
      <c r="F937" s="23">
        <v>1473318</v>
      </c>
    </row>
    <row r="938" spans="1:6" ht="16" customHeight="1" x14ac:dyDescent="0.2">
      <c r="A938">
        <f>IFERROR(VLOOKUP(C938,'GASB Match'!$D$2:$F$6042,3,FALSE),"")</f>
        <v>3403330</v>
      </c>
      <c r="B938" s="17">
        <v>2023</v>
      </c>
      <c r="C938" s="21" t="s">
        <v>1022</v>
      </c>
      <c r="D938" s="17">
        <v>9015</v>
      </c>
      <c r="E938" s="17" t="s">
        <v>1458</v>
      </c>
      <c r="F938" s="23">
        <v>1505761</v>
      </c>
    </row>
    <row r="939" spans="1:6" ht="16" customHeight="1" x14ac:dyDescent="0.2">
      <c r="A939">
        <f>IFERROR(VLOOKUP(C939,'GASB Match'!$D$2:$F$6042,3,FALSE),"")</f>
        <v>3403330</v>
      </c>
      <c r="B939" s="28">
        <v>2017</v>
      </c>
      <c r="C939" s="29" t="s">
        <v>329</v>
      </c>
      <c r="D939" s="17">
        <v>9015</v>
      </c>
      <c r="E939" s="17" t="s">
        <v>1415</v>
      </c>
      <c r="F939" s="29">
        <v>400794</v>
      </c>
    </row>
    <row r="940" spans="1:6" ht="16" customHeight="1" x14ac:dyDescent="0.2">
      <c r="A940">
        <f>IFERROR(VLOOKUP(C940,'GASB Match'!$D$2:$F$6042,3,FALSE),"")</f>
        <v>3403360</v>
      </c>
      <c r="B940" s="17">
        <v>2015</v>
      </c>
      <c r="C940" s="17" t="s">
        <v>330</v>
      </c>
      <c r="D940" s="17">
        <v>9016</v>
      </c>
      <c r="E940" s="17" t="s">
        <v>1415</v>
      </c>
      <c r="F940" s="20">
        <v>630896</v>
      </c>
    </row>
    <row r="941" spans="1:6" ht="16" customHeight="1" x14ac:dyDescent="0.2">
      <c r="A941">
        <f>IFERROR(VLOOKUP(C941,'GASB Match'!$D$2:$F$6042,3,FALSE),"")</f>
        <v>3403360</v>
      </c>
      <c r="B941" s="17">
        <v>2016</v>
      </c>
      <c r="C941" s="17" t="s">
        <v>330</v>
      </c>
      <c r="D941" s="17">
        <v>9016</v>
      </c>
      <c r="E941" s="17" t="s">
        <v>1415</v>
      </c>
      <c r="F941" s="20">
        <v>954617</v>
      </c>
    </row>
    <row r="942" spans="1:6" ht="16" customHeight="1" x14ac:dyDescent="0.2">
      <c r="A942">
        <f>IFERROR(VLOOKUP(C942,'GASB Match'!$D$2:$F$6042,3,FALSE),"")</f>
        <v>3403360</v>
      </c>
      <c r="B942" s="17">
        <v>2018</v>
      </c>
      <c r="C942" s="17" t="s">
        <v>1023</v>
      </c>
      <c r="D942" s="17">
        <v>9016</v>
      </c>
      <c r="E942" s="17" t="s">
        <v>1458</v>
      </c>
      <c r="F942" s="20">
        <v>1641107</v>
      </c>
    </row>
    <row r="943" spans="1:6" ht="16" customHeight="1" x14ac:dyDescent="0.2">
      <c r="A943">
        <f>IFERROR(VLOOKUP(C943,'GASB Match'!$D$2:$F$6042,3,FALSE),"")</f>
        <v>3403360</v>
      </c>
      <c r="B943" s="17">
        <v>2019</v>
      </c>
      <c r="C943" s="17" t="s">
        <v>1023</v>
      </c>
      <c r="D943" s="17">
        <v>9016</v>
      </c>
      <c r="E943" s="17" t="s">
        <v>1458</v>
      </c>
      <c r="F943" s="20">
        <v>2242759</v>
      </c>
    </row>
    <row r="944" spans="1:6" ht="16" customHeight="1" x14ac:dyDescent="0.2">
      <c r="A944">
        <f>IFERROR(VLOOKUP(C944,'GASB Match'!$D$2:$F$6042,3,FALSE),"")</f>
        <v>3403360</v>
      </c>
      <c r="B944" s="17">
        <v>2020</v>
      </c>
      <c r="C944" s="21" t="s">
        <v>1023</v>
      </c>
      <c r="D944" s="17">
        <v>9016</v>
      </c>
      <c r="E944" s="17" t="s">
        <v>1458</v>
      </c>
      <c r="F944" s="23">
        <v>2421798</v>
      </c>
    </row>
    <row r="945" spans="1:6" ht="16" customHeight="1" x14ac:dyDescent="0.2">
      <c r="A945">
        <f>IFERROR(VLOOKUP(C945,'GASB Match'!$D$2:$F$6042,3,FALSE),"")</f>
        <v>3403360</v>
      </c>
      <c r="B945" s="17">
        <v>2021</v>
      </c>
      <c r="C945" s="25" t="s">
        <v>1023</v>
      </c>
      <c r="D945" s="17">
        <v>9016</v>
      </c>
      <c r="E945" s="17" t="s">
        <v>1458</v>
      </c>
      <c r="F945" s="23">
        <v>2895219</v>
      </c>
    </row>
    <row r="946" spans="1:6" ht="16" customHeight="1" x14ac:dyDescent="0.2">
      <c r="A946">
        <f>IFERROR(VLOOKUP(C946,'GASB Match'!$D$2:$F$6042,3,FALSE),"")</f>
        <v>3403360</v>
      </c>
      <c r="B946" s="17">
        <v>2022</v>
      </c>
      <c r="C946" s="21" t="s">
        <v>1023</v>
      </c>
      <c r="D946" s="17">
        <v>9016</v>
      </c>
      <c r="E946" s="17" t="s">
        <v>1458</v>
      </c>
      <c r="F946" s="23">
        <v>3940020</v>
      </c>
    </row>
    <row r="947" spans="1:6" ht="16" customHeight="1" x14ac:dyDescent="0.2">
      <c r="A947">
        <f>IFERROR(VLOOKUP(C947,'GASB Match'!$D$2:$F$6042,3,FALSE),"")</f>
        <v>3403360</v>
      </c>
      <c r="B947" s="17">
        <v>2023</v>
      </c>
      <c r="C947" s="21" t="s">
        <v>1023</v>
      </c>
      <c r="D947" s="17">
        <v>9016</v>
      </c>
      <c r="E947" s="17" t="s">
        <v>1458</v>
      </c>
      <c r="F947" s="23">
        <v>4445601</v>
      </c>
    </row>
    <row r="948" spans="1:6" ht="16" customHeight="1" x14ac:dyDescent="0.2">
      <c r="A948">
        <f>IFERROR(VLOOKUP(C948,'GASB Match'!$D$2:$F$6042,3,FALSE),"")</f>
        <v>3403360</v>
      </c>
      <c r="B948" s="28">
        <v>2017</v>
      </c>
      <c r="C948" s="29" t="s">
        <v>330</v>
      </c>
      <c r="D948" s="17">
        <v>9016</v>
      </c>
      <c r="E948" s="17" t="s">
        <v>1415</v>
      </c>
      <c r="F948" s="29">
        <v>1247967</v>
      </c>
    </row>
    <row r="949" spans="1:6" ht="16" customHeight="1" x14ac:dyDescent="0.2">
      <c r="A949">
        <f>IFERROR(VLOOKUP(C949,'GASB Match'!$D$2:$F$6042,3,FALSE),"")</f>
        <v>3403390</v>
      </c>
      <c r="B949" s="17">
        <v>2015</v>
      </c>
      <c r="C949" s="17" t="s">
        <v>37</v>
      </c>
      <c r="D949" s="17">
        <v>2027</v>
      </c>
      <c r="E949" s="17" t="s">
        <v>1402</v>
      </c>
      <c r="F949" s="20">
        <v>489882</v>
      </c>
    </row>
    <row r="950" spans="1:6" ht="16" customHeight="1" x14ac:dyDescent="0.2">
      <c r="A950">
        <f>IFERROR(VLOOKUP(C950,'GASB Match'!$D$2:$F$6042,3,FALSE),"")</f>
        <v>3403390</v>
      </c>
      <c r="B950" s="17">
        <v>2016</v>
      </c>
      <c r="C950" s="17" t="s">
        <v>37</v>
      </c>
      <c r="D950" s="17">
        <v>2027</v>
      </c>
      <c r="E950" s="17" t="s">
        <v>1402</v>
      </c>
      <c r="F950" s="20">
        <v>741910</v>
      </c>
    </row>
    <row r="951" spans="1:6" ht="16" customHeight="1" x14ac:dyDescent="0.2">
      <c r="A951">
        <f>IFERROR(VLOOKUP(C951,'GASB Match'!$D$2:$F$6042,3,FALSE),"")</f>
        <v>3403390</v>
      </c>
      <c r="B951" s="17">
        <v>2018</v>
      </c>
      <c r="C951" s="17" t="s">
        <v>715</v>
      </c>
      <c r="D951" s="17">
        <v>2027</v>
      </c>
      <c r="E951" s="17" t="s">
        <v>1443</v>
      </c>
      <c r="F951" s="20">
        <v>1408182</v>
      </c>
    </row>
    <row r="952" spans="1:6" ht="16" customHeight="1" x14ac:dyDescent="0.2">
      <c r="A952">
        <f>IFERROR(VLOOKUP(C952,'GASB Match'!$D$2:$F$6042,3,FALSE),"")</f>
        <v>3403390</v>
      </c>
      <c r="B952" s="17">
        <v>2019</v>
      </c>
      <c r="C952" s="17" t="s">
        <v>715</v>
      </c>
      <c r="D952" s="17">
        <v>2027</v>
      </c>
      <c r="E952" s="17" t="s">
        <v>1443</v>
      </c>
      <c r="F952" s="20">
        <v>1825202</v>
      </c>
    </row>
    <row r="953" spans="1:6" ht="16" customHeight="1" x14ac:dyDescent="0.2">
      <c r="A953">
        <f>IFERROR(VLOOKUP(C953,'GASB Match'!$D$2:$F$6042,3,FALSE),"")</f>
        <v>3403390</v>
      </c>
      <c r="B953" s="17">
        <v>2020</v>
      </c>
      <c r="C953" s="21" t="s">
        <v>715</v>
      </c>
      <c r="D953" s="17">
        <v>2027</v>
      </c>
      <c r="E953" s="17" t="s">
        <v>1443</v>
      </c>
      <c r="F953" s="23">
        <v>2181413</v>
      </c>
    </row>
    <row r="954" spans="1:6" ht="16" customHeight="1" x14ac:dyDescent="0.2">
      <c r="A954">
        <f>IFERROR(VLOOKUP(C954,'GASB Match'!$D$2:$F$6042,3,FALSE),"")</f>
        <v>3403390</v>
      </c>
      <c r="B954" s="17">
        <v>2021</v>
      </c>
      <c r="C954" s="25" t="s">
        <v>715</v>
      </c>
      <c r="D954" s="17">
        <v>2027</v>
      </c>
      <c r="E954" s="17" t="s">
        <v>1443</v>
      </c>
      <c r="F954" s="23">
        <v>2866180</v>
      </c>
    </row>
    <row r="955" spans="1:6" ht="16" customHeight="1" x14ac:dyDescent="0.2">
      <c r="A955">
        <f>IFERROR(VLOOKUP(C955,'GASB Match'!$D$2:$F$6042,3,FALSE),"")</f>
        <v>3403390</v>
      </c>
      <c r="B955" s="17">
        <v>2022</v>
      </c>
      <c r="C955" s="21" t="s">
        <v>715</v>
      </c>
      <c r="D955" s="17">
        <v>2027</v>
      </c>
      <c r="E955" s="17" t="s">
        <v>1443</v>
      </c>
      <c r="F955" s="23">
        <v>3813500</v>
      </c>
    </row>
    <row r="956" spans="1:6" ht="16" customHeight="1" x14ac:dyDescent="0.2">
      <c r="A956">
        <f>IFERROR(VLOOKUP(C956,'GASB Match'!$D$2:$F$6042,3,FALSE),"")</f>
        <v>3403390</v>
      </c>
      <c r="B956" s="17">
        <v>2023</v>
      </c>
      <c r="C956" s="21" t="s">
        <v>715</v>
      </c>
      <c r="D956" s="17">
        <v>2027</v>
      </c>
      <c r="E956" s="17" t="s">
        <v>1443</v>
      </c>
      <c r="F956" s="23">
        <v>3680805</v>
      </c>
    </row>
    <row r="957" spans="1:6" ht="16" customHeight="1" x14ac:dyDescent="0.2">
      <c r="A957">
        <f>IFERROR(VLOOKUP(C957,'GASB Match'!$D$2:$F$6042,3,FALSE),"")</f>
        <v>3403390</v>
      </c>
      <c r="B957" s="28">
        <v>2017</v>
      </c>
      <c r="C957" s="29" t="s">
        <v>37</v>
      </c>
      <c r="D957" s="17">
        <v>2027</v>
      </c>
      <c r="E957" s="17" t="s">
        <v>1402</v>
      </c>
      <c r="F957" s="29">
        <v>1042826</v>
      </c>
    </row>
    <row r="958" spans="1:6" ht="16" customHeight="1" x14ac:dyDescent="0.2">
      <c r="A958">
        <f>IFERROR(VLOOKUP(C958,'GASB Match'!$D$2:$F$6042,3,FALSE),"")</f>
        <v>3400779</v>
      </c>
      <c r="B958" s="17">
        <v>2019</v>
      </c>
      <c r="C958" s="17" t="s">
        <v>1370</v>
      </c>
      <c r="D958" s="17">
        <v>855</v>
      </c>
      <c r="E958" s="17" t="s">
        <v>1470</v>
      </c>
      <c r="F958" s="20">
        <v>356219</v>
      </c>
    </row>
    <row r="959" spans="1:6" ht="16" customHeight="1" x14ac:dyDescent="0.2">
      <c r="A959">
        <f>IFERROR(VLOOKUP(C959,'GASB Match'!$D$2:$F$6042,3,FALSE),"")</f>
        <v>3400779</v>
      </c>
      <c r="B959" s="17">
        <v>2020</v>
      </c>
      <c r="C959" s="21" t="s">
        <v>1370</v>
      </c>
      <c r="D959" s="17">
        <v>855</v>
      </c>
      <c r="E959" s="17" t="s">
        <v>1470</v>
      </c>
      <c r="F959" s="23">
        <v>580177</v>
      </c>
    </row>
    <row r="960" spans="1:6" ht="16" customHeight="1" x14ac:dyDescent="0.2">
      <c r="A960">
        <f>IFERROR(VLOOKUP(C960,'GASB Match'!$D$2:$F$6042,3,FALSE),"")</f>
        <v>3400779</v>
      </c>
      <c r="B960" s="17">
        <v>2021</v>
      </c>
      <c r="C960" s="25" t="s">
        <v>1370</v>
      </c>
      <c r="D960" s="17">
        <v>855</v>
      </c>
      <c r="E960" s="17" t="s">
        <v>1470</v>
      </c>
      <c r="F960" s="23">
        <v>980654</v>
      </c>
    </row>
    <row r="961" spans="1:6" ht="16" customHeight="1" x14ac:dyDescent="0.2">
      <c r="A961">
        <f>IFERROR(VLOOKUP(C961,'GASB Match'!$D$2:$F$6042,3,FALSE),"")</f>
        <v>3400779</v>
      </c>
      <c r="B961" s="17">
        <v>2022</v>
      </c>
      <c r="C961" s="21" t="s">
        <v>1370</v>
      </c>
      <c r="D961" s="17">
        <v>855</v>
      </c>
      <c r="E961" s="17" t="s">
        <v>1470</v>
      </c>
      <c r="F961" s="23">
        <v>1739315</v>
      </c>
    </row>
    <row r="962" spans="1:6" ht="16" customHeight="1" x14ac:dyDescent="0.2">
      <c r="A962">
        <f>IFERROR(VLOOKUP(C962,'GASB Match'!$D$2:$F$6042,3,FALSE),"")</f>
        <v>3400779</v>
      </c>
      <c r="B962" s="17">
        <v>2023</v>
      </c>
      <c r="C962" s="21" t="s">
        <v>1370</v>
      </c>
      <c r="D962" s="17">
        <v>855</v>
      </c>
      <c r="E962" s="17" t="s">
        <v>1470</v>
      </c>
      <c r="F962" s="23">
        <v>1882783</v>
      </c>
    </row>
    <row r="963" spans="1:6" ht="16" customHeight="1" x14ac:dyDescent="0.2">
      <c r="A963">
        <f>IFERROR(VLOOKUP(C963,'GASB Match'!$D$2:$F$6042,3,FALSE),"")</f>
        <v>3400791</v>
      </c>
      <c r="B963" s="17">
        <v>2021</v>
      </c>
      <c r="C963" s="25" t="s">
        <v>1375</v>
      </c>
      <c r="D963" s="17">
        <v>377</v>
      </c>
      <c r="E963" s="17" t="s">
        <v>1463</v>
      </c>
      <c r="F963" s="23">
        <v>300222</v>
      </c>
    </row>
    <row r="964" spans="1:6" ht="16" customHeight="1" x14ac:dyDescent="0.2">
      <c r="A964">
        <f>IFERROR(VLOOKUP(C964,'GASB Match'!$D$2:$F$6042,3,FALSE),"")</f>
        <v>3400791</v>
      </c>
      <c r="B964" s="17">
        <v>2022</v>
      </c>
      <c r="C964" s="21" t="s">
        <v>1375</v>
      </c>
      <c r="D964" s="17">
        <v>377</v>
      </c>
      <c r="E964" s="17" t="s">
        <v>1463</v>
      </c>
      <c r="F964" s="23">
        <v>514118</v>
      </c>
    </row>
    <row r="965" spans="1:6" ht="16" customHeight="1" x14ac:dyDescent="0.2">
      <c r="A965">
        <f>IFERROR(VLOOKUP(C965,'GASB Match'!$D$2:$F$6042,3,FALSE),"")</f>
        <v>3400791</v>
      </c>
      <c r="B965" s="17">
        <v>2023</v>
      </c>
      <c r="C965" s="21" t="s">
        <v>1375</v>
      </c>
      <c r="D965" s="17">
        <v>377</v>
      </c>
      <c r="E965" s="17" t="s">
        <v>1463</v>
      </c>
      <c r="F965" s="23">
        <v>564893</v>
      </c>
    </row>
    <row r="966" spans="1:6" ht="16" customHeight="1" x14ac:dyDescent="0.2">
      <c r="A966">
        <f>IFERROR(VLOOKUP(C966,'GASB Match'!$D$2:$F$6042,3,FALSE),"")</f>
        <v>3400793</v>
      </c>
      <c r="B966" s="17">
        <v>2020</v>
      </c>
      <c r="C966" s="21" t="s">
        <v>1372</v>
      </c>
      <c r="D966" s="17">
        <v>664</v>
      </c>
      <c r="E966" s="17" t="s">
        <v>1466</v>
      </c>
      <c r="F966" s="23">
        <v>205825</v>
      </c>
    </row>
    <row r="967" spans="1:6" ht="16" customHeight="1" x14ac:dyDescent="0.2">
      <c r="A967">
        <f>IFERROR(VLOOKUP(C967,'GASB Match'!$D$2:$F$6042,3,FALSE),"")</f>
        <v>3400793</v>
      </c>
      <c r="B967" s="17">
        <v>2021</v>
      </c>
      <c r="C967" s="25" t="s">
        <v>1372</v>
      </c>
      <c r="D967" s="17">
        <v>664</v>
      </c>
      <c r="E967" s="17" t="s">
        <v>1466</v>
      </c>
      <c r="F967" s="23">
        <v>464536</v>
      </c>
    </row>
    <row r="968" spans="1:6" ht="16" customHeight="1" x14ac:dyDescent="0.2">
      <c r="A968">
        <f>IFERROR(VLOOKUP(C968,'GASB Match'!$D$2:$F$6042,3,FALSE),"")</f>
        <v>3400793</v>
      </c>
      <c r="B968" s="17">
        <v>2022</v>
      </c>
      <c r="C968" s="21" t="s">
        <v>1372</v>
      </c>
      <c r="D968" s="17">
        <v>664</v>
      </c>
      <c r="E968" s="17" t="s">
        <v>1466</v>
      </c>
      <c r="F968" s="23">
        <v>1109455</v>
      </c>
    </row>
    <row r="969" spans="1:6" ht="16" customHeight="1" x14ac:dyDescent="0.2">
      <c r="A969">
        <f>IFERROR(VLOOKUP(C969,'GASB Match'!$D$2:$F$6042,3,FALSE),"")</f>
        <v>3400793</v>
      </c>
      <c r="B969" s="17">
        <v>2023</v>
      </c>
      <c r="C969" s="21" t="s">
        <v>1372</v>
      </c>
      <c r="D969" s="17">
        <v>664</v>
      </c>
      <c r="E969" s="17" t="s">
        <v>1466</v>
      </c>
      <c r="F969" s="23">
        <v>1346832</v>
      </c>
    </row>
    <row r="970" spans="1:6" ht="16" customHeight="1" x14ac:dyDescent="0.2">
      <c r="A970">
        <f>IFERROR(VLOOKUP(C970,'GASB Match'!$D$2:$F$6042,3,FALSE),"")</f>
        <v>3403420</v>
      </c>
      <c r="B970" s="17">
        <v>2015</v>
      </c>
      <c r="C970" s="17" t="s">
        <v>164</v>
      </c>
      <c r="D970" s="17">
        <v>4020</v>
      </c>
      <c r="E970" s="17" t="s">
        <v>1405</v>
      </c>
      <c r="F970" s="20">
        <v>767039</v>
      </c>
    </row>
    <row r="971" spans="1:6" ht="16" customHeight="1" x14ac:dyDescent="0.2">
      <c r="A971">
        <f>IFERROR(VLOOKUP(C971,'GASB Match'!$D$2:$F$6042,3,FALSE),"")</f>
        <v>3403420</v>
      </c>
      <c r="B971" s="17">
        <v>2016</v>
      </c>
      <c r="C971" s="17" t="s">
        <v>164</v>
      </c>
      <c r="D971" s="17">
        <v>4020</v>
      </c>
      <c r="E971" s="17" t="s">
        <v>1405</v>
      </c>
      <c r="F971" s="20">
        <v>1170270</v>
      </c>
    </row>
    <row r="972" spans="1:6" ht="16" customHeight="1" x14ac:dyDescent="0.2">
      <c r="A972">
        <f>IFERROR(VLOOKUP(C972,'GASB Match'!$D$2:$F$6042,3,FALSE),"")</f>
        <v>3403420</v>
      </c>
      <c r="B972" s="17">
        <v>2018</v>
      </c>
      <c r="C972" s="17" t="s">
        <v>847</v>
      </c>
      <c r="D972" s="17">
        <v>4020</v>
      </c>
      <c r="E972" s="17" t="s">
        <v>1446</v>
      </c>
      <c r="F972" s="20">
        <v>2282547</v>
      </c>
    </row>
    <row r="973" spans="1:6" ht="16" customHeight="1" x14ac:dyDescent="0.2">
      <c r="A973">
        <f>IFERROR(VLOOKUP(C973,'GASB Match'!$D$2:$F$6042,3,FALSE),"")</f>
        <v>3403420</v>
      </c>
      <c r="B973" s="17">
        <v>2019</v>
      </c>
      <c r="C973" s="17" t="s">
        <v>847</v>
      </c>
      <c r="D973" s="17">
        <v>4020</v>
      </c>
      <c r="E973" s="17" t="s">
        <v>1446</v>
      </c>
      <c r="F973" s="20">
        <v>3074660</v>
      </c>
    </row>
    <row r="974" spans="1:6" ht="16" customHeight="1" x14ac:dyDescent="0.2">
      <c r="A974">
        <f>IFERROR(VLOOKUP(C974,'GASB Match'!$D$2:$F$6042,3,FALSE),"")</f>
        <v>3403420</v>
      </c>
      <c r="B974" s="17">
        <v>2020</v>
      </c>
      <c r="C974" s="21" t="s">
        <v>847</v>
      </c>
      <c r="D974" s="17">
        <v>4020</v>
      </c>
      <c r="E974" s="17" t="s">
        <v>1446</v>
      </c>
      <c r="F974" s="23">
        <v>3571909</v>
      </c>
    </row>
    <row r="975" spans="1:6" ht="16" customHeight="1" x14ac:dyDescent="0.2">
      <c r="A975">
        <f>IFERROR(VLOOKUP(C975,'GASB Match'!$D$2:$F$6042,3,FALSE),"")</f>
        <v>3403420</v>
      </c>
      <c r="B975" s="17">
        <v>2021</v>
      </c>
      <c r="C975" s="25" t="s">
        <v>847</v>
      </c>
      <c r="D975" s="17">
        <v>4020</v>
      </c>
      <c r="E975" s="17" t="s">
        <v>1446</v>
      </c>
      <c r="F975" s="23">
        <v>4828309</v>
      </c>
    </row>
    <row r="976" spans="1:6" ht="16" customHeight="1" x14ac:dyDescent="0.2">
      <c r="A976">
        <f>IFERROR(VLOOKUP(C976,'GASB Match'!$D$2:$F$6042,3,FALSE),"")</f>
        <v>3403420</v>
      </c>
      <c r="B976" s="17">
        <v>2022</v>
      </c>
      <c r="C976" s="21" t="s">
        <v>847</v>
      </c>
      <c r="D976" s="17">
        <v>4020</v>
      </c>
      <c r="E976" s="17" t="s">
        <v>1446</v>
      </c>
      <c r="F976" s="23">
        <v>6881076</v>
      </c>
    </row>
    <row r="977" spans="1:6" ht="16" customHeight="1" x14ac:dyDescent="0.2">
      <c r="A977">
        <f>IFERROR(VLOOKUP(C977,'GASB Match'!$D$2:$F$6042,3,FALSE),"")</f>
        <v>3403420</v>
      </c>
      <c r="B977" s="17">
        <v>2023</v>
      </c>
      <c r="C977" s="21" t="s">
        <v>847</v>
      </c>
      <c r="D977" s="17">
        <v>4020</v>
      </c>
      <c r="E977" s="17" t="s">
        <v>1446</v>
      </c>
      <c r="F977" s="23">
        <v>6874160</v>
      </c>
    </row>
    <row r="978" spans="1:6" ht="16" customHeight="1" x14ac:dyDescent="0.2">
      <c r="A978">
        <f>IFERROR(VLOOKUP(C978,'GASB Match'!$D$2:$F$6042,3,FALSE),"")</f>
        <v>3403420</v>
      </c>
      <c r="B978" s="28">
        <v>2017</v>
      </c>
      <c r="C978" s="29" t="s">
        <v>164</v>
      </c>
      <c r="D978" s="17">
        <v>4020</v>
      </c>
      <c r="E978" s="17" t="s">
        <v>1405</v>
      </c>
      <c r="F978" s="29">
        <v>1673718</v>
      </c>
    </row>
    <row r="979" spans="1:6" ht="16" customHeight="1" x14ac:dyDescent="0.2">
      <c r="A979">
        <f>IFERROR(VLOOKUP(C979,'GASB Match'!$D$2:$F$6042,3,FALSE),"")</f>
        <v>3403450</v>
      </c>
      <c r="B979" s="17">
        <v>2015</v>
      </c>
      <c r="C979" s="17" t="s">
        <v>407</v>
      </c>
      <c r="D979" s="17">
        <v>322</v>
      </c>
      <c r="E979" s="17" t="s">
        <v>1420</v>
      </c>
      <c r="F979" s="20">
        <v>514840</v>
      </c>
    </row>
    <row r="980" spans="1:6" ht="16" customHeight="1" x14ac:dyDescent="0.2">
      <c r="A980">
        <f>IFERROR(VLOOKUP(C980,'GASB Match'!$D$2:$F$6042,3,FALSE),"")</f>
        <v>3403450</v>
      </c>
      <c r="B980" s="17">
        <v>2016</v>
      </c>
      <c r="C980" s="17" t="s">
        <v>407</v>
      </c>
      <c r="D980" s="17">
        <v>322</v>
      </c>
      <c r="E980" s="17" t="s">
        <v>1420</v>
      </c>
      <c r="F980" s="20">
        <v>794872</v>
      </c>
    </row>
    <row r="981" spans="1:6" ht="16" customHeight="1" x14ac:dyDescent="0.2">
      <c r="A981">
        <f>IFERROR(VLOOKUP(C981,'GASB Match'!$D$2:$F$6042,3,FALSE),"")</f>
        <v>3403450</v>
      </c>
      <c r="B981" s="17">
        <v>2018</v>
      </c>
      <c r="C981" s="17" t="s">
        <v>1099</v>
      </c>
      <c r="D981" s="17">
        <v>322</v>
      </c>
      <c r="E981" s="17" t="s">
        <v>1463</v>
      </c>
      <c r="F981" s="20">
        <v>1516273</v>
      </c>
    </row>
    <row r="982" spans="1:6" ht="16" customHeight="1" x14ac:dyDescent="0.2">
      <c r="A982">
        <f>IFERROR(VLOOKUP(C982,'GASB Match'!$D$2:$F$6042,3,FALSE),"")</f>
        <v>3403450</v>
      </c>
      <c r="B982" s="17">
        <v>2019</v>
      </c>
      <c r="C982" s="17" t="s">
        <v>1099</v>
      </c>
      <c r="D982" s="17">
        <v>322</v>
      </c>
      <c r="E982" s="17" t="s">
        <v>1463</v>
      </c>
      <c r="F982" s="20">
        <v>2034875</v>
      </c>
    </row>
    <row r="983" spans="1:6" ht="16" customHeight="1" x14ac:dyDescent="0.2">
      <c r="A983">
        <f>IFERROR(VLOOKUP(C983,'GASB Match'!$D$2:$F$6042,3,FALSE),"")</f>
        <v>3403450</v>
      </c>
      <c r="B983" s="17">
        <v>2020</v>
      </c>
      <c r="C983" s="21" t="s">
        <v>1099</v>
      </c>
      <c r="D983" s="17">
        <v>322</v>
      </c>
      <c r="E983" s="17" t="s">
        <v>1463</v>
      </c>
      <c r="F983" s="23">
        <v>2302106</v>
      </c>
    </row>
    <row r="984" spans="1:6" ht="16" customHeight="1" x14ac:dyDescent="0.2">
      <c r="A984">
        <f>IFERROR(VLOOKUP(C984,'GASB Match'!$D$2:$F$6042,3,FALSE),"")</f>
        <v>3403450</v>
      </c>
      <c r="B984" s="17">
        <v>2021</v>
      </c>
      <c r="C984" s="25" t="s">
        <v>1099</v>
      </c>
      <c r="D984" s="17">
        <v>322</v>
      </c>
      <c r="E984" s="17" t="s">
        <v>1463</v>
      </c>
      <c r="F984" s="23">
        <v>3083825</v>
      </c>
    </row>
    <row r="985" spans="1:6" ht="16" customHeight="1" x14ac:dyDescent="0.2">
      <c r="A985">
        <f>IFERROR(VLOOKUP(C985,'GASB Match'!$D$2:$F$6042,3,FALSE),"")</f>
        <v>3403450</v>
      </c>
      <c r="B985" s="17">
        <v>2022</v>
      </c>
      <c r="C985" s="21" t="s">
        <v>1099</v>
      </c>
      <c r="D985" s="17">
        <v>322</v>
      </c>
      <c r="E985" s="17" t="s">
        <v>1463</v>
      </c>
      <c r="F985" s="23">
        <v>4310401</v>
      </c>
    </row>
    <row r="986" spans="1:6" ht="16" customHeight="1" x14ac:dyDescent="0.2">
      <c r="A986">
        <f>IFERROR(VLOOKUP(C986,'GASB Match'!$D$2:$F$6042,3,FALSE),"")</f>
        <v>3403450</v>
      </c>
      <c r="B986" s="17">
        <v>2023</v>
      </c>
      <c r="C986" s="21" t="s">
        <v>1099</v>
      </c>
      <c r="D986" s="17">
        <v>322</v>
      </c>
      <c r="E986" s="17" t="s">
        <v>1463</v>
      </c>
      <c r="F986" s="23">
        <v>4313054</v>
      </c>
    </row>
    <row r="987" spans="1:6" ht="16" customHeight="1" x14ac:dyDescent="0.2">
      <c r="A987">
        <f>IFERROR(VLOOKUP(C987,'GASB Match'!$D$2:$F$6042,3,FALSE),"")</f>
        <v>3403450</v>
      </c>
      <c r="B987" s="28">
        <v>2017</v>
      </c>
      <c r="C987" s="29" t="s">
        <v>407</v>
      </c>
      <c r="D987" s="17">
        <v>322</v>
      </c>
      <c r="E987" s="17" t="s">
        <v>1420</v>
      </c>
      <c r="F987" s="29">
        <v>1119848</v>
      </c>
    </row>
    <row r="988" spans="1:6" ht="16" customHeight="1" x14ac:dyDescent="0.2">
      <c r="A988">
        <f>IFERROR(VLOOKUP(C988,'GASB Match'!$D$2:$F$6042,3,FALSE),"")</f>
        <v>3403480</v>
      </c>
      <c r="B988" s="17">
        <v>2015</v>
      </c>
      <c r="C988" s="17" t="s">
        <v>213</v>
      </c>
      <c r="D988" s="17">
        <v>5081</v>
      </c>
      <c r="E988" s="17" t="s">
        <v>1408</v>
      </c>
      <c r="F988" s="20">
        <v>181863</v>
      </c>
    </row>
    <row r="989" spans="1:6" ht="16" customHeight="1" x14ac:dyDescent="0.2">
      <c r="A989">
        <f>IFERROR(VLOOKUP(C989,'GASB Match'!$D$2:$F$6042,3,FALSE),"")</f>
        <v>3403480</v>
      </c>
      <c r="B989" s="17">
        <v>2016</v>
      </c>
      <c r="C989" s="17" t="s">
        <v>213</v>
      </c>
      <c r="D989" s="17">
        <v>5081</v>
      </c>
      <c r="E989" s="17" t="s">
        <v>1408</v>
      </c>
      <c r="F989" s="20">
        <v>263653</v>
      </c>
    </row>
    <row r="990" spans="1:6" ht="16" customHeight="1" x14ac:dyDescent="0.2">
      <c r="A990">
        <f>IFERROR(VLOOKUP(C990,'GASB Match'!$D$2:$F$6042,3,FALSE),"")</f>
        <v>3403480</v>
      </c>
      <c r="B990" s="17">
        <v>2018</v>
      </c>
      <c r="C990" s="17" t="s">
        <v>898</v>
      </c>
      <c r="D990" s="17">
        <v>5081</v>
      </c>
      <c r="E990" s="17" t="s">
        <v>1449</v>
      </c>
      <c r="F990" s="20">
        <v>522553</v>
      </c>
    </row>
    <row r="991" spans="1:6" ht="16" customHeight="1" x14ac:dyDescent="0.2">
      <c r="A991">
        <f>IFERROR(VLOOKUP(C991,'GASB Match'!$D$2:$F$6042,3,FALSE),"")</f>
        <v>3403480</v>
      </c>
      <c r="B991" s="17">
        <v>2019</v>
      </c>
      <c r="C991" s="17" t="s">
        <v>898</v>
      </c>
      <c r="D991" s="17">
        <v>5081</v>
      </c>
      <c r="E991" s="17" t="s">
        <v>1449</v>
      </c>
      <c r="F991" s="20">
        <v>735225</v>
      </c>
    </row>
    <row r="992" spans="1:6" ht="16" customHeight="1" x14ac:dyDescent="0.2">
      <c r="A992">
        <f>IFERROR(VLOOKUP(C992,'GASB Match'!$D$2:$F$6042,3,FALSE),"")</f>
        <v>3403480</v>
      </c>
      <c r="B992" s="17">
        <v>2020</v>
      </c>
      <c r="C992" s="21" t="s">
        <v>898</v>
      </c>
      <c r="D992" s="17">
        <v>5081</v>
      </c>
      <c r="E992" s="17" t="s">
        <v>1449</v>
      </c>
      <c r="F992" s="23">
        <v>895871</v>
      </c>
    </row>
    <row r="993" spans="1:6" ht="16" customHeight="1" x14ac:dyDescent="0.2">
      <c r="A993">
        <f>IFERROR(VLOOKUP(C993,'GASB Match'!$D$2:$F$6042,3,FALSE),"")</f>
        <v>3403480</v>
      </c>
      <c r="B993" s="17">
        <v>2021</v>
      </c>
      <c r="C993" s="25" t="s">
        <v>898</v>
      </c>
      <c r="D993" s="17">
        <v>5081</v>
      </c>
      <c r="E993" s="17" t="s">
        <v>1449</v>
      </c>
      <c r="F993" s="23">
        <v>996227</v>
      </c>
    </row>
    <row r="994" spans="1:6" ht="16" customHeight="1" x14ac:dyDescent="0.2">
      <c r="A994">
        <f>IFERROR(VLOOKUP(C994,'GASB Match'!$D$2:$F$6042,3,FALSE),"")</f>
        <v>3403480</v>
      </c>
      <c r="B994" s="17">
        <v>2022</v>
      </c>
      <c r="C994" s="21" t="s">
        <v>898</v>
      </c>
      <c r="D994" s="17">
        <v>5081</v>
      </c>
      <c r="E994" s="17" t="s">
        <v>1449</v>
      </c>
      <c r="F994" s="23">
        <v>1402283</v>
      </c>
    </row>
    <row r="995" spans="1:6" ht="16" customHeight="1" x14ac:dyDescent="0.2">
      <c r="A995">
        <f>IFERROR(VLOOKUP(C995,'GASB Match'!$D$2:$F$6042,3,FALSE),"")</f>
        <v>3403480</v>
      </c>
      <c r="B995" s="17">
        <v>2023</v>
      </c>
      <c r="C995" s="21" t="s">
        <v>898</v>
      </c>
      <c r="D995" s="17">
        <v>5081</v>
      </c>
      <c r="E995" s="17" t="s">
        <v>1449</v>
      </c>
      <c r="F995" s="23">
        <v>1251598</v>
      </c>
    </row>
    <row r="996" spans="1:6" ht="16" customHeight="1" x14ac:dyDescent="0.2">
      <c r="A996">
        <f>IFERROR(VLOOKUP(C996,'GASB Match'!$D$2:$F$6042,3,FALSE),"")</f>
        <v>3403480</v>
      </c>
      <c r="B996" s="28">
        <v>2017</v>
      </c>
      <c r="C996" s="29" t="s">
        <v>213</v>
      </c>
      <c r="D996" s="17">
        <v>5081</v>
      </c>
      <c r="E996" s="17" t="s">
        <v>1408</v>
      </c>
      <c r="F996" s="29">
        <v>408560</v>
      </c>
    </row>
    <row r="997" spans="1:6" ht="16" customHeight="1" x14ac:dyDescent="0.2">
      <c r="A997">
        <f>IFERROR(VLOOKUP(C997,'GASB Match'!$D$2:$F$6042,3,FALSE),"")</f>
        <v>3400718</v>
      </c>
      <c r="B997" s="17">
        <v>2015</v>
      </c>
      <c r="C997" s="17" t="s">
        <v>526</v>
      </c>
      <c r="D997" s="17">
        <v>661</v>
      </c>
      <c r="E997" s="17" t="s">
        <v>1423</v>
      </c>
      <c r="F997" s="20">
        <v>159371</v>
      </c>
    </row>
    <row r="998" spans="1:6" ht="16" customHeight="1" x14ac:dyDescent="0.2">
      <c r="A998">
        <f>IFERROR(VLOOKUP(C998,'GASB Match'!$D$2:$F$6042,3,FALSE),"")</f>
        <v>3400718</v>
      </c>
      <c r="B998" s="17">
        <v>2016</v>
      </c>
      <c r="C998" s="17" t="s">
        <v>526</v>
      </c>
      <c r="D998" s="17">
        <v>661</v>
      </c>
      <c r="E998" s="17" t="s">
        <v>1423</v>
      </c>
      <c r="F998" s="20">
        <v>234427</v>
      </c>
    </row>
    <row r="999" spans="1:6" ht="16" customHeight="1" x14ac:dyDescent="0.2">
      <c r="A999">
        <f>IFERROR(VLOOKUP(C999,'GASB Match'!$D$2:$F$6042,3,FALSE),"")</f>
        <v>3400718</v>
      </c>
      <c r="B999" s="17">
        <v>2018</v>
      </c>
      <c r="C999" s="17" t="s">
        <v>1218</v>
      </c>
      <c r="D999" s="17">
        <v>661</v>
      </c>
      <c r="E999" s="17" t="s">
        <v>1466</v>
      </c>
      <c r="F999" s="20">
        <v>490506</v>
      </c>
    </row>
    <row r="1000" spans="1:6" ht="16" customHeight="1" x14ac:dyDescent="0.2">
      <c r="A1000">
        <f>IFERROR(VLOOKUP(C1000,'GASB Match'!$D$2:$F$6042,3,FALSE),"")</f>
        <v>3400718</v>
      </c>
      <c r="B1000" s="17">
        <v>2019</v>
      </c>
      <c r="C1000" s="17" t="s">
        <v>1218</v>
      </c>
      <c r="D1000" s="17">
        <v>661</v>
      </c>
      <c r="E1000" s="17" t="s">
        <v>1466</v>
      </c>
      <c r="F1000" s="20">
        <v>830636</v>
      </c>
    </row>
    <row r="1001" spans="1:6" ht="16" customHeight="1" x14ac:dyDescent="0.2">
      <c r="A1001">
        <f>IFERROR(VLOOKUP(C1001,'GASB Match'!$D$2:$F$6042,3,FALSE),"")</f>
        <v>3400718</v>
      </c>
      <c r="B1001" s="17">
        <v>2020</v>
      </c>
      <c r="C1001" s="21" t="s">
        <v>1218</v>
      </c>
      <c r="D1001" s="17">
        <v>661</v>
      </c>
      <c r="E1001" s="17" t="s">
        <v>1466</v>
      </c>
      <c r="F1001" s="23">
        <v>909943</v>
      </c>
    </row>
    <row r="1002" spans="1:6" ht="16" customHeight="1" x14ac:dyDescent="0.2">
      <c r="A1002">
        <f>IFERROR(VLOOKUP(C1002,'GASB Match'!$D$2:$F$6042,3,FALSE),"")</f>
        <v>3400718</v>
      </c>
      <c r="B1002" s="17">
        <v>2021</v>
      </c>
      <c r="C1002" s="25" t="s">
        <v>1218</v>
      </c>
      <c r="D1002" s="17">
        <v>661</v>
      </c>
      <c r="E1002" s="17" t="s">
        <v>1466</v>
      </c>
      <c r="F1002" s="23">
        <v>1186344</v>
      </c>
    </row>
    <row r="1003" spans="1:6" ht="16" customHeight="1" x14ac:dyDescent="0.2">
      <c r="A1003">
        <f>IFERROR(VLOOKUP(C1003,'GASB Match'!$D$2:$F$6042,3,FALSE),"")</f>
        <v>3400718</v>
      </c>
      <c r="B1003" s="17">
        <v>2022</v>
      </c>
      <c r="C1003" s="21" t="s">
        <v>1218</v>
      </c>
      <c r="D1003" s="17">
        <v>661</v>
      </c>
      <c r="E1003" s="17" t="s">
        <v>1466</v>
      </c>
      <c r="F1003" s="23">
        <v>1894210</v>
      </c>
    </row>
    <row r="1004" spans="1:6" ht="16" customHeight="1" x14ac:dyDescent="0.2">
      <c r="A1004">
        <f>IFERROR(VLOOKUP(C1004,'GASB Match'!$D$2:$F$6042,3,FALSE),"")</f>
        <v>3400718</v>
      </c>
      <c r="B1004" s="17">
        <v>2023</v>
      </c>
      <c r="C1004" s="21" t="s">
        <v>1218</v>
      </c>
      <c r="D1004" s="17">
        <v>661</v>
      </c>
      <c r="E1004" s="17" t="s">
        <v>1466</v>
      </c>
      <c r="F1004" s="23">
        <v>1726193</v>
      </c>
    </row>
    <row r="1005" spans="1:6" ht="16" customHeight="1" x14ac:dyDescent="0.2">
      <c r="A1005">
        <f>IFERROR(VLOOKUP(C1005,'GASB Match'!$D$2:$F$6042,3,FALSE),"")</f>
        <v>3400718</v>
      </c>
      <c r="B1005" s="28">
        <v>2017</v>
      </c>
      <c r="C1005" s="29" t="s">
        <v>526</v>
      </c>
      <c r="D1005" s="17">
        <v>661</v>
      </c>
      <c r="E1005" s="17" t="s">
        <v>1423</v>
      </c>
      <c r="F1005" s="29">
        <v>244144</v>
      </c>
    </row>
    <row r="1006" spans="1:6" ht="16" customHeight="1" x14ac:dyDescent="0.2">
      <c r="A1006">
        <f>IFERROR(VLOOKUP(C1006,'GASB Match'!$D$2:$F$6042,3,FALSE),"")</f>
        <v>3400766</v>
      </c>
      <c r="B1006" s="17">
        <v>2018</v>
      </c>
      <c r="C1006" s="17" t="s">
        <v>899</v>
      </c>
      <c r="D1006" s="17">
        <v>5095</v>
      </c>
      <c r="E1006" s="17" t="s">
        <v>1449</v>
      </c>
      <c r="F1006" s="20">
        <v>102559</v>
      </c>
    </row>
    <row r="1007" spans="1:6" ht="16" customHeight="1" x14ac:dyDescent="0.2">
      <c r="A1007">
        <f>IFERROR(VLOOKUP(C1007,'GASB Match'!$D$2:$F$6042,3,FALSE),"")</f>
        <v>3400766</v>
      </c>
      <c r="B1007" s="17">
        <v>2019</v>
      </c>
      <c r="C1007" s="17" t="s">
        <v>899</v>
      </c>
      <c r="D1007" s="17">
        <v>5095</v>
      </c>
      <c r="E1007" s="17" t="s">
        <v>1449</v>
      </c>
      <c r="F1007" s="20">
        <v>150584</v>
      </c>
    </row>
    <row r="1008" spans="1:6" ht="16" customHeight="1" x14ac:dyDescent="0.2">
      <c r="A1008">
        <f>IFERROR(VLOOKUP(C1008,'GASB Match'!$D$2:$F$6042,3,FALSE),"")</f>
        <v>3400766</v>
      </c>
      <c r="B1008" s="17">
        <v>2020</v>
      </c>
      <c r="C1008" s="21" t="s">
        <v>899</v>
      </c>
      <c r="D1008" s="17">
        <v>5095</v>
      </c>
      <c r="E1008" s="17" t="s">
        <v>1449</v>
      </c>
      <c r="F1008" s="23">
        <v>179396</v>
      </c>
    </row>
    <row r="1009" spans="1:6" ht="16" customHeight="1" x14ac:dyDescent="0.2">
      <c r="A1009">
        <f>IFERROR(VLOOKUP(C1009,'GASB Match'!$D$2:$F$6042,3,FALSE),"")</f>
        <v>3400766</v>
      </c>
      <c r="B1009" s="17">
        <v>2021</v>
      </c>
      <c r="C1009" s="25" t="s">
        <v>899</v>
      </c>
      <c r="D1009" s="17">
        <v>5095</v>
      </c>
      <c r="E1009" s="17" t="s">
        <v>1449</v>
      </c>
      <c r="F1009" s="23">
        <v>257239</v>
      </c>
    </row>
    <row r="1010" spans="1:6" ht="16" customHeight="1" x14ac:dyDescent="0.2">
      <c r="A1010">
        <f>IFERROR(VLOOKUP(C1010,'GASB Match'!$D$2:$F$6042,3,FALSE),"")</f>
        <v>3400766</v>
      </c>
      <c r="B1010" s="17">
        <v>2022</v>
      </c>
      <c r="C1010" s="21" t="s">
        <v>899</v>
      </c>
      <c r="D1010" s="17">
        <v>5095</v>
      </c>
      <c r="E1010" s="17" t="s">
        <v>1449</v>
      </c>
      <c r="F1010" s="23">
        <v>403912</v>
      </c>
    </row>
    <row r="1011" spans="1:6" ht="16" customHeight="1" x14ac:dyDescent="0.2">
      <c r="A1011">
        <f>IFERROR(VLOOKUP(C1011,'GASB Match'!$D$2:$F$6042,3,FALSE),"")</f>
        <v>3400766</v>
      </c>
      <c r="B1011" s="17">
        <v>2023</v>
      </c>
      <c r="C1011" s="21" t="s">
        <v>899</v>
      </c>
      <c r="D1011" s="17">
        <v>5095</v>
      </c>
      <c r="E1011" s="17" t="s">
        <v>1449</v>
      </c>
      <c r="F1011" s="23">
        <v>310222</v>
      </c>
    </row>
    <row r="1012" spans="1:6" ht="16" customHeight="1" x14ac:dyDescent="0.2">
      <c r="A1012">
        <f>IFERROR(VLOOKUP(C1012,'GASB Match'!$D$2:$F$6042,3,FALSE),"")</f>
        <v>3400766</v>
      </c>
      <c r="B1012" s="28">
        <v>2017</v>
      </c>
      <c r="C1012" s="29" t="s">
        <v>676</v>
      </c>
      <c r="D1012" s="17">
        <v>5095</v>
      </c>
      <c r="E1012" s="17" t="s">
        <v>1408</v>
      </c>
      <c r="F1012" s="29">
        <v>59191</v>
      </c>
    </row>
    <row r="1013" spans="1:6" ht="16" customHeight="1" x14ac:dyDescent="0.2">
      <c r="A1013">
        <f>IFERROR(VLOOKUP(C1013,'GASB Match'!$D$2:$F$6042,3,FALSE),"")</f>
        <v>3403540</v>
      </c>
      <c r="B1013" s="17">
        <v>2015</v>
      </c>
      <c r="C1013" s="17" t="s">
        <v>374</v>
      </c>
      <c r="D1013" s="17">
        <v>232</v>
      </c>
      <c r="E1013" s="17" t="s">
        <v>1418</v>
      </c>
      <c r="F1013" s="20">
        <v>246751</v>
      </c>
    </row>
    <row r="1014" spans="1:6" ht="16" customHeight="1" x14ac:dyDescent="0.2">
      <c r="A1014">
        <f>IFERROR(VLOOKUP(C1014,'GASB Match'!$D$2:$F$6042,3,FALSE),"")</f>
        <v>3403540</v>
      </c>
      <c r="B1014" s="17">
        <v>2016</v>
      </c>
      <c r="C1014" s="17" t="s">
        <v>374</v>
      </c>
      <c r="D1014" s="17">
        <v>232</v>
      </c>
      <c r="E1014" s="17" t="s">
        <v>1418</v>
      </c>
      <c r="F1014" s="20">
        <v>344579</v>
      </c>
    </row>
    <row r="1015" spans="1:6" ht="16" customHeight="1" x14ac:dyDescent="0.2">
      <c r="A1015">
        <f>IFERROR(VLOOKUP(C1015,'GASB Match'!$D$2:$F$6042,3,FALSE),"")</f>
        <v>3403540</v>
      </c>
      <c r="B1015" s="17">
        <v>2018</v>
      </c>
      <c r="C1015" s="17" t="s">
        <v>1066</v>
      </c>
      <c r="D1015" s="17">
        <v>232</v>
      </c>
      <c r="E1015" s="17" t="s">
        <v>1461</v>
      </c>
      <c r="F1015" s="20">
        <v>648117</v>
      </c>
    </row>
    <row r="1016" spans="1:6" ht="16" customHeight="1" x14ac:dyDescent="0.2">
      <c r="A1016">
        <f>IFERROR(VLOOKUP(C1016,'GASB Match'!$D$2:$F$6042,3,FALSE),"")</f>
        <v>3403540</v>
      </c>
      <c r="B1016" s="17">
        <v>2019</v>
      </c>
      <c r="C1016" s="17" t="s">
        <v>1066</v>
      </c>
      <c r="D1016" s="17">
        <v>232</v>
      </c>
      <c r="E1016" s="17" t="s">
        <v>1461</v>
      </c>
      <c r="F1016" s="20">
        <v>917972</v>
      </c>
    </row>
    <row r="1017" spans="1:6" ht="16" customHeight="1" x14ac:dyDescent="0.2">
      <c r="A1017">
        <f>IFERROR(VLOOKUP(C1017,'GASB Match'!$D$2:$F$6042,3,FALSE),"")</f>
        <v>3403540</v>
      </c>
      <c r="B1017" s="17">
        <v>2020</v>
      </c>
      <c r="C1017" s="21" t="s">
        <v>1066</v>
      </c>
      <c r="D1017" s="17">
        <v>232</v>
      </c>
      <c r="E1017" s="17" t="s">
        <v>1461</v>
      </c>
      <c r="F1017" s="23">
        <v>1021233</v>
      </c>
    </row>
    <row r="1018" spans="1:6" ht="16" customHeight="1" x14ac:dyDescent="0.2">
      <c r="A1018">
        <f>IFERROR(VLOOKUP(C1018,'GASB Match'!$D$2:$F$6042,3,FALSE),"")</f>
        <v>3403540</v>
      </c>
      <c r="B1018" s="17">
        <v>2021</v>
      </c>
      <c r="C1018" s="25" t="s">
        <v>1066</v>
      </c>
      <c r="D1018" s="17">
        <v>232</v>
      </c>
      <c r="E1018" s="17" t="s">
        <v>1461</v>
      </c>
      <c r="F1018" s="23">
        <v>1321841</v>
      </c>
    </row>
    <row r="1019" spans="1:6" ht="16" customHeight="1" x14ac:dyDescent="0.2">
      <c r="A1019">
        <f>IFERROR(VLOOKUP(C1019,'GASB Match'!$D$2:$F$6042,3,FALSE),"")</f>
        <v>3403540</v>
      </c>
      <c r="B1019" s="17">
        <v>2022</v>
      </c>
      <c r="C1019" s="21" t="s">
        <v>1066</v>
      </c>
      <c r="D1019" s="17">
        <v>232</v>
      </c>
      <c r="E1019" s="17" t="s">
        <v>1461</v>
      </c>
      <c r="F1019" s="23">
        <v>1925325</v>
      </c>
    </row>
    <row r="1020" spans="1:6" ht="16" customHeight="1" x14ac:dyDescent="0.2">
      <c r="A1020">
        <f>IFERROR(VLOOKUP(C1020,'GASB Match'!$D$2:$F$6042,3,FALSE),"")</f>
        <v>3403540</v>
      </c>
      <c r="B1020" s="17">
        <v>2023</v>
      </c>
      <c r="C1020" s="21" t="s">
        <v>1066</v>
      </c>
      <c r="D1020" s="17">
        <v>232</v>
      </c>
      <c r="E1020" s="17" t="s">
        <v>1461</v>
      </c>
      <c r="F1020" s="23">
        <v>1758538</v>
      </c>
    </row>
    <row r="1021" spans="1:6" ht="16" customHeight="1" x14ac:dyDescent="0.2">
      <c r="A1021">
        <f>IFERROR(VLOOKUP(C1021,'GASB Match'!$D$2:$F$6042,3,FALSE),"")</f>
        <v>3403540</v>
      </c>
      <c r="B1021" s="28">
        <v>2017</v>
      </c>
      <c r="C1021" s="29" t="s">
        <v>374</v>
      </c>
      <c r="D1021" s="17">
        <v>232</v>
      </c>
      <c r="E1021" s="17" t="s">
        <v>1418</v>
      </c>
      <c r="F1021" s="29">
        <v>504502</v>
      </c>
    </row>
    <row r="1022" spans="1:6" ht="16" customHeight="1" x14ac:dyDescent="0.2">
      <c r="A1022">
        <f>IFERROR(VLOOKUP(C1022,'GASB Match'!$D$2:$F$6042,3,FALSE),"")</f>
        <v>3403570</v>
      </c>
      <c r="B1022" s="17">
        <v>2015</v>
      </c>
      <c r="C1022" s="17" t="s">
        <v>615</v>
      </c>
      <c r="D1022" s="17">
        <v>832</v>
      </c>
      <c r="E1022" s="17" t="s">
        <v>1427</v>
      </c>
      <c r="F1022" s="20">
        <v>1479818</v>
      </c>
    </row>
    <row r="1023" spans="1:6" ht="16" customHeight="1" x14ac:dyDescent="0.2">
      <c r="A1023">
        <f>IFERROR(VLOOKUP(C1023,'GASB Match'!$D$2:$F$6042,3,FALSE),"")</f>
        <v>3403570</v>
      </c>
      <c r="B1023" s="17">
        <v>2016</v>
      </c>
      <c r="C1023" s="17" t="s">
        <v>615</v>
      </c>
      <c r="D1023" s="17">
        <v>832</v>
      </c>
      <c r="E1023" s="17" t="s">
        <v>1427</v>
      </c>
      <c r="F1023" s="20">
        <v>2137881</v>
      </c>
    </row>
    <row r="1024" spans="1:6" ht="16" customHeight="1" x14ac:dyDescent="0.2">
      <c r="A1024">
        <f>IFERROR(VLOOKUP(C1024,'GASB Match'!$D$2:$F$6042,3,FALSE),"")</f>
        <v>3403570</v>
      </c>
      <c r="B1024" s="17">
        <v>2018</v>
      </c>
      <c r="C1024" s="17" t="s">
        <v>1308</v>
      </c>
      <c r="D1024" s="17">
        <v>832</v>
      </c>
      <c r="E1024" s="17" t="s">
        <v>1470</v>
      </c>
      <c r="F1024" s="20">
        <v>4179515</v>
      </c>
    </row>
    <row r="1025" spans="1:6" ht="16" customHeight="1" x14ac:dyDescent="0.2">
      <c r="A1025">
        <f>IFERROR(VLOOKUP(C1025,'GASB Match'!$D$2:$F$6042,3,FALSE),"")</f>
        <v>3403570</v>
      </c>
      <c r="B1025" s="17">
        <v>2019</v>
      </c>
      <c r="C1025" s="17" t="s">
        <v>1308</v>
      </c>
      <c r="D1025" s="17">
        <v>832</v>
      </c>
      <c r="E1025" s="17" t="s">
        <v>1470</v>
      </c>
      <c r="F1025" s="20">
        <v>5510928</v>
      </c>
    </row>
    <row r="1026" spans="1:6" ht="16" customHeight="1" x14ac:dyDescent="0.2">
      <c r="A1026">
        <f>IFERROR(VLOOKUP(C1026,'GASB Match'!$D$2:$F$6042,3,FALSE),"")</f>
        <v>3403570</v>
      </c>
      <c r="B1026" s="17">
        <v>2020</v>
      </c>
      <c r="C1026" s="21" t="s">
        <v>1308</v>
      </c>
      <c r="D1026" s="17">
        <v>832</v>
      </c>
      <c r="E1026" s="17" t="s">
        <v>1470</v>
      </c>
      <c r="F1026" s="23">
        <v>6152459</v>
      </c>
    </row>
    <row r="1027" spans="1:6" ht="16" customHeight="1" x14ac:dyDescent="0.2">
      <c r="A1027">
        <f>IFERROR(VLOOKUP(C1027,'GASB Match'!$D$2:$F$6042,3,FALSE),"")</f>
        <v>3403570</v>
      </c>
      <c r="B1027" s="17">
        <v>2021</v>
      </c>
      <c r="C1027" s="25" t="s">
        <v>1308</v>
      </c>
      <c r="D1027" s="17">
        <v>832</v>
      </c>
      <c r="E1027" s="17" t="s">
        <v>1470</v>
      </c>
      <c r="F1027" s="23">
        <v>8059506</v>
      </c>
    </row>
    <row r="1028" spans="1:6" ht="16" customHeight="1" x14ac:dyDescent="0.2">
      <c r="A1028">
        <f>IFERROR(VLOOKUP(C1028,'GASB Match'!$D$2:$F$6042,3,FALSE),"")</f>
        <v>3403570</v>
      </c>
      <c r="B1028" s="17">
        <v>2022</v>
      </c>
      <c r="C1028" s="21" t="s">
        <v>1308</v>
      </c>
      <c r="D1028" s="17">
        <v>832</v>
      </c>
      <c r="E1028" s="17" t="s">
        <v>1470</v>
      </c>
      <c r="F1028" s="27">
        <v>11301263</v>
      </c>
    </row>
    <row r="1029" spans="1:6" ht="16" customHeight="1" x14ac:dyDescent="0.2">
      <c r="A1029">
        <f>IFERROR(VLOOKUP(C1029,'GASB Match'!$D$2:$F$6042,3,FALSE),"")</f>
        <v>3403570</v>
      </c>
      <c r="B1029" s="17">
        <v>2023</v>
      </c>
      <c r="C1029" s="21" t="s">
        <v>1308</v>
      </c>
      <c r="D1029" s="17">
        <v>832</v>
      </c>
      <c r="E1029" s="17" t="s">
        <v>1470</v>
      </c>
      <c r="F1029" s="23">
        <v>11412465</v>
      </c>
    </row>
    <row r="1030" spans="1:6" ht="16" customHeight="1" x14ac:dyDescent="0.2">
      <c r="A1030">
        <f>IFERROR(VLOOKUP(C1030,'GASB Match'!$D$2:$F$6042,3,FALSE),"")</f>
        <v>3403570</v>
      </c>
      <c r="B1030" s="28">
        <v>2017</v>
      </c>
      <c r="C1030" s="29" t="s">
        <v>615</v>
      </c>
      <c r="D1030" s="17">
        <v>832</v>
      </c>
      <c r="E1030" s="17" t="s">
        <v>1427</v>
      </c>
      <c r="F1030" s="29">
        <v>2960994</v>
      </c>
    </row>
    <row r="1031" spans="1:6" ht="16" customHeight="1" x14ac:dyDescent="0.2">
      <c r="A1031">
        <f>IFERROR(VLOOKUP(C1031,'GASB Match'!$D$2:$F$6042,3,FALSE),"")</f>
        <v>3400805</v>
      </c>
      <c r="B1031" s="17">
        <v>2022</v>
      </c>
      <c r="C1031" s="21" t="s">
        <v>1379</v>
      </c>
      <c r="D1031" s="17">
        <v>727</v>
      </c>
      <c r="E1031" s="17" t="s">
        <v>1467</v>
      </c>
      <c r="F1031" s="23">
        <v>182822</v>
      </c>
    </row>
    <row r="1032" spans="1:6" ht="16" customHeight="1" x14ac:dyDescent="0.2">
      <c r="A1032">
        <f>IFERROR(VLOOKUP(C1032,'GASB Match'!$D$2:$F$6042,3,FALSE),"")</f>
        <v>3400805</v>
      </c>
      <c r="B1032" s="17">
        <v>2023</v>
      </c>
      <c r="C1032" s="21" t="s">
        <v>1379</v>
      </c>
      <c r="D1032" s="17">
        <v>727</v>
      </c>
      <c r="E1032" s="17" t="s">
        <v>1467</v>
      </c>
      <c r="F1032" s="23">
        <v>282538</v>
      </c>
    </row>
    <row r="1033" spans="1:6" ht="16" customHeight="1" x14ac:dyDescent="0.2">
      <c r="A1033">
        <f>IFERROR(VLOOKUP(C1033,'GASB Match'!$D$2:$F$6042,3,FALSE),"")</f>
        <v>3403600</v>
      </c>
      <c r="B1033" s="17">
        <v>2015</v>
      </c>
      <c r="C1033" s="17" t="s">
        <v>38</v>
      </c>
      <c r="D1033" s="17">
        <v>2028</v>
      </c>
      <c r="E1033" s="17" t="s">
        <v>1402</v>
      </c>
      <c r="F1033" s="20">
        <v>694274</v>
      </c>
    </row>
    <row r="1034" spans="1:6" ht="16" customHeight="1" x14ac:dyDescent="0.2">
      <c r="A1034">
        <f>IFERROR(VLOOKUP(C1034,'GASB Match'!$D$2:$F$6042,3,FALSE),"")</f>
        <v>3403600</v>
      </c>
      <c r="B1034" s="17">
        <v>2016</v>
      </c>
      <c r="C1034" s="17" t="s">
        <v>38</v>
      </c>
      <c r="D1034" s="17">
        <v>2028</v>
      </c>
      <c r="E1034" s="17" t="s">
        <v>1402</v>
      </c>
      <c r="F1034" s="20">
        <v>1027308</v>
      </c>
    </row>
    <row r="1035" spans="1:6" ht="16" customHeight="1" x14ac:dyDescent="0.2">
      <c r="A1035">
        <f>IFERROR(VLOOKUP(C1035,'GASB Match'!$D$2:$F$6042,3,FALSE),"")</f>
        <v>3403600</v>
      </c>
      <c r="B1035" s="17">
        <v>2018</v>
      </c>
      <c r="C1035" s="17" t="s">
        <v>716</v>
      </c>
      <c r="D1035" s="17">
        <v>2028</v>
      </c>
      <c r="E1035" s="17" t="s">
        <v>1443</v>
      </c>
      <c r="F1035" s="20">
        <v>2082024</v>
      </c>
    </row>
    <row r="1036" spans="1:6" ht="16" customHeight="1" x14ac:dyDescent="0.2">
      <c r="A1036">
        <f>IFERROR(VLOOKUP(C1036,'GASB Match'!$D$2:$F$6042,3,FALSE),"")</f>
        <v>3403600</v>
      </c>
      <c r="B1036" s="17">
        <v>2019</v>
      </c>
      <c r="C1036" s="17" t="s">
        <v>716</v>
      </c>
      <c r="D1036" s="17">
        <v>2028</v>
      </c>
      <c r="E1036" s="17" t="s">
        <v>1443</v>
      </c>
      <c r="F1036" s="20">
        <v>2763741</v>
      </c>
    </row>
    <row r="1037" spans="1:6" ht="16" customHeight="1" x14ac:dyDescent="0.2">
      <c r="A1037">
        <f>IFERROR(VLOOKUP(C1037,'GASB Match'!$D$2:$F$6042,3,FALSE),"")</f>
        <v>3403600</v>
      </c>
      <c r="B1037" s="17">
        <v>2020</v>
      </c>
      <c r="C1037" s="21" t="s">
        <v>716</v>
      </c>
      <c r="D1037" s="17">
        <v>2028</v>
      </c>
      <c r="E1037" s="17" t="s">
        <v>1443</v>
      </c>
      <c r="F1037" s="23">
        <v>3109631</v>
      </c>
    </row>
    <row r="1038" spans="1:6" ht="16" customHeight="1" x14ac:dyDescent="0.2">
      <c r="A1038">
        <f>IFERROR(VLOOKUP(C1038,'GASB Match'!$D$2:$F$6042,3,FALSE),"")</f>
        <v>3403600</v>
      </c>
      <c r="B1038" s="17">
        <v>2021</v>
      </c>
      <c r="C1038" s="25" t="s">
        <v>716</v>
      </c>
      <c r="D1038" s="17">
        <v>2028</v>
      </c>
      <c r="E1038" s="17" t="s">
        <v>1443</v>
      </c>
      <c r="F1038" s="23">
        <v>4113682</v>
      </c>
    </row>
    <row r="1039" spans="1:6" ht="16" customHeight="1" x14ac:dyDescent="0.2">
      <c r="A1039">
        <f>IFERROR(VLOOKUP(C1039,'GASB Match'!$D$2:$F$6042,3,FALSE),"")</f>
        <v>3403600</v>
      </c>
      <c r="B1039" s="17">
        <v>2022</v>
      </c>
      <c r="C1039" s="21" t="s">
        <v>716</v>
      </c>
      <c r="D1039" s="17">
        <v>2028</v>
      </c>
      <c r="E1039" s="17" t="s">
        <v>1443</v>
      </c>
      <c r="F1039" s="23">
        <v>5894960</v>
      </c>
    </row>
    <row r="1040" spans="1:6" ht="16" customHeight="1" x14ac:dyDescent="0.2">
      <c r="A1040">
        <f>IFERROR(VLOOKUP(C1040,'GASB Match'!$D$2:$F$6042,3,FALSE),"")</f>
        <v>3403600</v>
      </c>
      <c r="B1040" s="17">
        <v>2023</v>
      </c>
      <c r="C1040" s="21" t="s">
        <v>716</v>
      </c>
      <c r="D1040" s="17">
        <v>2028</v>
      </c>
      <c r="E1040" s="17" t="s">
        <v>1443</v>
      </c>
      <c r="F1040" s="23">
        <v>5966893</v>
      </c>
    </row>
    <row r="1041" spans="1:6" ht="16" customHeight="1" x14ac:dyDescent="0.2">
      <c r="A1041">
        <f>IFERROR(VLOOKUP(C1041,'GASB Match'!$D$2:$F$6042,3,FALSE),"")</f>
        <v>3403600</v>
      </c>
      <c r="B1041" s="28">
        <v>2017</v>
      </c>
      <c r="C1041" s="29" t="s">
        <v>38</v>
      </c>
      <c r="D1041" s="17">
        <v>2028</v>
      </c>
      <c r="E1041" s="17" t="s">
        <v>1402</v>
      </c>
      <c r="F1041" s="29">
        <v>1501757</v>
      </c>
    </row>
    <row r="1042" spans="1:6" ht="16" customHeight="1" x14ac:dyDescent="0.2">
      <c r="A1042">
        <f>IFERROR(VLOOKUP(C1042,'GASB Match'!$D$2:$F$6042,3,FALSE),"")</f>
        <v>3400786</v>
      </c>
      <c r="B1042" s="17">
        <v>2019</v>
      </c>
      <c r="C1042" s="17" t="s">
        <v>1371</v>
      </c>
      <c r="D1042" s="17">
        <v>856</v>
      </c>
      <c r="E1042" s="17" t="s">
        <v>1470</v>
      </c>
      <c r="F1042" s="20">
        <v>143487</v>
      </c>
    </row>
    <row r="1043" spans="1:6" ht="16" customHeight="1" x14ac:dyDescent="0.2">
      <c r="A1043">
        <f>IFERROR(VLOOKUP(C1043,'GASB Match'!$D$2:$F$6042,3,FALSE),"")</f>
        <v>3400786</v>
      </c>
      <c r="B1043" s="17">
        <v>2020</v>
      </c>
      <c r="C1043" s="21" t="s">
        <v>1371</v>
      </c>
      <c r="D1043" s="17">
        <v>856</v>
      </c>
      <c r="E1043" s="17" t="s">
        <v>1470</v>
      </c>
      <c r="F1043" s="23">
        <v>273661</v>
      </c>
    </row>
    <row r="1044" spans="1:6" ht="16" customHeight="1" x14ac:dyDescent="0.2">
      <c r="A1044">
        <f>IFERROR(VLOOKUP(C1044,'GASB Match'!$D$2:$F$6042,3,FALSE),"")</f>
        <v>3400786</v>
      </c>
      <c r="B1044" s="17">
        <v>2021</v>
      </c>
      <c r="C1044" s="25" t="s">
        <v>1371</v>
      </c>
      <c r="D1044" s="17">
        <v>856</v>
      </c>
      <c r="E1044" s="17" t="s">
        <v>1470</v>
      </c>
      <c r="F1044" s="23">
        <v>377970</v>
      </c>
    </row>
    <row r="1045" spans="1:6" ht="16" customHeight="1" x14ac:dyDescent="0.2">
      <c r="A1045">
        <f>IFERROR(VLOOKUP(C1045,'GASB Match'!$D$2:$F$6042,3,FALSE),"")</f>
        <v>3400786</v>
      </c>
      <c r="B1045" s="17">
        <v>2022</v>
      </c>
      <c r="C1045" s="21" t="s">
        <v>1371</v>
      </c>
      <c r="D1045" s="17">
        <v>856</v>
      </c>
      <c r="E1045" s="17" t="s">
        <v>1470</v>
      </c>
      <c r="F1045" s="23">
        <v>665503</v>
      </c>
    </row>
    <row r="1046" spans="1:6" ht="16" customHeight="1" x14ac:dyDescent="0.2">
      <c r="A1046">
        <f>IFERROR(VLOOKUP(C1046,'GASB Match'!$D$2:$F$6042,3,FALSE),"")</f>
        <v>3400786</v>
      </c>
      <c r="B1046" s="17">
        <v>2023</v>
      </c>
      <c r="C1046" s="21" t="s">
        <v>1371</v>
      </c>
      <c r="D1046" s="17">
        <v>856</v>
      </c>
      <c r="E1046" s="17" t="s">
        <v>1470</v>
      </c>
      <c r="F1046" s="23">
        <v>788955</v>
      </c>
    </row>
    <row r="1047" spans="1:6" ht="16" customHeight="1" x14ac:dyDescent="0.2">
      <c r="A1047">
        <f>IFERROR(VLOOKUP(C1047,'GASB Match'!$D$2:$F$6042,3,FALSE),"")</f>
        <v>3403610</v>
      </c>
      <c r="B1047" s="17">
        <v>2015</v>
      </c>
      <c r="C1047" s="17" t="s">
        <v>214</v>
      </c>
      <c r="D1047" s="17">
        <v>954</v>
      </c>
      <c r="E1047" s="17" t="s">
        <v>1408</v>
      </c>
      <c r="F1047" s="20">
        <v>153584</v>
      </c>
    </row>
    <row r="1048" spans="1:6" ht="16" customHeight="1" x14ac:dyDescent="0.2">
      <c r="A1048">
        <f>IFERROR(VLOOKUP(C1048,'GASB Match'!$D$2:$F$6042,3,FALSE),"")</f>
        <v>3403610</v>
      </c>
      <c r="B1048" s="17">
        <v>2016</v>
      </c>
      <c r="C1048" s="17" t="s">
        <v>214</v>
      </c>
      <c r="D1048" s="17">
        <v>954</v>
      </c>
      <c r="E1048" s="17" t="s">
        <v>1408</v>
      </c>
      <c r="F1048" s="20">
        <v>233925</v>
      </c>
    </row>
    <row r="1049" spans="1:6" ht="16" customHeight="1" x14ac:dyDescent="0.2">
      <c r="A1049">
        <f>IFERROR(VLOOKUP(C1049,'GASB Match'!$D$2:$F$6042,3,FALSE),"")</f>
        <v>3403610</v>
      </c>
      <c r="B1049" s="17">
        <v>2018</v>
      </c>
      <c r="C1049" s="17" t="s">
        <v>900</v>
      </c>
      <c r="D1049" s="17">
        <v>954</v>
      </c>
      <c r="E1049" s="17" t="s">
        <v>1449</v>
      </c>
      <c r="F1049" s="20">
        <v>461156</v>
      </c>
    </row>
    <row r="1050" spans="1:6" ht="16" customHeight="1" x14ac:dyDescent="0.2">
      <c r="A1050">
        <f>IFERROR(VLOOKUP(C1050,'GASB Match'!$D$2:$F$6042,3,FALSE),"")</f>
        <v>3403610</v>
      </c>
      <c r="B1050" s="17">
        <v>2019</v>
      </c>
      <c r="C1050" s="17" t="s">
        <v>900</v>
      </c>
      <c r="D1050" s="17">
        <v>954</v>
      </c>
      <c r="E1050" s="17" t="s">
        <v>1449</v>
      </c>
      <c r="F1050" s="20">
        <v>763966</v>
      </c>
    </row>
    <row r="1051" spans="1:6" ht="16" customHeight="1" x14ac:dyDescent="0.2">
      <c r="A1051">
        <f>IFERROR(VLOOKUP(C1051,'GASB Match'!$D$2:$F$6042,3,FALSE),"")</f>
        <v>3403610</v>
      </c>
      <c r="B1051" s="17">
        <v>2020</v>
      </c>
      <c r="C1051" s="21" t="s">
        <v>900</v>
      </c>
      <c r="D1051" s="17">
        <v>954</v>
      </c>
      <c r="E1051" s="17" t="s">
        <v>1449</v>
      </c>
      <c r="F1051" s="23">
        <v>978953</v>
      </c>
    </row>
    <row r="1052" spans="1:6" ht="16" customHeight="1" x14ac:dyDescent="0.2">
      <c r="A1052">
        <f>IFERROR(VLOOKUP(C1052,'GASB Match'!$D$2:$F$6042,3,FALSE),"")</f>
        <v>3403610</v>
      </c>
      <c r="B1052" s="17">
        <v>2021</v>
      </c>
      <c r="C1052" s="25" t="s">
        <v>900</v>
      </c>
      <c r="D1052" s="17">
        <v>954</v>
      </c>
      <c r="E1052" s="17" t="s">
        <v>1449</v>
      </c>
      <c r="F1052" s="23">
        <v>1626583</v>
      </c>
    </row>
    <row r="1053" spans="1:6" ht="16" customHeight="1" x14ac:dyDescent="0.2">
      <c r="A1053">
        <f>IFERROR(VLOOKUP(C1053,'GASB Match'!$D$2:$F$6042,3,FALSE),"")</f>
        <v>3403610</v>
      </c>
      <c r="B1053" s="17">
        <v>2022</v>
      </c>
      <c r="C1053" s="21" t="s">
        <v>900</v>
      </c>
      <c r="D1053" s="17">
        <v>954</v>
      </c>
      <c r="E1053" s="17" t="s">
        <v>1449</v>
      </c>
      <c r="F1053" s="23">
        <v>2474314</v>
      </c>
    </row>
    <row r="1054" spans="1:6" ht="16" customHeight="1" x14ac:dyDescent="0.2">
      <c r="A1054">
        <f>IFERROR(VLOOKUP(C1054,'GASB Match'!$D$2:$F$6042,3,FALSE),"")</f>
        <v>3403610</v>
      </c>
      <c r="B1054" s="17">
        <v>2023</v>
      </c>
      <c r="C1054" s="21" t="s">
        <v>900</v>
      </c>
      <c r="D1054" s="17">
        <v>954</v>
      </c>
      <c r="E1054" s="17" t="s">
        <v>1449</v>
      </c>
      <c r="F1054" s="23">
        <v>2655798</v>
      </c>
    </row>
    <row r="1055" spans="1:6" ht="16" customHeight="1" x14ac:dyDescent="0.2">
      <c r="A1055">
        <f>IFERROR(VLOOKUP(C1055,'GASB Match'!$D$2:$F$6042,3,FALSE),"")</f>
        <v>3403610</v>
      </c>
      <c r="B1055" s="28">
        <v>2017</v>
      </c>
      <c r="C1055" s="29" t="s">
        <v>214</v>
      </c>
      <c r="D1055" s="17">
        <v>954</v>
      </c>
      <c r="E1055" s="17" t="s">
        <v>1408</v>
      </c>
      <c r="F1055" s="29">
        <v>324056</v>
      </c>
    </row>
    <row r="1056" spans="1:6" ht="16" customHeight="1" x14ac:dyDescent="0.2">
      <c r="A1056" t="str">
        <f>IFERROR(VLOOKUP(C1056,'GASB Match'!$D$2:$F$6042,3,FALSE),"")</f>
        <v/>
      </c>
      <c r="B1056" s="17">
        <v>2015</v>
      </c>
      <c r="C1056" s="17" t="s">
        <v>1409</v>
      </c>
      <c r="D1056" s="17">
        <v>5080</v>
      </c>
      <c r="E1056" s="17" t="s">
        <v>1408</v>
      </c>
      <c r="F1056" s="20">
        <v>5352</v>
      </c>
    </row>
    <row r="1057" spans="1:6" ht="16" customHeight="1" x14ac:dyDescent="0.2">
      <c r="A1057" t="str">
        <f>IFERROR(VLOOKUP(C1057,'GASB Match'!$D$2:$F$6042,3,FALSE),"")</f>
        <v/>
      </c>
      <c r="B1057" s="17">
        <v>2016</v>
      </c>
      <c r="C1057" s="17" t="s">
        <v>1409</v>
      </c>
      <c r="D1057" s="17">
        <v>5080</v>
      </c>
      <c r="E1057" s="17" t="s">
        <v>1408</v>
      </c>
      <c r="F1057" s="20">
        <v>8001</v>
      </c>
    </row>
    <row r="1058" spans="1:6" ht="16" customHeight="1" x14ac:dyDescent="0.2">
      <c r="A1058" t="str">
        <f>IFERROR(VLOOKUP(C1058,'GASB Match'!$D$2:$F$6042,3,FALSE),"")</f>
        <v/>
      </c>
      <c r="B1058" s="17">
        <v>2018</v>
      </c>
      <c r="C1058" s="17" t="s">
        <v>1450</v>
      </c>
      <c r="D1058" s="17">
        <v>5080</v>
      </c>
      <c r="E1058" s="17" t="s">
        <v>1449</v>
      </c>
      <c r="F1058" s="20">
        <v>15082</v>
      </c>
    </row>
    <row r="1059" spans="1:6" ht="16" customHeight="1" x14ac:dyDescent="0.2">
      <c r="A1059" t="str">
        <f>IFERROR(VLOOKUP(C1059,'GASB Match'!$D$2:$F$6042,3,FALSE),"")</f>
        <v/>
      </c>
      <c r="B1059" s="17">
        <v>2019</v>
      </c>
      <c r="C1059" s="17" t="s">
        <v>1450</v>
      </c>
      <c r="D1059" s="17">
        <v>5080</v>
      </c>
      <c r="E1059" s="17" t="s">
        <v>1449</v>
      </c>
      <c r="F1059" s="20">
        <v>20074</v>
      </c>
    </row>
    <row r="1060" spans="1:6" ht="16" customHeight="1" x14ac:dyDescent="0.2">
      <c r="A1060" t="str">
        <f>IFERROR(VLOOKUP(C1060,'GASB Match'!$D$2:$F$6042,3,FALSE),"")</f>
        <v/>
      </c>
      <c r="B1060" s="17">
        <v>2020</v>
      </c>
      <c r="C1060" s="21" t="s">
        <v>1450</v>
      </c>
      <c r="D1060" s="17">
        <v>5080</v>
      </c>
      <c r="E1060" s="17" t="s">
        <v>1449</v>
      </c>
      <c r="F1060" s="23">
        <v>22786</v>
      </c>
    </row>
    <row r="1061" spans="1:6" ht="16" customHeight="1" x14ac:dyDescent="0.2">
      <c r="A1061" t="str">
        <f>IFERROR(VLOOKUP(C1061,'GASB Match'!$D$2:$F$6042,3,FALSE),"")</f>
        <v/>
      </c>
      <c r="B1061" s="28">
        <v>2017</v>
      </c>
      <c r="C1061" s="29" t="s">
        <v>1409</v>
      </c>
      <c r="D1061" s="17">
        <v>5080</v>
      </c>
      <c r="E1061" s="17" t="s">
        <v>1408</v>
      </c>
      <c r="F1061" s="29">
        <v>11347</v>
      </c>
    </row>
    <row r="1062" spans="1:6" ht="16" customHeight="1" x14ac:dyDescent="0.2">
      <c r="A1062">
        <f>IFERROR(VLOOKUP(C1062,'GASB Match'!$D$2:$F$6042,3,FALSE),"")</f>
        <v>3403620</v>
      </c>
      <c r="B1062" s="17">
        <v>2015</v>
      </c>
      <c r="C1062" s="17" t="s">
        <v>215</v>
      </c>
      <c r="D1062" s="17">
        <v>5089</v>
      </c>
      <c r="E1062" s="17" t="s">
        <v>1408</v>
      </c>
      <c r="F1062" s="20">
        <v>408410</v>
      </c>
    </row>
    <row r="1063" spans="1:6" ht="16" customHeight="1" x14ac:dyDescent="0.2">
      <c r="A1063">
        <f>IFERROR(VLOOKUP(C1063,'GASB Match'!$D$2:$F$6042,3,FALSE),"")</f>
        <v>3403620</v>
      </c>
      <c r="B1063" s="17">
        <v>2016</v>
      </c>
      <c r="C1063" s="17" t="s">
        <v>215</v>
      </c>
      <c r="D1063" s="17">
        <v>5089</v>
      </c>
      <c r="E1063" s="17" t="s">
        <v>1408</v>
      </c>
      <c r="F1063" s="20">
        <v>632819</v>
      </c>
    </row>
    <row r="1064" spans="1:6" ht="16" customHeight="1" x14ac:dyDescent="0.2">
      <c r="A1064">
        <f>IFERROR(VLOOKUP(C1064,'GASB Match'!$D$2:$F$6042,3,FALSE),"")</f>
        <v>3403620</v>
      </c>
      <c r="B1064" s="17">
        <v>2018</v>
      </c>
      <c r="C1064" s="17" t="s">
        <v>901</v>
      </c>
      <c r="D1064" s="17">
        <v>5089</v>
      </c>
      <c r="E1064" s="17" t="s">
        <v>1449</v>
      </c>
      <c r="F1064" s="20">
        <v>1083195</v>
      </c>
    </row>
    <row r="1065" spans="1:6" ht="16" customHeight="1" x14ac:dyDescent="0.2">
      <c r="A1065">
        <f>IFERROR(VLOOKUP(C1065,'GASB Match'!$D$2:$F$6042,3,FALSE),"")</f>
        <v>3403620</v>
      </c>
      <c r="B1065" s="17">
        <v>2019</v>
      </c>
      <c r="C1065" s="17" t="s">
        <v>901</v>
      </c>
      <c r="D1065" s="17">
        <v>5089</v>
      </c>
      <c r="E1065" s="17" t="s">
        <v>1449</v>
      </c>
      <c r="F1065" s="20">
        <v>1420350</v>
      </c>
    </row>
    <row r="1066" spans="1:6" ht="16" customHeight="1" x14ac:dyDescent="0.2">
      <c r="A1066">
        <f>IFERROR(VLOOKUP(C1066,'GASB Match'!$D$2:$F$6042,3,FALSE),"")</f>
        <v>3403620</v>
      </c>
      <c r="B1066" s="17">
        <v>2020</v>
      </c>
      <c r="C1066" s="21" t="s">
        <v>901</v>
      </c>
      <c r="D1066" s="17">
        <v>5089</v>
      </c>
      <c r="E1066" s="17" t="s">
        <v>1449</v>
      </c>
      <c r="F1066" s="23">
        <v>1555987</v>
      </c>
    </row>
    <row r="1067" spans="1:6" ht="16" customHeight="1" x14ac:dyDescent="0.2">
      <c r="A1067">
        <f>IFERROR(VLOOKUP(C1067,'GASB Match'!$D$2:$F$6042,3,FALSE),"")</f>
        <v>3403620</v>
      </c>
      <c r="B1067" s="17">
        <v>2021</v>
      </c>
      <c r="C1067" s="25" t="s">
        <v>901</v>
      </c>
      <c r="D1067" s="17">
        <v>5089</v>
      </c>
      <c r="E1067" s="17" t="s">
        <v>1449</v>
      </c>
      <c r="F1067" s="23">
        <v>1960769</v>
      </c>
    </row>
    <row r="1068" spans="1:6" ht="16" customHeight="1" x14ac:dyDescent="0.2">
      <c r="A1068">
        <f>IFERROR(VLOOKUP(C1068,'GASB Match'!$D$2:$F$6042,3,FALSE),"")</f>
        <v>3403620</v>
      </c>
      <c r="B1068" s="17">
        <v>2022</v>
      </c>
      <c r="C1068" s="21" t="s">
        <v>901</v>
      </c>
      <c r="D1068" s="17">
        <v>5089</v>
      </c>
      <c r="E1068" s="17" t="s">
        <v>1449</v>
      </c>
      <c r="F1068" s="23">
        <v>2727194</v>
      </c>
    </row>
    <row r="1069" spans="1:6" ht="16" customHeight="1" x14ac:dyDescent="0.2">
      <c r="A1069">
        <f>IFERROR(VLOOKUP(C1069,'GASB Match'!$D$2:$F$6042,3,FALSE),"")</f>
        <v>3403620</v>
      </c>
      <c r="B1069" s="17">
        <v>2023</v>
      </c>
      <c r="C1069" s="21" t="s">
        <v>901</v>
      </c>
      <c r="D1069" s="17">
        <v>5089</v>
      </c>
      <c r="E1069" s="17" t="s">
        <v>1449</v>
      </c>
      <c r="F1069" s="23">
        <v>2806260</v>
      </c>
    </row>
    <row r="1070" spans="1:6" ht="16" customHeight="1" x14ac:dyDescent="0.2">
      <c r="A1070">
        <f>IFERROR(VLOOKUP(C1070,'GASB Match'!$D$2:$F$6042,3,FALSE),"")</f>
        <v>3403620</v>
      </c>
      <c r="B1070" s="28">
        <v>2017</v>
      </c>
      <c r="C1070" s="29" t="s">
        <v>215</v>
      </c>
      <c r="D1070" s="17">
        <v>5089</v>
      </c>
      <c r="E1070" s="17" t="s">
        <v>1408</v>
      </c>
      <c r="F1070" s="29">
        <v>860242</v>
      </c>
    </row>
    <row r="1071" spans="1:6" ht="16" customHeight="1" x14ac:dyDescent="0.2">
      <c r="A1071">
        <f>IFERROR(VLOOKUP(C1071,'GASB Match'!$D$2:$F$6042,3,FALSE),"")</f>
        <v>3400081</v>
      </c>
      <c r="B1071" s="17">
        <v>2015</v>
      </c>
      <c r="C1071" s="17" t="s">
        <v>165</v>
      </c>
      <c r="D1071" s="17">
        <v>4021</v>
      </c>
      <c r="E1071" s="17" t="s">
        <v>1405</v>
      </c>
      <c r="F1071" s="20">
        <v>171630</v>
      </c>
    </row>
    <row r="1072" spans="1:6" ht="16" customHeight="1" x14ac:dyDescent="0.2">
      <c r="A1072">
        <f>IFERROR(VLOOKUP(C1072,'GASB Match'!$D$2:$F$6042,3,FALSE),"")</f>
        <v>3400081</v>
      </c>
      <c r="B1072" s="17">
        <v>2016</v>
      </c>
      <c r="C1072" s="17" t="s">
        <v>165</v>
      </c>
      <c r="D1072" s="17">
        <v>4021</v>
      </c>
      <c r="E1072" s="17" t="s">
        <v>1405</v>
      </c>
      <c r="F1072" s="20">
        <v>275038</v>
      </c>
    </row>
    <row r="1073" spans="1:6" ht="16" customHeight="1" x14ac:dyDescent="0.2">
      <c r="A1073">
        <f>IFERROR(VLOOKUP(C1073,'GASB Match'!$D$2:$F$6042,3,FALSE),"")</f>
        <v>3400081</v>
      </c>
      <c r="B1073" s="17">
        <v>2018</v>
      </c>
      <c r="C1073" s="17" t="s">
        <v>848</v>
      </c>
      <c r="D1073" s="17">
        <v>4021</v>
      </c>
      <c r="E1073" s="17" t="s">
        <v>1446</v>
      </c>
      <c r="F1073" s="20">
        <v>123199</v>
      </c>
    </row>
    <row r="1074" spans="1:6" ht="16" customHeight="1" x14ac:dyDescent="0.2">
      <c r="A1074">
        <f>IFERROR(VLOOKUP(C1074,'GASB Match'!$D$2:$F$6042,3,FALSE),"")</f>
        <v>3400081</v>
      </c>
      <c r="B1074" s="28">
        <v>2017</v>
      </c>
      <c r="C1074" s="29" t="s">
        <v>165</v>
      </c>
      <c r="D1074" s="17">
        <v>4021</v>
      </c>
      <c r="E1074" s="17" t="s">
        <v>1405</v>
      </c>
      <c r="F1074" s="29">
        <v>189814</v>
      </c>
    </row>
    <row r="1075" spans="1:6" ht="16" customHeight="1" x14ac:dyDescent="0.2">
      <c r="A1075">
        <f>IFERROR(VLOOKUP(C1075,'GASB Match'!$D$2:$F$6042,3,FALSE),"")</f>
        <v>3403630</v>
      </c>
      <c r="B1075" s="17">
        <v>2015</v>
      </c>
      <c r="C1075" s="17" t="s">
        <v>408</v>
      </c>
      <c r="D1075" s="17">
        <v>364</v>
      </c>
      <c r="E1075" s="17" t="s">
        <v>1420</v>
      </c>
      <c r="F1075" s="20">
        <v>63719</v>
      </c>
    </row>
    <row r="1076" spans="1:6" ht="16" customHeight="1" x14ac:dyDescent="0.2">
      <c r="A1076">
        <f>IFERROR(VLOOKUP(C1076,'GASB Match'!$D$2:$F$6042,3,FALSE),"")</f>
        <v>3403630</v>
      </c>
      <c r="B1076" s="17">
        <v>2016</v>
      </c>
      <c r="C1076" s="17" t="s">
        <v>408</v>
      </c>
      <c r="D1076" s="17">
        <v>364</v>
      </c>
      <c r="E1076" s="17" t="s">
        <v>1420</v>
      </c>
      <c r="F1076" s="19">
        <v>114725</v>
      </c>
    </row>
    <row r="1077" spans="1:6" ht="16" customHeight="1" x14ac:dyDescent="0.2">
      <c r="A1077">
        <f>IFERROR(VLOOKUP(C1077,'GASB Match'!$D$2:$F$6042,3,FALSE),"")</f>
        <v>3403630</v>
      </c>
      <c r="B1077" s="17">
        <v>2018</v>
      </c>
      <c r="C1077" s="17" t="s">
        <v>1100</v>
      </c>
      <c r="D1077" s="17">
        <v>364</v>
      </c>
      <c r="E1077" s="17" t="s">
        <v>1463</v>
      </c>
      <c r="F1077" s="20">
        <v>204359</v>
      </c>
    </row>
    <row r="1078" spans="1:6" ht="16" customHeight="1" x14ac:dyDescent="0.2">
      <c r="A1078">
        <f>IFERROR(VLOOKUP(C1078,'GASB Match'!$D$2:$F$6042,3,FALSE),"")</f>
        <v>3403630</v>
      </c>
      <c r="B1078" s="17">
        <v>2019</v>
      </c>
      <c r="C1078" s="17" t="s">
        <v>1100</v>
      </c>
      <c r="D1078" s="17">
        <v>364</v>
      </c>
      <c r="E1078" s="17" t="s">
        <v>1463</v>
      </c>
      <c r="F1078" s="20">
        <v>264276</v>
      </c>
    </row>
    <row r="1079" spans="1:6" ht="16" customHeight="1" x14ac:dyDescent="0.2">
      <c r="A1079">
        <f>IFERROR(VLOOKUP(C1079,'GASB Match'!$D$2:$F$6042,3,FALSE),"")</f>
        <v>3403630</v>
      </c>
      <c r="B1079" s="17">
        <v>2020</v>
      </c>
      <c r="C1079" s="21" t="s">
        <v>1100</v>
      </c>
      <c r="D1079" s="17">
        <v>364</v>
      </c>
      <c r="E1079" s="17" t="s">
        <v>1463</v>
      </c>
      <c r="F1079" s="23">
        <v>322492</v>
      </c>
    </row>
    <row r="1080" spans="1:6" ht="16" customHeight="1" x14ac:dyDescent="0.2">
      <c r="A1080">
        <f>IFERROR(VLOOKUP(C1080,'GASB Match'!$D$2:$F$6042,3,FALSE),"")</f>
        <v>3403630</v>
      </c>
      <c r="B1080" s="17">
        <v>2021</v>
      </c>
      <c r="C1080" s="25" t="s">
        <v>1100</v>
      </c>
      <c r="D1080" s="17">
        <v>364</v>
      </c>
      <c r="E1080" s="17" t="s">
        <v>1463</v>
      </c>
      <c r="F1080" s="23">
        <v>415010</v>
      </c>
    </row>
    <row r="1081" spans="1:6" ht="16" customHeight="1" x14ac:dyDescent="0.2">
      <c r="A1081">
        <f>IFERROR(VLOOKUP(C1081,'GASB Match'!$D$2:$F$6042,3,FALSE),"")</f>
        <v>3403630</v>
      </c>
      <c r="B1081" s="17">
        <v>2022</v>
      </c>
      <c r="C1081" s="21" t="s">
        <v>1100</v>
      </c>
      <c r="D1081" s="17">
        <v>364</v>
      </c>
      <c r="E1081" s="17" t="s">
        <v>1463</v>
      </c>
      <c r="F1081" s="23">
        <v>593616</v>
      </c>
    </row>
    <row r="1082" spans="1:6" ht="16" customHeight="1" x14ac:dyDescent="0.2">
      <c r="A1082">
        <f>IFERROR(VLOOKUP(C1082,'GASB Match'!$D$2:$F$6042,3,FALSE),"")</f>
        <v>3403630</v>
      </c>
      <c r="B1082" s="17">
        <v>2023</v>
      </c>
      <c r="C1082" s="21" t="s">
        <v>1100</v>
      </c>
      <c r="D1082" s="17">
        <v>364</v>
      </c>
      <c r="E1082" s="17" t="s">
        <v>1463</v>
      </c>
      <c r="F1082" s="23">
        <v>591363</v>
      </c>
    </row>
    <row r="1083" spans="1:6" ht="16" customHeight="1" x14ac:dyDescent="0.2">
      <c r="A1083">
        <f>IFERROR(VLOOKUP(C1083,'GASB Match'!$D$2:$F$6042,3,FALSE),"")</f>
        <v>3403630</v>
      </c>
      <c r="B1083" s="28">
        <v>2017</v>
      </c>
      <c r="C1083" s="29" t="s">
        <v>408</v>
      </c>
      <c r="D1083" s="17">
        <v>364</v>
      </c>
      <c r="E1083" s="17" t="s">
        <v>1420</v>
      </c>
      <c r="F1083" s="29">
        <v>142814</v>
      </c>
    </row>
    <row r="1084" spans="1:6" ht="16" customHeight="1" x14ac:dyDescent="0.2">
      <c r="A1084">
        <f>IFERROR(VLOOKUP(C1084,'GASB Match'!$D$2:$F$6042,3,FALSE),"")</f>
        <v>3403660</v>
      </c>
      <c r="B1084" s="17">
        <v>2015</v>
      </c>
      <c r="C1084" s="17" t="s">
        <v>216</v>
      </c>
      <c r="D1084" s="17">
        <v>5082</v>
      </c>
      <c r="E1084" s="17" t="s">
        <v>1408</v>
      </c>
      <c r="F1084" s="20">
        <v>113543</v>
      </c>
    </row>
    <row r="1085" spans="1:6" ht="16" customHeight="1" x14ac:dyDescent="0.2">
      <c r="A1085">
        <f>IFERROR(VLOOKUP(C1085,'GASB Match'!$D$2:$F$6042,3,FALSE),"")</f>
        <v>3403660</v>
      </c>
      <c r="B1085" s="17">
        <v>2016</v>
      </c>
      <c r="C1085" s="17" t="s">
        <v>216</v>
      </c>
      <c r="D1085" s="17">
        <v>5082</v>
      </c>
      <c r="E1085" s="17" t="s">
        <v>1408</v>
      </c>
      <c r="F1085" s="20">
        <v>162216</v>
      </c>
    </row>
    <row r="1086" spans="1:6" ht="16" customHeight="1" x14ac:dyDescent="0.2">
      <c r="A1086">
        <f>IFERROR(VLOOKUP(C1086,'GASB Match'!$D$2:$F$6042,3,FALSE),"")</f>
        <v>3403660</v>
      </c>
      <c r="B1086" s="17">
        <v>2018</v>
      </c>
      <c r="C1086" s="17" t="s">
        <v>902</v>
      </c>
      <c r="D1086" s="17">
        <v>5082</v>
      </c>
      <c r="E1086" s="17" t="s">
        <v>1449</v>
      </c>
      <c r="F1086" s="20">
        <v>350696</v>
      </c>
    </row>
    <row r="1087" spans="1:6" ht="16" customHeight="1" x14ac:dyDescent="0.2">
      <c r="A1087">
        <f>IFERROR(VLOOKUP(C1087,'GASB Match'!$D$2:$F$6042,3,FALSE),"")</f>
        <v>3403660</v>
      </c>
      <c r="B1087" s="17">
        <v>2019</v>
      </c>
      <c r="C1087" s="17" t="s">
        <v>902</v>
      </c>
      <c r="D1087" s="17">
        <v>5082</v>
      </c>
      <c r="E1087" s="17" t="s">
        <v>1449</v>
      </c>
      <c r="F1087" s="20">
        <v>457477</v>
      </c>
    </row>
    <row r="1088" spans="1:6" ht="16" customHeight="1" x14ac:dyDescent="0.2">
      <c r="A1088">
        <f>IFERROR(VLOOKUP(C1088,'GASB Match'!$D$2:$F$6042,3,FALSE),"")</f>
        <v>3403660</v>
      </c>
      <c r="B1088" s="17">
        <v>2020</v>
      </c>
      <c r="C1088" s="21" t="s">
        <v>902</v>
      </c>
      <c r="D1088" s="17">
        <v>5082</v>
      </c>
      <c r="E1088" s="17" t="s">
        <v>1449</v>
      </c>
      <c r="F1088" s="23">
        <v>536328</v>
      </c>
    </row>
    <row r="1089" spans="1:6" ht="16" customHeight="1" x14ac:dyDescent="0.2">
      <c r="A1089">
        <f>IFERROR(VLOOKUP(C1089,'GASB Match'!$D$2:$F$6042,3,FALSE),"")</f>
        <v>3403660</v>
      </c>
      <c r="B1089" s="17">
        <v>2021</v>
      </c>
      <c r="C1089" s="25" t="s">
        <v>902</v>
      </c>
      <c r="D1089" s="17">
        <v>5082</v>
      </c>
      <c r="E1089" s="17" t="s">
        <v>1449</v>
      </c>
      <c r="F1089" s="23">
        <v>678407</v>
      </c>
    </row>
    <row r="1090" spans="1:6" ht="16" customHeight="1" x14ac:dyDescent="0.2">
      <c r="A1090">
        <f>IFERROR(VLOOKUP(C1090,'GASB Match'!$D$2:$F$6042,3,FALSE),"")</f>
        <v>3403660</v>
      </c>
      <c r="B1090" s="17">
        <v>2022</v>
      </c>
      <c r="C1090" s="21" t="s">
        <v>902</v>
      </c>
      <c r="D1090" s="17">
        <v>5082</v>
      </c>
      <c r="E1090" s="17" t="s">
        <v>1449</v>
      </c>
      <c r="F1090" s="23">
        <v>826456</v>
      </c>
    </row>
    <row r="1091" spans="1:6" ht="16" customHeight="1" x14ac:dyDescent="0.2">
      <c r="A1091">
        <f>IFERROR(VLOOKUP(C1091,'GASB Match'!$D$2:$F$6042,3,FALSE),"")</f>
        <v>3403660</v>
      </c>
      <c r="B1091" s="17">
        <v>2023</v>
      </c>
      <c r="C1091" s="21" t="s">
        <v>902</v>
      </c>
      <c r="D1091" s="17">
        <v>5082</v>
      </c>
      <c r="E1091" s="17" t="s">
        <v>1449</v>
      </c>
      <c r="F1091" s="23">
        <v>755451</v>
      </c>
    </row>
    <row r="1092" spans="1:6" ht="16" customHeight="1" x14ac:dyDescent="0.2">
      <c r="A1092">
        <f>IFERROR(VLOOKUP(C1092,'GASB Match'!$D$2:$F$6042,3,FALSE),"")</f>
        <v>3403660</v>
      </c>
      <c r="B1092" s="28">
        <v>2017</v>
      </c>
      <c r="C1092" s="29" t="s">
        <v>216</v>
      </c>
      <c r="D1092" s="17">
        <v>5082</v>
      </c>
      <c r="E1092" s="17" t="s">
        <v>1408</v>
      </c>
      <c r="F1092" s="29">
        <v>252972</v>
      </c>
    </row>
    <row r="1093" spans="1:6" ht="16" customHeight="1" x14ac:dyDescent="0.2">
      <c r="A1093">
        <f>IFERROR(VLOOKUP(C1093,'GASB Match'!$D$2:$F$6042,3,FALSE),"")</f>
        <v>3403690</v>
      </c>
      <c r="B1093" s="17">
        <v>2015</v>
      </c>
      <c r="C1093" s="17" t="s">
        <v>115</v>
      </c>
      <c r="D1093" s="17">
        <v>3053</v>
      </c>
      <c r="E1093" s="17" t="s">
        <v>1404</v>
      </c>
      <c r="F1093" s="20">
        <v>133409</v>
      </c>
    </row>
    <row r="1094" spans="1:6" ht="16" customHeight="1" x14ac:dyDescent="0.2">
      <c r="A1094">
        <f>IFERROR(VLOOKUP(C1094,'GASB Match'!$D$2:$F$6042,3,FALSE),"")</f>
        <v>3403690</v>
      </c>
      <c r="B1094" s="17">
        <v>2016</v>
      </c>
      <c r="C1094" s="17" t="s">
        <v>115</v>
      </c>
      <c r="D1094" s="17">
        <v>3053</v>
      </c>
      <c r="E1094" s="17" t="s">
        <v>1404</v>
      </c>
      <c r="F1094" s="20">
        <v>184083</v>
      </c>
    </row>
    <row r="1095" spans="1:6" ht="16" customHeight="1" x14ac:dyDescent="0.2">
      <c r="A1095">
        <f>IFERROR(VLOOKUP(C1095,'GASB Match'!$D$2:$F$6042,3,FALSE),"")</f>
        <v>3403690</v>
      </c>
      <c r="B1095" s="17">
        <v>2018</v>
      </c>
      <c r="C1095" s="17" t="s">
        <v>796</v>
      </c>
      <c r="D1095" s="17">
        <v>3053</v>
      </c>
      <c r="E1095" s="17" t="s">
        <v>1445</v>
      </c>
      <c r="F1095" s="20">
        <v>379736</v>
      </c>
    </row>
    <row r="1096" spans="1:6" ht="16" customHeight="1" x14ac:dyDescent="0.2">
      <c r="A1096">
        <f>IFERROR(VLOOKUP(C1096,'GASB Match'!$D$2:$F$6042,3,FALSE),"")</f>
        <v>3403690</v>
      </c>
      <c r="B1096" s="17">
        <v>2019</v>
      </c>
      <c r="C1096" s="17" t="s">
        <v>796</v>
      </c>
      <c r="D1096" s="17">
        <v>3053</v>
      </c>
      <c r="E1096" s="17" t="s">
        <v>1445</v>
      </c>
      <c r="F1096" s="20">
        <v>494431</v>
      </c>
    </row>
    <row r="1097" spans="1:6" ht="16" customHeight="1" x14ac:dyDescent="0.2">
      <c r="A1097">
        <f>IFERROR(VLOOKUP(C1097,'GASB Match'!$D$2:$F$6042,3,FALSE),"")</f>
        <v>3403690</v>
      </c>
      <c r="B1097" s="17">
        <v>2020</v>
      </c>
      <c r="C1097" s="21" t="s">
        <v>796</v>
      </c>
      <c r="D1097" s="17">
        <v>3053</v>
      </c>
      <c r="E1097" s="17" t="s">
        <v>1445</v>
      </c>
      <c r="F1097" s="23">
        <v>575671</v>
      </c>
    </row>
    <row r="1098" spans="1:6" ht="16" customHeight="1" x14ac:dyDescent="0.2">
      <c r="A1098">
        <f>IFERROR(VLOOKUP(C1098,'GASB Match'!$D$2:$F$6042,3,FALSE),"")</f>
        <v>3403690</v>
      </c>
      <c r="B1098" s="17">
        <v>2021</v>
      </c>
      <c r="C1098" s="25" t="s">
        <v>796</v>
      </c>
      <c r="D1098" s="17">
        <v>3053</v>
      </c>
      <c r="E1098" s="17" t="s">
        <v>1445</v>
      </c>
      <c r="F1098" s="23">
        <v>742594</v>
      </c>
    </row>
    <row r="1099" spans="1:6" ht="16" customHeight="1" x14ac:dyDescent="0.2">
      <c r="A1099">
        <f>IFERROR(VLOOKUP(C1099,'GASB Match'!$D$2:$F$6042,3,FALSE),"")</f>
        <v>3403690</v>
      </c>
      <c r="B1099" s="17">
        <v>2022</v>
      </c>
      <c r="C1099" s="21" t="s">
        <v>796</v>
      </c>
      <c r="D1099" s="17">
        <v>3053</v>
      </c>
      <c r="E1099" s="17" t="s">
        <v>1445</v>
      </c>
      <c r="F1099" s="23">
        <v>965886</v>
      </c>
    </row>
    <row r="1100" spans="1:6" ht="16" customHeight="1" x14ac:dyDescent="0.2">
      <c r="A1100">
        <f>IFERROR(VLOOKUP(C1100,'GASB Match'!$D$2:$F$6042,3,FALSE),"")</f>
        <v>3403690</v>
      </c>
      <c r="B1100" s="17">
        <v>2023</v>
      </c>
      <c r="C1100" s="21" t="s">
        <v>796</v>
      </c>
      <c r="D1100" s="17">
        <v>3053</v>
      </c>
      <c r="E1100" s="17" t="s">
        <v>1445</v>
      </c>
      <c r="F1100" s="23">
        <v>844331</v>
      </c>
    </row>
    <row r="1101" spans="1:6" ht="16" customHeight="1" x14ac:dyDescent="0.2">
      <c r="A1101">
        <f>IFERROR(VLOOKUP(C1101,'GASB Match'!$D$2:$F$6042,3,FALSE),"")</f>
        <v>3403690</v>
      </c>
      <c r="B1101" s="28">
        <v>2017</v>
      </c>
      <c r="C1101" s="29" t="s">
        <v>115</v>
      </c>
      <c r="D1101" s="17">
        <v>3053</v>
      </c>
      <c r="E1101" s="17" t="s">
        <v>1404</v>
      </c>
      <c r="F1101" s="29">
        <v>264208</v>
      </c>
    </row>
    <row r="1102" spans="1:6" ht="16" customHeight="1" x14ac:dyDescent="0.2">
      <c r="A1102">
        <f>IFERROR(VLOOKUP(C1102,'GASB Match'!$D$2:$F$6042,3,FALSE),"")</f>
        <v>3403720</v>
      </c>
      <c r="B1102" s="17">
        <v>2015</v>
      </c>
      <c r="C1102" s="17" t="s">
        <v>331</v>
      </c>
      <c r="D1102" s="17">
        <v>9017</v>
      </c>
      <c r="E1102" s="17" t="s">
        <v>1415</v>
      </c>
      <c r="F1102" s="20">
        <v>202697</v>
      </c>
    </row>
    <row r="1103" spans="1:6" ht="16" customHeight="1" x14ac:dyDescent="0.2">
      <c r="A1103">
        <f>IFERROR(VLOOKUP(C1103,'GASB Match'!$D$2:$F$6042,3,FALSE),"")</f>
        <v>3403720</v>
      </c>
      <c r="B1103" s="17">
        <v>2016</v>
      </c>
      <c r="C1103" s="17" t="s">
        <v>331</v>
      </c>
      <c r="D1103" s="17">
        <v>9017</v>
      </c>
      <c r="E1103" s="17" t="s">
        <v>1415</v>
      </c>
      <c r="F1103" s="20">
        <v>298048</v>
      </c>
    </row>
    <row r="1104" spans="1:6" ht="16" customHeight="1" x14ac:dyDescent="0.2">
      <c r="A1104">
        <f>IFERROR(VLOOKUP(C1104,'GASB Match'!$D$2:$F$6042,3,FALSE),"")</f>
        <v>3403720</v>
      </c>
      <c r="B1104" s="17">
        <v>2018</v>
      </c>
      <c r="C1104" s="17" t="s">
        <v>1024</v>
      </c>
      <c r="D1104" s="17">
        <v>9017</v>
      </c>
      <c r="E1104" s="17" t="s">
        <v>1458</v>
      </c>
      <c r="F1104" s="20">
        <v>521941</v>
      </c>
    </row>
    <row r="1105" spans="1:6" ht="16" customHeight="1" x14ac:dyDescent="0.2">
      <c r="A1105">
        <f>IFERROR(VLOOKUP(C1105,'GASB Match'!$D$2:$F$6042,3,FALSE),"")</f>
        <v>3403720</v>
      </c>
      <c r="B1105" s="17">
        <v>2019</v>
      </c>
      <c r="C1105" s="17" t="s">
        <v>1024</v>
      </c>
      <c r="D1105" s="17">
        <v>9017</v>
      </c>
      <c r="E1105" s="17" t="s">
        <v>1458</v>
      </c>
      <c r="F1105" s="20">
        <v>664946</v>
      </c>
    </row>
    <row r="1106" spans="1:6" ht="16" customHeight="1" x14ac:dyDescent="0.2">
      <c r="A1106">
        <f>IFERROR(VLOOKUP(C1106,'GASB Match'!$D$2:$F$6042,3,FALSE),"")</f>
        <v>3403720</v>
      </c>
      <c r="B1106" s="17">
        <v>2020</v>
      </c>
      <c r="C1106" s="21" t="s">
        <v>1024</v>
      </c>
      <c r="D1106" s="17">
        <v>9017</v>
      </c>
      <c r="E1106" s="17" t="s">
        <v>1458</v>
      </c>
      <c r="F1106" s="23">
        <v>755331</v>
      </c>
    </row>
    <row r="1107" spans="1:6" ht="16" customHeight="1" x14ac:dyDescent="0.2">
      <c r="A1107">
        <f>IFERROR(VLOOKUP(C1107,'GASB Match'!$D$2:$F$6042,3,FALSE),"")</f>
        <v>3403720</v>
      </c>
      <c r="B1107" s="17">
        <v>2021</v>
      </c>
      <c r="C1107" s="25" t="s">
        <v>1024</v>
      </c>
      <c r="D1107" s="17">
        <v>9017</v>
      </c>
      <c r="E1107" s="17" t="s">
        <v>1458</v>
      </c>
      <c r="F1107" s="23">
        <v>1008632</v>
      </c>
    </row>
    <row r="1108" spans="1:6" ht="16" customHeight="1" x14ac:dyDescent="0.2">
      <c r="A1108">
        <f>IFERROR(VLOOKUP(C1108,'GASB Match'!$D$2:$F$6042,3,FALSE),"")</f>
        <v>3403720</v>
      </c>
      <c r="B1108" s="17">
        <v>2022</v>
      </c>
      <c r="C1108" s="21" t="s">
        <v>1024</v>
      </c>
      <c r="D1108" s="17">
        <v>9017</v>
      </c>
      <c r="E1108" s="17" t="s">
        <v>1458</v>
      </c>
      <c r="F1108" s="23">
        <v>1437064</v>
      </c>
    </row>
    <row r="1109" spans="1:6" ht="16" customHeight="1" x14ac:dyDescent="0.2">
      <c r="A1109">
        <f>IFERROR(VLOOKUP(C1109,'GASB Match'!$D$2:$F$6042,3,FALSE),"")</f>
        <v>3403720</v>
      </c>
      <c r="B1109" s="17">
        <v>2023</v>
      </c>
      <c r="C1109" s="21" t="s">
        <v>1024</v>
      </c>
      <c r="D1109" s="17">
        <v>9017</v>
      </c>
      <c r="E1109" s="17" t="s">
        <v>1458</v>
      </c>
      <c r="F1109" s="23">
        <v>1541465</v>
      </c>
    </row>
    <row r="1110" spans="1:6" ht="16" customHeight="1" x14ac:dyDescent="0.2">
      <c r="A1110">
        <f>IFERROR(VLOOKUP(C1110,'GASB Match'!$D$2:$F$6042,3,FALSE),"")</f>
        <v>3403720</v>
      </c>
      <c r="B1110" s="28">
        <v>2017</v>
      </c>
      <c r="C1110" s="29" t="s">
        <v>331</v>
      </c>
      <c r="D1110" s="17">
        <v>9017</v>
      </c>
      <c r="E1110" s="17" t="s">
        <v>1415</v>
      </c>
      <c r="F1110" s="29">
        <v>410250</v>
      </c>
    </row>
    <row r="1111" spans="1:6" ht="16" customHeight="1" x14ac:dyDescent="0.2">
      <c r="A1111">
        <f>IFERROR(VLOOKUP(C1111,'GASB Match'!$D$2:$F$6042,3,FALSE),"")</f>
        <v>3403750</v>
      </c>
      <c r="B1111" s="17">
        <v>2015</v>
      </c>
      <c r="C1111" s="17" t="s">
        <v>332</v>
      </c>
      <c r="D1111" s="17">
        <v>9040</v>
      </c>
      <c r="E1111" s="17" t="s">
        <v>1415</v>
      </c>
      <c r="F1111" s="20">
        <v>356535</v>
      </c>
    </row>
    <row r="1112" spans="1:6" ht="16" customHeight="1" x14ac:dyDescent="0.2">
      <c r="A1112">
        <f>IFERROR(VLOOKUP(C1112,'GASB Match'!$D$2:$F$6042,3,FALSE),"")</f>
        <v>3403750</v>
      </c>
      <c r="B1112" s="17">
        <v>2016</v>
      </c>
      <c r="C1112" s="17" t="s">
        <v>332</v>
      </c>
      <c r="D1112" s="17">
        <v>9040</v>
      </c>
      <c r="E1112" s="17" t="s">
        <v>1415</v>
      </c>
      <c r="F1112" s="20">
        <v>514206</v>
      </c>
    </row>
    <row r="1113" spans="1:6" ht="16" customHeight="1" x14ac:dyDescent="0.2">
      <c r="A1113">
        <f>IFERROR(VLOOKUP(C1113,'GASB Match'!$D$2:$F$6042,3,FALSE),"")</f>
        <v>3403750</v>
      </c>
      <c r="B1113" s="17">
        <v>2018</v>
      </c>
      <c r="C1113" s="17" t="s">
        <v>1025</v>
      </c>
      <c r="D1113" s="17">
        <v>9040</v>
      </c>
      <c r="E1113" s="17" t="s">
        <v>1458</v>
      </c>
      <c r="F1113" s="20">
        <v>968610</v>
      </c>
    </row>
    <row r="1114" spans="1:6" ht="16" customHeight="1" x14ac:dyDescent="0.2">
      <c r="A1114">
        <f>IFERROR(VLOOKUP(C1114,'GASB Match'!$D$2:$F$6042,3,FALSE),"")</f>
        <v>3403750</v>
      </c>
      <c r="B1114" s="17">
        <v>2019</v>
      </c>
      <c r="C1114" s="17" t="s">
        <v>1025</v>
      </c>
      <c r="D1114" s="17">
        <v>9040</v>
      </c>
      <c r="E1114" s="17" t="s">
        <v>1458</v>
      </c>
      <c r="F1114" s="20">
        <v>1318151</v>
      </c>
    </row>
    <row r="1115" spans="1:6" ht="16" customHeight="1" x14ac:dyDescent="0.2">
      <c r="A1115">
        <f>IFERROR(VLOOKUP(C1115,'GASB Match'!$D$2:$F$6042,3,FALSE),"")</f>
        <v>3403750</v>
      </c>
      <c r="B1115" s="17">
        <v>2020</v>
      </c>
      <c r="C1115" s="21" t="s">
        <v>1025</v>
      </c>
      <c r="D1115" s="17">
        <v>9040</v>
      </c>
      <c r="E1115" s="17" t="s">
        <v>1458</v>
      </c>
      <c r="F1115" s="23">
        <v>1440791</v>
      </c>
    </row>
    <row r="1116" spans="1:6" ht="16" customHeight="1" x14ac:dyDescent="0.2">
      <c r="A1116">
        <f>IFERROR(VLOOKUP(C1116,'GASB Match'!$D$2:$F$6042,3,FALSE),"")</f>
        <v>3403750</v>
      </c>
      <c r="B1116" s="17">
        <v>2021</v>
      </c>
      <c r="C1116" s="25" t="s">
        <v>1025</v>
      </c>
      <c r="D1116" s="17">
        <v>9040</v>
      </c>
      <c r="E1116" s="17" t="s">
        <v>1458</v>
      </c>
      <c r="F1116" s="23">
        <v>1859230</v>
      </c>
    </row>
    <row r="1117" spans="1:6" ht="16" customHeight="1" x14ac:dyDescent="0.2">
      <c r="A1117">
        <f>IFERROR(VLOOKUP(C1117,'GASB Match'!$D$2:$F$6042,3,FALSE),"")</f>
        <v>3403750</v>
      </c>
      <c r="B1117" s="17">
        <v>2022</v>
      </c>
      <c r="C1117" s="21" t="s">
        <v>1025</v>
      </c>
      <c r="D1117" s="17">
        <v>9040</v>
      </c>
      <c r="E1117" s="17" t="s">
        <v>1458</v>
      </c>
      <c r="F1117" s="23">
        <v>2611157</v>
      </c>
    </row>
    <row r="1118" spans="1:6" ht="16" customHeight="1" x14ac:dyDescent="0.2">
      <c r="A1118">
        <f>IFERROR(VLOOKUP(C1118,'GASB Match'!$D$2:$F$6042,3,FALSE),"")</f>
        <v>3403750</v>
      </c>
      <c r="B1118" s="17">
        <v>2023</v>
      </c>
      <c r="C1118" s="21" t="s">
        <v>1025</v>
      </c>
      <c r="D1118" s="17">
        <v>9040</v>
      </c>
      <c r="E1118" s="17" t="s">
        <v>1458</v>
      </c>
      <c r="F1118" s="23">
        <v>2521007</v>
      </c>
    </row>
    <row r="1119" spans="1:6" ht="16" customHeight="1" x14ac:dyDescent="0.2">
      <c r="A1119">
        <f>IFERROR(VLOOKUP(C1119,'GASB Match'!$D$2:$F$6042,3,FALSE),"")</f>
        <v>3403750</v>
      </c>
      <c r="B1119" s="28">
        <v>2017</v>
      </c>
      <c r="C1119" s="29" t="s">
        <v>332</v>
      </c>
      <c r="D1119" s="17">
        <v>9040</v>
      </c>
      <c r="E1119" s="17" t="s">
        <v>1415</v>
      </c>
      <c r="F1119" s="29">
        <v>721352</v>
      </c>
    </row>
    <row r="1120" spans="1:6" ht="16" customHeight="1" x14ac:dyDescent="0.2">
      <c r="A1120">
        <f>IFERROR(VLOOKUP(C1120,'GASB Match'!$D$2:$F$6042,3,FALSE),"")</f>
        <v>3403780</v>
      </c>
      <c r="B1120" s="17">
        <v>2015</v>
      </c>
      <c r="C1120" s="17" t="s">
        <v>116</v>
      </c>
      <c r="D1120" s="17">
        <v>3018</v>
      </c>
      <c r="E1120" s="17" t="s">
        <v>1404</v>
      </c>
      <c r="F1120" s="20">
        <v>900058</v>
      </c>
    </row>
    <row r="1121" spans="1:6" ht="16" customHeight="1" x14ac:dyDescent="0.2">
      <c r="A1121">
        <f>IFERROR(VLOOKUP(C1121,'GASB Match'!$D$2:$F$6042,3,FALSE),"")</f>
        <v>3403780</v>
      </c>
      <c r="B1121" s="17">
        <v>2016</v>
      </c>
      <c r="C1121" s="17" t="s">
        <v>116</v>
      </c>
      <c r="D1121" s="17">
        <v>3018</v>
      </c>
      <c r="E1121" s="17" t="s">
        <v>1404</v>
      </c>
      <c r="F1121" s="20">
        <v>1385951</v>
      </c>
    </row>
    <row r="1122" spans="1:6" ht="16" customHeight="1" x14ac:dyDescent="0.2">
      <c r="A1122">
        <f>IFERROR(VLOOKUP(C1122,'GASB Match'!$D$2:$F$6042,3,FALSE),"")</f>
        <v>3403780</v>
      </c>
      <c r="B1122" s="17">
        <v>2018</v>
      </c>
      <c r="C1122" s="17" t="s">
        <v>797</v>
      </c>
      <c r="D1122" s="17">
        <v>3018</v>
      </c>
      <c r="E1122" s="17" t="s">
        <v>1445</v>
      </c>
      <c r="F1122" s="20">
        <v>2569311</v>
      </c>
    </row>
    <row r="1123" spans="1:6" ht="16" customHeight="1" x14ac:dyDescent="0.2">
      <c r="A1123">
        <f>IFERROR(VLOOKUP(C1123,'GASB Match'!$D$2:$F$6042,3,FALSE),"")</f>
        <v>3403780</v>
      </c>
      <c r="B1123" s="17">
        <v>2019</v>
      </c>
      <c r="C1123" s="17" t="s">
        <v>797</v>
      </c>
      <c r="D1123" s="17">
        <v>3018</v>
      </c>
      <c r="E1123" s="17" t="s">
        <v>1445</v>
      </c>
      <c r="F1123" s="20">
        <v>3548773</v>
      </c>
    </row>
    <row r="1124" spans="1:6" ht="16" customHeight="1" x14ac:dyDescent="0.2">
      <c r="A1124">
        <f>IFERROR(VLOOKUP(C1124,'GASB Match'!$D$2:$F$6042,3,FALSE),"")</f>
        <v>3403780</v>
      </c>
      <c r="B1124" s="17">
        <v>2020</v>
      </c>
      <c r="C1124" s="21" t="s">
        <v>797</v>
      </c>
      <c r="D1124" s="17">
        <v>3018</v>
      </c>
      <c r="E1124" s="17" t="s">
        <v>1445</v>
      </c>
      <c r="F1124" s="23">
        <v>4084768</v>
      </c>
    </row>
    <row r="1125" spans="1:6" ht="16" customHeight="1" x14ac:dyDescent="0.2">
      <c r="A1125">
        <f>IFERROR(VLOOKUP(C1125,'GASB Match'!$D$2:$F$6042,3,FALSE),"")</f>
        <v>3403780</v>
      </c>
      <c r="B1125" s="17">
        <v>2021</v>
      </c>
      <c r="C1125" s="25" t="s">
        <v>797</v>
      </c>
      <c r="D1125" s="17">
        <v>3018</v>
      </c>
      <c r="E1125" s="17" t="s">
        <v>1445</v>
      </c>
      <c r="F1125" s="23">
        <v>5228582</v>
      </c>
    </row>
    <row r="1126" spans="1:6" ht="16" customHeight="1" x14ac:dyDescent="0.2">
      <c r="A1126">
        <f>IFERROR(VLOOKUP(C1126,'GASB Match'!$D$2:$F$6042,3,FALSE),"")</f>
        <v>3403780</v>
      </c>
      <c r="B1126" s="17">
        <v>2022</v>
      </c>
      <c r="C1126" s="21" t="s">
        <v>797</v>
      </c>
      <c r="D1126" s="17">
        <v>3018</v>
      </c>
      <c r="E1126" s="17" t="s">
        <v>1474</v>
      </c>
      <c r="F1126" s="23">
        <v>7602611</v>
      </c>
    </row>
    <row r="1127" spans="1:6" ht="16" customHeight="1" x14ac:dyDescent="0.2">
      <c r="A1127">
        <f>IFERROR(VLOOKUP(C1127,'GASB Match'!$D$2:$F$6042,3,FALSE),"")</f>
        <v>3403780</v>
      </c>
      <c r="B1127" s="17">
        <v>2023</v>
      </c>
      <c r="C1127" s="21" t="s">
        <v>797</v>
      </c>
      <c r="D1127" s="17">
        <v>3018</v>
      </c>
      <c r="E1127" s="17" t="s">
        <v>1445</v>
      </c>
      <c r="F1127" s="23">
        <v>7760237</v>
      </c>
    </row>
    <row r="1128" spans="1:6" ht="16" customHeight="1" x14ac:dyDescent="0.2">
      <c r="A1128">
        <f>IFERROR(VLOOKUP(C1128,'GASB Match'!$D$2:$F$6042,3,FALSE),"")</f>
        <v>3403780</v>
      </c>
      <c r="B1128" s="28">
        <v>2017</v>
      </c>
      <c r="C1128" s="29" t="s">
        <v>116</v>
      </c>
      <c r="D1128" s="17">
        <v>3018</v>
      </c>
      <c r="E1128" s="17" t="s">
        <v>1404</v>
      </c>
      <c r="F1128" s="29">
        <v>1931138</v>
      </c>
    </row>
    <row r="1129" spans="1:6" ht="16" customHeight="1" x14ac:dyDescent="0.2">
      <c r="A1129">
        <f>IFERROR(VLOOKUP(C1129,'GASB Match'!$D$2:$F$6042,3,FALSE),"")</f>
        <v>3415450</v>
      </c>
      <c r="B1129" s="17">
        <v>2015</v>
      </c>
      <c r="C1129" s="17" t="s">
        <v>274</v>
      </c>
      <c r="D1129" s="17">
        <v>7035</v>
      </c>
      <c r="E1129" s="17" t="s">
        <v>1412</v>
      </c>
      <c r="F1129" s="20">
        <v>609693</v>
      </c>
    </row>
    <row r="1130" spans="1:6" ht="16" customHeight="1" x14ac:dyDescent="0.2">
      <c r="A1130">
        <f>IFERROR(VLOOKUP(C1130,'GASB Match'!$D$2:$F$6042,3,FALSE),"")</f>
        <v>3415450</v>
      </c>
      <c r="B1130" s="17">
        <v>2016</v>
      </c>
      <c r="C1130" s="17" t="s">
        <v>274</v>
      </c>
      <c r="D1130" s="17">
        <v>7035</v>
      </c>
      <c r="E1130" s="17" t="s">
        <v>1412</v>
      </c>
      <c r="F1130" s="20">
        <v>920898</v>
      </c>
    </row>
    <row r="1131" spans="1:6" ht="16" customHeight="1" x14ac:dyDescent="0.2">
      <c r="A1131">
        <f>IFERROR(VLOOKUP(C1131,'GASB Match'!$D$2:$F$6042,3,FALSE),"")</f>
        <v>3415450</v>
      </c>
      <c r="B1131" s="17">
        <v>2018</v>
      </c>
      <c r="C1131" s="17" t="s">
        <v>964</v>
      </c>
      <c r="D1131" s="17">
        <v>7035</v>
      </c>
      <c r="E1131" s="17" t="s">
        <v>1454</v>
      </c>
      <c r="F1131" s="20">
        <v>1705617</v>
      </c>
    </row>
    <row r="1132" spans="1:6" ht="16" customHeight="1" x14ac:dyDescent="0.2">
      <c r="A1132">
        <f>IFERROR(VLOOKUP(C1132,'GASB Match'!$D$2:$F$6042,3,FALSE),"")</f>
        <v>3415450</v>
      </c>
      <c r="B1132" s="17">
        <v>2019</v>
      </c>
      <c r="C1132" s="17" t="s">
        <v>964</v>
      </c>
      <c r="D1132" s="17">
        <v>7035</v>
      </c>
      <c r="E1132" s="17" t="s">
        <v>1454</v>
      </c>
      <c r="F1132" s="20">
        <v>2293044</v>
      </c>
    </row>
    <row r="1133" spans="1:6" ht="16" customHeight="1" x14ac:dyDescent="0.2">
      <c r="A1133">
        <f>IFERROR(VLOOKUP(C1133,'GASB Match'!$D$2:$F$6042,3,FALSE),"")</f>
        <v>3415450</v>
      </c>
      <c r="B1133" s="17">
        <v>2020</v>
      </c>
      <c r="C1133" s="21" t="s">
        <v>964</v>
      </c>
      <c r="D1133" s="17">
        <v>7035</v>
      </c>
      <c r="E1133" s="17" t="s">
        <v>1454</v>
      </c>
      <c r="F1133" s="23">
        <v>2561939</v>
      </c>
    </row>
    <row r="1134" spans="1:6" ht="16" customHeight="1" x14ac:dyDescent="0.2">
      <c r="A1134">
        <f>IFERROR(VLOOKUP(C1134,'GASB Match'!$D$2:$F$6042,3,FALSE),"")</f>
        <v>3415450</v>
      </c>
      <c r="B1134" s="17">
        <v>2021</v>
      </c>
      <c r="C1134" s="25" t="s">
        <v>964</v>
      </c>
      <c r="D1134" s="17">
        <v>7035</v>
      </c>
      <c r="E1134" s="17" t="s">
        <v>1454</v>
      </c>
      <c r="F1134" s="23">
        <v>3255989</v>
      </c>
    </row>
    <row r="1135" spans="1:6" ht="16" customHeight="1" x14ac:dyDescent="0.2">
      <c r="A1135">
        <f>IFERROR(VLOOKUP(C1135,'GASB Match'!$D$2:$F$6042,3,FALSE),"")</f>
        <v>3415450</v>
      </c>
      <c r="B1135" s="17">
        <v>2022</v>
      </c>
      <c r="C1135" s="21" t="s">
        <v>964</v>
      </c>
      <c r="D1135" s="17">
        <v>7035</v>
      </c>
      <c r="E1135" s="17" t="s">
        <v>1454</v>
      </c>
      <c r="F1135" s="23">
        <v>4561404</v>
      </c>
    </row>
    <row r="1136" spans="1:6" ht="16" customHeight="1" x14ac:dyDescent="0.2">
      <c r="A1136">
        <f>IFERROR(VLOOKUP(C1136,'GASB Match'!$D$2:$F$6042,3,FALSE),"")</f>
        <v>3415450</v>
      </c>
      <c r="B1136" s="17">
        <v>2023</v>
      </c>
      <c r="C1136" s="21" t="s">
        <v>964</v>
      </c>
      <c r="D1136" s="17">
        <v>7035</v>
      </c>
      <c r="E1136" s="17" t="s">
        <v>1454</v>
      </c>
      <c r="F1136" s="22">
        <v>4468924</v>
      </c>
    </row>
    <row r="1137" spans="1:6" ht="16" customHeight="1" x14ac:dyDescent="0.2">
      <c r="A1137">
        <f>IFERROR(VLOOKUP(C1137,'GASB Match'!$D$2:$F$6042,3,FALSE),"")</f>
        <v>3415450</v>
      </c>
      <c r="B1137" s="28">
        <v>2017</v>
      </c>
      <c r="C1137" s="29" t="s">
        <v>274</v>
      </c>
      <c r="D1137" s="17">
        <v>7035</v>
      </c>
      <c r="E1137" s="17" t="s">
        <v>1412</v>
      </c>
      <c r="F1137" s="29">
        <v>1268189</v>
      </c>
    </row>
    <row r="1138" spans="1:6" ht="16" customHeight="1" x14ac:dyDescent="0.2">
      <c r="A1138">
        <f>IFERROR(VLOOKUP(C1138,'GASB Match'!$D$2:$F$6042,3,FALSE),"")</f>
        <v>3403810</v>
      </c>
      <c r="B1138" s="17">
        <v>2015</v>
      </c>
      <c r="C1138" s="17" t="s">
        <v>39</v>
      </c>
      <c r="D1138" s="17">
        <v>2029</v>
      </c>
      <c r="E1138" s="17" t="s">
        <v>1402</v>
      </c>
      <c r="F1138" s="20">
        <v>289644</v>
      </c>
    </row>
    <row r="1139" spans="1:6" ht="16" customHeight="1" x14ac:dyDescent="0.2">
      <c r="A1139">
        <f>IFERROR(VLOOKUP(C1139,'GASB Match'!$D$2:$F$6042,3,FALSE),"")</f>
        <v>3403810</v>
      </c>
      <c r="B1139" s="17">
        <v>2016</v>
      </c>
      <c r="C1139" s="17" t="s">
        <v>39</v>
      </c>
      <c r="D1139" s="17">
        <v>2029</v>
      </c>
      <c r="E1139" s="17" t="s">
        <v>1402</v>
      </c>
      <c r="F1139" s="20">
        <v>419674</v>
      </c>
    </row>
    <row r="1140" spans="1:6" ht="16" customHeight="1" x14ac:dyDescent="0.2">
      <c r="A1140">
        <f>IFERROR(VLOOKUP(C1140,'GASB Match'!$D$2:$F$6042,3,FALSE),"")</f>
        <v>3403810</v>
      </c>
      <c r="B1140" s="17">
        <v>2018</v>
      </c>
      <c r="C1140" s="17" t="s">
        <v>717</v>
      </c>
      <c r="D1140" s="17">
        <v>2029</v>
      </c>
      <c r="E1140" s="17" t="s">
        <v>1443</v>
      </c>
      <c r="F1140" s="20">
        <v>766509</v>
      </c>
    </row>
    <row r="1141" spans="1:6" ht="16" customHeight="1" x14ac:dyDescent="0.2">
      <c r="A1141">
        <f>IFERROR(VLOOKUP(C1141,'GASB Match'!$D$2:$F$6042,3,FALSE),"")</f>
        <v>3403810</v>
      </c>
      <c r="B1141" s="17">
        <v>2019</v>
      </c>
      <c r="C1141" s="17" t="s">
        <v>717</v>
      </c>
      <c r="D1141" s="17">
        <v>2029</v>
      </c>
      <c r="E1141" s="17" t="s">
        <v>1443</v>
      </c>
      <c r="F1141" s="20">
        <v>1092898</v>
      </c>
    </row>
    <row r="1142" spans="1:6" ht="16" customHeight="1" x14ac:dyDescent="0.2">
      <c r="A1142">
        <f>IFERROR(VLOOKUP(C1142,'GASB Match'!$D$2:$F$6042,3,FALSE),"")</f>
        <v>3403810</v>
      </c>
      <c r="B1142" s="17">
        <v>2020</v>
      </c>
      <c r="C1142" s="21" t="s">
        <v>717</v>
      </c>
      <c r="D1142" s="17">
        <v>2029</v>
      </c>
      <c r="E1142" s="17" t="s">
        <v>1443</v>
      </c>
      <c r="F1142" s="23">
        <v>1278905</v>
      </c>
    </row>
    <row r="1143" spans="1:6" ht="16" customHeight="1" x14ac:dyDescent="0.2">
      <c r="A1143">
        <f>IFERROR(VLOOKUP(C1143,'GASB Match'!$D$2:$F$6042,3,FALSE),"")</f>
        <v>3403810</v>
      </c>
      <c r="B1143" s="17">
        <v>2021</v>
      </c>
      <c r="C1143" s="25" t="s">
        <v>717</v>
      </c>
      <c r="D1143" s="17">
        <v>2029</v>
      </c>
      <c r="E1143" s="17" t="s">
        <v>1443</v>
      </c>
      <c r="F1143" s="23">
        <v>1702785</v>
      </c>
    </row>
    <row r="1144" spans="1:6" ht="16" customHeight="1" x14ac:dyDescent="0.2">
      <c r="A1144">
        <f>IFERROR(VLOOKUP(C1144,'GASB Match'!$D$2:$F$6042,3,FALSE),"")</f>
        <v>3403810</v>
      </c>
      <c r="B1144" s="17">
        <v>2022</v>
      </c>
      <c r="C1144" s="21" t="s">
        <v>717</v>
      </c>
      <c r="D1144" s="17">
        <v>2029</v>
      </c>
      <c r="E1144" s="17" t="s">
        <v>1443</v>
      </c>
      <c r="F1144" s="23">
        <v>2474216</v>
      </c>
    </row>
    <row r="1145" spans="1:6" ht="16" customHeight="1" x14ac:dyDescent="0.2">
      <c r="A1145">
        <f>IFERROR(VLOOKUP(C1145,'GASB Match'!$D$2:$F$6042,3,FALSE),"")</f>
        <v>3403810</v>
      </c>
      <c r="B1145" s="17">
        <v>2023</v>
      </c>
      <c r="C1145" s="21" t="s">
        <v>717</v>
      </c>
      <c r="D1145" s="17">
        <v>2029</v>
      </c>
      <c r="E1145" s="17" t="s">
        <v>1443</v>
      </c>
      <c r="F1145" s="23">
        <v>2474580</v>
      </c>
    </row>
    <row r="1146" spans="1:6" ht="16" customHeight="1" x14ac:dyDescent="0.2">
      <c r="A1146">
        <f>IFERROR(VLOOKUP(C1146,'GASB Match'!$D$2:$F$6042,3,FALSE),"")</f>
        <v>3403810</v>
      </c>
      <c r="B1146" s="28">
        <v>2017</v>
      </c>
      <c r="C1146" s="29" t="s">
        <v>39</v>
      </c>
      <c r="D1146" s="17">
        <v>2029</v>
      </c>
      <c r="E1146" s="17" t="s">
        <v>1402</v>
      </c>
      <c r="F1146" s="29">
        <v>579556</v>
      </c>
    </row>
    <row r="1147" spans="1:6" ht="16" customHeight="1" x14ac:dyDescent="0.2">
      <c r="A1147">
        <f>IFERROR(VLOOKUP(C1147,'GASB Match'!$D$2:$F$6042,3,FALSE),"")</f>
        <v>3403840</v>
      </c>
      <c r="B1147" s="17">
        <v>2015</v>
      </c>
      <c r="C1147" s="17" t="s">
        <v>200</v>
      </c>
      <c r="D1147" s="17">
        <v>5013</v>
      </c>
      <c r="E1147" s="17" t="s">
        <v>1407</v>
      </c>
      <c r="F1147" s="20">
        <v>261368</v>
      </c>
    </row>
    <row r="1148" spans="1:6" ht="16" customHeight="1" x14ac:dyDescent="0.2">
      <c r="A1148">
        <f>IFERROR(VLOOKUP(C1148,'GASB Match'!$D$2:$F$6042,3,FALSE),"")</f>
        <v>3403840</v>
      </c>
      <c r="B1148" s="17">
        <v>2016</v>
      </c>
      <c r="C1148" s="17" t="s">
        <v>200</v>
      </c>
      <c r="D1148" s="17">
        <v>5013</v>
      </c>
      <c r="E1148" s="17" t="s">
        <v>1407</v>
      </c>
      <c r="F1148" s="20">
        <v>377665</v>
      </c>
    </row>
    <row r="1149" spans="1:6" ht="16" customHeight="1" x14ac:dyDescent="0.2">
      <c r="A1149">
        <f>IFERROR(VLOOKUP(C1149,'GASB Match'!$D$2:$F$6042,3,FALSE),"")</f>
        <v>3403840</v>
      </c>
      <c r="B1149" s="17">
        <v>2018</v>
      </c>
      <c r="C1149" s="17" t="s">
        <v>884</v>
      </c>
      <c r="D1149" s="17">
        <v>5013</v>
      </c>
      <c r="E1149" s="17" t="s">
        <v>1448</v>
      </c>
      <c r="F1149" s="20">
        <v>680956</v>
      </c>
    </row>
    <row r="1150" spans="1:6" ht="16" customHeight="1" x14ac:dyDescent="0.2">
      <c r="A1150">
        <f>IFERROR(VLOOKUP(C1150,'GASB Match'!$D$2:$F$6042,3,FALSE),"")</f>
        <v>3403840</v>
      </c>
      <c r="B1150" s="17">
        <v>2019</v>
      </c>
      <c r="C1150" s="17" t="s">
        <v>884</v>
      </c>
      <c r="D1150" s="17">
        <v>5013</v>
      </c>
      <c r="E1150" s="17" t="s">
        <v>1448</v>
      </c>
      <c r="F1150" s="20">
        <v>961034</v>
      </c>
    </row>
    <row r="1151" spans="1:6" ht="16" customHeight="1" x14ac:dyDescent="0.2">
      <c r="A1151">
        <f>IFERROR(VLOOKUP(C1151,'GASB Match'!$D$2:$F$6042,3,FALSE),"")</f>
        <v>3403840</v>
      </c>
      <c r="B1151" s="17">
        <v>2020</v>
      </c>
      <c r="C1151" s="21" t="s">
        <v>884</v>
      </c>
      <c r="D1151" s="17">
        <v>5013</v>
      </c>
      <c r="E1151" s="17" t="s">
        <v>1448</v>
      </c>
      <c r="F1151" s="23">
        <v>1072537</v>
      </c>
    </row>
    <row r="1152" spans="1:6" ht="16" customHeight="1" x14ac:dyDescent="0.2">
      <c r="A1152">
        <f>IFERROR(VLOOKUP(C1152,'GASB Match'!$D$2:$F$6042,3,FALSE),"")</f>
        <v>3403840</v>
      </c>
      <c r="B1152" s="17">
        <v>2021</v>
      </c>
      <c r="C1152" s="25" t="s">
        <v>884</v>
      </c>
      <c r="D1152" s="17">
        <v>5013</v>
      </c>
      <c r="E1152" s="17" t="s">
        <v>1448</v>
      </c>
      <c r="F1152" s="23">
        <v>1334358</v>
      </c>
    </row>
    <row r="1153" spans="1:6" ht="16" customHeight="1" x14ac:dyDescent="0.2">
      <c r="A1153">
        <f>IFERROR(VLOOKUP(C1153,'GASB Match'!$D$2:$F$6042,3,FALSE),"")</f>
        <v>3403840</v>
      </c>
      <c r="B1153" s="17">
        <v>2022</v>
      </c>
      <c r="C1153" s="21" t="s">
        <v>884</v>
      </c>
      <c r="D1153" s="17">
        <v>5013</v>
      </c>
      <c r="E1153" s="17" t="s">
        <v>1448</v>
      </c>
      <c r="F1153" s="23">
        <v>1761098</v>
      </c>
    </row>
    <row r="1154" spans="1:6" ht="16" customHeight="1" x14ac:dyDescent="0.2">
      <c r="A1154">
        <f>IFERROR(VLOOKUP(C1154,'GASB Match'!$D$2:$F$6042,3,FALSE),"")</f>
        <v>3403840</v>
      </c>
      <c r="B1154" s="17">
        <v>2023</v>
      </c>
      <c r="C1154" s="21" t="s">
        <v>884</v>
      </c>
      <c r="D1154" s="17">
        <v>5013</v>
      </c>
      <c r="E1154" s="17" t="s">
        <v>1448</v>
      </c>
      <c r="F1154" s="23">
        <v>1723804</v>
      </c>
    </row>
    <row r="1155" spans="1:6" ht="16" customHeight="1" x14ac:dyDescent="0.2">
      <c r="A1155">
        <f>IFERROR(VLOOKUP(C1155,'GASB Match'!$D$2:$F$6042,3,FALSE),"")</f>
        <v>3403840</v>
      </c>
      <c r="B1155" s="28">
        <v>2017</v>
      </c>
      <c r="C1155" s="29" t="s">
        <v>200</v>
      </c>
      <c r="D1155" s="17">
        <v>5013</v>
      </c>
      <c r="E1155" s="17" t="s">
        <v>1407</v>
      </c>
      <c r="F1155" s="29">
        <v>504227</v>
      </c>
    </row>
    <row r="1156" spans="1:6" ht="16" customHeight="1" x14ac:dyDescent="0.2">
      <c r="A1156">
        <f>IFERROR(VLOOKUP(C1156,'GASB Match'!$D$2:$F$6042,3,FALSE),"")</f>
        <v>3403870</v>
      </c>
      <c r="B1156" s="17">
        <v>2015</v>
      </c>
      <c r="C1156" s="17" t="s">
        <v>459</v>
      </c>
      <c r="D1156" s="17">
        <v>417</v>
      </c>
      <c r="E1156" s="17" t="s">
        <v>1421</v>
      </c>
      <c r="F1156" s="20">
        <v>610068</v>
      </c>
    </row>
    <row r="1157" spans="1:6" ht="16" customHeight="1" x14ac:dyDescent="0.2">
      <c r="A1157">
        <f>IFERROR(VLOOKUP(C1157,'GASB Match'!$D$2:$F$6042,3,FALSE),"")</f>
        <v>3403870</v>
      </c>
      <c r="B1157" s="17">
        <v>2016</v>
      </c>
      <c r="C1157" s="17" t="s">
        <v>459</v>
      </c>
      <c r="D1157" s="17">
        <v>417</v>
      </c>
      <c r="E1157" s="17" t="s">
        <v>1421</v>
      </c>
      <c r="F1157" s="20">
        <v>899223</v>
      </c>
    </row>
    <row r="1158" spans="1:6" ht="16" customHeight="1" x14ac:dyDescent="0.2">
      <c r="A1158">
        <f>IFERROR(VLOOKUP(C1158,'GASB Match'!$D$2:$F$6042,3,FALSE),"")</f>
        <v>3403870</v>
      </c>
      <c r="B1158" s="17">
        <v>2018</v>
      </c>
      <c r="C1158" s="17" t="s">
        <v>1151</v>
      </c>
      <c r="D1158" s="17">
        <v>417</v>
      </c>
      <c r="E1158" s="17" t="s">
        <v>1464</v>
      </c>
      <c r="F1158" s="20">
        <v>1725676</v>
      </c>
    </row>
    <row r="1159" spans="1:6" ht="16" customHeight="1" x14ac:dyDescent="0.2">
      <c r="A1159">
        <f>IFERROR(VLOOKUP(C1159,'GASB Match'!$D$2:$F$6042,3,FALSE),"")</f>
        <v>3403870</v>
      </c>
      <c r="B1159" s="17">
        <v>2019</v>
      </c>
      <c r="C1159" s="17" t="s">
        <v>1151</v>
      </c>
      <c r="D1159" s="17">
        <v>417</v>
      </c>
      <c r="E1159" s="17" t="s">
        <v>1464</v>
      </c>
      <c r="F1159" s="20">
        <v>2338744</v>
      </c>
    </row>
    <row r="1160" spans="1:6" ht="16" customHeight="1" x14ac:dyDescent="0.2">
      <c r="A1160">
        <f>IFERROR(VLOOKUP(C1160,'GASB Match'!$D$2:$F$6042,3,FALSE),"")</f>
        <v>3403870</v>
      </c>
      <c r="B1160" s="17">
        <v>2020</v>
      </c>
      <c r="C1160" s="21" t="s">
        <v>1151</v>
      </c>
      <c r="D1160" s="17">
        <v>417</v>
      </c>
      <c r="E1160" s="17" t="s">
        <v>1464</v>
      </c>
      <c r="F1160" s="23">
        <v>2607496</v>
      </c>
    </row>
    <row r="1161" spans="1:6" ht="16" customHeight="1" x14ac:dyDescent="0.2">
      <c r="A1161">
        <f>IFERROR(VLOOKUP(C1161,'GASB Match'!$D$2:$F$6042,3,FALSE),"")</f>
        <v>3403870</v>
      </c>
      <c r="B1161" s="17">
        <v>2021</v>
      </c>
      <c r="C1161" s="25" t="s">
        <v>1151</v>
      </c>
      <c r="D1161" s="17">
        <v>417</v>
      </c>
      <c r="E1161" s="17" t="s">
        <v>1464</v>
      </c>
      <c r="F1161" s="23">
        <v>3366758</v>
      </c>
    </row>
    <row r="1162" spans="1:6" ht="16" customHeight="1" x14ac:dyDescent="0.2">
      <c r="A1162">
        <f>IFERROR(VLOOKUP(C1162,'GASB Match'!$D$2:$F$6042,3,FALSE),"")</f>
        <v>3403870</v>
      </c>
      <c r="B1162" s="17">
        <v>2022</v>
      </c>
      <c r="C1162" s="21" t="s">
        <v>1151</v>
      </c>
      <c r="D1162" s="17">
        <v>417</v>
      </c>
      <c r="E1162" s="17" t="s">
        <v>1464</v>
      </c>
      <c r="F1162" s="23">
        <v>4870045</v>
      </c>
    </row>
    <row r="1163" spans="1:6" ht="16" customHeight="1" x14ac:dyDescent="0.2">
      <c r="A1163">
        <f>IFERROR(VLOOKUP(C1163,'GASB Match'!$D$2:$F$6042,3,FALSE),"")</f>
        <v>3403870</v>
      </c>
      <c r="B1163" s="17">
        <v>2023</v>
      </c>
      <c r="C1163" s="21" t="s">
        <v>1151</v>
      </c>
      <c r="D1163" s="17">
        <v>417</v>
      </c>
      <c r="E1163" s="17" t="s">
        <v>1464</v>
      </c>
      <c r="F1163" s="23">
        <v>4943267</v>
      </c>
    </row>
    <row r="1164" spans="1:6" ht="16" customHeight="1" x14ac:dyDescent="0.2">
      <c r="A1164">
        <f>IFERROR(VLOOKUP(C1164,'GASB Match'!$D$2:$F$6042,3,FALSE),"")</f>
        <v>3403870</v>
      </c>
      <c r="B1164" s="28">
        <v>2017</v>
      </c>
      <c r="C1164" s="29" t="s">
        <v>459</v>
      </c>
      <c r="D1164" s="17">
        <v>417</v>
      </c>
      <c r="E1164" s="17" t="s">
        <v>1421</v>
      </c>
      <c r="F1164" s="29">
        <v>1242880</v>
      </c>
    </row>
    <row r="1165" spans="1:6" ht="16" customHeight="1" x14ac:dyDescent="0.2">
      <c r="A1165">
        <f>IFERROR(VLOOKUP(C1165,'GASB Match'!$D$2:$F$6042,3,FALSE),"")</f>
        <v>3403900</v>
      </c>
      <c r="B1165" s="17">
        <v>2015</v>
      </c>
      <c r="C1165" s="17" t="s">
        <v>275</v>
      </c>
      <c r="D1165" s="17">
        <v>7012</v>
      </c>
      <c r="E1165" s="17" t="s">
        <v>1412</v>
      </c>
      <c r="F1165" s="20">
        <v>1416894</v>
      </c>
    </row>
    <row r="1166" spans="1:6" ht="16" customHeight="1" x14ac:dyDescent="0.2">
      <c r="A1166">
        <f>IFERROR(VLOOKUP(C1166,'GASB Match'!$D$2:$F$6042,3,FALSE),"")</f>
        <v>3403900</v>
      </c>
      <c r="B1166" s="17">
        <v>2016</v>
      </c>
      <c r="C1166" s="17" t="s">
        <v>275</v>
      </c>
      <c r="D1166" s="17">
        <v>7012</v>
      </c>
      <c r="E1166" s="17" t="s">
        <v>1412</v>
      </c>
      <c r="F1166" s="20">
        <v>2142270</v>
      </c>
    </row>
    <row r="1167" spans="1:6" ht="16" customHeight="1" x14ac:dyDescent="0.2">
      <c r="A1167">
        <f>IFERROR(VLOOKUP(C1167,'GASB Match'!$D$2:$F$6042,3,FALSE),"")</f>
        <v>3403900</v>
      </c>
      <c r="B1167" s="17">
        <v>2018</v>
      </c>
      <c r="C1167" s="17" t="s">
        <v>965</v>
      </c>
      <c r="D1167" s="17">
        <v>7012</v>
      </c>
      <c r="E1167" s="17" t="s">
        <v>1454</v>
      </c>
      <c r="F1167" s="20">
        <v>4239219</v>
      </c>
    </row>
    <row r="1168" spans="1:6" ht="16" customHeight="1" x14ac:dyDescent="0.2">
      <c r="A1168">
        <f>IFERROR(VLOOKUP(C1168,'GASB Match'!$D$2:$F$6042,3,FALSE),"")</f>
        <v>3403900</v>
      </c>
      <c r="B1168" s="17">
        <v>2019</v>
      </c>
      <c r="C1168" s="17" t="s">
        <v>965</v>
      </c>
      <c r="D1168" s="17">
        <v>7012</v>
      </c>
      <c r="E1168" s="17" t="s">
        <v>1454</v>
      </c>
      <c r="F1168" s="20">
        <v>5451220</v>
      </c>
    </row>
    <row r="1169" spans="1:6" ht="16" customHeight="1" x14ac:dyDescent="0.2">
      <c r="A1169">
        <f>IFERROR(VLOOKUP(C1169,'GASB Match'!$D$2:$F$6042,3,FALSE),"")</f>
        <v>3403900</v>
      </c>
      <c r="B1169" s="17">
        <v>2020</v>
      </c>
      <c r="C1169" s="21" t="s">
        <v>965</v>
      </c>
      <c r="D1169" s="17">
        <v>7012</v>
      </c>
      <c r="E1169" s="17" t="s">
        <v>1454</v>
      </c>
      <c r="F1169" s="23">
        <v>5803063</v>
      </c>
    </row>
    <row r="1170" spans="1:6" ht="16" customHeight="1" x14ac:dyDescent="0.2">
      <c r="A1170">
        <f>IFERROR(VLOOKUP(C1170,'GASB Match'!$D$2:$F$6042,3,FALSE),"")</f>
        <v>3403900</v>
      </c>
      <c r="B1170" s="17">
        <v>2021</v>
      </c>
      <c r="C1170" s="25" t="s">
        <v>965</v>
      </c>
      <c r="D1170" s="17">
        <v>7012</v>
      </c>
      <c r="E1170" s="17" t="s">
        <v>1454</v>
      </c>
      <c r="F1170" s="23">
        <v>7890119</v>
      </c>
    </row>
    <row r="1171" spans="1:6" ht="16" customHeight="1" x14ac:dyDescent="0.2">
      <c r="A1171">
        <f>IFERROR(VLOOKUP(C1171,'GASB Match'!$D$2:$F$6042,3,FALSE),"")</f>
        <v>3403900</v>
      </c>
      <c r="B1171" s="17">
        <v>2022</v>
      </c>
      <c r="C1171" s="21" t="s">
        <v>965</v>
      </c>
      <c r="D1171" s="17">
        <v>7012</v>
      </c>
      <c r="E1171" s="17" t="s">
        <v>1454</v>
      </c>
      <c r="F1171" s="23">
        <v>11390463</v>
      </c>
    </row>
    <row r="1172" spans="1:6" ht="16" customHeight="1" x14ac:dyDescent="0.2">
      <c r="A1172">
        <f>IFERROR(VLOOKUP(C1172,'GASB Match'!$D$2:$F$6042,3,FALSE),"")</f>
        <v>3403900</v>
      </c>
      <c r="B1172" s="17">
        <v>2023</v>
      </c>
      <c r="C1172" s="21" t="s">
        <v>965</v>
      </c>
      <c r="D1172" s="17">
        <v>7012</v>
      </c>
      <c r="E1172" s="17" t="s">
        <v>1454</v>
      </c>
      <c r="F1172" s="23">
        <v>11286226</v>
      </c>
    </row>
    <row r="1173" spans="1:6" ht="16" customHeight="1" x14ac:dyDescent="0.2">
      <c r="A1173">
        <f>IFERROR(VLOOKUP(C1173,'GASB Match'!$D$2:$F$6042,3,FALSE),"")</f>
        <v>3403900</v>
      </c>
      <c r="B1173" s="28">
        <v>2017</v>
      </c>
      <c r="C1173" s="29" t="s">
        <v>275</v>
      </c>
      <c r="D1173" s="17">
        <v>7012</v>
      </c>
      <c r="E1173" s="17" t="s">
        <v>1412</v>
      </c>
      <c r="F1173" s="29">
        <v>3064154</v>
      </c>
    </row>
    <row r="1174" spans="1:6" ht="16" customHeight="1" x14ac:dyDescent="0.2">
      <c r="A1174">
        <f>IFERROR(VLOOKUP(C1174,'GASB Match'!$D$2:$F$6042,3,FALSE),"")</f>
        <v>3400020</v>
      </c>
      <c r="B1174" s="17">
        <v>2015</v>
      </c>
      <c r="C1174" s="17" t="s">
        <v>234</v>
      </c>
      <c r="D1174" s="17">
        <v>6009</v>
      </c>
      <c r="E1174" s="17" t="s">
        <v>1411</v>
      </c>
      <c r="F1174" s="20">
        <v>15363</v>
      </c>
    </row>
    <row r="1175" spans="1:6" ht="16" customHeight="1" x14ac:dyDescent="0.2">
      <c r="A1175">
        <f>IFERROR(VLOOKUP(C1175,'GASB Match'!$D$2:$F$6042,3,FALSE),"")</f>
        <v>3400020</v>
      </c>
      <c r="B1175" s="17">
        <v>2016</v>
      </c>
      <c r="C1175" s="17" t="s">
        <v>234</v>
      </c>
      <c r="D1175" s="17">
        <v>6009</v>
      </c>
      <c r="E1175" s="17" t="s">
        <v>1411</v>
      </c>
      <c r="F1175" s="20">
        <v>37656</v>
      </c>
    </row>
    <row r="1176" spans="1:6" ht="16" customHeight="1" x14ac:dyDescent="0.2">
      <c r="A1176">
        <f>IFERROR(VLOOKUP(C1176,'GASB Match'!$D$2:$F$6042,3,FALSE),"")</f>
        <v>3400020</v>
      </c>
      <c r="B1176" s="17">
        <v>2018</v>
      </c>
      <c r="C1176" s="17" t="s">
        <v>920</v>
      </c>
      <c r="D1176" s="17">
        <v>6009</v>
      </c>
      <c r="E1176" s="17" t="s">
        <v>1452</v>
      </c>
      <c r="F1176" s="20">
        <v>59750</v>
      </c>
    </row>
    <row r="1177" spans="1:6" ht="16" customHeight="1" x14ac:dyDescent="0.2">
      <c r="A1177">
        <f>IFERROR(VLOOKUP(C1177,'GASB Match'!$D$2:$F$6042,3,FALSE),"")</f>
        <v>3400020</v>
      </c>
      <c r="B1177" s="17">
        <v>2019</v>
      </c>
      <c r="C1177" s="17" t="s">
        <v>920</v>
      </c>
      <c r="D1177" s="17">
        <v>6009</v>
      </c>
      <c r="E1177" s="17" t="s">
        <v>1452</v>
      </c>
      <c r="F1177" s="20">
        <v>98403</v>
      </c>
    </row>
    <row r="1178" spans="1:6" ht="16" customHeight="1" x14ac:dyDescent="0.2">
      <c r="A1178">
        <f>IFERROR(VLOOKUP(C1178,'GASB Match'!$D$2:$F$6042,3,FALSE),"")</f>
        <v>3400020</v>
      </c>
      <c r="B1178" s="17">
        <v>2020</v>
      </c>
      <c r="C1178" s="21" t="s">
        <v>920</v>
      </c>
      <c r="D1178" s="17">
        <v>6009</v>
      </c>
      <c r="E1178" s="17" t="s">
        <v>1452</v>
      </c>
      <c r="F1178" s="23">
        <v>125528</v>
      </c>
    </row>
    <row r="1179" spans="1:6" ht="16" customHeight="1" x14ac:dyDescent="0.2">
      <c r="A1179">
        <f>IFERROR(VLOOKUP(C1179,'GASB Match'!$D$2:$F$6042,3,FALSE),"")</f>
        <v>3400020</v>
      </c>
      <c r="B1179" s="17">
        <v>2021</v>
      </c>
      <c r="C1179" s="25" t="s">
        <v>920</v>
      </c>
      <c r="D1179" s="17">
        <v>6009</v>
      </c>
      <c r="E1179" s="17" t="s">
        <v>1452</v>
      </c>
      <c r="F1179" s="23">
        <v>160588</v>
      </c>
    </row>
    <row r="1180" spans="1:6" ht="16" customHeight="1" x14ac:dyDescent="0.2">
      <c r="A1180">
        <f>IFERROR(VLOOKUP(C1180,'GASB Match'!$D$2:$F$6042,3,FALSE),"")</f>
        <v>3400020</v>
      </c>
      <c r="B1180" s="17">
        <v>2022</v>
      </c>
      <c r="C1180" s="21" t="s">
        <v>920</v>
      </c>
      <c r="D1180" s="17">
        <v>6009</v>
      </c>
      <c r="E1180" s="17" t="s">
        <v>1452</v>
      </c>
      <c r="F1180" s="23">
        <v>155937</v>
      </c>
    </row>
    <row r="1181" spans="1:6" ht="16" customHeight="1" x14ac:dyDescent="0.2">
      <c r="A1181">
        <f>IFERROR(VLOOKUP(C1181,'GASB Match'!$D$2:$F$6042,3,FALSE),"")</f>
        <v>3400020</v>
      </c>
      <c r="B1181" s="17">
        <v>2023</v>
      </c>
      <c r="C1181" s="21" t="s">
        <v>920</v>
      </c>
      <c r="D1181" s="17">
        <v>6009</v>
      </c>
      <c r="E1181" s="17" t="s">
        <v>1452</v>
      </c>
      <c r="F1181" s="23">
        <v>160276</v>
      </c>
    </row>
    <row r="1182" spans="1:6" ht="16" customHeight="1" x14ac:dyDescent="0.2">
      <c r="A1182">
        <f>IFERROR(VLOOKUP(C1182,'GASB Match'!$D$2:$F$6042,3,FALSE),"")</f>
        <v>3400020</v>
      </c>
      <c r="B1182" s="28">
        <v>2017</v>
      </c>
      <c r="C1182" s="29" t="s">
        <v>234</v>
      </c>
      <c r="D1182" s="17">
        <v>6009</v>
      </c>
      <c r="E1182" s="17" t="s">
        <v>1411</v>
      </c>
      <c r="F1182" s="29">
        <v>36281</v>
      </c>
    </row>
    <row r="1183" spans="1:6" ht="16" customHeight="1" x14ac:dyDescent="0.2">
      <c r="A1183">
        <f>IFERROR(VLOOKUP(C1183,'GASB Match'!$D$2:$F$6042,3,FALSE),"")</f>
        <v>3403930</v>
      </c>
      <c r="B1183" s="17">
        <v>2015</v>
      </c>
      <c r="C1183" s="17" t="s">
        <v>460</v>
      </c>
      <c r="D1183" s="17">
        <v>418</v>
      </c>
      <c r="E1183" s="17" t="s">
        <v>1421</v>
      </c>
      <c r="F1183" s="20">
        <v>1032265</v>
      </c>
    </row>
    <row r="1184" spans="1:6" ht="16" customHeight="1" x14ac:dyDescent="0.2">
      <c r="A1184">
        <f>IFERROR(VLOOKUP(C1184,'GASB Match'!$D$2:$F$6042,3,FALSE),"")</f>
        <v>3403930</v>
      </c>
      <c r="B1184" s="17">
        <v>2016</v>
      </c>
      <c r="C1184" s="17" t="s">
        <v>460</v>
      </c>
      <c r="D1184" s="17">
        <v>418</v>
      </c>
      <c r="E1184" s="17" t="s">
        <v>1421</v>
      </c>
      <c r="F1184" s="20">
        <v>1521082</v>
      </c>
    </row>
    <row r="1185" spans="1:6" ht="16" customHeight="1" x14ac:dyDescent="0.2">
      <c r="A1185">
        <f>IFERROR(VLOOKUP(C1185,'GASB Match'!$D$2:$F$6042,3,FALSE),"")</f>
        <v>3403930</v>
      </c>
      <c r="B1185" s="17">
        <v>2018</v>
      </c>
      <c r="C1185" s="17" t="s">
        <v>1152</v>
      </c>
      <c r="D1185" s="17">
        <v>418</v>
      </c>
      <c r="E1185" s="17" t="s">
        <v>1464</v>
      </c>
      <c r="F1185" s="20">
        <v>2767041</v>
      </c>
    </row>
    <row r="1186" spans="1:6" ht="16" customHeight="1" x14ac:dyDescent="0.2">
      <c r="A1186">
        <f>IFERROR(VLOOKUP(C1186,'GASB Match'!$D$2:$F$6042,3,FALSE),"")</f>
        <v>3403930</v>
      </c>
      <c r="B1186" s="17">
        <v>2019</v>
      </c>
      <c r="C1186" s="17" t="s">
        <v>1152</v>
      </c>
      <c r="D1186" s="17">
        <v>418</v>
      </c>
      <c r="E1186" s="17" t="s">
        <v>1464</v>
      </c>
      <c r="F1186" s="20">
        <v>3690973</v>
      </c>
    </row>
    <row r="1187" spans="1:6" ht="16" customHeight="1" x14ac:dyDescent="0.2">
      <c r="A1187">
        <f>IFERROR(VLOOKUP(C1187,'GASB Match'!$D$2:$F$6042,3,FALSE),"")</f>
        <v>3403930</v>
      </c>
      <c r="B1187" s="17">
        <v>2020</v>
      </c>
      <c r="C1187" s="21" t="s">
        <v>1152</v>
      </c>
      <c r="D1187" s="17">
        <v>418</v>
      </c>
      <c r="E1187" s="17" t="s">
        <v>1464</v>
      </c>
      <c r="F1187" s="23">
        <v>4009915</v>
      </c>
    </row>
    <row r="1188" spans="1:6" ht="16" customHeight="1" x14ac:dyDescent="0.2">
      <c r="A1188">
        <f>IFERROR(VLOOKUP(C1188,'GASB Match'!$D$2:$F$6042,3,FALSE),"")</f>
        <v>3403930</v>
      </c>
      <c r="B1188" s="17">
        <v>2021</v>
      </c>
      <c r="C1188" s="25" t="s">
        <v>1152</v>
      </c>
      <c r="D1188" s="17">
        <v>418</v>
      </c>
      <c r="E1188" s="17" t="s">
        <v>1464</v>
      </c>
      <c r="F1188" s="23">
        <v>5226570</v>
      </c>
    </row>
    <row r="1189" spans="1:6" ht="16" customHeight="1" x14ac:dyDescent="0.2">
      <c r="A1189">
        <f>IFERROR(VLOOKUP(C1189,'GASB Match'!$D$2:$F$6042,3,FALSE),"")</f>
        <v>3403930</v>
      </c>
      <c r="B1189" s="17">
        <v>2022</v>
      </c>
      <c r="C1189" s="21" t="s">
        <v>1152</v>
      </c>
      <c r="D1189" s="17">
        <v>418</v>
      </c>
      <c r="E1189" s="17" t="s">
        <v>1464</v>
      </c>
      <c r="F1189" s="23">
        <v>7879833</v>
      </c>
    </row>
    <row r="1190" spans="1:6" ht="16" customHeight="1" x14ac:dyDescent="0.2">
      <c r="A1190">
        <f>IFERROR(VLOOKUP(C1190,'GASB Match'!$D$2:$F$6042,3,FALSE),"")</f>
        <v>3403930</v>
      </c>
      <c r="B1190" s="17">
        <v>2023</v>
      </c>
      <c r="C1190" s="21" t="s">
        <v>1152</v>
      </c>
      <c r="D1190" s="17">
        <v>418</v>
      </c>
      <c r="E1190" s="17" t="s">
        <v>1464</v>
      </c>
      <c r="F1190" s="23">
        <v>8013647</v>
      </c>
    </row>
    <row r="1191" spans="1:6" ht="16" customHeight="1" x14ac:dyDescent="0.2">
      <c r="A1191">
        <f>IFERROR(VLOOKUP(C1191,'GASB Match'!$D$2:$F$6042,3,FALSE),"")</f>
        <v>3403930</v>
      </c>
      <c r="B1191" s="28">
        <v>2017</v>
      </c>
      <c r="C1191" s="29" t="s">
        <v>460</v>
      </c>
      <c r="D1191" s="17">
        <v>418</v>
      </c>
      <c r="E1191" s="17" t="s">
        <v>1421</v>
      </c>
      <c r="F1191" s="29">
        <v>2059188</v>
      </c>
    </row>
    <row r="1192" spans="1:6" ht="16" customHeight="1" x14ac:dyDescent="0.2">
      <c r="A1192">
        <f>IFERROR(VLOOKUP(C1192,'GASB Match'!$D$2:$F$6042,3,FALSE),"")</f>
        <v>3403960</v>
      </c>
      <c r="B1192" s="17">
        <v>2015</v>
      </c>
      <c r="C1192" s="17" t="s">
        <v>217</v>
      </c>
      <c r="D1192" s="17">
        <v>5083</v>
      </c>
      <c r="E1192" s="17" t="s">
        <v>1408</v>
      </c>
      <c r="F1192" s="20">
        <v>65591</v>
      </c>
    </row>
    <row r="1193" spans="1:6" ht="16" customHeight="1" x14ac:dyDescent="0.2">
      <c r="A1193">
        <f>IFERROR(VLOOKUP(C1193,'GASB Match'!$D$2:$F$6042,3,FALSE),"")</f>
        <v>3403960</v>
      </c>
      <c r="B1193" s="17">
        <v>2016</v>
      </c>
      <c r="C1193" s="17" t="s">
        <v>217</v>
      </c>
      <c r="D1193" s="17">
        <v>5083</v>
      </c>
      <c r="E1193" s="17" t="s">
        <v>1408</v>
      </c>
      <c r="F1193" s="20">
        <v>94291</v>
      </c>
    </row>
    <row r="1194" spans="1:6" ht="16" customHeight="1" x14ac:dyDescent="0.2">
      <c r="A1194">
        <f>IFERROR(VLOOKUP(C1194,'GASB Match'!$D$2:$F$6042,3,FALSE),"")</f>
        <v>3403960</v>
      </c>
      <c r="B1194" s="17">
        <v>2018</v>
      </c>
      <c r="C1194" s="17" t="s">
        <v>903</v>
      </c>
      <c r="D1194" s="17">
        <v>5083</v>
      </c>
      <c r="E1194" s="17" t="s">
        <v>1449</v>
      </c>
      <c r="F1194" s="20">
        <v>180086</v>
      </c>
    </row>
    <row r="1195" spans="1:6" ht="16" customHeight="1" x14ac:dyDescent="0.2">
      <c r="A1195">
        <f>IFERROR(VLOOKUP(C1195,'GASB Match'!$D$2:$F$6042,3,FALSE),"")</f>
        <v>3403960</v>
      </c>
      <c r="B1195" s="17">
        <v>2019</v>
      </c>
      <c r="C1195" s="17" t="s">
        <v>903</v>
      </c>
      <c r="D1195" s="17">
        <v>5083</v>
      </c>
      <c r="E1195" s="17" t="s">
        <v>1449</v>
      </c>
      <c r="F1195" s="20">
        <v>244616</v>
      </c>
    </row>
    <row r="1196" spans="1:6" ht="16" customHeight="1" x14ac:dyDescent="0.2">
      <c r="A1196">
        <f>IFERROR(VLOOKUP(C1196,'GASB Match'!$D$2:$F$6042,3,FALSE),"")</f>
        <v>3403960</v>
      </c>
      <c r="B1196" s="17">
        <v>2020</v>
      </c>
      <c r="C1196" s="21" t="s">
        <v>903</v>
      </c>
      <c r="D1196" s="17">
        <v>5083</v>
      </c>
      <c r="E1196" s="17" t="s">
        <v>1449</v>
      </c>
      <c r="F1196" s="23">
        <v>257151</v>
      </c>
    </row>
    <row r="1197" spans="1:6" ht="16" customHeight="1" x14ac:dyDescent="0.2">
      <c r="A1197">
        <f>IFERROR(VLOOKUP(C1197,'GASB Match'!$D$2:$F$6042,3,FALSE),"")</f>
        <v>3403960</v>
      </c>
      <c r="B1197" s="17">
        <v>2021</v>
      </c>
      <c r="C1197" s="25" t="s">
        <v>903</v>
      </c>
      <c r="D1197" s="17">
        <v>5083</v>
      </c>
      <c r="E1197" s="17" t="s">
        <v>1449</v>
      </c>
      <c r="F1197" s="23">
        <v>350719</v>
      </c>
    </row>
    <row r="1198" spans="1:6" ht="16" customHeight="1" x14ac:dyDescent="0.2">
      <c r="A1198">
        <f>IFERROR(VLOOKUP(C1198,'GASB Match'!$D$2:$F$6042,3,FALSE),"")</f>
        <v>3403960</v>
      </c>
      <c r="B1198" s="17">
        <v>2022</v>
      </c>
      <c r="C1198" s="21" t="s">
        <v>903</v>
      </c>
      <c r="D1198" s="17">
        <v>5083</v>
      </c>
      <c r="E1198" s="17" t="s">
        <v>1449</v>
      </c>
      <c r="F1198" s="23">
        <v>495749</v>
      </c>
    </row>
    <row r="1199" spans="1:6" ht="16" customHeight="1" x14ac:dyDescent="0.2">
      <c r="A1199">
        <f>IFERROR(VLOOKUP(C1199,'GASB Match'!$D$2:$F$6042,3,FALSE),"")</f>
        <v>3403960</v>
      </c>
      <c r="B1199" s="17">
        <v>2023</v>
      </c>
      <c r="C1199" s="21" t="s">
        <v>903</v>
      </c>
      <c r="D1199" s="17">
        <v>5083</v>
      </c>
      <c r="E1199" s="17" t="s">
        <v>1449</v>
      </c>
      <c r="F1199" s="23">
        <v>471913</v>
      </c>
    </row>
    <row r="1200" spans="1:6" ht="16" customHeight="1" x14ac:dyDescent="0.2">
      <c r="A1200">
        <f>IFERROR(VLOOKUP(C1200,'GASB Match'!$D$2:$F$6042,3,FALSE),"")</f>
        <v>3403960</v>
      </c>
      <c r="B1200" s="28">
        <v>2017</v>
      </c>
      <c r="C1200" s="29" t="s">
        <v>217</v>
      </c>
      <c r="D1200" s="17">
        <v>5083</v>
      </c>
      <c r="E1200" s="17" t="s">
        <v>1408</v>
      </c>
      <c r="F1200" s="29">
        <v>141688</v>
      </c>
    </row>
    <row r="1201" spans="1:6" ht="16" customHeight="1" x14ac:dyDescent="0.2">
      <c r="A1201">
        <f>IFERROR(VLOOKUP(C1201,'GASB Match'!$D$2:$F$6042,3,FALSE),"")</f>
        <v>3400756</v>
      </c>
      <c r="B1201" s="17">
        <v>2015</v>
      </c>
      <c r="C1201" s="17" t="s">
        <v>302</v>
      </c>
      <c r="D1201" s="17">
        <v>8096</v>
      </c>
      <c r="E1201" s="17" t="s">
        <v>1413</v>
      </c>
      <c r="F1201" s="20">
        <v>82681</v>
      </c>
    </row>
    <row r="1202" spans="1:6" ht="16" customHeight="1" x14ac:dyDescent="0.2">
      <c r="A1202">
        <f>IFERROR(VLOOKUP(C1202,'GASB Match'!$D$2:$F$6042,3,FALSE),"")</f>
        <v>3400756</v>
      </c>
      <c r="B1202" s="17">
        <v>2016</v>
      </c>
      <c r="C1202" s="17" t="s">
        <v>302</v>
      </c>
      <c r="D1202" s="17">
        <v>8096</v>
      </c>
      <c r="E1202" s="17" t="s">
        <v>1413</v>
      </c>
      <c r="F1202" s="20">
        <v>142079</v>
      </c>
    </row>
    <row r="1203" spans="1:6" ht="16" customHeight="1" x14ac:dyDescent="0.2">
      <c r="A1203">
        <f>IFERROR(VLOOKUP(C1203,'GASB Match'!$D$2:$F$6042,3,FALSE),"")</f>
        <v>3400756</v>
      </c>
      <c r="B1203" s="17">
        <v>2018</v>
      </c>
      <c r="C1203" s="17" t="s">
        <v>993</v>
      </c>
      <c r="D1203" s="17">
        <v>8096</v>
      </c>
      <c r="E1203" s="17" t="s">
        <v>1456</v>
      </c>
      <c r="F1203" s="20">
        <v>266089</v>
      </c>
    </row>
    <row r="1204" spans="1:6" ht="16" customHeight="1" x14ac:dyDescent="0.2">
      <c r="A1204">
        <f>IFERROR(VLOOKUP(C1204,'GASB Match'!$D$2:$F$6042,3,FALSE),"")</f>
        <v>3400756</v>
      </c>
      <c r="B1204" s="17">
        <v>2019</v>
      </c>
      <c r="C1204" s="17" t="s">
        <v>993</v>
      </c>
      <c r="D1204" s="17">
        <v>8096</v>
      </c>
      <c r="E1204" s="17" t="s">
        <v>1456</v>
      </c>
      <c r="F1204" s="20">
        <v>389557</v>
      </c>
    </row>
    <row r="1205" spans="1:6" ht="16" customHeight="1" x14ac:dyDescent="0.2">
      <c r="A1205">
        <f>IFERROR(VLOOKUP(C1205,'GASB Match'!$D$2:$F$6042,3,FALSE),"")</f>
        <v>3400756</v>
      </c>
      <c r="B1205" s="17">
        <v>2020</v>
      </c>
      <c r="C1205" s="21" t="s">
        <v>993</v>
      </c>
      <c r="D1205" s="17">
        <v>8096</v>
      </c>
      <c r="E1205" s="17" t="s">
        <v>1456</v>
      </c>
      <c r="F1205" s="23">
        <v>423519</v>
      </c>
    </row>
    <row r="1206" spans="1:6" ht="16" customHeight="1" x14ac:dyDescent="0.2">
      <c r="A1206">
        <f>IFERROR(VLOOKUP(C1206,'GASB Match'!$D$2:$F$6042,3,FALSE),"")</f>
        <v>3400756</v>
      </c>
      <c r="B1206" s="17">
        <v>2021</v>
      </c>
      <c r="C1206" s="25" t="s">
        <v>993</v>
      </c>
      <c r="D1206" s="17">
        <v>8096</v>
      </c>
      <c r="E1206" s="17" t="s">
        <v>1456</v>
      </c>
      <c r="F1206" s="23">
        <v>564173</v>
      </c>
    </row>
    <row r="1207" spans="1:6" ht="16" customHeight="1" x14ac:dyDescent="0.2">
      <c r="A1207">
        <f>IFERROR(VLOOKUP(C1207,'GASB Match'!$D$2:$F$6042,3,FALSE),"")</f>
        <v>3400756</v>
      </c>
      <c r="B1207" s="17">
        <v>2022</v>
      </c>
      <c r="C1207" s="21" t="s">
        <v>993</v>
      </c>
      <c r="D1207" s="17">
        <v>8096</v>
      </c>
      <c r="E1207" s="17" t="s">
        <v>1456</v>
      </c>
      <c r="F1207" s="23">
        <v>709480</v>
      </c>
    </row>
    <row r="1208" spans="1:6" ht="16" customHeight="1" x14ac:dyDescent="0.2">
      <c r="A1208">
        <f>IFERROR(VLOOKUP(C1208,'GASB Match'!$D$2:$F$6042,3,FALSE),"")</f>
        <v>3400756</v>
      </c>
      <c r="B1208" s="17">
        <v>2023</v>
      </c>
      <c r="C1208" s="21" t="s">
        <v>993</v>
      </c>
      <c r="D1208" s="17">
        <v>8096</v>
      </c>
      <c r="E1208" s="17" t="s">
        <v>1456</v>
      </c>
      <c r="F1208" s="23">
        <v>729443</v>
      </c>
    </row>
    <row r="1209" spans="1:6" ht="16" customHeight="1" x14ac:dyDescent="0.2">
      <c r="A1209">
        <f>IFERROR(VLOOKUP(C1209,'GASB Match'!$D$2:$F$6042,3,FALSE),"")</f>
        <v>3400756</v>
      </c>
      <c r="B1209" s="28">
        <v>2017</v>
      </c>
      <c r="C1209" s="29" t="s">
        <v>302</v>
      </c>
      <c r="D1209" s="17">
        <v>8096</v>
      </c>
      <c r="E1209" s="17" t="s">
        <v>1413</v>
      </c>
      <c r="F1209" s="29">
        <v>200949</v>
      </c>
    </row>
    <row r="1210" spans="1:6" ht="16" customHeight="1" x14ac:dyDescent="0.2">
      <c r="A1210">
        <f>IFERROR(VLOOKUP(C1210,'GASB Match'!$D$2:$F$6042,3,FALSE),"")</f>
        <v>3403990</v>
      </c>
      <c r="B1210" s="17">
        <v>2015</v>
      </c>
      <c r="C1210" s="17" t="s">
        <v>40</v>
      </c>
      <c r="D1210" s="17">
        <v>2031</v>
      </c>
      <c r="E1210" s="17" t="s">
        <v>1402</v>
      </c>
      <c r="F1210" s="20">
        <v>1008833</v>
      </c>
    </row>
    <row r="1211" spans="1:6" ht="16" customHeight="1" x14ac:dyDescent="0.2">
      <c r="A1211">
        <f>IFERROR(VLOOKUP(C1211,'GASB Match'!$D$2:$F$6042,3,FALSE),"")</f>
        <v>3403990</v>
      </c>
      <c r="B1211" s="17">
        <v>2016</v>
      </c>
      <c r="C1211" s="17" t="s">
        <v>40</v>
      </c>
      <c r="D1211" s="17">
        <v>2031</v>
      </c>
      <c r="E1211" s="17" t="s">
        <v>1402</v>
      </c>
      <c r="F1211" s="20">
        <v>1531664</v>
      </c>
    </row>
    <row r="1212" spans="1:6" ht="16" customHeight="1" x14ac:dyDescent="0.2">
      <c r="A1212">
        <f>IFERROR(VLOOKUP(C1212,'GASB Match'!$D$2:$F$6042,3,FALSE),"")</f>
        <v>3403990</v>
      </c>
      <c r="B1212" s="17">
        <v>2018</v>
      </c>
      <c r="C1212" s="17" t="s">
        <v>718</v>
      </c>
      <c r="D1212" s="17">
        <v>2031</v>
      </c>
      <c r="E1212" s="17" t="s">
        <v>1443</v>
      </c>
      <c r="F1212" s="20">
        <v>2793010</v>
      </c>
    </row>
    <row r="1213" spans="1:6" ht="16" customHeight="1" x14ac:dyDescent="0.2">
      <c r="A1213">
        <f>IFERROR(VLOOKUP(C1213,'GASB Match'!$D$2:$F$6042,3,FALSE),"")</f>
        <v>3403990</v>
      </c>
      <c r="B1213" s="17">
        <v>2019</v>
      </c>
      <c r="C1213" s="17" t="s">
        <v>718</v>
      </c>
      <c r="D1213" s="17">
        <v>2031</v>
      </c>
      <c r="E1213" s="17" t="s">
        <v>1443</v>
      </c>
      <c r="F1213" s="20">
        <v>3575437</v>
      </c>
    </row>
    <row r="1214" spans="1:6" ht="16" customHeight="1" x14ac:dyDescent="0.2">
      <c r="A1214">
        <f>IFERROR(VLOOKUP(C1214,'GASB Match'!$D$2:$F$6042,3,FALSE),"")</f>
        <v>3403990</v>
      </c>
      <c r="B1214" s="17">
        <v>2020</v>
      </c>
      <c r="C1214" s="21" t="s">
        <v>718</v>
      </c>
      <c r="D1214" s="17">
        <v>2031</v>
      </c>
      <c r="E1214" s="17" t="s">
        <v>1443</v>
      </c>
      <c r="F1214" s="23">
        <v>4308459</v>
      </c>
    </row>
    <row r="1215" spans="1:6" ht="16" customHeight="1" x14ac:dyDescent="0.2">
      <c r="A1215">
        <f>IFERROR(VLOOKUP(C1215,'GASB Match'!$D$2:$F$6042,3,FALSE),"")</f>
        <v>3403990</v>
      </c>
      <c r="B1215" s="17">
        <v>2021</v>
      </c>
      <c r="C1215" s="25" t="s">
        <v>718</v>
      </c>
      <c r="D1215" s="17">
        <v>2031</v>
      </c>
      <c r="E1215" s="17" t="s">
        <v>1443</v>
      </c>
      <c r="F1215" s="23">
        <v>5332653</v>
      </c>
    </row>
    <row r="1216" spans="1:6" ht="16" customHeight="1" x14ac:dyDescent="0.2">
      <c r="A1216">
        <f>IFERROR(VLOOKUP(C1216,'GASB Match'!$D$2:$F$6042,3,FALSE),"")</f>
        <v>3403990</v>
      </c>
      <c r="B1216" s="17">
        <v>2022</v>
      </c>
      <c r="C1216" s="21" t="s">
        <v>718</v>
      </c>
      <c r="D1216" s="17">
        <v>2031</v>
      </c>
      <c r="E1216" s="17" t="s">
        <v>1443</v>
      </c>
      <c r="F1216" s="23">
        <v>7745556</v>
      </c>
    </row>
    <row r="1217" spans="1:6" ht="16" customHeight="1" x14ac:dyDescent="0.2">
      <c r="A1217">
        <f>IFERROR(VLOOKUP(C1217,'GASB Match'!$D$2:$F$6042,3,FALSE),"")</f>
        <v>3403990</v>
      </c>
      <c r="B1217" s="17">
        <v>2023</v>
      </c>
      <c r="C1217" s="21" t="s">
        <v>718</v>
      </c>
      <c r="D1217" s="17">
        <v>2031</v>
      </c>
      <c r="E1217" s="17" t="s">
        <v>1443</v>
      </c>
      <c r="F1217" s="23">
        <v>7735902</v>
      </c>
    </row>
    <row r="1218" spans="1:6" ht="16" customHeight="1" x14ac:dyDescent="0.2">
      <c r="A1218">
        <f>IFERROR(VLOOKUP(C1218,'GASB Match'!$D$2:$F$6042,3,FALSE),"")</f>
        <v>3403990</v>
      </c>
      <c r="B1218" s="28">
        <v>2017</v>
      </c>
      <c r="C1218" s="29" t="s">
        <v>40</v>
      </c>
      <c r="D1218" s="17">
        <v>2031</v>
      </c>
      <c r="E1218" s="17" t="s">
        <v>1402</v>
      </c>
      <c r="F1218" s="29">
        <v>2108672</v>
      </c>
    </row>
    <row r="1219" spans="1:6" ht="16" customHeight="1" x14ac:dyDescent="0.2">
      <c r="A1219">
        <f>IFERROR(VLOOKUP(C1219,'GASB Match'!$D$2:$F$6042,3,FALSE),"")</f>
        <v>3404020</v>
      </c>
      <c r="B1219" s="17">
        <v>2015</v>
      </c>
      <c r="C1219" s="17" t="s">
        <v>375</v>
      </c>
      <c r="D1219" s="17">
        <v>233</v>
      </c>
      <c r="E1219" s="17" t="s">
        <v>1418</v>
      </c>
      <c r="F1219" s="20">
        <v>372094</v>
      </c>
    </row>
    <row r="1220" spans="1:6" ht="16" customHeight="1" x14ac:dyDescent="0.2">
      <c r="A1220">
        <f>IFERROR(VLOOKUP(C1220,'GASB Match'!$D$2:$F$6042,3,FALSE),"")</f>
        <v>3404020</v>
      </c>
      <c r="B1220" s="17">
        <v>2016</v>
      </c>
      <c r="C1220" s="17" t="s">
        <v>375</v>
      </c>
      <c r="D1220" s="17">
        <v>233</v>
      </c>
      <c r="E1220" s="17" t="s">
        <v>1418</v>
      </c>
      <c r="F1220" s="20">
        <v>552683</v>
      </c>
    </row>
    <row r="1221" spans="1:6" ht="16" customHeight="1" x14ac:dyDescent="0.2">
      <c r="A1221">
        <f>IFERROR(VLOOKUP(C1221,'GASB Match'!$D$2:$F$6042,3,FALSE),"")</f>
        <v>3404020</v>
      </c>
      <c r="B1221" s="17">
        <v>2018</v>
      </c>
      <c r="C1221" s="17" t="s">
        <v>1067</v>
      </c>
      <c r="D1221" s="17">
        <v>233</v>
      </c>
      <c r="E1221" s="17" t="s">
        <v>1461</v>
      </c>
      <c r="F1221" s="20">
        <v>1043229</v>
      </c>
    </row>
    <row r="1222" spans="1:6" ht="16" customHeight="1" x14ac:dyDescent="0.2">
      <c r="A1222">
        <f>IFERROR(VLOOKUP(C1222,'GASB Match'!$D$2:$F$6042,3,FALSE),"")</f>
        <v>3404020</v>
      </c>
      <c r="B1222" s="17">
        <v>2019</v>
      </c>
      <c r="C1222" s="17" t="s">
        <v>1067</v>
      </c>
      <c r="D1222" s="17">
        <v>233</v>
      </c>
      <c r="E1222" s="17" t="s">
        <v>1461</v>
      </c>
      <c r="F1222" s="20">
        <v>1383399</v>
      </c>
    </row>
    <row r="1223" spans="1:6" ht="16" customHeight="1" x14ac:dyDescent="0.2">
      <c r="A1223">
        <f>IFERROR(VLOOKUP(C1223,'GASB Match'!$D$2:$F$6042,3,FALSE),"")</f>
        <v>3404020</v>
      </c>
      <c r="B1223" s="17">
        <v>2020</v>
      </c>
      <c r="C1223" s="21" t="s">
        <v>1067</v>
      </c>
      <c r="D1223" s="17">
        <v>233</v>
      </c>
      <c r="E1223" s="17" t="s">
        <v>1461</v>
      </c>
      <c r="F1223" s="23">
        <v>1573765</v>
      </c>
    </row>
    <row r="1224" spans="1:6" ht="16" customHeight="1" x14ac:dyDescent="0.2">
      <c r="A1224">
        <f>IFERROR(VLOOKUP(C1224,'GASB Match'!$D$2:$F$6042,3,FALSE),"")</f>
        <v>3404020</v>
      </c>
      <c r="B1224" s="17">
        <v>2021</v>
      </c>
      <c r="C1224" s="25" t="s">
        <v>1067</v>
      </c>
      <c r="D1224" s="17">
        <v>233</v>
      </c>
      <c r="E1224" s="17" t="s">
        <v>1461</v>
      </c>
      <c r="F1224" s="23">
        <v>2069625</v>
      </c>
    </row>
    <row r="1225" spans="1:6" ht="16" customHeight="1" x14ac:dyDescent="0.2">
      <c r="A1225">
        <f>IFERROR(VLOOKUP(C1225,'GASB Match'!$D$2:$F$6042,3,FALSE),"")</f>
        <v>3404020</v>
      </c>
      <c r="B1225" s="17">
        <v>2022</v>
      </c>
      <c r="C1225" s="21" t="s">
        <v>1067</v>
      </c>
      <c r="D1225" s="17">
        <v>233</v>
      </c>
      <c r="E1225" s="17" t="s">
        <v>1461</v>
      </c>
      <c r="F1225" s="23">
        <v>2990832</v>
      </c>
    </row>
    <row r="1226" spans="1:6" ht="16" customHeight="1" x14ac:dyDescent="0.2">
      <c r="A1226">
        <f>IFERROR(VLOOKUP(C1226,'GASB Match'!$D$2:$F$6042,3,FALSE),"")</f>
        <v>3404020</v>
      </c>
      <c r="B1226" s="17">
        <v>2023</v>
      </c>
      <c r="C1226" s="21" t="s">
        <v>1067</v>
      </c>
      <c r="D1226" s="17">
        <v>233</v>
      </c>
      <c r="E1226" s="17" t="s">
        <v>1461</v>
      </c>
      <c r="F1226" s="23">
        <v>2968391</v>
      </c>
    </row>
    <row r="1227" spans="1:6" ht="16" customHeight="1" x14ac:dyDescent="0.2">
      <c r="A1227">
        <f>IFERROR(VLOOKUP(C1227,'GASB Match'!$D$2:$F$6042,3,FALSE),"")</f>
        <v>3404020</v>
      </c>
      <c r="B1227" s="28">
        <v>2017</v>
      </c>
      <c r="C1227" s="29" t="s">
        <v>375</v>
      </c>
      <c r="D1227" s="17">
        <v>233</v>
      </c>
      <c r="E1227" s="17" t="s">
        <v>1418</v>
      </c>
      <c r="F1227" s="29">
        <v>727567</v>
      </c>
    </row>
    <row r="1228" spans="1:6" ht="16" customHeight="1" x14ac:dyDescent="0.2">
      <c r="A1228">
        <f>IFERROR(VLOOKUP(C1228,'GASB Match'!$D$2:$F$6042,3,FALSE),"")</f>
        <v>3404050</v>
      </c>
      <c r="B1228" s="17">
        <v>2015</v>
      </c>
      <c r="C1228" s="17" t="s">
        <v>500</v>
      </c>
      <c r="D1228" s="17">
        <v>516</v>
      </c>
      <c r="E1228" s="17" t="s">
        <v>1422</v>
      </c>
      <c r="F1228" s="20">
        <v>54692</v>
      </c>
    </row>
    <row r="1229" spans="1:6" ht="16" customHeight="1" x14ac:dyDescent="0.2">
      <c r="A1229">
        <f>IFERROR(VLOOKUP(C1229,'GASB Match'!$D$2:$F$6042,3,FALSE),"")</f>
        <v>3404050</v>
      </c>
      <c r="B1229" s="17">
        <v>2016</v>
      </c>
      <c r="C1229" s="17" t="s">
        <v>500</v>
      </c>
      <c r="D1229" s="17">
        <v>516</v>
      </c>
      <c r="E1229" s="17" t="s">
        <v>1422</v>
      </c>
      <c r="F1229" s="20">
        <v>89484</v>
      </c>
    </row>
    <row r="1230" spans="1:6" ht="16" customHeight="1" x14ac:dyDescent="0.2">
      <c r="A1230">
        <f>IFERROR(VLOOKUP(C1230,'GASB Match'!$D$2:$F$6042,3,FALSE),"")</f>
        <v>3404050</v>
      </c>
      <c r="B1230" s="17">
        <v>2018</v>
      </c>
      <c r="C1230" s="17" t="s">
        <v>1192</v>
      </c>
      <c r="D1230" s="17">
        <v>516</v>
      </c>
      <c r="E1230" s="17" t="s">
        <v>1465</v>
      </c>
      <c r="F1230" s="20">
        <v>171828</v>
      </c>
    </row>
    <row r="1231" spans="1:6" ht="16" customHeight="1" x14ac:dyDescent="0.2">
      <c r="A1231">
        <f>IFERROR(VLOOKUP(C1231,'GASB Match'!$D$2:$F$6042,3,FALSE),"")</f>
        <v>3404050</v>
      </c>
      <c r="B1231" s="17">
        <v>2019</v>
      </c>
      <c r="C1231" s="17" t="s">
        <v>1192</v>
      </c>
      <c r="D1231" s="17">
        <v>516</v>
      </c>
      <c r="E1231" s="17" t="s">
        <v>1465</v>
      </c>
      <c r="F1231" s="20">
        <v>238864</v>
      </c>
    </row>
    <row r="1232" spans="1:6" ht="16" customHeight="1" x14ac:dyDescent="0.2">
      <c r="A1232">
        <f>IFERROR(VLOOKUP(C1232,'GASB Match'!$D$2:$F$6042,3,FALSE),"")</f>
        <v>3404050</v>
      </c>
      <c r="B1232" s="17">
        <v>2020</v>
      </c>
      <c r="C1232" s="21" t="s">
        <v>1192</v>
      </c>
      <c r="D1232" s="17">
        <v>516</v>
      </c>
      <c r="E1232" s="17" t="s">
        <v>1465</v>
      </c>
      <c r="F1232" s="23">
        <v>274184</v>
      </c>
    </row>
    <row r="1233" spans="1:6" ht="16" customHeight="1" x14ac:dyDescent="0.2">
      <c r="A1233">
        <f>IFERROR(VLOOKUP(C1233,'GASB Match'!$D$2:$F$6042,3,FALSE),"")</f>
        <v>3404050</v>
      </c>
      <c r="B1233" s="17">
        <v>2021</v>
      </c>
      <c r="C1233" s="25" t="s">
        <v>1192</v>
      </c>
      <c r="D1233" s="17">
        <v>516</v>
      </c>
      <c r="E1233" s="17" t="s">
        <v>1465</v>
      </c>
      <c r="F1233" s="23">
        <v>355891</v>
      </c>
    </row>
    <row r="1234" spans="1:6" ht="16" customHeight="1" x14ac:dyDescent="0.2">
      <c r="A1234">
        <f>IFERROR(VLOOKUP(C1234,'GASB Match'!$D$2:$F$6042,3,FALSE),"")</f>
        <v>3404050</v>
      </c>
      <c r="B1234" s="17">
        <v>2022</v>
      </c>
      <c r="C1234" s="21" t="s">
        <v>1192</v>
      </c>
      <c r="D1234" s="17">
        <v>516</v>
      </c>
      <c r="E1234" s="17" t="s">
        <v>1465</v>
      </c>
      <c r="F1234" s="23">
        <v>462705</v>
      </c>
    </row>
    <row r="1235" spans="1:6" ht="16" customHeight="1" x14ac:dyDescent="0.2">
      <c r="A1235">
        <f>IFERROR(VLOOKUP(C1235,'GASB Match'!$D$2:$F$6042,3,FALSE),"")</f>
        <v>3404050</v>
      </c>
      <c r="B1235" s="17">
        <v>2023</v>
      </c>
      <c r="C1235" s="21" t="s">
        <v>1192</v>
      </c>
      <c r="D1235" s="17">
        <v>516</v>
      </c>
      <c r="E1235" s="17" t="s">
        <v>1465</v>
      </c>
      <c r="F1235" s="23">
        <v>541323</v>
      </c>
    </row>
    <row r="1236" spans="1:6" ht="16" customHeight="1" x14ac:dyDescent="0.2">
      <c r="A1236">
        <f>IFERROR(VLOOKUP(C1236,'GASB Match'!$D$2:$F$6042,3,FALSE),"")</f>
        <v>3404050</v>
      </c>
      <c r="B1236" s="28">
        <v>2017</v>
      </c>
      <c r="C1236" s="29" t="s">
        <v>500</v>
      </c>
      <c r="D1236" s="17">
        <v>516</v>
      </c>
      <c r="E1236" s="17" t="s">
        <v>1422</v>
      </c>
      <c r="F1236" s="29">
        <v>135043</v>
      </c>
    </row>
    <row r="1237" spans="1:6" ht="16" customHeight="1" x14ac:dyDescent="0.2">
      <c r="A1237">
        <f>IFERROR(VLOOKUP(C1237,'GASB Match'!$D$2:$F$6042,3,FALSE),"")</f>
        <v>3404080</v>
      </c>
      <c r="B1237" s="17">
        <v>2015</v>
      </c>
      <c r="C1237" s="17" t="s">
        <v>333</v>
      </c>
      <c r="D1237" s="17">
        <v>9018</v>
      </c>
      <c r="E1237" s="17" t="s">
        <v>1415</v>
      </c>
      <c r="F1237" s="20">
        <v>199137</v>
      </c>
    </row>
    <row r="1238" spans="1:6" ht="16" customHeight="1" x14ac:dyDescent="0.2">
      <c r="A1238">
        <f>IFERROR(VLOOKUP(C1238,'GASB Match'!$D$2:$F$6042,3,FALSE),"")</f>
        <v>3404080</v>
      </c>
      <c r="B1238" s="17">
        <v>2016</v>
      </c>
      <c r="C1238" s="17" t="s">
        <v>333</v>
      </c>
      <c r="D1238" s="17">
        <v>9018</v>
      </c>
      <c r="E1238" s="17" t="s">
        <v>1415</v>
      </c>
      <c r="F1238" s="20">
        <v>282264</v>
      </c>
    </row>
    <row r="1239" spans="1:6" ht="16" customHeight="1" x14ac:dyDescent="0.2">
      <c r="A1239">
        <f>IFERROR(VLOOKUP(C1239,'GASB Match'!$D$2:$F$6042,3,FALSE),"")</f>
        <v>3404080</v>
      </c>
      <c r="B1239" s="17">
        <v>2018</v>
      </c>
      <c r="C1239" s="17" t="s">
        <v>1026</v>
      </c>
      <c r="D1239" s="17">
        <v>9018</v>
      </c>
      <c r="E1239" s="17" t="s">
        <v>1458</v>
      </c>
      <c r="F1239" s="20">
        <v>519820</v>
      </c>
    </row>
    <row r="1240" spans="1:6" ht="16" customHeight="1" x14ac:dyDescent="0.2">
      <c r="A1240">
        <f>IFERROR(VLOOKUP(C1240,'GASB Match'!$D$2:$F$6042,3,FALSE),"")</f>
        <v>3404080</v>
      </c>
      <c r="B1240" s="17">
        <v>2019</v>
      </c>
      <c r="C1240" s="17" t="s">
        <v>1026</v>
      </c>
      <c r="D1240" s="17">
        <v>9018</v>
      </c>
      <c r="E1240" s="17" t="s">
        <v>1458</v>
      </c>
      <c r="F1240" s="20">
        <v>679211</v>
      </c>
    </row>
    <row r="1241" spans="1:6" ht="16" customHeight="1" x14ac:dyDescent="0.2">
      <c r="A1241">
        <f>IFERROR(VLOOKUP(C1241,'GASB Match'!$D$2:$F$6042,3,FALSE),"")</f>
        <v>3404080</v>
      </c>
      <c r="B1241" s="17">
        <v>2020</v>
      </c>
      <c r="C1241" s="21" t="s">
        <v>1026</v>
      </c>
      <c r="D1241" s="17">
        <v>9018</v>
      </c>
      <c r="E1241" s="17" t="s">
        <v>1458</v>
      </c>
      <c r="F1241" s="23">
        <v>758695</v>
      </c>
    </row>
    <row r="1242" spans="1:6" ht="16" customHeight="1" x14ac:dyDescent="0.2">
      <c r="A1242">
        <f>IFERROR(VLOOKUP(C1242,'GASB Match'!$D$2:$F$6042,3,FALSE),"")</f>
        <v>3404080</v>
      </c>
      <c r="B1242" s="17">
        <v>2021</v>
      </c>
      <c r="C1242" s="25" t="s">
        <v>1026</v>
      </c>
      <c r="D1242" s="17">
        <v>9018</v>
      </c>
      <c r="E1242" s="17" t="s">
        <v>1458</v>
      </c>
      <c r="F1242" s="23">
        <v>945736</v>
      </c>
    </row>
    <row r="1243" spans="1:6" ht="16" customHeight="1" x14ac:dyDescent="0.2">
      <c r="A1243">
        <f>IFERROR(VLOOKUP(C1243,'GASB Match'!$D$2:$F$6042,3,FALSE),"")</f>
        <v>3404080</v>
      </c>
      <c r="B1243" s="17">
        <v>2022</v>
      </c>
      <c r="C1243" s="21" t="s">
        <v>1026</v>
      </c>
      <c r="D1243" s="17">
        <v>9018</v>
      </c>
      <c r="E1243" s="17" t="s">
        <v>1458</v>
      </c>
      <c r="F1243" s="23">
        <v>1410337</v>
      </c>
    </row>
    <row r="1244" spans="1:6" ht="16" customHeight="1" x14ac:dyDescent="0.2">
      <c r="A1244">
        <f>IFERROR(VLOOKUP(C1244,'GASB Match'!$D$2:$F$6042,3,FALSE),"")</f>
        <v>3404080</v>
      </c>
      <c r="B1244" s="17">
        <v>2023</v>
      </c>
      <c r="C1244" s="21" t="s">
        <v>1026</v>
      </c>
      <c r="D1244" s="17">
        <v>9018</v>
      </c>
      <c r="E1244" s="17" t="s">
        <v>1458</v>
      </c>
      <c r="F1244" s="23">
        <v>1338372</v>
      </c>
    </row>
    <row r="1245" spans="1:6" ht="16" customHeight="1" x14ac:dyDescent="0.2">
      <c r="A1245">
        <f>IFERROR(VLOOKUP(C1245,'GASB Match'!$D$2:$F$6042,3,FALSE),"")</f>
        <v>3404080</v>
      </c>
      <c r="B1245" s="28">
        <v>2017</v>
      </c>
      <c r="C1245" s="29" t="s">
        <v>333</v>
      </c>
      <c r="D1245" s="17">
        <v>9018</v>
      </c>
      <c r="E1245" s="17" t="s">
        <v>1415</v>
      </c>
      <c r="F1245" s="29">
        <v>403833</v>
      </c>
    </row>
    <row r="1246" spans="1:6" ht="16" customHeight="1" x14ac:dyDescent="0.2">
      <c r="A1246">
        <f>IFERROR(VLOOKUP(C1246,'GASB Match'!$D$2:$F$6042,3,FALSE),"")</f>
        <v>3404110</v>
      </c>
      <c r="B1246" s="17">
        <v>2015</v>
      </c>
      <c r="C1246" s="17" t="s">
        <v>376</v>
      </c>
      <c r="D1246" s="17">
        <v>234</v>
      </c>
      <c r="E1246" s="17" t="s">
        <v>1418</v>
      </c>
      <c r="F1246" s="20">
        <v>3083923</v>
      </c>
    </row>
    <row r="1247" spans="1:6" ht="16" customHeight="1" x14ac:dyDescent="0.2">
      <c r="A1247">
        <f>IFERROR(VLOOKUP(C1247,'GASB Match'!$D$2:$F$6042,3,FALSE),"")</f>
        <v>3404110</v>
      </c>
      <c r="B1247" s="17">
        <v>2016</v>
      </c>
      <c r="C1247" s="17" t="s">
        <v>376</v>
      </c>
      <c r="D1247" s="17">
        <v>234</v>
      </c>
      <c r="E1247" s="17" t="s">
        <v>1418</v>
      </c>
      <c r="F1247" s="20">
        <v>4817264</v>
      </c>
    </row>
    <row r="1248" spans="1:6" ht="16" customHeight="1" x14ac:dyDescent="0.2">
      <c r="A1248">
        <f>IFERROR(VLOOKUP(C1248,'GASB Match'!$D$2:$F$6042,3,FALSE),"")</f>
        <v>3404110</v>
      </c>
      <c r="B1248" s="17">
        <v>2018</v>
      </c>
      <c r="C1248" s="17" t="s">
        <v>1068</v>
      </c>
      <c r="D1248" s="17">
        <v>234</v>
      </c>
      <c r="E1248" s="17" t="s">
        <v>1461</v>
      </c>
      <c r="F1248" s="20">
        <v>9117587</v>
      </c>
    </row>
    <row r="1249" spans="1:6" ht="16" customHeight="1" x14ac:dyDescent="0.2">
      <c r="A1249">
        <f>IFERROR(VLOOKUP(C1249,'GASB Match'!$D$2:$F$6042,3,FALSE),"")</f>
        <v>3404110</v>
      </c>
      <c r="B1249" s="17">
        <v>2019</v>
      </c>
      <c r="C1249" s="17" t="s">
        <v>1068</v>
      </c>
      <c r="D1249" s="17">
        <v>234</v>
      </c>
      <c r="E1249" s="17" t="s">
        <v>1461</v>
      </c>
      <c r="F1249" s="20">
        <v>12130993</v>
      </c>
    </row>
    <row r="1250" spans="1:6" ht="16" customHeight="1" x14ac:dyDescent="0.2">
      <c r="A1250">
        <f>IFERROR(VLOOKUP(C1250,'GASB Match'!$D$2:$F$6042,3,FALSE),"")</f>
        <v>3404110</v>
      </c>
      <c r="B1250" s="17">
        <v>2020</v>
      </c>
      <c r="C1250" s="21" t="s">
        <v>1068</v>
      </c>
      <c r="D1250" s="17">
        <v>234</v>
      </c>
      <c r="E1250" s="17" t="s">
        <v>1461</v>
      </c>
      <c r="F1250" s="23">
        <v>13561567</v>
      </c>
    </row>
    <row r="1251" spans="1:6" ht="16" customHeight="1" x14ac:dyDescent="0.2">
      <c r="A1251">
        <f>IFERROR(VLOOKUP(C1251,'GASB Match'!$D$2:$F$6042,3,FALSE),"")</f>
        <v>3404110</v>
      </c>
      <c r="B1251" s="17">
        <v>2021</v>
      </c>
      <c r="C1251" s="25" t="s">
        <v>1068</v>
      </c>
      <c r="D1251" s="17">
        <v>234</v>
      </c>
      <c r="E1251" s="17" t="s">
        <v>1461</v>
      </c>
      <c r="F1251" s="23">
        <v>17171437</v>
      </c>
    </row>
    <row r="1252" spans="1:6" ht="16" customHeight="1" x14ac:dyDescent="0.2">
      <c r="A1252">
        <f>IFERROR(VLOOKUP(C1252,'GASB Match'!$D$2:$F$6042,3,FALSE),"")</f>
        <v>3404110</v>
      </c>
      <c r="B1252" s="17">
        <v>2022</v>
      </c>
      <c r="C1252" s="21" t="s">
        <v>1068</v>
      </c>
      <c r="D1252" s="17">
        <v>234</v>
      </c>
      <c r="E1252" s="17" t="s">
        <v>1461</v>
      </c>
      <c r="F1252" s="23">
        <v>24839622</v>
      </c>
    </row>
    <row r="1253" spans="1:6" ht="16" customHeight="1" x14ac:dyDescent="0.2">
      <c r="A1253">
        <f>IFERROR(VLOOKUP(C1253,'GASB Match'!$D$2:$F$6042,3,FALSE),"")</f>
        <v>3404110</v>
      </c>
      <c r="B1253" s="17">
        <v>2023</v>
      </c>
      <c r="C1253" s="21" t="s">
        <v>1068</v>
      </c>
      <c r="D1253" s="17">
        <v>234</v>
      </c>
      <c r="E1253" s="17" t="s">
        <v>1461</v>
      </c>
      <c r="F1253" s="23">
        <v>24370884</v>
      </c>
    </row>
    <row r="1254" spans="1:6" ht="16" customHeight="1" x14ac:dyDescent="0.2">
      <c r="A1254">
        <f>IFERROR(VLOOKUP(C1254,'GASB Match'!$D$2:$F$6042,3,FALSE),"")</f>
        <v>3404110</v>
      </c>
      <c r="B1254" s="28">
        <v>2017</v>
      </c>
      <c r="C1254" s="29" t="s">
        <v>376</v>
      </c>
      <c r="D1254" s="17">
        <v>234</v>
      </c>
      <c r="E1254" s="17" t="s">
        <v>1418</v>
      </c>
      <c r="F1254" s="29">
        <v>6787791</v>
      </c>
    </row>
    <row r="1255" spans="1:6" ht="16" customHeight="1" x14ac:dyDescent="0.2">
      <c r="A1255">
        <f>IFERROR(VLOOKUP(C1255,'GASB Match'!$D$2:$F$6042,3,FALSE),"")</f>
        <v>3404140</v>
      </c>
      <c r="B1255" s="17">
        <v>2015</v>
      </c>
      <c r="C1255" s="17" t="s">
        <v>276</v>
      </c>
      <c r="D1255" s="17">
        <v>7013</v>
      </c>
      <c r="E1255" s="17" t="s">
        <v>1412</v>
      </c>
      <c r="F1255" s="20">
        <v>333713</v>
      </c>
    </row>
    <row r="1256" spans="1:6" ht="16" customHeight="1" x14ac:dyDescent="0.2">
      <c r="A1256">
        <f>IFERROR(VLOOKUP(C1256,'GASB Match'!$D$2:$F$6042,3,FALSE),"")</f>
        <v>3404140</v>
      </c>
      <c r="B1256" s="17">
        <v>2016</v>
      </c>
      <c r="C1256" s="17" t="s">
        <v>276</v>
      </c>
      <c r="D1256" s="17">
        <v>7013</v>
      </c>
      <c r="E1256" s="17" t="s">
        <v>1412</v>
      </c>
      <c r="F1256" s="20">
        <v>502687</v>
      </c>
    </row>
    <row r="1257" spans="1:6" ht="16" customHeight="1" x14ac:dyDescent="0.2">
      <c r="A1257">
        <f>IFERROR(VLOOKUP(C1257,'GASB Match'!$D$2:$F$6042,3,FALSE),"")</f>
        <v>3404140</v>
      </c>
      <c r="B1257" s="17">
        <v>2018</v>
      </c>
      <c r="C1257" s="17" t="s">
        <v>966</v>
      </c>
      <c r="D1257" s="17">
        <v>7013</v>
      </c>
      <c r="E1257" s="17" t="s">
        <v>1454</v>
      </c>
      <c r="F1257" s="20">
        <v>1060427</v>
      </c>
    </row>
    <row r="1258" spans="1:6" ht="16" customHeight="1" x14ac:dyDescent="0.2">
      <c r="A1258">
        <f>IFERROR(VLOOKUP(C1258,'GASB Match'!$D$2:$F$6042,3,FALSE),"")</f>
        <v>3404140</v>
      </c>
      <c r="B1258" s="17">
        <v>2019</v>
      </c>
      <c r="C1258" s="17" t="s">
        <v>966</v>
      </c>
      <c r="D1258" s="17">
        <v>7013</v>
      </c>
      <c r="E1258" s="17" t="s">
        <v>1454</v>
      </c>
      <c r="F1258" s="20">
        <v>1437659</v>
      </c>
    </row>
    <row r="1259" spans="1:6" ht="16" customHeight="1" x14ac:dyDescent="0.2">
      <c r="A1259">
        <f>IFERROR(VLOOKUP(C1259,'GASB Match'!$D$2:$F$6042,3,FALSE),"")</f>
        <v>3404140</v>
      </c>
      <c r="B1259" s="17">
        <v>2020</v>
      </c>
      <c r="C1259" s="21" t="s">
        <v>966</v>
      </c>
      <c r="D1259" s="17">
        <v>7013</v>
      </c>
      <c r="E1259" s="17" t="s">
        <v>1454</v>
      </c>
      <c r="F1259" s="23">
        <v>1622050</v>
      </c>
    </row>
    <row r="1260" spans="1:6" ht="16" customHeight="1" x14ac:dyDescent="0.2">
      <c r="A1260">
        <f>IFERROR(VLOOKUP(C1260,'GASB Match'!$D$2:$F$6042,3,FALSE),"")</f>
        <v>3404140</v>
      </c>
      <c r="B1260" s="17">
        <v>2021</v>
      </c>
      <c r="C1260" s="25" t="s">
        <v>966</v>
      </c>
      <c r="D1260" s="17">
        <v>7013</v>
      </c>
      <c r="E1260" s="17" t="s">
        <v>1454</v>
      </c>
      <c r="F1260" s="23">
        <v>2216693</v>
      </c>
    </row>
    <row r="1261" spans="1:6" ht="16" customHeight="1" x14ac:dyDescent="0.2">
      <c r="A1261">
        <f>IFERROR(VLOOKUP(C1261,'GASB Match'!$D$2:$F$6042,3,FALSE),"")</f>
        <v>3404140</v>
      </c>
      <c r="B1261" s="17">
        <v>2022</v>
      </c>
      <c r="C1261" s="21" t="s">
        <v>966</v>
      </c>
      <c r="D1261" s="17">
        <v>7013</v>
      </c>
      <c r="E1261" s="17" t="s">
        <v>1454</v>
      </c>
      <c r="F1261" s="23">
        <v>3241874</v>
      </c>
    </row>
    <row r="1262" spans="1:6" ht="16" customHeight="1" x14ac:dyDescent="0.2">
      <c r="A1262">
        <f>IFERROR(VLOOKUP(C1262,'GASB Match'!$D$2:$F$6042,3,FALSE),"")</f>
        <v>3404140</v>
      </c>
      <c r="B1262" s="17">
        <v>2023</v>
      </c>
      <c r="C1262" s="21" t="s">
        <v>966</v>
      </c>
      <c r="D1262" s="17">
        <v>7013</v>
      </c>
      <c r="E1262" s="17" t="s">
        <v>1454</v>
      </c>
      <c r="F1262" s="23">
        <v>3147387</v>
      </c>
    </row>
    <row r="1263" spans="1:6" ht="16" customHeight="1" x14ac:dyDescent="0.2">
      <c r="A1263">
        <f>IFERROR(VLOOKUP(C1263,'GASB Match'!$D$2:$F$6042,3,FALSE),"")</f>
        <v>3404140</v>
      </c>
      <c r="B1263" s="28">
        <v>2017</v>
      </c>
      <c r="C1263" s="29" t="s">
        <v>276</v>
      </c>
      <c r="D1263" s="17">
        <v>7013</v>
      </c>
      <c r="E1263" s="17" t="s">
        <v>1412</v>
      </c>
      <c r="F1263" s="29">
        <v>754760</v>
      </c>
    </row>
    <row r="1264" spans="1:6" ht="16" customHeight="1" x14ac:dyDescent="0.2">
      <c r="A1264">
        <f>IFERROR(VLOOKUP(C1264,'GASB Match'!$D$2:$F$6042,3,FALSE),"")</f>
        <v>3404170</v>
      </c>
      <c r="B1264" s="17">
        <v>2015</v>
      </c>
      <c r="C1264" s="17" t="s">
        <v>461</v>
      </c>
      <c r="D1264" s="17">
        <v>448</v>
      </c>
      <c r="E1264" s="17" t="s">
        <v>1421</v>
      </c>
      <c r="F1264" s="20">
        <v>440055</v>
      </c>
    </row>
    <row r="1265" spans="1:6" ht="16" customHeight="1" x14ac:dyDescent="0.2">
      <c r="A1265">
        <f>IFERROR(VLOOKUP(C1265,'GASB Match'!$D$2:$F$6042,3,FALSE),"")</f>
        <v>3404170</v>
      </c>
      <c r="B1265" s="17">
        <v>2016</v>
      </c>
      <c r="C1265" s="17" t="s">
        <v>461</v>
      </c>
      <c r="D1265" s="17">
        <v>448</v>
      </c>
      <c r="E1265" s="17" t="s">
        <v>1421</v>
      </c>
      <c r="F1265" s="20">
        <v>645412</v>
      </c>
    </row>
    <row r="1266" spans="1:6" ht="16" customHeight="1" x14ac:dyDescent="0.2">
      <c r="A1266">
        <f>IFERROR(VLOOKUP(C1266,'GASB Match'!$D$2:$F$6042,3,FALSE),"")</f>
        <v>3404170</v>
      </c>
      <c r="B1266" s="17">
        <v>2018</v>
      </c>
      <c r="C1266" s="17" t="s">
        <v>1153</v>
      </c>
      <c r="D1266" s="17">
        <v>448</v>
      </c>
      <c r="E1266" s="17" t="s">
        <v>1464</v>
      </c>
      <c r="F1266" s="20">
        <v>1209400</v>
      </c>
    </row>
    <row r="1267" spans="1:6" ht="16" customHeight="1" x14ac:dyDescent="0.2">
      <c r="A1267">
        <f>IFERROR(VLOOKUP(C1267,'GASB Match'!$D$2:$F$6042,3,FALSE),"")</f>
        <v>3404170</v>
      </c>
      <c r="B1267" s="17">
        <v>2019</v>
      </c>
      <c r="C1267" s="17" t="s">
        <v>1153</v>
      </c>
      <c r="D1267" s="17">
        <v>448</v>
      </c>
      <c r="E1267" s="17" t="s">
        <v>1464</v>
      </c>
      <c r="F1267" s="20">
        <v>1616121</v>
      </c>
    </row>
    <row r="1268" spans="1:6" ht="16" customHeight="1" x14ac:dyDescent="0.2">
      <c r="A1268">
        <f>IFERROR(VLOOKUP(C1268,'GASB Match'!$D$2:$F$6042,3,FALSE),"")</f>
        <v>3404170</v>
      </c>
      <c r="B1268" s="17">
        <v>2020</v>
      </c>
      <c r="C1268" s="21" t="s">
        <v>1153</v>
      </c>
      <c r="D1268" s="17">
        <v>448</v>
      </c>
      <c r="E1268" s="17" t="s">
        <v>1464</v>
      </c>
      <c r="F1268" s="23">
        <v>1801395</v>
      </c>
    </row>
    <row r="1269" spans="1:6" ht="16" customHeight="1" x14ac:dyDescent="0.2">
      <c r="A1269">
        <f>IFERROR(VLOOKUP(C1269,'GASB Match'!$D$2:$F$6042,3,FALSE),"")</f>
        <v>3404170</v>
      </c>
      <c r="B1269" s="17">
        <v>2021</v>
      </c>
      <c r="C1269" s="25" t="s">
        <v>1153</v>
      </c>
      <c r="D1269" s="17">
        <v>448</v>
      </c>
      <c r="E1269" s="17" t="s">
        <v>1464</v>
      </c>
      <c r="F1269" s="23">
        <v>2350282</v>
      </c>
    </row>
    <row r="1270" spans="1:6" ht="16" customHeight="1" x14ac:dyDescent="0.2">
      <c r="A1270">
        <f>IFERROR(VLOOKUP(C1270,'GASB Match'!$D$2:$F$6042,3,FALSE),"")</f>
        <v>3404170</v>
      </c>
      <c r="B1270" s="17">
        <v>2022</v>
      </c>
      <c r="C1270" s="21" t="s">
        <v>1153</v>
      </c>
      <c r="D1270" s="17">
        <v>448</v>
      </c>
      <c r="E1270" s="17" t="s">
        <v>1464</v>
      </c>
      <c r="F1270" s="23">
        <v>3375832</v>
      </c>
    </row>
    <row r="1271" spans="1:6" ht="16" customHeight="1" x14ac:dyDescent="0.2">
      <c r="A1271">
        <f>IFERROR(VLOOKUP(C1271,'GASB Match'!$D$2:$F$6042,3,FALSE),"")</f>
        <v>3404170</v>
      </c>
      <c r="B1271" s="17">
        <v>2023</v>
      </c>
      <c r="C1271" s="21" t="s">
        <v>1153</v>
      </c>
      <c r="D1271" s="17">
        <v>448</v>
      </c>
      <c r="E1271" s="17" t="s">
        <v>1464</v>
      </c>
      <c r="F1271" s="23">
        <v>3368705</v>
      </c>
    </row>
    <row r="1272" spans="1:6" ht="16" customHeight="1" x14ac:dyDescent="0.2">
      <c r="A1272">
        <f>IFERROR(VLOOKUP(C1272,'GASB Match'!$D$2:$F$6042,3,FALSE),"")</f>
        <v>3404170</v>
      </c>
      <c r="B1272" s="28">
        <v>2017</v>
      </c>
      <c r="C1272" s="29" t="s">
        <v>461</v>
      </c>
      <c r="D1272" s="17">
        <v>448</v>
      </c>
      <c r="E1272" s="17" t="s">
        <v>1421</v>
      </c>
      <c r="F1272" s="29">
        <v>931133</v>
      </c>
    </row>
    <row r="1273" spans="1:6" ht="16" customHeight="1" x14ac:dyDescent="0.2">
      <c r="A1273">
        <f>IFERROR(VLOOKUP(C1273,'GASB Match'!$D$2:$F$6042,3,FALSE),"")</f>
        <v>3404200</v>
      </c>
      <c r="B1273" s="17">
        <v>2015</v>
      </c>
      <c r="C1273" s="17" t="s">
        <v>303</v>
      </c>
      <c r="D1273" s="17">
        <v>8081</v>
      </c>
      <c r="E1273" s="17" t="s">
        <v>1413</v>
      </c>
      <c r="F1273" s="20">
        <v>38251</v>
      </c>
    </row>
    <row r="1274" spans="1:6" ht="16" customHeight="1" x14ac:dyDescent="0.2">
      <c r="A1274">
        <f>IFERROR(VLOOKUP(C1274,'GASB Match'!$D$2:$F$6042,3,FALSE),"")</f>
        <v>3404200</v>
      </c>
      <c r="B1274" s="17">
        <v>2016</v>
      </c>
      <c r="C1274" s="17" t="s">
        <v>303</v>
      </c>
      <c r="D1274" s="17">
        <v>8081</v>
      </c>
      <c r="E1274" s="17" t="s">
        <v>1413</v>
      </c>
      <c r="F1274" s="20">
        <v>87222</v>
      </c>
    </row>
    <row r="1275" spans="1:6" ht="16" customHeight="1" x14ac:dyDescent="0.2">
      <c r="A1275">
        <f>IFERROR(VLOOKUP(C1275,'GASB Match'!$D$2:$F$6042,3,FALSE),"")</f>
        <v>3404200</v>
      </c>
      <c r="B1275" s="17">
        <v>2018</v>
      </c>
      <c r="C1275" s="17" t="s">
        <v>994</v>
      </c>
      <c r="D1275" s="17">
        <v>8081</v>
      </c>
      <c r="E1275" s="17" t="s">
        <v>1456</v>
      </c>
      <c r="F1275" s="20">
        <v>152866</v>
      </c>
    </row>
    <row r="1276" spans="1:6" ht="16" customHeight="1" x14ac:dyDescent="0.2">
      <c r="A1276">
        <f>IFERROR(VLOOKUP(C1276,'GASB Match'!$D$2:$F$6042,3,FALSE),"")</f>
        <v>3404200</v>
      </c>
      <c r="B1276" s="17">
        <v>2019</v>
      </c>
      <c r="C1276" s="17" t="s">
        <v>994</v>
      </c>
      <c r="D1276" s="17">
        <v>8081</v>
      </c>
      <c r="E1276" s="17" t="s">
        <v>1456</v>
      </c>
      <c r="F1276" s="20">
        <v>169879</v>
      </c>
    </row>
    <row r="1277" spans="1:6" ht="16" customHeight="1" x14ac:dyDescent="0.2">
      <c r="A1277">
        <f>IFERROR(VLOOKUP(C1277,'GASB Match'!$D$2:$F$6042,3,FALSE),"")</f>
        <v>3404200</v>
      </c>
      <c r="B1277" s="17">
        <v>2020</v>
      </c>
      <c r="C1277" s="21" t="s">
        <v>994</v>
      </c>
      <c r="D1277" s="17">
        <v>8081</v>
      </c>
      <c r="E1277" s="17" t="s">
        <v>1456</v>
      </c>
      <c r="F1277" s="23">
        <v>199651</v>
      </c>
    </row>
    <row r="1278" spans="1:6" ht="16" customHeight="1" x14ac:dyDescent="0.2">
      <c r="A1278">
        <f>IFERROR(VLOOKUP(C1278,'GASB Match'!$D$2:$F$6042,3,FALSE),"")</f>
        <v>3404200</v>
      </c>
      <c r="B1278" s="17">
        <v>2021</v>
      </c>
      <c r="C1278" s="25" t="s">
        <v>994</v>
      </c>
      <c r="D1278" s="17">
        <v>8081</v>
      </c>
      <c r="E1278" s="17" t="s">
        <v>1456</v>
      </c>
      <c r="F1278" s="23">
        <v>270807</v>
      </c>
    </row>
    <row r="1279" spans="1:6" ht="16" customHeight="1" x14ac:dyDescent="0.2">
      <c r="A1279">
        <f>IFERROR(VLOOKUP(C1279,'GASB Match'!$D$2:$F$6042,3,FALSE),"")</f>
        <v>3404200</v>
      </c>
      <c r="B1279" s="17">
        <v>2022</v>
      </c>
      <c r="C1279" s="21" t="s">
        <v>994</v>
      </c>
      <c r="D1279" s="17">
        <v>8081</v>
      </c>
      <c r="E1279" s="17" t="s">
        <v>1456</v>
      </c>
      <c r="F1279" s="23">
        <v>399333</v>
      </c>
    </row>
    <row r="1280" spans="1:6" ht="16" customHeight="1" x14ac:dyDescent="0.2">
      <c r="A1280">
        <f>IFERROR(VLOOKUP(C1280,'GASB Match'!$D$2:$F$6042,3,FALSE),"")</f>
        <v>3404200</v>
      </c>
      <c r="B1280" s="17">
        <v>2023</v>
      </c>
      <c r="C1280" s="21" t="s">
        <v>994</v>
      </c>
      <c r="D1280" s="17">
        <v>8081</v>
      </c>
      <c r="E1280" s="17" t="s">
        <v>1456</v>
      </c>
      <c r="F1280" s="23">
        <v>448262</v>
      </c>
    </row>
    <row r="1281" spans="1:6" ht="16" customHeight="1" x14ac:dyDescent="0.2">
      <c r="A1281">
        <f>IFERROR(VLOOKUP(C1281,'GASB Match'!$D$2:$F$6042,3,FALSE),"")</f>
        <v>3404200</v>
      </c>
      <c r="B1281" s="28">
        <v>2017</v>
      </c>
      <c r="C1281" s="29" t="s">
        <v>303</v>
      </c>
      <c r="D1281" s="17">
        <v>8081</v>
      </c>
      <c r="E1281" s="17" t="s">
        <v>1413</v>
      </c>
      <c r="F1281" s="29">
        <v>116740</v>
      </c>
    </row>
    <row r="1282" spans="1:6" ht="16" customHeight="1" x14ac:dyDescent="0.2">
      <c r="A1282">
        <f>IFERROR(VLOOKUP(C1282,'GASB Match'!$D$2:$F$6042,3,FALSE),"")</f>
        <v>3400021</v>
      </c>
      <c r="B1282" s="17">
        <v>2015</v>
      </c>
      <c r="C1282" s="17" t="s">
        <v>235</v>
      </c>
      <c r="D1282" s="17">
        <v>204</v>
      </c>
      <c r="E1282" s="17" t="s">
        <v>1411</v>
      </c>
      <c r="F1282" s="20">
        <v>1284</v>
      </c>
    </row>
    <row r="1283" spans="1:6" ht="16" customHeight="1" x14ac:dyDescent="0.2">
      <c r="A1283">
        <f>IFERROR(VLOOKUP(C1283,'GASB Match'!$D$2:$F$6042,3,FALSE),"")</f>
        <v>3400021</v>
      </c>
      <c r="B1283" s="17">
        <v>2015</v>
      </c>
      <c r="C1283" s="17" t="s">
        <v>235</v>
      </c>
      <c r="D1283" s="17">
        <v>204</v>
      </c>
      <c r="E1283" s="17" t="s">
        <v>1411</v>
      </c>
      <c r="F1283" s="20">
        <v>127413</v>
      </c>
    </row>
    <row r="1284" spans="1:6" ht="16" customHeight="1" x14ac:dyDescent="0.2">
      <c r="A1284">
        <f>IFERROR(VLOOKUP(C1284,'GASB Match'!$D$2:$F$6042,3,FALSE),"")</f>
        <v>3400021</v>
      </c>
      <c r="B1284" s="17">
        <v>2016</v>
      </c>
      <c r="C1284" s="17" t="s">
        <v>235</v>
      </c>
      <c r="D1284" s="17">
        <v>204</v>
      </c>
      <c r="E1284" s="17" t="s">
        <v>1411</v>
      </c>
      <c r="F1284" s="20">
        <v>1883</v>
      </c>
    </row>
    <row r="1285" spans="1:6" ht="16" customHeight="1" x14ac:dyDescent="0.2">
      <c r="A1285">
        <f>IFERROR(VLOOKUP(C1285,'GASB Match'!$D$2:$F$6042,3,FALSE),"")</f>
        <v>3400021</v>
      </c>
      <c r="B1285" s="17">
        <v>2016</v>
      </c>
      <c r="C1285" s="17" t="s">
        <v>235</v>
      </c>
      <c r="D1285" s="17">
        <v>204</v>
      </c>
      <c r="E1285" s="17" t="s">
        <v>1411</v>
      </c>
      <c r="F1285" s="20">
        <v>214876</v>
      </c>
    </row>
    <row r="1286" spans="1:6" ht="16" customHeight="1" x14ac:dyDescent="0.2">
      <c r="A1286">
        <f>IFERROR(VLOOKUP(C1286,'GASB Match'!$D$2:$F$6042,3,FALSE),"")</f>
        <v>3400021</v>
      </c>
      <c r="B1286" s="17">
        <v>2018</v>
      </c>
      <c r="C1286" s="17" t="s">
        <v>921</v>
      </c>
      <c r="D1286" s="17">
        <v>204</v>
      </c>
      <c r="E1286" s="17" t="s">
        <v>1452</v>
      </c>
      <c r="F1286" s="20">
        <v>3479</v>
      </c>
    </row>
    <row r="1287" spans="1:6" ht="16" customHeight="1" x14ac:dyDescent="0.2">
      <c r="A1287">
        <f>IFERROR(VLOOKUP(C1287,'GASB Match'!$D$2:$F$6042,3,FALSE),"")</f>
        <v>3400021</v>
      </c>
      <c r="B1287" s="17">
        <v>2018</v>
      </c>
      <c r="C1287" s="17" t="s">
        <v>921</v>
      </c>
      <c r="D1287" s="17">
        <v>204</v>
      </c>
      <c r="E1287" s="17" t="s">
        <v>1452</v>
      </c>
      <c r="F1287" s="20">
        <v>393977</v>
      </c>
    </row>
    <row r="1288" spans="1:6" ht="16" customHeight="1" x14ac:dyDescent="0.2">
      <c r="A1288">
        <f>IFERROR(VLOOKUP(C1288,'GASB Match'!$D$2:$F$6042,3,FALSE),"")</f>
        <v>3400021</v>
      </c>
      <c r="B1288" s="17">
        <v>2019</v>
      </c>
      <c r="C1288" s="17" t="s">
        <v>921</v>
      </c>
      <c r="D1288" s="17">
        <v>204</v>
      </c>
      <c r="E1288" s="17" t="s">
        <v>1452</v>
      </c>
      <c r="F1288" s="20">
        <v>433741</v>
      </c>
    </row>
    <row r="1289" spans="1:6" ht="16" customHeight="1" x14ac:dyDescent="0.2">
      <c r="A1289">
        <f>IFERROR(VLOOKUP(C1289,'GASB Match'!$D$2:$F$6042,3,FALSE),"")</f>
        <v>3400021</v>
      </c>
      <c r="B1289" s="17">
        <v>2020</v>
      </c>
      <c r="C1289" s="21" t="s">
        <v>921</v>
      </c>
      <c r="D1289" s="17">
        <v>204</v>
      </c>
      <c r="E1289" s="17" t="s">
        <v>1452</v>
      </c>
      <c r="F1289" s="23">
        <v>500347</v>
      </c>
    </row>
    <row r="1290" spans="1:6" ht="16" customHeight="1" x14ac:dyDescent="0.2">
      <c r="A1290">
        <f>IFERROR(VLOOKUP(C1290,'GASB Match'!$D$2:$F$6042,3,FALSE),"")</f>
        <v>3400021</v>
      </c>
      <c r="B1290" s="17">
        <v>2021</v>
      </c>
      <c r="C1290" s="25" t="s">
        <v>921</v>
      </c>
      <c r="D1290" s="17">
        <v>204</v>
      </c>
      <c r="E1290" s="17" t="s">
        <v>1452</v>
      </c>
      <c r="F1290" s="23">
        <v>530882</v>
      </c>
    </row>
    <row r="1291" spans="1:6" ht="16" customHeight="1" x14ac:dyDescent="0.2">
      <c r="A1291">
        <f>IFERROR(VLOOKUP(C1291,'GASB Match'!$D$2:$F$6042,3,FALSE),"")</f>
        <v>3400021</v>
      </c>
      <c r="B1291" s="17">
        <v>2022</v>
      </c>
      <c r="C1291" s="21" t="s">
        <v>921</v>
      </c>
      <c r="D1291" s="17">
        <v>204</v>
      </c>
      <c r="E1291" s="17" t="s">
        <v>1452</v>
      </c>
      <c r="F1291" s="23">
        <v>731990</v>
      </c>
    </row>
    <row r="1292" spans="1:6" ht="16" customHeight="1" x14ac:dyDescent="0.2">
      <c r="A1292">
        <f>IFERROR(VLOOKUP(C1292,'GASB Match'!$D$2:$F$6042,3,FALSE),"")</f>
        <v>3400021</v>
      </c>
      <c r="B1292" s="17">
        <v>2023</v>
      </c>
      <c r="C1292" s="21" t="s">
        <v>921</v>
      </c>
      <c r="D1292" s="17">
        <v>204</v>
      </c>
      <c r="E1292" s="17" t="s">
        <v>1452</v>
      </c>
      <c r="F1292" s="23">
        <v>843628</v>
      </c>
    </row>
    <row r="1293" spans="1:6" ht="16" customHeight="1" x14ac:dyDescent="0.2">
      <c r="A1293">
        <f>IFERROR(VLOOKUP(C1293,'GASB Match'!$D$2:$F$6042,3,FALSE),"")</f>
        <v>3400021</v>
      </c>
      <c r="B1293" s="28">
        <v>2017</v>
      </c>
      <c r="C1293" s="29" t="s">
        <v>235</v>
      </c>
      <c r="D1293" s="17">
        <v>204</v>
      </c>
      <c r="E1293" s="17" t="s">
        <v>1411</v>
      </c>
      <c r="F1293" s="29">
        <v>2617</v>
      </c>
    </row>
    <row r="1294" spans="1:6" ht="16" customHeight="1" x14ac:dyDescent="0.2">
      <c r="A1294">
        <f>IFERROR(VLOOKUP(C1294,'GASB Match'!$D$2:$F$6042,3,FALSE),"")</f>
        <v>3400021</v>
      </c>
      <c r="B1294" s="28">
        <v>2017</v>
      </c>
      <c r="C1294" s="29" t="s">
        <v>235</v>
      </c>
      <c r="D1294" s="17">
        <v>204</v>
      </c>
      <c r="E1294" s="17" t="s">
        <v>1411</v>
      </c>
      <c r="F1294" s="29">
        <v>307521</v>
      </c>
    </row>
    <row r="1295" spans="1:6" ht="16" customHeight="1" x14ac:dyDescent="0.2">
      <c r="A1295">
        <f>IFERROR(VLOOKUP(C1295,'GASB Match'!$D$2:$F$6042,3,FALSE),"")</f>
        <v>3404230</v>
      </c>
      <c r="B1295" s="17">
        <v>2015</v>
      </c>
      <c r="C1295" s="17" t="s">
        <v>236</v>
      </c>
      <c r="D1295" s="17">
        <v>6030</v>
      </c>
      <c r="E1295" s="17" t="s">
        <v>1411</v>
      </c>
      <c r="F1295" s="20">
        <v>4914448</v>
      </c>
    </row>
    <row r="1296" spans="1:6" ht="16" customHeight="1" x14ac:dyDescent="0.2">
      <c r="A1296">
        <f>IFERROR(VLOOKUP(C1296,'GASB Match'!$D$2:$F$6042,3,FALSE),"")</f>
        <v>3404230</v>
      </c>
      <c r="B1296" s="17">
        <v>2016</v>
      </c>
      <c r="C1296" s="17" t="s">
        <v>236</v>
      </c>
      <c r="D1296" s="17">
        <v>6030</v>
      </c>
      <c r="E1296" s="17" t="s">
        <v>1411</v>
      </c>
      <c r="F1296" s="20">
        <v>7317663</v>
      </c>
    </row>
    <row r="1297" spans="1:6" ht="16" customHeight="1" x14ac:dyDescent="0.2">
      <c r="A1297">
        <f>IFERROR(VLOOKUP(C1297,'GASB Match'!$D$2:$F$6042,3,FALSE),"")</f>
        <v>3404230</v>
      </c>
      <c r="B1297" s="17">
        <v>2018</v>
      </c>
      <c r="C1297" s="17" t="s">
        <v>922</v>
      </c>
      <c r="D1297" s="17">
        <v>6030</v>
      </c>
      <c r="E1297" s="17" t="s">
        <v>1452</v>
      </c>
      <c r="F1297" s="20">
        <v>13156943</v>
      </c>
    </row>
    <row r="1298" spans="1:6" ht="16" customHeight="1" x14ac:dyDescent="0.2">
      <c r="A1298">
        <f>IFERROR(VLOOKUP(C1298,'GASB Match'!$D$2:$F$6042,3,FALSE),"")</f>
        <v>3404230</v>
      </c>
      <c r="B1298" s="17">
        <v>2019</v>
      </c>
      <c r="C1298" s="17" t="s">
        <v>922</v>
      </c>
      <c r="D1298" s="17">
        <v>6030</v>
      </c>
      <c r="E1298" s="17" t="s">
        <v>1452</v>
      </c>
      <c r="F1298" s="20">
        <v>17683143</v>
      </c>
    </row>
    <row r="1299" spans="1:6" ht="16" customHeight="1" x14ac:dyDescent="0.2">
      <c r="A1299">
        <f>IFERROR(VLOOKUP(C1299,'GASB Match'!$D$2:$F$6042,3,FALSE),"")</f>
        <v>3404230</v>
      </c>
      <c r="B1299" s="17">
        <v>2020</v>
      </c>
      <c r="C1299" s="21" t="s">
        <v>922</v>
      </c>
      <c r="D1299" s="17">
        <v>6030</v>
      </c>
      <c r="E1299" s="17" t="s">
        <v>1452</v>
      </c>
      <c r="F1299" s="22">
        <v>19443779</v>
      </c>
    </row>
    <row r="1300" spans="1:6" ht="16" customHeight="1" x14ac:dyDescent="0.2">
      <c r="A1300">
        <f>IFERROR(VLOOKUP(C1300,'GASB Match'!$D$2:$F$6042,3,FALSE),"")</f>
        <v>3404230</v>
      </c>
      <c r="B1300" s="17">
        <v>2021</v>
      </c>
      <c r="C1300" s="25" t="s">
        <v>922</v>
      </c>
      <c r="D1300" s="17">
        <v>6030</v>
      </c>
      <c r="E1300" s="17" t="s">
        <v>1452</v>
      </c>
      <c r="F1300" s="23">
        <v>24080113</v>
      </c>
    </row>
    <row r="1301" spans="1:6" ht="16" customHeight="1" x14ac:dyDescent="0.2">
      <c r="A1301">
        <f>IFERROR(VLOOKUP(C1301,'GASB Match'!$D$2:$F$6042,3,FALSE),"")</f>
        <v>3404230</v>
      </c>
      <c r="B1301" s="17">
        <v>2022</v>
      </c>
      <c r="C1301" s="21" t="s">
        <v>922</v>
      </c>
      <c r="D1301" s="17">
        <v>6030</v>
      </c>
      <c r="E1301" s="17" t="s">
        <v>1452</v>
      </c>
      <c r="F1301" s="23">
        <v>34257924</v>
      </c>
    </row>
    <row r="1302" spans="1:6" ht="16" customHeight="1" x14ac:dyDescent="0.2">
      <c r="A1302">
        <f>IFERROR(VLOOKUP(C1302,'GASB Match'!$D$2:$F$6042,3,FALSE),"")</f>
        <v>3404230</v>
      </c>
      <c r="B1302" s="17">
        <v>2023</v>
      </c>
      <c r="C1302" s="21" t="s">
        <v>922</v>
      </c>
      <c r="D1302" s="17">
        <v>6030</v>
      </c>
      <c r="E1302" s="17" t="s">
        <v>1452</v>
      </c>
      <c r="F1302" s="23">
        <v>33709545</v>
      </c>
    </row>
    <row r="1303" spans="1:6" ht="16" customHeight="1" x14ac:dyDescent="0.2">
      <c r="A1303">
        <f>IFERROR(VLOOKUP(C1303,'GASB Match'!$D$2:$F$6042,3,FALSE),"")</f>
        <v>3404230</v>
      </c>
      <c r="B1303" s="28">
        <v>2017</v>
      </c>
      <c r="C1303" s="29" t="s">
        <v>236</v>
      </c>
      <c r="D1303" s="17">
        <v>6030</v>
      </c>
      <c r="E1303" s="17" t="s">
        <v>1411</v>
      </c>
      <c r="F1303" s="29">
        <v>9931029</v>
      </c>
    </row>
    <row r="1304" spans="1:6" ht="16" customHeight="1" x14ac:dyDescent="0.2">
      <c r="A1304">
        <f>IFERROR(VLOOKUP(C1304,'GASB Match'!$D$2:$F$6042,3,FALSE),"")</f>
        <v>3404290</v>
      </c>
      <c r="B1304" s="17">
        <v>2015</v>
      </c>
      <c r="C1304" s="17" t="s">
        <v>41</v>
      </c>
      <c r="D1304" s="17">
        <v>2033</v>
      </c>
      <c r="E1304" s="17" t="s">
        <v>1402</v>
      </c>
      <c r="F1304" s="20">
        <v>362776</v>
      </c>
    </row>
    <row r="1305" spans="1:6" ht="16" customHeight="1" x14ac:dyDescent="0.2">
      <c r="A1305">
        <f>IFERROR(VLOOKUP(C1305,'GASB Match'!$D$2:$F$6042,3,FALSE),"")</f>
        <v>3404290</v>
      </c>
      <c r="B1305" s="17">
        <v>2016</v>
      </c>
      <c r="C1305" s="17" t="s">
        <v>41</v>
      </c>
      <c r="D1305" s="17">
        <v>2033</v>
      </c>
      <c r="E1305" s="17" t="s">
        <v>1402</v>
      </c>
      <c r="F1305" s="20">
        <v>527656</v>
      </c>
    </row>
    <row r="1306" spans="1:6" ht="16" customHeight="1" x14ac:dyDescent="0.2">
      <c r="A1306">
        <f>IFERROR(VLOOKUP(C1306,'GASB Match'!$D$2:$F$6042,3,FALSE),"")</f>
        <v>3404290</v>
      </c>
      <c r="B1306" s="17">
        <v>2018</v>
      </c>
      <c r="C1306" s="17" t="s">
        <v>719</v>
      </c>
      <c r="D1306" s="17">
        <v>2033</v>
      </c>
      <c r="E1306" s="17" t="s">
        <v>1443</v>
      </c>
      <c r="F1306" s="20">
        <v>1057824</v>
      </c>
    </row>
    <row r="1307" spans="1:6" ht="16" customHeight="1" x14ac:dyDescent="0.2">
      <c r="A1307">
        <f>IFERROR(VLOOKUP(C1307,'GASB Match'!$D$2:$F$6042,3,FALSE),"")</f>
        <v>3404290</v>
      </c>
      <c r="B1307" s="17">
        <v>2019</v>
      </c>
      <c r="C1307" s="17" t="s">
        <v>719</v>
      </c>
      <c r="D1307" s="17">
        <v>2033</v>
      </c>
      <c r="E1307" s="17" t="s">
        <v>1443</v>
      </c>
      <c r="F1307" s="20">
        <v>1413303</v>
      </c>
    </row>
    <row r="1308" spans="1:6" ht="16" customHeight="1" x14ac:dyDescent="0.2">
      <c r="A1308">
        <f>IFERROR(VLOOKUP(C1308,'GASB Match'!$D$2:$F$6042,3,FALSE),"")</f>
        <v>3404290</v>
      </c>
      <c r="B1308" s="17">
        <v>2020</v>
      </c>
      <c r="C1308" s="21" t="s">
        <v>719</v>
      </c>
      <c r="D1308" s="17">
        <v>2033</v>
      </c>
      <c r="E1308" s="17" t="s">
        <v>1443</v>
      </c>
      <c r="F1308" s="23">
        <v>1565982</v>
      </c>
    </row>
    <row r="1309" spans="1:6" ht="16" customHeight="1" x14ac:dyDescent="0.2">
      <c r="A1309">
        <f>IFERROR(VLOOKUP(C1309,'GASB Match'!$D$2:$F$6042,3,FALSE),"")</f>
        <v>3404290</v>
      </c>
      <c r="B1309" s="17">
        <v>2021</v>
      </c>
      <c r="C1309" s="25" t="s">
        <v>719</v>
      </c>
      <c r="D1309" s="17">
        <v>2033</v>
      </c>
      <c r="E1309" s="17" t="s">
        <v>1443</v>
      </c>
      <c r="F1309" s="23">
        <v>2022174</v>
      </c>
    </row>
    <row r="1310" spans="1:6" ht="16" customHeight="1" x14ac:dyDescent="0.2">
      <c r="A1310">
        <f>IFERROR(VLOOKUP(C1310,'GASB Match'!$D$2:$F$6042,3,FALSE),"")</f>
        <v>3404290</v>
      </c>
      <c r="B1310" s="17">
        <v>2022</v>
      </c>
      <c r="C1310" s="21" t="s">
        <v>719</v>
      </c>
      <c r="D1310" s="17">
        <v>2033</v>
      </c>
      <c r="E1310" s="17" t="s">
        <v>1443</v>
      </c>
      <c r="F1310" s="23">
        <v>3022357</v>
      </c>
    </row>
    <row r="1311" spans="1:6" ht="16" customHeight="1" x14ac:dyDescent="0.2">
      <c r="A1311">
        <f>IFERROR(VLOOKUP(C1311,'GASB Match'!$D$2:$F$6042,3,FALSE),"")</f>
        <v>3404290</v>
      </c>
      <c r="B1311" s="17">
        <v>2023</v>
      </c>
      <c r="C1311" s="21" t="s">
        <v>719</v>
      </c>
      <c r="D1311" s="17">
        <v>2033</v>
      </c>
      <c r="E1311" s="17" t="s">
        <v>1443</v>
      </c>
      <c r="F1311" s="23">
        <v>2957121</v>
      </c>
    </row>
    <row r="1312" spans="1:6" ht="16" customHeight="1" x14ac:dyDescent="0.2">
      <c r="A1312">
        <f>IFERROR(VLOOKUP(C1312,'GASB Match'!$D$2:$F$6042,3,FALSE),"")</f>
        <v>3404290</v>
      </c>
      <c r="B1312" s="28">
        <v>2017</v>
      </c>
      <c r="C1312" s="29" t="s">
        <v>41</v>
      </c>
      <c r="D1312" s="17">
        <v>2033</v>
      </c>
      <c r="E1312" s="17" t="s">
        <v>1402</v>
      </c>
      <c r="F1312" s="29">
        <v>749852</v>
      </c>
    </row>
    <row r="1313" spans="1:6" ht="16" customHeight="1" x14ac:dyDescent="0.2">
      <c r="A1313">
        <f>IFERROR(VLOOKUP(C1313,'GASB Match'!$D$2:$F$6042,3,FALSE),"")</f>
        <v>3404320</v>
      </c>
      <c r="B1313" s="17">
        <v>2015</v>
      </c>
      <c r="C1313" s="17" t="s">
        <v>355</v>
      </c>
      <c r="D1313" s="17">
        <v>121</v>
      </c>
      <c r="E1313" s="17" t="s">
        <v>1416</v>
      </c>
      <c r="F1313" s="20">
        <v>1928649</v>
      </c>
    </row>
    <row r="1314" spans="1:6" ht="16" customHeight="1" x14ac:dyDescent="0.2">
      <c r="A1314">
        <f>IFERROR(VLOOKUP(C1314,'GASB Match'!$D$2:$F$6042,3,FALSE),"")</f>
        <v>3404320</v>
      </c>
      <c r="B1314" s="17">
        <v>2016</v>
      </c>
      <c r="C1314" s="17" t="s">
        <v>355</v>
      </c>
      <c r="D1314" s="17">
        <v>121</v>
      </c>
      <c r="E1314" s="17" t="s">
        <v>1416</v>
      </c>
      <c r="F1314" s="20">
        <v>2880107</v>
      </c>
    </row>
    <row r="1315" spans="1:6" ht="16" customHeight="1" x14ac:dyDescent="0.2">
      <c r="A1315">
        <f>IFERROR(VLOOKUP(C1315,'GASB Match'!$D$2:$F$6042,3,FALSE),"")</f>
        <v>3404320</v>
      </c>
      <c r="B1315" s="17">
        <v>2018</v>
      </c>
      <c r="C1315" s="17" t="s">
        <v>1045</v>
      </c>
      <c r="D1315" s="17">
        <v>121</v>
      </c>
      <c r="E1315" s="17" t="s">
        <v>1459</v>
      </c>
      <c r="F1315" s="20">
        <v>5371382</v>
      </c>
    </row>
    <row r="1316" spans="1:6" ht="16" customHeight="1" x14ac:dyDescent="0.2">
      <c r="A1316">
        <f>IFERROR(VLOOKUP(C1316,'GASB Match'!$D$2:$F$6042,3,FALSE),"")</f>
        <v>3404320</v>
      </c>
      <c r="B1316" s="17">
        <v>2019</v>
      </c>
      <c r="C1316" s="17" t="s">
        <v>1045</v>
      </c>
      <c r="D1316" s="17">
        <v>121</v>
      </c>
      <c r="E1316" s="17" t="s">
        <v>1459</v>
      </c>
      <c r="F1316" s="20">
        <v>7248891</v>
      </c>
    </row>
    <row r="1317" spans="1:6" ht="16" customHeight="1" x14ac:dyDescent="0.2">
      <c r="A1317">
        <f>IFERROR(VLOOKUP(C1317,'GASB Match'!$D$2:$F$6042,3,FALSE),"")</f>
        <v>3404320</v>
      </c>
      <c r="B1317" s="17">
        <v>2020</v>
      </c>
      <c r="C1317" s="21" t="s">
        <v>1045</v>
      </c>
      <c r="D1317" s="17">
        <v>121</v>
      </c>
      <c r="E1317" s="17" t="s">
        <v>1459</v>
      </c>
      <c r="F1317" s="23">
        <v>8380831</v>
      </c>
    </row>
    <row r="1318" spans="1:6" ht="16" customHeight="1" x14ac:dyDescent="0.2">
      <c r="A1318">
        <f>IFERROR(VLOOKUP(C1318,'GASB Match'!$D$2:$F$6042,3,FALSE),"")</f>
        <v>3404320</v>
      </c>
      <c r="B1318" s="17">
        <v>2021</v>
      </c>
      <c r="C1318" s="25" t="s">
        <v>1045</v>
      </c>
      <c r="D1318" s="17">
        <v>121</v>
      </c>
      <c r="E1318" s="17" t="s">
        <v>1459</v>
      </c>
      <c r="F1318" s="23">
        <v>10796105</v>
      </c>
    </row>
    <row r="1319" spans="1:6" ht="16" customHeight="1" x14ac:dyDescent="0.2">
      <c r="A1319">
        <f>IFERROR(VLOOKUP(C1319,'GASB Match'!$D$2:$F$6042,3,FALSE),"")</f>
        <v>3404320</v>
      </c>
      <c r="B1319" s="17">
        <v>2022</v>
      </c>
      <c r="C1319" s="21" t="s">
        <v>1045</v>
      </c>
      <c r="D1319" s="17">
        <v>121</v>
      </c>
      <c r="E1319" s="17" t="s">
        <v>1459</v>
      </c>
      <c r="F1319" s="23">
        <v>15842558</v>
      </c>
    </row>
    <row r="1320" spans="1:6" ht="16" customHeight="1" x14ac:dyDescent="0.2">
      <c r="A1320">
        <f>IFERROR(VLOOKUP(C1320,'GASB Match'!$D$2:$F$6042,3,FALSE),"")</f>
        <v>3404320</v>
      </c>
      <c r="B1320" s="17">
        <v>2023</v>
      </c>
      <c r="C1320" s="21" t="s">
        <v>1045</v>
      </c>
      <c r="D1320" s="17">
        <v>121</v>
      </c>
      <c r="E1320" s="17" t="s">
        <v>1459</v>
      </c>
      <c r="F1320" s="23">
        <v>15534964</v>
      </c>
    </row>
    <row r="1321" spans="1:6" ht="16" customHeight="1" x14ac:dyDescent="0.2">
      <c r="A1321">
        <f>IFERROR(VLOOKUP(C1321,'GASB Match'!$D$2:$F$6042,3,FALSE),"")</f>
        <v>3404320</v>
      </c>
      <c r="B1321" s="28">
        <v>2017</v>
      </c>
      <c r="C1321" s="29" t="s">
        <v>355</v>
      </c>
      <c r="D1321" s="17">
        <v>121</v>
      </c>
      <c r="E1321" s="17" t="s">
        <v>1416</v>
      </c>
      <c r="F1321" s="29">
        <v>4151586</v>
      </c>
    </row>
    <row r="1322" spans="1:6" ht="16" customHeight="1" x14ac:dyDescent="0.2">
      <c r="A1322">
        <f>IFERROR(VLOOKUP(C1322,'GASB Match'!$D$2:$F$6042,3,FALSE),"")</f>
        <v>3404350</v>
      </c>
      <c r="B1322" s="17">
        <v>2015</v>
      </c>
      <c r="C1322" s="17" t="s">
        <v>117</v>
      </c>
      <c r="D1322" s="17">
        <v>3019</v>
      </c>
      <c r="E1322" s="17" t="s">
        <v>1404</v>
      </c>
      <c r="F1322" s="20">
        <v>236872</v>
      </c>
    </row>
    <row r="1323" spans="1:6" ht="16" customHeight="1" x14ac:dyDescent="0.2">
      <c r="A1323">
        <f>IFERROR(VLOOKUP(C1323,'GASB Match'!$D$2:$F$6042,3,FALSE),"")</f>
        <v>3404350</v>
      </c>
      <c r="B1323" s="17">
        <v>2016</v>
      </c>
      <c r="C1323" s="17" t="s">
        <v>117</v>
      </c>
      <c r="D1323" s="17">
        <v>3019</v>
      </c>
      <c r="E1323" s="17" t="s">
        <v>1404</v>
      </c>
      <c r="F1323" s="20">
        <v>359296</v>
      </c>
    </row>
    <row r="1324" spans="1:6" ht="16" customHeight="1" x14ac:dyDescent="0.2">
      <c r="A1324">
        <f>IFERROR(VLOOKUP(C1324,'GASB Match'!$D$2:$F$6042,3,FALSE),"")</f>
        <v>3404350</v>
      </c>
      <c r="B1324" s="17">
        <v>2018</v>
      </c>
      <c r="C1324" s="17" t="s">
        <v>798</v>
      </c>
      <c r="D1324" s="17">
        <v>3019</v>
      </c>
      <c r="E1324" s="17" t="s">
        <v>1445</v>
      </c>
      <c r="F1324" s="20">
        <v>642344</v>
      </c>
    </row>
    <row r="1325" spans="1:6" ht="16" customHeight="1" x14ac:dyDescent="0.2">
      <c r="A1325">
        <f>IFERROR(VLOOKUP(C1325,'GASB Match'!$D$2:$F$6042,3,FALSE),"")</f>
        <v>3404350</v>
      </c>
      <c r="B1325" s="17">
        <v>2019</v>
      </c>
      <c r="C1325" s="17" t="s">
        <v>798</v>
      </c>
      <c r="D1325" s="17">
        <v>3019</v>
      </c>
      <c r="E1325" s="17" t="s">
        <v>1445</v>
      </c>
      <c r="F1325" s="20">
        <v>796971</v>
      </c>
    </row>
    <row r="1326" spans="1:6" ht="16" customHeight="1" x14ac:dyDescent="0.2">
      <c r="A1326">
        <f>IFERROR(VLOOKUP(C1326,'GASB Match'!$D$2:$F$6042,3,FALSE),"")</f>
        <v>3404350</v>
      </c>
      <c r="B1326" s="17">
        <v>2020</v>
      </c>
      <c r="C1326" s="21" t="s">
        <v>798</v>
      </c>
      <c r="D1326" s="17">
        <v>3019</v>
      </c>
      <c r="E1326" s="17" t="s">
        <v>1445</v>
      </c>
      <c r="F1326" s="23">
        <v>875419</v>
      </c>
    </row>
    <row r="1327" spans="1:6" ht="16" customHeight="1" x14ac:dyDescent="0.2">
      <c r="A1327">
        <f>IFERROR(VLOOKUP(C1327,'GASB Match'!$D$2:$F$6042,3,FALSE),"")</f>
        <v>3404350</v>
      </c>
      <c r="B1327" s="17">
        <v>2021</v>
      </c>
      <c r="C1327" s="25" t="s">
        <v>798</v>
      </c>
      <c r="D1327" s="17">
        <v>3019</v>
      </c>
      <c r="E1327" s="17" t="s">
        <v>1445</v>
      </c>
      <c r="F1327" s="23">
        <v>1154296</v>
      </c>
    </row>
    <row r="1328" spans="1:6" ht="16" customHeight="1" x14ac:dyDescent="0.2">
      <c r="A1328">
        <f>IFERROR(VLOOKUP(C1328,'GASB Match'!$D$2:$F$6042,3,FALSE),"")</f>
        <v>3404350</v>
      </c>
      <c r="B1328" s="17">
        <v>2022</v>
      </c>
      <c r="C1328" s="21" t="s">
        <v>798</v>
      </c>
      <c r="D1328" s="17">
        <v>3019</v>
      </c>
      <c r="E1328" s="17" t="s">
        <v>1445</v>
      </c>
      <c r="F1328" s="23">
        <v>1649285</v>
      </c>
    </row>
    <row r="1329" spans="1:6" ht="16" customHeight="1" x14ac:dyDescent="0.2">
      <c r="A1329">
        <f>IFERROR(VLOOKUP(C1329,'GASB Match'!$D$2:$F$6042,3,FALSE),"")</f>
        <v>3404350</v>
      </c>
      <c r="B1329" s="17">
        <v>2023</v>
      </c>
      <c r="C1329" s="21" t="s">
        <v>798</v>
      </c>
      <c r="D1329" s="17">
        <v>3019</v>
      </c>
      <c r="E1329" s="17" t="s">
        <v>1445</v>
      </c>
      <c r="F1329" s="23">
        <v>1414556</v>
      </c>
    </row>
    <row r="1330" spans="1:6" ht="16" customHeight="1" x14ac:dyDescent="0.2">
      <c r="A1330">
        <f>IFERROR(VLOOKUP(C1330,'GASB Match'!$D$2:$F$6042,3,FALSE),"")</f>
        <v>3404350</v>
      </c>
      <c r="B1330" s="28">
        <v>2017</v>
      </c>
      <c r="C1330" s="29" t="s">
        <v>117</v>
      </c>
      <c r="D1330" s="17">
        <v>3019</v>
      </c>
      <c r="E1330" s="17" t="s">
        <v>1404</v>
      </c>
      <c r="F1330" s="29">
        <v>443410</v>
      </c>
    </row>
    <row r="1331" spans="1:6" ht="16" customHeight="1" x14ac:dyDescent="0.2">
      <c r="A1331">
        <f>IFERROR(VLOOKUP(C1331,'GASB Match'!$D$2:$F$6042,3,FALSE),"")</f>
        <v>3404380</v>
      </c>
      <c r="B1331" s="17">
        <v>2015</v>
      </c>
      <c r="C1331" s="17" t="s">
        <v>166</v>
      </c>
      <c r="D1331" s="17">
        <v>4010</v>
      </c>
      <c r="E1331" s="17" t="s">
        <v>1405</v>
      </c>
      <c r="F1331" s="20">
        <v>709978</v>
      </c>
    </row>
    <row r="1332" spans="1:6" ht="16" customHeight="1" x14ac:dyDescent="0.2">
      <c r="A1332">
        <f>IFERROR(VLOOKUP(C1332,'GASB Match'!$D$2:$F$6042,3,FALSE),"")</f>
        <v>3404380</v>
      </c>
      <c r="B1332" s="17">
        <v>2016</v>
      </c>
      <c r="C1332" s="17" t="s">
        <v>166</v>
      </c>
      <c r="D1332" s="17">
        <v>4010</v>
      </c>
      <c r="E1332" s="17" t="s">
        <v>1405</v>
      </c>
      <c r="F1332" s="20">
        <v>1039077</v>
      </c>
    </row>
    <row r="1333" spans="1:6" ht="16" customHeight="1" x14ac:dyDescent="0.2">
      <c r="A1333">
        <f>IFERROR(VLOOKUP(C1333,'GASB Match'!$D$2:$F$6042,3,FALSE),"")</f>
        <v>3404380</v>
      </c>
      <c r="B1333" s="17">
        <v>2018</v>
      </c>
      <c r="C1333" s="17" t="s">
        <v>849</v>
      </c>
      <c r="D1333" s="17">
        <v>4010</v>
      </c>
      <c r="E1333" s="17" t="s">
        <v>1446</v>
      </c>
      <c r="F1333" s="20">
        <v>1972198</v>
      </c>
    </row>
    <row r="1334" spans="1:6" ht="16" customHeight="1" x14ac:dyDescent="0.2">
      <c r="A1334">
        <f>IFERROR(VLOOKUP(C1334,'GASB Match'!$D$2:$F$6042,3,FALSE),"")</f>
        <v>3404380</v>
      </c>
      <c r="B1334" s="17">
        <v>2019</v>
      </c>
      <c r="C1334" s="17" t="s">
        <v>849</v>
      </c>
      <c r="D1334" s="17">
        <v>4010</v>
      </c>
      <c r="E1334" s="17" t="s">
        <v>1446</v>
      </c>
      <c r="F1334" s="20">
        <v>2615306</v>
      </c>
    </row>
    <row r="1335" spans="1:6" ht="16" customHeight="1" x14ac:dyDescent="0.2">
      <c r="A1335">
        <f>IFERROR(VLOOKUP(C1335,'GASB Match'!$D$2:$F$6042,3,FALSE),"")</f>
        <v>3404380</v>
      </c>
      <c r="B1335" s="17">
        <v>2020</v>
      </c>
      <c r="C1335" s="21" t="s">
        <v>849</v>
      </c>
      <c r="D1335" s="17">
        <v>4010</v>
      </c>
      <c r="E1335" s="17" t="s">
        <v>1446</v>
      </c>
      <c r="F1335" s="23">
        <v>2964239</v>
      </c>
    </row>
    <row r="1336" spans="1:6" ht="16" customHeight="1" x14ac:dyDescent="0.2">
      <c r="A1336">
        <f>IFERROR(VLOOKUP(C1336,'GASB Match'!$D$2:$F$6042,3,FALSE),"")</f>
        <v>3404380</v>
      </c>
      <c r="B1336" s="17">
        <v>2021</v>
      </c>
      <c r="C1336" s="25" t="s">
        <v>849</v>
      </c>
      <c r="D1336" s="17">
        <v>4010</v>
      </c>
      <c r="E1336" s="17" t="s">
        <v>1446</v>
      </c>
      <c r="F1336" s="23">
        <v>3822984</v>
      </c>
    </row>
    <row r="1337" spans="1:6" ht="16" customHeight="1" x14ac:dyDescent="0.2">
      <c r="A1337">
        <f>IFERROR(VLOOKUP(C1337,'GASB Match'!$D$2:$F$6042,3,FALSE),"")</f>
        <v>3404380</v>
      </c>
      <c r="B1337" s="17">
        <v>2022</v>
      </c>
      <c r="C1337" s="21" t="s">
        <v>849</v>
      </c>
      <c r="D1337" s="17">
        <v>4010</v>
      </c>
      <c r="E1337" s="17" t="s">
        <v>1446</v>
      </c>
      <c r="F1337" s="23">
        <v>5420258</v>
      </c>
    </row>
    <row r="1338" spans="1:6" ht="16" customHeight="1" x14ac:dyDescent="0.2">
      <c r="A1338">
        <f>IFERROR(VLOOKUP(C1338,'GASB Match'!$D$2:$F$6042,3,FALSE),"")</f>
        <v>3404380</v>
      </c>
      <c r="B1338" s="17">
        <v>2023</v>
      </c>
      <c r="C1338" s="21" t="s">
        <v>849</v>
      </c>
      <c r="D1338" s="17">
        <v>4010</v>
      </c>
      <c r="E1338" s="17" t="s">
        <v>1446</v>
      </c>
      <c r="F1338" s="23">
        <v>5362038</v>
      </c>
    </row>
    <row r="1339" spans="1:6" ht="16" customHeight="1" x14ac:dyDescent="0.2">
      <c r="A1339">
        <f>IFERROR(VLOOKUP(C1339,'GASB Match'!$D$2:$F$6042,3,FALSE),"")</f>
        <v>3404380</v>
      </c>
      <c r="B1339" s="28">
        <v>2017</v>
      </c>
      <c r="C1339" s="29" t="s">
        <v>166</v>
      </c>
      <c r="D1339" s="17">
        <v>4010</v>
      </c>
      <c r="E1339" s="17" t="s">
        <v>1405</v>
      </c>
      <c r="F1339" s="29">
        <v>1473427</v>
      </c>
    </row>
    <row r="1340" spans="1:6" ht="16" customHeight="1" x14ac:dyDescent="0.2">
      <c r="A1340">
        <f>IFERROR(VLOOKUP(C1340,'GASB Match'!$D$2:$F$6042,3,FALSE),"")</f>
        <v>3404410</v>
      </c>
      <c r="B1340" s="17">
        <v>2015</v>
      </c>
      <c r="C1340" s="17" t="s">
        <v>409</v>
      </c>
      <c r="D1340" s="17">
        <v>327</v>
      </c>
      <c r="E1340" s="17" t="s">
        <v>1420</v>
      </c>
      <c r="F1340" s="20">
        <v>478095</v>
      </c>
    </row>
    <row r="1341" spans="1:6" ht="16" customHeight="1" x14ac:dyDescent="0.2">
      <c r="A1341">
        <f>IFERROR(VLOOKUP(C1341,'GASB Match'!$D$2:$F$6042,3,FALSE),"")</f>
        <v>3404410</v>
      </c>
      <c r="B1341" s="17">
        <v>2016</v>
      </c>
      <c r="C1341" s="17" t="s">
        <v>409</v>
      </c>
      <c r="D1341" s="17">
        <v>327</v>
      </c>
      <c r="E1341" s="17" t="s">
        <v>1420</v>
      </c>
      <c r="F1341" s="20">
        <v>679225</v>
      </c>
    </row>
    <row r="1342" spans="1:6" ht="16" customHeight="1" x14ac:dyDescent="0.2">
      <c r="A1342">
        <f>IFERROR(VLOOKUP(C1342,'GASB Match'!$D$2:$F$6042,3,FALSE),"")</f>
        <v>3404410</v>
      </c>
      <c r="B1342" s="17">
        <v>2018</v>
      </c>
      <c r="C1342" s="17" t="s">
        <v>1101</v>
      </c>
      <c r="D1342" s="17">
        <v>327</v>
      </c>
      <c r="E1342" s="17" t="s">
        <v>1463</v>
      </c>
      <c r="F1342" s="20">
        <v>1237168</v>
      </c>
    </row>
    <row r="1343" spans="1:6" ht="16" customHeight="1" x14ac:dyDescent="0.2">
      <c r="A1343">
        <f>IFERROR(VLOOKUP(C1343,'GASB Match'!$D$2:$F$6042,3,FALSE),"")</f>
        <v>3404410</v>
      </c>
      <c r="B1343" s="17">
        <v>2019</v>
      </c>
      <c r="C1343" s="17" t="s">
        <v>1101</v>
      </c>
      <c r="D1343" s="17">
        <v>327</v>
      </c>
      <c r="E1343" s="17" t="s">
        <v>1463</v>
      </c>
      <c r="F1343" s="20">
        <v>1656712</v>
      </c>
    </row>
    <row r="1344" spans="1:6" ht="16" customHeight="1" x14ac:dyDescent="0.2">
      <c r="A1344">
        <f>IFERROR(VLOOKUP(C1344,'GASB Match'!$D$2:$F$6042,3,FALSE),"")</f>
        <v>3404410</v>
      </c>
      <c r="B1344" s="17">
        <v>2020</v>
      </c>
      <c r="C1344" s="21" t="s">
        <v>1101</v>
      </c>
      <c r="D1344" s="17">
        <v>327</v>
      </c>
      <c r="E1344" s="17" t="s">
        <v>1463</v>
      </c>
      <c r="F1344" s="23">
        <v>1904616</v>
      </c>
    </row>
    <row r="1345" spans="1:6" ht="16" customHeight="1" x14ac:dyDescent="0.2">
      <c r="A1345">
        <f>IFERROR(VLOOKUP(C1345,'GASB Match'!$D$2:$F$6042,3,FALSE),"")</f>
        <v>3404410</v>
      </c>
      <c r="B1345" s="17">
        <v>2021</v>
      </c>
      <c r="C1345" s="25" t="s">
        <v>1101</v>
      </c>
      <c r="D1345" s="17">
        <v>327</v>
      </c>
      <c r="E1345" s="17" t="s">
        <v>1463</v>
      </c>
      <c r="F1345" s="23">
        <v>2352616</v>
      </c>
    </row>
    <row r="1346" spans="1:6" ht="16" customHeight="1" x14ac:dyDescent="0.2">
      <c r="A1346">
        <f>IFERROR(VLOOKUP(C1346,'GASB Match'!$D$2:$F$6042,3,FALSE),"")</f>
        <v>3404410</v>
      </c>
      <c r="B1346" s="17">
        <v>2022</v>
      </c>
      <c r="C1346" s="21" t="s">
        <v>1101</v>
      </c>
      <c r="D1346" s="17">
        <v>327</v>
      </c>
      <c r="E1346" s="17" t="s">
        <v>1463</v>
      </c>
      <c r="F1346" s="23">
        <v>3451089</v>
      </c>
    </row>
    <row r="1347" spans="1:6" ht="16" customHeight="1" x14ac:dyDescent="0.2">
      <c r="A1347">
        <f>IFERROR(VLOOKUP(C1347,'GASB Match'!$D$2:$F$6042,3,FALSE),"")</f>
        <v>3404410</v>
      </c>
      <c r="B1347" s="17">
        <v>2023</v>
      </c>
      <c r="C1347" s="21" t="s">
        <v>1101</v>
      </c>
      <c r="D1347" s="17">
        <v>327</v>
      </c>
      <c r="E1347" s="17" t="s">
        <v>1463</v>
      </c>
      <c r="F1347" s="23">
        <v>3350073</v>
      </c>
    </row>
    <row r="1348" spans="1:6" ht="16" customHeight="1" x14ac:dyDescent="0.2">
      <c r="A1348">
        <f>IFERROR(VLOOKUP(C1348,'GASB Match'!$D$2:$F$6042,3,FALSE),"")</f>
        <v>3404410</v>
      </c>
      <c r="B1348" s="28">
        <v>2017</v>
      </c>
      <c r="C1348" s="29" t="s">
        <v>409</v>
      </c>
      <c r="D1348" s="17">
        <v>327</v>
      </c>
      <c r="E1348" s="17" t="s">
        <v>1420</v>
      </c>
      <c r="F1348" s="29">
        <v>961833</v>
      </c>
    </row>
    <row r="1349" spans="1:6" ht="16" customHeight="1" x14ac:dyDescent="0.2">
      <c r="A1349">
        <f>IFERROR(VLOOKUP(C1349,'GASB Match'!$D$2:$F$6042,3,FALSE),"")</f>
        <v>3400079</v>
      </c>
      <c r="B1349" s="17">
        <v>2015</v>
      </c>
      <c r="C1349" s="17" t="s">
        <v>167</v>
      </c>
      <c r="D1349" s="17">
        <v>4076</v>
      </c>
      <c r="E1349" s="17" t="s">
        <v>1405</v>
      </c>
      <c r="F1349" s="20">
        <v>67464</v>
      </c>
    </row>
    <row r="1350" spans="1:6" ht="16" customHeight="1" x14ac:dyDescent="0.2">
      <c r="A1350">
        <f>IFERROR(VLOOKUP(C1350,'GASB Match'!$D$2:$F$6042,3,FALSE),"")</f>
        <v>3400079</v>
      </c>
      <c r="B1350" s="17">
        <v>2016</v>
      </c>
      <c r="C1350" s="17" t="s">
        <v>167</v>
      </c>
      <c r="D1350" s="17">
        <v>4076</v>
      </c>
      <c r="E1350" s="17" t="s">
        <v>1405</v>
      </c>
      <c r="F1350" s="20">
        <v>103332</v>
      </c>
    </row>
    <row r="1351" spans="1:6" ht="16" customHeight="1" x14ac:dyDescent="0.2">
      <c r="A1351">
        <f>IFERROR(VLOOKUP(C1351,'GASB Match'!$D$2:$F$6042,3,FALSE),"")</f>
        <v>3400079</v>
      </c>
      <c r="B1351" s="17">
        <v>2018</v>
      </c>
      <c r="C1351" s="17" t="s">
        <v>850</v>
      </c>
      <c r="D1351" s="17">
        <v>4076</v>
      </c>
      <c r="E1351" s="17" t="s">
        <v>1446</v>
      </c>
      <c r="F1351" s="20">
        <v>164352</v>
      </c>
    </row>
    <row r="1352" spans="1:6" ht="16" customHeight="1" x14ac:dyDescent="0.2">
      <c r="A1352">
        <f>IFERROR(VLOOKUP(C1352,'GASB Match'!$D$2:$F$6042,3,FALSE),"")</f>
        <v>3400079</v>
      </c>
      <c r="B1352" s="17">
        <v>2019</v>
      </c>
      <c r="C1352" s="17" t="s">
        <v>850</v>
      </c>
      <c r="D1352" s="17">
        <v>4076</v>
      </c>
      <c r="E1352" s="17" t="s">
        <v>1446</v>
      </c>
      <c r="F1352" s="20">
        <v>207463</v>
      </c>
    </row>
    <row r="1353" spans="1:6" ht="16" customHeight="1" x14ac:dyDescent="0.2">
      <c r="A1353">
        <f>IFERROR(VLOOKUP(C1353,'GASB Match'!$D$2:$F$6042,3,FALSE),"")</f>
        <v>3400079</v>
      </c>
      <c r="B1353" s="17">
        <v>2020</v>
      </c>
      <c r="C1353" s="21" t="s">
        <v>850</v>
      </c>
      <c r="D1353" s="17">
        <v>4076</v>
      </c>
      <c r="E1353" s="17" t="s">
        <v>1446</v>
      </c>
      <c r="F1353" s="23">
        <v>253737</v>
      </c>
    </row>
    <row r="1354" spans="1:6" ht="16" customHeight="1" x14ac:dyDescent="0.2">
      <c r="A1354">
        <f>IFERROR(VLOOKUP(C1354,'GASB Match'!$D$2:$F$6042,3,FALSE),"")</f>
        <v>3400079</v>
      </c>
      <c r="B1354" s="17">
        <v>2021</v>
      </c>
      <c r="C1354" s="25" t="s">
        <v>850</v>
      </c>
      <c r="D1354" s="17">
        <v>4076</v>
      </c>
      <c r="E1354" s="17" t="s">
        <v>1446</v>
      </c>
      <c r="F1354" s="23">
        <v>326587</v>
      </c>
    </row>
    <row r="1355" spans="1:6" ht="16" customHeight="1" x14ac:dyDescent="0.2">
      <c r="A1355">
        <f>IFERROR(VLOOKUP(C1355,'GASB Match'!$D$2:$F$6042,3,FALSE),"")</f>
        <v>3400079</v>
      </c>
      <c r="B1355" s="17">
        <v>2022</v>
      </c>
      <c r="C1355" s="21" t="s">
        <v>850</v>
      </c>
      <c r="D1355" s="17">
        <v>4076</v>
      </c>
      <c r="E1355" s="17" t="s">
        <v>1446</v>
      </c>
      <c r="F1355" s="23">
        <v>439590</v>
      </c>
    </row>
    <row r="1356" spans="1:6" ht="16" customHeight="1" x14ac:dyDescent="0.2">
      <c r="A1356">
        <f>IFERROR(VLOOKUP(C1356,'GASB Match'!$D$2:$F$6042,3,FALSE),"")</f>
        <v>3400079</v>
      </c>
      <c r="B1356" s="17">
        <v>2023</v>
      </c>
      <c r="C1356" s="21" t="s">
        <v>850</v>
      </c>
      <c r="D1356" s="17">
        <v>4076</v>
      </c>
      <c r="E1356" s="17" t="s">
        <v>1446</v>
      </c>
      <c r="F1356" s="23">
        <v>552849</v>
      </c>
    </row>
    <row r="1357" spans="1:6" ht="16" customHeight="1" x14ac:dyDescent="0.2">
      <c r="A1357">
        <f>IFERROR(VLOOKUP(C1357,'GASB Match'!$D$2:$F$6042,3,FALSE),"")</f>
        <v>3400079</v>
      </c>
      <c r="B1357" s="28">
        <v>2017</v>
      </c>
      <c r="C1357" s="29" t="s">
        <v>167</v>
      </c>
      <c r="D1357" s="17">
        <v>4076</v>
      </c>
      <c r="E1357" s="17" t="s">
        <v>1405</v>
      </c>
      <c r="F1357" s="29">
        <v>146074</v>
      </c>
    </row>
    <row r="1358" spans="1:6" ht="16" customHeight="1" x14ac:dyDescent="0.2">
      <c r="A1358">
        <f>IFERROR(VLOOKUP(C1358,'GASB Match'!$D$2:$F$6042,3,FALSE),"")</f>
        <v>3400062</v>
      </c>
      <c r="B1358" s="17">
        <v>2015</v>
      </c>
      <c r="C1358" s="17" t="s">
        <v>277</v>
      </c>
      <c r="D1358" s="17">
        <v>4006</v>
      </c>
      <c r="E1358" s="17" t="s">
        <v>1412</v>
      </c>
      <c r="F1358" s="20">
        <v>17464</v>
      </c>
    </row>
    <row r="1359" spans="1:6" ht="16" customHeight="1" x14ac:dyDescent="0.2">
      <c r="A1359">
        <f>IFERROR(VLOOKUP(C1359,'GASB Match'!$D$2:$F$6042,3,FALSE),"")</f>
        <v>3400062</v>
      </c>
      <c r="B1359" s="17">
        <v>2016</v>
      </c>
      <c r="C1359" s="17" t="s">
        <v>277</v>
      </c>
      <c r="D1359" s="17">
        <v>4006</v>
      </c>
      <c r="E1359" s="17" t="s">
        <v>1412</v>
      </c>
      <c r="F1359" s="20">
        <v>26466</v>
      </c>
    </row>
    <row r="1360" spans="1:6" ht="16" customHeight="1" x14ac:dyDescent="0.2">
      <c r="A1360">
        <f>IFERROR(VLOOKUP(C1360,'GASB Match'!$D$2:$F$6042,3,FALSE),"")</f>
        <v>3400062</v>
      </c>
      <c r="B1360" s="17">
        <v>2018</v>
      </c>
      <c r="C1360" s="17" t="s">
        <v>967</v>
      </c>
      <c r="D1360" s="17">
        <v>4006</v>
      </c>
      <c r="E1360" s="17" t="s">
        <v>1454</v>
      </c>
      <c r="F1360" s="20">
        <v>70157</v>
      </c>
    </row>
    <row r="1361" spans="1:6" ht="16" customHeight="1" x14ac:dyDescent="0.2">
      <c r="A1361">
        <f>IFERROR(VLOOKUP(C1361,'GASB Match'!$D$2:$F$6042,3,FALSE),"")</f>
        <v>3400062</v>
      </c>
      <c r="B1361" s="17">
        <v>2019</v>
      </c>
      <c r="C1361" s="17" t="s">
        <v>967</v>
      </c>
      <c r="D1361" s="17">
        <v>4006</v>
      </c>
      <c r="E1361" s="17" t="s">
        <v>1454</v>
      </c>
      <c r="F1361" s="20">
        <v>92876</v>
      </c>
    </row>
    <row r="1362" spans="1:6" ht="16" customHeight="1" x14ac:dyDescent="0.2">
      <c r="A1362">
        <f>IFERROR(VLOOKUP(C1362,'GASB Match'!$D$2:$F$6042,3,FALSE),"")</f>
        <v>3400062</v>
      </c>
      <c r="B1362" s="28">
        <v>2017</v>
      </c>
      <c r="C1362" s="29" t="s">
        <v>277</v>
      </c>
      <c r="D1362" s="17">
        <v>4006</v>
      </c>
      <c r="E1362" s="17" t="s">
        <v>1412</v>
      </c>
      <c r="F1362" s="29">
        <v>28230</v>
      </c>
    </row>
    <row r="1363" spans="1:6" ht="16" customHeight="1" x14ac:dyDescent="0.2">
      <c r="A1363">
        <f>IFERROR(VLOOKUP(C1363,'GASB Match'!$D$2:$F$6042,3,FALSE),"")</f>
        <v>3404440</v>
      </c>
      <c r="B1363" s="28">
        <v>2017</v>
      </c>
      <c r="C1363" s="29" t="s">
        <v>673</v>
      </c>
      <c r="D1363" s="17">
        <v>2034</v>
      </c>
      <c r="E1363" s="17" t="s">
        <v>1402</v>
      </c>
      <c r="F1363" s="29">
        <v>510959</v>
      </c>
    </row>
    <row r="1364" spans="1:6" ht="16" customHeight="1" x14ac:dyDescent="0.2">
      <c r="A1364">
        <f>IFERROR(VLOOKUP(C1364,'GASB Match'!$D$2:$F$6042,3,FALSE),"")</f>
        <v>3404440</v>
      </c>
      <c r="B1364" s="17">
        <v>2015</v>
      </c>
      <c r="C1364" s="17" t="s">
        <v>42</v>
      </c>
      <c r="D1364" s="17">
        <v>2034</v>
      </c>
      <c r="E1364" s="17" t="s">
        <v>1402</v>
      </c>
      <c r="F1364" s="20">
        <v>203620</v>
      </c>
    </row>
    <row r="1365" spans="1:6" ht="16" customHeight="1" x14ac:dyDescent="0.2">
      <c r="A1365">
        <f>IFERROR(VLOOKUP(C1365,'GASB Match'!$D$2:$F$6042,3,FALSE),"")</f>
        <v>3404440</v>
      </c>
      <c r="B1365" s="17">
        <v>2018</v>
      </c>
      <c r="C1365" s="17" t="s">
        <v>720</v>
      </c>
      <c r="D1365" s="17">
        <v>2034</v>
      </c>
      <c r="E1365" s="17" t="s">
        <v>1443</v>
      </c>
      <c r="F1365" s="20">
        <v>735734</v>
      </c>
    </row>
    <row r="1366" spans="1:6" ht="16" customHeight="1" x14ac:dyDescent="0.2">
      <c r="A1366">
        <f>IFERROR(VLOOKUP(C1366,'GASB Match'!$D$2:$F$6042,3,FALSE),"")</f>
        <v>3404440</v>
      </c>
      <c r="B1366" s="17">
        <v>2019</v>
      </c>
      <c r="C1366" s="17" t="s">
        <v>720</v>
      </c>
      <c r="D1366" s="17">
        <v>2034</v>
      </c>
      <c r="E1366" s="17" t="s">
        <v>1443</v>
      </c>
      <c r="F1366" s="20">
        <v>982122</v>
      </c>
    </row>
    <row r="1367" spans="1:6" ht="16" customHeight="1" x14ac:dyDescent="0.2">
      <c r="A1367">
        <f>IFERROR(VLOOKUP(C1367,'GASB Match'!$D$2:$F$6042,3,FALSE),"")</f>
        <v>3404440</v>
      </c>
      <c r="B1367" s="17">
        <v>2020</v>
      </c>
      <c r="C1367" s="21" t="s">
        <v>720</v>
      </c>
      <c r="D1367" s="17">
        <v>2034</v>
      </c>
      <c r="E1367" s="17" t="s">
        <v>1443</v>
      </c>
      <c r="F1367" s="23">
        <v>1175338</v>
      </c>
    </row>
    <row r="1368" spans="1:6" ht="16" customHeight="1" x14ac:dyDescent="0.2">
      <c r="A1368">
        <f>IFERROR(VLOOKUP(C1368,'GASB Match'!$D$2:$F$6042,3,FALSE),"")</f>
        <v>3404440</v>
      </c>
      <c r="B1368" s="17">
        <v>2021</v>
      </c>
      <c r="C1368" s="25" t="s">
        <v>720</v>
      </c>
      <c r="D1368" s="17">
        <v>2034</v>
      </c>
      <c r="E1368" s="17" t="s">
        <v>1443</v>
      </c>
      <c r="F1368" s="23">
        <v>1536571</v>
      </c>
    </row>
    <row r="1369" spans="1:6" ht="16" customHeight="1" x14ac:dyDescent="0.2">
      <c r="A1369">
        <f>IFERROR(VLOOKUP(C1369,'GASB Match'!$D$2:$F$6042,3,FALSE),"")</f>
        <v>3404440</v>
      </c>
      <c r="B1369" s="17">
        <v>2022</v>
      </c>
      <c r="C1369" s="21" t="s">
        <v>720</v>
      </c>
      <c r="D1369" s="17">
        <v>2034</v>
      </c>
      <c r="E1369" s="17" t="s">
        <v>1443</v>
      </c>
      <c r="F1369" s="23">
        <v>1961743</v>
      </c>
    </row>
    <row r="1370" spans="1:6" ht="16" customHeight="1" x14ac:dyDescent="0.2">
      <c r="A1370">
        <f>IFERROR(VLOOKUP(C1370,'GASB Match'!$D$2:$F$6042,3,FALSE),"")</f>
        <v>3404440</v>
      </c>
      <c r="B1370" s="17">
        <v>2023</v>
      </c>
      <c r="C1370" s="21" t="s">
        <v>720</v>
      </c>
      <c r="D1370" s="17">
        <v>2034</v>
      </c>
      <c r="E1370" s="17" t="s">
        <v>1443</v>
      </c>
      <c r="F1370" s="23">
        <v>1467167</v>
      </c>
    </row>
    <row r="1371" spans="1:6" ht="16" customHeight="1" x14ac:dyDescent="0.2">
      <c r="A1371">
        <f>IFERROR(VLOOKUP(C1371,'GASB Match'!$D$2:$F$6042,3,FALSE),"")</f>
        <v>3404470</v>
      </c>
      <c r="B1371" s="17">
        <v>2015</v>
      </c>
      <c r="C1371" s="17" t="s">
        <v>118</v>
      </c>
      <c r="D1371" s="17">
        <v>3021</v>
      </c>
      <c r="E1371" s="17" t="s">
        <v>1404</v>
      </c>
      <c r="F1371" s="20">
        <v>325271</v>
      </c>
    </row>
    <row r="1372" spans="1:6" ht="16" customHeight="1" x14ac:dyDescent="0.2">
      <c r="A1372">
        <f>IFERROR(VLOOKUP(C1372,'GASB Match'!$D$2:$F$6042,3,FALSE),"")</f>
        <v>3404470</v>
      </c>
      <c r="B1372" s="17">
        <v>2016</v>
      </c>
      <c r="C1372" s="17" t="s">
        <v>118</v>
      </c>
      <c r="D1372" s="17">
        <v>3021</v>
      </c>
      <c r="E1372" s="17" t="s">
        <v>1404</v>
      </c>
      <c r="F1372" s="20">
        <v>448156</v>
      </c>
    </row>
    <row r="1373" spans="1:6" ht="16" customHeight="1" x14ac:dyDescent="0.2">
      <c r="A1373">
        <f>IFERROR(VLOOKUP(C1373,'GASB Match'!$D$2:$F$6042,3,FALSE),"")</f>
        <v>3404470</v>
      </c>
      <c r="B1373" s="17">
        <v>2018</v>
      </c>
      <c r="C1373" s="17" t="s">
        <v>799</v>
      </c>
      <c r="D1373" s="17">
        <v>3021</v>
      </c>
      <c r="E1373" s="17" t="s">
        <v>1445</v>
      </c>
      <c r="F1373" s="20">
        <v>842443</v>
      </c>
    </row>
    <row r="1374" spans="1:6" ht="16" customHeight="1" x14ac:dyDescent="0.2">
      <c r="A1374">
        <f>IFERROR(VLOOKUP(C1374,'GASB Match'!$D$2:$F$6042,3,FALSE),"")</f>
        <v>3404470</v>
      </c>
      <c r="B1374" s="17">
        <v>2019</v>
      </c>
      <c r="C1374" s="17" t="s">
        <v>799</v>
      </c>
      <c r="D1374" s="17">
        <v>3021</v>
      </c>
      <c r="E1374" s="17" t="s">
        <v>1445</v>
      </c>
      <c r="F1374" s="20">
        <v>1107298</v>
      </c>
    </row>
    <row r="1375" spans="1:6" ht="16" customHeight="1" x14ac:dyDescent="0.2">
      <c r="A1375">
        <f>IFERROR(VLOOKUP(C1375,'GASB Match'!$D$2:$F$6042,3,FALSE),"")</f>
        <v>3404470</v>
      </c>
      <c r="B1375" s="17">
        <v>2020</v>
      </c>
      <c r="C1375" s="21" t="s">
        <v>799</v>
      </c>
      <c r="D1375" s="17">
        <v>3021</v>
      </c>
      <c r="E1375" s="17" t="s">
        <v>1445</v>
      </c>
      <c r="F1375" s="23">
        <v>1229854</v>
      </c>
    </row>
    <row r="1376" spans="1:6" ht="16" customHeight="1" x14ac:dyDescent="0.2">
      <c r="A1376">
        <f>IFERROR(VLOOKUP(C1376,'GASB Match'!$D$2:$F$6042,3,FALSE),"")</f>
        <v>3404470</v>
      </c>
      <c r="B1376" s="17">
        <v>2021</v>
      </c>
      <c r="C1376" s="25" t="s">
        <v>799</v>
      </c>
      <c r="D1376" s="17">
        <v>3021</v>
      </c>
      <c r="E1376" s="17" t="s">
        <v>1445</v>
      </c>
      <c r="F1376" s="23">
        <v>1687404</v>
      </c>
    </row>
    <row r="1377" spans="1:6" ht="16" customHeight="1" x14ac:dyDescent="0.2">
      <c r="A1377">
        <f>IFERROR(VLOOKUP(C1377,'GASB Match'!$D$2:$F$6042,3,FALSE),"")</f>
        <v>3404470</v>
      </c>
      <c r="B1377" s="17">
        <v>2022</v>
      </c>
      <c r="C1377" s="21" t="s">
        <v>799</v>
      </c>
      <c r="D1377" s="17">
        <v>3021</v>
      </c>
      <c r="E1377" s="17" t="s">
        <v>1445</v>
      </c>
      <c r="F1377" s="23">
        <v>2421281</v>
      </c>
    </row>
    <row r="1378" spans="1:6" ht="16" customHeight="1" x14ac:dyDescent="0.2">
      <c r="A1378">
        <f>IFERROR(VLOOKUP(C1378,'GASB Match'!$D$2:$F$6042,3,FALSE),"")</f>
        <v>3404470</v>
      </c>
      <c r="B1378" s="17">
        <v>2023</v>
      </c>
      <c r="C1378" s="21" t="s">
        <v>799</v>
      </c>
      <c r="D1378" s="17">
        <v>3021</v>
      </c>
      <c r="E1378" s="17" t="s">
        <v>1445</v>
      </c>
      <c r="F1378" s="23">
        <v>2430920</v>
      </c>
    </row>
    <row r="1379" spans="1:6" ht="16" customHeight="1" x14ac:dyDescent="0.2">
      <c r="A1379">
        <f>IFERROR(VLOOKUP(C1379,'GASB Match'!$D$2:$F$6042,3,FALSE),"")</f>
        <v>3404470</v>
      </c>
      <c r="B1379" s="28">
        <v>2017</v>
      </c>
      <c r="C1379" s="29" t="s">
        <v>118</v>
      </c>
      <c r="D1379" s="17">
        <v>3021</v>
      </c>
      <c r="E1379" s="17" t="s">
        <v>1404</v>
      </c>
      <c r="F1379" s="29">
        <v>593310</v>
      </c>
    </row>
    <row r="1380" spans="1:6" ht="16" customHeight="1" x14ac:dyDescent="0.2">
      <c r="A1380">
        <f>IFERROR(VLOOKUP(C1380,'GASB Match'!$D$2:$F$6042,3,FALSE),"")</f>
        <v>3404500</v>
      </c>
      <c r="B1380" s="17">
        <v>2015</v>
      </c>
      <c r="C1380" s="17" t="s">
        <v>377</v>
      </c>
      <c r="D1380" s="17">
        <v>247</v>
      </c>
      <c r="E1380" s="17" t="s">
        <v>1418</v>
      </c>
      <c r="F1380" s="20">
        <v>5671158</v>
      </c>
    </row>
    <row r="1381" spans="1:6" ht="16" customHeight="1" x14ac:dyDescent="0.2">
      <c r="A1381">
        <f>IFERROR(VLOOKUP(C1381,'GASB Match'!$D$2:$F$6042,3,FALSE),"")</f>
        <v>3404500</v>
      </c>
      <c r="B1381" s="17">
        <v>2016</v>
      </c>
      <c r="C1381" s="17" t="s">
        <v>377</v>
      </c>
      <c r="D1381" s="17">
        <v>247</v>
      </c>
      <c r="E1381" s="17" t="s">
        <v>1418</v>
      </c>
      <c r="F1381" s="20">
        <v>8526885</v>
      </c>
    </row>
    <row r="1382" spans="1:6" ht="16" customHeight="1" x14ac:dyDescent="0.2">
      <c r="A1382">
        <f>IFERROR(VLOOKUP(C1382,'GASB Match'!$D$2:$F$6042,3,FALSE),"")</f>
        <v>3404500</v>
      </c>
      <c r="B1382" s="17">
        <v>2018</v>
      </c>
      <c r="C1382" s="17" t="s">
        <v>1069</v>
      </c>
      <c r="D1382" s="17">
        <v>247</v>
      </c>
      <c r="E1382" s="17" t="s">
        <v>1461</v>
      </c>
      <c r="F1382" s="20">
        <v>16237016</v>
      </c>
    </row>
    <row r="1383" spans="1:6" ht="16" customHeight="1" x14ac:dyDescent="0.2">
      <c r="A1383">
        <f>IFERROR(VLOOKUP(C1383,'GASB Match'!$D$2:$F$6042,3,FALSE),"")</f>
        <v>3404500</v>
      </c>
      <c r="B1383" s="17">
        <v>2019</v>
      </c>
      <c r="C1383" s="17" t="s">
        <v>1069</v>
      </c>
      <c r="D1383" s="17">
        <v>247</v>
      </c>
      <c r="E1383" s="17" t="s">
        <v>1461</v>
      </c>
      <c r="F1383" s="20">
        <v>21572331</v>
      </c>
    </row>
    <row r="1384" spans="1:6" ht="16" customHeight="1" x14ac:dyDescent="0.2">
      <c r="A1384">
        <f>IFERROR(VLOOKUP(C1384,'GASB Match'!$D$2:$F$6042,3,FALSE),"")</f>
        <v>3404500</v>
      </c>
      <c r="B1384" s="17">
        <v>2020</v>
      </c>
      <c r="C1384" s="21" t="s">
        <v>1069</v>
      </c>
      <c r="D1384" s="17">
        <v>247</v>
      </c>
      <c r="E1384" s="17" t="s">
        <v>1461</v>
      </c>
      <c r="F1384" s="23">
        <v>24274740</v>
      </c>
    </row>
    <row r="1385" spans="1:6" ht="16" customHeight="1" x14ac:dyDescent="0.2">
      <c r="A1385">
        <f>IFERROR(VLOOKUP(C1385,'GASB Match'!$D$2:$F$6042,3,FALSE),"")</f>
        <v>3404500</v>
      </c>
      <c r="B1385" s="17">
        <v>2021</v>
      </c>
      <c r="C1385" s="25" t="s">
        <v>1069</v>
      </c>
      <c r="D1385" s="17">
        <v>247</v>
      </c>
      <c r="E1385" s="17" t="s">
        <v>1461</v>
      </c>
      <c r="F1385" s="23">
        <v>31833746</v>
      </c>
    </row>
    <row r="1386" spans="1:6" ht="16" customHeight="1" x14ac:dyDescent="0.2">
      <c r="A1386">
        <f>IFERROR(VLOOKUP(C1386,'GASB Match'!$D$2:$F$6042,3,FALSE),"")</f>
        <v>3404500</v>
      </c>
      <c r="B1386" s="17">
        <v>2022</v>
      </c>
      <c r="C1386" s="21" t="s">
        <v>1069</v>
      </c>
      <c r="D1386" s="17">
        <v>247</v>
      </c>
      <c r="E1386" s="17" t="s">
        <v>1461</v>
      </c>
      <c r="F1386" s="23">
        <v>45540567</v>
      </c>
    </row>
    <row r="1387" spans="1:6" ht="16" customHeight="1" x14ac:dyDescent="0.2">
      <c r="A1387">
        <f>IFERROR(VLOOKUP(C1387,'GASB Match'!$D$2:$F$6042,3,FALSE),"")</f>
        <v>3404500</v>
      </c>
      <c r="B1387" s="17">
        <v>2023</v>
      </c>
      <c r="C1387" s="21" t="s">
        <v>1069</v>
      </c>
      <c r="D1387" s="17">
        <v>247</v>
      </c>
      <c r="E1387" s="17" t="s">
        <v>1461</v>
      </c>
      <c r="F1387" s="23">
        <v>45578201</v>
      </c>
    </row>
    <row r="1388" spans="1:6" ht="16" customHeight="1" x14ac:dyDescent="0.2">
      <c r="A1388">
        <f>IFERROR(VLOOKUP(C1388,'GASB Match'!$D$2:$F$6042,3,FALSE),"")</f>
        <v>3404500</v>
      </c>
      <c r="B1388" s="28">
        <v>2017</v>
      </c>
      <c r="C1388" s="29" t="s">
        <v>377</v>
      </c>
      <c r="D1388" s="17">
        <v>247</v>
      </c>
      <c r="E1388" s="17" t="s">
        <v>1418</v>
      </c>
      <c r="F1388" s="29">
        <v>12008310</v>
      </c>
    </row>
    <row r="1389" spans="1:6" ht="16" customHeight="1" x14ac:dyDescent="0.2">
      <c r="A1389">
        <f>IFERROR(VLOOKUP(C1389,'GASB Match'!$D$2:$F$6042,3,FALSE),"")</f>
        <v>3480180</v>
      </c>
      <c r="B1389" s="17">
        <v>2018</v>
      </c>
      <c r="C1389" s="17" t="s">
        <v>1070</v>
      </c>
      <c r="D1389" s="17">
        <v>202</v>
      </c>
      <c r="E1389" s="17" t="s">
        <v>1461</v>
      </c>
      <c r="F1389" s="20">
        <v>2068386</v>
      </c>
    </row>
    <row r="1390" spans="1:6" ht="16" customHeight="1" x14ac:dyDescent="0.2">
      <c r="A1390">
        <f>IFERROR(VLOOKUP(C1390,'GASB Match'!$D$2:$F$6042,3,FALSE),"")</f>
        <v>3480180</v>
      </c>
      <c r="B1390" s="17">
        <v>2019</v>
      </c>
      <c r="C1390" s="17" t="s">
        <v>1070</v>
      </c>
      <c r="D1390" s="17">
        <v>202</v>
      </c>
      <c r="E1390" s="17" t="s">
        <v>1461</v>
      </c>
      <c r="F1390" s="20">
        <v>2865579</v>
      </c>
    </row>
    <row r="1391" spans="1:6" ht="16" customHeight="1" x14ac:dyDescent="0.2">
      <c r="A1391">
        <f>IFERROR(VLOOKUP(C1391,'GASB Match'!$D$2:$F$6042,3,FALSE),"")</f>
        <v>3480180</v>
      </c>
      <c r="B1391" s="17">
        <v>2020</v>
      </c>
      <c r="C1391" s="21" t="s">
        <v>1070</v>
      </c>
      <c r="D1391" s="17">
        <v>202</v>
      </c>
      <c r="E1391" s="17" t="s">
        <v>1461</v>
      </c>
      <c r="F1391" s="23">
        <v>3162923</v>
      </c>
    </row>
    <row r="1392" spans="1:6" ht="16" customHeight="1" x14ac:dyDescent="0.2">
      <c r="A1392">
        <f>IFERROR(VLOOKUP(C1392,'GASB Match'!$D$2:$F$6042,3,FALSE),"")</f>
        <v>3480180</v>
      </c>
      <c r="B1392" s="17">
        <v>2021</v>
      </c>
      <c r="C1392" s="25" t="s">
        <v>1070</v>
      </c>
      <c r="D1392" s="17">
        <v>202</v>
      </c>
      <c r="E1392" s="17" t="s">
        <v>1461</v>
      </c>
      <c r="F1392" s="23">
        <v>4213992</v>
      </c>
    </row>
    <row r="1393" spans="1:6" ht="16" customHeight="1" x14ac:dyDescent="0.2">
      <c r="A1393">
        <f>IFERROR(VLOOKUP(C1393,'GASB Match'!$D$2:$F$6042,3,FALSE),"")</f>
        <v>3480180</v>
      </c>
      <c r="B1393" s="17">
        <v>2022</v>
      </c>
      <c r="C1393" s="21" t="s">
        <v>1070</v>
      </c>
      <c r="D1393" s="17">
        <v>202</v>
      </c>
      <c r="E1393" s="17" t="s">
        <v>1461</v>
      </c>
      <c r="F1393" s="23">
        <v>5817679</v>
      </c>
    </row>
    <row r="1394" spans="1:6" ht="16" customHeight="1" x14ac:dyDescent="0.2">
      <c r="A1394">
        <f>IFERROR(VLOOKUP(C1394,'GASB Match'!$D$2:$F$6042,3,FALSE),"")</f>
        <v>3480180</v>
      </c>
      <c r="B1394" s="17">
        <v>2023</v>
      </c>
      <c r="C1394" s="21" t="s">
        <v>1070</v>
      </c>
      <c r="D1394" s="17">
        <v>202</v>
      </c>
      <c r="E1394" s="17" t="s">
        <v>1461</v>
      </c>
      <c r="F1394" s="23">
        <v>5890978</v>
      </c>
    </row>
    <row r="1395" spans="1:6" ht="16" customHeight="1" x14ac:dyDescent="0.2">
      <c r="A1395">
        <f>IFERROR(VLOOKUP(C1395,'GASB Match'!$D$2:$F$6042,3,FALSE),"")</f>
        <v>3404530</v>
      </c>
      <c r="B1395" s="17">
        <v>2015</v>
      </c>
      <c r="C1395" s="17" t="s">
        <v>7</v>
      </c>
      <c r="D1395" s="17">
        <v>1030</v>
      </c>
      <c r="E1395" s="17" t="s">
        <v>1400</v>
      </c>
      <c r="F1395" s="20">
        <v>222663</v>
      </c>
    </row>
    <row r="1396" spans="1:6" ht="16" customHeight="1" x14ac:dyDescent="0.2">
      <c r="A1396">
        <f>IFERROR(VLOOKUP(C1396,'GASB Match'!$D$2:$F$6042,3,FALSE),"")</f>
        <v>3404530</v>
      </c>
      <c r="B1396" s="17">
        <v>2016</v>
      </c>
      <c r="C1396" s="17" t="s">
        <v>7</v>
      </c>
      <c r="D1396" s="17">
        <v>1030</v>
      </c>
      <c r="E1396" s="17" t="s">
        <v>1400</v>
      </c>
      <c r="F1396" s="20">
        <v>320597</v>
      </c>
    </row>
    <row r="1397" spans="1:6" ht="16" customHeight="1" x14ac:dyDescent="0.2">
      <c r="A1397">
        <f>IFERROR(VLOOKUP(C1397,'GASB Match'!$D$2:$F$6042,3,FALSE),"")</f>
        <v>3404530</v>
      </c>
      <c r="B1397" s="17">
        <v>2018</v>
      </c>
      <c r="C1397" s="17" t="s">
        <v>686</v>
      </c>
      <c r="D1397" s="17">
        <v>1030</v>
      </c>
      <c r="E1397" s="17" t="s">
        <v>1441</v>
      </c>
      <c r="F1397" s="20">
        <v>596549</v>
      </c>
    </row>
    <row r="1398" spans="1:6" ht="16" customHeight="1" x14ac:dyDescent="0.2">
      <c r="A1398">
        <f>IFERROR(VLOOKUP(C1398,'GASB Match'!$D$2:$F$6042,3,FALSE),"")</f>
        <v>3404530</v>
      </c>
      <c r="B1398" s="17">
        <v>2019</v>
      </c>
      <c r="C1398" s="17" t="s">
        <v>686</v>
      </c>
      <c r="D1398" s="17">
        <v>1030</v>
      </c>
      <c r="E1398" s="17" t="s">
        <v>1441</v>
      </c>
      <c r="F1398" s="20">
        <v>772632</v>
      </c>
    </row>
    <row r="1399" spans="1:6" ht="16" customHeight="1" x14ac:dyDescent="0.2">
      <c r="A1399">
        <f>IFERROR(VLOOKUP(C1399,'GASB Match'!$D$2:$F$6042,3,FALSE),"")</f>
        <v>3404530</v>
      </c>
      <c r="B1399" s="17">
        <v>2020</v>
      </c>
      <c r="C1399" s="21" t="s">
        <v>686</v>
      </c>
      <c r="D1399" s="17">
        <v>1030</v>
      </c>
      <c r="E1399" s="17" t="s">
        <v>1441</v>
      </c>
      <c r="F1399" s="23">
        <v>860225</v>
      </c>
    </row>
    <row r="1400" spans="1:6" ht="16" customHeight="1" x14ac:dyDescent="0.2">
      <c r="A1400">
        <f>IFERROR(VLOOKUP(C1400,'GASB Match'!$D$2:$F$6042,3,FALSE),"")</f>
        <v>3404530</v>
      </c>
      <c r="B1400" s="17">
        <v>2021</v>
      </c>
      <c r="C1400" s="25" t="s">
        <v>686</v>
      </c>
      <c r="D1400" s="17">
        <v>1030</v>
      </c>
      <c r="E1400" s="17" t="s">
        <v>1441</v>
      </c>
      <c r="F1400" s="23">
        <v>1135624</v>
      </c>
    </row>
    <row r="1401" spans="1:6" ht="16" customHeight="1" x14ac:dyDescent="0.2">
      <c r="A1401">
        <f>IFERROR(VLOOKUP(C1401,'GASB Match'!$D$2:$F$6042,3,FALSE),"")</f>
        <v>3404530</v>
      </c>
      <c r="B1401" s="17">
        <v>2022</v>
      </c>
      <c r="C1401" s="21" t="s">
        <v>686</v>
      </c>
      <c r="D1401" s="17">
        <v>1030</v>
      </c>
      <c r="E1401" s="17" t="s">
        <v>1441</v>
      </c>
      <c r="F1401" s="23">
        <v>1581903</v>
      </c>
    </row>
    <row r="1402" spans="1:6" ht="16" customHeight="1" x14ac:dyDescent="0.2">
      <c r="A1402">
        <f>IFERROR(VLOOKUP(C1402,'GASB Match'!$D$2:$F$6042,3,FALSE),"")</f>
        <v>3404530</v>
      </c>
      <c r="B1402" s="17">
        <v>2023</v>
      </c>
      <c r="C1402" s="21" t="s">
        <v>686</v>
      </c>
      <c r="D1402" s="17">
        <v>1030</v>
      </c>
      <c r="E1402" s="17" t="s">
        <v>1441</v>
      </c>
      <c r="F1402" s="22">
        <v>1584583</v>
      </c>
    </row>
    <row r="1403" spans="1:6" ht="16" customHeight="1" x14ac:dyDescent="0.2">
      <c r="A1403">
        <f>IFERROR(VLOOKUP(C1403,'GASB Match'!$D$2:$F$6042,3,FALSE),"")</f>
        <v>3404530</v>
      </c>
      <c r="B1403" s="28">
        <v>2017</v>
      </c>
      <c r="C1403" s="29" t="s">
        <v>7</v>
      </c>
      <c r="D1403" s="17">
        <v>1030</v>
      </c>
      <c r="E1403" s="17" t="s">
        <v>1400</v>
      </c>
      <c r="F1403" s="29">
        <v>445474</v>
      </c>
    </row>
    <row r="1404" spans="1:6" ht="16" customHeight="1" x14ac:dyDescent="0.2">
      <c r="A1404">
        <f>IFERROR(VLOOKUP(C1404,'GASB Match'!$D$2:$F$6042,3,FALSE),"")</f>
        <v>3404560</v>
      </c>
      <c r="B1404" s="17">
        <v>2015</v>
      </c>
      <c r="C1404" s="17" t="s">
        <v>8</v>
      </c>
      <c r="D1404" s="17">
        <v>1083</v>
      </c>
      <c r="E1404" s="17" t="s">
        <v>1400</v>
      </c>
      <c r="F1404" s="20">
        <v>2649238</v>
      </c>
    </row>
    <row r="1405" spans="1:6" ht="16" customHeight="1" x14ac:dyDescent="0.2">
      <c r="A1405">
        <f>IFERROR(VLOOKUP(C1405,'GASB Match'!$D$2:$F$6042,3,FALSE),"")</f>
        <v>3404560</v>
      </c>
      <c r="B1405" s="17">
        <v>2016</v>
      </c>
      <c r="C1405" s="17" t="s">
        <v>8</v>
      </c>
      <c r="D1405" s="17">
        <v>1083</v>
      </c>
      <c r="E1405" s="17" t="s">
        <v>1400</v>
      </c>
      <c r="F1405" s="20">
        <v>3908541</v>
      </c>
    </row>
    <row r="1406" spans="1:6" ht="16" customHeight="1" x14ac:dyDescent="0.2">
      <c r="A1406">
        <f>IFERROR(VLOOKUP(C1406,'GASB Match'!$D$2:$F$6042,3,FALSE),"")</f>
        <v>3404560</v>
      </c>
      <c r="B1406" s="17">
        <v>2018</v>
      </c>
      <c r="C1406" s="17" t="s">
        <v>687</v>
      </c>
      <c r="D1406" s="17">
        <v>1083</v>
      </c>
      <c r="E1406" s="17" t="s">
        <v>1441</v>
      </c>
      <c r="F1406" s="20">
        <v>7545086</v>
      </c>
    </row>
    <row r="1407" spans="1:6" ht="16" customHeight="1" x14ac:dyDescent="0.2">
      <c r="A1407">
        <f>IFERROR(VLOOKUP(C1407,'GASB Match'!$D$2:$F$6042,3,FALSE),"")</f>
        <v>3404560</v>
      </c>
      <c r="B1407" s="17">
        <v>2019</v>
      </c>
      <c r="C1407" s="17" t="s">
        <v>687</v>
      </c>
      <c r="D1407" s="17">
        <v>1083</v>
      </c>
      <c r="E1407" s="17" t="s">
        <v>1441</v>
      </c>
      <c r="F1407" s="20">
        <v>10070606</v>
      </c>
    </row>
    <row r="1408" spans="1:6" ht="16" customHeight="1" x14ac:dyDescent="0.2">
      <c r="A1408">
        <f>IFERROR(VLOOKUP(C1408,'GASB Match'!$D$2:$F$6042,3,FALSE),"")</f>
        <v>3404560</v>
      </c>
      <c r="B1408" s="17">
        <v>2020</v>
      </c>
      <c r="C1408" s="21" t="s">
        <v>687</v>
      </c>
      <c r="D1408" s="17">
        <v>1083</v>
      </c>
      <c r="E1408" s="17" t="s">
        <v>1441</v>
      </c>
      <c r="F1408" s="23">
        <v>11468983</v>
      </c>
    </row>
    <row r="1409" spans="1:6" ht="16" customHeight="1" x14ac:dyDescent="0.2">
      <c r="A1409">
        <f>IFERROR(VLOOKUP(C1409,'GASB Match'!$D$2:$F$6042,3,FALSE),"")</f>
        <v>3404560</v>
      </c>
      <c r="B1409" s="17">
        <v>2021</v>
      </c>
      <c r="C1409" s="25" t="s">
        <v>687</v>
      </c>
      <c r="D1409" s="17">
        <v>1083</v>
      </c>
      <c r="E1409" s="17" t="s">
        <v>1441</v>
      </c>
      <c r="F1409" s="23">
        <v>14928441</v>
      </c>
    </row>
    <row r="1410" spans="1:6" ht="16" customHeight="1" x14ac:dyDescent="0.2">
      <c r="A1410">
        <f>IFERROR(VLOOKUP(C1410,'GASB Match'!$D$2:$F$6042,3,FALSE),"")</f>
        <v>3404560</v>
      </c>
      <c r="B1410" s="17">
        <v>2022</v>
      </c>
      <c r="C1410" s="21" t="s">
        <v>687</v>
      </c>
      <c r="D1410" s="17">
        <v>1083</v>
      </c>
      <c r="E1410" s="17" t="s">
        <v>1441</v>
      </c>
      <c r="F1410" s="23">
        <v>21916421</v>
      </c>
    </row>
    <row r="1411" spans="1:6" ht="16" customHeight="1" x14ac:dyDescent="0.2">
      <c r="A1411">
        <f>IFERROR(VLOOKUP(C1411,'GASB Match'!$D$2:$F$6042,3,FALSE),"")</f>
        <v>3404560</v>
      </c>
      <c r="B1411" s="17">
        <v>2023</v>
      </c>
      <c r="C1411" s="21" t="s">
        <v>687</v>
      </c>
      <c r="D1411" s="17">
        <v>1083</v>
      </c>
      <c r="E1411" s="17" t="s">
        <v>1441</v>
      </c>
      <c r="F1411" s="23">
        <v>22012558</v>
      </c>
    </row>
    <row r="1412" spans="1:6" ht="16" customHeight="1" x14ac:dyDescent="0.2">
      <c r="A1412">
        <f>IFERROR(VLOOKUP(C1412,'GASB Match'!$D$2:$F$6042,3,FALSE),"")</f>
        <v>3404560</v>
      </c>
      <c r="B1412" s="28">
        <v>2017</v>
      </c>
      <c r="C1412" s="29" t="s">
        <v>8</v>
      </c>
      <c r="D1412" s="17">
        <v>1083</v>
      </c>
      <c r="E1412" s="17" t="s">
        <v>1400</v>
      </c>
      <c r="F1412" s="29">
        <v>5601536</v>
      </c>
    </row>
    <row r="1413" spans="1:6" ht="16" customHeight="1" x14ac:dyDescent="0.2">
      <c r="A1413">
        <f>IFERROR(VLOOKUP(C1413,'GASB Match'!$D$2:$F$6042,3,FALSE),"")</f>
        <v>3404590</v>
      </c>
      <c r="B1413" s="17">
        <v>2015</v>
      </c>
      <c r="C1413" s="17" t="s">
        <v>616</v>
      </c>
      <c r="D1413" s="17">
        <v>800</v>
      </c>
      <c r="E1413" s="17" t="s">
        <v>1427</v>
      </c>
      <c r="F1413" s="20">
        <v>10404785</v>
      </c>
    </row>
    <row r="1414" spans="1:6" ht="16" customHeight="1" x14ac:dyDescent="0.2">
      <c r="A1414">
        <f>IFERROR(VLOOKUP(C1414,'GASB Match'!$D$2:$F$6042,3,FALSE),"")</f>
        <v>3404590</v>
      </c>
      <c r="B1414" s="17">
        <v>2016</v>
      </c>
      <c r="C1414" s="17" t="s">
        <v>616</v>
      </c>
      <c r="D1414" s="17">
        <v>800</v>
      </c>
      <c r="E1414" s="17" t="s">
        <v>1427</v>
      </c>
      <c r="F1414" s="20">
        <v>15794507</v>
      </c>
    </row>
    <row r="1415" spans="1:6" ht="16" customHeight="1" x14ac:dyDescent="0.2">
      <c r="A1415">
        <f>IFERROR(VLOOKUP(C1415,'GASB Match'!$D$2:$F$6042,3,FALSE),"")</f>
        <v>3404590</v>
      </c>
      <c r="B1415" s="17">
        <v>2018</v>
      </c>
      <c r="C1415" s="17" t="s">
        <v>1309</v>
      </c>
      <c r="D1415" s="17">
        <v>800</v>
      </c>
      <c r="E1415" s="17" t="s">
        <v>1470</v>
      </c>
      <c r="F1415" s="20">
        <v>27598982</v>
      </c>
    </row>
    <row r="1416" spans="1:6" ht="16" customHeight="1" x14ac:dyDescent="0.2">
      <c r="A1416">
        <f>IFERROR(VLOOKUP(C1416,'GASB Match'!$D$2:$F$6042,3,FALSE),"")</f>
        <v>3404590</v>
      </c>
      <c r="B1416" s="17">
        <v>2019</v>
      </c>
      <c r="C1416" s="17" t="s">
        <v>1309</v>
      </c>
      <c r="D1416" s="17">
        <v>800</v>
      </c>
      <c r="E1416" s="17" t="s">
        <v>1470</v>
      </c>
      <c r="F1416" s="20">
        <v>37322066</v>
      </c>
    </row>
    <row r="1417" spans="1:6" ht="16" customHeight="1" x14ac:dyDescent="0.2">
      <c r="A1417">
        <f>IFERROR(VLOOKUP(C1417,'GASB Match'!$D$2:$F$6042,3,FALSE),"")</f>
        <v>3404590</v>
      </c>
      <c r="B1417" s="17">
        <v>2020</v>
      </c>
      <c r="C1417" s="21" t="s">
        <v>1309</v>
      </c>
      <c r="D1417" s="17">
        <v>800</v>
      </c>
      <c r="E1417" s="17" t="s">
        <v>1470</v>
      </c>
      <c r="F1417" s="23">
        <v>42758057</v>
      </c>
    </row>
    <row r="1418" spans="1:6" ht="16" customHeight="1" x14ac:dyDescent="0.2">
      <c r="A1418">
        <f>IFERROR(VLOOKUP(C1418,'GASB Match'!$D$2:$F$6042,3,FALSE),"")</f>
        <v>3404590</v>
      </c>
      <c r="B1418" s="17">
        <v>2021</v>
      </c>
      <c r="C1418" s="25" t="s">
        <v>1309</v>
      </c>
      <c r="D1418" s="17">
        <v>800</v>
      </c>
      <c r="E1418" s="17" t="s">
        <v>1470</v>
      </c>
      <c r="F1418" s="23">
        <v>56729421</v>
      </c>
    </row>
    <row r="1419" spans="1:6" ht="16" customHeight="1" x14ac:dyDescent="0.2">
      <c r="A1419">
        <f>IFERROR(VLOOKUP(C1419,'GASB Match'!$D$2:$F$6042,3,FALSE),"")</f>
        <v>3404590</v>
      </c>
      <c r="B1419" s="17">
        <v>2022</v>
      </c>
      <c r="C1419" s="21" t="s">
        <v>1309</v>
      </c>
      <c r="D1419" s="17">
        <v>800</v>
      </c>
      <c r="E1419" s="17" t="s">
        <v>1470</v>
      </c>
      <c r="F1419" s="23">
        <v>81353509</v>
      </c>
    </row>
    <row r="1420" spans="1:6" ht="16" customHeight="1" x14ac:dyDescent="0.2">
      <c r="A1420">
        <f>IFERROR(VLOOKUP(C1420,'GASB Match'!$D$2:$F$6042,3,FALSE),"")</f>
        <v>3404590</v>
      </c>
      <c r="B1420" s="17">
        <v>2023</v>
      </c>
      <c r="C1420" s="21" t="s">
        <v>1309</v>
      </c>
      <c r="D1420" s="17">
        <v>800</v>
      </c>
      <c r="E1420" s="17" t="s">
        <v>1470</v>
      </c>
      <c r="F1420" s="23">
        <v>79756062</v>
      </c>
    </row>
    <row r="1421" spans="1:6" ht="16" customHeight="1" x14ac:dyDescent="0.2">
      <c r="A1421">
        <f>IFERROR(VLOOKUP(C1421,'GASB Match'!$D$2:$F$6042,3,FALSE),"")</f>
        <v>3404590</v>
      </c>
      <c r="B1421" s="28">
        <v>2017</v>
      </c>
      <c r="C1421" s="29" t="s">
        <v>616</v>
      </c>
      <c r="D1421" s="17">
        <v>800</v>
      </c>
      <c r="E1421" s="17" t="s">
        <v>1427</v>
      </c>
      <c r="F1421" s="29">
        <v>21677180</v>
      </c>
    </row>
    <row r="1422" spans="1:6" ht="16" customHeight="1" x14ac:dyDescent="0.2">
      <c r="A1422">
        <f>IFERROR(VLOOKUP(C1422,'GASB Match'!$D$2:$F$6042,3,FALSE),"")</f>
        <v>3404620</v>
      </c>
      <c r="B1422" s="17">
        <v>2015</v>
      </c>
      <c r="C1422" s="17" t="s">
        <v>278</v>
      </c>
      <c r="D1422" s="17">
        <v>7014</v>
      </c>
      <c r="E1422" s="17" t="s">
        <v>1412</v>
      </c>
      <c r="F1422" s="20">
        <v>115038</v>
      </c>
    </row>
    <row r="1423" spans="1:6" ht="16" customHeight="1" x14ac:dyDescent="0.2">
      <c r="A1423">
        <f>IFERROR(VLOOKUP(C1423,'GASB Match'!$D$2:$F$6042,3,FALSE),"")</f>
        <v>3404620</v>
      </c>
      <c r="B1423" s="17">
        <v>2016</v>
      </c>
      <c r="C1423" s="17" t="s">
        <v>278</v>
      </c>
      <c r="D1423" s="17">
        <v>7014</v>
      </c>
      <c r="E1423" s="17" t="s">
        <v>1412</v>
      </c>
      <c r="F1423" s="20">
        <v>179700</v>
      </c>
    </row>
    <row r="1424" spans="1:6" ht="16" customHeight="1" x14ac:dyDescent="0.2">
      <c r="A1424">
        <f>IFERROR(VLOOKUP(C1424,'GASB Match'!$D$2:$F$6042,3,FALSE),"")</f>
        <v>3404620</v>
      </c>
      <c r="B1424" s="17">
        <v>2018</v>
      </c>
      <c r="C1424" s="17" t="s">
        <v>968</v>
      </c>
      <c r="D1424" s="17">
        <v>7014</v>
      </c>
      <c r="E1424" s="17" t="s">
        <v>1454</v>
      </c>
      <c r="F1424" s="20">
        <v>316080</v>
      </c>
    </row>
    <row r="1425" spans="1:6" ht="16" customHeight="1" x14ac:dyDescent="0.2">
      <c r="A1425">
        <f>IFERROR(VLOOKUP(C1425,'GASB Match'!$D$2:$F$6042,3,FALSE),"")</f>
        <v>3404620</v>
      </c>
      <c r="B1425" s="17">
        <v>2019</v>
      </c>
      <c r="C1425" s="17" t="s">
        <v>968</v>
      </c>
      <c r="D1425" s="17">
        <v>7014</v>
      </c>
      <c r="E1425" s="17" t="s">
        <v>1454</v>
      </c>
      <c r="F1425" s="20">
        <v>437123</v>
      </c>
    </row>
    <row r="1426" spans="1:6" ht="16" customHeight="1" x14ac:dyDescent="0.2">
      <c r="A1426">
        <f>IFERROR(VLOOKUP(C1426,'GASB Match'!$D$2:$F$6042,3,FALSE),"")</f>
        <v>3404620</v>
      </c>
      <c r="B1426" s="17">
        <v>2020</v>
      </c>
      <c r="C1426" s="21" t="s">
        <v>968</v>
      </c>
      <c r="D1426" s="17">
        <v>7014</v>
      </c>
      <c r="E1426" s="17" t="s">
        <v>1454</v>
      </c>
      <c r="F1426" s="23">
        <v>488533</v>
      </c>
    </row>
    <row r="1427" spans="1:6" ht="16" customHeight="1" x14ac:dyDescent="0.2">
      <c r="A1427">
        <f>IFERROR(VLOOKUP(C1427,'GASB Match'!$D$2:$F$6042,3,FALSE),"")</f>
        <v>3404620</v>
      </c>
      <c r="B1427" s="17">
        <v>2021</v>
      </c>
      <c r="C1427" s="25" t="s">
        <v>968</v>
      </c>
      <c r="D1427" s="17">
        <v>7014</v>
      </c>
      <c r="E1427" s="17" t="s">
        <v>1454</v>
      </c>
      <c r="F1427" s="23">
        <v>637724</v>
      </c>
    </row>
    <row r="1428" spans="1:6" ht="16" customHeight="1" x14ac:dyDescent="0.2">
      <c r="A1428">
        <f>IFERROR(VLOOKUP(C1428,'GASB Match'!$D$2:$F$6042,3,FALSE),"")</f>
        <v>3404620</v>
      </c>
      <c r="B1428" s="17">
        <v>2022</v>
      </c>
      <c r="C1428" s="21" t="s">
        <v>968</v>
      </c>
      <c r="D1428" s="17">
        <v>7014</v>
      </c>
      <c r="E1428" s="17" t="s">
        <v>1454</v>
      </c>
      <c r="F1428" s="23">
        <v>915840</v>
      </c>
    </row>
    <row r="1429" spans="1:6" ht="16" customHeight="1" x14ac:dyDescent="0.2">
      <c r="A1429">
        <f>IFERROR(VLOOKUP(C1429,'GASB Match'!$D$2:$F$6042,3,FALSE),"")</f>
        <v>3404620</v>
      </c>
      <c r="B1429" s="17">
        <v>2023</v>
      </c>
      <c r="C1429" s="21" t="s">
        <v>968</v>
      </c>
      <c r="D1429" s="17">
        <v>7014</v>
      </c>
      <c r="E1429" s="17" t="s">
        <v>1454</v>
      </c>
      <c r="F1429" s="23">
        <v>901371</v>
      </c>
    </row>
    <row r="1430" spans="1:6" ht="16" customHeight="1" x14ac:dyDescent="0.2">
      <c r="A1430">
        <f>IFERROR(VLOOKUP(C1430,'GASB Match'!$D$2:$F$6042,3,FALSE),"")</f>
        <v>3404620</v>
      </c>
      <c r="B1430" s="28">
        <v>2017</v>
      </c>
      <c r="C1430" s="29" t="s">
        <v>278</v>
      </c>
      <c r="D1430" s="17">
        <v>7014</v>
      </c>
      <c r="E1430" s="17" t="s">
        <v>1412</v>
      </c>
      <c r="F1430" s="29">
        <v>234852</v>
      </c>
    </row>
    <row r="1431" spans="1:6" ht="16" customHeight="1" x14ac:dyDescent="0.2">
      <c r="A1431">
        <f>IFERROR(VLOOKUP(C1431,'GASB Match'!$D$2:$F$6042,3,FALSE),"")</f>
        <v>3404660</v>
      </c>
      <c r="B1431" s="17">
        <v>2015</v>
      </c>
      <c r="C1431" s="17" t="s">
        <v>43</v>
      </c>
      <c r="D1431" s="17">
        <v>2032</v>
      </c>
      <c r="E1431" s="17" t="s">
        <v>1402</v>
      </c>
      <c r="F1431" s="20">
        <v>612412</v>
      </c>
    </row>
    <row r="1432" spans="1:6" ht="16" customHeight="1" x14ac:dyDescent="0.2">
      <c r="A1432">
        <f>IFERROR(VLOOKUP(C1432,'GASB Match'!$D$2:$F$6042,3,FALSE),"")</f>
        <v>3404660</v>
      </c>
      <c r="B1432" s="17">
        <v>2016</v>
      </c>
      <c r="C1432" s="17" t="s">
        <v>43</v>
      </c>
      <c r="D1432" s="17">
        <v>2032</v>
      </c>
      <c r="E1432" s="17" t="s">
        <v>1402</v>
      </c>
      <c r="F1432" s="20">
        <v>923482</v>
      </c>
    </row>
    <row r="1433" spans="1:6" ht="16" customHeight="1" x14ac:dyDescent="0.2">
      <c r="A1433">
        <f>IFERROR(VLOOKUP(C1433,'GASB Match'!$D$2:$F$6042,3,FALSE),"")</f>
        <v>3404660</v>
      </c>
      <c r="B1433" s="17">
        <v>2018</v>
      </c>
      <c r="C1433" s="17" t="s">
        <v>721</v>
      </c>
      <c r="D1433" s="17">
        <v>2032</v>
      </c>
      <c r="E1433" s="17" t="s">
        <v>1443</v>
      </c>
      <c r="F1433" s="20">
        <v>1875005</v>
      </c>
    </row>
    <row r="1434" spans="1:6" ht="16" customHeight="1" x14ac:dyDescent="0.2">
      <c r="A1434">
        <f>IFERROR(VLOOKUP(C1434,'GASB Match'!$D$2:$F$6042,3,FALSE),"")</f>
        <v>3404660</v>
      </c>
      <c r="B1434" s="17">
        <v>2019</v>
      </c>
      <c r="C1434" s="17" t="s">
        <v>721</v>
      </c>
      <c r="D1434" s="17">
        <v>2032</v>
      </c>
      <c r="E1434" s="17" t="s">
        <v>1443</v>
      </c>
      <c r="F1434" s="20">
        <v>2559551</v>
      </c>
    </row>
    <row r="1435" spans="1:6" ht="16" customHeight="1" x14ac:dyDescent="0.2">
      <c r="A1435">
        <f>IFERROR(VLOOKUP(C1435,'GASB Match'!$D$2:$F$6042,3,FALSE),"")</f>
        <v>3404660</v>
      </c>
      <c r="B1435" s="17">
        <v>2020</v>
      </c>
      <c r="C1435" s="21" t="s">
        <v>721</v>
      </c>
      <c r="D1435" s="17">
        <v>2032</v>
      </c>
      <c r="E1435" s="17" t="s">
        <v>1443</v>
      </c>
      <c r="F1435" s="23">
        <v>2901652</v>
      </c>
    </row>
    <row r="1436" spans="1:6" ht="16" customHeight="1" x14ac:dyDescent="0.2">
      <c r="A1436">
        <f>IFERROR(VLOOKUP(C1436,'GASB Match'!$D$2:$F$6042,3,FALSE),"")</f>
        <v>3404660</v>
      </c>
      <c r="B1436" s="17">
        <v>2021</v>
      </c>
      <c r="C1436" s="25" t="s">
        <v>721</v>
      </c>
      <c r="D1436" s="17">
        <v>2032</v>
      </c>
      <c r="E1436" s="17" t="s">
        <v>1443</v>
      </c>
      <c r="F1436" s="23">
        <v>3957157</v>
      </c>
    </row>
    <row r="1437" spans="1:6" ht="16" customHeight="1" x14ac:dyDescent="0.2">
      <c r="A1437">
        <f>IFERROR(VLOOKUP(C1437,'GASB Match'!$D$2:$F$6042,3,FALSE),"")</f>
        <v>3404660</v>
      </c>
      <c r="B1437" s="17">
        <v>2022</v>
      </c>
      <c r="C1437" s="21" t="s">
        <v>721</v>
      </c>
      <c r="D1437" s="17">
        <v>2032</v>
      </c>
      <c r="E1437" s="17" t="s">
        <v>1443</v>
      </c>
      <c r="F1437" s="23">
        <v>5731515</v>
      </c>
    </row>
    <row r="1438" spans="1:6" ht="16" customHeight="1" x14ac:dyDescent="0.2">
      <c r="A1438">
        <f>IFERROR(VLOOKUP(C1438,'GASB Match'!$D$2:$F$6042,3,FALSE),"")</f>
        <v>3404660</v>
      </c>
      <c r="B1438" s="17">
        <v>2023</v>
      </c>
      <c r="C1438" s="21" t="s">
        <v>721</v>
      </c>
      <c r="D1438" s="17">
        <v>2032</v>
      </c>
      <c r="E1438" s="17" t="s">
        <v>1443</v>
      </c>
      <c r="F1438" s="23">
        <v>5752322</v>
      </c>
    </row>
    <row r="1439" spans="1:6" ht="16" customHeight="1" x14ac:dyDescent="0.2">
      <c r="A1439">
        <f>IFERROR(VLOOKUP(C1439,'GASB Match'!$D$2:$F$6042,3,FALSE),"")</f>
        <v>3404660</v>
      </c>
      <c r="B1439" s="28">
        <v>2017</v>
      </c>
      <c r="C1439" s="29" t="s">
        <v>43</v>
      </c>
      <c r="D1439" s="17">
        <v>2032</v>
      </c>
      <c r="E1439" s="17" t="s">
        <v>1402</v>
      </c>
      <c r="F1439" s="29">
        <v>1330606</v>
      </c>
    </row>
    <row r="1440" spans="1:6" ht="16" customHeight="1" x14ac:dyDescent="0.2">
      <c r="A1440">
        <f>IFERROR(VLOOKUP(C1440,'GASB Match'!$D$2:$F$6042,3,FALSE),"")</f>
        <v>3404680</v>
      </c>
      <c r="B1440" s="17">
        <v>2015</v>
      </c>
      <c r="C1440" s="17" t="s">
        <v>550</v>
      </c>
      <c r="D1440" s="17">
        <v>713</v>
      </c>
      <c r="E1440" s="17" t="s">
        <v>1424</v>
      </c>
      <c r="F1440" s="20">
        <v>42802</v>
      </c>
    </row>
    <row r="1441" spans="1:6" ht="16" customHeight="1" x14ac:dyDescent="0.2">
      <c r="A1441">
        <f>IFERROR(VLOOKUP(C1441,'GASB Match'!$D$2:$F$6042,3,FALSE),"")</f>
        <v>3404680</v>
      </c>
      <c r="B1441" s="17">
        <v>2016</v>
      </c>
      <c r="C1441" s="17" t="s">
        <v>550</v>
      </c>
      <c r="D1441" s="17">
        <v>713</v>
      </c>
      <c r="E1441" s="17" t="s">
        <v>1424</v>
      </c>
      <c r="F1441" s="20">
        <v>67874</v>
      </c>
    </row>
    <row r="1442" spans="1:6" ht="16" customHeight="1" x14ac:dyDescent="0.2">
      <c r="A1442">
        <f>IFERROR(VLOOKUP(C1442,'GASB Match'!$D$2:$F$6042,3,FALSE),"")</f>
        <v>3404680</v>
      </c>
      <c r="B1442" s="17">
        <v>2018</v>
      </c>
      <c r="C1442" s="17" t="s">
        <v>1242</v>
      </c>
      <c r="D1442" s="17">
        <v>713</v>
      </c>
      <c r="E1442" s="17" t="s">
        <v>1467</v>
      </c>
      <c r="F1442" s="20">
        <v>129272</v>
      </c>
    </row>
    <row r="1443" spans="1:6" ht="16" customHeight="1" x14ac:dyDescent="0.2">
      <c r="A1443">
        <f>IFERROR(VLOOKUP(C1443,'GASB Match'!$D$2:$F$6042,3,FALSE),"")</f>
        <v>3404680</v>
      </c>
      <c r="B1443" s="17">
        <v>2019</v>
      </c>
      <c r="C1443" s="17" t="s">
        <v>1242</v>
      </c>
      <c r="D1443" s="17">
        <v>713</v>
      </c>
      <c r="E1443" s="17" t="s">
        <v>1467</v>
      </c>
      <c r="F1443" s="20">
        <v>169739</v>
      </c>
    </row>
    <row r="1444" spans="1:6" ht="16" customHeight="1" x14ac:dyDescent="0.2">
      <c r="A1444">
        <f>IFERROR(VLOOKUP(C1444,'GASB Match'!$D$2:$F$6042,3,FALSE),"")</f>
        <v>3404680</v>
      </c>
      <c r="B1444" s="17">
        <v>2020</v>
      </c>
      <c r="C1444" s="21" t="s">
        <v>1242</v>
      </c>
      <c r="D1444" s="17">
        <v>713</v>
      </c>
      <c r="E1444" s="17" t="s">
        <v>1467</v>
      </c>
      <c r="F1444" s="23">
        <v>188302</v>
      </c>
    </row>
    <row r="1445" spans="1:6" ht="16" customHeight="1" x14ac:dyDescent="0.2">
      <c r="A1445">
        <f>IFERROR(VLOOKUP(C1445,'GASB Match'!$D$2:$F$6042,3,FALSE),"")</f>
        <v>3404680</v>
      </c>
      <c r="B1445" s="17">
        <v>2021</v>
      </c>
      <c r="C1445" s="25" t="s">
        <v>1242</v>
      </c>
      <c r="D1445" s="17">
        <v>713</v>
      </c>
      <c r="E1445" s="17" t="s">
        <v>1467</v>
      </c>
      <c r="F1445" s="23">
        <v>244450</v>
      </c>
    </row>
    <row r="1446" spans="1:6" ht="16" customHeight="1" x14ac:dyDescent="0.2">
      <c r="A1446">
        <f>IFERROR(VLOOKUP(C1446,'GASB Match'!$D$2:$F$6042,3,FALSE),"")</f>
        <v>3404680</v>
      </c>
      <c r="B1446" s="17">
        <v>2022</v>
      </c>
      <c r="C1446" s="21" t="s">
        <v>1242</v>
      </c>
      <c r="D1446" s="17">
        <v>713</v>
      </c>
      <c r="E1446" s="17" t="s">
        <v>1467</v>
      </c>
      <c r="F1446" s="23">
        <v>350986</v>
      </c>
    </row>
    <row r="1447" spans="1:6" ht="16" customHeight="1" x14ac:dyDescent="0.2">
      <c r="A1447">
        <f>IFERROR(VLOOKUP(C1447,'GASB Match'!$D$2:$F$6042,3,FALSE),"")</f>
        <v>3404680</v>
      </c>
      <c r="B1447" s="17">
        <v>2023</v>
      </c>
      <c r="C1447" s="21" t="s">
        <v>1242</v>
      </c>
      <c r="D1447" s="17">
        <v>713</v>
      </c>
      <c r="E1447" s="17" t="s">
        <v>1467</v>
      </c>
      <c r="F1447" s="23">
        <v>352107</v>
      </c>
    </row>
    <row r="1448" spans="1:6" ht="16" customHeight="1" x14ac:dyDescent="0.2">
      <c r="A1448">
        <f>IFERROR(VLOOKUP(C1448,'GASB Match'!$D$2:$F$6042,3,FALSE),"")</f>
        <v>3404680</v>
      </c>
      <c r="B1448" s="28">
        <v>2017</v>
      </c>
      <c r="C1448" s="29" t="s">
        <v>550</v>
      </c>
      <c r="D1448" s="17">
        <v>713</v>
      </c>
      <c r="E1448" s="17" t="s">
        <v>1424</v>
      </c>
      <c r="F1448" s="29">
        <v>106697</v>
      </c>
    </row>
    <row r="1449" spans="1:6" ht="16" customHeight="1" x14ac:dyDescent="0.2">
      <c r="A1449">
        <f>IFERROR(VLOOKUP(C1449,'GASB Match'!$D$2:$F$6042,3,FALSE),"")</f>
        <v>3400029</v>
      </c>
      <c r="B1449" s="17">
        <v>2015</v>
      </c>
      <c r="C1449" s="17" t="s">
        <v>304</v>
      </c>
      <c r="D1449" s="17">
        <v>8085</v>
      </c>
      <c r="E1449" s="17" t="s">
        <v>1413</v>
      </c>
      <c r="F1449" s="20">
        <v>114560</v>
      </c>
    </row>
    <row r="1450" spans="1:6" ht="16" customHeight="1" x14ac:dyDescent="0.2">
      <c r="A1450">
        <f>IFERROR(VLOOKUP(C1450,'GASB Match'!$D$2:$F$6042,3,FALSE),"")</f>
        <v>3400029</v>
      </c>
      <c r="B1450" s="17">
        <v>2016</v>
      </c>
      <c r="C1450" s="17" t="s">
        <v>304</v>
      </c>
      <c r="D1450" s="17">
        <v>8085</v>
      </c>
      <c r="E1450" s="17" t="s">
        <v>1413</v>
      </c>
      <c r="F1450" s="20">
        <v>161007</v>
      </c>
    </row>
    <row r="1451" spans="1:6" ht="16" customHeight="1" x14ac:dyDescent="0.2">
      <c r="A1451">
        <f>IFERROR(VLOOKUP(C1451,'GASB Match'!$D$2:$F$6042,3,FALSE),"")</f>
        <v>3400029</v>
      </c>
      <c r="B1451" s="17">
        <v>2018</v>
      </c>
      <c r="C1451" s="17" t="s">
        <v>995</v>
      </c>
      <c r="D1451" s="17">
        <v>8085</v>
      </c>
      <c r="E1451" s="17" t="s">
        <v>1456</v>
      </c>
      <c r="F1451" s="20">
        <v>276203</v>
      </c>
    </row>
    <row r="1452" spans="1:6" ht="16" customHeight="1" x14ac:dyDescent="0.2">
      <c r="A1452">
        <f>IFERROR(VLOOKUP(C1452,'GASB Match'!$D$2:$F$6042,3,FALSE),"")</f>
        <v>3400029</v>
      </c>
      <c r="B1452" s="17">
        <v>2019</v>
      </c>
      <c r="C1452" s="17" t="s">
        <v>995</v>
      </c>
      <c r="D1452" s="17">
        <v>8085</v>
      </c>
      <c r="E1452" s="17" t="s">
        <v>1456</v>
      </c>
      <c r="F1452" s="20">
        <v>361212</v>
      </c>
    </row>
    <row r="1453" spans="1:6" ht="16" customHeight="1" x14ac:dyDescent="0.2">
      <c r="A1453">
        <f>IFERROR(VLOOKUP(C1453,'GASB Match'!$D$2:$F$6042,3,FALSE),"")</f>
        <v>3400029</v>
      </c>
      <c r="B1453" s="17">
        <v>2020</v>
      </c>
      <c r="C1453" s="21" t="s">
        <v>995</v>
      </c>
      <c r="D1453" s="17">
        <v>8085</v>
      </c>
      <c r="E1453" s="17" t="s">
        <v>1456</v>
      </c>
      <c r="F1453" s="23">
        <v>422236</v>
      </c>
    </row>
    <row r="1454" spans="1:6" ht="16" customHeight="1" x14ac:dyDescent="0.2">
      <c r="A1454">
        <f>IFERROR(VLOOKUP(C1454,'GASB Match'!$D$2:$F$6042,3,FALSE),"")</f>
        <v>3400029</v>
      </c>
      <c r="B1454" s="17">
        <v>2021</v>
      </c>
      <c r="C1454" s="25" t="s">
        <v>995</v>
      </c>
      <c r="D1454" s="17">
        <v>8085</v>
      </c>
      <c r="E1454" s="17" t="s">
        <v>1456</v>
      </c>
      <c r="F1454" s="23">
        <v>539017</v>
      </c>
    </row>
    <row r="1455" spans="1:6" ht="16" customHeight="1" x14ac:dyDescent="0.2">
      <c r="A1455">
        <f>IFERROR(VLOOKUP(C1455,'GASB Match'!$D$2:$F$6042,3,FALSE),"")</f>
        <v>3400029</v>
      </c>
      <c r="B1455" s="17">
        <v>2022</v>
      </c>
      <c r="C1455" s="21" t="s">
        <v>995</v>
      </c>
      <c r="D1455" s="17">
        <v>8085</v>
      </c>
      <c r="E1455" s="17" t="s">
        <v>1456</v>
      </c>
      <c r="F1455" s="23">
        <v>708199</v>
      </c>
    </row>
    <row r="1456" spans="1:6" ht="16" customHeight="1" x14ac:dyDescent="0.2">
      <c r="A1456">
        <f>IFERROR(VLOOKUP(C1456,'GASB Match'!$D$2:$F$6042,3,FALSE),"")</f>
        <v>3400029</v>
      </c>
      <c r="B1456" s="17">
        <v>2023</v>
      </c>
      <c r="C1456" s="21" t="s">
        <v>995</v>
      </c>
      <c r="D1456" s="17">
        <v>8085</v>
      </c>
      <c r="E1456" s="17" t="s">
        <v>1456</v>
      </c>
      <c r="F1456" s="23">
        <v>660356</v>
      </c>
    </row>
    <row r="1457" spans="1:6" ht="16" customHeight="1" x14ac:dyDescent="0.2">
      <c r="A1457">
        <f>IFERROR(VLOOKUP(C1457,'GASB Match'!$D$2:$F$6042,3,FALSE),"")</f>
        <v>3400029</v>
      </c>
      <c r="B1457" s="28">
        <v>2017</v>
      </c>
      <c r="C1457" s="29" t="s">
        <v>304</v>
      </c>
      <c r="D1457" s="17">
        <v>8085</v>
      </c>
      <c r="E1457" s="17" t="s">
        <v>1413</v>
      </c>
      <c r="F1457" s="29">
        <v>204417</v>
      </c>
    </row>
    <row r="1458" spans="1:6" ht="16" customHeight="1" x14ac:dyDescent="0.2">
      <c r="A1458">
        <f>IFERROR(VLOOKUP(C1458,'GASB Match'!$D$2:$F$6042,3,FALSE),"")</f>
        <v>3404710</v>
      </c>
      <c r="B1458" s="17">
        <v>2015</v>
      </c>
      <c r="C1458" s="17" t="s">
        <v>44</v>
      </c>
      <c r="D1458" s="17">
        <v>2035</v>
      </c>
      <c r="E1458" s="17" t="s">
        <v>1402</v>
      </c>
      <c r="F1458" s="20">
        <v>438035</v>
      </c>
    </row>
    <row r="1459" spans="1:6" ht="16" customHeight="1" x14ac:dyDescent="0.2">
      <c r="A1459">
        <f>IFERROR(VLOOKUP(C1459,'GASB Match'!$D$2:$F$6042,3,FALSE),"")</f>
        <v>3404710</v>
      </c>
      <c r="B1459" s="17">
        <v>2016</v>
      </c>
      <c r="C1459" s="17" t="s">
        <v>44</v>
      </c>
      <c r="D1459" s="17">
        <v>2035</v>
      </c>
      <c r="E1459" s="17" t="s">
        <v>1402</v>
      </c>
      <c r="F1459" s="20">
        <v>658655</v>
      </c>
    </row>
    <row r="1460" spans="1:6" ht="16" customHeight="1" x14ac:dyDescent="0.2">
      <c r="A1460">
        <f>IFERROR(VLOOKUP(C1460,'GASB Match'!$D$2:$F$6042,3,FALSE),"")</f>
        <v>3404710</v>
      </c>
      <c r="B1460" s="17">
        <v>2018</v>
      </c>
      <c r="C1460" s="17" t="s">
        <v>722</v>
      </c>
      <c r="D1460" s="17">
        <v>2035</v>
      </c>
      <c r="E1460" s="17" t="s">
        <v>1443</v>
      </c>
      <c r="F1460" s="20">
        <v>1233868</v>
      </c>
    </row>
    <row r="1461" spans="1:6" ht="16" customHeight="1" x14ac:dyDescent="0.2">
      <c r="A1461">
        <f>IFERROR(VLOOKUP(C1461,'GASB Match'!$D$2:$F$6042,3,FALSE),"")</f>
        <v>3404710</v>
      </c>
      <c r="B1461" s="17">
        <v>2019</v>
      </c>
      <c r="C1461" s="17" t="s">
        <v>722</v>
      </c>
      <c r="D1461" s="17">
        <v>2035</v>
      </c>
      <c r="E1461" s="17" t="s">
        <v>1443</v>
      </c>
      <c r="F1461" s="20">
        <v>1671598</v>
      </c>
    </row>
    <row r="1462" spans="1:6" ht="16" customHeight="1" x14ac:dyDescent="0.2">
      <c r="A1462">
        <f>IFERROR(VLOOKUP(C1462,'GASB Match'!$D$2:$F$6042,3,FALSE),"")</f>
        <v>3404710</v>
      </c>
      <c r="B1462" s="17">
        <v>2020</v>
      </c>
      <c r="C1462" s="21" t="s">
        <v>722</v>
      </c>
      <c r="D1462" s="17">
        <v>2035</v>
      </c>
      <c r="E1462" s="17" t="s">
        <v>1443</v>
      </c>
      <c r="F1462" s="23">
        <v>1907344</v>
      </c>
    </row>
    <row r="1463" spans="1:6" ht="16" customHeight="1" x14ac:dyDescent="0.2">
      <c r="A1463">
        <f>IFERROR(VLOOKUP(C1463,'GASB Match'!$D$2:$F$6042,3,FALSE),"")</f>
        <v>3404710</v>
      </c>
      <c r="B1463" s="17">
        <v>2021</v>
      </c>
      <c r="C1463" s="25" t="s">
        <v>722</v>
      </c>
      <c r="D1463" s="17">
        <v>2035</v>
      </c>
      <c r="E1463" s="17" t="s">
        <v>1443</v>
      </c>
      <c r="F1463" s="23">
        <v>2333202</v>
      </c>
    </row>
    <row r="1464" spans="1:6" ht="16" customHeight="1" x14ac:dyDescent="0.2">
      <c r="A1464">
        <f>IFERROR(VLOOKUP(C1464,'GASB Match'!$D$2:$F$6042,3,FALSE),"")</f>
        <v>3404710</v>
      </c>
      <c r="B1464" s="17">
        <v>2022</v>
      </c>
      <c r="C1464" s="21" t="s">
        <v>722</v>
      </c>
      <c r="D1464" s="17">
        <v>2035</v>
      </c>
      <c r="E1464" s="17" t="s">
        <v>1443</v>
      </c>
      <c r="F1464" s="23">
        <v>3330461</v>
      </c>
    </row>
    <row r="1465" spans="1:6" ht="16" customHeight="1" x14ac:dyDescent="0.2">
      <c r="A1465">
        <f>IFERROR(VLOOKUP(C1465,'GASB Match'!$D$2:$F$6042,3,FALSE),"")</f>
        <v>3404710</v>
      </c>
      <c r="B1465" s="17">
        <v>2023</v>
      </c>
      <c r="C1465" s="21" t="s">
        <v>722</v>
      </c>
      <c r="D1465" s="17">
        <v>2035</v>
      </c>
      <c r="E1465" s="17" t="s">
        <v>1443</v>
      </c>
      <c r="F1465" s="23">
        <v>3330404</v>
      </c>
    </row>
    <row r="1466" spans="1:6" ht="16" customHeight="1" x14ac:dyDescent="0.2">
      <c r="A1466">
        <f>IFERROR(VLOOKUP(C1466,'GASB Match'!$D$2:$F$6042,3,FALSE),"")</f>
        <v>3404710</v>
      </c>
      <c r="B1466" s="28">
        <v>2017</v>
      </c>
      <c r="C1466" s="29" t="s">
        <v>44</v>
      </c>
      <c r="D1466" s="17">
        <v>2035</v>
      </c>
      <c r="E1466" s="17" t="s">
        <v>1402</v>
      </c>
      <c r="F1466" s="29">
        <v>921789</v>
      </c>
    </row>
    <row r="1467" spans="1:6" ht="16" customHeight="1" x14ac:dyDescent="0.2">
      <c r="A1467">
        <f>IFERROR(VLOOKUP(C1467,'GASB Match'!$D$2:$F$6042,3,FALSE),"")</f>
        <v>3400781</v>
      </c>
      <c r="B1467" s="17">
        <v>2019</v>
      </c>
      <c r="C1467" s="17" t="s">
        <v>1365</v>
      </c>
      <c r="D1467" s="17">
        <v>8100</v>
      </c>
      <c r="E1467" s="17" t="s">
        <v>1456</v>
      </c>
      <c r="F1467" s="20">
        <v>219789</v>
      </c>
    </row>
    <row r="1468" spans="1:6" ht="16" customHeight="1" x14ac:dyDescent="0.2">
      <c r="A1468">
        <f>IFERROR(VLOOKUP(C1468,'GASB Match'!$D$2:$F$6042,3,FALSE),"")</f>
        <v>3400781</v>
      </c>
      <c r="B1468" s="17">
        <v>2020</v>
      </c>
      <c r="C1468" s="21" t="s">
        <v>1365</v>
      </c>
      <c r="D1468" s="17">
        <v>8100</v>
      </c>
      <c r="E1468" s="17" t="s">
        <v>1456</v>
      </c>
      <c r="F1468" s="23">
        <v>390076</v>
      </c>
    </row>
    <row r="1469" spans="1:6" ht="16" customHeight="1" x14ac:dyDescent="0.2">
      <c r="A1469">
        <f>IFERROR(VLOOKUP(C1469,'GASB Match'!$D$2:$F$6042,3,FALSE),"")</f>
        <v>3400781</v>
      </c>
      <c r="B1469" s="17">
        <v>2021</v>
      </c>
      <c r="C1469" s="25" t="s">
        <v>1365</v>
      </c>
      <c r="D1469" s="17">
        <v>8100</v>
      </c>
      <c r="E1469" s="17" t="s">
        <v>1456</v>
      </c>
      <c r="F1469" s="23">
        <v>674150</v>
      </c>
    </row>
    <row r="1470" spans="1:6" ht="16" customHeight="1" x14ac:dyDescent="0.2">
      <c r="A1470">
        <f>IFERROR(VLOOKUP(C1470,'GASB Match'!$D$2:$F$6042,3,FALSE),"")</f>
        <v>3400781</v>
      </c>
      <c r="B1470" s="17">
        <v>2022</v>
      </c>
      <c r="C1470" s="21" t="s">
        <v>1365</v>
      </c>
      <c r="D1470" s="17">
        <v>8100</v>
      </c>
      <c r="E1470" s="17" t="s">
        <v>1456</v>
      </c>
      <c r="F1470" s="23">
        <v>1456459</v>
      </c>
    </row>
    <row r="1471" spans="1:6" ht="16" customHeight="1" x14ac:dyDescent="0.2">
      <c r="A1471">
        <f>IFERROR(VLOOKUP(C1471,'GASB Match'!$D$2:$F$6042,3,FALSE),"")</f>
        <v>3400781</v>
      </c>
      <c r="B1471" s="17">
        <v>2023</v>
      </c>
      <c r="C1471" s="21" t="s">
        <v>1365</v>
      </c>
      <c r="D1471" s="17">
        <v>8100</v>
      </c>
      <c r="E1471" s="17" t="s">
        <v>1456</v>
      </c>
      <c r="F1471" s="23">
        <v>1821692</v>
      </c>
    </row>
    <row r="1472" spans="1:6" ht="16" customHeight="1" x14ac:dyDescent="0.2">
      <c r="A1472">
        <f>IFERROR(VLOOKUP(C1472,'GASB Match'!$D$2:$F$6042,3,FALSE),"")</f>
        <v>3404740</v>
      </c>
      <c r="B1472" s="17">
        <v>2015</v>
      </c>
      <c r="C1472" s="17" t="s">
        <v>45</v>
      </c>
      <c r="D1472" s="17">
        <v>2036</v>
      </c>
      <c r="E1472" s="17" t="s">
        <v>1402</v>
      </c>
      <c r="F1472" s="20">
        <v>1267131</v>
      </c>
    </row>
    <row r="1473" spans="1:6" ht="16" customHeight="1" x14ac:dyDescent="0.2">
      <c r="A1473">
        <f>IFERROR(VLOOKUP(C1473,'GASB Match'!$D$2:$F$6042,3,FALSE),"")</f>
        <v>3404740</v>
      </c>
      <c r="B1473" s="17">
        <v>2016</v>
      </c>
      <c r="C1473" s="17" t="s">
        <v>45</v>
      </c>
      <c r="D1473" s="17">
        <v>2036</v>
      </c>
      <c r="E1473" s="17" t="s">
        <v>1402</v>
      </c>
      <c r="F1473" s="20">
        <v>2014294</v>
      </c>
    </row>
    <row r="1474" spans="1:6" ht="16" customHeight="1" x14ac:dyDescent="0.2">
      <c r="A1474">
        <f>IFERROR(VLOOKUP(C1474,'GASB Match'!$D$2:$F$6042,3,FALSE),"")</f>
        <v>3404740</v>
      </c>
      <c r="B1474" s="17">
        <v>2018</v>
      </c>
      <c r="C1474" s="17" t="s">
        <v>723</v>
      </c>
      <c r="D1474" s="17">
        <v>2036</v>
      </c>
      <c r="E1474" s="17" t="s">
        <v>1443</v>
      </c>
      <c r="F1474" s="20">
        <v>3906757</v>
      </c>
    </row>
    <row r="1475" spans="1:6" ht="16" customHeight="1" x14ac:dyDescent="0.2">
      <c r="A1475">
        <f>IFERROR(VLOOKUP(C1475,'GASB Match'!$D$2:$F$6042,3,FALSE),"")</f>
        <v>3404740</v>
      </c>
      <c r="B1475" s="17">
        <v>2019</v>
      </c>
      <c r="C1475" s="17" t="s">
        <v>723</v>
      </c>
      <c r="D1475" s="17">
        <v>2036</v>
      </c>
      <c r="E1475" s="17" t="s">
        <v>1443</v>
      </c>
      <c r="F1475" s="20">
        <v>5244289</v>
      </c>
    </row>
    <row r="1476" spans="1:6" ht="16" customHeight="1" x14ac:dyDescent="0.2">
      <c r="A1476">
        <f>IFERROR(VLOOKUP(C1476,'GASB Match'!$D$2:$F$6042,3,FALSE),"")</f>
        <v>3404740</v>
      </c>
      <c r="B1476" s="17">
        <v>2020</v>
      </c>
      <c r="C1476" s="21" t="s">
        <v>723</v>
      </c>
      <c r="D1476" s="17">
        <v>2036</v>
      </c>
      <c r="E1476" s="17" t="s">
        <v>1443</v>
      </c>
      <c r="F1476" s="23">
        <v>5645354</v>
      </c>
    </row>
    <row r="1477" spans="1:6" ht="16" customHeight="1" x14ac:dyDescent="0.2">
      <c r="A1477">
        <f>IFERROR(VLOOKUP(C1477,'GASB Match'!$D$2:$F$6042,3,FALSE),"")</f>
        <v>3404740</v>
      </c>
      <c r="B1477" s="17">
        <v>2021</v>
      </c>
      <c r="C1477" s="25" t="s">
        <v>723</v>
      </c>
      <c r="D1477" s="17">
        <v>2036</v>
      </c>
      <c r="E1477" s="17" t="s">
        <v>1443</v>
      </c>
      <c r="F1477" s="23">
        <v>6811113</v>
      </c>
    </row>
    <row r="1478" spans="1:6" ht="16" customHeight="1" x14ac:dyDescent="0.2">
      <c r="A1478">
        <f>IFERROR(VLOOKUP(C1478,'GASB Match'!$D$2:$F$6042,3,FALSE),"")</f>
        <v>3404740</v>
      </c>
      <c r="B1478" s="17">
        <v>2022</v>
      </c>
      <c r="C1478" s="21" t="s">
        <v>723</v>
      </c>
      <c r="D1478" s="17">
        <v>2036</v>
      </c>
      <c r="E1478" s="17" t="s">
        <v>1443</v>
      </c>
      <c r="F1478" s="23">
        <v>9443041</v>
      </c>
    </row>
    <row r="1479" spans="1:6" ht="16" customHeight="1" x14ac:dyDescent="0.2">
      <c r="A1479">
        <f>IFERROR(VLOOKUP(C1479,'GASB Match'!$D$2:$F$6042,3,FALSE),"")</f>
        <v>3404740</v>
      </c>
      <c r="B1479" s="17">
        <v>2023</v>
      </c>
      <c r="C1479" s="21" t="s">
        <v>723</v>
      </c>
      <c r="D1479" s="17">
        <v>2036</v>
      </c>
      <c r="E1479" s="17" t="s">
        <v>1443</v>
      </c>
      <c r="F1479" s="23">
        <v>9311540</v>
      </c>
    </row>
    <row r="1480" spans="1:6" ht="16" customHeight="1" x14ac:dyDescent="0.2">
      <c r="A1480">
        <f>IFERROR(VLOOKUP(C1480,'GASB Match'!$D$2:$F$6042,3,FALSE),"")</f>
        <v>3404740</v>
      </c>
      <c r="B1480" s="28">
        <v>2017</v>
      </c>
      <c r="C1480" s="29" t="s">
        <v>45</v>
      </c>
      <c r="D1480" s="17">
        <v>2036</v>
      </c>
      <c r="E1480" s="17" t="s">
        <v>1402</v>
      </c>
      <c r="F1480" s="29">
        <v>2943349</v>
      </c>
    </row>
    <row r="1481" spans="1:6" ht="16" customHeight="1" x14ac:dyDescent="0.2">
      <c r="A1481">
        <f>IFERROR(VLOOKUP(C1481,'GASB Match'!$D$2:$F$6042,3,FALSE),"")</f>
        <v>3404770</v>
      </c>
      <c r="B1481" s="17">
        <v>2015</v>
      </c>
      <c r="C1481" s="17" t="s">
        <v>46</v>
      </c>
      <c r="D1481" s="17">
        <v>2037</v>
      </c>
      <c r="E1481" s="17" t="s">
        <v>1402</v>
      </c>
      <c r="F1481" s="20">
        <v>204713</v>
      </c>
    </row>
    <row r="1482" spans="1:6" ht="16" customHeight="1" x14ac:dyDescent="0.2">
      <c r="A1482">
        <f>IFERROR(VLOOKUP(C1482,'GASB Match'!$D$2:$F$6042,3,FALSE),"")</f>
        <v>3404770</v>
      </c>
      <c r="B1482" s="17">
        <v>2016</v>
      </c>
      <c r="C1482" s="17" t="s">
        <v>46</v>
      </c>
      <c r="D1482" s="17">
        <v>2037</v>
      </c>
      <c r="E1482" s="17" t="s">
        <v>1402</v>
      </c>
      <c r="F1482" s="20">
        <v>334217</v>
      </c>
    </row>
    <row r="1483" spans="1:6" ht="16" customHeight="1" x14ac:dyDescent="0.2">
      <c r="A1483">
        <f>IFERROR(VLOOKUP(C1483,'GASB Match'!$D$2:$F$6042,3,FALSE),"")</f>
        <v>3404770</v>
      </c>
      <c r="B1483" s="17">
        <v>2018</v>
      </c>
      <c r="C1483" s="17" t="s">
        <v>724</v>
      </c>
      <c r="D1483" s="17">
        <v>2037</v>
      </c>
      <c r="E1483" s="17" t="s">
        <v>1443</v>
      </c>
      <c r="F1483" s="20">
        <v>684676</v>
      </c>
    </row>
    <row r="1484" spans="1:6" ht="16" customHeight="1" x14ac:dyDescent="0.2">
      <c r="A1484">
        <f>IFERROR(VLOOKUP(C1484,'GASB Match'!$D$2:$F$6042,3,FALSE),"")</f>
        <v>3404770</v>
      </c>
      <c r="B1484" s="17">
        <v>2019</v>
      </c>
      <c r="C1484" s="17" t="s">
        <v>724</v>
      </c>
      <c r="D1484" s="17">
        <v>2037</v>
      </c>
      <c r="E1484" s="17" t="s">
        <v>1443</v>
      </c>
      <c r="F1484" s="20">
        <v>873282</v>
      </c>
    </row>
    <row r="1485" spans="1:6" ht="16" customHeight="1" x14ac:dyDescent="0.2">
      <c r="A1485">
        <f>IFERROR(VLOOKUP(C1485,'GASB Match'!$D$2:$F$6042,3,FALSE),"")</f>
        <v>3404770</v>
      </c>
      <c r="B1485" s="17">
        <v>2020</v>
      </c>
      <c r="C1485" s="21" t="s">
        <v>724</v>
      </c>
      <c r="D1485" s="17">
        <v>2037</v>
      </c>
      <c r="E1485" s="17" t="s">
        <v>1443</v>
      </c>
      <c r="F1485" s="23">
        <v>976493</v>
      </c>
    </row>
    <row r="1486" spans="1:6" ht="16" customHeight="1" x14ac:dyDescent="0.2">
      <c r="A1486">
        <f>IFERROR(VLOOKUP(C1486,'GASB Match'!$D$2:$F$6042,3,FALSE),"")</f>
        <v>3404770</v>
      </c>
      <c r="B1486" s="17">
        <v>2021</v>
      </c>
      <c r="C1486" s="25" t="s">
        <v>724</v>
      </c>
      <c r="D1486" s="17">
        <v>2037</v>
      </c>
      <c r="E1486" s="17" t="s">
        <v>1443</v>
      </c>
      <c r="F1486" s="23">
        <v>1363354</v>
      </c>
    </row>
    <row r="1487" spans="1:6" ht="16" customHeight="1" x14ac:dyDescent="0.2">
      <c r="A1487">
        <f>IFERROR(VLOOKUP(C1487,'GASB Match'!$D$2:$F$6042,3,FALSE),"")</f>
        <v>3404770</v>
      </c>
      <c r="B1487" s="17">
        <v>2022</v>
      </c>
      <c r="C1487" s="21" t="s">
        <v>724</v>
      </c>
      <c r="D1487" s="17">
        <v>2037</v>
      </c>
      <c r="E1487" s="17" t="s">
        <v>1443</v>
      </c>
      <c r="F1487" s="23">
        <v>1885206</v>
      </c>
    </row>
    <row r="1488" spans="1:6" ht="16" customHeight="1" x14ac:dyDescent="0.2">
      <c r="A1488">
        <f>IFERROR(VLOOKUP(C1488,'GASB Match'!$D$2:$F$6042,3,FALSE),"")</f>
        <v>3404770</v>
      </c>
      <c r="B1488" s="17">
        <v>2023</v>
      </c>
      <c r="C1488" s="21" t="s">
        <v>724</v>
      </c>
      <c r="D1488" s="17">
        <v>2037</v>
      </c>
      <c r="E1488" s="17" t="s">
        <v>1443</v>
      </c>
      <c r="F1488" s="23">
        <v>1827166</v>
      </c>
    </row>
    <row r="1489" spans="1:6" ht="16" customHeight="1" x14ac:dyDescent="0.2">
      <c r="A1489">
        <f>IFERROR(VLOOKUP(C1489,'GASB Match'!$D$2:$F$6042,3,FALSE),"")</f>
        <v>3404770</v>
      </c>
      <c r="B1489" s="28">
        <v>2017</v>
      </c>
      <c r="C1489" s="29" t="s">
        <v>46</v>
      </c>
      <c r="D1489" s="17">
        <v>2037</v>
      </c>
      <c r="E1489" s="17" t="s">
        <v>1402</v>
      </c>
      <c r="F1489" s="29">
        <v>503898</v>
      </c>
    </row>
    <row r="1490" spans="1:6" ht="16" customHeight="1" x14ac:dyDescent="0.2">
      <c r="A1490">
        <f>IFERROR(VLOOKUP(C1490,'GASB Match'!$D$2:$F$6042,3,FALSE),"")</f>
        <v>3400014</v>
      </c>
      <c r="B1490" s="17">
        <v>2015</v>
      </c>
      <c r="C1490" s="17" t="s">
        <v>47</v>
      </c>
      <c r="D1490" s="17">
        <v>6011</v>
      </c>
      <c r="E1490" s="17" t="s">
        <v>1402</v>
      </c>
      <c r="F1490" s="20">
        <v>79221</v>
      </c>
    </row>
    <row r="1491" spans="1:6" ht="16" customHeight="1" x14ac:dyDescent="0.2">
      <c r="A1491">
        <f>IFERROR(VLOOKUP(C1491,'GASB Match'!$D$2:$F$6042,3,FALSE),"")</f>
        <v>3400014</v>
      </c>
      <c r="B1491" s="17">
        <v>2016</v>
      </c>
      <c r="C1491" s="17" t="s">
        <v>47</v>
      </c>
      <c r="D1491" s="17">
        <v>6011</v>
      </c>
      <c r="E1491" s="17" t="s">
        <v>1402</v>
      </c>
      <c r="F1491" s="20">
        <v>59959</v>
      </c>
    </row>
    <row r="1492" spans="1:6" ht="16" customHeight="1" x14ac:dyDescent="0.2">
      <c r="A1492">
        <f>IFERROR(VLOOKUP(C1492,'GASB Match'!$D$2:$F$6042,3,FALSE),"")</f>
        <v>3400014</v>
      </c>
      <c r="B1492" s="17">
        <v>2018</v>
      </c>
      <c r="C1492" s="17" t="s">
        <v>725</v>
      </c>
      <c r="D1492" s="17">
        <v>6011</v>
      </c>
      <c r="E1492" s="17" t="s">
        <v>1443</v>
      </c>
      <c r="F1492" s="20">
        <v>256545</v>
      </c>
    </row>
    <row r="1493" spans="1:6" ht="16" customHeight="1" x14ac:dyDescent="0.2">
      <c r="A1493">
        <f>IFERROR(VLOOKUP(C1493,'GASB Match'!$D$2:$F$6042,3,FALSE),"")</f>
        <v>3400014</v>
      </c>
      <c r="B1493" s="17">
        <v>2019</v>
      </c>
      <c r="C1493" s="17" t="s">
        <v>725</v>
      </c>
      <c r="D1493" s="17">
        <v>6011</v>
      </c>
      <c r="E1493" s="17" t="s">
        <v>1443</v>
      </c>
      <c r="F1493" s="20">
        <v>357040</v>
      </c>
    </row>
    <row r="1494" spans="1:6" ht="16" customHeight="1" x14ac:dyDescent="0.2">
      <c r="A1494">
        <f>IFERROR(VLOOKUP(C1494,'GASB Match'!$D$2:$F$6042,3,FALSE),"")</f>
        <v>3400014</v>
      </c>
      <c r="B1494" s="17">
        <v>2020</v>
      </c>
      <c r="C1494" s="21" t="s">
        <v>725</v>
      </c>
      <c r="D1494" s="17">
        <v>6011</v>
      </c>
      <c r="E1494" s="17" t="s">
        <v>1443</v>
      </c>
      <c r="F1494" s="23">
        <v>432371</v>
      </c>
    </row>
    <row r="1495" spans="1:6" ht="16" customHeight="1" x14ac:dyDescent="0.2">
      <c r="A1495">
        <f>IFERROR(VLOOKUP(C1495,'GASB Match'!$D$2:$F$6042,3,FALSE),"")</f>
        <v>3400014</v>
      </c>
      <c r="B1495" s="17">
        <v>2021</v>
      </c>
      <c r="C1495" s="25" t="s">
        <v>725</v>
      </c>
      <c r="D1495" s="17">
        <v>6011</v>
      </c>
      <c r="E1495" s="17" t="s">
        <v>1443</v>
      </c>
      <c r="F1495" s="23">
        <v>619484</v>
      </c>
    </row>
    <row r="1496" spans="1:6" ht="16" customHeight="1" x14ac:dyDescent="0.2">
      <c r="A1496">
        <f>IFERROR(VLOOKUP(C1496,'GASB Match'!$D$2:$F$6042,3,FALSE),"")</f>
        <v>3400014</v>
      </c>
      <c r="B1496" s="17">
        <v>2022</v>
      </c>
      <c r="C1496" s="21" t="s">
        <v>725</v>
      </c>
      <c r="D1496" s="17">
        <v>6011</v>
      </c>
      <c r="E1496" s="17" t="s">
        <v>1443</v>
      </c>
      <c r="F1496" s="23">
        <v>846945</v>
      </c>
    </row>
    <row r="1497" spans="1:6" ht="16" customHeight="1" x14ac:dyDescent="0.2">
      <c r="A1497">
        <f>IFERROR(VLOOKUP(C1497,'GASB Match'!$D$2:$F$6042,3,FALSE),"")</f>
        <v>3400014</v>
      </c>
      <c r="B1497" s="17">
        <v>2023</v>
      </c>
      <c r="C1497" s="21" t="s">
        <v>725</v>
      </c>
      <c r="D1497" s="17">
        <v>6011</v>
      </c>
      <c r="E1497" s="17" t="s">
        <v>1443</v>
      </c>
      <c r="F1497" s="23">
        <v>828132</v>
      </c>
    </row>
    <row r="1498" spans="1:6" ht="16" customHeight="1" x14ac:dyDescent="0.2">
      <c r="A1498">
        <f>IFERROR(VLOOKUP(C1498,'GASB Match'!$D$2:$F$6042,3,FALSE),"")</f>
        <v>3400014</v>
      </c>
      <c r="B1498" s="28">
        <v>2017</v>
      </c>
      <c r="C1498" s="29" t="s">
        <v>47</v>
      </c>
      <c r="D1498" s="17">
        <v>6011</v>
      </c>
      <c r="E1498" s="17" t="s">
        <v>1402</v>
      </c>
      <c r="F1498" s="29">
        <v>183606</v>
      </c>
    </row>
    <row r="1499" spans="1:6" ht="16" customHeight="1" x14ac:dyDescent="0.2">
      <c r="A1499">
        <f>IFERROR(VLOOKUP(C1499,'GASB Match'!$D$2:$F$6042,3,FALSE),"")</f>
        <v>3480300</v>
      </c>
      <c r="B1499" s="17">
        <v>2015</v>
      </c>
      <c r="C1499" s="17" t="s">
        <v>237</v>
      </c>
      <c r="D1499" s="17">
        <v>6012</v>
      </c>
      <c r="E1499" s="17" t="s">
        <v>1411</v>
      </c>
      <c r="F1499" s="20">
        <v>437870</v>
      </c>
    </row>
    <row r="1500" spans="1:6" ht="16" customHeight="1" x14ac:dyDescent="0.2">
      <c r="A1500">
        <f>IFERROR(VLOOKUP(C1500,'GASB Match'!$D$2:$F$6042,3,FALSE),"")</f>
        <v>3480300</v>
      </c>
      <c r="B1500" s="17">
        <v>2016</v>
      </c>
      <c r="C1500" s="17" t="s">
        <v>237</v>
      </c>
      <c r="D1500" s="17">
        <v>6012</v>
      </c>
      <c r="E1500" s="17" t="s">
        <v>1411</v>
      </c>
      <c r="F1500" s="20">
        <v>573846</v>
      </c>
    </row>
    <row r="1501" spans="1:6" ht="16" customHeight="1" x14ac:dyDescent="0.2">
      <c r="A1501">
        <f>IFERROR(VLOOKUP(C1501,'GASB Match'!$D$2:$F$6042,3,FALSE),"")</f>
        <v>3480300</v>
      </c>
      <c r="B1501" s="17">
        <v>2018</v>
      </c>
      <c r="C1501" s="17" t="s">
        <v>923</v>
      </c>
      <c r="D1501" s="17">
        <v>6012</v>
      </c>
      <c r="E1501" s="17" t="s">
        <v>1452</v>
      </c>
      <c r="F1501" s="20">
        <v>907371</v>
      </c>
    </row>
    <row r="1502" spans="1:6" ht="16" customHeight="1" x14ac:dyDescent="0.2">
      <c r="A1502">
        <f>IFERROR(VLOOKUP(C1502,'GASB Match'!$D$2:$F$6042,3,FALSE),"")</f>
        <v>3480300</v>
      </c>
      <c r="B1502" s="17">
        <v>2019</v>
      </c>
      <c r="C1502" s="17" t="s">
        <v>923</v>
      </c>
      <c r="D1502" s="17">
        <v>6012</v>
      </c>
      <c r="E1502" s="17" t="s">
        <v>1452</v>
      </c>
      <c r="F1502" s="20">
        <v>1256444</v>
      </c>
    </row>
    <row r="1503" spans="1:6" ht="16" customHeight="1" x14ac:dyDescent="0.2">
      <c r="A1503">
        <f>IFERROR(VLOOKUP(C1503,'GASB Match'!$D$2:$F$6042,3,FALSE),"")</f>
        <v>3480300</v>
      </c>
      <c r="B1503" s="17">
        <v>2020</v>
      </c>
      <c r="C1503" s="21" t="s">
        <v>923</v>
      </c>
      <c r="D1503" s="17">
        <v>6012</v>
      </c>
      <c r="E1503" s="17" t="s">
        <v>1452</v>
      </c>
      <c r="F1503" s="23">
        <v>1417559</v>
      </c>
    </row>
    <row r="1504" spans="1:6" ht="16" customHeight="1" x14ac:dyDescent="0.2">
      <c r="A1504">
        <f>IFERROR(VLOOKUP(C1504,'GASB Match'!$D$2:$F$6042,3,FALSE),"")</f>
        <v>3480300</v>
      </c>
      <c r="B1504" s="17">
        <v>2021</v>
      </c>
      <c r="C1504" s="25" t="s">
        <v>923</v>
      </c>
      <c r="D1504" s="17">
        <v>6012</v>
      </c>
      <c r="E1504" s="17" t="s">
        <v>1452</v>
      </c>
      <c r="F1504" s="23">
        <v>1465666</v>
      </c>
    </row>
    <row r="1505" spans="1:6" ht="16" customHeight="1" x14ac:dyDescent="0.2">
      <c r="A1505">
        <f>IFERROR(VLOOKUP(C1505,'GASB Match'!$D$2:$F$6042,3,FALSE),"")</f>
        <v>3480300</v>
      </c>
      <c r="B1505" s="17">
        <v>2022</v>
      </c>
      <c r="C1505" s="21" t="s">
        <v>923</v>
      </c>
      <c r="D1505" s="17">
        <v>6012</v>
      </c>
      <c r="E1505" s="17" t="s">
        <v>1452</v>
      </c>
      <c r="F1505" s="23">
        <v>1899004</v>
      </c>
    </row>
    <row r="1506" spans="1:6" ht="16" customHeight="1" x14ac:dyDescent="0.2">
      <c r="A1506">
        <f>IFERROR(VLOOKUP(C1506,'GASB Match'!$D$2:$F$6042,3,FALSE),"")</f>
        <v>3480300</v>
      </c>
      <c r="B1506" s="17">
        <v>2023</v>
      </c>
      <c r="C1506" s="21" t="s">
        <v>923</v>
      </c>
      <c r="D1506" s="17">
        <v>6012</v>
      </c>
      <c r="E1506" s="17" t="s">
        <v>1452</v>
      </c>
      <c r="F1506" s="23">
        <v>1842760</v>
      </c>
    </row>
    <row r="1507" spans="1:6" ht="16" customHeight="1" x14ac:dyDescent="0.2">
      <c r="A1507">
        <f>IFERROR(VLOOKUP(C1507,'GASB Match'!$D$2:$F$6042,3,FALSE),"")</f>
        <v>3480300</v>
      </c>
      <c r="B1507" s="28">
        <v>2017</v>
      </c>
      <c r="C1507" s="29" t="s">
        <v>237</v>
      </c>
      <c r="D1507" s="17">
        <v>6012</v>
      </c>
      <c r="E1507" s="17" t="s">
        <v>1411</v>
      </c>
      <c r="F1507" s="29">
        <v>718062</v>
      </c>
    </row>
    <row r="1508" spans="1:6" ht="16" customHeight="1" x14ac:dyDescent="0.2">
      <c r="A1508">
        <f>IFERROR(VLOOKUP(C1508,'GASB Match'!$D$2:$F$6042,3,FALSE),"")</f>
        <v>3404800</v>
      </c>
      <c r="B1508" s="17">
        <v>2015</v>
      </c>
      <c r="C1508" s="17" t="s">
        <v>238</v>
      </c>
      <c r="D1508" s="17">
        <v>950</v>
      </c>
      <c r="E1508" s="17" t="s">
        <v>1411</v>
      </c>
      <c r="F1508" s="20">
        <v>930362</v>
      </c>
    </row>
    <row r="1509" spans="1:6" ht="16" customHeight="1" x14ac:dyDescent="0.2">
      <c r="A1509">
        <f>IFERROR(VLOOKUP(C1509,'GASB Match'!$D$2:$F$6042,3,FALSE),"")</f>
        <v>3404800</v>
      </c>
      <c r="B1509" s="17">
        <v>2016</v>
      </c>
      <c r="C1509" s="17" t="s">
        <v>238</v>
      </c>
      <c r="D1509" s="17">
        <v>950</v>
      </c>
      <c r="E1509" s="17" t="s">
        <v>1411</v>
      </c>
      <c r="F1509" s="20">
        <v>1339984</v>
      </c>
    </row>
    <row r="1510" spans="1:6" ht="16" customHeight="1" x14ac:dyDescent="0.2">
      <c r="A1510">
        <f>IFERROR(VLOOKUP(C1510,'GASB Match'!$D$2:$F$6042,3,FALSE),"")</f>
        <v>3404800</v>
      </c>
      <c r="B1510" s="17">
        <v>2018</v>
      </c>
      <c r="C1510" s="17" t="s">
        <v>924</v>
      </c>
      <c r="D1510" s="17">
        <v>950</v>
      </c>
      <c r="E1510" s="17" t="s">
        <v>1452</v>
      </c>
      <c r="F1510" s="20">
        <v>2543309</v>
      </c>
    </row>
    <row r="1511" spans="1:6" ht="16" customHeight="1" x14ac:dyDescent="0.2">
      <c r="A1511">
        <f>IFERROR(VLOOKUP(C1511,'GASB Match'!$D$2:$F$6042,3,FALSE),"")</f>
        <v>3404800</v>
      </c>
      <c r="B1511" s="17">
        <v>2019</v>
      </c>
      <c r="C1511" s="17" t="s">
        <v>924</v>
      </c>
      <c r="D1511" s="17">
        <v>950</v>
      </c>
      <c r="E1511" s="17" t="s">
        <v>1452</v>
      </c>
      <c r="F1511" s="20">
        <v>3374752</v>
      </c>
    </row>
    <row r="1512" spans="1:6" ht="16" customHeight="1" x14ac:dyDescent="0.2">
      <c r="A1512">
        <f>IFERROR(VLOOKUP(C1512,'GASB Match'!$D$2:$F$6042,3,FALSE),"")</f>
        <v>3404800</v>
      </c>
      <c r="B1512" s="17">
        <v>2020</v>
      </c>
      <c r="C1512" s="21" t="s">
        <v>924</v>
      </c>
      <c r="D1512" s="17">
        <v>950</v>
      </c>
      <c r="E1512" s="17" t="s">
        <v>1452</v>
      </c>
      <c r="F1512" s="23">
        <v>3648040</v>
      </c>
    </row>
    <row r="1513" spans="1:6" ht="16" customHeight="1" x14ac:dyDescent="0.2">
      <c r="A1513">
        <f>IFERROR(VLOOKUP(C1513,'GASB Match'!$D$2:$F$6042,3,FALSE),"")</f>
        <v>3404800</v>
      </c>
      <c r="B1513" s="17">
        <v>2021</v>
      </c>
      <c r="C1513" s="25" t="s">
        <v>924</v>
      </c>
      <c r="D1513" s="17">
        <v>950</v>
      </c>
      <c r="E1513" s="17" t="s">
        <v>1452</v>
      </c>
      <c r="F1513" s="22">
        <v>4712249</v>
      </c>
    </row>
    <row r="1514" spans="1:6" ht="16" customHeight="1" x14ac:dyDescent="0.2">
      <c r="A1514">
        <f>IFERROR(VLOOKUP(C1514,'GASB Match'!$D$2:$F$6042,3,FALSE),"")</f>
        <v>3404800</v>
      </c>
      <c r="B1514" s="17">
        <v>2022</v>
      </c>
      <c r="C1514" s="21" t="s">
        <v>924</v>
      </c>
      <c r="D1514" s="17">
        <v>950</v>
      </c>
      <c r="E1514" s="17" t="s">
        <v>1452</v>
      </c>
      <c r="F1514" s="23">
        <v>6528393</v>
      </c>
    </row>
    <row r="1515" spans="1:6" ht="16" customHeight="1" x14ac:dyDescent="0.2">
      <c r="A1515">
        <f>IFERROR(VLOOKUP(C1515,'GASB Match'!$D$2:$F$6042,3,FALSE),"")</f>
        <v>3404800</v>
      </c>
      <c r="B1515" s="17">
        <v>2023</v>
      </c>
      <c r="C1515" s="21" t="s">
        <v>924</v>
      </c>
      <c r="D1515" s="17">
        <v>950</v>
      </c>
      <c r="E1515" s="17" t="s">
        <v>1452</v>
      </c>
      <c r="F1515" s="23">
        <v>6584252</v>
      </c>
    </row>
    <row r="1516" spans="1:6" ht="16" customHeight="1" x14ac:dyDescent="0.2">
      <c r="A1516">
        <f>IFERROR(VLOOKUP(C1516,'GASB Match'!$D$2:$F$6042,3,FALSE),"")</f>
        <v>3404800</v>
      </c>
      <c r="B1516" s="28">
        <v>2017</v>
      </c>
      <c r="C1516" s="29" t="s">
        <v>238</v>
      </c>
      <c r="D1516" s="17">
        <v>950</v>
      </c>
      <c r="E1516" s="17" t="s">
        <v>1411</v>
      </c>
      <c r="F1516" s="29">
        <v>1916088</v>
      </c>
    </row>
    <row r="1517" spans="1:6" ht="16" customHeight="1" x14ac:dyDescent="0.2">
      <c r="A1517">
        <f>IFERROR(VLOOKUP(C1517,'GASB Match'!$D$2:$F$6042,3,FALSE),"")</f>
        <v>3404830</v>
      </c>
      <c r="B1517" s="17">
        <v>2015</v>
      </c>
      <c r="C1517" s="17" t="s">
        <v>239</v>
      </c>
      <c r="D1517" s="17">
        <v>6084</v>
      </c>
      <c r="E1517" s="17" t="s">
        <v>1411</v>
      </c>
      <c r="F1517" s="20">
        <v>116464</v>
      </c>
    </row>
    <row r="1518" spans="1:6" ht="16" customHeight="1" x14ac:dyDescent="0.2">
      <c r="A1518">
        <f>IFERROR(VLOOKUP(C1518,'GASB Match'!$D$2:$F$6042,3,FALSE),"")</f>
        <v>3404830</v>
      </c>
      <c r="B1518" s="17">
        <v>2016</v>
      </c>
      <c r="C1518" s="17" t="s">
        <v>239</v>
      </c>
      <c r="D1518" s="17">
        <v>6084</v>
      </c>
      <c r="E1518" s="17" t="s">
        <v>1411</v>
      </c>
      <c r="F1518" s="20">
        <v>159368</v>
      </c>
    </row>
    <row r="1519" spans="1:6" ht="16" customHeight="1" x14ac:dyDescent="0.2">
      <c r="A1519">
        <f>IFERROR(VLOOKUP(C1519,'GASB Match'!$D$2:$F$6042,3,FALSE),"")</f>
        <v>3404830</v>
      </c>
      <c r="B1519" s="17">
        <v>2018</v>
      </c>
      <c r="C1519" s="17" t="s">
        <v>925</v>
      </c>
      <c r="D1519" s="17">
        <v>6084</v>
      </c>
      <c r="E1519" s="17" t="s">
        <v>1452</v>
      </c>
      <c r="F1519" s="20">
        <v>318840</v>
      </c>
    </row>
    <row r="1520" spans="1:6" ht="16" customHeight="1" x14ac:dyDescent="0.2">
      <c r="A1520">
        <f>IFERROR(VLOOKUP(C1520,'GASB Match'!$D$2:$F$6042,3,FALSE),"")</f>
        <v>3404830</v>
      </c>
      <c r="B1520" s="17">
        <v>2019</v>
      </c>
      <c r="C1520" s="17" t="s">
        <v>925</v>
      </c>
      <c r="D1520" s="17">
        <v>6084</v>
      </c>
      <c r="E1520" s="17" t="s">
        <v>1452</v>
      </c>
      <c r="F1520" s="19">
        <v>442412</v>
      </c>
    </row>
    <row r="1521" spans="1:6" ht="16" customHeight="1" x14ac:dyDescent="0.2">
      <c r="A1521">
        <f>IFERROR(VLOOKUP(C1521,'GASB Match'!$D$2:$F$6042,3,FALSE),"")</f>
        <v>3404830</v>
      </c>
      <c r="B1521" s="17">
        <v>2020</v>
      </c>
      <c r="C1521" s="21" t="s">
        <v>925</v>
      </c>
      <c r="D1521" s="17">
        <v>6084</v>
      </c>
      <c r="E1521" s="17" t="s">
        <v>1452</v>
      </c>
      <c r="F1521" s="23">
        <v>506290</v>
      </c>
    </row>
    <row r="1522" spans="1:6" ht="16" customHeight="1" x14ac:dyDescent="0.2">
      <c r="A1522">
        <f>IFERROR(VLOOKUP(C1522,'GASB Match'!$D$2:$F$6042,3,FALSE),"")</f>
        <v>3404830</v>
      </c>
      <c r="B1522" s="17">
        <v>2021</v>
      </c>
      <c r="C1522" s="25" t="s">
        <v>925</v>
      </c>
      <c r="D1522" s="17">
        <v>6084</v>
      </c>
      <c r="E1522" s="17" t="s">
        <v>1452</v>
      </c>
      <c r="F1522" s="23">
        <v>706030</v>
      </c>
    </row>
    <row r="1523" spans="1:6" ht="16" customHeight="1" x14ac:dyDescent="0.2">
      <c r="A1523">
        <f>IFERROR(VLOOKUP(C1523,'GASB Match'!$D$2:$F$6042,3,FALSE),"")</f>
        <v>3404830</v>
      </c>
      <c r="B1523" s="17">
        <v>2022</v>
      </c>
      <c r="C1523" s="21" t="s">
        <v>925</v>
      </c>
      <c r="D1523" s="17">
        <v>6084</v>
      </c>
      <c r="E1523" s="17" t="s">
        <v>1452</v>
      </c>
      <c r="F1523" s="23">
        <v>1015414</v>
      </c>
    </row>
    <row r="1524" spans="1:6" ht="16" customHeight="1" x14ac:dyDescent="0.2">
      <c r="A1524">
        <f>IFERROR(VLOOKUP(C1524,'GASB Match'!$D$2:$F$6042,3,FALSE),"")</f>
        <v>3404830</v>
      </c>
      <c r="B1524" s="17">
        <v>2023</v>
      </c>
      <c r="C1524" s="21" t="s">
        <v>925</v>
      </c>
      <c r="D1524" s="17">
        <v>6084</v>
      </c>
      <c r="E1524" s="17" t="s">
        <v>1452</v>
      </c>
      <c r="F1524" s="23">
        <v>1033573</v>
      </c>
    </row>
    <row r="1525" spans="1:6" ht="16" customHeight="1" x14ac:dyDescent="0.2">
      <c r="A1525">
        <f>IFERROR(VLOOKUP(C1525,'GASB Match'!$D$2:$F$6042,3,FALSE),"")</f>
        <v>3404830</v>
      </c>
      <c r="B1525" s="28">
        <v>2017</v>
      </c>
      <c r="C1525" s="29" t="s">
        <v>239</v>
      </c>
      <c r="D1525" s="17">
        <v>6084</v>
      </c>
      <c r="E1525" s="17" t="s">
        <v>1411</v>
      </c>
      <c r="F1525" s="29">
        <v>234582</v>
      </c>
    </row>
    <row r="1526" spans="1:6" ht="16" customHeight="1" x14ac:dyDescent="0.2">
      <c r="A1526">
        <f>IFERROR(VLOOKUP(C1526,'GASB Match'!$D$2:$F$6042,3,FALSE),"")</f>
        <v>3404860</v>
      </c>
      <c r="B1526" s="17">
        <v>2015</v>
      </c>
      <c r="C1526" s="17" t="s">
        <v>9</v>
      </c>
      <c r="D1526" s="17">
        <v>1084</v>
      </c>
      <c r="E1526" s="17" t="s">
        <v>1400</v>
      </c>
      <c r="F1526" s="20">
        <v>69681</v>
      </c>
    </row>
    <row r="1527" spans="1:6" ht="16" customHeight="1" x14ac:dyDescent="0.2">
      <c r="A1527">
        <f>IFERROR(VLOOKUP(C1527,'GASB Match'!$D$2:$F$6042,3,FALSE),"")</f>
        <v>3404860</v>
      </c>
      <c r="B1527" s="17">
        <v>2016</v>
      </c>
      <c r="C1527" s="17" t="s">
        <v>9</v>
      </c>
      <c r="D1527" s="17">
        <v>1084</v>
      </c>
      <c r="E1527" s="17" t="s">
        <v>1400</v>
      </c>
      <c r="F1527" s="20">
        <v>101045</v>
      </c>
    </row>
    <row r="1528" spans="1:6" ht="16" customHeight="1" x14ac:dyDescent="0.2">
      <c r="A1528">
        <f>IFERROR(VLOOKUP(C1528,'GASB Match'!$D$2:$F$6042,3,FALSE),"")</f>
        <v>3404860</v>
      </c>
      <c r="B1528" s="17">
        <v>2018</v>
      </c>
      <c r="C1528" s="17" t="s">
        <v>688</v>
      </c>
      <c r="D1528" s="17">
        <v>1084</v>
      </c>
      <c r="E1528" s="17" t="s">
        <v>1441</v>
      </c>
      <c r="F1528" s="20">
        <v>194052</v>
      </c>
    </row>
    <row r="1529" spans="1:6" ht="16" customHeight="1" x14ac:dyDescent="0.2">
      <c r="A1529">
        <f>IFERROR(VLOOKUP(C1529,'GASB Match'!$D$2:$F$6042,3,FALSE),"")</f>
        <v>3404860</v>
      </c>
      <c r="B1529" s="17">
        <v>2019</v>
      </c>
      <c r="C1529" s="17" t="s">
        <v>688</v>
      </c>
      <c r="D1529" s="17">
        <v>1084</v>
      </c>
      <c r="E1529" s="17" t="s">
        <v>1441</v>
      </c>
      <c r="F1529" s="20">
        <v>254440</v>
      </c>
    </row>
    <row r="1530" spans="1:6" ht="16" customHeight="1" x14ac:dyDescent="0.2">
      <c r="A1530">
        <f>IFERROR(VLOOKUP(C1530,'GASB Match'!$D$2:$F$6042,3,FALSE),"")</f>
        <v>3404860</v>
      </c>
      <c r="B1530" s="17">
        <v>2020</v>
      </c>
      <c r="C1530" s="21" t="s">
        <v>688</v>
      </c>
      <c r="D1530" s="17">
        <v>1084</v>
      </c>
      <c r="E1530" s="17" t="s">
        <v>1441</v>
      </c>
      <c r="F1530" s="23">
        <v>267992</v>
      </c>
    </row>
    <row r="1531" spans="1:6" ht="16" customHeight="1" x14ac:dyDescent="0.2">
      <c r="A1531">
        <f>IFERROR(VLOOKUP(C1531,'GASB Match'!$D$2:$F$6042,3,FALSE),"")</f>
        <v>3404860</v>
      </c>
      <c r="B1531" s="17">
        <v>2021</v>
      </c>
      <c r="C1531" s="25" t="s">
        <v>688</v>
      </c>
      <c r="D1531" s="17">
        <v>1084</v>
      </c>
      <c r="E1531" s="17" t="s">
        <v>1441</v>
      </c>
      <c r="F1531" s="23">
        <v>354507</v>
      </c>
    </row>
    <row r="1532" spans="1:6" ht="16" customHeight="1" x14ac:dyDescent="0.2">
      <c r="A1532">
        <f>IFERROR(VLOOKUP(C1532,'GASB Match'!$D$2:$F$6042,3,FALSE),"")</f>
        <v>3404860</v>
      </c>
      <c r="B1532" s="17">
        <v>2022</v>
      </c>
      <c r="C1532" s="21" t="s">
        <v>688</v>
      </c>
      <c r="D1532" s="17">
        <v>1084</v>
      </c>
      <c r="E1532" s="17" t="s">
        <v>1441</v>
      </c>
      <c r="F1532" s="23">
        <v>493901</v>
      </c>
    </row>
    <row r="1533" spans="1:6" ht="16" customHeight="1" x14ac:dyDescent="0.2">
      <c r="A1533">
        <f>IFERROR(VLOOKUP(C1533,'GASB Match'!$D$2:$F$6042,3,FALSE),"")</f>
        <v>3404860</v>
      </c>
      <c r="B1533" s="17">
        <v>2023</v>
      </c>
      <c r="C1533" s="21" t="s">
        <v>688</v>
      </c>
      <c r="D1533" s="17">
        <v>1084</v>
      </c>
      <c r="E1533" s="17" t="s">
        <v>1441</v>
      </c>
      <c r="F1533" s="23">
        <v>501587</v>
      </c>
    </row>
    <row r="1534" spans="1:6" ht="16" customHeight="1" x14ac:dyDescent="0.2">
      <c r="A1534">
        <f>IFERROR(VLOOKUP(C1534,'GASB Match'!$D$2:$F$6042,3,FALSE),"")</f>
        <v>3404860</v>
      </c>
      <c r="B1534" s="28">
        <v>2017</v>
      </c>
      <c r="C1534" s="29" t="s">
        <v>9</v>
      </c>
      <c r="D1534" s="17">
        <v>1084</v>
      </c>
      <c r="E1534" s="17" t="s">
        <v>1400</v>
      </c>
      <c r="F1534" s="29">
        <v>133041</v>
      </c>
    </row>
    <row r="1535" spans="1:6" ht="16" customHeight="1" x14ac:dyDescent="0.2">
      <c r="A1535">
        <f>IFERROR(VLOOKUP(C1535,'GASB Match'!$D$2:$F$6042,3,FALSE),"")</f>
        <v>3400727</v>
      </c>
      <c r="B1535" s="17">
        <v>2015</v>
      </c>
      <c r="C1535" s="17" t="s">
        <v>305</v>
      </c>
      <c r="D1535" s="17">
        <v>8093</v>
      </c>
      <c r="E1535" s="17" t="s">
        <v>1413</v>
      </c>
      <c r="F1535" s="20">
        <v>40769</v>
      </c>
    </row>
    <row r="1536" spans="1:6" ht="16" customHeight="1" x14ac:dyDescent="0.2">
      <c r="A1536">
        <f>IFERROR(VLOOKUP(C1536,'GASB Match'!$D$2:$F$6042,3,FALSE),"")</f>
        <v>3400727</v>
      </c>
      <c r="B1536" s="17">
        <v>2016</v>
      </c>
      <c r="C1536" s="17" t="s">
        <v>305</v>
      </c>
      <c r="D1536" s="17">
        <v>8093</v>
      </c>
      <c r="E1536" s="17" t="s">
        <v>1413</v>
      </c>
      <c r="F1536" s="20">
        <v>83816</v>
      </c>
    </row>
    <row r="1537" spans="1:6" ht="16" customHeight="1" x14ac:dyDescent="0.2">
      <c r="A1537">
        <f>IFERROR(VLOOKUP(C1537,'GASB Match'!$D$2:$F$6042,3,FALSE),"")</f>
        <v>3400727</v>
      </c>
      <c r="B1537" s="17">
        <v>2018</v>
      </c>
      <c r="C1537" s="17" t="s">
        <v>996</v>
      </c>
      <c r="D1537" s="17">
        <v>8093</v>
      </c>
      <c r="E1537" s="17" t="s">
        <v>1456</v>
      </c>
      <c r="F1537" s="20">
        <v>216241</v>
      </c>
    </row>
    <row r="1538" spans="1:6" ht="16" customHeight="1" x14ac:dyDescent="0.2">
      <c r="A1538">
        <f>IFERROR(VLOOKUP(C1538,'GASB Match'!$D$2:$F$6042,3,FALSE),"")</f>
        <v>3400727</v>
      </c>
      <c r="B1538" s="17">
        <v>2019</v>
      </c>
      <c r="C1538" s="17" t="s">
        <v>996</v>
      </c>
      <c r="D1538" s="17">
        <v>8093</v>
      </c>
      <c r="E1538" s="17" t="s">
        <v>1456</v>
      </c>
      <c r="F1538" s="20">
        <v>320391</v>
      </c>
    </row>
    <row r="1539" spans="1:6" ht="16" customHeight="1" x14ac:dyDescent="0.2">
      <c r="A1539">
        <f>IFERROR(VLOOKUP(C1539,'GASB Match'!$D$2:$F$6042,3,FALSE),"")</f>
        <v>3400727</v>
      </c>
      <c r="B1539" s="17">
        <v>2020</v>
      </c>
      <c r="C1539" s="21" t="s">
        <v>996</v>
      </c>
      <c r="D1539" s="17">
        <v>8093</v>
      </c>
      <c r="E1539" s="17" t="s">
        <v>1456</v>
      </c>
      <c r="F1539" s="23">
        <v>367814</v>
      </c>
    </row>
    <row r="1540" spans="1:6" ht="16" customHeight="1" x14ac:dyDescent="0.2">
      <c r="A1540">
        <f>IFERROR(VLOOKUP(C1540,'GASB Match'!$D$2:$F$6042,3,FALSE),"")</f>
        <v>3400727</v>
      </c>
      <c r="B1540" s="17">
        <v>2021</v>
      </c>
      <c r="C1540" s="25" t="s">
        <v>996</v>
      </c>
      <c r="D1540" s="17">
        <v>8093</v>
      </c>
      <c r="E1540" s="17" t="s">
        <v>1456</v>
      </c>
      <c r="F1540" s="23">
        <v>502822</v>
      </c>
    </row>
    <row r="1541" spans="1:6" ht="16" customHeight="1" x14ac:dyDescent="0.2">
      <c r="A1541">
        <f>IFERROR(VLOOKUP(C1541,'GASB Match'!$D$2:$F$6042,3,FALSE),"")</f>
        <v>3400727</v>
      </c>
      <c r="B1541" s="17">
        <v>2022</v>
      </c>
      <c r="C1541" s="21" t="s">
        <v>996</v>
      </c>
      <c r="D1541" s="17">
        <v>8093</v>
      </c>
      <c r="E1541" s="17" t="s">
        <v>1456</v>
      </c>
      <c r="F1541" s="23">
        <v>495658</v>
      </c>
    </row>
    <row r="1542" spans="1:6" ht="16" customHeight="1" x14ac:dyDescent="0.2">
      <c r="A1542">
        <f>IFERROR(VLOOKUP(C1542,'GASB Match'!$D$2:$F$6042,3,FALSE),"")</f>
        <v>3400727</v>
      </c>
      <c r="B1542" s="28">
        <v>2017</v>
      </c>
      <c r="C1542" s="29" t="s">
        <v>305</v>
      </c>
      <c r="D1542" s="17">
        <v>8093</v>
      </c>
      <c r="E1542" s="17" t="s">
        <v>1413</v>
      </c>
      <c r="F1542" s="29">
        <v>148145</v>
      </c>
    </row>
    <row r="1543" spans="1:6" ht="16" customHeight="1" x14ac:dyDescent="0.2">
      <c r="A1543">
        <f>IFERROR(VLOOKUP(C1543,'GASB Match'!$D$2:$F$6042,3,FALSE),"")</f>
        <v>3400727</v>
      </c>
      <c r="B1543" s="17">
        <v>2023</v>
      </c>
      <c r="C1543" s="21" t="s">
        <v>1383</v>
      </c>
      <c r="D1543" s="17">
        <v>8093</v>
      </c>
      <c r="E1543" s="17" t="s">
        <v>1456</v>
      </c>
      <c r="F1543" s="23">
        <v>694340</v>
      </c>
    </row>
    <row r="1544" spans="1:6" ht="16" customHeight="1" x14ac:dyDescent="0.2">
      <c r="A1544">
        <f>IFERROR(VLOOKUP(C1544,'GASB Match'!$D$2:$F$6042,3,FALSE),"")</f>
        <v>3404890</v>
      </c>
      <c r="B1544" s="17">
        <v>2015</v>
      </c>
      <c r="C1544" s="17" t="s">
        <v>119</v>
      </c>
      <c r="D1544" s="17">
        <v>3022</v>
      </c>
      <c r="E1544" s="17" t="s">
        <v>1404</v>
      </c>
      <c r="F1544" s="20">
        <v>1674558</v>
      </c>
    </row>
    <row r="1545" spans="1:6" ht="16" customHeight="1" x14ac:dyDescent="0.2">
      <c r="A1545">
        <f>IFERROR(VLOOKUP(C1545,'GASB Match'!$D$2:$F$6042,3,FALSE),"")</f>
        <v>3404890</v>
      </c>
      <c r="B1545" s="17">
        <v>2016</v>
      </c>
      <c r="C1545" s="17" t="s">
        <v>119</v>
      </c>
      <c r="D1545" s="17">
        <v>3022</v>
      </c>
      <c r="E1545" s="17" t="s">
        <v>1404</v>
      </c>
      <c r="F1545" s="20">
        <v>2474737</v>
      </c>
    </row>
    <row r="1546" spans="1:6" ht="16" customHeight="1" x14ac:dyDescent="0.2">
      <c r="A1546">
        <f>IFERROR(VLOOKUP(C1546,'GASB Match'!$D$2:$F$6042,3,FALSE),"")</f>
        <v>3404890</v>
      </c>
      <c r="B1546" s="17">
        <v>2018</v>
      </c>
      <c r="C1546" s="17" t="s">
        <v>800</v>
      </c>
      <c r="D1546" s="17">
        <v>3022</v>
      </c>
      <c r="E1546" s="17" t="s">
        <v>1445</v>
      </c>
      <c r="F1546" s="20">
        <v>4729307</v>
      </c>
    </row>
    <row r="1547" spans="1:6" ht="16" customHeight="1" x14ac:dyDescent="0.2">
      <c r="A1547">
        <f>IFERROR(VLOOKUP(C1547,'GASB Match'!$D$2:$F$6042,3,FALSE),"")</f>
        <v>3404890</v>
      </c>
      <c r="B1547" s="17">
        <v>2019</v>
      </c>
      <c r="C1547" s="17" t="s">
        <v>800</v>
      </c>
      <c r="D1547" s="17">
        <v>3022</v>
      </c>
      <c r="E1547" s="17" t="s">
        <v>1445</v>
      </c>
      <c r="F1547" s="20">
        <v>6260039</v>
      </c>
    </row>
    <row r="1548" spans="1:6" ht="16" customHeight="1" x14ac:dyDescent="0.2">
      <c r="A1548">
        <f>IFERROR(VLOOKUP(C1548,'GASB Match'!$D$2:$F$6042,3,FALSE),"")</f>
        <v>3404890</v>
      </c>
      <c r="B1548" s="17">
        <v>2020</v>
      </c>
      <c r="C1548" s="21" t="s">
        <v>800</v>
      </c>
      <c r="D1548" s="17">
        <v>3022</v>
      </c>
      <c r="E1548" s="17" t="s">
        <v>1445</v>
      </c>
      <c r="F1548" s="23">
        <v>7069600</v>
      </c>
    </row>
    <row r="1549" spans="1:6" ht="16" customHeight="1" x14ac:dyDescent="0.2">
      <c r="A1549">
        <f>IFERROR(VLOOKUP(C1549,'GASB Match'!$D$2:$F$6042,3,FALSE),"")</f>
        <v>3404890</v>
      </c>
      <c r="B1549" s="17">
        <v>2021</v>
      </c>
      <c r="C1549" s="25" t="s">
        <v>800</v>
      </c>
      <c r="D1549" s="17">
        <v>3022</v>
      </c>
      <c r="E1549" s="17" t="s">
        <v>1445</v>
      </c>
      <c r="F1549" s="23">
        <v>9066104</v>
      </c>
    </row>
    <row r="1550" spans="1:6" ht="16" customHeight="1" x14ac:dyDescent="0.2">
      <c r="A1550">
        <f>IFERROR(VLOOKUP(C1550,'GASB Match'!$D$2:$F$6042,3,FALSE),"")</f>
        <v>3404890</v>
      </c>
      <c r="B1550" s="17">
        <v>2022</v>
      </c>
      <c r="C1550" s="21" t="s">
        <v>800</v>
      </c>
      <c r="D1550" s="17">
        <v>3022</v>
      </c>
      <c r="E1550" s="17" t="s">
        <v>1445</v>
      </c>
      <c r="F1550" s="23">
        <v>12764570</v>
      </c>
    </row>
    <row r="1551" spans="1:6" ht="16" customHeight="1" x14ac:dyDescent="0.2">
      <c r="A1551">
        <f>IFERROR(VLOOKUP(C1551,'GASB Match'!$D$2:$F$6042,3,FALSE),"")</f>
        <v>3404890</v>
      </c>
      <c r="B1551" s="17">
        <v>2023</v>
      </c>
      <c r="C1551" s="21" t="s">
        <v>800</v>
      </c>
      <c r="D1551" s="17">
        <v>3022</v>
      </c>
      <c r="E1551" s="17" t="s">
        <v>1445</v>
      </c>
      <c r="F1551" s="23">
        <v>12608409</v>
      </c>
    </row>
    <row r="1552" spans="1:6" ht="16" customHeight="1" x14ac:dyDescent="0.2">
      <c r="A1552">
        <f>IFERROR(VLOOKUP(C1552,'GASB Match'!$D$2:$F$6042,3,FALSE),"")</f>
        <v>3404890</v>
      </c>
      <c r="B1552" s="28">
        <v>2017</v>
      </c>
      <c r="C1552" s="29" t="s">
        <v>119</v>
      </c>
      <c r="D1552" s="17">
        <v>3022</v>
      </c>
      <c r="E1552" s="17" t="s">
        <v>1404</v>
      </c>
      <c r="F1552" s="29">
        <v>3497935</v>
      </c>
    </row>
    <row r="1553" spans="1:6" ht="16" customHeight="1" x14ac:dyDescent="0.2">
      <c r="A1553">
        <f>IFERROR(VLOOKUP(C1553,'GASB Match'!$D$2:$F$6042,3,FALSE),"")</f>
        <v>3404920</v>
      </c>
      <c r="B1553" s="17">
        <v>2015</v>
      </c>
      <c r="C1553" s="17" t="s">
        <v>356</v>
      </c>
      <c r="D1553" s="17">
        <v>122</v>
      </c>
      <c r="E1553" s="17" t="s">
        <v>1416</v>
      </c>
      <c r="F1553" s="20">
        <v>1426342</v>
      </c>
    </row>
    <row r="1554" spans="1:6" ht="16" customHeight="1" x14ac:dyDescent="0.2">
      <c r="A1554">
        <f>IFERROR(VLOOKUP(C1554,'GASB Match'!$D$2:$F$6042,3,FALSE),"")</f>
        <v>3404920</v>
      </c>
      <c r="B1554" s="17">
        <v>2016</v>
      </c>
      <c r="C1554" s="17" t="s">
        <v>356</v>
      </c>
      <c r="D1554" s="17">
        <v>122</v>
      </c>
      <c r="E1554" s="17" t="s">
        <v>1416</v>
      </c>
      <c r="F1554" s="20">
        <v>2146262</v>
      </c>
    </row>
    <row r="1555" spans="1:6" ht="16" customHeight="1" x14ac:dyDescent="0.2">
      <c r="A1555">
        <f>IFERROR(VLOOKUP(C1555,'GASB Match'!$D$2:$F$6042,3,FALSE),"")</f>
        <v>3404920</v>
      </c>
      <c r="B1555" s="17">
        <v>2018</v>
      </c>
      <c r="C1555" s="17" t="s">
        <v>1046</v>
      </c>
      <c r="D1555" s="17">
        <v>122</v>
      </c>
      <c r="E1555" s="17" t="s">
        <v>1459</v>
      </c>
      <c r="F1555" s="20">
        <v>4145606</v>
      </c>
    </row>
    <row r="1556" spans="1:6" ht="16" customHeight="1" x14ac:dyDescent="0.2">
      <c r="A1556">
        <f>IFERROR(VLOOKUP(C1556,'GASB Match'!$D$2:$F$6042,3,FALSE),"")</f>
        <v>3404920</v>
      </c>
      <c r="B1556" s="17">
        <v>2019</v>
      </c>
      <c r="C1556" s="17" t="s">
        <v>1046</v>
      </c>
      <c r="D1556" s="17">
        <v>122</v>
      </c>
      <c r="E1556" s="17" t="s">
        <v>1459</v>
      </c>
      <c r="F1556" s="20">
        <v>5420319</v>
      </c>
    </row>
    <row r="1557" spans="1:6" ht="16" customHeight="1" x14ac:dyDescent="0.2">
      <c r="A1557">
        <f>IFERROR(VLOOKUP(C1557,'GASB Match'!$D$2:$F$6042,3,FALSE),"")</f>
        <v>3404920</v>
      </c>
      <c r="B1557" s="17">
        <v>2020</v>
      </c>
      <c r="C1557" s="21" t="s">
        <v>1046</v>
      </c>
      <c r="D1557" s="17">
        <v>122</v>
      </c>
      <c r="E1557" s="17" t="s">
        <v>1459</v>
      </c>
      <c r="F1557" s="23">
        <v>6040165</v>
      </c>
    </row>
    <row r="1558" spans="1:6" ht="16" customHeight="1" x14ac:dyDescent="0.2">
      <c r="A1558">
        <f>IFERROR(VLOOKUP(C1558,'GASB Match'!$D$2:$F$6042,3,FALSE),"")</f>
        <v>3404920</v>
      </c>
      <c r="B1558" s="17">
        <v>2021</v>
      </c>
      <c r="C1558" s="25" t="s">
        <v>1046</v>
      </c>
      <c r="D1558" s="17">
        <v>122</v>
      </c>
      <c r="E1558" s="17" t="s">
        <v>1459</v>
      </c>
      <c r="F1558" s="23">
        <v>7885193</v>
      </c>
    </row>
    <row r="1559" spans="1:6" ht="16" customHeight="1" x14ac:dyDescent="0.2">
      <c r="A1559">
        <f>IFERROR(VLOOKUP(C1559,'GASB Match'!$D$2:$F$6042,3,FALSE),"")</f>
        <v>3404920</v>
      </c>
      <c r="B1559" s="17">
        <v>2022</v>
      </c>
      <c r="C1559" s="21" t="s">
        <v>1046</v>
      </c>
      <c r="D1559" s="17">
        <v>122</v>
      </c>
      <c r="E1559" s="17" t="s">
        <v>1459</v>
      </c>
      <c r="F1559" s="23">
        <v>11166040</v>
      </c>
    </row>
    <row r="1560" spans="1:6" ht="16" customHeight="1" x14ac:dyDescent="0.2">
      <c r="A1560">
        <f>IFERROR(VLOOKUP(C1560,'GASB Match'!$D$2:$F$6042,3,FALSE),"")</f>
        <v>3404920</v>
      </c>
      <c r="B1560" s="17">
        <v>2023</v>
      </c>
      <c r="C1560" s="21" t="s">
        <v>1046</v>
      </c>
      <c r="D1560" s="17">
        <v>122</v>
      </c>
      <c r="E1560" s="17" t="s">
        <v>1459</v>
      </c>
      <c r="F1560" s="23">
        <v>10981150</v>
      </c>
    </row>
    <row r="1561" spans="1:6" ht="16" customHeight="1" x14ac:dyDescent="0.2">
      <c r="A1561">
        <f>IFERROR(VLOOKUP(C1561,'GASB Match'!$D$2:$F$6042,3,FALSE),"")</f>
        <v>3404920</v>
      </c>
      <c r="B1561" s="28">
        <v>2017</v>
      </c>
      <c r="C1561" s="29" t="s">
        <v>356</v>
      </c>
      <c r="D1561" s="17">
        <v>122</v>
      </c>
      <c r="E1561" s="17" t="s">
        <v>1416</v>
      </c>
      <c r="F1561" s="29">
        <v>3072366</v>
      </c>
    </row>
    <row r="1562" spans="1:6" ht="16" customHeight="1" x14ac:dyDescent="0.2">
      <c r="A1562">
        <f>IFERROR(VLOOKUP(C1562,'GASB Match'!$D$2:$F$6042,3,FALSE),"")</f>
        <v>3404950</v>
      </c>
      <c r="B1562" s="17">
        <v>2015</v>
      </c>
      <c r="C1562" s="17" t="s">
        <v>410</v>
      </c>
      <c r="D1562" s="17">
        <v>328</v>
      </c>
      <c r="E1562" s="17" t="s">
        <v>1420</v>
      </c>
      <c r="F1562" s="19">
        <v>332925</v>
      </c>
    </row>
    <row r="1563" spans="1:6" ht="16" customHeight="1" x14ac:dyDescent="0.2">
      <c r="A1563">
        <f>IFERROR(VLOOKUP(C1563,'GASB Match'!$D$2:$F$6042,3,FALSE),"")</f>
        <v>3404950</v>
      </c>
      <c r="B1563" s="17">
        <v>2016</v>
      </c>
      <c r="C1563" s="17" t="s">
        <v>410</v>
      </c>
      <c r="D1563" s="17">
        <v>328</v>
      </c>
      <c r="E1563" s="17" t="s">
        <v>1420</v>
      </c>
      <c r="F1563" s="20">
        <v>458534</v>
      </c>
    </row>
    <row r="1564" spans="1:6" ht="16" customHeight="1" x14ac:dyDescent="0.2">
      <c r="A1564">
        <f>IFERROR(VLOOKUP(C1564,'GASB Match'!$D$2:$F$6042,3,FALSE),"")</f>
        <v>3404950</v>
      </c>
      <c r="B1564" s="17">
        <v>2018</v>
      </c>
      <c r="C1564" s="17" t="s">
        <v>1102</v>
      </c>
      <c r="D1564" s="17">
        <v>328</v>
      </c>
      <c r="E1564" s="17" t="s">
        <v>1463</v>
      </c>
      <c r="F1564" s="20">
        <v>946863</v>
      </c>
    </row>
    <row r="1565" spans="1:6" ht="16" customHeight="1" x14ac:dyDescent="0.2">
      <c r="A1565">
        <f>IFERROR(VLOOKUP(C1565,'GASB Match'!$D$2:$F$6042,3,FALSE),"")</f>
        <v>3404950</v>
      </c>
      <c r="B1565" s="17">
        <v>2019</v>
      </c>
      <c r="C1565" s="17" t="s">
        <v>1102</v>
      </c>
      <c r="D1565" s="17">
        <v>328</v>
      </c>
      <c r="E1565" s="17" t="s">
        <v>1463</v>
      </c>
      <c r="F1565" s="20">
        <v>1313836</v>
      </c>
    </row>
    <row r="1566" spans="1:6" ht="16" customHeight="1" x14ac:dyDescent="0.2">
      <c r="A1566">
        <f>IFERROR(VLOOKUP(C1566,'GASB Match'!$D$2:$F$6042,3,FALSE),"")</f>
        <v>3404950</v>
      </c>
      <c r="B1566" s="17">
        <v>2020</v>
      </c>
      <c r="C1566" s="21" t="s">
        <v>1102</v>
      </c>
      <c r="D1566" s="17">
        <v>328</v>
      </c>
      <c r="E1566" s="17" t="s">
        <v>1463</v>
      </c>
      <c r="F1566" s="23">
        <v>1512075</v>
      </c>
    </row>
    <row r="1567" spans="1:6" ht="16" customHeight="1" x14ac:dyDescent="0.2">
      <c r="A1567">
        <f>IFERROR(VLOOKUP(C1567,'GASB Match'!$D$2:$F$6042,3,FALSE),"")</f>
        <v>3404950</v>
      </c>
      <c r="B1567" s="17">
        <v>2021</v>
      </c>
      <c r="C1567" s="25" t="s">
        <v>1102</v>
      </c>
      <c r="D1567" s="17">
        <v>328</v>
      </c>
      <c r="E1567" s="17" t="s">
        <v>1463</v>
      </c>
      <c r="F1567" s="23">
        <v>1931345</v>
      </c>
    </row>
    <row r="1568" spans="1:6" ht="16" customHeight="1" x14ac:dyDescent="0.2">
      <c r="A1568">
        <f>IFERROR(VLOOKUP(C1568,'GASB Match'!$D$2:$F$6042,3,FALSE),"")</f>
        <v>3404950</v>
      </c>
      <c r="B1568" s="17">
        <v>2022</v>
      </c>
      <c r="C1568" s="21" t="s">
        <v>1102</v>
      </c>
      <c r="D1568" s="17">
        <v>328</v>
      </c>
      <c r="E1568" s="17" t="s">
        <v>1463</v>
      </c>
      <c r="F1568" s="23">
        <v>2787337</v>
      </c>
    </row>
    <row r="1569" spans="1:6" ht="16" customHeight="1" x14ac:dyDescent="0.2">
      <c r="A1569">
        <f>IFERROR(VLOOKUP(C1569,'GASB Match'!$D$2:$F$6042,3,FALSE),"")</f>
        <v>3404950</v>
      </c>
      <c r="B1569" s="17">
        <v>2023</v>
      </c>
      <c r="C1569" s="21" t="s">
        <v>1102</v>
      </c>
      <c r="D1569" s="17">
        <v>328</v>
      </c>
      <c r="E1569" s="17" t="s">
        <v>1463</v>
      </c>
      <c r="F1569" s="23">
        <v>2980961</v>
      </c>
    </row>
    <row r="1570" spans="1:6" ht="16" customHeight="1" x14ac:dyDescent="0.2">
      <c r="A1570">
        <f>IFERROR(VLOOKUP(C1570,'GASB Match'!$D$2:$F$6042,3,FALSE),"")</f>
        <v>3404950</v>
      </c>
      <c r="B1570" s="28">
        <v>2017</v>
      </c>
      <c r="C1570" s="29" t="s">
        <v>410</v>
      </c>
      <c r="D1570" s="17">
        <v>328</v>
      </c>
      <c r="E1570" s="17" t="s">
        <v>1420</v>
      </c>
      <c r="F1570" s="29">
        <v>653599</v>
      </c>
    </row>
    <row r="1571" spans="1:6" ht="16" customHeight="1" x14ac:dyDescent="0.2">
      <c r="A1571">
        <f>IFERROR(VLOOKUP(C1571,'GASB Match'!$D$2:$F$6042,3,FALSE),"")</f>
        <v>3404980</v>
      </c>
      <c r="B1571" s="17">
        <v>2015</v>
      </c>
      <c r="C1571" s="17" t="s">
        <v>48</v>
      </c>
      <c r="D1571" s="17">
        <v>2038</v>
      </c>
      <c r="E1571" s="17" t="s">
        <v>1402</v>
      </c>
      <c r="F1571" s="20">
        <v>2007593</v>
      </c>
    </row>
    <row r="1572" spans="1:6" ht="16" customHeight="1" x14ac:dyDescent="0.2">
      <c r="A1572">
        <f>IFERROR(VLOOKUP(C1572,'GASB Match'!$D$2:$F$6042,3,FALSE),"")</f>
        <v>3404980</v>
      </c>
      <c r="B1572" s="17">
        <v>2016</v>
      </c>
      <c r="C1572" s="17" t="s">
        <v>48</v>
      </c>
      <c r="D1572" s="17">
        <v>2038</v>
      </c>
      <c r="E1572" s="17" t="s">
        <v>1402</v>
      </c>
      <c r="F1572" s="20">
        <v>3001041</v>
      </c>
    </row>
    <row r="1573" spans="1:6" ht="16" customHeight="1" x14ac:dyDescent="0.2">
      <c r="A1573">
        <f>IFERROR(VLOOKUP(C1573,'GASB Match'!$D$2:$F$6042,3,FALSE),"")</f>
        <v>3404980</v>
      </c>
      <c r="B1573" s="17">
        <v>2018</v>
      </c>
      <c r="C1573" s="17" t="s">
        <v>726</v>
      </c>
      <c r="D1573" s="17">
        <v>2038</v>
      </c>
      <c r="E1573" s="17" t="s">
        <v>1443</v>
      </c>
      <c r="F1573" s="20">
        <v>5657416</v>
      </c>
    </row>
    <row r="1574" spans="1:6" ht="16" customHeight="1" x14ac:dyDescent="0.2">
      <c r="A1574">
        <f>IFERROR(VLOOKUP(C1574,'GASB Match'!$D$2:$F$6042,3,FALSE),"")</f>
        <v>3404980</v>
      </c>
      <c r="B1574" s="17">
        <v>2019</v>
      </c>
      <c r="C1574" s="17" t="s">
        <v>726</v>
      </c>
      <c r="D1574" s="17">
        <v>2038</v>
      </c>
      <c r="E1574" s="17" t="s">
        <v>1443</v>
      </c>
      <c r="F1574" s="20">
        <v>7646585</v>
      </c>
    </row>
    <row r="1575" spans="1:6" ht="16" customHeight="1" x14ac:dyDescent="0.2">
      <c r="A1575">
        <f>IFERROR(VLOOKUP(C1575,'GASB Match'!$D$2:$F$6042,3,FALSE),"")</f>
        <v>3404980</v>
      </c>
      <c r="B1575" s="17">
        <v>2020</v>
      </c>
      <c r="C1575" s="21" t="s">
        <v>726</v>
      </c>
      <c r="D1575" s="17">
        <v>2038</v>
      </c>
      <c r="E1575" s="17" t="s">
        <v>1443</v>
      </c>
      <c r="F1575" s="23">
        <v>8592864</v>
      </c>
    </row>
    <row r="1576" spans="1:6" ht="16" customHeight="1" x14ac:dyDescent="0.2">
      <c r="A1576">
        <f>IFERROR(VLOOKUP(C1576,'GASB Match'!$D$2:$F$6042,3,FALSE),"")</f>
        <v>3404980</v>
      </c>
      <c r="B1576" s="17">
        <v>2021</v>
      </c>
      <c r="C1576" s="25" t="s">
        <v>726</v>
      </c>
      <c r="D1576" s="17">
        <v>2038</v>
      </c>
      <c r="E1576" s="17" t="s">
        <v>1443</v>
      </c>
      <c r="F1576" s="23">
        <v>11427151</v>
      </c>
    </row>
    <row r="1577" spans="1:6" ht="16" customHeight="1" x14ac:dyDescent="0.2">
      <c r="A1577">
        <f>IFERROR(VLOOKUP(C1577,'GASB Match'!$D$2:$F$6042,3,FALSE),"")</f>
        <v>3404980</v>
      </c>
      <c r="B1577" s="17">
        <v>2022</v>
      </c>
      <c r="C1577" s="21" t="s">
        <v>726</v>
      </c>
      <c r="D1577" s="17">
        <v>2038</v>
      </c>
      <c r="E1577" s="17" t="s">
        <v>1443</v>
      </c>
      <c r="F1577" s="23">
        <v>16333018</v>
      </c>
    </row>
    <row r="1578" spans="1:6" ht="16" customHeight="1" x14ac:dyDescent="0.2">
      <c r="A1578">
        <f>IFERROR(VLOOKUP(C1578,'GASB Match'!$D$2:$F$6042,3,FALSE),"")</f>
        <v>3404980</v>
      </c>
      <c r="B1578" s="17">
        <v>2023</v>
      </c>
      <c r="C1578" s="21" t="s">
        <v>726</v>
      </c>
      <c r="D1578" s="17">
        <v>2038</v>
      </c>
      <c r="E1578" s="17" t="s">
        <v>1443</v>
      </c>
      <c r="F1578" s="23">
        <v>16815097</v>
      </c>
    </row>
    <row r="1579" spans="1:6" ht="16" customHeight="1" x14ac:dyDescent="0.2">
      <c r="A1579">
        <f>IFERROR(VLOOKUP(C1579,'GASB Match'!$D$2:$F$6042,3,FALSE),"")</f>
        <v>3404980</v>
      </c>
      <c r="B1579" s="28">
        <v>2017</v>
      </c>
      <c r="C1579" s="29" t="s">
        <v>48</v>
      </c>
      <c r="D1579" s="17">
        <v>2038</v>
      </c>
      <c r="E1579" s="17" t="s">
        <v>1402</v>
      </c>
      <c r="F1579" s="29">
        <v>4267155</v>
      </c>
    </row>
    <row r="1580" spans="1:6" ht="16" customHeight="1" x14ac:dyDescent="0.2">
      <c r="A1580">
        <f>IFERROR(VLOOKUP(C1580,'GASB Match'!$D$2:$F$6042,3,FALSE),"")</f>
        <v>3405040</v>
      </c>
      <c r="B1580" s="17">
        <v>2019</v>
      </c>
      <c r="C1580" s="17" t="s">
        <v>1360</v>
      </c>
      <c r="D1580" s="17">
        <v>5084</v>
      </c>
      <c r="E1580" s="17" t="s">
        <v>1449</v>
      </c>
      <c r="F1580" s="20">
        <v>634028</v>
      </c>
    </row>
    <row r="1581" spans="1:6" ht="16" customHeight="1" x14ac:dyDescent="0.2">
      <c r="A1581">
        <f>IFERROR(VLOOKUP(C1581,'GASB Match'!$D$2:$F$6042,3,FALSE),"")</f>
        <v>3405040</v>
      </c>
      <c r="B1581" s="17">
        <v>2015</v>
      </c>
      <c r="C1581" s="17" t="s">
        <v>218</v>
      </c>
      <c r="D1581" s="17">
        <v>5084</v>
      </c>
      <c r="E1581" s="17" t="s">
        <v>1408</v>
      </c>
      <c r="F1581" s="20">
        <v>183592</v>
      </c>
    </row>
    <row r="1582" spans="1:6" ht="16" customHeight="1" x14ac:dyDescent="0.2">
      <c r="A1582">
        <f>IFERROR(VLOOKUP(C1582,'GASB Match'!$D$2:$F$6042,3,FALSE),"")</f>
        <v>3405040</v>
      </c>
      <c r="B1582" s="17">
        <v>2016</v>
      </c>
      <c r="C1582" s="17" t="s">
        <v>218</v>
      </c>
      <c r="D1582" s="17">
        <v>5084</v>
      </c>
      <c r="E1582" s="17" t="s">
        <v>1408</v>
      </c>
      <c r="F1582" s="20">
        <v>277290</v>
      </c>
    </row>
    <row r="1583" spans="1:6" ht="16" customHeight="1" x14ac:dyDescent="0.2">
      <c r="A1583">
        <f>IFERROR(VLOOKUP(C1583,'GASB Match'!$D$2:$F$6042,3,FALSE),"")</f>
        <v>3405040</v>
      </c>
      <c r="B1583" s="17">
        <v>2018</v>
      </c>
      <c r="C1583" s="17" t="s">
        <v>904</v>
      </c>
      <c r="D1583" s="17">
        <v>5084</v>
      </c>
      <c r="E1583" s="17" t="s">
        <v>1449</v>
      </c>
      <c r="F1583" s="20">
        <v>500004</v>
      </c>
    </row>
    <row r="1584" spans="1:6" ht="16" customHeight="1" x14ac:dyDescent="0.2">
      <c r="A1584">
        <f>IFERROR(VLOOKUP(C1584,'GASB Match'!$D$2:$F$6042,3,FALSE),"")</f>
        <v>3405040</v>
      </c>
      <c r="B1584" s="17">
        <v>2020</v>
      </c>
      <c r="C1584" s="21" t="s">
        <v>904</v>
      </c>
      <c r="D1584" s="17">
        <v>5084</v>
      </c>
      <c r="E1584" s="17" t="s">
        <v>1449</v>
      </c>
      <c r="F1584" s="23">
        <v>834833</v>
      </c>
    </row>
    <row r="1585" spans="1:6" ht="16" customHeight="1" x14ac:dyDescent="0.2">
      <c r="A1585">
        <f>IFERROR(VLOOKUP(C1585,'GASB Match'!$D$2:$F$6042,3,FALSE),"")</f>
        <v>3405040</v>
      </c>
      <c r="B1585" s="17">
        <v>2021</v>
      </c>
      <c r="C1585" s="25" t="s">
        <v>904</v>
      </c>
      <c r="D1585" s="17">
        <v>5084</v>
      </c>
      <c r="E1585" s="17" t="s">
        <v>1449</v>
      </c>
      <c r="F1585" s="23">
        <v>1002121</v>
      </c>
    </row>
    <row r="1586" spans="1:6" ht="16" customHeight="1" x14ac:dyDescent="0.2">
      <c r="A1586">
        <f>IFERROR(VLOOKUP(C1586,'GASB Match'!$D$2:$F$6042,3,FALSE),"")</f>
        <v>3405040</v>
      </c>
      <c r="B1586" s="17">
        <v>2022</v>
      </c>
      <c r="C1586" s="21" t="s">
        <v>904</v>
      </c>
      <c r="D1586" s="17">
        <v>5084</v>
      </c>
      <c r="E1586" s="17" t="s">
        <v>1449</v>
      </c>
      <c r="F1586" s="23">
        <v>1339517</v>
      </c>
    </row>
    <row r="1587" spans="1:6" ht="16" customHeight="1" x14ac:dyDescent="0.2">
      <c r="A1587">
        <f>IFERROR(VLOOKUP(C1587,'GASB Match'!$D$2:$F$6042,3,FALSE),"")</f>
        <v>3405040</v>
      </c>
      <c r="B1587" s="17">
        <v>2023</v>
      </c>
      <c r="C1587" s="21" t="s">
        <v>904</v>
      </c>
      <c r="D1587" s="17">
        <v>5084</v>
      </c>
      <c r="E1587" s="17" t="s">
        <v>1449</v>
      </c>
      <c r="F1587" s="23">
        <v>1275183</v>
      </c>
    </row>
    <row r="1588" spans="1:6" ht="16" customHeight="1" x14ac:dyDescent="0.2">
      <c r="A1588">
        <f>IFERROR(VLOOKUP(C1588,'GASB Match'!$D$2:$F$6042,3,FALSE),"")</f>
        <v>3405040</v>
      </c>
      <c r="B1588" s="28">
        <v>2017</v>
      </c>
      <c r="C1588" s="29" t="s">
        <v>218</v>
      </c>
      <c r="D1588" s="17">
        <v>5084</v>
      </c>
      <c r="E1588" s="17" t="s">
        <v>1408</v>
      </c>
      <c r="F1588" s="29">
        <v>372950</v>
      </c>
    </row>
    <row r="1589" spans="1:6" ht="16" customHeight="1" x14ac:dyDescent="0.2">
      <c r="A1589">
        <f>IFERROR(VLOOKUP(C1589,'GASB Match'!$D$2:$F$6042,3,FALSE),"")</f>
        <v>3405010</v>
      </c>
      <c r="B1589" s="17">
        <v>2015</v>
      </c>
      <c r="C1589" s="17" t="s">
        <v>240</v>
      </c>
      <c r="D1589" s="17">
        <v>6082</v>
      </c>
      <c r="E1589" s="17" t="s">
        <v>1411</v>
      </c>
      <c r="F1589" s="20">
        <v>267079</v>
      </c>
    </row>
    <row r="1590" spans="1:6" ht="16" customHeight="1" x14ac:dyDescent="0.2">
      <c r="A1590">
        <f>IFERROR(VLOOKUP(C1590,'GASB Match'!$D$2:$F$6042,3,FALSE),"")</f>
        <v>3405010</v>
      </c>
      <c r="B1590" s="17">
        <v>2016</v>
      </c>
      <c r="C1590" s="17" t="s">
        <v>240</v>
      </c>
      <c r="D1590" s="17">
        <v>6082</v>
      </c>
      <c r="E1590" s="17" t="s">
        <v>1411</v>
      </c>
      <c r="F1590" s="20">
        <v>381493</v>
      </c>
    </row>
    <row r="1591" spans="1:6" ht="16" customHeight="1" x14ac:dyDescent="0.2">
      <c r="A1591">
        <f>IFERROR(VLOOKUP(C1591,'GASB Match'!$D$2:$F$6042,3,FALSE),"")</f>
        <v>3405010</v>
      </c>
      <c r="B1591" s="17">
        <v>2018</v>
      </c>
      <c r="C1591" s="17" t="s">
        <v>926</v>
      </c>
      <c r="D1591" s="17">
        <v>6082</v>
      </c>
      <c r="E1591" s="17" t="s">
        <v>1452</v>
      </c>
      <c r="F1591" s="20">
        <v>750661</v>
      </c>
    </row>
    <row r="1592" spans="1:6" ht="16" customHeight="1" x14ac:dyDescent="0.2">
      <c r="A1592">
        <f>IFERROR(VLOOKUP(C1592,'GASB Match'!$D$2:$F$6042,3,FALSE),"")</f>
        <v>3405010</v>
      </c>
      <c r="B1592" s="17">
        <v>2019</v>
      </c>
      <c r="C1592" s="17" t="s">
        <v>926</v>
      </c>
      <c r="D1592" s="17">
        <v>6082</v>
      </c>
      <c r="E1592" s="17" t="s">
        <v>1452</v>
      </c>
      <c r="F1592" s="20">
        <v>986097</v>
      </c>
    </row>
    <row r="1593" spans="1:6" ht="16" customHeight="1" x14ac:dyDescent="0.2">
      <c r="A1593">
        <f>IFERROR(VLOOKUP(C1593,'GASB Match'!$D$2:$F$6042,3,FALSE),"")</f>
        <v>3405010</v>
      </c>
      <c r="B1593" s="17">
        <v>2020</v>
      </c>
      <c r="C1593" s="21" t="s">
        <v>926</v>
      </c>
      <c r="D1593" s="17">
        <v>6082</v>
      </c>
      <c r="E1593" s="17" t="s">
        <v>1452</v>
      </c>
      <c r="F1593" s="23">
        <v>1150347</v>
      </c>
    </row>
    <row r="1594" spans="1:6" ht="16" customHeight="1" x14ac:dyDescent="0.2">
      <c r="A1594">
        <f>IFERROR(VLOOKUP(C1594,'GASB Match'!$D$2:$F$6042,3,FALSE),"")</f>
        <v>3405010</v>
      </c>
      <c r="B1594" s="17">
        <v>2021</v>
      </c>
      <c r="C1594" s="25" t="s">
        <v>926</v>
      </c>
      <c r="D1594" s="17">
        <v>6082</v>
      </c>
      <c r="E1594" s="17" t="s">
        <v>1452</v>
      </c>
      <c r="F1594" s="23">
        <v>1466719</v>
      </c>
    </row>
    <row r="1595" spans="1:6" ht="16" customHeight="1" x14ac:dyDescent="0.2">
      <c r="A1595">
        <f>IFERROR(VLOOKUP(C1595,'GASB Match'!$D$2:$F$6042,3,FALSE),"")</f>
        <v>3405010</v>
      </c>
      <c r="B1595" s="17">
        <v>2022</v>
      </c>
      <c r="C1595" s="21" t="s">
        <v>926</v>
      </c>
      <c r="D1595" s="17">
        <v>6082</v>
      </c>
      <c r="E1595" s="17" t="s">
        <v>1452</v>
      </c>
      <c r="F1595" s="23">
        <v>2264242</v>
      </c>
    </row>
    <row r="1596" spans="1:6" ht="16" customHeight="1" x14ac:dyDescent="0.2">
      <c r="A1596">
        <f>IFERROR(VLOOKUP(C1596,'GASB Match'!$D$2:$F$6042,3,FALSE),"")</f>
        <v>3405010</v>
      </c>
      <c r="B1596" s="17">
        <v>2023</v>
      </c>
      <c r="C1596" s="21" t="s">
        <v>926</v>
      </c>
      <c r="D1596" s="17">
        <v>6082</v>
      </c>
      <c r="E1596" s="17" t="s">
        <v>1452</v>
      </c>
      <c r="F1596" s="23">
        <v>2270653</v>
      </c>
    </row>
    <row r="1597" spans="1:6" ht="16" customHeight="1" x14ac:dyDescent="0.2">
      <c r="A1597">
        <f>IFERROR(VLOOKUP(C1597,'GASB Match'!$D$2:$F$6042,3,FALSE),"")</f>
        <v>3405010</v>
      </c>
      <c r="B1597" s="28">
        <v>2017</v>
      </c>
      <c r="C1597" s="29" t="s">
        <v>240</v>
      </c>
      <c r="D1597" s="17">
        <v>6082</v>
      </c>
      <c r="E1597" s="17" t="s">
        <v>1411</v>
      </c>
      <c r="F1597" s="29">
        <v>525280</v>
      </c>
    </row>
    <row r="1598" spans="1:6" ht="16" customHeight="1" x14ac:dyDescent="0.2">
      <c r="A1598">
        <f>IFERROR(VLOOKUP(C1598,'GASB Match'!$D$2:$F$6042,3,FALSE),"")</f>
        <v>3405070</v>
      </c>
      <c r="B1598" s="17">
        <v>2015</v>
      </c>
      <c r="C1598" s="17" t="s">
        <v>49</v>
      </c>
      <c r="D1598" s="17">
        <v>2039</v>
      </c>
      <c r="E1598" s="17" t="s">
        <v>1402</v>
      </c>
      <c r="F1598" s="20">
        <v>347041</v>
      </c>
    </row>
    <row r="1599" spans="1:6" ht="16" customHeight="1" x14ac:dyDescent="0.2">
      <c r="A1599">
        <f>IFERROR(VLOOKUP(C1599,'GASB Match'!$D$2:$F$6042,3,FALSE),"")</f>
        <v>3405070</v>
      </c>
      <c r="B1599" s="17">
        <v>2016</v>
      </c>
      <c r="C1599" s="17" t="s">
        <v>49</v>
      </c>
      <c r="D1599" s="17">
        <v>2039</v>
      </c>
      <c r="E1599" s="17" t="s">
        <v>1402</v>
      </c>
      <c r="F1599" s="20">
        <v>524360</v>
      </c>
    </row>
    <row r="1600" spans="1:6" ht="16" customHeight="1" x14ac:dyDescent="0.2">
      <c r="A1600">
        <f>IFERROR(VLOOKUP(C1600,'GASB Match'!$D$2:$F$6042,3,FALSE),"")</f>
        <v>3405070</v>
      </c>
      <c r="B1600" s="17">
        <v>2018</v>
      </c>
      <c r="C1600" s="17" t="s">
        <v>727</v>
      </c>
      <c r="D1600" s="17">
        <v>2039</v>
      </c>
      <c r="E1600" s="17" t="s">
        <v>1443</v>
      </c>
      <c r="F1600" s="20">
        <v>1102450</v>
      </c>
    </row>
    <row r="1601" spans="1:6" ht="16" customHeight="1" x14ac:dyDescent="0.2">
      <c r="A1601">
        <f>IFERROR(VLOOKUP(C1601,'GASB Match'!$D$2:$F$6042,3,FALSE),"")</f>
        <v>3405070</v>
      </c>
      <c r="B1601" s="17">
        <v>2019</v>
      </c>
      <c r="C1601" s="17" t="s">
        <v>727</v>
      </c>
      <c r="D1601" s="17">
        <v>2039</v>
      </c>
      <c r="E1601" s="17" t="s">
        <v>1443</v>
      </c>
      <c r="F1601" s="20">
        <v>1352836</v>
      </c>
    </row>
    <row r="1602" spans="1:6" ht="16" customHeight="1" x14ac:dyDescent="0.2">
      <c r="A1602">
        <f>IFERROR(VLOOKUP(C1602,'GASB Match'!$D$2:$F$6042,3,FALSE),"")</f>
        <v>3405070</v>
      </c>
      <c r="B1602" s="17">
        <v>2020</v>
      </c>
      <c r="C1602" s="21" t="s">
        <v>727</v>
      </c>
      <c r="D1602" s="17">
        <v>2039</v>
      </c>
      <c r="E1602" s="17" t="s">
        <v>1443</v>
      </c>
      <c r="F1602" s="23">
        <v>1553542</v>
      </c>
    </row>
    <row r="1603" spans="1:6" ht="16" customHeight="1" x14ac:dyDescent="0.2">
      <c r="A1603">
        <f>IFERROR(VLOOKUP(C1603,'GASB Match'!$D$2:$F$6042,3,FALSE),"")</f>
        <v>3405070</v>
      </c>
      <c r="B1603" s="17">
        <v>2021</v>
      </c>
      <c r="C1603" s="25" t="s">
        <v>727</v>
      </c>
      <c r="D1603" s="17">
        <v>2039</v>
      </c>
      <c r="E1603" s="17" t="s">
        <v>1443</v>
      </c>
      <c r="F1603" s="23">
        <v>2027421</v>
      </c>
    </row>
    <row r="1604" spans="1:6" ht="16" customHeight="1" x14ac:dyDescent="0.2">
      <c r="A1604">
        <f>IFERROR(VLOOKUP(C1604,'GASB Match'!$D$2:$F$6042,3,FALSE),"")</f>
        <v>3405070</v>
      </c>
      <c r="B1604" s="17">
        <v>2022</v>
      </c>
      <c r="C1604" s="21" t="s">
        <v>727</v>
      </c>
      <c r="D1604" s="17">
        <v>2039</v>
      </c>
      <c r="E1604" s="17" t="s">
        <v>1443</v>
      </c>
      <c r="F1604" s="23">
        <v>3086675</v>
      </c>
    </row>
    <row r="1605" spans="1:6" ht="16" customHeight="1" x14ac:dyDescent="0.2">
      <c r="A1605">
        <f>IFERROR(VLOOKUP(C1605,'GASB Match'!$D$2:$F$6042,3,FALSE),"")</f>
        <v>3405070</v>
      </c>
      <c r="B1605" s="17">
        <v>2023</v>
      </c>
      <c r="C1605" s="21" t="s">
        <v>727</v>
      </c>
      <c r="D1605" s="17">
        <v>2039</v>
      </c>
      <c r="E1605" s="17" t="s">
        <v>1443</v>
      </c>
      <c r="F1605" s="23">
        <v>2928684</v>
      </c>
    </row>
    <row r="1606" spans="1:6" ht="16" customHeight="1" x14ac:dyDescent="0.2">
      <c r="A1606">
        <f>IFERROR(VLOOKUP(C1606,'GASB Match'!$D$2:$F$6042,3,FALSE),"")</f>
        <v>3405070</v>
      </c>
      <c r="B1606" s="28">
        <v>2017</v>
      </c>
      <c r="C1606" s="29" t="s">
        <v>49</v>
      </c>
      <c r="D1606" s="17">
        <v>2039</v>
      </c>
      <c r="E1606" s="17" t="s">
        <v>1402</v>
      </c>
      <c r="F1606" s="29">
        <v>787751</v>
      </c>
    </row>
    <row r="1607" spans="1:6" ht="16" customHeight="1" x14ac:dyDescent="0.2">
      <c r="A1607">
        <f>IFERROR(VLOOKUP(C1607,'GASB Match'!$D$2:$F$6042,3,FALSE),"")</f>
        <v>3405130</v>
      </c>
      <c r="B1607" s="17">
        <v>2015</v>
      </c>
      <c r="C1607" s="17" t="s">
        <v>411</v>
      </c>
      <c r="D1607" s="17">
        <v>329</v>
      </c>
      <c r="E1607" s="17" t="s">
        <v>1420</v>
      </c>
      <c r="F1607" s="20">
        <v>70820</v>
      </c>
    </row>
    <row r="1608" spans="1:6" ht="16" customHeight="1" x14ac:dyDescent="0.2">
      <c r="A1608">
        <f>IFERROR(VLOOKUP(C1608,'GASB Match'!$D$2:$F$6042,3,FALSE),"")</f>
        <v>3405130</v>
      </c>
      <c r="B1608" s="17">
        <v>2016</v>
      </c>
      <c r="C1608" s="17" t="s">
        <v>411</v>
      </c>
      <c r="D1608" s="17">
        <v>329</v>
      </c>
      <c r="E1608" s="17" t="s">
        <v>1420</v>
      </c>
      <c r="F1608" s="20">
        <v>100312</v>
      </c>
    </row>
    <row r="1609" spans="1:6" ht="16" customHeight="1" x14ac:dyDescent="0.2">
      <c r="A1609">
        <f>IFERROR(VLOOKUP(C1609,'GASB Match'!$D$2:$F$6042,3,FALSE),"")</f>
        <v>3405130</v>
      </c>
      <c r="B1609" s="17">
        <v>2018</v>
      </c>
      <c r="C1609" s="17" t="s">
        <v>1103</v>
      </c>
      <c r="D1609" s="17">
        <v>329</v>
      </c>
      <c r="E1609" s="17" t="s">
        <v>1463</v>
      </c>
      <c r="F1609" s="20">
        <v>200540</v>
      </c>
    </row>
    <row r="1610" spans="1:6" ht="16" customHeight="1" x14ac:dyDescent="0.2">
      <c r="A1610">
        <f>IFERROR(VLOOKUP(C1610,'GASB Match'!$D$2:$F$6042,3,FALSE),"")</f>
        <v>3405130</v>
      </c>
      <c r="B1610" s="17">
        <v>2019</v>
      </c>
      <c r="C1610" s="17" t="s">
        <v>1103</v>
      </c>
      <c r="D1610" s="17">
        <v>329</v>
      </c>
      <c r="E1610" s="17" t="s">
        <v>1463</v>
      </c>
      <c r="F1610" s="20">
        <v>264320</v>
      </c>
    </row>
    <row r="1611" spans="1:6" ht="16" customHeight="1" x14ac:dyDescent="0.2">
      <c r="A1611">
        <f>IFERROR(VLOOKUP(C1611,'GASB Match'!$D$2:$F$6042,3,FALSE),"")</f>
        <v>3405130</v>
      </c>
      <c r="B1611" s="17">
        <v>2020</v>
      </c>
      <c r="C1611" s="21" t="s">
        <v>1103</v>
      </c>
      <c r="D1611" s="17">
        <v>329</v>
      </c>
      <c r="E1611" s="17" t="s">
        <v>1463</v>
      </c>
      <c r="F1611" s="23">
        <v>306328</v>
      </c>
    </row>
    <row r="1612" spans="1:6" ht="16" customHeight="1" x14ac:dyDescent="0.2">
      <c r="A1612">
        <f>IFERROR(VLOOKUP(C1612,'GASB Match'!$D$2:$F$6042,3,FALSE),"")</f>
        <v>3405130</v>
      </c>
      <c r="B1612" s="17">
        <v>2021</v>
      </c>
      <c r="C1612" s="25" t="s">
        <v>1103</v>
      </c>
      <c r="D1612" s="17">
        <v>329</v>
      </c>
      <c r="E1612" s="17" t="s">
        <v>1463</v>
      </c>
      <c r="F1612" s="23">
        <v>353454</v>
      </c>
    </row>
    <row r="1613" spans="1:6" ht="16" customHeight="1" x14ac:dyDescent="0.2">
      <c r="A1613">
        <f>IFERROR(VLOOKUP(C1613,'GASB Match'!$D$2:$F$6042,3,FALSE),"")</f>
        <v>3405130</v>
      </c>
      <c r="B1613" s="17">
        <v>2022</v>
      </c>
      <c r="C1613" s="21" t="s">
        <v>1103</v>
      </c>
      <c r="D1613" s="17">
        <v>329</v>
      </c>
      <c r="E1613" s="17" t="s">
        <v>1463</v>
      </c>
      <c r="F1613" s="23">
        <v>536280</v>
      </c>
    </row>
    <row r="1614" spans="1:6" ht="16" customHeight="1" x14ac:dyDescent="0.2">
      <c r="A1614">
        <f>IFERROR(VLOOKUP(C1614,'GASB Match'!$D$2:$F$6042,3,FALSE),"")</f>
        <v>3405130</v>
      </c>
      <c r="B1614" s="17">
        <v>2023</v>
      </c>
      <c r="C1614" s="21" t="s">
        <v>1103</v>
      </c>
      <c r="D1614" s="17">
        <v>329</v>
      </c>
      <c r="E1614" s="17" t="s">
        <v>1463</v>
      </c>
      <c r="F1614" s="23">
        <v>573858</v>
      </c>
    </row>
    <row r="1615" spans="1:6" ht="16" customHeight="1" x14ac:dyDescent="0.2">
      <c r="A1615">
        <f>IFERROR(VLOOKUP(C1615,'GASB Match'!$D$2:$F$6042,3,FALSE),"")</f>
        <v>3405130</v>
      </c>
      <c r="B1615" s="28">
        <v>2017</v>
      </c>
      <c r="C1615" s="29" t="s">
        <v>411</v>
      </c>
      <c r="D1615" s="17">
        <v>329</v>
      </c>
      <c r="E1615" s="17" t="s">
        <v>1420</v>
      </c>
      <c r="F1615" s="29">
        <v>144673</v>
      </c>
    </row>
    <row r="1616" spans="1:6" ht="16" customHeight="1" x14ac:dyDescent="0.2">
      <c r="A1616">
        <f>IFERROR(VLOOKUP(C1616,'GASB Match'!$D$2:$F$6042,3,FALSE),"")</f>
        <v>3405190</v>
      </c>
      <c r="B1616" s="17">
        <v>2015</v>
      </c>
      <c r="C1616" s="17" t="s">
        <v>334</v>
      </c>
      <c r="D1616" s="17">
        <v>9000</v>
      </c>
      <c r="E1616" s="17" t="s">
        <v>1415</v>
      </c>
      <c r="F1616" s="20">
        <v>1298921</v>
      </c>
    </row>
    <row r="1617" spans="1:6" ht="16" customHeight="1" x14ac:dyDescent="0.2">
      <c r="A1617">
        <f>IFERROR(VLOOKUP(C1617,'GASB Match'!$D$2:$F$6042,3,FALSE),"")</f>
        <v>3405190</v>
      </c>
      <c r="B1617" s="17">
        <v>2016</v>
      </c>
      <c r="C1617" s="17" t="s">
        <v>334</v>
      </c>
      <c r="D1617" s="17">
        <v>9000</v>
      </c>
      <c r="E1617" s="17" t="s">
        <v>1415</v>
      </c>
      <c r="F1617" s="20">
        <v>1948993</v>
      </c>
    </row>
    <row r="1618" spans="1:6" ht="16" customHeight="1" x14ac:dyDescent="0.2">
      <c r="A1618">
        <f>IFERROR(VLOOKUP(C1618,'GASB Match'!$D$2:$F$6042,3,FALSE),"")</f>
        <v>3405190</v>
      </c>
      <c r="B1618" s="17">
        <v>2018</v>
      </c>
      <c r="C1618" s="17" t="s">
        <v>1027</v>
      </c>
      <c r="D1618" s="17">
        <v>9000</v>
      </c>
      <c r="E1618" s="17" t="s">
        <v>1458</v>
      </c>
      <c r="F1618" s="20">
        <v>3760386</v>
      </c>
    </row>
    <row r="1619" spans="1:6" ht="16" customHeight="1" x14ac:dyDescent="0.2">
      <c r="A1619">
        <f>IFERROR(VLOOKUP(C1619,'GASB Match'!$D$2:$F$6042,3,FALSE),"")</f>
        <v>3405190</v>
      </c>
      <c r="B1619" s="17">
        <v>2019</v>
      </c>
      <c r="C1619" s="17" t="s">
        <v>1027</v>
      </c>
      <c r="D1619" s="17">
        <v>9000</v>
      </c>
      <c r="E1619" s="17" t="s">
        <v>1458</v>
      </c>
      <c r="F1619" s="20">
        <v>5003445</v>
      </c>
    </row>
    <row r="1620" spans="1:6" ht="16" customHeight="1" x14ac:dyDescent="0.2">
      <c r="A1620">
        <f>IFERROR(VLOOKUP(C1620,'GASB Match'!$D$2:$F$6042,3,FALSE),"")</f>
        <v>3405190</v>
      </c>
      <c r="B1620" s="17">
        <v>2020</v>
      </c>
      <c r="C1620" s="21" t="s">
        <v>1027</v>
      </c>
      <c r="D1620" s="17">
        <v>9000</v>
      </c>
      <c r="E1620" s="17" t="s">
        <v>1458</v>
      </c>
      <c r="F1620" s="23">
        <v>5624362</v>
      </c>
    </row>
    <row r="1621" spans="1:6" ht="16" customHeight="1" x14ac:dyDescent="0.2">
      <c r="A1621">
        <f>IFERROR(VLOOKUP(C1621,'GASB Match'!$D$2:$F$6042,3,FALSE),"")</f>
        <v>3405190</v>
      </c>
      <c r="B1621" s="17">
        <v>2021</v>
      </c>
      <c r="C1621" s="25" t="s">
        <v>1027</v>
      </c>
      <c r="D1621" s="17">
        <v>9000</v>
      </c>
      <c r="E1621" s="17" t="s">
        <v>1458</v>
      </c>
      <c r="F1621" s="23">
        <v>7542391</v>
      </c>
    </row>
    <row r="1622" spans="1:6" ht="16" customHeight="1" x14ac:dyDescent="0.2">
      <c r="A1622">
        <f>IFERROR(VLOOKUP(C1622,'GASB Match'!$D$2:$F$6042,3,FALSE),"")</f>
        <v>3405190</v>
      </c>
      <c r="B1622" s="17">
        <v>2022</v>
      </c>
      <c r="C1622" s="21" t="s">
        <v>1027</v>
      </c>
      <c r="D1622" s="17">
        <v>9000</v>
      </c>
      <c r="E1622" s="17" t="s">
        <v>1458</v>
      </c>
      <c r="F1622" s="23">
        <v>10697212</v>
      </c>
    </row>
    <row r="1623" spans="1:6" ht="16" customHeight="1" x14ac:dyDescent="0.2">
      <c r="A1623">
        <f>IFERROR(VLOOKUP(C1623,'GASB Match'!$D$2:$F$6042,3,FALSE),"")</f>
        <v>3405190</v>
      </c>
      <c r="B1623" s="17">
        <v>2023</v>
      </c>
      <c r="C1623" s="21" t="s">
        <v>1027</v>
      </c>
      <c r="D1623" s="17">
        <v>9000</v>
      </c>
      <c r="E1623" s="17" t="s">
        <v>1458</v>
      </c>
      <c r="F1623" s="23">
        <v>10257022</v>
      </c>
    </row>
    <row r="1624" spans="1:6" ht="16" customHeight="1" x14ac:dyDescent="0.2">
      <c r="A1624">
        <f>IFERROR(VLOOKUP(C1624,'GASB Match'!$D$2:$F$6042,3,FALSE),"")</f>
        <v>3405190</v>
      </c>
      <c r="B1624" s="28">
        <v>2017</v>
      </c>
      <c r="C1624" s="29" t="s">
        <v>334</v>
      </c>
      <c r="D1624" s="17">
        <v>9000</v>
      </c>
      <c r="E1624" s="17" t="s">
        <v>1415</v>
      </c>
      <c r="F1624" s="29">
        <v>2829629</v>
      </c>
    </row>
    <row r="1625" spans="1:6" ht="16" customHeight="1" x14ac:dyDescent="0.2">
      <c r="A1625">
        <f>IFERROR(VLOOKUP(C1625,'GASB Match'!$D$2:$F$6042,3,FALSE),"")</f>
        <v>3405220</v>
      </c>
      <c r="B1625" s="17">
        <v>2015</v>
      </c>
      <c r="C1625" s="17" t="s">
        <v>120</v>
      </c>
      <c r="D1625" s="17">
        <v>3023</v>
      </c>
      <c r="E1625" s="17" t="s">
        <v>1404</v>
      </c>
      <c r="F1625" s="20">
        <v>519424</v>
      </c>
    </row>
    <row r="1626" spans="1:6" ht="16" customHeight="1" x14ac:dyDescent="0.2">
      <c r="A1626">
        <f>IFERROR(VLOOKUP(C1626,'GASB Match'!$D$2:$F$6042,3,FALSE),"")</f>
        <v>3405220</v>
      </c>
      <c r="B1626" s="17">
        <v>2016</v>
      </c>
      <c r="C1626" s="17" t="s">
        <v>120</v>
      </c>
      <c r="D1626" s="17">
        <v>3023</v>
      </c>
      <c r="E1626" s="17" t="s">
        <v>1404</v>
      </c>
      <c r="F1626" s="20">
        <v>798019</v>
      </c>
    </row>
    <row r="1627" spans="1:6" ht="16" customHeight="1" x14ac:dyDescent="0.2">
      <c r="A1627">
        <f>IFERROR(VLOOKUP(C1627,'GASB Match'!$D$2:$F$6042,3,FALSE),"")</f>
        <v>3405220</v>
      </c>
      <c r="B1627" s="17">
        <v>2018</v>
      </c>
      <c r="C1627" s="17" t="s">
        <v>801</v>
      </c>
      <c r="D1627" s="17">
        <v>3023</v>
      </c>
      <c r="E1627" s="17" t="s">
        <v>1445</v>
      </c>
      <c r="F1627" s="20">
        <v>1524439</v>
      </c>
    </row>
    <row r="1628" spans="1:6" ht="16" customHeight="1" x14ac:dyDescent="0.2">
      <c r="A1628">
        <f>IFERROR(VLOOKUP(C1628,'GASB Match'!$D$2:$F$6042,3,FALSE),"")</f>
        <v>3405220</v>
      </c>
      <c r="B1628" s="17">
        <v>2019</v>
      </c>
      <c r="C1628" s="17" t="s">
        <v>801</v>
      </c>
      <c r="D1628" s="17">
        <v>3023</v>
      </c>
      <c r="E1628" s="17" t="s">
        <v>1445</v>
      </c>
      <c r="F1628" s="20">
        <v>1939829</v>
      </c>
    </row>
    <row r="1629" spans="1:6" ht="16" customHeight="1" x14ac:dyDescent="0.2">
      <c r="A1629">
        <f>IFERROR(VLOOKUP(C1629,'GASB Match'!$D$2:$F$6042,3,FALSE),"")</f>
        <v>3405220</v>
      </c>
      <c r="B1629" s="17">
        <v>2020</v>
      </c>
      <c r="C1629" s="21" t="s">
        <v>801</v>
      </c>
      <c r="D1629" s="17">
        <v>3023</v>
      </c>
      <c r="E1629" s="17" t="s">
        <v>1445</v>
      </c>
      <c r="F1629" s="23">
        <v>2212530</v>
      </c>
    </row>
    <row r="1630" spans="1:6" ht="16" customHeight="1" x14ac:dyDescent="0.2">
      <c r="A1630">
        <f>IFERROR(VLOOKUP(C1630,'GASB Match'!$D$2:$F$6042,3,FALSE),"")</f>
        <v>3405220</v>
      </c>
      <c r="B1630" s="17">
        <v>2021</v>
      </c>
      <c r="C1630" s="25" t="s">
        <v>801</v>
      </c>
      <c r="D1630" s="17">
        <v>3023</v>
      </c>
      <c r="E1630" s="17" t="s">
        <v>1445</v>
      </c>
      <c r="F1630" s="23">
        <v>2840517</v>
      </c>
    </row>
    <row r="1631" spans="1:6" ht="16" customHeight="1" x14ac:dyDescent="0.2">
      <c r="A1631">
        <f>IFERROR(VLOOKUP(C1631,'GASB Match'!$D$2:$F$6042,3,FALSE),"")</f>
        <v>3405220</v>
      </c>
      <c r="B1631" s="17">
        <v>2022</v>
      </c>
      <c r="C1631" s="21" t="s">
        <v>801</v>
      </c>
      <c r="D1631" s="17">
        <v>3023</v>
      </c>
      <c r="E1631" s="17" t="s">
        <v>1445</v>
      </c>
      <c r="F1631" s="23">
        <v>4054987</v>
      </c>
    </row>
    <row r="1632" spans="1:6" ht="16" customHeight="1" x14ac:dyDescent="0.2">
      <c r="A1632">
        <f>IFERROR(VLOOKUP(C1632,'GASB Match'!$D$2:$F$6042,3,FALSE),"")</f>
        <v>3405220</v>
      </c>
      <c r="B1632" s="17">
        <v>2023</v>
      </c>
      <c r="C1632" s="21" t="s">
        <v>801</v>
      </c>
      <c r="D1632" s="17">
        <v>3023</v>
      </c>
      <c r="E1632" s="17" t="s">
        <v>1445</v>
      </c>
      <c r="F1632" s="23">
        <v>3993947</v>
      </c>
    </row>
    <row r="1633" spans="1:6" ht="16" customHeight="1" x14ac:dyDescent="0.2">
      <c r="A1633">
        <f>IFERROR(VLOOKUP(C1633,'GASB Match'!$D$2:$F$6042,3,FALSE),"")</f>
        <v>3405220</v>
      </c>
      <c r="B1633" s="28">
        <v>2017</v>
      </c>
      <c r="C1633" s="29" t="s">
        <v>120</v>
      </c>
      <c r="D1633" s="17">
        <v>3023</v>
      </c>
      <c r="E1633" s="17" t="s">
        <v>1404</v>
      </c>
      <c r="F1633" s="29">
        <v>1131755</v>
      </c>
    </row>
    <row r="1634" spans="1:6" ht="16" customHeight="1" x14ac:dyDescent="0.2">
      <c r="A1634">
        <f>IFERROR(VLOOKUP(C1634,'GASB Match'!$D$2:$F$6042,3,FALSE),"")</f>
        <v>3405250</v>
      </c>
      <c r="B1634" s="17">
        <v>2015</v>
      </c>
      <c r="C1634" s="17" t="s">
        <v>462</v>
      </c>
      <c r="D1634" s="17">
        <v>419</v>
      </c>
      <c r="E1634" s="17" t="s">
        <v>1421</v>
      </c>
      <c r="F1634" s="20">
        <v>383859</v>
      </c>
    </row>
    <row r="1635" spans="1:6" ht="16" customHeight="1" x14ac:dyDescent="0.2">
      <c r="A1635">
        <f>IFERROR(VLOOKUP(C1635,'GASB Match'!$D$2:$F$6042,3,FALSE),"")</f>
        <v>3405250</v>
      </c>
      <c r="B1635" s="17">
        <v>2016</v>
      </c>
      <c r="C1635" s="17" t="s">
        <v>462</v>
      </c>
      <c r="D1635" s="17">
        <v>419</v>
      </c>
      <c r="E1635" s="17" t="s">
        <v>1421</v>
      </c>
      <c r="F1635" s="20">
        <v>530901</v>
      </c>
    </row>
    <row r="1636" spans="1:6" ht="16" customHeight="1" x14ac:dyDescent="0.2">
      <c r="A1636">
        <f>IFERROR(VLOOKUP(C1636,'GASB Match'!$D$2:$F$6042,3,FALSE),"")</f>
        <v>3405250</v>
      </c>
      <c r="B1636" s="17">
        <v>2018</v>
      </c>
      <c r="C1636" s="17" t="s">
        <v>1154</v>
      </c>
      <c r="D1636" s="17">
        <v>419</v>
      </c>
      <c r="E1636" s="17" t="s">
        <v>1464</v>
      </c>
      <c r="F1636" s="20">
        <v>1094675</v>
      </c>
    </row>
    <row r="1637" spans="1:6" ht="16" customHeight="1" x14ac:dyDescent="0.2">
      <c r="A1637">
        <f>IFERROR(VLOOKUP(C1637,'GASB Match'!$D$2:$F$6042,3,FALSE),"")</f>
        <v>3405250</v>
      </c>
      <c r="B1637" s="17">
        <v>2019</v>
      </c>
      <c r="C1637" s="17" t="s">
        <v>1154</v>
      </c>
      <c r="D1637" s="17">
        <v>419</v>
      </c>
      <c r="E1637" s="17" t="s">
        <v>1464</v>
      </c>
      <c r="F1637" s="20">
        <v>1457315</v>
      </c>
    </row>
    <row r="1638" spans="1:6" ht="16" customHeight="1" x14ac:dyDescent="0.2">
      <c r="A1638">
        <f>IFERROR(VLOOKUP(C1638,'GASB Match'!$D$2:$F$6042,3,FALSE),"")</f>
        <v>3405250</v>
      </c>
      <c r="B1638" s="17">
        <v>2020</v>
      </c>
      <c r="C1638" s="21" t="s">
        <v>1154</v>
      </c>
      <c r="D1638" s="17">
        <v>419</v>
      </c>
      <c r="E1638" s="17" t="s">
        <v>1464</v>
      </c>
      <c r="F1638" s="23">
        <v>1674179</v>
      </c>
    </row>
    <row r="1639" spans="1:6" ht="16" customHeight="1" x14ac:dyDescent="0.2">
      <c r="A1639">
        <f>IFERROR(VLOOKUP(C1639,'GASB Match'!$D$2:$F$6042,3,FALSE),"")</f>
        <v>3405250</v>
      </c>
      <c r="B1639" s="17">
        <v>2021</v>
      </c>
      <c r="C1639" s="25" t="s">
        <v>1154</v>
      </c>
      <c r="D1639" s="17">
        <v>419</v>
      </c>
      <c r="E1639" s="17" t="s">
        <v>1464</v>
      </c>
      <c r="F1639" s="23">
        <v>2089198</v>
      </c>
    </row>
    <row r="1640" spans="1:6" ht="16" customHeight="1" x14ac:dyDescent="0.2">
      <c r="A1640">
        <f>IFERROR(VLOOKUP(C1640,'GASB Match'!$D$2:$F$6042,3,FALSE),"")</f>
        <v>3405250</v>
      </c>
      <c r="B1640" s="17">
        <v>2022</v>
      </c>
      <c r="C1640" s="21" t="s">
        <v>1154</v>
      </c>
      <c r="D1640" s="17">
        <v>419</v>
      </c>
      <c r="E1640" s="17" t="s">
        <v>1464</v>
      </c>
      <c r="F1640" s="23">
        <v>3063684</v>
      </c>
    </row>
    <row r="1641" spans="1:6" ht="16" customHeight="1" x14ac:dyDescent="0.2">
      <c r="A1641">
        <f>IFERROR(VLOOKUP(C1641,'GASB Match'!$D$2:$F$6042,3,FALSE),"")</f>
        <v>3405250</v>
      </c>
      <c r="B1641" s="17">
        <v>2023</v>
      </c>
      <c r="C1641" s="21" t="s">
        <v>1154</v>
      </c>
      <c r="D1641" s="17">
        <v>419</v>
      </c>
      <c r="E1641" s="17" t="s">
        <v>1464</v>
      </c>
      <c r="F1641" s="23">
        <v>3036278</v>
      </c>
    </row>
    <row r="1642" spans="1:6" ht="16" customHeight="1" x14ac:dyDescent="0.2">
      <c r="A1642">
        <f>IFERROR(VLOOKUP(C1642,'GASB Match'!$D$2:$F$6042,3,FALSE),"")</f>
        <v>3405250</v>
      </c>
      <c r="B1642" s="28">
        <v>2017</v>
      </c>
      <c r="C1642" s="29" t="s">
        <v>462</v>
      </c>
      <c r="D1642" s="17">
        <v>419</v>
      </c>
      <c r="E1642" s="17" t="s">
        <v>1421</v>
      </c>
      <c r="F1642" s="29">
        <v>736176</v>
      </c>
    </row>
    <row r="1643" spans="1:6" ht="16" customHeight="1" x14ac:dyDescent="0.2">
      <c r="A1643">
        <f>IFERROR(VLOOKUP(C1643,'GASB Match'!$D$2:$F$6042,3,FALSE),"")</f>
        <v>3405280</v>
      </c>
      <c r="B1643" s="17">
        <v>2015</v>
      </c>
      <c r="C1643" s="17" t="s">
        <v>10</v>
      </c>
      <c r="D1643" s="17">
        <v>1085</v>
      </c>
      <c r="E1643" s="17" t="s">
        <v>1400</v>
      </c>
      <c r="F1643" s="20">
        <v>122062</v>
      </c>
    </row>
    <row r="1644" spans="1:6" ht="16" customHeight="1" x14ac:dyDescent="0.2">
      <c r="A1644">
        <f>IFERROR(VLOOKUP(C1644,'GASB Match'!$D$2:$F$6042,3,FALSE),"")</f>
        <v>3405280</v>
      </c>
      <c r="B1644" s="17">
        <v>2016</v>
      </c>
      <c r="C1644" s="17" t="s">
        <v>10</v>
      </c>
      <c r="D1644" s="17">
        <v>1085</v>
      </c>
      <c r="E1644" s="17" t="s">
        <v>1400</v>
      </c>
      <c r="F1644" s="20">
        <v>198648</v>
      </c>
    </row>
    <row r="1645" spans="1:6" ht="16" customHeight="1" x14ac:dyDescent="0.2">
      <c r="A1645">
        <f>IFERROR(VLOOKUP(C1645,'GASB Match'!$D$2:$F$6042,3,FALSE),"")</f>
        <v>3405280</v>
      </c>
      <c r="B1645" s="17">
        <v>2018</v>
      </c>
      <c r="C1645" s="17" t="s">
        <v>689</v>
      </c>
      <c r="D1645" s="17">
        <v>1085</v>
      </c>
      <c r="E1645" s="17" t="s">
        <v>1441</v>
      </c>
      <c r="F1645" s="20">
        <v>414809</v>
      </c>
    </row>
    <row r="1646" spans="1:6" ht="16" customHeight="1" x14ac:dyDescent="0.2">
      <c r="A1646">
        <f>IFERROR(VLOOKUP(C1646,'GASB Match'!$D$2:$F$6042,3,FALSE),"")</f>
        <v>3405280</v>
      </c>
      <c r="B1646" s="17">
        <v>2019</v>
      </c>
      <c r="C1646" s="17" t="s">
        <v>689</v>
      </c>
      <c r="D1646" s="17">
        <v>1085</v>
      </c>
      <c r="E1646" s="17" t="s">
        <v>1441</v>
      </c>
      <c r="F1646" s="20">
        <v>522375</v>
      </c>
    </row>
    <row r="1647" spans="1:6" ht="16" customHeight="1" x14ac:dyDescent="0.2">
      <c r="A1647">
        <f>IFERROR(VLOOKUP(C1647,'GASB Match'!$D$2:$F$6042,3,FALSE),"")</f>
        <v>3405280</v>
      </c>
      <c r="B1647" s="17">
        <v>2020</v>
      </c>
      <c r="C1647" s="21" t="s">
        <v>689</v>
      </c>
      <c r="D1647" s="17">
        <v>1085</v>
      </c>
      <c r="E1647" s="17" t="s">
        <v>1441</v>
      </c>
      <c r="F1647" s="23">
        <v>644732</v>
      </c>
    </row>
    <row r="1648" spans="1:6" ht="16" customHeight="1" x14ac:dyDescent="0.2">
      <c r="A1648">
        <f>IFERROR(VLOOKUP(C1648,'GASB Match'!$D$2:$F$6042,3,FALSE),"")</f>
        <v>3405280</v>
      </c>
      <c r="B1648" s="17">
        <v>2021</v>
      </c>
      <c r="C1648" s="25" t="s">
        <v>689</v>
      </c>
      <c r="D1648" s="17">
        <v>1085</v>
      </c>
      <c r="E1648" s="17" t="s">
        <v>1441</v>
      </c>
      <c r="F1648" s="23">
        <v>792335</v>
      </c>
    </row>
    <row r="1649" spans="1:6" ht="16" customHeight="1" x14ac:dyDescent="0.2">
      <c r="A1649">
        <f>IFERROR(VLOOKUP(C1649,'GASB Match'!$D$2:$F$6042,3,FALSE),"")</f>
        <v>3405280</v>
      </c>
      <c r="B1649" s="17">
        <v>2022</v>
      </c>
      <c r="C1649" s="21" t="s">
        <v>689</v>
      </c>
      <c r="D1649" s="17">
        <v>1085</v>
      </c>
      <c r="E1649" s="17" t="s">
        <v>1441</v>
      </c>
      <c r="F1649" s="23">
        <v>1095786</v>
      </c>
    </row>
    <row r="1650" spans="1:6" ht="16" customHeight="1" x14ac:dyDescent="0.2">
      <c r="A1650">
        <f>IFERROR(VLOOKUP(C1650,'GASB Match'!$D$2:$F$6042,3,FALSE),"")</f>
        <v>3405280</v>
      </c>
      <c r="B1650" s="17">
        <v>2023</v>
      </c>
      <c r="C1650" s="21" t="s">
        <v>689</v>
      </c>
      <c r="D1650" s="17">
        <v>1085</v>
      </c>
      <c r="E1650" s="17" t="s">
        <v>1441</v>
      </c>
      <c r="F1650" s="23">
        <v>1125495</v>
      </c>
    </row>
    <row r="1651" spans="1:6" ht="16" customHeight="1" x14ac:dyDescent="0.2">
      <c r="A1651">
        <f>IFERROR(VLOOKUP(C1651,'GASB Match'!$D$2:$F$6042,3,FALSE),"")</f>
        <v>3405280</v>
      </c>
      <c r="B1651" s="28">
        <v>2017</v>
      </c>
      <c r="C1651" s="29" t="s">
        <v>10</v>
      </c>
      <c r="D1651" s="17">
        <v>1085</v>
      </c>
      <c r="E1651" s="17" t="s">
        <v>1400</v>
      </c>
      <c r="F1651" s="29">
        <v>297618</v>
      </c>
    </row>
    <row r="1652" spans="1:6" ht="16" customHeight="1" x14ac:dyDescent="0.2">
      <c r="A1652">
        <f>IFERROR(VLOOKUP(C1652,'GASB Match'!$D$2:$F$6042,3,FALSE),"")</f>
        <v>3405310</v>
      </c>
      <c r="B1652" s="17">
        <v>2015</v>
      </c>
      <c r="C1652" s="17" t="s">
        <v>50</v>
      </c>
      <c r="D1652" s="17">
        <v>2041</v>
      </c>
      <c r="E1652" s="17" t="s">
        <v>1402</v>
      </c>
      <c r="F1652" s="20">
        <v>1418329</v>
      </c>
    </row>
    <row r="1653" spans="1:6" ht="16" customHeight="1" x14ac:dyDescent="0.2">
      <c r="A1653">
        <f>IFERROR(VLOOKUP(C1653,'GASB Match'!$D$2:$F$6042,3,FALSE),"")</f>
        <v>3405310</v>
      </c>
      <c r="B1653" s="17">
        <v>2016</v>
      </c>
      <c r="C1653" s="17" t="s">
        <v>50</v>
      </c>
      <c r="D1653" s="17">
        <v>2041</v>
      </c>
      <c r="E1653" s="17" t="s">
        <v>1402</v>
      </c>
      <c r="F1653" s="20">
        <v>2015243</v>
      </c>
    </row>
    <row r="1654" spans="1:6" ht="16" customHeight="1" x14ac:dyDescent="0.2">
      <c r="A1654">
        <f>IFERROR(VLOOKUP(C1654,'GASB Match'!$D$2:$F$6042,3,FALSE),"")</f>
        <v>3405310</v>
      </c>
      <c r="B1654" s="17">
        <v>2018</v>
      </c>
      <c r="C1654" s="17" t="s">
        <v>728</v>
      </c>
      <c r="D1654" s="17">
        <v>2041</v>
      </c>
      <c r="E1654" s="17" t="s">
        <v>1443</v>
      </c>
      <c r="F1654" s="20">
        <v>3996160</v>
      </c>
    </row>
    <row r="1655" spans="1:6" ht="16" customHeight="1" x14ac:dyDescent="0.2">
      <c r="A1655">
        <f>IFERROR(VLOOKUP(C1655,'GASB Match'!$D$2:$F$6042,3,FALSE),"")</f>
        <v>3405310</v>
      </c>
      <c r="B1655" s="17">
        <v>2019</v>
      </c>
      <c r="C1655" s="17" t="s">
        <v>728</v>
      </c>
      <c r="D1655" s="17">
        <v>2041</v>
      </c>
      <c r="E1655" s="17" t="s">
        <v>1443</v>
      </c>
      <c r="F1655" s="20">
        <v>5367015</v>
      </c>
    </row>
    <row r="1656" spans="1:6" ht="16" customHeight="1" x14ac:dyDescent="0.2">
      <c r="A1656">
        <f>IFERROR(VLOOKUP(C1656,'GASB Match'!$D$2:$F$6042,3,FALSE),"")</f>
        <v>3405310</v>
      </c>
      <c r="B1656" s="17">
        <v>2020</v>
      </c>
      <c r="C1656" s="21" t="s">
        <v>728</v>
      </c>
      <c r="D1656" s="17">
        <v>2041</v>
      </c>
      <c r="E1656" s="17" t="s">
        <v>1443</v>
      </c>
      <c r="F1656" s="23">
        <v>5773092</v>
      </c>
    </row>
    <row r="1657" spans="1:6" ht="16" customHeight="1" x14ac:dyDescent="0.2">
      <c r="A1657">
        <f>IFERROR(VLOOKUP(C1657,'GASB Match'!$D$2:$F$6042,3,FALSE),"")</f>
        <v>3405310</v>
      </c>
      <c r="B1657" s="17">
        <v>2021</v>
      </c>
      <c r="C1657" s="25" t="s">
        <v>728</v>
      </c>
      <c r="D1657" s="17">
        <v>2041</v>
      </c>
      <c r="E1657" s="17" t="s">
        <v>1443</v>
      </c>
      <c r="F1657" s="23">
        <v>7837034</v>
      </c>
    </row>
    <row r="1658" spans="1:6" ht="16" customHeight="1" x14ac:dyDescent="0.2">
      <c r="A1658">
        <f>IFERROR(VLOOKUP(C1658,'GASB Match'!$D$2:$F$6042,3,FALSE),"")</f>
        <v>3405310</v>
      </c>
      <c r="B1658" s="17">
        <v>2022</v>
      </c>
      <c r="C1658" s="21" t="s">
        <v>728</v>
      </c>
      <c r="D1658" s="17">
        <v>2041</v>
      </c>
      <c r="E1658" s="17" t="s">
        <v>1443</v>
      </c>
      <c r="F1658" s="23">
        <v>11070769</v>
      </c>
    </row>
    <row r="1659" spans="1:6" ht="16" customHeight="1" x14ac:dyDescent="0.2">
      <c r="A1659">
        <f>IFERROR(VLOOKUP(C1659,'GASB Match'!$D$2:$F$6042,3,FALSE),"")</f>
        <v>3405310</v>
      </c>
      <c r="B1659" s="17">
        <v>2023</v>
      </c>
      <c r="C1659" s="21" t="s">
        <v>728</v>
      </c>
      <c r="D1659" s="17">
        <v>2041</v>
      </c>
      <c r="E1659" s="17" t="s">
        <v>1443</v>
      </c>
      <c r="F1659" s="23">
        <v>11449937</v>
      </c>
    </row>
    <row r="1660" spans="1:6" ht="16" customHeight="1" x14ac:dyDescent="0.2">
      <c r="A1660">
        <f>IFERROR(VLOOKUP(C1660,'GASB Match'!$D$2:$F$6042,3,FALSE),"")</f>
        <v>3405310</v>
      </c>
      <c r="B1660" s="28">
        <v>2017</v>
      </c>
      <c r="C1660" s="29" t="s">
        <v>50</v>
      </c>
      <c r="D1660" s="17">
        <v>2041</v>
      </c>
      <c r="E1660" s="17" t="s">
        <v>1402</v>
      </c>
      <c r="F1660" s="29">
        <v>2777813</v>
      </c>
    </row>
    <row r="1661" spans="1:6" ht="16" customHeight="1" x14ac:dyDescent="0.2">
      <c r="A1661">
        <f>IFERROR(VLOOKUP(C1661,'GASB Match'!$D$2:$F$6042,3,FALSE),"")</f>
        <v>3400717</v>
      </c>
      <c r="B1661" s="17">
        <v>2015</v>
      </c>
      <c r="C1661" s="17" t="s">
        <v>357</v>
      </c>
      <c r="D1661" s="17">
        <v>133</v>
      </c>
      <c r="E1661" s="17" t="s">
        <v>1416</v>
      </c>
      <c r="F1661" s="20">
        <v>1692</v>
      </c>
    </row>
    <row r="1662" spans="1:6" ht="16" customHeight="1" x14ac:dyDescent="0.2">
      <c r="A1662">
        <f>IFERROR(VLOOKUP(C1662,'GASB Match'!$D$2:$F$6042,3,FALSE),"")</f>
        <v>3400717</v>
      </c>
      <c r="B1662" s="17">
        <v>2015</v>
      </c>
      <c r="C1662" s="17" t="s">
        <v>357</v>
      </c>
      <c r="D1662" s="17">
        <v>133</v>
      </c>
      <c r="E1662" s="17" t="s">
        <v>1416</v>
      </c>
      <c r="F1662" s="20">
        <v>110799</v>
      </c>
    </row>
    <row r="1663" spans="1:6" ht="16" customHeight="1" x14ac:dyDescent="0.2">
      <c r="A1663">
        <f>IFERROR(VLOOKUP(C1663,'GASB Match'!$D$2:$F$6042,3,FALSE),"")</f>
        <v>3400717</v>
      </c>
      <c r="B1663" s="17">
        <v>2016</v>
      </c>
      <c r="C1663" s="17" t="s">
        <v>357</v>
      </c>
      <c r="D1663" s="17">
        <v>133</v>
      </c>
      <c r="E1663" s="17" t="s">
        <v>1416</v>
      </c>
      <c r="F1663" s="20">
        <v>2907</v>
      </c>
    </row>
    <row r="1664" spans="1:6" ht="16" customHeight="1" x14ac:dyDescent="0.2">
      <c r="A1664">
        <f>IFERROR(VLOOKUP(C1664,'GASB Match'!$D$2:$F$6042,3,FALSE),"")</f>
        <v>3400717</v>
      </c>
      <c r="B1664" s="17">
        <v>2016</v>
      </c>
      <c r="C1664" s="17" t="s">
        <v>357</v>
      </c>
      <c r="D1664" s="17">
        <v>133</v>
      </c>
      <c r="E1664" s="17" t="s">
        <v>1416</v>
      </c>
      <c r="F1664" s="20">
        <v>238710</v>
      </c>
    </row>
    <row r="1665" spans="1:6" ht="16" customHeight="1" x14ac:dyDescent="0.2">
      <c r="A1665">
        <f>IFERROR(VLOOKUP(C1665,'GASB Match'!$D$2:$F$6042,3,FALSE),"")</f>
        <v>3400717</v>
      </c>
      <c r="B1665" s="17">
        <v>2018</v>
      </c>
      <c r="C1665" s="17" t="s">
        <v>1047</v>
      </c>
      <c r="D1665" s="17">
        <v>133</v>
      </c>
      <c r="E1665" s="17" t="s">
        <v>1459</v>
      </c>
      <c r="F1665" s="20">
        <v>5991</v>
      </c>
    </row>
    <row r="1666" spans="1:6" ht="16" customHeight="1" x14ac:dyDescent="0.2">
      <c r="A1666">
        <f>IFERROR(VLOOKUP(C1666,'GASB Match'!$D$2:$F$6042,3,FALSE),"")</f>
        <v>3400717</v>
      </c>
      <c r="B1666" s="17">
        <v>2018</v>
      </c>
      <c r="C1666" s="17" t="s">
        <v>1047</v>
      </c>
      <c r="D1666" s="17">
        <v>133</v>
      </c>
      <c r="E1666" s="17" t="s">
        <v>1459</v>
      </c>
      <c r="F1666" s="20">
        <v>828899</v>
      </c>
    </row>
    <row r="1667" spans="1:6" ht="16" customHeight="1" x14ac:dyDescent="0.2">
      <c r="A1667">
        <f>IFERROR(VLOOKUP(C1667,'GASB Match'!$D$2:$F$6042,3,FALSE),"")</f>
        <v>3400717</v>
      </c>
      <c r="B1667" s="17">
        <v>2019</v>
      </c>
      <c r="C1667" s="17" t="s">
        <v>1047</v>
      </c>
      <c r="D1667" s="17">
        <v>133</v>
      </c>
      <c r="E1667" s="17" t="s">
        <v>1459</v>
      </c>
      <c r="F1667" s="19">
        <v>1099989</v>
      </c>
    </row>
    <row r="1668" spans="1:6" ht="16" customHeight="1" x14ac:dyDescent="0.2">
      <c r="A1668">
        <f>IFERROR(VLOOKUP(C1668,'GASB Match'!$D$2:$F$6042,3,FALSE),"")</f>
        <v>3400717</v>
      </c>
      <c r="B1668" s="17">
        <v>2020</v>
      </c>
      <c r="C1668" s="21" t="s">
        <v>1047</v>
      </c>
      <c r="D1668" s="17">
        <v>133</v>
      </c>
      <c r="E1668" s="17" t="s">
        <v>1459</v>
      </c>
      <c r="F1668" s="23">
        <v>1197460</v>
      </c>
    </row>
    <row r="1669" spans="1:6" ht="16" customHeight="1" x14ac:dyDescent="0.2">
      <c r="A1669">
        <f>IFERROR(VLOOKUP(C1669,'GASB Match'!$D$2:$F$6042,3,FALSE),"")</f>
        <v>3400717</v>
      </c>
      <c r="B1669" s="17">
        <v>2021</v>
      </c>
      <c r="C1669" s="25" t="s">
        <v>1047</v>
      </c>
      <c r="D1669" s="17">
        <v>133</v>
      </c>
      <c r="E1669" s="17" t="s">
        <v>1459</v>
      </c>
      <c r="F1669" s="23">
        <v>1526223</v>
      </c>
    </row>
    <row r="1670" spans="1:6" ht="16" customHeight="1" x14ac:dyDescent="0.2">
      <c r="A1670">
        <f>IFERROR(VLOOKUP(C1670,'GASB Match'!$D$2:$F$6042,3,FALSE),"")</f>
        <v>3400717</v>
      </c>
      <c r="B1670" s="17">
        <v>2022</v>
      </c>
      <c r="C1670" s="21" t="s">
        <v>1047</v>
      </c>
      <c r="D1670" s="17">
        <v>133</v>
      </c>
      <c r="E1670" s="17" t="s">
        <v>1459</v>
      </c>
      <c r="F1670" s="23">
        <v>2093745</v>
      </c>
    </row>
    <row r="1671" spans="1:6" ht="16" customHeight="1" x14ac:dyDescent="0.2">
      <c r="A1671">
        <f>IFERROR(VLOOKUP(C1671,'GASB Match'!$D$2:$F$6042,3,FALSE),"")</f>
        <v>3400717</v>
      </c>
      <c r="B1671" s="17">
        <v>2023</v>
      </c>
      <c r="C1671" s="21" t="s">
        <v>1047</v>
      </c>
      <c r="D1671" s="17">
        <v>133</v>
      </c>
      <c r="E1671" s="17" t="s">
        <v>1459</v>
      </c>
      <c r="F1671" s="23">
        <v>2119549</v>
      </c>
    </row>
    <row r="1672" spans="1:6" ht="16" customHeight="1" x14ac:dyDescent="0.2">
      <c r="A1672">
        <f>IFERROR(VLOOKUP(C1672,'GASB Match'!$D$2:$F$6042,3,FALSE),"")</f>
        <v>3400717</v>
      </c>
      <c r="B1672" s="28">
        <v>2017</v>
      </c>
      <c r="C1672" s="29" t="s">
        <v>357</v>
      </c>
      <c r="D1672" s="17">
        <v>133</v>
      </c>
      <c r="E1672" s="17" t="s">
        <v>1416</v>
      </c>
      <c r="F1672" s="29">
        <v>4229</v>
      </c>
    </row>
    <row r="1673" spans="1:6" ht="16" customHeight="1" x14ac:dyDescent="0.2">
      <c r="A1673">
        <f>IFERROR(VLOOKUP(C1673,'GASB Match'!$D$2:$F$6042,3,FALSE),"")</f>
        <v>3400717</v>
      </c>
      <c r="B1673" s="28">
        <v>2017</v>
      </c>
      <c r="C1673" s="29" t="s">
        <v>357</v>
      </c>
      <c r="D1673" s="17">
        <v>133</v>
      </c>
      <c r="E1673" s="17" t="s">
        <v>1416</v>
      </c>
      <c r="F1673" s="29">
        <v>490105</v>
      </c>
    </row>
    <row r="1674" spans="1:6" ht="16" customHeight="1" x14ac:dyDescent="0.2">
      <c r="A1674">
        <f>IFERROR(VLOOKUP(C1674,'GASB Match'!$D$2:$F$6042,3,FALSE),"")</f>
        <v>3405340</v>
      </c>
      <c r="B1674" s="17">
        <v>2015</v>
      </c>
      <c r="C1674" s="17" t="s">
        <v>585</v>
      </c>
      <c r="D1674" s="17">
        <v>775</v>
      </c>
      <c r="E1674" s="17" t="s">
        <v>1426</v>
      </c>
      <c r="F1674" s="20">
        <v>275289</v>
      </c>
    </row>
    <row r="1675" spans="1:6" ht="16" customHeight="1" x14ac:dyDescent="0.2">
      <c r="A1675">
        <f>IFERROR(VLOOKUP(C1675,'GASB Match'!$D$2:$F$6042,3,FALSE),"")</f>
        <v>3405340</v>
      </c>
      <c r="B1675" s="17">
        <v>2016</v>
      </c>
      <c r="C1675" s="17" t="s">
        <v>585</v>
      </c>
      <c r="D1675" s="17">
        <v>775</v>
      </c>
      <c r="E1675" s="17" t="s">
        <v>1426</v>
      </c>
      <c r="F1675" s="20">
        <v>397485</v>
      </c>
    </row>
    <row r="1676" spans="1:6" ht="16" customHeight="1" x14ac:dyDescent="0.2">
      <c r="A1676">
        <f>IFERROR(VLOOKUP(C1676,'GASB Match'!$D$2:$F$6042,3,FALSE),"")</f>
        <v>3405340</v>
      </c>
      <c r="B1676" s="17">
        <v>2018</v>
      </c>
      <c r="C1676" s="17" t="s">
        <v>1278</v>
      </c>
      <c r="D1676" s="17">
        <v>775</v>
      </c>
      <c r="E1676" s="17" t="s">
        <v>1469</v>
      </c>
      <c r="F1676" s="20">
        <v>758535</v>
      </c>
    </row>
    <row r="1677" spans="1:6" ht="16" customHeight="1" x14ac:dyDescent="0.2">
      <c r="A1677">
        <f>IFERROR(VLOOKUP(C1677,'GASB Match'!$D$2:$F$6042,3,FALSE),"")</f>
        <v>3405340</v>
      </c>
      <c r="B1677" s="17">
        <v>2019</v>
      </c>
      <c r="C1677" s="17" t="s">
        <v>1278</v>
      </c>
      <c r="D1677" s="17">
        <v>775</v>
      </c>
      <c r="E1677" s="17" t="s">
        <v>1469</v>
      </c>
      <c r="F1677" s="20">
        <v>973146</v>
      </c>
    </row>
    <row r="1678" spans="1:6" ht="16" customHeight="1" x14ac:dyDescent="0.2">
      <c r="A1678">
        <f>IFERROR(VLOOKUP(C1678,'GASB Match'!$D$2:$F$6042,3,FALSE),"")</f>
        <v>3405340</v>
      </c>
      <c r="B1678" s="17">
        <v>2020</v>
      </c>
      <c r="C1678" s="21" t="s">
        <v>1278</v>
      </c>
      <c r="D1678" s="17">
        <v>775</v>
      </c>
      <c r="E1678" s="17" t="s">
        <v>1469</v>
      </c>
      <c r="F1678" s="23">
        <v>1087864</v>
      </c>
    </row>
    <row r="1679" spans="1:6" ht="16" customHeight="1" x14ac:dyDescent="0.2">
      <c r="A1679">
        <f>IFERROR(VLOOKUP(C1679,'GASB Match'!$D$2:$F$6042,3,FALSE),"")</f>
        <v>3405340</v>
      </c>
      <c r="B1679" s="17">
        <v>2021</v>
      </c>
      <c r="C1679" s="25" t="s">
        <v>1278</v>
      </c>
      <c r="D1679" s="17">
        <v>775</v>
      </c>
      <c r="E1679" s="17" t="s">
        <v>1469</v>
      </c>
      <c r="F1679" s="23">
        <v>1416153</v>
      </c>
    </row>
    <row r="1680" spans="1:6" ht="16" customHeight="1" x14ac:dyDescent="0.2">
      <c r="A1680">
        <f>IFERROR(VLOOKUP(C1680,'GASB Match'!$D$2:$F$6042,3,FALSE),"")</f>
        <v>3405340</v>
      </c>
      <c r="B1680" s="17">
        <v>2022</v>
      </c>
      <c r="C1680" s="21" t="s">
        <v>1278</v>
      </c>
      <c r="D1680" s="17">
        <v>775</v>
      </c>
      <c r="E1680" s="17" t="s">
        <v>1469</v>
      </c>
      <c r="F1680" s="23">
        <v>1937555</v>
      </c>
    </row>
    <row r="1681" spans="1:6" ht="16" customHeight="1" x14ac:dyDescent="0.2">
      <c r="A1681">
        <f>IFERROR(VLOOKUP(C1681,'GASB Match'!$D$2:$F$6042,3,FALSE),"")</f>
        <v>3405340</v>
      </c>
      <c r="B1681" s="17">
        <v>2023</v>
      </c>
      <c r="C1681" s="21" t="s">
        <v>1278</v>
      </c>
      <c r="D1681" s="17">
        <v>775</v>
      </c>
      <c r="E1681" s="17" t="s">
        <v>1469</v>
      </c>
      <c r="F1681" s="23">
        <v>1940932</v>
      </c>
    </row>
    <row r="1682" spans="1:6" ht="16" customHeight="1" x14ac:dyDescent="0.2">
      <c r="A1682">
        <f>IFERROR(VLOOKUP(C1682,'GASB Match'!$D$2:$F$6042,3,FALSE),"")</f>
        <v>3405340</v>
      </c>
      <c r="B1682" s="28">
        <v>2017</v>
      </c>
      <c r="C1682" s="29" t="s">
        <v>585</v>
      </c>
      <c r="D1682" s="17">
        <v>775</v>
      </c>
      <c r="E1682" s="17" t="s">
        <v>1426</v>
      </c>
      <c r="F1682" s="29">
        <v>592690</v>
      </c>
    </row>
    <row r="1683" spans="1:6" ht="16" customHeight="1" x14ac:dyDescent="0.2">
      <c r="A1683">
        <f>IFERROR(VLOOKUP(C1683,'GASB Match'!$D$2:$F$6042,3,FALSE),"")</f>
        <v>3405400</v>
      </c>
      <c r="B1683" s="17">
        <v>2015</v>
      </c>
      <c r="C1683" s="17" t="s">
        <v>586</v>
      </c>
      <c r="D1683" s="17">
        <v>776</v>
      </c>
      <c r="E1683" s="17" t="s">
        <v>1426</v>
      </c>
      <c r="F1683" s="20">
        <v>205109</v>
      </c>
    </row>
    <row r="1684" spans="1:6" ht="16" customHeight="1" x14ac:dyDescent="0.2">
      <c r="A1684">
        <f>IFERROR(VLOOKUP(C1684,'GASB Match'!$D$2:$F$6042,3,FALSE),"")</f>
        <v>3405400</v>
      </c>
      <c r="B1684" s="17">
        <v>2016</v>
      </c>
      <c r="C1684" s="17" t="s">
        <v>586</v>
      </c>
      <c r="D1684" s="17">
        <v>776</v>
      </c>
      <c r="E1684" s="17" t="s">
        <v>1426</v>
      </c>
      <c r="F1684" s="20">
        <v>307371</v>
      </c>
    </row>
    <row r="1685" spans="1:6" ht="16" customHeight="1" x14ac:dyDescent="0.2">
      <c r="A1685">
        <f>IFERROR(VLOOKUP(C1685,'GASB Match'!$D$2:$F$6042,3,FALSE),"")</f>
        <v>3405400</v>
      </c>
      <c r="B1685" s="17">
        <v>2018</v>
      </c>
      <c r="C1685" s="17" t="s">
        <v>1279</v>
      </c>
      <c r="D1685" s="17">
        <v>776</v>
      </c>
      <c r="E1685" s="17" t="s">
        <v>1469</v>
      </c>
      <c r="F1685" s="20">
        <v>589027</v>
      </c>
    </row>
    <row r="1686" spans="1:6" ht="16" customHeight="1" x14ac:dyDescent="0.2">
      <c r="A1686">
        <f>IFERROR(VLOOKUP(C1686,'GASB Match'!$D$2:$F$6042,3,FALSE),"")</f>
        <v>3405400</v>
      </c>
      <c r="B1686" s="17">
        <v>2019</v>
      </c>
      <c r="C1686" s="17" t="s">
        <v>1279</v>
      </c>
      <c r="D1686" s="17">
        <v>776</v>
      </c>
      <c r="E1686" s="17" t="s">
        <v>1469</v>
      </c>
      <c r="F1686" s="20">
        <v>753940</v>
      </c>
    </row>
    <row r="1687" spans="1:6" ht="16" customHeight="1" x14ac:dyDescent="0.2">
      <c r="A1687">
        <f>IFERROR(VLOOKUP(C1687,'GASB Match'!$D$2:$F$6042,3,FALSE),"")</f>
        <v>3405400</v>
      </c>
      <c r="B1687" s="17">
        <v>2020</v>
      </c>
      <c r="C1687" s="21" t="s">
        <v>1279</v>
      </c>
      <c r="D1687" s="17">
        <v>776</v>
      </c>
      <c r="E1687" s="17" t="s">
        <v>1469</v>
      </c>
      <c r="F1687" s="23">
        <v>838919</v>
      </c>
    </row>
    <row r="1688" spans="1:6" ht="16" customHeight="1" x14ac:dyDescent="0.2">
      <c r="A1688">
        <f>IFERROR(VLOOKUP(C1688,'GASB Match'!$D$2:$F$6042,3,FALSE),"")</f>
        <v>3405400</v>
      </c>
      <c r="B1688" s="17">
        <v>2021</v>
      </c>
      <c r="C1688" s="25" t="s">
        <v>1279</v>
      </c>
      <c r="D1688" s="17">
        <v>776</v>
      </c>
      <c r="E1688" s="17" t="s">
        <v>1469</v>
      </c>
      <c r="F1688" s="23">
        <v>1072542</v>
      </c>
    </row>
    <row r="1689" spans="1:6" ht="16" customHeight="1" x14ac:dyDescent="0.2">
      <c r="A1689">
        <f>IFERROR(VLOOKUP(C1689,'GASB Match'!$D$2:$F$6042,3,FALSE),"")</f>
        <v>3405400</v>
      </c>
      <c r="B1689" s="17">
        <v>2022</v>
      </c>
      <c r="C1689" s="21" t="s">
        <v>1279</v>
      </c>
      <c r="D1689" s="17">
        <v>776</v>
      </c>
      <c r="E1689" s="17" t="s">
        <v>1469</v>
      </c>
      <c r="F1689" s="23">
        <v>1582072</v>
      </c>
    </row>
    <row r="1690" spans="1:6" ht="16" customHeight="1" x14ac:dyDescent="0.2">
      <c r="A1690">
        <f>IFERROR(VLOOKUP(C1690,'GASB Match'!$D$2:$F$6042,3,FALSE),"")</f>
        <v>3405400</v>
      </c>
      <c r="B1690" s="17">
        <v>2023</v>
      </c>
      <c r="C1690" s="21" t="s">
        <v>1279</v>
      </c>
      <c r="D1690" s="17">
        <v>776</v>
      </c>
      <c r="E1690" s="17" t="s">
        <v>1469</v>
      </c>
      <c r="F1690" s="23">
        <v>1625807</v>
      </c>
    </row>
    <row r="1691" spans="1:6" ht="16" customHeight="1" x14ac:dyDescent="0.2">
      <c r="A1691">
        <f>IFERROR(VLOOKUP(C1691,'GASB Match'!$D$2:$F$6042,3,FALSE),"")</f>
        <v>3405400</v>
      </c>
      <c r="B1691" s="28">
        <v>2017</v>
      </c>
      <c r="C1691" s="29" t="s">
        <v>586</v>
      </c>
      <c r="D1691" s="17">
        <v>776</v>
      </c>
      <c r="E1691" s="17" t="s">
        <v>1426</v>
      </c>
      <c r="F1691" s="29">
        <v>414331</v>
      </c>
    </row>
    <row r="1692" spans="1:6" ht="16" customHeight="1" x14ac:dyDescent="0.2">
      <c r="A1692">
        <f>IFERROR(VLOOKUP(C1692,'GASB Match'!$D$2:$F$6042,3,FALSE),"")</f>
        <v>3405370</v>
      </c>
      <c r="B1692" s="17">
        <v>2015</v>
      </c>
      <c r="C1692" s="17" t="s">
        <v>51</v>
      </c>
      <c r="D1692" s="17">
        <v>2042</v>
      </c>
      <c r="E1692" s="17" t="s">
        <v>1402</v>
      </c>
      <c r="F1692" s="20">
        <v>697694</v>
      </c>
    </row>
    <row r="1693" spans="1:6" ht="16" customHeight="1" x14ac:dyDescent="0.2">
      <c r="A1693">
        <f>IFERROR(VLOOKUP(C1693,'GASB Match'!$D$2:$F$6042,3,FALSE),"")</f>
        <v>3405370</v>
      </c>
      <c r="B1693" s="17">
        <v>2016</v>
      </c>
      <c r="C1693" s="17" t="s">
        <v>51</v>
      </c>
      <c r="D1693" s="17">
        <v>2042</v>
      </c>
      <c r="E1693" s="17" t="s">
        <v>1402</v>
      </c>
      <c r="F1693" s="20">
        <v>1025550</v>
      </c>
    </row>
    <row r="1694" spans="1:6" ht="16" customHeight="1" x14ac:dyDescent="0.2">
      <c r="A1694">
        <f>IFERROR(VLOOKUP(C1694,'GASB Match'!$D$2:$F$6042,3,FALSE),"")</f>
        <v>3405370</v>
      </c>
      <c r="B1694" s="17">
        <v>2018</v>
      </c>
      <c r="C1694" s="17" t="s">
        <v>729</v>
      </c>
      <c r="D1694" s="17">
        <v>2042</v>
      </c>
      <c r="E1694" s="17" t="s">
        <v>1443</v>
      </c>
      <c r="F1694" s="20">
        <v>1941743</v>
      </c>
    </row>
    <row r="1695" spans="1:6" ht="16" customHeight="1" x14ac:dyDescent="0.2">
      <c r="A1695">
        <f>IFERROR(VLOOKUP(C1695,'GASB Match'!$D$2:$F$6042,3,FALSE),"")</f>
        <v>3405370</v>
      </c>
      <c r="B1695" s="17">
        <v>2019</v>
      </c>
      <c r="C1695" s="17" t="s">
        <v>729</v>
      </c>
      <c r="D1695" s="17">
        <v>2042</v>
      </c>
      <c r="E1695" s="17" t="s">
        <v>1443</v>
      </c>
      <c r="F1695" s="20">
        <v>2572702</v>
      </c>
    </row>
    <row r="1696" spans="1:6" ht="16" customHeight="1" x14ac:dyDescent="0.2">
      <c r="A1696">
        <f>IFERROR(VLOOKUP(C1696,'GASB Match'!$D$2:$F$6042,3,FALSE),"")</f>
        <v>3405370</v>
      </c>
      <c r="B1696" s="17">
        <v>2020</v>
      </c>
      <c r="C1696" s="21" t="s">
        <v>729</v>
      </c>
      <c r="D1696" s="17">
        <v>2042</v>
      </c>
      <c r="E1696" s="17" t="s">
        <v>1443</v>
      </c>
      <c r="F1696" s="23">
        <v>2810535</v>
      </c>
    </row>
    <row r="1697" spans="1:6" ht="16" customHeight="1" x14ac:dyDescent="0.2">
      <c r="A1697">
        <f>IFERROR(VLOOKUP(C1697,'GASB Match'!$D$2:$F$6042,3,FALSE),"")</f>
        <v>3405370</v>
      </c>
      <c r="B1697" s="17">
        <v>2021</v>
      </c>
      <c r="C1697" s="25" t="s">
        <v>729</v>
      </c>
      <c r="D1697" s="17">
        <v>2042</v>
      </c>
      <c r="E1697" s="17" t="s">
        <v>1443</v>
      </c>
      <c r="F1697" s="23">
        <v>3321436</v>
      </c>
    </row>
    <row r="1698" spans="1:6" ht="16" customHeight="1" x14ac:dyDescent="0.2">
      <c r="A1698">
        <f>IFERROR(VLOOKUP(C1698,'GASB Match'!$D$2:$F$6042,3,FALSE),"")</f>
        <v>3405370</v>
      </c>
      <c r="B1698" s="17">
        <v>2022</v>
      </c>
      <c r="C1698" s="21" t="s">
        <v>729</v>
      </c>
      <c r="D1698" s="17">
        <v>2042</v>
      </c>
      <c r="E1698" s="17" t="s">
        <v>1443</v>
      </c>
      <c r="F1698" s="23">
        <v>5117241</v>
      </c>
    </row>
    <row r="1699" spans="1:6" ht="16" customHeight="1" x14ac:dyDescent="0.2">
      <c r="A1699">
        <f>IFERROR(VLOOKUP(C1699,'GASB Match'!$D$2:$F$6042,3,FALSE),"")</f>
        <v>3405370</v>
      </c>
      <c r="B1699" s="17">
        <v>2023</v>
      </c>
      <c r="C1699" s="21" t="s">
        <v>729</v>
      </c>
      <c r="D1699" s="17">
        <v>2042</v>
      </c>
      <c r="E1699" s="17" t="s">
        <v>1443</v>
      </c>
      <c r="F1699" s="23">
        <v>5155234</v>
      </c>
    </row>
    <row r="1700" spans="1:6" ht="16" customHeight="1" x14ac:dyDescent="0.2">
      <c r="A1700">
        <f>IFERROR(VLOOKUP(C1700,'GASB Match'!$D$2:$F$6042,3,FALSE),"")</f>
        <v>3405370</v>
      </c>
      <c r="B1700" s="28">
        <v>2017</v>
      </c>
      <c r="C1700" s="29" t="s">
        <v>51</v>
      </c>
      <c r="D1700" s="17">
        <v>2042</v>
      </c>
      <c r="E1700" s="17" t="s">
        <v>1402</v>
      </c>
      <c r="F1700" s="29">
        <v>1471587</v>
      </c>
    </row>
    <row r="1701" spans="1:6" ht="16" customHeight="1" x14ac:dyDescent="0.2">
      <c r="A1701">
        <f>IFERROR(VLOOKUP(C1701,'GASB Match'!$D$2:$F$6042,3,FALSE),"")</f>
        <v>3405430</v>
      </c>
      <c r="B1701" s="17">
        <v>2015</v>
      </c>
      <c r="C1701" s="17" t="s">
        <v>279</v>
      </c>
      <c r="D1701" s="17">
        <v>7015</v>
      </c>
      <c r="E1701" s="17" t="s">
        <v>1412</v>
      </c>
      <c r="F1701" s="20">
        <v>429213</v>
      </c>
    </row>
    <row r="1702" spans="1:6" ht="16" customHeight="1" x14ac:dyDescent="0.2">
      <c r="A1702">
        <f>IFERROR(VLOOKUP(C1702,'GASB Match'!$D$2:$F$6042,3,FALSE),"")</f>
        <v>3405430</v>
      </c>
      <c r="B1702" s="17">
        <v>2016</v>
      </c>
      <c r="C1702" s="17" t="s">
        <v>279</v>
      </c>
      <c r="D1702" s="17">
        <v>7015</v>
      </c>
      <c r="E1702" s="17" t="s">
        <v>1412</v>
      </c>
      <c r="F1702" s="20">
        <v>643552</v>
      </c>
    </row>
    <row r="1703" spans="1:6" ht="16" customHeight="1" x14ac:dyDescent="0.2">
      <c r="A1703">
        <f>IFERROR(VLOOKUP(C1703,'GASB Match'!$D$2:$F$6042,3,FALSE),"")</f>
        <v>3405430</v>
      </c>
      <c r="B1703" s="17">
        <v>2018</v>
      </c>
      <c r="C1703" s="17" t="s">
        <v>969</v>
      </c>
      <c r="D1703" s="17">
        <v>7015</v>
      </c>
      <c r="E1703" s="17" t="s">
        <v>1454</v>
      </c>
      <c r="F1703" s="20">
        <v>1211992</v>
      </c>
    </row>
    <row r="1704" spans="1:6" ht="16" customHeight="1" x14ac:dyDescent="0.2">
      <c r="A1704">
        <f>IFERROR(VLOOKUP(C1704,'GASB Match'!$D$2:$F$6042,3,FALSE),"")</f>
        <v>3405430</v>
      </c>
      <c r="B1704" s="17">
        <v>2020</v>
      </c>
      <c r="C1704" s="21" t="s">
        <v>969</v>
      </c>
      <c r="D1704" s="17">
        <v>7015</v>
      </c>
      <c r="E1704" s="17" t="s">
        <v>1454</v>
      </c>
      <c r="F1704" s="23">
        <v>1753388</v>
      </c>
    </row>
    <row r="1705" spans="1:6" ht="16" customHeight="1" x14ac:dyDescent="0.2">
      <c r="A1705">
        <f>IFERROR(VLOOKUP(C1705,'GASB Match'!$D$2:$F$6042,3,FALSE),"")</f>
        <v>3405430</v>
      </c>
      <c r="B1705" s="17">
        <v>2021</v>
      </c>
      <c r="C1705" s="25" t="s">
        <v>969</v>
      </c>
      <c r="D1705" s="17">
        <v>7015</v>
      </c>
      <c r="E1705" s="17" t="s">
        <v>1454</v>
      </c>
      <c r="F1705" s="23">
        <v>2309168</v>
      </c>
    </row>
    <row r="1706" spans="1:6" ht="16" customHeight="1" x14ac:dyDescent="0.2">
      <c r="A1706">
        <f>IFERROR(VLOOKUP(C1706,'GASB Match'!$D$2:$F$6042,3,FALSE),"")</f>
        <v>3405430</v>
      </c>
      <c r="B1706" s="17">
        <v>2022</v>
      </c>
      <c r="C1706" s="21" t="s">
        <v>969</v>
      </c>
      <c r="D1706" s="17">
        <v>7015</v>
      </c>
      <c r="E1706" s="17" t="s">
        <v>1454</v>
      </c>
      <c r="F1706" s="23">
        <v>3212690</v>
      </c>
    </row>
    <row r="1707" spans="1:6" ht="16" customHeight="1" x14ac:dyDescent="0.2">
      <c r="A1707">
        <f>IFERROR(VLOOKUP(C1707,'GASB Match'!$D$2:$F$6042,3,FALSE),"")</f>
        <v>3405430</v>
      </c>
      <c r="B1707" s="17">
        <v>2023</v>
      </c>
      <c r="C1707" s="21" t="s">
        <v>969</v>
      </c>
      <c r="D1707" s="17">
        <v>7015</v>
      </c>
      <c r="E1707" s="17" t="s">
        <v>1454</v>
      </c>
      <c r="F1707" s="23">
        <v>3194469</v>
      </c>
    </row>
    <row r="1708" spans="1:6" ht="16" customHeight="1" x14ac:dyDescent="0.2">
      <c r="A1708">
        <f>IFERROR(VLOOKUP(C1708,'GASB Match'!$D$2:$F$6042,3,FALSE),"")</f>
        <v>3405430</v>
      </c>
      <c r="B1708" s="28">
        <v>2017</v>
      </c>
      <c r="C1708" s="29" t="s">
        <v>279</v>
      </c>
      <c r="D1708" s="17">
        <v>7015</v>
      </c>
      <c r="E1708" s="17" t="s">
        <v>1412</v>
      </c>
      <c r="F1708" s="29">
        <v>908134</v>
      </c>
    </row>
    <row r="1709" spans="1:6" ht="16" customHeight="1" x14ac:dyDescent="0.2">
      <c r="A1709">
        <f>IFERROR(VLOOKUP(C1709,'GASB Match'!$D$2:$F$6042,3,FALSE),"")</f>
        <v>3405430</v>
      </c>
      <c r="B1709" s="17">
        <v>2019</v>
      </c>
      <c r="C1709" s="17" t="s">
        <v>1361</v>
      </c>
      <c r="D1709" s="17">
        <v>7015</v>
      </c>
      <c r="E1709" s="17" t="s">
        <v>1454</v>
      </c>
      <c r="F1709" s="20">
        <v>1660902</v>
      </c>
    </row>
    <row r="1710" spans="1:6" ht="16" customHeight="1" x14ac:dyDescent="0.2">
      <c r="A1710">
        <f>IFERROR(VLOOKUP(C1710,'GASB Match'!$D$2:$F$6042,3,FALSE),"")</f>
        <v>3405460</v>
      </c>
      <c r="B1710" s="17">
        <v>2019</v>
      </c>
      <c r="C1710" s="17" t="s">
        <v>1368</v>
      </c>
      <c r="D1710" s="17">
        <v>9019</v>
      </c>
      <c r="E1710" s="17" t="s">
        <v>1458</v>
      </c>
      <c r="F1710" s="20">
        <v>488571</v>
      </c>
    </row>
    <row r="1711" spans="1:6" ht="16" customHeight="1" x14ac:dyDescent="0.2">
      <c r="A1711">
        <f>IFERROR(VLOOKUP(C1711,'GASB Match'!$D$2:$F$6042,3,FALSE),"")</f>
        <v>3405460</v>
      </c>
      <c r="B1711" s="17">
        <v>2015</v>
      </c>
      <c r="C1711" s="17" t="s">
        <v>335</v>
      </c>
      <c r="D1711" s="17">
        <v>9019</v>
      </c>
      <c r="E1711" s="17" t="s">
        <v>1415</v>
      </c>
      <c r="F1711" s="20">
        <v>107900</v>
      </c>
    </row>
    <row r="1712" spans="1:6" ht="16" customHeight="1" x14ac:dyDescent="0.2">
      <c r="A1712">
        <f>IFERROR(VLOOKUP(C1712,'GASB Match'!$D$2:$F$6042,3,FALSE),"")</f>
        <v>3405460</v>
      </c>
      <c r="B1712" s="17">
        <v>2016</v>
      </c>
      <c r="C1712" s="17" t="s">
        <v>335</v>
      </c>
      <c r="D1712" s="17">
        <v>9019</v>
      </c>
      <c r="E1712" s="17" t="s">
        <v>1415</v>
      </c>
      <c r="F1712" s="20">
        <v>182067</v>
      </c>
    </row>
    <row r="1713" spans="1:6" ht="16" customHeight="1" x14ac:dyDescent="0.2">
      <c r="A1713">
        <f>IFERROR(VLOOKUP(C1713,'GASB Match'!$D$2:$F$6042,3,FALSE),"")</f>
        <v>3405460</v>
      </c>
      <c r="B1713" s="17">
        <v>2018</v>
      </c>
      <c r="C1713" s="17" t="s">
        <v>1028</v>
      </c>
      <c r="D1713" s="17">
        <v>9019</v>
      </c>
      <c r="E1713" s="17" t="s">
        <v>1458</v>
      </c>
      <c r="F1713" s="20">
        <v>385353</v>
      </c>
    </row>
    <row r="1714" spans="1:6" ht="16" customHeight="1" x14ac:dyDescent="0.2">
      <c r="A1714">
        <f>IFERROR(VLOOKUP(C1714,'GASB Match'!$D$2:$F$6042,3,FALSE),"")</f>
        <v>3405460</v>
      </c>
      <c r="B1714" s="17">
        <v>2020</v>
      </c>
      <c r="C1714" s="21" t="s">
        <v>1028</v>
      </c>
      <c r="D1714" s="17">
        <v>9019</v>
      </c>
      <c r="E1714" s="17" t="s">
        <v>1458</v>
      </c>
      <c r="F1714" s="23">
        <v>484848</v>
      </c>
    </row>
    <row r="1715" spans="1:6" ht="16" customHeight="1" x14ac:dyDescent="0.2">
      <c r="A1715">
        <f>IFERROR(VLOOKUP(C1715,'GASB Match'!$D$2:$F$6042,3,FALSE),"")</f>
        <v>3405460</v>
      </c>
      <c r="B1715" s="17">
        <v>2021</v>
      </c>
      <c r="C1715" s="25" t="s">
        <v>1028</v>
      </c>
      <c r="D1715" s="17">
        <v>9019</v>
      </c>
      <c r="E1715" s="17" t="s">
        <v>1458</v>
      </c>
      <c r="F1715" s="23">
        <v>630282</v>
      </c>
    </row>
    <row r="1716" spans="1:6" ht="16" customHeight="1" x14ac:dyDescent="0.2">
      <c r="A1716">
        <f>IFERROR(VLOOKUP(C1716,'GASB Match'!$D$2:$F$6042,3,FALSE),"")</f>
        <v>3405460</v>
      </c>
      <c r="B1716" s="17">
        <v>2022</v>
      </c>
      <c r="C1716" s="21" t="s">
        <v>1028</v>
      </c>
      <c r="D1716" s="17">
        <v>9019</v>
      </c>
      <c r="E1716" s="17" t="s">
        <v>1458</v>
      </c>
      <c r="F1716" s="23">
        <v>858681</v>
      </c>
    </row>
    <row r="1717" spans="1:6" ht="16" customHeight="1" x14ac:dyDescent="0.2">
      <c r="A1717">
        <f>IFERROR(VLOOKUP(C1717,'GASB Match'!$D$2:$F$6042,3,FALSE),"")</f>
        <v>3405460</v>
      </c>
      <c r="B1717" s="17">
        <v>2023</v>
      </c>
      <c r="C1717" s="21" t="s">
        <v>1028</v>
      </c>
      <c r="D1717" s="17">
        <v>9019</v>
      </c>
      <c r="E1717" s="17" t="s">
        <v>1458</v>
      </c>
      <c r="F1717" s="23">
        <v>907046</v>
      </c>
    </row>
    <row r="1718" spans="1:6" ht="16" customHeight="1" x14ac:dyDescent="0.2">
      <c r="A1718">
        <f>IFERROR(VLOOKUP(C1718,'GASB Match'!$D$2:$F$6042,3,FALSE),"")</f>
        <v>3405460</v>
      </c>
      <c r="B1718" s="28">
        <v>2017</v>
      </c>
      <c r="C1718" s="29" t="s">
        <v>335</v>
      </c>
      <c r="D1718" s="17">
        <v>9019</v>
      </c>
      <c r="E1718" s="17" t="s">
        <v>1415</v>
      </c>
      <c r="F1718" s="29">
        <v>258096</v>
      </c>
    </row>
    <row r="1719" spans="1:6" ht="16" customHeight="1" x14ac:dyDescent="0.2">
      <c r="A1719">
        <f>IFERROR(VLOOKUP(C1719,'GASB Match'!$D$2:$F$6042,3,FALSE),"")</f>
        <v>3405490</v>
      </c>
      <c r="B1719" s="17">
        <v>2019</v>
      </c>
      <c r="C1719" s="17" t="s">
        <v>1369</v>
      </c>
      <c r="D1719" s="17">
        <v>748</v>
      </c>
      <c r="E1719" s="17" t="s">
        <v>1468</v>
      </c>
      <c r="F1719" s="20">
        <v>10598819</v>
      </c>
    </row>
    <row r="1720" spans="1:6" ht="16" customHeight="1" x14ac:dyDescent="0.2">
      <c r="A1720">
        <f>IFERROR(VLOOKUP(C1720,'GASB Match'!$D$2:$F$6042,3,FALSE),"")</f>
        <v>3405490</v>
      </c>
      <c r="B1720" s="17">
        <v>2015</v>
      </c>
      <c r="C1720" s="17" t="s">
        <v>569</v>
      </c>
      <c r="D1720" s="17">
        <v>748</v>
      </c>
      <c r="E1720" s="17" t="s">
        <v>1425</v>
      </c>
      <c r="F1720" s="20">
        <v>2843588</v>
      </c>
    </row>
    <row r="1721" spans="1:6" ht="16" customHeight="1" x14ac:dyDescent="0.2">
      <c r="A1721">
        <f>IFERROR(VLOOKUP(C1721,'GASB Match'!$D$2:$F$6042,3,FALSE),"")</f>
        <v>3405490</v>
      </c>
      <c r="B1721" s="17">
        <v>2016</v>
      </c>
      <c r="C1721" s="17" t="s">
        <v>569</v>
      </c>
      <c r="D1721" s="17">
        <v>748</v>
      </c>
      <c r="E1721" s="17" t="s">
        <v>1425</v>
      </c>
      <c r="F1721" s="20">
        <v>4104210</v>
      </c>
    </row>
    <row r="1722" spans="1:6" ht="16" customHeight="1" x14ac:dyDescent="0.2">
      <c r="A1722">
        <f>IFERROR(VLOOKUP(C1722,'GASB Match'!$D$2:$F$6042,3,FALSE),"")</f>
        <v>3405490</v>
      </c>
      <c r="B1722" s="17">
        <v>2018</v>
      </c>
      <c r="C1722" s="17" t="s">
        <v>1261</v>
      </c>
      <c r="D1722" s="17">
        <v>748</v>
      </c>
      <c r="E1722" s="17" t="s">
        <v>1468</v>
      </c>
      <c r="F1722" s="20">
        <v>8064763</v>
      </c>
    </row>
    <row r="1723" spans="1:6" ht="16" customHeight="1" x14ac:dyDescent="0.2">
      <c r="A1723">
        <f>IFERROR(VLOOKUP(C1723,'GASB Match'!$D$2:$F$6042,3,FALSE),"")</f>
        <v>3405490</v>
      </c>
      <c r="B1723" s="17">
        <v>2020</v>
      </c>
      <c r="C1723" s="21" t="s">
        <v>1261</v>
      </c>
      <c r="D1723" s="17">
        <v>748</v>
      </c>
      <c r="E1723" s="17" t="s">
        <v>1468</v>
      </c>
      <c r="F1723" s="23">
        <v>11766052</v>
      </c>
    </row>
    <row r="1724" spans="1:6" ht="16" customHeight="1" x14ac:dyDescent="0.2">
      <c r="A1724">
        <f>IFERROR(VLOOKUP(C1724,'GASB Match'!$D$2:$F$6042,3,FALSE),"")</f>
        <v>3405490</v>
      </c>
      <c r="B1724" s="17">
        <v>2021</v>
      </c>
      <c r="C1724" s="25" t="s">
        <v>1261</v>
      </c>
      <c r="D1724" s="17">
        <v>748</v>
      </c>
      <c r="E1724" s="17" t="s">
        <v>1468</v>
      </c>
      <c r="F1724" s="23">
        <v>15598822</v>
      </c>
    </row>
    <row r="1725" spans="1:6" ht="16" customHeight="1" x14ac:dyDescent="0.2">
      <c r="A1725">
        <f>IFERROR(VLOOKUP(C1725,'GASB Match'!$D$2:$F$6042,3,FALSE),"")</f>
        <v>3405490</v>
      </c>
      <c r="B1725" s="17">
        <v>2022</v>
      </c>
      <c r="C1725" s="21" t="s">
        <v>1261</v>
      </c>
      <c r="D1725" s="17">
        <v>748</v>
      </c>
      <c r="E1725" s="17" t="s">
        <v>1468</v>
      </c>
      <c r="F1725" s="23">
        <v>22069890</v>
      </c>
    </row>
    <row r="1726" spans="1:6" ht="16" customHeight="1" x14ac:dyDescent="0.2">
      <c r="A1726">
        <f>IFERROR(VLOOKUP(C1726,'GASB Match'!$D$2:$F$6042,3,FALSE),"")</f>
        <v>3405490</v>
      </c>
      <c r="B1726" s="17">
        <v>2023</v>
      </c>
      <c r="C1726" s="21" t="s">
        <v>1261</v>
      </c>
      <c r="D1726" s="17">
        <v>748</v>
      </c>
      <c r="E1726" s="17" t="s">
        <v>1468</v>
      </c>
      <c r="F1726" s="23">
        <v>21594563</v>
      </c>
    </row>
    <row r="1727" spans="1:6" ht="16" customHeight="1" x14ac:dyDescent="0.2">
      <c r="A1727">
        <f>IFERROR(VLOOKUP(C1727,'GASB Match'!$D$2:$F$6042,3,FALSE),"")</f>
        <v>3405490</v>
      </c>
      <c r="B1727" s="28">
        <v>2017</v>
      </c>
      <c r="C1727" s="29" t="s">
        <v>569</v>
      </c>
      <c r="D1727" s="17">
        <v>748</v>
      </c>
      <c r="E1727" s="17" t="s">
        <v>1425</v>
      </c>
      <c r="F1727" s="29">
        <v>5806181</v>
      </c>
    </row>
    <row r="1728" spans="1:6" ht="16" customHeight="1" x14ac:dyDescent="0.2">
      <c r="A1728">
        <f>IFERROR(VLOOKUP(C1728,'GASB Match'!$D$2:$F$6042,3,FALSE),"")</f>
        <v>3405520</v>
      </c>
      <c r="B1728" s="17">
        <v>2015</v>
      </c>
      <c r="C1728" s="17" t="s">
        <v>641</v>
      </c>
      <c r="D1728" s="17">
        <v>915</v>
      </c>
      <c r="E1728" s="17" t="s">
        <v>1429</v>
      </c>
      <c r="F1728" s="20">
        <v>117549</v>
      </c>
    </row>
    <row r="1729" spans="1:6" ht="16" customHeight="1" x14ac:dyDescent="0.2">
      <c r="A1729">
        <f>IFERROR(VLOOKUP(C1729,'GASB Match'!$D$2:$F$6042,3,FALSE),"")</f>
        <v>3405520</v>
      </c>
      <c r="B1729" s="17">
        <v>2016</v>
      </c>
      <c r="C1729" s="17" t="s">
        <v>641</v>
      </c>
      <c r="D1729" s="17">
        <v>915</v>
      </c>
      <c r="E1729" s="17" t="s">
        <v>1429</v>
      </c>
      <c r="F1729" s="20">
        <v>168561</v>
      </c>
    </row>
    <row r="1730" spans="1:6" ht="16" customHeight="1" x14ac:dyDescent="0.2">
      <c r="A1730">
        <f>IFERROR(VLOOKUP(C1730,'GASB Match'!$D$2:$F$6042,3,FALSE),"")</f>
        <v>3405520</v>
      </c>
      <c r="B1730" s="17">
        <v>2018</v>
      </c>
      <c r="C1730" s="17" t="s">
        <v>1334</v>
      </c>
      <c r="D1730" s="17">
        <v>915</v>
      </c>
      <c r="E1730" s="17" t="s">
        <v>1472</v>
      </c>
      <c r="F1730" s="20">
        <v>308271</v>
      </c>
    </row>
    <row r="1731" spans="1:6" ht="16" customHeight="1" x14ac:dyDescent="0.2">
      <c r="A1731">
        <f>IFERROR(VLOOKUP(C1731,'GASB Match'!$D$2:$F$6042,3,FALSE),"")</f>
        <v>3405520</v>
      </c>
      <c r="B1731" s="17">
        <v>2019</v>
      </c>
      <c r="C1731" s="17" t="s">
        <v>1334</v>
      </c>
      <c r="D1731" s="17">
        <v>915</v>
      </c>
      <c r="E1731" s="17" t="s">
        <v>1472</v>
      </c>
      <c r="F1731" s="20">
        <v>412292</v>
      </c>
    </row>
    <row r="1732" spans="1:6" ht="16" customHeight="1" x14ac:dyDescent="0.2">
      <c r="A1732">
        <f>IFERROR(VLOOKUP(C1732,'GASB Match'!$D$2:$F$6042,3,FALSE),"")</f>
        <v>3405520</v>
      </c>
      <c r="B1732" s="17">
        <v>2020</v>
      </c>
      <c r="C1732" s="21" t="s">
        <v>1334</v>
      </c>
      <c r="D1732" s="17">
        <v>915</v>
      </c>
      <c r="E1732" s="17" t="s">
        <v>1472</v>
      </c>
      <c r="F1732" s="23">
        <v>451073</v>
      </c>
    </row>
    <row r="1733" spans="1:6" ht="16" customHeight="1" x14ac:dyDescent="0.2">
      <c r="A1733">
        <f>IFERROR(VLOOKUP(C1733,'GASB Match'!$D$2:$F$6042,3,FALSE),"")</f>
        <v>3405520</v>
      </c>
      <c r="B1733" s="17">
        <v>2021</v>
      </c>
      <c r="C1733" s="25" t="s">
        <v>1334</v>
      </c>
      <c r="D1733" s="17">
        <v>915</v>
      </c>
      <c r="E1733" s="17" t="s">
        <v>1472</v>
      </c>
      <c r="F1733" s="23">
        <v>569952</v>
      </c>
    </row>
    <row r="1734" spans="1:6" ht="16" customHeight="1" x14ac:dyDescent="0.2">
      <c r="A1734">
        <f>IFERROR(VLOOKUP(C1734,'GASB Match'!$D$2:$F$6042,3,FALSE),"")</f>
        <v>3405520</v>
      </c>
      <c r="B1734" s="17">
        <v>2022</v>
      </c>
      <c r="C1734" s="21" t="s">
        <v>1334</v>
      </c>
      <c r="D1734" s="17">
        <v>915</v>
      </c>
      <c r="E1734" s="17" t="s">
        <v>1472</v>
      </c>
      <c r="F1734" s="23">
        <v>798828</v>
      </c>
    </row>
    <row r="1735" spans="1:6" ht="16" customHeight="1" x14ac:dyDescent="0.2">
      <c r="A1735">
        <f>IFERROR(VLOOKUP(C1735,'GASB Match'!$D$2:$F$6042,3,FALSE),"")</f>
        <v>3405520</v>
      </c>
      <c r="B1735" s="17">
        <v>2023</v>
      </c>
      <c r="C1735" s="21" t="s">
        <v>1334</v>
      </c>
      <c r="D1735" s="17">
        <v>915</v>
      </c>
      <c r="E1735" s="17" t="s">
        <v>1472</v>
      </c>
      <c r="F1735" s="23">
        <v>811453</v>
      </c>
    </row>
    <row r="1736" spans="1:6" ht="16" customHeight="1" x14ac:dyDescent="0.2">
      <c r="A1736">
        <f>IFERROR(VLOOKUP(C1736,'GASB Match'!$D$2:$F$6042,3,FALSE),"")</f>
        <v>3405520</v>
      </c>
      <c r="B1736" s="28">
        <v>2017</v>
      </c>
      <c r="C1736" s="29" t="s">
        <v>641</v>
      </c>
      <c r="D1736" s="17">
        <v>915</v>
      </c>
      <c r="E1736" s="17" t="s">
        <v>1429</v>
      </c>
      <c r="F1736" s="29">
        <v>215336</v>
      </c>
    </row>
    <row r="1737" spans="1:6" ht="16" customHeight="1" x14ac:dyDescent="0.2">
      <c r="A1737">
        <f>IFERROR(VLOOKUP(C1737,'GASB Match'!$D$2:$F$6042,3,FALSE),"")</f>
        <v>3405550</v>
      </c>
      <c r="B1737" s="17">
        <v>2015</v>
      </c>
      <c r="C1737" s="17" t="s">
        <v>587</v>
      </c>
      <c r="D1737" s="17">
        <v>777</v>
      </c>
      <c r="E1737" s="17" t="s">
        <v>1426</v>
      </c>
      <c r="F1737" s="20">
        <v>105744</v>
      </c>
    </row>
    <row r="1738" spans="1:6" ht="16" customHeight="1" x14ac:dyDescent="0.2">
      <c r="A1738">
        <f>IFERROR(VLOOKUP(C1738,'GASB Match'!$D$2:$F$6042,3,FALSE),"")</f>
        <v>3405550</v>
      </c>
      <c r="B1738" s="17">
        <v>2016</v>
      </c>
      <c r="C1738" s="17" t="s">
        <v>587</v>
      </c>
      <c r="D1738" s="17">
        <v>777</v>
      </c>
      <c r="E1738" s="17" t="s">
        <v>1426</v>
      </c>
      <c r="F1738" s="20">
        <v>136754</v>
      </c>
    </row>
    <row r="1739" spans="1:6" ht="16" customHeight="1" x14ac:dyDescent="0.2">
      <c r="A1739">
        <f>IFERROR(VLOOKUP(C1739,'GASB Match'!$D$2:$F$6042,3,FALSE),"")</f>
        <v>3405550</v>
      </c>
      <c r="B1739" s="17">
        <v>2018</v>
      </c>
      <c r="C1739" s="17" t="s">
        <v>1280</v>
      </c>
      <c r="D1739" s="17">
        <v>777</v>
      </c>
      <c r="E1739" s="17" t="s">
        <v>1469</v>
      </c>
      <c r="F1739" s="20">
        <v>260556</v>
      </c>
    </row>
    <row r="1740" spans="1:6" ht="16" customHeight="1" x14ac:dyDescent="0.2">
      <c r="A1740">
        <f>IFERROR(VLOOKUP(C1740,'GASB Match'!$D$2:$F$6042,3,FALSE),"")</f>
        <v>3405550</v>
      </c>
      <c r="B1740" s="17">
        <v>2019</v>
      </c>
      <c r="C1740" s="17" t="s">
        <v>1280</v>
      </c>
      <c r="D1740" s="17">
        <v>777</v>
      </c>
      <c r="E1740" s="17" t="s">
        <v>1469</v>
      </c>
      <c r="F1740" s="20">
        <v>324083</v>
      </c>
    </row>
    <row r="1741" spans="1:6" ht="16" customHeight="1" x14ac:dyDescent="0.2">
      <c r="A1741">
        <f>IFERROR(VLOOKUP(C1741,'GASB Match'!$D$2:$F$6042,3,FALSE),"")</f>
        <v>3405550</v>
      </c>
      <c r="B1741" s="17">
        <v>2020</v>
      </c>
      <c r="C1741" s="21" t="s">
        <v>1280</v>
      </c>
      <c r="D1741" s="17">
        <v>777</v>
      </c>
      <c r="E1741" s="17" t="s">
        <v>1469</v>
      </c>
      <c r="F1741" s="23">
        <v>373960</v>
      </c>
    </row>
    <row r="1742" spans="1:6" ht="16" customHeight="1" x14ac:dyDescent="0.2">
      <c r="A1742">
        <f>IFERROR(VLOOKUP(C1742,'GASB Match'!$D$2:$F$6042,3,FALSE),"")</f>
        <v>3405550</v>
      </c>
      <c r="B1742" s="17">
        <v>2021</v>
      </c>
      <c r="C1742" s="25" t="s">
        <v>1280</v>
      </c>
      <c r="D1742" s="17">
        <v>777</v>
      </c>
      <c r="E1742" s="17" t="s">
        <v>1469</v>
      </c>
      <c r="F1742" s="23">
        <v>530112</v>
      </c>
    </row>
    <row r="1743" spans="1:6" ht="16" customHeight="1" x14ac:dyDescent="0.2">
      <c r="A1743">
        <f>IFERROR(VLOOKUP(C1743,'GASB Match'!$D$2:$F$6042,3,FALSE),"")</f>
        <v>3405550</v>
      </c>
      <c r="B1743" s="17">
        <v>2022</v>
      </c>
      <c r="C1743" s="21" t="s">
        <v>1280</v>
      </c>
      <c r="D1743" s="17">
        <v>777</v>
      </c>
      <c r="E1743" s="17" t="s">
        <v>1469</v>
      </c>
      <c r="F1743" s="23">
        <v>670599</v>
      </c>
    </row>
    <row r="1744" spans="1:6" ht="16" customHeight="1" x14ac:dyDescent="0.2">
      <c r="A1744">
        <f>IFERROR(VLOOKUP(C1744,'GASB Match'!$D$2:$F$6042,3,FALSE),"")</f>
        <v>3405550</v>
      </c>
      <c r="B1744" s="17">
        <v>2023</v>
      </c>
      <c r="C1744" s="21" t="s">
        <v>1280</v>
      </c>
      <c r="D1744" s="17">
        <v>777</v>
      </c>
      <c r="E1744" s="17" t="s">
        <v>1469</v>
      </c>
      <c r="F1744" s="23">
        <v>418652</v>
      </c>
    </row>
    <row r="1745" spans="1:6" ht="16" customHeight="1" x14ac:dyDescent="0.2">
      <c r="A1745">
        <f>IFERROR(VLOOKUP(C1745,'GASB Match'!$D$2:$F$6042,3,FALSE),"")</f>
        <v>3405550</v>
      </c>
      <c r="B1745" s="28">
        <v>2017</v>
      </c>
      <c r="C1745" s="29" t="s">
        <v>587</v>
      </c>
      <c r="D1745" s="17">
        <v>777</v>
      </c>
      <c r="E1745" s="17" t="s">
        <v>1426</v>
      </c>
      <c r="F1745" s="29">
        <v>202796</v>
      </c>
    </row>
    <row r="1746" spans="1:6" ht="16" customHeight="1" x14ac:dyDescent="0.2">
      <c r="A1746">
        <f>IFERROR(VLOOKUP(C1746,'GASB Match'!$D$2:$F$6042,3,FALSE),"")</f>
        <v>3400080</v>
      </c>
      <c r="B1746" s="17">
        <v>2015</v>
      </c>
      <c r="C1746" s="17" t="s">
        <v>168</v>
      </c>
      <c r="D1746" s="17">
        <v>4075</v>
      </c>
      <c r="E1746" s="17" t="s">
        <v>1405</v>
      </c>
      <c r="F1746" s="20">
        <v>74323</v>
      </c>
    </row>
    <row r="1747" spans="1:6" ht="16" customHeight="1" x14ac:dyDescent="0.2">
      <c r="A1747">
        <f>IFERROR(VLOOKUP(C1747,'GASB Match'!$D$2:$F$6042,3,FALSE),"")</f>
        <v>3400080</v>
      </c>
      <c r="B1747" s="17">
        <v>2016</v>
      </c>
      <c r="C1747" s="17" t="s">
        <v>168</v>
      </c>
      <c r="D1747" s="17">
        <v>4075</v>
      </c>
      <c r="E1747" s="17" t="s">
        <v>1405</v>
      </c>
      <c r="F1747" s="20">
        <v>124246</v>
      </c>
    </row>
    <row r="1748" spans="1:6" ht="16" customHeight="1" x14ac:dyDescent="0.2">
      <c r="A1748">
        <f>IFERROR(VLOOKUP(C1748,'GASB Match'!$D$2:$F$6042,3,FALSE),"")</f>
        <v>3400080</v>
      </c>
      <c r="B1748" s="17">
        <v>2018</v>
      </c>
      <c r="C1748" s="17" t="s">
        <v>851</v>
      </c>
      <c r="D1748" s="17">
        <v>4075</v>
      </c>
      <c r="E1748" s="17" t="s">
        <v>1446</v>
      </c>
      <c r="F1748" s="20">
        <v>617153</v>
      </c>
    </row>
    <row r="1749" spans="1:6" ht="16" customHeight="1" x14ac:dyDescent="0.2">
      <c r="A1749">
        <f>IFERROR(VLOOKUP(C1749,'GASB Match'!$D$2:$F$6042,3,FALSE),"")</f>
        <v>3400080</v>
      </c>
      <c r="B1749" s="17">
        <v>2019</v>
      </c>
      <c r="C1749" s="17" t="s">
        <v>851</v>
      </c>
      <c r="D1749" s="17">
        <v>4075</v>
      </c>
      <c r="E1749" s="17" t="s">
        <v>1446</v>
      </c>
      <c r="F1749" s="20">
        <v>791721</v>
      </c>
    </row>
    <row r="1750" spans="1:6" ht="16" customHeight="1" x14ac:dyDescent="0.2">
      <c r="A1750">
        <f>IFERROR(VLOOKUP(C1750,'GASB Match'!$D$2:$F$6042,3,FALSE),"")</f>
        <v>3400080</v>
      </c>
      <c r="B1750" s="17">
        <v>2020</v>
      </c>
      <c r="C1750" s="21" t="s">
        <v>851</v>
      </c>
      <c r="D1750" s="17">
        <v>4075</v>
      </c>
      <c r="E1750" s="17" t="s">
        <v>1446</v>
      </c>
      <c r="F1750" s="23">
        <v>982676</v>
      </c>
    </row>
    <row r="1751" spans="1:6" ht="16" customHeight="1" x14ac:dyDescent="0.2">
      <c r="A1751">
        <f>IFERROR(VLOOKUP(C1751,'GASB Match'!$D$2:$F$6042,3,FALSE),"")</f>
        <v>3400080</v>
      </c>
      <c r="B1751" s="17">
        <v>2021</v>
      </c>
      <c r="C1751" s="25" t="s">
        <v>851</v>
      </c>
      <c r="D1751" s="17">
        <v>4075</v>
      </c>
      <c r="E1751" s="17" t="s">
        <v>1446</v>
      </c>
      <c r="F1751" s="23">
        <v>1197389</v>
      </c>
    </row>
    <row r="1752" spans="1:6" ht="16" customHeight="1" x14ac:dyDescent="0.2">
      <c r="A1752">
        <f>IFERROR(VLOOKUP(C1752,'GASB Match'!$D$2:$F$6042,3,FALSE),"")</f>
        <v>3400080</v>
      </c>
      <c r="B1752" s="17">
        <v>2022</v>
      </c>
      <c r="C1752" s="21" t="s">
        <v>851</v>
      </c>
      <c r="D1752" s="17">
        <v>4075</v>
      </c>
      <c r="E1752" s="17" t="s">
        <v>1446</v>
      </c>
      <c r="F1752" s="23">
        <v>1488209</v>
      </c>
    </row>
    <row r="1753" spans="1:6" ht="16" customHeight="1" x14ac:dyDescent="0.2">
      <c r="A1753">
        <f>IFERROR(VLOOKUP(C1753,'GASB Match'!$D$2:$F$6042,3,FALSE),"")</f>
        <v>3400080</v>
      </c>
      <c r="B1753" s="17">
        <v>2023</v>
      </c>
      <c r="C1753" s="21" t="s">
        <v>851</v>
      </c>
      <c r="D1753" s="17">
        <v>4075</v>
      </c>
      <c r="E1753" s="17" t="s">
        <v>1446</v>
      </c>
      <c r="F1753" s="23">
        <v>1448445</v>
      </c>
    </row>
    <row r="1754" spans="1:6" ht="16" customHeight="1" x14ac:dyDescent="0.2">
      <c r="A1754">
        <f>IFERROR(VLOOKUP(C1754,'GASB Match'!$D$2:$F$6042,3,FALSE),"")</f>
        <v>3400080</v>
      </c>
      <c r="B1754" s="28">
        <v>2017</v>
      </c>
      <c r="C1754" s="29" t="s">
        <v>168</v>
      </c>
      <c r="D1754" s="17">
        <v>4075</v>
      </c>
      <c r="E1754" s="17" t="s">
        <v>1405</v>
      </c>
      <c r="F1754" s="29">
        <v>340743</v>
      </c>
    </row>
    <row r="1755" spans="1:6" ht="16" customHeight="1" x14ac:dyDescent="0.2">
      <c r="A1755">
        <f>IFERROR(VLOOKUP(C1755,'GASB Match'!$D$2:$F$6042,3,FALSE),"")</f>
        <v>3405580</v>
      </c>
      <c r="B1755" s="17">
        <v>2015</v>
      </c>
      <c r="C1755" s="17" t="s">
        <v>412</v>
      </c>
      <c r="D1755" s="17">
        <v>331</v>
      </c>
      <c r="E1755" s="17" t="s">
        <v>1420</v>
      </c>
      <c r="F1755" s="20">
        <v>433996</v>
      </c>
    </row>
    <row r="1756" spans="1:6" ht="16" customHeight="1" x14ac:dyDescent="0.2">
      <c r="A1756">
        <f>IFERROR(VLOOKUP(C1756,'GASB Match'!$D$2:$F$6042,3,FALSE),"")</f>
        <v>3405580</v>
      </c>
      <c r="B1756" s="17">
        <v>2016</v>
      </c>
      <c r="C1756" s="17" t="s">
        <v>412</v>
      </c>
      <c r="D1756" s="17">
        <v>331</v>
      </c>
      <c r="E1756" s="17" t="s">
        <v>1420</v>
      </c>
      <c r="F1756" s="20">
        <v>685014</v>
      </c>
    </row>
    <row r="1757" spans="1:6" ht="16" customHeight="1" x14ac:dyDescent="0.2">
      <c r="A1757">
        <f>IFERROR(VLOOKUP(C1757,'GASB Match'!$D$2:$F$6042,3,FALSE),"")</f>
        <v>3405580</v>
      </c>
      <c r="B1757" s="17">
        <v>2018</v>
      </c>
      <c r="C1757" s="17" t="s">
        <v>1104</v>
      </c>
      <c r="D1757" s="17">
        <v>331</v>
      </c>
      <c r="E1757" s="17" t="s">
        <v>1463</v>
      </c>
      <c r="F1757" s="20">
        <v>1400201</v>
      </c>
    </row>
    <row r="1758" spans="1:6" ht="16" customHeight="1" x14ac:dyDescent="0.2">
      <c r="A1758">
        <f>IFERROR(VLOOKUP(C1758,'GASB Match'!$D$2:$F$6042,3,FALSE),"")</f>
        <v>3405580</v>
      </c>
      <c r="B1758" s="17">
        <v>2019</v>
      </c>
      <c r="C1758" s="17" t="s">
        <v>1104</v>
      </c>
      <c r="D1758" s="17">
        <v>331</v>
      </c>
      <c r="E1758" s="17" t="s">
        <v>1463</v>
      </c>
      <c r="F1758" s="20">
        <v>1877303</v>
      </c>
    </row>
    <row r="1759" spans="1:6" ht="16" customHeight="1" x14ac:dyDescent="0.2">
      <c r="A1759">
        <f>IFERROR(VLOOKUP(C1759,'GASB Match'!$D$2:$F$6042,3,FALSE),"")</f>
        <v>3405580</v>
      </c>
      <c r="B1759" s="17">
        <v>2020</v>
      </c>
      <c r="C1759" s="21" t="s">
        <v>1104</v>
      </c>
      <c r="D1759" s="17">
        <v>331</v>
      </c>
      <c r="E1759" s="17" t="s">
        <v>1463</v>
      </c>
      <c r="F1759" s="23">
        <v>2170498</v>
      </c>
    </row>
    <row r="1760" spans="1:6" ht="16" customHeight="1" x14ac:dyDescent="0.2">
      <c r="A1760">
        <f>IFERROR(VLOOKUP(C1760,'GASB Match'!$D$2:$F$6042,3,FALSE),"")</f>
        <v>3405580</v>
      </c>
      <c r="B1760" s="17">
        <v>2021</v>
      </c>
      <c r="C1760" s="25" t="s">
        <v>1104</v>
      </c>
      <c r="D1760" s="17">
        <v>331</v>
      </c>
      <c r="E1760" s="17" t="s">
        <v>1463</v>
      </c>
      <c r="F1760" s="23">
        <v>3047711</v>
      </c>
    </row>
    <row r="1761" spans="1:6" ht="16" customHeight="1" x14ac:dyDescent="0.2">
      <c r="A1761">
        <f>IFERROR(VLOOKUP(C1761,'GASB Match'!$D$2:$F$6042,3,FALSE),"")</f>
        <v>3405580</v>
      </c>
      <c r="B1761" s="17">
        <v>2022</v>
      </c>
      <c r="C1761" s="21" t="s">
        <v>1104</v>
      </c>
      <c r="D1761" s="17">
        <v>331</v>
      </c>
      <c r="E1761" s="17" t="s">
        <v>1463</v>
      </c>
      <c r="F1761" s="23">
        <v>4611933</v>
      </c>
    </row>
    <row r="1762" spans="1:6" ht="16" customHeight="1" x14ac:dyDescent="0.2">
      <c r="A1762">
        <f>IFERROR(VLOOKUP(C1762,'GASB Match'!$D$2:$F$6042,3,FALSE),"")</f>
        <v>3405580</v>
      </c>
      <c r="B1762" s="17">
        <v>2023</v>
      </c>
      <c r="C1762" s="21" t="s">
        <v>1104</v>
      </c>
      <c r="D1762" s="17">
        <v>331</v>
      </c>
      <c r="E1762" s="17" t="s">
        <v>1463</v>
      </c>
      <c r="F1762" s="23">
        <v>4486745</v>
      </c>
    </row>
    <row r="1763" spans="1:6" ht="16" customHeight="1" x14ac:dyDescent="0.2">
      <c r="A1763">
        <f>IFERROR(VLOOKUP(C1763,'GASB Match'!$D$2:$F$6042,3,FALSE),"")</f>
        <v>3405580</v>
      </c>
      <c r="B1763" s="28">
        <v>2017</v>
      </c>
      <c r="C1763" s="29" t="s">
        <v>412</v>
      </c>
      <c r="D1763" s="17">
        <v>331</v>
      </c>
      <c r="E1763" s="17" t="s">
        <v>1420</v>
      </c>
      <c r="F1763" s="29">
        <v>1005427</v>
      </c>
    </row>
    <row r="1764" spans="1:6" ht="16" customHeight="1" x14ac:dyDescent="0.2">
      <c r="A1764">
        <f>IFERROR(VLOOKUP(C1764,'GASB Match'!$D$2:$F$6042,3,FALSE),"")</f>
        <v>3405610</v>
      </c>
      <c r="B1764" s="17">
        <v>2015</v>
      </c>
      <c r="C1764" s="17" t="s">
        <v>413</v>
      </c>
      <c r="D1764" s="17">
        <v>370</v>
      </c>
      <c r="E1764" s="17" t="s">
        <v>1420</v>
      </c>
      <c r="F1764" s="20">
        <v>3878244</v>
      </c>
    </row>
    <row r="1765" spans="1:6" ht="16" customHeight="1" x14ac:dyDescent="0.2">
      <c r="A1765">
        <f>IFERROR(VLOOKUP(C1765,'GASB Match'!$D$2:$F$6042,3,FALSE),"")</f>
        <v>3405610</v>
      </c>
      <c r="B1765" s="17">
        <v>2016</v>
      </c>
      <c r="C1765" s="17" t="s">
        <v>413</v>
      </c>
      <c r="D1765" s="17">
        <v>370</v>
      </c>
      <c r="E1765" s="17" t="s">
        <v>1420</v>
      </c>
      <c r="F1765" s="20">
        <v>5857525</v>
      </c>
    </row>
    <row r="1766" spans="1:6" ht="16" customHeight="1" x14ac:dyDescent="0.2">
      <c r="A1766">
        <f>IFERROR(VLOOKUP(C1766,'GASB Match'!$D$2:$F$6042,3,FALSE),"")</f>
        <v>3405610</v>
      </c>
      <c r="B1766" s="17">
        <v>2018</v>
      </c>
      <c r="C1766" s="17" t="s">
        <v>1105</v>
      </c>
      <c r="D1766" s="17">
        <v>370</v>
      </c>
      <c r="E1766" s="17" t="s">
        <v>1463</v>
      </c>
      <c r="F1766" s="20">
        <v>11285108</v>
      </c>
    </row>
    <row r="1767" spans="1:6" ht="16" customHeight="1" x14ac:dyDescent="0.2">
      <c r="A1767">
        <f>IFERROR(VLOOKUP(C1767,'GASB Match'!$D$2:$F$6042,3,FALSE),"")</f>
        <v>3405610</v>
      </c>
      <c r="B1767" s="17">
        <v>2019</v>
      </c>
      <c r="C1767" s="17" t="s">
        <v>1105</v>
      </c>
      <c r="D1767" s="17">
        <v>370</v>
      </c>
      <c r="E1767" s="17" t="s">
        <v>1463</v>
      </c>
      <c r="F1767" s="20">
        <v>14904440</v>
      </c>
    </row>
    <row r="1768" spans="1:6" ht="16" customHeight="1" x14ac:dyDescent="0.2">
      <c r="A1768">
        <f>IFERROR(VLOOKUP(C1768,'GASB Match'!$D$2:$F$6042,3,FALSE),"")</f>
        <v>3405610</v>
      </c>
      <c r="B1768" s="17">
        <v>2020</v>
      </c>
      <c r="C1768" s="21" t="s">
        <v>1105</v>
      </c>
      <c r="D1768" s="17">
        <v>370</v>
      </c>
      <c r="E1768" s="17" t="s">
        <v>1463</v>
      </c>
      <c r="F1768" s="23">
        <v>16693237</v>
      </c>
    </row>
    <row r="1769" spans="1:6" ht="16" customHeight="1" x14ac:dyDescent="0.2">
      <c r="A1769">
        <f>IFERROR(VLOOKUP(C1769,'GASB Match'!$D$2:$F$6042,3,FALSE),"")</f>
        <v>3405610</v>
      </c>
      <c r="B1769" s="17">
        <v>2021</v>
      </c>
      <c r="C1769" s="25" t="s">
        <v>1105</v>
      </c>
      <c r="D1769" s="17">
        <v>370</v>
      </c>
      <c r="E1769" s="17" t="s">
        <v>1463</v>
      </c>
      <c r="F1769" s="23">
        <v>21199063</v>
      </c>
    </row>
    <row r="1770" spans="1:6" ht="16" customHeight="1" x14ac:dyDescent="0.2">
      <c r="A1770">
        <f>IFERROR(VLOOKUP(C1770,'GASB Match'!$D$2:$F$6042,3,FALSE),"")</f>
        <v>3405610</v>
      </c>
      <c r="B1770" s="17">
        <v>2022</v>
      </c>
      <c r="C1770" s="21" t="s">
        <v>1105</v>
      </c>
      <c r="D1770" s="17">
        <v>370</v>
      </c>
      <c r="E1770" s="17" t="s">
        <v>1463</v>
      </c>
      <c r="F1770" s="23">
        <v>29721207</v>
      </c>
    </row>
    <row r="1771" spans="1:6" ht="16" customHeight="1" x14ac:dyDescent="0.2">
      <c r="A1771">
        <f>IFERROR(VLOOKUP(C1771,'GASB Match'!$D$2:$F$6042,3,FALSE),"")</f>
        <v>3405610</v>
      </c>
      <c r="B1771" s="17">
        <v>2023</v>
      </c>
      <c r="C1771" s="21" t="s">
        <v>1105</v>
      </c>
      <c r="D1771" s="17">
        <v>370</v>
      </c>
      <c r="E1771" s="17" t="s">
        <v>1463</v>
      </c>
      <c r="F1771" s="23">
        <v>28932464</v>
      </c>
    </row>
    <row r="1772" spans="1:6" ht="16" customHeight="1" x14ac:dyDescent="0.2">
      <c r="A1772">
        <f>IFERROR(VLOOKUP(C1772,'GASB Match'!$D$2:$F$6042,3,FALSE),"")</f>
        <v>3405610</v>
      </c>
      <c r="B1772" s="28">
        <v>2017</v>
      </c>
      <c r="C1772" s="29" t="s">
        <v>413</v>
      </c>
      <c r="D1772" s="17">
        <v>370</v>
      </c>
      <c r="E1772" s="17" t="s">
        <v>1420</v>
      </c>
      <c r="F1772" s="29">
        <v>8407922</v>
      </c>
    </row>
    <row r="1773" spans="1:6" ht="16" customHeight="1" x14ac:dyDescent="0.2">
      <c r="A1773">
        <f>IFERROR(VLOOKUP(C1773,'GASB Match'!$D$2:$F$6042,3,FALSE),"")</f>
        <v>3405640</v>
      </c>
      <c r="B1773" s="17">
        <v>2015</v>
      </c>
      <c r="C1773" s="17" t="s">
        <v>414</v>
      </c>
      <c r="D1773" s="17">
        <v>332</v>
      </c>
      <c r="E1773" s="17" t="s">
        <v>1420</v>
      </c>
      <c r="F1773" s="20">
        <v>1414447</v>
      </c>
    </row>
    <row r="1774" spans="1:6" ht="16" customHeight="1" x14ac:dyDescent="0.2">
      <c r="A1774">
        <f>IFERROR(VLOOKUP(C1774,'GASB Match'!$D$2:$F$6042,3,FALSE),"")</f>
        <v>3405640</v>
      </c>
      <c r="B1774" s="17">
        <v>2016</v>
      </c>
      <c r="C1774" s="17" t="s">
        <v>414</v>
      </c>
      <c r="D1774" s="17">
        <v>332</v>
      </c>
      <c r="E1774" s="17" t="s">
        <v>1420</v>
      </c>
      <c r="F1774" s="20">
        <v>2193999</v>
      </c>
    </row>
    <row r="1775" spans="1:6" ht="16" customHeight="1" x14ac:dyDescent="0.2">
      <c r="A1775">
        <f>IFERROR(VLOOKUP(C1775,'GASB Match'!$D$2:$F$6042,3,FALSE),"")</f>
        <v>3405640</v>
      </c>
      <c r="B1775" s="17">
        <v>2018</v>
      </c>
      <c r="C1775" s="17" t="s">
        <v>1106</v>
      </c>
      <c r="D1775" s="17">
        <v>332</v>
      </c>
      <c r="E1775" s="17" t="s">
        <v>1463</v>
      </c>
      <c r="F1775" s="20">
        <v>4286759</v>
      </c>
    </row>
    <row r="1776" spans="1:6" ht="16" customHeight="1" x14ac:dyDescent="0.2">
      <c r="A1776">
        <f>IFERROR(VLOOKUP(C1776,'GASB Match'!$D$2:$F$6042,3,FALSE),"")</f>
        <v>3405640</v>
      </c>
      <c r="B1776" s="17">
        <v>2019</v>
      </c>
      <c r="C1776" s="17" t="s">
        <v>1106</v>
      </c>
      <c r="D1776" s="17">
        <v>332</v>
      </c>
      <c r="E1776" s="17" t="s">
        <v>1463</v>
      </c>
      <c r="F1776" s="20">
        <v>5659714</v>
      </c>
    </row>
    <row r="1777" spans="1:6" ht="16" customHeight="1" x14ac:dyDescent="0.2">
      <c r="A1777">
        <f>IFERROR(VLOOKUP(C1777,'GASB Match'!$D$2:$F$6042,3,FALSE),"")</f>
        <v>3405640</v>
      </c>
      <c r="B1777" s="17">
        <v>2020</v>
      </c>
      <c r="C1777" s="21" t="s">
        <v>1106</v>
      </c>
      <c r="D1777" s="17">
        <v>332</v>
      </c>
      <c r="E1777" s="17" t="s">
        <v>1463</v>
      </c>
      <c r="F1777" s="23">
        <v>6431385</v>
      </c>
    </row>
    <row r="1778" spans="1:6" ht="16" customHeight="1" x14ac:dyDescent="0.2">
      <c r="A1778">
        <f>IFERROR(VLOOKUP(C1778,'GASB Match'!$D$2:$F$6042,3,FALSE),"")</f>
        <v>3405640</v>
      </c>
      <c r="B1778" s="17">
        <v>2021</v>
      </c>
      <c r="C1778" s="25" t="s">
        <v>1106</v>
      </c>
      <c r="D1778" s="17">
        <v>332</v>
      </c>
      <c r="E1778" s="17" t="s">
        <v>1463</v>
      </c>
      <c r="F1778" s="23">
        <v>8124408</v>
      </c>
    </row>
    <row r="1779" spans="1:6" ht="16" customHeight="1" x14ac:dyDescent="0.2">
      <c r="A1779">
        <f>IFERROR(VLOOKUP(C1779,'GASB Match'!$D$2:$F$6042,3,FALSE),"")</f>
        <v>3405640</v>
      </c>
      <c r="B1779" s="17">
        <v>2022</v>
      </c>
      <c r="C1779" s="21" t="s">
        <v>1106</v>
      </c>
      <c r="D1779" s="17">
        <v>332</v>
      </c>
      <c r="E1779" s="17" t="s">
        <v>1463</v>
      </c>
      <c r="F1779" s="23">
        <v>11564381</v>
      </c>
    </row>
    <row r="1780" spans="1:6" ht="16" customHeight="1" x14ac:dyDescent="0.2">
      <c r="A1780">
        <f>IFERROR(VLOOKUP(C1780,'GASB Match'!$D$2:$F$6042,3,FALSE),"")</f>
        <v>3405640</v>
      </c>
      <c r="B1780" s="17">
        <v>2023</v>
      </c>
      <c r="C1780" s="21" t="s">
        <v>1106</v>
      </c>
      <c r="D1780" s="17">
        <v>332</v>
      </c>
      <c r="E1780" s="17" t="s">
        <v>1463</v>
      </c>
      <c r="F1780" s="23">
        <v>11612025</v>
      </c>
    </row>
    <row r="1781" spans="1:6" ht="16" customHeight="1" x14ac:dyDescent="0.2">
      <c r="A1781">
        <f>IFERROR(VLOOKUP(C1781,'GASB Match'!$D$2:$F$6042,3,FALSE),"")</f>
        <v>3405640</v>
      </c>
      <c r="B1781" s="28">
        <v>2017</v>
      </c>
      <c r="C1781" s="29" t="s">
        <v>414</v>
      </c>
      <c r="D1781" s="17">
        <v>332</v>
      </c>
      <c r="E1781" s="17" t="s">
        <v>1420</v>
      </c>
      <c r="F1781" s="29">
        <v>3103861</v>
      </c>
    </row>
    <row r="1782" spans="1:6" ht="16" customHeight="1" x14ac:dyDescent="0.2">
      <c r="A1782">
        <f>IFERROR(VLOOKUP(C1782,'GASB Match'!$D$2:$F$6042,3,FALSE),"")</f>
        <v>3405670</v>
      </c>
      <c r="B1782" s="17">
        <v>2015</v>
      </c>
      <c r="C1782" s="17" t="s">
        <v>642</v>
      </c>
      <c r="D1782" s="17">
        <v>916</v>
      </c>
      <c r="E1782" s="17" t="s">
        <v>1429</v>
      </c>
      <c r="F1782" s="19">
        <v>69408</v>
      </c>
    </row>
    <row r="1783" spans="1:6" ht="16" customHeight="1" x14ac:dyDescent="0.2">
      <c r="A1783">
        <f>IFERROR(VLOOKUP(C1783,'GASB Match'!$D$2:$F$6042,3,FALSE),"")</f>
        <v>3405670</v>
      </c>
      <c r="B1783" s="17">
        <v>2016</v>
      </c>
      <c r="C1783" s="17" t="s">
        <v>642</v>
      </c>
      <c r="D1783" s="17">
        <v>916</v>
      </c>
      <c r="E1783" s="17" t="s">
        <v>1429</v>
      </c>
      <c r="F1783" s="20">
        <v>89132</v>
      </c>
    </row>
    <row r="1784" spans="1:6" ht="16" customHeight="1" x14ac:dyDescent="0.2">
      <c r="A1784">
        <f>IFERROR(VLOOKUP(C1784,'GASB Match'!$D$2:$F$6042,3,FALSE),"")</f>
        <v>3405670</v>
      </c>
      <c r="B1784" s="17">
        <v>2018</v>
      </c>
      <c r="C1784" s="17" t="s">
        <v>1335</v>
      </c>
      <c r="D1784" s="17">
        <v>916</v>
      </c>
      <c r="E1784" s="17" t="s">
        <v>1472</v>
      </c>
      <c r="F1784" s="20">
        <v>176405</v>
      </c>
    </row>
    <row r="1785" spans="1:6" ht="16" customHeight="1" x14ac:dyDescent="0.2">
      <c r="A1785">
        <f>IFERROR(VLOOKUP(C1785,'GASB Match'!$D$2:$F$6042,3,FALSE),"")</f>
        <v>3405670</v>
      </c>
      <c r="B1785" s="17">
        <v>2019</v>
      </c>
      <c r="C1785" s="17" t="s">
        <v>1335</v>
      </c>
      <c r="D1785" s="17">
        <v>916</v>
      </c>
      <c r="E1785" s="17" t="s">
        <v>1472</v>
      </c>
      <c r="F1785" s="20">
        <v>145576</v>
      </c>
    </row>
    <row r="1786" spans="1:6" ht="16" customHeight="1" x14ac:dyDescent="0.2">
      <c r="A1786">
        <f>IFERROR(VLOOKUP(C1786,'GASB Match'!$D$2:$F$6042,3,FALSE),"")</f>
        <v>3405670</v>
      </c>
      <c r="B1786" s="17">
        <v>2020</v>
      </c>
      <c r="C1786" s="21" t="s">
        <v>1335</v>
      </c>
      <c r="D1786" s="17">
        <v>916</v>
      </c>
      <c r="E1786" s="17" t="s">
        <v>1472</v>
      </c>
      <c r="F1786" s="23">
        <v>189058</v>
      </c>
    </row>
    <row r="1787" spans="1:6" ht="16" customHeight="1" x14ac:dyDescent="0.2">
      <c r="A1787">
        <f>IFERROR(VLOOKUP(C1787,'GASB Match'!$D$2:$F$6042,3,FALSE),"")</f>
        <v>3405670</v>
      </c>
      <c r="B1787" s="17">
        <v>2021</v>
      </c>
      <c r="C1787" s="25" t="s">
        <v>1335</v>
      </c>
      <c r="D1787" s="17">
        <v>916</v>
      </c>
      <c r="E1787" s="17" t="s">
        <v>1472</v>
      </c>
      <c r="F1787" s="23">
        <v>245260</v>
      </c>
    </row>
    <row r="1788" spans="1:6" ht="16" customHeight="1" x14ac:dyDescent="0.2">
      <c r="A1788">
        <f>IFERROR(VLOOKUP(C1788,'GASB Match'!$D$2:$F$6042,3,FALSE),"")</f>
        <v>3405670</v>
      </c>
      <c r="B1788" s="17">
        <v>2022</v>
      </c>
      <c r="C1788" s="21" t="s">
        <v>1335</v>
      </c>
      <c r="D1788" s="17">
        <v>916</v>
      </c>
      <c r="E1788" s="17" t="s">
        <v>1472</v>
      </c>
      <c r="F1788" s="23">
        <v>330202</v>
      </c>
    </row>
    <row r="1789" spans="1:6" ht="16" customHeight="1" x14ac:dyDescent="0.2">
      <c r="A1789">
        <f>IFERROR(VLOOKUP(C1789,'GASB Match'!$D$2:$F$6042,3,FALSE),"")</f>
        <v>3405670</v>
      </c>
      <c r="B1789" s="17">
        <v>2023</v>
      </c>
      <c r="C1789" s="21" t="s">
        <v>1335</v>
      </c>
      <c r="D1789" s="17">
        <v>916</v>
      </c>
      <c r="E1789" s="17" t="s">
        <v>1472</v>
      </c>
      <c r="F1789" s="23">
        <v>359256</v>
      </c>
    </row>
    <row r="1790" spans="1:6" ht="16" customHeight="1" x14ac:dyDescent="0.2">
      <c r="A1790">
        <f>IFERROR(VLOOKUP(C1790,'GASB Match'!$D$2:$F$6042,3,FALSE),"")</f>
        <v>3405670</v>
      </c>
      <c r="B1790" s="28">
        <v>2017</v>
      </c>
      <c r="C1790" s="29" t="s">
        <v>642</v>
      </c>
      <c r="D1790" s="17">
        <v>916</v>
      </c>
      <c r="E1790" s="17" t="s">
        <v>1429</v>
      </c>
      <c r="F1790" s="29">
        <v>128229</v>
      </c>
    </row>
    <row r="1791" spans="1:6" ht="16" customHeight="1" x14ac:dyDescent="0.2">
      <c r="A1791">
        <f>IFERROR(VLOOKUP(C1791,'GASB Match'!$D$2:$F$6042,3,FALSE),"")</f>
        <v>3405700</v>
      </c>
      <c r="B1791" s="17">
        <v>2015</v>
      </c>
      <c r="C1791" s="17" t="s">
        <v>336</v>
      </c>
      <c r="D1791" s="17">
        <v>9021</v>
      </c>
      <c r="E1791" s="17" t="s">
        <v>1415</v>
      </c>
      <c r="F1791" s="20">
        <v>74870</v>
      </c>
    </row>
    <row r="1792" spans="1:6" ht="16" customHeight="1" x14ac:dyDescent="0.2">
      <c r="A1792">
        <f>IFERROR(VLOOKUP(C1792,'GASB Match'!$D$2:$F$6042,3,FALSE),"")</f>
        <v>3405700</v>
      </c>
      <c r="B1792" s="17">
        <v>2016</v>
      </c>
      <c r="C1792" s="17" t="s">
        <v>336</v>
      </c>
      <c r="D1792" s="17">
        <v>9021</v>
      </c>
      <c r="E1792" s="17" t="s">
        <v>1415</v>
      </c>
      <c r="F1792" s="20">
        <v>87044</v>
      </c>
    </row>
    <row r="1793" spans="1:6" ht="16" customHeight="1" x14ac:dyDescent="0.2">
      <c r="A1793">
        <f>IFERROR(VLOOKUP(C1793,'GASB Match'!$D$2:$F$6042,3,FALSE),"")</f>
        <v>3405700</v>
      </c>
      <c r="B1793" s="17">
        <v>2018</v>
      </c>
      <c r="C1793" s="17" t="s">
        <v>1029</v>
      </c>
      <c r="D1793" s="17">
        <v>9021</v>
      </c>
      <c r="E1793" s="17" t="s">
        <v>1458</v>
      </c>
      <c r="F1793" s="20">
        <v>195140</v>
      </c>
    </row>
    <row r="1794" spans="1:6" ht="16" customHeight="1" x14ac:dyDescent="0.2">
      <c r="A1794">
        <f>IFERROR(VLOOKUP(C1794,'GASB Match'!$D$2:$F$6042,3,FALSE),"")</f>
        <v>3405700</v>
      </c>
      <c r="B1794" s="17">
        <v>2019</v>
      </c>
      <c r="C1794" s="17" t="s">
        <v>1029</v>
      </c>
      <c r="D1794" s="17">
        <v>9021</v>
      </c>
      <c r="E1794" s="17" t="s">
        <v>1458</v>
      </c>
      <c r="F1794" s="20">
        <v>246175</v>
      </c>
    </row>
    <row r="1795" spans="1:6" ht="16" customHeight="1" x14ac:dyDescent="0.2">
      <c r="A1795">
        <f>IFERROR(VLOOKUP(C1795,'GASB Match'!$D$2:$F$6042,3,FALSE),"")</f>
        <v>3405700</v>
      </c>
      <c r="B1795" s="17">
        <v>2020</v>
      </c>
      <c r="C1795" s="21" t="s">
        <v>1029</v>
      </c>
      <c r="D1795" s="17">
        <v>9021</v>
      </c>
      <c r="E1795" s="17" t="s">
        <v>1458</v>
      </c>
      <c r="F1795" s="23">
        <v>272104</v>
      </c>
    </row>
    <row r="1796" spans="1:6" ht="16" customHeight="1" x14ac:dyDescent="0.2">
      <c r="A1796">
        <f>IFERROR(VLOOKUP(C1796,'GASB Match'!$D$2:$F$6042,3,FALSE),"")</f>
        <v>3405700</v>
      </c>
      <c r="B1796" s="17">
        <v>2021</v>
      </c>
      <c r="C1796" s="25" t="s">
        <v>1029</v>
      </c>
      <c r="D1796" s="17">
        <v>9021</v>
      </c>
      <c r="E1796" s="17" t="s">
        <v>1458</v>
      </c>
      <c r="F1796" s="23">
        <v>325568</v>
      </c>
    </row>
    <row r="1797" spans="1:6" ht="16" customHeight="1" x14ac:dyDescent="0.2">
      <c r="A1797">
        <f>IFERROR(VLOOKUP(C1797,'GASB Match'!$D$2:$F$6042,3,FALSE),"")</f>
        <v>3405700</v>
      </c>
      <c r="B1797" s="17">
        <v>2022</v>
      </c>
      <c r="C1797" s="21" t="s">
        <v>1029</v>
      </c>
      <c r="D1797" s="17">
        <v>9021</v>
      </c>
      <c r="E1797" s="17" t="s">
        <v>1458</v>
      </c>
      <c r="F1797" s="23">
        <v>466969</v>
      </c>
    </row>
    <row r="1798" spans="1:6" ht="16" customHeight="1" x14ac:dyDescent="0.2">
      <c r="A1798">
        <f>IFERROR(VLOOKUP(C1798,'GASB Match'!$D$2:$F$6042,3,FALSE),"")</f>
        <v>3405700</v>
      </c>
      <c r="B1798" s="17">
        <v>2023</v>
      </c>
      <c r="C1798" s="21" t="s">
        <v>1029</v>
      </c>
      <c r="D1798" s="17">
        <v>9021</v>
      </c>
      <c r="E1798" s="17" t="s">
        <v>1458</v>
      </c>
      <c r="F1798" s="23">
        <v>412575</v>
      </c>
    </row>
    <row r="1799" spans="1:6" ht="16" customHeight="1" x14ac:dyDescent="0.2">
      <c r="A1799">
        <f>IFERROR(VLOOKUP(C1799,'GASB Match'!$D$2:$F$6042,3,FALSE),"")</f>
        <v>3405700</v>
      </c>
      <c r="B1799" s="28">
        <v>2017</v>
      </c>
      <c r="C1799" s="29" t="s">
        <v>336</v>
      </c>
      <c r="D1799" s="17">
        <v>9021</v>
      </c>
      <c r="E1799" s="17" t="s">
        <v>1415</v>
      </c>
      <c r="F1799" s="29">
        <v>143824</v>
      </c>
    </row>
    <row r="1800" spans="1:6" ht="16" customHeight="1" x14ac:dyDescent="0.2">
      <c r="A1800">
        <f>IFERROR(VLOOKUP(C1800,'GASB Match'!$D$2:$F$6042,3,FALSE),"")</f>
        <v>3400059</v>
      </c>
      <c r="B1800" s="17">
        <v>2015</v>
      </c>
      <c r="C1800" s="17" t="s">
        <v>11</v>
      </c>
      <c r="D1800" s="17">
        <v>1080</v>
      </c>
      <c r="E1800" s="17" t="s">
        <v>1400</v>
      </c>
      <c r="F1800" s="20">
        <v>77314</v>
      </c>
    </row>
    <row r="1801" spans="1:6" ht="16" customHeight="1" x14ac:dyDescent="0.2">
      <c r="A1801">
        <f>IFERROR(VLOOKUP(C1801,'GASB Match'!$D$2:$F$6042,3,FALSE),"")</f>
        <v>3400059</v>
      </c>
      <c r="B1801" s="17">
        <v>2016</v>
      </c>
      <c r="C1801" s="17" t="s">
        <v>11</v>
      </c>
      <c r="D1801" s="17">
        <v>1080</v>
      </c>
      <c r="E1801" s="17" t="s">
        <v>1400</v>
      </c>
      <c r="F1801" s="20">
        <v>128495</v>
      </c>
    </row>
    <row r="1802" spans="1:6" ht="16" customHeight="1" x14ac:dyDescent="0.2">
      <c r="A1802">
        <f>IFERROR(VLOOKUP(C1802,'GASB Match'!$D$2:$F$6042,3,FALSE),"")</f>
        <v>3400059</v>
      </c>
      <c r="B1802" s="17">
        <v>2018</v>
      </c>
      <c r="C1802" s="17" t="s">
        <v>690</v>
      </c>
      <c r="D1802" s="17">
        <v>1080</v>
      </c>
      <c r="E1802" s="17" t="s">
        <v>1441</v>
      </c>
      <c r="F1802" s="20">
        <v>130214</v>
      </c>
    </row>
    <row r="1803" spans="1:6" ht="16" customHeight="1" x14ac:dyDescent="0.2">
      <c r="A1803">
        <f>IFERROR(VLOOKUP(C1803,'GASB Match'!$D$2:$F$6042,3,FALSE),"")</f>
        <v>3400059</v>
      </c>
      <c r="B1803" s="28">
        <v>2017</v>
      </c>
      <c r="C1803" s="29" t="s">
        <v>11</v>
      </c>
      <c r="D1803" s="17">
        <v>1080</v>
      </c>
      <c r="E1803" s="17" t="s">
        <v>1400</v>
      </c>
      <c r="F1803" s="29">
        <v>157991</v>
      </c>
    </row>
    <row r="1804" spans="1:6" ht="16" customHeight="1" x14ac:dyDescent="0.2">
      <c r="A1804">
        <f>IFERROR(VLOOKUP(C1804,'GASB Match'!$D$2:$F$6042,3,FALSE),"")</f>
        <v>3405730</v>
      </c>
      <c r="B1804" s="17">
        <v>2015</v>
      </c>
      <c r="C1804" s="17" t="s">
        <v>12</v>
      </c>
      <c r="D1804" s="17">
        <v>1086</v>
      </c>
      <c r="E1804" s="17" t="s">
        <v>1400</v>
      </c>
      <c r="F1804" s="20">
        <v>1282671</v>
      </c>
    </row>
    <row r="1805" spans="1:6" ht="16" customHeight="1" x14ac:dyDescent="0.2">
      <c r="A1805">
        <f>IFERROR(VLOOKUP(C1805,'GASB Match'!$D$2:$F$6042,3,FALSE),"")</f>
        <v>3405730</v>
      </c>
      <c r="B1805" s="17">
        <v>2016</v>
      </c>
      <c r="C1805" s="17" t="s">
        <v>12</v>
      </c>
      <c r="D1805" s="17">
        <v>1086</v>
      </c>
      <c r="E1805" s="17" t="s">
        <v>1400</v>
      </c>
      <c r="F1805" s="20">
        <v>1928580</v>
      </c>
    </row>
    <row r="1806" spans="1:6" ht="16" customHeight="1" x14ac:dyDescent="0.2">
      <c r="A1806">
        <f>IFERROR(VLOOKUP(C1806,'GASB Match'!$D$2:$F$6042,3,FALSE),"")</f>
        <v>3405730</v>
      </c>
      <c r="B1806" s="17">
        <v>2018</v>
      </c>
      <c r="C1806" s="17" t="s">
        <v>691</v>
      </c>
      <c r="D1806" s="17">
        <v>1086</v>
      </c>
      <c r="E1806" s="17" t="s">
        <v>1441</v>
      </c>
      <c r="F1806" s="20">
        <v>3585815</v>
      </c>
    </row>
    <row r="1807" spans="1:6" ht="16" customHeight="1" x14ac:dyDescent="0.2">
      <c r="A1807">
        <f>IFERROR(VLOOKUP(C1807,'GASB Match'!$D$2:$F$6042,3,FALSE),"")</f>
        <v>3405730</v>
      </c>
      <c r="B1807" s="17">
        <v>2019</v>
      </c>
      <c r="C1807" s="17" t="s">
        <v>691</v>
      </c>
      <c r="D1807" s="17">
        <v>1086</v>
      </c>
      <c r="E1807" s="17" t="s">
        <v>1441</v>
      </c>
      <c r="F1807" s="20">
        <v>5013462</v>
      </c>
    </row>
    <row r="1808" spans="1:6" ht="16" customHeight="1" x14ac:dyDescent="0.2">
      <c r="A1808">
        <f>IFERROR(VLOOKUP(C1808,'GASB Match'!$D$2:$F$6042,3,FALSE),"")</f>
        <v>3405730</v>
      </c>
      <c r="B1808" s="17">
        <v>2020</v>
      </c>
      <c r="C1808" s="21" t="s">
        <v>691</v>
      </c>
      <c r="D1808" s="17">
        <v>1086</v>
      </c>
      <c r="E1808" s="17" t="s">
        <v>1441</v>
      </c>
      <c r="F1808" s="23">
        <v>5552154</v>
      </c>
    </row>
    <row r="1809" spans="1:6" ht="16" customHeight="1" x14ac:dyDescent="0.2">
      <c r="A1809">
        <f>IFERROR(VLOOKUP(C1809,'GASB Match'!$D$2:$F$6042,3,FALSE),"")</f>
        <v>3405730</v>
      </c>
      <c r="B1809" s="17">
        <v>2021</v>
      </c>
      <c r="C1809" s="25" t="s">
        <v>691</v>
      </c>
      <c r="D1809" s="17">
        <v>1086</v>
      </c>
      <c r="E1809" s="17" t="s">
        <v>1441</v>
      </c>
      <c r="F1809" s="23">
        <v>7335756</v>
      </c>
    </row>
    <row r="1810" spans="1:6" ht="16" customHeight="1" x14ac:dyDescent="0.2">
      <c r="A1810">
        <f>IFERROR(VLOOKUP(C1810,'GASB Match'!$D$2:$F$6042,3,FALSE),"")</f>
        <v>3405730</v>
      </c>
      <c r="B1810" s="17">
        <v>2022</v>
      </c>
      <c r="C1810" s="21" t="s">
        <v>691</v>
      </c>
      <c r="D1810" s="17">
        <v>1086</v>
      </c>
      <c r="E1810" s="17" t="s">
        <v>1441</v>
      </c>
      <c r="F1810" s="23">
        <v>10346864</v>
      </c>
    </row>
    <row r="1811" spans="1:6" ht="16" customHeight="1" x14ac:dyDescent="0.2">
      <c r="A1811">
        <f>IFERROR(VLOOKUP(C1811,'GASB Match'!$D$2:$F$6042,3,FALSE),"")</f>
        <v>3405730</v>
      </c>
      <c r="B1811" s="17">
        <v>2023</v>
      </c>
      <c r="C1811" s="21" t="s">
        <v>691</v>
      </c>
      <c r="D1811" s="17">
        <v>1086</v>
      </c>
      <c r="E1811" s="17" t="s">
        <v>1441</v>
      </c>
      <c r="F1811" s="23">
        <v>10234865</v>
      </c>
    </row>
    <row r="1812" spans="1:6" ht="16" customHeight="1" x14ac:dyDescent="0.2">
      <c r="A1812">
        <f>IFERROR(VLOOKUP(C1812,'GASB Match'!$D$2:$F$6042,3,FALSE),"")</f>
        <v>3405730</v>
      </c>
      <c r="B1812" s="28">
        <v>2017</v>
      </c>
      <c r="C1812" s="29" t="s">
        <v>12</v>
      </c>
      <c r="D1812" s="17">
        <v>1086</v>
      </c>
      <c r="E1812" s="17" t="s">
        <v>1400</v>
      </c>
      <c r="F1812" s="29">
        <v>2737939</v>
      </c>
    </row>
    <row r="1813" spans="1:6" ht="16" customHeight="1" x14ac:dyDescent="0.2">
      <c r="A1813">
        <f>IFERROR(VLOOKUP(C1813,'GASB Match'!$D$2:$F$6042,3,FALSE),"")</f>
        <v>3405760</v>
      </c>
      <c r="B1813" s="17">
        <v>2015</v>
      </c>
      <c r="C1813" s="17" t="s">
        <v>52</v>
      </c>
      <c r="D1813" s="17">
        <v>2000</v>
      </c>
      <c r="E1813" s="17" t="s">
        <v>1402</v>
      </c>
      <c r="F1813" s="20">
        <v>2006958</v>
      </c>
    </row>
    <row r="1814" spans="1:6" ht="16" customHeight="1" x14ac:dyDescent="0.2">
      <c r="A1814">
        <f>IFERROR(VLOOKUP(C1814,'GASB Match'!$D$2:$F$6042,3,FALSE),"")</f>
        <v>3405760</v>
      </c>
      <c r="B1814" s="17">
        <v>2016</v>
      </c>
      <c r="C1814" s="17" t="s">
        <v>52</v>
      </c>
      <c r="D1814" s="17">
        <v>2000</v>
      </c>
      <c r="E1814" s="17" t="s">
        <v>1402</v>
      </c>
      <c r="F1814" s="20">
        <v>3162665</v>
      </c>
    </row>
    <row r="1815" spans="1:6" ht="16" customHeight="1" x14ac:dyDescent="0.2">
      <c r="A1815">
        <f>IFERROR(VLOOKUP(C1815,'GASB Match'!$D$2:$F$6042,3,FALSE),"")</f>
        <v>3405760</v>
      </c>
      <c r="B1815" s="17">
        <v>2018</v>
      </c>
      <c r="C1815" s="17" t="s">
        <v>730</v>
      </c>
      <c r="D1815" s="17">
        <v>2000</v>
      </c>
      <c r="E1815" s="17" t="s">
        <v>1443</v>
      </c>
      <c r="F1815" s="20">
        <v>5885572</v>
      </c>
    </row>
    <row r="1816" spans="1:6" ht="16" customHeight="1" x14ac:dyDescent="0.2">
      <c r="A1816">
        <f>IFERROR(VLOOKUP(C1816,'GASB Match'!$D$2:$F$6042,3,FALSE),"")</f>
        <v>3405760</v>
      </c>
      <c r="B1816" s="17">
        <v>2019</v>
      </c>
      <c r="C1816" s="17" t="s">
        <v>730</v>
      </c>
      <c r="D1816" s="17">
        <v>2000</v>
      </c>
      <c r="E1816" s="17" t="s">
        <v>1443</v>
      </c>
      <c r="F1816" s="20">
        <v>7864974</v>
      </c>
    </row>
    <row r="1817" spans="1:6" ht="16" customHeight="1" x14ac:dyDescent="0.2">
      <c r="A1817">
        <f>IFERROR(VLOOKUP(C1817,'GASB Match'!$D$2:$F$6042,3,FALSE),"")</f>
        <v>3405760</v>
      </c>
      <c r="B1817" s="17">
        <v>2020</v>
      </c>
      <c r="C1817" s="21" t="s">
        <v>730</v>
      </c>
      <c r="D1817" s="17">
        <v>2000</v>
      </c>
      <c r="E1817" s="17" t="s">
        <v>1443</v>
      </c>
      <c r="F1817" s="23">
        <v>8811144</v>
      </c>
    </row>
    <row r="1818" spans="1:6" ht="16" customHeight="1" x14ac:dyDescent="0.2">
      <c r="A1818">
        <f>IFERROR(VLOOKUP(C1818,'GASB Match'!$D$2:$F$6042,3,FALSE),"")</f>
        <v>3405760</v>
      </c>
      <c r="B1818" s="17">
        <v>2021</v>
      </c>
      <c r="C1818" s="25" t="s">
        <v>730</v>
      </c>
      <c r="D1818" s="17">
        <v>2000</v>
      </c>
      <c r="E1818" s="17" t="s">
        <v>1443</v>
      </c>
      <c r="F1818" s="23">
        <v>11608389</v>
      </c>
    </row>
    <row r="1819" spans="1:6" ht="16" customHeight="1" x14ac:dyDescent="0.2">
      <c r="A1819">
        <f>IFERROR(VLOOKUP(C1819,'GASB Match'!$D$2:$F$6042,3,FALSE),"")</f>
        <v>3405760</v>
      </c>
      <c r="B1819" s="17">
        <v>2022</v>
      </c>
      <c r="C1819" s="21" t="s">
        <v>730</v>
      </c>
      <c r="D1819" s="17">
        <v>2000</v>
      </c>
      <c r="E1819" s="17" t="s">
        <v>1443</v>
      </c>
      <c r="F1819" s="23">
        <v>16223550</v>
      </c>
    </row>
    <row r="1820" spans="1:6" ht="16" customHeight="1" x14ac:dyDescent="0.2">
      <c r="A1820">
        <f>IFERROR(VLOOKUP(C1820,'GASB Match'!$D$2:$F$6042,3,FALSE),"")</f>
        <v>3405760</v>
      </c>
      <c r="B1820" s="17">
        <v>2023</v>
      </c>
      <c r="C1820" s="21" t="s">
        <v>730</v>
      </c>
      <c r="D1820" s="17">
        <v>2000</v>
      </c>
      <c r="E1820" s="17" t="s">
        <v>1443</v>
      </c>
      <c r="F1820" s="23">
        <v>16089383</v>
      </c>
    </row>
    <row r="1821" spans="1:6" ht="16" customHeight="1" x14ac:dyDescent="0.2">
      <c r="A1821">
        <f>IFERROR(VLOOKUP(C1821,'GASB Match'!$D$2:$F$6042,3,FALSE),"")</f>
        <v>3405760</v>
      </c>
      <c r="B1821" s="28">
        <v>2017</v>
      </c>
      <c r="C1821" s="29" t="s">
        <v>52</v>
      </c>
      <c r="D1821" s="17">
        <v>2000</v>
      </c>
      <c r="E1821" s="17" t="s">
        <v>1402</v>
      </c>
      <c r="F1821" s="29">
        <v>4291521</v>
      </c>
    </row>
    <row r="1822" spans="1:6" ht="16" customHeight="1" x14ac:dyDescent="0.2">
      <c r="A1822">
        <f>IFERROR(VLOOKUP(C1822,'GASB Match'!$D$2:$F$6042,3,FALSE),"")</f>
        <v>3405790</v>
      </c>
      <c r="B1822" s="17">
        <v>2015</v>
      </c>
      <c r="C1822" s="17" t="s">
        <v>617</v>
      </c>
      <c r="D1822" s="17">
        <v>833</v>
      </c>
      <c r="E1822" s="17" t="s">
        <v>1427</v>
      </c>
      <c r="F1822" s="20">
        <v>121044</v>
      </c>
    </row>
    <row r="1823" spans="1:6" ht="16" customHeight="1" x14ac:dyDescent="0.2">
      <c r="A1823">
        <f>IFERROR(VLOOKUP(C1823,'GASB Match'!$D$2:$F$6042,3,FALSE),"")</f>
        <v>3405790</v>
      </c>
      <c r="B1823" s="17">
        <v>2016</v>
      </c>
      <c r="C1823" s="17" t="s">
        <v>617</v>
      </c>
      <c r="D1823" s="17">
        <v>833</v>
      </c>
      <c r="E1823" s="17" t="s">
        <v>1427</v>
      </c>
      <c r="F1823" s="20">
        <v>170289</v>
      </c>
    </row>
    <row r="1824" spans="1:6" ht="16" customHeight="1" x14ac:dyDescent="0.2">
      <c r="A1824">
        <f>IFERROR(VLOOKUP(C1824,'GASB Match'!$D$2:$F$6042,3,FALSE),"")</f>
        <v>3405790</v>
      </c>
      <c r="B1824" s="17">
        <v>2018</v>
      </c>
      <c r="C1824" s="17" t="s">
        <v>1310</v>
      </c>
      <c r="D1824" s="17">
        <v>833</v>
      </c>
      <c r="E1824" s="17" t="s">
        <v>1470</v>
      </c>
      <c r="F1824" s="20">
        <v>356014</v>
      </c>
    </row>
    <row r="1825" spans="1:6" ht="16" customHeight="1" x14ac:dyDescent="0.2">
      <c r="A1825">
        <f>IFERROR(VLOOKUP(C1825,'GASB Match'!$D$2:$F$6042,3,FALSE),"")</f>
        <v>3405790</v>
      </c>
      <c r="B1825" s="17">
        <v>2019</v>
      </c>
      <c r="C1825" s="17" t="s">
        <v>1310</v>
      </c>
      <c r="D1825" s="17">
        <v>833</v>
      </c>
      <c r="E1825" s="17" t="s">
        <v>1470</v>
      </c>
      <c r="F1825" s="20">
        <v>484730</v>
      </c>
    </row>
    <row r="1826" spans="1:6" ht="16" customHeight="1" x14ac:dyDescent="0.2">
      <c r="A1826">
        <f>IFERROR(VLOOKUP(C1826,'GASB Match'!$D$2:$F$6042,3,FALSE),"")</f>
        <v>3405790</v>
      </c>
      <c r="B1826" s="17">
        <v>2020</v>
      </c>
      <c r="C1826" s="21" t="s">
        <v>1310</v>
      </c>
      <c r="D1826" s="17">
        <v>833</v>
      </c>
      <c r="E1826" s="17" t="s">
        <v>1470</v>
      </c>
      <c r="F1826" s="23">
        <v>525973</v>
      </c>
    </row>
    <row r="1827" spans="1:6" ht="16" customHeight="1" x14ac:dyDescent="0.2">
      <c r="A1827">
        <f>IFERROR(VLOOKUP(C1827,'GASB Match'!$D$2:$F$6042,3,FALSE),"")</f>
        <v>3405790</v>
      </c>
      <c r="B1827" s="17">
        <v>2021</v>
      </c>
      <c r="C1827" s="25" t="s">
        <v>1310</v>
      </c>
      <c r="D1827" s="17">
        <v>833</v>
      </c>
      <c r="E1827" s="17" t="s">
        <v>1470</v>
      </c>
      <c r="F1827" s="23">
        <v>686620</v>
      </c>
    </row>
    <row r="1828" spans="1:6" ht="16" customHeight="1" x14ac:dyDescent="0.2">
      <c r="A1828">
        <f>IFERROR(VLOOKUP(C1828,'GASB Match'!$D$2:$F$6042,3,FALSE),"")</f>
        <v>3405790</v>
      </c>
      <c r="B1828" s="17">
        <v>2022</v>
      </c>
      <c r="C1828" s="21" t="s">
        <v>1310</v>
      </c>
      <c r="D1828" s="17">
        <v>833</v>
      </c>
      <c r="E1828" s="17" t="s">
        <v>1470</v>
      </c>
      <c r="F1828" s="23">
        <v>944886</v>
      </c>
    </row>
    <row r="1829" spans="1:6" ht="16" customHeight="1" x14ac:dyDescent="0.2">
      <c r="A1829">
        <f>IFERROR(VLOOKUP(C1829,'GASB Match'!$D$2:$F$6042,3,FALSE),"")</f>
        <v>3405790</v>
      </c>
      <c r="B1829" s="17">
        <v>2023</v>
      </c>
      <c r="C1829" s="21" t="s">
        <v>1310</v>
      </c>
      <c r="D1829" s="17">
        <v>833</v>
      </c>
      <c r="E1829" s="17" t="s">
        <v>1470</v>
      </c>
      <c r="F1829" s="23">
        <v>988008</v>
      </c>
    </row>
    <row r="1830" spans="1:6" ht="16" customHeight="1" x14ac:dyDescent="0.2">
      <c r="A1830">
        <f>IFERROR(VLOOKUP(C1830,'GASB Match'!$D$2:$F$6042,3,FALSE),"")</f>
        <v>3405790</v>
      </c>
      <c r="B1830" s="28">
        <v>2017</v>
      </c>
      <c r="C1830" s="29" t="s">
        <v>617</v>
      </c>
      <c r="D1830" s="17">
        <v>833</v>
      </c>
      <c r="E1830" s="17" t="s">
        <v>1427</v>
      </c>
      <c r="F1830" s="29">
        <v>252912</v>
      </c>
    </row>
    <row r="1831" spans="1:6" ht="16" customHeight="1" x14ac:dyDescent="0.2">
      <c r="A1831">
        <f>IFERROR(VLOOKUP(C1831,'GASB Match'!$D$2:$F$6042,3,FALSE),"")</f>
        <v>3405820</v>
      </c>
      <c r="B1831" s="17">
        <v>2015</v>
      </c>
      <c r="C1831" s="17" t="s">
        <v>280</v>
      </c>
      <c r="D1831" s="17">
        <v>7038</v>
      </c>
      <c r="E1831" s="17" t="s">
        <v>1412</v>
      </c>
      <c r="F1831" s="20">
        <v>411342</v>
      </c>
    </row>
    <row r="1832" spans="1:6" ht="16" customHeight="1" x14ac:dyDescent="0.2">
      <c r="A1832">
        <f>IFERROR(VLOOKUP(C1832,'GASB Match'!$D$2:$F$6042,3,FALSE),"")</f>
        <v>3405820</v>
      </c>
      <c r="B1832" s="17">
        <v>2016</v>
      </c>
      <c r="C1832" s="17" t="s">
        <v>280</v>
      </c>
      <c r="D1832" s="17">
        <v>7038</v>
      </c>
      <c r="E1832" s="17" t="s">
        <v>1412</v>
      </c>
      <c r="F1832" s="20">
        <v>628967</v>
      </c>
    </row>
    <row r="1833" spans="1:6" ht="16" customHeight="1" x14ac:dyDescent="0.2">
      <c r="A1833">
        <f>IFERROR(VLOOKUP(C1833,'GASB Match'!$D$2:$F$6042,3,FALSE),"")</f>
        <v>3405820</v>
      </c>
      <c r="B1833" s="17">
        <v>2018</v>
      </c>
      <c r="C1833" s="17" t="s">
        <v>970</v>
      </c>
      <c r="D1833" s="17">
        <v>7038</v>
      </c>
      <c r="E1833" s="17" t="s">
        <v>1455</v>
      </c>
      <c r="F1833" s="20">
        <v>1189307</v>
      </c>
    </row>
    <row r="1834" spans="1:6" ht="16" customHeight="1" x14ac:dyDescent="0.2">
      <c r="A1834">
        <f>IFERROR(VLOOKUP(C1834,'GASB Match'!$D$2:$F$6042,3,FALSE),"")</f>
        <v>3405820</v>
      </c>
      <c r="B1834" s="17">
        <v>2019</v>
      </c>
      <c r="C1834" s="17" t="s">
        <v>970</v>
      </c>
      <c r="D1834" s="17">
        <v>7038</v>
      </c>
      <c r="E1834" s="17" t="s">
        <v>1454</v>
      </c>
      <c r="F1834" s="20">
        <v>1645448</v>
      </c>
    </row>
    <row r="1835" spans="1:6" ht="16" customHeight="1" x14ac:dyDescent="0.2">
      <c r="A1835">
        <f>IFERROR(VLOOKUP(C1835,'GASB Match'!$D$2:$F$6042,3,FALSE),"")</f>
        <v>3405820</v>
      </c>
      <c r="B1835" s="17">
        <v>2020</v>
      </c>
      <c r="C1835" s="21" t="s">
        <v>970</v>
      </c>
      <c r="D1835" s="17">
        <v>7038</v>
      </c>
      <c r="E1835" s="17" t="s">
        <v>1454</v>
      </c>
      <c r="F1835" s="23">
        <v>1840148</v>
      </c>
    </row>
    <row r="1836" spans="1:6" ht="16" customHeight="1" x14ac:dyDescent="0.2">
      <c r="A1836">
        <f>IFERROR(VLOOKUP(C1836,'GASB Match'!$D$2:$F$6042,3,FALSE),"")</f>
        <v>3405820</v>
      </c>
      <c r="B1836" s="17">
        <v>2021</v>
      </c>
      <c r="C1836" s="25" t="s">
        <v>970</v>
      </c>
      <c r="D1836" s="17">
        <v>7038</v>
      </c>
      <c r="E1836" s="17" t="s">
        <v>1454</v>
      </c>
      <c r="F1836" s="23">
        <v>2429260</v>
      </c>
    </row>
    <row r="1837" spans="1:6" ht="16" customHeight="1" x14ac:dyDescent="0.2">
      <c r="A1837">
        <f>IFERROR(VLOOKUP(C1837,'GASB Match'!$D$2:$F$6042,3,FALSE),"")</f>
        <v>3405820</v>
      </c>
      <c r="B1837" s="17">
        <v>2022</v>
      </c>
      <c r="C1837" s="21" t="s">
        <v>970</v>
      </c>
      <c r="D1837" s="17">
        <v>7038</v>
      </c>
      <c r="E1837" s="17" t="s">
        <v>1454</v>
      </c>
      <c r="F1837" s="23">
        <v>3409987</v>
      </c>
    </row>
    <row r="1838" spans="1:6" ht="16" customHeight="1" x14ac:dyDescent="0.2">
      <c r="A1838">
        <f>IFERROR(VLOOKUP(C1838,'GASB Match'!$D$2:$F$6042,3,FALSE),"")</f>
        <v>3405820</v>
      </c>
      <c r="B1838" s="17">
        <v>2023</v>
      </c>
      <c r="C1838" s="21" t="s">
        <v>970</v>
      </c>
      <c r="D1838" s="17">
        <v>7038</v>
      </c>
      <c r="E1838" s="17" t="s">
        <v>1454</v>
      </c>
      <c r="F1838" s="23">
        <v>3394857</v>
      </c>
    </row>
    <row r="1839" spans="1:6" ht="16" customHeight="1" x14ac:dyDescent="0.2">
      <c r="A1839">
        <f>IFERROR(VLOOKUP(C1839,'GASB Match'!$D$2:$F$6042,3,FALSE),"")</f>
        <v>3405820</v>
      </c>
      <c r="B1839" s="28">
        <v>2017</v>
      </c>
      <c r="C1839" s="29" t="s">
        <v>280</v>
      </c>
      <c r="D1839" s="17">
        <v>7038</v>
      </c>
      <c r="E1839" s="17" t="s">
        <v>1412</v>
      </c>
      <c r="F1839" s="29">
        <v>895428</v>
      </c>
    </row>
    <row r="1840" spans="1:6" ht="16" customHeight="1" x14ac:dyDescent="0.2">
      <c r="A1840">
        <f>IFERROR(VLOOKUP(C1840,'GASB Match'!$D$2:$F$6042,3,FALSE),"")</f>
        <v>3405850</v>
      </c>
      <c r="B1840" s="17">
        <v>2015</v>
      </c>
      <c r="C1840" s="17" t="s">
        <v>169</v>
      </c>
      <c r="D1840" s="17">
        <v>4032</v>
      </c>
      <c r="E1840" s="17" t="s">
        <v>1405</v>
      </c>
      <c r="F1840" s="20">
        <v>89761</v>
      </c>
    </row>
    <row r="1841" spans="1:6" ht="16" customHeight="1" x14ac:dyDescent="0.2">
      <c r="A1841">
        <f>IFERROR(VLOOKUP(C1841,'GASB Match'!$D$2:$F$6042,3,FALSE),"")</f>
        <v>3405850</v>
      </c>
      <c r="B1841" s="17">
        <v>2016</v>
      </c>
      <c r="C1841" s="17" t="s">
        <v>169</v>
      </c>
      <c r="D1841" s="17">
        <v>4032</v>
      </c>
      <c r="E1841" s="17" t="s">
        <v>1405</v>
      </c>
      <c r="F1841" s="20">
        <v>137862</v>
      </c>
    </row>
    <row r="1842" spans="1:6" ht="16" customHeight="1" x14ac:dyDescent="0.2">
      <c r="A1842">
        <f>IFERROR(VLOOKUP(C1842,'GASB Match'!$D$2:$F$6042,3,FALSE),"")</f>
        <v>3405850</v>
      </c>
      <c r="B1842" s="17">
        <v>2018</v>
      </c>
      <c r="C1842" s="17" t="s">
        <v>852</v>
      </c>
      <c r="D1842" s="17">
        <v>4032</v>
      </c>
      <c r="E1842" s="17" t="s">
        <v>1446</v>
      </c>
      <c r="F1842" s="19">
        <v>287379</v>
      </c>
    </row>
    <row r="1843" spans="1:6" ht="16" customHeight="1" x14ac:dyDescent="0.2">
      <c r="A1843">
        <f>IFERROR(VLOOKUP(C1843,'GASB Match'!$D$2:$F$6042,3,FALSE),"")</f>
        <v>3405850</v>
      </c>
      <c r="B1843" s="17">
        <v>2019</v>
      </c>
      <c r="C1843" s="17" t="s">
        <v>852</v>
      </c>
      <c r="D1843" s="17">
        <v>4032</v>
      </c>
      <c r="E1843" s="17" t="s">
        <v>1446</v>
      </c>
      <c r="F1843" s="20">
        <v>361339</v>
      </c>
    </row>
    <row r="1844" spans="1:6" ht="16" customHeight="1" x14ac:dyDescent="0.2">
      <c r="A1844">
        <f>IFERROR(VLOOKUP(C1844,'GASB Match'!$D$2:$F$6042,3,FALSE),"")</f>
        <v>3405850</v>
      </c>
      <c r="B1844" s="17">
        <v>2020</v>
      </c>
      <c r="C1844" s="21" t="s">
        <v>852</v>
      </c>
      <c r="D1844" s="17">
        <v>4032</v>
      </c>
      <c r="E1844" s="17" t="s">
        <v>1446</v>
      </c>
      <c r="F1844" s="23">
        <v>432432</v>
      </c>
    </row>
    <row r="1845" spans="1:6" ht="16" customHeight="1" x14ac:dyDescent="0.2">
      <c r="A1845">
        <f>IFERROR(VLOOKUP(C1845,'GASB Match'!$D$2:$F$6042,3,FALSE),"")</f>
        <v>3405850</v>
      </c>
      <c r="B1845" s="17">
        <v>2021</v>
      </c>
      <c r="C1845" s="25" t="s">
        <v>852</v>
      </c>
      <c r="D1845" s="17">
        <v>4032</v>
      </c>
      <c r="E1845" s="17" t="s">
        <v>1446</v>
      </c>
      <c r="F1845" s="23">
        <v>582675</v>
      </c>
    </row>
    <row r="1846" spans="1:6" ht="16" customHeight="1" x14ac:dyDescent="0.2">
      <c r="A1846">
        <f>IFERROR(VLOOKUP(C1846,'GASB Match'!$D$2:$F$6042,3,FALSE),"")</f>
        <v>3405850</v>
      </c>
      <c r="B1846" s="17">
        <v>2022</v>
      </c>
      <c r="C1846" s="21" t="s">
        <v>852</v>
      </c>
      <c r="D1846" s="17">
        <v>4032</v>
      </c>
      <c r="E1846" s="17" t="s">
        <v>1446</v>
      </c>
      <c r="F1846" s="23">
        <v>840020</v>
      </c>
    </row>
    <row r="1847" spans="1:6" ht="16" customHeight="1" x14ac:dyDescent="0.2">
      <c r="A1847">
        <f>IFERROR(VLOOKUP(C1847,'GASB Match'!$D$2:$F$6042,3,FALSE),"")</f>
        <v>3405850</v>
      </c>
      <c r="B1847" s="17">
        <v>2023</v>
      </c>
      <c r="C1847" s="21" t="s">
        <v>852</v>
      </c>
      <c r="D1847" s="17">
        <v>4032</v>
      </c>
      <c r="E1847" s="17" t="s">
        <v>1446</v>
      </c>
      <c r="F1847" s="23">
        <v>858933</v>
      </c>
    </row>
    <row r="1848" spans="1:6" ht="16" customHeight="1" x14ac:dyDescent="0.2">
      <c r="A1848">
        <f>IFERROR(VLOOKUP(C1848,'GASB Match'!$D$2:$F$6042,3,FALSE),"")</f>
        <v>3405850</v>
      </c>
      <c r="B1848" s="28">
        <v>2017</v>
      </c>
      <c r="C1848" s="29" t="s">
        <v>169</v>
      </c>
      <c r="D1848" s="17">
        <v>4032</v>
      </c>
      <c r="E1848" s="17" t="s">
        <v>1405</v>
      </c>
      <c r="F1848" s="29">
        <v>200432</v>
      </c>
    </row>
    <row r="1849" spans="1:6" ht="16" customHeight="1" x14ac:dyDescent="0.2">
      <c r="A1849">
        <f>IFERROR(VLOOKUP(C1849,'GASB Match'!$D$2:$F$6042,3,FALSE),"")</f>
        <v>3405880</v>
      </c>
      <c r="B1849" s="17">
        <v>2015</v>
      </c>
      <c r="C1849" s="17" t="s">
        <v>281</v>
      </c>
      <c r="D1849" s="17">
        <v>7016</v>
      </c>
      <c r="E1849" s="17" t="s">
        <v>1412</v>
      </c>
      <c r="F1849" s="20">
        <v>800169</v>
      </c>
    </row>
    <row r="1850" spans="1:6" ht="16" customHeight="1" x14ac:dyDescent="0.2">
      <c r="A1850">
        <f>IFERROR(VLOOKUP(C1850,'GASB Match'!$D$2:$F$6042,3,FALSE),"")</f>
        <v>3405880</v>
      </c>
      <c r="B1850" s="17">
        <v>2016</v>
      </c>
      <c r="C1850" s="17" t="s">
        <v>281</v>
      </c>
      <c r="D1850" s="17">
        <v>7016</v>
      </c>
      <c r="E1850" s="17" t="s">
        <v>1412</v>
      </c>
      <c r="F1850" s="20">
        <v>1227532</v>
      </c>
    </row>
    <row r="1851" spans="1:6" ht="16" customHeight="1" x14ac:dyDescent="0.2">
      <c r="A1851">
        <f>IFERROR(VLOOKUP(C1851,'GASB Match'!$D$2:$F$6042,3,FALSE),"")</f>
        <v>3405880</v>
      </c>
      <c r="B1851" s="17">
        <v>2018</v>
      </c>
      <c r="C1851" s="17" t="s">
        <v>971</v>
      </c>
      <c r="D1851" s="17">
        <v>7016</v>
      </c>
      <c r="E1851" s="17" t="s">
        <v>1454</v>
      </c>
      <c r="F1851" s="20">
        <v>2305435</v>
      </c>
    </row>
    <row r="1852" spans="1:6" ht="16" customHeight="1" x14ac:dyDescent="0.2">
      <c r="A1852">
        <f>IFERROR(VLOOKUP(C1852,'GASB Match'!$D$2:$F$6042,3,FALSE),"")</f>
        <v>3405880</v>
      </c>
      <c r="B1852" s="17">
        <v>2019</v>
      </c>
      <c r="C1852" s="17" t="s">
        <v>971</v>
      </c>
      <c r="D1852" s="17">
        <v>7016</v>
      </c>
      <c r="E1852" s="17" t="s">
        <v>1454</v>
      </c>
      <c r="F1852" s="20">
        <v>2975400</v>
      </c>
    </row>
    <row r="1853" spans="1:6" ht="16" customHeight="1" x14ac:dyDescent="0.2">
      <c r="A1853">
        <f>IFERROR(VLOOKUP(C1853,'GASB Match'!$D$2:$F$6042,3,FALSE),"")</f>
        <v>3405880</v>
      </c>
      <c r="B1853" s="17">
        <v>2020</v>
      </c>
      <c r="C1853" s="21" t="s">
        <v>971</v>
      </c>
      <c r="D1853" s="17">
        <v>7016</v>
      </c>
      <c r="E1853" s="17" t="s">
        <v>1454</v>
      </c>
      <c r="F1853" s="23">
        <v>3325752</v>
      </c>
    </row>
    <row r="1854" spans="1:6" ht="16" customHeight="1" x14ac:dyDescent="0.2">
      <c r="A1854">
        <f>IFERROR(VLOOKUP(C1854,'GASB Match'!$D$2:$F$6042,3,FALSE),"")</f>
        <v>3405880</v>
      </c>
      <c r="B1854" s="17">
        <v>2021</v>
      </c>
      <c r="C1854" s="25" t="s">
        <v>971</v>
      </c>
      <c r="D1854" s="17">
        <v>7016</v>
      </c>
      <c r="E1854" s="17" t="s">
        <v>1454</v>
      </c>
      <c r="F1854" s="23">
        <v>4087741</v>
      </c>
    </row>
    <row r="1855" spans="1:6" ht="16" customHeight="1" x14ac:dyDescent="0.2">
      <c r="A1855">
        <f>IFERROR(VLOOKUP(C1855,'GASB Match'!$D$2:$F$6042,3,FALSE),"")</f>
        <v>3405880</v>
      </c>
      <c r="B1855" s="17">
        <v>2022</v>
      </c>
      <c r="C1855" s="21" t="s">
        <v>971</v>
      </c>
      <c r="D1855" s="17">
        <v>7016</v>
      </c>
      <c r="E1855" s="17" t="s">
        <v>1454</v>
      </c>
      <c r="F1855" s="23">
        <v>5715451</v>
      </c>
    </row>
    <row r="1856" spans="1:6" ht="16" customHeight="1" x14ac:dyDescent="0.2">
      <c r="A1856">
        <f>IFERROR(VLOOKUP(C1856,'GASB Match'!$D$2:$F$6042,3,FALSE),"")</f>
        <v>3405880</v>
      </c>
      <c r="B1856" s="17">
        <v>2023</v>
      </c>
      <c r="C1856" s="21" t="s">
        <v>971</v>
      </c>
      <c r="D1856" s="17">
        <v>7016</v>
      </c>
      <c r="E1856" s="17" t="s">
        <v>1454</v>
      </c>
      <c r="F1856" s="23">
        <v>5398214</v>
      </c>
    </row>
    <row r="1857" spans="1:6" ht="16" customHeight="1" x14ac:dyDescent="0.2">
      <c r="A1857">
        <f>IFERROR(VLOOKUP(C1857,'GASB Match'!$D$2:$F$6042,3,FALSE),"")</f>
        <v>3405880</v>
      </c>
      <c r="B1857" s="28">
        <v>2017</v>
      </c>
      <c r="C1857" s="29" t="s">
        <v>281</v>
      </c>
      <c r="D1857" s="17">
        <v>7016</v>
      </c>
      <c r="E1857" s="17" t="s">
        <v>1412</v>
      </c>
      <c r="F1857" s="29">
        <v>1688910</v>
      </c>
    </row>
    <row r="1858" spans="1:6" ht="16" customHeight="1" x14ac:dyDescent="0.2">
      <c r="A1858">
        <f>IFERROR(VLOOKUP(C1858,'GASB Match'!$D$2:$F$6042,3,FALSE),"")</f>
        <v>3405940</v>
      </c>
      <c r="B1858" s="17">
        <v>2015</v>
      </c>
      <c r="C1858" s="17" t="s">
        <v>241</v>
      </c>
      <c r="D1858" s="17">
        <v>6085</v>
      </c>
      <c r="E1858" s="17" t="s">
        <v>1411</v>
      </c>
      <c r="F1858" s="20">
        <v>715250</v>
      </c>
    </row>
    <row r="1859" spans="1:6" ht="16" customHeight="1" x14ac:dyDescent="0.2">
      <c r="A1859">
        <f>IFERROR(VLOOKUP(C1859,'GASB Match'!$D$2:$F$6042,3,FALSE),"")</f>
        <v>3405940</v>
      </c>
      <c r="B1859" s="17">
        <v>2016</v>
      </c>
      <c r="C1859" s="17" t="s">
        <v>241</v>
      </c>
      <c r="D1859" s="17">
        <v>6085</v>
      </c>
      <c r="E1859" s="17" t="s">
        <v>1411</v>
      </c>
      <c r="F1859" s="20">
        <v>1053769</v>
      </c>
    </row>
    <row r="1860" spans="1:6" ht="16" customHeight="1" x14ac:dyDescent="0.2">
      <c r="A1860">
        <f>IFERROR(VLOOKUP(C1860,'GASB Match'!$D$2:$F$6042,3,FALSE),"")</f>
        <v>3405940</v>
      </c>
      <c r="B1860" s="17">
        <v>2018</v>
      </c>
      <c r="C1860" s="17" t="s">
        <v>927</v>
      </c>
      <c r="D1860" s="17">
        <v>6085</v>
      </c>
      <c r="E1860" s="17" t="s">
        <v>1452</v>
      </c>
      <c r="F1860" s="20">
        <v>2056654</v>
      </c>
    </row>
    <row r="1861" spans="1:6" ht="16" customHeight="1" x14ac:dyDescent="0.2">
      <c r="A1861">
        <f>IFERROR(VLOOKUP(C1861,'GASB Match'!$D$2:$F$6042,3,FALSE),"")</f>
        <v>3405940</v>
      </c>
      <c r="B1861" s="17">
        <v>2019</v>
      </c>
      <c r="C1861" s="17" t="s">
        <v>927</v>
      </c>
      <c r="D1861" s="17">
        <v>6085</v>
      </c>
      <c r="E1861" s="17" t="s">
        <v>1452</v>
      </c>
      <c r="F1861" s="20">
        <v>2749788</v>
      </c>
    </row>
    <row r="1862" spans="1:6" ht="16" customHeight="1" x14ac:dyDescent="0.2">
      <c r="A1862">
        <f>IFERROR(VLOOKUP(C1862,'GASB Match'!$D$2:$F$6042,3,FALSE),"")</f>
        <v>3405940</v>
      </c>
      <c r="B1862" s="17">
        <v>2020</v>
      </c>
      <c r="C1862" s="21" t="s">
        <v>927</v>
      </c>
      <c r="D1862" s="17">
        <v>6085</v>
      </c>
      <c r="E1862" s="17" t="s">
        <v>1452</v>
      </c>
      <c r="F1862" s="23">
        <v>3151992</v>
      </c>
    </row>
    <row r="1863" spans="1:6" ht="16" customHeight="1" x14ac:dyDescent="0.2">
      <c r="A1863">
        <f>IFERROR(VLOOKUP(C1863,'GASB Match'!$D$2:$F$6042,3,FALSE),"")</f>
        <v>3405940</v>
      </c>
      <c r="B1863" s="17">
        <v>2021</v>
      </c>
      <c r="C1863" s="25" t="s">
        <v>927</v>
      </c>
      <c r="D1863" s="17">
        <v>6085</v>
      </c>
      <c r="E1863" s="17" t="s">
        <v>1452</v>
      </c>
      <c r="F1863" s="23">
        <v>4064341</v>
      </c>
    </row>
    <row r="1864" spans="1:6" ht="16" customHeight="1" x14ac:dyDescent="0.2">
      <c r="A1864">
        <f>IFERROR(VLOOKUP(C1864,'GASB Match'!$D$2:$F$6042,3,FALSE),"")</f>
        <v>3405940</v>
      </c>
      <c r="B1864" s="17">
        <v>2022</v>
      </c>
      <c r="C1864" s="21" t="s">
        <v>927</v>
      </c>
      <c r="D1864" s="17">
        <v>6085</v>
      </c>
      <c r="E1864" s="17" t="s">
        <v>1452</v>
      </c>
      <c r="F1864" s="23">
        <v>5715875</v>
      </c>
    </row>
    <row r="1865" spans="1:6" ht="16" customHeight="1" x14ac:dyDescent="0.2">
      <c r="A1865">
        <f>IFERROR(VLOOKUP(C1865,'GASB Match'!$D$2:$F$6042,3,FALSE),"")</f>
        <v>3405940</v>
      </c>
      <c r="B1865" s="17">
        <v>2023</v>
      </c>
      <c r="C1865" s="21" t="s">
        <v>927</v>
      </c>
      <c r="D1865" s="17">
        <v>6085</v>
      </c>
      <c r="E1865" s="17" t="s">
        <v>1452</v>
      </c>
      <c r="F1865" s="23">
        <v>5679081</v>
      </c>
    </row>
    <row r="1866" spans="1:6" ht="16" customHeight="1" x14ac:dyDescent="0.2">
      <c r="A1866">
        <f>IFERROR(VLOOKUP(C1866,'GASB Match'!$D$2:$F$6042,3,FALSE),"")</f>
        <v>3405940</v>
      </c>
      <c r="B1866" s="28">
        <v>2017</v>
      </c>
      <c r="C1866" s="29" t="s">
        <v>241</v>
      </c>
      <c r="D1866" s="17">
        <v>6085</v>
      </c>
      <c r="E1866" s="17" t="s">
        <v>1411</v>
      </c>
      <c r="F1866" s="29">
        <v>1497503</v>
      </c>
    </row>
    <row r="1867" spans="1:6" ht="16" customHeight="1" x14ac:dyDescent="0.2">
      <c r="A1867">
        <f>IFERROR(VLOOKUP(C1867,'GASB Match'!$D$2:$F$6042,3,FALSE),"")</f>
        <v>3405970</v>
      </c>
      <c r="B1867" s="17">
        <v>2015</v>
      </c>
      <c r="C1867" s="17" t="s">
        <v>53</v>
      </c>
      <c r="D1867" s="17">
        <v>2043</v>
      </c>
      <c r="E1867" s="17" t="s">
        <v>1402</v>
      </c>
      <c r="F1867" s="19">
        <v>996670</v>
      </c>
    </row>
    <row r="1868" spans="1:6" ht="16" customHeight="1" x14ac:dyDescent="0.2">
      <c r="A1868">
        <f>IFERROR(VLOOKUP(C1868,'GASB Match'!$D$2:$F$6042,3,FALSE),"")</f>
        <v>3405970</v>
      </c>
      <c r="B1868" s="17">
        <v>2016</v>
      </c>
      <c r="C1868" s="17" t="s">
        <v>53</v>
      </c>
      <c r="D1868" s="17">
        <v>2043</v>
      </c>
      <c r="E1868" s="17" t="s">
        <v>1402</v>
      </c>
      <c r="F1868" s="20">
        <v>1450625</v>
      </c>
    </row>
    <row r="1869" spans="1:6" ht="16" customHeight="1" x14ac:dyDescent="0.2">
      <c r="A1869">
        <f>IFERROR(VLOOKUP(C1869,'GASB Match'!$D$2:$F$6042,3,FALSE),"")</f>
        <v>3405970</v>
      </c>
      <c r="B1869" s="17">
        <v>2018</v>
      </c>
      <c r="C1869" s="17" t="s">
        <v>731</v>
      </c>
      <c r="D1869" s="17">
        <v>2043</v>
      </c>
      <c r="E1869" s="17" t="s">
        <v>1443</v>
      </c>
      <c r="F1869" s="19">
        <v>2870699</v>
      </c>
    </row>
    <row r="1870" spans="1:6" ht="16" customHeight="1" x14ac:dyDescent="0.2">
      <c r="A1870">
        <f>IFERROR(VLOOKUP(C1870,'GASB Match'!$D$2:$F$6042,3,FALSE),"")</f>
        <v>3405970</v>
      </c>
      <c r="B1870" s="17">
        <v>2019</v>
      </c>
      <c r="C1870" s="17" t="s">
        <v>731</v>
      </c>
      <c r="D1870" s="17">
        <v>2043</v>
      </c>
      <c r="E1870" s="17" t="s">
        <v>1443</v>
      </c>
      <c r="F1870" s="20">
        <v>3814182</v>
      </c>
    </row>
    <row r="1871" spans="1:6" ht="16" customHeight="1" x14ac:dyDescent="0.2">
      <c r="A1871">
        <f>IFERROR(VLOOKUP(C1871,'GASB Match'!$D$2:$F$6042,3,FALSE),"")</f>
        <v>3405970</v>
      </c>
      <c r="B1871" s="17">
        <v>2020</v>
      </c>
      <c r="C1871" s="21" t="s">
        <v>731</v>
      </c>
      <c r="D1871" s="17">
        <v>2043</v>
      </c>
      <c r="E1871" s="17" t="s">
        <v>1443</v>
      </c>
      <c r="F1871" s="23">
        <v>4389340</v>
      </c>
    </row>
    <row r="1872" spans="1:6" ht="16" customHeight="1" x14ac:dyDescent="0.2">
      <c r="A1872">
        <f>IFERROR(VLOOKUP(C1872,'GASB Match'!$D$2:$F$6042,3,FALSE),"")</f>
        <v>3405970</v>
      </c>
      <c r="B1872" s="17">
        <v>2021</v>
      </c>
      <c r="C1872" s="25" t="s">
        <v>731</v>
      </c>
      <c r="D1872" s="17">
        <v>2043</v>
      </c>
      <c r="E1872" s="17" t="s">
        <v>1443</v>
      </c>
      <c r="F1872" s="23">
        <v>5799416</v>
      </c>
    </row>
    <row r="1873" spans="1:6" ht="16" customHeight="1" x14ac:dyDescent="0.2">
      <c r="A1873">
        <f>IFERROR(VLOOKUP(C1873,'GASB Match'!$D$2:$F$6042,3,FALSE),"")</f>
        <v>3405970</v>
      </c>
      <c r="B1873" s="17">
        <v>2022</v>
      </c>
      <c r="C1873" s="21" t="s">
        <v>731</v>
      </c>
      <c r="D1873" s="17">
        <v>2043</v>
      </c>
      <c r="E1873" s="17" t="s">
        <v>1443</v>
      </c>
      <c r="F1873" s="23">
        <v>8601029</v>
      </c>
    </row>
    <row r="1874" spans="1:6" ht="16" customHeight="1" x14ac:dyDescent="0.2">
      <c r="A1874">
        <f>IFERROR(VLOOKUP(C1874,'GASB Match'!$D$2:$F$6042,3,FALSE),"")</f>
        <v>3405970</v>
      </c>
      <c r="B1874" s="17">
        <v>2023</v>
      </c>
      <c r="C1874" s="21" t="s">
        <v>731</v>
      </c>
      <c r="D1874" s="17">
        <v>2043</v>
      </c>
      <c r="E1874" s="17" t="s">
        <v>1443</v>
      </c>
      <c r="F1874" s="23">
        <v>8293955</v>
      </c>
    </row>
    <row r="1875" spans="1:6" ht="16" customHeight="1" x14ac:dyDescent="0.2">
      <c r="A1875">
        <f>IFERROR(VLOOKUP(C1875,'GASB Match'!$D$2:$F$6042,3,FALSE),"")</f>
        <v>3405970</v>
      </c>
      <c r="B1875" s="28">
        <v>2017</v>
      </c>
      <c r="C1875" s="29" t="s">
        <v>53</v>
      </c>
      <c r="D1875" s="17">
        <v>2043</v>
      </c>
      <c r="E1875" s="17" t="s">
        <v>1402</v>
      </c>
      <c r="F1875" s="29">
        <v>2068371</v>
      </c>
    </row>
    <row r="1876" spans="1:6" ht="16" customHeight="1" x14ac:dyDescent="0.2">
      <c r="A1876">
        <f>IFERROR(VLOOKUP(C1876,'GASB Match'!$D$2:$F$6042,3,FALSE),"")</f>
        <v>3406000</v>
      </c>
      <c r="B1876" s="17">
        <v>2015</v>
      </c>
      <c r="C1876" s="17" t="s">
        <v>170</v>
      </c>
      <c r="D1876" s="17">
        <v>4033</v>
      </c>
      <c r="E1876" s="17" t="s">
        <v>1405</v>
      </c>
      <c r="F1876" s="20">
        <v>922731</v>
      </c>
    </row>
    <row r="1877" spans="1:6" ht="16" customHeight="1" x14ac:dyDescent="0.2">
      <c r="A1877">
        <f>IFERROR(VLOOKUP(C1877,'GASB Match'!$D$2:$F$6042,3,FALSE),"")</f>
        <v>3406000</v>
      </c>
      <c r="B1877" s="17">
        <v>2016</v>
      </c>
      <c r="C1877" s="17" t="s">
        <v>170</v>
      </c>
      <c r="D1877" s="17">
        <v>4033</v>
      </c>
      <c r="E1877" s="17" t="s">
        <v>1405</v>
      </c>
      <c r="F1877" s="20">
        <v>1341373</v>
      </c>
    </row>
    <row r="1878" spans="1:6" ht="16" customHeight="1" x14ac:dyDescent="0.2">
      <c r="A1878">
        <f>IFERROR(VLOOKUP(C1878,'GASB Match'!$D$2:$F$6042,3,FALSE),"")</f>
        <v>3406000</v>
      </c>
      <c r="B1878" s="17">
        <v>2018</v>
      </c>
      <c r="C1878" s="17" t="s">
        <v>853</v>
      </c>
      <c r="D1878" s="17">
        <v>4033</v>
      </c>
      <c r="E1878" s="17" t="s">
        <v>1446</v>
      </c>
      <c r="F1878" s="20">
        <v>2381381</v>
      </c>
    </row>
    <row r="1879" spans="1:6" ht="16" customHeight="1" x14ac:dyDescent="0.2">
      <c r="A1879">
        <f>IFERROR(VLOOKUP(C1879,'GASB Match'!$D$2:$F$6042,3,FALSE),"")</f>
        <v>3406000</v>
      </c>
      <c r="B1879" s="17">
        <v>2019</v>
      </c>
      <c r="C1879" s="17" t="s">
        <v>853</v>
      </c>
      <c r="D1879" s="17">
        <v>4033</v>
      </c>
      <c r="E1879" s="17" t="s">
        <v>1446</v>
      </c>
      <c r="F1879" s="20">
        <v>3194519</v>
      </c>
    </row>
    <row r="1880" spans="1:6" ht="16" customHeight="1" x14ac:dyDescent="0.2">
      <c r="A1880">
        <f>IFERROR(VLOOKUP(C1880,'GASB Match'!$D$2:$F$6042,3,FALSE),"")</f>
        <v>3406000</v>
      </c>
      <c r="B1880" s="17">
        <v>2020</v>
      </c>
      <c r="C1880" s="21" t="s">
        <v>853</v>
      </c>
      <c r="D1880" s="17">
        <v>4033</v>
      </c>
      <c r="E1880" s="17" t="s">
        <v>1446</v>
      </c>
      <c r="F1880" s="23">
        <v>3515823</v>
      </c>
    </row>
    <row r="1881" spans="1:6" ht="16" customHeight="1" x14ac:dyDescent="0.2">
      <c r="A1881">
        <f>IFERROR(VLOOKUP(C1881,'GASB Match'!$D$2:$F$6042,3,FALSE),"")</f>
        <v>3406000</v>
      </c>
      <c r="B1881" s="17">
        <v>2021</v>
      </c>
      <c r="C1881" s="25" t="s">
        <v>853</v>
      </c>
      <c r="D1881" s="17">
        <v>4033</v>
      </c>
      <c r="E1881" s="17" t="s">
        <v>1446</v>
      </c>
      <c r="F1881" s="23">
        <v>4287782</v>
      </c>
    </row>
    <row r="1882" spans="1:6" ht="16" customHeight="1" x14ac:dyDescent="0.2">
      <c r="A1882">
        <f>IFERROR(VLOOKUP(C1882,'GASB Match'!$D$2:$F$6042,3,FALSE),"")</f>
        <v>3406000</v>
      </c>
      <c r="B1882" s="17">
        <v>2022</v>
      </c>
      <c r="C1882" s="21" t="s">
        <v>853</v>
      </c>
      <c r="D1882" s="17">
        <v>4033</v>
      </c>
      <c r="E1882" s="17" t="s">
        <v>1446</v>
      </c>
      <c r="F1882" s="23">
        <v>6080429</v>
      </c>
    </row>
    <row r="1883" spans="1:6" ht="16" customHeight="1" x14ac:dyDescent="0.2">
      <c r="A1883">
        <f>IFERROR(VLOOKUP(C1883,'GASB Match'!$D$2:$F$6042,3,FALSE),"")</f>
        <v>3406000</v>
      </c>
      <c r="B1883" s="17">
        <v>2023</v>
      </c>
      <c r="C1883" s="21" t="s">
        <v>853</v>
      </c>
      <c r="D1883" s="17">
        <v>4033</v>
      </c>
      <c r="E1883" s="17" t="s">
        <v>1446</v>
      </c>
      <c r="F1883" s="23">
        <v>5955081</v>
      </c>
    </row>
    <row r="1884" spans="1:6" ht="16" customHeight="1" x14ac:dyDescent="0.2">
      <c r="A1884">
        <f>IFERROR(VLOOKUP(C1884,'GASB Match'!$D$2:$F$6042,3,FALSE),"")</f>
        <v>3406000</v>
      </c>
      <c r="B1884" s="28">
        <v>2017</v>
      </c>
      <c r="C1884" s="29" t="s">
        <v>170</v>
      </c>
      <c r="D1884" s="17">
        <v>4033</v>
      </c>
      <c r="E1884" s="17" t="s">
        <v>1405</v>
      </c>
      <c r="F1884" s="29">
        <v>1886788</v>
      </c>
    </row>
    <row r="1885" spans="1:6" ht="16" customHeight="1" x14ac:dyDescent="0.2">
      <c r="A1885">
        <f>IFERROR(VLOOKUP(C1885,'GASB Match'!$D$2:$F$6042,3,FALSE),"")</f>
        <v>3480363</v>
      </c>
      <c r="B1885" s="17">
        <v>2015</v>
      </c>
      <c r="C1885" s="17" t="s">
        <v>282</v>
      </c>
      <c r="D1885" s="17">
        <v>7010</v>
      </c>
      <c r="E1885" s="17" t="s">
        <v>1412</v>
      </c>
      <c r="F1885" s="20">
        <v>701859</v>
      </c>
    </row>
    <row r="1886" spans="1:6" ht="16" customHeight="1" x14ac:dyDescent="0.2">
      <c r="A1886">
        <f>IFERROR(VLOOKUP(C1886,'GASB Match'!$D$2:$F$6042,3,FALSE),"")</f>
        <v>3480363</v>
      </c>
      <c r="B1886" s="17">
        <v>2016</v>
      </c>
      <c r="C1886" s="17" t="s">
        <v>282</v>
      </c>
      <c r="D1886" s="17">
        <v>7010</v>
      </c>
      <c r="E1886" s="17" t="s">
        <v>1412</v>
      </c>
      <c r="F1886" s="20">
        <v>1078653</v>
      </c>
    </row>
    <row r="1887" spans="1:6" ht="16" customHeight="1" x14ac:dyDescent="0.2">
      <c r="A1887">
        <f>IFERROR(VLOOKUP(C1887,'GASB Match'!$D$2:$F$6042,3,FALSE),"")</f>
        <v>3480363</v>
      </c>
      <c r="B1887" s="17">
        <v>2018</v>
      </c>
      <c r="C1887" s="17" t="s">
        <v>972</v>
      </c>
      <c r="D1887" s="17">
        <v>7010</v>
      </c>
      <c r="E1887" s="17" t="s">
        <v>1454</v>
      </c>
      <c r="F1887" s="20">
        <v>1973655</v>
      </c>
    </row>
    <row r="1888" spans="1:6" ht="16" customHeight="1" x14ac:dyDescent="0.2">
      <c r="A1888">
        <f>IFERROR(VLOOKUP(C1888,'GASB Match'!$D$2:$F$6042,3,FALSE),"")</f>
        <v>3480363</v>
      </c>
      <c r="B1888" s="17">
        <v>2019</v>
      </c>
      <c r="C1888" s="17" t="s">
        <v>972</v>
      </c>
      <c r="D1888" s="17">
        <v>7010</v>
      </c>
      <c r="E1888" s="17" t="s">
        <v>1454</v>
      </c>
      <c r="F1888" s="20">
        <v>2744754</v>
      </c>
    </row>
    <row r="1889" spans="1:6" ht="16" customHeight="1" x14ac:dyDescent="0.2">
      <c r="A1889">
        <f>IFERROR(VLOOKUP(C1889,'GASB Match'!$D$2:$F$6042,3,FALSE),"")</f>
        <v>3480363</v>
      </c>
      <c r="B1889" s="17">
        <v>2020</v>
      </c>
      <c r="C1889" s="21" t="s">
        <v>972</v>
      </c>
      <c r="D1889" s="17">
        <v>7010</v>
      </c>
      <c r="E1889" s="17" t="s">
        <v>1454</v>
      </c>
      <c r="F1889" s="23">
        <v>2991531</v>
      </c>
    </row>
    <row r="1890" spans="1:6" ht="16" customHeight="1" x14ac:dyDescent="0.2">
      <c r="A1890">
        <f>IFERROR(VLOOKUP(C1890,'GASB Match'!$D$2:$F$6042,3,FALSE),"")</f>
        <v>3480363</v>
      </c>
      <c r="B1890" s="17">
        <v>2021</v>
      </c>
      <c r="C1890" s="25" t="s">
        <v>972</v>
      </c>
      <c r="D1890" s="17">
        <v>7010</v>
      </c>
      <c r="E1890" s="17" t="s">
        <v>1454</v>
      </c>
      <c r="F1890" s="23">
        <v>3842386</v>
      </c>
    </row>
    <row r="1891" spans="1:6" ht="16" customHeight="1" x14ac:dyDescent="0.2">
      <c r="A1891">
        <f>IFERROR(VLOOKUP(C1891,'GASB Match'!$D$2:$F$6042,3,FALSE),"")</f>
        <v>3480363</v>
      </c>
      <c r="B1891" s="17">
        <v>2022</v>
      </c>
      <c r="C1891" s="21" t="s">
        <v>972</v>
      </c>
      <c r="D1891" s="17">
        <v>7010</v>
      </c>
      <c r="E1891" s="17" t="s">
        <v>1454</v>
      </c>
      <c r="F1891" s="23">
        <v>5308712</v>
      </c>
    </row>
    <row r="1892" spans="1:6" ht="16" customHeight="1" x14ac:dyDescent="0.2">
      <c r="A1892">
        <f>IFERROR(VLOOKUP(C1892,'GASB Match'!$D$2:$F$6042,3,FALSE),"")</f>
        <v>3480363</v>
      </c>
      <c r="B1892" s="17">
        <v>2023</v>
      </c>
      <c r="C1892" s="21" t="s">
        <v>972</v>
      </c>
      <c r="D1892" s="17">
        <v>7010</v>
      </c>
      <c r="E1892" s="17" t="s">
        <v>1454</v>
      </c>
      <c r="F1892" s="23">
        <v>5213476</v>
      </c>
    </row>
    <row r="1893" spans="1:6" ht="16" customHeight="1" x14ac:dyDescent="0.2">
      <c r="A1893">
        <f>IFERROR(VLOOKUP(C1893,'GASB Match'!$D$2:$F$6042,3,FALSE),"")</f>
        <v>3480363</v>
      </c>
      <c r="B1893" s="28">
        <v>2017</v>
      </c>
      <c r="C1893" s="29" t="s">
        <v>282</v>
      </c>
      <c r="D1893" s="17">
        <v>7010</v>
      </c>
      <c r="E1893" s="17" t="s">
        <v>1412</v>
      </c>
      <c r="F1893" s="29">
        <v>1533979</v>
      </c>
    </row>
    <row r="1894" spans="1:6" ht="16" customHeight="1" x14ac:dyDescent="0.2">
      <c r="A1894">
        <f>IFERROR(VLOOKUP(C1894,'GASB Match'!$D$2:$F$6042,3,FALSE),"")</f>
        <v>3406040</v>
      </c>
      <c r="B1894" s="17">
        <v>2015</v>
      </c>
      <c r="C1894" s="17" t="s">
        <v>283</v>
      </c>
      <c r="D1894" s="17">
        <v>957</v>
      </c>
      <c r="E1894" s="17" t="s">
        <v>1412</v>
      </c>
      <c r="F1894" s="20">
        <v>377130</v>
      </c>
    </row>
    <row r="1895" spans="1:6" ht="16" customHeight="1" x14ac:dyDescent="0.2">
      <c r="A1895">
        <f>IFERROR(VLOOKUP(C1895,'GASB Match'!$D$2:$F$6042,3,FALSE),"")</f>
        <v>3406040</v>
      </c>
      <c r="B1895" s="17">
        <v>2016</v>
      </c>
      <c r="C1895" s="17" t="s">
        <v>283</v>
      </c>
      <c r="D1895" s="17">
        <v>957</v>
      </c>
      <c r="E1895" s="17" t="s">
        <v>1412</v>
      </c>
      <c r="F1895" s="20">
        <v>572467</v>
      </c>
    </row>
    <row r="1896" spans="1:6" ht="16" customHeight="1" x14ac:dyDescent="0.2">
      <c r="A1896">
        <f>IFERROR(VLOOKUP(C1896,'GASB Match'!$D$2:$F$6042,3,FALSE),"")</f>
        <v>3406040</v>
      </c>
      <c r="B1896" s="17">
        <v>2018</v>
      </c>
      <c r="C1896" s="17" t="s">
        <v>973</v>
      </c>
      <c r="D1896" s="17">
        <v>957</v>
      </c>
      <c r="E1896" s="17" t="s">
        <v>1454</v>
      </c>
      <c r="F1896" s="20">
        <v>1061535</v>
      </c>
    </row>
    <row r="1897" spans="1:6" ht="16" customHeight="1" x14ac:dyDescent="0.2">
      <c r="A1897">
        <f>IFERROR(VLOOKUP(C1897,'GASB Match'!$D$2:$F$6042,3,FALSE),"")</f>
        <v>3406040</v>
      </c>
      <c r="B1897" s="17">
        <v>2019</v>
      </c>
      <c r="C1897" s="17" t="s">
        <v>973</v>
      </c>
      <c r="D1897" s="17">
        <v>957</v>
      </c>
      <c r="E1897" s="17" t="s">
        <v>1454</v>
      </c>
      <c r="F1897" s="20">
        <v>1430988</v>
      </c>
    </row>
    <row r="1898" spans="1:6" ht="16" customHeight="1" x14ac:dyDescent="0.2">
      <c r="A1898">
        <f>IFERROR(VLOOKUP(C1898,'GASB Match'!$D$2:$F$6042,3,FALSE),"")</f>
        <v>3406040</v>
      </c>
      <c r="B1898" s="17">
        <v>2020</v>
      </c>
      <c r="C1898" s="21" t="s">
        <v>973</v>
      </c>
      <c r="D1898" s="17">
        <v>957</v>
      </c>
      <c r="E1898" s="17" t="s">
        <v>1454</v>
      </c>
      <c r="F1898" s="23">
        <v>1643633</v>
      </c>
    </row>
    <row r="1899" spans="1:6" ht="16" customHeight="1" x14ac:dyDescent="0.2">
      <c r="A1899">
        <f>IFERROR(VLOOKUP(C1899,'GASB Match'!$D$2:$F$6042,3,FALSE),"")</f>
        <v>3406040</v>
      </c>
      <c r="B1899" s="17">
        <v>2021</v>
      </c>
      <c r="C1899" s="25" t="s">
        <v>973</v>
      </c>
      <c r="D1899" s="17">
        <v>957</v>
      </c>
      <c r="E1899" s="17" t="s">
        <v>1454</v>
      </c>
      <c r="F1899" s="23">
        <v>2210569</v>
      </c>
    </row>
    <row r="1900" spans="1:6" ht="16" customHeight="1" x14ac:dyDescent="0.2">
      <c r="A1900">
        <f>IFERROR(VLOOKUP(C1900,'GASB Match'!$D$2:$F$6042,3,FALSE),"")</f>
        <v>3406040</v>
      </c>
      <c r="B1900" s="17">
        <v>2022</v>
      </c>
      <c r="C1900" s="21" t="s">
        <v>973</v>
      </c>
      <c r="D1900" s="17">
        <v>957</v>
      </c>
      <c r="E1900" s="17" t="s">
        <v>1454</v>
      </c>
      <c r="F1900" s="23">
        <v>3212339</v>
      </c>
    </row>
    <row r="1901" spans="1:6" ht="16" customHeight="1" x14ac:dyDescent="0.2">
      <c r="A1901">
        <f>IFERROR(VLOOKUP(C1901,'GASB Match'!$D$2:$F$6042,3,FALSE),"")</f>
        <v>3406040</v>
      </c>
      <c r="B1901" s="17">
        <v>2023</v>
      </c>
      <c r="C1901" s="21" t="s">
        <v>973</v>
      </c>
      <c r="D1901" s="17">
        <v>957</v>
      </c>
      <c r="E1901" s="17" t="s">
        <v>1454</v>
      </c>
      <c r="F1901" s="23">
        <v>3254898</v>
      </c>
    </row>
    <row r="1902" spans="1:6" ht="16" customHeight="1" x14ac:dyDescent="0.2">
      <c r="A1902">
        <f>IFERROR(VLOOKUP(C1902,'GASB Match'!$D$2:$F$6042,3,FALSE),"")</f>
        <v>3406040</v>
      </c>
      <c r="B1902" s="28">
        <v>2017</v>
      </c>
      <c r="C1902" s="29" t="s">
        <v>283</v>
      </c>
      <c r="D1902" s="17">
        <v>957</v>
      </c>
      <c r="E1902" s="17" t="s">
        <v>1412</v>
      </c>
      <c r="F1902" s="29">
        <v>767818</v>
      </c>
    </row>
    <row r="1903" spans="1:6" ht="16" customHeight="1" x14ac:dyDescent="0.2">
      <c r="A1903">
        <f>IFERROR(VLOOKUP(C1903,'GASB Match'!$D$2:$F$6042,3,FALSE),"")</f>
        <v>3406030</v>
      </c>
      <c r="B1903" s="17">
        <v>2015</v>
      </c>
      <c r="C1903" s="17" t="s">
        <v>171</v>
      </c>
      <c r="D1903" s="17">
        <v>4034</v>
      </c>
      <c r="E1903" s="17" t="s">
        <v>1405</v>
      </c>
      <c r="F1903" s="20">
        <v>2405496</v>
      </c>
    </row>
    <row r="1904" spans="1:6" ht="16" customHeight="1" x14ac:dyDescent="0.2">
      <c r="A1904">
        <f>IFERROR(VLOOKUP(C1904,'GASB Match'!$D$2:$F$6042,3,FALSE),"")</f>
        <v>3406030</v>
      </c>
      <c r="B1904" s="17">
        <v>2016</v>
      </c>
      <c r="C1904" s="17" t="s">
        <v>171</v>
      </c>
      <c r="D1904" s="17">
        <v>4034</v>
      </c>
      <c r="E1904" s="17" t="s">
        <v>1405</v>
      </c>
      <c r="F1904" s="20">
        <v>3636884</v>
      </c>
    </row>
    <row r="1905" spans="1:6" ht="16" customHeight="1" x14ac:dyDescent="0.2">
      <c r="A1905">
        <f>IFERROR(VLOOKUP(C1905,'GASB Match'!$D$2:$F$6042,3,FALSE),"")</f>
        <v>3406030</v>
      </c>
      <c r="B1905" s="17">
        <v>2018</v>
      </c>
      <c r="C1905" s="17" t="s">
        <v>854</v>
      </c>
      <c r="D1905" s="17">
        <v>4034</v>
      </c>
      <c r="E1905" s="17" t="s">
        <v>1446</v>
      </c>
      <c r="F1905" s="20">
        <v>6788426</v>
      </c>
    </row>
    <row r="1906" spans="1:6" ht="16" customHeight="1" x14ac:dyDescent="0.2">
      <c r="A1906">
        <f>IFERROR(VLOOKUP(C1906,'GASB Match'!$D$2:$F$6042,3,FALSE),"")</f>
        <v>3406030</v>
      </c>
      <c r="B1906" s="17">
        <v>2019</v>
      </c>
      <c r="C1906" s="17" t="s">
        <v>854</v>
      </c>
      <c r="D1906" s="17">
        <v>4034</v>
      </c>
      <c r="E1906" s="17" t="s">
        <v>1446</v>
      </c>
      <c r="F1906" s="20">
        <v>9215649</v>
      </c>
    </row>
    <row r="1907" spans="1:6" ht="16" customHeight="1" x14ac:dyDescent="0.2">
      <c r="A1907">
        <f>IFERROR(VLOOKUP(C1907,'GASB Match'!$D$2:$F$6042,3,FALSE),"")</f>
        <v>3406030</v>
      </c>
      <c r="B1907" s="17">
        <v>2020</v>
      </c>
      <c r="C1907" s="21" t="s">
        <v>854</v>
      </c>
      <c r="D1907" s="17">
        <v>4034</v>
      </c>
      <c r="E1907" s="17" t="s">
        <v>1446</v>
      </c>
      <c r="F1907" s="23">
        <v>10285976</v>
      </c>
    </row>
    <row r="1908" spans="1:6" ht="16" customHeight="1" x14ac:dyDescent="0.2">
      <c r="A1908">
        <f>IFERROR(VLOOKUP(C1908,'GASB Match'!$D$2:$F$6042,3,FALSE),"")</f>
        <v>3406030</v>
      </c>
      <c r="B1908" s="17">
        <v>2021</v>
      </c>
      <c r="C1908" s="25" t="s">
        <v>854</v>
      </c>
      <c r="D1908" s="17">
        <v>4034</v>
      </c>
      <c r="E1908" s="17" t="s">
        <v>1446</v>
      </c>
      <c r="F1908" s="23">
        <v>13150382</v>
      </c>
    </row>
    <row r="1909" spans="1:6" ht="16" customHeight="1" x14ac:dyDescent="0.2">
      <c r="A1909">
        <f>IFERROR(VLOOKUP(C1909,'GASB Match'!$D$2:$F$6042,3,FALSE),"")</f>
        <v>3406030</v>
      </c>
      <c r="B1909" s="17">
        <v>2022</v>
      </c>
      <c r="C1909" s="21" t="s">
        <v>854</v>
      </c>
      <c r="D1909" s="17">
        <v>4034</v>
      </c>
      <c r="E1909" s="17" t="s">
        <v>1446</v>
      </c>
      <c r="F1909" s="23">
        <v>18814908</v>
      </c>
    </row>
    <row r="1910" spans="1:6" ht="16" customHeight="1" x14ac:dyDescent="0.2">
      <c r="A1910">
        <f>IFERROR(VLOOKUP(C1910,'GASB Match'!$D$2:$F$6042,3,FALSE),"")</f>
        <v>3406030</v>
      </c>
      <c r="B1910" s="17">
        <v>2023</v>
      </c>
      <c r="C1910" s="21" t="s">
        <v>854</v>
      </c>
      <c r="D1910" s="17">
        <v>4034</v>
      </c>
      <c r="E1910" s="17" t="s">
        <v>1446</v>
      </c>
      <c r="F1910" s="23">
        <v>19108620</v>
      </c>
    </row>
    <row r="1911" spans="1:6" ht="16" customHeight="1" x14ac:dyDescent="0.2">
      <c r="A1911">
        <f>IFERROR(VLOOKUP(C1911,'GASB Match'!$D$2:$F$6042,3,FALSE),"")</f>
        <v>3406030</v>
      </c>
      <c r="B1911" s="28">
        <v>2017</v>
      </c>
      <c r="C1911" s="29" t="s">
        <v>171</v>
      </c>
      <c r="D1911" s="17">
        <v>4034</v>
      </c>
      <c r="E1911" s="17" t="s">
        <v>1405</v>
      </c>
      <c r="F1911" s="29">
        <v>5059790</v>
      </c>
    </row>
    <row r="1912" spans="1:6" ht="16" customHeight="1" x14ac:dyDescent="0.2">
      <c r="A1912">
        <f>IFERROR(VLOOKUP(C1912,'GASB Match'!$D$2:$F$6042,3,FALSE),"")</f>
        <v>3400064</v>
      </c>
      <c r="B1912" s="17">
        <v>2015</v>
      </c>
      <c r="C1912" s="17" t="s">
        <v>242</v>
      </c>
      <c r="D1912" s="17">
        <v>6015</v>
      </c>
      <c r="E1912" s="17" t="s">
        <v>1411</v>
      </c>
      <c r="F1912" s="20">
        <v>77722</v>
      </c>
    </row>
    <row r="1913" spans="1:6" ht="16" customHeight="1" x14ac:dyDescent="0.2">
      <c r="A1913">
        <f>IFERROR(VLOOKUP(C1913,'GASB Match'!$D$2:$F$6042,3,FALSE),"")</f>
        <v>3400064</v>
      </c>
      <c r="B1913" s="17">
        <v>2018</v>
      </c>
      <c r="C1913" s="17" t="s">
        <v>928</v>
      </c>
      <c r="D1913" s="17">
        <v>6015</v>
      </c>
      <c r="E1913" s="17" t="s">
        <v>1452</v>
      </c>
      <c r="F1913" s="20">
        <v>243265</v>
      </c>
    </row>
    <row r="1914" spans="1:6" ht="16" customHeight="1" x14ac:dyDescent="0.2">
      <c r="A1914">
        <f>IFERROR(VLOOKUP(C1914,'GASB Match'!$D$2:$F$6042,3,FALSE),"")</f>
        <v>3400064</v>
      </c>
      <c r="B1914" s="17">
        <v>2019</v>
      </c>
      <c r="C1914" s="17" t="s">
        <v>928</v>
      </c>
      <c r="D1914" s="17">
        <v>6015</v>
      </c>
      <c r="E1914" s="17" t="s">
        <v>1452</v>
      </c>
      <c r="F1914" s="20">
        <v>319312</v>
      </c>
    </row>
    <row r="1915" spans="1:6" ht="16" customHeight="1" x14ac:dyDescent="0.2">
      <c r="A1915">
        <f>IFERROR(VLOOKUP(C1915,'GASB Match'!$D$2:$F$6042,3,FALSE),"")</f>
        <v>3400064</v>
      </c>
      <c r="B1915" s="17">
        <v>2020</v>
      </c>
      <c r="C1915" s="21" t="s">
        <v>928</v>
      </c>
      <c r="D1915" s="17">
        <v>6015</v>
      </c>
      <c r="E1915" s="17" t="s">
        <v>1452</v>
      </c>
      <c r="F1915" s="23">
        <v>366633</v>
      </c>
    </row>
    <row r="1916" spans="1:6" ht="16" customHeight="1" x14ac:dyDescent="0.2">
      <c r="A1916">
        <f>IFERROR(VLOOKUP(C1916,'GASB Match'!$D$2:$F$6042,3,FALSE),"")</f>
        <v>3400064</v>
      </c>
      <c r="B1916" s="17">
        <v>2021</v>
      </c>
      <c r="C1916" s="25" t="s">
        <v>928</v>
      </c>
      <c r="D1916" s="17">
        <v>6015</v>
      </c>
      <c r="E1916" s="17" t="s">
        <v>1452</v>
      </c>
      <c r="F1916" s="23">
        <v>480304</v>
      </c>
    </row>
    <row r="1917" spans="1:6" ht="16" customHeight="1" x14ac:dyDescent="0.2">
      <c r="A1917">
        <f>IFERROR(VLOOKUP(C1917,'GASB Match'!$D$2:$F$6042,3,FALSE),"")</f>
        <v>3400064</v>
      </c>
      <c r="B1917" s="17">
        <v>2022</v>
      </c>
      <c r="C1917" s="21" t="s">
        <v>928</v>
      </c>
      <c r="D1917" s="17">
        <v>6015</v>
      </c>
      <c r="E1917" s="17" t="s">
        <v>1452</v>
      </c>
      <c r="F1917" s="23">
        <v>710365</v>
      </c>
    </row>
    <row r="1918" spans="1:6" ht="16" customHeight="1" x14ac:dyDescent="0.2">
      <c r="A1918">
        <f>IFERROR(VLOOKUP(C1918,'GASB Match'!$D$2:$F$6042,3,FALSE),"")</f>
        <v>3400064</v>
      </c>
      <c r="B1918" s="17">
        <v>2023</v>
      </c>
      <c r="C1918" s="21" t="s">
        <v>928</v>
      </c>
      <c r="D1918" s="17">
        <v>6015</v>
      </c>
      <c r="E1918" s="17" t="s">
        <v>1452</v>
      </c>
      <c r="F1918" s="23">
        <v>693477</v>
      </c>
    </row>
    <row r="1919" spans="1:6" ht="16" customHeight="1" x14ac:dyDescent="0.2">
      <c r="A1919">
        <f>IFERROR(VLOOKUP(C1919,'GASB Match'!$D$2:$F$6042,3,FALSE),"")</f>
        <v>3400064</v>
      </c>
      <c r="B1919" s="28">
        <v>2017</v>
      </c>
      <c r="C1919" s="29" t="s">
        <v>242</v>
      </c>
      <c r="D1919" s="17">
        <v>6015</v>
      </c>
      <c r="E1919" s="17" t="s">
        <v>1411</v>
      </c>
      <c r="F1919" s="29">
        <v>147982</v>
      </c>
    </row>
    <row r="1920" spans="1:6" ht="16" customHeight="1" x14ac:dyDescent="0.2">
      <c r="A1920">
        <f>IFERROR(VLOOKUP(C1920,'GASB Match'!$D$2:$F$6042,3,FALSE),"")</f>
        <v>3400774</v>
      </c>
      <c r="B1920" s="17">
        <v>2018</v>
      </c>
      <c r="C1920" s="17" t="s">
        <v>997</v>
      </c>
      <c r="D1920" s="17">
        <v>8099</v>
      </c>
      <c r="E1920" s="17" t="s">
        <v>1456</v>
      </c>
      <c r="F1920" s="20">
        <v>198610</v>
      </c>
    </row>
    <row r="1921" spans="1:6" ht="16" customHeight="1" x14ac:dyDescent="0.2">
      <c r="A1921">
        <f>IFERROR(VLOOKUP(C1921,'GASB Match'!$D$2:$F$6042,3,FALSE),"")</f>
        <v>3400774</v>
      </c>
      <c r="B1921" s="17">
        <v>2019</v>
      </c>
      <c r="C1921" s="17" t="s">
        <v>997</v>
      </c>
      <c r="D1921" s="17">
        <v>8099</v>
      </c>
      <c r="E1921" s="17" t="s">
        <v>1456</v>
      </c>
      <c r="F1921" s="20">
        <v>264509</v>
      </c>
    </row>
    <row r="1922" spans="1:6" ht="16" customHeight="1" x14ac:dyDescent="0.2">
      <c r="A1922">
        <f>IFERROR(VLOOKUP(C1922,'GASB Match'!$D$2:$F$6042,3,FALSE),"")</f>
        <v>3400774</v>
      </c>
      <c r="B1922" s="17">
        <v>2020</v>
      </c>
      <c r="C1922" s="21" t="s">
        <v>997</v>
      </c>
      <c r="D1922" s="17">
        <v>8099</v>
      </c>
      <c r="E1922" s="17" t="s">
        <v>1456</v>
      </c>
      <c r="F1922" s="23">
        <v>223756</v>
      </c>
    </row>
    <row r="1923" spans="1:6" ht="16" customHeight="1" x14ac:dyDescent="0.2">
      <c r="A1923">
        <f>IFERROR(VLOOKUP(C1923,'GASB Match'!$D$2:$F$6042,3,FALSE),"")</f>
        <v>3400008</v>
      </c>
      <c r="B1923" s="17">
        <v>2015</v>
      </c>
      <c r="C1923" s="17" t="s">
        <v>643</v>
      </c>
      <c r="D1923" s="17">
        <v>937</v>
      </c>
      <c r="E1923" s="17" t="s">
        <v>1429</v>
      </c>
      <c r="F1923" s="20">
        <v>314772</v>
      </c>
    </row>
    <row r="1924" spans="1:6" ht="16" customHeight="1" x14ac:dyDescent="0.2">
      <c r="A1924">
        <f>IFERROR(VLOOKUP(C1924,'GASB Match'!$D$2:$F$6042,3,FALSE),"")</f>
        <v>3400008</v>
      </c>
      <c r="B1924" s="17">
        <v>2016</v>
      </c>
      <c r="C1924" s="17" t="s">
        <v>643</v>
      </c>
      <c r="D1924" s="17">
        <v>937</v>
      </c>
      <c r="E1924" s="17" t="s">
        <v>1429</v>
      </c>
      <c r="F1924" s="20">
        <v>447049</v>
      </c>
    </row>
    <row r="1925" spans="1:6" ht="16" customHeight="1" x14ac:dyDescent="0.2">
      <c r="A1925">
        <f>IFERROR(VLOOKUP(C1925,'GASB Match'!$D$2:$F$6042,3,FALSE),"")</f>
        <v>3400008</v>
      </c>
      <c r="B1925" s="17">
        <v>2018</v>
      </c>
      <c r="C1925" s="17" t="s">
        <v>1336</v>
      </c>
      <c r="D1925" s="17">
        <v>937</v>
      </c>
      <c r="E1925" s="17" t="s">
        <v>1472</v>
      </c>
      <c r="F1925" s="20">
        <v>821527</v>
      </c>
    </row>
    <row r="1926" spans="1:6" ht="16" customHeight="1" x14ac:dyDescent="0.2">
      <c r="A1926">
        <f>IFERROR(VLOOKUP(C1926,'GASB Match'!$D$2:$F$6042,3,FALSE),"")</f>
        <v>3400008</v>
      </c>
      <c r="B1926" s="17">
        <v>2019</v>
      </c>
      <c r="C1926" s="17" t="s">
        <v>1336</v>
      </c>
      <c r="D1926" s="17">
        <v>937</v>
      </c>
      <c r="E1926" s="17" t="s">
        <v>1472</v>
      </c>
      <c r="F1926" s="20">
        <v>1116234</v>
      </c>
    </row>
    <row r="1927" spans="1:6" ht="16" customHeight="1" x14ac:dyDescent="0.2">
      <c r="A1927">
        <f>IFERROR(VLOOKUP(C1927,'GASB Match'!$D$2:$F$6042,3,FALSE),"")</f>
        <v>3400008</v>
      </c>
      <c r="B1927" s="17">
        <v>2020</v>
      </c>
      <c r="C1927" s="21" t="s">
        <v>1336</v>
      </c>
      <c r="D1927" s="17">
        <v>937</v>
      </c>
      <c r="E1927" s="17" t="s">
        <v>1472</v>
      </c>
      <c r="F1927" s="23">
        <v>1235659</v>
      </c>
    </row>
    <row r="1928" spans="1:6" ht="16" customHeight="1" x14ac:dyDescent="0.2">
      <c r="A1928">
        <f>IFERROR(VLOOKUP(C1928,'GASB Match'!$D$2:$F$6042,3,FALSE),"")</f>
        <v>3400008</v>
      </c>
      <c r="B1928" s="17">
        <v>2021</v>
      </c>
      <c r="C1928" s="25" t="s">
        <v>1336</v>
      </c>
      <c r="D1928" s="17">
        <v>937</v>
      </c>
      <c r="E1928" s="17" t="s">
        <v>1472</v>
      </c>
      <c r="F1928" s="23">
        <v>1500515</v>
      </c>
    </row>
    <row r="1929" spans="1:6" ht="16" customHeight="1" x14ac:dyDescent="0.2">
      <c r="A1929">
        <f>IFERROR(VLOOKUP(C1929,'GASB Match'!$D$2:$F$6042,3,FALSE),"")</f>
        <v>3400008</v>
      </c>
      <c r="B1929" s="17">
        <v>2022</v>
      </c>
      <c r="C1929" s="21" t="s">
        <v>1336</v>
      </c>
      <c r="D1929" s="17">
        <v>937</v>
      </c>
      <c r="E1929" s="17" t="s">
        <v>1472</v>
      </c>
      <c r="F1929" s="23">
        <v>2011240</v>
      </c>
    </row>
    <row r="1930" spans="1:6" ht="16" customHeight="1" x14ac:dyDescent="0.2">
      <c r="A1930">
        <f>IFERROR(VLOOKUP(C1930,'GASB Match'!$D$2:$F$6042,3,FALSE),"")</f>
        <v>3400008</v>
      </c>
      <c r="B1930" s="17">
        <v>2023</v>
      </c>
      <c r="C1930" s="21" t="s">
        <v>1336</v>
      </c>
      <c r="D1930" s="17">
        <v>937</v>
      </c>
      <c r="E1930" s="17" t="s">
        <v>1472</v>
      </c>
      <c r="F1930" s="23">
        <v>1777108</v>
      </c>
    </row>
    <row r="1931" spans="1:6" ht="16" customHeight="1" x14ac:dyDescent="0.2">
      <c r="A1931">
        <f>IFERROR(VLOOKUP(C1931,'GASB Match'!$D$2:$F$6042,3,FALSE),"")</f>
        <v>3400008</v>
      </c>
      <c r="B1931" s="28">
        <v>2017</v>
      </c>
      <c r="C1931" s="29" t="s">
        <v>643</v>
      </c>
      <c r="D1931" s="17">
        <v>937</v>
      </c>
      <c r="E1931" s="17" t="s">
        <v>1429</v>
      </c>
      <c r="F1931" s="29">
        <v>597858</v>
      </c>
    </row>
    <row r="1932" spans="1:6" ht="16" customHeight="1" x14ac:dyDescent="0.2">
      <c r="A1932">
        <f>IFERROR(VLOOKUP(C1932,'GASB Match'!$D$2:$F$6042,3,FALSE),"")</f>
        <v>3400751</v>
      </c>
      <c r="B1932" s="17">
        <v>2015</v>
      </c>
      <c r="C1932" s="17" t="s">
        <v>243</v>
      </c>
      <c r="D1932" s="17">
        <v>6101</v>
      </c>
      <c r="E1932" s="17" t="s">
        <v>1411</v>
      </c>
      <c r="F1932" s="20">
        <v>29159</v>
      </c>
    </row>
    <row r="1933" spans="1:6" ht="16" customHeight="1" x14ac:dyDescent="0.2">
      <c r="A1933">
        <f>IFERROR(VLOOKUP(C1933,'GASB Match'!$D$2:$F$6042,3,FALSE),"")</f>
        <v>3400751</v>
      </c>
      <c r="B1933" s="17">
        <v>2016</v>
      </c>
      <c r="C1933" s="17" t="s">
        <v>243</v>
      </c>
      <c r="D1933" s="17">
        <v>6101</v>
      </c>
      <c r="E1933" s="17" t="s">
        <v>1411</v>
      </c>
      <c r="F1933" s="20">
        <v>76399</v>
      </c>
    </row>
    <row r="1934" spans="1:6" ht="16" customHeight="1" x14ac:dyDescent="0.2">
      <c r="A1934">
        <f>IFERROR(VLOOKUP(C1934,'GASB Match'!$D$2:$F$6042,3,FALSE),"")</f>
        <v>3400751</v>
      </c>
      <c r="B1934" s="17">
        <v>2018</v>
      </c>
      <c r="C1934" s="17" t="s">
        <v>929</v>
      </c>
      <c r="D1934" s="17">
        <v>6101</v>
      </c>
      <c r="E1934" s="17" t="s">
        <v>1452</v>
      </c>
      <c r="F1934" s="20">
        <v>184942</v>
      </c>
    </row>
    <row r="1935" spans="1:6" ht="16" customHeight="1" x14ac:dyDescent="0.2">
      <c r="A1935">
        <f>IFERROR(VLOOKUP(C1935,'GASB Match'!$D$2:$F$6042,3,FALSE),"")</f>
        <v>3400751</v>
      </c>
      <c r="B1935" s="17">
        <v>2019</v>
      </c>
      <c r="C1935" s="17" t="s">
        <v>929</v>
      </c>
      <c r="D1935" s="17">
        <v>6101</v>
      </c>
      <c r="E1935" s="17" t="s">
        <v>1452</v>
      </c>
      <c r="F1935" s="20">
        <v>980286</v>
      </c>
    </row>
    <row r="1936" spans="1:6" ht="16" customHeight="1" x14ac:dyDescent="0.2">
      <c r="A1936">
        <f>IFERROR(VLOOKUP(C1936,'GASB Match'!$D$2:$F$6042,3,FALSE),"")</f>
        <v>3400751</v>
      </c>
      <c r="B1936" s="17">
        <v>2020</v>
      </c>
      <c r="C1936" s="21" t="s">
        <v>929</v>
      </c>
      <c r="D1936" s="17">
        <v>6101</v>
      </c>
      <c r="E1936" s="17" t="s">
        <v>1452</v>
      </c>
      <c r="F1936" s="23">
        <v>1163419</v>
      </c>
    </row>
    <row r="1937" spans="1:6" ht="16" customHeight="1" x14ac:dyDescent="0.2">
      <c r="A1937">
        <f>IFERROR(VLOOKUP(C1937,'GASB Match'!$D$2:$F$6042,3,FALSE),"")</f>
        <v>3400751</v>
      </c>
      <c r="B1937" s="17">
        <v>2021</v>
      </c>
      <c r="C1937" s="25" t="s">
        <v>929</v>
      </c>
      <c r="D1937" s="17">
        <v>6101</v>
      </c>
      <c r="E1937" s="17" t="s">
        <v>1452</v>
      </c>
      <c r="F1937" s="23">
        <v>2131763</v>
      </c>
    </row>
    <row r="1938" spans="1:6" ht="16" customHeight="1" x14ac:dyDescent="0.2">
      <c r="A1938">
        <f>IFERROR(VLOOKUP(C1938,'GASB Match'!$D$2:$F$6042,3,FALSE),"")</f>
        <v>3400751</v>
      </c>
      <c r="B1938" s="17">
        <v>2022</v>
      </c>
      <c r="C1938" s="21" t="s">
        <v>929</v>
      </c>
      <c r="D1938" s="17">
        <v>6101</v>
      </c>
      <c r="E1938" s="17" t="s">
        <v>1452</v>
      </c>
      <c r="F1938" s="23">
        <v>3324499</v>
      </c>
    </row>
    <row r="1939" spans="1:6" ht="16" customHeight="1" x14ac:dyDescent="0.2">
      <c r="A1939">
        <f>IFERROR(VLOOKUP(C1939,'GASB Match'!$D$2:$F$6042,3,FALSE),"")</f>
        <v>3400751</v>
      </c>
      <c r="B1939" s="17">
        <v>2023</v>
      </c>
      <c r="C1939" s="21" t="s">
        <v>929</v>
      </c>
      <c r="D1939" s="17">
        <v>6101</v>
      </c>
      <c r="E1939" s="17" t="s">
        <v>1452</v>
      </c>
      <c r="F1939" s="23">
        <v>3416039</v>
      </c>
    </row>
    <row r="1940" spans="1:6" ht="16" customHeight="1" x14ac:dyDescent="0.2">
      <c r="A1940">
        <f>IFERROR(VLOOKUP(C1940,'GASB Match'!$D$2:$F$6042,3,FALSE),"")</f>
        <v>3400751</v>
      </c>
      <c r="B1940" s="28">
        <v>2017</v>
      </c>
      <c r="C1940" s="29" t="s">
        <v>243</v>
      </c>
      <c r="D1940" s="17">
        <v>6101</v>
      </c>
      <c r="E1940" s="17" t="s">
        <v>1411</v>
      </c>
      <c r="F1940" s="29">
        <v>144448</v>
      </c>
    </row>
    <row r="1941" spans="1:6" ht="16" customHeight="1" x14ac:dyDescent="0.2">
      <c r="A1941">
        <f>IFERROR(VLOOKUP(C1941,'GASB Match'!$D$2:$F$6042,3,FALSE),"")</f>
        <v>3400047</v>
      </c>
      <c r="B1941" s="17">
        <v>2015</v>
      </c>
      <c r="C1941" s="17" t="s">
        <v>378</v>
      </c>
      <c r="D1941" s="17">
        <v>203</v>
      </c>
      <c r="E1941" s="17" t="s">
        <v>1418</v>
      </c>
      <c r="F1941" s="20">
        <v>101861</v>
      </c>
    </row>
    <row r="1942" spans="1:6" ht="16" customHeight="1" x14ac:dyDescent="0.2">
      <c r="A1942">
        <f>IFERROR(VLOOKUP(C1942,'GASB Match'!$D$2:$F$6042,3,FALSE),"")</f>
        <v>3400047</v>
      </c>
      <c r="B1942" s="17">
        <v>2016</v>
      </c>
      <c r="C1942" s="17" t="s">
        <v>378</v>
      </c>
      <c r="D1942" s="17">
        <v>203</v>
      </c>
      <c r="E1942" s="17" t="s">
        <v>1418</v>
      </c>
      <c r="F1942" s="20">
        <v>162652</v>
      </c>
    </row>
    <row r="1943" spans="1:6" ht="16" customHeight="1" x14ac:dyDescent="0.2">
      <c r="A1943">
        <f>IFERROR(VLOOKUP(C1943,'GASB Match'!$D$2:$F$6042,3,FALSE),"")</f>
        <v>3400047</v>
      </c>
      <c r="B1943" s="17">
        <v>2018</v>
      </c>
      <c r="C1943" s="17" t="s">
        <v>1071</v>
      </c>
      <c r="D1943" s="17">
        <v>203</v>
      </c>
      <c r="E1943" s="17" t="s">
        <v>1461</v>
      </c>
      <c r="F1943" s="20">
        <v>297174</v>
      </c>
    </row>
    <row r="1944" spans="1:6" ht="16" customHeight="1" x14ac:dyDescent="0.2">
      <c r="A1944">
        <f>IFERROR(VLOOKUP(C1944,'GASB Match'!$D$2:$F$6042,3,FALSE),"")</f>
        <v>3400047</v>
      </c>
      <c r="B1944" s="17">
        <v>2019</v>
      </c>
      <c r="C1944" s="17" t="s">
        <v>1071</v>
      </c>
      <c r="D1944" s="17">
        <v>203</v>
      </c>
      <c r="E1944" s="17" t="s">
        <v>1461</v>
      </c>
      <c r="F1944" s="20">
        <v>442165</v>
      </c>
    </row>
    <row r="1945" spans="1:6" ht="16" customHeight="1" x14ac:dyDescent="0.2">
      <c r="A1945">
        <f>IFERROR(VLOOKUP(C1945,'GASB Match'!$D$2:$F$6042,3,FALSE),"")</f>
        <v>3400047</v>
      </c>
      <c r="B1945" s="17">
        <v>2020</v>
      </c>
      <c r="C1945" s="21" t="s">
        <v>1071</v>
      </c>
      <c r="D1945" s="17">
        <v>203</v>
      </c>
      <c r="E1945" s="17" t="s">
        <v>1461</v>
      </c>
      <c r="F1945" s="23">
        <v>495895</v>
      </c>
    </row>
    <row r="1946" spans="1:6" ht="16" customHeight="1" x14ac:dyDescent="0.2">
      <c r="A1946">
        <f>IFERROR(VLOOKUP(C1946,'GASB Match'!$D$2:$F$6042,3,FALSE),"")</f>
        <v>3400047</v>
      </c>
      <c r="B1946" s="17">
        <v>2021</v>
      </c>
      <c r="C1946" s="25" t="s">
        <v>1071</v>
      </c>
      <c r="D1946" s="17">
        <v>203</v>
      </c>
      <c r="E1946" s="17" t="s">
        <v>1461</v>
      </c>
      <c r="F1946" s="23">
        <v>624302</v>
      </c>
    </row>
    <row r="1947" spans="1:6" ht="16" customHeight="1" x14ac:dyDescent="0.2">
      <c r="A1947">
        <f>IFERROR(VLOOKUP(C1947,'GASB Match'!$D$2:$F$6042,3,FALSE),"")</f>
        <v>3400047</v>
      </c>
      <c r="B1947" s="17">
        <v>2022</v>
      </c>
      <c r="C1947" s="21" t="s">
        <v>1071</v>
      </c>
      <c r="D1947" s="17">
        <v>203</v>
      </c>
      <c r="E1947" s="17" t="s">
        <v>1461</v>
      </c>
      <c r="F1947" s="23">
        <v>694428</v>
      </c>
    </row>
    <row r="1948" spans="1:6" ht="16" customHeight="1" x14ac:dyDescent="0.2">
      <c r="A1948">
        <f>IFERROR(VLOOKUP(C1948,'GASB Match'!$D$2:$F$6042,3,FALSE),"")</f>
        <v>3400047</v>
      </c>
      <c r="B1948" s="17">
        <v>2023</v>
      </c>
      <c r="C1948" s="21" t="s">
        <v>1071</v>
      </c>
      <c r="D1948" s="17">
        <v>203</v>
      </c>
      <c r="E1948" s="17" t="s">
        <v>1461</v>
      </c>
      <c r="F1948" s="23">
        <v>835232</v>
      </c>
    </row>
    <row r="1949" spans="1:6" ht="16" customHeight="1" x14ac:dyDescent="0.2">
      <c r="A1949">
        <f>IFERROR(VLOOKUP(C1949,'GASB Match'!$D$2:$F$6042,3,FALSE),"")</f>
        <v>3400047</v>
      </c>
      <c r="B1949" s="28">
        <v>2017</v>
      </c>
      <c r="C1949" s="29" t="s">
        <v>378</v>
      </c>
      <c r="D1949" s="17">
        <v>203</v>
      </c>
      <c r="E1949" s="17" t="s">
        <v>1418</v>
      </c>
      <c r="F1949" s="29">
        <v>250897</v>
      </c>
    </row>
    <row r="1950" spans="1:6" ht="16" customHeight="1" x14ac:dyDescent="0.2">
      <c r="A1950">
        <f>IFERROR(VLOOKUP(C1950,'GASB Match'!$D$2:$F$6042,3,FALSE),"")</f>
        <v>3406060</v>
      </c>
      <c r="B1950" s="17">
        <v>2015</v>
      </c>
      <c r="C1950" s="17" t="s">
        <v>13</v>
      </c>
      <c r="D1950" s="17">
        <v>1097</v>
      </c>
      <c r="E1950" s="17" t="s">
        <v>1400</v>
      </c>
      <c r="F1950" s="20">
        <v>1250469</v>
      </c>
    </row>
    <row r="1951" spans="1:6" ht="16" customHeight="1" x14ac:dyDescent="0.2">
      <c r="A1951">
        <f>IFERROR(VLOOKUP(C1951,'GASB Match'!$D$2:$F$6042,3,FALSE),"")</f>
        <v>3406060</v>
      </c>
      <c r="B1951" s="17">
        <v>2016</v>
      </c>
      <c r="C1951" s="17" t="s">
        <v>13</v>
      </c>
      <c r="D1951" s="17">
        <v>1097</v>
      </c>
      <c r="E1951" s="17" t="s">
        <v>1400</v>
      </c>
      <c r="F1951" s="20">
        <v>1886441</v>
      </c>
    </row>
    <row r="1952" spans="1:6" ht="16" customHeight="1" x14ac:dyDescent="0.2">
      <c r="A1952">
        <f>IFERROR(VLOOKUP(C1952,'GASB Match'!$D$2:$F$6042,3,FALSE),"")</f>
        <v>3406060</v>
      </c>
      <c r="B1952" s="17">
        <v>2018</v>
      </c>
      <c r="C1952" s="17" t="s">
        <v>692</v>
      </c>
      <c r="D1952" s="17">
        <v>1097</v>
      </c>
      <c r="E1952" s="17" t="s">
        <v>1441</v>
      </c>
      <c r="F1952" s="20">
        <v>3467411</v>
      </c>
    </row>
    <row r="1953" spans="1:6" ht="16" customHeight="1" x14ac:dyDescent="0.2">
      <c r="A1953">
        <f>IFERROR(VLOOKUP(C1953,'GASB Match'!$D$2:$F$6042,3,FALSE),"")</f>
        <v>3406060</v>
      </c>
      <c r="B1953" s="17">
        <v>2019</v>
      </c>
      <c r="C1953" s="17" t="s">
        <v>692</v>
      </c>
      <c r="D1953" s="17">
        <v>1097</v>
      </c>
      <c r="E1953" s="17" t="s">
        <v>1441</v>
      </c>
      <c r="F1953" s="20">
        <v>4751489</v>
      </c>
    </row>
    <row r="1954" spans="1:6" ht="16" customHeight="1" x14ac:dyDescent="0.2">
      <c r="A1954">
        <f>IFERROR(VLOOKUP(C1954,'GASB Match'!$D$2:$F$6042,3,FALSE),"")</f>
        <v>3406060</v>
      </c>
      <c r="B1954" s="17">
        <v>2020</v>
      </c>
      <c r="C1954" s="21" t="s">
        <v>692</v>
      </c>
      <c r="D1954" s="17">
        <v>1097</v>
      </c>
      <c r="E1954" s="17" t="s">
        <v>1441</v>
      </c>
      <c r="F1954" s="23">
        <v>5260686</v>
      </c>
    </row>
    <row r="1955" spans="1:6" ht="16" customHeight="1" x14ac:dyDescent="0.2">
      <c r="A1955">
        <f>IFERROR(VLOOKUP(C1955,'GASB Match'!$D$2:$F$6042,3,FALSE),"")</f>
        <v>3406060</v>
      </c>
      <c r="B1955" s="17">
        <v>2021</v>
      </c>
      <c r="C1955" s="25" t="s">
        <v>692</v>
      </c>
      <c r="D1955" s="17">
        <v>1097</v>
      </c>
      <c r="E1955" s="17" t="s">
        <v>1441</v>
      </c>
      <c r="F1955" s="23">
        <v>6759098</v>
      </c>
    </row>
    <row r="1956" spans="1:6" ht="16" customHeight="1" x14ac:dyDescent="0.2">
      <c r="A1956">
        <f>IFERROR(VLOOKUP(C1956,'GASB Match'!$D$2:$F$6042,3,FALSE),"")</f>
        <v>3406060</v>
      </c>
      <c r="B1956" s="17">
        <v>2022</v>
      </c>
      <c r="C1956" s="21" t="s">
        <v>692</v>
      </c>
      <c r="D1956" s="17">
        <v>1097</v>
      </c>
      <c r="E1956" s="17" t="s">
        <v>1441</v>
      </c>
      <c r="F1956" s="23">
        <v>9539860</v>
      </c>
    </row>
    <row r="1957" spans="1:6" ht="16" customHeight="1" x14ac:dyDescent="0.2">
      <c r="A1957">
        <f>IFERROR(VLOOKUP(C1957,'GASB Match'!$D$2:$F$6042,3,FALSE),"")</f>
        <v>3406060</v>
      </c>
      <c r="B1957" s="17">
        <v>2023</v>
      </c>
      <c r="C1957" s="21" t="s">
        <v>692</v>
      </c>
      <c r="D1957" s="17">
        <v>1097</v>
      </c>
      <c r="E1957" s="17" t="s">
        <v>1441</v>
      </c>
      <c r="F1957" s="23">
        <v>9182556</v>
      </c>
    </row>
    <row r="1958" spans="1:6" ht="16" customHeight="1" x14ac:dyDescent="0.2">
      <c r="A1958">
        <f>IFERROR(VLOOKUP(C1958,'GASB Match'!$D$2:$F$6042,3,FALSE),"")</f>
        <v>3406060</v>
      </c>
      <c r="B1958" s="28">
        <v>2017</v>
      </c>
      <c r="C1958" s="29" t="s">
        <v>13</v>
      </c>
      <c r="D1958" s="17">
        <v>1097</v>
      </c>
      <c r="E1958" s="17" t="s">
        <v>1400</v>
      </c>
      <c r="F1958" s="29">
        <v>2605093</v>
      </c>
    </row>
    <row r="1959" spans="1:6" ht="16" customHeight="1" x14ac:dyDescent="0.2">
      <c r="A1959">
        <f>IFERROR(VLOOKUP(C1959,'GASB Match'!$D$2:$F$6042,3,FALSE),"")</f>
        <v>3406120</v>
      </c>
      <c r="B1959" s="17">
        <v>2015</v>
      </c>
      <c r="C1959" s="17" t="s">
        <v>570</v>
      </c>
      <c r="D1959" s="17">
        <v>753</v>
      </c>
      <c r="E1959" s="17" t="s">
        <v>1425</v>
      </c>
      <c r="F1959" s="20">
        <v>306826</v>
      </c>
    </row>
    <row r="1960" spans="1:6" ht="16" customHeight="1" x14ac:dyDescent="0.2">
      <c r="A1960">
        <f>IFERROR(VLOOKUP(C1960,'GASB Match'!$D$2:$F$6042,3,FALSE),"")</f>
        <v>3406120</v>
      </c>
      <c r="B1960" s="17">
        <v>2016</v>
      </c>
      <c r="C1960" s="17" t="s">
        <v>570</v>
      </c>
      <c r="D1960" s="17">
        <v>753</v>
      </c>
      <c r="E1960" s="17" t="s">
        <v>1425</v>
      </c>
      <c r="F1960" s="20">
        <v>452587</v>
      </c>
    </row>
    <row r="1961" spans="1:6" ht="16" customHeight="1" x14ac:dyDescent="0.2">
      <c r="A1961">
        <f>IFERROR(VLOOKUP(C1961,'GASB Match'!$D$2:$F$6042,3,FALSE),"")</f>
        <v>3406120</v>
      </c>
      <c r="B1961" s="17">
        <v>2018</v>
      </c>
      <c r="C1961" s="17" t="s">
        <v>1262</v>
      </c>
      <c r="D1961" s="17">
        <v>753</v>
      </c>
      <c r="E1961" s="17" t="s">
        <v>1468</v>
      </c>
      <c r="F1961" s="20">
        <v>999863</v>
      </c>
    </row>
    <row r="1962" spans="1:6" ht="16" customHeight="1" x14ac:dyDescent="0.2">
      <c r="A1962">
        <f>IFERROR(VLOOKUP(C1962,'GASB Match'!$D$2:$F$6042,3,FALSE),"")</f>
        <v>3406120</v>
      </c>
      <c r="B1962" s="17">
        <v>2019</v>
      </c>
      <c r="C1962" s="17" t="s">
        <v>1262</v>
      </c>
      <c r="D1962" s="17">
        <v>753</v>
      </c>
      <c r="E1962" s="17" t="s">
        <v>1468</v>
      </c>
      <c r="F1962" s="20">
        <v>1267615</v>
      </c>
    </row>
    <row r="1963" spans="1:6" ht="16" customHeight="1" x14ac:dyDescent="0.2">
      <c r="A1963">
        <f>IFERROR(VLOOKUP(C1963,'GASB Match'!$D$2:$F$6042,3,FALSE),"")</f>
        <v>3406120</v>
      </c>
      <c r="B1963" s="17">
        <v>2020</v>
      </c>
      <c r="C1963" s="21" t="s">
        <v>1262</v>
      </c>
      <c r="D1963" s="17">
        <v>753</v>
      </c>
      <c r="E1963" s="17" t="s">
        <v>1468</v>
      </c>
      <c r="F1963" s="23">
        <v>1420154</v>
      </c>
    </row>
    <row r="1964" spans="1:6" ht="16" customHeight="1" x14ac:dyDescent="0.2">
      <c r="A1964">
        <f>IFERROR(VLOOKUP(C1964,'GASB Match'!$D$2:$F$6042,3,FALSE),"")</f>
        <v>3406120</v>
      </c>
      <c r="B1964" s="17">
        <v>2021</v>
      </c>
      <c r="C1964" s="25" t="s">
        <v>1262</v>
      </c>
      <c r="D1964" s="17">
        <v>753</v>
      </c>
      <c r="E1964" s="17" t="s">
        <v>1468</v>
      </c>
      <c r="F1964" s="23">
        <v>1886782</v>
      </c>
    </row>
    <row r="1965" spans="1:6" ht="16" customHeight="1" x14ac:dyDescent="0.2">
      <c r="A1965">
        <f>IFERROR(VLOOKUP(C1965,'GASB Match'!$D$2:$F$6042,3,FALSE),"")</f>
        <v>3406120</v>
      </c>
      <c r="B1965" s="17">
        <v>2022</v>
      </c>
      <c r="C1965" s="21" t="s">
        <v>1262</v>
      </c>
      <c r="D1965" s="17">
        <v>753</v>
      </c>
      <c r="E1965" s="17" t="s">
        <v>1468</v>
      </c>
      <c r="F1965" s="23">
        <v>2456876</v>
      </c>
    </row>
    <row r="1966" spans="1:6" ht="16" customHeight="1" x14ac:dyDescent="0.2">
      <c r="A1966">
        <f>IFERROR(VLOOKUP(C1966,'GASB Match'!$D$2:$F$6042,3,FALSE),"")</f>
        <v>3406120</v>
      </c>
      <c r="B1966" s="17">
        <v>2023</v>
      </c>
      <c r="C1966" s="21" t="s">
        <v>1262</v>
      </c>
      <c r="D1966" s="17">
        <v>753</v>
      </c>
      <c r="E1966" s="17" t="s">
        <v>1468</v>
      </c>
      <c r="F1966" s="23">
        <v>2403653</v>
      </c>
    </row>
    <row r="1967" spans="1:6" ht="16" customHeight="1" x14ac:dyDescent="0.2">
      <c r="A1967">
        <f>IFERROR(VLOOKUP(C1967,'GASB Match'!$D$2:$F$6042,3,FALSE),"")</f>
        <v>3406120</v>
      </c>
      <c r="B1967" s="28">
        <v>2017</v>
      </c>
      <c r="C1967" s="29" t="s">
        <v>570</v>
      </c>
      <c r="D1967" s="17">
        <v>753</v>
      </c>
      <c r="E1967" s="17" t="s">
        <v>1425</v>
      </c>
      <c r="F1967" s="29">
        <v>678021</v>
      </c>
    </row>
    <row r="1968" spans="1:6" ht="16" customHeight="1" x14ac:dyDescent="0.2">
      <c r="A1968">
        <f>IFERROR(VLOOKUP(C1968,'GASB Match'!$D$2:$F$6042,3,FALSE),"")</f>
        <v>3406090</v>
      </c>
      <c r="B1968" s="17">
        <v>2015</v>
      </c>
      <c r="C1968" s="17" t="s">
        <v>588</v>
      </c>
      <c r="D1968" s="17">
        <v>778</v>
      </c>
      <c r="E1968" s="17" t="s">
        <v>1426</v>
      </c>
      <c r="F1968" s="20">
        <v>175180</v>
      </c>
    </row>
    <row r="1969" spans="1:6" ht="16" customHeight="1" x14ac:dyDescent="0.2">
      <c r="A1969">
        <f>IFERROR(VLOOKUP(C1969,'GASB Match'!$D$2:$F$6042,3,FALSE),"")</f>
        <v>3406090</v>
      </c>
      <c r="B1969" s="17">
        <v>2016</v>
      </c>
      <c r="C1969" s="17" t="s">
        <v>588</v>
      </c>
      <c r="D1969" s="17">
        <v>778</v>
      </c>
      <c r="E1969" s="17" t="s">
        <v>1426</v>
      </c>
      <c r="F1969" s="20">
        <v>267626</v>
      </c>
    </row>
    <row r="1970" spans="1:6" ht="16" customHeight="1" x14ac:dyDescent="0.2">
      <c r="A1970">
        <f>IFERROR(VLOOKUP(C1970,'GASB Match'!$D$2:$F$6042,3,FALSE),"")</f>
        <v>3406090</v>
      </c>
      <c r="B1970" s="17">
        <v>2018</v>
      </c>
      <c r="C1970" s="17" t="s">
        <v>1281</v>
      </c>
      <c r="D1970" s="17">
        <v>778</v>
      </c>
      <c r="E1970" s="17" t="s">
        <v>1469</v>
      </c>
      <c r="F1970" s="20">
        <v>487863</v>
      </c>
    </row>
    <row r="1971" spans="1:6" ht="16" customHeight="1" x14ac:dyDescent="0.2">
      <c r="A1971">
        <f>IFERROR(VLOOKUP(C1971,'GASB Match'!$D$2:$F$6042,3,FALSE),"")</f>
        <v>3406090</v>
      </c>
      <c r="B1971" s="17">
        <v>2019</v>
      </c>
      <c r="C1971" s="17" t="s">
        <v>1281</v>
      </c>
      <c r="D1971" s="17">
        <v>778</v>
      </c>
      <c r="E1971" s="17" t="s">
        <v>1469</v>
      </c>
      <c r="F1971" s="20">
        <v>664084</v>
      </c>
    </row>
    <row r="1972" spans="1:6" ht="16" customHeight="1" x14ac:dyDescent="0.2">
      <c r="A1972">
        <f>IFERROR(VLOOKUP(C1972,'GASB Match'!$D$2:$F$6042,3,FALSE),"")</f>
        <v>3406090</v>
      </c>
      <c r="B1972" s="17">
        <v>2020</v>
      </c>
      <c r="C1972" s="21" t="s">
        <v>1281</v>
      </c>
      <c r="D1972" s="17">
        <v>778</v>
      </c>
      <c r="E1972" s="17" t="s">
        <v>1469</v>
      </c>
      <c r="F1972" s="23">
        <v>780182</v>
      </c>
    </row>
    <row r="1973" spans="1:6" ht="16" customHeight="1" x14ac:dyDescent="0.2">
      <c r="A1973">
        <f>IFERROR(VLOOKUP(C1973,'GASB Match'!$D$2:$F$6042,3,FALSE),"")</f>
        <v>3406090</v>
      </c>
      <c r="B1973" s="17">
        <v>2021</v>
      </c>
      <c r="C1973" s="25" t="s">
        <v>1281</v>
      </c>
      <c r="D1973" s="17">
        <v>778</v>
      </c>
      <c r="E1973" s="17" t="s">
        <v>1469</v>
      </c>
      <c r="F1973" s="23">
        <v>918765</v>
      </c>
    </row>
    <row r="1974" spans="1:6" ht="16" customHeight="1" x14ac:dyDescent="0.2">
      <c r="A1974">
        <f>IFERROR(VLOOKUP(C1974,'GASB Match'!$D$2:$F$6042,3,FALSE),"")</f>
        <v>3406090</v>
      </c>
      <c r="B1974" s="17">
        <v>2022</v>
      </c>
      <c r="C1974" s="21" t="s">
        <v>1281</v>
      </c>
      <c r="D1974" s="17">
        <v>778</v>
      </c>
      <c r="E1974" s="17" t="s">
        <v>1469</v>
      </c>
      <c r="F1974" s="23">
        <v>1419998</v>
      </c>
    </row>
    <row r="1975" spans="1:6" ht="16" customHeight="1" x14ac:dyDescent="0.2">
      <c r="A1975">
        <f>IFERROR(VLOOKUP(C1975,'GASB Match'!$D$2:$F$6042,3,FALSE),"")</f>
        <v>3406090</v>
      </c>
      <c r="B1975" s="17">
        <v>2023</v>
      </c>
      <c r="C1975" s="21" t="s">
        <v>1281</v>
      </c>
      <c r="D1975" s="17">
        <v>778</v>
      </c>
      <c r="E1975" s="17" t="s">
        <v>1469</v>
      </c>
      <c r="F1975" s="23">
        <v>1285248</v>
      </c>
    </row>
    <row r="1976" spans="1:6" ht="16" customHeight="1" x14ac:dyDescent="0.2">
      <c r="A1976">
        <f>IFERROR(VLOOKUP(C1976,'GASB Match'!$D$2:$F$6042,3,FALSE),"")</f>
        <v>3406090</v>
      </c>
      <c r="B1976" s="28">
        <v>2017</v>
      </c>
      <c r="C1976" s="29" t="s">
        <v>588</v>
      </c>
      <c r="D1976" s="17">
        <v>778</v>
      </c>
      <c r="E1976" s="17" t="s">
        <v>1426</v>
      </c>
      <c r="F1976" s="29">
        <v>363439</v>
      </c>
    </row>
    <row r="1977" spans="1:6" ht="16" customHeight="1" x14ac:dyDescent="0.2">
      <c r="A1977">
        <f>IFERROR(VLOOKUP(C1977,'GASB Match'!$D$2:$F$6042,3,FALSE),"")</f>
        <v>3406150</v>
      </c>
      <c r="B1977" s="17">
        <v>2015</v>
      </c>
      <c r="C1977" s="17" t="s">
        <v>219</v>
      </c>
      <c r="D1977" s="17">
        <v>5085</v>
      </c>
      <c r="E1977" s="17" t="s">
        <v>1408</v>
      </c>
      <c r="F1977" s="20">
        <v>25129</v>
      </c>
    </row>
    <row r="1978" spans="1:6" ht="16" customHeight="1" x14ac:dyDescent="0.2">
      <c r="A1978">
        <f>IFERROR(VLOOKUP(C1978,'GASB Match'!$D$2:$F$6042,3,FALSE),"")</f>
        <v>3406150</v>
      </c>
      <c r="B1978" s="17">
        <v>2016</v>
      </c>
      <c r="C1978" s="17" t="s">
        <v>219</v>
      </c>
      <c r="D1978" s="17">
        <v>5085</v>
      </c>
      <c r="E1978" s="17" t="s">
        <v>1408</v>
      </c>
      <c r="F1978" s="20">
        <v>39444</v>
      </c>
    </row>
    <row r="1979" spans="1:6" ht="16" customHeight="1" x14ac:dyDescent="0.2">
      <c r="A1979">
        <f>IFERROR(VLOOKUP(C1979,'GASB Match'!$D$2:$F$6042,3,FALSE),"")</f>
        <v>3406150</v>
      </c>
      <c r="B1979" s="17">
        <v>2018</v>
      </c>
      <c r="C1979" s="17" t="s">
        <v>905</v>
      </c>
      <c r="D1979" s="17">
        <v>5085</v>
      </c>
      <c r="E1979" s="17" t="s">
        <v>1449</v>
      </c>
      <c r="F1979" s="20">
        <v>75395</v>
      </c>
    </row>
    <row r="1980" spans="1:6" ht="16" customHeight="1" x14ac:dyDescent="0.2">
      <c r="A1980">
        <f>IFERROR(VLOOKUP(C1980,'GASB Match'!$D$2:$F$6042,3,FALSE),"")</f>
        <v>3406150</v>
      </c>
      <c r="B1980" s="17">
        <v>2019</v>
      </c>
      <c r="C1980" s="17" t="s">
        <v>905</v>
      </c>
      <c r="D1980" s="17">
        <v>5085</v>
      </c>
      <c r="E1980" s="17" t="s">
        <v>1449</v>
      </c>
      <c r="F1980" s="20">
        <v>112075</v>
      </c>
    </row>
    <row r="1981" spans="1:6" ht="16" customHeight="1" x14ac:dyDescent="0.2">
      <c r="A1981">
        <f>IFERROR(VLOOKUP(C1981,'GASB Match'!$D$2:$F$6042,3,FALSE),"")</f>
        <v>3406150</v>
      </c>
      <c r="B1981" s="17">
        <v>2020</v>
      </c>
      <c r="C1981" s="21" t="s">
        <v>905</v>
      </c>
      <c r="D1981" s="17">
        <v>5085</v>
      </c>
      <c r="E1981" s="17" t="s">
        <v>1449</v>
      </c>
      <c r="F1981" s="23">
        <v>120311</v>
      </c>
    </row>
    <row r="1982" spans="1:6" ht="16" customHeight="1" x14ac:dyDescent="0.2">
      <c r="A1982">
        <f>IFERROR(VLOOKUP(C1982,'GASB Match'!$D$2:$F$6042,3,FALSE),"")</f>
        <v>3406150</v>
      </c>
      <c r="B1982" s="17">
        <v>2021</v>
      </c>
      <c r="C1982" s="25" t="s">
        <v>905</v>
      </c>
      <c r="D1982" s="17">
        <v>5085</v>
      </c>
      <c r="E1982" s="17" t="s">
        <v>1449</v>
      </c>
      <c r="F1982" s="23">
        <v>156404</v>
      </c>
    </row>
    <row r="1983" spans="1:6" ht="16" customHeight="1" x14ac:dyDescent="0.2">
      <c r="A1983">
        <f>IFERROR(VLOOKUP(C1983,'GASB Match'!$D$2:$F$6042,3,FALSE),"")</f>
        <v>3406150</v>
      </c>
      <c r="B1983" s="17">
        <v>2022</v>
      </c>
      <c r="C1983" s="21" t="s">
        <v>905</v>
      </c>
      <c r="D1983" s="17">
        <v>5085</v>
      </c>
      <c r="E1983" s="17" t="s">
        <v>1449</v>
      </c>
      <c r="F1983" s="23">
        <v>197548</v>
      </c>
    </row>
    <row r="1984" spans="1:6" ht="16" customHeight="1" x14ac:dyDescent="0.2">
      <c r="A1984">
        <f>IFERROR(VLOOKUP(C1984,'GASB Match'!$D$2:$F$6042,3,FALSE),"")</f>
        <v>3406150</v>
      </c>
      <c r="B1984" s="17">
        <v>2023</v>
      </c>
      <c r="C1984" s="21" t="s">
        <v>905</v>
      </c>
      <c r="D1984" s="17">
        <v>5085</v>
      </c>
      <c r="E1984" s="17" t="s">
        <v>1449</v>
      </c>
      <c r="F1984" s="23">
        <v>179857</v>
      </c>
    </row>
    <row r="1985" spans="1:6" ht="16" customHeight="1" x14ac:dyDescent="0.2">
      <c r="A1985">
        <f>IFERROR(VLOOKUP(C1985,'GASB Match'!$D$2:$F$6042,3,FALSE),"")</f>
        <v>3406150</v>
      </c>
      <c r="B1985" s="28">
        <v>2017</v>
      </c>
      <c r="C1985" s="29" t="s">
        <v>219</v>
      </c>
      <c r="D1985" s="17">
        <v>5085</v>
      </c>
      <c r="E1985" s="17" t="s">
        <v>1408</v>
      </c>
      <c r="F1985" s="29">
        <v>55474</v>
      </c>
    </row>
    <row r="1986" spans="1:6" ht="16" customHeight="1" x14ac:dyDescent="0.2">
      <c r="A1986">
        <f>IFERROR(VLOOKUP(C1986,'GASB Match'!$D$2:$F$6042,3,FALSE),"")</f>
        <v>3406180</v>
      </c>
      <c r="B1986" s="17">
        <v>2019</v>
      </c>
      <c r="C1986" s="17" t="s">
        <v>1362</v>
      </c>
      <c r="D1986" s="17">
        <v>7017</v>
      </c>
      <c r="E1986" s="17" t="s">
        <v>1454</v>
      </c>
      <c r="F1986" s="20">
        <v>759810</v>
      </c>
    </row>
    <row r="1987" spans="1:6" ht="16" customHeight="1" x14ac:dyDescent="0.2">
      <c r="A1987">
        <f>IFERROR(VLOOKUP(C1987,'GASB Match'!$D$2:$F$6042,3,FALSE),"")</f>
        <v>3406180</v>
      </c>
      <c r="B1987" s="17">
        <v>2015</v>
      </c>
      <c r="C1987" s="17" t="s">
        <v>284</v>
      </c>
      <c r="D1987" s="17">
        <v>7017</v>
      </c>
      <c r="E1987" s="17" t="s">
        <v>1412</v>
      </c>
      <c r="F1987" s="20">
        <v>199888</v>
      </c>
    </row>
    <row r="1988" spans="1:6" ht="16" customHeight="1" x14ac:dyDescent="0.2">
      <c r="A1988">
        <f>IFERROR(VLOOKUP(C1988,'GASB Match'!$D$2:$F$6042,3,FALSE),"")</f>
        <v>3406180</v>
      </c>
      <c r="B1988" s="17">
        <v>2016</v>
      </c>
      <c r="C1988" s="17" t="s">
        <v>284</v>
      </c>
      <c r="D1988" s="17">
        <v>7017</v>
      </c>
      <c r="E1988" s="17" t="s">
        <v>1412</v>
      </c>
      <c r="F1988" s="20">
        <v>290989</v>
      </c>
    </row>
    <row r="1989" spans="1:6" ht="16" customHeight="1" x14ac:dyDescent="0.2">
      <c r="A1989">
        <f>IFERROR(VLOOKUP(C1989,'GASB Match'!$D$2:$F$6042,3,FALSE),"")</f>
        <v>3406180</v>
      </c>
      <c r="B1989" s="17">
        <v>2018</v>
      </c>
      <c r="C1989" s="17" t="s">
        <v>974</v>
      </c>
      <c r="D1989" s="17">
        <v>7017</v>
      </c>
      <c r="E1989" s="17" t="s">
        <v>1454</v>
      </c>
      <c r="F1989" s="20">
        <v>565438</v>
      </c>
    </row>
    <row r="1990" spans="1:6" ht="16" customHeight="1" x14ac:dyDescent="0.2">
      <c r="A1990">
        <f>IFERROR(VLOOKUP(C1990,'GASB Match'!$D$2:$F$6042,3,FALSE),"")</f>
        <v>3406180</v>
      </c>
      <c r="B1990" s="17">
        <v>2020</v>
      </c>
      <c r="C1990" s="21" t="s">
        <v>974</v>
      </c>
      <c r="D1990" s="17">
        <v>7017</v>
      </c>
      <c r="E1990" s="17" t="s">
        <v>1454</v>
      </c>
      <c r="F1990" s="23">
        <v>806178</v>
      </c>
    </row>
    <row r="1991" spans="1:6" ht="16" customHeight="1" x14ac:dyDescent="0.2">
      <c r="A1991">
        <f>IFERROR(VLOOKUP(C1991,'GASB Match'!$D$2:$F$6042,3,FALSE),"")</f>
        <v>3406180</v>
      </c>
      <c r="B1991" s="17">
        <v>2021</v>
      </c>
      <c r="C1991" s="25" t="s">
        <v>974</v>
      </c>
      <c r="D1991" s="17">
        <v>7017</v>
      </c>
      <c r="E1991" s="17" t="s">
        <v>1454</v>
      </c>
      <c r="F1991" s="23">
        <v>1052945</v>
      </c>
    </row>
    <row r="1992" spans="1:6" ht="16" customHeight="1" x14ac:dyDescent="0.2">
      <c r="A1992">
        <f>IFERROR(VLOOKUP(C1992,'GASB Match'!$D$2:$F$6042,3,FALSE),"")</f>
        <v>3406180</v>
      </c>
      <c r="B1992" s="17">
        <v>2022</v>
      </c>
      <c r="C1992" s="21" t="s">
        <v>974</v>
      </c>
      <c r="D1992" s="17">
        <v>7017</v>
      </c>
      <c r="E1992" s="17" t="s">
        <v>1454</v>
      </c>
      <c r="F1992" s="23">
        <v>1417957</v>
      </c>
    </row>
    <row r="1993" spans="1:6" ht="16" customHeight="1" x14ac:dyDescent="0.2">
      <c r="A1993">
        <f>IFERROR(VLOOKUP(C1993,'GASB Match'!$D$2:$F$6042,3,FALSE),"")</f>
        <v>3406180</v>
      </c>
      <c r="B1993" s="17">
        <v>2023</v>
      </c>
      <c r="C1993" s="21" t="s">
        <v>974</v>
      </c>
      <c r="D1993" s="17">
        <v>7017</v>
      </c>
      <c r="E1993" s="17" t="s">
        <v>1454</v>
      </c>
      <c r="F1993" s="23">
        <v>1426994</v>
      </c>
    </row>
    <row r="1994" spans="1:6" ht="16" customHeight="1" x14ac:dyDescent="0.2">
      <c r="A1994">
        <f>IFERROR(VLOOKUP(C1994,'GASB Match'!$D$2:$F$6042,3,FALSE),"")</f>
        <v>3406180</v>
      </c>
      <c r="B1994" s="28">
        <v>2017</v>
      </c>
      <c r="C1994" s="29" t="s">
        <v>284</v>
      </c>
      <c r="D1994" s="17">
        <v>7017</v>
      </c>
      <c r="E1994" s="17" t="s">
        <v>1412</v>
      </c>
      <c r="F1994" s="29">
        <v>420757</v>
      </c>
    </row>
    <row r="1995" spans="1:6" ht="16" customHeight="1" x14ac:dyDescent="0.2">
      <c r="A1995">
        <f>IFERROR(VLOOKUP(C1995,'GASB Match'!$D$2:$F$6042,3,FALSE),"")</f>
        <v>3406210</v>
      </c>
      <c r="B1995" s="17">
        <v>2015</v>
      </c>
      <c r="C1995" s="17" t="s">
        <v>644</v>
      </c>
      <c r="D1995" s="17">
        <v>917</v>
      </c>
      <c r="E1995" s="17" t="s">
        <v>1429</v>
      </c>
      <c r="F1995" s="20">
        <v>251233</v>
      </c>
    </row>
    <row r="1996" spans="1:6" ht="16" customHeight="1" x14ac:dyDescent="0.2">
      <c r="A1996">
        <f>IFERROR(VLOOKUP(C1996,'GASB Match'!$D$2:$F$6042,3,FALSE),"")</f>
        <v>3406210</v>
      </c>
      <c r="B1996" s="17">
        <v>2016</v>
      </c>
      <c r="C1996" s="17" t="s">
        <v>644</v>
      </c>
      <c r="D1996" s="17">
        <v>917</v>
      </c>
      <c r="E1996" s="17" t="s">
        <v>1429</v>
      </c>
      <c r="F1996" s="20">
        <v>347433</v>
      </c>
    </row>
    <row r="1997" spans="1:6" ht="16" customHeight="1" x14ac:dyDescent="0.2">
      <c r="A1997">
        <f>IFERROR(VLOOKUP(C1997,'GASB Match'!$D$2:$F$6042,3,FALSE),"")</f>
        <v>3406210</v>
      </c>
      <c r="B1997" s="17">
        <v>2018</v>
      </c>
      <c r="C1997" s="17" t="s">
        <v>1337</v>
      </c>
      <c r="D1997" s="17">
        <v>917</v>
      </c>
      <c r="E1997" s="17" t="s">
        <v>1472</v>
      </c>
      <c r="F1997" s="20">
        <v>701932</v>
      </c>
    </row>
    <row r="1998" spans="1:6" ht="16" customHeight="1" x14ac:dyDescent="0.2">
      <c r="A1998">
        <f>IFERROR(VLOOKUP(C1998,'GASB Match'!$D$2:$F$6042,3,FALSE),"")</f>
        <v>3406210</v>
      </c>
      <c r="B1998" s="17">
        <v>2019</v>
      </c>
      <c r="C1998" s="17" t="s">
        <v>1337</v>
      </c>
      <c r="D1998" s="17">
        <v>917</v>
      </c>
      <c r="E1998" s="17" t="s">
        <v>1472</v>
      </c>
      <c r="F1998" s="20">
        <v>925553</v>
      </c>
    </row>
    <row r="1999" spans="1:6" ht="16" customHeight="1" x14ac:dyDescent="0.2">
      <c r="A1999">
        <f>IFERROR(VLOOKUP(C1999,'GASB Match'!$D$2:$F$6042,3,FALSE),"")</f>
        <v>3406210</v>
      </c>
      <c r="B1999" s="17">
        <v>2020</v>
      </c>
      <c r="C1999" s="21" t="s">
        <v>1337</v>
      </c>
      <c r="D1999" s="17">
        <v>917</v>
      </c>
      <c r="E1999" s="17" t="s">
        <v>1472</v>
      </c>
      <c r="F1999" s="23">
        <v>1055811</v>
      </c>
    </row>
    <row r="2000" spans="1:6" ht="16" customHeight="1" x14ac:dyDescent="0.2">
      <c r="A2000">
        <f>IFERROR(VLOOKUP(C2000,'GASB Match'!$D$2:$F$6042,3,FALSE),"")</f>
        <v>3406210</v>
      </c>
      <c r="B2000" s="17">
        <v>2021</v>
      </c>
      <c r="C2000" s="25" t="s">
        <v>1337</v>
      </c>
      <c r="D2000" s="17">
        <v>917</v>
      </c>
      <c r="E2000" s="17" t="s">
        <v>1472</v>
      </c>
      <c r="F2000" s="23">
        <v>1361459</v>
      </c>
    </row>
    <row r="2001" spans="1:6" ht="16" customHeight="1" x14ac:dyDescent="0.2">
      <c r="A2001">
        <f>IFERROR(VLOOKUP(C2001,'GASB Match'!$D$2:$F$6042,3,FALSE),"")</f>
        <v>3406210</v>
      </c>
      <c r="B2001" s="17">
        <v>2022</v>
      </c>
      <c r="C2001" s="21" t="s">
        <v>1337</v>
      </c>
      <c r="D2001" s="17">
        <v>917</v>
      </c>
      <c r="E2001" s="17" t="s">
        <v>1472</v>
      </c>
      <c r="F2001" s="23">
        <v>1883980</v>
      </c>
    </row>
    <row r="2002" spans="1:6" ht="16" customHeight="1" x14ac:dyDescent="0.2">
      <c r="A2002">
        <f>IFERROR(VLOOKUP(C2002,'GASB Match'!$D$2:$F$6042,3,FALSE),"")</f>
        <v>3406210</v>
      </c>
      <c r="B2002" s="17">
        <v>2023</v>
      </c>
      <c r="C2002" s="21" t="s">
        <v>1337</v>
      </c>
      <c r="D2002" s="17">
        <v>917</v>
      </c>
      <c r="E2002" s="17" t="s">
        <v>1472</v>
      </c>
      <c r="F2002" s="23">
        <v>1851645</v>
      </c>
    </row>
    <row r="2003" spans="1:6" ht="16" customHeight="1" x14ac:dyDescent="0.2">
      <c r="A2003">
        <f>IFERROR(VLOOKUP(C2003,'GASB Match'!$D$2:$F$6042,3,FALSE),"")</f>
        <v>3406210</v>
      </c>
      <c r="B2003" s="28">
        <v>2017</v>
      </c>
      <c r="C2003" s="29" t="s">
        <v>644</v>
      </c>
      <c r="D2003" s="17">
        <v>917</v>
      </c>
      <c r="E2003" s="17" t="s">
        <v>1429</v>
      </c>
      <c r="F2003" s="29">
        <v>487550</v>
      </c>
    </row>
    <row r="2004" spans="1:6" ht="16" customHeight="1" x14ac:dyDescent="0.2">
      <c r="A2004">
        <f>IFERROR(VLOOKUP(C2004,'GASB Match'!$D$2:$F$6042,3,FALSE),"")</f>
        <v>3406240</v>
      </c>
      <c r="B2004" s="17">
        <v>2015</v>
      </c>
      <c r="C2004" s="17" t="s">
        <v>306</v>
      </c>
      <c r="D2004" s="17">
        <v>8082</v>
      </c>
      <c r="E2004" s="17" t="s">
        <v>1413</v>
      </c>
      <c r="F2004" s="20">
        <v>267215</v>
      </c>
    </row>
    <row r="2005" spans="1:6" ht="16" customHeight="1" x14ac:dyDescent="0.2">
      <c r="A2005">
        <f>IFERROR(VLOOKUP(C2005,'GASB Match'!$D$2:$F$6042,3,FALSE),"")</f>
        <v>3406240</v>
      </c>
      <c r="B2005" s="17">
        <v>2016</v>
      </c>
      <c r="C2005" s="17" t="s">
        <v>306</v>
      </c>
      <c r="D2005" s="17">
        <v>8082</v>
      </c>
      <c r="E2005" s="17" t="s">
        <v>1413</v>
      </c>
      <c r="F2005" s="20">
        <v>432212</v>
      </c>
    </row>
    <row r="2006" spans="1:6" ht="16" customHeight="1" x14ac:dyDescent="0.2">
      <c r="A2006">
        <f>IFERROR(VLOOKUP(C2006,'GASB Match'!$D$2:$F$6042,3,FALSE),"")</f>
        <v>3406240</v>
      </c>
      <c r="B2006" s="17">
        <v>2018</v>
      </c>
      <c r="C2006" s="17" t="s">
        <v>998</v>
      </c>
      <c r="D2006" s="17">
        <v>8082</v>
      </c>
      <c r="E2006" s="17" t="s">
        <v>1456</v>
      </c>
      <c r="F2006" s="20">
        <v>811857</v>
      </c>
    </row>
    <row r="2007" spans="1:6" ht="16" customHeight="1" x14ac:dyDescent="0.2">
      <c r="A2007">
        <f>IFERROR(VLOOKUP(C2007,'GASB Match'!$D$2:$F$6042,3,FALSE),"")</f>
        <v>3406240</v>
      </c>
      <c r="B2007" s="17">
        <v>2019</v>
      </c>
      <c r="C2007" s="17" t="s">
        <v>998</v>
      </c>
      <c r="D2007" s="17">
        <v>8082</v>
      </c>
      <c r="E2007" s="17" t="s">
        <v>1456</v>
      </c>
      <c r="F2007" s="20">
        <v>1117757</v>
      </c>
    </row>
    <row r="2008" spans="1:6" ht="16" customHeight="1" x14ac:dyDescent="0.2">
      <c r="A2008">
        <f>IFERROR(VLOOKUP(C2008,'GASB Match'!$D$2:$F$6042,3,FALSE),"")</f>
        <v>3406240</v>
      </c>
      <c r="B2008" s="17">
        <v>2020</v>
      </c>
      <c r="C2008" s="21" t="s">
        <v>998</v>
      </c>
      <c r="D2008" s="17">
        <v>8082</v>
      </c>
      <c r="E2008" s="17" t="s">
        <v>1456</v>
      </c>
      <c r="F2008" s="23">
        <v>1274569</v>
      </c>
    </row>
    <row r="2009" spans="1:6" ht="16" customHeight="1" x14ac:dyDescent="0.2">
      <c r="A2009">
        <f>IFERROR(VLOOKUP(C2009,'GASB Match'!$D$2:$F$6042,3,FALSE),"")</f>
        <v>3406240</v>
      </c>
      <c r="B2009" s="17">
        <v>2021</v>
      </c>
      <c r="C2009" s="25" t="s">
        <v>998</v>
      </c>
      <c r="D2009" s="17">
        <v>8082</v>
      </c>
      <c r="E2009" s="17" t="s">
        <v>1456</v>
      </c>
      <c r="F2009" s="23">
        <v>1681322</v>
      </c>
    </row>
    <row r="2010" spans="1:6" ht="16" customHeight="1" x14ac:dyDescent="0.2">
      <c r="A2010">
        <f>IFERROR(VLOOKUP(C2010,'GASB Match'!$D$2:$F$6042,3,FALSE),"")</f>
        <v>3406240</v>
      </c>
      <c r="B2010" s="17">
        <v>2022</v>
      </c>
      <c r="C2010" s="21" t="s">
        <v>998</v>
      </c>
      <c r="D2010" s="17">
        <v>8082</v>
      </c>
      <c r="E2010" s="17" t="s">
        <v>1456</v>
      </c>
      <c r="F2010" s="23">
        <v>2500597</v>
      </c>
    </row>
    <row r="2011" spans="1:6" ht="16" customHeight="1" x14ac:dyDescent="0.2">
      <c r="A2011">
        <f>IFERROR(VLOOKUP(C2011,'GASB Match'!$D$2:$F$6042,3,FALSE),"")</f>
        <v>3406240</v>
      </c>
      <c r="B2011" s="17">
        <v>2023</v>
      </c>
      <c r="C2011" s="21" t="s">
        <v>998</v>
      </c>
      <c r="D2011" s="17">
        <v>8082</v>
      </c>
      <c r="E2011" s="17" t="s">
        <v>1456</v>
      </c>
      <c r="F2011" s="23">
        <v>2387543</v>
      </c>
    </row>
    <row r="2012" spans="1:6" ht="16" customHeight="1" x14ac:dyDescent="0.2">
      <c r="A2012">
        <f>IFERROR(VLOOKUP(C2012,'GASB Match'!$D$2:$F$6042,3,FALSE),"")</f>
        <v>3406240</v>
      </c>
      <c r="B2012" s="28">
        <v>2017</v>
      </c>
      <c r="C2012" s="29" t="s">
        <v>306</v>
      </c>
      <c r="D2012" s="17">
        <v>8082</v>
      </c>
      <c r="E2012" s="17" t="s">
        <v>1413</v>
      </c>
      <c r="F2012" s="29">
        <v>632566</v>
      </c>
    </row>
    <row r="2013" spans="1:6" ht="16" customHeight="1" x14ac:dyDescent="0.2">
      <c r="A2013">
        <f>IFERROR(VLOOKUP(C2013,'GASB Match'!$D$2:$F$6042,3,FALSE),"")</f>
        <v>3406270</v>
      </c>
      <c r="B2013" s="17">
        <v>2015</v>
      </c>
      <c r="C2013" s="17" t="s">
        <v>54</v>
      </c>
      <c r="D2013" s="17">
        <v>2010</v>
      </c>
      <c r="E2013" s="17" t="s">
        <v>1402</v>
      </c>
      <c r="F2013" s="20">
        <v>2307740</v>
      </c>
    </row>
    <row r="2014" spans="1:6" ht="16" customHeight="1" x14ac:dyDescent="0.2">
      <c r="A2014">
        <f>IFERROR(VLOOKUP(C2014,'GASB Match'!$D$2:$F$6042,3,FALSE),"")</f>
        <v>3406270</v>
      </c>
      <c r="B2014" s="17">
        <v>2016</v>
      </c>
      <c r="C2014" s="17" t="s">
        <v>54</v>
      </c>
      <c r="D2014" s="17">
        <v>2010</v>
      </c>
      <c r="E2014" s="17" t="s">
        <v>1402</v>
      </c>
      <c r="F2014" s="20">
        <v>3505377</v>
      </c>
    </row>
    <row r="2015" spans="1:6" ht="16" customHeight="1" x14ac:dyDescent="0.2">
      <c r="A2015">
        <f>IFERROR(VLOOKUP(C2015,'GASB Match'!$D$2:$F$6042,3,FALSE),"")</f>
        <v>3406270</v>
      </c>
      <c r="B2015" s="17">
        <v>2018</v>
      </c>
      <c r="C2015" s="17" t="s">
        <v>732</v>
      </c>
      <c r="D2015" s="17">
        <v>2010</v>
      </c>
      <c r="E2015" s="17" t="s">
        <v>1443</v>
      </c>
      <c r="F2015" s="20">
        <v>6754751</v>
      </c>
    </row>
    <row r="2016" spans="1:6" ht="16" customHeight="1" x14ac:dyDescent="0.2">
      <c r="A2016">
        <f>IFERROR(VLOOKUP(C2016,'GASB Match'!$D$2:$F$6042,3,FALSE),"")</f>
        <v>3406270</v>
      </c>
      <c r="B2016" s="17">
        <v>2019</v>
      </c>
      <c r="C2016" s="17" t="s">
        <v>732</v>
      </c>
      <c r="D2016" s="17">
        <v>2010</v>
      </c>
      <c r="E2016" s="17" t="s">
        <v>1443</v>
      </c>
      <c r="F2016" s="20">
        <v>8956972</v>
      </c>
    </row>
    <row r="2017" spans="1:6" ht="16" customHeight="1" x14ac:dyDescent="0.2">
      <c r="A2017">
        <f>IFERROR(VLOOKUP(C2017,'GASB Match'!$D$2:$F$6042,3,FALSE),"")</f>
        <v>3406270</v>
      </c>
      <c r="B2017" s="17">
        <v>2020</v>
      </c>
      <c r="C2017" s="21" t="s">
        <v>732</v>
      </c>
      <c r="D2017" s="17">
        <v>2010</v>
      </c>
      <c r="E2017" s="17" t="s">
        <v>1443</v>
      </c>
      <c r="F2017" s="22">
        <v>10229556</v>
      </c>
    </row>
    <row r="2018" spans="1:6" ht="16" customHeight="1" x14ac:dyDescent="0.2">
      <c r="A2018">
        <f>IFERROR(VLOOKUP(C2018,'GASB Match'!$D$2:$F$6042,3,FALSE),"")</f>
        <v>3406270</v>
      </c>
      <c r="B2018" s="17">
        <v>2021</v>
      </c>
      <c r="C2018" s="25" t="s">
        <v>732</v>
      </c>
      <c r="D2018" s="17">
        <v>2010</v>
      </c>
      <c r="E2018" s="17" t="s">
        <v>1443</v>
      </c>
      <c r="F2018" s="22">
        <v>13322221</v>
      </c>
    </row>
    <row r="2019" spans="1:6" ht="16" customHeight="1" x14ac:dyDescent="0.2">
      <c r="A2019">
        <f>IFERROR(VLOOKUP(C2019,'GASB Match'!$D$2:$F$6042,3,FALSE),"")</f>
        <v>3406270</v>
      </c>
      <c r="B2019" s="17">
        <v>2022</v>
      </c>
      <c r="C2019" s="21" t="s">
        <v>732</v>
      </c>
      <c r="D2019" s="17">
        <v>2010</v>
      </c>
      <c r="E2019" s="17" t="s">
        <v>1443</v>
      </c>
      <c r="F2019" s="23">
        <v>19271597</v>
      </c>
    </row>
    <row r="2020" spans="1:6" ht="16" customHeight="1" x14ac:dyDescent="0.2">
      <c r="A2020">
        <f>IFERROR(VLOOKUP(C2020,'GASB Match'!$D$2:$F$6042,3,FALSE),"")</f>
        <v>3406270</v>
      </c>
      <c r="B2020" s="17">
        <v>2023</v>
      </c>
      <c r="C2020" s="21" t="s">
        <v>732</v>
      </c>
      <c r="D2020" s="17">
        <v>2010</v>
      </c>
      <c r="E2020" s="17" t="s">
        <v>1443</v>
      </c>
      <c r="F2020" s="23">
        <v>18891945</v>
      </c>
    </row>
    <row r="2021" spans="1:6" ht="16" customHeight="1" x14ac:dyDescent="0.2">
      <c r="A2021">
        <f>IFERROR(VLOOKUP(C2021,'GASB Match'!$D$2:$F$6042,3,FALSE),"")</f>
        <v>3406270</v>
      </c>
      <c r="B2021" s="28">
        <v>2017</v>
      </c>
      <c r="C2021" s="29" t="s">
        <v>54</v>
      </c>
      <c r="D2021" s="17">
        <v>2010</v>
      </c>
      <c r="E2021" s="17" t="s">
        <v>1402</v>
      </c>
      <c r="F2021" s="29">
        <v>4964303</v>
      </c>
    </row>
    <row r="2022" spans="1:6" ht="16" customHeight="1" x14ac:dyDescent="0.2">
      <c r="A2022">
        <f>IFERROR(VLOOKUP(C2022,'GASB Match'!$D$2:$F$6042,3,FALSE),"")</f>
        <v>3406300</v>
      </c>
      <c r="B2022" s="17">
        <v>2015</v>
      </c>
      <c r="C2022" s="17" t="s">
        <v>645</v>
      </c>
      <c r="D2022" s="17">
        <v>918</v>
      </c>
      <c r="E2022" s="17" t="s">
        <v>1429</v>
      </c>
      <c r="F2022" s="20">
        <v>711231</v>
      </c>
    </row>
    <row r="2023" spans="1:6" ht="16" customHeight="1" x14ac:dyDescent="0.2">
      <c r="A2023">
        <f>IFERROR(VLOOKUP(C2023,'GASB Match'!$D$2:$F$6042,3,FALSE),"")</f>
        <v>3406300</v>
      </c>
      <c r="B2023" s="17">
        <v>2016</v>
      </c>
      <c r="C2023" s="17" t="s">
        <v>645</v>
      </c>
      <c r="D2023" s="17">
        <v>918</v>
      </c>
      <c r="E2023" s="17" t="s">
        <v>1429</v>
      </c>
      <c r="F2023" s="20">
        <v>1092792</v>
      </c>
    </row>
    <row r="2024" spans="1:6" ht="16" customHeight="1" x14ac:dyDescent="0.2">
      <c r="A2024">
        <f>IFERROR(VLOOKUP(C2024,'GASB Match'!$D$2:$F$6042,3,FALSE),"")</f>
        <v>3406300</v>
      </c>
      <c r="B2024" s="17">
        <v>2018</v>
      </c>
      <c r="C2024" s="17" t="s">
        <v>1338</v>
      </c>
      <c r="D2024" s="17">
        <v>918</v>
      </c>
      <c r="E2024" s="17" t="s">
        <v>1472</v>
      </c>
      <c r="F2024" s="20">
        <v>2030014</v>
      </c>
    </row>
    <row r="2025" spans="1:6" ht="16" customHeight="1" x14ac:dyDescent="0.2">
      <c r="A2025">
        <f>IFERROR(VLOOKUP(C2025,'GASB Match'!$D$2:$F$6042,3,FALSE),"")</f>
        <v>3406300</v>
      </c>
      <c r="B2025" s="17">
        <v>2019</v>
      </c>
      <c r="C2025" s="17" t="s">
        <v>1338</v>
      </c>
      <c r="D2025" s="17">
        <v>918</v>
      </c>
      <c r="E2025" s="17" t="s">
        <v>1472</v>
      </c>
      <c r="F2025" s="20">
        <v>2719868</v>
      </c>
    </row>
    <row r="2026" spans="1:6" ht="16" customHeight="1" x14ac:dyDescent="0.2">
      <c r="A2026">
        <f>IFERROR(VLOOKUP(C2026,'GASB Match'!$D$2:$F$6042,3,FALSE),"")</f>
        <v>3406300</v>
      </c>
      <c r="B2026" s="17">
        <v>2020</v>
      </c>
      <c r="C2026" s="21" t="s">
        <v>1338</v>
      </c>
      <c r="D2026" s="17">
        <v>918</v>
      </c>
      <c r="E2026" s="17" t="s">
        <v>1472</v>
      </c>
      <c r="F2026" s="23">
        <v>3057105</v>
      </c>
    </row>
    <row r="2027" spans="1:6" ht="16" customHeight="1" x14ac:dyDescent="0.2">
      <c r="A2027">
        <f>IFERROR(VLOOKUP(C2027,'GASB Match'!$D$2:$F$6042,3,FALSE),"")</f>
        <v>3406300</v>
      </c>
      <c r="B2027" s="17">
        <v>2021</v>
      </c>
      <c r="C2027" s="25" t="s">
        <v>1338</v>
      </c>
      <c r="D2027" s="17">
        <v>918</v>
      </c>
      <c r="E2027" s="17" t="s">
        <v>1472</v>
      </c>
      <c r="F2027" s="23">
        <v>3997243</v>
      </c>
    </row>
    <row r="2028" spans="1:6" ht="16" customHeight="1" x14ac:dyDescent="0.2">
      <c r="A2028">
        <f>IFERROR(VLOOKUP(C2028,'GASB Match'!$D$2:$F$6042,3,FALSE),"")</f>
        <v>3406300</v>
      </c>
      <c r="B2028" s="17">
        <v>2022</v>
      </c>
      <c r="C2028" s="21" t="s">
        <v>1338</v>
      </c>
      <c r="D2028" s="17">
        <v>918</v>
      </c>
      <c r="E2028" s="17" t="s">
        <v>1472</v>
      </c>
      <c r="F2028" s="23">
        <v>5988684</v>
      </c>
    </row>
    <row r="2029" spans="1:6" ht="16" customHeight="1" x14ac:dyDescent="0.2">
      <c r="A2029">
        <f>IFERROR(VLOOKUP(C2029,'GASB Match'!$D$2:$F$6042,3,FALSE),"")</f>
        <v>3406300</v>
      </c>
      <c r="B2029" s="17">
        <v>2023</v>
      </c>
      <c r="C2029" s="21" t="s">
        <v>1338</v>
      </c>
      <c r="D2029" s="17">
        <v>918</v>
      </c>
      <c r="E2029" s="17" t="s">
        <v>1472</v>
      </c>
      <c r="F2029" s="23">
        <v>6030235</v>
      </c>
    </row>
    <row r="2030" spans="1:6" ht="16" customHeight="1" x14ac:dyDescent="0.2">
      <c r="A2030">
        <f>IFERROR(VLOOKUP(C2030,'GASB Match'!$D$2:$F$6042,3,FALSE),"")</f>
        <v>3406300</v>
      </c>
      <c r="B2030" s="28">
        <v>2017</v>
      </c>
      <c r="C2030" s="29" t="s">
        <v>645</v>
      </c>
      <c r="D2030" s="17">
        <v>918</v>
      </c>
      <c r="E2030" s="17" t="s">
        <v>1429</v>
      </c>
      <c r="F2030" s="29">
        <v>1489964</v>
      </c>
    </row>
    <row r="2031" spans="1:6" ht="16" customHeight="1" x14ac:dyDescent="0.2">
      <c r="A2031">
        <f>IFERROR(VLOOKUP(C2031,'GASB Match'!$D$2:$F$6042,3,FALSE),"")</f>
        <v>3406330</v>
      </c>
      <c r="B2031" s="17">
        <v>2015</v>
      </c>
      <c r="C2031" s="17" t="s">
        <v>172</v>
      </c>
      <c r="D2031" s="17">
        <v>4037</v>
      </c>
      <c r="E2031" s="17" t="s">
        <v>1405</v>
      </c>
      <c r="F2031" s="20">
        <v>498531</v>
      </c>
    </row>
    <row r="2032" spans="1:6" ht="16" customHeight="1" x14ac:dyDescent="0.2">
      <c r="A2032">
        <f>IFERROR(VLOOKUP(C2032,'GASB Match'!$D$2:$F$6042,3,FALSE),"")</f>
        <v>3406330</v>
      </c>
      <c r="B2032" s="17">
        <v>2016</v>
      </c>
      <c r="C2032" s="17" t="s">
        <v>172</v>
      </c>
      <c r="D2032" s="17">
        <v>4037</v>
      </c>
      <c r="E2032" s="17" t="s">
        <v>1405</v>
      </c>
      <c r="F2032" s="20">
        <v>714355</v>
      </c>
    </row>
    <row r="2033" spans="1:6" ht="16" customHeight="1" x14ac:dyDescent="0.2">
      <c r="A2033">
        <f>IFERROR(VLOOKUP(C2033,'GASB Match'!$D$2:$F$6042,3,FALSE),"")</f>
        <v>3406330</v>
      </c>
      <c r="B2033" s="17">
        <v>2018</v>
      </c>
      <c r="C2033" s="17" t="s">
        <v>855</v>
      </c>
      <c r="D2033" s="17">
        <v>4037</v>
      </c>
      <c r="E2033" s="17" t="s">
        <v>1446</v>
      </c>
      <c r="F2033" s="20">
        <v>1342881</v>
      </c>
    </row>
    <row r="2034" spans="1:6" ht="16" customHeight="1" x14ac:dyDescent="0.2">
      <c r="A2034">
        <f>IFERROR(VLOOKUP(C2034,'GASB Match'!$D$2:$F$6042,3,FALSE),"")</f>
        <v>3406330</v>
      </c>
      <c r="B2034" s="17">
        <v>2019</v>
      </c>
      <c r="C2034" s="17" t="s">
        <v>855</v>
      </c>
      <c r="D2034" s="17">
        <v>4037</v>
      </c>
      <c r="E2034" s="17" t="s">
        <v>1446</v>
      </c>
      <c r="F2034" s="20">
        <v>1775265</v>
      </c>
    </row>
    <row r="2035" spans="1:6" ht="16" customHeight="1" x14ac:dyDescent="0.2">
      <c r="A2035">
        <f>IFERROR(VLOOKUP(C2035,'GASB Match'!$D$2:$F$6042,3,FALSE),"")</f>
        <v>3406330</v>
      </c>
      <c r="B2035" s="17">
        <v>2020</v>
      </c>
      <c r="C2035" s="21" t="s">
        <v>855</v>
      </c>
      <c r="D2035" s="17">
        <v>4037</v>
      </c>
      <c r="E2035" s="17" t="s">
        <v>1446</v>
      </c>
      <c r="F2035" s="23">
        <v>2093025</v>
      </c>
    </row>
    <row r="2036" spans="1:6" ht="16" customHeight="1" x14ac:dyDescent="0.2">
      <c r="A2036">
        <f>IFERROR(VLOOKUP(C2036,'GASB Match'!$D$2:$F$6042,3,FALSE),"")</f>
        <v>3406330</v>
      </c>
      <c r="B2036" s="17">
        <v>2021</v>
      </c>
      <c r="C2036" s="25" t="s">
        <v>855</v>
      </c>
      <c r="D2036" s="17">
        <v>4037</v>
      </c>
      <c r="E2036" s="17" t="s">
        <v>1446</v>
      </c>
      <c r="F2036" s="23">
        <v>2773976</v>
      </c>
    </row>
    <row r="2037" spans="1:6" ht="16" customHeight="1" x14ac:dyDescent="0.2">
      <c r="A2037">
        <f>IFERROR(VLOOKUP(C2037,'GASB Match'!$D$2:$F$6042,3,FALSE),"")</f>
        <v>3406330</v>
      </c>
      <c r="B2037" s="17">
        <v>2022</v>
      </c>
      <c r="C2037" s="21" t="s">
        <v>855</v>
      </c>
      <c r="D2037" s="17">
        <v>4037</v>
      </c>
      <c r="E2037" s="17" t="s">
        <v>1446</v>
      </c>
      <c r="F2037" s="23">
        <v>3982092</v>
      </c>
    </row>
    <row r="2038" spans="1:6" ht="16" customHeight="1" x14ac:dyDescent="0.2">
      <c r="A2038">
        <f>IFERROR(VLOOKUP(C2038,'GASB Match'!$D$2:$F$6042,3,FALSE),"")</f>
        <v>3406330</v>
      </c>
      <c r="B2038" s="17">
        <v>2023</v>
      </c>
      <c r="C2038" s="21" t="s">
        <v>855</v>
      </c>
      <c r="D2038" s="17">
        <v>4037</v>
      </c>
      <c r="E2038" s="17" t="s">
        <v>1446</v>
      </c>
      <c r="F2038" s="23">
        <v>3934904</v>
      </c>
    </row>
    <row r="2039" spans="1:6" ht="16" customHeight="1" x14ac:dyDescent="0.2">
      <c r="A2039">
        <f>IFERROR(VLOOKUP(C2039,'GASB Match'!$D$2:$F$6042,3,FALSE),"")</f>
        <v>3406330</v>
      </c>
      <c r="B2039" s="28">
        <v>2017</v>
      </c>
      <c r="C2039" s="29" t="s">
        <v>172</v>
      </c>
      <c r="D2039" s="17">
        <v>4037</v>
      </c>
      <c r="E2039" s="17" t="s">
        <v>1405</v>
      </c>
      <c r="F2039" s="29">
        <v>991466</v>
      </c>
    </row>
    <row r="2040" spans="1:6" ht="16" customHeight="1" x14ac:dyDescent="0.2">
      <c r="A2040">
        <f>IFERROR(VLOOKUP(C2040,'GASB Match'!$D$2:$F$6042,3,FALSE),"")</f>
        <v>3406360</v>
      </c>
      <c r="B2040" s="17">
        <v>2015</v>
      </c>
      <c r="C2040" s="17" t="s">
        <v>173</v>
      </c>
      <c r="D2040" s="17">
        <v>4035</v>
      </c>
      <c r="E2040" s="17" t="s">
        <v>1405</v>
      </c>
      <c r="F2040" s="20">
        <v>712160</v>
      </c>
    </row>
    <row r="2041" spans="1:6" ht="16" customHeight="1" x14ac:dyDescent="0.2">
      <c r="A2041">
        <f>IFERROR(VLOOKUP(C2041,'GASB Match'!$D$2:$F$6042,3,FALSE),"")</f>
        <v>3406360</v>
      </c>
      <c r="B2041" s="17">
        <v>2016</v>
      </c>
      <c r="C2041" s="17" t="s">
        <v>173</v>
      </c>
      <c r="D2041" s="17">
        <v>4035</v>
      </c>
      <c r="E2041" s="17" t="s">
        <v>1405</v>
      </c>
      <c r="F2041" s="19">
        <v>1071062</v>
      </c>
    </row>
    <row r="2042" spans="1:6" ht="16" customHeight="1" x14ac:dyDescent="0.2">
      <c r="A2042">
        <f>IFERROR(VLOOKUP(C2042,'GASB Match'!$D$2:$F$6042,3,FALSE),"")</f>
        <v>3406360</v>
      </c>
      <c r="B2042" s="17">
        <v>2018</v>
      </c>
      <c r="C2042" s="17" t="s">
        <v>856</v>
      </c>
      <c r="D2042" s="17">
        <v>4035</v>
      </c>
      <c r="E2042" s="17" t="s">
        <v>1446</v>
      </c>
      <c r="F2042" s="20">
        <v>1974088</v>
      </c>
    </row>
    <row r="2043" spans="1:6" ht="16" customHeight="1" x14ac:dyDescent="0.2">
      <c r="A2043">
        <f>IFERROR(VLOOKUP(C2043,'GASB Match'!$D$2:$F$6042,3,FALSE),"")</f>
        <v>3406360</v>
      </c>
      <c r="B2043" s="17">
        <v>2019</v>
      </c>
      <c r="C2043" s="17" t="s">
        <v>856</v>
      </c>
      <c r="D2043" s="17">
        <v>4035</v>
      </c>
      <c r="E2043" s="17" t="s">
        <v>1446</v>
      </c>
      <c r="F2043" s="20">
        <v>2700119</v>
      </c>
    </row>
    <row r="2044" spans="1:6" ht="16" customHeight="1" x14ac:dyDescent="0.2">
      <c r="A2044">
        <f>IFERROR(VLOOKUP(C2044,'GASB Match'!$D$2:$F$6042,3,FALSE),"")</f>
        <v>3406360</v>
      </c>
      <c r="B2044" s="17">
        <v>2020</v>
      </c>
      <c r="C2044" s="21" t="s">
        <v>856</v>
      </c>
      <c r="D2044" s="17">
        <v>4035</v>
      </c>
      <c r="E2044" s="17" t="s">
        <v>1446</v>
      </c>
      <c r="F2044" s="23">
        <v>3030829</v>
      </c>
    </row>
    <row r="2045" spans="1:6" ht="16" customHeight="1" x14ac:dyDescent="0.2">
      <c r="A2045">
        <f>IFERROR(VLOOKUP(C2045,'GASB Match'!$D$2:$F$6042,3,FALSE),"")</f>
        <v>3406360</v>
      </c>
      <c r="B2045" s="17">
        <v>2021</v>
      </c>
      <c r="C2045" s="25" t="s">
        <v>856</v>
      </c>
      <c r="D2045" s="17">
        <v>4035</v>
      </c>
      <c r="E2045" s="17" t="s">
        <v>1446</v>
      </c>
      <c r="F2045" s="23">
        <v>3975762</v>
      </c>
    </row>
    <row r="2046" spans="1:6" ht="16" customHeight="1" x14ac:dyDescent="0.2">
      <c r="A2046">
        <f>IFERROR(VLOOKUP(C2046,'GASB Match'!$D$2:$F$6042,3,FALSE),"")</f>
        <v>3406360</v>
      </c>
      <c r="B2046" s="17">
        <v>2022</v>
      </c>
      <c r="C2046" s="21" t="s">
        <v>856</v>
      </c>
      <c r="D2046" s="17">
        <v>4035</v>
      </c>
      <c r="E2046" s="17" t="s">
        <v>1446</v>
      </c>
      <c r="F2046" s="23">
        <v>5484582</v>
      </c>
    </row>
    <row r="2047" spans="1:6" ht="16" customHeight="1" x14ac:dyDescent="0.2">
      <c r="A2047">
        <f>IFERROR(VLOOKUP(C2047,'GASB Match'!$D$2:$F$6042,3,FALSE),"")</f>
        <v>3406360</v>
      </c>
      <c r="B2047" s="17">
        <v>2023</v>
      </c>
      <c r="C2047" s="21" t="s">
        <v>856</v>
      </c>
      <c r="D2047" s="17">
        <v>4035</v>
      </c>
      <c r="E2047" s="17" t="s">
        <v>1446</v>
      </c>
      <c r="F2047" s="23">
        <v>5397356</v>
      </c>
    </row>
    <row r="2048" spans="1:6" ht="16" customHeight="1" x14ac:dyDescent="0.2">
      <c r="A2048">
        <f>IFERROR(VLOOKUP(C2048,'GASB Match'!$D$2:$F$6042,3,FALSE),"")</f>
        <v>3406360</v>
      </c>
      <c r="B2048" s="28">
        <v>2017</v>
      </c>
      <c r="C2048" s="29" t="s">
        <v>173</v>
      </c>
      <c r="D2048" s="17">
        <v>4035</v>
      </c>
      <c r="E2048" s="17" t="s">
        <v>1405</v>
      </c>
      <c r="F2048" s="29">
        <v>1469732</v>
      </c>
    </row>
    <row r="2049" spans="1:6" ht="16" customHeight="1" x14ac:dyDescent="0.2">
      <c r="A2049">
        <f>IFERROR(VLOOKUP(C2049,'GASB Match'!$D$2:$F$6042,3,FALSE),"")</f>
        <v>3406390</v>
      </c>
      <c r="B2049" s="17">
        <v>2015</v>
      </c>
      <c r="C2049" s="17" t="s">
        <v>174</v>
      </c>
      <c r="D2049" s="17">
        <v>4036</v>
      </c>
      <c r="E2049" s="17" t="s">
        <v>1405</v>
      </c>
      <c r="F2049" s="19">
        <v>836188</v>
      </c>
    </row>
    <row r="2050" spans="1:6" ht="16" customHeight="1" x14ac:dyDescent="0.2">
      <c r="A2050">
        <f>IFERROR(VLOOKUP(C2050,'GASB Match'!$D$2:$F$6042,3,FALSE),"")</f>
        <v>3406390</v>
      </c>
      <c r="B2050" s="17">
        <v>2016</v>
      </c>
      <c r="C2050" s="17" t="s">
        <v>174</v>
      </c>
      <c r="D2050" s="17">
        <v>4036</v>
      </c>
      <c r="E2050" s="17" t="s">
        <v>1405</v>
      </c>
      <c r="F2050" s="20">
        <v>1256510</v>
      </c>
    </row>
    <row r="2051" spans="1:6" ht="16" customHeight="1" x14ac:dyDescent="0.2">
      <c r="A2051">
        <f>IFERROR(VLOOKUP(C2051,'GASB Match'!$D$2:$F$6042,3,FALSE),"")</f>
        <v>3406390</v>
      </c>
      <c r="B2051" s="17">
        <v>2018</v>
      </c>
      <c r="C2051" s="17" t="s">
        <v>857</v>
      </c>
      <c r="D2051" s="17">
        <v>4036</v>
      </c>
      <c r="E2051" s="17" t="s">
        <v>1446</v>
      </c>
      <c r="F2051" s="20">
        <v>2365821</v>
      </c>
    </row>
    <row r="2052" spans="1:6" ht="16" customHeight="1" x14ac:dyDescent="0.2">
      <c r="A2052">
        <f>IFERROR(VLOOKUP(C2052,'GASB Match'!$D$2:$F$6042,3,FALSE),"")</f>
        <v>3406390</v>
      </c>
      <c r="B2052" s="17">
        <v>2019</v>
      </c>
      <c r="C2052" s="17" t="s">
        <v>857</v>
      </c>
      <c r="D2052" s="17">
        <v>4036</v>
      </c>
      <c r="E2052" s="17" t="s">
        <v>1446</v>
      </c>
      <c r="F2052" s="20">
        <v>3052515</v>
      </c>
    </row>
    <row r="2053" spans="1:6" ht="16" customHeight="1" x14ac:dyDescent="0.2">
      <c r="A2053">
        <f>IFERROR(VLOOKUP(C2053,'GASB Match'!$D$2:$F$6042,3,FALSE),"")</f>
        <v>3406390</v>
      </c>
      <c r="B2053" s="17">
        <v>2020</v>
      </c>
      <c r="C2053" s="21" t="s">
        <v>857</v>
      </c>
      <c r="D2053" s="17">
        <v>4036</v>
      </c>
      <c r="E2053" s="17" t="s">
        <v>1446</v>
      </c>
      <c r="F2053" s="23">
        <v>3470682</v>
      </c>
    </row>
    <row r="2054" spans="1:6" ht="16" customHeight="1" x14ac:dyDescent="0.2">
      <c r="A2054">
        <f>IFERROR(VLOOKUP(C2054,'GASB Match'!$D$2:$F$6042,3,FALSE),"")</f>
        <v>3406390</v>
      </c>
      <c r="B2054" s="17">
        <v>2021</v>
      </c>
      <c r="C2054" s="25" t="s">
        <v>857</v>
      </c>
      <c r="D2054" s="17">
        <v>4036</v>
      </c>
      <c r="E2054" s="17" t="s">
        <v>1446</v>
      </c>
      <c r="F2054" s="23">
        <v>4579405</v>
      </c>
    </row>
    <row r="2055" spans="1:6" ht="16" customHeight="1" x14ac:dyDescent="0.2">
      <c r="A2055">
        <f>IFERROR(VLOOKUP(C2055,'GASB Match'!$D$2:$F$6042,3,FALSE),"")</f>
        <v>3406390</v>
      </c>
      <c r="B2055" s="17">
        <v>2022</v>
      </c>
      <c r="C2055" s="21" t="s">
        <v>857</v>
      </c>
      <c r="D2055" s="17">
        <v>4036</v>
      </c>
      <c r="E2055" s="17" t="s">
        <v>1446</v>
      </c>
      <c r="F2055" s="23">
        <v>6622272</v>
      </c>
    </row>
    <row r="2056" spans="1:6" ht="16" customHeight="1" x14ac:dyDescent="0.2">
      <c r="A2056">
        <f>IFERROR(VLOOKUP(C2056,'GASB Match'!$D$2:$F$6042,3,FALSE),"")</f>
        <v>3406390</v>
      </c>
      <c r="B2056" s="17">
        <v>2023</v>
      </c>
      <c r="C2056" s="21" t="s">
        <v>857</v>
      </c>
      <c r="D2056" s="17">
        <v>4036</v>
      </c>
      <c r="E2056" s="17" t="s">
        <v>1446</v>
      </c>
      <c r="F2056" s="23">
        <v>6689868</v>
      </c>
    </row>
    <row r="2057" spans="1:6" ht="16" customHeight="1" x14ac:dyDescent="0.2">
      <c r="A2057">
        <f>IFERROR(VLOOKUP(C2057,'GASB Match'!$D$2:$F$6042,3,FALSE),"")</f>
        <v>3406390</v>
      </c>
      <c r="B2057" s="28">
        <v>2017</v>
      </c>
      <c r="C2057" s="29" t="s">
        <v>174</v>
      </c>
      <c r="D2057" s="17">
        <v>4036</v>
      </c>
      <c r="E2057" s="17" t="s">
        <v>1405</v>
      </c>
      <c r="F2057" s="29">
        <v>1741906</v>
      </c>
    </row>
    <row r="2058" spans="1:6" ht="16" customHeight="1" x14ac:dyDescent="0.2">
      <c r="A2058">
        <f>IFERROR(VLOOKUP(C2058,'GASB Match'!$D$2:$F$6042,3,FALSE),"")</f>
        <v>3406420</v>
      </c>
      <c r="B2058" s="17">
        <v>2015</v>
      </c>
      <c r="C2058" s="17" t="s">
        <v>121</v>
      </c>
      <c r="D2058" s="17">
        <v>3024</v>
      </c>
      <c r="E2058" s="17" t="s">
        <v>1404</v>
      </c>
      <c r="F2058" s="20">
        <v>202734</v>
      </c>
    </row>
    <row r="2059" spans="1:6" ht="16" customHeight="1" x14ac:dyDescent="0.2">
      <c r="A2059">
        <f>IFERROR(VLOOKUP(C2059,'GASB Match'!$D$2:$F$6042,3,FALSE),"")</f>
        <v>3406420</v>
      </c>
      <c r="B2059" s="17">
        <v>2016</v>
      </c>
      <c r="C2059" s="17" t="s">
        <v>121</v>
      </c>
      <c r="D2059" s="17">
        <v>3024</v>
      </c>
      <c r="E2059" s="17" t="s">
        <v>1404</v>
      </c>
      <c r="F2059" s="20">
        <v>333768</v>
      </c>
    </row>
    <row r="2060" spans="1:6" ht="16" customHeight="1" x14ac:dyDescent="0.2">
      <c r="A2060">
        <f>IFERROR(VLOOKUP(C2060,'GASB Match'!$D$2:$F$6042,3,FALSE),"")</f>
        <v>3406420</v>
      </c>
      <c r="B2060" s="17">
        <v>2018</v>
      </c>
      <c r="C2060" s="17" t="s">
        <v>802</v>
      </c>
      <c r="D2060" s="17">
        <v>3024</v>
      </c>
      <c r="E2060" s="17" t="s">
        <v>1445</v>
      </c>
      <c r="F2060" s="20">
        <v>627929</v>
      </c>
    </row>
    <row r="2061" spans="1:6" ht="16" customHeight="1" x14ac:dyDescent="0.2">
      <c r="A2061">
        <f>IFERROR(VLOOKUP(C2061,'GASB Match'!$D$2:$F$6042,3,FALSE),"")</f>
        <v>3406420</v>
      </c>
      <c r="B2061" s="17">
        <v>2019</v>
      </c>
      <c r="C2061" s="17" t="s">
        <v>802</v>
      </c>
      <c r="D2061" s="17">
        <v>3024</v>
      </c>
      <c r="E2061" s="17" t="s">
        <v>1445</v>
      </c>
      <c r="F2061" s="20">
        <v>816555</v>
      </c>
    </row>
    <row r="2062" spans="1:6" ht="16" customHeight="1" x14ac:dyDescent="0.2">
      <c r="A2062">
        <f>IFERROR(VLOOKUP(C2062,'GASB Match'!$D$2:$F$6042,3,FALSE),"")</f>
        <v>3406420</v>
      </c>
      <c r="B2062" s="17">
        <v>2020</v>
      </c>
      <c r="C2062" s="21" t="s">
        <v>802</v>
      </c>
      <c r="D2062" s="17">
        <v>3024</v>
      </c>
      <c r="E2062" s="17" t="s">
        <v>1445</v>
      </c>
      <c r="F2062" s="23">
        <v>947543</v>
      </c>
    </row>
    <row r="2063" spans="1:6" ht="16" customHeight="1" x14ac:dyDescent="0.2">
      <c r="A2063">
        <f>IFERROR(VLOOKUP(C2063,'GASB Match'!$D$2:$F$6042,3,FALSE),"")</f>
        <v>3406420</v>
      </c>
      <c r="B2063" s="17">
        <v>2021</v>
      </c>
      <c r="C2063" s="25" t="s">
        <v>802</v>
      </c>
      <c r="D2063" s="17">
        <v>3024</v>
      </c>
      <c r="E2063" s="17" t="s">
        <v>1445</v>
      </c>
      <c r="F2063" s="23">
        <v>1213857</v>
      </c>
    </row>
    <row r="2064" spans="1:6" ht="16" customHeight="1" x14ac:dyDescent="0.2">
      <c r="A2064">
        <f>IFERROR(VLOOKUP(C2064,'GASB Match'!$D$2:$F$6042,3,FALSE),"")</f>
        <v>3406420</v>
      </c>
      <c r="B2064" s="17">
        <v>2022</v>
      </c>
      <c r="C2064" s="21" t="s">
        <v>802</v>
      </c>
      <c r="D2064" s="17">
        <v>3024</v>
      </c>
      <c r="E2064" s="17" t="s">
        <v>1445</v>
      </c>
      <c r="F2064" s="23">
        <v>1702069</v>
      </c>
    </row>
    <row r="2065" spans="1:6" ht="16" customHeight="1" x14ac:dyDescent="0.2">
      <c r="A2065">
        <f>IFERROR(VLOOKUP(C2065,'GASB Match'!$D$2:$F$6042,3,FALSE),"")</f>
        <v>3406420</v>
      </c>
      <c r="B2065" s="17">
        <v>2023</v>
      </c>
      <c r="C2065" s="21" t="s">
        <v>802</v>
      </c>
      <c r="D2065" s="17">
        <v>3024</v>
      </c>
      <c r="E2065" s="17" t="s">
        <v>1445</v>
      </c>
      <c r="F2065" s="23">
        <v>1601118</v>
      </c>
    </row>
    <row r="2066" spans="1:6" ht="16" customHeight="1" x14ac:dyDescent="0.2">
      <c r="A2066">
        <f>IFERROR(VLOOKUP(C2066,'GASB Match'!$D$2:$F$6042,3,FALSE),"")</f>
        <v>3406420</v>
      </c>
      <c r="B2066" s="28">
        <v>2017</v>
      </c>
      <c r="C2066" s="29" t="s">
        <v>121</v>
      </c>
      <c r="D2066" s="17">
        <v>3024</v>
      </c>
      <c r="E2066" s="17" t="s">
        <v>1404</v>
      </c>
      <c r="F2066" s="29">
        <v>455051</v>
      </c>
    </row>
    <row r="2067" spans="1:6" ht="16" customHeight="1" x14ac:dyDescent="0.2">
      <c r="A2067">
        <f>IFERROR(VLOOKUP(C2067,'GASB Match'!$D$2:$F$6042,3,FALSE),"")</f>
        <v>3406450</v>
      </c>
      <c r="B2067" s="17">
        <v>2015</v>
      </c>
      <c r="C2067" s="17" t="s">
        <v>527</v>
      </c>
      <c r="D2067" s="17">
        <v>632</v>
      </c>
      <c r="E2067" s="17" t="s">
        <v>1423</v>
      </c>
      <c r="F2067" s="20">
        <v>357828</v>
      </c>
    </row>
    <row r="2068" spans="1:6" ht="16" customHeight="1" x14ac:dyDescent="0.2">
      <c r="A2068">
        <f>IFERROR(VLOOKUP(C2068,'GASB Match'!$D$2:$F$6042,3,FALSE),"")</f>
        <v>3406450</v>
      </c>
      <c r="B2068" s="17">
        <v>2016</v>
      </c>
      <c r="C2068" s="17" t="s">
        <v>527</v>
      </c>
      <c r="D2068" s="17">
        <v>632</v>
      </c>
      <c r="E2068" s="17" t="s">
        <v>1423</v>
      </c>
      <c r="F2068" s="20">
        <v>539182</v>
      </c>
    </row>
    <row r="2069" spans="1:6" ht="16" customHeight="1" x14ac:dyDescent="0.2">
      <c r="A2069">
        <f>IFERROR(VLOOKUP(C2069,'GASB Match'!$D$2:$F$6042,3,FALSE),"")</f>
        <v>3406450</v>
      </c>
      <c r="B2069" s="17">
        <v>2018</v>
      </c>
      <c r="C2069" s="17" t="s">
        <v>1219</v>
      </c>
      <c r="D2069" s="17">
        <v>632</v>
      </c>
      <c r="E2069" s="17" t="s">
        <v>1466</v>
      </c>
      <c r="F2069" s="20">
        <v>1093879</v>
      </c>
    </row>
    <row r="2070" spans="1:6" ht="16" customHeight="1" x14ac:dyDescent="0.2">
      <c r="A2070">
        <f>IFERROR(VLOOKUP(C2070,'GASB Match'!$D$2:$F$6042,3,FALSE),"")</f>
        <v>3406450</v>
      </c>
      <c r="B2070" s="17">
        <v>2019</v>
      </c>
      <c r="C2070" s="17" t="s">
        <v>1219</v>
      </c>
      <c r="D2070" s="17">
        <v>632</v>
      </c>
      <c r="E2070" s="17" t="s">
        <v>1466</v>
      </c>
      <c r="F2070" s="20">
        <v>1460903</v>
      </c>
    </row>
    <row r="2071" spans="1:6" ht="16" customHeight="1" x14ac:dyDescent="0.2">
      <c r="A2071">
        <f>IFERROR(VLOOKUP(C2071,'GASB Match'!$D$2:$F$6042,3,FALSE),"")</f>
        <v>3406450</v>
      </c>
      <c r="B2071" s="17">
        <v>2020</v>
      </c>
      <c r="C2071" s="21" t="s">
        <v>1219</v>
      </c>
      <c r="D2071" s="17">
        <v>632</v>
      </c>
      <c r="E2071" s="17" t="s">
        <v>1466</v>
      </c>
      <c r="F2071" s="23">
        <v>1622026</v>
      </c>
    </row>
    <row r="2072" spans="1:6" ht="16" customHeight="1" x14ac:dyDescent="0.2">
      <c r="A2072">
        <f>IFERROR(VLOOKUP(C2072,'GASB Match'!$D$2:$F$6042,3,FALSE),"")</f>
        <v>3406450</v>
      </c>
      <c r="B2072" s="17">
        <v>2021</v>
      </c>
      <c r="C2072" s="25" t="s">
        <v>1219</v>
      </c>
      <c r="D2072" s="17">
        <v>632</v>
      </c>
      <c r="E2072" s="17" t="s">
        <v>1466</v>
      </c>
      <c r="F2072" s="23">
        <v>2156024</v>
      </c>
    </row>
    <row r="2073" spans="1:6" ht="16" customHeight="1" x14ac:dyDescent="0.2">
      <c r="A2073">
        <f>IFERROR(VLOOKUP(C2073,'GASB Match'!$D$2:$F$6042,3,FALSE),"")</f>
        <v>3406450</v>
      </c>
      <c r="B2073" s="17">
        <v>2022</v>
      </c>
      <c r="C2073" s="21" t="s">
        <v>1219</v>
      </c>
      <c r="D2073" s="17">
        <v>632</v>
      </c>
      <c r="E2073" s="17" t="s">
        <v>1466</v>
      </c>
      <c r="F2073" s="23">
        <v>3031877</v>
      </c>
    </row>
    <row r="2074" spans="1:6" ht="16" customHeight="1" x14ac:dyDescent="0.2">
      <c r="A2074">
        <f>IFERROR(VLOOKUP(C2074,'GASB Match'!$D$2:$F$6042,3,FALSE),"")</f>
        <v>3406450</v>
      </c>
      <c r="B2074" s="17">
        <v>2023</v>
      </c>
      <c r="C2074" s="21" t="s">
        <v>1219</v>
      </c>
      <c r="D2074" s="17">
        <v>632</v>
      </c>
      <c r="E2074" s="17" t="s">
        <v>1466</v>
      </c>
      <c r="F2074" s="23">
        <v>2876292</v>
      </c>
    </row>
    <row r="2075" spans="1:6" ht="16" customHeight="1" x14ac:dyDescent="0.2">
      <c r="A2075">
        <f>IFERROR(VLOOKUP(C2075,'GASB Match'!$D$2:$F$6042,3,FALSE),"")</f>
        <v>3406450</v>
      </c>
      <c r="B2075" s="28">
        <v>2017</v>
      </c>
      <c r="C2075" s="29" t="s">
        <v>527</v>
      </c>
      <c r="D2075" s="17">
        <v>632</v>
      </c>
      <c r="E2075" s="17" t="s">
        <v>1423</v>
      </c>
      <c r="F2075" s="29">
        <v>824961</v>
      </c>
    </row>
    <row r="2076" spans="1:6" ht="16" customHeight="1" x14ac:dyDescent="0.2">
      <c r="A2076">
        <f>IFERROR(VLOOKUP(C2076,'GASB Match'!$D$2:$F$6042,3,FALSE),"")</f>
        <v>3406480</v>
      </c>
      <c r="B2076" s="17">
        <v>2015</v>
      </c>
      <c r="C2076" s="17" t="s">
        <v>589</v>
      </c>
      <c r="D2076" s="17">
        <v>779</v>
      </c>
      <c r="E2076" s="17" t="s">
        <v>1426</v>
      </c>
      <c r="F2076" s="20">
        <v>122938</v>
      </c>
    </row>
    <row r="2077" spans="1:6" ht="16" customHeight="1" x14ac:dyDescent="0.2">
      <c r="A2077">
        <f>IFERROR(VLOOKUP(C2077,'GASB Match'!$D$2:$F$6042,3,FALSE),"")</f>
        <v>3406480</v>
      </c>
      <c r="B2077" s="17">
        <v>2016</v>
      </c>
      <c r="C2077" s="17" t="s">
        <v>589</v>
      </c>
      <c r="D2077" s="17">
        <v>779</v>
      </c>
      <c r="E2077" s="17" t="s">
        <v>1426</v>
      </c>
      <c r="F2077" s="20">
        <v>184651</v>
      </c>
    </row>
    <row r="2078" spans="1:6" ht="16" customHeight="1" x14ac:dyDescent="0.2">
      <c r="A2078">
        <f>IFERROR(VLOOKUP(C2078,'GASB Match'!$D$2:$F$6042,3,FALSE),"")</f>
        <v>3406480</v>
      </c>
      <c r="B2078" s="17">
        <v>2018</v>
      </c>
      <c r="C2078" s="17" t="s">
        <v>1282</v>
      </c>
      <c r="D2078" s="17">
        <v>779</v>
      </c>
      <c r="E2078" s="17" t="s">
        <v>1469</v>
      </c>
      <c r="F2078" s="20">
        <v>355903</v>
      </c>
    </row>
    <row r="2079" spans="1:6" ht="16" customHeight="1" x14ac:dyDescent="0.2">
      <c r="A2079">
        <f>IFERROR(VLOOKUP(C2079,'GASB Match'!$D$2:$F$6042,3,FALSE),"")</f>
        <v>3406480</v>
      </c>
      <c r="B2079" s="17">
        <v>2019</v>
      </c>
      <c r="C2079" s="17" t="s">
        <v>1282</v>
      </c>
      <c r="D2079" s="17">
        <v>779</v>
      </c>
      <c r="E2079" s="17" t="s">
        <v>1469</v>
      </c>
      <c r="F2079" s="20">
        <v>493236</v>
      </c>
    </row>
    <row r="2080" spans="1:6" ht="16" customHeight="1" x14ac:dyDescent="0.2">
      <c r="A2080">
        <f>IFERROR(VLOOKUP(C2080,'GASB Match'!$D$2:$F$6042,3,FALSE),"")</f>
        <v>3406480</v>
      </c>
      <c r="B2080" s="17">
        <v>2020</v>
      </c>
      <c r="C2080" s="21" t="s">
        <v>1282</v>
      </c>
      <c r="D2080" s="17">
        <v>779</v>
      </c>
      <c r="E2080" s="17" t="s">
        <v>1469</v>
      </c>
      <c r="F2080" s="23">
        <v>546745</v>
      </c>
    </row>
    <row r="2081" spans="1:6" ht="16" customHeight="1" x14ac:dyDescent="0.2">
      <c r="A2081">
        <f>IFERROR(VLOOKUP(C2081,'GASB Match'!$D$2:$F$6042,3,FALSE),"")</f>
        <v>3406480</v>
      </c>
      <c r="B2081" s="17">
        <v>2021</v>
      </c>
      <c r="C2081" s="25" t="s">
        <v>1282</v>
      </c>
      <c r="D2081" s="17">
        <v>779</v>
      </c>
      <c r="E2081" s="17" t="s">
        <v>1469</v>
      </c>
      <c r="F2081" s="23">
        <v>687051</v>
      </c>
    </row>
    <row r="2082" spans="1:6" ht="16" customHeight="1" x14ac:dyDescent="0.2">
      <c r="A2082">
        <f>IFERROR(VLOOKUP(C2082,'GASB Match'!$D$2:$F$6042,3,FALSE),"")</f>
        <v>3406480</v>
      </c>
      <c r="B2082" s="17">
        <v>2022</v>
      </c>
      <c r="C2082" s="21" t="s">
        <v>1282</v>
      </c>
      <c r="D2082" s="17">
        <v>779</v>
      </c>
      <c r="E2082" s="17" t="s">
        <v>1469</v>
      </c>
      <c r="F2082" s="23">
        <v>947570</v>
      </c>
    </row>
    <row r="2083" spans="1:6" ht="16" customHeight="1" x14ac:dyDescent="0.2">
      <c r="A2083">
        <f>IFERROR(VLOOKUP(C2083,'GASB Match'!$D$2:$F$6042,3,FALSE),"")</f>
        <v>3406480</v>
      </c>
      <c r="B2083" s="17">
        <v>2023</v>
      </c>
      <c r="C2083" s="21" t="s">
        <v>1282</v>
      </c>
      <c r="D2083" s="17">
        <v>779</v>
      </c>
      <c r="E2083" s="17" t="s">
        <v>1469</v>
      </c>
      <c r="F2083" s="23">
        <v>900460</v>
      </c>
    </row>
    <row r="2084" spans="1:6" ht="16" customHeight="1" x14ac:dyDescent="0.2">
      <c r="A2084">
        <f>IFERROR(VLOOKUP(C2084,'GASB Match'!$D$2:$F$6042,3,FALSE),"")</f>
        <v>3406480</v>
      </c>
      <c r="B2084" s="28">
        <v>2017</v>
      </c>
      <c r="C2084" s="29" t="s">
        <v>589</v>
      </c>
      <c r="D2084" s="17">
        <v>779</v>
      </c>
      <c r="E2084" s="17" t="s">
        <v>1426</v>
      </c>
      <c r="F2084" s="29">
        <v>255575</v>
      </c>
    </row>
    <row r="2085" spans="1:6" ht="16" customHeight="1" x14ac:dyDescent="0.2">
      <c r="A2085">
        <f>IFERROR(VLOOKUP(C2085,'GASB Match'!$D$2:$F$6042,3,FALSE),"")</f>
        <v>3406510</v>
      </c>
      <c r="B2085" s="17">
        <v>2015</v>
      </c>
      <c r="C2085" s="17" t="s">
        <v>14</v>
      </c>
      <c r="D2085" s="17">
        <v>1087</v>
      </c>
      <c r="E2085" s="17" t="s">
        <v>1400</v>
      </c>
      <c r="F2085" s="20">
        <v>951125</v>
      </c>
    </row>
    <row r="2086" spans="1:6" ht="16" customHeight="1" x14ac:dyDescent="0.2">
      <c r="A2086">
        <f>IFERROR(VLOOKUP(C2086,'GASB Match'!$D$2:$F$6042,3,FALSE),"")</f>
        <v>3406510</v>
      </c>
      <c r="B2086" s="17">
        <v>2016</v>
      </c>
      <c r="C2086" s="17" t="s">
        <v>14</v>
      </c>
      <c r="D2086" s="17">
        <v>1087</v>
      </c>
      <c r="E2086" s="17" t="s">
        <v>1400</v>
      </c>
      <c r="F2086" s="20">
        <v>1481037</v>
      </c>
    </row>
    <row r="2087" spans="1:6" ht="16" customHeight="1" x14ac:dyDescent="0.2">
      <c r="A2087">
        <f>IFERROR(VLOOKUP(C2087,'GASB Match'!$D$2:$F$6042,3,FALSE),"")</f>
        <v>3406510</v>
      </c>
      <c r="B2087" s="17">
        <v>2018</v>
      </c>
      <c r="C2087" s="17" t="s">
        <v>693</v>
      </c>
      <c r="D2087" s="17">
        <v>1087</v>
      </c>
      <c r="E2087" s="17" t="s">
        <v>1441</v>
      </c>
      <c r="F2087" s="20">
        <v>2770406</v>
      </c>
    </row>
    <row r="2088" spans="1:6" ht="16" customHeight="1" x14ac:dyDescent="0.2">
      <c r="A2088">
        <f>IFERROR(VLOOKUP(C2088,'GASB Match'!$D$2:$F$6042,3,FALSE),"")</f>
        <v>3406510</v>
      </c>
      <c r="B2088" s="17">
        <v>2019</v>
      </c>
      <c r="C2088" s="17" t="s">
        <v>693</v>
      </c>
      <c r="D2088" s="17">
        <v>1087</v>
      </c>
      <c r="E2088" s="17" t="s">
        <v>1441</v>
      </c>
      <c r="F2088" s="20">
        <v>3642971</v>
      </c>
    </row>
    <row r="2089" spans="1:6" ht="16" customHeight="1" x14ac:dyDescent="0.2">
      <c r="A2089">
        <f>IFERROR(VLOOKUP(C2089,'GASB Match'!$D$2:$F$6042,3,FALSE),"")</f>
        <v>3406510</v>
      </c>
      <c r="B2089" s="17">
        <v>2020</v>
      </c>
      <c r="C2089" s="21" t="s">
        <v>693</v>
      </c>
      <c r="D2089" s="17">
        <v>1087</v>
      </c>
      <c r="E2089" s="17" t="s">
        <v>1441</v>
      </c>
      <c r="F2089" s="23">
        <v>4327808</v>
      </c>
    </row>
    <row r="2090" spans="1:6" ht="16" customHeight="1" x14ac:dyDescent="0.2">
      <c r="A2090">
        <f>IFERROR(VLOOKUP(C2090,'GASB Match'!$D$2:$F$6042,3,FALSE),"")</f>
        <v>3406510</v>
      </c>
      <c r="B2090" s="17">
        <v>2021</v>
      </c>
      <c r="C2090" s="25" t="s">
        <v>693</v>
      </c>
      <c r="D2090" s="17">
        <v>1087</v>
      </c>
      <c r="E2090" s="17" t="s">
        <v>1441</v>
      </c>
      <c r="F2090" s="23">
        <v>5773558</v>
      </c>
    </row>
    <row r="2091" spans="1:6" ht="16" customHeight="1" x14ac:dyDescent="0.2">
      <c r="A2091">
        <f>IFERROR(VLOOKUP(C2091,'GASB Match'!$D$2:$F$6042,3,FALSE),"")</f>
        <v>3406510</v>
      </c>
      <c r="B2091" s="17">
        <v>2022</v>
      </c>
      <c r="C2091" s="21" t="s">
        <v>693</v>
      </c>
      <c r="D2091" s="17">
        <v>1087</v>
      </c>
      <c r="E2091" s="17" t="s">
        <v>1441</v>
      </c>
      <c r="F2091" s="23">
        <v>8101691</v>
      </c>
    </row>
    <row r="2092" spans="1:6" ht="16" customHeight="1" x14ac:dyDescent="0.2">
      <c r="A2092">
        <f>IFERROR(VLOOKUP(C2092,'GASB Match'!$D$2:$F$6042,3,FALSE),"")</f>
        <v>3406510</v>
      </c>
      <c r="B2092" s="17">
        <v>2023</v>
      </c>
      <c r="C2092" s="21" t="s">
        <v>693</v>
      </c>
      <c r="D2092" s="17">
        <v>1087</v>
      </c>
      <c r="E2092" s="17" t="s">
        <v>1441</v>
      </c>
      <c r="F2092" s="23">
        <v>7968206</v>
      </c>
    </row>
    <row r="2093" spans="1:6" ht="16" customHeight="1" x14ac:dyDescent="0.2">
      <c r="A2093">
        <f>IFERROR(VLOOKUP(C2093,'GASB Match'!$D$2:$F$6042,3,FALSE),"")</f>
        <v>3406510</v>
      </c>
      <c r="B2093" s="28">
        <v>2017</v>
      </c>
      <c r="C2093" s="29" t="s">
        <v>14</v>
      </c>
      <c r="D2093" s="17">
        <v>1087</v>
      </c>
      <c r="E2093" s="17" t="s">
        <v>1400</v>
      </c>
      <c r="F2093" s="29">
        <v>2102750</v>
      </c>
    </row>
    <row r="2094" spans="1:6" ht="16" customHeight="1" x14ac:dyDescent="0.2">
      <c r="A2094">
        <f>IFERROR(VLOOKUP(C2094,'GASB Match'!$D$2:$F$6042,3,FALSE),"")</f>
        <v>3406540</v>
      </c>
      <c r="B2094" s="17">
        <v>2015</v>
      </c>
      <c r="C2094" s="17" t="s">
        <v>358</v>
      </c>
      <c r="D2094" s="17">
        <v>110</v>
      </c>
      <c r="E2094" s="17" t="s">
        <v>1416</v>
      </c>
      <c r="F2094" s="20">
        <v>4284829</v>
      </c>
    </row>
    <row r="2095" spans="1:6" ht="16" customHeight="1" x14ac:dyDescent="0.2">
      <c r="A2095">
        <f>IFERROR(VLOOKUP(C2095,'GASB Match'!$D$2:$F$6042,3,FALSE),"")</f>
        <v>3406540</v>
      </c>
      <c r="B2095" s="17">
        <v>2016</v>
      </c>
      <c r="C2095" s="17" t="s">
        <v>358</v>
      </c>
      <c r="D2095" s="17">
        <v>110</v>
      </c>
      <c r="E2095" s="17" t="s">
        <v>1416</v>
      </c>
      <c r="F2095" s="20">
        <v>6331131</v>
      </c>
    </row>
    <row r="2096" spans="1:6" ht="16" customHeight="1" x14ac:dyDescent="0.2">
      <c r="A2096">
        <f>IFERROR(VLOOKUP(C2096,'GASB Match'!$D$2:$F$6042,3,FALSE),"")</f>
        <v>3406540</v>
      </c>
      <c r="B2096" s="17">
        <v>2018</v>
      </c>
      <c r="C2096" s="17" t="s">
        <v>1048</v>
      </c>
      <c r="D2096" s="17">
        <v>110</v>
      </c>
      <c r="E2096" s="17" t="s">
        <v>1459</v>
      </c>
      <c r="F2096" s="20">
        <v>11453136</v>
      </c>
    </row>
    <row r="2097" spans="1:6" ht="16" customHeight="1" x14ac:dyDescent="0.2">
      <c r="A2097">
        <f>IFERROR(VLOOKUP(C2097,'GASB Match'!$D$2:$F$6042,3,FALSE),"")</f>
        <v>3406540</v>
      </c>
      <c r="B2097" s="17">
        <v>2019</v>
      </c>
      <c r="C2097" s="17" t="s">
        <v>1048</v>
      </c>
      <c r="D2097" s="17">
        <v>110</v>
      </c>
      <c r="E2097" s="17" t="s">
        <v>1459</v>
      </c>
      <c r="F2097" s="20">
        <v>15702343</v>
      </c>
    </row>
    <row r="2098" spans="1:6" ht="16" customHeight="1" x14ac:dyDescent="0.2">
      <c r="A2098">
        <f>IFERROR(VLOOKUP(C2098,'GASB Match'!$D$2:$F$6042,3,FALSE),"")</f>
        <v>3406540</v>
      </c>
      <c r="B2098" s="17">
        <v>2020</v>
      </c>
      <c r="C2098" s="21" t="s">
        <v>1048</v>
      </c>
      <c r="D2098" s="17">
        <v>110</v>
      </c>
      <c r="E2098" s="17" t="s">
        <v>1459</v>
      </c>
      <c r="F2098" s="22">
        <v>17574391</v>
      </c>
    </row>
    <row r="2099" spans="1:6" ht="16" customHeight="1" x14ac:dyDescent="0.2">
      <c r="A2099">
        <f>IFERROR(VLOOKUP(C2099,'GASB Match'!$D$2:$F$6042,3,FALSE),"")</f>
        <v>3406540</v>
      </c>
      <c r="B2099" s="17">
        <v>2021</v>
      </c>
      <c r="C2099" s="25" t="s">
        <v>1048</v>
      </c>
      <c r="D2099" s="17">
        <v>110</v>
      </c>
      <c r="E2099" s="17" t="s">
        <v>1459</v>
      </c>
      <c r="F2099" s="23">
        <v>22070994</v>
      </c>
    </row>
    <row r="2100" spans="1:6" ht="16" customHeight="1" x14ac:dyDescent="0.2">
      <c r="A2100">
        <f>IFERROR(VLOOKUP(C2100,'GASB Match'!$D$2:$F$6042,3,FALSE),"")</f>
        <v>3406540</v>
      </c>
      <c r="B2100" s="17">
        <v>2022</v>
      </c>
      <c r="C2100" s="21" t="s">
        <v>1048</v>
      </c>
      <c r="D2100" s="17">
        <v>110</v>
      </c>
      <c r="E2100" s="17" t="s">
        <v>1459</v>
      </c>
      <c r="F2100" s="23">
        <v>32282619</v>
      </c>
    </row>
    <row r="2101" spans="1:6" ht="16" customHeight="1" x14ac:dyDescent="0.2">
      <c r="A2101">
        <f>IFERROR(VLOOKUP(C2101,'GASB Match'!$D$2:$F$6042,3,FALSE),"")</f>
        <v>3406540</v>
      </c>
      <c r="B2101" s="17">
        <v>2023</v>
      </c>
      <c r="C2101" s="21" t="s">
        <v>1048</v>
      </c>
      <c r="D2101" s="17">
        <v>110</v>
      </c>
      <c r="E2101" s="17" t="s">
        <v>1459</v>
      </c>
      <c r="F2101" s="23">
        <v>32641471</v>
      </c>
    </row>
    <row r="2102" spans="1:6" ht="16" customHeight="1" x14ac:dyDescent="0.2">
      <c r="A2102">
        <f>IFERROR(VLOOKUP(C2102,'GASB Match'!$D$2:$F$6042,3,FALSE),"")</f>
        <v>3406540</v>
      </c>
      <c r="B2102" s="28">
        <v>2017</v>
      </c>
      <c r="C2102" s="29" t="s">
        <v>358</v>
      </c>
      <c r="D2102" s="17">
        <v>110</v>
      </c>
      <c r="E2102" s="17" t="s">
        <v>1416</v>
      </c>
      <c r="F2102" s="29">
        <v>8894180</v>
      </c>
    </row>
    <row r="2103" spans="1:6" ht="16" customHeight="1" x14ac:dyDescent="0.2">
      <c r="A2103">
        <f>IFERROR(VLOOKUP(C2103,'GASB Match'!$D$2:$F$6042,3,FALSE),"")</f>
        <v>3406570</v>
      </c>
      <c r="B2103" s="17">
        <v>2015</v>
      </c>
      <c r="C2103" s="17" t="s">
        <v>15</v>
      </c>
      <c r="D2103" s="17">
        <v>1040</v>
      </c>
      <c r="E2103" s="17" t="s">
        <v>1400</v>
      </c>
      <c r="F2103" s="20">
        <v>1045458</v>
      </c>
    </row>
    <row r="2104" spans="1:6" ht="16" customHeight="1" x14ac:dyDescent="0.2">
      <c r="A2104">
        <f>IFERROR(VLOOKUP(C2104,'GASB Match'!$D$2:$F$6042,3,FALSE),"")</f>
        <v>3406570</v>
      </c>
      <c r="B2104" s="17">
        <v>2016</v>
      </c>
      <c r="C2104" s="17" t="s">
        <v>15</v>
      </c>
      <c r="D2104" s="17">
        <v>1040</v>
      </c>
      <c r="E2104" s="17" t="s">
        <v>1400</v>
      </c>
      <c r="F2104" s="20">
        <v>1556248</v>
      </c>
    </row>
    <row r="2105" spans="1:6" ht="16" customHeight="1" x14ac:dyDescent="0.2">
      <c r="A2105">
        <f>IFERROR(VLOOKUP(C2105,'GASB Match'!$D$2:$F$6042,3,FALSE),"")</f>
        <v>3406570</v>
      </c>
      <c r="B2105" s="17">
        <v>2018</v>
      </c>
      <c r="C2105" s="17" t="s">
        <v>694</v>
      </c>
      <c r="D2105" s="17">
        <v>1040</v>
      </c>
      <c r="E2105" s="17" t="s">
        <v>1441</v>
      </c>
      <c r="F2105" s="20">
        <v>2947298</v>
      </c>
    </row>
    <row r="2106" spans="1:6" ht="16" customHeight="1" x14ac:dyDescent="0.2">
      <c r="A2106">
        <f>IFERROR(VLOOKUP(C2106,'GASB Match'!$D$2:$F$6042,3,FALSE),"")</f>
        <v>3406570</v>
      </c>
      <c r="B2106" s="17">
        <v>2019</v>
      </c>
      <c r="C2106" s="17" t="s">
        <v>694</v>
      </c>
      <c r="D2106" s="17">
        <v>1040</v>
      </c>
      <c r="E2106" s="17" t="s">
        <v>1441</v>
      </c>
      <c r="F2106" s="20">
        <v>3995833</v>
      </c>
    </row>
    <row r="2107" spans="1:6" ht="16" customHeight="1" x14ac:dyDescent="0.2">
      <c r="A2107">
        <f>IFERROR(VLOOKUP(C2107,'GASB Match'!$D$2:$F$6042,3,FALSE),"")</f>
        <v>3406570</v>
      </c>
      <c r="B2107" s="17">
        <v>2020</v>
      </c>
      <c r="C2107" s="21" t="s">
        <v>694</v>
      </c>
      <c r="D2107" s="17">
        <v>1040</v>
      </c>
      <c r="E2107" s="17" t="s">
        <v>1441</v>
      </c>
      <c r="F2107" s="23">
        <v>4493804</v>
      </c>
    </row>
    <row r="2108" spans="1:6" ht="16" customHeight="1" x14ac:dyDescent="0.2">
      <c r="A2108">
        <f>IFERROR(VLOOKUP(C2108,'GASB Match'!$D$2:$F$6042,3,FALSE),"")</f>
        <v>3406570</v>
      </c>
      <c r="B2108" s="17">
        <v>2021</v>
      </c>
      <c r="C2108" s="25" t="s">
        <v>694</v>
      </c>
      <c r="D2108" s="17">
        <v>1040</v>
      </c>
      <c r="E2108" s="17" t="s">
        <v>1441</v>
      </c>
      <c r="F2108" s="23">
        <v>5853086</v>
      </c>
    </row>
    <row r="2109" spans="1:6" ht="16" customHeight="1" x14ac:dyDescent="0.2">
      <c r="A2109">
        <f>IFERROR(VLOOKUP(C2109,'GASB Match'!$D$2:$F$6042,3,FALSE),"")</f>
        <v>3406570</v>
      </c>
      <c r="B2109" s="17">
        <v>2022</v>
      </c>
      <c r="C2109" s="21" t="s">
        <v>694</v>
      </c>
      <c r="D2109" s="17">
        <v>1040</v>
      </c>
      <c r="E2109" s="17" t="s">
        <v>1441</v>
      </c>
      <c r="F2109" s="23">
        <v>8554663</v>
      </c>
    </row>
    <row r="2110" spans="1:6" ht="16" customHeight="1" x14ac:dyDescent="0.2">
      <c r="A2110">
        <f>IFERROR(VLOOKUP(C2110,'GASB Match'!$D$2:$F$6042,3,FALSE),"")</f>
        <v>3406570</v>
      </c>
      <c r="B2110" s="17">
        <v>2023</v>
      </c>
      <c r="C2110" s="21" t="s">
        <v>694</v>
      </c>
      <c r="D2110" s="17">
        <v>1040</v>
      </c>
      <c r="E2110" s="17" t="s">
        <v>1441</v>
      </c>
      <c r="F2110" s="23">
        <v>8491842</v>
      </c>
    </row>
    <row r="2111" spans="1:6" ht="16" customHeight="1" x14ac:dyDescent="0.2">
      <c r="A2111">
        <f>IFERROR(VLOOKUP(C2111,'GASB Match'!$D$2:$F$6042,3,FALSE),"")</f>
        <v>3406570</v>
      </c>
      <c r="B2111" s="28">
        <v>2017</v>
      </c>
      <c r="C2111" s="29" t="s">
        <v>15</v>
      </c>
      <c r="D2111" s="17">
        <v>1040</v>
      </c>
      <c r="E2111" s="17" t="s">
        <v>1400</v>
      </c>
      <c r="F2111" s="29">
        <v>2211436</v>
      </c>
    </row>
    <row r="2112" spans="1:6" ht="16" customHeight="1" x14ac:dyDescent="0.2">
      <c r="A2112">
        <f>IFERROR(VLOOKUP(C2112,'GASB Match'!$D$2:$F$6042,3,FALSE),"")</f>
        <v>3406600</v>
      </c>
      <c r="B2112" s="17">
        <v>2015</v>
      </c>
      <c r="C2112" s="17" t="s">
        <v>337</v>
      </c>
      <c r="D2112" s="17">
        <v>9023</v>
      </c>
      <c r="E2112" s="17" t="s">
        <v>1415</v>
      </c>
      <c r="F2112" s="20">
        <v>66759</v>
      </c>
    </row>
    <row r="2113" spans="1:6" ht="16" customHeight="1" x14ac:dyDescent="0.2">
      <c r="A2113">
        <f>IFERROR(VLOOKUP(C2113,'GASB Match'!$D$2:$F$6042,3,FALSE),"")</f>
        <v>3406600</v>
      </c>
      <c r="B2113" s="17">
        <v>2016</v>
      </c>
      <c r="C2113" s="17" t="s">
        <v>337</v>
      </c>
      <c r="D2113" s="17">
        <v>9023</v>
      </c>
      <c r="E2113" s="17" t="s">
        <v>1415</v>
      </c>
      <c r="F2113" s="20">
        <v>90570</v>
      </c>
    </row>
    <row r="2114" spans="1:6" ht="16" customHeight="1" x14ac:dyDescent="0.2">
      <c r="A2114">
        <f>IFERROR(VLOOKUP(C2114,'GASB Match'!$D$2:$F$6042,3,FALSE),"")</f>
        <v>3406600</v>
      </c>
      <c r="B2114" s="17">
        <v>2018</v>
      </c>
      <c r="C2114" s="17" t="s">
        <v>1030</v>
      </c>
      <c r="D2114" s="17">
        <v>9023</v>
      </c>
      <c r="E2114" s="17" t="s">
        <v>1458</v>
      </c>
      <c r="F2114" s="19">
        <v>188482</v>
      </c>
    </row>
    <row r="2115" spans="1:6" ht="16" customHeight="1" x14ac:dyDescent="0.2">
      <c r="A2115">
        <f>IFERROR(VLOOKUP(C2115,'GASB Match'!$D$2:$F$6042,3,FALSE),"")</f>
        <v>3406600</v>
      </c>
      <c r="B2115" s="17">
        <v>2019</v>
      </c>
      <c r="C2115" s="17" t="s">
        <v>1030</v>
      </c>
      <c r="D2115" s="17">
        <v>9023</v>
      </c>
      <c r="E2115" s="17" t="s">
        <v>1458</v>
      </c>
      <c r="F2115" s="20">
        <v>252915</v>
      </c>
    </row>
    <row r="2116" spans="1:6" ht="16" customHeight="1" x14ac:dyDescent="0.2">
      <c r="A2116">
        <f>IFERROR(VLOOKUP(C2116,'GASB Match'!$D$2:$F$6042,3,FALSE),"")</f>
        <v>3406600</v>
      </c>
      <c r="B2116" s="17">
        <v>2020</v>
      </c>
      <c r="C2116" s="21" t="s">
        <v>1030</v>
      </c>
      <c r="D2116" s="17">
        <v>9023</v>
      </c>
      <c r="E2116" s="17" t="s">
        <v>1458</v>
      </c>
      <c r="F2116" s="23">
        <v>264838</v>
      </c>
    </row>
    <row r="2117" spans="1:6" ht="16" customHeight="1" x14ac:dyDescent="0.2">
      <c r="A2117">
        <f>IFERROR(VLOOKUP(C2117,'GASB Match'!$D$2:$F$6042,3,FALSE),"")</f>
        <v>3406600</v>
      </c>
      <c r="B2117" s="17">
        <v>2021</v>
      </c>
      <c r="C2117" s="25" t="s">
        <v>1030</v>
      </c>
      <c r="D2117" s="17">
        <v>9023</v>
      </c>
      <c r="E2117" s="17" t="s">
        <v>1458</v>
      </c>
      <c r="F2117" s="23">
        <v>263515</v>
      </c>
    </row>
    <row r="2118" spans="1:6" ht="16" customHeight="1" x14ac:dyDescent="0.2">
      <c r="A2118">
        <f>IFERROR(VLOOKUP(C2118,'GASB Match'!$D$2:$F$6042,3,FALSE),"")</f>
        <v>3406600</v>
      </c>
      <c r="B2118" s="17">
        <v>2022</v>
      </c>
      <c r="C2118" s="21" t="s">
        <v>1030</v>
      </c>
      <c r="D2118" s="17">
        <v>9023</v>
      </c>
      <c r="E2118" s="17" t="s">
        <v>1458</v>
      </c>
      <c r="F2118" s="23">
        <v>376023</v>
      </c>
    </row>
    <row r="2119" spans="1:6" ht="16" customHeight="1" x14ac:dyDescent="0.2">
      <c r="A2119">
        <f>IFERROR(VLOOKUP(C2119,'GASB Match'!$D$2:$F$6042,3,FALSE),"")</f>
        <v>3406600</v>
      </c>
      <c r="B2119" s="17">
        <v>2023</v>
      </c>
      <c r="C2119" s="21" t="s">
        <v>1030</v>
      </c>
      <c r="D2119" s="17">
        <v>9023</v>
      </c>
      <c r="E2119" s="17" t="s">
        <v>1458</v>
      </c>
      <c r="F2119" s="23">
        <v>342691</v>
      </c>
    </row>
    <row r="2120" spans="1:6" ht="16" customHeight="1" x14ac:dyDescent="0.2">
      <c r="A2120">
        <f>IFERROR(VLOOKUP(C2120,'GASB Match'!$D$2:$F$6042,3,FALSE),"")</f>
        <v>3406600</v>
      </c>
      <c r="B2120" s="28">
        <v>2017</v>
      </c>
      <c r="C2120" s="29" t="s">
        <v>337</v>
      </c>
      <c r="D2120" s="17">
        <v>9023</v>
      </c>
      <c r="E2120" s="17" t="s">
        <v>1415</v>
      </c>
      <c r="F2120" s="29">
        <v>105596</v>
      </c>
    </row>
    <row r="2121" spans="1:6" ht="16" customHeight="1" x14ac:dyDescent="0.2">
      <c r="A2121">
        <f>IFERROR(VLOOKUP(C2121,'GASB Match'!$D$2:$F$6042,3,FALSE),"")</f>
        <v>3406630</v>
      </c>
      <c r="B2121" s="17">
        <v>2015</v>
      </c>
      <c r="C2121" s="17" t="s">
        <v>590</v>
      </c>
      <c r="D2121" s="17">
        <v>781</v>
      </c>
      <c r="E2121" s="17" t="s">
        <v>1426</v>
      </c>
      <c r="F2121" s="20">
        <v>160984</v>
      </c>
    </row>
    <row r="2122" spans="1:6" ht="16" customHeight="1" x14ac:dyDescent="0.2">
      <c r="A2122">
        <f>IFERROR(VLOOKUP(C2122,'GASB Match'!$D$2:$F$6042,3,FALSE),"")</f>
        <v>3406630</v>
      </c>
      <c r="B2122" s="17">
        <v>2016</v>
      </c>
      <c r="C2122" s="17" t="s">
        <v>590</v>
      </c>
      <c r="D2122" s="17">
        <v>781</v>
      </c>
      <c r="E2122" s="17" t="s">
        <v>1426</v>
      </c>
      <c r="F2122" s="19">
        <v>211184</v>
      </c>
    </row>
    <row r="2123" spans="1:6" ht="16" customHeight="1" x14ac:dyDescent="0.2">
      <c r="A2123">
        <f>IFERROR(VLOOKUP(C2123,'GASB Match'!$D$2:$F$6042,3,FALSE),"")</f>
        <v>3406630</v>
      </c>
      <c r="B2123" s="17">
        <v>2018</v>
      </c>
      <c r="C2123" s="17" t="s">
        <v>1283</v>
      </c>
      <c r="D2123" s="17">
        <v>781</v>
      </c>
      <c r="E2123" s="17" t="s">
        <v>1469</v>
      </c>
      <c r="F2123" s="20">
        <v>387825</v>
      </c>
    </row>
    <row r="2124" spans="1:6" ht="16" customHeight="1" x14ac:dyDescent="0.2">
      <c r="A2124">
        <f>IFERROR(VLOOKUP(C2124,'GASB Match'!$D$2:$F$6042,3,FALSE),"")</f>
        <v>3406630</v>
      </c>
      <c r="B2124" s="17">
        <v>2019</v>
      </c>
      <c r="C2124" s="17" t="s">
        <v>1283</v>
      </c>
      <c r="D2124" s="17">
        <v>781</v>
      </c>
      <c r="E2124" s="17" t="s">
        <v>1469</v>
      </c>
      <c r="F2124" s="20">
        <v>555536</v>
      </c>
    </row>
    <row r="2125" spans="1:6" ht="16" customHeight="1" x14ac:dyDescent="0.2">
      <c r="A2125">
        <f>IFERROR(VLOOKUP(C2125,'GASB Match'!$D$2:$F$6042,3,FALSE),"")</f>
        <v>3406630</v>
      </c>
      <c r="B2125" s="17">
        <v>2020</v>
      </c>
      <c r="C2125" s="21" t="s">
        <v>1283</v>
      </c>
      <c r="D2125" s="17">
        <v>781</v>
      </c>
      <c r="E2125" s="17" t="s">
        <v>1469</v>
      </c>
      <c r="F2125" s="23">
        <v>596846</v>
      </c>
    </row>
    <row r="2126" spans="1:6" ht="16" customHeight="1" x14ac:dyDescent="0.2">
      <c r="A2126">
        <f>IFERROR(VLOOKUP(C2126,'GASB Match'!$D$2:$F$6042,3,FALSE),"")</f>
        <v>3406630</v>
      </c>
      <c r="B2126" s="17">
        <v>2021</v>
      </c>
      <c r="C2126" s="25" t="s">
        <v>1283</v>
      </c>
      <c r="D2126" s="17">
        <v>781</v>
      </c>
      <c r="E2126" s="17" t="s">
        <v>1469</v>
      </c>
      <c r="F2126" s="23">
        <v>755224</v>
      </c>
    </row>
    <row r="2127" spans="1:6" ht="16" customHeight="1" x14ac:dyDescent="0.2">
      <c r="A2127">
        <f>IFERROR(VLOOKUP(C2127,'GASB Match'!$D$2:$F$6042,3,FALSE),"")</f>
        <v>3406630</v>
      </c>
      <c r="B2127" s="17">
        <v>2022</v>
      </c>
      <c r="C2127" s="21" t="s">
        <v>1283</v>
      </c>
      <c r="D2127" s="17">
        <v>781</v>
      </c>
      <c r="E2127" s="17" t="s">
        <v>1469</v>
      </c>
      <c r="F2127" s="23">
        <v>1054470</v>
      </c>
    </row>
    <row r="2128" spans="1:6" ht="16" customHeight="1" x14ac:dyDescent="0.2">
      <c r="A2128">
        <f>IFERROR(VLOOKUP(C2128,'GASB Match'!$D$2:$F$6042,3,FALSE),"")</f>
        <v>3406630</v>
      </c>
      <c r="B2128" s="17">
        <v>2023</v>
      </c>
      <c r="C2128" s="21" t="s">
        <v>1283</v>
      </c>
      <c r="D2128" s="17">
        <v>781</v>
      </c>
      <c r="E2128" s="17" t="s">
        <v>1469</v>
      </c>
      <c r="F2128" s="23">
        <v>998703</v>
      </c>
    </row>
    <row r="2129" spans="1:6" ht="16" customHeight="1" x14ac:dyDescent="0.2">
      <c r="A2129">
        <f>IFERROR(VLOOKUP(C2129,'GASB Match'!$D$2:$F$6042,3,FALSE),"")</f>
        <v>3406630</v>
      </c>
      <c r="B2129" s="28">
        <v>2017</v>
      </c>
      <c r="C2129" s="29" t="s">
        <v>590</v>
      </c>
      <c r="D2129" s="17">
        <v>781</v>
      </c>
      <c r="E2129" s="17" t="s">
        <v>1426</v>
      </c>
      <c r="F2129" s="29">
        <v>316740</v>
      </c>
    </row>
    <row r="2130" spans="1:6" ht="16" customHeight="1" x14ac:dyDescent="0.2">
      <c r="A2130">
        <f>IFERROR(VLOOKUP(C2130,'GASB Match'!$D$2:$F$6042,3,FALSE),"")</f>
        <v>3406660</v>
      </c>
      <c r="B2130" s="17">
        <v>2015</v>
      </c>
      <c r="C2130" s="17" t="s">
        <v>463</v>
      </c>
      <c r="D2130" s="17">
        <v>420</v>
      </c>
      <c r="E2130" s="17" t="s">
        <v>1421</v>
      </c>
      <c r="F2130" s="20">
        <v>638543</v>
      </c>
    </row>
    <row r="2131" spans="1:6" ht="16" customHeight="1" x14ac:dyDescent="0.2">
      <c r="A2131">
        <f>IFERROR(VLOOKUP(C2131,'GASB Match'!$D$2:$F$6042,3,FALSE),"")</f>
        <v>3406660</v>
      </c>
      <c r="B2131" s="17">
        <v>2016</v>
      </c>
      <c r="C2131" s="17" t="s">
        <v>463</v>
      </c>
      <c r="D2131" s="17">
        <v>420</v>
      </c>
      <c r="E2131" s="17" t="s">
        <v>1421</v>
      </c>
      <c r="F2131" s="20">
        <v>943858</v>
      </c>
    </row>
    <row r="2132" spans="1:6" ht="16" customHeight="1" x14ac:dyDescent="0.2">
      <c r="A2132">
        <f>IFERROR(VLOOKUP(C2132,'GASB Match'!$D$2:$F$6042,3,FALSE),"")</f>
        <v>3406660</v>
      </c>
      <c r="B2132" s="17">
        <v>2018</v>
      </c>
      <c r="C2132" s="17" t="s">
        <v>1155</v>
      </c>
      <c r="D2132" s="17">
        <v>420</v>
      </c>
      <c r="E2132" s="17" t="s">
        <v>1464</v>
      </c>
      <c r="F2132" s="20">
        <v>1778202</v>
      </c>
    </row>
    <row r="2133" spans="1:6" ht="16" customHeight="1" x14ac:dyDescent="0.2">
      <c r="A2133">
        <f>IFERROR(VLOOKUP(C2133,'GASB Match'!$D$2:$F$6042,3,FALSE),"")</f>
        <v>3406660</v>
      </c>
      <c r="B2133" s="17">
        <v>2019</v>
      </c>
      <c r="C2133" s="17" t="s">
        <v>1155</v>
      </c>
      <c r="D2133" s="17">
        <v>420</v>
      </c>
      <c r="E2133" s="17" t="s">
        <v>1464</v>
      </c>
      <c r="F2133" s="20">
        <v>2385406</v>
      </c>
    </row>
    <row r="2134" spans="1:6" ht="16" customHeight="1" x14ac:dyDescent="0.2">
      <c r="A2134">
        <f>IFERROR(VLOOKUP(C2134,'GASB Match'!$D$2:$F$6042,3,FALSE),"")</f>
        <v>3406660</v>
      </c>
      <c r="B2134" s="17">
        <v>2020</v>
      </c>
      <c r="C2134" s="21" t="s">
        <v>1155</v>
      </c>
      <c r="D2134" s="17">
        <v>420</v>
      </c>
      <c r="E2134" s="17" t="s">
        <v>1464</v>
      </c>
      <c r="F2134" s="23">
        <v>2694665</v>
      </c>
    </row>
    <row r="2135" spans="1:6" ht="16" customHeight="1" x14ac:dyDescent="0.2">
      <c r="A2135">
        <f>IFERROR(VLOOKUP(C2135,'GASB Match'!$D$2:$F$6042,3,FALSE),"")</f>
        <v>3406660</v>
      </c>
      <c r="B2135" s="17">
        <v>2021</v>
      </c>
      <c r="C2135" s="25" t="s">
        <v>1155</v>
      </c>
      <c r="D2135" s="17">
        <v>420</v>
      </c>
      <c r="E2135" s="17" t="s">
        <v>1464</v>
      </c>
      <c r="F2135" s="23">
        <v>3380081</v>
      </c>
    </row>
    <row r="2136" spans="1:6" ht="16" customHeight="1" x14ac:dyDescent="0.2">
      <c r="A2136">
        <f>IFERROR(VLOOKUP(C2136,'GASB Match'!$D$2:$F$6042,3,FALSE),"")</f>
        <v>3406660</v>
      </c>
      <c r="B2136" s="17">
        <v>2022</v>
      </c>
      <c r="C2136" s="21" t="s">
        <v>1155</v>
      </c>
      <c r="D2136" s="17">
        <v>420</v>
      </c>
      <c r="E2136" s="17" t="s">
        <v>1464</v>
      </c>
      <c r="F2136" s="23">
        <v>4846654</v>
      </c>
    </row>
    <row r="2137" spans="1:6" ht="16" customHeight="1" x14ac:dyDescent="0.2">
      <c r="A2137">
        <f>IFERROR(VLOOKUP(C2137,'GASB Match'!$D$2:$F$6042,3,FALSE),"")</f>
        <v>3406660</v>
      </c>
      <c r="B2137" s="17">
        <v>2023</v>
      </c>
      <c r="C2137" s="21" t="s">
        <v>1155</v>
      </c>
      <c r="D2137" s="17">
        <v>420</v>
      </c>
      <c r="E2137" s="17" t="s">
        <v>1464</v>
      </c>
      <c r="F2137" s="23">
        <v>4852712</v>
      </c>
    </row>
    <row r="2138" spans="1:6" ht="16" customHeight="1" x14ac:dyDescent="0.2">
      <c r="A2138">
        <f>IFERROR(VLOOKUP(C2138,'GASB Match'!$D$2:$F$6042,3,FALSE),"")</f>
        <v>3406660</v>
      </c>
      <c r="B2138" s="28">
        <v>2017</v>
      </c>
      <c r="C2138" s="29" t="s">
        <v>463</v>
      </c>
      <c r="D2138" s="17">
        <v>420</v>
      </c>
      <c r="E2138" s="17" t="s">
        <v>1421</v>
      </c>
      <c r="F2138" s="29">
        <v>1342103</v>
      </c>
    </row>
    <row r="2139" spans="1:6" ht="16" customHeight="1" x14ac:dyDescent="0.2">
      <c r="A2139">
        <f>IFERROR(VLOOKUP(C2139,'GASB Match'!$D$2:$F$6042,3,FALSE),"")</f>
        <v>3406690</v>
      </c>
      <c r="B2139" s="17">
        <v>2015</v>
      </c>
      <c r="C2139" s="17" t="s">
        <v>464</v>
      </c>
      <c r="D2139" s="17">
        <v>421</v>
      </c>
      <c r="E2139" s="17" t="s">
        <v>1421</v>
      </c>
      <c r="F2139" s="20">
        <v>564086</v>
      </c>
    </row>
    <row r="2140" spans="1:6" ht="16" customHeight="1" x14ac:dyDescent="0.2">
      <c r="A2140">
        <f>IFERROR(VLOOKUP(C2140,'GASB Match'!$D$2:$F$6042,3,FALSE),"")</f>
        <v>3406690</v>
      </c>
      <c r="B2140" s="17">
        <v>2016</v>
      </c>
      <c r="C2140" s="17" t="s">
        <v>464</v>
      </c>
      <c r="D2140" s="17">
        <v>421</v>
      </c>
      <c r="E2140" s="17" t="s">
        <v>1421</v>
      </c>
      <c r="F2140" s="20">
        <v>841191</v>
      </c>
    </row>
    <row r="2141" spans="1:6" ht="16" customHeight="1" x14ac:dyDescent="0.2">
      <c r="A2141">
        <f>IFERROR(VLOOKUP(C2141,'GASB Match'!$D$2:$F$6042,3,FALSE),"")</f>
        <v>3406690</v>
      </c>
      <c r="B2141" s="17">
        <v>2018</v>
      </c>
      <c r="C2141" s="17" t="s">
        <v>1156</v>
      </c>
      <c r="D2141" s="17">
        <v>421</v>
      </c>
      <c r="E2141" s="17" t="s">
        <v>1464</v>
      </c>
      <c r="F2141" s="20">
        <v>1648867</v>
      </c>
    </row>
    <row r="2142" spans="1:6" ht="16" customHeight="1" x14ac:dyDescent="0.2">
      <c r="A2142">
        <f>IFERROR(VLOOKUP(C2142,'GASB Match'!$D$2:$F$6042,3,FALSE),"")</f>
        <v>3406690</v>
      </c>
      <c r="B2142" s="17">
        <v>2019</v>
      </c>
      <c r="C2142" s="17" t="s">
        <v>1156</v>
      </c>
      <c r="D2142" s="17">
        <v>421</v>
      </c>
      <c r="E2142" s="17" t="s">
        <v>1464</v>
      </c>
      <c r="F2142" s="20">
        <v>2213908</v>
      </c>
    </row>
    <row r="2143" spans="1:6" ht="16" customHeight="1" x14ac:dyDescent="0.2">
      <c r="A2143">
        <f>IFERROR(VLOOKUP(C2143,'GASB Match'!$D$2:$F$6042,3,FALSE),"")</f>
        <v>3406690</v>
      </c>
      <c r="B2143" s="17">
        <v>2020</v>
      </c>
      <c r="C2143" s="21" t="s">
        <v>1156</v>
      </c>
      <c r="D2143" s="17">
        <v>421</v>
      </c>
      <c r="E2143" s="17" t="s">
        <v>1464</v>
      </c>
      <c r="F2143" s="23">
        <v>2465971</v>
      </c>
    </row>
    <row r="2144" spans="1:6" ht="16" customHeight="1" x14ac:dyDescent="0.2">
      <c r="A2144">
        <f>IFERROR(VLOOKUP(C2144,'GASB Match'!$D$2:$F$6042,3,FALSE),"")</f>
        <v>3406690</v>
      </c>
      <c r="B2144" s="17">
        <v>2021</v>
      </c>
      <c r="C2144" s="25" t="s">
        <v>1156</v>
      </c>
      <c r="D2144" s="17">
        <v>421</v>
      </c>
      <c r="E2144" s="17" t="s">
        <v>1464</v>
      </c>
      <c r="F2144" s="23">
        <v>3235936</v>
      </c>
    </row>
    <row r="2145" spans="1:6" ht="16" customHeight="1" x14ac:dyDescent="0.2">
      <c r="A2145">
        <f>IFERROR(VLOOKUP(C2145,'GASB Match'!$D$2:$F$6042,3,FALSE),"")</f>
        <v>3406690</v>
      </c>
      <c r="B2145" s="17">
        <v>2022</v>
      </c>
      <c r="C2145" s="21" t="s">
        <v>1156</v>
      </c>
      <c r="D2145" s="17">
        <v>421</v>
      </c>
      <c r="E2145" s="17" t="s">
        <v>1464</v>
      </c>
      <c r="F2145" s="23">
        <v>4572384</v>
      </c>
    </row>
    <row r="2146" spans="1:6" ht="16" customHeight="1" x14ac:dyDescent="0.2">
      <c r="A2146">
        <f>IFERROR(VLOOKUP(C2146,'GASB Match'!$D$2:$F$6042,3,FALSE),"")</f>
        <v>3406690</v>
      </c>
      <c r="B2146" s="17">
        <v>2023</v>
      </c>
      <c r="C2146" s="21" t="s">
        <v>1156</v>
      </c>
      <c r="D2146" s="17">
        <v>421</v>
      </c>
      <c r="E2146" s="17" t="s">
        <v>1464</v>
      </c>
      <c r="F2146" s="23">
        <v>4527139</v>
      </c>
    </row>
    <row r="2147" spans="1:6" ht="16" customHeight="1" x14ac:dyDescent="0.2">
      <c r="A2147">
        <f>IFERROR(VLOOKUP(C2147,'GASB Match'!$D$2:$F$6042,3,FALSE),"")</f>
        <v>3406690</v>
      </c>
      <c r="B2147" s="28">
        <v>2017</v>
      </c>
      <c r="C2147" s="29" t="s">
        <v>464</v>
      </c>
      <c r="D2147" s="17">
        <v>421</v>
      </c>
      <c r="E2147" s="17" t="s">
        <v>1421</v>
      </c>
      <c r="F2147" s="29">
        <v>1207774</v>
      </c>
    </row>
    <row r="2148" spans="1:6" ht="16" customHeight="1" x14ac:dyDescent="0.2">
      <c r="A2148">
        <f>IFERROR(VLOOKUP(C2148,'GASB Match'!$D$2:$F$6042,3,FALSE),"")</f>
        <v>3406720</v>
      </c>
      <c r="B2148" s="17">
        <v>2015</v>
      </c>
      <c r="C2148" s="17" t="s">
        <v>465</v>
      </c>
      <c r="D2148" s="17">
        <v>422</v>
      </c>
      <c r="E2148" s="17" t="s">
        <v>1421</v>
      </c>
      <c r="F2148" s="20">
        <v>140811</v>
      </c>
    </row>
    <row r="2149" spans="1:6" ht="16" customHeight="1" x14ac:dyDescent="0.2">
      <c r="A2149">
        <f>IFERROR(VLOOKUP(C2149,'GASB Match'!$D$2:$F$6042,3,FALSE),"")</f>
        <v>3406720</v>
      </c>
      <c r="B2149" s="17">
        <v>2016</v>
      </c>
      <c r="C2149" s="17" t="s">
        <v>465</v>
      </c>
      <c r="D2149" s="17">
        <v>422</v>
      </c>
      <c r="E2149" s="17" t="s">
        <v>1421</v>
      </c>
      <c r="F2149" s="20">
        <v>208495</v>
      </c>
    </row>
    <row r="2150" spans="1:6" ht="16" customHeight="1" x14ac:dyDescent="0.2">
      <c r="A2150">
        <f>IFERROR(VLOOKUP(C2150,'GASB Match'!$D$2:$F$6042,3,FALSE),"")</f>
        <v>3406720</v>
      </c>
      <c r="B2150" s="17">
        <v>2018</v>
      </c>
      <c r="C2150" s="17" t="s">
        <v>1157</v>
      </c>
      <c r="D2150" s="17">
        <v>422</v>
      </c>
      <c r="E2150" s="17" t="s">
        <v>1464</v>
      </c>
      <c r="F2150" s="20">
        <v>439922</v>
      </c>
    </row>
    <row r="2151" spans="1:6" ht="16" customHeight="1" x14ac:dyDescent="0.2">
      <c r="A2151">
        <f>IFERROR(VLOOKUP(C2151,'GASB Match'!$D$2:$F$6042,3,FALSE),"")</f>
        <v>3406720</v>
      </c>
      <c r="B2151" s="17">
        <v>2019</v>
      </c>
      <c r="C2151" s="17" t="s">
        <v>1157</v>
      </c>
      <c r="D2151" s="17">
        <v>422</v>
      </c>
      <c r="E2151" s="17" t="s">
        <v>1464</v>
      </c>
      <c r="F2151" s="20">
        <v>566598</v>
      </c>
    </row>
    <row r="2152" spans="1:6" ht="16" customHeight="1" x14ac:dyDescent="0.2">
      <c r="A2152">
        <f>IFERROR(VLOOKUP(C2152,'GASB Match'!$D$2:$F$6042,3,FALSE),"")</f>
        <v>3406720</v>
      </c>
      <c r="B2152" s="17">
        <v>2020</v>
      </c>
      <c r="C2152" s="21" t="s">
        <v>1157</v>
      </c>
      <c r="D2152" s="17">
        <v>422</v>
      </c>
      <c r="E2152" s="17" t="s">
        <v>1464</v>
      </c>
      <c r="F2152" s="23">
        <v>648613</v>
      </c>
    </row>
    <row r="2153" spans="1:6" ht="16" customHeight="1" x14ac:dyDescent="0.2">
      <c r="A2153">
        <f>IFERROR(VLOOKUP(C2153,'GASB Match'!$D$2:$F$6042,3,FALSE),"")</f>
        <v>3406720</v>
      </c>
      <c r="B2153" s="17">
        <v>2021</v>
      </c>
      <c r="C2153" s="25" t="s">
        <v>1157</v>
      </c>
      <c r="D2153" s="17">
        <v>422</v>
      </c>
      <c r="E2153" s="17" t="s">
        <v>1464</v>
      </c>
      <c r="F2153" s="23">
        <v>857219</v>
      </c>
    </row>
    <row r="2154" spans="1:6" ht="16" customHeight="1" x14ac:dyDescent="0.2">
      <c r="A2154">
        <f>IFERROR(VLOOKUP(C2154,'GASB Match'!$D$2:$F$6042,3,FALSE),"")</f>
        <v>3406720</v>
      </c>
      <c r="B2154" s="17">
        <v>2022</v>
      </c>
      <c r="C2154" s="21" t="s">
        <v>1157</v>
      </c>
      <c r="D2154" s="17">
        <v>422</v>
      </c>
      <c r="E2154" s="17" t="s">
        <v>1464</v>
      </c>
      <c r="F2154" s="23">
        <v>1171741</v>
      </c>
    </row>
    <row r="2155" spans="1:6" ht="16" customHeight="1" x14ac:dyDescent="0.2">
      <c r="A2155">
        <f>IFERROR(VLOOKUP(C2155,'GASB Match'!$D$2:$F$6042,3,FALSE),"")</f>
        <v>3406720</v>
      </c>
      <c r="B2155" s="17">
        <v>2023</v>
      </c>
      <c r="C2155" s="21" t="s">
        <v>1157</v>
      </c>
      <c r="D2155" s="17">
        <v>422</v>
      </c>
      <c r="E2155" s="17" t="s">
        <v>1464</v>
      </c>
      <c r="F2155" s="23">
        <v>1302710</v>
      </c>
    </row>
    <row r="2156" spans="1:6" ht="16" customHeight="1" x14ac:dyDescent="0.2">
      <c r="A2156">
        <f>IFERROR(VLOOKUP(C2156,'GASB Match'!$D$2:$F$6042,3,FALSE),"")</f>
        <v>3406720</v>
      </c>
      <c r="B2156" s="28">
        <v>2017</v>
      </c>
      <c r="C2156" s="29" t="s">
        <v>465</v>
      </c>
      <c r="D2156" s="17">
        <v>422</v>
      </c>
      <c r="E2156" s="17" t="s">
        <v>1421</v>
      </c>
      <c r="F2156" s="29">
        <v>310041</v>
      </c>
    </row>
    <row r="2157" spans="1:6" ht="16" customHeight="1" x14ac:dyDescent="0.2">
      <c r="A2157">
        <f>IFERROR(VLOOKUP(C2157,'GASB Match'!$D$2:$F$6042,3,FALSE),"")</f>
        <v>3406780</v>
      </c>
      <c r="B2157" s="17">
        <v>2015</v>
      </c>
      <c r="C2157" s="17" t="s">
        <v>591</v>
      </c>
      <c r="D2157" s="17">
        <v>782</v>
      </c>
      <c r="E2157" s="17" t="s">
        <v>1426</v>
      </c>
      <c r="F2157" s="20">
        <v>249385</v>
      </c>
    </row>
    <row r="2158" spans="1:6" ht="16" customHeight="1" x14ac:dyDescent="0.2">
      <c r="A2158">
        <f>IFERROR(VLOOKUP(C2158,'GASB Match'!$D$2:$F$6042,3,FALSE),"")</f>
        <v>3406780</v>
      </c>
      <c r="B2158" s="17">
        <v>2016</v>
      </c>
      <c r="C2158" s="17" t="s">
        <v>591</v>
      </c>
      <c r="D2158" s="17">
        <v>782</v>
      </c>
      <c r="E2158" s="17" t="s">
        <v>1426</v>
      </c>
      <c r="F2158" s="20">
        <v>371334</v>
      </c>
    </row>
    <row r="2159" spans="1:6" ht="16" customHeight="1" x14ac:dyDescent="0.2">
      <c r="A2159">
        <f>IFERROR(VLOOKUP(C2159,'GASB Match'!$D$2:$F$6042,3,FALSE),"")</f>
        <v>3406780</v>
      </c>
      <c r="B2159" s="17">
        <v>2018</v>
      </c>
      <c r="C2159" s="17" t="s">
        <v>1284</v>
      </c>
      <c r="D2159" s="17">
        <v>782</v>
      </c>
      <c r="E2159" s="17" t="s">
        <v>1469</v>
      </c>
      <c r="F2159" s="20">
        <v>715391</v>
      </c>
    </row>
    <row r="2160" spans="1:6" ht="16" customHeight="1" x14ac:dyDescent="0.2">
      <c r="A2160">
        <f>IFERROR(VLOOKUP(C2160,'GASB Match'!$D$2:$F$6042,3,FALSE),"")</f>
        <v>3406780</v>
      </c>
      <c r="B2160" s="17">
        <v>2019</v>
      </c>
      <c r="C2160" s="17" t="s">
        <v>1284</v>
      </c>
      <c r="D2160" s="17">
        <v>782</v>
      </c>
      <c r="E2160" s="17" t="s">
        <v>1469</v>
      </c>
      <c r="F2160" s="20">
        <v>896413</v>
      </c>
    </row>
    <row r="2161" spans="1:6" ht="16" customHeight="1" x14ac:dyDescent="0.2">
      <c r="A2161">
        <f>IFERROR(VLOOKUP(C2161,'GASB Match'!$D$2:$F$6042,3,FALSE),"")</f>
        <v>3406780</v>
      </c>
      <c r="B2161" s="17">
        <v>2020</v>
      </c>
      <c r="C2161" s="21" t="s">
        <v>1284</v>
      </c>
      <c r="D2161" s="17">
        <v>782</v>
      </c>
      <c r="E2161" s="17" t="s">
        <v>1469</v>
      </c>
      <c r="F2161" s="23">
        <v>1057571</v>
      </c>
    </row>
    <row r="2162" spans="1:6" ht="16" customHeight="1" x14ac:dyDescent="0.2">
      <c r="A2162">
        <f>IFERROR(VLOOKUP(C2162,'GASB Match'!$D$2:$F$6042,3,FALSE),"")</f>
        <v>3406780</v>
      </c>
      <c r="B2162" s="17">
        <v>2021</v>
      </c>
      <c r="C2162" s="25" t="s">
        <v>1284</v>
      </c>
      <c r="D2162" s="17">
        <v>782</v>
      </c>
      <c r="E2162" s="17" t="s">
        <v>1469</v>
      </c>
      <c r="F2162" s="23">
        <v>1289554</v>
      </c>
    </row>
    <row r="2163" spans="1:6" ht="16" customHeight="1" x14ac:dyDescent="0.2">
      <c r="A2163">
        <f>IFERROR(VLOOKUP(C2163,'GASB Match'!$D$2:$F$6042,3,FALSE),"")</f>
        <v>3406780</v>
      </c>
      <c r="B2163" s="17">
        <v>2022</v>
      </c>
      <c r="C2163" s="21" t="s">
        <v>1284</v>
      </c>
      <c r="D2163" s="17">
        <v>782</v>
      </c>
      <c r="E2163" s="17" t="s">
        <v>1469</v>
      </c>
      <c r="F2163" s="23">
        <v>1813964</v>
      </c>
    </row>
    <row r="2164" spans="1:6" ht="16" customHeight="1" x14ac:dyDescent="0.2">
      <c r="A2164">
        <f>IFERROR(VLOOKUP(C2164,'GASB Match'!$D$2:$F$6042,3,FALSE),"")</f>
        <v>3406780</v>
      </c>
      <c r="B2164" s="17">
        <v>2023</v>
      </c>
      <c r="C2164" s="21" t="s">
        <v>1284</v>
      </c>
      <c r="D2164" s="17">
        <v>782</v>
      </c>
      <c r="E2164" s="17" t="s">
        <v>1469</v>
      </c>
      <c r="F2164" s="23">
        <v>1782242</v>
      </c>
    </row>
    <row r="2165" spans="1:6" ht="16" customHeight="1" x14ac:dyDescent="0.2">
      <c r="A2165">
        <f>IFERROR(VLOOKUP(C2165,'GASB Match'!$D$2:$F$6042,3,FALSE),"")</f>
        <v>3406780</v>
      </c>
      <c r="B2165" s="28">
        <v>2017</v>
      </c>
      <c r="C2165" s="29" t="s">
        <v>591</v>
      </c>
      <c r="D2165" s="17">
        <v>782</v>
      </c>
      <c r="E2165" s="17" t="s">
        <v>1426</v>
      </c>
      <c r="F2165" s="29">
        <v>518803</v>
      </c>
    </row>
    <row r="2166" spans="1:6" ht="16" customHeight="1" x14ac:dyDescent="0.2">
      <c r="A2166">
        <f>IFERROR(VLOOKUP(C2166,'GASB Match'!$D$2:$F$6042,3,FALSE),"")</f>
        <v>3406810</v>
      </c>
      <c r="B2166" s="17">
        <v>2015</v>
      </c>
      <c r="C2166" s="17" t="s">
        <v>646</v>
      </c>
      <c r="D2166" s="17">
        <v>921</v>
      </c>
      <c r="E2166" s="17" t="s">
        <v>1429</v>
      </c>
      <c r="F2166" s="20">
        <v>101201</v>
      </c>
    </row>
    <row r="2167" spans="1:6" ht="16" customHeight="1" x14ac:dyDescent="0.2">
      <c r="A2167">
        <f>IFERROR(VLOOKUP(C2167,'GASB Match'!$D$2:$F$6042,3,FALSE),"")</f>
        <v>3406810</v>
      </c>
      <c r="B2167" s="17">
        <v>2016</v>
      </c>
      <c r="C2167" s="17" t="s">
        <v>646</v>
      </c>
      <c r="D2167" s="17">
        <v>921</v>
      </c>
      <c r="E2167" s="17" t="s">
        <v>1429</v>
      </c>
      <c r="F2167" s="20">
        <v>163497</v>
      </c>
    </row>
    <row r="2168" spans="1:6" ht="16" customHeight="1" x14ac:dyDescent="0.2">
      <c r="A2168">
        <f>IFERROR(VLOOKUP(C2168,'GASB Match'!$D$2:$F$6042,3,FALSE),"")</f>
        <v>3406810</v>
      </c>
      <c r="B2168" s="17">
        <v>2018</v>
      </c>
      <c r="C2168" s="17" t="s">
        <v>1339</v>
      </c>
      <c r="D2168" s="17">
        <v>921</v>
      </c>
      <c r="E2168" s="17" t="s">
        <v>1472</v>
      </c>
      <c r="F2168" s="20">
        <v>301420</v>
      </c>
    </row>
    <row r="2169" spans="1:6" ht="16" customHeight="1" x14ac:dyDescent="0.2">
      <c r="A2169">
        <f>IFERROR(VLOOKUP(C2169,'GASB Match'!$D$2:$F$6042,3,FALSE),"")</f>
        <v>3406810</v>
      </c>
      <c r="B2169" s="17">
        <v>2019</v>
      </c>
      <c r="C2169" s="17" t="s">
        <v>1339</v>
      </c>
      <c r="D2169" s="17">
        <v>921</v>
      </c>
      <c r="E2169" s="17" t="s">
        <v>1472</v>
      </c>
      <c r="F2169" s="20">
        <v>410482</v>
      </c>
    </row>
    <row r="2170" spans="1:6" ht="16" customHeight="1" x14ac:dyDescent="0.2">
      <c r="A2170">
        <f>IFERROR(VLOOKUP(C2170,'GASB Match'!$D$2:$F$6042,3,FALSE),"")</f>
        <v>3406810</v>
      </c>
      <c r="B2170" s="17">
        <v>2020</v>
      </c>
      <c r="C2170" s="21" t="s">
        <v>1339</v>
      </c>
      <c r="D2170" s="17">
        <v>921</v>
      </c>
      <c r="E2170" s="17" t="s">
        <v>1472</v>
      </c>
      <c r="F2170" s="23">
        <v>477032</v>
      </c>
    </row>
    <row r="2171" spans="1:6" ht="16" customHeight="1" x14ac:dyDescent="0.2">
      <c r="A2171">
        <f>IFERROR(VLOOKUP(C2171,'GASB Match'!$D$2:$F$6042,3,FALSE),"")</f>
        <v>3406810</v>
      </c>
      <c r="B2171" s="17">
        <v>2021</v>
      </c>
      <c r="C2171" s="25" t="s">
        <v>1339</v>
      </c>
      <c r="D2171" s="17">
        <v>921</v>
      </c>
      <c r="E2171" s="17" t="s">
        <v>1472</v>
      </c>
      <c r="F2171" s="23">
        <v>596270</v>
      </c>
    </row>
    <row r="2172" spans="1:6" ht="16" customHeight="1" x14ac:dyDescent="0.2">
      <c r="A2172">
        <f>IFERROR(VLOOKUP(C2172,'GASB Match'!$D$2:$F$6042,3,FALSE),"")</f>
        <v>3406810</v>
      </c>
      <c r="B2172" s="17">
        <v>2022</v>
      </c>
      <c r="C2172" s="21" t="s">
        <v>1339</v>
      </c>
      <c r="D2172" s="17">
        <v>921</v>
      </c>
      <c r="E2172" s="17" t="s">
        <v>1472</v>
      </c>
      <c r="F2172" s="23">
        <v>789894</v>
      </c>
    </row>
    <row r="2173" spans="1:6" ht="16" customHeight="1" x14ac:dyDescent="0.2">
      <c r="A2173">
        <f>IFERROR(VLOOKUP(C2173,'GASB Match'!$D$2:$F$6042,3,FALSE),"")</f>
        <v>3406810</v>
      </c>
      <c r="B2173" s="17">
        <v>2023</v>
      </c>
      <c r="C2173" s="21" t="s">
        <v>1339</v>
      </c>
      <c r="D2173" s="17">
        <v>921</v>
      </c>
      <c r="E2173" s="17" t="s">
        <v>1472</v>
      </c>
      <c r="F2173" s="23">
        <v>844147</v>
      </c>
    </row>
    <row r="2174" spans="1:6" ht="16" customHeight="1" x14ac:dyDescent="0.2">
      <c r="A2174">
        <f>IFERROR(VLOOKUP(C2174,'GASB Match'!$D$2:$F$6042,3,FALSE),"")</f>
        <v>3406810</v>
      </c>
      <c r="B2174" s="28">
        <v>2017</v>
      </c>
      <c r="C2174" s="29" t="s">
        <v>646</v>
      </c>
      <c r="D2174" s="17">
        <v>921</v>
      </c>
      <c r="E2174" s="17" t="s">
        <v>1429</v>
      </c>
      <c r="F2174" s="29">
        <v>236148</v>
      </c>
    </row>
    <row r="2175" spans="1:6" ht="16" customHeight="1" x14ac:dyDescent="0.2">
      <c r="A2175">
        <f>IFERROR(VLOOKUP(C2175,'GASB Match'!$D$2:$F$6042,3,FALSE),"")</f>
        <v>3406840</v>
      </c>
      <c r="B2175" s="17">
        <v>2015</v>
      </c>
      <c r="C2175" s="17" t="s">
        <v>55</v>
      </c>
      <c r="D2175" s="17">
        <v>2044</v>
      </c>
      <c r="E2175" s="17" t="s">
        <v>1402</v>
      </c>
      <c r="F2175" s="20">
        <v>251643</v>
      </c>
    </row>
    <row r="2176" spans="1:6" ht="16" customHeight="1" x14ac:dyDescent="0.2">
      <c r="A2176">
        <f>IFERROR(VLOOKUP(C2176,'GASB Match'!$D$2:$F$6042,3,FALSE),"")</f>
        <v>3406840</v>
      </c>
      <c r="B2176" s="17">
        <v>2016</v>
      </c>
      <c r="C2176" s="17" t="s">
        <v>55</v>
      </c>
      <c r="D2176" s="17">
        <v>2044</v>
      </c>
      <c r="E2176" s="17" t="s">
        <v>1402</v>
      </c>
      <c r="F2176" s="19">
        <v>395102</v>
      </c>
    </row>
    <row r="2177" spans="1:6" ht="16" customHeight="1" x14ac:dyDescent="0.2">
      <c r="A2177">
        <f>IFERROR(VLOOKUP(C2177,'GASB Match'!$D$2:$F$6042,3,FALSE),"")</f>
        <v>3406840</v>
      </c>
      <c r="B2177" s="17">
        <v>2018</v>
      </c>
      <c r="C2177" s="17" t="s">
        <v>733</v>
      </c>
      <c r="D2177" s="17">
        <v>2044</v>
      </c>
      <c r="E2177" s="17" t="s">
        <v>1443</v>
      </c>
      <c r="F2177" s="20">
        <v>682248</v>
      </c>
    </row>
    <row r="2178" spans="1:6" ht="16" customHeight="1" x14ac:dyDescent="0.2">
      <c r="A2178">
        <f>IFERROR(VLOOKUP(C2178,'GASB Match'!$D$2:$F$6042,3,FALSE),"")</f>
        <v>3406840</v>
      </c>
      <c r="B2178" s="17">
        <v>2019</v>
      </c>
      <c r="C2178" s="17" t="s">
        <v>733</v>
      </c>
      <c r="D2178" s="17">
        <v>2044</v>
      </c>
      <c r="E2178" s="17" t="s">
        <v>1443</v>
      </c>
      <c r="F2178" s="19">
        <v>953750</v>
      </c>
    </row>
    <row r="2179" spans="1:6" ht="16" customHeight="1" x14ac:dyDescent="0.2">
      <c r="A2179">
        <f>IFERROR(VLOOKUP(C2179,'GASB Match'!$D$2:$F$6042,3,FALSE),"")</f>
        <v>3406840</v>
      </c>
      <c r="B2179" s="17">
        <v>2020</v>
      </c>
      <c r="C2179" s="21" t="s">
        <v>733</v>
      </c>
      <c r="D2179" s="17">
        <v>2044</v>
      </c>
      <c r="E2179" s="17" t="s">
        <v>1443</v>
      </c>
      <c r="F2179" s="23">
        <v>1032340</v>
      </c>
    </row>
    <row r="2180" spans="1:6" ht="16" customHeight="1" x14ac:dyDescent="0.2">
      <c r="A2180">
        <f>IFERROR(VLOOKUP(C2180,'GASB Match'!$D$2:$F$6042,3,FALSE),"")</f>
        <v>3406840</v>
      </c>
      <c r="B2180" s="17">
        <v>2021</v>
      </c>
      <c r="C2180" s="25" t="s">
        <v>733</v>
      </c>
      <c r="D2180" s="17">
        <v>2044</v>
      </c>
      <c r="E2180" s="17" t="s">
        <v>1443</v>
      </c>
      <c r="F2180" s="23">
        <v>1342332</v>
      </c>
    </row>
    <row r="2181" spans="1:6" ht="16" customHeight="1" x14ac:dyDescent="0.2">
      <c r="A2181">
        <f>IFERROR(VLOOKUP(C2181,'GASB Match'!$D$2:$F$6042,3,FALSE),"")</f>
        <v>3406840</v>
      </c>
      <c r="B2181" s="17">
        <v>2022</v>
      </c>
      <c r="C2181" s="21" t="s">
        <v>733</v>
      </c>
      <c r="D2181" s="17">
        <v>2044</v>
      </c>
      <c r="E2181" s="17" t="s">
        <v>1443</v>
      </c>
      <c r="F2181" s="23">
        <v>2006268</v>
      </c>
    </row>
    <row r="2182" spans="1:6" ht="16" customHeight="1" x14ac:dyDescent="0.2">
      <c r="A2182">
        <f>IFERROR(VLOOKUP(C2182,'GASB Match'!$D$2:$F$6042,3,FALSE),"")</f>
        <v>3406840</v>
      </c>
      <c r="B2182" s="17">
        <v>2023</v>
      </c>
      <c r="C2182" s="21" t="s">
        <v>733</v>
      </c>
      <c r="D2182" s="17">
        <v>2044</v>
      </c>
      <c r="E2182" s="17" t="s">
        <v>1443</v>
      </c>
      <c r="F2182" s="23">
        <v>2096627</v>
      </c>
    </row>
    <row r="2183" spans="1:6" ht="16" customHeight="1" x14ac:dyDescent="0.2">
      <c r="A2183">
        <f>IFERROR(VLOOKUP(C2183,'GASB Match'!$D$2:$F$6042,3,FALSE),"")</f>
        <v>3406840</v>
      </c>
      <c r="B2183" s="28">
        <v>2017</v>
      </c>
      <c r="C2183" s="29" t="s">
        <v>55</v>
      </c>
      <c r="D2183" s="17">
        <v>2044</v>
      </c>
      <c r="E2183" s="17" t="s">
        <v>1402</v>
      </c>
      <c r="F2183" s="29">
        <v>514110</v>
      </c>
    </row>
    <row r="2184" spans="1:6" ht="16" customHeight="1" x14ac:dyDescent="0.2">
      <c r="A2184">
        <f>IFERROR(VLOOKUP(C2184,'GASB Match'!$D$2:$F$6042,3,FALSE),"")</f>
        <v>3406870</v>
      </c>
      <c r="B2184" s="17">
        <v>2015</v>
      </c>
      <c r="C2184" s="17" t="s">
        <v>307</v>
      </c>
      <c r="D2184" s="17">
        <v>8083</v>
      </c>
      <c r="E2184" s="17" t="s">
        <v>1413</v>
      </c>
      <c r="F2184" s="20">
        <v>880054</v>
      </c>
    </row>
    <row r="2185" spans="1:6" ht="16" customHeight="1" x14ac:dyDescent="0.2">
      <c r="A2185">
        <f>IFERROR(VLOOKUP(C2185,'GASB Match'!$D$2:$F$6042,3,FALSE),"")</f>
        <v>3406870</v>
      </c>
      <c r="B2185" s="17">
        <v>2016</v>
      </c>
      <c r="C2185" s="17" t="s">
        <v>307</v>
      </c>
      <c r="D2185" s="17">
        <v>8083</v>
      </c>
      <c r="E2185" s="17" t="s">
        <v>1413</v>
      </c>
      <c r="F2185" s="20">
        <v>1367441</v>
      </c>
    </row>
    <row r="2186" spans="1:6" ht="16" customHeight="1" x14ac:dyDescent="0.2">
      <c r="A2186">
        <f>IFERROR(VLOOKUP(C2186,'GASB Match'!$D$2:$F$6042,3,FALSE),"")</f>
        <v>3406870</v>
      </c>
      <c r="B2186" s="17">
        <v>2019</v>
      </c>
      <c r="C2186" s="17" t="s">
        <v>1366</v>
      </c>
      <c r="D2186" s="17">
        <v>8083</v>
      </c>
      <c r="E2186" s="17" t="s">
        <v>1456</v>
      </c>
      <c r="F2186" s="20">
        <v>3456038</v>
      </c>
    </row>
    <row r="2187" spans="1:6" ht="16" customHeight="1" x14ac:dyDescent="0.2">
      <c r="A2187">
        <f>IFERROR(VLOOKUP(C2187,'GASB Match'!$D$2:$F$6042,3,FALSE),"")</f>
        <v>3406870</v>
      </c>
      <c r="B2187" s="28">
        <v>2017</v>
      </c>
      <c r="C2187" s="29" t="s">
        <v>307</v>
      </c>
      <c r="D2187" s="17">
        <v>8083</v>
      </c>
      <c r="E2187" s="17" t="s">
        <v>1413</v>
      </c>
      <c r="F2187" s="29">
        <v>1846369</v>
      </c>
    </row>
    <row r="2188" spans="1:6" ht="16" customHeight="1" x14ac:dyDescent="0.2">
      <c r="A2188">
        <f>IFERROR(VLOOKUP(C2188,'GASB Match'!$D$2:$F$6042,3,FALSE),"")</f>
        <v>3406870</v>
      </c>
      <c r="B2188" s="17">
        <v>2018</v>
      </c>
      <c r="C2188" s="17" t="s">
        <v>999</v>
      </c>
      <c r="D2188" s="17">
        <v>8083</v>
      </c>
      <c r="E2188" s="17" t="s">
        <v>1456</v>
      </c>
      <c r="F2188" s="20">
        <v>2695119</v>
      </c>
    </row>
    <row r="2189" spans="1:6" ht="16" customHeight="1" x14ac:dyDescent="0.2">
      <c r="A2189">
        <f>IFERROR(VLOOKUP(C2189,'GASB Match'!$D$2:$F$6042,3,FALSE),"")</f>
        <v>3406870</v>
      </c>
      <c r="B2189" s="17">
        <v>2020</v>
      </c>
      <c r="C2189" s="21" t="s">
        <v>999</v>
      </c>
      <c r="D2189" s="17">
        <v>8083</v>
      </c>
      <c r="E2189" s="17" t="s">
        <v>1456</v>
      </c>
      <c r="F2189" s="23">
        <v>3791537</v>
      </c>
    </row>
    <row r="2190" spans="1:6" ht="16" customHeight="1" x14ac:dyDescent="0.2">
      <c r="A2190">
        <f>IFERROR(VLOOKUP(C2190,'GASB Match'!$D$2:$F$6042,3,FALSE),"")</f>
        <v>3406870</v>
      </c>
      <c r="B2190" s="17">
        <v>2021</v>
      </c>
      <c r="C2190" s="25" t="s">
        <v>999</v>
      </c>
      <c r="D2190" s="17">
        <v>8083</v>
      </c>
      <c r="E2190" s="17" t="s">
        <v>1456</v>
      </c>
      <c r="F2190" s="23">
        <v>4882087</v>
      </c>
    </row>
    <row r="2191" spans="1:6" ht="16" customHeight="1" x14ac:dyDescent="0.2">
      <c r="A2191">
        <f>IFERROR(VLOOKUP(C2191,'GASB Match'!$D$2:$F$6042,3,FALSE),"")</f>
        <v>3406870</v>
      </c>
      <c r="B2191" s="17">
        <v>2022</v>
      </c>
      <c r="C2191" s="21" t="s">
        <v>999</v>
      </c>
      <c r="D2191" s="17">
        <v>8083</v>
      </c>
      <c r="E2191" s="17" t="s">
        <v>1456</v>
      </c>
      <c r="F2191" s="23">
        <v>6916724</v>
      </c>
    </row>
    <row r="2192" spans="1:6" ht="16" customHeight="1" x14ac:dyDescent="0.2">
      <c r="A2192">
        <f>IFERROR(VLOOKUP(C2192,'GASB Match'!$D$2:$F$6042,3,FALSE),"")</f>
        <v>3406870</v>
      </c>
      <c r="B2192" s="17">
        <v>2023</v>
      </c>
      <c r="C2192" s="21" t="s">
        <v>999</v>
      </c>
      <c r="D2192" s="17">
        <v>8083</v>
      </c>
      <c r="E2192" s="17" t="s">
        <v>1456</v>
      </c>
      <c r="F2192" s="23">
        <v>6844008</v>
      </c>
    </row>
    <row r="2193" spans="1:6" ht="16" customHeight="1" x14ac:dyDescent="0.2">
      <c r="A2193">
        <f>IFERROR(VLOOKUP(C2193,'GASB Match'!$D$2:$F$6042,3,FALSE),"")</f>
        <v>3406900</v>
      </c>
      <c r="B2193" s="17">
        <v>2015</v>
      </c>
      <c r="C2193" s="17" t="s">
        <v>285</v>
      </c>
      <c r="D2193" s="17">
        <v>7018</v>
      </c>
      <c r="E2193" s="17" t="s">
        <v>1412</v>
      </c>
      <c r="F2193" s="20">
        <v>426532</v>
      </c>
    </row>
    <row r="2194" spans="1:6" ht="16" customHeight="1" x14ac:dyDescent="0.2">
      <c r="A2194">
        <f>IFERROR(VLOOKUP(C2194,'GASB Match'!$D$2:$F$6042,3,FALSE),"")</f>
        <v>3406900</v>
      </c>
      <c r="B2194" s="17">
        <v>2016</v>
      </c>
      <c r="C2194" s="17" t="s">
        <v>285</v>
      </c>
      <c r="D2194" s="17">
        <v>7018</v>
      </c>
      <c r="E2194" s="17" t="s">
        <v>1412</v>
      </c>
      <c r="F2194" s="20">
        <v>632262</v>
      </c>
    </row>
    <row r="2195" spans="1:6" ht="16" customHeight="1" x14ac:dyDescent="0.2">
      <c r="A2195">
        <f>IFERROR(VLOOKUP(C2195,'GASB Match'!$D$2:$F$6042,3,FALSE),"")</f>
        <v>3406900</v>
      </c>
      <c r="B2195" s="17">
        <v>2018</v>
      </c>
      <c r="C2195" s="17" t="s">
        <v>975</v>
      </c>
      <c r="D2195" s="17">
        <v>7018</v>
      </c>
      <c r="E2195" s="17" t="s">
        <v>1454</v>
      </c>
      <c r="F2195" s="20">
        <v>1229153</v>
      </c>
    </row>
    <row r="2196" spans="1:6" ht="16" customHeight="1" x14ac:dyDescent="0.2">
      <c r="A2196">
        <f>IFERROR(VLOOKUP(C2196,'GASB Match'!$D$2:$F$6042,3,FALSE),"")</f>
        <v>3406900</v>
      </c>
      <c r="B2196" s="17">
        <v>2019</v>
      </c>
      <c r="C2196" s="17" t="s">
        <v>975</v>
      </c>
      <c r="D2196" s="17">
        <v>7018</v>
      </c>
      <c r="E2196" s="17" t="s">
        <v>1454</v>
      </c>
      <c r="F2196" s="20">
        <v>1717097</v>
      </c>
    </row>
    <row r="2197" spans="1:6" ht="16" customHeight="1" x14ac:dyDescent="0.2">
      <c r="A2197">
        <f>IFERROR(VLOOKUP(C2197,'GASB Match'!$D$2:$F$6042,3,FALSE),"")</f>
        <v>3406900</v>
      </c>
      <c r="B2197" s="17">
        <v>2020</v>
      </c>
      <c r="C2197" s="21" t="s">
        <v>975</v>
      </c>
      <c r="D2197" s="17">
        <v>7018</v>
      </c>
      <c r="E2197" s="17" t="s">
        <v>1454</v>
      </c>
      <c r="F2197" s="23">
        <v>1916095</v>
      </c>
    </row>
    <row r="2198" spans="1:6" ht="16" customHeight="1" x14ac:dyDescent="0.2">
      <c r="A2198">
        <f>IFERROR(VLOOKUP(C2198,'GASB Match'!$D$2:$F$6042,3,FALSE),"")</f>
        <v>3406900</v>
      </c>
      <c r="B2198" s="17">
        <v>2021</v>
      </c>
      <c r="C2198" s="25" t="s">
        <v>975</v>
      </c>
      <c r="D2198" s="17">
        <v>7018</v>
      </c>
      <c r="E2198" s="17" t="s">
        <v>1454</v>
      </c>
      <c r="F2198" s="23">
        <v>2465321</v>
      </c>
    </row>
    <row r="2199" spans="1:6" ht="16" customHeight="1" x14ac:dyDescent="0.2">
      <c r="A2199">
        <f>IFERROR(VLOOKUP(C2199,'GASB Match'!$D$2:$F$6042,3,FALSE),"")</f>
        <v>3406900</v>
      </c>
      <c r="B2199" s="17">
        <v>2022</v>
      </c>
      <c r="C2199" s="21" t="s">
        <v>975</v>
      </c>
      <c r="D2199" s="17">
        <v>7018</v>
      </c>
      <c r="E2199" s="17" t="s">
        <v>1454</v>
      </c>
      <c r="F2199" s="23">
        <v>3411994</v>
      </c>
    </row>
    <row r="2200" spans="1:6" ht="16" customHeight="1" x14ac:dyDescent="0.2">
      <c r="A2200">
        <f>IFERROR(VLOOKUP(C2200,'GASB Match'!$D$2:$F$6042,3,FALSE),"")</f>
        <v>3406900</v>
      </c>
      <c r="B2200" s="17">
        <v>2023</v>
      </c>
      <c r="C2200" s="21" t="s">
        <v>975</v>
      </c>
      <c r="D2200" s="17">
        <v>7018</v>
      </c>
      <c r="E2200" s="17" t="s">
        <v>1454</v>
      </c>
      <c r="F2200" s="23">
        <v>3396951</v>
      </c>
    </row>
    <row r="2201" spans="1:6" ht="16" customHeight="1" x14ac:dyDescent="0.2">
      <c r="A2201">
        <f>IFERROR(VLOOKUP(C2201,'GASB Match'!$D$2:$F$6042,3,FALSE),"")</f>
        <v>3406900</v>
      </c>
      <c r="B2201" s="28">
        <v>2017</v>
      </c>
      <c r="C2201" s="29" t="s">
        <v>285</v>
      </c>
      <c r="D2201" s="17">
        <v>7018</v>
      </c>
      <c r="E2201" s="17" t="s">
        <v>1412</v>
      </c>
      <c r="F2201" s="29">
        <v>897751</v>
      </c>
    </row>
    <row r="2202" spans="1:6" ht="16" customHeight="1" x14ac:dyDescent="0.2">
      <c r="A2202">
        <f>IFERROR(VLOOKUP(C2202,'GASB Match'!$D$2:$F$6042,3,FALSE),"")</f>
        <v>3406930</v>
      </c>
      <c r="B2202" s="17">
        <v>2015</v>
      </c>
      <c r="C2202" s="17" t="s">
        <v>56</v>
      </c>
      <c r="D2202" s="17">
        <v>2045</v>
      </c>
      <c r="E2202" s="17" t="s">
        <v>1402</v>
      </c>
      <c r="F2202" s="20">
        <v>658943</v>
      </c>
    </row>
    <row r="2203" spans="1:6" ht="16" customHeight="1" x14ac:dyDescent="0.2">
      <c r="A2203">
        <f>IFERROR(VLOOKUP(C2203,'GASB Match'!$D$2:$F$6042,3,FALSE),"")</f>
        <v>3406930</v>
      </c>
      <c r="B2203" s="17">
        <v>2016</v>
      </c>
      <c r="C2203" s="17" t="s">
        <v>56</v>
      </c>
      <c r="D2203" s="17">
        <v>2045</v>
      </c>
      <c r="E2203" s="17" t="s">
        <v>1402</v>
      </c>
      <c r="F2203" s="20">
        <v>955620</v>
      </c>
    </row>
    <row r="2204" spans="1:6" ht="16" customHeight="1" x14ac:dyDescent="0.2">
      <c r="A2204">
        <f>IFERROR(VLOOKUP(C2204,'GASB Match'!$D$2:$F$6042,3,FALSE),"")</f>
        <v>3406930</v>
      </c>
      <c r="B2204" s="17">
        <v>2018</v>
      </c>
      <c r="C2204" s="17" t="s">
        <v>734</v>
      </c>
      <c r="D2204" s="17">
        <v>2045</v>
      </c>
      <c r="E2204" s="17" t="s">
        <v>1443</v>
      </c>
      <c r="F2204" s="20">
        <v>1932304</v>
      </c>
    </row>
    <row r="2205" spans="1:6" ht="16" customHeight="1" x14ac:dyDescent="0.2">
      <c r="A2205">
        <f>IFERROR(VLOOKUP(C2205,'GASB Match'!$D$2:$F$6042,3,FALSE),"")</f>
        <v>3406930</v>
      </c>
      <c r="B2205" s="17">
        <v>2019</v>
      </c>
      <c r="C2205" s="17" t="s">
        <v>734</v>
      </c>
      <c r="D2205" s="17">
        <v>2045</v>
      </c>
      <c r="E2205" s="17" t="s">
        <v>1443</v>
      </c>
      <c r="F2205" s="20">
        <v>2547492</v>
      </c>
    </row>
    <row r="2206" spans="1:6" ht="16" customHeight="1" x14ac:dyDescent="0.2">
      <c r="A2206">
        <f>IFERROR(VLOOKUP(C2206,'GASB Match'!$D$2:$F$6042,3,FALSE),"")</f>
        <v>3406930</v>
      </c>
      <c r="B2206" s="17">
        <v>2020</v>
      </c>
      <c r="C2206" s="21" t="s">
        <v>734</v>
      </c>
      <c r="D2206" s="17">
        <v>2045</v>
      </c>
      <c r="E2206" s="17" t="s">
        <v>1443</v>
      </c>
      <c r="F2206" s="23">
        <v>2858478</v>
      </c>
    </row>
    <row r="2207" spans="1:6" ht="16" customHeight="1" x14ac:dyDescent="0.2">
      <c r="A2207">
        <f>IFERROR(VLOOKUP(C2207,'GASB Match'!$D$2:$F$6042,3,FALSE),"")</f>
        <v>3406930</v>
      </c>
      <c r="B2207" s="17">
        <v>2021</v>
      </c>
      <c r="C2207" s="25" t="s">
        <v>734</v>
      </c>
      <c r="D2207" s="17">
        <v>2045</v>
      </c>
      <c r="E2207" s="17" t="s">
        <v>1443</v>
      </c>
      <c r="F2207" s="23">
        <v>3714981</v>
      </c>
    </row>
    <row r="2208" spans="1:6" ht="16" customHeight="1" x14ac:dyDescent="0.2">
      <c r="A2208">
        <f>IFERROR(VLOOKUP(C2208,'GASB Match'!$D$2:$F$6042,3,FALSE),"")</f>
        <v>3406930</v>
      </c>
      <c r="B2208" s="17">
        <v>2022</v>
      </c>
      <c r="C2208" s="21" t="s">
        <v>734</v>
      </c>
      <c r="D2208" s="17">
        <v>2045</v>
      </c>
      <c r="E2208" s="17" t="s">
        <v>1443</v>
      </c>
      <c r="F2208" s="22">
        <v>5392598</v>
      </c>
    </row>
    <row r="2209" spans="1:6" ht="16" customHeight="1" x14ac:dyDescent="0.2">
      <c r="A2209">
        <f>IFERROR(VLOOKUP(C2209,'GASB Match'!$D$2:$F$6042,3,FALSE),"")</f>
        <v>3406930</v>
      </c>
      <c r="B2209" s="17">
        <v>2023</v>
      </c>
      <c r="C2209" s="21" t="s">
        <v>734</v>
      </c>
      <c r="D2209" s="17">
        <v>2045</v>
      </c>
      <c r="E2209" s="17" t="s">
        <v>1443</v>
      </c>
      <c r="F2209" s="23">
        <v>5429526</v>
      </c>
    </row>
    <row r="2210" spans="1:6" ht="16" customHeight="1" x14ac:dyDescent="0.2">
      <c r="A2210">
        <f>IFERROR(VLOOKUP(C2210,'GASB Match'!$D$2:$F$6042,3,FALSE),"")</f>
        <v>3406930</v>
      </c>
      <c r="B2210" s="28">
        <v>2017</v>
      </c>
      <c r="C2210" s="29" t="s">
        <v>56</v>
      </c>
      <c r="D2210" s="17">
        <v>2045</v>
      </c>
      <c r="E2210" s="17" t="s">
        <v>1402</v>
      </c>
      <c r="F2210" s="29">
        <v>1432971</v>
      </c>
    </row>
    <row r="2211" spans="1:6" ht="16" customHeight="1" x14ac:dyDescent="0.2">
      <c r="A2211">
        <f>IFERROR(VLOOKUP(C2211,'GASB Match'!$D$2:$F$6042,3,FALSE),"")</f>
        <v>3400735</v>
      </c>
      <c r="B2211" s="17">
        <v>2015</v>
      </c>
      <c r="C2211" s="17" t="s">
        <v>379</v>
      </c>
      <c r="D2211" s="17">
        <v>256</v>
      </c>
      <c r="E2211" s="17" t="s">
        <v>1418</v>
      </c>
      <c r="F2211" s="20">
        <v>44698</v>
      </c>
    </row>
    <row r="2212" spans="1:6" ht="16" customHeight="1" x14ac:dyDescent="0.2">
      <c r="A2212">
        <f>IFERROR(VLOOKUP(C2212,'GASB Match'!$D$2:$F$6042,3,FALSE),"")</f>
        <v>3400735</v>
      </c>
      <c r="B2212" s="17">
        <v>2016</v>
      </c>
      <c r="C2212" s="17" t="s">
        <v>379</v>
      </c>
      <c r="D2212" s="17">
        <v>256</v>
      </c>
      <c r="E2212" s="17" t="s">
        <v>1418</v>
      </c>
      <c r="F2212" s="20">
        <v>89818</v>
      </c>
    </row>
    <row r="2213" spans="1:6" ht="16" customHeight="1" x14ac:dyDescent="0.2">
      <c r="A2213">
        <f>IFERROR(VLOOKUP(C2213,'GASB Match'!$D$2:$F$6042,3,FALSE),"")</f>
        <v>3400735</v>
      </c>
      <c r="B2213" s="28">
        <v>2017</v>
      </c>
      <c r="C2213" s="29" t="s">
        <v>379</v>
      </c>
      <c r="D2213" s="17">
        <v>256</v>
      </c>
      <c r="E2213" s="17" t="s">
        <v>1418</v>
      </c>
      <c r="F2213" s="29">
        <v>141480</v>
      </c>
    </row>
    <row r="2214" spans="1:6" ht="16" customHeight="1" x14ac:dyDescent="0.2">
      <c r="A2214">
        <f>IFERROR(VLOOKUP(C2214,'GASB Match'!$D$2:$F$6042,3,FALSE),"")</f>
        <v>3400735</v>
      </c>
      <c r="B2214" s="17">
        <v>2018</v>
      </c>
      <c r="C2214" s="17" t="s">
        <v>1072</v>
      </c>
      <c r="D2214" s="17">
        <v>256</v>
      </c>
      <c r="E2214" s="17" t="s">
        <v>1461</v>
      </c>
      <c r="F2214" s="20">
        <v>229156</v>
      </c>
    </row>
    <row r="2215" spans="1:6" ht="16" customHeight="1" x14ac:dyDescent="0.2">
      <c r="A2215">
        <f>IFERROR(VLOOKUP(C2215,'GASB Match'!$D$2:$F$6042,3,FALSE),"")</f>
        <v>3400735</v>
      </c>
      <c r="B2215" s="17">
        <v>2019</v>
      </c>
      <c r="C2215" s="17" t="s">
        <v>1072</v>
      </c>
      <c r="D2215" s="17">
        <v>256</v>
      </c>
      <c r="E2215" s="17" t="s">
        <v>1461</v>
      </c>
      <c r="F2215" s="20">
        <v>368458</v>
      </c>
    </row>
    <row r="2216" spans="1:6" ht="16" customHeight="1" x14ac:dyDescent="0.2">
      <c r="A2216">
        <f>IFERROR(VLOOKUP(C2216,'GASB Match'!$D$2:$F$6042,3,FALSE),"")</f>
        <v>3400735</v>
      </c>
      <c r="B2216" s="17">
        <v>2020</v>
      </c>
      <c r="C2216" s="21" t="s">
        <v>1072</v>
      </c>
      <c r="D2216" s="17">
        <v>256</v>
      </c>
      <c r="E2216" s="17" t="s">
        <v>1461</v>
      </c>
      <c r="F2216" s="23">
        <v>499805</v>
      </c>
    </row>
    <row r="2217" spans="1:6" ht="16" customHeight="1" x14ac:dyDescent="0.2">
      <c r="A2217">
        <f>IFERROR(VLOOKUP(C2217,'GASB Match'!$D$2:$F$6042,3,FALSE),"")</f>
        <v>3400735</v>
      </c>
      <c r="B2217" s="17">
        <v>2021</v>
      </c>
      <c r="C2217" s="25" t="s">
        <v>1072</v>
      </c>
      <c r="D2217" s="17">
        <v>256</v>
      </c>
      <c r="E2217" s="17" t="s">
        <v>1461</v>
      </c>
      <c r="F2217" s="23">
        <v>620780</v>
      </c>
    </row>
    <row r="2218" spans="1:6" ht="16" customHeight="1" x14ac:dyDescent="0.2">
      <c r="A2218">
        <f>IFERROR(VLOOKUP(C2218,'GASB Match'!$D$2:$F$6042,3,FALSE),"")</f>
        <v>3400735</v>
      </c>
      <c r="B2218" s="17">
        <v>2022</v>
      </c>
      <c r="C2218" s="21" t="s">
        <v>1072</v>
      </c>
      <c r="D2218" s="17">
        <v>256</v>
      </c>
      <c r="E2218" s="17" t="s">
        <v>1461</v>
      </c>
      <c r="F2218" s="23">
        <v>1025827</v>
      </c>
    </row>
    <row r="2219" spans="1:6" ht="16" customHeight="1" x14ac:dyDescent="0.2">
      <c r="A2219">
        <f>IFERROR(VLOOKUP(C2219,'GASB Match'!$D$2:$F$6042,3,FALSE),"")</f>
        <v>3400735</v>
      </c>
      <c r="B2219" s="17">
        <v>2023</v>
      </c>
      <c r="C2219" s="21" t="s">
        <v>1072</v>
      </c>
      <c r="D2219" s="17">
        <v>256</v>
      </c>
      <c r="E2219" s="17" t="s">
        <v>1461</v>
      </c>
      <c r="F2219" s="23">
        <v>1009719</v>
      </c>
    </row>
    <row r="2220" spans="1:6" ht="16" customHeight="1" x14ac:dyDescent="0.2">
      <c r="A2220">
        <f>IFERROR(VLOOKUP(C2220,'GASB Match'!$D$2:$F$6042,3,FALSE),"")</f>
        <v>3406960</v>
      </c>
      <c r="B2220" s="17">
        <v>2015</v>
      </c>
      <c r="C2220" s="17" t="s">
        <v>57</v>
      </c>
      <c r="D2220" s="17">
        <v>2046</v>
      </c>
      <c r="E2220" s="17" t="s">
        <v>1402</v>
      </c>
      <c r="F2220" s="20">
        <v>195215</v>
      </c>
    </row>
    <row r="2221" spans="1:6" ht="16" customHeight="1" x14ac:dyDescent="0.2">
      <c r="A2221">
        <f>IFERROR(VLOOKUP(C2221,'GASB Match'!$D$2:$F$6042,3,FALSE),"")</f>
        <v>3406960</v>
      </c>
      <c r="B2221" s="17">
        <v>2016</v>
      </c>
      <c r="C2221" s="17" t="s">
        <v>57</v>
      </c>
      <c r="D2221" s="17">
        <v>2046</v>
      </c>
      <c r="E2221" s="17" t="s">
        <v>1402</v>
      </c>
      <c r="F2221" s="20">
        <v>311027</v>
      </c>
    </row>
    <row r="2222" spans="1:6" ht="16" customHeight="1" x14ac:dyDescent="0.2">
      <c r="A2222">
        <f>IFERROR(VLOOKUP(C2222,'GASB Match'!$D$2:$F$6042,3,FALSE),"")</f>
        <v>3406960</v>
      </c>
      <c r="B2222" s="17">
        <v>2018</v>
      </c>
      <c r="C2222" s="17" t="s">
        <v>735</v>
      </c>
      <c r="D2222" s="17">
        <v>2046</v>
      </c>
      <c r="E2222" s="17" t="s">
        <v>1443</v>
      </c>
      <c r="F2222" s="20">
        <v>566023</v>
      </c>
    </row>
    <row r="2223" spans="1:6" ht="16" customHeight="1" x14ac:dyDescent="0.2">
      <c r="A2223">
        <f>IFERROR(VLOOKUP(C2223,'GASB Match'!$D$2:$F$6042,3,FALSE),"")</f>
        <v>3406960</v>
      </c>
      <c r="B2223" s="17">
        <v>2019</v>
      </c>
      <c r="C2223" s="17" t="s">
        <v>735</v>
      </c>
      <c r="D2223" s="17">
        <v>2046</v>
      </c>
      <c r="E2223" s="17" t="s">
        <v>1443</v>
      </c>
      <c r="F2223" s="20">
        <v>700961</v>
      </c>
    </row>
    <row r="2224" spans="1:6" ht="16" customHeight="1" x14ac:dyDescent="0.2">
      <c r="A2224">
        <f>IFERROR(VLOOKUP(C2224,'GASB Match'!$D$2:$F$6042,3,FALSE),"")</f>
        <v>3406960</v>
      </c>
      <c r="B2224" s="17">
        <v>2020</v>
      </c>
      <c r="C2224" s="21" t="s">
        <v>735</v>
      </c>
      <c r="D2224" s="17">
        <v>2046</v>
      </c>
      <c r="E2224" s="17" t="s">
        <v>1443</v>
      </c>
      <c r="F2224" s="23">
        <v>908836</v>
      </c>
    </row>
    <row r="2225" spans="1:6" ht="16" customHeight="1" x14ac:dyDescent="0.2">
      <c r="A2225">
        <f>IFERROR(VLOOKUP(C2225,'GASB Match'!$D$2:$F$6042,3,FALSE),"")</f>
        <v>3406960</v>
      </c>
      <c r="B2225" s="17">
        <v>2021</v>
      </c>
      <c r="C2225" s="25" t="s">
        <v>735</v>
      </c>
      <c r="D2225" s="17">
        <v>2046</v>
      </c>
      <c r="E2225" s="17" t="s">
        <v>1443</v>
      </c>
      <c r="F2225" s="23">
        <v>1111162</v>
      </c>
    </row>
    <row r="2226" spans="1:6" ht="16" customHeight="1" x14ac:dyDescent="0.2">
      <c r="A2226">
        <f>IFERROR(VLOOKUP(C2226,'GASB Match'!$D$2:$F$6042,3,FALSE),"")</f>
        <v>3406960</v>
      </c>
      <c r="B2226" s="17">
        <v>2022</v>
      </c>
      <c r="C2226" s="21" t="s">
        <v>735</v>
      </c>
      <c r="D2226" s="17">
        <v>2046</v>
      </c>
      <c r="E2226" s="17" t="s">
        <v>1443</v>
      </c>
      <c r="F2226" s="23">
        <v>1551006</v>
      </c>
    </row>
    <row r="2227" spans="1:6" ht="16" customHeight="1" x14ac:dyDescent="0.2">
      <c r="A2227">
        <f>IFERROR(VLOOKUP(C2227,'GASB Match'!$D$2:$F$6042,3,FALSE),"")</f>
        <v>3406960</v>
      </c>
      <c r="B2227" s="17">
        <v>2023</v>
      </c>
      <c r="C2227" s="21" t="s">
        <v>735</v>
      </c>
      <c r="D2227" s="17">
        <v>2046</v>
      </c>
      <c r="E2227" s="17" t="s">
        <v>1443</v>
      </c>
      <c r="F2227" s="23">
        <v>1486889</v>
      </c>
    </row>
    <row r="2228" spans="1:6" ht="16" customHeight="1" x14ac:dyDescent="0.2">
      <c r="A2228">
        <f>IFERROR(VLOOKUP(C2228,'GASB Match'!$D$2:$F$6042,3,FALSE),"")</f>
        <v>3406960</v>
      </c>
      <c r="B2228" s="28">
        <v>2017</v>
      </c>
      <c r="C2228" s="29" t="s">
        <v>57</v>
      </c>
      <c r="D2228" s="17">
        <v>2046</v>
      </c>
      <c r="E2228" s="17" t="s">
        <v>1402</v>
      </c>
      <c r="F2228" s="29">
        <v>449803</v>
      </c>
    </row>
    <row r="2229" spans="1:6" ht="16" customHeight="1" x14ac:dyDescent="0.2">
      <c r="A2229">
        <f>IFERROR(VLOOKUP(C2229,'GASB Match'!$D$2:$F$6042,3,FALSE),"")</f>
        <v>3406990</v>
      </c>
      <c r="B2229" s="17">
        <v>2015</v>
      </c>
      <c r="C2229" s="17" t="s">
        <v>528</v>
      </c>
      <c r="D2229" s="17">
        <v>633</v>
      </c>
      <c r="E2229" s="17" t="s">
        <v>1423</v>
      </c>
      <c r="F2229" s="20">
        <v>809037</v>
      </c>
    </row>
    <row r="2230" spans="1:6" ht="16" customHeight="1" x14ac:dyDescent="0.2">
      <c r="A2230">
        <f>IFERROR(VLOOKUP(C2230,'GASB Match'!$D$2:$F$6042,3,FALSE),"")</f>
        <v>3406990</v>
      </c>
      <c r="B2230" s="17">
        <v>2016</v>
      </c>
      <c r="C2230" s="17" t="s">
        <v>528</v>
      </c>
      <c r="D2230" s="17">
        <v>633</v>
      </c>
      <c r="E2230" s="17" t="s">
        <v>1423</v>
      </c>
      <c r="F2230" s="20">
        <v>1138213</v>
      </c>
    </row>
    <row r="2231" spans="1:6" ht="16" customHeight="1" x14ac:dyDescent="0.2">
      <c r="A2231">
        <f>IFERROR(VLOOKUP(C2231,'GASB Match'!$D$2:$F$6042,3,FALSE),"")</f>
        <v>3406990</v>
      </c>
      <c r="B2231" s="17">
        <v>2018</v>
      </c>
      <c r="C2231" s="17" t="s">
        <v>1220</v>
      </c>
      <c r="D2231" s="17">
        <v>633</v>
      </c>
      <c r="E2231" s="17" t="s">
        <v>1466</v>
      </c>
      <c r="F2231" s="20">
        <v>2331305</v>
      </c>
    </row>
    <row r="2232" spans="1:6" ht="16" customHeight="1" x14ac:dyDescent="0.2">
      <c r="A2232">
        <f>IFERROR(VLOOKUP(C2232,'GASB Match'!$D$2:$F$6042,3,FALSE),"")</f>
        <v>3406990</v>
      </c>
      <c r="B2232" s="17">
        <v>2019</v>
      </c>
      <c r="C2232" s="17" t="s">
        <v>1220</v>
      </c>
      <c r="D2232" s="17">
        <v>633</v>
      </c>
      <c r="E2232" s="17" t="s">
        <v>1466</v>
      </c>
      <c r="F2232" s="20">
        <v>3075286</v>
      </c>
    </row>
    <row r="2233" spans="1:6" ht="16" customHeight="1" x14ac:dyDescent="0.2">
      <c r="A2233">
        <f>IFERROR(VLOOKUP(C2233,'GASB Match'!$D$2:$F$6042,3,FALSE),"")</f>
        <v>3406990</v>
      </c>
      <c r="B2233" s="17">
        <v>2020</v>
      </c>
      <c r="C2233" s="21" t="s">
        <v>1220</v>
      </c>
      <c r="D2233" s="17">
        <v>633</v>
      </c>
      <c r="E2233" s="17" t="s">
        <v>1466</v>
      </c>
      <c r="F2233" s="23">
        <v>3566938</v>
      </c>
    </row>
    <row r="2234" spans="1:6" ht="16" customHeight="1" x14ac:dyDescent="0.2">
      <c r="A2234">
        <f>IFERROR(VLOOKUP(C2234,'GASB Match'!$D$2:$F$6042,3,FALSE),"")</f>
        <v>3406990</v>
      </c>
      <c r="B2234" s="17">
        <v>2021</v>
      </c>
      <c r="C2234" s="25" t="s">
        <v>1220</v>
      </c>
      <c r="D2234" s="17">
        <v>633</v>
      </c>
      <c r="E2234" s="17" t="s">
        <v>1466</v>
      </c>
      <c r="F2234" s="23">
        <v>4701457</v>
      </c>
    </row>
    <row r="2235" spans="1:6" ht="16" customHeight="1" x14ac:dyDescent="0.2">
      <c r="A2235">
        <f>IFERROR(VLOOKUP(C2235,'GASB Match'!$D$2:$F$6042,3,FALSE),"")</f>
        <v>3406990</v>
      </c>
      <c r="B2235" s="17">
        <v>2022</v>
      </c>
      <c r="C2235" s="21" t="s">
        <v>1220</v>
      </c>
      <c r="D2235" s="17">
        <v>633</v>
      </c>
      <c r="E2235" s="17" t="s">
        <v>1466</v>
      </c>
      <c r="F2235" s="23">
        <v>6743387</v>
      </c>
    </row>
    <row r="2236" spans="1:6" ht="16" customHeight="1" x14ac:dyDescent="0.2">
      <c r="A2236">
        <f>IFERROR(VLOOKUP(C2236,'GASB Match'!$D$2:$F$6042,3,FALSE),"")</f>
        <v>3406990</v>
      </c>
      <c r="B2236" s="17">
        <v>2023</v>
      </c>
      <c r="C2236" s="21" t="s">
        <v>1220</v>
      </c>
      <c r="D2236" s="17">
        <v>633</v>
      </c>
      <c r="E2236" s="17" t="s">
        <v>1466</v>
      </c>
      <c r="F2236" s="23">
        <v>6573931</v>
      </c>
    </row>
    <row r="2237" spans="1:6" ht="16" customHeight="1" x14ac:dyDescent="0.2">
      <c r="A2237">
        <f>IFERROR(VLOOKUP(C2237,'GASB Match'!$D$2:$F$6042,3,FALSE),"")</f>
        <v>3406990</v>
      </c>
      <c r="B2237" s="28">
        <v>2017</v>
      </c>
      <c r="C2237" s="29" t="s">
        <v>528</v>
      </c>
      <c r="D2237" s="17">
        <v>633</v>
      </c>
      <c r="E2237" s="17" t="s">
        <v>1423</v>
      </c>
      <c r="F2237" s="29">
        <v>1711378</v>
      </c>
    </row>
    <row r="2238" spans="1:6" ht="16" customHeight="1" x14ac:dyDescent="0.2">
      <c r="A2238">
        <f>IFERROR(VLOOKUP(C2238,'GASB Match'!$D$2:$F$6042,3,FALSE),"")</f>
        <v>3413680</v>
      </c>
      <c r="B2238" s="17">
        <v>2015</v>
      </c>
      <c r="C2238" s="17" t="s">
        <v>415</v>
      </c>
      <c r="D2238" s="17">
        <v>352</v>
      </c>
      <c r="E2238" s="17" t="s">
        <v>1420</v>
      </c>
      <c r="F2238" s="20">
        <v>1229467</v>
      </c>
    </row>
    <row r="2239" spans="1:6" ht="16" customHeight="1" x14ac:dyDescent="0.2">
      <c r="A2239">
        <f>IFERROR(VLOOKUP(C2239,'GASB Match'!$D$2:$F$6042,3,FALSE),"")</f>
        <v>3413680</v>
      </c>
      <c r="B2239" s="17">
        <v>2016</v>
      </c>
      <c r="C2239" s="17" t="s">
        <v>415</v>
      </c>
      <c r="D2239" s="17">
        <v>352</v>
      </c>
      <c r="E2239" s="17" t="s">
        <v>1420</v>
      </c>
      <c r="F2239" s="20">
        <v>1803982</v>
      </c>
    </row>
    <row r="2240" spans="1:6" ht="16" customHeight="1" x14ac:dyDescent="0.2">
      <c r="A2240">
        <f>IFERROR(VLOOKUP(C2240,'GASB Match'!$D$2:$F$6042,3,FALSE),"")</f>
        <v>3413680</v>
      </c>
      <c r="B2240" s="17">
        <v>2018</v>
      </c>
      <c r="C2240" s="17" t="s">
        <v>1107</v>
      </c>
      <c r="D2240" s="17">
        <v>352</v>
      </c>
      <c r="E2240" s="17" t="s">
        <v>1463</v>
      </c>
      <c r="F2240" s="20">
        <v>3328414</v>
      </c>
    </row>
    <row r="2241" spans="1:6" ht="16" customHeight="1" x14ac:dyDescent="0.2">
      <c r="A2241">
        <f>IFERROR(VLOOKUP(C2241,'GASB Match'!$D$2:$F$6042,3,FALSE),"")</f>
        <v>3413680</v>
      </c>
      <c r="B2241" s="17">
        <v>2019</v>
      </c>
      <c r="C2241" s="17" t="s">
        <v>1107</v>
      </c>
      <c r="D2241" s="17">
        <v>352</v>
      </c>
      <c r="E2241" s="17" t="s">
        <v>1463</v>
      </c>
      <c r="F2241" s="19">
        <v>4361919</v>
      </c>
    </row>
    <row r="2242" spans="1:6" ht="16" customHeight="1" x14ac:dyDescent="0.2">
      <c r="A2242">
        <f>IFERROR(VLOOKUP(C2242,'GASB Match'!$D$2:$F$6042,3,FALSE),"")</f>
        <v>3413680</v>
      </c>
      <c r="B2242" s="17">
        <v>2020</v>
      </c>
      <c r="C2242" s="21" t="s">
        <v>1107</v>
      </c>
      <c r="D2242" s="17">
        <v>352</v>
      </c>
      <c r="E2242" s="17" t="s">
        <v>1463</v>
      </c>
      <c r="F2242" s="23">
        <v>4931090</v>
      </c>
    </row>
    <row r="2243" spans="1:6" ht="16" customHeight="1" x14ac:dyDescent="0.2">
      <c r="A2243">
        <f>IFERROR(VLOOKUP(C2243,'GASB Match'!$D$2:$F$6042,3,FALSE),"")</f>
        <v>3413680</v>
      </c>
      <c r="B2243" s="17">
        <v>2021</v>
      </c>
      <c r="C2243" s="25" t="s">
        <v>1107</v>
      </c>
      <c r="D2243" s="17">
        <v>352</v>
      </c>
      <c r="E2243" s="17" t="s">
        <v>1463</v>
      </c>
      <c r="F2243" s="23">
        <v>6300564</v>
      </c>
    </row>
    <row r="2244" spans="1:6" ht="16" customHeight="1" x14ac:dyDescent="0.2">
      <c r="A2244">
        <f>IFERROR(VLOOKUP(C2244,'GASB Match'!$D$2:$F$6042,3,FALSE),"")</f>
        <v>3413680</v>
      </c>
      <c r="B2244" s="17">
        <v>2022</v>
      </c>
      <c r="C2244" s="21" t="s">
        <v>1107</v>
      </c>
      <c r="D2244" s="17">
        <v>352</v>
      </c>
      <c r="E2244" s="17" t="s">
        <v>1463</v>
      </c>
      <c r="F2244" s="23">
        <v>8633510</v>
      </c>
    </row>
    <row r="2245" spans="1:6" ht="16" customHeight="1" x14ac:dyDescent="0.2">
      <c r="A2245">
        <f>IFERROR(VLOOKUP(C2245,'GASB Match'!$D$2:$F$6042,3,FALSE),"")</f>
        <v>3413680</v>
      </c>
      <c r="B2245" s="17">
        <v>2023</v>
      </c>
      <c r="C2245" s="21" t="s">
        <v>1107</v>
      </c>
      <c r="D2245" s="17">
        <v>352</v>
      </c>
      <c r="E2245" s="17" t="s">
        <v>1463</v>
      </c>
      <c r="F2245" s="23">
        <v>8357798</v>
      </c>
    </row>
    <row r="2246" spans="1:6" ht="16" customHeight="1" x14ac:dyDescent="0.2">
      <c r="A2246">
        <f>IFERROR(VLOOKUP(C2246,'GASB Match'!$D$2:$F$6042,3,FALSE),"")</f>
        <v>3413680</v>
      </c>
      <c r="B2246" s="28">
        <v>2017</v>
      </c>
      <c r="C2246" s="29" t="s">
        <v>415</v>
      </c>
      <c r="D2246" s="17">
        <v>352</v>
      </c>
      <c r="E2246" s="17" t="s">
        <v>1420</v>
      </c>
      <c r="F2246" s="29">
        <v>2539998</v>
      </c>
    </row>
    <row r="2247" spans="1:6" ht="16" customHeight="1" x14ac:dyDescent="0.2">
      <c r="A2247">
        <f>IFERROR(VLOOKUP(C2247,'GASB Match'!$D$2:$F$6042,3,FALSE),"")</f>
        <v>3407050</v>
      </c>
      <c r="B2247" s="17">
        <v>2015</v>
      </c>
      <c r="C2247" s="17" t="s">
        <v>416</v>
      </c>
      <c r="D2247" s="17">
        <v>374</v>
      </c>
      <c r="E2247" s="17" t="s">
        <v>1420</v>
      </c>
      <c r="F2247" s="20">
        <v>175160</v>
      </c>
    </row>
    <row r="2248" spans="1:6" ht="16" customHeight="1" x14ac:dyDescent="0.2">
      <c r="A2248">
        <f>IFERROR(VLOOKUP(C2248,'GASB Match'!$D$2:$F$6042,3,FALSE),"")</f>
        <v>3407050</v>
      </c>
      <c r="B2248" s="17">
        <v>2016</v>
      </c>
      <c r="C2248" s="17" t="s">
        <v>416</v>
      </c>
      <c r="D2248" s="17">
        <v>374</v>
      </c>
      <c r="E2248" s="17" t="s">
        <v>1420</v>
      </c>
      <c r="F2248" s="20">
        <v>243565</v>
      </c>
    </row>
    <row r="2249" spans="1:6" ht="16" customHeight="1" x14ac:dyDescent="0.2">
      <c r="A2249">
        <f>IFERROR(VLOOKUP(C2249,'GASB Match'!$D$2:$F$6042,3,FALSE),"")</f>
        <v>3407050</v>
      </c>
      <c r="B2249" s="17">
        <v>2018</v>
      </c>
      <c r="C2249" s="17" t="s">
        <v>1108</v>
      </c>
      <c r="D2249" s="17">
        <v>374</v>
      </c>
      <c r="E2249" s="17" t="s">
        <v>1463</v>
      </c>
      <c r="F2249" s="20">
        <v>412837</v>
      </c>
    </row>
    <row r="2250" spans="1:6" ht="16" customHeight="1" x14ac:dyDescent="0.2">
      <c r="A2250">
        <f>IFERROR(VLOOKUP(C2250,'GASB Match'!$D$2:$F$6042,3,FALSE),"")</f>
        <v>3407050</v>
      </c>
      <c r="B2250" s="17">
        <v>2019</v>
      </c>
      <c r="C2250" s="17" t="s">
        <v>1108</v>
      </c>
      <c r="D2250" s="17">
        <v>374</v>
      </c>
      <c r="E2250" s="17" t="s">
        <v>1463</v>
      </c>
      <c r="F2250" s="20">
        <v>597624</v>
      </c>
    </row>
    <row r="2251" spans="1:6" ht="16" customHeight="1" x14ac:dyDescent="0.2">
      <c r="A2251">
        <f>IFERROR(VLOOKUP(C2251,'GASB Match'!$D$2:$F$6042,3,FALSE),"")</f>
        <v>3407050</v>
      </c>
      <c r="B2251" s="17">
        <v>2020</v>
      </c>
      <c r="C2251" s="21" t="s">
        <v>1108</v>
      </c>
      <c r="D2251" s="17">
        <v>374</v>
      </c>
      <c r="E2251" s="17" t="s">
        <v>1463</v>
      </c>
      <c r="F2251" s="22">
        <v>687063</v>
      </c>
    </row>
    <row r="2252" spans="1:6" ht="16" customHeight="1" x14ac:dyDescent="0.2">
      <c r="A2252">
        <f>IFERROR(VLOOKUP(C2252,'GASB Match'!$D$2:$F$6042,3,FALSE),"")</f>
        <v>3407050</v>
      </c>
      <c r="B2252" s="17">
        <v>2021</v>
      </c>
      <c r="C2252" s="25" t="s">
        <v>1108</v>
      </c>
      <c r="D2252" s="17">
        <v>374</v>
      </c>
      <c r="E2252" s="17" t="s">
        <v>1463</v>
      </c>
      <c r="F2252" s="23">
        <v>917048</v>
      </c>
    </row>
    <row r="2253" spans="1:6" ht="16" customHeight="1" x14ac:dyDescent="0.2">
      <c r="A2253">
        <f>IFERROR(VLOOKUP(C2253,'GASB Match'!$D$2:$F$6042,3,FALSE),"")</f>
        <v>3407050</v>
      </c>
      <c r="B2253" s="17">
        <v>2022</v>
      </c>
      <c r="C2253" s="21" t="s">
        <v>1108</v>
      </c>
      <c r="D2253" s="17">
        <v>374</v>
      </c>
      <c r="E2253" s="17" t="s">
        <v>1463</v>
      </c>
      <c r="F2253" s="23">
        <v>1306848</v>
      </c>
    </row>
    <row r="2254" spans="1:6" ht="16" customHeight="1" x14ac:dyDescent="0.2">
      <c r="A2254">
        <f>IFERROR(VLOOKUP(C2254,'GASB Match'!$D$2:$F$6042,3,FALSE),"")</f>
        <v>3407050</v>
      </c>
      <c r="B2254" s="17">
        <v>2023</v>
      </c>
      <c r="C2254" s="21" t="s">
        <v>1108</v>
      </c>
      <c r="D2254" s="17">
        <v>374</v>
      </c>
      <c r="E2254" s="17" t="s">
        <v>1463</v>
      </c>
      <c r="F2254" s="23">
        <v>1260318</v>
      </c>
    </row>
    <row r="2255" spans="1:6" ht="16" customHeight="1" x14ac:dyDescent="0.2">
      <c r="A2255">
        <f>IFERROR(VLOOKUP(C2255,'GASB Match'!$D$2:$F$6042,3,FALSE),"")</f>
        <v>3407050</v>
      </c>
      <c r="B2255" s="28">
        <v>2017</v>
      </c>
      <c r="C2255" s="29" t="s">
        <v>416</v>
      </c>
      <c r="D2255" s="17">
        <v>374</v>
      </c>
      <c r="E2255" s="17" t="s">
        <v>1420</v>
      </c>
      <c r="F2255" s="29">
        <v>339836</v>
      </c>
    </row>
    <row r="2256" spans="1:6" ht="16" customHeight="1" x14ac:dyDescent="0.2">
      <c r="A2256">
        <f>IFERROR(VLOOKUP(C2256,'GASB Match'!$D$2:$F$6042,3,FALSE),"")</f>
        <v>3407110</v>
      </c>
      <c r="B2256" s="17">
        <v>2015</v>
      </c>
      <c r="C2256" s="17" t="s">
        <v>338</v>
      </c>
      <c r="D2256" s="17">
        <v>9024</v>
      </c>
      <c r="E2256" s="17" t="s">
        <v>1415</v>
      </c>
      <c r="F2256" s="20">
        <v>186133</v>
      </c>
    </row>
    <row r="2257" spans="1:6" ht="16" customHeight="1" x14ac:dyDescent="0.2">
      <c r="A2257">
        <f>IFERROR(VLOOKUP(C2257,'GASB Match'!$D$2:$F$6042,3,FALSE),"")</f>
        <v>3407110</v>
      </c>
      <c r="B2257" s="17">
        <v>2016</v>
      </c>
      <c r="C2257" s="17" t="s">
        <v>338</v>
      </c>
      <c r="D2257" s="17">
        <v>9024</v>
      </c>
      <c r="E2257" s="17" t="s">
        <v>1415</v>
      </c>
      <c r="F2257" s="20">
        <v>285557</v>
      </c>
    </row>
    <row r="2258" spans="1:6" ht="16" customHeight="1" x14ac:dyDescent="0.2">
      <c r="A2258">
        <f>IFERROR(VLOOKUP(C2258,'GASB Match'!$D$2:$F$6042,3,FALSE),"")</f>
        <v>3407110</v>
      </c>
      <c r="B2258" s="17">
        <v>2018</v>
      </c>
      <c r="C2258" s="17" t="s">
        <v>1031</v>
      </c>
      <c r="D2258" s="17">
        <v>9024</v>
      </c>
      <c r="E2258" s="17" t="s">
        <v>1458</v>
      </c>
      <c r="F2258" s="20">
        <v>505984</v>
      </c>
    </row>
    <row r="2259" spans="1:6" ht="16" customHeight="1" x14ac:dyDescent="0.2">
      <c r="A2259">
        <f>IFERROR(VLOOKUP(C2259,'GASB Match'!$D$2:$F$6042,3,FALSE),"")</f>
        <v>3407110</v>
      </c>
      <c r="B2259" s="17">
        <v>2019</v>
      </c>
      <c r="C2259" s="17" t="s">
        <v>1031</v>
      </c>
      <c r="D2259" s="17">
        <v>9024</v>
      </c>
      <c r="E2259" s="17" t="s">
        <v>1458</v>
      </c>
      <c r="F2259" s="20">
        <v>713700</v>
      </c>
    </row>
    <row r="2260" spans="1:6" ht="16" customHeight="1" x14ac:dyDescent="0.2">
      <c r="A2260">
        <f>IFERROR(VLOOKUP(C2260,'GASB Match'!$D$2:$F$6042,3,FALSE),"")</f>
        <v>3407110</v>
      </c>
      <c r="B2260" s="17">
        <v>2020</v>
      </c>
      <c r="C2260" s="21" t="s">
        <v>1031</v>
      </c>
      <c r="D2260" s="17">
        <v>9024</v>
      </c>
      <c r="E2260" s="17" t="s">
        <v>1458</v>
      </c>
      <c r="F2260" s="23">
        <v>795067</v>
      </c>
    </row>
    <row r="2261" spans="1:6" ht="16" customHeight="1" x14ac:dyDescent="0.2">
      <c r="A2261">
        <f>IFERROR(VLOOKUP(C2261,'GASB Match'!$D$2:$F$6042,3,FALSE),"")</f>
        <v>3407110</v>
      </c>
      <c r="B2261" s="17">
        <v>2021</v>
      </c>
      <c r="C2261" s="25" t="s">
        <v>1031</v>
      </c>
      <c r="D2261" s="17">
        <v>9024</v>
      </c>
      <c r="E2261" s="17" t="s">
        <v>1458</v>
      </c>
      <c r="F2261" s="23">
        <v>1017539</v>
      </c>
    </row>
    <row r="2262" spans="1:6" ht="16" customHeight="1" x14ac:dyDescent="0.2">
      <c r="A2262">
        <f>IFERROR(VLOOKUP(C2262,'GASB Match'!$D$2:$F$6042,3,FALSE),"")</f>
        <v>3407110</v>
      </c>
      <c r="B2262" s="17">
        <v>2022</v>
      </c>
      <c r="C2262" s="21" t="s">
        <v>1031</v>
      </c>
      <c r="D2262" s="17">
        <v>9024</v>
      </c>
      <c r="E2262" s="17" t="s">
        <v>1458</v>
      </c>
      <c r="F2262" s="23">
        <v>1418340</v>
      </c>
    </row>
    <row r="2263" spans="1:6" ht="16" customHeight="1" x14ac:dyDescent="0.2">
      <c r="A2263">
        <f>IFERROR(VLOOKUP(C2263,'GASB Match'!$D$2:$F$6042,3,FALSE),"")</f>
        <v>3407110</v>
      </c>
      <c r="B2263" s="17">
        <v>2023</v>
      </c>
      <c r="C2263" s="21" t="s">
        <v>1031</v>
      </c>
      <c r="D2263" s="17">
        <v>9024</v>
      </c>
      <c r="E2263" s="17" t="s">
        <v>1458</v>
      </c>
      <c r="F2263" s="23">
        <v>1456348</v>
      </c>
    </row>
    <row r="2264" spans="1:6" ht="16" customHeight="1" x14ac:dyDescent="0.2">
      <c r="A2264">
        <f>IFERROR(VLOOKUP(C2264,'GASB Match'!$D$2:$F$6042,3,FALSE),"")</f>
        <v>3407110</v>
      </c>
      <c r="B2264" s="28">
        <v>2017</v>
      </c>
      <c r="C2264" s="29" t="s">
        <v>338</v>
      </c>
      <c r="D2264" s="17">
        <v>9024</v>
      </c>
      <c r="E2264" s="17" t="s">
        <v>1415</v>
      </c>
      <c r="F2264" s="29">
        <v>397446</v>
      </c>
    </row>
    <row r="2265" spans="1:6" ht="16" customHeight="1" x14ac:dyDescent="0.2">
      <c r="A2265">
        <f>IFERROR(VLOOKUP(C2265,'GASB Match'!$D$2:$F$6042,3,FALSE),"")</f>
        <v>3407140</v>
      </c>
      <c r="B2265" s="17">
        <v>2015</v>
      </c>
      <c r="C2265" s="17" t="s">
        <v>592</v>
      </c>
      <c r="D2265" s="17">
        <v>780</v>
      </c>
      <c r="E2265" s="17" t="s">
        <v>1426</v>
      </c>
      <c r="F2265" s="20">
        <v>492727</v>
      </c>
    </row>
    <row r="2266" spans="1:6" ht="16" customHeight="1" x14ac:dyDescent="0.2">
      <c r="A2266">
        <f>IFERROR(VLOOKUP(C2266,'GASB Match'!$D$2:$F$6042,3,FALSE),"")</f>
        <v>3407140</v>
      </c>
      <c r="B2266" s="17">
        <v>2016</v>
      </c>
      <c r="C2266" s="17" t="s">
        <v>592</v>
      </c>
      <c r="D2266" s="17">
        <v>780</v>
      </c>
      <c r="E2266" s="17" t="s">
        <v>1426</v>
      </c>
      <c r="F2266" s="20">
        <v>746351</v>
      </c>
    </row>
    <row r="2267" spans="1:6" ht="16" customHeight="1" x14ac:dyDescent="0.2">
      <c r="A2267">
        <f>IFERROR(VLOOKUP(C2267,'GASB Match'!$D$2:$F$6042,3,FALSE),"")</f>
        <v>3407140</v>
      </c>
      <c r="B2267" s="17">
        <v>2018</v>
      </c>
      <c r="C2267" s="17" t="s">
        <v>1285</v>
      </c>
      <c r="D2267" s="17">
        <v>780</v>
      </c>
      <c r="E2267" s="17" t="s">
        <v>1469</v>
      </c>
      <c r="F2267" s="20">
        <v>1475927</v>
      </c>
    </row>
    <row r="2268" spans="1:6" ht="16" customHeight="1" x14ac:dyDescent="0.2">
      <c r="A2268">
        <f>IFERROR(VLOOKUP(C2268,'GASB Match'!$D$2:$F$6042,3,FALSE),"")</f>
        <v>3407140</v>
      </c>
      <c r="B2268" s="17">
        <v>2019</v>
      </c>
      <c r="C2268" s="17" t="s">
        <v>1285</v>
      </c>
      <c r="D2268" s="17">
        <v>780</v>
      </c>
      <c r="E2268" s="17" t="s">
        <v>1469</v>
      </c>
      <c r="F2268" s="20">
        <v>1904916</v>
      </c>
    </row>
    <row r="2269" spans="1:6" ht="16" customHeight="1" x14ac:dyDescent="0.2">
      <c r="A2269">
        <f>IFERROR(VLOOKUP(C2269,'GASB Match'!$D$2:$F$6042,3,FALSE),"")</f>
        <v>3407140</v>
      </c>
      <c r="B2269" s="17">
        <v>2020</v>
      </c>
      <c r="C2269" s="21" t="s">
        <v>1285</v>
      </c>
      <c r="D2269" s="17">
        <v>780</v>
      </c>
      <c r="E2269" s="17" t="s">
        <v>1469</v>
      </c>
      <c r="F2269" s="23">
        <v>2000600</v>
      </c>
    </row>
    <row r="2270" spans="1:6" ht="16" customHeight="1" x14ac:dyDescent="0.2">
      <c r="A2270">
        <f>IFERROR(VLOOKUP(C2270,'GASB Match'!$D$2:$F$6042,3,FALSE),"")</f>
        <v>3407140</v>
      </c>
      <c r="B2270" s="17">
        <v>2021</v>
      </c>
      <c r="C2270" s="25" t="s">
        <v>1285</v>
      </c>
      <c r="D2270" s="17">
        <v>780</v>
      </c>
      <c r="E2270" s="17" t="s">
        <v>1469</v>
      </c>
      <c r="F2270" s="23">
        <v>2589015</v>
      </c>
    </row>
    <row r="2271" spans="1:6" ht="16" customHeight="1" x14ac:dyDescent="0.2">
      <c r="A2271">
        <f>IFERROR(VLOOKUP(C2271,'GASB Match'!$D$2:$F$6042,3,FALSE),"")</f>
        <v>3407140</v>
      </c>
      <c r="B2271" s="17">
        <v>2022</v>
      </c>
      <c r="C2271" s="21" t="s">
        <v>1285</v>
      </c>
      <c r="D2271" s="17">
        <v>780</v>
      </c>
      <c r="E2271" s="17" t="s">
        <v>1469</v>
      </c>
      <c r="F2271" s="23">
        <v>3484124</v>
      </c>
    </row>
    <row r="2272" spans="1:6" ht="16" customHeight="1" x14ac:dyDescent="0.2">
      <c r="A2272">
        <f>IFERROR(VLOOKUP(C2272,'GASB Match'!$D$2:$F$6042,3,FALSE),"")</f>
        <v>3407140</v>
      </c>
      <c r="B2272" s="17">
        <v>2023</v>
      </c>
      <c r="C2272" s="21" t="s">
        <v>1285</v>
      </c>
      <c r="D2272" s="17">
        <v>780</v>
      </c>
      <c r="E2272" s="17" t="s">
        <v>1469</v>
      </c>
      <c r="F2272" s="23">
        <v>3336064</v>
      </c>
    </row>
    <row r="2273" spans="1:6" ht="16" customHeight="1" x14ac:dyDescent="0.2">
      <c r="A2273">
        <f>IFERROR(VLOOKUP(C2273,'GASB Match'!$D$2:$F$6042,3,FALSE),"")</f>
        <v>3407140</v>
      </c>
      <c r="B2273" s="28">
        <v>2017</v>
      </c>
      <c r="C2273" s="29" t="s">
        <v>592</v>
      </c>
      <c r="D2273" s="17">
        <v>780</v>
      </c>
      <c r="E2273" s="17" t="s">
        <v>1426</v>
      </c>
      <c r="F2273" s="29">
        <v>1105410</v>
      </c>
    </row>
    <row r="2274" spans="1:6" ht="16" customHeight="1" x14ac:dyDescent="0.2">
      <c r="A2274">
        <f>IFERROR(VLOOKUP(C2274,'GASB Match'!$D$2:$F$6042,3,FALSE),"")</f>
        <v>3407170</v>
      </c>
      <c r="B2274" s="17">
        <v>2015</v>
      </c>
      <c r="C2274" s="17" t="s">
        <v>380</v>
      </c>
      <c r="D2274" s="17">
        <v>236</v>
      </c>
      <c r="E2274" s="17" t="s">
        <v>1418</v>
      </c>
      <c r="F2274" s="20">
        <v>615723</v>
      </c>
    </row>
    <row r="2275" spans="1:6" ht="16" customHeight="1" x14ac:dyDescent="0.2">
      <c r="A2275">
        <f>IFERROR(VLOOKUP(C2275,'GASB Match'!$D$2:$F$6042,3,FALSE),"")</f>
        <v>3407170</v>
      </c>
      <c r="B2275" s="17">
        <v>2016</v>
      </c>
      <c r="C2275" s="17" t="s">
        <v>380</v>
      </c>
      <c r="D2275" s="17">
        <v>236</v>
      </c>
      <c r="E2275" s="17" t="s">
        <v>1418</v>
      </c>
      <c r="F2275" s="20">
        <v>878009</v>
      </c>
    </row>
    <row r="2276" spans="1:6" ht="16" customHeight="1" x14ac:dyDescent="0.2">
      <c r="A2276">
        <f>IFERROR(VLOOKUP(C2276,'GASB Match'!$D$2:$F$6042,3,FALSE),"")</f>
        <v>3407170</v>
      </c>
      <c r="B2276" s="17">
        <v>2018</v>
      </c>
      <c r="C2276" s="17" t="s">
        <v>1073</v>
      </c>
      <c r="D2276" s="17">
        <v>236</v>
      </c>
      <c r="E2276" s="17" t="s">
        <v>1461</v>
      </c>
      <c r="F2276" s="20">
        <v>1798136</v>
      </c>
    </row>
    <row r="2277" spans="1:6" ht="16" customHeight="1" x14ac:dyDescent="0.2">
      <c r="A2277">
        <f>IFERROR(VLOOKUP(C2277,'GASB Match'!$D$2:$F$6042,3,FALSE),"")</f>
        <v>3407170</v>
      </c>
      <c r="B2277" s="17">
        <v>2019</v>
      </c>
      <c r="C2277" s="17" t="s">
        <v>1073</v>
      </c>
      <c r="D2277" s="17">
        <v>236</v>
      </c>
      <c r="E2277" s="17" t="s">
        <v>1461</v>
      </c>
      <c r="F2277" s="20">
        <v>2404837</v>
      </c>
    </row>
    <row r="2278" spans="1:6" ht="16" customHeight="1" x14ac:dyDescent="0.2">
      <c r="A2278">
        <f>IFERROR(VLOOKUP(C2278,'GASB Match'!$D$2:$F$6042,3,FALSE),"")</f>
        <v>3407170</v>
      </c>
      <c r="B2278" s="17">
        <v>2020</v>
      </c>
      <c r="C2278" s="21" t="s">
        <v>1073</v>
      </c>
      <c r="D2278" s="17">
        <v>236</v>
      </c>
      <c r="E2278" s="17" t="s">
        <v>1461</v>
      </c>
      <c r="F2278" s="23">
        <v>2830667</v>
      </c>
    </row>
    <row r="2279" spans="1:6" ht="16" customHeight="1" x14ac:dyDescent="0.2">
      <c r="A2279">
        <f>IFERROR(VLOOKUP(C2279,'GASB Match'!$D$2:$F$6042,3,FALSE),"")</f>
        <v>3407170</v>
      </c>
      <c r="B2279" s="17">
        <v>2021</v>
      </c>
      <c r="C2279" s="25" t="s">
        <v>1073</v>
      </c>
      <c r="D2279" s="17">
        <v>236</v>
      </c>
      <c r="E2279" s="17" t="s">
        <v>1461</v>
      </c>
      <c r="F2279" s="23">
        <v>3534766</v>
      </c>
    </row>
    <row r="2280" spans="1:6" ht="16" customHeight="1" x14ac:dyDescent="0.2">
      <c r="A2280">
        <f>IFERROR(VLOOKUP(C2280,'GASB Match'!$D$2:$F$6042,3,FALSE),"")</f>
        <v>3407170</v>
      </c>
      <c r="B2280" s="17">
        <v>2022</v>
      </c>
      <c r="C2280" s="21" t="s">
        <v>1073</v>
      </c>
      <c r="D2280" s="17">
        <v>236</v>
      </c>
      <c r="E2280" s="17" t="s">
        <v>1461</v>
      </c>
      <c r="F2280" s="23">
        <v>4803277</v>
      </c>
    </row>
    <row r="2281" spans="1:6" ht="16" customHeight="1" x14ac:dyDescent="0.2">
      <c r="A2281">
        <f>IFERROR(VLOOKUP(C2281,'GASB Match'!$D$2:$F$6042,3,FALSE),"")</f>
        <v>3407170</v>
      </c>
      <c r="B2281" s="17">
        <v>2023</v>
      </c>
      <c r="C2281" s="21" t="s">
        <v>1073</v>
      </c>
      <c r="D2281" s="17">
        <v>236</v>
      </c>
      <c r="E2281" s="17" t="s">
        <v>1461</v>
      </c>
      <c r="F2281" s="23">
        <v>4969443</v>
      </c>
    </row>
    <row r="2282" spans="1:6" ht="16" customHeight="1" x14ac:dyDescent="0.2">
      <c r="A2282">
        <f>IFERROR(VLOOKUP(C2282,'GASB Match'!$D$2:$F$6042,3,FALSE),"")</f>
        <v>3407170</v>
      </c>
      <c r="B2282" s="28">
        <v>2017</v>
      </c>
      <c r="C2282" s="29" t="s">
        <v>380</v>
      </c>
      <c r="D2282" s="17">
        <v>236</v>
      </c>
      <c r="E2282" s="17" t="s">
        <v>1418</v>
      </c>
      <c r="F2282" s="29">
        <v>1274219</v>
      </c>
    </row>
    <row r="2283" spans="1:6" ht="16" customHeight="1" x14ac:dyDescent="0.2">
      <c r="A2283">
        <f>IFERROR(VLOOKUP(C2283,'GASB Match'!$D$2:$F$6042,3,FALSE),"")</f>
        <v>3407200</v>
      </c>
      <c r="B2283" s="17">
        <v>2015</v>
      </c>
      <c r="C2283" s="17" t="s">
        <v>417</v>
      </c>
      <c r="D2283" s="17">
        <v>333</v>
      </c>
      <c r="E2283" s="17" t="s">
        <v>1420</v>
      </c>
      <c r="F2283" s="20">
        <v>85187</v>
      </c>
    </row>
    <row r="2284" spans="1:6" ht="16" customHeight="1" x14ac:dyDescent="0.2">
      <c r="A2284">
        <f>IFERROR(VLOOKUP(C2284,'GASB Match'!$D$2:$F$6042,3,FALSE),"")</f>
        <v>3407200</v>
      </c>
      <c r="B2284" s="17">
        <v>2016</v>
      </c>
      <c r="C2284" s="17" t="s">
        <v>417</v>
      </c>
      <c r="D2284" s="17">
        <v>333</v>
      </c>
      <c r="E2284" s="17" t="s">
        <v>1420</v>
      </c>
      <c r="F2284" s="20">
        <v>123595</v>
      </c>
    </row>
    <row r="2285" spans="1:6" ht="16" customHeight="1" x14ac:dyDescent="0.2">
      <c r="A2285">
        <f>IFERROR(VLOOKUP(C2285,'GASB Match'!$D$2:$F$6042,3,FALSE),"")</f>
        <v>3407200</v>
      </c>
      <c r="B2285" s="17">
        <v>2018</v>
      </c>
      <c r="C2285" s="17" t="s">
        <v>1109</v>
      </c>
      <c r="D2285" s="17">
        <v>333</v>
      </c>
      <c r="E2285" s="17" t="s">
        <v>1463</v>
      </c>
      <c r="F2285" s="20">
        <v>242222</v>
      </c>
    </row>
    <row r="2286" spans="1:6" ht="16" customHeight="1" x14ac:dyDescent="0.2">
      <c r="A2286">
        <f>IFERROR(VLOOKUP(C2286,'GASB Match'!$D$2:$F$6042,3,FALSE),"")</f>
        <v>3407200</v>
      </c>
      <c r="B2286" s="17">
        <v>2019</v>
      </c>
      <c r="C2286" s="17" t="s">
        <v>1109</v>
      </c>
      <c r="D2286" s="17">
        <v>333</v>
      </c>
      <c r="E2286" s="17" t="s">
        <v>1463</v>
      </c>
      <c r="F2286" s="20">
        <v>314138</v>
      </c>
    </row>
    <row r="2287" spans="1:6" ht="16" customHeight="1" x14ac:dyDescent="0.2">
      <c r="A2287">
        <f>IFERROR(VLOOKUP(C2287,'GASB Match'!$D$2:$F$6042,3,FALSE),"")</f>
        <v>3407200</v>
      </c>
      <c r="B2287" s="17">
        <v>2020</v>
      </c>
      <c r="C2287" s="21" t="s">
        <v>1109</v>
      </c>
      <c r="D2287" s="17">
        <v>333</v>
      </c>
      <c r="E2287" s="17" t="s">
        <v>1463</v>
      </c>
      <c r="F2287" s="23">
        <v>413565</v>
      </c>
    </row>
    <row r="2288" spans="1:6" ht="16" customHeight="1" x14ac:dyDescent="0.2">
      <c r="A2288">
        <f>IFERROR(VLOOKUP(C2288,'GASB Match'!$D$2:$F$6042,3,FALSE),"")</f>
        <v>3407200</v>
      </c>
      <c r="B2288" s="17">
        <v>2021</v>
      </c>
      <c r="C2288" s="25" t="s">
        <v>1109</v>
      </c>
      <c r="D2288" s="17">
        <v>333</v>
      </c>
      <c r="E2288" s="17" t="s">
        <v>1463</v>
      </c>
      <c r="F2288" s="23">
        <v>510021</v>
      </c>
    </row>
    <row r="2289" spans="1:6" ht="16" customHeight="1" x14ac:dyDescent="0.2">
      <c r="A2289">
        <f>IFERROR(VLOOKUP(C2289,'GASB Match'!$D$2:$F$6042,3,FALSE),"")</f>
        <v>3407200</v>
      </c>
      <c r="B2289" s="17">
        <v>2022</v>
      </c>
      <c r="C2289" s="21" t="s">
        <v>1109</v>
      </c>
      <c r="D2289" s="17">
        <v>333</v>
      </c>
      <c r="E2289" s="17" t="s">
        <v>1463</v>
      </c>
      <c r="F2289" s="23">
        <v>760208</v>
      </c>
    </row>
    <row r="2290" spans="1:6" ht="16" customHeight="1" x14ac:dyDescent="0.2">
      <c r="A2290">
        <f>IFERROR(VLOOKUP(C2290,'GASB Match'!$D$2:$F$6042,3,FALSE),"")</f>
        <v>3407200</v>
      </c>
      <c r="B2290" s="17">
        <v>2023</v>
      </c>
      <c r="C2290" s="21" t="s">
        <v>1109</v>
      </c>
      <c r="D2290" s="17">
        <v>333</v>
      </c>
      <c r="E2290" s="17" t="s">
        <v>1463</v>
      </c>
      <c r="F2290" s="23">
        <v>740440</v>
      </c>
    </row>
    <row r="2291" spans="1:6" ht="16" customHeight="1" x14ac:dyDescent="0.2">
      <c r="A2291">
        <f>IFERROR(VLOOKUP(C2291,'GASB Match'!$D$2:$F$6042,3,FALSE),"")</f>
        <v>3407200</v>
      </c>
      <c r="B2291" s="28">
        <v>2017</v>
      </c>
      <c r="C2291" s="29" t="s">
        <v>417</v>
      </c>
      <c r="D2291" s="17">
        <v>333</v>
      </c>
      <c r="E2291" s="17" t="s">
        <v>1420</v>
      </c>
      <c r="F2291" s="29">
        <v>165453</v>
      </c>
    </row>
    <row r="2292" spans="1:6" ht="16" customHeight="1" x14ac:dyDescent="0.2">
      <c r="A2292">
        <f>IFERROR(VLOOKUP(C2292,'GASB Match'!$D$2:$F$6042,3,FALSE),"")</f>
        <v>3407230</v>
      </c>
      <c r="B2292" s="17">
        <v>2015</v>
      </c>
      <c r="C2292" s="17" t="s">
        <v>571</v>
      </c>
      <c r="D2292" s="17">
        <v>749</v>
      </c>
      <c r="E2292" s="17" t="s">
        <v>1425</v>
      </c>
      <c r="F2292" s="20">
        <v>2927485</v>
      </c>
    </row>
    <row r="2293" spans="1:6" ht="16" customHeight="1" x14ac:dyDescent="0.2">
      <c r="A2293">
        <f>IFERROR(VLOOKUP(C2293,'GASB Match'!$D$2:$F$6042,3,FALSE),"")</f>
        <v>3407230</v>
      </c>
      <c r="B2293" s="17">
        <v>2016</v>
      </c>
      <c r="C2293" s="17" t="s">
        <v>571</v>
      </c>
      <c r="D2293" s="17">
        <v>749</v>
      </c>
      <c r="E2293" s="17" t="s">
        <v>1425</v>
      </c>
      <c r="F2293" s="20">
        <v>4308405</v>
      </c>
    </row>
    <row r="2294" spans="1:6" ht="16" customHeight="1" x14ac:dyDescent="0.2">
      <c r="A2294">
        <f>IFERROR(VLOOKUP(C2294,'GASB Match'!$D$2:$F$6042,3,FALSE),"")</f>
        <v>3407230</v>
      </c>
      <c r="B2294" s="17">
        <v>2018</v>
      </c>
      <c r="C2294" s="17" t="s">
        <v>1263</v>
      </c>
      <c r="D2294" s="17">
        <v>749</v>
      </c>
      <c r="E2294" s="17" t="s">
        <v>1468</v>
      </c>
      <c r="F2294" s="20">
        <v>8383803</v>
      </c>
    </row>
    <row r="2295" spans="1:6" ht="16" customHeight="1" x14ac:dyDescent="0.2">
      <c r="A2295">
        <f>IFERROR(VLOOKUP(C2295,'GASB Match'!$D$2:$F$6042,3,FALSE),"")</f>
        <v>3407230</v>
      </c>
      <c r="B2295" s="17">
        <v>2019</v>
      </c>
      <c r="C2295" s="17" t="s">
        <v>1263</v>
      </c>
      <c r="D2295" s="17">
        <v>749</v>
      </c>
      <c r="E2295" s="17" t="s">
        <v>1468</v>
      </c>
      <c r="F2295" s="20">
        <v>11032369</v>
      </c>
    </row>
    <row r="2296" spans="1:6" ht="16" customHeight="1" x14ac:dyDescent="0.2">
      <c r="A2296">
        <f>IFERROR(VLOOKUP(C2296,'GASB Match'!$D$2:$F$6042,3,FALSE),"")</f>
        <v>3407230</v>
      </c>
      <c r="B2296" s="17">
        <v>2020</v>
      </c>
      <c r="C2296" s="21" t="s">
        <v>1263</v>
      </c>
      <c r="D2296" s="17">
        <v>749</v>
      </c>
      <c r="E2296" s="17" t="s">
        <v>1468</v>
      </c>
      <c r="F2296" s="23">
        <v>12648519</v>
      </c>
    </row>
    <row r="2297" spans="1:6" ht="16" customHeight="1" x14ac:dyDescent="0.2">
      <c r="A2297">
        <f>IFERROR(VLOOKUP(C2297,'GASB Match'!$D$2:$F$6042,3,FALSE),"")</f>
        <v>3407230</v>
      </c>
      <c r="B2297" s="17">
        <v>2021</v>
      </c>
      <c r="C2297" s="25" t="s">
        <v>1263</v>
      </c>
      <c r="D2297" s="17">
        <v>749</v>
      </c>
      <c r="E2297" s="17" t="s">
        <v>1468</v>
      </c>
      <c r="F2297" s="23">
        <v>16185717</v>
      </c>
    </row>
    <row r="2298" spans="1:6" ht="16" customHeight="1" x14ac:dyDescent="0.2">
      <c r="A2298">
        <f>IFERROR(VLOOKUP(C2298,'GASB Match'!$D$2:$F$6042,3,FALSE),"")</f>
        <v>3407230</v>
      </c>
      <c r="B2298" s="17">
        <v>2022</v>
      </c>
      <c r="C2298" s="21" t="s">
        <v>1263</v>
      </c>
      <c r="D2298" s="17">
        <v>749</v>
      </c>
      <c r="E2298" s="17" t="s">
        <v>1468</v>
      </c>
      <c r="F2298" s="23">
        <v>21285362</v>
      </c>
    </row>
    <row r="2299" spans="1:6" ht="16" customHeight="1" x14ac:dyDescent="0.2">
      <c r="A2299">
        <f>IFERROR(VLOOKUP(C2299,'GASB Match'!$D$2:$F$6042,3,FALSE),"")</f>
        <v>3407230</v>
      </c>
      <c r="B2299" s="17">
        <v>2023</v>
      </c>
      <c r="C2299" s="21" t="s">
        <v>1263</v>
      </c>
      <c r="D2299" s="17">
        <v>749</v>
      </c>
      <c r="E2299" s="17" t="s">
        <v>1468</v>
      </c>
      <c r="F2299" s="23">
        <v>21644649</v>
      </c>
    </row>
    <row r="2300" spans="1:6" ht="16" customHeight="1" x14ac:dyDescent="0.2">
      <c r="A2300">
        <f>IFERROR(VLOOKUP(C2300,'GASB Match'!$D$2:$F$6042,3,FALSE),"")</f>
        <v>3407230</v>
      </c>
      <c r="B2300" s="28">
        <v>2017</v>
      </c>
      <c r="C2300" s="29" t="s">
        <v>571</v>
      </c>
      <c r="D2300" s="17">
        <v>749</v>
      </c>
      <c r="E2300" s="17" t="s">
        <v>1425</v>
      </c>
      <c r="F2300" s="29">
        <v>6202324</v>
      </c>
    </row>
    <row r="2301" spans="1:6" ht="16" customHeight="1" x14ac:dyDescent="0.2">
      <c r="A2301">
        <f>IFERROR(VLOOKUP(C2301,'GASB Match'!$D$2:$F$6042,3,FALSE),"")</f>
        <v>3407260</v>
      </c>
      <c r="B2301" s="17">
        <v>2015</v>
      </c>
      <c r="C2301" s="17" t="s">
        <v>58</v>
      </c>
      <c r="D2301" s="17">
        <v>2047</v>
      </c>
      <c r="E2301" s="17" t="s">
        <v>1402</v>
      </c>
      <c r="F2301" s="20">
        <v>513467</v>
      </c>
    </row>
    <row r="2302" spans="1:6" ht="16" customHeight="1" x14ac:dyDescent="0.2">
      <c r="A2302">
        <f>IFERROR(VLOOKUP(C2302,'GASB Match'!$D$2:$F$6042,3,FALSE),"")</f>
        <v>3407260</v>
      </c>
      <c r="B2302" s="17">
        <v>2016</v>
      </c>
      <c r="C2302" s="17" t="s">
        <v>58</v>
      </c>
      <c r="D2302" s="17">
        <v>2047</v>
      </c>
      <c r="E2302" s="17" t="s">
        <v>1402</v>
      </c>
      <c r="F2302" s="20">
        <v>747414</v>
      </c>
    </row>
    <row r="2303" spans="1:6" ht="16" customHeight="1" x14ac:dyDescent="0.2">
      <c r="A2303">
        <f>IFERROR(VLOOKUP(C2303,'GASB Match'!$D$2:$F$6042,3,FALSE),"")</f>
        <v>3407260</v>
      </c>
      <c r="B2303" s="17">
        <v>2018</v>
      </c>
      <c r="C2303" s="17" t="s">
        <v>736</v>
      </c>
      <c r="D2303" s="17">
        <v>2047</v>
      </c>
      <c r="E2303" s="17" t="s">
        <v>1443</v>
      </c>
      <c r="F2303" s="20">
        <v>1485825</v>
      </c>
    </row>
    <row r="2304" spans="1:6" ht="16" customHeight="1" x14ac:dyDescent="0.2">
      <c r="A2304">
        <f>IFERROR(VLOOKUP(C2304,'GASB Match'!$D$2:$F$6042,3,FALSE),"")</f>
        <v>3407260</v>
      </c>
      <c r="B2304" s="17">
        <v>2019</v>
      </c>
      <c r="C2304" s="17" t="s">
        <v>736</v>
      </c>
      <c r="D2304" s="17">
        <v>2047</v>
      </c>
      <c r="E2304" s="17" t="s">
        <v>1443</v>
      </c>
      <c r="F2304" s="20">
        <v>1935902</v>
      </c>
    </row>
    <row r="2305" spans="1:6" ht="16" customHeight="1" x14ac:dyDescent="0.2">
      <c r="A2305">
        <f>IFERROR(VLOOKUP(C2305,'GASB Match'!$D$2:$F$6042,3,FALSE),"")</f>
        <v>3407260</v>
      </c>
      <c r="B2305" s="17">
        <v>2020</v>
      </c>
      <c r="C2305" s="21" t="s">
        <v>736</v>
      </c>
      <c r="D2305" s="17">
        <v>2047</v>
      </c>
      <c r="E2305" s="17" t="s">
        <v>1443</v>
      </c>
      <c r="F2305" s="23">
        <v>2250459</v>
      </c>
    </row>
    <row r="2306" spans="1:6" ht="16" customHeight="1" x14ac:dyDescent="0.2">
      <c r="A2306">
        <f>IFERROR(VLOOKUP(C2306,'GASB Match'!$D$2:$F$6042,3,FALSE),"")</f>
        <v>3407260</v>
      </c>
      <c r="B2306" s="17">
        <v>2021</v>
      </c>
      <c r="C2306" s="25" t="s">
        <v>736</v>
      </c>
      <c r="D2306" s="17">
        <v>2047</v>
      </c>
      <c r="E2306" s="17" t="s">
        <v>1443</v>
      </c>
      <c r="F2306" s="23">
        <v>2982653</v>
      </c>
    </row>
    <row r="2307" spans="1:6" ht="16" customHeight="1" x14ac:dyDescent="0.2">
      <c r="A2307">
        <f>IFERROR(VLOOKUP(C2307,'GASB Match'!$D$2:$F$6042,3,FALSE),"")</f>
        <v>3407260</v>
      </c>
      <c r="B2307" s="17">
        <v>2022</v>
      </c>
      <c r="C2307" s="21" t="s">
        <v>736</v>
      </c>
      <c r="D2307" s="17">
        <v>2047</v>
      </c>
      <c r="E2307" s="17" t="s">
        <v>1443</v>
      </c>
      <c r="F2307" s="23">
        <v>4162672</v>
      </c>
    </row>
    <row r="2308" spans="1:6" ht="16" customHeight="1" x14ac:dyDescent="0.2">
      <c r="A2308">
        <f>IFERROR(VLOOKUP(C2308,'GASB Match'!$D$2:$F$6042,3,FALSE),"")</f>
        <v>3407260</v>
      </c>
      <c r="B2308" s="17">
        <v>2023</v>
      </c>
      <c r="C2308" s="21" t="s">
        <v>736</v>
      </c>
      <c r="D2308" s="17">
        <v>2047</v>
      </c>
      <c r="E2308" s="17" t="s">
        <v>1443</v>
      </c>
      <c r="F2308" s="23">
        <v>4165780</v>
      </c>
    </row>
    <row r="2309" spans="1:6" ht="16" customHeight="1" x14ac:dyDescent="0.2">
      <c r="A2309">
        <f>IFERROR(VLOOKUP(C2309,'GASB Match'!$D$2:$F$6042,3,FALSE),"")</f>
        <v>3407260</v>
      </c>
      <c r="B2309" s="28">
        <v>2017</v>
      </c>
      <c r="C2309" s="29" t="s">
        <v>58</v>
      </c>
      <c r="D2309" s="17">
        <v>2047</v>
      </c>
      <c r="E2309" s="17" t="s">
        <v>1402</v>
      </c>
      <c r="F2309" s="29">
        <v>1037359</v>
      </c>
    </row>
    <row r="2310" spans="1:6" ht="16" customHeight="1" x14ac:dyDescent="0.2">
      <c r="A2310">
        <f>IFERROR(VLOOKUP(C2310,'GASB Match'!$D$2:$F$6042,3,FALSE),"")</f>
        <v>3407290</v>
      </c>
      <c r="B2310" s="17">
        <v>2015</v>
      </c>
      <c r="C2310" s="17" t="s">
        <v>618</v>
      </c>
      <c r="D2310" s="17">
        <v>834</v>
      </c>
      <c r="E2310" s="17" t="s">
        <v>1427</v>
      </c>
      <c r="F2310" s="20">
        <v>1200426</v>
      </c>
    </row>
    <row r="2311" spans="1:6" ht="16" customHeight="1" x14ac:dyDescent="0.2">
      <c r="A2311">
        <f>IFERROR(VLOOKUP(C2311,'GASB Match'!$D$2:$F$6042,3,FALSE),"")</f>
        <v>3407290</v>
      </c>
      <c r="B2311" s="17">
        <v>2016</v>
      </c>
      <c r="C2311" s="17" t="s">
        <v>618</v>
      </c>
      <c r="D2311" s="17">
        <v>834</v>
      </c>
      <c r="E2311" s="17" t="s">
        <v>1427</v>
      </c>
      <c r="F2311" s="20">
        <v>1780821</v>
      </c>
    </row>
    <row r="2312" spans="1:6" ht="16" customHeight="1" x14ac:dyDescent="0.2">
      <c r="A2312">
        <f>IFERROR(VLOOKUP(C2312,'GASB Match'!$D$2:$F$6042,3,FALSE),"")</f>
        <v>3407290</v>
      </c>
      <c r="B2312" s="17">
        <v>2018</v>
      </c>
      <c r="C2312" s="17" t="s">
        <v>1311</v>
      </c>
      <c r="D2312" s="17">
        <v>834</v>
      </c>
      <c r="E2312" s="17" t="s">
        <v>1470</v>
      </c>
      <c r="F2312" s="20">
        <v>3347016</v>
      </c>
    </row>
    <row r="2313" spans="1:6" ht="16" customHeight="1" x14ac:dyDescent="0.2">
      <c r="A2313">
        <f>IFERROR(VLOOKUP(C2313,'GASB Match'!$D$2:$F$6042,3,FALSE),"")</f>
        <v>3407290</v>
      </c>
      <c r="B2313" s="17">
        <v>2019</v>
      </c>
      <c r="C2313" s="17" t="s">
        <v>1311</v>
      </c>
      <c r="D2313" s="17">
        <v>834</v>
      </c>
      <c r="E2313" s="17" t="s">
        <v>1470</v>
      </c>
      <c r="F2313" s="20">
        <v>4427301</v>
      </c>
    </row>
    <row r="2314" spans="1:6" ht="16" customHeight="1" x14ac:dyDescent="0.2">
      <c r="A2314">
        <f>IFERROR(VLOOKUP(C2314,'GASB Match'!$D$2:$F$6042,3,FALSE),"")</f>
        <v>3407290</v>
      </c>
      <c r="B2314" s="17">
        <v>2020</v>
      </c>
      <c r="C2314" s="21" t="s">
        <v>1311</v>
      </c>
      <c r="D2314" s="17">
        <v>834</v>
      </c>
      <c r="E2314" s="17" t="s">
        <v>1470</v>
      </c>
      <c r="F2314" s="23">
        <v>4865523</v>
      </c>
    </row>
    <row r="2315" spans="1:6" ht="16" customHeight="1" x14ac:dyDescent="0.2">
      <c r="A2315">
        <f>IFERROR(VLOOKUP(C2315,'GASB Match'!$D$2:$F$6042,3,FALSE),"")</f>
        <v>3407290</v>
      </c>
      <c r="B2315" s="17">
        <v>2021</v>
      </c>
      <c r="C2315" s="25" t="s">
        <v>1311</v>
      </c>
      <c r="D2315" s="17">
        <v>834</v>
      </c>
      <c r="E2315" s="17" t="s">
        <v>1470</v>
      </c>
      <c r="F2315" s="23">
        <v>6609014</v>
      </c>
    </row>
    <row r="2316" spans="1:6" ht="16" customHeight="1" x14ac:dyDescent="0.2">
      <c r="A2316">
        <f>IFERROR(VLOOKUP(C2316,'GASB Match'!$D$2:$F$6042,3,FALSE),"")</f>
        <v>3407290</v>
      </c>
      <c r="B2316" s="17">
        <v>2022</v>
      </c>
      <c r="C2316" s="21" t="s">
        <v>1311</v>
      </c>
      <c r="D2316" s="17">
        <v>834</v>
      </c>
      <c r="E2316" s="17" t="s">
        <v>1470</v>
      </c>
      <c r="F2316" s="23">
        <v>9536424</v>
      </c>
    </row>
    <row r="2317" spans="1:6" ht="16" customHeight="1" x14ac:dyDescent="0.2">
      <c r="A2317">
        <f>IFERROR(VLOOKUP(C2317,'GASB Match'!$D$2:$F$6042,3,FALSE),"")</f>
        <v>3407290</v>
      </c>
      <c r="B2317" s="17">
        <v>2023</v>
      </c>
      <c r="C2317" s="21" t="s">
        <v>1311</v>
      </c>
      <c r="D2317" s="17">
        <v>834</v>
      </c>
      <c r="E2317" s="17" t="s">
        <v>1470</v>
      </c>
      <c r="F2317" s="22">
        <v>9690348</v>
      </c>
    </row>
    <row r="2318" spans="1:6" ht="16" customHeight="1" x14ac:dyDescent="0.2">
      <c r="A2318">
        <f>IFERROR(VLOOKUP(C2318,'GASB Match'!$D$2:$F$6042,3,FALSE),"")</f>
        <v>3407290</v>
      </c>
      <c r="B2318" s="28">
        <v>2017</v>
      </c>
      <c r="C2318" s="29" t="s">
        <v>618</v>
      </c>
      <c r="D2318" s="17">
        <v>834</v>
      </c>
      <c r="E2318" s="17" t="s">
        <v>1427</v>
      </c>
      <c r="F2318" s="29">
        <v>2504819</v>
      </c>
    </row>
    <row r="2319" spans="1:6" ht="16" customHeight="1" x14ac:dyDescent="0.2">
      <c r="A2319">
        <f>IFERROR(VLOOKUP(C2319,'GASB Match'!$D$2:$F$6042,3,FALSE),"")</f>
        <v>3407320</v>
      </c>
      <c r="B2319" s="17">
        <v>2015</v>
      </c>
      <c r="C2319" s="17" t="s">
        <v>59</v>
      </c>
      <c r="D2319" s="17">
        <v>2048</v>
      </c>
      <c r="E2319" s="17" t="s">
        <v>1402</v>
      </c>
      <c r="F2319" s="20">
        <v>240515</v>
      </c>
    </row>
    <row r="2320" spans="1:6" ht="16" customHeight="1" x14ac:dyDescent="0.2">
      <c r="A2320">
        <f>IFERROR(VLOOKUP(C2320,'GASB Match'!$D$2:$F$6042,3,FALSE),"")</f>
        <v>3407320</v>
      </c>
      <c r="B2320" s="17">
        <v>2016</v>
      </c>
      <c r="C2320" s="17" t="s">
        <v>59</v>
      </c>
      <c r="D2320" s="17">
        <v>2048</v>
      </c>
      <c r="E2320" s="17" t="s">
        <v>1402</v>
      </c>
      <c r="F2320" s="20">
        <v>365065</v>
      </c>
    </row>
    <row r="2321" spans="1:6" ht="16" customHeight="1" x14ac:dyDescent="0.2">
      <c r="A2321">
        <f>IFERROR(VLOOKUP(C2321,'GASB Match'!$D$2:$F$6042,3,FALSE),"")</f>
        <v>3407320</v>
      </c>
      <c r="B2321" s="17">
        <v>2018</v>
      </c>
      <c r="C2321" s="17" t="s">
        <v>737</v>
      </c>
      <c r="D2321" s="17">
        <v>2048</v>
      </c>
      <c r="E2321" s="17" t="s">
        <v>1443</v>
      </c>
      <c r="F2321" s="20">
        <v>696971</v>
      </c>
    </row>
    <row r="2322" spans="1:6" ht="16" customHeight="1" x14ac:dyDescent="0.2">
      <c r="A2322">
        <f>IFERROR(VLOOKUP(C2322,'GASB Match'!$D$2:$F$6042,3,FALSE),"")</f>
        <v>3407320</v>
      </c>
      <c r="B2322" s="17">
        <v>2019</v>
      </c>
      <c r="C2322" s="17" t="s">
        <v>737</v>
      </c>
      <c r="D2322" s="17">
        <v>2048</v>
      </c>
      <c r="E2322" s="17" t="s">
        <v>1443</v>
      </c>
      <c r="F2322" s="20">
        <v>945475</v>
      </c>
    </row>
    <row r="2323" spans="1:6" ht="16" customHeight="1" x14ac:dyDescent="0.2">
      <c r="A2323">
        <f>IFERROR(VLOOKUP(C2323,'GASB Match'!$D$2:$F$6042,3,FALSE),"")</f>
        <v>3407320</v>
      </c>
      <c r="B2323" s="17">
        <v>2020</v>
      </c>
      <c r="C2323" s="21" t="s">
        <v>737</v>
      </c>
      <c r="D2323" s="17">
        <v>2048</v>
      </c>
      <c r="E2323" s="17" t="s">
        <v>1443</v>
      </c>
      <c r="F2323" s="23">
        <v>983523</v>
      </c>
    </row>
    <row r="2324" spans="1:6" ht="16" customHeight="1" x14ac:dyDescent="0.2">
      <c r="A2324">
        <f>IFERROR(VLOOKUP(C2324,'GASB Match'!$D$2:$F$6042,3,FALSE),"")</f>
        <v>3407320</v>
      </c>
      <c r="B2324" s="17">
        <v>2021</v>
      </c>
      <c r="C2324" s="25" t="s">
        <v>737</v>
      </c>
      <c r="D2324" s="17">
        <v>2048</v>
      </c>
      <c r="E2324" s="17" t="s">
        <v>1443</v>
      </c>
      <c r="F2324" s="23">
        <v>1313267</v>
      </c>
    </row>
    <row r="2325" spans="1:6" ht="16" customHeight="1" x14ac:dyDescent="0.2">
      <c r="A2325">
        <f>IFERROR(VLOOKUP(C2325,'GASB Match'!$D$2:$F$6042,3,FALSE),"")</f>
        <v>3407320</v>
      </c>
      <c r="B2325" s="17">
        <v>2022</v>
      </c>
      <c r="C2325" s="21" t="s">
        <v>737</v>
      </c>
      <c r="D2325" s="17">
        <v>2048</v>
      </c>
      <c r="E2325" s="17" t="s">
        <v>1443</v>
      </c>
      <c r="F2325" s="23">
        <v>2038483</v>
      </c>
    </row>
    <row r="2326" spans="1:6" ht="16" customHeight="1" x14ac:dyDescent="0.2">
      <c r="A2326">
        <f>IFERROR(VLOOKUP(C2326,'GASB Match'!$D$2:$F$6042,3,FALSE),"")</f>
        <v>3407320</v>
      </c>
      <c r="B2326" s="17">
        <v>2023</v>
      </c>
      <c r="C2326" s="21" t="s">
        <v>737</v>
      </c>
      <c r="D2326" s="17">
        <v>2048</v>
      </c>
      <c r="E2326" s="17" t="s">
        <v>1443</v>
      </c>
      <c r="F2326" s="23">
        <v>2050391</v>
      </c>
    </row>
    <row r="2327" spans="1:6" ht="16" customHeight="1" x14ac:dyDescent="0.2">
      <c r="A2327">
        <f>IFERROR(VLOOKUP(C2327,'GASB Match'!$D$2:$F$6042,3,FALSE),"")</f>
        <v>3407320</v>
      </c>
      <c r="B2327" s="28">
        <v>2017</v>
      </c>
      <c r="C2327" s="29" t="s">
        <v>59</v>
      </c>
      <c r="D2327" s="17">
        <v>2048</v>
      </c>
      <c r="E2327" s="17" t="s">
        <v>1402</v>
      </c>
      <c r="F2327" s="29">
        <v>524666</v>
      </c>
    </row>
    <row r="2328" spans="1:6" ht="16" customHeight="1" x14ac:dyDescent="0.2">
      <c r="A2328">
        <f>IFERROR(VLOOKUP(C2328,'GASB Match'!$D$2:$F$6042,3,FALSE),"")</f>
        <v>3407350</v>
      </c>
      <c r="B2328" s="17">
        <v>2015</v>
      </c>
      <c r="C2328" s="17" t="s">
        <v>308</v>
      </c>
      <c r="D2328" s="17">
        <v>8020</v>
      </c>
      <c r="E2328" s="17" t="s">
        <v>1413</v>
      </c>
      <c r="F2328" s="20">
        <v>1014395</v>
      </c>
    </row>
    <row r="2329" spans="1:6" ht="16" customHeight="1" x14ac:dyDescent="0.2">
      <c r="A2329">
        <f>IFERROR(VLOOKUP(C2329,'GASB Match'!$D$2:$F$6042,3,FALSE),"")</f>
        <v>3407350</v>
      </c>
      <c r="B2329" s="17">
        <v>2016</v>
      </c>
      <c r="C2329" s="17" t="s">
        <v>308</v>
      </c>
      <c r="D2329" s="17">
        <v>8020</v>
      </c>
      <c r="E2329" s="17" t="s">
        <v>1413</v>
      </c>
      <c r="F2329" s="20">
        <v>1582355</v>
      </c>
    </row>
    <row r="2330" spans="1:6" ht="16" customHeight="1" x14ac:dyDescent="0.2">
      <c r="A2330">
        <f>IFERROR(VLOOKUP(C2330,'GASB Match'!$D$2:$F$6042,3,FALSE),"")</f>
        <v>3407350</v>
      </c>
      <c r="B2330" s="17">
        <v>2018</v>
      </c>
      <c r="C2330" s="17" t="s">
        <v>1000</v>
      </c>
      <c r="D2330" s="17">
        <v>8020</v>
      </c>
      <c r="E2330" s="17" t="s">
        <v>1456</v>
      </c>
      <c r="F2330" s="20">
        <v>2850926</v>
      </c>
    </row>
    <row r="2331" spans="1:6" ht="16" customHeight="1" x14ac:dyDescent="0.2">
      <c r="A2331">
        <f>IFERROR(VLOOKUP(C2331,'GASB Match'!$D$2:$F$6042,3,FALSE),"")</f>
        <v>3407350</v>
      </c>
      <c r="B2331" s="17">
        <v>2019</v>
      </c>
      <c r="C2331" s="17" t="s">
        <v>1000</v>
      </c>
      <c r="D2331" s="17">
        <v>8020</v>
      </c>
      <c r="E2331" s="17" t="s">
        <v>1456</v>
      </c>
      <c r="F2331" s="20">
        <v>3868523</v>
      </c>
    </row>
    <row r="2332" spans="1:6" ht="16" customHeight="1" x14ac:dyDescent="0.2">
      <c r="A2332">
        <f>IFERROR(VLOOKUP(C2332,'GASB Match'!$D$2:$F$6042,3,FALSE),"")</f>
        <v>3407350</v>
      </c>
      <c r="B2332" s="17">
        <v>2020</v>
      </c>
      <c r="C2332" s="21" t="s">
        <v>1000</v>
      </c>
      <c r="D2332" s="17">
        <v>8020</v>
      </c>
      <c r="E2332" s="17" t="s">
        <v>1456</v>
      </c>
      <c r="F2332" s="23">
        <v>4366905</v>
      </c>
    </row>
    <row r="2333" spans="1:6" ht="16" customHeight="1" x14ac:dyDescent="0.2">
      <c r="A2333">
        <f>IFERROR(VLOOKUP(C2333,'GASB Match'!$D$2:$F$6042,3,FALSE),"")</f>
        <v>3407350</v>
      </c>
      <c r="B2333" s="17">
        <v>2021</v>
      </c>
      <c r="C2333" s="25" t="s">
        <v>1000</v>
      </c>
      <c r="D2333" s="17">
        <v>8020</v>
      </c>
      <c r="E2333" s="17" t="s">
        <v>1456</v>
      </c>
      <c r="F2333" s="23">
        <v>5834563</v>
      </c>
    </row>
    <row r="2334" spans="1:6" ht="16" customHeight="1" x14ac:dyDescent="0.2">
      <c r="A2334">
        <f>IFERROR(VLOOKUP(C2334,'GASB Match'!$D$2:$F$6042,3,FALSE),"")</f>
        <v>3407350</v>
      </c>
      <c r="B2334" s="17">
        <v>2022</v>
      </c>
      <c r="C2334" s="21" t="s">
        <v>1000</v>
      </c>
      <c r="D2334" s="17">
        <v>8020</v>
      </c>
      <c r="E2334" s="17" t="s">
        <v>1456</v>
      </c>
      <c r="F2334" s="22">
        <v>8259728</v>
      </c>
    </row>
    <row r="2335" spans="1:6" ht="16" customHeight="1" x14ac:dyDescent="0.2">
      <c r="A2335">
        <f>IFERROR(VLOOKUP(C2335,'GASB Match'!$D$2:$F$6042,3,FALSE),"")</f>
        <v>3407350</v>
      </c>
      <c r="B2335" s="17">
        <v>2023</v>
      </c>
      <c r="C2335" s="21" t="s">
        <v>1000</v>
      </c>
      <c r="D2335" s="17">
        <v>8020</v>
      </c>
      <c r="E2335" s="17" t="s">
        <v>1456</v>
      </c>
      <c r="F2335" s="23">
        <v>8513286</v>
      </c>
    </row>
    <row r="2336" spans="1:6" ht="16" customHeight="1" x14ac:dyDescent="0.2">
      <c r="A2336">
        <f>IFERROR(VLOOKUP(C2336,'GASB Match'!$D$2:$F$6042,3,FALSE),"")</f>
        <v>3407350</v>
      </c>
      <c r="B2336" s="28">
        <v>2017</v>
      </c>
      <c r="C2336" s="29" t="s">
        <v>308</v>
      </c>
      <c r="D2336" s="17">
        <v>8020</v>
      </c>
      <c r="E2336" s="17" t="s">
        <v>1413</v>
      </c>
      <c r="F2336" s="29">
        <v>2084013</v>
      </c>
    </row>
    <row r="2337" spans="1:6" ht="16" customHeight="1" x14ac:dyDescent="0.2">
      <c r="A2337">
        <f>IFERROR(VLOOKUP(C2337,'GASB Match'!$D$2:$F$6042,3,FALSE),"")</f>
        <v>3400032</v>
      </c>
      <c r="B2337" s="17">
        <v>2015</v>
      </c>
      <c r="C2337" s="17" t="s">
        <v>309</v>
      </c>
      <c r="D2337" s="17">
        <v>8021</v>
      </c>
      <c r="E2337" s="17" t="s">
        <v>1413</v>
      </c>
      <c r="F2337" s="20">
        <v>95451</v>
      </c>
    </row>
    <row r="2338" spans="1:6" ht="16" customHeight="1" x14ac:dyDescent="0.2">
      <c r="A2338">
        <f>IFERROR(VLOOKUP(C2338,'GASB Match'!$D$2:$F$6042,3,FALSE),"")</f>
        <v>3400032</v>
      </c>
      <c r="B2338" s="17">
        <v>2016</v>
      </c>
      <c r="C2338" s="17" t="s">
        <v>309</v>
      </c>
      <c r="D2338" s="17">
        <v>8021</v>
      </c>
      <c r="E2338" s="17" t="s">
        <v>1413</v>
      </c>
      <c r="F2338" s="20">
        <v>129669</v>
      </c>
    </row>
    <row r="2339" spans="1:6" ht="16" customHeight="1" x14ac:dyDescent="0.2">
      <c r="A2339">
        <f>IFERROR(VLOOKUP(C2339,'GASB Match'!$D$2:$F$6042,3,FALSE),"")</f>
        <v>3400032</v>
      </c>
      <c r="B2339" s="17">
        <v>2018</v>
      </c>
      <c r="C2339" s="17" t="s">
        <v>1001</v>
      </c>
      <c r="D2339" s="17">
        <v>8021</v>
      </c>
      <c r="E2339" s="17" t="s">
        <v>1456</v>
      </c>
      <c r="F2339" s="20">
        <v>331097</v>
      </c>
    </row>
    <row r="2340" spans="1:6" ht="16" customHeight="1" x14ac:dyDescent="0.2">
      <c r="A2340">
        <f>IFERROR(VLOOKUP(C2340,'GASB Match'!$D$2:$F$6042,3,FALSE),"")</f>
        <v>3400032</v>
      </c>
      <c r="B2340" s="17">
        <v>2019</v>
      </c>
      <c r="C2340" s="17" t="s">
        <v>1001</v>
      </c>
      <c r="D2340" s="17">
        <v>8021</v>
      </c>
      <c r="E2340" s="17" t="s">
        <v>1456</v>
      </c>
      <c r="F2340" s="20">
        <v>450708</v>
      </c>
    </row>
    <row r="2341" spans="1:6" ht="16" customHeight="1" x14ac:dyDescent="0.2">
      <c r="A2341">
        <f>IFERROR(VLOOKUP(C2341,'GASB Match'!$D$2:$F$6042,3,FALSE),"")</f>
        <v>3400032</v>
      </c>
      <c r="B2341" s="17">
        <v>2020</v>
      </c>
      <c r="C2341" s="21" t="s">
        <v>1001</v>
      </c>
      <c r="D2341" s="17">
        <v>8021</v>
      </c>
      <c r="E2341" s="17" t="s">
        <v>1456</v>
      </c>
      <c r="F2341" s="23">
        <v>517847</v>
      </c>
    </row>
    <row r="2342" spans="1:6" ht="16" customHeight="1" x14ac:dyDescent="0.2">
      <c r="A2342">
        <f>IFERROR(VLOOKUP(C2342,'GASB Match'!$D$2:$F$6042,3,FALSE),"")</f>
        <v>3400032</v>
      </c>
      <c r="B2342" s="17">
        <v>2021</v>
      </c>
      <c r="C2342" s="25" t="s">
        <v>1001</v>
      </c>
      <c r="D2342" s="17">
        <v>8021</v>
      </c>
      <c r="E2342" s="17" t="s">
        <v>1456</v>
      </c>
      <c r="F2342" s="23">
        <v>594179</v>
      </c>
    </row>
    <row r="2343" spans="1:6" ht="16" customHeight="1" x14ac:dyDescent="0.2">
      <c r="A2343">
        <f>IFERROR(VLOOKUP(C2343,'GASB Match'!$D$2:$F$6042,3,FALSE),"")</f>
        <v>3400032</v>
      </c>
      <c r="B2343" s="17">
        <v>2022</v>
      </c>
      <c r="C2343" s="21" t="s">
        <v>1001</v>
      </c>
      <c r="D2343" s="17">
        <v>8021</v>
      </c>
      <c r="E2343" s="17" t="s">
        <v>1456</v>
      </c>
      <c r="F2343" s="23">
        <v>795838</v>
      </c>
    </row>
    <row r="2344" spans="1:6" ht="16" customHeight="1" x14ac:dyDescent="0.2">
      <c r="A2344">
        <f>IFERROR(VLOOKUP(C2344,'GASB Match'!$D$2:$F$6042,3,FALSE),"")</f>
        <v>3400032</v>
      </c>
      <c r="B2344" s="17">
        <v>2023</v>
      </c>
      <c r="C2344" s="21" t="s">
        <v>1001</v>
      </c>
      <c r="D2344" s="17">
        <v>8021</v>
      </c>
      <c r="E2344" s="17" t="s">
        <v>1456</v>
      </c>
      <c r="F2344" s="23">
        <v>814408</v>
      </c>
    </row>
    <row r="2345" spans="1:6" ht="16" customHeight="1" x14ac:dyDescent="0.2">
      <c r="A2345">
        <f>IFERROR(VLOOKUP(C2345,'GASB Match'!$D$2:$F$6042,3,FALSE),"")</f>
        <v>3400032</v>
      </c>
      <c r="B2345" s="28">
        <v>2017</v>
      </c>
      <c r="C2345" s="29" t="s">
        <v>309</v>
      </c>
      <c r="D2345" s="17">
        <v>8021</v>
      </c>
      <c r="E2345" s="17" t="s">
        <v>1413</v>
      </c>
      <c r="F2345" s="29">
        <v>223296</v>
      </c>
    </row>
    <row r="2346" spans="1:6" ht="16" customHeight="1" x14ac:dyDescent="0.2">
      <c r="A2346">
        <f>IFERROR(VLOOKUP(C2346,'GASB Match'!$D$2:$F$6042,3,FALSE),"")</f>
        <v>3400734</v>
      </c>
      <c r="B2346" s="17">
        <v>2015</v>
      </c>
      <c r="C2346" s="17" t="s">
        <v>310</v>
      </c>
      <c r="D2346" s="17">
        <v>8094</v>
      </c>
      <c r="E2346" s="17" t="s">
        <v>1413</v>
      </c>
      <c r="F2346" s="20">
        <v>40499</v>
      </c>
    </row>
    <row r="2347" spans="1:6" ht="16" customHeight="1" x14ac:dyDescent="0.2">
      <c r="A2347">
        <f>IFERROR(VLOOKUP(C2347,'GASB Match'!$D$2:$F$6042,3,FALSE),"")</f>
        <v>3400734</v>
      </c>
      <c r="B2347" s="17">
        <v>2016</v>
      </c>
      <c r="C2347" s="17" t="s">
        <v>310</v>
      </c>
      <c r="D2347" s="17">
        <v>8094</v>
      </c>
      <c r="E2347" s="17" t="s">
        <v>1413</v>
      </c>
      <c r="F2347" s="20">
        <v>58505</v>
      </c>
    </row>
    <row r="2348" spans="1:6" ht="16" customHeight="1" x14ac:dyDescent="0.2">
      <c r="A2348">
        <f>IFERROR(VLOOKUP(C2348,'GASB Match'!$D$2:$F$6042,3,FALSE),"")</f>
        <v>3400734</v>
      </c>
      <c r="B2348" s="17">
        <v>2018</v>
      </c>
      <c r="C2348" s="17" t="s">
        <v>1002</v>
      </c>
      <c r="D2348" s="17">
        <v>8094</v>
      </c>
      <c r="E2348" s="17" t="s">
        <v>1456</v>
      </c>
      <c r="F2348" s="20">
        <v>126519</v>
      </c>
    </row>
    <row r="2349" spans="1:6" ht="16" customHeight="1" x14ac:dyDescent="0.2">
      <c r="A2349">
        <f>IFERROR(VLOOKUP(C2349,'GASB Match'!$D$2:$F$6042,3,FALSE),"")</f>
        <v>3400734</v>
      </c>
      <c r="B2349" s="17">
        <v>2019</v>
      </c>
      <c r="C2349" s="17" t="s">
        <v>1002</v>
      </c>
      <c r="D2349" s="17">
        <v>8094</v>
      </c>
      <c r="E2349" s="17" t="s">
        <v>1456</v>
      </c>
      <c r="F2349" s="20">
        <v>221752</v>
      </c>
    </row>
    <row r="2350" spans="1:6" ht="16" customHeight="1" x14ac:dyDescent="0.2">
      <c r="A2350">
        <f>IFERROR(VLOOKUP(C2350,'GASB Match'!$D$2:$F$6042,3,FALSE),"")</f>
        <v>3400734</v>
      </c>
      <c r="B2350" s="17">
        <v>2020</v>
      </c>
      <c r="C2350" s="21" t="s">
        <v>1002</v>
      </c>
      <c r="D2350" s="17">
        <v>8094</v>
      </c>
      <c r="E2350" s="17" t="s">
        <v>1456</v>
      </c>
      <c r="F2350" s="23">
        <v>271373</v>
      </c>
    </row>
    <row r="2351" spans="1:6" ht="16" customHeight="1" x14ac:dyDescent="0.2">
      <c r="A2351">
        <f>IFERROR(VLOOKUP(C2351,'GASB Match'!$D$2:$F$6042,3,FALSE),"")</f>
        <v>3400734</v>
      </c>
      <c r="B2351" s="17">
        <v>2021</v>
      </c>
      <c r="C2351" s="25" t="s">
        <v>1002</v>
      </c>
      <c r="D2351" s="17">
        <v>8094</v>
      </c>
      <c r="E2351" s="17" t="s">
        <v>1456</v>
      </c>
      <c r="F2351" s="23">
        <v>345142</v>
      </c>
    </row>
    <row r="2352" spans="1:6" ht="16" customHeight="1" x14ac:dyDescent="0.2">
      <c r="A2352">
        <f>IFERROR(VLOOKUP(C2352,'GASB Match'!$D$2:$F$6042,3,FALSE),"")</f>
        <v>3400734</v>
      </c>
      <c r="B2352" s="17">
        <v>2022</v>
      </c>
      <c r="C2352" s="21" t="s">
        <v>1002</v>
      </c>
      <c r="D2352" s="17">
        <v>8094</v>
      </c>
      <c r="E2352" s="17" t="s">
        <v>1456</v>
      </c>
      <c r="F2352" s="23">
        <v>508445</v>
      </c>
    </row>
    <row r="2353" spans="1:6" ht="16" customHeight="1" x14ac:dyDescent="0.2">
      <c r="A2353">
        <f>IFERROR(VLOOKUP(C2353,'GASB Match'!$D$2:$F$6042,3,FALSE),"")</f>
        <v>3400734</v>
      </c>
      <c r="B2353" s="17">
        <v>2023</v>
      </c>
      <c r="C2353" s="21" t="s">
        <v>1002</v>
      </c>
      <c r="D2353" s="17">
        <v>8094</v>
      </c>
      <c r="E2353" s="17" t="s">
        <v>1456</v>
      </c>
      <c r="F2353" s="23">
        <v>409211</v>
      </c>
    </row>
    <row r="2354" spans="1:6" ht="16" customHeight="1" x14ac:dyDescent="0.2">
      <c r="A2354">
        <f>IFERROR(VLOOKUP(C2354,'GASB Match'!$D$2:$F$6042,3,FALSE),"")</f>
        <v>3400734</v>
      </c>
      <c r="B2354" s="28">
        <v>2017</v>
      </c>
      <c r="C2354" s="29" t="s">
        <v>310</v>
      </c>
      <c r="D2354" s="17">
        <v>8094</v>
      </c>
      <c r="E2354" s="17" t="s">
        <v>1413</v>
      </c>
      <c r="F2354" s="29">
        <v>90258</v>
      </c>
    </row>
    <row r="2355" spans="1:6" ht="16" customHeight="1" x14ac:dyDescent="0.2">
      <c r="A2355">
        <f>IFERROR(VLOOKUP(C2355,'GASB Match'!$D$2:$F$6042,3,FALSE),"")</f>
        <v>3407380</v>
      </c>
      <c r="B2355" s="17">
        <v>2015</v>
      </c>
      <c r="C2355" s="17" t="s">
        <v>339</v>
      </c>
      <c r="D2355" s="17">
        <v>9025</v>
      </c>
      <c r="E2355" s="17" t="s">
        <v>1415</v>
      </c>
      <c r="F2355" s="20">
        <v>248649</v>
      </c>
    </row>
    <row r="2356" spans="1:6" ht="16" customHeight="1" x14ac:dyDescent="0.2">
      <c r="A2356">
        <f>IFERROR(VLOOKUP(C2356,'GASB Match'!$D$2:$F$6042,3,FALSE),"")</f>
        <v>3407380</v>
      </c>
      <c r="B2356" s="17">
        <v>2016</v>
      </c>
      <c r="C2356" s="17" t="s">
        <v>339</v>
      </c>
      <c r="D2356" s="17">
        <v>9025</v>
      </c>
      <c r="E2356" s="17" t="s">
        <v>1415</v>
      </c>
      <c r="F2356" s="20">
        <v>345736</v>
      </c>
    </row>
    <row r="2357" spans="1:6" ht="16" customHeight="1" x14ac:dyDescent="0.2">
      <c r="A2357">
        <f>IFERROR(VLOOKUP(C2357,'GASB Match'!$D$2:$F$6042,3,FALSE),"")</f>
        <v>3407380</v>
      </c>
      <c r="B2357" s="17">
        <v>2018</v>
      </c>
      <c r="C2357" s="17" t="s">
        <v>1032</v>
      </c>
      <c r="D2357" s="17">
        <v>9025</v>
      </c>
      <c r="E2357" s="17" t="s">
        <v>1458</v>
      </c>
      <c r="F2357" s="20">
        <v>653268</v>
      </c>
    </row>
    <row r="2358" spans="1:6" ht="16" customHeight="1" x14ac:dyDescent="0.2">
      <c r="A2358">
        <f>IFERROR(VLOOKUP(C2358,'GASB Match'!$D$2:$F$6042,3,FALSE),"")</f>
        <v>3407380</v>
      </c>
      <c r="B2358" s="17">
        <v>2019</v>
      </c>
      <c r="C2358" s="17" t="s">
        <v>1032</v>
      </c>
      <c r="D2358" s="17">
        <v>9025</v>
      </c>
      <c r="E2358" s="17" t="s">
        <v>1458</v>
      </c>
      <c r="F2358" s="20">
        <v>855974</v>
      </c>
    </row>
    <row r="2359" spans="1:6" ht="16" customHeight="1" x14ac:dyDescent="0.2">
      <c r="A2359">
        <f>IFERROR(VLOOKUP(C2359,'GASB Match'!$D$2:$F$6042,3,FALSE),"")</f>
        <v>3407380</v>
      </c>
      <c r="B2359" s="17">
        <v>2020</v>
      </c>
      <c r="C2359" s="21" t="s">
        <v>1032</v>
      </c>
      <c r="D2359" s="17">
        <v>9025</v>
      </c>
      <c r="E2359" s="17" t="s">
        <v>1458</v>
      </c>
      <c r="F2359" s="23">
        <v>869396</v>
      </c>
    </row>
    <row r="2360" spans="1:6" ht="16" customHeight="1" x14ac:dyDescent="0.2">
      <c r="A2360">
        <f>IFERROR(VLOOKUP(C2360,'GASB Match'!$D$2:$F$6042,3,FALSE),"")</f>
        <v>3407380</v>
      </c>
      <c r="B2360" s="17">
        <v>2021</v>
      </c>
      <c r="C2360" s="25" t="s">
        <v>1032</v>
      </c>
      <c r="D2360" s="17">
        <v>9025</v>
      </c>
      <c r="E2360" s="17" t="s">
        <v>1458</v>
      </c>
      <c r="F2360" s="23">
        <v>1186943</v>
      </c>
    </row>
    <row r="2361" spans="1:6" ht="16" customHeight="1" x14ac:dyDescent="0.2">
      <c r="A2361">
        <f>IFERROR(VLOOKUP(C2361,'GASB Match'!$D$2:$F$6042,3,FALSE),"")</f>
        <v>3407380</v>
      </c>
      <c r="B2361" s="17">
        <v>2022</v>
      </c>
      <c r="C2361" s="21" t="s">
        <v>1032</v>
      </c>
      <c r="D2361" s="17">
        <v>9025</v>
      </c>
      <c r="E2361" s="17" t="s">
        <v>1458</v>
      </c>
      <c r="F2361" s="23">
        <v>1642519</v>
      </c>
    </row>
    <row r="2362" spans="1:6" ht="16" customHeight="1" x14ac:dyDescent="0.2">
      <c r="A2362">
        <f>IFERROR(VLOOKUP(C2362,'GASB Match'!$D$2:$F$6042,3,FALSE),"")</f>
        <v>3407380</v>
      </c>
      <c r="B2362" s="17">
        <v>2023</v>
      </c>
      <c r="C2362" s="21" t="s">
        <v>1032</v>
      </c>
      <c r="D2362" s="17">
        <v>9025</v>
      </c>
      <c r="E2362" s="17" t="s">
        <v>1458</v>
      </c>
      <c r="F2362" s="23">
        <v>1673626</v>
      </c>
    </row>
    <row r="2363" spans="1:6" ht="16" customHeight="1" x14ac:dyDescent="0.2">
      <c r="A2363">
        <f>IFERROR(VLOOKUP(C2363,'GASB Match'!$D$2:$F$6042,3,FALSE),"")</f>
        <v>3407380</v>
      </c>
      <c r="B2363" s="28">
        <v>2017</v>
      </c>
      <c r="C2363" s="29" t="s">
        <v>339</v>
      </c>
      <c r="D2363" s="17">
        <v>9025</v>
      </c>
      <c r="E2363" s="17" t="s">
        <v>1415</v>
      </c>
      <c r="F2363" s="29">
        <v>498665</v>
      </c>
    </row>
    <row r="2364" spans="1:6" ht="16" customHeight="1" x14ac:dyDescent="0.2">
      <c r="A2364">
        <f>IFERROR(VLOOKUP(C2364,'GASB Match'!$D$2:$F$6042,3,FALSE),"")</f>
        <v>3407410</v>
      </c>
      <c r="B2364" s="17">
        <v>2015</v>
      </c>
      <c r="C2364" s="17" t="s">
        <v>418</v>
      </c>
      <c r="D2364" s="17">
        <v>334</v>
      </c>
      <c r="E2364" s="17" t="s">
        <v>1420</v>
      </c>
      <c r="F2364" s="20">
        <v>1267192</v>
      </c>
    </row>
    <row r="2365" spans="1:6" ht="16" customHeight="1" x14ac:dyDescent="0.2">
      <c r="A2365">
        <f>IFERROR(VLOOKUP(C2365,'GASB Match'!$D$2:$F$6042,3,FALSE),"")</f>
        <v>3407410</v>
      </c>
      <c r="B2365" s="17">
        <v>2016</v>
      </c>
      <c r="C2365" s="17" t="s">
        <v>418</v>
      </c>
      <c r="D2365" s="17">
        <v>334</v>
      </c>
      <c r="E2365" s="17" t="s">
        <v>1420</v>
      </c>
      <c r="F2365" s="20">
        <v>1877891</v>
      </c>
    </row>
    <row r="2366" spans="1:6" ht="16" customHeight="1" x14ac:dyDescent="0.2">
      <c r="A2366">
        <f>IFERROR(VLOOKUP(C2366,'GASB Match'!$D$2:$F$6042,3,FALSE),"")</f>
        <v>3407410</v>
      </c>
      <c r="B2366" s="17">
        <v>2018</v>
      </c>
      <c r="C2366" s="17" t="s">
        <v>1110</v>
      </c>
      <c r="D2366" s="17">
        <v>334</v>
      </c>
      <c r="E2366" s="17" t="s">
        <v>1463</v>
      </c>
      <c r="F2366" s="20">
        <v>3614031</v>
      </c>
    </row>
    <row r="2367" spans="1:6" ht="16" customHeight="1" x14ac:dyDescent="0.2">
      <c r="A2367">
        <f>IFERROR(VLOOKUP(C2367,'GASB Match'!$D$2:$F$6042,3,FALSE),"")</f>
        <v>3407410</v>
      </c>
      <c r="B2367" s="17">
        <v>2019</v>
      </c>
      <c r="C2367" s="17" t="s">
        <v>1110</v>
      </c>
      <c r="D2367" s="17">
        <v>334</v>
      </c>
      <c r="E2367" s="17" t="s">
        <v>1463</v>
      </c>
      <c r="F2367" s="20">
        <v>4756848</v>
      </c>
    </row>
    <row r="2368" spans="1:6" ht="16" customHeight="1" x14ac:dyDescent="0.2">
      <c r="A2368">
        <f>IFERROR(VLOOKUP(C2368,'GASB Match'!$D$2:$F$6042,3,FALSE),"")</f>
        <v>3407410</v>
      </c>
      <c r="B2368" s="17">
        <v>2020</v>
      </c>
      <c r="C2368" s="21" t="s">
        <v>1110</v>
      </c>
      <c r="D2368" s="17">
        <v>334</v>
      </c>
      <c r="E2368" s="17" t="s">
        <v>1463</v>
      </c>
      <c r="F2368" s="23">
        <v>5318913</v>
      </c>
    </row>
    <row r="2369" spans="1:6" ht="16" customHeight="1" x14ac:dyDescent="0.2">
      <c r="A2369">
        <f>IFERROR(VLOOKUP(C2369,'GASB Match'!$D$2:$F$6042,3,FALSE),"")</f>
        <v>3407410</v>
      </c>
      <c r="B2369" s="17">
        <v>2021</v>
      </c>
      <c r="C2369" s="25" t="s">
        <v>1110</v>
      </c>
      <c r="D2369" s="17">
        <v>334</v>
      </c>
      <c r="E2369" s="17" t="s">
        <v>1463</v>
      </c>
      <c r="F2369" s="23">
        <v>6956702</v>
      </c>
    </row>
    <row r="2370" spans="1:6" ht="16" customHeight="1" x14ac:dyDescent="0.2">
      <c r="A2370">
        <f>IFERROR(VLOOKUP(C2370,'GASB Match'!$D$2:$F$6042,3,FALSE),"")</f>
        <v>3407410</v>
      </c>
      <c r="B2370" s="17">
        <v>2022</v>
      </c>
      <c r="C2370" s="21" t="s">
        <v>1110</v>
      </c>
      <c r="D2370" s="17">
        <v>334</v>
      </c>
      <c r="E2370" s="17" t="s">
        <v>1463</v>
      </c>
      <c r="F2370" s="23">
        <v>9889103</v>
      </c>
    </row>
    <row r="2371" spans="1:6" ht="16" customHeight="1" x14ac:dyDescent="0.2">
      <c r="A2371">
        <f>IFERROR(VLOOKUP(C2371,'GASB Match'!$D$2:$F$6042,3,FALSE),"")</f>
        <v>3407410</v>
      </c>
      <c r="B2371" s="17">
        <v>2023</v>
      </c>
      <c r="C2371" s="21" t="s">
        <v>1110</v>
      </c>
      <c r="D2371" s="17">
        <v>334</v>
      </c>
      <c r="E2371" s="17" t="s">
        <v>1463</v>
      </c>
      <c r="F2371" s="23">
        <v>9771385</v>
      </c>
    </row>
    <row r="2372" spans="1:6" ht="16" customHeight="1" x14ac:dyDescent="0.2">
      <c r="A2372">
        <f>IFERROR(VLOOKUP(C2372,'GASB Match'!$D$2:$F$6042,3,FALSE),"")</f>
        <v>3407410</v>
      </c>
      <c r="B2372" s="28">
        <v>2017</v>
      </c>
      <c r="C2372" s="29" t="s">
        <v>418</v>
      </c>
      <c r="D2372" s="17">
        <v>334</v>
      </c>
      <c r="E2372" s="17" t="s">
        <v>1420</v>
      </c>
      <c r="F2372" s="29">
        <v>2673524</v>
      </c>
    </row>
    <row r="2373" spans="1:6" ht="16" customHeight="1" x14ac:dyDescent="0.2">
      <c r="A2373">
        <f>IFERROR(VLOOKUP(C2373,'GASB Match'!$D$2:$F$6042,3,FALSE),"")</f>
        <v>3407440</v>
      </c>
      <c r="B2373" s="17">
        <v>2015</v>
      </c>
      <c r="C2373" s="17" t="s">
        <v>593</v>
      </c>
      <c r="D2373" s="17">
        <v>783</v>
      </c>
      <c r="E2373" s="17" t="s">
        <v>1426</v>
      </c>
      <c r="F2373" s="19">
        <v>821073</v>
      </c>
    </row>
    <row r="2374" spans="1:6" ht="16" customHeight="1" x14ac:dyDescent="0.2">
      <c r="A2374">
        <f>IFERROR(VLOOKUP(C2374,'GASB Match'!$D$2:$F$6042,3,FALSE),"")</f>
        <v>3407440</v>
      </c>
      <c r="B2374" s="17">
        <v>2016</v>
      </c>
      <c r="C2374" s="17" t="s">
        <v>593</v>
      </c>
      <c r="D2374" s="17">
        <v>783</v>
      </c>
      <c r="E2374" s="17" t="s">
        <v>1426</v>
      </c>
      <c r="F2374" s="20">
        <v>1211366</v>
      </c>
    </row>
    <row r="2375" spans="1:6" ht="16" customHeight="1" x14ac:dyDescent="0.2">
      <c r="A2375">
        <f>IFERROR(VLOOKUP(C2375,'GASB Match'!$D$2:$F$6042,3,FALSE),"")</f>
        <v>3407440</v>
      </c>
      <c r="B2375" s="17">
        <v>2018</v>
      </c>
      <c r="C2375" s="17" t="s">
        <v>1286</v>
      </c>
      <c r="D2375" s="17">
        <v>783</v>
      </c>
      <c r="E2375" s="17" t="s">
        <v>1469</v>
      </c>
      <c r="F2375" s="20">
        <v>2259533</v>
      </c>
    </row>
    <row r="2376" spans="1:6" ht="16" customHeight="1" x14ac:dyDescent="0.2">
      <c r="A2376">
        <f>IFERROR(VLOOKUP(C2376,'GASB Match'!$D$2:$F$6042,3,FALSE),"")</f>
        <v>3407440</v>
      </c>
      <c r="B2376" s="17">
        <v>2019</v>
      </c>
      <c r="C2376" s="17" t="s">
        <v>1286</v>
      </c>
      <c r="D2376" s="17">
        <v>783</v>
      </c>
      <c r="E2376" s="17" t="s">
        <v>1469</v>
      </c>
      <c r="F2376" s="20">
        <v>3005228</v>
      </c>
    </row>
    <row r="2377" spans="1:6" ht="16" customHeight="1" x14ac:dyDescent="0.2">
      <c r="A2377">
        <f>IFERROR(VLOOKUP(C2377,'GASB Match'!$D$2:$F$6042,3,FALSE),"")</f>
        <v>3407440</v>
      </c>
      <c r="B2377" s="17">
        <v>2020</v>
      </c>
      <c r="C2377" s="21" t="s">
        <v>1286</v>
      </c>
      <c r="D2377" s="17">
        <v>783</v>
      </c>
      <c r="E2377" s="17" t="s">
        <v>1469</v>
      </c>
      <c r="F2377" s="23">
        <v>3373956</v>
      </c>
    </row>
    <row r="2378" spans="1:6" ht="16" customHeight="1" x14ac:dyDescent="0.2">
      <c r="A2378">
        <f>IFERROR(VLOOKUP(C2378,'GASB Match'!$D$2:$F$6042,3,FALSE),"")</f>
        <v>3407440</v>
      </c>
      <c r="B2378" s="17">
        <v>2021</v>
      </c>
      <c r="C2378" s="25" t="s">
        <v>1286</v>
      </c>
      <c r="D2378" s="17">
        <v>783</v>
      </c>
      <c r="E2378" s="17" t="s">
        <v>1469</v>
      </c>
      <c r="F2378" s="23">
        <v>4023066</v>
      </c>
    </row>
    <row r="2379" spans="1:6" ht="16" customHeight="1" x14ac:dyDescent="0.2">
      <c r="A2379">
        <f>IFERROR(VLOOKUP(C2379,'GASB Match'!$D$2:$F$6042,3,FALSE),"")</f>
        <v>3407440</v>
      </c>
      <c r="B2379" s="17">
        <v>2022</v>
      </c>
      <c r="C2379" s="21" t="s">
        <v>1286</v>
      </c>
      <c r="D2379" s="17">
        <v>783</v>
      </c>
      <c r="E2379" s="17" t="s">
        <v>1469</v>
      </c>
      <c r="F2379" s="23">
        <v>5807157</v>
      </c>
    </row>
    <row r="2380" spans="1:6" ht="16" customHeight="1" x14ac:dyDescent="0.2">
      <c r="A2380">
        <f>IFERROR(VLOOKUP(C2380,'GASB Match'!$D$2:$F$6042,3,FALSE),"")</f>
        <v>3407440</v>
      </c>
      <c r="B2380" s="17">
        <v>2023</v>
      </c>
      <c r="C2380" s="21" t="s">
        <v>1286</v>
      </c>
      <c r="D2380" s="17">
        <v>783</v>
      </c>
      <c r="E2380" s="17" t="s">
        <v>1469</v>
      </c>
      <c r="F2380" s="23">
        <v>5373090</v>
      </c>
    </row>
    <row r="2381" spans="1:6" ht="16" customHeight="1" x14ac:dyDescent="0.2">
      <c r="A2381">
        <f>IFERROR(VLOOKUP(C2381,'GASB Match'!$D$2:$F$6042,3,FALSE),"")</f>
        <v>3407440</v>
      </c>
      <c r="B2381" s="28">
        <v>2017</v>
      </c>
      <c r="C2381" s="29" t="s">
        <v>593</v>
      </c>
      <c r="D2381" s="17">
        <v>783</v>
      </c>
      <c r="E2381" s="17" t="s">
        <v>1426</v>
      </c>
      <c r="F2381" s="29">
        <v>1630158</v>
      </c>
    </row>
    <row r="2382" spans="1:6" ht="16" customHeight="1" x14ac:dyDescent="0.2">
      <c r="A2382">
        <f>IFERROR(VLOOKUP(C2382,'GASB Match'!$D$2:$F$6042,3,FALSE),"")</f>
        <v>3400076</v>
      </c>
      <c r="B2382" s="17">
        <v>2015</v>
      </c>
      <c r="C2382" s="17" t="s">
        <v>419</v>
      </c>
      <c r="D2382" s="17">
        <v>312</v>
      </c>
      <c r="E2382" s="17" t="s">
        <v>1420</v>
      </c>
      <c r="F2382" s="20">
        <v>70185</v>
      </c>
    </row>
    <row r="2383" spans="1:6" ht="16" customHeight="1" x14ac:dyDescent="0.2">
      <c r="A2383">
        <f>IFERROR(VLOOKUP(C2383,'GASB Match'!$D$2:$F$6042,3,FALSE),"")</f>
        <v>3400076</v>
      </c>
      <c r="B2383" s="17">
        <v>2016</v>
      </c>
      <c r="C2383" s="17" t="s">
        <v>419</v>
      </c>
      <c r="D2383" s="17">
        <v>312</v>
      </c>
      <c r="E2383" s="17" t="s">
        <v>1420</v>
      </c>
      <c r="F2383" s="20">
        <v>114914</v>
      </c>
    </row>
    <row r="2384" spans="1:6" ht="16" customHeight="1" x14ac:dyDescent="0.2">
      <c r="A2384">
        <f>IFERROR(VLOOKUP(C2384,'GASB Match'!$D$2:$F$6042,3,FALSE),"")</f>
        <v>3400076</v>
      </c>
      <c r="B2384" s="17">
        <v>2018</v>
      </c>
      <c r="C2384" s="17" t="s">
        <v>1111</v>
      </c>
      <c r="D2384" s="17">
        <v>312</v>
      </c>
      <c r="E2384" s="17" t="s">
        <v>1463</v>
      </c>
      <c r="F2384" s="20">
        <v>202848</v>
      </c>
    </row>
    <row r="2385" spans="1:6" ht="16" customHeight="1" x14ac:dyDescent="0.2">
      <c r="A2385">
        <f>IFERROR(VLOOKUP(C2385,'GASB Match'!$D$2:$F$6042,3,FALSE),"")</f>
        <v>3400076</v>
      </c>
      <c r="B2385" s="17">
        <v>2019</v>
      </c>
      <c r="C2385" s="17" t="s">
        <v>1111</v>
      </c>
      <c r="D2385" s="17">
        <v>312</v>
      </c>
      <c r="E2385" s="17" t="s">
        <v>1463</v>
      </c>
      <c r="F2385" s="20">
        <v>267589</v>
      </c>
    </row>
    <row r="2386" spans="1:6" ht="16" customHeight="1" x14ac:dyDescent="0.2">
      <c r="A2386">
        <f>IFERROR(VLOOKUP(C2386,'GASB Match'!$D$2:$F$6042,3,FALSE),"")</f>
        <v>3400076</v>
      </c>
      <c r="B2386" s="17">
        <v>2020</v>
      </c>
      <c r="C2386" s="21" t="s">
        <v>1111</v>
      </c>
      <c r="D2386" s="17">
        <v>312</v>
      </c>
      <c r="E2386" s="17" t="s">
        <v>1463</v>
      </c>
      <c r="F2386" s="23">
        <v>339989</v>
      </c>
    </row>
    <row r="2387" spans="1:6" ht="16" customHeight="1" x14ac:dyDescent="0.2">
      <c r="A2387">
        <f>IFERROR(VLOOKUP(C2387,'GASB Match'!$D$2:$F$6042,3,FALSE),"")</f>
        <v>3400076</v>
      </c>
      <c r="B2387" s="17">
        <v>2021</v>
      </c>
      <c r="C2387" s="25" t="s">
        <v>1111</v>
      </c>
      <c r="D2387" s="17">
        <v>312</v>
      </c>
      <c r="E2387" s="17" t="s">
        <v>1463</v>
      </c>
      <c r="F2387" s="22">
        <v>431443</v>
      </c>
    </row>
    <row r="2388" spans="1:6" ht="16" customHeight="1" x14ac:dyDescent="0.2">
      <c r="A2388">
        <f>IFERROR(VLOOKUP(C2388,'GASB Match'!$D$2:$F$6042,3,FALSE),"")</f>
        <v>3400076</v>
      </c>
      <c r="B2388" s="17">
        <v>2022</v>
      </c>
      <c r="C2388" s="21" t="s">
        <v>1111</v>
      </c>
      <c r="D2388" s="17">
        <v>312</v>
      </c>
      <c r="E2388" s="17" t="s">
        <v>1463</v>
      </c>
      <c r="F2388" s="23">
        <v>700333</v>
      </c>
    </row>
    <row r="2389" spans="1:6" ht="16" customHeight="1" x14ac:dyDescent="0.2">
      <c r="A2389">
        <f>IFERROR(VLOOKUP(C2389,'GASB Match'!$D$2:$F$6042,3,FALSE),"")</f>
        <v>3400076</v>
      </c>
      <c r="B2389" s="17">
        <v>2023</v>
      </c>
      <c r="C2389" s="21" t="s">
        <v>1111</v>
      </c>
      <c r="D2389" s="17">
        <v>312</v>
      </c>
      <c r="E2389" s="17" t="s">
        <v>1463</v>
      </c>
      <c r="F2389" s="23">
        <v>599279</v>
      </c>
    </row>
    <row r="2390" spans="1:6" ht="16" customHeight="1" x14ac:dyDescent="0.2">
      <c r="A2390">
        <f>IFERROR(VLOOKUP(C2390,'GASB Match'!$D$2:$F$6042,3,FALSE),"")</f>
        <v>3400076</v>
      </c>
      <c r="B2390" s="28">
        <v>2017</v>
      </c>
      <c r="C2390" s="29" t="s">
        <v>419</v>
      </c>
      <c r="D2390" s="17">
        <v>312</v>
      </c>
      <c r="E2390" s="17" t="s">
        <v>1420</v>
      </c>
      <c r="F2390" s="29">
        <v>136223</v>
      </c>
    </row>
    <row r="2391" spans="1:6" ht="16" customHeight="1" x14ac:dyDescent="0.2">
      <c r="A2391">
        <f>IFERROR(VLOOKUP(C2391,'GASB Match'!$D$2:$F$6042,3,FALSE),"")</f>
        <v>3400763</v>
      </c>
      <c r="B2391" s="17">
        <v>2018</v>
      </c>
      <c r="C2391" s="17" t="s">
        <v>858</v>
      </c>
      <c r="D2391" s="17">
        <v>4083</v>
      </c>
      <c r="E2391" s="17" t="s">
        <v>1446</v>
      </c>
      <c r="F2391" s="20">
        <v>169369</v>
      </c>
    </row>
    <row r="2392" spans="1:6" ht="16" customHeight="1" x14ac:dyDescent="0.2">
      <c r="A2392">
        <f>IFERROR(VLOOKUP(C2392,'GASB Match'!$D$2:$F$6042,3,FALSE),"")</f>
        <v>3400763</v>
      </c>
      <c r="B2392" s="17">
        <v>2019</v>
      </c>
      <c r="C2392" s="17" t="s">
        <v>858</v>
      </c>
      <c r="D2392" s="17">
        <v>4083</v>
      </c>
      <c r="E2392" s="17" t="s">
        <v>1446</v>
      </c>
      <c r="F2392" s="20">
        <v>207587</v>
      </c>
    </row>
    <row r="2393" spans="1:6" ht="16" customHeight="1" x14ac:dyDescent="0.2">
      <c r="A2393">
        <f>IFERROR(VLOOKUP(C2393,'GASB Match'!$D$2:$F$6042,3,FALSE),"")</f>
        <v>3400763</v>
      </c>
      <c r="B2393" s="17">
        <v>2020</v>
      </c>
      <c r="C2393" s="21" t="s">
        <v>858</v>
      </c>
      <c r="D2393" s="17">
        <v>4083</v>
      </c>
      <c r="E2393" s="17" t="s">
        <v>1446</v>
      </c>
      <c r="F2393" s="23">
        <v>229556</v>
      </c>
    </row>
    <row r="2394" spans="1:6" ht="16" customHeight="1" x14ac:dyDescent="0.2">
      <c r="A2394">
        <f>IFERROR(VLOOKUP(C2394,'GASB Match'!$D$2:$F$6042,3,FALSE),"")</f>
        <v>3400763</v>
      </c>
      <c r="B2394" s="17">
        <v>2021</v>
      </c>
      <c r="C2394" s="25" t="s">
        <v>858</v>
      </c>
      <c r="D2394" s="17">
        <v>4083</v>
      </c>
      <c r="E2394" s="17" t="s">
        <v>1446</v>
      </c>
      <c r="F2394" s="23">
        <v>271044</v>
      </c>
    </row>
    <row r="2395" spans="1:6" ht="16" customHeight="1" x14ac:dyDescent="0.2">
      <c r="A2395">
        <f>IFERROR(VLOOKUP(C2395,'GASB Match'!$D$2:$F$6042,3,FALSE),"")</f>
        <v>3400763</v>
      </c>
      <c r="B2395" s="17">
        <v>2022</v>
      </c>
      <c r="C2395" s="21" t="s">
        <v>858</v>
      </c>
      <c r="D2395" s="17">
        <v>4083</v>
      </c>
      <c r="E2395" s="17" t="s">
        <v>1446</v>
      </c>
      <c r="F2395" s="23">
        <v>360372</v>
      </c>
    </row>
    <row r="2396" spans="1:6" ht="16" customHeight="1" x14ac:dyDescent="0.2">
      <c r="A2396">
        <f>IFERROR(VLOOKUP(C2396,'GASB Match'!$D$2:$F$6042,3,FALSE),"")</f>
        <v>3400763</v>
      </c>
      <c r="B2396" s="17">
        <v>2023</v>
      </c>
      <c r="C2396" s="21" t="s">
        <v>858</v>
      </c>
      <c r="D2396" s="17">
        <v>4083</v>
      </c>
      <c r="E2396" s="17" t="s">
        <v>1446</v>
      </c>
      <c r="F2396" s="23">
        <v>352713</v>
      </c>
    </row>
    <row r="2397" spans="1:6" ht="16" customHeight="1" x14ac:dyDescent="0.2">
      <c r="A2397">
        <f>IFERROR(VLOOKUP(C2397,'GASB Match'!$D$2:$F$6042,3,FALSE),"")</f>
        <v>3400763</v>
      </c>
      <c r="B2397" s="28">
        <v>2017</v>
      </c>
      <c r="C2397" s="29" t="s">
        <v>675</v>
      </c>
      <c r="D2397" s="17">
        <v>4083</v>
      </c>
      <c r="E2397" s="17" t="s">
        <v>1405</v>
      </c>
      <c r="F2397" s="29">
        <v>72776</v>
      </c>
    </row>
    <row r="2398" spans="1:6" ht="16" customHeight="1" x14ac:dyDescent="0.2">
      <c r="A2398">
        <f>IFERROR(VLOOKUP(C2398,'GASB Match'!$D$2:$F$6042,3,FALSE),"")</f>
        <v>3407470</v>
      </c>
      <c r="B2398" s="17">
        <v>2015</v>
      </c>
      <c r="C2398" s="17" t="s">
        <v>647</v>
      </c>
      <c r="D2398" s="17">
        <v>922</v>
      </c>
      <c r="E2398" s="17" t="s">
        <v>1429</v>
      </c>
      <c r="F2398" s="20">
        <v>72043</v>
      </c>
    </row>
    <row r="2399" spans="1:6" ht="16" customHeight="1" x14ac:dyDescent="0.2">
      <c r="A2399">
        <f>IFERROR(VLOOKUP(C2399,'GASB Match'!$D$2:$F$6042,3,FALSE),"")</f>
        <v>3407470</v>
      </c>
      <c r="B2399" s="17">
        <v>2016</v>
      </c>
      <c r="C2399" s="17" t="s">
        <v>647</v>
      </c>
      <c r="D2399" s="17">
        <v>922</v>
      </c>
      <c r="E2399" s="17" t="s">
        <v>1429</v>
      </c>
      <c r="F2399" s="20">
        <v>109527</v>
      </c>
    </row>
    <row r="2400" spans="1:6" ht="16" customHeight="1" x14ac:dyDescent="0.2">
      <c r="A2400">
        <f>IFERROR(VLOOKUP(C2400,'GASB Match'!$D$2:$F$6042,3,FALSE),"")</f>
        <v>3407470</v>
      </c>
      <c r="B2400" s="17">
        <v>2018</v>
      </c>
      <c r="C2400" s="17" t="s">
        <v>1340</v>
      </c>
      <c r="D2400" s="17">
        <v>922</v>
      </c>
      <c r="E2400" s="17" t="s">
        <v>1472</v>
      </c>
      <c r="F2400" s="20">
        <v>204567</v>
      </c>
    </row>
    <row r="2401" spans="1:6" ht="16" customHeight="1" x14ac:dyDescent="0.2">
      <c r="A2401">
        <f>IFERROR(VLOOKUP(C2401,'GASB Match'!$D$2:$F$6042,3,FALSE),"")</f>
        <v>3407470</v>
      </c>
      <c r="B2401" s="17">
        <v>2019</v>
      </c>
      <c r="C2401" s="17" t="s">
        <v>1340</v>
      </c>
      <c r="D2401" s="17">
        <v>922</v>
      </c>
      <c r="E2401" s="17" t="s">
        <v>1472</v>
      </c>
      <c r="F2401" s="20">
        <v>267234</v>
      </c>
    </row>
    <row r="2402" spans="1:6" ht="16" customHeight="1" x14ac:dyDescent="0.2">
      <c r="A2402">
        <f>IFERROR(VLOOKUP(C2402,'GASB Match'!$D$2:$F$6042,3,FALSE),"")</f>
        <v>3407470</v>
      </c>
      <c r="B2402" s="17">
        <v>2020</v>
      </c>
      <c r="C2402" s="21" t="s">
        <v>1340</v>
      </c>
      <c r="D2402" s="17">
        <v>922</v>
      </c>
      <c r="E2402" s="17" t="s">
        <v>1472</v>
      </c>
      <c r="F2402" s="23">
        <v>319136</v>
      </c>
    </row>
    <row r="2403" spans="1:6" ht="16" customHeight="1" x14ac:dyDescent="0.2">
      <c r="A2403">
        <f>IFERROR(VLOOKUP(C2403,'GASB Match'!$D$2:$F$6042,3,FALSE),"")</f>
        <v>3407470</v>
      </c>
      <c r="B2403" s="17">
        <v>2021</v>
      </c>
      <c r="C2403" s="25" t="s">
        <v>1340</v>
      </c>
      <c r="D2403" s="17">
        <v>922</v>
      </c>
      <c r="E2403" s="17" t="s">
        <v>1472</v>
      </c>
      <c r="F2403" s="23">
        <v>356698</v>
      </c>
    </row>
    <row r="2404" spans="1:6" ht="16" customHeight="1" x14ac:dyDescent="0.2">
      <c r="A2404">
        <f>IFERROR(VLOOKUP(C2404,'GASB Match'!$D$2:$F$6042,3,FALSE),"")</f>
        <v>3407470</v>
      </c>
      <c r="B2404" s="17">
        <v>2022</v>
      </c>
      <c r="C2404" s="21" t="s">
        <v>1340</v>
      </c>
      <c r="D2404" s="17">
        <v>922</v>
      </c>
      <c r="E2404" s="17" t="s">
        <v>1472</v>
      </c>
      <c r="F2404" s="23">
        <v>491251</v>
      </c>
    </row>
    <row r="2405" spans="1:6" ht="16" customHeight="1" x14ac:dyDescent="0.2">
      <c r="A2405">
        <f>IFERROR(VLOOKUP(C2405,'GASB Match'!$D$2:$F$6042,3,FALSE),"")</f>
        <v>3407470</v>
      </c>
      <c r="B2405" s="17">
        <v>2023</v>
      </c>
      <c r="C2405" s="21" t="s">
        <v>1340</v>
      </c>
      <c r="D2405" s="17">
        <v>922</v>
      </c>
      <c r="E2405" s="17" t="s">
        <v>1472</v>
      </c>
      <c r="F2405" s="23">
        <v>514017</v>
      </c>
    </row>
    <row r="2406" spans="1:6" ht="16" customHeight="1" x14ac:dyDescent="0.2">
      <c r="A2406">
        <f>IFERROR(VLOOKUP(C2406,'GASB Match'!$D$2:$F$6042,3,FALSE),"")</f>
        <v>3407470</v>
      </c>
      <c r="B2406" s="28">
        <v>2017</v>
      </c>
      <c r="C2406" s="29" t="s">
        <v>647</v>
      </c>
      <c r="D2406" s="17">
        <v>922</v>
      </c>
      <c r="E2406" s="17" t="s">
        <v>1429</v>
      </c>
      <c r="F2406" s="29">
        <v>152043</v>
      </c>
    </row>
    <row r="2407" spans="1:6" ht="16" customHeight="1" x14ac:dyDescent="0.2">
      <c r="A2407">
        <f>IFERROR(VLOOKUP(C2407,'GASB Match'!$D$2:$F$6042,3,FALSE),"")</f>
        <v>3407500</v>
      </c>
      <c r="B2407" s="17">
        <v>2015</v>
      </c>
      <c r="C2407" s="17" t="s">
        <v>220</v>
      </c>
      <c r="D2407" s="17">
        <v>5086</v>
      </c>
      <c r="E2407" s="17" t="s">
        <v>1408</v>
      </c>
      <c r="F2407" s="20">
        <v>189112</v>
      </c>
    </row>
    <row r="2408" spans="1:6" ht="16" customHeight="1" x14ac:dyDescent="0.2">
      <c r="A2408">
        <f>IFERROR(VLOOKUP(C2408,'GASB Match'!$D$2:$F$6042,3,FALSE),"")</f>
        <v>3407500</v>
      </c>
      <c r="B2408" s="17">
        <v>2016</v>
      </c>
      <c r="C2408" s="17" t="s">
        <v>220</v>
      </c>
      <c r="D2408" s="17">
        <v>5086</v>
      </c>
      <c r="E2408" s="17" t="s">
        <v>1408</v>
      </c>
      <c r="F2408" s="20">
        <v>280724</v>
      </c>
    </row>
    <row r="2409" spans="1:6" ht="16" customHeight="1" x14ac:dyDescent="0.2">
      <c r="A2409">
        <f>IFERROR(VLOOKUP(C2409,'GASB Match'!$D$2:$F$6042,3,FALSE),"")</f>
        <v>3407500</v>
      </c>
      <c r="B2409" s="17">
        <v>2018</v>
      </c>
      <c r="C2409" s="17" t="s">
        <v>906</v>
      </c>
      <c r="D2409" s="17">
        <v>5086</v>
      </c>
      <c r="E2409" s="17" t="s">
        <v>1449</v>
      </c>
      <c r="F2409" s="20">
        <v>520237</v>
      </c>
    </row>
    <row r="2410" spans="1:6" ht="16" customHeight="1" x14ac:dyDescent="0.2">
      <c r="A2410">
        <f>IFERROR(VLOOKUP(C2410,'GASB Match'!$D$2:$F$6042,3,FALSE),"")</f>
        <v>3407500</v>
      </c>
      <c r="B2410" s="17">
        <v>2019</v>
      </c>
      <c r="C2410" s="17" t="s">
        <v>906</v>
      </c>
      <c r="D2410" s="17">
        <v>5086</v>
      </c>
      <c r="E2410" s="17" t="s">
        <v>1449</v>
      </c>
      <c r="F2410" s="20">
        <v>700000</v>
      </c>
    </row>
    <row r="2411" spans="1:6" ht="16" customHeight="1" x14ac:dyDescent="0.2">
      <c r="A2411">
        <f>IFERROR(VLOOKUP(C2411,'GASB Match'!$D$2:$F$6042,3,FALSE),"")</f>
        <v>3407500</v>
      </c>
      <c r="B2411" s="17">
        <v>2020</v>
      </c>
      <c r="C2411" s="21" t="s">
        <v>906</v>
      </c>
      <c r="D2411" s="17">
        <v>5086</v>
      </c>
      <c r="E2411" s="17" t="s">
        <v>1449</v>
      </c>
      <c r="F2411" s="23">
        <v>729296</v>
      </c>
    </row>
    <row r="2412" spans="1:6" ht="16" customHeight="1" x14ac:dyDescent="0.2">
      <c r="A2412">
        <f>IFERROR(VLOOKUP(C2412,'GASB Match'!$D$2:$F$6042,3,FALSE),"")</f>
        <v>3407500</v>
      </c>
      <c r="B2412" s="17">
        <v>2021</v>
      </c>
      <c r="C2412" s="25" t="s">
        <v>906</v>
      </c>
      <c r="D2412" s="17">
        <v>5086</v>
      </c>
      <c r="E2412" s="17" t="s">
        <v>1449</v>
      </c>
      <c r="F2412" s="23">
        <v>926822</v>
      </c>
    </row>
    <row r="2413" spans="1:6" ht="16" customHeight="1" x14ac:dyDescent="0.2">
      <c r="A2413">
        <f>IFERROR(VLOOKUP(C2413,'GASB Match'!$D$2:$F$6042,3,FALSE),"")</f>
        <v>3407500</v>
      </c>
      <c r="B2413" s="17">
        <v>2022</v>
      </c>
      <c r="C2413" s="21" t="s">
        <v>906</v>
      </c>
      <c r="D2413" s="17">
        <v>5086</v>
      </c>
      <c r="E2413" s="17" t="s">
        <v>1449</v>
      </c>
      <c r="F2413" s="23">
        <v>1389881</v>
      </c>
    </row>
    <row r="2414" spans="1:6" ht="16" customHeight="1" x14ac:dyDescent="0.2">
      <c r="A2414">
        <f>IFERROR(VLOOKUP(C2414,'GASB Match'!$D$2:$F$6042,3,FALSE),"")</f>
        <v>3407500</v>
      </c>
      <c r="B2414" s="17">
        <v>2023</v>
      </c>
      <c r="C2414" s="21" t="s">
        <v>906</v>
      </c>
      <c r="D2414" s="17">
        <v>5086</v>
      </c>
      <c r="E2414" s="17" t="s">
        <v>1449</v>
      </c>
      <c r="F2414" s="23">
        <v>1364843</v>
      </c>
    </row>
    <row r="2415" spans="1:6" ht="16" customHeight="1" x14ac:dyDescent="0.2">
      <c r="A2415">
        <f>IFERROR(VLOOKUP(C2415,'GASB Match'!$D$2:$F$6042,3,FALSE),"")</f>
        <v>3407500</v>
      </c>
      <c r="B2415" s="28">
        <v>2017</v>
      </c>
      <c r="C2415" s="29" t="s">
        <v>220</v>
      </c>
      <c r="D2415" s="17">
        <v>5086</v>
      </c>
      <c r="E2415" s="17" t="s">
        <v>1408</v>
      </c>
      <c r="F2415" s="29">
        <v>388036</v>
      </c>
    </row>
    <row r="2416" spans="1:6" ht="16" customHeight="1" x14ac:dyDescent="0.2">
      <c r="A2416">
        <f>IFERROR(VLOOKUP(C2416,'GASB Match'!$D$2:$F$6042,3,FALSE),"")</f>
        <v>3407530</v>
      </c>
      <c r="B2416" s="17">
        <v>2015</v>
      </c>
      <c r="C2416" s="17" t="s">
        <v>359</v>
      </c>
      <c r="D2416" s="17">
        <v>123</v>
      </c>
      <c r="E2416" s="17" t="s">
        <v>1416</v>
      </c>
      <c r="F2416" s="20">
        <v>1696643</v>
      </c>
    </row>
    <row r="2417" spans="1:6" ht="16" customHeight="1" x14ac:dyDescent="0.2">
      <c r="A2417">
        <f>IFERROR(VLOOKUP(C2417,'GASB Match'!$D$2:$F$6042,3,FALSE),"")</f>
        <v>3407530</v>
      </c>
      <c r="B2417" s="17">
        <v>2016</v>
      </c>
      <c r="C2417" s="17" t="s">
        <v>359</v>
      </c>
      <c r="D2417" s="17">
        <v>123</v>
      </c>
      <c r="E2417" s="17" t="s">
        <v>1416</v>
      </c>
      <c r="F2417" s="20">
        <v>2543413</v>
      </c>
    </row>
    <row r="2418" spans="1:6" ht="16" customHeight="1" x14ac:dyDescent="0.2">
      <c r="A2418">
        <f>IFERROR(VLOOKUP(C2418,'GASB Match'!$D$2:$F$6042,3,FALSE),"")</f>
        <v>3407530</v>
      </c>
      <c r="B2418" s="17">
        <v>2018</v>
      </c>
      <c r="C2418" s="17" t="s">
        <v>1049</v>
      </c>
      <c r="D2418" s="17">
        <v>123</v>
      </c>
      <c r="E2418" s="17" t="s">
        <v>1459</v>
      </c>
      <c r="F2418" s="20">
        <v>4844667</v>
      </c>
    </row>
    <row r="2419" spans="1:6" ht="16" customHeight="1" x14ac:dyDescent="0.2">
      <c r="A2419">
        <f>IFERROR(VLOOKUP(C2419,'GASB Match'!$D$2:$F$6042,3,FALSE),"")</f>
        <v>3407530</v>
      </c>
      <c r="B2419" s="17">
        <v>2019</v>
      </c>
      <c r="C2419" s="17" t="s">
        <v>1049</v>
      </c>
      <c r="D2419" s="17">
        <v>123</v>
      </c>
      <c r="E2419" s="17" t="s">
        <v>1459</v>
      </c>
      <c r="F2419" s="20">
        <v>6460781</v>
      </c>
    </row>
    <row r="2420" spans="1:6" ht="16" customHeight="1" x14ac:dyDescent="0.2">
      <c r="A2420">
        <f>IFERROR(VLOOKUP(C2420,'GASB Match'!$D$2:$F$6042,3,FALSE),"")</f>
        <v>3407530</v>
      </c>
      <c r="B2420" s="17">
        <v>2020</v>
      </c>
      <c r="C2420" s="21" t="s">
        <v>1049</v>
      </c>
      <c r="D2420" s="17">
        <v>123</v>
      </c>
      <c r="E2420" s="17" t="s">
        <v>1459</v>
      </c>
      <c r="F2420" s="23">
        <v>7300542</v>
      </c>
    </row>
    <row r="2421" spans="1:6" ht="16" customHeight="1" x14ac:dyDescent="0.2">
      <c r="A2421">
        <f>IFERROR(VLOOKUP(C2421,'GASB Match'!$D$2:$F$6042,3,FALSE),"")</f>
        <v>3407530</v>
      </c>
      <c r="B2421" s="17">
        <v>2021</v>
      </c>
      <c r="C2421" s="25" t="s">
        <v>1049</v>
      </c>
      <c r="D2421" s="17">
        <v>123</v>
      </c>
      <c r="E2421" s="17" t="s">
        <v>1459</v>
      </c>
      <c r="F2421" s="23">
        <v>9477557</v>
      </c>
    </row>
    <row r="2422" spans="1:6" ht="16" customHeight="1" x14ac:dyDescent="0.2">
      <c r="A2422">
        <f>IFERROR(VLOOKUP(C2422,'GASB Match'!$D$2:$F$6042,3,FALSE),"")</f>
        <v>3407530</v>
      </c>
      <c r="B2422" s="17">
        <v>2022</v>
      </c>
      <c r="C2422" s="21" t="s">
        <v>1049</v>
      </c>
      <c r="D2422" s="17">
        <v>123</v>
      </c>
      <c r="E2422" s="17" t="s">
        <v>1459</v>
      </c>
      <c r="F2422" s="23">
        <v>13406615</v>
      </c>
    </row>
    <row r="2423" spans="1:6" ht="16" customHeight="1" x14ac:dyDescent="0.2">
      <c r="A2423">
        <f>IFERROR(VLOOKUP(C2423,'GASB Match'!$D$2:$F$6042,3,FALSE),"")</f>
        <v>3407530</v>
      </c>
      <c r="B2423" s="17">
        <v>2023</v>
      </c>
      <c r="C2423" s="21" t="s">
        <v>1049</v>
      </c>
      <c r="D2423" s="17">
        <v>123</v>
      </c>
      <c r="E2423" s="17" t="s">
        <v>1459</v>
      </c>
      <c r="F2423" s="23">
        <v>13299752</v>
      </c>
    </row>
    <row r="2424" spans="1:6" ht="16" customHeight="1" x14ac:dyDescent="0.2">
      <c r="A2424">
        <f>IFERROR(VLOOKUP(C2424,'GASB Match'!$D$2:$F$6042,3,FALSE),"")</f>
        <v>3407530</v>
      </c>
      <c r="B2424" s="28">
        <v>2017</v>
      </c>
      <c r="C2424" s="29" t="s">
        <v>359</v>
      </c>
      <c r="D2424" s="17">
        <v>123</v>
      </c>
      <c r="E2424" s="17" t="s">
        <v>1416</v>
      </c>
      <c r="F2424" s="29">
        <v>3535130</v>
      </c>
    </row>
    <row r="2425" spans="1:6" ht="16" customHeight="1" x14ac:dyDescent="0.2">
      <c r="A2425">
        <f>IFERROR(VLOOKUP(C2425,'GASB Match'!$D$2:$F$6042,3,FALSE),"")</f>
        <v>3407560</v>
      </c>
      <c r="B2425" s="17">
        <v>2015</v>
      </c>
      <c r="C2425" s="17" t="s">
        <v>420</v>
      </c>
      <c r="D2425" s="17">
        <v>335</v>
      </c>
      <c r="E2425" s="17" t="s">
        <v>1420</v>
      </c>
      <c r="F2425" s="20">
        <v>2453877</v>
      </c>
    </row>
    <row r="2426" spans="1:6" ht="16" customHeight="1" x14ac:dyDescent="0.2">
      <c r="A2426">
        <f>IFERROR(VLOOKUP(C2426,'GASB Match'!$D$2:$F$6042,3,FALSE),"")</f>
        <v>3407560</v>
      </c>
      <c r="B2426" s="17">
        <v>2016</v>
      </c>
      <c r="C2426" s="17" t="s">
        <v>420</v>
      </c>
      <c r="D2426" s="17">
        <v>335</v>
      </c>
      <c r="E2426" s="17" t="s">
        <v>1420</v>
      </c>
      <c r="F2426" s="20">
        <v>3899139</v>
      </c>
    </row>
    <row r="2427" spans="1:6" ht="16" customHeight="1" x14ac:dyDescent="0.2">
      <c r="A2427">
        <f>IFERROR(VLOOKUP(C2427,'GASB Match'!$D$2:$F$6042,3,FALSE),"")</f>
        <v>3407560</v>
      </c>
      <c r="B2427" s="17">
        <v>2018</v>
      </c>
      <c r="C2427" s="17" t="s">
        <v>1112</v>
      </c>
      <c r="D2427" s="17">
        <v>335</v>
      </c>
      <c r="E2427" s="17" t="s">
        <v>1463</v>
      </c>
      <c r="F2427" s="20">
        <v>6999478</v>
      </c>
    </row>
    <row r="2428" spans="1:6" ht="16" customHeight="1" x14ac:dyDescent="0.2">
      <c r="A2428">
        <f>IFERROR(VLOOKUP(C2428,'GASB Match'!$D$2:$F$6042,3,FALSE),"")</f>
        <v>3407560</v>
      </c>
      <c r="B2428" s="17">
        <v>2019</v>
      </c>
      <c r="C2428" s="17" t="s">
        <v>1112</v>
      </c>
      <c r="D2428" s="17">
        <v>335</v>
      </c>
      <c r="E2428" s="17" t="s">
        <v>1463</v>
      </c>
      <c r="F2428" s="20">
        <v>9205446</v>
      </c>
    </row>
    <row r="2429" spans="1:6" ht="16" customHeight="1" x14ac:dyDescent="0.2">
      <c r="A2429">
        <f>IFERROR(VLOOKUP(C2429,'GASB Match'!$D$2:$F$6042,3,FALSE),"")</f>
        <v>3407560</v>
      </c>
      <c r="B2429" s="17">
        <v>2020</v>
      </c>
      <c r="C2429" s="21" t="s">
        <v>1112</v>
      </c>
      <c r="D2429" s="17">
        <v>335</v>
      </c>
      <c r="E2429" s="17" t="s">
        <v>1463</v>
      </c>
      <c r="F2429" s="23">
        <v>10441526</v>
      </c>
    </row>
    <row r="2430" spans="1:6" ht="16" customHeight="1" x14ac:dyDescent="0.2">
      <c r="A2430">
        <f>IFERROR(VLOOKUP(C2430,'GASB Match'!$D$2:$F$6042,3,FALSE),"")</f>
        <v>3407560</v>
      </c>
      <c r="B2430" s="17">
        <v>2021</v>
      </c>
      <c r="C2430" s="25" t="s">
        <v>1112</v>
      </c>
      <c r="D2430" s="17">
        <v>335</v>
      </c>
      <c r="E2430" s="17" t="s">
        <v>1463</v>
      </c>
      <c r="F2430" s="23">
        <v>13381215</v>
      </c>
    </row>
    <row r="2431" spans="1:6" ht="16" customHeight="1" x14ac:dyDescent="0.2">
      <c r="A2431">
        <f>IFERROR(VLOOKUP(C2431,'GASB Match'!$D$2:$F$6042,3,FALSE),"")</f>
        <v>3407560</v>
      </c>
      <c r="B2431" s="17">
        <v>2022</v>
      </c>
      <c r="C2431" s="21" t="s">
        <v>1112</v>
      </c>
      <c r="D2431" s="17">
        <v>335</v>
      </c>
      <c r="E2431" s="17" t="s">
        <v>1463</v>
      </c>
      <c r="F2431" s="23">
        <v>19034134</v>
      </c>
    </row>
    <row r="2432" spans="1:6" ht="16" customHeight="1" x14ac:dyDescent="0.2">
      <c r="A2432">
        <f>IFERROR(VLOOKUP(C2432,'GASB Match'!$D$2:$F$6042,3,FALSE),"")</f>
        <v>3407560</v>
      </c>
      <c r="B2432" s="17">
        <v>2023</v>
      </c>
      <c r="C2432" s="21" t="s">
        <v>1112</v>
      </c>
      <c r="D2432" s="17">
        <v>335</v>
      </c>
      <c r="E2432" s="17" t="s">
        <v>1463</v>
      </c>
      <c r="F2432" s="23">
        <v>18456147</v>
      </c>
    </row>
    <row r="2433" spans="1:6" ht="16" customHeight="1" x14ac:dyDescent="0.2">
      <c r="A2433">
        <f>IFERROR(VLOOKUP(C2433,'GASB Match'!$D$2:$F$6042,3,FALSE),"")</f>
        <v>3407560</v>
      </c>
      <c r="B2433" s="28">
        <v>2017</v>
      </c>
      <c r="C2433" s="29" t="s">
        <v>420</v>
      </c>
      <c r="D2433" s="17">
        <v>335</v>
      </c>
      <c r="E2433" s="17" t="s">
        <v>1420</v>
      </c>
      <c r="F2433" s="29">
        <v>5468562</v>
      </c>
    </row>
    <row r="2434" spans="1:6" ht="16" customHeight="1" x14ac:dyDescent="0.2">
      <c r="A2434">
        <f>IFERROR(VLOOKUP(C2434,'GASB Match'!$D$2:$F$6042,3,FALSE),"")</f>
        <v>3400787</v>
      </c>
      <c r="B2434" s="17">
        <v>2019</v>
      </c>
      <c r="C2434" s="17" t="s">
        <v>1367</v>
      </c>
      <c r="D2434" s="17">
        <v>8101</v>
      </c>
      <c r="E2434" s="17" t="s">
        <v>1456</v>
      </c>
      <c r="F2434" s="20">
        <v>261121</v>
      </c>
    </row>
    <row r="2435" spans="1:6" ht="16" customHeight="1" x14ac:dyDescent="0.2">
      <c r="A2435">
        <f>IFERROR(VLOOKUP(C2435,'GASB Match'!$D$2:$F$6042,3,FALSE),"")</f>
        <v>3400787</v>
      </c>
      <c r="B2435" s="17">
        <v>2020</v>
      </c>
      <c r="C2435" s="21" t="s">
        <v>1367</v>
      </c>
      <c r="D2435" s="17">
        <v>8101</v>
      </c>
      <c r="E2435" s="17" t="s">
        <v>1456</v>
      </c>
      <c r="F2435" s="23">
        <v>366574</v>
      </c>
    </row>
    <row r="2436" spans="1:6" ht="16" customHeight="1" x14ac:dyDescent="0.2">
      <c r="A2436">
        <f>IFERROR(VLOOKUP(C2436,'GASB Match'!$D$2:$F$6042,3,FALSE),"")</f>
        <v>3400787</v>
      </c>
      <c r="B2436" s="17">
        <v>2021</v>
      </c>
      <c r="C2436" s="25" t="s">
        <v>1367</v>
      </c>
      <c r="D2436" s="17">
        <v>8101</v>
      </c>
      <c r="E2436" s="17" t="s">
        <v>1456</v>
      </c>
      <c r="F2436" s="23">
        <v>650533</v>
      </c>
    </row>
    <row r="2437" spans="1:6" ht="16" customHeight="1" x14ac:dyDescent="0.2">
      <c r="A2437">
        <f>IFERROR(VLOOKUP(C2437,'GASB Match'!$D$2:$F$6042,3,FALSE),"")</f>
        <v>3400787</v>
      </c>
      <c r="B2437" s="17">
        <v>2022</v>
      </c>
      <c r="C2437" s="21" t="s">
        <v>1367</v>
      </c>
      <c r="D2437" s="17">
        <v>8101</v>
      </c>
      <c r="E2437" s="17" t="s">
        <v>1456</v>
      </c>
      <c r="F2437" s="23">
        <v>1180106</v>
      </c>
    </row>
    <row r="2438" spans="1:6" ht="16" customHeight="1" x14ac:dyDescent="0.2">
      <c r="A2438">
        <f>IFERROR(VLOOKUP(C2438,'GASB Match'!$D$2:$F$6042,3,FALSE),"")</f>
        <v>3400787</v>
      </c>
      <c r="B2438" s="17">
        <v>2023</v>
      </c>
      <c r="C2438" s="21" t="s">
        <v>1367</v>
      </c>
      <c r="D2438" s="17">
        <v>8101</v>
      </c>
      <c r="E2438" s="17" t="s">
        <v>1456</v>
      </c>
      <c r="F2438" s="23">
        <v>1035770</v>
      </c>
    </row>
    <row r="2439" spans="1:6" ht="16" customHeight="1" x14ac:dyDescent="0.2">
      <c r="A2439">
        <f>IFERROR(VLOOKUP(C2439,'GASB Match'!$D$2:$F$6042,3,FALSE),"")</f>
        <v>3407570</v>
      </c>
      <c r="B2439" s="17">
        <v>2015</v>
      </c>
      <c r="C2439" s="17" t="s">
        <v>311</v>
      </c>
      <c r="D2439" s="17">
        <v>956</v>
      </c>
      <c r="E2439" s="17" t="s">
        <v>1413</v>
      </c>
      <c r="F2439" s="20">
        <v>1024140</v>
      </c>
    </row>
    <row r="2440" spans="1:6" ht="16" customHeight="1" x14ac:dyDescent="0.2">
      <c r="A2440">
        <f>IFERROR(VLOOKUP(C2440,'GASB Match'!$D$2:$F$6042,3,FALSE),"")</f>
        <v>3407570</v>
      </c>
      <c r="B2440" s="17">
        <v>2016</v>
      </c>
      <c r="C2440" s="17" t="s">
        <v>311</v>
      </c>
      <c r="D2440" s="17">
        <v>956</v>
      </c>
      <c r="E2440" s="17" t="s">
        <v>1413</v>
      </c>
      <c r="F2440" s="20">
        <v>1544747</v>
      </c>
    </row>
    <row r="2441" spans="1:6" ht="16" customHeight="1" x14ac:dyDescent="0.2">
      <c r="A2441">
        <f>IFERROR(VLOOKUP(C2441,'GASB Match'!$D$2:$F$6042,3,FALSE),"")</f>
        <v>3407570</v>
      </c>
      <c r="B2441" s="17">
        <v>2018</v>
      </c>
      <c r="C2441" s="17" t="s">
        <v>1003</v>
      </c>
      <c r="D2441" s="17">
        <v>956</v>
      </c>
      <c r="E2441" s="17" t="s">
        <v>1456</v>
      </c>
      <c r="F2441" s="20">
        <v>3020332</v>
      </c>
    </row>
    <row r="2442" spans="1:6" ht="16" customHeight="1" x14ac:dyDescent="0.2">
      <c r="A2442">
        <f>IFERROR(VLOOKUP(C2442,'GASB Match'!$D$2:$F$6042,3,FALSE),"")</f>
        <v>3407570</v>
      </c>
      <c r="B2442" s="17">
        <v>2019</v>
      </c>
      <c r="C2442" s="17" t="s">
        <v>1003</v>
      </c>
      <c r="D2442" s="17">
        <v>956</v>
      </c>
      <c r="E2442" s="17" t="s">
        <v>1456</v>
      </c>
      <c r="F2442" s="20">
        <v>4095376</v>
      </c>
    </row>
    <row r="2443" spans="1:6" ht="16" customHeight="1" x14ac:dyDescent="0.2">
      <c r="A2443">
        <f>IFERROR(VLOOKUP(C2443,'GASB Match'!$D$2:$F$6042,3,FALSE),"")</f>
        <v>3407570</v>
      </c>
      <c r="B2443" s="17">
        <v>2020</v>
      </c>
      <c r="C2443" s="21" t="s">
        <v>1003</v>
      </c>
      <c r="D2443" s="17">
        <v>956</v>
      </c>
      <c r="E2443" s="17" t="s">
        <v>1456</v>
      </c>
      <c r="F2443" s="23">
        <v>4590842</v>
      </c>
    </row>
    <row r="2444" spans="1:6" ht="16" customHeight="1" x14ac:dyDescent="0.2">
      <c r="A2444">
        <f>IFERROR(VLOOKUP(C2444,'GASB Match'!$D$2:$F$6042,3,FALSE),"")</f>
        <v>3407570</v>
      </c>
      <c r="B2444" s="17">
        <v>2021</v>
      </c>
      <c r="C2444" s="25" t="s">
        <v>1003</v>
      </c>
      <c r="D2444" s="17">
        <v>956</v>
      </c>
      <c r="E2444" s="17" t="s">
        <v>1456</v>
      </c>
      <c r="F2444" s="23">
        <v>5918298</v>
      </c>
    </row>
    <row r="2445" spans="1:6" ht="16" customHeight="1" x14ac:dyDescent="0.2">
      <c r="A2445">
        <f>IFERROR(VLOOKUP(C2445,'GASB Match'!$D$2:$F$6042,3,FALSE),"")</f>
        <v>3407570</v>
      </c>
      <c r="B2445" s="17">
        <v>2022</v>
      </c>
      <c r="C2445" s="21" t="s">
        <v>1003</v>
      </c>
      <c r="D2445" s="17">
        <v>956</v>
      </c>
      <c r="E2445" s="17" t="s">
        <v>1456</v>
      </c>
      <c r="F2445" s="23">
        <v>8744966</v>
      </c>
    </row>
    <row r="2446" spans="1:6" ht="16" customHeight="1" x14ac:dyDescent="0.2">
      <c r="A2446">
        <f>IFERROR(VLOOKUP(C2446,'GASB Match'!$D$2:$F$6042,3,FALSE),"")</f>
        <v>3407570</v>
      </c>
      <c r="B2446" s="17">
        <v>2023</v>
      </c>
      <c r="C2446" s="21" t="s">
        <v>1003</v>
      </c>
      <c r="D2446" s="17">
        <v>956</v>
      </c>
      <c r="E2446" s="17" t="s">
        <v>1456</v>
      </c>
      <c r="F2446" s="23">
        <v>8749675</v>
      </c>
    </row>
    <row r="2447" spans="1:6" ht="16" customHeight="1" x14ac:dyDescent="0.2">
      <c r="A2447">
        <f>IFERROR(VLOOKUP(C2447,'GASB Match'!$D$2:$F$6042,3,FALSE),"")</f>
        <v>3407570</v>
      </c>
      <c r="B2447" s="28">
        <v>2017</v>
      </c>
      <c r="C2447" s="29" t="s">
        <v>311</v>
      </c>
      <c r="D2447" s="17">
        <v>956</v>
      </c>
      <c r="E2447" s="17" t="s">
        <v>1413</v>
      </c>
      <c r="F2447" s="29">
        <v>2195036</v>
      </c>
    </row>
    <row r="2448" spans="1:6" ht="16" customHeight="1" x14ac:dyDescent="0.2">
      <c r="A2448">
        <f>IFERROR(VLOOKUP(C2448,'GASB Match'!$D$2:$F$6042,3,FALSE),"")</f>
        <v>3407590</v>
      </c>
      <c r="B2448" s="17">
        <v>2015</v>
      </c>
      <c r="C2448" s="17" t="s">
        <v>340</v>
      </c>
      <c r="D2448" s="17">
        <v>9030</v>
      </c>
      <c r="E2448" s="17" t="s">
        <v>1415</v>
      </c>
      <c r="F2448" s="20">
        <v>1078227</v>
      </c>
    </row>
    <row r="2449" spans="1:6" ht="16" customHeight="1" x14ac:dyDescent="0.2">
      <c r="A2449">
        <f>IFERROR(VLOOKUP(C2449,'GASB Match'!$D$2:$F$6042,3,FALSE),"")</f>
        <v>3407590</v>
      </c>
      <c r="B2449" s="17">
        <v>2016</v>
      </c>
      <c r="C2449" s="17" t="s">
        <v>340</v>
      </c>
      <c r="D2449" s="17">
        <v>9030</v>
      </c>
      <c r="E2449" s="17" t="s">
        <v>1415</v>
      </c>
      <c r="F2449" s="20">
        <v>1678764</v>
      </c>
    </row>
    <row r="2450" spans="1:6" ht="16" customHeight="1" x14ac:dyDescent="0.2">
      <c r="A2450">
        <f>IFERROR(VLOOKUP(C2450,'GASB Match'!$D$2:$F$6042,3,FALSE),"")</f>
        <v>3407590</v>
      </c>
      <c r="B2450" s="17">
        <v>2018</v>
      </c>
      <c r="C2450" s="17" t="s">
        <v>1033</v>
      </c>
      <c r="D2450" s="17">
        <v>9030</v>
      </c>
      <c r="E2450" s="17" t="s">
        <v>1458</v>
      </c>
      <c r="F2450" s="20">
        <v>3131453</v>
      </c>
    </row>
    <row r="2451" spans="1:6" ht="16" customHeight="1" x14ac:dyDescent="0.2">
      <c r="A2451">
        <f>IFERROR(VLOOKUP(C2451,'GASB Match'!$D$2:$F$6042,3,FALSE),"")</f>
        <v>3407590</v>
      </c>
      <c r="B2451" s="17">
        <v>2019</v>
      </c>
      <c r="C2451" s="17" t="s">
        <v>1033</v>
      </c>
      <c r="D2451" s="17">
        <v>9030</v>
      </c>
      <c r="E2451" s="17" t="s">
        <v>1458</v>
      </c>
      <c r="F2451" s="20">
        <v>4133766</v>
      </c>
    </row>
    <row r="2452" spans="1:6" ht="16" customHeight="1" x14ac:dyDescent="0.2">
      <c r="A2452">
        <f>IFERROR(VLOOKUP(C2452,'GASB Match'!$D$2:$F$6042,3,FALSE),"")</f>
        <v>3407590</v>
      </c>
      <c r="B2452" s="17">
        <v>2020</v>
      </c>
      <c r="C2452" s="21" t="s">
        <v>1033</v>
      </c>
      <c r="D2452" s="17">
        <v>9030</v>
      </c>
      <c r="E2452" s="17" t="s">
        <v>1458</v>
      </c>
      <c r="F2452" s="23">
        <v>4821287</v>
      </c>
    </row>
    <row r="2453" spans="1:6" ht="16" customHeight="1" x14ac:dyDescent="0.2">
      <c r="A2453">
        <f>IFERROR(VLOOKUP(C2453,'GASB Match'!$D$2:$F$6042,3,FALSE),"")</f>
        <v>3407590</v>
      </c>
      <c r="B2453" s="17">
        <v>2021</v>
      </c>
      <c r="C2453" s="25" t="s">
        <v>1033</v>
      </c>
      <c r="D2453" s="17">
        <v>9030</v>
      </c>
      <c r="E2453" s="17" t="s">
        <v>1458</v>
      </c>
      <c r="F2453" s="23">
        <v>6145697</v>
      </c>
    </row>
    <row r="2454" spans="1:6" ht="16" customHeight="1" x14ac:dyDescent="0.2">
      <c r="A2454">
        <f>IFERROR(VLOOKUP(C2454,'GASB Match'!$D$2:$F$6042,3,FALSE),"")</f>
        <v>3407590</v>
      </c>
      <c r="B2454" s="17">
        <v>2022</v>
      </c>
      <c r="C2454" s="21" t="s">
        <v>1033</v>
      </c>
      <c r="D2454" s="17">
        <v>9030</v>
      </c>
      <c r="E2454" s="17" t="s">
        <v>1458</v>
      </c>
      <c r="F2454" s="23">
        <v>8662545</v>
      </c>
    </row>
    <row r="2455" spans="1:6" ht="16" customHeight="1" x14ac:dyDescent="0.2">
      <c r="A2455">
        <f>IFERROR(VLOOKUP(C2455,'GASB Match'!$D$2:$F$6042,3,FALSE),"")</f>
        <v>3407590</v>
      </c>
      <c r="B2455" s="17">
        <v>2023</v>
      </c>
      <c r="C2455" s="21" t="s">
        <v>1033</v>
      </c>
      <c r="D2455" s="17">
        <v>9030</v>
      </c>
      <c r="E2455" s="17" t="s">
        <v>1458</v>
      </c>
      <c r="F2455" s="23">
        <v>8670446</v>
      </c>
    </row>
    <row r="2456" spans="1:6" ht="16" customHeight="1" x14ac:dyDescent="0.2">
      <c r="A2456">
        <f>IFERROR(VLOOKUP(C2456,'GASB Match'!$D$2:$F$6042,3,FALSE),"")</f>
        <v>3407590</v>
      </c>
      <c r="B2456" s="28">
        <v>2017</v>
      </c>
      <c r="C2456" s="29" t="s">
        <v>340</v>
      </c>
      <c r="D2456" s="17">
        <v>9030</v>
      </c>
      <c r="E2456" s="17" t="s">
        <v>1415</v>
      </c>
      <c r="F2456" s="29">
        <v>2371618</v>
      </c>
    </row>
    <row r="2457" spans="1:6" ht="16" customHeight="1" x14ac:dyDescent="0.2">
      <c r="A2457">
        <f>IFERROR(VLOOKUP(C2457,'GASB Match'!$D$2:$F$6042,3,FALSE),"")</f>
        <v>3480360</v>
      </c>
      <c r="B2457" s="17">
        <v>2015</v>
      </c>
      <c r="C2457" s="17" t="s">
        <v>341</v>
      </c>
      <c r="D2457" s="17">
        <v>9041</v>
      </c>
      <c r="E2457" s="17" t="s">
        <v>1415</v>
      </c>
      <c r="F2457" s="20">
        <v>125010</v>
      </c>
    </row>
    <row r="2458" spans="1:6" ht="16" customHeight="1" x14ac:dyDescent="0.2">
      <c r="A2458">
        <f>IFERROR(VLOOKUP(C2458,'GASB Match'!$D$2:$F$6042,3,FALSE),"")</f>
        <v>3480360</v>
      </c>
      <c r="B2458" s="17">
        <v>2016</v>
      </c>
      <c r="C2458" s="17" t="s">
        <v>341</v>
      </c>
      <c r="D2458" s="17">
        <v>9041</v>
      </c>
      <c r="E2458" s="17" t="s">
        <v>1415</v>
      </c>
      <c r="F2458" s="20">
        <v>184430</v>
      </c>
    </row>
    <row r="2459" spans="1:6" ht="16" customHeight="1" x14ac:dyDescent="0.2">
      <c r="A2459">
        <f>IFERROR(VLOOKUP(C2459,'GASB Match'!$D$2:$F$6042,3,FALSE),"")</f>
        <v>3480360</v>
      </c>
      <c r="B2459" s="17">
        <v>2018</v>
      </c>
      <c r="C2459" s="17" t="s">
        <v>1034</v>
      </c>
      <c r="D2459" s="17">
        <v>9041</v>
      </c>
      <c r="E2459" s="17" t="s">
        <v>1458</v>
      </c>
      <c r="F2459" s="20">
        <v>329298</v>
      </c>
    </row>
    <row r="2460" spans="1:6" ht="16" customHeight="1" x14ac:dyDescent="0.2">
      <c r="A2460">
        <f>IFERROR(VLOOKUP(C2460,'GASB Match'!$D$2:$F$6042,3,FALSE),"")</f>
        <v>3480360</v>
      </c>
      <c r="B2460" s="17">
        <v>2019</v>
      </c>
      <c r="C2460" s="17" t="s">
        <v>1034</v>
      </c>
      <c r="D2460" s="17">
        <v>9041</v>
      </c>
      <c r="E2460" s="17" t="s">
        <v>1458</v>
      </c>
      <c r="F2460" s="20">
        <v>379300</v>
      </c>
    </row>
    <row r="2461" spans="1:6" ht="16" customHeight="1" x14ac:dyDescent="0.2">
      <c r="A2461">
        <f>IFERROR(VLOOKUP(C2461,'GASB Match'!$D$2:$F$6042,3,FALSE),"")</f>
        <v>3480360</v>
      </c>
      <c r="B2461" s="17">
        <v>2020</v>
      </c>
      <c r="C2461" s="21" t="s">
        <v>1034</v>
      </c>
      <c r="D2461" s="17">
        <v>9041</v>
      </c>
      <c r="E2461" s="17" t="s">
        <v>1458</v>
      </c>
      <c r="F2461" s="23">
        <v>387246</v>
      </c>
    </row>
    <row r="2462" spans="1:6" ht="16" customHeight="1" x14ac:dyDescent="0.2">
      <c r="A2462">
        <f>IFERROR(VLOOKUP(C2462,'GASB Match'!$D$2:$F$6042,3,FALSE),"")</f>
        <v>3480360</v>
      </c>
      <c r="B2462" s="17">
        <v>2021</v>
      </c>
      <c r="C2462" s="25" t="s">
        <v>1034</v>
      </c>
      <c r="D2462" s="17">
        <v>9041</v>
      </c>
      <c r="E2462" s="17" t="s">
        <v>1458</v>
      </c>
      <c r="F2462" s="23">
        <v>408532</v>
      </c>
    </row>
    <row r="2463" spans="1:6" ht="16" customHeight="1" x14ac:dyDescent="0.2">
      <c r="A2463">
        <f>IFERROR(VLOOKUP(C2463,'GASB Match'!$D$2:$F$6042,3,FALSE),"")</f>
        <v>3480360</v>
      </c>
      <c r="B2463" s="17">
        <v>2022</v>
      </c>
      <c r="C2463" s="21" t="s">
        <v>1034</v>
      </c>
      <c r="D2463" s="17">
        <v>9041</v>
      </c>
      <c r="E2463" s="17" t="s">
        <v>1458</v>
      </c>
      <c r="F2463" s="23">
        <v>536705</v>
      </c>
    </row>
    <row r="2464" spans="1:6" ht="16" customHeight="1" x14ac:dyDescent="0.2">
      <c r="A2464">
        <f>IFERROR(VLOOKUP(C2464,'GASB Match'!$D$2:$F$6042,3,FALSE),"")</f>
        <v>3480360</v>
      </c>
      <c r="B2464" s="17">
        <v>2023</v>
      </c>
      <c r="C2464" s="21" t="s">
        <v>1034</v>
      </c>
      <c r="D2464" s="17">
        <v>9041</v>
      </c>
      <c r="E2464" s="17" t="s">
        <v>1458</v>
      </c>
      <c r="F2464" s="23">
        <v>487501</v>
      </c>
    </row>
    <row r="2465" spans="1:6" ht="16" customHeight="1" x14ac:dyDescent="0.2">
      <c r="A2465">
        <f>IFERROR(VLOOKUP(C2465,'GASB Match'!$D$2:$F$6042,3,FALSE),"")</f>
        <v>3480360</v>
      </c>
      <c r="B2465" s="28">
        <v>2017</v>
      </c>
      <c r="C2465" s="29" t="s">
        <v>341</v>
      </c>
      <c r="D2465" s="17">
        <v>9041</v>
      </c>
      <c r="E2465" s="17" t="s">
        <v>1415</v>
      </c>
      <c r="F2465" s="29">
        <v>255327</v>
      </c>
    </row>
    <row r="2466" spans="1:6" ht="16" customHeight="1" x14ac:dyDescent="0.2">
      <c r="A2466">
        <f>IFERROR(VLOOKUP(C2466,'GASB Match'!$D$2:$F$6042,3,FALSE),"")</f>
        <v>3400050</v>
      </c>
      <c r="B2466" s="17">
        <v>2015</v>
      </c>
      <c r="C2466" s="17" t="s">
        <v>342</v>
      </c>
      <c r="D2466" s="17">
        <v>9001</v>
      </c>
      <c r="E2466" s="17" t="s">
        <v>1415</v>
      </c>
      <c r="F2466" s="20">
        <v>71599</v>
      </c>
    </row>
    <row r="2467" spans="1:6" ht="16" customHeight="1" x14ac:dyDescent="0.2">
      <c r="A2467">
        <f>IFERROR(VLOOKUP(C2467,'GASB Match'!$D$2:$F$6042,3,FALSE),"")</f>
        <v>3400050</v>
      </c>
      <c r="B2467" s="17">
        <v>2016</v>
      </c>
      <c r="C2467" s="17" t="s">
        <v>342</v>
      </c>
      <c r="D2467" s="17">
        <v>9001</v>
      </c>
      <c r="E2467" s="17" t="s">
        <v>1415</v>
      </c>
      <c r="F2467" s="20">
        <v>110200</v>
      </c>
    </row>
    <row r="2468" spans="1:6" ht="16" customHeight="1" x14ac:dyDescent="0.2">
      <c r="A2468">
        <f>IFERROR(VLOOKUP(C2468,'GASB Match'!$D$2:$F$6042,3,FALSE),"")</f>
        <v>3400050</v>
      </c>
      <c r="B2468" s="17">
        <v>2018</v>
      </c>
      <c r="C2468" s="17" t="s">
        <v>1035</v>
      </c>
      <c r="D2468" s="17">
        <v>9001</v>
      </c>
      <c r="E2468" s="17" t="s">
        <v>1458</v>
      </c>
      <c r="F2468" s="20">
        <v>214832</v>
      </c>
    </row>
    <row r="2469" spans="1:6" ht="16" customHeight="1" x14ac:dyDescent="0.2">
      <c r="A2469">
        <f>IFERROR(VLOOKUP(C2469,'GASB Match'!$D$2:$F$6042,3,FALSE),"")</f>
        <v>3400050</v>
      </c>
      <c r="B2469" s="17">
        <v>2019</v>
      </c>
      <c r="C2469" s="17" t="s">
        <v>1035</v>
      </c>
      <c r="D2469" s="17">
        <v>9001</v>
      </c>
      <c r="E2469" s="17" t="s">
        <v>1458</v>
      </c>
      <c r="F2469" s="20">
        <v>248183</v>
      </c>
    </row>
    <row r="2470" spans="1:6" ht="16" customHeight="1" x14ac:dyDescent="0.2">
      <c r="A2470">
        <f>IFERROR(VLOOKUP(C2470,'GASB Match'!$D$2:$F$6042,3,FALSE),"")</f>
        <v>3400050</v>
      </c>
      <c r="B2470" s="17">
        <v>2020</v>
      </c>
      <c r="C2470" s="21" t="s">
        <v>1035</v>
      </c>
      <c r="D2470" s="17">
        <v>9001</v>
      </c>
      <c r="E2470" s="17" t="s">
        <v>1458</v>
      </c>
      <c r="F2470" s="23">
        <v>319547</v>
      </c>
    </row>
    <row r="2471" spans="1:6" ht="16" customHeight="1" x14ac:dyDescent="0.2">
      <c r="A2471">
        <f>IFERROR(VLOOKUP(C2471,'GASB Match'!$D$2:$F$6042,3,FALSE),"")</f>
        <v>3400050</v>
      </c>
      <c r="B2471" s="17">
        <v>2021</v>
      </c>
      <c r="C2471" s="25" t="s">
        <v>1035</v>
      </c>
      <c r="D2471" s="17">
        <v>9001</v>
      </c>
      <c r="E2471" s="17" t="s">
        <v>1458</v>
      </c>
      <c r="F2471" s="23">
        <v>448732</v>
      </c>
    </row>
    <row r="2472" spans="1:6" ht="16" customHeight="1" x14ac:dyDescent="0.2">
      <c r="A2472">
        <f>IFERROR(VLOOKUP(C2472,'GASB Match'!$D$2:$F$6042,3,FALSE),"")</f>
        <v>3400050</v>
      </c>
      <c r="B2472" s="17">
        <v>2022</v>
      </c>
      <c r="C2472" s="21" t="s">
        <v>1035</v>
      </c>
      <c r="D2472" s="17">
        <v>9001</v>
      </c>
      <c r="E2472" s="17" t="s">
        <v>1458</v>
      </c>
      <c r="F2472" s="23">
        <v>618585</v>
      </c>
    </row>
    <row r="2473" spans="1:6" ht="16" customHeight="1" x14ac:dyDescent="0.2">
      <c r="A2473">
        <f>IFERROR(VLOOKUP(C2473,'GASB Match'!$D$2:$F$6042,3,FALSE),"")</f>
        <v>3400050</v>
      </c>
      <c r="B2473" s="17">
        <v>2023</v>
      </c>
      <c r="C2473" s="21" t="s">
        <v>1035</v>
      </c>
      <c r="D2473" s="17">
        <v>9001</v>
      </c>
      <c r="E2473" s="17" t="s">
        <v>1458</v>
      </c>
      <c r="F2473" s="23">
        <v>777024</v>
      </c>
    </row>
    <row r="2474" spans="1:6" ht="16" customHeight="1" x14ac:dyDescent="0.2">
      <c r="A2474">
        <f>IFERROR(VLOOKUP(C2474,'GASB Match'!$D$2:$F$6042,3,FALSE),"")</f>
        <v>3400050</v>
      </c>
      <c r="B2474" s="28">
        <v>2017</v>
      </c>
      <c r="C2474" s="29" t="s">
        <v>342</v>
      </c>
      <c r="D2474" s="17">
        <v>9001</v>
      </c>
      <c r="E2474" s="17" t="s">
        <v>1415</v>
      </c>
      <c r="F2474" s="29">
        <v>147391</v>
      </c>
    </row>
    <row r="2475" spans="1:6" ht="16" customHeight="1" x14ac:dyDescent="0.2">
      <c r="A2475" t="str">
        <f>IFERROR(VLOOKUP(C2475,'GASB Match'!$D$2:$F$6042,3,FALSE),"")</f>
        <v/>
      </c>
      <c r="B2475" s="17">
        <v>2015</v>
      </c>
      <c r="C2475" s="17" t="s">
        <v>1406</v>
      </c>
      <c r="D2475" s="17">
        <v>4078</v>
      </c>
      <c r="E2475" s="17" t="s">
        <v>1405</v>
      </c>
      <c r="F2475" s="20">
        <v>97780</v>
      </c>
    </row>
    <row r="2476" spans="1:6" ht="16" customHeight="1" x14ac:dyDescent="0.2">
      <c r="A2476" t="str">
        <f>IFERROR(VLOOKUP(C2476,'GASB Match'!$D$2:$F$6042,3,FALSE),"")</f>
        <v/>
      </c>
      <c r="B2476" s="17">
        <v>2018</v>
      </c>
      <c r="C2476" s="17" t="s">
        <v>1447</v>
      </c>
      <c r="D2476" s="17">
        <v>4078</v>
      </c>
      <c r="E2476" s="17" t="s">
        <v>1446</v>
      </c>
      <c r="F2476" s="20">
        <v>42931</v>
      </c>
    </row>
    <row r="2477" spans="1:6" ht="16" customHeight="1" x14ac:dyDescent="0.2">
      <c r="A2477" t="str">
        <f>IFERROR(VLOOKUP(C2477,'GASB Match'!$D$2:$F$6042,3,FALSE),"")</f>
        <v/>
      </c>
      <c r="B2477" s="28">
        <v>2017</v>
      </c>
      <c r="C2477" s="29" t="s">
        <v>1433</v>
      </c>
      <c r="D2477" s="17">
        <v>4078</v>
      </c>
      <c r="E2477" s="17" t="s">
        <v>1405</v>
      </c>
      <c r="F2477" s="29">
        <v>42169</v>
      </c>
    </row>
    <row r="2478" spans="1:6" ht="16" customHeight="1" x14ac:dyDescent="0.2">
      <c r="A2478">
        <f>IFERROR(VLOOKUP(C2478,'GASB Match'!$D$2:$F$6042,3,FALSE),"")</f>
        <v>3400783</v>
      </c>
      <c r="B2478" s="17">
        <v>2019</v>
      </c>
      <c r="C2478" s="17" t="s">
        <v>1358</v>
      </c>
      <c r="D2478" s="17">
        <v>1100</v>
      </c>
      <c r="E2478" s="17" t="s">
        <v>1441</v>
      </c>
      <c r="F2478" s="20">
        <v>224766</v>
      </c>
    </row>
    <row r="2479" spans="1:6" ht="16" customHeight="1" x14ac:dyDescent="0.2">
      <c r="A2479">
        <f>IFERROR(VLOOKUP(C2479,'GASB Match'!$D$2:$F$6042,3,FALSE),"")</f>
        <v>3400783</v>
      </c>
      <c r="B2479" s="17">
        <v>2020</v>
      </c>
      <c r="C2479" s="21" t="s">
        <v>1358</v>
      </c>
      <c r="D2479" s="17">
        <v>1100</v>
      </c>
      <c r="E2479" s="17" t="s">
        <v>1441</v>
      </c>
      <c r="F2479" s="23">
        <v>222183</v>
      </c>
    </row>
    <row r="2480" spans="1:6" ht="16" customHeight="1" x14ac:dyDescent="0.2">
      <c r="A2480">
        <f>IFERROR(VLOOKUP(C2480,'GASB Match'!$D$2:$F$6042,3,FALSE),"")</f>
        <v>3400783</v>
      </c>
      <c r="B2480" s="17">
        <v>2021</v>
      </c>
      <c r="C2480" s="25" t="s">
        <v>1358</v>
      </c>
      <c r="D2480" s="17">
        <v>1100</v>
      </c>
      <c r="E2480" s="17" t="s">
        <v>1441</v>
      </c>
      <c r="F2480" s="23">
        <v>405521</v>
      </c>
    </row>
    <row r="2481" spans="1:6" ht="16" customHeight="1" x14ac:dyDescent="0.2">
      <c r="A2481">
        <f>IFERROR(VLOOKUP(C2481,'GASB Match'!$D$2:$F$6042,3,FALSE),"")</f>
        <v>3400783</v>
      </c>
      <c r="B2481" s="17">
        <v>2022</v>
      </c>
      <c r="C2481" s="21" t="s">
        <v>1358</v>
      </c>
      <c r="D2481" s="17">
        <v>1100</v>
      </c>
      <c r="E2481" s="17" t="s">
        <v>1441</v>
      </c>
      <c r="F2481" s="23">
        <v>730298</v>
      </c>
    </row>
    <row r="2482" spans="1:6" ht="16" customHeight="1" x14ac:dyDescent="0.2">
      <c r="A2482">
        <f>IFERROR(VLOOKUP(C2482,'GASB Match'!$D$2:$F$6042,3,FALSE),"")</f>
        <v>3400783</v>
      </c>
      <c r="B2482" s="17">
        <v>2023</v>
      </c>
      <c r="C2482" s="21" t="s">
        <v>1358</v>
      </c>
      <c r="D2482" s="17">
        <v>1100</v>
      </c>
      <c r="E2482" s="17" t="s">
        <v>1441</v>
      </c>
      <c r="F2482" s="23">
        <v>814712</v>
      </c>
    </row>
    <row r="2483" spans="1:6" ht="16" customHeight="1" x14ac:dyDescent="0.2">
      <c r="A2483">
        <f>IFERROR(VLOOKUP(C2483,'GASB Match'!$D$2:$F$6042,3,FALSE),"")</f>
        <v>3400775</v>
      </c>
      <c r="B2483" s="17">
        <v>2018</v>
      </c>
      <c r="C2483" s="17" t="s">
        <v>1050</v>
      </c>
      <c r="D2483" s="17">
        <v>137</v>
      </c>
      <c r="E2483" s="17" t="s">
        <v>1459</v>
      </c>
      <c r="F2483" s="20">
        <v>204294</v>
      </c>
    </row>
    <row r="2484" spans="1:6" ht="16" customHeight="1" x14ac:dyDescent="0.2">
      <c r="A2484">
        <f>IFERROR(VLOOKUP(C2484,'GASB Match'!$D$2:$F$6042,3,FALSE),"")</f>
        <v>3400775</v>
      </c>
      <c r="B2484" s="17">
        <v>2019</v>
      </c>
      <c r="C2484" s="17" t="s">
        <v>1050</v>
      </c>
      <c r="D2484" s="17">
        <v>137</v>
      </c>
      <c r="E2484" s="17" t="s">
        <v>1459</v>
      </c>
      <c r="F2484" s="20">
        <v>364167</v>
      </c>
    </row>
    <row r="2485" spans="1:6" ht="16" customHeight="1" x14ac:dyDescent="0.2">
      <c r="A2485">
        <f>IFERROR(VLOOKUP(C2485,'GASB Match'!$D$2:$F$6042,3,FALSE),"")</f>
        <v>3400775</v>
      </c>
      <c r="B2485" s="17">
        <v>2020</v>
      </c>
      <c r="C2485" s="21" t="s">
        <v>1050</v>
      </c>
      <c r="D2485" s="17">
        <v>137</v>
      </c>
      <c r="E2485" s="17" t="s">
        <v>1459</v>
      </c>
      <c r="F2485" s="23">
        <v>402412</v>
      </c>
    </row>
    <row r="2486" spans="1:6" ht="16" customHeight="1" x14ac:dyDescent="0.2">
      <c r="A2486">
        <f>IFERROR(VLOOKUP(C2486,'GASB Match'!$D$2:$F$6042,3,FALSE),"")</f>
        <v>3400041</v>
      </c>
      <c r="B2486" s="17">
        <v>2015</v>
      </c>
      <c r="C2486" s="17" t="s">
        <v>360</v>
      </c>
      <c r="D2486" s="17">
        <v>128</v>
      </c>
      <c r="E2486" s="17" t="s">
        <v>1416</v>
      </c>
      <c r="F2486" s="20">
        <v>30280</v>
      </c>
    </row>
    <row r="2487" spans="1:6" ht="16" customHeight="1" x14ac:dyDescent="0.2">
      <c r="A2487">
        <f>IFERROR(VLOOKUP(C2487,'GASB Match'!$D$2:$F$6042,3,FALSE),"")</f>
        <v>3400041</v>
      </c>
      <c r="B2487" s="17">
        <v>2016</v>
      </c>
      <c r="C2487" s="17" t="s">
        <v>360</v>
      </c>
      <c r="D2487" s="17">
        <v>128</v>
      </c>
      <c r="E2487" s="17" t="s">
        <v>1416</v>
      </c>
      <c r="F2487" s="20">
        <v>49520</v>
      </c>
    </row>
    <row r="2488" spans="1:6" ht="16" customHeight="1" x14ac:dyDescent="0.2">
      <c r="A2488">
        <f>IFERROR(VLOOKUP(C2488,'GASB Match'!$D$2:$F$6042,3,FALSE),"")</f>
        <v>3400041</v>
      </c>
      <c r="B2488" s="17">
        <v>2018</v>
      </c>
      <c r="C2488" s="17" t="s">
        <v>1051</v>
      </c>
      <c r="D2488" s="17">
        <v>128</v>
      </c>
      <c r="E2488" s="17" t="s">
        <v>1459</v>
      </c>
      <c r="F2488" s="20">
        <v>82139</v>
      </c>
    </row>
    <row r="2489" spans="1:6" ht="16" customHeight="1" x14ac:dyDescent="0.2">
      <c r="A2489">
        <f>IFERROR(VLOOKUP(C2489,'GASB Match'!$D$2:$F$6042,3,FALSE),"")</f>
        <v>3400041</v>
      </c>
      <c r="B2489" s="17">
        <v>2019</v>
      </c>
      <c r="C2489" s="17" t="s">
        <v>1051</v>
      </c>
      <c r="D2489" s="17">
        <v>128</v>
      </c>
      <c r="E2489" s="17" t="s">
        <v>1459</v>
      </c>
      <c r="F2489" s="20">
        <v>109115</v>
      </c>
    </row>
    <row r="2490" spans="1:6" ht="16" customHeight="1" x14ac:dyDescent="0.2">
      <c r="A2490">
        <f>IFERROR(VLOOKUP(C2490,'GASB Match'!$D$2:$F$6042,3,FALSE),"")</f>
        <v>3400041</v>
      </c>
      <c r="B2490" s="17">
        <v>2020</v>
      </c>
      <c r="C2490" s="21" t="s">
        <v>1051</v>
      </c>
      <c r="D2490" s="17">
        <v>128</v>
      </c>
      <c r="E2490" s="17" t="s">
        <v>1459</v>
      </c>
      <c r="F2490" s="23">
        <v>124789</v>
      </c>
    </row>
    <row r="2491" spans="1:6" ht="16" customHeight="1" x14ac:dyDescent="0.2">
      <c r="A2491">
        <f>IFERROR(VLOOKUP(C2491,'GASB Match'!$D$2:$F$6042,3,FALSE),"")</f>
        <v>3400041</v>
      </c>
      <c r="B2491" s="17">
        <v>2021</v>
      </c>
      <c r="C2491" s="25" t="s">
        <v>1051</v>
      </c>
      <c r="D2491" s="17">
        <v>128</v>
      </c>
      <c r="E2491" s="17" t="s">
        <v>1459</v>
      </c>
      <c r="F2491" s="23">
        <v>162867</v>
      </c>
    </row>
    <row r="2492" spans="1:6" ht="16" customHeight="1" x14ac:dyDescent="0.2">
      <c r="A2492">
        <f>IFERROR(VLOOKUP(C2492,'GASB Match'!$D$2:$F$6042,3,FALSE),"")</f>
        <v>3400041</v>
      </c>
      <c r="B2492" s="17">
        <v>2022</v>
      </c>
      <c r="C2492" s="21" t="s">
        <v>1051</v>
      </c>
      <c r="D2492" s="17">
        <v>128</v>
      </c>
      <c r="E2492" s="17" t="s">
        <v>1459</v>
      </c>
      <c r="F2492" s="23">
        <v>229716</v>
      </c>
    </row>
    <row r="2493" spans="1:6" ht="16" customHeight="1" x14ac:dyDescent="0.2">
      <c r="A2493">
        <f>IFERROR(VLOOKUP(C2493,'GASB Match'!$D$2:$F$6042,3,FALSE),"")</f>
        <v>3400041</v>
      </c>
      <c r="B2493" s="17">
        <v>2023</v>
      </c>
      <c r="C2493" s="21" t="s">
        <v>1051</v>
      </c>
      <c r="D2493" s="17">
        <v>128</v>
      </c>
      <c r="E2493" s="17" t="s">
        <v>1459</v>
      </c>
      <c r="F2493" s="23">
        <v>234647</v>
      </c>
    </row>
    <row r="2494" spans="1:6" ht="16" customHeight="1" x14ac:dyDescent="0.2">
      <c r="A2494">
        <f>IFERROR(VLOOKUP(C2494,'GASB Match'!$D$2:$F$6042,3,FALSE),"")</f>
        <v>3400041</v>
      </c>
      <c r="B2494" s="28">
        <v>2017</v>
      </c>
      <c r="C2494" s="29" t="s">
        <v>360</v>
      </c>
      <c r="D2494" s="17">
        <v>128</v>
      </c>
      <c r="E2494" s="17" t="s">
        <v>1416</v>
      </c>
      <c r="F2494" s="29">
        <v>68928</v>
      </c>
    </row>
    <row r="2495" spans="1:6" ht="16" customHeight="1" x14ac:dyDescent="0.2">
      <c r="A2495">
        <f>IFERROR(VLOOKUP(C2495,'GASB Match'!$D$2:$F$6042,3,FALSE),"")</f>
        <v>3407680</v>
      </c>
      <c r="B2495" s="17">
        <v>2015</v>
      </c>
      <c r="C2495" s="17" t="s">
        <v>244</v>
      </c>
      <c r="D2495" s="17">
        <v>6040</v>
      </c>
      <c r="E2495" s="17" t="s">
        <v>1411</v>
      </c>
      <c r="F2495" s="20">
        <v>2582418</v>
      </c>
    </row>
    <row r="2496" spans="1:6" ht="16" customHeight="1" x14ac:dyDescent="0.2">
      <c r="A2496">
        <f>IFERROR(VLOOKUP(C2496,'GASB Match'!$D$2:$F$6042,3,FALSE),"")</f>
        <v>3407680</v>
      </c>
      <c r="B2496" s="17">
        <v>2016</v>
      </c>
      <c r="C2496" s="17" t="s">
        <v>244</v>
      </c>
      <c r="D2496" s="17">
        <v>6040</v>
      </c>
      <c r="E2496" s="17" t="s">
        <v>1411</v>
      </c>
      <c r="F2496" s="20">
        <v>3816633</v>
      </c>
    </row>
    <row r="2497" spans="1:6" ht="16" customHeight="1" x14ac:dyDescent="0.2">
      <c r="A2497">
        <f>IFERROR(VLOOKUP(C2497,'GASB Match'!$D$2:$F$6042,3,FALSE),"")</f>
        <v>3407680</v>
      </c>
      <c r="B2497" s="17">
        <v>2018</v>
      </c>
      <c r="C2497" s="17" t="s">
        <v>930</v>
      </c>
      <c r="D2497" s="17">
        <v>6040</v>
      </c>
      <c r="E2497" s="17" t="s">
        <v>1452</v>
      </c>
      <c r="F2497" s="20">
        <v>7411166</v>
      </c>
    </row>
    <row r="2498" spans="1:6" ht="16" customHeight="1" x14ac:dyDescent="0.2">
      <c r="A2498">
        <f>IFERROR(VLOOKUP(C2498,'GASB Match'!$D$2:$F$6042,3,FALSE),"")</f>
        <v>3407680</v>
      </c>
      <c r="B2498" s="17">
        <v>2019</v>
      </c>
      <c r="C2498" s="17" t="s">
        <v>930</v>
      </c>
      <c r="D2498" s="17">
        <v>6040</v>
      </c>
      <c r="E2498" s="17" t="s">
        <v>1452</v>
      </c>
      <c r="F2498" s="20">
        <v>9182965</v>
      </c>
    </row>
    <row r="2499" spans="1:6" ht="16" customHeight="1" x14ac:dyDescent="0.2">
      <c r="A2499">
        <f>IFERROR(VLOOKUP(C2499,'GASB Match'!$D$2:$F$6042,3,FALSE),"")</f>
        <v>3407680</v>
      </c>
      <c r="B2499" s="17">
        <v>2020</v>
      </c>
      <c r="C2499" s="21" t="s">
        <v>930</v>
      </c>
      <c r="D2499" s="17">
        <v>6040</v>
      </c>
      <c r="E2499" s="17" t="s">
        <v>1452</v>
      </c>
      <c r="F2499" s="23">
        <v>10768157</v>
      </c>
    </row>
    <row r="2500" spans="1:6" ht="16" customHeight="1" x14ac:dyDescent="0.2">
      <c r="A2500">
        <f>IFERROR(VLOOKUP(C2500,'GASB Match'!$D$2:$F$6042,3,FALSE),"")</f>
        <v>3407680</v>
      </c>
      <c r="B2500" s="17">
        <v>2021</v>
      </c>
      <c r="C2500" s="25" t="s">
        <v>930</v>
      </c>
      <c r="D2500" s="17">
        <v>6040</v>
      </c>
      <c r="E2500" s="17" t="s">
        <v>1452</v>
      </c>
      <c r="F2500" s="23">
        <v>14082157</v>
      </c>
    </row>
    <row r="2501" spans="1:6" ht="16" customHeight="1" x14ac:dyDescent="0.2">
      <c r="A2501">
        <f>IFERROR(VLOOKUP(C2501,'GASB Match'!$D$2:$F$6042,3,FALSE),"")</f>
        <v>3407680</v>
      </c>
      <c r="B2501" s="17">
        <v>2022</v>
      </c>
      <c r="C2501" s="21" t="s">
        <v>930</v>
      </c>
      <c r="D2501" s="17">
        <v>6040</v>
      </c>
      <c r="E2501" s="17" t="s">
        <v>1452</v>
      </c>
      <c r="F2501" s="23">
        <v>19451673</v>
      </c>
    </row>
    <row r="2502" spans="1:6" ht="16" customHeight="1" x14ac:dyDescent="0.2">
      <c r="A2502">
        <f>IFERROR(VLOOKUP(C2502,'GASB Match'!$D$2:$F$6042,3,FALSE),"")</f>
        <v>3407680</v>
      </c>
      <c r="B2502" s="17">
        <v>2023</v>
      </c>
      <c r="C2502" s="21" t="s">
        <v>930</v>
      </c>
      <c r="D2502" s="17">
        <v>6040</v>
      </c>
      <c r="E2502" s="17" t="s">
        <v>1452</v>
      </c>
      <c r="F2502" s="23">
        <v>19596309</v>
      </c>
    </row>
    <row r="2503" spans="1:6" ht="16" customHeight="1" x14ac:dyDescent="0.2">
      <c r="A2503">
        <f>IFERROR(VLOOKUP(C2503,'GASB Match'!$D$2:$F$6042,3,FALSE),"")</f>
        <v>3407680</v>
      </c>
      <c r="B2503" s="28">
        <v>2017</v>
      </c>
      <c r="C2503" s="29" t="s">
        <v>244</v>
      </c>
      <c r="D2503" s="17">
        <v>6040</v>
      </c>
      <c r="E2503" s="17" t="s">
        <v>1411</v>
      </c>
      <c r="F2503" s="29">
        <v>5486243</v>
      </c>
    </row>
    <row r="2504" spans="1:6" ht="16" customHeight="1" x14ac:dyDescent="0.2">
      <c r="A2504">
        <f>IFERROR(VLOOKUP(C2504,'GASB Match'!$D$2:$F$6042,3,FALSE),"")</f>
        <v>3407710</v>
      </c>
      <c r="B2504" s="17">
        <v>2015</v>
      </c>
      <c r="C2504" s="17" t="s">
        <v>501</v>
      </c>
      <c r="D2504" s="17">
        <v>517</v>
      </c>
      <c r="E2504" s="17" t="s">
        <v>1422</v>
      </c>
      <c r="F2504" s="20">
        <v>45735</v>
      </c>
    </row>
    <row r="2505" spans="1:6" ht="16" customHeight="1" x14ac:dyDescent="0.2">
      <c r="A2505">
        <f>IFERROR(VLOOKUP(C2505,'GASB Match'!$D$2:$F$6042,3,FALSE),"")</f>
        <v>3407710</v>
      </c>
      <c r="B2505" s="17">
        <v>2016</v>
      </c>
      <c r="C2505" s="17" t="s">
        <v>501</v>
      </c>
      <c r="D2505" s="17">
        <v>517</v>
      </c>
      <c r="E2505" s="17" t="s">
        <v>1422</v>
      </c>
      <c r="F2505" s="20">
        <v>67133</v>
      </c>
    </row>
    <row r="2506" spans="1:6" ht="16" customHeight="1" x14ac:dyDescent="0.2">
      <c r="A2506">
        <f>IFERROR(VLOOKUP(C2506,'GASB Match'!$D$2:$F$6042,3,FALSE),"")</f>
        <v>3407710</v>
      </c>
      <c r="B2506" s="17">
        <v>2018</v>
      </c>
      <c r="C2506" s="17" t="s">
        <v>1193</v>
      </c>
      <c r="D2506" s="17">
        <v>517</v>
      </c>
      <c r="E2506" s="17" t="s">
        <v>1465</v>
      </c>
      <c r="F2506" s="20">
        <v>126696</v>
      </c>
    </row>
    <row r="2507" spans="1:6" ht="16" customHeight="1" x14ac:dyDescent="0.2">
      <c r="A2507">
        <f>IFERROR(VLOOKUP(C2507,'GASB Match'!$D$2:$F$6042,3,FALSE),"")</f>
        <v>3407710</v>
      </c>
      <c r="B2507" s="17">
        <v>2019</v>
      </c>
      <c r="C2507" s="17" t="s">
        <v>1193</v>
      </c>
      <c r="D2507" s="17">
        <v>517</v>
      </c>
      <c r="E2507" s="17" t="s">
        <v>1465</v>
      </c>
      <c r="F2507" s="20">
        <v>174486</v>
      </c>
    </row>
    <row r="2508" spans="1:6" ht="16" customHeight="1" x14ac:dyDescent="0.2">
      <c r="A2508">
        <f>IFERROR(VLOOKUP(C2508,'GASB Match'!$D$2:$F$6042,3,FALSE),"")</f>
        <v>3407710</v>
      </c>
      <c r="B2508" s="17">
        <v>2020</v>
      </c>
      <c r="C2508" s="21" t="s">
        <v>1193</v>
      </c>
      <c r="D2508" s="17">
        <v>517</v>
      </c>
      <c r="E2508" s="17" t="s">
        <v>1465</v>
      </c>
      <c r="F2508" s="23">
        <v>211446</v>
      </c>
    </row>
    <row r="2509" spans="1:6" ht="16" customHeight="1" x14ac:dyDescent="0.2">
      <c r="A2509">
        <f>IFERROR(VLOOKUP(C2509,'GASB Match'!$D$2:$F$6042,3,FALSE),"")</f>
        <v>3407710</v>
      </c>
      <c r="B2509" s="17">
        <v>2021</v>
      </c>
      <c r="C2509" s="25" t="s">
        <v>1193</v>
      </c>
      <c r="D2509" s="17">
        <v>517</v>
      </c>
      <c r="E2509" s="17" t="s">
        <v>1465</v>
      </c>
      <c r="F2509" s="23">
        <v>280510</v>
      </c>
    </row>
    <row r="2510" spans="1:6" ht="16" customHeight="1" x14ac:dyDescent="0.2">
      <c r="A2510">
        <f>IFERROR(VLOOKUP(C2510,'GASB Match'!$D$2:$F$6042,3,FALSE),"")</f>
        <v>3407710</v>
      </c>
      <c r="B2510" s="17">
        <v>2022</v>
      </c>
      <c r="C2510" s="21" t="s">
        <v>1193</v>
      </c>
      <c r="D2510" s="17">
        <v>517</v>
      </c>
      <c r="E2510" s="17" t="s">
        <v>1465</v>
      </c>
      <c r="F2510" s="23">
        <v>405838</v>
      </c>
    </row>
    <row r="2511" spans="1:6" ht="16" customHeight="1" x14ac:dyDescent="0.2">
      <c r="A2511">
        <f>IFERROR(VLOOKUP(C2511,'GASB Match'!$D$2:$F$6042,3,FALSE),"")</f>
        <v>3407710</v>
      </c>
      <c r="B2511" s="17">
        <v>2023</v>
      </c>
      <c r="C2511" s="21" t="s">
        <v>1193</v>
      </c>
      <c r="D2511" s="17">
        <v>517</v>
      </c>
      <c r="E2511" s="17" t="s">
        <v>1465</v>
      </c>
      <c r="F2511" s="23">
        <v>444340</v>
      </c>
    </row>
    <row r="2512" spans="1:6" ht="16" customHeight="1" x14ac:dyDescent="0.2">
      <c r="A2512">
        <f>IFERROR(VLOOKUP(C2512,'GASB Match'!$D$2:$F$6042,3,FALSE),"")</f>
        <v>3407710</v>
      </c>
      <c r="B2512" s="28">
        <v>2017</v>
      </c>
      <c r="C2512" s="29" t="s">
        <v>501</v>
      </c>
      <c r="D2512" s="17">
        <v>517</v>
      </c>
      <c r="E2512" s="17" t="s">
        <v>1422</v>
      </c>
      <c r="F2512" s="29">
        <v>110557</v>
      </c>
    </row>
    <row r="2513" spans="1:6" ht="16" customHeight="1" x14ac:dyDescent="0.2">
      <c r="A2513">
        <f>IFERROR(VLOOKUP(C2513,'GASB Match'!$D$2:$F$6042,3,FALSE),"")</f>
        <v>3407740</v>
      </c>
      <c r="B2513" s="17">
        <v>2015</v>
      </c>
      <c r="C2513" s="17" t="s">
        <v>502</v>
      </c>
      <c r="D2513" s="17">
        <v>518</v>
      </c>
      <c r="E2513" s="17" t="s">
        <v>1422</v>
      </c>
      <c r="F2513" s="20">
        <v>2920696</v>
      </c>
    </row>
    <row r="2514" spans="1:6" ht="16" customHeight="1" x14ac:dyDescent="0.2">
      <c r="A2514">
        <f>IFERROR(VLOOKUP(C2514,'GASB Match'!$D$2:$F$6042,3,FALSE),"")</f>
        <v>3407740</v>
      </c>
      <c r="B2514" s="17">
        <v>2016</v>
      </c>
      <c r="C2514" s="17" t="s">
        <v>502</v>
      </c>
      <c r="D2514" s="17">
        <v>518</v>
      </c>
      <c r="E2514" s="17" t="s">
        <v>1422</v>
      </c>
      <c r="F2514" s="20">
        <v>4200587</v>
      </c>
    </row>
    <row r="2515" spans="1:6" ht="16" customHeight="1" x14ac:dyDescent="0.2">
      <c r="A2515">
        <f>IFERROR(VLOOKUP(C2515,'GASB Match'!$D$2:$F$6042,3,FALSE),"")</f>
        <v>3407740</v>
      </c>
      <c r="B2515" s="17">
        <v>2018</v>
      </c>
      <c r="C2515" s="17" t="s">
        <v>1194</v>
      </c>
      <c r="D2515" s="17">
        <v>518</v>
      </c>
      <c r="E2515" s="17" t="s">
        <v>1465</v>
      </c>
      <c r="F2515" s="20">
        <v>8198835</v>
      </c>
    </row>
    <row r="2516" spans="1:6" ht="16" customHeight="1" x14ac:dyDescent="0.2">
      <c r="A2516">
        <f>IFERROR(VLOOKUP(C2516,'GASB Match'!$D$2:$F$6042,3,FALSE),"")</f>
        <v>3407740</v>
      </c>
      <c r="B2516" s="17">
        <v>2019</v>
      </c>
      <c r="C2516" s="17" t="s">
        <v>1194</v>
      </c>
      <c r="D2516" s="17">
        <v>518</v>
      </c>
      <c r="E2516" s="17" t="s">
        <v>1465</v>
      </c>
      <c r="F2516" s="20">
        <v>10920481</v>
      </c>
    </row>
    <row r="2517" spans="1:6" ht="16" customHeight="1" x14ac:dyDescent="0.2">
      <c r="A2517">
        <f>IFERROR(VLOOKUP(C2517,'GASB Match'!$D$2:$F$6042,3,FALSE),"")</f>
        <v>3407740</v>
      </c>
      <c r="B2517" s="17">
        <v>2020</v>
      </c>
      <c r="C2517" s="21" t="s">
        <v>1194</v>
      </c>
      <c r="D2517" s="17">
        <v>518</v>
      </c>
      <c r="E2517" s="17" t="s">
        <v>1465</v>
      </c>
      <c r="F2517" s="23">
        <v>12404360</v>
      </c>
    </row>
    <row r="2518" spans="1:6" ht="16" customHeight="1" x14ac:dyDescent="0.2">
      <c r="A2518">
        <f>IFERROR(VLOOKUP(C2518,'GASB Match'!$D$2:$F$6042,3,FALSE),"")</f>
        <v>3407740</v>
      </c>
      <c r="B2518" s="17">
        <v>2021</v>
      </c>
      <c r="C2518" s="25" t="s">
        <v>1194</v>
      </c>
      <c r="D2518" s="17">
        <v>518</v>
      </c>
      <c r="E2518" s="17" t="s">
        <v>1465</v>
      </c>
      <c r="F2518" s="23">
        <v>15668102</v>
      </c>
    </row>
    <row r="2519" spans="1:6" ht="16" customHeight="1" x14ac:dyDescent="0.2">
      <c r="A2519">
        <f>IFERROR(VLOOKUP(C2519,'GASB Match'!$D$2:$F$6042,3,FALSE),"")</f>
        <v>3407740</v>
      </c>
      <c r="B2519" s="17">
        <v>2022</v>
      </c>
      <c r="C2519" s="21" t="s">
        <v>1194</v>
      </c>
      <c r="D2519" s="17">
        <v>518</v>
      </c>
      <c r="E2519" s="17" t="s">
        <v>1465</v>
      </c>
      <c r="F2519" s="23">
        <v>21897839</v>
      </c>
    </row>
    <row r="2520" spans="1:6" ht="16" customHeight="1" x14ac:dyDescent="0.2">
      <c r="A2520">
        <f>IFERROR(VLOOKUP(C2520,'GASB Match'!$D$2:$F$6042,3,FALSE),"")</f>
        <v>3407740</v>
      </c>
      <c r="B2520" s="17">
        <v>2023</v>
      </c>
      <c r="C2520" s="21" t="s">
        <v>1194</v>
      </c>
      <c r="D2520" s="17">
        <v>518</v>
      </c>
      <c r="E2520" s="17" t="s">
        <v>1465</v>
      </c>
      <c r="F2520" s="23">
        <v>21176261</v>
      </c>
    </row>
    <row r="2521" spans="1:6" ht="16" customHeight="1" x14ac:dyDescent="0.2">
      <c r="A2521">
        <f>IFERROR(VLOOKUP(C2521,'GASB Match'!$D$2:$F$6042,3,FALSE),"")</f>
        <v>3407740</v>
      </c>
      <c r="B2521" s="28">
        <v>2017</v>
      </c>
      <c r="C2521" s="29" t="s">
        <v>502</v>
      </c>
      <c r="D2521" s="17">
        <v>518</v>
      </c>
      <c r="E2521" s="17" t="s">
        <v>1422</v>
      </c>
      <c r="F2521" s="29">
        <v>5813159</v>
      </c>
    </row>
    <row r="2522" spans="1:6" ht="16" customHeight="1" x14ac:dyDescent="0.2">
      <c r="A2522">
        <f>IFERROR(VLOOKUP(C2522,'GASB Match'!$D$2:$F$6042,3,FALSE),"")</f>
        <v>3407770</v>
      </c>
      <c r="B2522" s="17">
        <v>2015</v>
      </c>
      <c r="C2522" s="17" t="s">
        <v>381</v>
      </c>
      <c r="D2522" s="17">
        <v>237</v>
      </c>
      <c r="E2522" s="17" t="s">
        <v>1418</v>
      </c>
      <c r="F2522" s="20">
        <v>187864</v>
      </c>
    </row>
    <row r="2523" spans="1:6" ht="16" customHeight="1" x14ac:dyDescent="0.2">
      <c r="A2523">
        <f>IFERROR(VLOOKUP(C2523,'GASB Match'!$D$2:$F$6042,3,FALSE),"")</f>
        <v>3407770</v>
      </c>
      <c r="B2523" s="17">
        <v>2016</v>
      </c>
      <c r="C2523" s="17" t="s">
        <v>381</v>
      </c>
      <c r="D2523" s="17">
        <v>237</v>
      </c>
      <c r="E2523" s="17" t="s">
        <v>1418</v>
      </c>
      <c r="F2523" s="20">
        <v>280215</v>
      </c>
    </row>
    <row r="2524" spans="1:6" ht="16" customHeight="1" x14ac:dyDescent="0.2">
      <c r="A2524">
        <f>IFERROR(VLOOKUP(C2524,'GASB Match'!$D$2:$F$6042,3,FALSE),"")</f>
        <v>3407770</v>
      </c>
      <c r="B2524" s="17">
        <v>2018</v>
      </c>
      <c r="C2524" s="17" t="s">
        <v>1074</v>
      </c>
      <c r="D2524" s="17">
        <v>237</v>
      </c>
      <c r="E2524" s="17" t="s">
        <v>1461</v>
      </c>
      <c r="F2524" s="20">
        <v>538530</v>
      </c>
    </row>
    <row r="2525" spans="1:6" ht="16" customHeight="1" x14ac:dyDescent="0.2">
      <c r="A2525">
        <f>IFERROR(VLOOKUP(C2525,'GASB Match'!$D$2:$F$6042,3,FALSE),"")</f>
        <v>3407770</v>
      </c>
      <c r="B2525" s="17">
        <v>2019</v>
      </c>
      <c r="C2525" s="17" t="s">
        <v>1074</v>
      </c>
      <c r="D2525" s="17">
        <v>237</v>
      </c>
      <c r="E2525" s="17" t="s">
        <v>1461</v>
      </c>
      <c r="F2525" s="20">
        <v>742731</v>
      </c>
    </row>
    <row r="2526" spans="1:6" ht="16" customHeight="1" x14ac:dyDescent="0.2">
      <c r="A2526">
        <f>IFERROR(VLOOKUP(C2526,'GASB Match'!$D$2:$F$6042,3,FALSE),"")</f>
        <v>3407770</v>
      </c>
      <c r="B2526" s="17">
        <v>2020</v>
      </c>
      <c r="C2526" s="21" t="s">
        <v>1074</v>
      </c>
      <c r="D2526" s="17">
        <v>237</v>
      </c>
      <c r="E2526" s="17" t="s">
        <v>1461</v>
      </c>
      <c r="F2526" s="23">
        <v>929574</v>
      </c>
    </row>
    <row r="2527" spans="1:6" ht="16" customHeight="1" x14ac:dyDescent="0.2">
      <c r="A2527">
        <f>IFERROR(VLOOKUP(C2527,'GASB Match'!$D$2:$F$6042,3,FALSE),"")</f>
        <v>3407770</v>
      </c>
      <c r="B2527" s="17">
        <v>2021</v>
      </c>
      <c r="C2527" s="25" t="s">
        <v>1074</v>
      </c>
      <c r="D2527" s="17">
        <v>237</v>
      </c>
      <c r="E2527" s="17" t="s">
        <v>1461</v>
      </c>
      <c r="F2527" s="23">
        <v>1302364</v>
      </c>
    </row>
    <row r="2528" spans="1:6" ht="16" customHeight="1" x14ac:dyDescent="0.2">
      <c r="A2528">
        <f>IFERROR(VLOOKUP(C2528,'GASB Match'!$D$2:$F$6042,3,FALSE),"")</f>
        <v>3407770</v>
      </c>
      <c r="B2528" s="17">
        <v>2022</v>
      </c>
      <c r="C2528" s="21" t="s">
        <v>1074</v>
      </c>
      <c r="D2528" s="17">
        <v>237</v>
      </c>
      <c r="E2528" s="17" t="s">
        <v>1461</v>
      </c>
      <c r="F2528" s="23">
        <v>1852464</v>
      </c>
    </row>
    <row r="2529" spans="1:6" ht="16" customHeight="1" x14ac:dyDescent="0.2">
      <c r="A2529">
        <f>IFERROR(VLOOKUP(C2529,'GASB Match'!$D$2:$F$6042,3,FALSE),"")</f>
        <v>3407770</v>
      </c>
      <c r="B2529" s="17">
        <v>2023</v>
      </c>
      <c r="C2529" s="21" t="s">
        <v>1074</v>
      </c>
      <c r="D2529" s="17">
        <v>237</v>
      </c>
      <c r="E2529" s="17" t="s">
        <v>1461</v>
      </c>
      <c r="F2529" s="23">
        <v>1829386</v>
      </c>
    </row>
    <row r="2530" spans="1:6" ht="16" customHeight="1" x14ac:dyDescent="0.2">
      <c r="A2530">
        <f>IFERROR(VLOOKUP(C2530,'GASB Match'!$D$2:$F$6042,3,FALSE),"")</f>
        <v>3407770</v>
      </c>
      <c r="B2530" s="28">
        <v>2017</v>
      </c>
      <c r="C2530" s="29" t="s">
        <v>381</v>
      </c>
      <c r="D2530" s="17">
        <v>237</v>
      </c>
      <c r="E2530" s="17" t="s">
        <v>1418</v>
      </c>
      <c r="F2530" s="29">
        <v>393825</v>
      </c>
    </row>
    <row r="2531" spans="1:6" ht="16" customHeight="1" x14ac:dyDescent="0.2">
      <c r="A2531">
        <f>IFERROR(VLOOKUP(C2531,'GASB Match'!$D$2:$F$6042,3,FALSE),"")</f>
        <v>3407800</v>
      </c>
      <c r="B2531" s="17">
        <v>2015</v>
      </c>
      <c r="C2531" s="17" t="s">
        <v>466</v>
      </c>
      <c r="D2531" s="17">
        <v>423</v>
      </c>
      <c r="E2531" s="17" t="s">
        <v>1421</v>
      </c>
      <c r="F2531" s="20">
        <v>1315868</v>
      </c>
    </row>
    <row r="2532" spans="1:6" ht="16" customHeight="1" x14ac:dyDescent="0.2">
      <c r="A2532">
        <f>IFERROR(VLOOKUP(C2532,'GASB Match'!$D$2:$F$6042,3,FALSE),"")</f>
        <v>3407800</v>
      </c>
      <c r="B2532" s="17">
        <v>2016</v>
      </c>
      <c r="C2532" s="17" t="s">
        <v>466</v>
      </c>
      <c r="D2532" s="17">
        <v>423</v>
      </c>
      <c r="E2532" s="17" t="s">
        <v>1421</v>
      </c>
      <c r="F2532" s="20">
        <v>1932571</v>
      </c>
    </row>
    <row r="2533" spans="1:6" ht="16" customHeight="1" x14ac:dyDescent="0.2">
      <c r="A2533">
        <f>IFERROR(VLOOKUP(C2533,'GASB Match'!$D$2:$F$6042,3,FALSE),"")</f>
        <v>3407800</v>
      </c>
      <c r="B2533" s="17">
        <v>2018</v>
      </c>
      <c r="C2533" s="17" t="s">
        <v>1158</v>
      </c>
      <c r="D2533" s="17">
        <v>423</v>
      </c>
      <c r="E2533" s="17" t="s">
        <v>1464</v>
      </c>
      <c r="F2533" s="20">
        <v>3486144</v>
      </c>
    </row>
    <row r="2534" spans="1:6" ht="16" customHeight="1" x14ac:dyDescent="0.2">
      <c r="A2534">
        <f>IFERROR(VLOOKUP(C2534,'GASB Match'!$D$2:$F$6042,3,FALSE),"")</f>
        <v>3407800</v>
      </c>
      <c r="B2534" s="17">
        <v>2019</v>
      </c>
      <c r="C2534" s="17" t="s">
        <v>1158</v>
      </c>
      <c r="D2534" s="17">
        <v>423</v>
      </c>
      <c r="E2534" s="17" t="s">
        <v>1464</v>
      </c>
      <c r="F2534" s="20">
        <v>4512412</v>
      </c>
    </row>
    <row r="2535" spans="1:6" ht="16" customHeight="1" x14ac:dyDescent="0.2">
      <c r="A2535">
        <f>IFERROR(VLOOKUP(C2535,'GASB Match'!$D$2:$F$6042,3,FALSE),"")</f>
        <v>3407800</v>
      </c>
      <c r="B2535" s="17">
        <v>2020</v>
      </c>
      <c r="C2535" s="21" t="s">
        <v>1158</v>
      </c>
      <c r="D2535" s="17">
        <v>423</v>
      </c>
      <c r="E2535" s="17" t="s">
        <v>1464</v>
      </c>
      <c r="F2535" s="23">
        <v>5250605</v>
      </c>
    </row>
    <row r="2536" spans="1:6" ht="16" customHeight="1" x14ac:dyDescent="0.2">
      <c r="A2536">
        <f>IFERROR(VLOOKUP(C2536,'GASB Match'!$D$2:$F$6042,3,FALSE),"")</f>
        <v>3407800</v>
      </c>
      <c r="B2536" s="17">
        <v>2021</v>
      </c>
      <c r="C2536" s="25" t="s">
        <v>1158</v>
      </c>
      <c r="D2536" s="17">
        <v>423</v>
      </c>
      <c r="E2536" s="17" t="s">
        <v>1464</v>
      </c>
      <c r="F2536" s="23">
        <v>6830325</v>
      </c>
    </row>
    <row r="2537" spans="1:6" ht="16" customHeight="1" x14ac:dyDescent="0.2">
      <c r="A2537">
        <f>IFERROR(VLOOKUP(C2537,'GASB Match'!$D$2:$F$6042,3,FALSE),"")</f>
        <v>3407800</v>
      </c>
      <c r="B2537" s="17">
        <v>2022</v>
      </c>
      <c r="C2537" s="21" t="s">
        <v>1158</v>
      </c>
      <c r="D2537" s="17">
        <v>423</v>
      </c>
      <c r="E2537" s="17" t="s">
        <v>1464</v>
      </c>
      <c r="F2537" s="23">
        <v>9339440</v>
      </c>
    </row>
    <row r="2538" spans="1:6" ht="16" customHeight="1" x14ac:dyDescent="0.2">
      <c r="A2538">
        <f>IFERROR(VLOOKUP(C2538,'GASB Match'!$D$2:$F$6042,3,FALSE),"")</f>
        <v>3407800</v>
      </c>
      <c r="B2538" s="17">
        <v>2023</v>
      </c>
      <c r="C2538" s="21" t="s">
        <v>1158</v>
      </c>
      <c r="D2538" s="17">
        <v>423</v>
      </c>
      <c r="E2538" s="17" t="s">
        <v>1464</v>
      </c>
      <c r="F2538" s="23">
        <v>8670505</v>
      </c>
    </row>
    <row r="2539" spans="1:6" ht="16" customHeight="1" x14ac:dyDescent="0.2">
      <c r="A2539">
        <f>IFERROR(VLOOKUP(C2539,'GASB Match'!$D$2:$F$6042,3,FALSE),"")</f>
        <v>3407800</v>
      </c>
      <c r="B2539" s="28">
        <v>2017</v>
      </c>
      <c r="C2539" s="29" t="s">
        <v>466</v>
      </c>
      <c r="D2539" s="17">
        <v>423</v>
      </c>
      <c r="E2539" s="17" t="s">
        <v>1421</v>
      </c>
      <c r="F2539" s="29">
        <v>2685396</v>
      </c>
    </row>
    <row r="2540" spans="1:6" ht="16" customHeight="1" x14ac:dyDescent="0.2">
      <c r="A2540">
        <f>IFERROR(VLOOKUP(C2540,'GASB Match'!$D$2:$F$6042,3,FALSE),"")</f>
        <v>3400033</v>
      </c>
      <c r="B2540" s="17">
        <v>2015</v>
      </c>
      <c r="C2540" s="17" t="s">
        <v>312</v>
      </c>
      <c r="D2540" s="17">
        <v>8088</v>
      </c>
      <c r="E2540" s="17" t="s">
        <v>1413</v>
      </c>
      <c r="F2540" s="20">
        <v>126762</v>
      </c>
    </row>
    <row r="2541" spans="1:6" ht="16" customHeight="1" x14ac:dyDescent="0.2">
      <c r="A2541">
        <f>IFERROR(VLOOKUP(C2541,'GASB Match'!$D$2:$F$6042,3,FALSE),"")</f>
        <v>3400033</v>
      </c>
      <c r="B2541" s="17">
        <v>2016</v>
      </c>
      <c r="C2541" s="17" t="s">
        <v>312</v>
      </c>
      <c r="D2541" s="17">
        <v>8088</v>
      </c>
      <c r="E2541" s="17" t="s">
        <v>1413</v>
      </c>
      <c r="F2541" s="20">
        <v>192044</v>
      </c>
    </row>
    <row r="2542" spans="1:6" ht="16" customHeight="1" x14ac:dyDescent="0.2">
      <c r="A2542">
        <f>IFERROR(VLOOKUP(C2542,'GASB Match'!$D$2:$F$6042,3,FALSE),"")</f>
        <v>3400033</v>
      </c>
      <c r="B2542" s="17">
        <v>2018</v>
      </c>
      <c r="C2542" s="17" t="s">
        <v>1004</v>
      </c>
      <c r="D2542" s="17">
        <v>8088</v>
      </c>
      <c r="E2542" s="17" t="s">
        <v>1456</v>
      </c>
      <c r="F2542" s="20">
        <v>320973</v>
      </c>
    </row>
    <row r="2543" spans="1:6" ht="16" customHeight="1" x14ac:dyDescent="0.2">
      <c r="A2543">
        <f>IFERROR(VLOOKUP(C2543,'GASB Match'!$D$2:$F$6042,3,FALSE),"")</f>
        <v>3400033</v>
      </c>
      <c r="B2543" s="17">
        <v>2019</v>
      </c>
      <c r="C2543" s="17" t="s">
        <v>1004</v>
      </c>
      <c r="D2543" s="17">
        <v>8088</v>
      </c>
      <c r="E2543" s="17" t="s">
        <v>1456</v>
      </c>
      <c r="F2543" s="20">
        <v>465807</v>
      </c>
    </row>
    <row r="2544" spans="1:6" ht="16" customHeight="1" x14ac:dyDescent="0.2">
      <c r="A2544">
        <f>IFERROR(VLOOKUP(C2544,'GASB Match'!$D$2:$F$6042,3,FALSE),"")</f>
        <v>3400033</v>
      </c>
      <c r="B2544" s="17">
        <v>2020</v>
      </c>
      <c r="C2544" s="21" t="s">
        <v>1004</v>
      </c>
      <c r="D2544" s="17">
        <v>8088</v>
      </c>
      <c r="E2544" s="17" t="s">
        <v>1456</v>
      </c>
      <c r="F2544" s="23">
        <v>500519</v>
      </c>
    </row>
    <row r="2545" spans="1:6" ht="16" customHeight="1" x14ac:dyDescent="0.2">
      <c r="A2545">
        <f>IFERROR(VLOOKUP(C2545,'GASB Match'!$D$2:$F$6042,3,FALSE),"")</f>
        <v>3400033</v>
      </c>
      <c r="B2545" s="17">
        <v>2021</v>
      </c>
      <c r="C2545" s="25" t="s">
        <v>1004</v>
      </c>
      <c r="D2545" s="17">
        <v>8088</v>
      </c>
      <c r="E2545" s="17" t="s">
        <v>1456</v>
      </c>
      <c r="F2545" s="23">
        <v>659633</v>
      </c>
    </row>
    <row r="2546" spans="1:6" ht="16" customHeight="1" x14ac:dyDescent="0.2">
      <c r="A2546">
        <f>IFERROR(VLOOKUP(C2546,'GASB Match'!$D$2:$F$6042,3,FALSE),"")</f>
        <v>3400033</v>
      </c>
      <c r="B2546" s="17">
        <v>2022</v>
      </c>
      <c r="C2546" s="21" t="s">
        <v>1004</v>
      </c>
      <c r="D2546" s="17">
        <v>8088</v>
      </c>
      <c r="E2546" s="17" t="s">
        <v>1456</v>
      </c>
      <c r="F2546" s="23">
        <v>858827</v>
      </c>
    </row>
    <row r="2547" spans="1:6" ht="16" customHeight="1" x14ac:dyDescent="0.2">
      <c r="A2547">
        <f>IFERROR(VLOOKUP(C2547,'GASB Match'!$D$2:$F$6042,3,FALSE),"")</f>
        <v>3400033</v>
      </c>
      <c r="B2547" s="17">
        <v>2023</v>
      </c>
      <c r="C2547" s="21" t="s">
        <v>1004</v>
      </c>
      <c r="D2547" s="17">
        <v>8088</v>
      </c>
      <c r="E2547" s="17" t="s">
        <v>1456</v>
      </c>
      <c r="F2547" s="27">
        <v>925610</v>
      </c>
    </row>
    <row r="2548" spans="1:6" ht="16" customHeight="1" x14ac:dyDescent="0.2">
      <c r="A2548">
        <f>IFERROR(VLOOKUP(C2548,'GASB Match'!$D$2:$F$6042,3,FALSE),"")</f>
        <v>3400033</v>
      </c>
      <c r="B2548" s="28">
        <v>2017</v>
      </c>
      <c r="C2548" s="29" t="s">
        <v>312</v>
      </c>
      <c r="D2548" s="17">
        <v>8088</v>
      </c>
      <c r="E2548" s="17" t="s">
        <v>1413</v>
      </c>
      <c r="F2548" s="29">
        <v>280348</v>
      </c>
    </row>
    <row r="2549" spans="1:6" ht="16" customHeight="1" x14ac:dyDescent="0.2">
      <c r="A2549">
        <f>IFERROR(VLOOKUP(C2549,'GASB Match'!$D$2:$F$6042,3,FALSE),"")</f>
        <v>3400767</v>
      </c>
      <c r="B2549" s="17">
        <v>2018</v>
      </c>
      <c r="C2549" s="17" t="s">
        <v>1005</v>
      </c>
      <c r="D2549" s="17">
        <v>8098</v>
      </c>
      <c r="E2549" s="17" t="s">
        <v>1456</v>
      </c>
      <c r="F2549" s="20">
        <v>153544</v>
      </c>
    </row>
    <row r="2550" spans="1:6" ht="16" customHeight="1" x14ac:dyDescent="0.2">
      <c r="A2550">
        <f>IFERROR(VLOOKUP(C2550,'GASB Match'!$D$2:$F$6042,3,FALSE),"")</f>
        <v>3400767</v>
      </c>
      <c r="B2550" s="17">
        <v>2019</v>
      </c>
      <c r="C2550" s="17" t="s">
        <v>1005</v>
      </c>
      <c r="D2550" s="17">
        <v>8098</v>
      </c>
      <c r="E2550" s="17" t="s">
        <v>1456</v>
      </c>
      <c r="F2550" s="20">
        <v>264578</v>
      </c>
    </row>
    <row r="2551" spans="1:6" ht="16" customHeight="1" x14ac:dyDescent="0.2">
      <c r="A2551">
        <f>IFERROR(VLOOKUP(C2551,'GASB Match'!$D$2:$F$6042,3,FALSE),"")</f>
        <v>3400767</v>
      </c>
      <c r="B2551" s="17">
        <v>2020</v>
      </c>
      <c r="C2551" s="21" t="s">
        <v>1005</v>
      </c>
      <c r="D2551" s="17">
        <v>8098</v>
      </c>
      <c r="E2551" s="17" t="s">
        <v>1456</v>
      </c>
      <c r="F2551" s="23">
        <v>340320</v>
      </c>
    </row>
    <row r="2552" spans="1:6" ht="16" customHeight="1" x14ac:dyDescent="0.2">
      <c r="A2552">
        <f>IFERROR(VLOOKUP(C2552,'GASB Match'!$D$2:$F$6042,3,FALSE),"")</f>
        <v>3400767</v>
      </c>
      <c r="B2552" s="17">
        <v>2021</v>
      </c>
      <c r="C2552" s="25" t="s">
        <v>1005</v>
      </c>
      <c r="D2552" s="17">
        <v>8098</v>
      </c>
      <c r="E2552" s="17" t="s">
        <v>1456</v>
      </c>
      <c r="F2552" s="23">
        <v>435378</v>
      </c>
    </row>
    <row r="2553" spans="1:6" ht="16" customHeight="1" x14ac:dyDescent="0.2">
      <c r="A2553">
        <f>IFERROR(VLOOKUP(C2553,'GASB Match'!$D$2:$F$6042,3,FALSE),"")</f>
        <v>3400767</v>
      </c>
      <c r="B2553" s="17">
        <v>2022</v>
      </c>
      <c r="C2553" s="21" t="s">
        <v>1005</v>
      </c>
      <c r="D2553" s="17">
        <v>8098</v>
      </c>
      <c r="E2553" s="17" t="s">
        <v>1456</v>
      </c>
      <c r="F2553" s="23">
        <v>635685</v>
      </c>
    </row>
    <row r="2554" spans="1:6" ht="16" customHeight="1" x14ac:dyDescent="0.2">
      <c r="A2554">
        <f>IFERROR(VLOOKUP(C2554,'GASB Match'!$D$2:$F$6042,3,FALSE),"")</f>
        <v>3400767</v>
      </c>
      <c r="B2554" s="17">
        <v>2023</v>
      </c>
      <c r="C2554" s="21" t="s">
        <v>1005</v>
      </c>
      <c r="D2554" s="17">
        <v>8098</v>
      </c>
      <c r="E2554" s="17" t="s">
        <v>1456</v>
      </c>
      <c r="F2554" s="23">
        <v>658816</v>
      </c>
    </row>
    <row r="2555" spans="1:6" ht="16" customHeight="1" x14ac:dyDescent="0.2">
      <c r="A2555">
        <f>IFERROR(VLOOKUP(C2555,'GASB Match'!$D$2:$F$6042,3,FALSE),"")</f>
        <v>3400767</v>
      </c>
      <c r="B2555" s="28">
        <v>2017</v>
      </c>
      <c r="C2555" s="29" t="s">
        <v>677</v>
      </c>
      <c r="D2555" s="17">
        <v>8098</v>
      </c>
      <c r="E2555" s="17" t="s">
        <v>1413</v>
      </c>
      <c r="F2555" s="29">
        <v>24650</v>
      </c>
    </row>
    <row r="2556" spans="1:6" ht="16" customHeight="1" x14ac:dyDescent="0.2">
      <c r="A2556">
        <f>IFERROR(VLOOKUP(C2556,'GASB Match'!$D$2:$F$6042,3,FALSE),"")</f>
        <v>3400034</v>
      </c>
      <c r="B2556" s="17">
        <v>2015</v>
      </c>
      <c r="C2556" s="17" t="s">
        <v>313</v>
      </c>
      <c r="D2556" s="17">
        <v>8089</v>
      </c>
      <c r="E2556" s="17" t="s">
        <v>1413</v>
      </c>
      <c r="F2556" s="20">
        <v>148094</v>
      </c>
    </row>
    <row r="2557" spans="1:6" ht="16" customHeight="1" x14ac:dyDescent="0.2">
      <c r="A2557">
        <f>IFERROR(VLOOKUP(C2557,'GASB Match'!$D$2:$F$6042,3,FALSE),"")</f>
        <v>3400034</v>
      </c>
      <c r="B2557" s="17">
        <v>2016</v>
      </c>
      <c r="C2557" s="17" t="s">
        <v>313</v>
      </c>
      <c r="D2557" s="17">
        <v>8089</v>
      </c>
      <c r="E2557" s="17" t="s">
        <v>1413</v>
      </c>
      <c r="F2557" s="20">
        <v>222053</v>
      </c>
    </row>
    <row r="2558" spans="1:6" ht="16" customHeight="1" x14ac:dyDescent="0.2">
      <c r="A2558">
        <f>IFERROR(VLOOKUP(C2558,'GASB Match'!$D$2:$F$6042,3,FALSE),"")</f>
        <v>3400034</v>
      </c>
      <c r="B2558" s="17">
        <v>2018</v>
      </c>
      <c r="C2558" s="17" t="s">
        <v>1006</v>
      </c>
      <c r="D2558" s="17">
        <v>8089</v>
      </c>
      <c r="E2558" s="17" t="s">
        <v>1456</v>
      </c>
      <c r="F2558" s="20">
        <v>402973</v>
      </c>
    </row>
    <row r="2559" spans="1:6" ht="16" customHeight="1" x14ac:dyDescent="0.2">
      <c r="A2559">
        <f>IFERROR(VLOOKUP(C2559,'GASB Match'!$D$2:$F$6042,3,FALSE),"")</f>
        <v>3400034</v>
      </c>
      <c r="B2559" s="17">
        <v>2019</v>
      </c>
      <c r="C2559" s="17" t="s">
        <v>1006</v>
      </c>
      <c r="D2559" s="17">
        <v>8089</v>
      </c>
      <c r="E2559" s="17" t="s">
        <v>1456</v>
      </c>
      <c r="F2559" s="20">
        <v>532959</v>
      </c>
    </row>
    <row r="2560" spans="1:6" ht="16" customHeight="1" x14ac:dyDescent="0.2">
      <c r="A2560">
        <f>IFERROR(VLOOKUP(C2560,'GASB Match'!$D$2:$F$6042,3,FALSE),"")</f>
        <v>3400034</v>
      </c>
      <c r="B2560" s="17">
        <v>2020</v>
      </c>
      <c r="C2560" s="21" t="s">
        <v>1006</v>
      </c>
      <c r="D2560" s="17">
        <v>8089</v>
      </c>
      <c r="E2560" s="17" t="s">
        <v>1456</v>
      </c>
      <c r="F2560" s="23">
        <v>605401</v>
      </c>
    </row>
    <row r="2561" spans="1:6" ht="16" customHeight="1" x14ac:dyDescent="0.2">
      <c r="A2561">
        <f>IFERROR(VLOOKUP(C2561,'GASB Match'!$D$2:$F$6042,3,FALSE),"")</f>
        <v>3400034</v>
      </c>
      <c r="B2561" s="17">
        <v>2021</v>
      </c>
      <c r="C2561" s="25" t="s">
        <v>1006</v>
      </c>
      <c r="D2561" s="17">
        <v>8089</v>
      </c>
      <c r="E2561" s="17" t="s">
        <v>1456</v>
      </c>
      <c r="F2561" s="23">
        <v>825137</v>
      </c>
    </row>
    <row r="2562" spans="1:6" ht="16" customHeight="1" x14ac:dyDescent="0.2">
      <c r="A2562">
        <f>IFERROR(VLOOKUP(C2562,'GASB Match'!$D$2:$F$6042,3,FALSE),"")</f>
        <v>3400034</v>
      </c>
      <c r="B2562" s="17">
        <v>2022</v>
      </c>
      <c r="C2562" s="21" t="s">
        <v>1006</v>
      </c>
      <c r="D2562" s="17">
        <v>8089</v>
      </c>
      <c r="E2562" s="17" t="s">
        <v>1456</v>
      </c>
      <c r="F2562" s="23">
        <v>1158172</v>
      </c>
    </row>
    <row r="2563" spans="1:6" ht="16" customHeight="1" x14ac:dyDescent="0.2">
      <c r="A2563">
        <f>IFERROR(VLOOKUP(C2563,'GASB Match'!$D$2:$F$6042,3,FALSE),"")</f>
        <v>3400034</v>
      </c>
      <c r="B2563" s="17">
        <v>2023</v>
      </c>
      <c r="C2563" s="21" t="s">
        <v>1006</v>
      </c>
      <c r="D2563" s="17">
        <v>8089</v>
      </c>
      <c r="E2563" s="17" t="s">
        <v>1456</v>
      </c>
      <c r="F2563" s="23">
        <v>1056997</v>
      </c>
    </row>
    <row r="2564" spans="1:6" ht="16" customHeight="1" x14ac:dyDescent="0.2">
      <c r="A2564">
        <f>IFERROR(VLOOKUP(C2564,'GASB Match'!$D$2:$F$6042,3,FALSE),"")</f>
        <v>3400034</v>
      </c>
      <c r="B2564" s="28">
        <v>2017</v>
      </c>
      <c r="C2564" s="29" t="s">
        <v>313</v>
      </c>
      <c r="D2564" s="17">
        <v>8089</v>
      </c>
      <c r="E2564" s="17" t="s">
        <v>1413</v>
      </c>
      <c r="F2564" s="29">
        <v>305797</v>
      </c>
    </row>
    <row r="2565" spans="1:6" ht="16" customHeight="1" x14ac:dyDescent="0.2">
      <c r="A2565">
        <f>IFERROR(VLOOKUP(C2565,'GASB Match'!$D$2:$F$6042,3,FALSE),"")</f>
        <v>3407830</v>
      </c>
      <c r="B2565" s="17">
        <v>2015</v>
      </c>
      <c r="C2565" s="17" t="s">
        <v>314</v>
      </c>
      <c r="D2565" s="17">
        <v>8000</v>
      </c>
      <c r="E2565" s="17" t="s">
        <v>1413</v>
      </c>
      <c r="F2565" s="20">
        <v>13866146</v>
      </c>
    </row>
    <row r="2566" spans="1:6" ht="16" customHeight="1" x14ac:dyDescent="0.2">
      <c r="A2566">
        <f>IFERROR(VLOOKUP(C2566,'GASB Match'!$D$2:$F$6042,3,FALSE),"")</f>
        <v>3407830</v>
      </c>
      <c r="B2566" s="17">
        <v>2016</v>
      </c>
      <c r="C2566" s="17" t="s">
        <v>314</v>
      </c>
      <c r="D2566" s="17">
        <v>8000</v>
      </c>
      <c r="E2566" s="17" t="s">
        <v>1413</v>
      </c>
      <c r="F2566" s="20">
        <v>19210200</v>
      </c>
    </row>
    <row r="2567" spans="1:6" ht="16" customHeight="1" x14ac:dyDescent="0.2">
      <c r="A2567">
        <f>IFERROR(VLOOKUP(C2567,'GASB Match'!$D$2:$F$6042,3,FALSE),"")</f>
        <v>3407830</v>
      </c>
      <c r="B2567" s="17">
        <v>2018</v>
      </c>
      <c r="C2567" s="17" t="s">
        <v>1007</v>
      </c>
      <c r="D2567" s="17">
        <v>8000</v>
      </c>
      <c r="E2567" s="17" t="s">
        <v>1456</v>
      </c>
      <c r="F2567" s="20">
        <v>36310241</v>
      </c>
    </row>
    <row r="2568" spans="1:6" ht="16" customHeight="1" x14ac:dyDescent="0.2">
      <c r="A2568">
        <f>IFERROR(VLOOKUP(C2568,'GASB Match'!$D$2:$F$6042,3,FALSE),"")</f>
        <v>3407830</v>
      </c>
      <c r="B2568" s="17">
        <v>2019</v>
      </c>
      <c r="C2568" s="17" t="s">
        <v>1007</v>
      </c>
      <c r="D2568" s="17">
        <v>8000</v>
      </c>
      <c r="E2568" s="17" t="s">
        <v>1456</v>
      </c>
      <c r="F2568" s="20">
        <v>48726512</v>
      </c>
    </row>
    <row r="2569" spans="1:6" ht="16" customHeight="1" x14ac:dyDescent="0.2">
      <c r="A2569">
        <f>IFERROR(VLOOKUP(C2569,'GASB Match'!$D$2:$F$6042,3,FALSE),"")</f>
        <v>3407830</v>
      </c>
      <c r="B2569" s="17">
        <v>2020</v>
      </c>
      <c r="C2569" s="21" t="s">
        <v>1007</v>
      </c>
      <c r="D2569" s="17">
        <v>8000</v>
      </c>
      <c r="E2569" s="17" t="s">
        <v>1456</v>
      </c>
      <c r="F2569" s="23">
        <v>52451457</v>
      </c>
    </row>
    <row r="2570" spans="1:6" ht="16" customHeight="1" x14ac:dyDescent="0.2">
      <c r="A2570">
        <f>IFERROR(VLOOKUP(C2570,'GASB Match'!$D$2:$F$6042,3,FALSE),"")</f>
        <v>3407830</v>
      </c>
      <c r="B2570" s="17">
        <v>2021</v>
      </c>
      <c r="C2570" s="25" t="s">
        <v>1007</v>
      </c>
      <c r="D2570" s="17">
        <v>8000</v>
      </c>
      <c r="E2570" s="17" t="s">
        <v>1456</v>
      </c>
      <c r="F2570" s="23">
        <v>66583509</v>
      </c>
    </row>
    <row r="2571" spans="1:6" ht="16" customHeight="1" x14ac:dyDescent="0.2">
      <c r="A2571">
        <f>IFERROR(VLOOKUP(C2571,'GASB Match'!$D$2:$F$6042,3,FALSE),"")</f>
        <v>3407830</v>
      </c>
      <c r="B2571" s="17">
        <v>2022</v>
      </c>
      <c r="C2571" s="21" t="s">
        <v>1007</v>
      </c>
      <c r="D2571" s="17">
        <v>8000</v>
      </c>
      <c r="E2571" s="17" t="s">
        <v>1456</v>
      </c>
      <c r="F2571" s="23">
        <v>88354519</v>
      </c>
    </row>
    <row r="2572" spans="1:6" ht="16" customHeight="1" x14ac:dyDescent="0.2">
      <c r="A2572">
        <f>IFERROR(VLOOKUP(C2572,'GASB Match'!$D$2:$F$6042,3,FALSE),"")</f>
        <v>3407830</v>
      </c>
      <c r="B2572" s="17">
        <v>2023</v>
      </c>
      <c r="C2572" s="21" t="s">
        <v>1007</v>
      </c>
      <c r="D2572" s="17">
        <v>8000</v>
      </c>
      <c r="E2572" s="17" t="s">
        <v>1456</v>
      </c>
      <c r="F2572" s="23">
        <v>86761460</v>
      </c>
    </row>
    <row r="2573" spans="1:6" ht="16" customHeight="1" x14ac:dyDescent="0.2">
      <c r="A2573">
        <f>IFERROR(VLOOKUP(C2573,'GASB Match'!$D$2:$F$6042,3,FALSE),"")</f>
        <v>3407830</v>
      </c>
      <c r="B2573" s="28">
        <v>2017</v>
      </c>
      <c r="C2573" s="29" t="s">
        <v>314</v>
      </c>
      <c r="D2573" s="17">
        <v>8000</v>
      </c>
      <c r="E2573" s="17" t="s">
        <v>1413</v>
      </c>
      <c r="F2573" s="29">
        <v>26239658</v>
      </c>
    </row>
    <row r="2574" spans="1:6" ht="16" customHeight="1" x14ac:dyDescent="0.2">
      <c r="A2574">
        <f>IFERROR(VLOOKUP(C2574,'GASB Match'!$D$2:$F$6042,3,FALSE),"")</f>
        <v>3400748</v>
      </c>
      <c r="B2574" s="17">
        <v>2015</v>
      </c>
      <c r="C2574" s="17" t="s">
        <v>529</v>
      </c>
      <c r="D2574" s="17">
        <v>662</v>
      </c>
      <c r="E2574" s="17" t="s">
        <v>1423</v>
      </c>
      <c r="F2574" s="20">
        <v>37830</v>
      </c>
    </row>
    <row r="2575" spans="1:6" ht="16" customHeight="1" x14ac:dyDescent="0.2">
      <c r="A2575">
        <f>IFERROR(VLOOKUP(C2575,'GASB Match'!$D$2:$F$6042,3,FALSE),"")</f>
        <v>3400748</v>
      </c>
      <c r="B2575" s="17">
        <v>2016</v>
      </c>
      <c r="C2575" s="17" t="s">
        <v>529</v>
      </c>
      <c r="D2575" s="17">
        <v>662</v>
      </c>
      <c r="E2575" s="17" t="s">
        <v>1423</v>
      </c>
      <c r="F2575" s="20">
        <v>88867</v>
      </c>
    </row>
    <row r="2576" spans="1:6" ht="16" customHeight="1" x14ac:dyDescent="0.2">
      <c r="A2576">
        <f>IFERROR(VLOOKUP(C2576,'GASB Match'!$D$2:$F$6042,3,FALSE),"")</f>
        <v>3400748</v>
      </c>
      <c r="B2576" s="17">
        <v>2018</v>
      </c>
      <c r="C2576" s="17" t="s">
        <v>1221</v>
      </c>
      <c r="D2576" s="17">
        <v>662</v>
      </c>
      <c r="E2576" s="17" t="s">
        <v>1466</v>
      </c>
      <c r="F2576" s="20">
        <v>178029</v>
      </c>
    </row>
    <row r="2577" spans="1:6" ht="16" customHeight="1" x14ac:dyDescent="0.2">
      <c r="A2577">
        <f>IFERROR(VLOOKUP(C2577,'GASB Match'!$D$2:$F$6042,3,FALSE),"")</f>
        <v>3400748</v>
      </c>
      <c r="B2577" s="17">
        <v>2019</v>
      </c>
      <c r="C2577" s="17" t="s">
        <v>1221</v>
      </c>
      <c r="D2577" s="17">
        <v>662</v>
      </c>
      <c r="E2577" s="17" t="s">
        <v>1466</v>
      </c>
      <c r="F2577" s="20">
        <v>229881</v>
      </c>
    </row>
    <row r="2578" spans="1:6" ht="16" customHeight="1" x14ac:dyDescent="0.2">
      <c r="A2578">
        <f>IFERROR(VLOOKUP(C2578,'GASB Match'!$D$2:$F$6042,3,FALSE),"")</f>
        <v>3400748</v>
      </c>
      <c r="B2578" s="17">
        <v>2020</v>
      </c>
      <c r="C2578" s="21" t="s">
        <v>1221</v>
      </c>
      <c r="D2578" s="17">
        <v>662</v>
      </c>
      <c r="E2578" s="17" t="s">
        <v>1466</v>
      </c>
      <c r="F2578" s="23">
        <v>333072</v>
      </c>
    </row>
    <row r="2579" spans="1:6" ht="16" customHeight="1" x14ac:dyDescent="0.2">
      <c r="A2579">
        <f>IFERROR(VLOOKUP(C2579,'GASB Match'!$D$2:$F$6042,3,FALSE),"")</f>
        <v>3400748</v>
      </c>
      <c r="B2579" s="17">
        <v>2021</v>
      </c>
      <c r="C2579" s="25" t="s">
        <v>1221</v>
      </c>
      <c r="D2579" s="17">
        <v>662</v>
      </c>
      <c r="E2579" s="17" t="s">
        <v>1466</v>
      </c>
      <c r="F2579" s="23">
        <v>498175</v>
      </c>
    </row>
    <row r="2580" spans="1:6" ht="16" customHeight="1" x14ac:dyDescent="0.2">
      <c r="A2580">
        <f>IFERROR(VLOOKUP(C2580,'GASB Match'!$D$2:$F$6042,3,FALSE),"")</f>
        <v>3400748</v>
      </c>
      <c r="B2580" s="17">
        <v>2022</v>
      </c>
      <c r="C2580" s="21" t="s">
        <v>1221</v>
      </c>
      <c r="D2580" s="17">
        <v>662</v>
      </c>
      <c r="E2580" s="17" t="s">
        <v>1466</v>
      </c>
      <c r="F2580" s="23">
        <v>792932</v>
      </c>
    </row>
    <row r="2581" spans="1:6" ht="16" customHeight="1" x14ac:dyDescent="0.2">
      <c r="A2581">
        <f>IFERROR(VLOOKUP(C2581,'GASB Match'!$D$2:$F$6042,3,FALSE),"")</f>
        <v>3400748</v>
      </c>
      <c r="B2581" s="17">
        <v>2023</v>
      </c>
      <c r="C2581" s="21" t="s">
        <v>1221</v>
      </c>
      <c r="D2581" s="17">
        <v>662</v>
      </c>
      <c r="E2581" s="17" t="s">
        <v>1466</v>
      </c>
      <c r="F2581" s="23">
        <v>827215</v>
      </c>
    </row>
    <row r="2582" spans="1:6" ht="16" customHeight="1" x14ac:dyDescent="0.2">
      <c r="A2582">
        <f>IFERROR(VLOOKUP(C2582,'GASB Match'!$D$2:$F$6042,3,FALSE),"")</f>
        <v>3400748</v>
      </c>
      <c r="B2582" s="28">
        <v>2017</v>
      </c>
      <c r="C2582" s="29" t="s">
        <v>529</v>
      </c>
      <c r="D2582" s="17">
        <v>662</v>
      </c>
      <c r="E2582" s="17" t="s">
        <v>1423</v>
      </c>
      <c r="F2582" s="29">
        <v>108886</v>
      </c>
    </row>
    <row r="2583" spans="1:6" ht="16" customHeight="1" x14ac:dyDescent="0.2">
      <c r="A2583" t="str">
        <f>IFERROR(VLOOKUP(C2583,'GASB Match'!$D$2:$F$6042,3,FALSE),"")</f>
        <v/>
      </c>
      <c r="B2583" s="17">
        <v>2015</v>
      </c>
      <c r="C2583" s="17" t="s">
        <v>1393</v>
      </c>
      <c r="D2583" s="17">
        <v>90412</v>
      </c>
      <c r="E2583" s="18"/>
      <c r="F2583" s="19">
        <v>185803</v>
      </c>
    </row>
    <row r="2584" spans="1:6" ht="16" customHeight="1" x14ac:dyDescent="0.2">
      <c r="A2584" t="str">
        <f>IFERROR(VLOOKUP(C2584,'GASB Match'!$D$2:$F$6042,3,FALSE),"")</f>
        <v/>
      </c>
      <c r="B2584" s="17">
        <v>2016</v>
      </c>
      <c r="C2584" s="17" t="s">
        <v>1393</v>
      </c>
      <c r="D2584" s="17">
        <v>90412</v>
      </c>
      <c r="E2584" s="18"/>
      <c r="F2584" s="19">
        <v>71938</v>
      </c>
    </row>
    <row r="2585" spans="1:6" ht="16" customHeight="1" x14ac:dyDescent="0.2">
      <c r="A2585" t="str">
        <f>IFERROR(VLOOKUP(C2585,'GASB Match'!$D$2:$F$6042,3,FALSE),"")</f>
        <v/>
      </c>
      <c r="B2585" s="17">
        <v>2018</v>
      </c>
      <c r="C2585" s="17" t="s">
        <v>1434</v>
      </c>
      <c r="D2585" s="17">
        <v>90412</v>
      </c>
      <c r="E2585" s="18"/>
      <c r="F2585" s="19">
        <v>128587</v>
      </c>
    </row>
    <row r="2586" spans="1:6" ht="16" customHeight="1" x14ac:dyDescent="0.2">
      <c r="A2586" t="str">
        <f>IFERROR(VLOOKUP(C2586,'GASB Match'!$D$2:$F$6042,3,FALSE),"")</f>
        <v/>
      </c>
      <c r="B2586" s="17">
        <v>2019</v>
      </c>
      <c r="C2586" s="17" t="s">
        <v>1434</v>
      </c>
      <c r="D2586" s="17">
        <v>90412</v>
      </c>
      <c r="E2586" s="18"/>
      <c r="F2586" s="19">
        <v>164536</v>
      </c>
    </row>
    <row r="2587" spans="1:6" ht="16" customHeight="1" x14ac:dyDescent="0.2">
      <c r="A2587" t="str">
        <f>IFERROR(VLOOKUP(C2587,'GASB Match'!$D$2:$F$6042,3,FALSE),"")</f>
        <v/>
      </c>
      <c r="B2587" s="17">
        <v>2020</v>
      </c>
      <c r="C2587" s="21" t="s">
        <v>1434</v>
      </c>
      <c r="D2587" s="17">
        <v>90412</v>
      </c>
      <c r="E2587" s="21"/>
      <c r="F2587" s="22">
        <v>161198</v>
      </c>
    </row>
    <row r="2588" spans="1:6" ht="16" customHeight="1" x14ac:dyDescent="0.2">
      <c r="A2588" t="str">
        <f>IFERROR(VLOOKUP(C2588,'GASB Match'!$D$2:$F$6042,3,FALSE),"")</f>
        <v/>
      </c>
      <c r="B2588" s="17">
        <v>2021</v>
      </c>
      <c r="C2588" s="25" t="s">
        <v>1434</v>
      </c>
      <c r="D2588" s="17">
        <v>90412</v>
      </c>
      <c r="E2588" s="25"/>
      <c r="F2588" s="22">
        <v>186039</v>
      </c>
    </row>
    <row r="2589" spans="1:6" ht="16" customHeight="1" x14ac:dyDescent="0.2">
      <c r="A2589" t="str">
        <f>IFERROR(VLOOKUP(C2589,'GASB Match'!$D$2:$F$6042,3,FALSE),"")</f>
        <v/>
      </c>
      <c r="B2589" s="17">
        <v>2022</v>
      </c>
      <c r="C2589" s="21" t="s">
        <v>1434</v>
      </c>
      <c r="D2589" s="17">
        <v>90412</v>
      </c>
      <c r="E2589" s="21"/>
      <c r="F2589" s="22">
        <v>261984</v>
      </c>
    </row>
    <row r="2590" spans="1:6" ht="16" customHeight="1" x14ac:dyDescent="0.2">
      <c r="A2590" t="str">
        <f>IFERROR(VLOOKUP(C2590,'GASB Match'!$D$2:$F$6042,3,FALSE),"")</f>
        <v/>
      </c>
      <c r="B2590" s="17">
        <v>2023</v>
      </c>
      <c r="C2590" s="21" t="s">
        <v>1434</v>
      </c>
      <c r="D2590" s="17">
        <v>90412</v>
      </c>
      <c r="E2590" s="21"/>
      <c r="F2590" s="23">
        <v>206187</v>
      </c>
    </row>
    <row r="2591" spans="1:6" ht="16" customHeight="1" x14ac:dyDescent="0.2">
      <c r="A2591" t="str">
        <f>IFERROR(VLOOKUP(C2591,'GASB Match'!$D$2:$F$6042,3,FALSE),"")</f>
        <v/>
      </c>
      <c r="B2591" s="28">
        <v>2017</v>
      </c>
      <c r="C2591" s="29" t="s">
        <v>1393</v>
      </c>
      <c r="D2591" s="17">
        <v>90412</v>
      </c>
      <c r="E2591" s="29"/>
      <c r="F2591" s="29">
        <v>100504</v>
      </c>
    </row>
    <row r="2592" spans="1:6" ht="16" customHeight="1" x14ac:dyDescent="0.2">
      <c r="A2592">
        <f>IFERROR(VLOOKUP(C2592,'GASB Match'!$D$2:$F$6042,3,FALSE),"")</f>
        <v>3407860</v>
      </c>
      <c r="B2592" s="17">
        <v>2015</v>
      </c>
      <c r="C2592" s="17" t="s">
        <v>421</v>
      </c>
      <c r="D2592" s="17">
        <v>336</v>
      </c>
      <c r="E2592" s="17" t="e">
        <f>#REF!</f>
        <v>#REF!</v>
      </c>
      <c r="F2592" s="20">
        <v>903488</v>
      </c>
    </row>
    <row r="2593" spans="1:6" ht="16" customHeight="1" x14ac:dyDescent="0.2">
      <c r="A2593">
        <f>IFERROR(VLOOKUP(C2593,'GASB Match'!$D$2:$F$6042,3,FALSE),"")</f>
        <v>3407860</v>
      </c>
      <c r="B2593" s="17">
        <v>2016</v>
      </c>
      <c r="C2593" s="17" t="s">
        <v>421</v>
      </c>
      <c r="D2593" s="17">
        <v>336</v>
      </c>
      <c r="E2593" s="17" t="e">
        <f>#REF!</f>
        <v>#REF!</v>
      </c>
      <c r="F2593" s="20">
        <v>1295339</v>
      </c>
    </row>
    <row r="2594" spans="1:6" ht="16" customHeight="1" x14ac:dyDescent="0.2">
      <c r="A2594">
        <f>IFERROR(VLOOKUP(C2594,'GASB Match'!$D$2:$F$6042,3,FALSE),"")</f>
        <v>3407860</v>
      </c>
      <c r="B2594" s="17">
        <v>2018</v>
      </c>
      <c r="C2594" s="17" t="s">
        <v>1113</v>
      </c>
      <c r="D2594" s="17">
        <v>336</v>
      </c>
      <c r="E2594" s="17" t="e">
        <f>#REF!</f>
        <v>#REF!</v>
      </c>
      <c r="F2594" s="20">
        <v>2401634</v>
      </c>
    </row>
    <row r="2595" spans="1:6" ht="16" customHeight="1" x14ac:dyDescent="0.2">
      <c r="A2595">
        <f>IFERROR(VLOOKUP(C2595,'GASB Match'!$D$2:$F$6042,3,FALSE),"")</f>
        <v>3407860</v>
      </c>
      <c r="B2595" s="17">
        <v>2019</v>
      </c>
      <c r="C2595" s="17" t="s">
        <v>1113</v>
      </c>
      <c r="D2595" s="17">
        <v>336</v>
      </c>
      <c r="E2595" s="17" t="e">
        <f>#REF!</f>
        <v>#REF!</v>
      </c>
      <c r="F2595" s="20">
        <v>3249428</v>
      </c>
    </row>
    <row r="2596" spans="1:6" ht="16" customHeight="1" x14ac:dyDescent="0.2">
      <c r="A2596">
        <f>IFERROR(VLOOKUP(C2596,'GASB Match'!$D$2:$F$6042,3,FALSE),"")</f>
        <v>3407860</v>
      </c>
      <c r="B2596" s="17">
        <v>2020</v>
      </c>
      <c r="C2596" s="21" t="s">
        <v>1113</v>
      </c>
      <c r="D2596" s="17">
        <v>336</v>
      </c>
      <c r="E2596" s="17" t="e">
        <f>#REF!</f>
        <v>#REF!</v>
      </c>
      <c r="F2596" s="23">
        <v>3660371</v>
      </c>
    </row>
    <row r="2597" spans="1:6" ht="16" customHeight="1" x14ac:dyDescent="0.2">
      <c r="A2597">
        <f>IFERROR(VLOOKUP(C2597,'GASB Match'!$D$2:$F$6042,3,FALSE),"")</f>
        <v>3407860</v>
      </c>
      <c r="B2597" s="17">
        <v>2021</v>
      </c>
      <c r="C2597" s="25" t="s">
        <v>1113</v>
      </c>
      <c r="D2597" s="17">
        <v>336</v>
      </c>
      <c r="E2597" s="17" t="e">
        <f>#REF!</f>
        <v>#REF!</v>
      </c>
      <c r="F2597" s="23">
        <v>4631461</v>
      </c>
    </row>
    <row r="2598" spans="1:6" ht="16" customHeight="1" x14ac:dyDescent="0.2">
      <c r="A2598">
        <f>IFERROR(VLOOKUP(C2598,'GASB Match'!$D$2:$F$6042,3,FALSE),"")</f>
        <v>3407860</v>
      </c>
      <c r="B2598" s="17">
        <v>2022</v>
      </c>
      <c r="C2598" s="21" t="s">
        <v>1113</v>
      </c>
      <c r="D2598" s="17">
        <v>336</v>
      </c>
      <c r="E2598" s="17" t="e">
        <f>#REF!</f>
        <v>#REF!</v>
      </c>
      <c r="F2598" s="23">
        <v>6288746</v>
      </c>
    </row>
    <row r="2599" spans="1:6" ht="16" customHeight="1" x14ac:dyDescent="0.2">
      <c r="A2599">
        <f>IFERROR(VLOOKUP(C2599,'GASB Match'!$D$2:$F$6042,3,FALSE),"")</f>
        <v>3407860</v>
      </c>
      <c r="B2599" s="17">
        <v>2023</v>
      </c>
      <c r="C2599" s="21" t="s">
        <v>1113</v>
      </c>
      <c r="D2599" s="17">
        <v>336</v>
      </c>
      <c r="E2599" s="17" t="e">
        <f>#REF!</f>
        <v>#REF!</v>
      </c>
      <c r="F2599" s="23">
        <v>5607968</v>
      </c>
    </row>
    <row r="2600" spans="1:6" ht="16" customHeight="1" x14ac:dyDescent="0.2">
      <c r="A2600">
        <f>IFERROR(VLOOKUP(C2600,'GASB Match'!$D$2:$F$6042,3,FALSE),"")</f>
        <v>3407860</v>
      </c>
      <c r="B2600" s="28">
        <v>2017</v>
      </c>
      <c r="C2600" s="29" t="s">
        <v>421</v>
      </c>
      <c r="D2600" s="17">
        <v>336</v>
      </c>
      <c r="E2600" s="17" t="e">
        <f>#REF!</f>
        <v>#REF!</v>
      </c>
      <c r="F2600" s="29">
        <v>1770063</v>
      </c>
    </row>
    <row r="2601" spans="1:6" ht="16" customHeight="1" x14ac:dyDescent="0.2">
      <c r="A2601">
        <f>IFERROR(VLOOKUP(C2601,'GASB Match'!$D$2:$F$6042,3,FALSE),"")</f>
        <v>3407890</v>
      </c>
      <c r="B2601" s="17">
        <v>2015</v>
      </c>
      <c r="C2601" s="17" t="s">
        <v>315</v>
      </c>
      <c r="D2601" s="17">
        <v>8030</v>
      </c>
      <c r="E2601" s="17" t="e">
        <f>#REF!</f>
        <v>#REF!</v>
      </c>
      <c r="F2601" s="20">
        <v>2088031</v>
      </c>
    </row>
    <row r="2602" spans="1:6" ht="16" customHeight="1" x14ac:dyDescent="0.2">
      <c r="A2602">
        <f>IFERROR(VLOOKUP(C2602,'GASB Match'!$D$2:$F$6042,3,FALSE),"")</f>
        <v>3407890</v>
      </c>
      <c r="B2602" s="17">
        <v>2016</v>
      </c>
      <c r="C2602" s="17" t="s">
        <v>315</v>
      </c>
      <c r="D2602" s="17">
        <v>8030</v>
      </c>
      <c r="E2602" s="17" t="e">
        <f>#REF!</f>
        <v>#REF!</v>
      </c>
      <c r="F2602" s="20">
        <v>3174228</v>
      </c>
    </row>
    <row r="2603" spans="1:6" ht="16" customHeight="1" x14ac:dyDescent="0.2">
      <c r="A2603">
        <f>IFERROR(VLOOKUP(C2603,'GASB Match'!$D$2:$F$6042,3,FALSE),"")</f>
        <v>3407890</v>
      </c>
      <c r="B2603" s="17">
        <v>2018</v>
      </c>
      <c r="C2603" s="17" t="s">
        <v>1008</v>
      </c>
      <c r="D2603" s="17">
        <v>8030</v>
      </c>
      <c r="E2603" s="17" t="e">
        <f>#REF!</f>
        <v>#REF!</v>
      </c>
      <c r="F2603" s="20">
        <v>5695362</v>
      </c>
    </row>
    <row r="2604" spans="1:6" ht="16" customHeight="1" x14ac:dyDescent="0.2">
      <c r="A2604">
        <f>IFERROR(VLOOKUP(C2604,'GASB Match'!$D$2:$F$6042,3,FALSE),"")</f>
        <v>3407890</v>
      </c>
      <c r="B2604" s="17">
        <v>2019</v>
      </c>
      <c r="C2604" s="17" t="s">
        <v>1008</v>
      </c>
      <c r="D2604" s="17">
        <v>8030</v>
      </c>
      <c r="E2604" s="17" t="e">
        <f>#REF!</f>
        <v>#REF!</v>
      </c>
      <c r="F2604" s="20">
        <v>7690268</v>
      </c>
    </row>
    <row r="2605" spans="1:6" ht="16" customHeight="1" x14ac:dyDescent="0.2">
      <c r="A2605">
        <f>IFERROR(VLOOKUP(C2605,'GASB Match'!$D$2:$F$6042,3,FALSE),"")</f>
        <v>3407890</v>
      </c>
      <c r="B2605" s="17">
        <v>2020</v>
      </c>
      <c r="C2605" s="21" t="s">
        <v>1008</v>
      </c>
      <c r="D2605" s="17">
        <v>8030</v>
      </c>
      <c r="E2605" s="17" t="e">
        <f>#REF!</f>
        <v>#REF!</v>
      </c>
      <c r="F2605" s="23">
        <v>8405156</v>
      </c>
    </row>
    <row r="2606" spans="1:6" ht="16" customHeight="1" x14ac:dyDescent="0.2">
      <c r="A2606">
        <f>IFERROR(VLOOKUP(C2606,'GASB Match'!$D$2:$F$6042,3,FALSE),"")</f>
        <v>3407890</v>
      </c>
      <c r="B2606" s="17">
        <v>2021</v>
      </c>
      <c r="C2606" s="25" t="s">
        <v>1008</v>
      </c>
      <c r="D2606" s="17">
        <v>8030</v>
      </c>
      <c r="E2606" s="17" t="e">
        <f>#REF!</f>
        <v>#REF!</v>
      </c>
      <c r="F2606" s="23">
        <v>11497789</v>
      </c>
    </row>
    <row r="2607" spans="1:6" ht="16" customHeight="1" x14ac:dyDescent="0.2">
      <c r="A2607">
        <f>IFERROR(VLOOKUP(C2607,'GASB Match'!$D$2:$F$6042,3,FALSE),"")</f>
        <v>3407890</v>
      </c>
      <c r="B2607" s="17">
        <v>2022</v>
      </c>
      <c r="C2607" s="21" t="s">
        <v>1008</v>
      </c>
      <c r="D2607" s="17">
        <v>8030</v>
      </c>
      <c r="E2607" s="17" t="e">
        <f>#REF!</f>
        <v>#REF!</v>
      </c>
      <c r="F2607" s="23">
        <v>16611917</v>
      </c>
    </row>
    <row r="2608" spans="1:6" ht="16" customHeight="1" x14ac:dyDescent="0.2">
      <c r="A2608">
        <f>IFERROR(VLOOKUP(C2608,'GASB Match'!$D$2:$F$6042,3,FALSE),"")</f>
        <v>3407890</v>
      </c>
      <c r="B2608" s="17">
        <v>2023</v>
      </c>
      <c r="C2608" s="21" t="s">
        <v>1008</v>
      </c>
      <c r="D2608" s="17">
        <v>8030</v>
      </c>
      <c r="E2608" s="17" t="e">
        <f>#REF!</f>
        <v>#REF!</v>
      </c>
      <c r="F2608" s="23">
        <v>16774038</v>
      </c>
    </row>
    <row r="2609" spans="1:6" ht="16" customHeight="1" x14ac:dyDescent="0.2">
      <c r="A2609">
        <f>IFERROR(VLOOKUP(C2609,'GASB Match'!$D$2:$F$6042,3,FALSE),"")</f>
        <v>3407890</v>
      </c>
      <c r="B2609" s="28">
        <v>2017</v>
      </c>
      <c r="C2609" s="29" t="s">
        <v>315</v>
      </c>
      <c r="D2609" s="17">
        <v>8030</v>
      </c>
      <c r="E2609" s="17" t="e">
        <f>#REF!</f>
        <v>#REF!</v>
      </c>
      <c r="F2609" s="29">
        <v>4351709</v>
      </c>
    </row>
    <row r="2610" spans="1:6" ht="16" customHeight="1" x14ac:dyDescent="0.2">
      <c r="A2610">
        <f>IFERROR(VLOOKUP(C2610,'GASB Match'!$D$2:$F$6042,3,FALSE),"")</f>
        <v>3407920</v>
      </c>
      <c r="B2610" s="17">
        <v>2015</v>
      </c>
      <c r="C2610" s="17" t="s">
        <v>619</v>
      </c>
      <c r="D2610" s="17">
        <v>810</v>
      </c>
      <c r="E2610" s="17" t="e">
        <f>#REF!</f>
        <v>#REF!</v>
      </c>
      <c r="F2610" s="20">
        <v>534187</v>
      </c>
    </row>
    <row r="2611" spans="1:6" ht="16" customHeight="1" x14ac:dyDescent="0.2">
      <c r="A2611">
        <f>IFERROR(VLOOKUP(C2611,'GASB Match'!$D$2:$F$6042,3,FALSE),"")</f>
        <v>3407920</v>
      </c>
      <c r="B2611" s="17">
        <v>2016</v>
      </c>
      <c r="C2611" s="17" t="s">
        <v>619</v>
      </c>
      <c r="D2611" s="17">
        <v>810</v>
      </c>
      <c r="E2611" s="17" t="e">
        <f>#REF!</f>
        <v>#REF!</v>
      </c>
      <c r="F2611" s="20">
        <v>825404</v>
      </c>
    </row>
    <row r="2612" spans="1:6" ht="16" customHeight="1" x14ac:dyDescent="0.2">
      <c r="A2612">
        <f>IFERROR(VLOOKUP(C2612,'GASB Match'!$D$2:$F$6042,3,FALSE),"")</f>
        <v>3407920</v>
      </c>
      <c r="B2612" s="17">
        <v>2018</v>
      </c>
      <c r="C2612" s="17" t="s">
        <v>1312</v>
      </c>
      <c r="D2612" s="17">
        <v>810</v>
      </c>
      <c r="E2612" s="17" t="e">
        <f>#REF!</f>
        <v>#REF!</v>
      </c>
      <c r="F2612" s="20">
        <v>1661542</v>
      </c>
    </row>
    <row r="2613" spans="1:6" ht="16" customHeight="1" x14ac:dyDescent="0.2">
      <c r="A2613">
        <f>IFERROR(VLOOKUP(C2613,'GASB Match'!$D$2:$F$6042,3,FALSE),"")</f>
        <v>3407920</v>
      </c>
      <c r="B2613" s="17">
        <v>2019</v>
      </c>
      <c r="C2613" s="17" t="s">
        <v>1312</v>
      </c>
      <c r="D2613" s="17">
        <v>810</v>
      </c>
      <c r="E2613" s="17" t="e">
        <f>#REF!</f>
        <v>#REF!</v>
      </c>
      <c r="F2613" s="20">
        <v>2306053</v>
      </c>
    </row>
    <row r="2614" spans="1:6" ht="16" customHeight="1" x14ac:dyDescent="0.2">
      <c r="A2614">
        <f>IFERROR(VLOOKUP(C2614,'GASB Match'!$D$2:$F$6042,3,FALSE),"")</f>
        <v>3407920</v>
      </c>
      <c r="B2614" s="17">
        <v>2020</v>
      </c>
      <c r="C2614" s="21" t="s">
        <v>1312</v>
      </c>
      <c r="D2614" s="17">
        <v>810</v>
      </c>
      <c r="E2614" s="17" t="e">
        <f>#REF!</f>
        <v>#REF!</v>
      </c>
      <c r="F2614" s="23">
        <v>2545410</v>
      </c>
    </row>
    <row r="2615" spans="1:6" ht="16" customHeight="1" x14ac:dyDescent="0.2">
      <c r="A2615">
        <f>IFERROR(VLOOKUP(C2615,'GASB Match'!$D$2:$F$6042,3,FALSE),"")</f>
        <v>3407920</v>
      </c>
      <c r="B2615" s="17">
        <v>2021</v>
      </c>
      <c r="C2615" s="25" t="s">
        <v>1312</v>
      </c>
      <c r="D2615" s="17">
        <v>810</v>
      </c>
      <c r="E2615" s="17" t="e">
        <f>#REF!</f>
        <v>#REF!</v>
      </c>
      <c r="F2615" s="23">
        <v>3437062</v>
      </c>
    </row>
    <row r="2616" spans="1:6" ht="16" customHeight="1" x14ac:dyDescent="0.2">
      <c r="A2616">
        <f>IFERROR(VLOOKUP(C2616,'GASB Match'!$D$2:$F$6042,3,FALSE),"")</f>
        <v>3407920</v>
      </c>
      <c r="B2616" s="17">
        <v>2022</v>
      </c>
      <c r="C2616" s="21" t="s">
        <v>1312</v>
      </c>
      <c r="D2616" s="17">
        <v>810</v>
      </c>
      <c r="E2616" s="17" t="e">
        <f>#REF!</f>
        <v>#REF!</v>
      </c>
      <c r="F2616" s="23">
        <v>5122969</v>
      </c>
    </row>
    <row r="2617" spans="1:6" ht="16" customHeight="1" x14ac:dyDescent="0.2">
      <c r="A2617">
        <f>IFERROR(VLOOKUP(C2617,'GASB Match'!$D$2:$F$6042,3,FALSE),"")</f>
        <v>3407920</v>
      </c>
      <c r="B2617" s="17">
        <v>2023</v>
      </c>
      <c r="C2617" s="21" t="s">
        <v>1312</v>
      </c>
      <c r="D2617" s="17">
        <v>810</v>
      </c>
      <c r="E2617" s="17" t="e">
        <f>#REF!</f>
        <v>#REF!</v>
      </c>
      <c r="F2617" s="23">
        <v>5043250</v>
      </c>
    </row>
    <row r="2618" spans="1:6" ht="16" customHeight="1" x14ac:dyDescent="0.2">
      <c r="A2618">
        <f>IFERROR(VLOOKUP(C2618,'GASB Match'!$D$2:$F$6042,3,FALSE),"")</f>
        <v>3407920</v>
      </c>
      <c r="B2618" s="28">
        <v>2017</v>
      </c>
      <c r="C2618" s="29" t="s">
        <v>619</v>
      </c>
      <c r="D2618" s="17">
        <v>810</v>
      </c>
      <c r="E2618" s="17" t="e">
        <f>#REF!</f>
        <v>#REF!</v>
      </c>
      <c r="F2618" s="29">
        <v>1147391</v>
      </c>
    </row>
    <row r="2619" spans="1:6" ht="16" customHeight="1" x14ac:dyDescent="0.2">
      <c r="A2619">
        <f>IFERROR(VLOOKUP(C2619,'GASB Match'!$D$2:$F$6042,3,FALSE),"")</f>
        <v>3407950</v>
      </c>
      <c r="B2619" s="17">
        <v>2015</v>
      </c>
      <c r="C2619" s="17" t="s">
        <v>422</v>
      </c>
      <c r="D2619" s="17">
        <v>337</v>
      </c>
      <c r="E2619" s="17" t="e">
        <f>#REF!</f>
        <v>#REF!</v>
      </c>
      <c r="F2619" s="20">
        <v>443045</v>
      </c>
    </row>
    <row r="2620" spans="1:6" ht="16" customHeight="1" x14ac:dyDescent="0.2">
      <c r="A2620">
        <f>IFERROR(VLOOKUP(C2620,'GASB Match'!$D$2:$F$6042,3,FALSE),"")</f>
        <v>3407950</v>
      </c>
      <c r="B2620" s="17">
        <v>2016</v>
      </c>
      <c r="C2620" s="17" t="s">
        <v>422</v>
      </c>
      <c r="D2620" s="17">
        <v>337</v>
      </c>
      <c r="E2620" s="17" t="e">
        <f>#REF!</f>
        <v>#REF!</v>
      </c>
      <c r="F2620" s="20">
        <v>656957</v>
      </c>
    </row>
    <row r="2621" spans="1:6" ht="16" customHeight="1" x14ac:dyDescent="0.2">
      <c r="A2621">
        <f>IFERROR(VLOOKUP(C2621,'GASB Match'!$D$2:$F$6042,3,FALSE),"")</f>
        <v>3407950</v>
      </c>
      <c r="B2621" s="17">
        <v>2018</v>
      </c>
      <c r="C2621" s="17" t="s">
        <v>1114</v>
      </c>
      <c r="D2621" s="17">
        <v>337</v>
      </c>
      <c r="E2621" s="17" t="e">
        <f>#REF!</f>
        <v>#REF!</v>
      </c>
      <c r="F2621" s="20">
        <v>1171350</v>
      </c>
    </row>
    <row r="2622" spans="1:6" ht="16" customHeight="1" x14ac:dyDescent="0.2">
      <c r="A2622">
        <f>IFERROR(VLOOKUP(C2622,'GASB Match'!$D$2:$F$6042,3,FALSE),"")</f>
        <v>3407950</v>
      </c>
      <c r="B2622" s="17">
        <v>2019</v>
      </c>
      <c r="C2622" s="17" t="s">
        <v>1114</v>
      </c>
      <c r="D2622" s="17">
        <v>337</v>
      </c>
      <c r="E2622" s="17" t="e">
        <f>#REF!</f>
        <v>#REF!</v>
      </c>
      <c r="F2622" s="20">
        <v>1613954</v>
      </c>
    </row>
    <row r="2623" spans="1:6" ht="16" customHeight="1" x14ac:dyDescent="0.2">
      <c r="A2623">
        <f>IFERROR(VLOOKUP(C2623,'GASB Match'!$D$2:$F$6042,3,FALSE),"")</f>
        <v>3407950</v>
      </c>
      <c r="B2623" s="17">
        <v>2020</v>
      </c>
      <c r="C2623" s="21" t="s">
        <v>1114</v>
      </c>
      <c r="D2623" s="17">
        <v>337</v>
      </c>
      <c r="E2623" s="17" t="e">
        <f>#REF!</f>
        <v>#REF!</v>
      </c>
      <c r="F2623" s="23">
        <v>1840207</v>
      </c>
    </row>
    <row r="2624" spans="1:6" ht="16" customHeight="1" x14ac:dyDescent="0.2">
      <c r="A2624">
        <f>IFERROR(VLOOKUP(C2624,'GASB Match'!$D$2:$F$6042,3,FALSE),"")</f>
        <v>3407950</v>
      </c>
      <c r="B2624" s="17">
        <v>2021</v>
      </c>
      <c r="C2624" s="25" t="s">
        <v>1114</v>
      </c>
      <c r="D2624" s="17">
        <v>337</v>
      </c>
      <c r="E2624" s="17" t="e">
        <f>#REF!</f>
        <v>#REF!</v>
      </c>
      <c r="F2624" s="23">
        <v>2402738</v>
      </c>
    </row>
    <row r="2625" spans="1:6" ht="16" customHeight="1" x14ac:dyDescent="0.2">
      <c r="A2625">
        <f>IFERROR(VLOOKUP(C2625,'GASB Match'!$D$2:$F$6042,3,FALSE),"")</f>
        <v>3407950</v>
      </c>
      <c r="B2625" s="17">
        <v>2022</v>
      </c>
      <c r="C2625" s="21" t="s">
        <v>1114</v>
      </c>
      <c r="D2625" s="17">
        <v>337</v>
      </c>
      <c r="E2625" s="17" t="e">
        <f>#REF!</f>
        <v>#REF!</v>
      </c>
      <c r="F2625" s="23">
        <v>3306810</v>
      </c>
    </row>
    <row r="2626" spans="1:6" ht="16" customHeight="1" x14ac:dyDescent="0.2">
      <c r="A2626">
        <f>IFERROR(VLOOKUP(C2626,'GASB Match'!$D$2:$F$6042,3,FALSE),"")</f>
        <v>3407950</v>
      </c>
      <c r="B2626" s="17">
        <v>2023</v>
      </c>
      <c r="C2626" s="21" t="s">
        <v>1114</v>
      </c>
      <c r="D2626" s="17">
        <v>337</v>
      </c>
      <c r="E2626" s="17" t="e">
        <f>#REF!</f>
        <v>#REF!</v>
      </c>
      <c r="F2626" s="22">
        <v>3268900</v>
      </c>
    </row>
    <row r="2627" spans="1:6" ht="16" customHeight="1" x14ac:dyDescent="0.2">
      <c r="A2627">
        <f>IFERROR(VLOOKUP(C2627,'GASB Match'!$D$2:$F$6042,3,FALSE),"")</f>
        <v>3407950</v>
      </c>
      <c r="B2627" s="28">
        <v>2017</v>
      </c>
      <c r="C2627" s="29" t="s">
        <v>422</v>
      </c>
      <c r="D2627" s="17">
        <v>337</v>
      </c>
      <c r="E2627" s="17" t="e">
        <f>#REF!</f>
        <v>#REF!</v>
      </c>
      <c r="F2627" s="29">
        <v>870068</v>
      </c>
    </row>
    <row r="2628" spans="1:6" ht="16" customHeight="1" x14ac:dyDescent="0.2">
      <c r="A2628">
        <f>IFERROR(VLOOKUP(C2628,'GASB Match'!$D$2:$F$6042,3,FALSE),"")</f>
        <v>3407980</v>
      </c>
      <c r="B2628" s="17">
        <v>2015</v>
      </c>
      <c r="C2628" s="17" t="s">
        <v>286</v>
      </c>
      <c r="D2628" s="17">
        <v>7037</v>
      </c>
      <c r="E2628" s="17" t="e">
        <f>#REF!</f>
        <v>#REF!</v>
      </c>
      <c r="F2628" s="20">
        <v>613979</v>
      </c>
    </row>
    <row r="2629" spans="1:6" ht="16" customHeight="1" x14ac:dyDescent="0.2">
      <c r="A2629">
        <f>IFERROR(VLOOKUP(C2629,'GASB Match'!$D$2:$F$6042,3,FALSE),"")</f>
        <v>3407980</v>
      </c>
      <c r="B2629" s="17">
        <v>2016</v>
      </c>
      <c r="C2629" s="17" t="s">
        <v>286</v>
      </c>
      <c r="D2629" s="17">
        <v>7037</v>
      </c>
      <c r="E2629" s="17" t="e">
        <f>#REF!</f>
        <v>#REF!</v>
      </c>
      <c r="F2629" s="20">
        <v>981974</v>
      </c>
    </row>
    <row r="2630" spans="1:6" ht="16" customHeight="1" x14ac:dyDescent="0.2">
      <c r="A2630">
        <f>IFERROR(VLOOKUP(C2630,'GASB Match'!$D$2:$F$6042,3,FALSE),"")</f>
        <v>3407980</v>
      </c>
      <c r="B2630" s="17">
        <v>2018</v>
      </c>
      <c r="C2630" s="17" t="s">
        <v>976</v>
      </c>
      <c r="D2630" s="17">
        <v>7037</v>
      </c>
      <c r="E2630" s="17" t="e">
        <f>#REF!</f>
        <v>#REF!</v>
      </c>
      <c r="F2630" s="20">
        <v>1968670</v>
      </c>
    </row>
    <row r="2631" spans="1:6" ht="16" customHeight="1" x14ac:dyDescent="0.2">
      <c r="A2631">
        <f>IFERROR(VLOOKUP(C2631,'GASB Match'!$D$2:$F$6042,3,FALSE),"")</f>
        <v>3407980</v>
      </c>
      <c r="B2631" s="17">
        <v>2019</v>
      </c>
      <c r="C2631" s="17" t="s">
        <v>976</v>
      </c>
      <c r="D2631" s="17">
        <v>7037</v>
      </c>
      <c r="E2631" s="17" t="e">
        <f>#REF!</f>
        <v>#REF!</v>
      </c>
      <c r="F2631" s="20">
        <v>2571463</v>
      </c>
    </row>
    <row r="2632" spans="1:6" ht="16" customHeight="1" x14ac:dyDescent="0.2">
      <c r="A2632">
        <f>IFERROR(VLOOKUP(C2632,'GASB Match'!$D$2:$F$6042,3,FALSE),"")</f>
        <v>3407980</v>
      </c>
      <c r="B2632" s="17">
        <v>2020</v>
      </c>
      <c r="C2632" s="21" t="s">
        <v>976</v>
      </c>
      <c r="D2632" s="17">
        <v>7037</v>
      </c>
      <c r="E2632" s="17" t="e">
        <f>#REF!</f>
        <v>#REF!</v>
      </c>
      <c r="F2632" s="23">
        <v>2872449</v>
      </c>
    </row>
    <row r="2633" spans="1:6" ht="16" customHeight="1" x14ac:dyDescent="0.2">
      <c r="A2633">
        <f>IFERROR(VLOOKUP(C2633,'GASB Match'!$D$2:$F$6042,3,FALSE),"")</f>
        <v>3407980</v>
      </c>
      <c r="B2633" s="17">
        <v>2021</v>
      </c>
      <c r="C2633" s="25" t="s">
        <v>976</v>
      </c>
      <c r="D2633" s="17">
        <v>7037</v>
      </c>
      <c r="E2633" s="17" t="e">
        <f>#REF!</f>
        <v>#REF!</v>
      </c>
      <c r="F2633" s="23">
        <v>4033987</v>
      </c>
    </row>
    <row r="2634" spans="1:6" ht="16" customHeight="1" x14ac:dyDescent="0.2">
      <c r="A2634">
        <f>IFERROR(VLOOKUP(C2634,'GASB Match'!$D$2:$F$6042,3,FALSE),"")</f>
        <v>3407980</v>
      </c>
      <c r="B2634" s="17">
        <v>2022</v>
      </c>
      <c r="C2634" s="21" t="s">
        <v>976</v>
      </c>
      <c r="D2634" s="17">
        <v>7037</v>
      </c>
      <c r="E2634" s="17" t="e">
        <f>#REF!</f>
        <v>#REF!</v>
      </c>
      <c r="F2634" s="23">
        <v>5853608</v>
      </c>
    </row>
    <row r="2635" spans="1:6" ht="16" customHeight="1" x14ac:dyDescent="0.2">
      <c r="A2635">
        <f>IFERROR(VLOOKUP(C2635,'GASB Match'!$D$2:$F$6042,3,FALSE),"")</f>
        <v>3407980</v>
      </c>
      <c r="B2635" s="17">
        <v>2023</v>
      </c>
      <c r="C2635" s="21" t="s">
        <v>976</v>
      </c>
      <c r="D2635" s="17">
        <v>7037</v>
      </c>
      <c r="E2635" s="17" t="e">
        <f>#REF!</f>
        <v>#REF!</v>
      </c>
      <c r="F2635" s="23">
        <v>5920843</v>
      </c>
    </row>
    <row r="2636" spans="1:6" ht="16" customHeight="1" x14ac:dyDescent="0.2">
      <c r="A2636">
        <f>IFERROR(VLOOKUP(C2636,'GASB Match'!$D$2:$F$6042,3,FALSE),"")</f>
        <v>3407980</v>
      </c>
      <c r="B2636" s="28">
        <v>2017</v>
      </c>
      <c r="C2636" s="29" t="s">
        <v>286</v>
      </c>
      <c r="D2636" s="17">
        <v>7037</v>
      </c>
      <c r="E2636" s="17" t="e">
        <f>#REF!</f>
        <v>#REF!</v>
      </c>
      <c r="F2636" s="29">
        <v>1428508</v>
      </c>
    </row>
    <row r="2637" spans="1:6" ht="16" customHeight="1" x14ac:dyDescent="0.2">
      <c r="A2637">
        <f>IFERROR(VLOOKUP(C2637,'GASB Match'!$D$2:$F$6042,3,FALSE),"")</f>
        <v>3408010</v>
      </c>
      <c r="B2637" s="17">
        <v>2015</v>
      </c>
      <c r="C2637" s="17" t="s">
        <v>343</v>
      </c>
      <c r="D2637" s="17">
        <v>9026</v>
      </c>
      <c r="E2637" s="17" t="e">
        <f>#REF!</f>
        <v>#REF!</v>
      </c>
      <c r="F2637" s="20">
        <v>158653</v>
      </c>
    </row>
    <row r="2638" spans="1:6" ht="16" customHeight="1" x14ac:dyDescent="0.2">
      <c r="A2638">
        <f>IFERROR(VLOOKUP(C2638,'GASB Match'!$D$2:$F$6042,3,FALSE),"")</f>
        <v>3408010</v>
      </c>
      <c r="B2638" s="17">
        <v>2016</v>
      </c>
      <c r="C2638" s="17" t="s">
        <v>343</v>
      </c>
      <c r="D2638" s="17">
        <v>9026</v>
      </c>
      <c r="E2638" s="17" t="e">
        <f>#REF!</f>
        <v>#REF!</v>
      </c>
      <c r="F2638" s="20">
        <v>226056</v>
      </c>
    </row>
    <row r="2639" spans="1:6" ht="16" customHeight="1" x14ac:dyDescent="0.2">
      <c r="A2639">
        <f>IFERROR(VLOOKUP(C2639,'GASB Match'!$D$2:$F$6042,3,FALSE),"")</f>
        <v>3408010</v>
      </c>
      <c r="B2639" s="17">
        <v>2018</v>
      </c>
      <c r="C2639" s="17" t="s">
        <v>1036</v>
      </c>
      <c r="D2639" s="17">
        <v>9026</v>
      </c>
      <c r="E2639" s="17" t="e">
        <f>#REF!</f>
        <v>#REF!</v>
      </c>
      <c r="F2639" s="20">
        <v>405635</v>
      </c>
    </row>
    <row r="2640" spans="1:6" ht="16" customHeight="1" x14ac:dyDescent="0.2">
      <c r="A2640">
        <f>IFERROR(VLOOKUP(C2640,'GASB Match'!$D$2:$F$6042,3,FALSE),"")</f>
        <v>3408010</v>
      </c>
      <c r="B2640" s="17">
        <v>2019</v>
      </c>
      <c r="C2640" s="17" t="s">
        <v>1036</v>
      </c>
      <c r="D2640" s="17">
        <v>9026</v>
      </c>
      <c r="E2640" s="17" t="e">
        <f>#REF!</f>
        <v>#REF!</v>
      </c>
      <c r="F2640" s="20">
        <v>531563</v>
      </c>
    </row>
    <row r="2641" spans="1:6" ht="16" customHeight="1" x14ac:dyDescent="0.2">
      <c r="A2641">
        <f>IFERROR(VLOOKUP(C2641,'GASB Match'!$D$2:$F$6042,3,FALSE),"")</f>
        <v>3408010</v>
      </c>
      <c r="B2641" s="17">
        <v>2020</v>
      </c>
      <c r="C2641" s="21" t="s">
        <v>1036</v>
      </c>
      <c r="D2641" s="17">
        <v>9026</v>
      </c>
      <c r="E2641" s="17" t="e">
        <f>#REF!</f>
        <v>#REF!</v>
      </c>
      <c r="F2641" s="23">
        <v>613288</v>
      </c>
    </row>
    <row r="2642" spans="1:6" ht="16" customHeight="1" x14ac:dyDescent="0.2">
      <c r="A2642">
        <f>IFERROR(VLOOKUP(C2642,'GASB Match'!$D$2:$F$6042,3,FALSE),"")</f>
        <v>3408010</v>
      </c>
      <c r="B2642" s="17">
        <v>2021</v>
      </c>
      <c r="C2642" s="25" t="s">
        <v>1036</v>
      </c>
      <c r="D2642" s="17">
        <v>9026</v>
      </c>
      <c r="E2642" s="17" t="e">
        <f>#REF!</f>
        <v>#REF!</v>
      </c>
      <c r="F2642" s="23">
        <v>767449</v>
      </c>
    </row>
    <row r="2643" spans="1:6" ht="16" customHeight="1" x14ac:dyDescent="0.2">
      <c r="A2643">
        <f>IFERROR(VLOOKUP(C2643,'GASB Match'!$D$2:$F$6042,3,FALSE),"")</f>
        <v>3408010</v>
      </c>
      <c r="B2643" s="17">
        <v>2022</v>
      </c>
      <c r="C2643" s="21" t="s">
        <v>1036</v>
      </c>
      <c r="D2643" s="17">
        <v>9026</v>
      </c>
      <c r="E2643" s="17" t="e">
        <f>#REF!</f>
        <v>#REF!</v>
      </c>
      <c r="F2643" s="23">
        <v>1126823</v>
      </c>
    </row>
    <row r="2644" spans="1:6" ht="16" customHeight="1" x14ac:dyDescent="0.2">
      <c r="A2644">
        <f>IFERROR(VLOOKUP(C2644,'GASB Match'!$D$2:$F$6042,3,FALSE),"")</f>
        <v>3408010</v>
      </c>
      <c r="B2644" s="17">
        <v>2023</v>
      </c>
      <c r="C2644" s="21" t="s">
        <v>1036</v>
      </c>
      <c r="D2644" s="17">
        <v>9026</v>
      </c>
      <c r="E2644" s="17" t="e">
        <f>#REF!</f>
        <v>#REF!</v>
      </c>
      <c r="F2644" s="23">
        <v>1128869</v>
      </c>
    </row>
    <row r="2645" spans="1:6" ht="16" customHeight="1" x14ac:dyDescent="0.2">
      <c r="A2645">
        <f>IFERROR(VLOOKUP(C2645,'GASB Match'!$D$2:$F$6042,3,FALSE),"")</f>
        <v>3408010</v>
      </c>
      <c r="B2645" s="28">
        <v>2017</v>
      </c>
      <c r="C2645" s="29" t="s">
        <v>343</v>
      </c>
      <c r="D2645" s="17">
        <v>9026</v>
      </c>
      <c r="E2645" s="17" t="e">
        <f>#REF!</f>
        <v>#REF!</v>
      </c>
      <c r="F2645" s="29">
        <v>311593</v>
      </c>
    </row>
    <row r="2646" spans="1:6" ht="16" customHeight="1" x14ac:dyDescent="0.2">
      <c r="A2646">
        <f>IFERROR(VLOOKUP(C2646,'GASB Match'!$D$2:$F$6042,3,FALSE),"")</f>
        <v>3408040</v>
      </c>
      <c r="B2646" s="17">
        <v>2015</v>
      </c>
      <c r="C2646" s="17" t="s">
        <v>467</v>
      </c>
      <c r="D2646" s="17">
        <v>424</v>
      </c>
      <c r="E2646" s="17" t="e">
        <f>#REF!</f>
        <v>#REF!</v>
      </c>
      <c r="F2646" s="20">
        <v>845414</v>
      </c>
    </row>
    <row r="2647" spans="1:6" ht="16" customHeight="1" x14ac:dyDescent="0.2">
      <c r="A2647">
        <f>IFERROR(VLOOKUP(C2647,'GASB Match'!$D$2:$F$6042,3,FALSE),"")</f>
        <v>3408040</v>
      </c>
      <c r="B2647" s="17">
        <v>2016</v>
      </c>
      <c r="C2647" s="17" t="s">
        <v>467</v>
      </c>
      <c r="D2647" s="17">
        <v>424</v>
      </c>
      <c r="E2647" s="17" t="e">
        <f>#REF!</f>
        <v>#REF!</v>
      </c>
      <c r="F2647" s="20">
        <v>1273056</v>
      </c>
    </row>
    <row r="2648" spans="1:6" ht="16" customHeight="1" x14ac:dyDescent="0.2">
      <c r="A2648">
        <f>IFERROR(VLOOKUP(C2648,'GASB Match'!$D$2:$F$6042,3,FALSE),"")</f>
        <v>3408040</v>
      </c>
      <c r="B2648" s="17">
        <v>2018</v>
      </c>
      <c r="C2648" s="17" t="s">
        <v>1159</v>
      </c>
      <c r="D2648" s="17">
        <v>424</v>
      </c>
      <c r="E2648" s="17" t="e">
        <f>#REF!</f>
        <v>#REF!</v>
      </c>
      <c r="F2648" s="20">
        <v>2514472</v>
      </c>
    </row>
    <row r="2649" spans="1:6" ht="16" customHeight="1" x14ac:dyDescent="0.2">
      <c r="A2649">
        <f>IFERROR(VLOOKUP(C2649,'GASB Match'!$D$2:$F$6042,3,FALSE),"")</f>
        <v>3408040</v>
      </c>
      <c r="B2649" s="17">
        <v>2019</v>
      </c>
      <c r="C2649" s="17" t="s">
        <v>1159</v>
      </c>
      <c r="D2649" s="17">
        <v>424</v>
      </c>
      <c r="E2649" s="17" t="e">
        <f>#REF!</f>
        <v>#REF!</v>
      </c>
      <c r="F2649" s="20">
        <v>3260868</v>
      </c>
    </row>
    <row r="2650" spans="1:6" ht="16" customHeight="1" x14ac:dyDescent="0.2">
      <c r="A2650">
        <f>IFERROR(VLOOKUP(C2650,'GASB Match'!$D$2:$F$6042,3,FALSE),"")</f>
        <v>3408040</v>
      </c>
      <c r="B2650" s="17">
        <v>2020</v>
      </c>
      <c r="C2650" s="21" t="s">
        <v>1159</v>
      </c>
      <c r="D2650" s="17">
        <v>424</v>
      </c>
      <c r="E2650" s="17" t="e">
        <f>#REF!</f>
        <v>#REF!</v>
      </c>
      <c r="F2650" s="23">
        <v>3706988</v>
      </c>
    </row>
    <row r="2651" spans="1:6" ht="16" customHeight="1" x14ac:dyDescent="0.2">
      <c r="A2651">
        <f>IFERROR(VLOOKUP(C2651,'GASB Match'!$D$2:$F$6042,3,FALSE),"")</f>
        <v>3408040</v>
      </c>
      <c r="B2651" s="17">
        <v>2021</v>
      </c>
      <c r="C2651" s="25" t="s">
        <v>1159</v>
      </c>
      <c r="D2651" s="17">
        <v>424</v>
      </c>
      <c r="E2651" s="17" t="e">
        <f>#REF!</f>
        <v>#REF!</v>
      </c>
      <c r="F2651" s="23">
        <v>4877970</v>
      </c>
    </row>
    <row r="2652" spans="1:6" ht="16" customHeight="1" x14ac:dyDescent="0.2">
      <c r="A2652">
        <f>IFERROR(VLOOKUP(C2652,'GASB Match'!$D$2:$F$6042,3,FALSE),"")</f>
        <v>3408040</v>
      </c>
      <c r="B2652" s="17">
        <v>2022</v>
      </c>
      <c r="C2652" s="21" t="s">
        <v>1159</v>
      </c>
      <c r="D2652" s="17">
        <v>424</v>
      </c>
      <c r="E2652" s="17" t="e">
        <f>#REF!</f>
        <v>#REF!</v>
      </c>
      <c r="F2652" s="23">
        <v>6794463</v>
      </c>
    </row>
    <row r="2653" spans="1:6" ht="16" customHeight="1" x14ac:dyDescent="0.2">
      <c r="A2653">
        <f>IFERROR(VLOOKUP(C2653,'GASB Match'!$D$2:$F$6042,3,FALSE),"")</f>
        <v>3408040</v>
      </c>
      <c r="B2653" s="17">
        <v>2023</v>
      </c>
      <c r="C2653" s="21" t="s">
        <v>1159</v>
      </c>
      <c r="D2653" s="17">
        <v>424</v>
      </c>
      <c r="E2653" s="17" t="e">
        <f>#REF!</f>
        <v>#REF!</v>
      </c>
      <c r="F2653" s="23">
        <v>6743035</v>
      </c>
    </row>
    <row r="2654" spans="1:6" ht="16" customHeight="1" x14ac:dyDescent="0.2">
      <c r="A2654">
        <f>IFERROR(VLOOKUP(C2654,'GASB Match'!$D$2:$F$6042,3,FALSE),"")</f>
        <v>3408040</v>
      </c>
      <c r="B2654" s="28">
        <v>2017</v>
      </c>
      <c r="C2654" s="29" t="s">
        <v>467</v>
      </c>
      <c r="D2654" s="17">
        <v>424</v>
      </c>
      <c r="E2654" s="17" t="e">
        <f>#REF!</f>
        <v>#REF!</v>
      </c>
      <c r="F2654" s="29">
        <v>1815672</v>
      </c>
    </row>
    <row r="2655" spans="1:6" ht="16" customHeight="1" x14ac:dyDescent="0.2">
      <c r="A2655">
        <f>IFERROR(VLOOKUP(C2655,'GASB Match'!$D$2:$F$6042,3,FALSE),"")</f>
        <v>3400777</v>
      </c>
      <c r="B2655" s="17">
        <v>2023</v>
      </c>
      <c r="C2655" s="21" t="s">
        <v>1380</v>
      </c>
      <c r="D2655" s="17">
        <v>4084</v>
      </c>
      <c r="E2655" s="17" t="e">
        <f>#REF!</f>
        <v>#REF!</v>
      </c>
      <c r="F2655" s="23">
        <v>1797961</v>
      </c>
    </row>
    <row r="2656" spans="1:6" ht="16" customHeight="1" x14ac:dyDescent="0.2">
      <c r="A2656">
        <f>IFERROR(VLOOKUP(C2656,'GASB Match'!$D$2:$F$6042,3,FALSE),"")</f>
        <v>3408060</v>
      </c>
      <c r="B2656" s="17">
        <v>2015</v>
      </c>
      <c r="C2656" s="17" t="s">
        <v>594</v>
      </c>
      <c r="D2656" s="17">
        <v>795</v>
      </c>
      <c r="E2656" s="17" t="e">
        <f>#REF!</f>
        <v>#REF!</v>
      </c>
      <c r="F2656" s="20">
        <v>498135</v>
      </c>
    </row>
    <row r="2657" spans="1:6" ht="16" customHeight="1" x14ac:dyDescent="0.2">
      <c r="A2657">
        <f>IFERROR(VLOOKUP(C2657,'GASB Match'!$D$2:$F$6042,3,FALSE),"")</f>
        <v>3408060</v>
      </c>
      <c r="B2657" s="17">
        <v>2016</v>
      </c>
      <c r="C2657" s="17" t="s">
        <v>594</v>
      </c>
      <c r="D2657" s="17">
        <v>795</v>
      </c>
      <c r="E2657" s="17" t="e">
        <f>#REF!</f>
        <v>#REF!</v>
      </c>
      <c r="F2657" s="20">
        <v>766327</v>
      </c>
    </row>
    <row r="2658" spans="1:6" ht="16" customHeight="1" x14ac:dyDescent="0.2">
      <c r="A2658">
        <f>IFERROR(VLOOKUP(C2658,'GASB Match'!$D$2:$F$6042,3,FALSE),"")</f>
        <v>3408060</v>
      </c>
      <c r="B2658" s="17">
        <v>2018</v>
      </c>
      <c r="C2658" s="17" t="s">
        <v>1287</v>
      </c>
      <c r="D2658" s="17">
        <v>795</v>
      </c>
      <c r="E2658" s="17" t="e">
        <f>#REF!</f>
        <v>#REF!</v>
      </c>
      <c r="F2658" s="20">
        <v>1465897</v>
      </c>
    </row>
    <row r="2659" spans="1:6" ht="16" customHeight="1" x14ac:dyDescent="0.2">
      <c r="A2659">
        <f>IFERROR(VLOOKUP(C2659,'GASB Match'!$D$2:$F$6042,3,FALSE),"")</f>
        <v>3408060</v>
      </c>
      <c r="B2659" s="17">
        <v>2019</v>
      </c>
      <c r="C2659" s="17" t="s">
        <v>1287</v>
      </c>
      <c r="D2659" s="17">
        <v>795</v>
      </c>
      <c r="E2659" s="17" t="e">
        <f>#REF!</f>
        <v>#REF!</v>
      </c>
      <c r="F2659" s="20">
        <v>1941551</v>
      </c>
    </row>
    <row r="2660" spans="1:6" ht="16" customHeight="1" x14ac:dyDescent="0.2">
      <c r="A2660">
        <f>IFERROR(VLOOKUP(C2660,'GASB Match'!$D$2:$F$6042,3,FALSE),"")</f>
        <v>3408060</v>
      </c>
      <c r="B2660" s="17">
        <v>2020</v>
      </c>
      <c r="C2660" s="21" t="s">
        <v>1287</v>
      </c>
      <c r="D2660" s="17">
        <v>795</v>
      </c>
      <c r="E2660" s="17" t="e">
        <f>#REF!</f>
        <v>#REF!</v>
      </c>
      <c r="F2660" s="23">
        <v>2137469</v>
      </c>
    </row>
    <row r="2661" spans="1:6" ht="16" customHeight="1" x14ac:dyDescent="0.2">
      <c r="A2661">
        <f>IFERROR(VLOOKUP(C2661,'GASB Match'!$D$2:$F$6042,3,FALSE),"")</f>
        <v>3408060</v>
      </c>
      <c r="B2661" s="17">
        <v>2021</v>
      </c>
      <c r="C2661" s="25" t="s">
        <v>1287</v>
      </c>
      <c r="D2661" s="17">
        <v>795</v>
      </c>
      <c r="E2661" s="17" t="e">
        <f>#REF!</f>
        <v>#REF!</v>
      </c>
      <c r="F2661" s="23">
        <v>2752314</v>
      </c>
    </row>
    <row r="2662" spans="1:6" ht="16" customHeight="1" x14ac:dyDescent="0.2">
      <c r="A2662">
        <f>IFERROR(VLOOKUP(C2662,'GASB Match'!$D$2:$F$6042,3,FALSE),"")</f>
        <v>3408060</v>
      </c>
      <c r="B2662" s="17">
        <v>2022</v>
      </c>
      <c r="C2662" s="21" t="s">
        <v>1287</v>
      </c>
      <c r="D2662" s="17">
        <v>795</v>
      </c>
      <c r="E2662" s="17" t="e">
        <f>#REF!</f>
        <v>#REF!</v>
      </c>
      <c r="F2662" s="23">
        <v>3926496</v>
      </c>
    </row>
    <row r="2663" spans="1:6" ht="16" customHeight="1" x14ac:dyDescent="0.2">
      <c r="A2663">
        <f>IFERROR(VLOOKUP(C2663,'GASB Match'!$D$2:$F$6042,3,FALSE),"")</f>
        <v>3408060</v>
      </c>
      <c r="B2663" s="17">
        <v>2023</v>
      </c>
      <c r="C2663" s="21" t="s">
        <v>1287</v>
      </c>
      <c r="D2663" s="17">
        <v>795</v>
      </c>
      <c r="E2663" s="17" t="e">
        <f>#REF!</f>
        <v>#REF!</v>
      </c>
      <c r="F2663" s="23">
        <v>3783849</v>
      </c>
    </row>
    <row r="2664" spans="1:6" ht="16" customHeight="1" x14ac:dyDescent="0.2">
      <c r="A2664">
        <f>IFERROR(VLOOKUP(C2664,'GASB Match'!$D$2:$F$6042,3,FALSE),"")</f>
        <v>3408060</v>
      </c>
      <c r="B2664" s="28">
        <v>2017</v>
      </c>
      <c r="C2664" s="29" t="s">
        <v>594</v>
      </c>
      <c r="D2664" s="17">
        <v>795</v>
      </c>
      <c r="E2664" s="17" t="e">
        <f>#REF!</f>
        <v>#REF!</v>
      </c>
      <c r="F2664" s="29">
        <v>1090379</v>
      </c>
    </row>
    <row r="2665" spans="1:6" ht="16" customHeight="1" x14ac:dyDescent="0.2">
      <c r="A2665">
        <f>IFERROR(VLOOKUP(C2665,'GASB Match'!$D$2:$F$6042,3,FALSE),"")</f>
        <v>3400762</v>
      </c>
      <c r="B2665" s="17">
        <v>2015</v>
      </c>
      <c r="C2665" s="17" t="s">
        <v>176</v>
      </c>
      <c r="D2665" s="17">
        <v>4080</v>
      </c>
      <c r="E2665" s="17" t="e">
        <f>#REF!</f>
        <v>#REF!</v>
      </c>
      <c r="F2665" s="20">
        <v>8206</v>
      </c>
    </row>
    <row r="2666" spans="1:6" ht="16" customHeight="1" x14ac:dyDescent="0.2">
      <c r="A2666">
        <f>IFERROR(VLOOKUP(C2666,'GASB Match'!$D$2:$F$6042,3,FALSE),"")</f>
        <v>3400762</v>
      </c>
      <c r="B2666" s="17">
        <v>2016</v>
      </c>
      <c r="C2666" s="17" t="s">
        <v>176</v>
      </c>
      <c r="D2666" s="17">
        <v>4080</v>
      </c>
      <c r="E2666" s="17" t="e">
        <f>#REF!</f>
        <v>#REF!</v>
      </c>
      <c r="F2666" s="20">
        <v>119346</v>
      </c>
    </row>
    <row r="2667" spans="1:6" ht="16" customHeight="1" x14ac:dyDescent="0.2">
      <c r="A2667">
        <f>IFERROR(VLOOKUP(C2667,'GASB Match'!$D$2:$F$6042,3,FALSE),"")</f>
        <v>3400762</v>
      </c>
      <c r="B2667" s="17">
        <v>2018</v>
      </c>
      <c r="C2667" s="17" t="s">
        <v>859</v>
      </c>
      <c r="D2667" s="17">
        <v>4080</v>
      </c>
      <c r="E2667" s="17" t="e">
        <f>#REF!</f>
        <v>#REF!</v>
      </c>
      <c r="F2667" s="20">
        <v>259487</v>
      </c>
    </row>
    <row r="2668" spans="1:6" ht="16" customHeight="1" x14ac:dyDescent="0.2">
      <c r="A2668">
        <f>IFERROR(VLOOKUP(C2668,'GASB Match'!$D$2:$F$6042,3,FALSE),"")</f>
        <v>3400762</v>
      </c>
      <c r="B2668" s="28">
        <v>2017</v>
      </c>
      <c r="C2668" s="29" t="s">
        <v>176</v>
      </c>
      <c r="D2668" s="17">
        <v>4080</v>
      </c>
      <c r="E2668" s="17" t="e">
        <f>#REF!</f>
        <v>#REF!</v>
      </c>
      <c r="F2668" s="29">
        <v>183441</v>
      </c>
    </row>
    <row r="2669" spans="1:6" ht="16" customHeight="1" x14ac:dyDescent="0.2">
      <c r="A2669">
        <f>IFERROR(VLOOKUP(C2669,'GASB Match'!$D$2:$F$6042,3,FALSE),"")</f>
        <v>3408070</v>
      </c>
      <c r="B2669" s="17">
        <v>2015</v>
      </c>
      <c r="C2669" s="17" t="s">
        <v>648</v>
      </c>
      <c r="D2669" s="17">
        <v>924</v>
      </c>
      <c r="E2669" s="17" t="e">
        <f>#REF!</f>
        <v>#REF!</v>
      </c>
      <c r="F2669" s="20">
        <v>110437</v>
      </c>
    </row>
    <row r="2670" spans="1:6" ht="16" customHeight="1" x14ac:dyDescent="0.2">
      <c r="A2670">
        <f>IFERROR(VLOOKUP(C2670,'GASB Match'!$D$2:$F$6042,3,FALSE),"")</f>
        <v>3408070</v>
      </c>
      <c r="B2670" s="17">
        <v>2016</v>
      </c>
      <c r="C2670" s="17" t="s">
        <v>648</v>
      </c>
      <c r="D2670" s="17">
        <v>924</v>
      </c>
      <c r="E2670" s="17" t="e">
        <f>#REF!</f>
        <v>#REF!</v>
      </c>
      <c r="F2670" s="20">
        <v>163881</v>
      </c>
    </row>
    <row r="2671" spans="1:6" ht="16" customHeight="1" x14ac:dyDescent="0.2">
      <c r="A2671">
        <f>IFERROR(VLOOKUP(C2671,'GASB Match'!$D$2:$F$6042,3,FALSE),"")</f>
        <v>3408070</v>
      </c>
      <c r="B2671" s="17">
        <v>2018</v>
      </c>
      <c r="C2671" s="17" t="s">
        <v>1341</v>
      </c>
      <c r="D2671" s="17">
        <v>924</v>
      </c>
      <c r="E2671" s="17" t="e">
        <f>#REF!</f>
        <v>#REF!</v>
      </c>
      <c r="F2671" s="20">
        <v>282729</v>
      </c>
    </row>
    <row r="2672" spans="1:6" ht="16" customHeight="1" x14ac:dyDescent="0.2">
      <c r="A2672">
        <f>IFERROR(VLOOKUP(C2672,'GASB Match'!$D$2:$F$6042,3,FALSE),"")</f>
        <v>3408070</v>
      </c>
      <c r="B2672" s="17">
        <v>2019</v>
      </c>
      <c r="C2672" s="17" t="s">
        <v>1341</v>
      </c>
      <c r="D2672" s="17">
        <v>924</v>
      </c>
      <c r="E2672" s="17" t="e">
        <f>#REF!</f>
        <v>#REF!</v>
      </c>
      <c r="F2672" s="20">
        <v>389259</v>
      </c>
    </row>
    <row r="2673" spans="1:6" ht="16" customHeight="1" x14ac:dyDescent="0.2">
      <c r="A2673">
        <f>IFERROR(VLOOKUP(C2673,'GASB Match'!$D$2:$F$6042,3,FALSE),"")</f>
        <v>3408070</v>
      </c>
      <c r="B2673" s="17">
        <v>2020</v>
      </c>
      <c r="C2673" s="21" t="s">
        <v>1341</v>
      </c>
      <c r="D2673" s="17">
        <v>924</v>
      </c>
      <c r="E2673" s="17" t="e">
        <f>#REF!</f>
        <v>#REF!</v>
      </c>
      <c r="F2673" s="23">
        <v>416524</v>
      </c>
    </row>
    <row r="2674" spans="1:6" ht="16" customHeight="1" x14ac:dyDescent="0.2">
      <c r="A2674">
        <f>IFERROR(VLOOKUP(C2674,'GASB Match'!$D$2:$F$6042,3,FALSE),"")</f>
        <v>3408070</v>
      </c>
      <c r="B2674" s="17">
        <v>2021</v>
      </c>
      <c r="C2674" s="25" t="s">
        <v>1341</v>
      </c>
      <c r="D2674" s="17">
        <v>924</v>
      </c>
      <c r="E2674" s="17" t="e">
        <f>#REF!</f>
        <v>#REF!</v>
      </c>
      <c r="F2674" s="23">
        <v>555320</v>
      </c>
    </row>
    <row r="2675" spans="1:6" ht="16" customHeight="1" x14ac:dyDescent="0.2">
      <c r="A2675">
        <f>IFERROR(VLOOKUP(C2675,'GASB Match'!$D$2:$F$6042,3,FALSE),"")</f>
        <v>3408070</v>
      </c>
      <c r="B2675" s="17">
        <v>2022</v>
      </c>
      <c r="C2675" s="21" t="s">
        <v>1341</v>
      </c>
      <c r="D2675" s="17">
        <v>924</v>
      </c>
      <c r="E2675" s="17" t="e">
        <f>#REF!</f>
        <v>#REF!</v>
      </c>
      <c r="F2675" s="23">
        <v>772519</v>
      </c>
    </row>
    <row r="2676" spans="1:6" ht="16" customHeight="1" x14ac:dyDescent="0.2">
      <c r="A2676">
        <f>IFERROR(VLOOKUP(C2676,'GASB Match'!$D$2:$F$6042,3,FALSE),"")</f>
        <v>3408070</v>
      </c>
      <c r="B2676" s="17">
        <v>2023</v>
      </c>
      <c r="C2676" s="21" t="s">
        <v>1341</v>
      </c>
      <c r="D2676" s="17">
        <v>924</v>
      </c>
      <c r="E2676" s="17" t="e">
        <f>#REF!</f>
        <v>#REF!</v>
      </c>
      <c r="F2676" s="23">
        <v>714781</v>
      </c>
    </row>
    <row r="2677" spans="1:6" ht="16" customHeight="1" x14ac:dyDescent="0.2">
      <c r="A2677">
        <f>IFERROR(VLOOKUP(C2677,'GASB Match'!$D$2:$F$6042,3,FALSE),"")</f>
        <v>3408070</v>
      </c>
      <c r="B2677" s="28">
        <v>2017</v>
      </c>
      <c r="C2677" s="29" t="s">
        <v>648</v>
      </c>
      <c r="D2677" s="17">
        <v>924</v>
      </c>
      <c r="E2677" s="17" t="e">
        <f>#REF!</f>
        <v>#REF!</v>
      </c>
      <c r="F2677" s="29">
        <v>223730</v>
      </c>
    </row>
    <row r="2678" spans="1:6" ht="16" customHeight="1" x14ac:dyDescent="0.2">
      <c r="A2678">
        <f>IFERROR(VLOOKUP(C2678,'GASB Match'!$D$2:$F$6042,3,FALSE),"")</f>
        <v>3408100</v>
      </c>
      <c r="B2678" s="17">
        <v>2015</v>
      </c>
      <c r="C2678" s="17" t="s">
        <v>503</v>
      </c>
      <c r="D2678" s="17">
        <v>519</v>
      </c>
      <c r="E2678" s="17" t="e">
        <f>#REF!</f>
        <v>#REF!</v>
      </c>
      <c r="F2678" s="20">
        <v>1492758</v>
      </c>
    </row>
    <row r="2679" spans="1:6" ht="16" customHeight="1" x14ac:dyDescent="0.2">
      <c r="A2679">
        <f>IFERROR(VLOOKUP(C2679,'GASB Match'!$D$2:$F$6042,3,FALSE),"")</f>
        <v>3408100</v>
      </c>
      <c r="B2679" s="17">
        <v>2016</v>
      </c>
      <c r="C2679" s="17" t="s">
        <v>503</v>
      </c>
      <c r="D2679" s="17">
        <v>519</v>
      </c>
      <c r="E2679" s="17" t="e">
        <f>#REF!</f>
        <v>#REF!</v>
      </c>
      <c r="F2679" s="20">
        <v>2207349</v>
      </c>
    </row>
    <row r="2680" spans="1:6" ht="16" customHeight="1" x14ac:dyDescent="0.2">
      <c r="A2680">
        <f>IFERROR(VLOOKUP(C2680,'GASB Match'!$D$2:$F$6042,3,FALSE),"")</f>
        <v>3408100</v>
      </c>
      <c r="B2680" s="17">
        <v>2018</v>
      </c>
      <c r="C2680" s="17" t="s">
        <v>1195</v>
      </c>
      <c r="D2680" s="17">
        <v>519</v>
      </c>
      <c r="E2680" s="17" t="e">
        <f>#REF!</f>
        <v>#REF!</v>
      </c>
      <c r="F2680" s="20">
        <v>4161177</v>
      </c>
    </row>
    <row r="2681" spans="1:6" ht="16" customHeight="1" x14ac:dyDescent="0.2">
      <c r="A2681">
        <f>IFERROR(VLOOKUP(C2681,'GASB Match'!$D$2:$F$6042,3,FALSE),"")</f>
        <v>3408100</v>
      </c>
      <c r="B2681" s="17">
        <v>2019</v>
      </c>
      <c r="C2681" s="17" t="s">
        <v>1195</v>
      </c>
      <c r="D2681" s="17">
        <v>519</v>
      </c>
      <c r="E2681" s="17" t="e">
        <f>#REF!</f>
        <v>#REF!</v>
      </c>
      <c r="F2681" s="20">
        <v>5202981</v>
      </c>
    </row>
    <row r="2682" spans="1:6" ht="16" customHeight="1" x14ac:dyDescent="0.2">
      <c r="A2682">
        <f>IFERROR(VLOOKUP(C2682,'GASB Match'!$D$2:$F$6042,3,FALSE),"")</f>
        <v>3408100</v>
      </c>
      <c r="B2682" s="17">
        <v>2020</v>
      </c>
      <c r="C2682" s="21" t="s">
        <v>1195</v>
      </c>
      <c r="D2682" s="17">
        <v>519</v>
      </c>
      <c r="E2682" s="17" t="e">
        <f>#REF!</f>
        <v>#REF!</v>
      </c>
      <c r="F2682" s="23">
        <v>5851832</v>
      </c>
    </row>
    <row r="2683" spans="1:6" ht="16" customHeight="1" x14ac:dyDescent="0.2">
      <c r="A2683">
        <f>IFERROR(VLOOKUP(C2683,'GASB Match'!$D$2:$F$6042,3,FALSE),"")</f>
        <v>3408100</v>
      </c>
      <c r="B2683" s="17">
        <v>2021</v>
      </c>
      <c r="C2683" s="25" t="s">
        <v>1195</v>
      </c>
      <c r="D2683" s="17">
        <v>519</v>
      </c>
      <c r="E2683" s="17" t="e">
        <f>#REF!</f>
        <v>#REF!</v>
      </c>
      <c r="F2683" s="23">
        <v>7462759</v>
      </c>
    </row>
    <row r="2684" spans="1:6" ht="16" customHeight="1" x14ac:dyDescent="0.2">
      <c r="A2684">
        <f>IFERROR(VLOOKUP(C2684,'GASB Match'!$D$2:$F$6042,3,FALSE),"")</f>
        <v>3408100</v>
      </c>
      <c r="B2684" s="17">
        <v>2022</v>
      </c>
      <c r="C2684" s="21" t="s">
        <v>1195</v>
      </c>
      <c r="D2684" s="17">
        <v>519</v>
      </c>
      <c r="E2684" s="17" t="e">
        <f>#REF!</f>
        <v>#REF!</v>
      </c>
      <c r="F2684" s="23">
        <v>10848677</v>
      </c>
    </row>
    <row r="2685" spans="1:6" ht="16" customHeight="1" x14ac:dyDescent="0.2">
      <c r="A2685">
        <f>IFERROR(VLOOKUP(C2685,'GASB Match'!$D$2:$F$6042,3,FALSE),"")</f>
        <v>3408100</v>
      </c>
      <c r="B2685" s="17">
        <v>2023</v>
      </c>
      <c r="C2685" s="21" t="s">
        <v>1195</v>
      </c>
      <c r="D2685" s="17">
        <v>519</v>
      </c>
      <c r="E2685" s="17" t="e">
        <f>#REF!</f>
        <v>#REF!</v>
      </c>
      <c r="F2685" s="23">
        <v>10689860</v>
      </c>
    </row>
    <row r="2686" spans="1:6" ht="16" customHeight="1" x14ac:dyDescent="0.2">
      <c r="A2686">
        <f>IFERROR(VLOOKUP(C2686,'GASB Match'!$D$2:$F$6042,3,FALSE),"")</f>
        <v>3408100</v>
      </c>
      <c r="B2686" s="28">
        <v>2017</v>
      </c>
      <c r="C2686" s="29" t="s">
        <v>503</v>
      </c>
      <c r="D2686" s="17">
        <v>519</v>
      </c>
      <c r="E2686" s="17" t="e">
        <f>#REF!</f>
        <v>#REF!</v>
      </c>
      <c r="F2686" s="29">
        <v>3142553</v>
      </c>
    </row>
    <row r="2687" spans="1:6" ht="16" customHeight="1" x14ac:dyDescent="0.2">
      <c r="A2687">
        <f>IFERROR(VLOOKUP(C2687,'GASB Match'!$D$2:$F$6042,3,FALSE),"")</f>
        <v>3400077</v>
      </c>
      <c r="B2687" s="17">
        <v>2015</v>
      </c>
      <c r="C2687" s="17" t="s">
        <v>245</v>
      </c>
      <c r="D2687" s="17">
        <v>6018</v>
      </c>
      <c r="E2687" s="17" t="e">
        <f>#REF!</f>
        <v>#REF!</v>
      </c>
      <c r="F2687" s="20">
        <v>161754</v>
      </c>
    </row>
    <row r="2688" spans="1:6" ht="16" customHeight="1" x14ac:dyDescent="0.2">
      <c r="A2688">
        <f>IFERROR(VLOOKUP(C2688,'GASB Match'!$D$2:$F$6042,3,FALSE),"")</f>
        <v>3400077</v>
      </c>
      <c r="B2688" s="17">
        <v>2016</v>
      </c>
      <c r="C2688" s="17" t="s">
        <v>245</v>
      </c>
      <c r="D2688" s="17">
        <v>6018</v>
      </c>
      <c r="E2688" s="17" t="e">
        <f>#REF!</f>
        <v>#REF!</v>
      </c>
      <c r="F2688" s="20">
        <v>216532</v>
      </c>
    </row>
    <row r="2689" spans="1:6" ht="16" customHeight="1" x14ac:dyDescent="0.2">
      <c r="A2689">
        <f>IFERROR(VLOOKUP(C2689,'GASB Match'!$D$2:$F$6042,3,FALSE),"")</f>
        <v>3400077</v>
      </c>
      <c r="B2689" s="17">
        <v>2018</v>
      </c>
      <c r="C2689" s="17" t="s">
        <v>931</v>
      </c>
      <c r="D2689" s="17">
        <v>6018</v>
      </c>
      <c r="E2689" s="17" t="e">
        <f>#REF!</f>
        <v>#REF!</v>
      </c>
      <c r="F2689" s="20">
        <v>299330</v>
      </c>
    </row>
    <row r="2690" spans="1:6" ht="16" customHeight="1" x14ac:dyDescent="0.2">
      <c r="A2690">
        <f>IFERROR(VLOOKUP(C2690,'GASB Match'!$D$2:$F$6042,3,FALSE),"")</f>
        <v>3400077</v>
      </c>
      <c r="B2690" s="17">
        <v>2019</v>
      </c>
      <c r="C2690" s="17" t="s">
        <v>931</v>
      </c>
      <c r="D2690" s="17">
        <v>6018</v>
      </c>
      <c r="E2690" s="17" t="e">
        <f>#REF!</f>
        <v>#REF!</v>
      </c>
      <c r="F2690" s="20">
        <v>465535</v>
      </c>
    </row>
    <row r="2691" spans="1:6" ht="16" customHeight="1" x14ac:dyDescent="0.2">
      <c r="A2691">
        <f>IFERROR(VLOOKUP(C2691,'GASB Match'!$D$2:$F$6042,3,FALSE),"")</f>
        <v>3400077</v>
      </c>
      <c r="B2691" s="17">
        <v>2020</v>
      </c>
      <c r="C2691" s="21" t="s">
        <v>931</v>
      </c>
      <c r="D2691" s="17">
        <v>6018</v>
      </c>
      <c r="E2691" s="17" t="e">
        <f>#REF!</f>
        <v>#REF!</v>
      </c>
      <c r="F2691" s="23">
        <v>421876</v>
      </c>
    </row>
    <row r="2692" spans="1:6" ht="16" customHeight="1" x14ac:dyDescent="0.2">
      <c r="A2692">
        <f>IFERROR(VLOOKUP(C2692,'GASB Match'!$D$2:$F$6042,3,FALSE),"")</f>
        <v>3400077</v>
      </c>
      <c r="B2692" s="28">
        <v>2017</v>
      </c>
      <c r="C2692" s="29" t="s">
        <v>245</v>
      </c>
      <c r="D2692" s="17">
        <v>6018</v>
      </c>
      <c r="E2692" s="17" t="e">
        <f>#REF!</f>
        <v>#REF!</v>
      </c>
      <c r="F2692" s="29">
        <v>288091</v>
      </c>
    </row>
    <row r="2693" spans="1:6" ht="16" customHeight="1" x14ac:dyDescent="0.2">
      <c r="A2693">
        <f>IFERROR(VLOOKUP(C2693,'GASB Match'!$D$2:$F$6042,3,FALSE),"")</f>
        <v>3408130</v>
      </c>
      <c r="B2693" s="17">
        <v>2015</v>
      </c>
      <c r="C2693" s="17" t="s">
        <v>595</v>
      </c>
      <c r="D2693" s="17">
        <v>784</v>
      </c>
      <c r="E2693" s="17" t="e">
        <f>#REF!</f>
        <v>#REF!</v>
      </c>
      <c r="F2693" s="20">
        <v>111914</v>
      </c>
    </row>
    <row r="2694" spans="1:6" ht="16" customHeight="1" x14ac:dyDescent="0.2">
      <c r="A2694">
        <f>IFERROR(VLOOKUP(C2694,'GASB Match'!$D$2:$F$6042,3,FALSE),"")</f>
        <v>3408130</v>
      </c>
      <c r="B2694" s="17">
        <v>2016</v>
      </c>
      <c r="C2694" s="17" t="s">
        <v>595</v>
      </c>
      <c r="D2694" s="17">
        <v>784</v>
      </c>
      <c r="E2694" s="17" t="e">
        <f>#REF!</f>
        <v>#REF!</v>
      </c>
      <c r="F2694" s="20">
        <v>153917</v>
      </c>
    </row>
    <row r="2695" spans="1:6" ht="16" customHeight="1" x14ac:dyDescent="0.2">
      <c r="A2695">
        <f>IFERROR(VLOOKUP(C2695,'GASB Match'!$D$2:$F$6042,3,FALSE),"")</f>
        <v>3408130</v>
      </c>
      <c r="B2695" s="17">
        <v>2018</v>
      </c>
      <c r="C2695" s="17" t="s">
        <v>1288</v>
      </c>
      <c r="D2695" s="17">
        <v>784</v>
      </c>
      <c r="E2695" s="17" t="e">
        <f>#REF!</f>
        <v>#REF!</v>
      </c>
      <c r="F2695" s="20">
        <v>262900</v>
      </c>
    </row>
    <row r="2696" spans="1:6" ht="16" customHeight="1" x14ac:dyDescent="0.2">
      <c r="A2696">
        <f>IFERROR(VLOOKUP(C2696,'GASB Match'!$D$2:$F$6042,3,FALSE),"")</f>
        <v>3408130</v>
      </c>
      <c r="B2696" s="17">
        <v>2019</v>
      </c>
      <c r="C2696" s="17" t="s">
        <v>1288</v>
      </c>
      <c r="D2696" s="17">
        <v>784</v>
      </c>
      <c r="E2696" s="17" t="e">
        <f>#REF!</f>
        <v>#REF!</v>
      </c>
      <c r="F2696" s="20">
        <v>381812</v>
      </c>
    </row>
    <row r="2697" spans="1:6" ht="16" customHeight="1" x14ac:dyDescent="0.2">
      <c r="A2697">
        <f>IFERROR(VLOOKUP(C2697,'GASB Match'!$D$2:$F$6042,3,FALSE),"")</f>
        <v>3408130</v>
      </c>
      <c r="B2697" s="17">
        <v>2020</v>
      </c>
      <c r="C2697" s="21" t="s">
        <v>1288</v>
      </c>
      <c r="D2697" s="17">
        <v>784</v>
      </c>
      <c r="E2697" s="17" t="e">
        <f>#REF!</f>
        <v>#REF!</v>
      </c>
      <c r="F2697" s="23">
        <v>387711</v>
      </c>
    </row>
    <row r="2698" spans="1:6" ht="16" customHeight="1" x14ac:dyDescent="0.2">
      <c r="A2698">
        <f>IFERROR(VLOOKUP(C2698,'GASB Match'!$D$2:$F$6042,3,FALSE),"")</f>
        <v>3408130</v>
      </c>
      <c r="B2698" s="17">
        <v>2021</v>
      </c>
      <c r="C2698" s="25" t="s">
        <v>1288</v>
      </c>
      <c r="D2698" s="17">
        <v>784</v>
      </c>
      <c r="E2698" s="17" t="e">
        <f>#REF!</f>
        <v>#REF!</v>
      </c>
      <c r="F2698" s="23">
        <v>464873</v>
      </c>
    </row>
    <row r="2699" spans="1:6" ht="16" customHeight="1" x14ac:dyDescent="0.2">
      <c r="A2699">
        <f>IFERROR(VLOOKUP(C2699,'GASB Match'!$D$2:$F$6042,3,FALSE),"")</f>
        <v>3408130</v>
      </c>
      <c r="B2699" s="17">
        <v>2022</v>
      </c>
      <c r="C2699" s="21" t="s">
        <v>1288</v>
      </c>
      <c r="D2699" s="17">
        <v>784</v>
      </c>
      <c r="E2699" s="17" t="e">
        <f>#REF!</f>
        <v>#REF!</v>
      </c>
      <c r="F2699" s="23">
        <v>627264</v>
      </c>
    </row>
    <row r="2700" spans="1:6" ht="16" customHeight="1" x14ac:dyDescent="0.2">
      <c r="A2700">
        <f>IFERROR(VLOOKUP(C2700,'GASB Match'!$D$2:$F$6042,3,FALSE),"")</f>
        <v>3408130</v>
      </c>
      <c r="B2700" s="17">
        <v>2023</v>
      </c>
      <c r="C2700" s="21" t="s">
        <v>1288</v>
      </c>
      <c r="D2700" s="17">
        <v>784</v>
      </c>
      <c r="E2700" s="17" t="e">
        <f>#REF!</f>
        <v>#REF!</v>
      </c>
      <c r="F2700" s="23">
        <v>656713</v>
      </c>
    </row>
    <row r="2701" spans="1:6" ht="16" customHeight="1" x14ac:dyDescent="0.2">
      <c r="A2701">
        <f>IFERROR(VLOOKUP(C2701,'GASB Match'!$D$2:$F$6042,3,FALSE),"")</f>
        <v>3408130</v>
      </c>
      <c r="B2701" s="28">
        <v>2017</v>
      </c>
      <c r="C2701" s="29" t="s">
        <v>595</v>
      </c>
      <c r="D2701" s="17">
        <v>784</v>
      </c>
      <c r="E2701" s="17" t="e">
        <f>#REF!</f>
        <v>#REF!</v>
      </c>
      <c r="F2701" s="29">
        <v>218754</v>
      </c>
    </row>
    <row r="2702" spans="1:6" ht="16" customHeight="1" x14ac:dyDescent="0.2">
      <c r="A2702">
        <f>IFERROR(VLOOKUP(C2702,'GASB Match'!$D$2:$F$6042,3,FALSE),"")</f>
        <v>3408160</v>
      </c>
      <c r="B2702" s="17">
        <v>2015</v>
      </c>
      <c r="C2702" s="17" t="s">
        <v>504</v>
      </c>
      <c r="D2702" s="17">
        <v>521</v>
      </c>
      <c r="E2702" s="17" t="e">
        <f>#REF!</f>
        <v>#REF!</v>
      </c>
      <c r="F2702" s="20">
        <v>126456</v>
      </c>
    </row>
    <row r="2703" spans="1:6" ht="16" customHeight="1" x14ac:dyDescent="0.2">
      <c r="A2703">
        <f>IFERROR(VLOOKUP(C2703,'GASB Match'!$D$2:$F$6042,3,FALSE),"")</f>
        <v>3408160</v>
      </c>
      <c r="B2703" s="17">
        <v>2016</v>
      </c>
      <c r="C2703" s="17" t="s">
        <v>504</v>
      </c>
      <c r="D2703" s="17">
        <v>521</v>
      </c>
      <c r="E2703" s="17" t="e">
        <f>#REF!</f>
        <v>#REF!</v>
      </c>
      <c r="F2703" s="20">
        <v>168738</v>
      </c>
    </row>
    <row r="2704" spans="1:6" ht="16" customHeight="1" x14ac:dyDescent="0.2">
      <c r="A2704">
        <f>IFERROR(VLOOKUP(C2704,'GASB Match'!$D$2:$F$6042,3,FALSE),"")</f>
        <v>3408160</v>
      </c>
      <c r="B2704" s="17">
        <v>2018</v>
      </c>
      <c r="C2704" s="17" t="s">
        <v>1196</v>
      </c>
      <c r="D2704" s="17">
        <v>521</v>
      </c>
      <c r="E2704" s="17" t="e">
        <f>#REF!</f>
        <v>#REF!</v>
      </c>
      <c r="F2704" s="20">
        <v>346585</v>
      </c>
    </row>
    <row r="2705" spans="1:6" ht="16" customHeight="1" x14ac:dyDescent="0.2">
      <c r="A2705">
        <f>IFERROR(VLOOKUP(C2705,'GASB Match'!$D$2:$F$6042,3,FALSE),"")</f>
        <v>3408160</v>
      </c>
      <c r="B2705" s="17">
        <v>2019</v>
      </c>
      <c r="C2705" s="17" t="s">
        <v>1196</v>
      </c>
      <c r="D2705" s="17">
        <v>521</v>
      </c>
      <c r="E2705" s="17" t="e">
        <f>#REF!</f>
        <v>#REF!</v>
      </c>
      <c r="F2705" s="20">
        <v>506615</v>
      </c>
    </row>
    <row r="2706" spans="1:6" ht="16" customHeight="1" x14ac:dyDescent="0.2">
      <c r="A2706">
        <f>IFERROR(VLOOKUP(C2706,'GASB Match'!$D$2:$F$6042,3,FALSE),"")</f>
        <v>3408160</v>
      </c>
      <c r="B2706" s="17">
        <v>2020</v>
      </c>
      <c r="C2706" s="21" t="s">
        <v>1196</v>
      </c>
      <c r="D2706" s="17">
        <v>521</v>
      </c>
      <c r="E2706" s="17" t="e">
        <f>#REF!</f>
        <v>#REF!</v>
      </c>
      <c r="F2706" s="23">
        <v>606174</v>
      </c>
    </row>
    <row r="2707" spans="1:6" ht="16" customHeight="1" x14ac:dyDescent="0.2">
      <c r="A2707">
        <f>IFERROR(VLOOKUP(C2707,'GASB Match'!$D$2:$F$6042,3,FALSE),"")</f>
        <v>3408160</v>
      </c>
      <c r="B2707" s="17">
        <v>2021</v>
      </c>
      <c r="C2707" s="25" t="s">
        <v>1196</v>
      </c>
      <c r="D2707" s="17">
        <v>521</v>
      </c>
      <c r="E2707" s="17" t="e">
        <f>#REF!</f>
        <v>#REF!</v>
      </c>
      <c r="F2707" s="23">
        <v>748945</v>
      </c>
    </row>
    <row r="2708" spans="1:6" ht="16" customHeight="1" x14ac:dyDescent="0.2">
      <c r="A2708">
        <f>IFERROR(VLOOKUP(C2708,'GASB Match'!$D$2:$F$6042,3,FALSE),"")</f>
        <v>3408160</v>
      </c>
      <c r="B2708" s="17">
        <v>2022</v>
      </c>
      <c r="C2708" s="21" t="s">
        <v>1196</v>
      </c>
      <c r="D2708" s="17">
        <v>521</v>
      </c>
      <c r="E2708" s="17" t="e">
        <f>#REF!</f>
        <v>#REF!</v>
      </c>
      <c r="F2708" s="23">
        <v>1089750</v>
      </c>
    </row>
    <row r="2709" spans="1:6" ht="16" customHeight="1" x14ac:dyDescent="0.2">
      <c r="A2709">
        <f>IFERROR(VLOOKUP(C2709,'GASB Match'!$D$2:$F$6042,3,FALSE),"")</f>
        <v>3408160</v>
      </c>
      <c r="B2709" s="17">
        <v>2023</v>
      </c>
      <c r="C2709" s="21" t="s">
        <v>1196</v>
      </c>
      <c r="D2709" s="17">
        <v>521</v>
      </c>
      <c r="E2709" s="17" t="e">
        <f>#REF!</f>
        <v>#REF!</v>
      </c>
      <c r="F2709" s="23">
        <v>1086857</v>
      </c>
    </row>
    <row r="2710" spans="1:6" ht="16" customHeight="1" x14ac:dyDescent="0.2">
      <c r="A2710">
        <f>IFERROR(VLOOKUP(C2710,'GASB Match'!$D$2:$F$6042,3,FALSE),"")</f>
        <v>3408160</v>
      </c>
      <c r="B2710" s="28">
        <v>2017</v>
      </c>
      <c r="C2710" s="29" t="s">
        <v>504</v>
      </c>
      <c r="D2710" s="17">
        <v>521</v>
      </c>
      <c r="E2710" s="17" t="e">
        <f>#REF!</f>
        <v>#REF!</v>
      </c>
      <c r="F2710" s="29">
        <v>260362</v>
      </c>
    </row>
    <row r="2711" spans="1:6" ht="16" customHeight="1" x14ac:dyDescent="0.2">
      <c r="A2711">
        <f>IFERROR(VLOOKUP(C2711,'GASB Match'!$D$2:$F$6042,3,FALSE),"")</f>
        <v>3408190</v>
      </c>
      <c r="B2711" s="17">
        <v>2015</v>
      </c>
      <c r="C2711" s="17" t="s">
        <v>530</v>
      </c>
      <c r="D2711" s="17">
        <v>645</v>
      </c>
      <c r="E2711" s="17" t="e">
        <f>#REF!</f>
        <v>#REF!</v>
      </c>
      <c r="F2711" s="20">
        <v>487665</v>
      </c>
    </row>
    <row r="2712" spans="1:6" ht="16" customHeight="1" x14ac:dyDescent="0.2">
      <c r="A2712">
        <f>IFERROR(VLOOKUP(C2712,'GASB Match'!$D$2:$F$6042,3,FALSE),"")</f>
        <v>3408190</v>
      </c>
      <c r="B2712" s="17">
        <v>2016</v>
      </c>
      <c r="C2712" s="17" t="s">
        <v>530</v>
      </c>
      <c r="D2712" s="17">
        <v>645</v>
      </c>
      <c r="E2712" s="17" t="e">
        <f>#REF!</f>
        <v>#REF!</v>
      </c>
      <c r="F2712" s="19">
        <v>710665</v>
      </c>
    </row>
    <row r="2713" spans="1:6" ht="16" customHeight="1" x14ac:dyDescent="0.2">
      <c r="A2713">
        <f>IFERROR(VLOOKUP(C2713,'GASB Match'!$D$2:$F$6042,3,FALSE),"")</f>
        <v>3408190</v>
      </c>
      <c r="B2713" s="17">
        <v>2018</v>
      </c>
      <c r="C2713" s="17" t="s">
        <v>1222</v>
      </c>
      <c r="D2713" s="17">
        <v>645</v>
      </c>
      <c r="E2713" s="17" t="e">
        <f>#REF!</f>
        <v>#REF!</v>
      </c>
      <c r="F2713" s="20">
        <v>1384996</v>
      </c>
    </row>
    <row r="2714" spans="1:6" ht="16" customHeight="1" x14ac:dyDescent="0.2">
      <c r="A2714">
        <f>IFERROR(VLOOKUP(C2714,'GASB Match'!$D$2:$F$6042,3,FALSE),"")</f>
        <v>3408190</v>
      </c>
      <c r="B2714" s="17">
        <v>2019</v>
      </c>
      <c r="C2714" s="17" t="s">
        <v>1222</v>
      </c>
      <c r="D2714" s="17">
        <v>645</v>
      </c>
      <c r="E2714" s="17" t="e">
        <f>#REF!</f>
        <v>#REF!</v>
      </c>
      <c r="F2714" s="20">
        <v>1791677</v>
      </c>
    </row>
    <row r="2715" spans="1:6" ht="16" customHeight="1" x14ac:dyDescent="0.2">
      <c r="A2715">
        <f>IFERROR(VLOOKUP(C2715,'GASB Match'!$D$2:$F$6042,3,FALSE),"")</f>
        <v>3408190</v>
      </c>
      <c r="B2715" s="17">
        <v>2020</v>
      </c>
      <c r="C2715" s="21" t="s">
        <v>1222</v>
      </c>
      <c r="D2715" s="17">
        <v>645</v>
      </c>
      <c r="E2715" s="17" t="e">
        <f>#REF!</f>
        <v>#REF!</v>
      </c>
      <c r="F2715" s="23">
        <v>1958406</v>
      </c>
    </row>
    <row r="2716" spans="1:6" ht="16" customHeight="1" x14ac:dyDescent="0.2">
      <c r="A2716">
        <f>IFERROR(VLOOKUP(C2716,'GASB Match'!$D$2:$F$6042,3,FALSE),"")</f>
        <v>3408190</v>
      </c>
      <c r="B2716" s="17">
        <v>2021</v>
      </c>
      <c r="C2716" s="25" t="s">
        <v>1222</v>
      </c>
      <c r="D2716" s="17">
        <v>645</v>
      </c>
      <c r="E2716" s="17" t="e">
        <f>#REF!</f>
        <v>#REF!</v>
      </c>
      <c r="F2716" s="23">
        <v>2604450</v>
      </c>
    </row>
    <row r="2717" spans="1:6" ht="16" customHeight="1" x14ac:dyDescent="0.2">
      <c r="A2717">
        <f>IFERROR(VLOOKUP(C2717,'GASB Match'!$D$2:$F$6042,3,FALSE),"")</f>
        <v>3408190</v>
      </c>
      <c r="B2717" s="17">
        <v>2022</v>
      </c>
      <c r="C2717" s="21" t="s">
        <v>1222</v>
      </c>
      <c r="D2717" s="17">
        <v>645</v>
      </c>
      <c r="E2717" s="17" t="e">
        <f>#REF!</f>
        <v>#REF!</v>
      </c>
      <c r="F2717" s="23">
        <v>3636569</v>
      </c>
    </row>
    <row r="2718" spans="1:6" ht="16" customHeight="1" x14ac:dyDescent="0.2">
      <c r="A2718">
        <f>IFERROR(VLOOKUP(C2718,'GASB Match'!$D$2:$F$6042,3,FALSE),"")</f>
        <v>3408190</v>
      </c>
      <c r="B2718" s="17">
        <v>2023</v>
      </c>
      <c r="C2718" s="21" t="s">
        <v>1222</v>
      </c>
      <c r="D2718" s="17">
        <v>645</v>
      </c>
      <c r="E2718" s="17" t="e">
        <f>#REF!</f>
        <v>#REF!</v>
      </c>
      <c r="F2718" s="23">
        <v>3499367</v>
      </c>
    </row>
    <row r="2719" spans="1:6" ht="16" customHeight="1" x14ac:dyDescent="0.2">
      <c r="A2719">
        <f>IFERROR(VLOOKUP(C2719,'GASB Match'!$D$2:$F$6042,3,FALSE),"")</f>
        <v>3408190</v>
      </c>
      <c r="B2719" s="28">
        <v>2017</v>
      </c>
      <c r="C2719" s="29" t="s">
        <v>530</v>
      </c>
      <c r="D2719" s="17">
        <v>645</v>
      </c>
      <c r="E2719" s="17" t="e">
        <f>#REF!</f>
        <v>#REF!</v>
      </c>
      <c r="F2719" s="29">
        <v>1017381</v>
      </c>
    </row>
    <row r="2720" spans="1:6" ht="16" customHeight="1" x14ac:dyDescent="0.2">
      <c r="A2720">
        <f>IFERROR(VLOOKUP(C2720,'GASB Match'!$D$2:$F$6042,3,FALSE),"")</f>
        <v>3408220</v>
      </c>
      <c r="B2720" s="17">
        <v>2015</v>
      </c>
      <c r="C2720" s="17" t="s">
        <v>505</v>
      </c>
      <c r="D2720" s="17">
        <v>500</v>
      </c>
      <c r="E2720" s="17" t="e">
        <f>#REF!</f>
        <v>#REF!</v>
      </c>
      <c r="F2720" s="20">
        <v>1654991</v>
      </c>
    </row>
    <row r="2721" spans="1:6" ht="16" customHeight="1" x14ac:dyDescent="0.2">
      <c r="A2721">
        <f>IFERROR(VLOOKUP(C2721,'GASB Match'!$D$2:$F$6042,3,FALSE),"")</f>
        <v>3408220</v>
      </c>
      <c r="B2721" s="17">
        <v>2016</v>
      </c>
      <c r="C2721" s="17" t="s">
        <v>505</v>
      </c>
      <c r="D2721" s="17">
        <v>500</v>
      </c>
      <c r="E2721" s="17" t="e">
        <f>#REF!</f>
        <v>#REF!</v>
      </c>
      <c r="F2721" s="20">
        <v>2385738</v>
      </c>
    </row>
    <row r="2722" spans="1:6" ht="16" customHeight="1" x14ac:dyDescent="0.2">
      <c r="A2722">
        <f>IFERROR(VLOOKUP(C2722,'GASB Match'!$D$2:$F$6042,3,FALSE),"")</f>
        <v>3408220</v>
      </c>
      <c r="B2722" s="17">
        <v>2018</v>
      </c>
      <c r="C2722" s="17" t="s">
        <v>1197</v>
      </c>
      <c r="D2722" s="17">
        <v>500</v>
      </c>
      <c r="E2722" s="17" t="e">
        <f>#REF!</f>
        <v>#REF!</v>
      </c>
      <c r="F2722" s="20">
        <v>4834320</v>
      </c>
    </row>
    <row r="2723" spans="1:6" ht="16" customHeight="1" x14ac:dyDescent="0.2">
      <c r="A2723">
        <f>IFERROR(VLOOKUP(C2723,'GASB Match'!$D$2:$F$6042,3,FALSE),"")</f>
        <v>3408220</v>
      </c>
      <c r="B2723" s="17">
        <v>2019</v>
      </c>
      <c r="C2723" s="17" t="s">
        <v>1197</v>
      </c>
      <c r="D2723" s="17">
        <v>500</v>
      </c>
      <c r="E2723" s="17" t="e">
        <f>#REF!</f>
        <v>#REF!</v>
      </c>
      <c r="F2723" s="20">
        <v>6304578</v>
      </c>
    </row>
    <row r="2724" spans="1:6" ht="16" customHeight="1" x14ac:dyDescent="0.2">
      <c r="A2724">
        <f>IFERROR(VLOOKUP(C2724,'GASB Match'!$D$2:$F$6042,3,FALSE),"")</f>
        <v>3408220</v>
      </c>
      <c r="B2724" s="17">
        <v>2020</v>
      </c>
      <c r="C2724" s="21" t="s">
        <v>1197</v>
      </c>
      <c r="D2724" s="17">
        <v>500</v>
      </c>
      <c r="E2724" s="17" t="e">
        <f>#REF!</f>
        <v>#REF!</v>
      </c>
      <c r="F2724" s="23">
        <v>7200382</v>
      </c>
    </row>
    <row r="2725" spans="1:6" ht="16" customHeight="1" x14ac:dyDescent="0.2">
      <c r="A2725">
        <f>IFERROR(VLOOKUP(C2725,'GASB Match'!$D$2:$F$6042,3,FALSE),"")</f>
        <v>3408220</v>
      </c>
      <c r="B2725" s="17">
        <v>2021</v>
      </c>
      <c r="C2725" s="25" t="s">
        <v>1197</v>
      </c>
      <c r="D2725" s="17">
        <v>500</v>
      </c>
      <c r="E2725" s="17" t="e">
        <f>#REF!</f>
        <v>#REF!</v>
      </c>
      <c r="F2725" s="23">
        <v>9769764</v>
      </c>
    </row>
    <row r="2726" spans="1:6" ht="16" customHeight="1" x14ac:dyDescent="0.2">
      <c r="A2726">
        <f>IFERROR(VLOOKUP(C2726,'GASB Match'!$D$2:$F$6042,3,FALSE),"")</f>
        <v>3408220</v>
      </c>
      <c r="B2726" s="17">
        <v>2022</v>
      </c>
      <c r="C2726" s="21" t="s">
        <v>1197</v>
      </c>
      <c r="D2726" s="17">
        <v>500</v>
      </c>
      <c r="E2726" s="17" t="e">
        <f>#REF!</f>
        <v>#REF!</v>
      </c>
      <c r="F2726" s="23">
        <v>14587367</v>
      </c>
    </row>
    <row r="2727" spans="1:6" ht="16" customHeight="1" x14ac:dyDescent="0.2">
      <c r="A2727">
        <f>IFERROR(VLOOKUP(C2727,'GASB Match'!$D$2:$F$6042,3,FALSE),"")</f>
        <v>3408220</v>
      </c>
      <c r="B2727" s="17">
        <v>2023</v>
      </c>
      <c r="C2727" s="21" t="s">
        <v>1197</v>
      </c>
      <c r="D2727" s="17">
        <v>500</v>
      </c>
      <c r="E2727" s="17" t="e">
        <f>#REF!</f>
        <v>#REF!</v>
      </c>
      <c r="F2727" s="23">
        <v>14666717</v>
      </c>
    </row>
    <row r="2728" spans="1:6" ht="16" customHeight="1" x14ac:dyDescent="0.2">
      <c r="A2728">
        <f>IFERROR(VLOOKUP(C2728,'GASB Match'!$D$2:$F$6042,3,FALSE),"")</f>
        <v>3408220</v>
      </c>
      <c r="B2728" s="28">
        <v>2017</v>
      </c>
      <c r="C2728" s="29" t="s">
        <v>505</v>
      </c>
      <c r="D2728" s="17">
        <v>500</v>
      </c>
      <c r="E2728" s="17" t="e">
        <f>#REF!</f>
        <v>#REF!</v>
      </c>
      <c r="F2728" s="29">
        <v>3454543</v>
      </c>
    </row>
    <row r="2729" spans="1:6" ht="16" customHeight="1" x14ac:dyDescent="0.2">
      <c r="A2729">
        <f>IFERROR(VLOOKUP(C2729,'GASB Match'!$D$2:$F$6042,3,FALSE),"")</f>
        <v>3408250</v>
      </c>
      <c r="B2729" s="17">
        <v>2015</v>
      </c>
      <c r="C2729" s="17" t="s">
        <v>344</v>
      </c>
      <c r="D2729" s="17">
        <v>9027</v>
      </c>
      <c r="E2729" s="17" t="e">
        <f>#REF!</f>
        <v>#REF!</v>
      </c>
      <c r="F2729" s="20">
        <v>82205</v>
      </c>
    </row>
    <row r="2730" spans="1:6" ht="16" customHeight="1" x14ac:dyDescent="0.2">
      <c r="A2730">
        <f>IFERROR(VLOOKUP(C2730,'GASB Match'!$D$2:$F$6042,3,FALSE),"")</f>
        <v>3408250</v>
      </c>
      <c r="B2730" s="17">
        <v>2016</v>
      </c>
      <c r="C2730" s="17" t="s">
        <v>344</v>
      </c>
      <c r="D2730" s="17">
        <v>9027</v>
      </c>
      <c r="E2730" s="17" t="e">
        <f>#REF!</f>
        <v>#REF!</v>
      </c>
      <c r="F2730" s="20">
        <v>124559</v>
      </c>
    </row>
    <row r="2731" spans="1:6" ht="16" customHeight="1" x14ac:dyDescent="0.2">
      <c r="A2731">
        <f>IFERROR(VLOOKUP(C2731,'GASB Match'!$D$2:$F$6042,3,FALSE),"")</f>
        <v>3408250</v>
      </c>
      <c r="B2731" s="28">
        <v>2017</v>
      </c>
      <c r="C2731" s="29" t="s">
        <v>344</v>
      </c>
      <c r="D2731" s="17">
        <v>9027</v>
      </c>
      <c r="E2731" s="17" t="e">
        <f>#REF!</f>
        <v>#REF!</v>
      </c>
      <c r="F2731" s="29">
        <v>173152</v>
      </c>
    </row>
    <row r="2732" spans="1:6" ht="16" customHeight="1" x14ac:dyDescent="0.2">
      <c r="A2732">
        <f>IFERROR(VLOOKUP(C2732,'GASB Match'!$D$2:$F$6042,3,FALSE),"")</f>
        <v>3408280</v>
      </c>
      <c r="B2732" s="17">
        <v>2015</v>
      </c>
      <c r="C2732" s="17" t="s">
        <v>177</v>
      </c>
      <c r="D2732" s="17">
        <v>4038</v>
      </c>
      <c r="E2732" s="17" t="e">
        <f>#REF!</f>
        <v>#REF!</v>
      </c>
      <c r="F2732" s="20">
        <v>62989</v>
      </c>
    </row>
    <row r="2733" spans="1:6" ht="16" customHeight="1" x14ac:dyDescent="0.2">
      <c r="A2733">
        <f>IFERROR(VLOOKUP(C2733,'GASB Match'!$D$2:$F$6042,3,FALSE),"")</f>
        <v>3408280</v>
      </c>
      <c r="B2733" s="17">
        <v>2016</v>
      </c>
      <c r="C2733" s="17" t="s">
        <v>177</v>
      </c>
      <c r="D2733" s="17">
        <v>4038</v>
      </c>
      <c r="E2733" s="17" t="e">
        <f>#REF!</f>
        <v>#REF!</v>
      </c>
      <c r="F2733" s="20">
        <v>92377</v>
      </c>
    </row>
    <row r="2734" spans="1:6" ht="16" customHeight="1" x14ac:dyDescent="0.2">
      <c r="A2734">
        <f>IFERROR(VLOOKUP(C2734,'GASB Match'!$D$2:$F$6042,3,FALSE),"")</f>
        <v>3408280</v>
      </c>
      <c r="B2734" s="17">
        <v>2018</v>
      </c>
      <c r="C2734" s="17" t="s">
        <v>860</v>
      </c>
      <c r="D2734" s="17">
        <v>4038</v>
      </c>
      <c r="E2734" s="17" t="e">
        <f>#REF!</f>
        <v>#REF!</v>
      </c>
      <c r="F2734" s="20">
        <v>167078</v>
      </c>
    </row>
    <row r="2735" spans="1:6" ht="16" customHeight="1" x14ac:dyDescent="0.2">
      <c r="A2735">
        <f>IFERROR(VLOOKUP(C2735,'GASB Match'!$D$2:$F$6042,3,FALSE),"")</f>
        <v>3408280</v>
      </c>
      <c r="B2735" s="17">
        <v>2019</v>
      </c>
      <c r="C2735" s="17" t="s">
        <v>860</v>
      </c>
      <c r="D2735" s="17">
        <v>4038</v>
      </c>
      <c r="E2735" s="17" t="e">
        <f>#REF!</f>
        <v>#REF!</v>
      </c>
      <c r="F2735" s="20">
        <v>223309</v>
      </c>
    </row>
    <row r="2736" spans="1:6" ht="16" customHeight="1" x14ac:dyDescent="0.2">
      <c r="A2736">
        <f>IFERROR(VLOOKUP(C2736,'GASB Match'!$D$2:$F$6042,3,FALSE),"")</f>
        <v>3408280</v>
      </c>
      <c r="B2736" s="17">
        <v>2020</v>
      </c>
      <c r="C2736" s="21" t="s">
        <v>860</v>
      </c>
      <c r="D2736" s="17">
        <v>4038</v>
      </c>
      <c r="E2736" s="17" t="e">
        <f>#REF!</f>
        <v>#REF!</v>
      </c>
      <c r="F2736" s="23">
        <v>249384</v>
      </c>
    </row>
    <row r="2737" spans="1:6" ht="16" customHeight="1" x14ac:dyDescent="0.2">
      <c r="A2737">
        <f>IFERROR(VLOOKUP(C2737,'GASB Match'!$D$2:$F$6042,3,FALSE),"")</f>
        <v>3408280</v>
      </c>
      <c r="B2737" s="17">
        <v>2021</v>
      </c>
      <c r="C2737" s="25" t="s">
        <v>860</v>
      </c>
      <c r="D2737" s="17">
        <v>4038</v>
      </c>
      <c r="E2737" s="17" t="e">
        <f>#REF!</f>
        <v>#REF!</v>
      </c>
      <c r="F2737" s="23">
        <v>302671</v>
      </c>
    </row>
    <row r="2738" spans="1:6" ht="16" customHeight="1" x14ac:dyDescent="0.2">
      <c r="A2738">
        <f>IFERROR(VLOOKUP(C2738,'GASB Match'!$D$2:$F$6042,3,FALSE),"")</f>
        <v>3408280</v>
      </c>
      <c r="B2738" s="17">
        <v>2022</v>
      </c>
      <c r="C2738" s="21" t="s">
        <v>860</v>
      </c>
      <c r="D2738" s="17">
        <v>4038</v>
      </c>
      <c r="E2738" s="17" t="e">
        <f>#REF!</f>
        <v>#REF!</v>
      </c>
      <c r="F2738" s="23">
        <v>452130</v>
      </c>
    </row>
    <row r="2739" spans="1:6" ht="16" customHeight="1" x14ac:dyDescent="0.2">
      <c r="A2739">
        <f>IFERROR(VLOOKUP(C2739,'GASB Match'!$D$2:$F$6042,3,FALSE),"")</f>
        <v>3408280</v>
      </c>
      <c r="B2739" s="17">
        <v>2023</v>
      </c>
      <c r="C2739" s="21" t="s">
        <v>860</v>
      </c>
      <c r="D2739" s="17">
        <v>4038</v>
      </c>
      <c r="E2739" s="17" t="e">
        <f>#REF!</f>
        <v>#REF!</v>
      </c>
      <c r="F2739" s="23">
        <v>438981</v>
      </c>
    </row>
    <row r="2740" spans="1:6" ht="16" customHeight="1" x14ac:dyDescent="0.2">
      <c r="A2740">
        <f>IFERROR(VLOOKUP(C2740,'GASB Match'!$D$2:$F$6042,3,FALSE),"")</f>
        <v>3408280</v>
      </c>
      <c r="B2740" s="28">
        <v>2017</v>
      </c>
      <c r="C2740" s="29" t="s">
        <v>177</v>
      </c>
      <c r="D2740" s="17">
        <v>4038</v>
      </c>
      <c r="E2740" s="17" t="e">
        <f>#REF!</f>
        <v>#REF!</v>
      </c>
      <c r="F2740" s="29">
        <v>120134</v>
      </c>
    </row>
    <row r="2741" spans="1:6" ht="16" customHeight="1" x14ac:dyDescent="0.2">
      <c r="A2741">
        <f>IFERROR(VLOOKUP(C2741,'GASB Match'!$D$2:$F$6042,3,FALSE),"")</f>
        <v>3408310</v>
      </c>
      <c r="B2741" s="17">
        <v>2015</v>
      </c>
      <c r="C2741" s="17" t="s">
        <v>506</v>
      </c>
      <c r="D2741" s="17">
        <v>522</v>
      </c>
      <c r="E2741" s="17" t="e">
        <f>#REF!</f>
        <v>#REF!</v>
      </c>
      <c r="F2741" s="20">
        <v>79767</v>
      </c>
    </row>
    <row r="2742" spans="1:6" ht="16" customHeight="1" x14ac:dyDescent="0.2">
      <c r="A2742">
        <f>IFERROR(VLOOKUP(C2742,'GASB Match'!$D$2:$F$6042,3,FALSE),"")</f>
        <v>3408310</v>
      </c>
      <c r="B2742" s="17">
        <v>2016</v>
      </c>
      <c r="C2742" s="17" t="s">
        <v>506</v>
      </c>
      <c r="D2742" s="17">
        <v>522</v>
      </c>
      <c r="E2742" s="17" t="e">
        <f>#REF!</f>
        <v>#REF!</v>
      </c>
      <c r="F2742" s="20">
        <v>119334</v>
      </c>
    </row>
    <row r="2743" spans="1:6" ht="16" customHeight="1" x14ac:dyDescent="0.2">
      <c r="A2743">
        <f>IFERROR(VLOOKUP(C2743,'GASB Match'!$D$2:$F$6042,3,FALSE),"")</f>
        <v>3408310</v>
      </c>
      <c r="B2743" s="17">
        <v>2018</v>
      </c>
      <c r="C2743" s="17" t="s">
        <v>1198</v>
      </c>
      <c r="D2743" s="17">
        <v>522</v>
      </c>
      <c r="E2743" s="17" t="e">
        <f>#REF!</f>
        <v>#REF!</v>
      </c>
      <c r="F2743" s="20">
        <v>229413</v>
      </c>
    </row>
    <row r="2744" spans="1:6" ht="16" customHeight="1" x14ac:dyDescent="0.2">
      <c r="A2744">
        <f>IFERROR(VLOOKUP(C2744,'GASB Match'!$D$2:$F$6042,3,FALSE),"")</f>
        <v>3408310</v>
      </c>
      <c r="B2744" s="17">
        <v>2019</v>
      </c>
      <c r="C2744" s="17" t="s">
        <v>1198</v>
      </c>
      <c r="D2744" s="17">
        <v>522</v>
      </c>
      <c r="E2744" s="17" t="e">
        <f>#REF!</f>
        <v>#REF!</v>
      </c>
      <c r="F2744" s="20">
        <v>317979</v>
      </c>
    </row>
    <row r="2745" spans="1:6" ht="16" customHeight="1" x14ac:dyDescent="0.2">
      <c r="A2745">
        <f>IFERROR(VLOOKUP(C2745,'GASB Match'!$D$2:$F$6042,3,FALSE),"")</f>
        <v>3408310</v>
      </c>
      <c r="B2745" s="17">
        <v>2020</v>
      </c>
      <c r="C2745" s="21" t="s">
        <v>1198</v>
      </c>
      <c r="D2745" s="17">
        <v>522</v>
      </c>
      <c r="E2745" s="17" t="e">
        <f>#REF!</f>
        <v>#REF!</v>
      </c>
      <c r="F2745" s="23">
        <v>365053</v>
      </c>
    </row>
    <row r="2746" spans="1:6" ht="16" customHeight="1" x14ac:dyDescent="0.2">
      <c r="A2746">
        <f>IFERROR(VLOOKUP(C2746,'GASB Match'!$D$2:$F$6042,3,FALSE),"")</f>
        <v>3408310</v>
      </c>
      <c r="B2746" s="17">
        <v>2021</v>
      </c>
      <c r="C2746" s="25" t="s">
        <v>1198</v>
      </c>
      <c r="D2746" s="17">
        <v>522</v>
      </c>
      <c r="E2746" s="17" t="e">
        <f>#REF!</f>
        <v>#REF!</v>
      </c>
      <c r="F2746" s="23">
        <v>434002</v>
      </c>
    </row>
    <row r="2747" spans="1:6" ht="16" customHeight="1" x14ac:dyDescent="0.2">
      <c r="A2747">
        <f>IFERROR(VLOOKUP(C2747,'GASB Match'!$D$2:$F$6042,3,FALSE),"")</f>
        <v>3408310</v>
      </c>
      <c r="B2747" s="17">
        <v>2022</v>
      </c>
      <c r="C2747" s="21" t="s">
        <v>1198</v>
      </c>
      <c r="D2747" s="17">
        <v>522</v>
      </c>
      <c r="E2747" s="17" t="e">
        <f>#REF!</f>
        <v>#REF!</v>
      </c>
      <c r="F2747" s="23">
        <v>621438</v>
      </c>
    </row>
    <row r="2748" spans="1:6" ht="16" customHeight="1" x14ac:dyDescent="0.2">
      <c r="A2748">
        <f>IFERROR(VLOOKUP(C2748,'GASB Match'!$D$2:$F$6042,3,FALSE),"")</f>
        <v>3408310</v>
      </c>
      <c r="B2748" s="17">
        <v>2023</v>
      </c>
      <c r="C2748" s="21" t="s">
        <v>1198</v>
      </c>
      <c r="D2748" s="17">
        <v>522</v>
      </c>
      <c r="E2748" s="17" t="e">
        <f>#REF!</f>
        <v>#REF!</v>
      </c>
      <c r="F2748" s="23">
        <v>578626</v>
      </c>
    </row>
    <row r="2749" spans="1:6" ht="16" customHeight="1" x14ac:dyDescent="0.2">
      <c r="A2749">
        <f>IFERROR(VLOOKUP(C2749,'GASB Match'!$D$2:$F$6042,3,FALSE),"")</f>
        <v>3408310</v>
      </c>
      <c r="B2749" s="28">
        <v>2017</v>
      </c>
      <c r="C2749" s="29" t="s">
        <v>506</v>
      </c>
      <c r="D2749" s="17">
        <v>522</v>
      </c>
      <c r="E2749" s="17" t="e">
        <f>#REF!</f>
        <v>#REF!</v>
      </c>
      <c r="F2749" s="29">
        <v>155595</v>
      </c>
    </row>
    <row r="2750" spans="1:6" ht="16" customHeight="1" x14ac:dyDescent="0.2">
      <c r="A2750">
        <f>IFERROR(VLOOKUP(C2750,'GASB Match'!$D$2:$F$6042,3,FALSE),"")</f>
        <v>3408340</v>
      </c>
      <c r="B2750" s="17">
        <v>2015</v>
      </c>
      <c r="C2750" s="17" t="s">
        <v>178</v>
      </c>
      <c r="D2750" s="17">
        <v>4039</v>
      </c>
      <c r="E2750" s="17" t="e">
        <f>#REF!</f>
        <v>#REF!</v>
      </c>
      <c r="F2750" s="20">
        <v>117068</v>
      </c>
    </row>
    <row r="2751" spans="1:6" ht="16" customHeight="1" x14ac:dyDescent="0.2">
      <c r="A2751">
        <f>IFERROR(VLOOKUP(C2751,'GASB Match'!$D$2:$F$6042,3,FALSE),"")</f>
        <v>3408340</v>
      </c>
      <c r="B2751" s="17">
        <v>2016</v>
      </c>
      <c r="C2751" s="17" t="s">
        <v>178</v>
      </c>
      <c r="D2751" s="17">
        <v>4039</v>
      </c>
      <c r="E2751" s="17" t="e">
        <f>#REF!</f>
        <v>#REF!</v>
      </c>
      <c r="F2751" s="20">
        <v>188534</v>
      </c>
    </row>
    <row r="2752" spans="1:6" ht="16" customHeight="1" x14ac:dyDescent="0.2">
      <c r="A2752">
        <f>IFERROR(VLOOKUP(C2752,'GASB Match'!$D$2:$F$6042,3,FALSE),"")</f>
        <v>3408340</v>
      </c>
      <c r="B2752" s="17">
        <v>2018</v>
      </c>
      <c r="C2752" s="17" t="s">
        <v>861</v>
      </c>
      <c r="D2752" s="17">
        <v>4039</v>
      </c>
      <c r="E2752" s="17" t="e">
        <f>#REF!</f>
        <v>#REF!</v>
      </c>
      <c r="F2752" s="20">
        <v>362645</v>
      </c>
    </row>
    <row r="2753" spans="1:6" ht="16" customHeight="1" x14ac:dyDescent="0.2">
      <c r="A2753">
        <f>IFERROR(VLOOKUP(C2753,'GASB Match'!$D$2:$F$6042,3,FALSE),"")</f>
        <v>3408340</v>
      </c>
      <c r="B2753" s="17">
        <v>2019</v>
      </c>
      <c r="C2753" s="17" t="s">
        <v>861</v>
      </c>
      <c r="D2753" s="17">
        <v>4039</v>
      </c>
      <c r="E2753" s="17" t="e">
        <f>#REF!</f>
        <v>#REF!</v>
      </c>
      <c r="F2753" s="20">
        <v>493013</v>
      </c>
    </row>
    <row r="2754" spans="1:6" ht="16" customHeight="1" x14ac:dyDescent="0.2">
      <c r="A2754">
        <f>IFERROR(VLOOKUP(C2754,'GASB Match'!$D$2:$F$6042,3,FALSE),"")</f>
        <v>3408340</v>
      </c>
      <c r="B2754" s="17">
        <v>2020</v>
      </c>
      <c r="C2754" s="21" t="s">
        <v>861</v>
      </c>
      <c r="D2754" s="17">
        <v>4039</v>
      </c>
      <c r="E2754" s="17" t="e">
        <f>#REF!</f>
        <v>#REF!</v>
      </c>
      <c r="F2754" s="23">
        <v>583485</v>
      </c>
    </row>
    <row r="2755" spans="1:6" ht="16" customHeight="1" x14ac:dyDescent="0.2">
      <c r="A2755">
        <f>IFERROR(VLOOKUP(C2755,'GASB Match'!$D$2:$F$6042,3,FALSE),"")</f>
        <v>3408340</v>
      </c>
      <c r="B2755" s="17">
        <v>2021</v>
      </c>
      <c r="C2755" s="25" t="s">
        <v>861</v>
      </c>
      <c r="D2755" s="17">
        <v>4039</v>
      </c>
      <c r="E2755" s="17" t="e">
        <f>#REF!</f>
        <v>#REF!</v>
      </c>
      <c r="F2755" s="23">
        <v>650679</v>
      </c>
    </row>
    <row r="2756" spans="1:6" ht="16" customHeight="1" x14ac:dyDescent="0.2">
      <c r="A2756">
        <f>IFERROR(VLOOKUP(C2756,'GASB Match'!$D$2:$F$6042,3,FALSE),"")</f>
        <v>3408340</v>
      </c>
      <c r="B2756" s="17">
        <v>2022</v>
      </c>
      <c r="C2756" s="21" t="s">
        <v>861</v>
      </c>
      <c r="D2756" s="17">
        <v>4039</v>
      </c>
      <c r="E2756" s="17" t="e">
        <f>#REF!</f>
        <v>#REF!</v>
      </c>
      <c r="F2756" s="23">
        <v>853275</v>
      </c>
    </row>
    <row r="2757" spans="1:6" ht="16" customHeight="1" x14ac:dyDescent="0.2">
      <c r="A2757">
        <f>IFERROR(VLOOKUP(C2757,'GASB Match'!$D$2:$F$6042,3,FALSE),"")</f>
        <v>3408340</v>
      </c>
      <c r="B2757" s="17">
        <v>2023</v>
      </c>
      <c r="C2757" s="21" t="s">
        <v>861</v>
      </c>
      <c r="D2757" s="17">
        <v>4039</v>
      </c>
      <c r="E2757" s="17" t="e">
        <f>#REF!</f>
        <v>#REF!</v>
      </c>
      <c r="F2757" s="23">
        <v>683783</v>
      </c>
    </row>
    <row r="2758" spans="1:6" ht="16" customHeight="1" x14ac:dyDescent="0.2">
      <c r="A2758">
        <f>IFERROR(VLOOKUP(C2758,'GASB Match'!$D$2:$F$6042,3,FALSE),"")</f>
        <v>3408340</v>
      </c>
      <c r="B2758" s="28">
        <v>2017</v>
      </c>
      <c r="C2758" s="29" t="s">
        <v>178</v>
      </c>
      <c r="D2758" s="17">
        <v>4039</v>
      </c>
      <c r="E2758" s="17" t="e">
        <f>#REF!</f>
        <v>#REF!</v>
      </c>
      <c r="F2758" s="29">
        <v>254433</v>
      </c>
    </row>
    <row r="2759" spans="1:6" ht="16" customHeight="1" x14ac:dyDescent="0.2">
      <c r="A2759">
        <f>IFERROR(VLOOKUP(C2759,'GASB Match'!$D$2:$F$6042,3,FALSE),"")</f>
        <v>3408370</v>
      </c>
      <c r="B2759" s="17">
        <v>2015</v>
      </c>
      <c r="C2759" s="17" t="s">
        <v>221</v>
      </c>
      <c r="D2759" s="17">
        <v>5087</v>
      </c>
      <c r="E2759" s="17" t="e">
        <f>#REF!</f>
        <v>#REF!</v>
      </c>
      <c r="F2759" s="20">
        <v>155405</v>
      </c>
    </row>
    <row r="2760" spans="1:6" ht="16" customHeight="1" x14ac:dyDescent="0.2">
      <c r="A2760">
        <f>IFERROR(VLOOKUP(C2760,'GASB Match'!$D$2:$F$6042,3,FALSE),"")</f>
        <v>3408370</v>
      </c>
      <c r="B2760" s="17">
        <v>2016</v>
      </c>
      <c r="C2760" s="17" t="s">
        <v>221</v>
      </c>
      <c r="D2760" s="17">
        <v>5087</v>
      </c>
      <c r="E2760" s="17" t="e">
        <f>#REF!</f>
        <v>#REF!</v>
      </c>
      <c r="F2760" s="20">
        <v>236679</v>
      </c>
    </row>
    <row r="2761" spans="1:6" ht="16" customHeight="1" x14ac:dyDescent="0.2">
      <c r="A2761">
        <f>IFERROR(VLOOKUP(C2761,'GASB Match'!$D$2:$F$6042,3,FALSE),"")</f>
        <v>3408370</v>
      </c>
      <c r="B2761" s="17">
        <v>2018</v>
      </c>
      <c r="C2761" s="17" t="s">
        <v>907</v>
      </c>
      <c r="D2761" s="17">
        <v>5087</v>
      </c>
      <c r="E2761" s="17" t="e">
        <f>#REF!</f>
        <v>#REF!</v>
      </c>
      <c r="F2761" s="20">
        <v>447495</v>
      </c>
    </row>
    <row r="2762" spans="1:6" ht="16" customHeight="1" x14ac:dyDescent="0.2">
      <c r="A2762">
        <f>IFERROR(VLOOKUP(C2762,'GASB Match'!$D$2:$F$6042,3,FALSE),"")</f>
        <v>3408370</v>
      </c>
      <c r="B2762" s="17">
        <v>2019</v>
      </c>
      <c r="C2762" s="17" t="s">
        <v>907</v>
      </c>
      <c r="D2762" s="17">
        <v>5087</v>
      </c>
      <c r="E2762" s="17" t="e">
        <f>#REF!</f>
        <v>#REF!</v>
      </c>
      <c r="F2762" s="20">
        <v>640468</v>
      </c>
    </row>
    <row r="2763" spans="1:6" ht="16" customHeight="1" x14ac:dyDescent="0.2">
      <c r="A2763">
        <f>IFERROR(VLOOKUP(C2763,'GASB Match'!$D$2:$F$6042,3,FALSE),"")</f>
        <v>3408370</v>
      </c>
      <c r="B2763" s="17">
        <v>2020</v>
      </c>
      <c r="C2763" s="21" t="s">
        <v>907</v>
      </c>
      <c r="D2763" s="17">
        <v>5087</v>
      </c>
      <c r="E2763" s="17" t="e">
        <f>#REF!</f>
        <v>#REF!</v>
      </c>
      <c r="F2763" s="23">
        <v>670718</v>
      </c>
    </row>
    <row r="2764" spans="1:6" ht="16" customHeight="1" x14ac:dyDescent="0.2">
      <c r="A2764">
        <f>IFERROR(VLOOKUP(C2764,'GASB Match'!$D$2:$F$6042,3,FALSE),"")</f>
        <v>3408370</v>
      </c>
      <c r="B2764" s="17">
        <v>2021</v>
      </c>
      <c r="C2764" s="25" t="s">
        <v>907</v>
      </c>
      <c r="D2764" s="17">
        <v>5087</v>
      </c>
      <c r="E2764" s="17" t="e">
        <f>#REF!</f>
        <v>#REF!</v>
      </c>
      <c r="F2764" s="23">
        <v>937012</v>
      </c>
    </row>
    <row r="2765" spans="1:6" ht="16" customHeight="1" x14ac:dyDescent="0.2">
      <c r="A2765">
        <f>IFERROR(VLOOKUP(C2765,'GASB Match'!$D$2:$F$6042,3,FALSE),"")</f>
        <v>3408370</v>
      </c>
      <c r="B2765" s="17">
        <v>2022</v>
      </c>
      <c r="C2765" s="21" t="s">
        <v>907</v>
      </c>
      <c r="D2765" s="17">
        <v>5087</v>
      </c>
      <c r="E2765" s="17" t="e">
        <f>#REF!</f>
        <v>#REF!</v>
      </c>
      <c r="F2765" s="23">
        <v>1513175</v>
      </c>
    </row>
    <row r="2766" spans="1:6" ht="16" customHeight="1" x14ac:dyDescent="0.2">
      <c r="A2766">
        <f>IFERROR(VLOOKUP(C2766,'GASB Match'!$D$2:$F$6042,3,FALSE),"")</f>
        <v>3408370</v>
      </c>
      <c r="B2766" s="17">
        <v>2023</v>
      </c>
      <c r="C2766" s="21" t="s">
        <v>907</v>
      </c>
      <c r="D2766" s="17">
        <v>5087</v>
      </c>
      <c r="E2766" s="17" t="e">
        <f>#REF!</f>
        <v>#REF!</v>
      </c>
      <c r="F2766" s="23">
        <v>1514693</v>
      </c>
    </row>
    <row r="2767" spans="1:6" ht="16" customHeight="1" x14ac:dyDescent="0.2">
      <c r="A2767">
        <f>IFERROR(VLOOKUP(C2767,'GASB Match'!$D$2:$F$6042,3,FALSE),"")</f>
        <v>3408370</v>
      </c>
      <c r="B2767" s="28">
        <v>2017</v>
      </c>
      <c r="C2767" s="29" t="s">
        <v>221</v>
      </c>
      <c r="D2767" s="17">
        <v>5087</v>
      </c>
      <c r="E2767" s="17" t="e">
        <f>#REF!</f>
        <v>#REF!</v>
      </c>
      <c r="F2767" s="29">
        <v>336575</v>
      </c>
    </row>
    <row r="2768" spans="1:6" ht="16" customHeight="1" x14ac:dyDescent="0.2">
      <c r="A2768">
        <f>IFERROR(VLOOKUP(C2768,'GASB Match'!$D$2:$F$6042,3,FALSE),"")</f>
        <v>3408400</v>
      </c>
      <c r="B2768" s="17">
        <v>2015</v>
      </c>
      <c r="C2768" s="17" t="s">
        <v>361</v>
      </c>
      <c r="D2768" s="17">
        <v>124</v>
      </c>
      <c r="E2768" s="17" t="e">
        <f>#REF!</f>
        <v>#REF!</v>
      </c>
      <c r="F2768" s="20">
        <v>1541056</v>
      </c>
    </row>
    <row r="2769" spans="1:6" ht="16" customHeight="1" x14ac:dyDescent="0.2">
      <c r="A2769">
        <f>IFERROR(VLOOKUP(C2769,'GASB Match'!$D$2:$F$6042,3,FALSE),"")</f>
        <v>3408400</v>
      </c>
      <c r="B2769" s="17">
        <v>2016</v>
      </c>
      <c r="C2769" s="17" t="s">
        <v>361</v>
      </c>
      <c r="D2769" s="17">
        <v>124</v>
      </c>
      <c r="E2769" s="17" t="e">
        <f>#REF!</f>
        <v>#REF!</v>
      </c>
      <c r="F2769" s="20">
        <v>2245935</v>
      </c>
    </row>
    <row r="2770" spans="1:6" ht="16" customHeight="1" x14ac:dyDescent="0.2">
      <c r="A2770">
        <f>IFERROR(VLOOKUP(C2770,'GASB Match'!$D$2:$F$6042,3,FALSE),"")</f>
        <v>3408400</v>
      </c>
      <c r="B2770" s="17">
        <v>2018</v>
      </c>
      <c r="C2770" s="17" t="s">
        <v>1052</v>
      </c>
      <c r="D2770" s="17">
        <v>124</v>
      </c>
      <c r="E2770" s="17" t="e">
        <f>#REF!</f>
        <v>#REF!</v>
      </c>
      <c r="F2770" s="20">
        <v>4138278</v>
      </c>
    </row>
    <row r="2771" spans="1:6" ht="16" customHeight="1" x14ac:dyDescent="0.2">
      <c r="A2771">
        <f>IFERROR(VLOOKUP(C2771,'GASB Match'!$D$2:$F$6042,3,FALSE),"")</f>
        <v>3408400</v>
      </c>
      <c r="B2771" s="17">
        <v>2019</v>
      </c>
      <c r="C2771" s="17" t="s">
        <v>1052</v>
      </c>
      <c r="D2771" s="17">
        <v>124</v>
      </c>
      <c r="E2771" s="17" t="e">
        <f>#REF!</f>
        <v>#REF!</v>
      </c>
      <c r="F2771" s="20">
        <v>5597822</v>
      </c>
    </row>
    <row r="2772" spans="1:6" ht="16" customHeight="1" x14ac:dyDescent="0.2">
      <c r="A2772">
        <f>IFERROR(VLOOKUP(C2772,'GASB Match'!$D$2:$F$6042,3,FALSE),"")</f>
        <v>3408400</v>
      </c>
      <c r="B2772" s="17">
        <v>2020</v>
      </c>
      <c r="C2772" s="21" t="s">
        <v>1052</v>
      </c>
      <c r="D2772" s="17">
        <v>124</v>
      </c>
      <c r="E2772" s="17" t="e">
        <f>#REF!</f>
        <v>#REF!</v>
      </c>
      <c r="F2772" s="23">
        <v>6410989</v>
      </c>
    </row>
    <row r="2773" spans="1:6" ht="16" customHeight="1" x14ac:dyDescent="0.2">
      <c r="A2773">
        <f>IFERROR(VLOOKUP(C2773,'GASB Match'!$D$2:$F$6042,3,FALSE),"")</f>
        <v>3408400</v>
      </c>
      <c r="B2773" s="17">
        <v>2021</v>
      </c>
      <c r="C2773" s="25" t="s">
        <v>1052</v>
      </c>
      <c r="D2773" s="17">
        <v>124</v>
      </c>
      <c r="E2773" s="17" t="e">
        <f>#REF!</f>
        <v>#REF!</v>
      </c>
      <c r="F2773" s="22">
        <v>8433041</v>
      </c>
    </row>
    <row r="2774" spans="1:6" ht="16" customHeight="1" x14ac:dyDescent="0.2">
      <c r="A2774">
        <f>IFERROR(VLOOKUP(C2774,'GASB Match'!$D$2:$F$6042,3,FALSE),"")</f>
        <v>3408400</v>
      </c>
      <c r="B2774" s="17">
        <v>2022</v>
      </c>
      <c r="C2774" s="21" t="s">
        <v>1052</v>
      </c>
      <c r="D2774" s="17">
        <v>124</v>
      </c>
      <c r="E2774" s="17" t="e">
        <f>#REF!</f>
        <v>#REF!</v>
      </c>
      <c r="F2774" s="23">
        <v>11991193</v>
      </c>
    </row>
    <row r="2775" spans="1:6" ht="16" customHeight="1" x14ac:dyDescent="0.2">
      <c r="A2775">
        <f>IFERROR(VLOOKUP(C2775,'GASB Match'!$D$2:$F$6042,3,FALSE),"")</f>
        <v>3408400</v>
      </c>
      <c r="B2775" s="17">
        <v>2023</v>
      </c>
      <c r="C2775" s="21" t="s">
        <v>1052</v>
      </c>
      <c r="D2775" s="17">
        <v>124</v>
      </c>
      <c r="E2775" s="17" t="e">
        <f>#REF!</f>
        <v>#REF!</v>
      </c>
      <c r="F2775" s="23">
        <v>11973866</v>
      </c>
    </row>
    <row r="2776" spans="1:6" ht="16" customHeight="1" x14ac:dyDescent="0.2">
      <c r="A2776">
        <f>IFERROR(VLOOKUP(C2776,'GASB Match'!$D$2:$F$6042,3,FALSE),"")</f>
        <v>3408400</v>
      </c>
      <c r="B2776" s="28">
        <v>2017</v>
      </c>
      <c r="C2776" s="29" t="s">
        <v>361</v>
      </c>
      <c r="D2776" s="17">
        <v>124</v>
      </c>
      <c r="E2776" s="17" t="e">
        <f>#REF!</f>
        <v>#REF!</v>
      </c>
      <c r="F2776" s="29">
        <v>3050271</v>
      </c>
    </row>
    <row r="2777" spans="1:6" ht="16" customHeight="1" x14ac:dyDescent="0.2">
      <c r="A2777">
        <f>IFERROR(VLOOKUP(C2777,'GASB Match'!$D$2:$F$6042,3,FALSE),"")</f>
        <v>3400788</v>
      </c>
      <c r="B2777" s="17">
        <v>2021</v>
      </c>
      <c r="C2777" s="25" t="s">
        <v>1374</v>
      </c>
      <c r="D2777" s="17">
        <v>6112</v>
      </c>
      <c r="E2777" s="17" t="e">
        <f>#REF!</f>
        <v>#REF!</v>
      </c>
      <c r="F2777" s="23">
        <v>191654</v>
      </c>
    </row>
    <row r="2778" spans="1:6" ht="16" customHeight="1" x14ac:dyDescent="0.2">
      <c r="A2778">
        <f>IFERROR(VLOOKUP(C2778,'GASB Match'!$D$2:$F$6042,3,FALSE),"")</f>
        <v>3400788</v>
      </c>
      <c r="B2778" s="17">
        <v>2022</v>
      </c>
      <c r="C2778" s="21" t="s">
        <v>1374</v>
      </c>
      <c r="D2778" s="17">
        <v>6112</v>
      </c>
      <c r="E2778" s="17" t="e">
        <f>#REF!</f>
        <v>#REF!</v>
      </c>
      <c r="F2778" s="22">
        <v>249203</v>
      </c>
    </row>
    <row r="2779" spans="1:6" ht="16" customHeight="1" x14ac:dyDescent="0.2">
      <c r="A2779">
        <f>IFERROR(VLOOKUP(C2779,'GASB Match'!$D$2:$F$6042,3,FALSE),"")</f>
        <v>3400788</v>
      </c>
      <c r="B2779" s="17">
        <v>2023</v>
      </c>
      <c r="C2779" s="21" t="s">
        <v>1374</v>
      </c>
      <c r="D2779" s="17">
        <v>6112</v>
      </c>
      <c r="E2779" s="17" t="e">
        <f>#REF!</f>
        <v>#REF!</v>
      </c>
      <c r="F2779" s="23">
        <v>398408</v>
      </c>
    </row>
    <row r="2780" spans="1:6" ht="16" customHeight="1" x14ac:dyDescent="0.2">
      <c r="A2780">
        <f>IFERROR(VLOOKUP(C2780,'GASB Match'!$D$2:$F$6042,3,FALSE),"")</f>
        <v>3400078</v>
      </c>
      <c r="B2780" s="17">
        <v>2015</v>
      </c>
      <c r="C2780" s="17" t="s">
        <v>179</v>
      </c>
      <c r="D2780" s="17">
        <v>4001</v>
      </c>
      <c r="E2780" s="17" t="e">
        <f>#REF!</f>
        <v>#REF!</v>
      </c>
      <c r="F2780" s="20">
        <v>292806</v>
      </c>
    </row>
    <row r="2781" spans="1:6" ht="16" customHeight="1" x14ac:dyDescent="0.2">
      <c r="A2781">
        <f>IFERROR(VLOOKUP(C2781,'GASB Match'!$D$2:$F$6042,3,FALSE),"")</f>
        <v>3400078</v>
      </c>
      <c r="B2781" s="17">
        <v>2016</v>
      </c>
      <c r="C2781" s="17" t="s">
        <v>179</v>
      </c>
      <c r="D2781" s="17">
        <v>4001</v>
      </c>
      <c r="E2781" s="17" t="e">
        <f>#REF!</f>
        <v>#REF!</v>
      </c>
      <c r="F2781" s="20">
        <v>508754</v>
      </c>
    </row>
    <row r="2782" spans="1:6" ht="16" customHeight="1" x14ac:dyDescent="0.2">
      <c r="A2782">
        <f>IFERROR(VLOOKUP(C2782,'GASB Match'!$D$2:$F$6042,3,FALSE),"")</f>
        <v>3400078</v>
      </c>
      <c r="B2782" s="17">
        <v>2018</v>
      </c>
      <c r="C2782" s="17" t="s">
        <v>862</v>
      </c>
      <c r="D2782" s="17">
        <v>4001</v>
      </c>
      <c r="E2782" s="17" t="e">
        <f>#REF!</f>
        <v>#REF!</v>
      </c>
      <c r="F2782" s="20">
        <v>1105647</v>
      </c>
    </row>
    <row r="2783" spans="1:6" ht="16" customHeight="1" x14ac:dyDescent="0.2">
      <c r="A2783">
        <f>IFERROR(VLOOKUP(C2783,'GASB Match'!$D$2:$F$6042,3,FALSE),"")</f>
        <v>3400078</v>
      </c>
      <c r="B2783" s="17">
        <v>2019</v>
      </c>
      <c r="C2783" s="17" t="s">
        <v>862</v>
      </c>
      <c r="D2783" s="17">
        <v>4001</v>
      </c>
      <c r="E2783" s="17" t="e">
        <f>#REF!</f>
        <v>#REF!</v>
      </c>
      <c r="F2783" s="20">
        <v>1407024</v>
      </c>
    </row>
    <row r="2784" spans="1:6" ht="16" customHeight="1" x14ac:dyDescent="0.2">
      <c r="A2784">
        <f>IFERROR(VLOOKUP(C2784,'GASB Match'!$D$2:$F$6042,3,FALSE),"")</f>
        <v>3400078</v>
      </c>
      <c r="B2784" s="17">
        <v>2020</v>
      </c>
      <c r="C2784" s="21" t="s">
        <v>862</v>
      </c>
      <c r="D2784" s="17">
        <v>4001</v>
      </c>
      <c r="E2784" s="17" t="e">
        <f>#REF!</f>
        <v>#REF!</v>
      </c>
      <c r="F2784" s="22">
        <v>1580009</v>
      </c>
    </row>
    <row r="2785" spans="1:6" ht="16" customHeight="1" x14ac:dyDescent="0.2">
      <c r="A2785">
        <f>IFERROR(VLOOKUP(C2785,'GASB Match'!$D$2:$F$6042,3,FALSE),"")</f>
        <v>3400078</v>
      </c>
      <c r="B2785" s="17">
        <v>2021</v>
      </c>
      <c r="C2785" s="25" t="s">
        <v>862</v>
      </c>
      <c r="D2785" s="17">
        <v>4001</v>
      </c>
      <c r="E2785" s="17" t="e">
        <f>#REF!</f>
        <v>#REF!</v>
      </c>
      <c r="F2785" s="22">
        <v>1888017</v>
      </c>
    </row>
    <row r="2786" spans="1:6" ht="16" customHeight="1" x14ac:dyDescent="0.2">
      <c r="A2786">
        <f>IFERROR(VLOOKUP(C2786,'GASB Match'!$D$2:$F$6042,3,FALSE),"")</f>
        <v>3400078</v>
      </c>
      <c r="B2786" s="17">
        <v>2022</v>
      </c>
      <c r="C2786" s="21" t="s">
        <v>862</v>
      </c>
      <c r="D2786" s="17">
        <v>4001</v>
      </c>
      <c r="E2786" s="17" t="e">
        <f>#REF!</f>
        <v>#REF!</v>
      </c>
      <c r="F2786" s="23">
        <v>2928736</v>
      </c>
    </row>
    <row r="2787" spans="1:6" ht="16" customHeight="1" x14ac:dyDescent="0.2">
      <c r="A2787">
        <f>IFERROR(VLOOKUP(C2787,'GASB Match'!$D$2:$F$6042,3,FALSE),"")</f>
        <v>3400078</v>
      </c>
      <c r="B2787" s="17">
        <v>2023</v>
      </c>
      <c r="C2787" s="21" t="s">
        <v>862</v>
      </c>
      <c r="D2787" s="17">
        <v>4001</v>
      </c>
      <c r="E2787" s="17" t="e">
        <f>#REF!</f>
        <v>#REF!</v>
      </c>
      <c r="F2787" s="23">
        <v>2718087</v>
      </c>
    </row>
    <row r="2788" spans="1:6" ht="16" customHeight="1" x14ac:dyDescent="0.2">
      <c r="A2788">
        <f>IFERROR(VLOOKUP(C2788,'GASB Match'!$D$2:$F$6042,3,FALSE),"")</f>
        <v>3400078</v>
      </c>
      <c r="B2788" s="28">
        <v>2017</v>
      </c>
      <c r="C2788" s="29" t="s">
        <v>179</v>
      </c>
      <c r="D2788" s="17">
        <v>4001</v>
      </c>
      <c r="E2788" s="17" t="e">
        <f>#REF!</f>
        <v>#REF!</v>
      </c>
      <c r="F2788" s="29">
        <v>775248</v>
      </c>
    </row>
    <row r="2789" spans="1:6" ht="16" customHeight="1" x14ac:dyDescent="0.2">
      <c r="A2789">
        <f>IFERROR(VLOOKUP(C2789,'GASB Match'!$D$2:$F$6042,3,FALSE),"")</f>
        <v>3400035</v>
      </c>
      <c r="B2789" s="17">
        <v>2015</v>
      </c>
      <c r="C2789" s="17" t="s">
        <v>316</v>
      </c>
      <c r="D2789" s="17">
        <v>8086</v>
      </c>
      <c r="E2789" s="17" t="e">
        <f>#REF!</f>
        <v>#REF!</v>
      </c>
      <c r="F2789" s="20">
        <v>136414</v>
      </c>
    </row>
    <row r="2790" spans="1:6" ht="16" customHeight="1" x14ac:dyDescent="0.2">
      <c r="A2790">
        <f>IFERROR(VLOOKUP(C2790,'GASB Match'!$D$2:$F$6042,3,FALSE),"")</f>
        <v>3400035</v>
      </c>
      <c r="B2790" s="17">
        <v>2016</v>
      </c>
      <c r="C2790" s="17" t="s">
        <v>316</v>
      </c>
      <c r="D2790" s="17">
        <v>8086</v>
      </c>
      <c r="E2790" s="17" t="e">
        <f>#REF!</f>
        <v>#REF!</v>
      </c>
      <c r="F2790" s="20">
        <v>193694</v>
      </c>
    </row>
    <row r="2791" spans="1:6" ht="16" customHeight="1" x14ac:dyDescent="0.2">
      <c r="A2791">
        <f>IFERROR(VLOOKUP(C2791,'GASB Match'!$D$2:$F$6042,3,FALSE),"")</f>
        <v>3400035</v>
      </c>
      <c r="B2791" s="17">
        <v>2018</v>
      </c>
      <c r="C2791" s="17" t="s">
        <v>1009</v>
      </c>
      <c r="D2791" s="17">
        <v>8086</v>
      </c>
      <c r="E2791" s="17" t="e">
        <f>#REF!</f>
        <v>#REF!</v>
      </c>
      <c r="F2791" s="20">
        <v>385540</v>
      </c>
    </row>
    <row r="2792" spans="1:6" ht="16" customHeight="1" x14ac:dyDescent="0.2">
      <c r="A2792">
        <f>IFERROR(VLOOKUP(C2792,'GASB Match'!$D$2:$F$6042,3,FALSE),"")</f>
        <v>3400035</v>
      </c>
      <c r="B2792" s="17">
        <v>2019</v>
      </c>
      <c r="C2792" s="17" t="s">
        <v>1009</v>
      </c>
      <c r="D2792" s="17">
        <v>8086</v>
      </c>
      <c r="E2792" s="17" t="e">
        <f>#REF!</f>
        <v>#REF!</v>
      </c>
      <c r="F2792" s="20">
        <v>499665</v>
      </c>
    </row>
    <row r="2793" spans="1:6" ht="16" customHeight="1" x14ac:dyDescent="0.2">
      <c r="A2793">
        <f>IFERROR(VLOOKUP(C2793,'GASB Match'!$D$2:$F$6042,3,FALSE),"")</f>
        <v>3400035</v>
      </c>
      <c r="B2793" s="17">
        <v>2020</v>
      </c>
      <c r="C2793" s="21" t="s">
        <v>1009</v>
      </c>
      <c r="D2793" s="17">
        <v>8086</v>
      </c>
      <c r="E2793" s="17" t="e">
        <f>#REF!</f>
        <v>#REF!</v>
      </c>
      <c r="F2793" s="23">
        <v>575560</v>
      </c>
    </row>
    <row r="2794" spans="1:6" ht="16" customHeight="1" x14ac:dyDescent="0.2">
      <c r="A2794">
        <f>IFERROR(VLOOKUP(C2794,'GASB Match'!$D$2:$F$6042,3,FALSE),"")</f>
        <v>3400035</v>
      </c>
      <c r="B2794" s="17">
        <v>2021</v>
      </c>
      <c r="C2794" s="25" t="s">
        <v>1009</v>
      </c>
      <c r="D2794" s="17">
        <v>8086</v>
      </c>
      <c r="E2794" s="17" t="e">
        <f>#REF!</f>
        <v>#REF!</v>
      </c>
      <c r="F2794" s="23">
        <v>683131</v>
      </c>
    </row>
    <row r="2795" spans="1:6" ht="16" customHeight="1" x14ac:dyDescent="0.2">
      <c r="A2795">
        <f>IFERROR(VLOOKUP(C2795,'GASB Match'!$D$2:$F$6042,3,FALSE),"")</f>
        <v>3400035</v>
      </c>
      <c r="B2795" s="17">
        <v>2022</v>
      </c>
      <c r="C2795" s="21" t="s">
        <v>1009</v>
      </c>
      <c r="D2795" s="17">
        <v>8086</v>
      </c>
      <c r="E2795" s="17" t="e">
        <f>#REF!</f>
        <v>#REF!</v>
      </c>
      <c r="F2795" s="23">
        <v>1051431</v>
      </c>
    </row>
    <row r="2796" spans="1:6" ht="16" customHeight="1" x14ac:dyDescent="0.2">
      <c r="A2796">
        <f>IFERROR(VLOOKUP(C2796,'GASB Match'!$D$2:$F$6042,3,FALSE),"")</f>
        <v>3400035</v>
      </c>
      <c r="B2796" s="17">
        <v>2023</v>
      </c>
      <c r="C2796" s="21" t="s">
        <v>1009</v>
      </c>
      <c r="D2796" s="17">
        <v>8086</v>
      </c>
      <c r="E2796" s="17" t="e">
        <f>#REF!</f>
        <v>#REF!</v>
      </c>
      <c r="F2796" s="23">
        <v>1081261</v>
      </c>
    </row>
    <row r="2797" spans="1:6" ht="16" customHeight="1" x14ac:dyDescent="0.2">
      <c r="A2797">
        <f>IFERROR(VLOOKUP(C2797,'GASB Match'!$D$2:$F$6042,3,FALSE),"")</f>
        <v>3400035</v>
      </c>
      <c r="B2797" s="28">
        <v>2017</v>
      </c>
      <c r="C2797" s="29" t="s">
        <v>316</v>
      </c>
      <c r="D2797" s="17">
        <v>8086</v>
      </c>
      <c r="E2797" s="17" t="e">
        <f>#REF!</f>
        <v>#REF!</v>
      </c>
      <c r="F2797" s="29">
        <v>288930</v>
      </c>
    </row>
    <row r="2798" spans="1:6" ht="16" customHeight="1" x14ac:dyDescent="0.2">
      <c r="A2798">
        <f>IFERROR(VLOOKUP(C2798,'GASB Match'!$D$2:$F$6042,3,FALSE),"")</f>
        <v>3408430</v>
      </c>
      <c r="B2798" s="17">
        <v>2015</v>
      </c>
      <c r="C2798" s="17" t="s">
        <v>345</v>
      </c>
      <c r="D2798" s="17">
        <v>9028</v>
      </c>
      <c r="E2798" s="17" t="e">
        <f>#REF!</f>
        <v>#REF!</v>
      </c>
      <c r="F2798" s="20">
        <v>43583</v>
      </c>
    </row>
    <row r="2799" spans="1:6" ht="16" customHeight="1" x14ac:dyDescent="0.2">
      <c r="A2799">
        <f>IFERROR(VLOOKUP(C2799,'GASB Match'!$D$2:$F$6042,3,FALSE),"")</f>
        <v>3408430</v>
      </c>
      <c r="B2799" s="17">
        <v>2016</v>
      </c>
      <c r="C2799" s="17" t="s">
        <v>345</v>
      </c>
      <c r="D2799" s="17">
        <v>9028</v>
      </c>
      <c r="E2799" s="17" t="e">
        <f>#REF!</f>
        <v>#REF!</v>
      </c>
      <c r="F2799" s="20">
        <v>62734</v>
      </c>
    </row>
    <row r="2800" spans="1:6" ht="16" customHeight="1" x14ac:dyDescent="0.2">
      <c r="A2800">
        <f>IFERROR(VLOOKUP(C2800,'GASB Match'!$D$2:$F$6042,3,FALSE),"")</f>
        <v>3408430</v>
      </c>
      <c r="B2800" s="17">
        <v>2018</v>
      </c>
      <c r="C2800" s="17" t="s">
        <v>1037</v>
      </c>
      <c r="D2800" s="17">
        <v>9028</v>
      </c>
      <c r="E2800" s="17" t="e">
        <f>#REF!</f>
        <v>#REF!</v>
      </c>
      <c r="F2800" s="20">
        <v>156594</v>
      </c>
    </row>
    <row r="2801" spans="1:6" ht="16" customHeight="1" x14ac:dyDescent="0.2">
      <c r="A2801">
        <f>IFERROR(VLOOKUP(C2801,'GASB Match'!$D$2:$F$6042,3,FALSE),"")</f>
        <v>3408430</v>
      </c>
      <c r="B2801" s="17">
        <v>2019</v>
      </c>
      <c r="C2801" s="17" t="s">
        <v>1037</v>
      </c>
      <c r="D2801" s="17">
        <v>9028</v>
      </c>
      <c r="E2801" s="17" t="e">
        <f>#REF!</f>
        <v>#REF!</v>
      </c>
      <c r="F2801" s="20">
        <v>175531</v>
      </c>
    </row>
    <row r="2802" spans="1:6" ht="16" customHeight="1" x14ac:dyDescent="0.2">
      <c r="A2802">
        <f>IFERROR(VLOOKUP(C2802,'GASB Match'!$D$2:$F$6042,3,FALSE),"")</f>
        <v>3408430</v>
      </c>
      <c r="B2802" s="17">
        <v>2020</v>
      </c>
      <c r="C2802" s="21" t="s">
        <v>1037</v>
      </c>
      <c r="D2802" s="17">
        <v>9028</v>
      </c>
      <c r="E2802" s="17" t="e">
        <f>#REF!</f>
        <v>#REF!</v>
      </c>
      <c r="F2802" s="23">
        <v>235505</v>
      </c>
    </row>
    <row r="2803" spans="1:6" ht="16" customHeight="1" x14ac:dyDescent="0.2">
      <c r="A2803">
        <f>IFERROR(VLOOKUP(C2803,'GASB Match'!$D$2:$F$6042,3,FALSE),"")</f>
        <v>3408430</v>
      </c>
      <c r="B2803" s="17">
        <v>2021</v>
      </c>
      <c r="C2803" s="25" t="s">
        <v>1037</v>
      </c>
      <c r="D2803" s="17">
        <v>9028</v>
      </c>
      <c r="E2803" s="17" t="e">
        <f>#REF!</f>
        <v>#REF!</v>
      </c>
      <c r="F2803" s="23">
        <v>311839</v>
      </c>
    </row>
    <row r="2804" spans="1:6" ht="16" customHeight="1" x14ac:dyDescent="0.2">
      <c r="A2804">
        <f>IFERROR(VLOOKUP(C2804,'GASB Match'!$D$2:$F$6042,3,FALSE),"")</f>
        <v>3408430</v>
      </c>
      <c r="B2804" s="17">
        <v>2022</v>
      </c>
      <c r="C2804" s="21" t="s">
        <v>1037</v>
      </c>
      <c r="D2804" s="17">
        <v>9028</v>
      </c>
      <c r="E2804" s="17" t="e">
        <f>#REF!</f>
        <v>#REF!</v>
      </c>
      <c r="F2804" s="23">
        <v>402876</v>
      </c>
    </row>
    <row r="2805" spans="1:6" ht="16" customHeight="1" x14ac:dyDescent="0.2">
      <c r="A2805">
        <f>IFERROR(VLOOKUP(C2805,'GASB Match'!$D$2:$F$6042,3,FALSE),"")</f>
        <v>3408430</v>
      </c>
      <c r="B2805" s="17">
        <v>2023</v>
      </c>
      <c r="C2805" s="21" t="s">
        <v>1037</v>
      </c>
      <c r="D2805" s="17">
        <v>9028</v>
      </c>
      <c r="E2805" s="17" t="e">
        <f>#REF!</f>
        <v>#REF!</v>
      </c>
      <c r="F2805" s="23">
        <v>412969</v>
      </c>
    </row>
    <row r="2806" spans="1:6" ht="16" customHeight="1" x14ac:dyDescent="0.2">
      <c r="A2806">
        <f>IFERROR(VLOOKUP(C2806,'GASB Match'!$D$2:$F$6042,3,FALSE),"")</f>
        <v>3408430</v>
      </c>
      <c r="B2806" s="28">
        <v>2017</v>
      </c>
      <c r="C2806" s="29" t="s">
        <v>345</v>
      </c>
      <c r="D2806" s="17">
        <v>9028</v>
      </c>
      <c r="E2806" s="17" t="e">
        <f>#REF!</f>
        <v>#REF!</v>
      </c>
      <c r="F2806" s="29">
        <v>98597</v>
      </c>
    </row>
    <row r="2807" spans="1:6" ht="16" customHeight="1" x14ac:dyDescent="0.2">
      <c r="A2807">
        <f>IFERROR(VLOOKUP(C2807,'GASB Match'!$D$2:$F$6042,3,FALSE),"")</f>
        <v>3408460</v>
      </c>
      <c r="B2807" s="17">
        <v>2015</v>
      </c>
      <c r="C2807" s="17" t="s">
        <v>346</v>
      </c>
      <c r="D2807" s="17">
        <v>9029</v>
      </c>
      <c r="E2807" s="17" t="e">
        <f>#REF!</f>
        <v>#REF!</v>
      </c>
      <c r="F2807" s="20">
        <v>287698</v>
      </c>
    </row>
    <row r="2808" spans="1:6" ht="16" customHeight="1" x14ac:dyDescent="0.2">
      <c r="A2808">
        <f>IFERROR(VLOOKUP(C2808,'GASB Match'!$D$2:$F$6042,3,FALSE),"")</f>
        <v>3408460</v>
      </c>
      <c r="B2808" s="17">
        <v>2016</v>
      </c>
      <c r="C2808" s="17" t="s">
        <v>346</v>
      </c>
      <c r="D2808" s="17">
        <v>9029</v>
      </c>
      <c r="E2808" s="17" t="e">
        <f>#REF!</f>
        <v>#REF!</v>
      </c>
      <c r="F2808" s="20">
        <v>430084</v>
      </c>
    </row>
    <row r="2809" spans="1:6" ht="16" customHeight="1" x14ac:dyDescent="0.2">
      <c r="A2809">
        <f>IFERROR(VLOOKUP(C2809,'GASB Match'!$D$2:$F$6042,3,FALSE),"")</f>
        <v>3408460</v>
      </c>
      <c r="B2809" s="17">
        <v>2018</v>
      </c>
      <c r="C2809" s="17" t="s">
        <v>1038</v>
      </c>
      <c r="D2809" s="17">
        <v>9029</v>
      </c>
      <c r="E2809" s="17" t="e">
        <f>#REF!</f>
        <v>#REF!</v>
      </c>
      <c r="F2809" s="20">
        <v>748926</v>
      </c>
    </row>
    <row r="2810" spans="1:6" ht="16" customHeight="1" x14ac:dyDescent="0.2">
      <c r="A2810">
        <f>IFERROR(VLOOKUP(C2810,'GASB Match'!$D$2:$F$6042,3,FALSE),"")</f>
        <v>3408460</v>
      </c>
      <c r="B2810" s="17">
        <v>2019</v>
      </c>
      <c r="C2810" s="17" t="s">
        <v>1038</v>
      </c>
      <c r="D2810" s="17">
        <v>9029</v>
      </c>
      <c r="E2810" s="17" t="e">
        <f>#REF!</f>
        <v>#REF!</v>
      </c>
      <c r="F2810" s="20">
        <v>1027535</v>
      </c>
    </row>
    <row r="2811" spans="1:6" ht="16" customHeight="1" x14ac:dyDescent="0.2">
      <c r="A2811">
        <f>IFERROR(VLOOKUP(C2811,'GASB Match'!$D$2:$F$6042,3,FALSE),"")</f>
        <v>3408460</v>
      </c>
      <c r="B2811" s="17">
        <v>2020</v>
      </c>
      <c r="C2811" s="21" t="s">
        <v>1038</v>
      </c>
      <c r="D2811" s="17">
        <v>9029</v>
      </c>
      <c r="E2811" s="17" t="e">
        <f>#REF!</f>
        <v>#REF!</v>
      </c>
      <c r="F2811" s="23">
        <v>1164096</v>
      </c>
    </row>
    <row r="2812" spans="1:6" ht="16" customHeight="1" x14ac:dyDescent="0.2">
      <c r="A2812">
        <f>IFERROR(VLOOKUP(C2812,'GASB Match'!$D$2:$F$6042,3,FALSE),"")</f>
        <v>3408460</v>
      </c>
      <c r="B2812" s="17">
        <v>2021</v>
      </c>
      <c r="C2812" s="25" t="s">
        <v>1038</v>
      </c>
      <c r="D2812" s="17">
        <v>9029</v>
      </c>
      <c r="E2812" s="17" t="e">
        <f>#REF!</f>
        <v>#REF!</v>
      </c>
      <c r="F2812" s="23">
        <v>1477095</v>
      </c>
    </row>
    <row r="2813" spans="1:6" ht="16" customHeight="1" x14ac:dyDescent="0.2">
      <c r="A2813">
        <f>IFERROR(VLOOKUP(C2813,'GASB Match'!$D$2:$F$6042,3,FALSE),"")</f>
        <v>3408460</v>
      </c>
      <c r="B2813" s="17">
        <v>2022</v>
      </c>
      <c r="C2813" s="21" t="s">
        <v>1038</v>
      </c>
      <c r="D2813" s="17">
        <v>9029</v>
      </c>
      <c r="E2813" s="17" t="e">
        <f>#REF!</f>
        <v>#REF!</v>
      </c>
      <c r="F2813" s="23">
        <v>2169099</v>
      </c>
    </row>
    <row r="2814" spans="1:6" ht="16" customHeight="1" x14ac:dyDescent="0.2">
      <c r="A2814">
        <f>IFERROR(VLOOKUP(C2814,'GASB Match'!$D$2:$F$6042,3,FALSE),"")</f>
        <v>3408460</v>
      </c>
      <c r="B2814" s="17">
        <v>2023</v>
      </c>
      <c r="C2814" s="21" t="s">
        <v>1038</v>
      </c>
      <c r="D2814" s="17">
        <v>9029</v>
      </c>
      <c r="E2814" s="17" t="e">
        <f>#REF!</f>
        <v>#REF!</v>
      </c>
      <c r="F2814" s="23">
        <v>2097152</v>
      </c>
    </row>
    <row r="2815" spans="1:6" ht="16" customHeight="1" x14ac:dyDescent="0.2">
      <c r="A2815">
        <f>IFERROR(VLOOKUP(C2815,'GASB Match'!$D$2:$F$6042,3,FALSE),"")</f>
        <v>3408460</v>
      </c>
      <c r="B2815" s="28">
        <v>2017</v>
      </c>
      <c r="C2815" s="29" t="s">
        <v>346</v>
      </c>
      <c r="D2815" s="17">
        <v>9029</v>
      </c>
      <c r="E2815" s="17" t="e">
        <f>#REF!</f>
        <v>#REF!</v>
      </c>
      <c r="F2815" s="29">
        <v>607907</v>
      </c>
    </row>
    <row r="2816" spans="1:6" ht="16" customHeight="1" x14ac:dyDescent="0.2">
      <c r="A2816">
        <f>IFERROR(VLOOKUP(C2816,'GASB Match'!$D$2:$F$6042,3,FALSE),"")</f>
        <v>3408490</v>
      </c>
      <c r="B2816" s="17">
        <v>2015</v>
      </c>
      <c r="C2816" s="17" t="s">
        <v>122</v>
      </c>
      <c r="D2816" s="17">
        <v>3005</v>
      </c>
      <c r="E2816" s="17" t="e">
        <f>#REF!</f>
        <v>#REF!</v>
      </c>
      <c r="F2816" s="20">
        <v>3053102</v>
      </c>
    </row>
    <row r="2817" spans="1:6" ht="16" customHeight="1" x14ac:dyDescent="0.2">
      <c r="A2817">
        <f>IFERROR(VLOOKUP(C2817,'GASB Match'!$D$2:$F$6042,3,FALSE),"")</f>
        <v>3408490</v>
      </c>
      <c r="B2817" s="17">
        <v>2016</v>
      </c>
      <c r="C2817" s="17" t="s">
        <v>122</v>
      </c>
      <c r="D2817" s="17">
        <v>3005</v>
      </c>
      <c r="E2817" s="17" t="e">
        <f>#REF!</f>
        <v>#REF!</v>
      </c>
      <c r="F2817" s="20">
        <v>4527035</v>
      </c>
    </row>
    <row r="2818" spans="1:6" ht="16" customHeight="1" x14ac:dyDescent="0.2">
      <c r="A2818">
        <f>IFERROR(VLOOKUP(C2818,'GASB Match'!$D$2:$F$6042,3,FALSE),"")</f>
        <v>3408490</v>
      </c>
      <c r="B2818" s="17">
        <v>2018</v>
      </c>
      <c r="C2818" s="17" t="s">
        <v>803</v>
      </c>
      <c r="D2818" s="17">
        <v>3005</v>
      </c>
      <c r="E2818" s="17" t="e">
        <f>#REF!</f>
        <v>#REF!</v>
      </c>
      <c r="F2818" s="20">
        <v>8595934</v>
      </c>
    </row>
    <row r="2819" spans="1:6" ht="16" customHeight="1" x14ac:dyDescent="0.2">
      <c r="A2819">
        <f>IFERROR(VLOOKUP(C2819,'GASB Match'!$D$2:$F$6042,3,FALSE),"")</f>
        <v>3408490</v>
      </c>
      <c r="B2819" s="17">
        <v>2019</v>
      </c>
      <c r="C2819" s="17" t="s">
        <v>803</v>
      </c>
      <c r="D2819" s="17">
        <v>3005</v>
      </c>
      <c r="E2819" s="17" t="e">
        <f>#REF!</f>
        <v>#REF!</v>
      </c>
      <c r="F2819" s="20">
        <v>11449327</v>
      </c>
    </row>
    <row r="2820" spans="1:6" ht="16" customHeight="1" x14ac:dyDescent="0.2">
      <c r="A2820">
        <f>IFERROR(VLOOKUP(C2820,'GASB Match'!$D$2:$F$6042,3,FALSE),"")</f>
        <v>3408490</v>
      </c>
      <c r="B2820" s="17">
        <v>2020</v>
      </c>
      <c r="C2820" s="21" t="s">
        <v>803</v>
      </c>
      <c r="D2820" s="17">
        <v>3005</v>
      </c>
      <c r="E2820" s="17" t="e">
        <f>#REF!</f>
        <v>#REF!</v>
      </c>
      <c r="F2820" s="23">
        <v>12975064</v>
      </c>
    </row>
    <row r="2821" spans="1:6" ht="16" customHeight="1" x14ac:dyDescent="0.2">
      <c r="A2821">
        <f>IFERROR(VLOOKUP(C2821,'GASB Match'!$D$2:$F$6042,3,FALSE),"")</f>
        <v>3408490</v>
      </c>
      <c r="B2821" s="17">
        <v>2021</v>
      </c>
      <c r="C2821" s="25" t="s">
        <v>803</v>
      </c>
      <c r="D2821" s="17">
        <v>3005</v>
      </c>
      <c r="E2821" s="17" t="e">
        <f>#REF!</f>
        <v>#REF!</v>
      </c>
      <c r="F2821" s="23">
        <v>16903957</v>
      </c>
    </row>
    <row r="2822" spans="1:6" ht="16" customHeight="1" x14ac:dyDescent="0.2">
      <c r="A2822">
        <f>IFERROR(VLOOKUP(C2822,'GASB Match'!$D$2:$F$6042,3,FALSE),"")</f>
        <v>3408490</v>
      </c>
      <c r="B2822" s="17">
        <v>2022</v>
      </c>
      <c r="C2822" s="21" t="s">
        <v>803</v>
      </c>
      <c r="D2822" s="17">
        <v>3005</v>
      </c>
      <c r="E2822" s="17" t="e">
        <f>#REF!</f>
        <v>#REF!</v>
      </c>
      <c r="F2822" s="23">
        <v>23884122</v>
      </c>
    </row>
    <row r="2823" spans="1:6" ht="16" customHeight="1" x14ac:dyDescent="0.2">
      <c r="A2823">
        <f>IFERROR(VLOOKUP(C2823,'GASB Match'!$D$2:$F$6042,3,FALSE),"")</f>
        <v>3408490</v>
      </c>
      <c r="B2823" s="17">
        <v>2023</v>
      </c>
      <c r="C2823" s="21" t="s">
        <v>803</v>
      </c>
      <c r="D2823" s="17">
        <v>3005</v>
      </c>
      <c r="E2823" s="17" t="e">
        <f>#REF!</f>
        <v>#REF!</v>
      </c>
      <c r="F2823" s="23">
        <v>23522550</v>
      </c>
    </row>
    <row r="2824" spans="1:6" ht="16" customHeight="1" x14ac:dyDescent="0.2">
      <c r="A2824">
        <f>IFERROR(VLOOKUP(C2824,'GASB Match'!$D$2:$F$6042,3,FALSE),"")</f>
        <v>3408490</v>
      </c>
      <c r="B2824" s="28">
        <v>2017</v>
      </c>
      <c r="C2824" s="29" t="s">
        <v>122</v>
      </c>
      <c r="D2824" s="17">
        <v>3005</v>
      </c>
      <c r="E2824" s="17" t="e">
        <f>#REF!</f>
        <v>#REF!</v>
      </c>
      <c r="F2824" s="29">
        <v>6353537</v>
      </c>
    </row>
    <row r="2825" spans="1:6" ht="16" customHeight="1" x14ac:dyDescent="0.2">
      <c r="A2825">
        <f>IFERROR(VLOOKUP(C2825,'GASB Match'!$D$2:$F$6042,3,FALSE),"")</f>
        <v>3408500</v>
      </c>
      <c r="B2825" s="17">
        <v>2015</v>
      </c>
      <c r="C2825" s="17" t="s">
        <v>596</v>
      </c>
      <c r="D2825" s="17">
        <v>790</v>
      </c>
      <c r="E2825" s="17" t="e">
        <f>#REF!</f>
        <v>#REF!</v>
      </c>
      <c r="F2825" s="20">
        <v>336996</v>
      </c>
    </row>
    <row r="2826" spans="1:6" ht="16" customHeight="1" x14ac:dyDescent="0.2">
      <c r="A2826">
        <f>IFERROR(VLOOKUP(C2826,'GASB Match'!$D$2:$F$6042,3,FALSE),"")</f>
        <v>3408500</v>
      </c>
      <c r="B2826" s="17">
        <v>2016</v>
      </c>
      <c r="C2826" s="17" t="s">
        <v>596</v>
      </c>
      <c r="D2826" s="17">
        <v>790</v>
      </c>
      <c r="E2826" s="17" t="e">
        <f>#REF!</f>
        <v>#REF!</v>
      </c>
      <c r="F2826" s="20">
        <v>482932</v>
      </c>
    </row>
    <row r="2827" spans="1:6" ht="16" customHeight="1" x14ac:dyDescent="0.2">
      <c r="A2827">
        <f>IFERROR(VLOOKUP(C2827,'GASB Match'!$D$2:$F$6042,3,FALSE),"")</f>
        <v>3408500</v>
      </c>
      <c r="B2827" s="17">
        <v>2018</v>
      </c>
      <c r="C2827" s="17" t="s">
        <v>1289</v>
      </c>
      <c r="D2827" s="17">
        <v>790</v>
      </c>
      <c r="E2827" s="17" t="e">
        <f>#REF!</f>
        <v>#REF!</v>
      </c>
      <c r="F2827" s="20">
        <v>899217</v>
      </c>
    </row>
    <row r="2828" spans="1:6" ht="16" customHeight="1" x14ac:dyDescent="0.2">
      <c r="A2828">
        <f>IFERROR(VLOOKUP(C2828,'GASB Match'!$D$2:$F$6042,3,FALSE),"")</f>
        <v>3408500</v>
      </c>
      <c r="B2828" s="17">
        <v>2019</v>
      </c>
      <c r="C2828" s="17" t="s">
        <v>1289</v>
      </c>
      <c r="D2828" s="17">
        <v>790</v>
      </c>
      <c r="E2828" s="17" t="e">
        <f>#REF!</f>
        <v>#REF!</v>
      </c>
      <c r="F2828" s="20">
        <v>1224727</v>
      </c>
    </row>
    <row r="2829" spans="1:6" ht="16" customHeight="1" x14ac:dyDescent="0.2">
      <c r="A2829">
        <f>IFERROR(VLOOKUP(C2829,'GASB Match'!$D$2:$F$6042,3,FALSE),"")</f>
        <v>3408500</v>
      </c>
      <c r="B2829" s="17">
        <v>2020</v>
      </c>
      <c r="C2829" s="21" t="s">
        <v>1289</v>
      </c>
      <c r="D2829" s="17">
        <v>790</v>
      </c>
      <c r="E2829" s="17" t="e">
        <f>#REF!</f>
        <v>#REF!</v>
      </c>
      <c r="F2829" s="22">
        <v>1324947</v>
      </c>
    </row>
    <row r="2830" spans="1:6" ht="16" customHeight="1" x14ac:dyDescent="0.2">
      <c r="A2830">
        <f>IFERROR(VLOOKUP(C2830,'GASB Match'!$D$2:$F$6042,3,FALSE),"")</f>
        <v>3408500</v>
      </c>
      <c r="B2830" s="17">
        <v>2021</v>
      </c>
      <c r="C2830" s="25" t="s">
        <v>1289</v>
      </c>
      <c r="D2830" s="17">
        <v>790</v>
      </c>
      <c r="E2830" s="17" t="e">
        <f>#REF!</f>
        <v>#REF!</v>
      </c>
      <c r="F2830" s="23">
        <v>1743700</v>
      </c>
    </row>
    <row r="2831" spans="1:6" ht="16" customHeight="1" x14ac:dyDescent="0.2">
      <c r="A2831">
        <f>IFERROR(VLOOKUP(C2831,'GASB Match'!$D$2:$F$6042,3,FALSE),"")</f>
        <v>3408500</v>
      </c>
      <c r="B2831" s="17">
        <v>2022</v>
      </c>
      <c r="C2831" s="21" t="s">
        <v>1289</v>
      </c>
      <c r="D2831" s="17">
        <v>790</v>
      </c>
      <c r="E2831" s="17" t="e">
        <f>#REF!</f>
        <v>#REF!</v>
      </c>
      <c r="F2831" s="23">
        <v>2340356</v>
      </c>
    </row>
    <row r="2832" spans="1:6" ht="16" customHeight="1" x14ac:dyDescent="0.2">
      <c r="A2832">
        <f>IFERROR(VLOOKUP(C2832,'GASB Match'!$D$2:$F$6042,3,FALSE),"")</f>
        <v>3408500</v>
      </c>
      <c r="B2832" s="17">
        <v>2023</v>
      </c>
      <c r="C2832" s="21" t="s">
        <v>1289</v>
      </c>
      <c r="D2832" s="17">
        <v>790</v>
      </c>
      <c r="E2832" s="17" t="e">
        <f>#REF!</f>
        <v>#REF!</v>
      </c>
      <c r="F2832" s="23">
        <v>2320617</v>
      </c>
    </row>
    <row r="2833" spans="1:6" ht="16" customHeight="1" x14ac:dyDescent="0.2">
      <c r="A2833">
        <f>IFERROR(VLOOKUP(C2833,'GASB Match'!$D$2:$F$6042,3,FALSE),"")</f>
        <v>3408500</v>
      </c>
      <c r="B2833" s="28">
        <v>2017</v>
      </c>
      <c r="C2833" s="29" t="s">
        <v>596</v>
      </c>
      <c r="D2833" s="17">
        <v>790</v>
      </c>
      <c r="E2833" s="17" t="e">
        <f>#REF!</f>
        <v>#REF!</v>
      </c>
      <c r="F2833" s="29">
        <v>669291</v>
      </c>
    </row>
    <row r="2834" spans="1:6" ht="16" customHeight="1" x14ac:dyDescent="0.2">
      <c r="A2834">
        <f>IFERROR(VLOOKUP(C2834,'GASB Match'!$D$2:$F$6042,3,FALSE),"")</f>
        <v>3408520</v>
      </c>
      <c r="B2834" s="17">
        <v>2015</v>
      </c>
      <c r="C2834" s="17" t="s">
        <v>60</v>
      </c>
      <c r="D2834" s="17">
        <v>2051</v>
      </c>
      <c r="E2834" s="17" t="e">
        <f>#REF!</f>
        <v>#REF!</v>
      </c>
      <c r="F2834" s="20">
        <v>739555</v>
      </c>
    </row>
    <row r="2835" spans="1:6" ht="16" customHeight="1" x14ac:dyDescent="0.2">
      <c r="A2835">
        <f>IFERROR(VLOOKUP(C2835,'GASB Match'!$D$2:$F$6042,3,FALSE),"")</f>
        <v>3408520</v>
      </c>
      <c r="B2835" s="17">
        <v>2016</v>
      </c>
      <c r="C2835" s="17" t="s">
        <v>60</v>
      </c>
      <c r="D2835" s="17">
        <v>2051</v>
      </c>
      <c r="E2835" s="17" t="e">
        <f>#REF!</f>
        <v>#REF!</v>
      </c>
      <c r="F2835" s="20">
        <v>1065314</v>
      </c>
    </row>
    <row r="2836" spans="1:6" ht="16" customHeight="1" x14ac:dyDescent="0.2">
      <c r="A2836">
        <f>IFERROR(VLOOKUP(C2836,'GASB Match'!$D$2:$F$6042,3,FALSE),"")</f>
        <v>3408520</v>
      </c>
      <c r="B2836" s="17">
        <v>2018</v>
      </c>
      <c r="C2836" s="17" t="s">
        <v>738</v>
      </c>
      <c r="D2836" s="17">
        <v>2051</v>
      </c>
      <c r="E2836" s="17" t="e">
        <f>#REF!</f>
        <v>#REF!</v>
      </c>
      <c r="F2836" s="20">
        <v>2067240</v>
      </c>
    </row>
    <row r="2837" spans="1:6" ht="16" customHeight="1" x14ac:dyDescent="0.2">
      <c r="A2837">
        <f>IFERROR(VLOOKUP(C2837,'GASB Match'!$D$2:$F$6042,3,FALSE),"")</f>
        <v>3408520</v>
      </c>
      <c r="B2837" s="17">
        <v>2019</v>
      </c>
      <c r="C2837" s="17" t="s">
        <v>738</v>
      </c>
      <c r="D2837" s="17">
        <v>2051</v>
      </c>
      <c r="E2837" s="17" t="e">
        <f>#REF!</f>
        <v>#REF!</v>
      </c>
      <c r="F2837" s="20">
        <v>2777892</v>
      </c>
    </row>
    <row r="2838" spans="1:6" ht="16" customHeight="1" x14ac:dyDescent="0.2">
      <c r="A2838">
        <f>IFERROR(VLOOKUP(C2838,'GASB Match'!$D$2:$F$6042,3,FALSE),"")</f>
        <v>3408520</v>
      </c>
      <c r="B2838" s="17">
        <v>2020</v>
      </c>
      <c r="C2838" s="21" t="s">
        <v>738</v>
      </c>
      <c r="D2838" s="17">
        <v>2051</v>
      </c>
      <c r="E2838" s="17" t="e">
        <f>#REF!</f>
        <v>#REF!</v>
      </c>
      <c r="F2838" s="23">
        <v>3139919</v>
      </c>
    </row>
    <row r="2839" spans="1:6" ht="16" customHeight="1" x14ac:dyDescent="0.2">
      <c r="A2839">
        <f>IFERROR(VLOOKUP(C2839,'GASB Match'!$D$2:$F$6042,3,FALSE),"")</f>
        <v>3408520</v>
      </c>
      <c r="B2839" s="17">
        <v>2021</v>
      </c>
      <c r="C2839" s="25" t="s">
        <v>738</v>
      </c>
      <c r="D2839" s="17">
        <v>2051</v>
      </c>
      <c r="E2839" s="17" t="e">
        <f>#REF!</f>
        <v>#REF!</v>
      </c>
      <c r="F2839" s="23">
        <v>4088034</v>
      </c>
    </row>
    <row r="2840" spans="1:6" ht="16" customHeight="1" x14ac:dyDescent="0.2">
      <c r="A2840">
        <f>IFERROR(VLOOKUP(C2840,'GASB Match'!$D$2:$F$6042,3,FALSE),"")</f>
        <v>3408520</v>
      </c>
      <c r="B2840" s="17">
        <v>2022</v>
      </c>
      <c r="C2840" s="21" t="s">
        <v>738</v>
      </c>
      <c r="D2840" s="17">
        <v>2051</v>
      </c>
      <c r="E2840" s="17" t="e">
        <f>#REF!</f>
        <v>#REF!</v>
      </c>
      <c r="F2840" s="23">
        <v>5907109</v>
      </c>
    </row>
    <row r="2841" spans="1:6" ht="16" customHeight="1" x14ac:dyDescent="0.2">
      <c r="A2841">
        <f>IFERROR(VLOOKUP(C2841,'GASB Match'!$D$2:$F$6042,3,FALSE),"")</f>
        <v>3408520</v>
      </c>
      <c r="B2841" s="17">
        <v>2023</v>
      </c>
      <c r="C2841" s="21" t="s">
        <v>738</v>
      </c>
      <c r="D2841" s="17">
        <v>2051</v>
      </c>
      <c r="E2841" s="17" t="e">
        <f>#REF!</f>
        <v>#REF!</v>
      </c>
      <c r="F2841" s="23">
        <v>5761719</v>
      </c>
    </row>
    <row r="2842" spans="1:6" ht="16" customHeight="1" x14ac:dyDescent="0.2">
      <c r="A2842">
        <f>IFERROR(VLOOKUP(C2842,'GASB Match'!$D$2:$F$6042,3,FALSE),"")</f>
        <v>3408520</v>
      </c>
      <c r="B2842" s="28">
        <v>2017</v>
      </c>
      <c r="C2842" s="29" t="s">
        <v>60</v>
      </c>
      <c r="D2842" s="17">
        <v>2051</v>
      </c>
      <c r="E2842" s="17" t="e">
        <f>#REF!</f>
        <v>#REF!</v>
      </c>
      <c r="F2842" s="29">
        <v>1498355</v>
      </c>
    </row>
    <row r="2843" spans="1:6" ht="16" customHeight="1" x14ac:dyDescent="0.2">
      <c r="A2843" t="str">
        <f>IFERROR(VLOOKUP(C2843,'GASB Match'!$D$2:$F$6042,3,FALSE),"")</f>
        <v/>
      </c>
      <c r="B2843" s="17">
        <v>2015</v>
      </c>
      <c r="C2843" s="17" t="s">
        <v>1414</v>
      </c>
      <c r="D2843" s="17">
        <v>8022</v>
      </c>
      <c r="E2843" s="17" t="e">
        <f>#REF!</f>
        <v>#REF!</v>
      </c>
      <c r="F2843" s="20">
        <v>56853</v>
      </c>
    </row>
    <row r="2844" spans="1:6" ht="16" customHeight="1" x14ac:dyDescent="0.2">
      <c r="A2844" t="str">
        <f>IFERROR(VLOOKUP(C2844,'GASB Match'!$D$2:$F$6042,3,FALSE),"")</f>
        <v/>
      </c>
      <c r="B2844" s="17">
        <v>2018</v>
      </c>
      <c r="C2844" s="17" t="s">
        <v>1457</v>
      </c>
      <c r="D2844" s="17">
        <v>8022</v>
      </c>
      <c r="E2844" s="17" t="e">
        <f>#REF!</f>
        <v>#REF!</v>
      </c>
      <c r="F2844" s="20">
        <v>18087</v>
      </c>
    </row>
    <row r="2845" spans="1:6" ht="16" customHeight="1" x14ac:dyDescent="0.2">
      <c r="A2845" t="str">
        <f>IFERROR(VLOOKUP(C2845,'GASB Match'!$D$2:$F$6042,3,FALSE),"")</f>
        <v/>
      </c>
      <c r="B2845" s="28">
        <v>2017</v>
      </c>
      <c r="C2845" s="29" t="s">
        <v>1414</v>
      </c>
      <c r="D2845" s="17">
        <v>8022</v>
      </c>
      <c r="E2845" s="17" t="e">
        <f>#REF!</f>
        <v>#REF!</v>
      </c>
      <c r="F2845" s="29">
        <v>48210</v>
      </c>
    </row>
    <row r="2846" spans="1:6" ht="16" customHeight="1" x14ac:dyDescent="0.2">
      <c r="A2846">
        <f>IFERROR(VLOOKUP(C2846,'GASB Match'!$D$2:$F$6042,3,FALSE),"")</f>
        <v>3408580</v>
      </c>
      <c r="B2846" s="17">
        <v>2015</v>
      </c>
      <c r="C2846" s="17" t="s">
        <v>468</v>
      </c>
      <c r="D2846" s="17">
        <v>425</v>
      </c>
      <c r="E2846" s="17" t="e">
        <f>#REF!</f>
        <v>#REF!</v>
      </c>
      <c r="F2846" s="20">
        <v>316675</v>
      </c>
    </row>
    <row r="2847" spans="1:6" ht="16" customHeight="1" x14ac:dyDescent="0.2">
      <c r="A2847">
        <f>IFERROR(VLOOKUP(C2847,'GASB Match'!$D$2:$F$6042,3,FALSE),"")</f>
        <v>3408580</v>
      </c>
      <c r="B2847" s="17">
        <v>2016</v>
      </c>
      <c r="C2847" s="17" t="s">
        <v>468</v>
      </c>
      <c r="D2847" s="17">
        <v>425</v>
      </c>
      <c r="E2847" s="17" t="e">
        <f>#REF!</f>
        <v>#REF!</v>
      </c>
      <c r="F2847" s="20">
        <v>464401</v>
      </c>
    </row>
    <row r="2848" spans="1:6" ht="16" customHeight="1" x14ac:dyDescent="0.2">
      <c r="A2848">
        <f>IFERROR(VLOOKUP(C2848,'GASB Match'!$D$2:$F$6042,3,FALSE),"")</f>
        <v>3408580</v>
      </c>
      <c r="B2848" s="17">
        <v>2018</v>
      </c>
      <c r="C2848" s="17" t="s">
        <v>1160</v>
      </c>
      <c r="D2848" s="17">
        <v>425</v>
      </c>
      <c r="E2848" s="17" t="e">
        <f>#REF!</f>
        <v>#REF!</v>
      </c>
      <c r="F2848" s="20">
        <v>945010</v>
      </c>
    </row>
    <row r="2849" spans="1:6" ht="16" customHeight="1" x14ac:dyDescent="0.2">
      <c r="A2849">
        <f>IFERROR(VLOOKUP(C2849,'GASB Match'!$D$2:$F$6042,3,FALSE),"")</f>
        <v>3408580</v>
      </c>
      <c r="B2849" s="17">
        <v>2019</v>
      </c>
      <c r="C2849" s="17" t="s">
        <v>1160</v>
      </c>
      <c r="D2849" s="17">
        <v>425</v>
      </c>
      <c r="E2849" s="17" t="e">
        <f>#REF!</f>
        <v>#REF!</v>
      </c>
      <c r="F2849" s="20">
        <v>1219359</v>
      </c>
    </row>
    <row r="2850" spans="1:6" ht="16" customHeight="1" x14ac:dyDescent="0.2">
      <c r="A2850">
        <f>IFERROR(VLOOKUP(C2850,'GASB Match'!$D$2:$F$6042,3,FALSE),"")</f>
        <v>3408580</v>
      </c>
      <c r="B2850" s="17">
        <v>2020</v>
      </c>
      <c r="C2850" s="21" t="s">
        <v>1160</v>
      </c>
      <c r="D2850" s="17">
        <v>425</v>
      </c>
      <c r="E2850" s="17" t="e">
        <f>#REF!</f>
        <v>#REF!</v>
      </c>
      <c r="F2850" s="23">
        <v>1414519</v>
      </c>
    </row>
    <row r="2851" spans="1:6" ht="16" customHeight="1" x14ac:dyDescent="0.2">
      <c r="A2851">
        <f>IFERROR(VLOOKUP(C2851,'GASB Match'!$D$2:$F$6042,3,FALSE),"")</f>
        <v>3408580</v>
      </c>
      <c r="B2851" s="17">
        <v>2021</v>
      </c>
      <c r="C2851" s="25" t="s">
        <v>1160</v>
      </c>
      <c r="D2851" s="17">
        <v>425</v>
      </c>
      <c r="E2851" s="17" t="e">
        <f>#REF!</f>
        <v>#REF!</v>
      </c>
      <c r="F2851" s="23">
        <v>1933351</v>
      </c>
    </row>
    <row r="2852" spans="1:6" ht="16" customHeight="1" x14ac:dyDescent="0.2">
      <c r="A2852">
        <f>IFERROR(VLOOKUP(C2852,'GASB Match'!$D$2:$F$6042,3,FALSE),"")</f>
        <v>3408580</v>
      </c>
      <c r="B2852" s="17">
        <v>2022</v>
      </c>
      <c r="C2852" s="21" t="s">
        <v>1160</v>
      </c>
      <c r="D2852" s="17">
        <v>425</v>
      </c>
      <c r="E2852" s="17" t="e">
        <f>#REF!</f>
        <v>#REF!</v>
      </c>
      <c r="F2852" s="23">
        <v>2699090</v>
      </c>
    </row>
    <row r="2853" spans="1:6" ht="16" customHeight="1" x14ac:dyDescent="0.2">
      <c r="A2853">
        <f>IFERROR(VLOOKUP(C2853,'GASB Match'!$D$2:$F$6042,3,FALSE),"")</f>
        <v>3408580</v>
      </c>
      <c r="B2853" s="17">
        <v>2023</v>
      </c>
      <c r="C2853" s="21" t="s">
        <v>1160</v>
      </c>
      <c r="D2853" s="17">
        <v>425</v>
      </c>
      <c r="E2853" s="17" t="e">
        <f>#REF!</f>
        <v>#REF!</v>
      </c>
      <c r="F2853" s="23">
        <v>2779011</v>
      </c>
    </row>
    <row r="2854" spans="1:6" ht="16" customHeight="1" x14ac:dyDescent="0.2">
      <c r="A2854">
        <f>IFERROR(VLOOKUP(C2854,'GASB Match'!$D$2:$F$6042,3,FALSE),"")</f>
        <v>3408580</v>
      </c>
      <c r="B2854" s="28">
        <v>2017</v>
      </c>
      <c r="C2854" s="29" t="s">
        <v>468</v>
      </c>
      <c r="D2854" s="17">
        <v>425</v>
      </c>
      <c r="E2854" s="17" t="e">
        <f>#REF!</f>
        <v>#REF!</v>
      </c>
      <c r="F2854" s="29">
        <v>663884</v>
      </c>
    </row>
    <row r="2855" spans="1:6" ht="16" customHeight="1" x14ac:dyDescent="0.2">
      <c r="A2855">
        <f>IFERROR(VLOOKUP(C2855,'GASB Match'!$D$2:$F$6042,3,FALSE),"")</f>
        <v>3408610</v>
      </c>
      <c r="B2855" s="17">
        <v>2015</v>
      </c>
      <c r="C2855" s="17" t="s">
        <v>620</v>
      </c>
      <c r="D2855" s="17">
        <v>835</v>
      </c>
      <c r="E2855" s="17" t="e">
        <f>#REF!</f>
        <v>#REF!</v>
      </c>
      <c r="F2855" s="20">
        <v>2352603</v>
      </c>
    </row>
    <row r="2856" spans="1:6" ht="16" customHeight="1" x14ac:dyDescent="0.2">
      <c r="A2856">
        <f>IFERROR(VLOOKUP(C2856,'GASB Match'!$D$2:$F$6042,3,FALSE),"")</f>
        <v>3408610</v>
      </c>
      <c r="B2856" s="17">
        <v>2016</v>
      </c>
      <c r="C2856" s="17" t="s">
        <v>620</v>
      </c>
      <c r="D2856" s="17">
        <v>835</v>
      </c>
      <c r="E2856" s="17" t="e">
        <f>#REF!</f>
        <v>#REF!</v>
      </c>
      <c r="F2856" s="20">
        <v>3602783</v>
      </c>
    </row>
    <row r="2857" spans="1:6" ht="16" customHeight="1" x14ac:dyDescent="0.2">
      <c r="A2857">
        <f>IFERROR(VLOOKUP(C2857,'GASB Match'!$D$2:$F$6042,3,FALSE),"")</f>
        <v>3408610</v>
      </c>
      <c r="B2857" s="17">
        <v>2018</v>
      </c>
      <c r="C2857" s="17" t="s">
        <v>1313</v>
      </c>
      <c r="D2857" s="17">
        <v>835</v>
      </c>
      <c r="E2857" s="17" t="e">
        <f>#REF!</f>
        <v>#REF!</v>
      </c>
      <c r="F2857" s="20">
        <v>7005012</v>
      </c>
    </row>
    <row r="2858" spans="1:6" ht="16" customHeight="1" x14ac:dyDescent="0.2">
      <c r="A2858">
        <f>IFERROR(VLOOKUP(C2858,'GASB Match'!$D$2:$F$6042,3,FALSE),"")</f>
        <v>3408610</v>
      </c>
      <c r="B2858" s="17">
        <v>2019</v>
      </c>
      <c r="C2858" s="17" t="s">
        <v>1313</v>
      </c>
      <c r="D2858" s="17">
        <v>835</v>
      </c>
      <c r="E2858" s="17" t="e">
        <f>#REF!</f>
        <v>#REF!</v>
      </c>
      <c r="F2858" s="20">
        <v>9352462</v>
      </c>
    </row>
    <row r="2859" spans="1:6" ht="16" customHeight="1" x14ac:dyDescent="0.2">
      <c r="A2859">
        <f>IFERROR(VLOOKUP(C2859,'GASB Match'!$D$2:$F$6042,3,FALSE),"")</f>
        <v>3408610</v>
      </c>
      <c r="B2859" s="17">
        <v>2020</v>
      </c>
      <c r="C2859" s="21" t="s">
        <v>1313</v>
      </c>
      <c r="D2859" s="17">
        <v>835</v>
      </c>
      <c r="E2859" s="17" t="e">
        <f>#REF!</f>
        <v>#REF!</v>
      </c>
      <c r="F2859" s="23">
        <v>10766762</v>
      </c>
    </row>
    <row r="2860" spans="1:6" ht="16" customHeight="1" x14ac:dyDescent="0.2">
      <c r="A2860">
        <f>IFERROR(VLOOKUP(C2860,'GASB Match'!$D$2:$F$6042,3,FALSE),"")</f>
        <v>3408610</v>
      </c>
      <c r="B2860" s="17">
        <v>2021</v>
      </c>
      <c r="C2860" s="25" t="s">
        <v>1313</v>
      </c>
      <c r="D2860" s="17">
        <v>835</v>
      </c>
      <c r="E2860" s="17" t="e">
        <f>#REF!</f>
        <v>#REF!</v>
      </c>
      <c r="F2860" s="23">
        <v>14222244</v>
      </c>
    </row>
    <row r="2861" spans="1:6" ht="16" customHeight="1" x14ac:dyDescent="0.2">
      <c r="A2861">
        <f>IFERROR(VLOOKUP(C2861,'GASB Match'!$D$2:$F$6042,3,FALSE),"")</f>
        <v>3408610</v>
      </c>
      <c r="B2861" s="17">
        <v>2022</v>
      </c>
      <c r="C2861" s="21" t="s">
        <v>1313</v>
      </c>
      <c r="D2861" s="17">
        <v>835</v>
      </c>
      <c r="E2861" s="17" t="e">
        <f>#REF!</f>
        <v>#REF!</v>
      </c>
      <c r="F2861" s="23">
        <v>20391240</v>
      </c>
    </row>
    <row r="2862" spans="1:6" ht="16" customHeight="1" x14ac:dyDescent="0.2">
      <c r="A2862">
        <f>IFERROR(VLOOKUP(C2862,'GASB Match'!$D$2:$F$6042,3,FALSE),"")</f>
        <v>3408610</v>
      </c>
      <c r="B2862" s="17">
        <v>2023</v>
      </c>
      <c r="C2862" s="21" t="s">
        <v>1313</v>
      </c>
      <c r="D2862" s="17">
        <v>835</v>
      </c>
      <c r="E2862" s="17" t="e">
        <f>#REF!</f>
        <v>#REF!</v>
      </c>
      <c r="F2862" s="23">
        <v>19843591</v>
      </c>
    </row>
    <row r="2863" spans="1:6" ht="16" customHeight="1" x14ac:dyDescent="0.2">
      <c r="A2863">
        <f>IFERROR(VLOOKUP(C2863,'GASB Match'!$D$2:$F$6042,3,FALSE),"")</f>
        <v>3408610</v>
      </c>
      <c r="B2863" s="28">
        <v>2017</v>
      </c>
      <c r="C2863" s="29" t="s">
        <v>620</v>
      </c>
      <c r="D2863" s="17">
        <v>835</v>
      </c>
      <c r="E2863" s="17" t="e">
        <f>#REF!</f>
        <v>#REF!</v>
      </c>
      <c r="F2863" s="29">
        <v>5148225</v>
      </c>
    </row>
    <row r="2864" spans="1:6" ht="16" customHeight="1" x14ac:dyDescent="0.2">
      <c r="A2864">
        <f>IFERROR(VLOOKUP(C2864,'GASB Match'!$D$2:$F$6042,3,FALSE),"")</f>
        <v>3408640</v>
      </c>
      <c r="B2864" s="17">
        <v>2015</v>
      </c>
      <c r="C2864" s="17" t="s">
        <v>180</v>
      </c>
      <c r="D2864" s="17">
        <v>4068</v>
      </c>
      <c r="E2864" s="17" t="e">
        <f>#REF!</f>
        <v>#REF!</v>
      </c>
      <c r="F2864" s="20">
        <v>880733</v>
      </c>
    </row>
    <row r="2865" spans="1:6" ht="16" customHeight="1" x14ac:dyDescent="0.2">
      <c r="A2865">
        <f>IFERROR(VLOOKUP(C2865,'GASB Match'!$D$2:$F$6042,3,FALSE),"")</f>
        <v>3408640</v>
      </c>
      <c r="B2865" s="17">
        <v>2016</v>
      </c>
      <c r="C2865" s="17" t="s">
        <v>180</v>
      </c>
      <c r="D2865" s="17">
        <v>4068</v>
      </c>
      <c r="E2865" s="17" t="e">
        <f>#REF!</f>
        <v>#REF!</v>
      </c>
      <c r="F2865" s="20">
        <v>1284364</v>
      </c>
    </row>
    <row r="2866" spans="1:6" ht="16" customHeight="1" x14ac:dyDescent="0.2">
      <c r="A2866">
        <f>IFERROR(VLOOKUP(C2866,'GASB Match'!$D$2:$F$6042,3,FALSE),"")</f>
        <v>3408640</v>
      </c>
      <c r="B2866" s="17">
        <v>2018</v>
      </c>
      <c r="C2866" s="17" t="s">
        <v>863</v>
      </c>
      <c r="D2866" s="17">
        <v>4068</v>
      </c>
      <c r="E2866" s="17" t="e">
        <f>#REF!</f>
        <v>#REF!</v>
      </c>
      <c r="F2866" s="20">
        <v>2599205</v>
      </c>
    </row>
    <row r="2867" spans="1:6" ht="16" customHeight="1" x14ac:dyDescent="0.2">
      <c r="A2867">
        <f>IFERROR(VLOOKUP(C2867,'GASB Match'!$D$2:$F$6042,3,FALSE),"")</f>
        <v>3408640</v>
      </c>
      <c r="B2867" s="17">
        <v>2019</v>
      </c>
      <c r="C2867" s="17" t="s">
        <v>863</v>
      </c>
      <c r="D2867" s="17">
        <v>4068</v>
      </c>
      <c r="E2867" s="17" t="e">
        <f>#REF!</f>
        <v>#REF!</v>
      </c>
      <c r="F2867" s="20">
        <v>3475553</v>
      </c>
    </row>
    <row r="2868" spans="1:6" ht="16" customHeight="1" x14ac:dyDescent="0.2">
      <c r="A2868">
        <f>IFERROR(VLOOKUP(C2868,'GASB Match'!$D$2:$F$6042,3,FALSE),"")</f>
        <v>3408640</v>
      </c>
      <c r="B2868" s="17">
        <v>2020</v>
      </c>
      <c r="C2868" s="21" t="s">
        <v>863</v>
      </c>
      <c r="D2868" s="17">
        <v>4068</v>
      </c>
      <c r="E2868" s="17" t="e">
        <f>#REF!</f>
        <v>#REF!</v>
      </c>
      <c r="F2868" s="23">
        <v>4020819</v>
      </c>
    </row>
    <row r="2869" spans="1:6" ht="16" customHeight="1" x14ac:dyDescent="0.2">
      <c r="A2869">
        <f>IFERROR(VLOOKUP(C2869,'GASB Match'!$D$2:$F$6042,3,FALSE),"")</f>
        <v>3408640</v>
      </c>
      <c r="B2869" s="17">
        <v>2021</v>
      </c>
      <c r="C2869" s="25" t="s">
        <v>863</v>
      </c>
      <c r="D2869" s="17">
        <v>4068</v>
      </c>
      <c r="E2869" s="17" t="e">
        <f>#REF!</f>
        <v>#REF!</v>
      </c>
      <c r="F2869" s="23">
        <v>5087395</v>
      </c>
    </row>
    <row r="2870" spans="1:6" ht="16" customHeight="1" x14ac:dyDescent="0.2">
      <c r="A2870">
        <f>IFERROR(VLOOKUP(C2870,'GASB Match'!$D$2:$F$6042,3,FALSE),"")</f>
        <v>3408640</v>
      </c>
      <c r="B2870" s="17">
        <v>2022</v>
      </c>
      <c r="C2870" s="21" t="s">
        <v>863</v>
      </c>
      <c r="D2870" s="17">
        <v>4068</v>
      </c>
      <c r="E2870" s="17" t="e">
        <f>#REF!</f>
        <v>#REF!</v>
      </c>
      <c r="F2870" s="23">
        <v>8016055</v>
      </c>
    </row>
    <row r="2871" spans="1:6" ht="16" customHeight="1" x14ac:dyDescent="0.2">
      <c r="A2871">
        <f>IFERROR(VLOOKUP(C2871,'GASB Match'!$D$2:$F$6042,3,FALSE),"")</f>
        <v>3408640</v>
      </c>
      <c r="B2871" s="17">
        <v>2023</v>
      </c>
      <c r="C2871" s="21" t="s">
        <v>863</v>
      </c>
      <c r="D2871" s="17">
        <v>4068</v>
      </c>
      <c r="E2871" s="17" t="e">
        <f>#REF!</f>
        <v>#REF!</v>
      </c>
      <c r="F2871" s="23">
        <v>8248405</v>
      </c>
    </row>
    <row r="2872" spans="1:6" ht="16" customHeight="1" x14ac:dyDescent="0.2">
      <c r="A2872">
        <f>IFERROR(VLOOKUP(C2872,'GASB Match'!$D$2:$F$6042,3,FALSE),"")</f>
        <v>3408640</v>
      </c>
      <c r="B2872" s="28">
        <v>2017</v>
      </c>
      <c r="C2872" s="29" t="s">
        <v>180</v>
      </c>
      <c r="D2872" s="17">
        <v>4068</v>
      </c>
      <c r="E2872" s="17" t="e">
        <f>#REF!</f>
        <v>#REF!</v>
      </c>
      <c r="F2872" s="29">
        <v>1890743</v>
      </c>
    </row>
    <row r="2873" spans="1:6" ht="16" customHeight="1" x14ac:dyDescent="0.2">
      <c r="A2873">
        <f>IFERROR(VLOOKUP(C2873,'GASB Match'!$D$2:$F$6042,3,FALSE),"")</f>
        <v>3400773</v>
      </c>
      <c r="B2873" s="17">
        <v>2018</v>
      </c>
      <c r="C2873" s="17" t="s">
        <v>932</v>
      </c>
      <c r="D2873" s="17">
        <v>6110</v>
      </c>
      <c r="E2873" s="17" t="e">
        <f>#REF!</f>
        <v>#REF!</v>
      </c>
      <c r="F2873" s="20">
        <v>252808</v>
      </c>
    </row>
    <row r="2874" spans="1:6" ht="16" customHeight="1" x14ac:dyDescent="0.2">
      <c r="A2874">
        <f>IFERROR(VLOOKUP(C2874,'GASB Match'!$D$2:$F$6042,3,FALSE),"")</f>
        <v>3400773</v>
      </c>
      <c r="B2874" s="17">
        <v>2019</v>
      </c>
      <c r="C2874" s="17" t="s">
        <v>932</v>
      </c>
      <c r="D2874" s="17">
        <v>6110</v>
      </c>
      <c r="E2874" s="17" t="e">
        <f>#REF!</f>
        <v>#REF!</v>
      </c>
      <c r="F2874" s="20">
        <v>308711</v>
      </c>
    </row>
    <row r="2875" spans="1:6" ht="16" customHeight="1" x14ac:dyDescent="0.2">
      <c r="A2875">
        <f>IFERROR(VLOOKUP(C2875,'GASB Match'!$D$2:$F$6042,3,FALSE),"")</f>
        <v>3400773</v>
      </c>
      <c r="B2875" s="17">
        <v>2020</v>
      </c>
      <c r="C2875" s="21" t="s">
        <v>932</v>
      </c>
      <c r="D2875" s="17">
        <v>6110</v>
      </c>
      <c r="E2875" s="17" t="e">
        <f>#REF!</f>
        <v>#REF!</v>
      </c>
      <c r="F2875" s="23">
        <v>384764</v>
      </c>
    </row>
    <row r="2876" spans="1:6" ht="16" customHeight="1" x14ac:dyDescent="0.2">
      <c r="A2876">
        <f>IFERROR(VLOOKUP(C2876,'GASB Match'!$D$2:$F$6042,3,FALSE),"")</f>
        <v>3400773</v>
      </c>
      <c r="B2876" s="17">
        <v>2021</v>
      </c>
      <c r="C2876" s="25" t="s">
        <v>932</v>
      </c>
      <c r="D2876" s="17">
        <v>6110</v>
      </c>
      <c r="E2876" s="17" t="e">
        <f>#REF!</f>
        <v>#REF!</v>
      </c>
      <c r="F2876" s="23">
        <v>577468</v>
      </c>
    </row>
    <row r="2877" spans="1:6" ht="16" customHeight="1" x14ac:dyDescent="0.2">
      <c r="A2877">
        <f>IFERROR(VLOOKUP(C2877,'GASB Match'!$D$2:$F$6042,3,FALSE),"")</f>
        <v>3400773</v>
      </c>
      <c r="B2877" s="17">
        <v>2022</v>
      </c>
      <c r="C2877" s="21" t="s">
        <v>932</v>
      </c>
      <c r="D2877" s="17">
        <v>6110</v>
      </c>
      <c r="E2877" s="17" t="e">
        <f>#REF!</f>
        <v>#REF!</v>
      </c>
      <c r="F2877" s="23">
        <v>754127</v>
      </c>
    </row>
    <row r="2878" spans="1:6" ht="16" customHeight="1" x14ac:dyDescent="0.2">
      <c r="A2878">
        <f>IFERROR(VLOOKUP(C2878,'GASB Match'!$D$2:$F$6042,3,FALSE),"")</f>
        <v>3400773</v>
      </c>
      <c r="B2878" s="17">
        <v>2023</v>
      </c>
      <c r="C2878" s="21" t="s">
        <v>932</v>
      </c>
      <c r="D2878" s="17">
        <v>6110</v>
      </c>
      <c r="E2878" s="17" t="e">
        <f>#REF!</f>
        <v>#REF!</v>
      </c>
      <c r="F2878" s="23">
        <v>682479</v>
      </c>
    </row>
    <row r="2879" spans="1:6" ht="16" customHeight="1" x14ac:dyDescent="0.2">
      <c r="A2879">
        <f>IFERROR(VLOOKUP(C2879,'GASB Match'!$D$2:$F$6042,3,FALSE),"")</f>
        <v>3408670</v>
      </c>
      <c r="B2879" s="17">
        <v>2015</v>
      </c>
      <c r="C2879" s="17" t="s">
        <v>16</v>
      </c>
      <c r="D2879" s="17">
        <v>1050</v>
      </c>
      <c r="E2879" s="17" t="e">
        <f>#REF!</f>
        <v>#REF!</v>
      </c>
      <c r="F2879" s="20">
        <v>345936</v>
      </c>
    </row>
    <row r="2880" spans="1:6" ht="16" customHeight="1" x14ac:dyDescent="0.2">
      <c r="A2880">
        <f>IFERROR(VLOOKUP(C2880,'GASB Match'!$D$2:$F$6042,3,FALSE),"")</f>
        <v>3408670</v>
      </c>
      <c r="B2880" s="17">
        <v>2016</v>
      </c>
      <c r="C2880" s="17" t="s">
        <v>16</v>
      </c>
      <c r="D2880" s="17">
        <v>1050</v>
      </c>
      <c r="E2880" s="17" t="e">
        <f>#REF!</f>
        <v>#REF!</v>
      </c>
      <c r="F2880" s="20">
        <v>504624</v>
      </c>
    </row>
    <row r="2881" spans="1:6" ht="16" customHeight="1" x14ac:dyDescent="0.2">
      <c r="A2881">
        <f>IFERROR(VLOOKUP(C2881,'GASB Match'!$D$2:$F$6042,3,FALSE),"")</f>
        <v>3408670</v>
      </c>
      <c r="B2881" s="17">
        <v>2018</v>
      </c>
      <c r="C2881" s="17" t="s">
        <v>695</v>
      </c>
      <c r="D2881" s="17">
        <v>1050</v>
      </c>
      <c r="E2881" s="17" t="e">
        <f>#REF!</f>
        <v>#REF!</v>
      </c>
      <c r="F2881" s="20">
        <v>906339</v>
      </c>
    </row>
    <row r="2882" spans="1:6" ht="16" customHeight="1" x14ac:dyDescent="0.2">
      <c r="A2882">
        <f>IFERROR(VLOOKUP(C2882,'GASB Match'!$D$2:$F$6042,3,FALSE),"")</f>
        <v>3408670</v>
      </c>
      <c r="B2882" s="17">
        <v>2019</v>
      </c>
      <c r="C2882" s="17" t="s">
        <v>695</v>
      </c>
      <c r="D2882" s="17">
        <v>1050</v>
      </c>
      <c r="E2882" s="17" t="e">
        <f>#REF!</f>
        <v>#REF!</v>
      </c>
      <c r="F2882" s="20">
        <v>1147225</v>
      </c>
    </row>
    <row r="2883" spans="1:6" ht="16" customHeight="1" x14ac:dyDescent="0.2">
      <c r="A2883">
        <f>IFERROR(VLOOKUP(C2883,'GASB Match'!$D$2:$F$6042,3,FALSE),"")</f>
        <v>3408670</v>
      </c>
      <c r="B2883" s="17">
        <v>2020</v>
      </c>
      <c r="C2883" s="21" t="s">
        <v>695</v>
      </c>
      <c r="D2883" s="17">
        <v>1050</v>
      </c>
      <c r="E2883" s="17" t="e">
        <f>#REF!</f>
        <v>#REF!</v>
      </c>
      <c r="F2883" s="23">
        <v>1338106</v>
      </c>
    </row>
    <row r="2884" spans="1:6" ht="16" customHeight="1" x14ac:dyDescent="0.2">
      <c r="A2884">
        <f>IFERROR(VLOOKUP(C2884,'GASB Match'!$D$2:$F$6042,3,FALSE),"")</f>
        <v>3408670</v>
      </c>
      <c r="B2884" s="17">
        <v>2021</v>
      </c>
      <c r="C2884" s="25" t="s">
        <v>695</v>
      </c>
      <c r="D2884" s="17">
        <v>1050</v>
      </c>
      <c r="E2884" s="17" t="e">
        <f>#REF!</f>
        <v>#REF!</v>
      </c>
      <c r="F2884" s="23">
        <v>1650717</v>
      </c>
    </row>
    <row r="2885" spans="1:6" ht="16" customHeight="1" x14ac:dyDescent="0.2">
      <c r="A2885">
        <f>IFERROR(VLOOKUP(C2885,'GASB Match'!$D$2:$F$6042,3,FALSE),"")</f>
        <v>3408670</v>
      </c>
      <c r="B2885" s="17">
        <v>2022</v>
      </c>
      <c r="C2885" s="21" t="s">
        <v>695</v>
      </c>
      <c r="D2885" s="17">
        <v>1050</v>
      </c>
      <c r="E2885" s="17" t="e">
        <f>#REF!</f>
        <v>#REF!</v>
      </c>
      <c r="F2885" s="23">
        <v>2442075</v>
      </c>
    </row>
    <row r="2886" spans="1:6" ht="16" customHeight="1" x14ac:dyDescent="0.2">
      <c r="A2886">
        <f>IFERROR(VLOOKUP(C2886,'GASB Match'!$D$2:$F$6042,3,FALSE),"")</f>
        <v>3408670</v>
      </c>
      <c r="B2886" s="17">
        <v>2023</v>
      </c>
      <c r="C2886" s="21" t="s">
        <v>695</v>
      </c>
      <c r="D2886" s="17">
        <v>1050</v>
      </c>
      <c r="E2886" s="17" t="e">
        <f>#REF!</f>
        <v>#REF!</v>
      </c>
      <c r="F2886" s="23">
        <v>2436268</v>
      </c>
    </row>
    <row r="2887" spans="1:6" ht="16" customHeight="1" x14ac:dyDescent="0.2">
      <c r="A2887">
        <f>IFERROR(VLOOKUP(C2887,'GASB Match'!$D$2:$F$6042,3,FALSE),"")</f>
        <v>3408670</v>
      </c>
      <c r="B2887" s="28">
        <v>2017</v>
      </c>
      <c r="C2887" s="29" t="s">
        <v>16</v>
      </c>
      <c r="D2887" s="17">
        <v>1050</v>
      </c>
      <c r="E2887" s="17" t="e">
        <f>#REF!</f>
        <v>#REF!</v>
      </c>
      <c r="F2887" s="29">
        <v>707049</v>
      </c>
    </row>
    <row r="2888" spans="1:6" ht="16" customHeight="1" x14ac:dyDescent="0.2">
      <c r="A2888">
        <f>IFERROR(VLOOKUP(C2888,'GASB Match'!$D$2:$F$6042,3,FALSE),"")</f>
        <v>3408700</v>
      </c>
      <c r="B2888" s="17">
        <v>2015</v>
      </c>
      <c r="C2888" s="17" t="s">
        <v>507</v>
      </c>
      <c r="D2888" s="17">
        <v>523</v>
      </c>
      <c r="E2888" s="17" t="e">
        <f>#REF!</f>
        <v>#REF!</v>
      </c>
      <c r="F2888" s="20">
        <v>626382</v>
      </c>
    </row>
    <row r="2889" spans="1:6" ht="16" customHeight="1" x14ac:dyDescent="0.2">
      <c r="A2889">
        <f>IFERROR(VLOOKUP(C2889,'GASB Match'!$D$2:$F$6042,3,FALSE),"")</f>
        <v>3408700</v>
      </c>
      <c r="B2889" s="17">
        <v>2016</v>
      </c>
      <c r="C2889" s="17" t="s">
        <v>507</v>
      </c>
      <c r="D2889" s="17">
        <v>523</v>
      </c>
      <c r="E2889" s="17" t="e">
        <f>#REF!</f>
        <v>#REF!</v>
      </c>
      <c r="F2889" s="20">
        <v>943932</v>
      </c>
    </row>
    <row r="2890" spans="1:6" ht="16" customHeight="1" x14ac:dyDescent="0.2">
      <c r="A2890">
        <f>IFERROR(VLOOKUP(C2890,'GASB Match'!$D$2:$F$6042,3,FALSE),"")</f>
        <v>3408700</v>
      </c>
      <c r="B2890" s="17">
        <v>2018</v>
      </c>
      <c r="C2890" s="17" t="s">
        <v>1199</v>
      </c>
      <c r="D2890" s="17">
        <v>523</v>
      </c>
      <c r="E2890" s="17" t="e">
        <f>#REF!</f>
        <v>#REF!</v>
      </c>
      <c r="F2890" s="20">
        <v>1733315</v>
      </c>
    </row>
    <row r="2891" spans="1:6" ht="16" customHeight="1" x14ac:dyDescent="0.2">
      <c r="A2891">
        <f>IFERROR(VLOOKUP(C2891,'GASB Match'!$D$2:$F$6042,3,FALSE),"")</f>
        <v>3408700</v>
      </c>
      <c r="B2891" s="17">
        <v>2019</v>
      </c>
      <c r="C2891" s="17" t="s">
        <v>1199</v>
      </c>
      <c r="D2891" s="17">
        <v>523</v>
      </c>
      <c r="E2891" s="17" t="e">
        <f>#REF!</f>
        <v>#REF!</v>
      </c>
      <c r="F2891" s="20">
        <v>2320200</v>
      </c>
    </row>
    <row r="2892" spans="1:6" ht="16" customHeight="1" x14ac:dyDescent="0.2">
      <c r="A2892">
        <f>IFERROR(VLOOKUP(C2892,'GASB Match'!$D$2:$F$6042,3,FALSE),"")</f>
        <v>3408700</v>
      </c>
      <c r="B2892" s="17">
        <v>2020</v>
      </c>
      <c r="C2892" s="21" t="s">
        <v>1199</v>
      </c>
      <c r="D2892" s="17">
        <v>523</v>
      </c>
      <c r="E2892" s="17" t="e">
        <f>#REF!</f>
        <v>#REF!</v>
      </c>
      <c r="F2892" s="23">
        <v>2488864</v>
      </c>
    </row>
    <row r="2893" spans="1:6" ht="16" customHeight="1" x14ac:dyDescent="0.2">
      <c r="A2893">
        <f>IFERROR(VLOOKUP(C2893,'GASB Match'!$D$2:$F$6042,3,FALSE),"")</f>
        <v>3408700</v>
      </c>
      <c r="B2893" s="17">
        <v>2021</v>
      </c>
      <c r="C2893" s="25" t="s">
        <v>1199</v>
      </c>
      <c r="D2893" s="17">
        <v>523</v>
      </c>
      <c r="E2893" s="17" t="e">
        <f>#REF!</f>
        <v>#REF!</v>
      </c>
      <c r="F2893" s="23">
        <v>3136384</v>
      </c>
    </row>
    <row r="2894" spans="1:6" ht="16" customHeight="1" x14ac:dyDescent="0.2">
      <c r="A2894">
        <f>IFERROR(VLOOKUP(C2894,'GASB Match'!$D$2:$F$6042,3,FALSE),"")</f>
        <v>3408700</v>
      </c>
      <c r="B2894" s="17">
        <v>2022</v>
      </c>
      <c r="C2894" s="21" t="s">
        <v>1199</v>
      </c>
      <c r="D2894" s="17">
        <v>523</v>
      </c>
      <c r="E2894" s="17" t="e">
        <f>#REF!</f>
        <v>#REF!</v>
      </c>
      <c r="F2894" s="23">
        <v>4660016</v>
      </c>
    </row>
    <row r="2895" spans="1:6" ht="16" customHeight="1" x14ac:dyDescent="0.2">
      <c r="A2895">
        <f>IFERROR(VLOOKUP(C2895,'GASB Match'!$D$2:$F$6042,3,FALSE),"")</f>
        <v>3408700</v>
      </c>
      <c r="B2895" s="17">
        <v>2023</v>
      </c>
      <c r="C2895" s="21" t="s">
        <v>1199</v>
      </c>
      <c r="D2895" s="17">
        <v>523</v>
      </c>
      <c r="E2895" s="17" t="e">
        <f>#REF!</f>
        <v>#REF!</v>
      </c>
      <c r="F2895" s="23">
        <v>4997151</v>
      </c>
    </row>
    <row r="2896" spans="1:6" ht="16" customHeight="1" x14ac:dyDescent="0.2">
      <c r="A2896">
        <f>IFERROR(VLOOKUP(C2896,'GASB Match'!$D$2:$F$6042,3,FALSE),"")</f>
        <v>3408700</v>
      </c>
      <c r="B2896" s="28">
        <v>2017</v>
      </c>
      <c r="C2896" s="29" t="s">
        <v>507</v>
      </c>
      <c r="D2896" s="17">
        <v>523</v>
      </c>
      <c r="E2896" s="17" t="e">
        <f>#REF!</f>
        <v>#REF!</v>
      </c>
      <c r="F2896" s="29">
        <v>1369537</v>
      </c>
    </row>
    <row r="2897" spans="1:6" ht="16" customHeight="1" x14ac:dyDescent="0.2">
      <c r="A2897">
        <f>IFERROR(VLOOKUP(C2897,'GASB Match'!$D$2:$F$6042,3,FALSE),"")</f>
        <v>3408730</v>
      </c>
      <c r="B2897" s="17">
        <v>2015</v>
      </c>
      <c r="C2897" s="17" t="s">
        <v>531</v>
      </c>
      <c r="D2897" s="17">
        <v>634</v>
      </c>
      <c r="E2897" s="17" t="e">
        <f>#REF!</f>
        <v>#REF!</v>
      </c>
      <c r="F2897" s="20">
        <v>346642</v>
      </c>
    </row>
    <row r="2898" spans="1:6" ht="16" customHeight="1" x14ac:dyDescent="0.2">
      <c r="A2898">
        <f>IFERROR(VLOOKUP(C2898,'GASB Match'!$D$2:$F$6042,3,FALSE),"")</f>
        <v>3408730</v>
      </c>
      <c r="B2898" s="17">
        <v>2016</v>
      </c>
      <c r="C2898" s="17" t="s">
        <v>531</v>
      </c>
      <c r="D2898" s="17">
        <v>634</v>
      </c>
      <c r="E2898" s="17" t="e">
        <f>#REF!</f>
        <v>#REF!</v>
      </c>
      <c r="F2898" s="20">
        <v>464212</v>
      </c>
    </row>
    <row r="2899" spans="1:6" ht="16" customHeight="1" x14ac:dyDescent="0.2">
      <c r="A2899">
        <f>IFERROR(VLOOKUP(C2899,'GASB Match'!$D$2:$F$6042,3,FALSE),"")</f>
        <v>3408730</v>
      </c>
      <c r="B2899" s="17">
        <v>2018</v>
      </c>
      <c r="C2899" s="17" t="s">
        <v>1223</v>
      </c>
      <c r="D2899" s="17">
        <v>634</v>
      </c>
      <c r="E2899" s="17" t="e">
        <f>#REF!</f>
        <v>#REF!</v>
      </c>
      <c r="F2899" s="20">
        <v>1013285</v>
      </c>
    </row>
    <row r="2900" spans="1:6" ht="16" customHeight="1" x14ac:dyDescent="0.2">
      <c r="A2900">
        <f>IFERROR(VLOOKUP(C2900,'GASB Match'!$D$2:$F$6042,3,FALSE),"")</f>
        <v>3408730</v>
      </c>
      <c r="B2900" s="17">
        <v>2019</v>
      </c>
      <c r="C2900" s="17" t="s">
        <v>1223</v>
      </c>
      <c r="D2900" s="17">
        <v>634</v>
      </c>
      <c r="E2900" s="17" t="e">
        <f>#REF!</f>
        <v>#REF!</v>
      </c>
      <c r="F2900" s="20">
        <v>1384317</v>
      </c>
    </row>
    <row r="2901" spans="1:6" ht="16" customHeight="1" x14ac:dyDescent="0.2">
      <c r="A2901">
        <f>IFERROR(VLOOKUP(C2901,'GASB Match'!$D$2:$F$6042,3,FALSE),"")</f>
        <v>3408730</v>
      </c>
      <c r="B2901" s="17">
        <v>2020</v>
      </c>
      <c r="C2901" s="21" t="s">
        <v>1223</v>
      </c>
      <c r="D2901" s="17">
        <v>634</v>
      </c>
      <c r="E2901" s="17" t="e">
        <f>#REF!</f>
        <v>#REF!</v>
      </c>
      <c r="F2901" s="23">
        <v>1578922</v>
      </c>
    </row>
    <row r="2902" spans="1:6" ht="16" customHeight="1" x14ac:dyDescent="0.2">
      <c r="A2902">
        <f>IFERROR(VLOOKUP(C2902,'GASB Match'!$D$2:$F$6042,3,FALSE),"")</f>
        <v>3408730</v>
      </c>
      <c r="B2902" s="17">
        <v>2021</v>
      </c>
      <c r="C2902" s="25" t="s">
        <v>1223</v>
      </c>
      <c r="D2902" s="17">
        <v>634</v>
      </c>
      <c r="E2902" s="17" t="e">
        <f>#REF!</f>
        <v>#REF!</v>
      </c>
      <c r="F2902" s="23">
        <v>2049376</v>
      </c>
    </row>
    <row r="2903" spans="1:6" ht="16" customHeight="1" x14ac:dyDescent="0.2">
      <c r="A2903">
        <f>IFERROR(VLOOKUP(C2903,'GASB Match'!$D$2:$F$6042,3,FALSE),"")</f>
        <v>3408730</v>
      </c>
      <c r="B2903" s="17">
        <v>2022</v>
      </c>
      <c r="C2903" s="21" t="s">
        <v>1223</v>
      </c>
      <c r="D2903" s="17">
        <v>634</v>
      </c>
      <c r="E2903" s="17" t="e">
        <f>#REF!</f>
        <v>#REF!</v>
      </c>
      <c r="F2903" s="23">
        <v>2989726</v>
      </c>
    </row>
    <row r="2904" spans="1:6" ht="16" customHeight="1" x14ac:dyDescent="0.2">
      <c r="A2904">
        <f>IFERROR(VLOOKUP(C2904,'GASB Match'!$D$2:$F$6042,3,FALSE),"")</f>
        <v>3408730</v>
      </c>
      <c r="B2904" s="17">
        <v>2023</v>
      </c>
      <c r="C2904" s="21" t="s">
        <v>1223</v>
      </c>
      <c r="D2904" s="17">
        <v>634</v>
      </c>
      <c r="E2904" s="17" t="e">
        <f>#REF!</f>
        <v>#REF!</v>
      </c>
      <c r="F2904" s="23">
        <v>2928971</v>
      </c>
    </row>
    <row r="2905" spans="1:6" ht="16" customHeight="1" x14ac:dyDescent="0.2">
      <c r="A2905">
        <f>IFERROR(VLOOKUP(C2905,'GASB Match'!$D$2:$F$6042,3,FALSE),"")</f>
        <v>3408730</v>
      </c>
      <c r="B2905" s="28">
        <v>2017</v>
      </c>
      <c r="C2905" s="29" t="s">
        <v>531</v>
      </c>
      <c r="D2905" s="17">
        <v>634</v>
      </c>
      <c r="E2905" s="17" t="e">
        <f>#REF!</f>
        <v>#REF!</v>
      </c>
      <c r="F2905" s="29">
        <v>700616</v>
      </c>
    </row>
    <row r="2906" spans="1:6" ht="16" customHeight="1" x14ac:dyDescent="0.2">
      <c r="A2906">
        <f>IFERROR(VLOOKUP(C2906,'GASB Match'!$D$2:$F$6042,3,FALSE),"")</f>
        <v>3408760</v>
      </c>
      <c r="B2906" s="17">
        <v>2015</v>
      </c>
      <c r="C2906" s="17" t="s">
        <v>61</v>
      </c>
      <c r="D2906" s="17">
        <v>2052</v>
      </c>
      <c r="E2906" s="17" t="e">
        <f>#REF!</f>
        <v>#REF!</v>
      </c>
      <c r="F2906" s="20">
        <v>302827</v>
      </c>
    </row>
    <row r="2907" spans="1:6" ht="16" customHeight="1" x14ac:dyDescent="0.2">
      <c r="A2907">
        <f>IFERROR(VLOOKUP(C2907,'GASB Match'!$D$2:$F$6042,3,FALSE),"")</f>
        <v>3408760</v>
      </c>
      <c r="B2907" s="17">
        <v>2016</v>
      </c>
      <c r="C2907" s="17" t="s">
        <v>61</v>
      </c>
      <c r="D2907" s="17">
        <v>2052</v>
      </c>
      <c r="E2907" s="17" t="e">
        <f>#REF!</f>
        <v>#REF!</v>
      </c>
      <c r="F2907" s="20">
        <v>465561</v>
      </c>
    </row>
    <row r="2908" spans="1:6" ht="16" customHeight="1" x14ac:dyDescent="0.2">
      <c r="A2908">
        <f>IFERROR(VLOOKUP(C2908,'GASB Match'!$D$2:$F$6042,3,FALSE),"")</f>
        <v>3408760</v>
      </c>
      <c r="B2908" s="17">
        <v>2018</v>
      </c>
      <c r="C2908" s="17" t="s">
        <v>739</v>
      </c>
      <c r="D2908" s="17">
        <v>2052</v>
      </c>
      <c r="E2908" s="17" t="e">
        <f>#REF!</f>
        <v>#REF!</v>
      </c>
      <c r="F2908" s="20">
        <v>973625</v>
      </c>
    </row>
    <row r="2909" spans="1:6" ht="16" customHeight="1" x14ac:dyDescent="0.2">
      <c r="A2909">
        <f>IFERROR(VLOOKUP(C2909,'GASB Match'!$D$2:$F$6042,3,FALSE),"")</f>
        <v>3408760</v>
      </c>
      <c r="B2909" s="17">
        <v>2019</v>
      </c>
      <c r="C2909" s="17" t="s">
        <v>739</v>
      </c>
      <c r="D2909" s="17">
        <v>2052</v>
      </c>
      <c r="E2909" s="17" t="e">
        <f>#REF!</f>
        <v>#REF!</v>
      </c>
      <c r="F2909" s="20">
        <v>1288912</v>
      </c>
    </row>
    <row r="2910" spans="1:6" ht="16" customHeight="1" x14ac:dyDescent="0.2">
      <c r="A2910">
        <f>IFERROR(VLOOKUP(C2910,'GASB Match'!$D$2:$F$6042,3,FALSE),"")</f>
        <v>3408760</v>
      </c>
      <c r="B2910" s="17">
        <v>2020</v>
      </c>
      <c r="C2910" s="21" t="s">
        <v>739</v>
      </c>
      <c r="D2910" s="17">
        <v>2052</v>
      </c>
      <c r="E2910" s="17" t="e">
        <f>#REF!</f>
        <v>#REF!</v>
      </c>
      <c r="F2910" s="23">
        <v>1420164</v>
      </c>
    </row>
    <row r="2911" spans="1:6" ht="16" customHeight="1" x14ac:dyDescent="0.2">
      <c r="A2911">
        <f>IFERROR(VLOOKUP(C2911,'GASB Match'!$D$2:$F$6042,3,FALSE),"")</f>
        <v>3408760</v>
      </c>
      <c r="B2911" s="17">
        <v>2021</v>
      </c>
      <c r="C2911" s="25" t="s">
        <v>739</v>
      </c>
      <c r="D2911" s="17">
        <v>2052</v>
      </c>
      <c r="E2911" s="17" t="e">
        <f>#REF!</f>
        <v>#REF!</v>
      </c>
      <c r="F2911" s="23">
        <v>1764396</v>
      </c>
    </row>
    <row r="2912" spans="1:6" ht="16" customHeight="1" x14ac:dyDescent="0.2">
      <c r="A2912">
        <f>IFERROR(VLOOKUP(C2912,'GASB Match'!$D$2:$F$6042,3,FALSE),"")</f>
        <v>3408760</v>
      </c>
      <c r="B2912" s="17">
        <v>2022</v>
      </c>
      <c r="C2912" s="21" t="s">
        <v>739</v>
      </c>
      <c r="D2912" s="17">
        <v>2052</v>
      </c>
      <c r="E2912" s="17" t="e">
        <f>#REF!</f>
        <v>#REF!</v>
      </c>
      <c r="F2912" s="23">
        <v>2601330</v>
      </c>
    </row>
    <row r="2913" spans="1:6" ht="16" customHeight="1" x14ac:dyDescent="0.2">
      <c r="A2913">
        <f>IFERROR(VLOOKUP(C2913,'GASB Match'!$D$2:$F$6042,3,FALSE),"")</f>
        <v>3408760</v>
      </c>
      <c r="B2913" s="17">
        <v>2023</v>
      </c>
      <c r="C2913" s="21" t="s">
        <v>739</v>
      </c>
      <c r="D2913" s="17">
        <v>2052</v>
      </c>
      <c r="E2913" s="17" t="e">
        <f>#REF!</f>
        <v>#REF!</v>
      </c>
      <c r="F2913" s="23">
        <v>2640737</v>
      </c>
    </row>
    <row r="2914" spans="1:6" ht="16" customHeight="1" x14ac:dyDescent="0.2">
      <c r="A2914">
        <f>IFERROR(VLOOKUP(C2914,'GASB Match'!$D$2:$F$6042,3,FALSE),"")</f>
        <v>3408760</v>
      </c>
      <c r="B2914" s="28">
        <v>2017</v>
      </c>
      <c r="C2914" s="29" t="s">
        <v>61</v>
      </c>
      <c r="D2914" s="17">
        <v>2052</v>
      </c>
      <c r="E2914" s="17" t="e">
        <f>#REF!</f>
        <v>#REF!</v>
      </c>
      <c r="F2914" s="29">
        <v>698872</v>
      </c>
    </row>
    <row r="2915" spans="1:6" ht="16" customHeight="1" x14ac:dyDescent="0.2">
      <c r="A2915">
        <f>IFERROR(VLOOKUP(C2915,'GASB Match'!$D$2:$F$6042,3,FALSE),"")</f>
        <v>3408790</v>
      </c>
      <c r="B2915" s="17">
        <v>2015</v>
      </c>
      <c r="C2915" s="17" t="s">
        <v>423</v>
      </c>
      <c r="D2915" s="17">
        <v>338</v>
      </c>
      <c r="E2915" s="17" t="e">
        <f>#REF!</f>
        <v>#REF!</v>
      </c>
      <c r="F2915" s="20">
        <v>311109</v>
      </c>
    </row>
    <row r="2916" spans="1:6" ht="16" customHeight="1" x14ac:dyDescent="0.2">
      <c r="A2916">
        <f>IFERROR(VLOOKUP(C2916,'GASB Match'!$D$2:$F$6042,3,FALSE),"")</f>
        <v>3408790</v>
      </c>
      <c r="B2916" s="17">
        <v>2016</v>
      </c>
      <c r="C2916" s="17" t="s">
        <v>423</v>
      </c>
      <c r="D2916" s="17">
        <v>338</v>
      </c>
      <c r="E2916" s="17" t="e">
        <f>#REF!</f>
        <v>#REF!</v>
      </c>
      <c r="F2916" s="20">
        <v>480123</v>
      </c>
    </row>
    <row r="2917" spans="1:6" ht="16" customHeight="1" x14ac:dyDescent="0.2">
      <c r="A2917">
        <f>IFERROR(VLOOKUP(C2917,'GASB Match'!$D$2:$F$6042,3,FALSE),"")</f>
        <v>3408790</v>
      </c>
      <c r="B2917" s="17">
        <v>2018</v>
      </c>
      <c r="C2917" s="17" t="s">
        <v>1115</v>
      </c>
      <c r="D2917" s="17">
        <v>338</v>
      </c>
      <c r="E2917" s="17" t="e">
        <f>#REF!</f>
        <v>#REF!</v>
      </c>
      <c r="F2917" s="20">
        <v>947712</v>
      </c>
    </row>
    <row r="2918" spans="1:6" ht="16" customHeight="1" x14ac:dyDescent="0.2">
      <c r="A2918">
        <f>IFERROR(VLOOKUP(C2918,'GASB Match'!$D$2:$F$6042,3,FALSE),"")</f>
        <v>3408790</v>
      </c>
      <c r="B2918" s="17">
        <v>2019</v>
      </c>
      <c r="C2918" s="17" t="s">
        <v>1115</v>
      </c>
      <c r="D2918" s="17">
        <v>338</v>
      </c>
      <c r="E2918" s="17" t="e">
        <f>#REF!</f>
        <v>#REF!</v>
      </c>
      <c r="F2918" s="20">
        <v>1307666</v>
      </c>
    </row>
    <row r="2919" spans="1:6" ht="16" customHeight="1" x14ac:dyDescent="0.2">
      <c r="A2919">
        <f>IFERROR(VLOOKUP(C2919,'GASB Match'!$D$2:$F$6042,3,FALSE),"")</f>
        <v>3408790</v>
      </c>
      <c r="B2919" s="17">
        <v>2020</v>
      </c>
      <c r="C2919" s="21" t="s">
        <v>1115</v>
      </c>
      <c r="D2919" s="17">
        <v>338</v>
      </c>
      <c r="E2919" s="17" t="e">
        <f>#REF!</f>
        <v>#REF!</v>
      </c>
      <c r="F2919" s="23">
        <v>1449814</v>
      </c>
    </row>
    <row r="2920" spans="1:6" ht="16" customHeight="1" x14ac:dyDescent="0.2">
      <c r="A2920">
        <f>IFERROR(VLOOKUP(C2920,'GASB Match'!$D$2:$F$6042,3,FALSE),"")</f>
        <v>3408790</v>
      </c>
      <c r="B2920" s="17">
        <v>2021</v>
      </c>
      <c r="C2920" s="25" t="s">
        <v>1115</v>
      </c>
      <c r="D2920" s="17">
        <v>338</v>
      </c>
      <c r="E2920" s="17" t="e">
        <f>#REF!</f>
        <v>#REF!</v>
      </c>
      <c r="F2920" s="23">
        <v>1788409</v>
      </c>
    </row>
    <row r="2921" spans="1:6" ht="16" customHeight="1" x14ac:dyDescent="0.2">
      <c r="A2921">
        <f>IFERROR(VLOOKUP(C2921,'GASB Match'!$D$2:$F$6042,3,FALSE),"")</f>
        <v>3408790</v>
      </c>
      <c r="B2921" s="17">
        <v>2022</v>
      </c>
      <c r="C2921" s="21" t="s">
        <v>1115</v>
      </c>
      <c r="D2921" s="17">
        <v>338</v>
      </c>
      <c r="E2921" s="17" t="e">
        <f>#REF!</f>
        <v>#REF!</v>
      </c>
      <c r="F2921" s="23">
        <v>2564863</v>
      </c>
    </row>
    <row r="2922" spans="1:6" ht="16" customHeight="1" x14ac:dyDescent="0.2">
      <c r="A2922">
        <f>IFERROR(VLOOKUP(C2922,'GASB Match'!$D$2:$F$6042,3,FALSE),"")</f>
        <v>3408790</v>
      </c>
      <c r="B2922" s="17">
        <v>2023</v>
      </c>
      <c r="C2922" s="21" t="s">
        <v>1115</v>
      </c>
      <c r="D2922" s="17">
        <v>338</v>
      </c>
      <c r="E2922" s="17" t="e">
        <f>#REF!</f>
        <v>#REF!</v>
      </c>
      <c r="F2922" s="23">
        <v>2384378</v>
      </c>
    </row>
    <row r="2923" spans="1:6" ht="16" customHeight="1" x14ac:dyDescent="0.2">
      <c r="A2923">
        <f>IFERROR(VLOOKUP(C2923,'GASB Match'!$D$2:$F$6042,3,FALSE),"")</f>
        <v>3408790</v>
      </c>
      <c r="B2923" s="28">
        <v>2017</v>
      </c>
      <c r="C2923" s="29" t="s">
        <v>423</v>
      </c>
      <c r="D2923" s="17">
        <v>338</v>
      </c>
      <c r="E2923" s="17" t="e">
        <f>#REF!</f>
        <v>#REF!</v>
      </c>
      <c r="F2923" s="29">
        <v>678478</v>
      </c>
    </row>
    <row r="2924" spans="1:6" ht="16" customHeight="1" x14ac:dyDescent="0.2">
      <c r="A2924">
        <f>IFERROR(VLOOKUP(C2924,'GASB Match'!$D$2:$F$6042,3,FALSE),"")</f>
        <v>3408820</v>
      </c>
      <c r="B2924" s="17">
        <v>2015</v>
      </c>
      <c r="C2924" s="17" t="s">
        <v>246</v>
      </c>
      <c r="D2924" s="17">
        <v>6086</v>
      </c>
      <c r="E2924" s="17" t="e">
        <f>#REF!</f>
        <v>#REF!</v>
      </c>
      <c r="F2924" s="20">
        <v>2460270</v>
      </c>
    </row>
    <row r="2925" spans="1:6" ht="16" customHeight="1" x14ac:dyDescent="0.2">
      <c r="A2925">
        <f>IFERROR(VLOOKUP(C2925,'GASB Match'!$D$2:$F$6042,3,FALSE),"")</f>
        <v>3408820</v>
      </c>
      <c r="B2925" s="17">
        <v>2016</v>
      </c>
      <c r="C2925" s="17" t="s">
        <v>246</v>
      </c>
      <c r="D2925" s="17">
        <v>6086</v>
      </c>
      <c r="E2925" s="17" t="e">
        <f>#REF!</f>
        <v>#REF!</v>
      </c>
      <c r="F2925" s="20">
        <v>3621272</v>
      </c>
    </row>
    <row r="2926" spans="1:6" ht="16" customHeight="1" x14ac:dyDescent="0.2">
      <c r="A2926">
        <f>IFERROR(VLOOKUP(C2926,'GASB Match'!$D$2:$F$6042,3,FALSE),"")</f>
        <v>3408820</v>
      </c>
      <c r="B2926" s="17">
        <v>2018</v>
      </c>
      <c r="C2926" s="17" t="s">
        <v>933</v>
      </c>
      <c r="D2926" s="17">
        <v>6086</v>
      </c>
      <c r="E2926" s="17" t="e">
        <f>#REF!</f>
        <v>#REF!</v>
      </c>
      <c r="F2926" s="20">
        <v>7296627</v>
      </c>
    </row>
    <row r="2927" spans="1:6" ht="16" customHeight="1" x14ac:dyDescent="0.2">
      <c r="A2927">
        <f>IFERROR(VLOOKUP(C2927,'GASB Match'!$D$2:$F$6042,3,FALSE),"")</f>
        <v>3408820</v>
      </c>
      <c r="B2927" s="17">
        <v>2019</v>
      </c>
      <c r="C2927" s="17" t="s">
        <v>933</v>
      </c>
      <c r="D2927" s="17">
        <v>6086</v>
      </c>
      <c r="E2927" s="17" t="e">
        <f>#REF!</f>
        <v>#REF!</v>
      </c>
      <c r="F2927" s="20">
        <v>9899564</v>
      </c>
    </row>
    <row r="2928" spans="1:6" ht="16" customHeight="1" x14ac:dyDescent="0.2">
      <c r="A2928">
        <f>IFERROR(VLOOKUP(C2928,'GASB Match'!$D$2:$F$6042,3,FALSE),"")</f>
        <v>3408820</v>
      </c>
      <c r="B2928" s="17">
        <v>2020</v>
      </c>
      <c r="C2928" s="21" t="s">
        <v>933</v>
      </c>
      <c r="D2928" s="17">
        <v>6086</v>
      </c>
      <c r="E2928" s="17" t="e">
        <f>#REF!</f>
        <v>#REF!</v>
      </c>
      <c r="F2928" s="23">
        <v>11217501</v>
      </c>
    </row>
    <row r="2929" spans="1:6" ht="16" customHeight="1" x14ac:dyDescent="0.2">
      <c r="A2929">
        <f>IFERROR(VLOOKUP(C2929,'GASB Match'!$D$2:$F$6042,3,FALSE),"")</f>
        <v>3408820</v>
      </c>
      <c r="B2929" s="17">
        <v>2021</v>
      </c>
      <c r="C2929" s="25" t="s">
        <v>933</v>
      </c>
      <c r="D2929" s="17">
        <v>6086</v>
      </c>
      <c r="E2929" s="17" t="e">
        <f>#REF!</f>
        <v>#REF!</v>
      </c>
      <c r="F2929" s="23">
        <v>14289613</v>
      </c>
    </row>
    <row r="2930" spans="1:6" ht="16" customHeight="1" x14ac:dyDescent="0.2">
      <c r="A2930">
        <f>IFERROR(VLOOKUP(C2930,'GASB Match'!$D$2:$F$6042,3,FALSE),"")</f>
        <v>3408820</v>
      </c>
      <c r="B2930" s="17">
        <v>2022</v>
      </c>
      <c r="C2930" s="21" t="s">
        <v>933</v>
      </c>
      <c r="D2930" s="17">
        <v>6086</v>
      </c>
      <c r="E2930" s="17" t="e">
        <f>#REF!</f>
        <v>#REF!</v>
      </c>
      <c r="F2930" s="23">
        <v>20297113</v>
      </c>
    </row>
    <row r="2931" spans="1:6" ht="16" customHeight="1" x14ac:dyDescent="0.2">
      <c r="A2931">
        <f>IFERROR(VLOOKUP(C2931,'GASB Match'!$D$2:$F$6042,3,FALSE),"")</f>
        <v>3408820</v>
      </c>
      <c r="B2931" s="17">
        <v>2023</v>
      </c>
      <c r="C2931" s="21" t="s">
        <v>933</v>
      </c>
      <c r="D2931" s="17">
        <v>6086</v>
      </c>
      <c r="E2931" s="17" t="e">
        <f>#REF!</f>
        <v>#REF!</v>
      </c>
      <c r="F2931" s="23">
        <v>20580707</v>
      </c>
    </row>
    <row r="2932" spans="1:6" ht="16" customHeight="1" x14ac:dyDescent="0.2">
      <c r="A2932">
        <f>IFERROR(VLOOKUP(C2932,'GASB Match'!$D$2:$F$6042,3,FALSE),"")</f>
        <v>3408820</v>
      </c>
      <c r="B2932" s="28">
        <v>2017</v>
      </c>
      <c r="C2932" s="29" t="s">
        <v>246</v>
      </c>
      <c r="D2932" s="17">
        <v>6086</v>
      </c>
      <c r="E2932" s="17" t="e">
        <f>#REF!</f>
        <v>#REF!</v>
      </c>
      <c r="F2932" s="29">
        <v>5278293</v>
      </c>
    </row>
    <row r="2933" spans="1:6" ht="16" customHeight="1" x14ac:dyDescent="0.2">
      <c r="A2933">
        <f>IFERROR(VLOOKUP(C2933,'GASB Match'!$D$2:$F$6042,3,FALSE),"")</f>
        <v>3408850</v>
      </c>
      <c r="B2933" s="17">
        <v>2015</v>
      </c>
      <c r="C2933" s="17" t="s">
        <v>62</v>
      </c>
      <c r="D2933" s="17">
        <v>2053</v>
      </c>
      <c r="E2933" s="17" t="e">
        <f>#REF!</f>
        <v>#REF!</v>
      </c>
      <c r="F2933" s="20">
        <v>1083259</v>
      </c>
    </row>
    <row r="2934" spans="1:6" ht="16" customHeight="1" x14ac:dyDescent="0.2">
      <c r="A2934">
        <f>IFERROR(VLOOKUP(C2934,'GASB Match'!$D$2:$F$6042,3,FALSE),"")</f>
        <v>3408850</v>
      </c>
      <c r="B2934" s="17">
        <v>2016</v>
      </c>
      <c r="C2934" s="17" t="s">
        <v>62</v>
      </c>
      <c r="D2934" s="17">
        <v>2053</v>
      </c>
      <c r="E2934" s="17" t="e">
        <f>#REF!</f>
        <v>#REF!</v>
      </c>
      <c r="F2934" s="20">
        <v>1626320</v>
      </c>
    </row>
    <row r="2935" spans="1:6" ht="16" customHeight="1" x14ac:dyDescent="0.2">
      <c r="A2935">
        <f>IFERROR(VLOOKUP(C2935,'GASB Match'!$D$2:$F$6042,3,FALSE),"")</f>
        <v>3408850</v>
      </c>
      <c r="B2935" s="17">
        <v>2018</v>
      </c>
      <c r="C2935" s="17" t="s">
        <v>740</v>
      </c>
      <c r="D2935" s="17">
        <v>2053</v>
      </c>
      <c r="E2935" s="17" t="e">
        <f>#REF!</f>
        <v>#REF!</v>
      </c>
      <c r="F2935" s="20">
        <v>3018411</v>
      </c>
    </row>
    <row r="2936" spans="1:6" ht="16" customHeight="1" x14ac:dyDescent="0.2">
      <c r="A2936">
        <f>IFERROR(VLOOKUP(C2936,'GASB Match'!$D$2:$F$6042,3,FALSE),"")</f>
        <v>3408850</v>
      </c>
      <c r="B2936" s="17">
        <v>2019</v>
      </c>
      <c r="C2936" s="17" t="s">
        <v>740</v>
      </c>
      <c r="D2936" s="17">
        <v>2053</v>
      </c>
      <c r="E2936" s="17" t="e">
        <f>#REF!</f>
        <v>#REF!</v>
      </c>
      <c r="F2936" s="20">
        <v>3821441</v>
      </c>
    </row>
    <row r="2937" spans="1:6" ht="16" customHeight="1" x14ac:dyDescent="0.2">
      <c r="A2937">
        <f>IFERROR(VLOOKUP(C2937,'GASB Match'!$D$2:$F$6042,3,FALSE),"")</f>
        <v>3408850</v>
      </c>
      <c r="B2937" s="17">
        <v>2020</v>
      </c>
      <c r="C2937" s="21" t="s">
        <v>740</v>
      </c>
      <c r="D2937" s="17">
        <v>2053</v>
      </c>
      <c r="E2937" s="17" t="e">
        <f>#REF!</f>
        <v>#REF!</v>
      </c>
      <c r="F2937" s="23">
        <v>4355389</v>
      </c>
    </row>
    <row r="2938" spans="1:6" ht="16" customHeight="1" x14ac:dyDescent="0.2">
      <c r="A2938">
        <f>IFERROR(VLOOKUP(C2938,'GASB Match'!$D$2:$F$6042,3,FALSE),"")</f>
        <v>3408850</v>
      </c>
      <c r="B2938" s="17">
        <v>2021</v>
      </c>
      <c r="C2938" s="25" t="s">
        <v>740</v>
      </c>
      <c r="D2938" s="17">
        <v>2053</v>
      </c>
      <c r="E2938" s="17" t="e">
        <f>#REF!</f>
        <v>#REF!</v>
      </c>
      <c r="F2938" s="23">
        <v>5624487</v>
      </c>
    </row>
    <row r="2939" spans="1:6" ht="16" customHeight="1" x14ac:dyDescent="0.2">
      <c r="A2939">
        <f>IFERROR(VLOOKUP(C2939,'GASB Match'!$D$2:$F$6042,3,FALSE),"")</f>
        <v>3408850</v>
      </c>
      <c r="B2939" s="17">
        <v>2022</v>
      </c>
      <c r="C2939" s="21" t="s">
        <v>740</v>
      </c>
      <c r="D2939" s="17">
        <v>2053</v>
      </c>
      <c r="E2939" s="17" t="e">
        <f>#REF!</f>
        <v>#REF!</v>
      </c>
      <c r="F2939" s="23">
        <v>7998986</v>
      </c>
    </row>
    <row r="2940" spans="1:6" ht="16" customHeight="1" x14ac:dyDescent="0.2">
      <c r="A2940">
        <f>IFERROR(VLOOKUP(C2940,'GASB Match'!$D$2:$F$6042,3,FALSE),"")</f>
        <v>3408850</v>
      </c>
      <c r="B2940" s="17">
        <v>2023</v>
      </c>
      <c r="C2940" s="21" t="s">
        <v>740</v>
      </c>
      <c r="D2940" s="17">
        <v>2053</v>
      </c>
      <c r="E2940" s="17" t="e">
        <f>#REF!</f>
        <v>#REF!</v>
      </c>
      <c r="F2940" s="23">
        <v>7874105</v>
      </c>
    </row>
    <row r="2941" spans="1:6" ht="16" customHeight="1" x14ac:dyDescent="0.2">
      <c r="A2941">
        <f>IFERROR(VLOOKUP(C2941,'GASB Match'!$D$2:$F$6042,3,FALSE),"")</f>
        <v>3408850</v>
      </c>
      <c r="B2941" s="28">
        <v>2017</v>
      </c>
      <c r="C2941" s="29" t="s">
        <v>62</v>
      </c>
      <c r="D2941" s="17">
        <v>2053</v>
      </c>
      <c r="E2941" s="17" t="e">
        <f>#REF!</f>
        <v>#REF!</v>
      </c>
      <c r="F2941" s="29">
        <v>2302601</v>
      </c>
    </row>
    <row r="2942" spans="1:6" ht="16" customHeight="1" x14ac:dyDescent="0.2">
      <c r="A2942">
        <f>IFERROR(VLOOKUP(C2942,'GASB Match'!$D$2:$F$6042,3,FALSE),"")</f>
        <v>3408880</v>
      </c>
      <c r="B2942" s="17">
        <v>2015</v>
      </c>
      <c r="C2942" s="17" t="s">
        <v>287</v>
      </c>
      <c r="D2942" s="17">
        <v>7019</v>
      </c>
      <c r="E2942" s="17" t="e">
        <f>#REF!</f>
        <v>#REF!</v>
      </c>
      <c r="F2942" s="20">
        <v>327352</v>
      </c>
    </row>
    <row r="2943" spans="1:6" ht="16" customHeight="1" x14ac:dyDescent="0.2">
      <c r="A2943">
        <f>IFERROR(VLOOKUP(C2943,'GASB Match'!$D$2:$F$6042,3,FALSE),"")</f>
        <v>3408880</v>
      </c>
      <c r="B2943" s="17">
        <v>2016</v>
      </c>
      <c r="C2943" s="17" t="s">
        <v>287</v>
      </c>
      <c r="D2943" s="17">
        <v>7019</v>
      </c>
      <c r="E2943" s="17" t="e">
        <f>#REF!</f>
        <v>#REF!</v>
      </c>
      <c r="F2943" s="20">
        <v>464551</v>
      </c>
    </row>
    <row r="2944" spans="1:6" ht="16" customHeight="1" x14ac:dyDescent="0.2">
      <c r="A2944">
        <f>IFERROR(VLOOKUP(C2944,'GASB Match'!$D$2:$F$6042,3,FALSE),"")</f>
        <v>3408880</v>
      </c>
      <c r="B2944" s="17">
        <v>2018</v>
      </c>
      <c r="C2944" s="17" t="s">
        <v>977</v>
      </c>
      <c r="D2944" s="17">
        <v>7019</v>
      </c>
      <c r="E2944" s="17" t="e">
        <f>#REF!</f>
        <v>#REF!</v>
      </c>
      <c r="F2944" s="20">
        <v>979904</v>
      </c>
    </row>
    <row r="2945" spans="1:6" ht="16" customHeight="1" x14ac:dyDescent="0.2">
      <c r="A2945">
        <f>IFERROR(VLOOKUP(C2945,'GASB Match'!$D$2:$F$6042,3,FALSE),"")</f>
        <v>3408880</v>
      </c>
      <c r="B2945" s="17">
        <v>2019</v>
      </c>
      <c r="C2945" s="17" t="s">
        <v>977</v>
      </c>
      <c r="D2945" s="17">
        <v>7019</v>
      </c>
      <c r="E2945" s="17" t="e">
        <f>#REF!</f>
        <v>#REF!</v>
      </c>
      <c r="F2945" s="20">
        <v>1327109</v>
      </c>
    </row>
    <row r="2946" spans="1:6" ht="16" customHeight="1" x14ac:dyDescent="0.2">
      <c r="A2946">
        <f>IFERROR(VLOOKUP(C2946,'GASB Match'!$D$2:$F$6042,3,FALSE),"")</f>
        <v>3408880</v>
      </c>
      <c r="B2946" s="17">
        <v>2020</v>
      </c>
      <c r="C2946" s="21" t="s">
        <v>977</v>
      </c>
      <c r="D2946" s="17">
        <v>7019</v>
      </c>
      <c r="E2946" s="17" t="e">
        <f>#REF!</f>
        <v>#REF!</v>
      </c>
      <c r="F2946" s="23">
        <v>1476717</v>
      </c>
    </row>
    <row r="2947" spans="1:6" ht="16" customHeight="1" x14ac:dyDescent="0.2">
      <c r="A2947">
        <f>IFERROR(VLOOKUP(C2947,'GASB Match'!$D$2:$F$6042,3,FALSE),"")</f>
        <v>3408880</v>
      </c>
      <c r="B2947" s="17">
        <v>2021</v>
      </c>
      <c r="C2947" s="25" t="s">
        <v>977</v>
      </c>
      <c r="D2947" s="17">
        <v>7019</v>
      </c>
      <c r="E2947" s="17" t="e">
        <f>#REF!</f>
        <v>#REF!</v>
      </c>
      <c r="F2947" s="23">
        <v>1985532</v>
      </c>
    </row>
    <row r="2948" spans="1:6" ht="16" customHeight="1" x14ac:dyDescent="0.2">
      <c r="A2948">
        <f>IFERROR(VLOOKUP(C2948,'GASB Match'!$D$2:$F$6042,3,FALSE),"")</f>
        <v>3408880</v>
      </c>
      <c r="B2948" s="17">
        <v>2022</v>
      </c>
      <c r="C2948" s="21" t="s">
        <v>977</v>
      </c>
      <c r="D2948" s="17">
        <v>7019</v>
      </c>
      <c r="E2948" s="17" t="e">
        <f>#REF!</f>
        <v>#REF!</v>
      </c>
      <c r="F2948" s="23">
        <v>2715087</v>
      </c>
    </row>
    <row r="2949" spans="1:6" ht="16" customHeight="1" x14ac:dyDescent="0.2">
      <c r="A2949">
        <f>IFERROR(VLOOKUP(C2949,'GASB Match'!$D$2:$F$6042,3,FALSE),"")</f>
        <v>3408880</v>
      </c>
      <c r="B2949" s="17">
        <v>2023</v>
      </c>
      <c r="C2949" s="21" t="s">
        <v>977</v>
      </c>
      <c r="D2949" s="17">
        <v>7019</v>
      </c>
      <c r="E2949" s="17" t="e">
        <f>#REF!</f>
        <v>#REF!</v>
      </c>
      <c r="F2949" s="23">
        <v>2566998</v>
      </c>
    </row>
    <row r="2950" spans="1:6" ht="16" customHeight="1" x14ac:dyDescent="0.2">
      <c r="A2950">
        <f>IFERROR(VLOOKUP(C2950,'GASB Match'!$D$2:$F$6042,3,FALSE),"")</f>
        <v>3408880</v>
      </c>
      <c r="B2950" s="28">
        <v>2017</v>
      </c>
      <c r="C2950" s="29" t="s">
        <v>287</v>
      </c>
      <c r="D2950" s="17">
        <v>7019</v>
      </c>
      <c r="E2950" s="17" t="e">
        <f>#REF!</f>
        <v>#REF!</v>
      </c>
      <c r="F2950" s="29">
        <v>688116</v>
      </c>
    </row>
    <row r="2951" spans="1:6" ht="16" customHeight="1" x14ac:dyDescent="0.2">
      <c r="A2951">
        <f>IFERROR(VLOOKUP(C2951,'GASB Match'!$D$2:$F$6042,3,FALSE),"")</f>
        <v>3408910</v>
      </c>
      <c r="B2951" s="17">
        <v>2015</v>
      </c>
      <c r="C2951" s="17" t="s">
        <v>508</v>
      </c>
      <c r="D2951" s="17">
        <v>545</v>
      </c>
      <c r="E2951" s="17" t="e">
        <f>#REF!</f>
        <v>#REF!</v>
      </c>
      <c r="F2951" s="20">
        <v>129753</v>
      </c>
    </row>
    <row r="2952" spans="1:6" ht="16" customHeight="1" x14ac:dyDescent="0.2">
      <c r="A2952">
        <f>IFERROR(VLOOKUP(C2952,'GASB Match'!$D$2:$F$6042,3,FALSE),"")</f>
        <v>3408910</v>
      </c>
      <c r="B2952" s="17">
        <v>2016</v>
      </c>
      <c r="C2952" s="17" t="s">
        <v>508</v>
      </c>
      <c r="D2952" s="17">
        <v>545</v>
      </c>
      <c r="E2952" s="17" t="e">
        <f>#REF!</f>
        <v>#REF!</v>
      </c>
      <c r="F2952" s="20">
        <v>177831</v>
      </c>
    </row>
    <row r="2953" spans="1:6" ht="16" customHeight="1" x14ac:dyDescent="0.2">
      <c r="A2953">
        <f>IFERROR(VLOOKUP(C2953,'GASB Match'!$D$2:$F$6042,3,FALSE),"")</f>
        <v>3408910</v>
      </c>
      <c r="B2953" s="17">
        <v>2018</v>
      </c>
      <c r="C2953" s="17" t="s">
        <v>1200</v>
      </c>
      <c r="D2953" s="17">
        <v>545</v>
      </c>
      <c r="E2953" s="17" t="e">
        <f>#REF!</f>
        <v>#REF!</v>
      </c>
      <c r="F2953" s="20">
        <v>375222</v>
      </c>
    </row>
    <row r="2954" spans="1:6" ht="16" customHeight="1" x14ac:dyDescent="0.2">
      <c r="A2954">
        <f>IFERROR(VLOOKUP(C2954,'GASB Match'!$D$2:$F$6042,3,FALSE),"")</f>
        <v>3408910</v>
      </c>
      <c r="B2954" s="17">
        <v>2019</v>
      </c>
      <c r="C2954" s="17" t="s">
        <v>1200</v>
      </c>
      <c r="D2954" s="17">
        <v>545</v>
      </c>
      <c r="E2954" s="17" t="e">
        <f>#REF!</f>
        <v>#REF!</v>
      </c>
      <c r="F2954" s="20">
        <v>510759</v>
      </c>
    </row>
    <row r="2955" spans="1:6" ht="16" customHeight="1" x14ac:dyDescent="0.2">
      <c r="A2955">
        <f>IFERROR(VLOOKUP(C2955,'GASB Match'!$D$2:$F$6042,3,FALSE),"")</f>
        <v>3408910</v>
      </c>
      <c r="B2955" s="17">
        <v>2020</v>
      </c>
      <c r="C2955" s="21" t="s">
        <v>1200</v>
      </c>
      <c r="D2955" s="17">
        <v>545</v>
      </c>
      <c r="E2955" s="17" t="e">
        <f>#REF!</f>
        <v>#REF!</v>
      </c>
      <c r="F2955" s="23">
        <v>584144</v>
      </c>
    </row>
    <row r="2956" spans="1:6" ht="16" customHeight="1" x14ac:dyDescent="0.2">
      <c r="A2956">
        <f>IFERROR(VLOOKUP(C2956,'GASB Match'!$D$2:$F$6042,3,FALSE),"")</f>
        <v>3408910</v>
      </c>
      <c r="B2956" s="17">
        <v>2021</v>
      </c>
      <c r="C2956" s="25" t="s">
        <v>1200</v>
      </c>
      <c r="D2956" s="17">
        <v>545</v>
      </c>
      <c r="E2956" s="17" t="e">
        <f>#REF!</f>
        <v>#REF!</v>
      </c>
      <c r="F2956" s="23">
        <v>738458</v>
      </c>
    </row>
    <row r="2957" spans="1:6" ht="16" customHeight="1" x14ac:dyDescent="0.2">
      <c r="A2957">
        <f>IFERROR(VLOOKUP(C2957,'GASB Match'!$D$2:$F$6042,3,FALSE),"")</f>
        <v>3408910</v>
      </c>
      <c r="B2957" s="17">
        <v>2022</v>
      </c>
      <c r="C2957" s="21" t="s">
        <v>1200</v>
      </c>
      <c r="D2957" s="17">
        <v>545</v>
      </c>
      <c r="E2957" s="17" t="e">
        <f>#REF!</f>
        <v>#REF!</v>
      </c>
      <c r="F2957" s="23">
        <v>1023347</v>
      </c>
    </row>
    <row r="2958" spans="1:6" ht="16" customHeight="1" x14ac:dyDescent="0.2">
      <c r="A2958">
        <f>IFERROR(VLOOKUP(C2958,'GASB Match'!$D$2:$F$6042,3,FALSE),"")</f>
        <v>3408910</v>
      </c>
      <c r="B2958" s="17">
        <v>2023</v>
      </c>
      <c r="C2958" s="21" t="s">
        <v>1200</v>
      </c>
      <c r="D2958" s="17">
        <v>545</v>
      </c>
      <c r="E2958" s="17" t="e">
        <f>#REF!</f>
        <v>#REF!</v>
      </c>
      <c r="F2958" s="23">
        <v>1036143</v>
      </c>
    </row>
    <row r="2959" spans="1:6" ht="16" customHeight="1" x14ac:dyDescent="0.2">
      <c r="A2959">
        <f>IFERROR(VLOOKUP(C2959,'GASB Match'!$D$2:$F$6042,3,FALSE),"")</f>
        <v>3408910</v>
      </c>
      <c r="B2959" s="28">
        <v>2017</v>
      </c>
      <c r="C2959" s="29" t="s">
        <v>508</v>
      </c>
      <c r="D2959" s="17">
        <v>545</v>
      </c>
      <c r="E2959" s="17" t="e">
        <f>#REF!</f>
        <v>#REF!</v>
      </c>
      <c r="F2959" s="29">
        <v>281106</v>
      </c>
    </row>
    <row r="2960" spans="1:6" ht="16" customHeight="1" x14ac:dyDescent="0.2">
      <c r="A2960">
        <f>IFERROR(VLOOKUP(C2960,'GASB Match'!$D$2:$F$6042,3,FALSE),"")</f>
        <v>3408940</v>
      </c>
      <c r="B2960" s="17">
        <v>2015</v>
      </c>
      <c r="C2960" s="17" t="s">
        <v>424</v>
      </c>
      <c r="D2960" s="17">
        <v>310</v>
      </c>
      <c r="E2960" s="17" t="e">
        <f>#REF!</f>
        <v>#REF!</v>
      </c>
      <c r="F2960" s="20">
        <v>2076271</v>
      </c>
    </row>
    <row r="2961" spans="1:6" ht="16" customHeight="1" x14ac:dyDescent="0.2">
      <c r="A2961">
        <f>IFERROR(VLOOKUP(C2961,'GASB Match'!$D$2:$F$6042,3,FALSE),"")</f>
        <v>3408940</v>
      </c>
      <c r="B2961" s="17">
        <v>2016</v>
      </c>
      <c r="C2961" s="17" t="s">
        <v>424</v>
      </c>
      <c r="D2961" s="17">
        <v>310</v>
      </c>
      <c r="E2961" s="17" t="e">
        <f>#REF!</f>
        <v>#REF!</v>
      </c>
      <c r="F2961" s="20">
        <v>3028729</v>
      </c>
    </row>
    <row r="2962" spans="1:6" ht="16" customHeight="1" x14ac:dyDescent="0.2">
      <c r="A2962">
        <f>IFERROR(VLOOKUP(C2962,'GASB Match'!$D$2:$F$6042,3,FALSE),"")</f>
        <v>3408940</v>
      </c>
      <c r="B2962" s="17">
        <v>2018</v>
      </c>
      <c r="C2962" s="17" t="s">
        <v>1116</v>
      </c>
      <c r="D2962" s="17">
        <v>310</v>
      </c>
      <c r="E2962" s="17" t="e">
        <f>#REF!</f>
        <v>#REF!</v>
      </c>
      <c r="F2962" s="20">
        <v>5761666</v>
      </c>
    </row>
    <row r="2963" spans="1:6" ht="16" customHeight="1" x14ac:dyDescent="0.2">
      <c r="A2963">
        <f>IFERROR(VLOOKUP(C2963,'GASB Match'!$D$2:$F$6042,3,FALSE),"")</f>
        <v>3408940</v>
      </c>
      <c r="B2963" s="17">
        <v>2019</v>
      </c>
      <c r="C2963" s="17" t="s">
        <v>1116</v>
      </c>
      <c r="D2963" s="17">
        <v>310</v>
      </c>
      <c r="E2963" s="17" t="e">
        <f>#REF!</f>
        <v>#REF!</v>
      </c>
      <c r="F2963" s="20">
        <v>7649959</v>
      </c>
    </row>
    <row r="2964" spans="1:6" ht="16" customHeight="1" x14ac:dyDescent="0.2">
      <c r="A2964">
        <f>IFERROR(VLOOKUP(C2964,'GASB Match'!$D$2:$F$6042,3,FALSE),"")</f>
        <v>3408940</v>
      </c>
      <c r="B2964" s="17">
        <v>2020</v>
      </c>
      <c r="C2964" s="21" t="s">
        <v>1116</v>
      </c>
      <c r="D2964" s="17">
        <v>310</v>
      </c>
      <c r="E2964" s="17" t="e">
        <f>#REF!</f>
        <v>#REF!</v>
      </c>
      <c r="F2964" s="23">
        <v>8621757</v>
      </c>
    </row>
    <row r="2965" spans="1:6" ht="16" customHeight="1" x14ac:dyDescent="0.2">
      <c r="A2965">
        <f>IFERROR(VLOOKUP(C2965,'GASB Match'!$D$2:$F$6042,3,FALSE),"")</f>
        <v>3408940</v>
      </c>
      <c r="B2965" s="17">
        <v>2021</v>
      </c>
      <c r="C2965" s="25" t="s">
        <v>1116</v>
      </c>
      <c r="D2965" s="17">
        <v>310</v>
      </c>
      <c r="E2965" s="17" t="e">
        <f>#REF!</f>
        <v>#REF!</v>
      </c>
      <c r="F2965" s="23">
        <v>10985630</v>
      </c>
    </row>
    <row r="2966" spans="1:6" ht="16" customHeight="1" x14ac:dyDescent="0.2">
      <c r="A2966">
        <f>IFERROR(VLOOKUP(C2966,'GASB Match'!$D$2:$F$6042,3,FALSE),"")</f>
        <v>3408940</v>
      </c>
      <c r="B2966" s="17">
        <v>2022</v>
      </c>
      <c r="C2966" s="21" t="s">
        <v>1116</v>
      </c>
      <c r="D2966" s="17">
        <v>310</v>
      </c>
      <c r="E2966" s="17" t="e">
        <f>#REF!</f>
        <v>#REF!</v>
      </c>
      <c r="F2966" s="23">
        <v>15887860</v>
      </c>
    </row>
    <row r="2967" spans="1:6" ht="16" customHeight="1" x14ac:dyDescent="0.2">
      <c r="A2967">
        <f>IFERROR(VLOOKUP(C2967,'GASB Match'!$D$2:$F$6042,3,FALSE),"")</f>
        <v>3408940</v>
      </c>
      <c r="B2967" s="17">
        <v>2023</v>
      </c>
      <c r="C2967" s="21" t="s">
        <v>1116</v>
      </c>
      <c r="D2967" s="17">
        <v>310</v>
      </c>
      <c r="E2967" s="17" t="e">
        <f>#REF!</f>
        <v>#REF!</v>
      </c>
      <c r="F2967" s="23">
        <v>16092023</v>
      </c>
    </row>
    <row r="2968" spans="1:6" ht="16" customHeight="1" x14ac:dyDescent="0.2">
      <c r="A2968">
        <f>IFERROR(VLOOKUP(C2968,'GASB Match'!$D$2:$F$6042,3,FALSE),"")</f>
        <v>3408940</v>
      </c>
      <c r="B2968" s="28">
        <v>2017</v>
      </c>
      <c r="C2968" s="29" t="s">
        <v>424</v>
      </c>
      <c r="D2968" s="17">
        <v>310</v>
      </c>
      <c r="E2968" s="17" t="e">
        <f>#REF!</f>
        <v>#REF!</v>
      </c>
      <c r="F2968" s="29">
        <v>4289496</v>
      </c>
    </row>
    <row r="2969" spans="1:6" ht="16" customHeight="1" x14ac:dyDescent="0.2">
      <c r="A2969">
        <f>IFERROR(VLOOKUP(C2969,'GASB Match'!$D$2:$F$6042,3,FALSE),"")</f>
        <v>3412660</v>
      </c>
      <c r="B2969" s="17">
        <v>2015</v>
      </c>
      <c r="C2969" s="17" t="s">
        <v>469</v>
      </c>
      <c r="D2969" s="17">
        <v>438</v>
      </c>
      <c r="E2969" s="17" t="e">
        <f>#REF!</f>
        <v>#REF!</v>
      </c>
      <c r="F2969" s="20">
        <v>336919</v>
      </c>
    </row>
    <row r="2970" spans="1:6" ht="16" customHeight="1" x14ac:dyDescent="0.2">
      <c r="A2970">
        <f>IFERROR(VLOOKUP(C2970,'GASB Match'!$D$2:$F$6042,3,FALSE),"")</f>
        <v>3412660</v>
      </c>
      <c r="B2970" s="17">
        <v>2016</v>
      </c>
      <c r="C2970" s="17" t="s">
        <v>469</v>
      </c>
      <c r="D2970" s="17">
        <v>438</v>
      </c>
      <c r="E2970" s="17" t="e">
        <f>#REF!</f>
        <v>#REF!</v>
      </c>
      <c r="F2970" s="19">
        <v>536419</v>
      </c>
    </row>
    <row r="2971" spans="1:6" ht="16" customHeight="1" x14ac:dyDescent="0.2">
      <c r="A2971">
        <f>IFERROR(VLOOKUP(C2971,'GASB Match'!$D$2:$F$6042,3,FALSE),"")</f>
        <v>3412660</v>
      </c>
      <c r="B2971" s="17">
        <v>2018</v>
      </c>
      <c r="C2971" s="17" t="s">
        <v>1161</v>
      </c>
      <c r="D2971" s="17">
        <v>438</v>
      </c>
      <c r="E2971" s="17" t="e">
        <f>#REF!</f>
        <v>#REF!</v>
      </c>
      <c r="F2971" s="20">
        <v>972788</v>
      </c>
    </row>
    <row r="2972" spans="1:6" ht="16" customHeight="1" x14ac:dyDescent="0.2">
      <c r="A2972">
        <f>IFERROR(VLOOKUP(C2972,'GASB Match'!$D$2:$F$6042,3,FALSE),"")</f>
        <v>3412660</v>
      </c>
      <c r="B2972" s="17">
        <v>2019</v>
      </c>
      <c r="C2972" s="17" t="s">
        <v>1161</v>
      </c>
      <c r="D2972" s="17">
        <v>438</v>
      </c>
      <c r="E2972" s="17" t="e">
        <f>#REF!</f>
        <v>#REF!</v>
      </c>
      <c r="F2972" s="20">
        <v>1321879</v>
      </c>
    </row>
    <row r="2973" spans="1:6" ht="16" customHeight="1" x14ac:dyDescent="0.2">
      <c r="A2973">
        <f>IFERROR(VLOOKUP(C2973,'GASB Match'!$D$2:$F$6042,3,FALSE),"")</f>
        <v>3412660</v>
      </c>
      <c r="B2973" s="17">
        <v>2020</v>
      </c>
      <c r="C2973" s="21" t="s">
        <v>1161</v>
      </c>
      <c r="D2973" s="17">
        <v>438</v>
      </c>
      <c r="E2973" s="17" t="e">
        <f>#REF!</f>
        <v>#REF!</v>
      </c>
      <c r="F2973" s="23">
        <v>1490293</v>
      </c>
    </row>
    <row r="2974" spans="1:6" ht="16" customHeight="1" x14ac:dyDescent="0.2">
      <c r="A2974">
        <f>IFERROR(VLOOKUP(C2974,'GASB Match'!$D$2:$F$6042,3,FALSE),"")</f>
        <v>3412660</v>
      </c>
      <c r="B2974" s="17">
        <v>2021</v>
      </c>
      <c r="C2974" s="25" t="s">
        <v>1161</v>
      </c>
      <c r="D2974" s="17">
        <v>438</v>
      </c>
      <c r="E2974" s="17" t="e">
        <f>#REF!</f>
        <v>#REF!</v>
      </c>
      <c r="F2974" s="23">
        <v>1939692</v>
      </c>
    </row>
    <row r="2975" spans="1:6" ht="16" customHeight="1" x14ac:dyDescent="0.2">
      <c r="A2975">
        <f>IFERROR(VLOOKUP(C2975,'GASB Match'!$D$2:$F$6042,3,FALSE),"")</f>
        <v>3412660</v>
      </c>
      <c r="B2975" s="17">
        <v>2022</v>
      </c>
      <c r="C2975" s="21" t="s">
        <v>1161</v>
      </c>
      <c r="D2975" s="17">
        <v>438</v>
      </c>
      <c r="E2975" s="17" t="e">
        <f>#REF!</f>
        <v>#REF!</v>
      </c>
      <c r="F2975" s="23">
        <v>2646268</v>
      </c>
    </row>
    <row r="2976" spans="1:6" ht="16" customHeight="1" x14ac:dyDescent="0.2">
      <c r="A2976">
        <f>IFERROR(VLOOKUP(C2976,'GASB Match'!$D$2:$F$6042,3,FALSE),"")</f>
        <v>3412660</v>
      </c>
      <c r="B2976" s="17">
        <v>2023</v>
      </c>
      <c r="C2976" s="21" t="s">
        <v>1161</v>
      </c>
      <c r="D2976" s="17">
        <v>438</v>
      </c>
      <c r="E2976" s="17" t="e">
        <f>#REF!</f>
        <v>#REF!</v>
      </c>
      <c r="F2976" s="23">
        <v>2631495</v>
      </c>
    </row>
    <row r="2977" spans="1:6" ht="16" customHeight="1" x14ac:dyDescent="0.2">
      <c r="A2977">
        <f>IFERROR(VLOOKUP(C2977,'GASB Match'!$D$2:$F$6042,3,FALSE),"")</f>
        <v>3412660</v>
      </c>
      <c r="B2977" s="28">
        <v>2017</v>
      </c>
      <c r="C2977" s="29" t="s">
        <v>469</v>
      </c>
      <c r="D2977" s="17">
        <v>438</v>
      </c>
      <c r="E2977" s="17" t="e">
        <f>#REF!</f>
        <v>#REF!</v>
      </c>
      <c r="F2977" s="29">
        <v>758667</v>
      </c>
    </row>
    <row r="2978" spans="1:6" ht="16" customHeight="1" x14ac:dyDescent="0.2">
      <c r="A2978">
        <f>IFERROR(VLOOKUP(C2978,'GASB Match'!$D$2:$F$6042,3,FALSE),"")</f>
        <v>3409000</v>
      </c>
      <c r="B2978" s="17">
        <v>2015</v>
      </c>
      <c r="C2978" s="17" t="s">
        <v>649</v>
      </c>
      <c r="D2978" s="17">
        <v>926</v>
      </c>
      <c r="E2978" s="17" t="e">
        <f>#REF!</f>
        <v>#REF!</v>
      </c>
      <c r="F2978" s="20">
        <v>296120</v>
      </c>
    </row>
    <row r="2979" spans="1:6" ht="16" customHeight="1" x14ac:dyDescent="0.2">
      <c r="A2979">
        <f>IFERROR(VLOOKUP(C2979,'GASB Match'!$D$2:$F$6042,3,FALSE),"")</f>
        <v>3409000</v>
      </c>
      <c r="B2979" s="17">
        <v>2016</v>
      </c>
      <c r="C2979" s="17" t="s">
        <v>649</v>
      </c>
      <c r="D2979" s="17">
        <v>926</v>
      </c>
      <c r="E2979" s="17" t="e">
        <f>#REF!</f>
        <v>#REF!</v>
      </c>
      <c r="F2979" s="20">
        <v>449584</v>
      </c>
    </row>
    <row r="2980" spans="1:6" ht="16" customHeight="1" x14ac:dyDescent="0.2">
      <c r="A2980">
        <f>IFERROR(VLOOKUP(C2980,'GASB Match'!$D$2:$F$6042,3,FALSE),"")</f>
        <v>3409000</v>
      </c>
      <c r="B2980" s="17">
        <v>2018</v>
      </c>
      <c r="C2980" s="17" t="s">
        <v>1342</v>
      </c>
      <c r="D2980" s="17">
        <v>926</v>
      </c>
      <c r="E2980" s="17" t="e">
        <f>#REF!</f>
        <v>#REF!</v>
      </c>
      <c r="F2980" s="20">
        <v>709638</v>
      </c>
    </row>
    <row r="2981" spans="1:6" ht="16" customHeight="1" x14ac:dyDescent="0.2">
      <c r="A2981">
        <f>IFERROR(VLOOKUP(C2981,'GASB Match'!$D$2:$F$6042,3,FALSE),"")</f>
        <v>3409000</v>
      </c>
      <c r="B2981" s="17">
        <v>2019</v>
      </c>
      <c r="C2981" s="17" t="s">
        <v>1342</v>
      </c>
      <c r="D2981" s="17">
        <v>926</v>
      </c>
      <c r="E2981" s="17" t="e">
        <f>#REF!</f>
        <v>#REF!</v>
      </c>
      <c r="F2981" s="20">
        <v>847824</v>
      </c>
    </row>
    <row r="2982" spans="1:6" ht="16" customHeight="1" x14ac:dyDescent="0.2">
      <c r="A2982">
        <f>IFERROR(VLOOKUP(C2982,'GASB Match'!$D$2:$F$6042,3,FALSE),"")</f>
        <v>3409000</v>
      </c>
      <c r="B2982" s="17">
        <v>2020</v>
      </c>
      <c r="C2982" s="21" t="s">
        <v>1342</v>
      </c>
      <c r="D2982" s="17">
        <v>926</v>
      </c>
      <c r="E2982" s="17" t="e">
        <f>#REF!</f>
        <v>#REF!</v>
      </c>
      <c r="F2982" s="23">
        <v>954009</v>
      </c>
    </row>
    <row r="2983" spans="1:6" ht="16" customHeight="1" x14ac:dyDescent="0.2">
      <c r="A2983">
        <f>IFERROR(VLOOKUP(C2983,'GASB Match'!$D$2:$F$6042,3,FALSE),"")</f>
        <v>3409000</v>
      </c>
      <c r="B2983" s="17">
        <v>2021</v>
      </c>
      <c r="C2983" s="25" t="s">
        <v>1342</v>
      </c>
      <c r="D2983" s="17">
        <v>926</v>
      </c>
      <c r="E2983" s="17" t="e">
        <f>#REF!</f>
        <v>#REF!</v>
      </c>
      <c r="F2983" s="23">
        <v>1310510</v>
      </c>
    </row>
    <row r="2984" spans="1:6" ht="16" customHeight="1" x14ac:dyDescent="0.2">
      <c r="A2984">
        <f>IFERROR(VLOOKUP(C2984,'GASB Match'!$D$2:$F$6042,3,FALSE),"")</f>
        <v>3409000</v>
      </c>
      <c r="B2984" s="17">
        <v>2022</v>
      </c>
      <c r="C2984" s="21" t="s">
        <v>1342</v>
      </c>
      <c r="D2984" s="17">
        <v>926</v>
      </c>
      <c r="E2984" s="17" t="e">
        <f>#REF!</f>
        <v>#REF!</v>
      </c>
      <c r="F2984" s="23">
        <v>1731611</v>
      </c>
    </row>
    <row r="2985" spans="1:6" ht="16" customHeight="1" x14ac:dyDescent="0.2">
      <c r="A2985">
        <f>IFERROR(VLOOKUP(C2985,'GASB Match'!$D$2:$F$6042,3,FALSE),"")</f>
        <v>3409000</v>
      </c>
      <c r="B2985" s="17">
        <v>2023</v>
      </c>
      <c r="C2985" s="21" t="s">
        <v>1342</v>
      </c>
      <c r="D2985" s="17">
        <v>926</v>
      </c>
      <c r="E2985" s="17" t="e">
        <f>#REF!</f>
        <v>#REF!</v>
      </c>
      <c r="F2985" s="23">
        <v>1773588</v>
      </c>
    </row>
    <row r="2986" spans="1:6" ht="16" customHeight="1" x14ac:dyDescent="0.2">
      <c r="A2986">
        <f>IFERROR(VLOOKUP(C2986,'GASB Match'!$D$2:$F$6042,3,FALSE),"")</f>
        <v>3409000</v>
      </c>
      <c r="B2986" s="28">
        <v>2017</v>
      </c>
      <c r="C2986" s="29" t="s">
        <v>649</v>
      </c>
      <c r="D2986" s="17">
        <v>926</v>
      </c>
      <c r="E2986" s="17" t="e">
        <f>#REF!</f>
        <v>#REF!</v>
      </c>
      <c r="F2986" s="29">
        <v>582309</v>
      </c>
    </row>
    <row r="2987" spans="1:6" ht="16" customHeight="1" x14ac:dyDescent="0.2">
      <c r="A2987">
        <f>IFERROR(VLOOKUP(C2987,'GASB Match'!$D$2:$F$6042,3,FALSE),"")</f>
        <v>3409030</v>
      </c>
      <c r="B2987" s="17">
        <v>2015</v>
      </c>
      <c r="C2987" s="17" t="s">
        <v>551</v>
      </c>
      <c r="D2987" s="17">
        <v>714</v>
      </c>
      <c r="E2987" s="17" t="e">
        <f>#REF!</f>
        <v>#REF!</v>
      </c>
      <c r="F2987" s="20">
        <v>75493</v>
      </c>
    </row>
    <row r="2988" spans="1:6" ht="16" customHeight="1" x14ac:dyDescent="0.2">
      <c r="A2988">
        <f>IFERROR(VLOOKUP(C2988,'GASB Match'!$D$2:$F$6042,3,FALSE),"")</f>
        <v>3409030</v>
      </c>
      <c r="B2988" s="17">
        <v>2016</v>
      </c>
      <c r="C2988" s="17" t="s">
        <v>551</v>
      </c>
      <c r="D2988" s="17">
        <v>714</v>
      </c>
      <c r="E2988" s="17" t="e">
        <f>#REF!</f>
        <v>#REF!</v>
      </c>
      <c r="F2988" s="20">
        <v>118534</v>
      </c>
    </row>
    <row r="2989" spans="1:6" ht="16" customHeight="1" x14ac:dyDescent="0.2">
      <c r="A2989">
        <f>IFERROR(VLOOKUP(C2989,'GASB Match'!$D$2:$F$6042,3,FALSE),"")</f>
        <v>3409030</v>
      </c>
      <c r="B2989" s="17">
        <v>2018</v>
      </c>
      <c r="C2989" s="17" t="s">
        <v>1243</v>
      </c>
      <c r="D2989" s="17">
        <v>714</v>
      </c>
      <c r="E2989" s="17" t="e">
        <f>#REF!</f>
        <v>#REF!</v>
      </c>
      <c r="F2989" s="20">
        <v>217692</v>
      </c>
    </row>
    <row r="2990" spans="1:6" ht="16" customHeight="1" x14ac:dyDescent="0.2">
      <c r="A2990">
        <f>IFERROR(VLOOKUP(C2990,'GASB Match'!$D$2:$F$6042,3,FALSE),"")</f>
        <v>3409030</v>
      </c>
      <c r="B2990" s="17">
        <v>2019</v>
      </c>
      <c r="C2990" s="17" t="s">
        <v>1243</v>
      </c>
      <c r="D2990" s="17">
        <v>714</v>
      </c>
      <c r="E2990" s="17" t="e">
        <f>#REF!</f>
        <v>#REF!</v>
      </c>
      <c r="F2990" s="20">
        <v>287577</v>
      </c>
    </row>
    <row r="2991" spans="1:6" ht="16" customHeight="1" x14ac:dyDescent="0.2">
      <c r="A2991">
        <f>IFERROR(VLOOKUP(C2991,'GASB Match'!$D$2:$F$6042,3,FALSE),"")</f>
        <v>3409030</v>
      </c>
      <c r="B2991" s="17">
        <v>2020</v>
      </c>
      <c r="C2991" s="21" t="s">
        <v>1243</v>
      </c>
      <c r="D2991" s="17">
        <v>714</v>
      </c>
      <c r="E2991" s="17" t="e">
        <f>#REF!</f>
        <v>#REF!</v>
      </c>
      <c r="F2991" s="23">
        <v>296937</v>
      </c>
    </row>
    <row r="2992" spans="1:6" ht="16" customHeight="1" x14ac:dyDescent="0.2">
      <c r="A2992">
        <f>IFERROR(VLOOKUP(C2992,'GASB Match'!$D$2:$F$6042,3,FALSE),"")</f>
        <v>3409030</v>
      </c>
      <c r="B2992" s="17">
        <v>2021</v>
      </c>
      <c r="C2992" s="25" t="s">
        <v>1243</v>
      </c>
      <c r="D2992" s="17">
        <v>714</v>
      </c>
      <c r="E2992" s="17" t="e">
        <f>#REF!</f>
        <v>#REF!</v>
      </c>
      <c r="F2992" s="23">
        <v>382070</v>
      </c>
    </row>
    <row r="2993" spans="1:6" ht="16" customHeight="1" x14ac:dyDescent="0.2">
      <c r="A2993">
        <f>IFERROR(VLOOKUP(C2993,'GASB Match'!$D$2:$F$6042,3,FALSE),"")</f>
        <v>3409030</v>
      </c>
      <c r="B2993" s="17">
        <v>2022</v>
      </c>
      <c r="C2993" s="21" t="s">
        <v>1243</v>
      </c>
      <c r="D2993" s="17">
        <v>714</v>
      </c>
      <c r="E2993" s="17" t="e">
        <f>#REF!</f>
        <v>#REF!</v>
      </c>
      <c r="F2993" s="23">
        <v>571540</v>
      </c>
    </row>
    <row r="2994" spans="1:6" ht="16" customHeight="1" x14ac:dyDescent="0.2">
      <c r="A2994">
        <f>IFERROR(VLOOKUP(C2994,'GASB Match'!$D$2:$F$6042,3,FALSE),"")</f>
        <v>3409030</v>
      </c>
      <c r="B2994" s="17">
        <v>2023</v>
      </c>
      <c r="C2994" s="21" t="s">
        <v>1243</v>
      </c>
      <c r="D2994" s="17">
        <v>714</v>
      </c>
      <c r="E2994" s="17" t="e">
        <f>#REF!</f>
        <v>#REF!</v>
      </c>
      <c r="F2994" s="23">
        <v>503338</v>
      </c>
    </row>
    <row r="2995" spans="1:6" ht="16" customHeight="1" x14ac:dyDescent="0.2">
      <c r="A2995">
        <f>IFERROR(VLOOKUP(C2995,'GASB Match'!$D$2:$F$6042,3,FALSE),"")</f>
        <v>3409030</v>
      </c>
      <c r="B2995" s="28">
        <v>2017</v>
      </c>
      <c r="C2995" s="29" t="s">
        <v>551</v>
      </c>
      <c r="D2995" s="17">
        <v>714</v>
      </c>
      <c r="E2995" s="17" t="e">
        <f>#REF!</f>
        <v>#REF!</v>
      </c>
      <c r="F2995" s="29">
        <v>159798</v>
      </c>
    </row>
    <row r="2996" spans="1:6" ht="16" customHeight="1" x14ac:dyDescent="0.2">
      <c r="A2996">
        <f>IFERROR(VLOOKUP(C2996,'GASB Match'!$D$2:$F$6042,3,FALSE),"")</f>
        <v>3409090</v>
      </c>
      <c r="B2996" s="17">
        <v>2015</v>
      </c>
      <c r="C2996" s="17" t="s">
        <v>201</v>
      </c>
      <c r="D2996" s="17">
        <v>5027</v>
      </c>
      <c r="E2996" s="17" t="e">
        <f>#REF!</f>
        <v>#REF!</v>
      </c>
      <c r="F2996" s="20">
        <v>612682</v>
      </c>
    </row>
    <row r="2997" spans="1:6" ht="16" customHeight="1" x14ac:dyDescent="0.2">
      <c r="A2997">
        <f>IFERROR(VLOOKUP(C2997,'GASB Match'!$D$2:$F$6042,3,FALSE),"")</f>
        <v>3409090</v>
      </c>
      <c r="B2997" s="17">
        <v>2016</v>
      </c>
      <c r="C2997" s="17" t="s">
        <v>201</v>
      </c>
      <c r="D2997" s="17">
        <v>5027</v>
      </c>
      <c r="E2997" s="17" t="e">
        <f>#REF!</f>
        <v>#REF!</v>
      </c>
      <c r="F2997" s="20">
        <v>924720</v>
      </c>
    </row>
    <row r="2998" spans="1:6" ht="16" customHeight="1" x14ac:dyDescent="0.2">
      <c r="A2998">
        <f>IFERROR(VLOOKUP(C2998,'GASB Match'!$D$2:$F$6042,3,FALSE),"")</f>
        <v>3409090</v>
      </c>
      <c r="B2998" s="17">
        <v>2018</v>
      </c>
      <c r="C2998" s="17" t="s">
        <v>885</v>
      </c>
      <c r="D2998" s="17">
        <v>5027</v>
      </c>
      <c r="E2998" s="17" t="e">
        <f>#REF!</f>
        <v>#REF!</v>
      </c>
      <c r="F2998" s="20">
        <v>1736451</v>
      </c>
    </row>
    <row r="2999" spans="1:6" ht="16" customHeight="1" x14ac:dyDescent="0.2">
      <c r="A2999">
        <f>IFERROR(VLOOKUP(C2999,'GASB Match'!$D$2:$F$6042,3,FALSE),"")</f>
        <v>3409090</v>
      </c>
      <c r="B2999" s="17">
        <v>2019</v>
      </c>
      <c r="C2999" s="17" t="s">
        <v>885</v>
      </c>
      <c r="D2999" s="17">
        <v>5027</v>
      </c>
      <c r="E2999" s="17" t="e">
        <f>#REF!</f>
        <v>#REF!</v>
      </c>
      <c r="F2999" s="20">
        <v>2307787</v>
      </c>
    </row>
    <row r="3000" spans="1:6" ht="16" customHeight="1" x14ac:dyDescent="0.2">
      <c r="A3000">
        <f>IFERROR(VLOOKUP(C3000,'GASB Match'!$D$2:$F$6042,3,FALSE),"")</f>
        <v>3409090</v>
      </c>
      <c r="B3000" s="17">
        <v>2020</v>
      </c>
      <c r="C3000" s="21" t="s">
        <v>885</v>
      </c>
      <c r="D3000" s="17">
        <v>5027</v>
      </c>
      <c r="E3000" s="17" t="e">
        <f>#REF!</f>
        <v>#REF!</v>
      </c>
      <c r="F3000" s="23">
        <v>2537278</v>
      </c>
    </row>
    <row r="3001" spans="1:6" ht="16" customHeight="1" x14ac:dyDescent="0.2">
      <c r="A3001">
        <f>IFERROR(VLOOKUP(C3001,'GASB Match'!$D$2:$F$6042,3,FALSE),"")</f>
        <v>3409090</v>
      </c>
      <c r="B3001" s="17">
        <v>2021</v>
      </c>
      <c r="C3001" s="25" t="s">
        <v>885</v>
      </c>
      <c r="D3001" s="17">
        <v>5027</v>
      </c>
      <c r="E3001" s="17" t="e">
        <f>#REF!</f>
        <v>#REF!</v>
      </c>
      <c r="F3001" s="23">
        <v>3212070</v>
      </c>
    </row>
    <row r="3002" spans="1:6" ht="16" customHeight="1" x14ac:dyDescent="0.2">
      <c r="A3002">
        <f>IFERROR(VLOOKUP(C3002,'GASB Match'!$D$2:$F$6042,3,FALSE),"")</f>
        <v>3409090</v>
      </c>
      <c r="B3002" s="17">
        <v>2022</v>
      </c>
      <c r="C3002" s="21" t="s">
        <v>885</v>
      </c>
      <c r="D3002" s="17">
        <v>5027</v>
      </c>
      <c r="E3002" s="17" t="e">
        <f>#REF!</f>
        <v>#REF!</v>
      </c>
      <c r="F3002" s="23">
        <v>4468430</v>
      </c>
    </row>
    <row r="3003" spans="1:6" ht="16" customHeight="1" x14ac:dyDescent="0.2">
      <c r="A3003">
        <f>IFERROR(VLOOKUP(C3003,'GASB Match'!$D$2:$F$6042,3,FALSE),"")</f>
        <v>3409090</v>
      </c>
      <c r="B3003" s="17">
        <v>2023</v>
      </c>
      <c r="C3003" s="21" t="s">
        <v>885</v>
      </c>
      <c r="D3003" s="17">
        <v>5027</v>
      </c>
      <c r="E3003" s="17" t="e">
        <f>#REF!</f>
        <v>#REF!</v>
      </c>
      <c r="F3003" s="23">
        <v>4345997</v>
      </c>
    </row>
    <row r="3004" spans="1:6" ht="16" customHeight="1" x14ac:dyDescent="0.2">
      <c r="A3004">
        <f>IFERROR(VLOOKUP(C3004,'GASB Match'!$D$2:$F$6042,3,FALSE),"")</f>
        <v>3409090</v>
      </c>
      <c r="B3004" s="28">
        <v>2017</v>
      </c>
      <c r="C3004" s="29" t="s">
        <v>201</v>
      </c>
      <c r="D3004" s="17">
        <v>5027</v>
      </c>
      <c r="E3004" s="17" t="e">
        <f>#REF!</f>
        <v>#REF!</v>
      </c>
      <c r="F3004" s="29">
        <v>1301585</v>
      </c>
    </row>
    <row r="3005" spans="1:6" ht="16" customHeight="1" x14ac:dyDescent="0.2">
      <c r="A3005">
        <f>IFERROR(VLOOKUP(C3005,'GASB Match'!$D$2:$F$6042,3,FALSE),"")</f>
        <v>3409150</v>
      </c>
      <c r="B3005" s="17">
        <v>2015</v>
      </c>
      <c r="C3005" s="17" t="s">
        <v>202</v>
      </c>
      <c r="D3005" s="17">
        <v>5014</v>
      </c>
      <c r="E3005" s="17" t="e">
        <f>#REF!</f>
        <v>#REF!</v>
      </c>
      <c r="F3005" s="20">
        <v>623755</v>
      </c>
    </row>
    <row r="3006" spans="1:6" ht="16" customHeight="1" x14ac:dyDescent="0.2">
      <c r="A3006">
        <f>IFERROR(VLOOKUP(C3006,'GASB Match'!$D$2:$F$6042,3,FALSE),"")</f>
        <v>3409150</v>
      </c>
      <c r="B3006" s="17">
        <v>2016</v>
      </c>
      <c r="C3006" s="17" t="s">
        <v>202</v>
      </c>
      <c r="D3006" s="17">
        <v>5014</v>
      </c>
      <c r="E3006" s="17" t="e">
        <f>#REF!</f>
        <v>#REF!</v>
      </c>
      <c r="F3006" s="20">
        <v>856917</v>
      </c>
    </row>
    <row r="3007" spans="1:6" ht="16" customHeight="1" x14ac:dyDescent="0.2">
      <c r="A3007">
        <f>IFERROR(VLOOKUP(C3007,'GASB Match'!$D$2:$F$6042,3,FALSE),"")</f>
        <v>3409150</v>
      </c>
      <c r="B3007" s="17">
        <v>2018</v>
      </c>
      <c r="C3007" s="17" t="s">
        <v>886</v>
      </c>
      <c r="D3007" s="17">
        <v>5014</v>
      </c>
      <c r="E3007" s="17" t="e">
        <f>#REF!</f>
        <v>#REF!</v>
      </c>
      <c r="F3007" s="20">
        <v>1675118</v>
      </c>
    </row>
    <row r="3008" spans="1:6" ht="16" customHeight="1" x14ac:dyDescent="0.2">
      <c r="A3008">
        <f>IFERROR(VLOOKUP(C3008,'GASB Match'!$D$2:$F$6042,3,FALSE),"")</f>
        <v>3409150</v>
      </c>
      <c r="B3008" s="17">
        <v>2019</v>
      </c>
      <c r="C3008" s="17" t="s">
        <v>886</v>
      </c>
      <c r="D3008" s="17">
        <v>5014</v>
      </c>
      <c r="E3008" s="17" t="e">
        <f>#REF!</f>
        <v>#REF!</v>
      </c>
      <c r="F3008" s="20">
        <v>2114419</v>
      </c>
    </row>
    <row r="3009" spans="1:6" ht="16" customHeight="1" x14ac:dyDescent="0.2">
      <c r="A3009">
        <f>IFERROR(VLOOKUP(C3009,'GASB Match'!$D$2:$F$6042,3,FALSE),"")</f>
        <v>3409150</v>
      </c>
      <c r="B3009" s="17">
        <v>2020</v>
      </c>
      <c r="C3009" s="21" t="s">
        <v>886</v>
      </c>
      <c r="D3009" s="17">
        <v>5014</v>
      </c>
      <c r="E3009" s="17" t="e">
        <f>#REF!</f>
        <v>#REF!</v>
      </c>
      <c r="F3009" s="23">
        <v>2438857</v>
      </c>
    </row>
    <row r="3010" spans="1:6" ht="16" customHeight="1" x14ac:dyDescent="0.2">
      <c r="A3010">
        <f>IFERROR(VLOOKUP(C3010,'GASB Match'!$D$2:$F$6042,3,FALSE),"")</f>
        <v>3409150</v>
      </c>
      <c r="B3010" s="17">
        <v>2021</v>
      </c>
      <c r="C3010" s="25" t="s">
        <v>886</v>
      </c>
      <c r="D3010" s="17">
        <v>5014</v>
      </c>
      <c r="E3010" s="17" t="e">
        <f>#REF!</f>
        <v>#REF!</v>
      </c>
      <c r="F3010" s="23">
        <v>3235812</v>
      </c>
    </row>
    <row r="3011" spans="1:6" ht="16" customHeight="1" x14ac:dyDescent="0.2">
      <c r="A3011">
        <f>IFERROR(VLOOKUP(C3011,'GASB Match'!$D$2:$F$6042,3,FALSE),"")</f>
        <v>3409150</v>
      </c>
      <c r="B3011" s="17">
        <v>2022</v>
      </c>
      <c r="C3011" s="21" t="s">
        <v>886</v>
      </c>
      <c r="D3011" s="17">
        <v>5014</v>
      </c>
      <c r="E3011" s="17" t="e">
        <f>#REF!</f>
        <v>#REF!</v>
      </c>
      <c r="F3011" s="23">
        <v>4607206</v>
      </c>
    </row>
    <row r="3012" spans="1:6" ht="16" customHeight="1" x14ac:dyDescent="0.2">
      <c r="A3012">
        <f>IFERROR(VLOOKUP(C3012,'GASB Match'!$D$2:$F$6042,3,FALSE),"")</f>
        <v>3409150</v>
      </c>
      <c r="B3012" s="17">
        <v>2023</v>
      </c>
      <c r="C3012" s="21" t="s">
        <v>886</v>
      </c>
      <c r="D3012" s="17">
        <v>5014</v>
      </c>
      <c r="E3012" s="17" t="e">
        <f>#REF!</f>
        <v>#REF!</v>
      </c>
      <c r="F3012" s="23">
        <v>4583210</v>
      </c>
    </row>
    <row r="3013" spans="1:6" ht="16" customHeight="1" x14ac:dyDescent="0.2">
      <c r="A3013">
        <f>IFERROR(VLOOKUP(C3013,'GASB Match'!$D$2:$F$6042,3,FALSE),"")</f>
        <v>3409150</v>
      </c>
      <c r="B3013" s="28">
        <v>2017</v>
      </c>
      <c r="C3013" s="29" t="s">
        <v>202</v>
      </c>
      <c r="D3013" s="17">
        <v>5014</v>
      </c>
      <c r="E3013" s="17" t="e">
        <f>#REF!</f>
        <v>#REF!</v>
      </c>
      <c r="F3013" s="29">
        <v>1263796</v>
      </c>
    </row>
    <row r="3014" spans="1:6" ht="16" customHeight="1" x14ac:dyDescent="0.2">
      <c r="A3014">
        <f>IFERROR(VLOOKUP(C3014,'GASB Match'!$D$2:$F$6042,3,FALSE),"")</f>
        <v>3409180</v>
      </c>
      <c r="B3014" s="17">
        <v>2015</v>
      </c>
      <c r="C3014" s="17" t="s">
        <v>123</v>
      </c>
      <c r="D3014" s="17">
        <v>3025</v>
      </c>
      <c r="E3014" s="17" t="e">
        <f>#REF!</f>
        <v>#REF!</v>
      </c>
      <c r="F3014" s="20">
        <v>506253</v>
      </c>
    </row>
    <row r="3015" spans="1:6" ht="16" customHeight="1" x14ac:dyDescent="0.2">
      <c r="A3015">
        <f>IFERROR(VLOOKUP(C3015,'GASB Match'!$D$2:$F$6042,3,FALSE),"")</f>
        <v>3409180</v>
      </c>
      <c r="B3015" s="17">
        <v>2016</v>
      </c>
      <c r="C3015" s="17" t="s">
        <v>123</v>
      </c>
      <c r="D3015" s="17">
        <v>3025</v>
      </c>
      <c r="E3015" s="17" t="e">
        <f>#REF!</f>
        <v>#REF!</v>
      </c>
      <c r="F3015" s="20">
        <v>814940</v>
      </c>
    </row>
    <row r="3016" spans="1:6" ht="16" customHeight="1" x14ac:dyDescent="0.2">
      <c r="A3016">
        <f>IFERROR(VLOOKUP(C3016,'GASB Match'!$D$2:$F$6042,3,FALSE),"")</f>
        <v>3409180</v>
      </c>
      <c r="B3016" s="17">
        <v>2018</v>
      </c>
      <c r="C3016" s="17" t="s">
        <v>804</v>
      </c>
      <c r="D3016" s="17">
        <v>3025</v>
      </c>
      <c r="E3016" s="17" t="e">
        <f>#REF!</f>
        <v>#REF!</v>
      </c>
      <c r="F3016" s="20">
        <v>1485501</v>
      </c>
    </row>
    <row r="3017" spans="1:6" ht="16" customHeight="1" x14ac:dyDescent="0.2">
      <c r="A3017">
        <f>IFERROR(VLOOKUP(C3017,'GASB Match'!$D$2:$F$6042,3,FALSE),"")</f>
        <v>3409180</v>
      </c>
      <c r="B3017" s="17">
        <v>2019</v>
      </c>
      <c r="C3017" s="17" t="s">
        <v>804</v>
      </c>
      <c r="D3017" s="17">
        <v>3025</v>
      </c>
      <c r="E3017" s="17" t="e">
        <f>#REF!</f>
        <v>#REF!</v>
      </c>
      <c r="F3017" s="20">
        <v>1954380</v>
      </c>
    </row>
    <row r="3018" spans="1:6" ht="16" customHeight="1" x14ac:dyDescent="0.2">
      <c r="A3018">
        <f>IFERROR(VLOOKUP(C3018,'GASB Match'!$D$2:$F$6042,3,FALSE),"")</f>
        <v>3409180</v>
      </c>
      <c r="B3018" s="17">
        <v>2020</v>
      </c>
      <c r="C3018" s="21" t="s">
        <v>804</v>
      </c>
      <c r="D3018" s="17">
        <v>3025</v>
      </c>
      <c r="E3018" s="17" t="e">
        <f>#REF!</f>
        <v>#REF!</v>
      </c>
      <c r="F3018" s="23">
        <v>2099611</v>
      </c>
    </row>
    <row r="3019" spans="1:6" ht="16" customHeight="1" x14ac:dyDescent="0.2">
      <c r="A3019">
        <f>IFERROR(VLOOKUP(C3019,'GASB Match'!$D$2:$F$6042,3,FALSE),"")</f>
        <v>3409180</v>
      </c>
      <c r="B3019" s="17">
        <v>2021</v>
      </c>
      <c r="C3019" s="25" t="s">
        <v>804</v>
      </c>
      <c r="D3019" s="17">
        <v>3025</v>
      </c>
      <c r="E3019" s="17" t="e">
        <f>#REF!</f>
        <v>#REF!</v>
      </c>
      <c r="F3019" s="23">
        <v>2594357</v>
      </c>
    </row>
    <row r="3020" spans="1:6" ht="16" customHeight="1" x14ac:dyDescent="0.2">
      <c r="A3020">
        <f>IFERROR(VLOOKUP(C3020,'GASB Match'!$D$2:$F$6042,3,FALSE),"")</f>
        <v>3409180</v>
      </c>
      <c r="B3020" s="17">
        <v>2022</v>
      </c>
      <c r="C3020" s="21" t="s">
        <v>804</v>
      </c>
      <c r="D3020" s="17">
        <v>3025</v>
      </c>
      <c r="E3020" s="17" t="e">
        <f>#REF!</f>
        <v>#REF!</v>
      </c>
      <c r="F3020" s="23">
        <v>3557461</v>
      </c>
    </row>
    <row r="3021" spans="1:6" ht="16" customHeight="1" x14ac:dyDescent="0.2">
      <c r="A3021">
        <f>IFERROR(VLOOKUP(C3021,'GASB Match'!$D$2:$F$6042,3,FALSE),"")</f>
        <v>3409180</v>
      </c>
      <c r="B3021" s="17">
        <v>2023</v>
      </c>
      <c r="C3021" s="21" t="s">
        <v>804</v>
      </c>
      <c r="D3021" s="17">
        <v>3025</v>
      </c>
      <c r="E3021" s="17" t="e">
        <f>#REF!</f>
        <v>#REF!</v>
      </c>
      <c r="F3021" s="23">
        <v>3582174</v>
      </c>
    </row>
    <row r="3022" spans="1:6" ht="16" customHeight="1" x14ac:dyDescent="0.2">
      <c r="A3022">
        <f>IFERROR(VLOOKUP(C3022,'GASB Match'!$D$2:$F$6042,3,FALSE),"")</f>
        <v>3409180</v>
      </c>
      <c r="B3022" s="28">
        <v>2017</v>
      </c>
      <c r="C3022" s="29" t="s">
        <v>123</v>
      </c>
      <c r="D3022" s="17">
        <v>3025</v>
      </c>
      <c r="E3022" s="17" t="e">
        <f>#REF!</f>
        <v>#REF!</v>
      </c>
      <c r="F3022" s="29">
        <v>1159453</v>
      </c>
    </row>
    <row r="3023" spans="1:6" ht="16" customHeight="1" x14ac:dyDescent="0.2">
      <c r="A3023">
        <f>IFERROR(VLOOKUP(C3023,'GASB Match'!$D$2:$F$6042,3,FALSE),"")</f>
        <v>3409210</v>
      </c>
      <c r="B3023" s="17">
        <v>2015</v>
      </c>
      <c r="C3023" s="17" t="s">
        <v>63</v>
      </c>
      <c r="D3023" s="17">
        <v>2055</v>
      </c>
      <c r="E3023" s="17" t="e">
        <f>#REF!</f>
        <v>#REF!</v>
      </c>
      <c r="F3023" s="20">
        <v>834892</v>
      </c>
    </row>
    <row r="3024" spans="1:6" ht="16" customHeight="1" x14ac:dyDescent="0.2">
      <c r="A3024">
        <f>IFERROR(VLOOKUP(C3024,'GASB Match'!$D$2:$F$6042,3,FALSE),"")</f>
        <v>3409210</v>
      </c>
      <c r="B3024" s="17">
        <v>2016</v>
      </c>
      <c r="C3024" s="17" t="s">
        <v>63</v>
      </c>
      <c r="D3024" s="17">
        <v>2055</v>
      </c>
      <c r="E3024" s="17" t="e">
        <f>#REF!</f>
        <v>#REF!</v>
      </c>
      <c r="F3024" s="20">
        <v>1321870</v>
      </c>
    </row>
    <row r="3025" spans="1:6" ht="16" customHeight="1" x14ac:dyDescent="0.2">
      <c r="A3025">
        <f>IFERROR(VLOOKUP(C3025,'GASB Match'!$D$2:$F$6042,3,FALSE),"")</f>
        <v>3409210</v>
      </c>
      <c r="B3025" s="17">
        <v>2018</v>
      </c>
      <c r="C3025" s="17" t="s">
        <v>741</v>
      </c>
      <c r="D3025" s="17">
        <v>2055</v>
      </c>
      <c r="E3025" s="17" t="e">
        <f>#REF!</f>
        <v>#REF!</v>
      </c>
      <c r="F3025" s="20">
        <v>2623611</v>
      </c>
    </row>
    <row r="3026" spans="1:6" ht="16" customHeight="1" x14ac:dyDescent="0.2">
      <c r="A3026">
        <f>IFERROR(VLOOKUP(C3026,'GASB Match'!$D$2:$F$6042,3,FALSE),"")</f>
        <v>3409210</v>
      </c>
      <c r="B3026" s="17">
        <v>2019</v>
      </c>
      <c r="C3026" s="17" t="s">
        <v>741</v>
      </c>
      <c r="D3026" s="17">
        <v>2055</v>
      </c>
      <c r="E3026" s="17" t="e">
        <f>#REF!</f>
        <v>#REF!</v>
      </c>
      <c r="F3026" s="20">
        <v>3522831</v>
      </c>
    </row>
    <row r="3027" spans="1:6" ht="16" customHeight="1" x14ac:dyDescent="0.2">
      <c r="A3027">
        <f>IFERROR(VLOOKUP(C3027,'GASB Match'!$D$2:$F$6042,3,FALSE),"")</f>
        <v>3409210</v>
      </c>
      <c r="B3027" s="17">
        <v>2020</v>
      </c>
      <c r="C3027" s="21" t="s">
        <v>741</v>
      </c>
      <c r="D3027" s="17">
        <v>2055</v>
      </c>
      <c r="E3027" s="17" t="e">
        <f>#REF!</f>
        <v>#REF!</v>
      </c>
      <c r="F3027" s="23">
        <v>4073130</v>
      </c>
    </row>
    <row r="3028" spans="1:6" ht="16" customHeight="1" x14ac:dyDescent="0.2">
      <c r="A3028">
        <f>IFERROR(VLOOKUP(C3028,'GASB Match'!$D$2:$F$6042,3,FALSE),"")</f>
        <v>3409210</v>
      </c>
      <c r="B3028" s="17">
        <v>2021</v>
      </c>
      <c r="C3028" s="25" t="s">
        <v>741</v>
      </c>
      <c r="D3028" s="17">
        <v>2055</v>
      </c>
      <c r="E3028" s="17" t="e">
        <f>#REF!</f>
        <v>#REF!</v>
      </c>
      <c r="F3028" s="23">
        <v>4989596</v>
      </c>
    </row>
    <row r="3029" spans="1:6" ht="16" customHeight="1" x14ac:dyDescent="0.2">
      <c r="A3029">
        <f>IFERROR(VLOOKUP(C3029,'GASB Match'!$D$2:$F$6042,3,FALSE),"")</f>
        <v>3409210</v>
      </c>
      <c r="B3029" s="17">
        <v>2022</v>
      </c>
      <c r="C3029" s="21" t="s">
        <v>741</v>
      </c>
      <c r="D3029" s="17">
        <v>2055</v>
      </c>
      <c r="E3029" s="17" t="e">
        <f>#REF!</f>
        <v>#REF!</v>
      </c>
      <c r="F3029" s="23">
        <v>7216622</v>
      </c>
    </row>
    <row r="3030" spans="1:6" ht="16" customHeight="1" x14ac:dyDescent="0.2">
      <c r="A3030">
        <f>IFERROR(VLOOKUP(C3030,'GASB Match'!$D$2:$F$6042,3,FALSE),"")</f>
        <v>3409210</v>
      </c>
      <c r="B3030" s="17">
        <v>2023</v>
      </c>
      <c r="C3030" s="21" t="s">
        <v>741</v>
      </c>
      <c r="D3030" s="17">
        <v>2055</v>
      </c>
      <c r="E3030" s="17" t="e">
        <f>#REF!</f>
        <v>#REF!</v>
      </c>
      <c r="F3030" s="23">
        <v>7114942</v>
      </c>
    </row>
    <row r="3031" spans="1:6" ht="16" customHeight="1" x14ac:dyDescent="0.2">
      <c r="A3031">
        <f>IFERROR(VLOOKUP(C3031,'GASB Match'!$D$2:$F$6042,3,FALSE),"")</f>
        <v>3409210</v>
      </c>
      <c r="B3031" s="28">
        <v>2017</v>
      </c>
      <c r="C3031" s="29" t="s">
        <v>63</v>
      </c>
      <c r="D3031" s="17">
        <v>2055</v>
      </c>
      <c r="E3031" s="17" t="e">
        <f>#REF!</f>
        <v>#REF!</v>
      </c>
      <c r="F3031" s="29">
        <v>1960961</v>
      </c>
    </row>
    <row r="3032" spans="1:6" ht="16" customHeight="1" x14ac:dyDescent="0.2">
      <c r="A3032">
        <f>IFERROR(VLOOKUP(C3032,'GASB Match'!$D$2:$F$6042,3,FALSE),"")</f>
        <v>3409240</v>
      </c>
      <c r="B3032" s="17">
        <v>2015</v>
      </c>
      <c r="C3032" s="17" t="s">
        <v>470</v>
      </c>
      <c r="D3032" s="17">
        <v>426</v>
      </c>
      <c r="E3032" s="17" t="e">
        <f>#REF!</f>
        <v>#REF!</v>
      </c>
      <c r="F3032" s="20">
        <v>984550</v>
      </c>
    </row>
    <row r="3033" spans="1:6" ht="16" customHeight="1" x14ac:dyDescent="0.2">
      <c r="A3033">
        <f>IFERROR(VLOOKUP(C3033,'GASB Match'!$D$2:$F$6042,3,FALSE),"")</f>
        <v>3409240</v>
      </c>
      <c r="B3033" s="17">
        <v>2016</v>
      </c>
      <c r="C3033" s="17" t="s">
        <v>470</v>
      </c>
      <c r="D3033" s="17">
        <v>426</v>
      </c>
      <c r="E3033" s="17" t="e">
        <f>#REF!</f>
        <v>#REF!</v>
      </c>
      <c r="F3033" s="20">
        <v>1515262</v>
      </c>
    </row>
    <row r="3034" spans="1:6" ht="16" customHeight="1" x14ac:dyDescent="0.2">
      <c r="A3034">
        <f>IFERROR(VLOOKUP(C3034,'GASB Match'!$D$2:$F$6042,3,FALSE),"")</f>
        <v>3409240</v>
      </c>
      <c r="B3034" s="17">
        <v>2018</v>
      </c>
      <c r="C3034" s="17" t="s">
        <v>1162</v>
      </c>
      <c r="D3034" s="17">
        <v>426</v>
      </c>
      <c r="E3034" s="17" t="e">
        <f>#REF!</f>
        <v>#REF!</v>
      </c>
      <c r="F3034" s="20">
        <v>2904001</v>
      </c>
    </row>
    <row r="3035" spans="1:6" ht="16" customHeight="1" x14ac:dyDescent="0.2">
      <c r="A3035">
        <f>IFERROR(VLOOKUP(C3035,'GASB Match'!$D$2:$F$6042,3,FALSE),"")</f>
        <v>3409240</v>
      </c>
      <c r="B3035" s="17">
        <v>2019</v>
      </c>
      <c r="C3035" s="17" t="s">
        <v>1162</v>
      </c>
      <c r="D3035" s="17">
        <v>426</v>
      </c>
      <c r="E3035" s="17" t="e">
        <f>#REF!</f>
        <v>#REF!</v>
      </c>
      <c r="F3035" s="20">
        <v>3857560</v>
      </c>
    </row>
    <row r="3036" spans="1:6" ht="16" customHeight="1" x14ac:dyDescent="0.2">
      <c r="A3036">
        <f>IFERROR(VLOOKUP(C3036,'GASB Match'!$D$2:$F$6042,3,FALSE),"")</f>
        <v>3409240</v>
      </c>
      <c r="B3036" s="17">
        <v>2020</v>
      </c>
      <c r="C3036" s="21" t="s">
        <v>1162</v>
      </c>
      <c r="D3036" s="17">
        <v>426</v>
      </c>
      <c r="E3036" s="17" t="e">
        <f>#REF!</f>
        <v>#REF!</v>
      </c>
      <c r="F3036" s="23">
        <v>4372875</v>
      </c>
    </row>
    <row r="3037" spans="1:6" ht="16" customHeight="1" x14ac:dyDescent="0.2">
      <c r="A3037">
        <f>IFERROR(VLOOKUP(C3037,'GASB Match'!$D$2:$F$6042,3,FALSE),"")</f>
        <v>3409240</v>
      </c>
      <c r="B3037" s="17">
        <v>2021</v>
      </c>
      <c r="C3037" s="25" t="s">
        <v>1162</v>
      </c>
      <c r="D3037" s="17">
        <v>426</v>
      </c>
      <c r="E3037" s="17" t="e">
        <f>#REF!</f>
        <v>#REF!</v>
      </c>
      <c r="F3037" s="23">
        <v>5756786</v>
      </c>
    </row>
    <row r="3038" spans="1:6" ht="16" customHeight="1" x14ac:dyDescent="0.2">
      <c r="A3038">
        <f>IFERROR(VLOOKUP(C3038,'GASB Match'!$D$2:$F$6042,3,FALSE),"")</f>
        <v>3409240</v>
      </c>
      <c r="B3038" s="17">
        <v>2022</v>
      </c>
      <c r="C3038" s="21" t="s">
        <v>1162</v>
      </c>
      <c r="D3038" s="17">
        <v>426</v>
      </c>
      <c r="E3038" s="17" t="e">
        <f>#REF!</f>
        <v>#REF!</v>
      </c>
      <c r="F3038" s="23">
        <v>8043361</v>
      </c>
    </row>
    <row r="3039" spans="1:6" ht="16" customHeight="1" x14ac:dyDescent="0.2">
      <c r="A3039">
        <f>IFERROR(VLOOKUP(C3039,'GASB Match'!$D$2:$F$6042,3,FALSE),"")</f>
        <v>3409240</v>
      </c>
      <c r="B3039" s="17">
        <v>2023</v>
      </c>
      <c r="C3039" s="21" t="s">
        <v>1162</v>
      </c>
      <c r="D3039" s="17">
        <v>426</v>
      </c>
      <c r="E3039" s="17" t="e">
        <f>#REF!</f>
        <v>#REF!</v>
      </c>
      <c r="F3039" s="23">
        <v>8029219</v>
      </c>
    </row>
    <row r="3040" spans="1:6" ht="16" customHeight="1" x14ac:dyDescent="0.2">
      <c r="A3040">
        <f>IFERROR(VLOOKUP(C3040,'GASB Match'!$D$2:$F$6042,3,FALSE),"")</f>
        <v>3409240</v>
      </c>
      <c r="B3040" s="28">
        <v>2017</v>
      </c>
      <c r="C3040" s="29" t="s">
        <v>470</v>
      </c>
      <c r="D3040" s="17">
        <v>426</v>
      </c>
      <c r="E3040" s="17" t="e">
        <f>#REF!</f>
        <v>#REF!</v>
      </c>
      <c r="F3040" s="29">
        <v>2133290</v>
      </c>
    </row>
    <row r="3041" spans="1:6" ht="16" customHeight="1" x14ac:dyDescent="0.2">
      <c r="A3041">
        <f>IFERROR(VLOOKUP(C3041,'GASB Match'!$D$2:$F$6042,3,FALSE),"")</f>
        <v>3409300</v>
      </c>
      <c r="B3041" s="17">
        <v>2015</v>
      </c>
      <c r="C3041" s="17" t="s">
        <v>181</v>
      </c>
      <c r="D3041" s="17">
        <v>4041</v>
      </c>
      <c r="E3041" s="17" t="e">
        <f>#REF!</f>
        <v>#REF!</v>
      </c>
      <c r="F3041" s="20">
        <v>158000</v>
      </c>
    </row>
    <row r="3042" spans="1:6" ht="16" customHeight="1" x14ac:dyDescent="0.2">
      <c r="A3042">
        <f>IFERROR(VLOOKUP(C3042,'GASB Match'!$D$2:$F$6042,3,FALSE),"")</f>
        <v>3409300</v>
      </c>
      <c r="B3042" s="17">
        <v>2016</v>
      </c>
      <c r="C3042" s="17" t="s">
        <v>181</v>
      </c>
      <c r="D3042" s="17">
        <v>4041</v>
      </c>
      <c r="E3042" s="17" t="e">
        <f>#REF!</f>
        <v>#REF!</v>
      </c>
      <c r="F3042" s="20">
        <v>230534</v>
      </c>
    </row>
    <row r="3043" spans="1:6" ht="16" customHeight="1" x14ac:dyDescent="0.2">
      <c r="A3043">
        <f>IFERROR(VLOOKUP(C3043,'GASB Match'!$D$2:$F$6042,3,FALSE),"")</f>
        <v>3409300</v>
      </c>
      <c r="B3043" s="17">
        <v>2018</v>
      </c>
      <c r="C3043" s="17" t="s">
        <v>864</v>
      </c>
      <c r="D3043" s="17">
        <v>4041</v>
      </c>
      <c r="E3043" s="17" t="e">
        <f>#REF!</f>
        <v>#REF!</v>
      </c>
      <c r="F3043" s="20">
        <v>424527</v>
      </c>
    </row>
    <row r="3044" spans="1:6" ht="16" customHeight="1" x14ac:dyDescent="0.2">
      <c r="A3044">
        <f>IFERROR(VLOOKUP(C3044,'GASB Match'!$D$2:$F$6042,3,FALSE),"")</f>
        <v>3409300</v>
      </c>
      <c r="B3044" s="17">
        <v>2019</v>
      </c>
      <c r="C3044" s="17" t="s">
        <v>864</v>
      </c>
      <c r="D3044" s="17">
        <v>4041</v>
      </c>
      <c r="E3044" s="17" t="e">
        <f>#REF!</f>
        <v>#REF!</v>
      </c>
      <c r="F3044" s="19">
        <v>565617</v>
      </c>
    </row>
    <row r="3045" spans="1:6" ht="16" customHeight="1" x14ac:dyDescent="0.2">
      <c r="A3045">
        <f>IFERROR(VLOOKUP(C3045,'GASB Match'!$D$2:$F$6042,3,FALSE),"")</f>
        <v>3409300</v>
      </c>
      <c r="B3045" s="17">
        <v>2020</v>
      </c>
      <c r="C3045" s="21" t="s">
        <v>864</v>
      </c>
      <c r="D3045" s="17">
        <v>4041</v>
      </c>
      <c r="E3045" s="17" t="e">
        <f>#REF!</f>
        <v>#REF!</v>
      </c>
      <c r="F3045" s="23">
        <v>639165</v>
      </c>
    </row>
    <row r="3046" spans="1:6" ht="16" customHeight="1" x14ac:dyDescent="0.2">
      <c r="A3046">
        <f>IFERROR(VLOOKUP(C3046,'GASB Match'!$D$2:$F$6042,3,FALSE),"")</f>
        <v>3409300</v>
      </c>
      <c r="B3046" s="17">
        <v>2021</v>
      </c>
      <c r="C3046" s="25" t="s">
        <v>864</v>
      </c>
      <c r="D3046" s="17">
        <v>4041</v>
      </c>
      <c r="E3046" s="17" t="e">
        <f>#REF!</f>
        <v>#REF!</v>
      </c>
      <c r="F3046" s="23">
        <v>830037</v>
      </c>
    </row>
    <row r="3047" spans="1:6" ht="16" customHeight="1" x14ac:dyDescent="0.2">
      <c r="A3047">
        <f>IFERROR(VLOOKUP(C3047,'GASB Match'!$D$2:$F$6042,3,FALSE),"")</f>
        <v>3409300</v>
      </c>
      <c r="B3047" s="17">
        <v>2022</v>
      </c>
      <c r="C3047" s="21" t="s">
        <v>864</v>
      </c>
      <c r="D3047" s="17">
        <v>4041</v>
      </c>
      <c r="E3047" s="17" t="e">
        <f>#REF!</f>
        <v>#REF!</v>
      </c>
      <c r="F3047" s="23">
        <v>1169952</v>
      </c>
    </row>
    <row r="3048" spans="1:6" ht="16" customHeight="1" x14ac:dyDescent="0.2">
      <c r="A3048">
        <f>IFERROR(VLOOKUP(C3048,'GASB Match'!$D$2:$F$6042,3,FALSE),"")</f>
        <v>3409300</v>
      </c>
      <c r="B3048" s="17">
        <v>2023</v>
      </c>
      <c r="C3048" s="21" t="s">
        <v>864</v>
      </c>
      <c r="D3048" s="17">
        <v>4041</v>
      </c>
      <c r="E3048" s="17" t="e">
        <f>#REF!</f>
        <v>#REF!</v>
      </c>
      <c r="F3048" s="23">
        <v>1144045</v>
      </c>
    </row>
    <row r="3049" spans="1:6" ht="16" customHeight="1" x14ac:dyDescent="0.2">
      <c r="A3049">
        <f>IFERROR(VLOOKUP(C3049,'GASB Match'!$D$2:$F$6042,3,FALSE),"")</f>
        <v>3409300</v>
      </c>
      <c r="B3049" s="28">
        <v>2017</v>
      </c>
      <c r="C3049" s="29" t="s">
        <v>181</v>
      </c>
      <c r="D3049" s="17">
        <v>4041</v>
      </c>
      <c r="E3049" s="17" t="e">
        <f>#REF!</f>
        <v>#REF!</v>
      </c>
      <c r="F3049" s="29">
        <v>319309</v>
      </c>
    </row>
    <row r="3050" spans="1:6" ht="16" customHeight="1" x14ac:dyDescent="0.2">
      <c r="A3050">
        <f>IFERROR(VLOOKUP(C3050,'GASB Match'!$D$2:$F$6042,3,FALSE),"")</f>
        <v>3409330</v>
      </c>
      <c r="B3050" s="17">
        <v>2015</v>
      </c>
      <c r="C3050" s="17" t="s">
        <v>64</v>
      </c>
      <c r="D3050" s="17">
        <v>2049</v>
      </c>
      <c r="E3050" s="17" t="e">
        <f>#REF!</f>
        <v>#REF!</v>
      </c>
      <c r="F3050" s="20">
        <v>1304830</v>
      </c>
    </row>
    <row r="3051" spans="1:6" ht="16" customHeight="1" x14ac:dyDescent="0.2">
      <c r="A3051">
        <f>IFERROR(VLOOKUP(C3051,'GASB Match'!$D$2:$F$6042,3,FALSE),"")</f>
        <v>3409330</v>
      </c>
      <c r="B3051" s="17">
        <v>2016</v>
      </c>
      <c r="C3051" s="17" t="s">
        <v>64</v>
      </c>
      <c r="D3051" s="17">
        <v>2049</v>
      </c>
      <c r="E3051" s="17" t="e">
        <f>#REF!</f>
        <v>#REF!</v>
      </c>
      <c r="F3051" s="20">
        <v>1948464</v>
      </c>
    </row>
    <row r="3052" spans="1:6" ht="16" customHeight="1" x14ac:dyDescent="0.2">
      <c r="A3052">
        <f>IFERROR(VLOOKUP(C3052,'GASB Match'!$D$2:$F$6042,3,FALSE),"")</f>
        <v>3409330</v>
      </c>
      <c r="B3052" s="17">
        <v>2018</v>
      </c>
      <c r="C3052" s="17" t="s">
        <v>742</v>
      </c>
      <c r="D3052" s="17">
        <v>2049</v>
      </c>
      <c r="E3052" s="17" t="e">
        <f>#REF!</f>
        <v>#REF!</v>
      </c>
      <c r="F3052" s="20">
        <v>3417903</v>
      </c>
    </row>
    <row r="3053" spans="1:6" ht="16" customHeight="1" x14ac:dyDescent="0.2">
      <c r="A3053">
        <f>IFERROR(VLOOKUP(C3053,'GASB Match'!$D$2:$F$6042,3,FALSE),"")</f>
        <v>3409330</v>
      </c>
      <c r="B3053" s="17">
        <v>2019</v>
      </c>
      <c r="C3053" s="17" t="s">
        <v>742</v>
      </c>
      <c r="D3053" s="17">
        <v>2049</v>
      </c>
      <c r="E3053" s="17" t="e">
        <f>#REF!</f>
        <v>#REF!</v>
      </c>
      <c r="F3053" s="20">
        <v>4650461</v>
      </c>
    </row>
    <row r="3054" spans="1:6" ht="16" customHeight="1" x14ac:dyDescent="0.2">
      <c r="A3054">
        <f>IFERROR(VLOOKUP(C3054,'GASB Match'!$D$2:$F$6042,3,FALSE),"")</f>
        <v>3409330</v>
      </c>
      <c r="B3054" s="17">
        <v>2020</v>
      </c>
      <c r="C3054" s="21" t="s">
        <v>742</v>
      </c>
      <c r="D3054" s="17">
        <v>2049</v>
      </c>
      <c r="E3054" s="17" t="e">
        <f>#REF!</f>
        <v>#REF!</v>
      </c>
      <c r="F3054" s="23">
        <v>5451527</v>
      </c>
    </row>
    <row r="3055" spans="1:6" ht="16" customHeight="1" x14ac:dyDescent="0.2">
      <c r="A3055">
        <f>IFERROR(VLOOKUP(C3055,'GASB Match'!$D$2:$F$6042,3,FALSE),"")</f>
        <v>3409330</v>
      </c>
      <c r="B3055" s="17">
        <v>2021</v>
      </c>
      <c r="C3055" s="25" t="s">
        <v>742</v>
      </c>
      <c r="D3055" s="17">
        <v>2049</v>
      </c>
      <c r="E3055" s="17" t="e">
        <f>#REF!</f>
        <v>#REF!</v>
      </c>
      <c r="F3055" s="23">
        <v>7014586</v>
      </c>
    </row>
    <row r="3056" spans="1:6" ht="16" customHeight="1" x14ac:dyDescent="0.2">
      <c r="A3056">
        <f>IFERROR(VLOOKUP(C3056,'GASB Match'!$D$2:$F$6042,3,FALSE),"")</f>
        <v>3409330</v>
      </c>
      <c r="B3056" s="17">
        <v>2022</v>
      </c>
      <c r="C3056" s="21" t="s">
        <v>742</v>
      </c>
      <c r="D3056" s="17">
        <v>2049</v>
      </c>
      <c r="E3056" s="17" t="e">
        <f>#REF!</f>
        <v>#REF!</v>
      </c>
      <c r="F3056" s="23">
        <v>10139245</v>
      </c>
    </row>
    <row r="3057" spans="1:6" ht="16" customHeight="1" x14ac:dyDescent="0.2">
      <c r="A3057">
        <f>IFERROR(VLOOKUP(C3057,'GASB Match'!$D$2:$F$6042,3,FALSE),"")</f>
        <v>3409330</v>
      </c>
      <c r="B3057" s="17">
        <v>2023</v>
      </c>
      <c r="C3057" s="21" t="s">
        <v>742</v>
      </c>
      <c r="D3057" s="17">
        <v>2049</v>
      </c>
      <c r="E3057" s="17" t="e">
        <f>#REF!</f>
        <v>#REF!</v>
      </c>
      <c r="F3057" s="23">
        <v>10107628</v>
      </c>
    </row>
    <row r="3058" spans="1:6" ht="16" customHeight="1" x14ac:dyDescent="0.2">
      <c r="A3058">
        <f>IFERROR(VLOOKUP(C3058,'GASB Match'!$D$2:$F$6042,3,FALSE),"")</f>
        <v>3409330</v>
      </c>
      <c r="B3058" s="28">
        <v>2017</v>
      </c>
      <c r="C3058" s="29" t="s">
        <v>64</v>
      </c>
      <c r="D3058" s="17">
        <v>2049</v>
      </c>
      <c r="E3058" s="17" t="e">
        <f>#REF!</f>
        <v>#REF!</v>
      </c>
      <c r="F3058" s="29">
        <v>2714180</v>
      </c>
    </row>
    <row r="3059" spans="1:6" ht="16" customHeight="1" x14ac:dyDescent="0.2">
      <c r="A3059">
        <f>IFERROR(VLOOKUP(C3059,'GASB Match'!$D$2:$F$6042,3,FALSE),"")</f>
        <v>3409360</v>
      </c>
      <c r="B3059" s="17">
        <v>2015</v>
      </c>
      <c r="C3059" s="17" t="s">
        <v>17</v>
      </c>
      <c r="D3059" s="17">
        <v>1096</v>
      </c>
      <c r="E3059" s="17" t="e">
        <f>#REF!</f>
        <v>#REF!</v>
      </c>
      <c r="F3059" s="20">
        <v>642021</v>
      </c>
    </row>
    <row r="3060" spans="1:6" ht="16" customHeight="1" x14ac:dyDescent="0.2">
      <c r="A3060">
        <f>IFERROR(VLOOKUP(C3060,'GASB Match'!$D$2:$F$6042,3,FALSE),"")</f>
        <v>3409360</v>
      </c>
      <c r="B3060" s="17">
        <v>2016</v>
      </c>
      <c r="C3060" s="17" t="s">
        <v>17</v>
      </c>
      <c r="D3060" s="17">
        <v>1096</v>
      </c>
      <c r="E3060" s="17" t="e">
        <f>#REF!</f>
        <v>#REF!</v>
      </c>
      <c r="F3060" s="20">
        <v>933114</v>
      </c>
    </row>
    <row r="3061" spans="1:6" ht="16" customHeight="1" x14ac:dyDescent="0.2">
      <c r="A3061">
        <f>IFERROR(VLOOKUP(C3061,'GASB Match'!$D$2:$F$6042,3,FALSE),"")</f>
        <v>3409360</v>
      </c>
      <c r="B3061" s="17">
        <v>2018</v>
      </c>
      <c r="C3061" s="17" t="s">
        <v>696</v>
      </c>
      <c r="D3061" s="17">
        <v>1096</v>
      </c>
      <c r="E3061" s="17" t="e">
        <f>#REF!</f>
        <v>#REF!</v>
      </c>
      <c r="F3061" s="20">
        <v>1671781</v>
      </c>
    </row>
    <row r="3062" spans="1:6" ht="16" customHeight="1" x14ac:dyDescent="0.2">
      <c r="A3062">
        <f>IFERROR(VLOOKUP(C3062,'GASB Match'!$D$2:$F$6042,3,FALSE),"")</f>
        <v>3409360</v>
      </c>
      <c r="B3062" s="17">
        <v>2019</v>
      </c>
      <c r="C3062" s="17" t="s">
        <v>696</v>
      </c>
      <c r="D3062" s="17">
        <v>1096</v>
      </c>
      <c r="E3062" s="17" t="e">
        <f>#REF!</f>
        <v>#REF!</v>
      </c>
      <c r="F3062" s="20">
        <v>2200584</v>
      </c>
    </row>
    <row r="3063" spans="1:6" ht="16" customHeight="1" x14ac:dyDescent="0.2">
      <c r="A3063">
        <f>IFERROR(VLOOKUP(C3063,'GASB Match'!$D$2:$F$6042,3,FALSE),"")</f>
        <v>3409360</v>
      </c>
      <c r="B3063" s="17">
        <v>2020</v>
      </c>
      <c r="C3063" s="21" t="s">
        <v>696</v>
      </c>
      <c r="D3063" s="17">
        <v>1096</v>
      </c>
      <c r="E3063" s="17" t="e">
        <f>#REF!</f>
        <v>#REF!</v>
      </c>
      <c r="F3063" s="23">
        <v>2409486</v>
      </c>
    </row>
    <row r="3064" spans="1:6" ht="16" customHeight="1" x14ac:dyDescent="0.2">
      <c r="A3064">
        <f>IFERROR(VLOOKUP(C3064,'GASB Match'!$D$2:$F$6042,3,FALSE),"")</f>
        <v>3409360</v>
      </c>
      <c r="B3064" s="17">
        <v>2021</v>
      </c>
      <c r="C3064" s="25" t="s">
        <v>696</v>
      </c>
      <c r="D3064" s="17">
        <v>1096</v>
      </c>
      <c r="E3064" s="17" t="e">
        <f>#REF!</f>
        <v>#REF!</v>
      </c>
      <c r="F3064" s="23">
        <v>3111114</v>
      </c>
    </row>
    <row r="3065" spans="1:6" ht="16" customHeight="1" x14ac:dyDescent="0.2">
      <c r="A3065">
        <f>IFERROR(VLOOKUP(C3065,'GASB Match'!$D$2:$F$6042,3,FALSE),"")</f>
        <v>3409360</v>
      </c>
      <c r="B3065" s="17">
        <v>2022</v>
      </c>
      <c r="C3065" s="21" t="s">
        <v>696</v>
      </c>
      <c r="D3065" s="17">
        <v>1096</v>
      </c>
      <c r="E3065" s="17" t="e">
        <f>#REF!</f>
        <v>#REF!</v>
      </c>
      <c r="F3065" s="23">
        <v>4387127</v>
      </c>
    </row>
    <row r="3066" spans="1:6" ht="16" customHeight="1" x14ac:dyDescent="0.2">
      <c r="A3066">
        <f>IFERROR(VLOOKUP(C3066,'GASB Match'!$D$2:$F$6042,3,FALSE),"")</f>
        <v>3409360</v>
      </c>
      <c r="B3066" s="17">
        <v>2023</v>
      </c>
      <c r="C3066" s="21" t="s">
        <v>696</v>
      </c>
      <c r="D3066" s="17">
        <v>1096</v>
      </c>
      <c r="E3066" s="17" t="e">
        <f>#REF!</f>
        <v>#REF!</v>
      </c>
      <c r="F3066" s="23">
        <v>4289905</v>
      </c>
    </row>
    <row r="3067" spans="1:6" ht="16" customHeight="1" x14ac:dyDescent="0.2">
      <c r="A3067">
        <f>IFERROR(VLOOKUP(C3067,'GASB Match'!$D$2:$F$6042,3,FALSE),"")</f>
        <v>3409360</v>
      </c>
      <c r="B3067" s="28">
        <v>2017</v>
      </c>
      <c r="C3067" s="29" t="s">
        <v>17</v>
      </c>
      <c r="D3067" s="17">
        <v>1096</v>
      </c>
      <c r="E3067" s="17" t="e">
        <f>#REF!</f>
        <v>#REF!</v>
      </c>
      <c r="F3067" s="29">
        <v>1261358</v>
      </c>
    </row>
    <row r="3068" spans="1:6" ht="16" customHeight="1" x14ac:dyDescent="0.2">
      <c r="A3068">
        <f>IFERROR(VLOOKUP(C3068,'GASB Match'!$D$2:$F$6042,3,FALSE),"")</f>
        <v>3409390</v>
      </c>
      <c r="B3068" s="17">
        <v>2015</v>
      </c>
      <c r="C3068" s="17" t="s">
        <v>425</v>
      </c>
      <c r="D3068" s="17">
        <v>339</v>
      </c>
      <c r="E3068" s="17" t="e">
        <f>#REF!</f>
        <v>#REF!</v>
      </c>
      <c r="F3068" s="20">
        <v>1756411</v>
      </c>
    </row>
    <row r="3069" spans="1:6" ht="16" customHeight="1" x14ac:dyDescent="0.2">
      <c r="A3069">
        <f>IFERROR(VLOOKUP(C3069,'GASB Match'!$D$2:$F$6042,3,FALSE),"")</f>
        <v>3409390</v>
      </c>
      <c r="B3069" s="17">
        <v>2016</v>
      </c>
      <c r="C3069" s="17" t="s">
        <v>425</v>
      </c>
      <c r="D3069" s="17">
        <v>339</v>
      </c>
      <c r="E3069" s="17" t="e">
        <f>#REF!</f>
        <v>#REF!</v>
      </c>
      <c r="F3069" s="20">
        <v>2524890</v>
      </c>
    </row>
    <row r="3070" spans="1:6" ht="16" customHeight="1" x14ac:dyDescent="0.2">
      <c r="A3070">
        <f>IFERROR(VLOOKUP(C3070,'GASB Match'!$D$2:$F$6042,3,FALSE),"")</f>
        <v>3409390</v>
      </c>
      <c r="B3070" s="17">
        <v>2018</v>
      </c>
      <c r="C3070" s="17" t="s">
        <v>1117</v>
      </c>
      <c r="D3070" s="17">
        <v>339</v>
      </c>
      <c r="E3070" s="17" t="e">
        <f>#REF!</f>
        <v>#REF!</v>
      </c>
      <c r="F3070" s="20">
        <v>4946053</v>
      </c>
    </row>
    <row r="3071" spans="1:6" ht="16" customHeight="1" x14ac:dyDescent="0.2">
      <c r="A3071">
        <f>IFERROR(VLOOKUP(C3071,'GASB Match'!$D$2:$F$6042,3,FALSE),"")</f>
        <v>3409390</v>
      </c>
      <c r="B3071" s="17">
        <v>2019</v>
      </c>
      <c r="C3071" s="17" t="s">
        <v>1117</v>
      </c>
      <c r="D3071" s="17">
        <v>339</v>
      </c>
      <c r="E3071" s="17" t="e">
        <f>#REF!</f>
        <v>#REF!</v>
      </c>
      <c r="F3071" s="20">
        <v>6493403</v>
      </c>
    </row>
    <row r="3072" spans="1:6" ht="16" customHeight="1" x14ac:dyDescent="0.2">
      <c r="A3072">
        <f>IFERROR(VLOOKUP(C3072,'GASB Match'!$D$2:$F$6042,3,FALSE),"")</f>
        <v>3409390</v>
      </c>
      <c r="B3072" s="17">
        <v>2020</v>
      </c>
      <c r="C3072" s="21" t="s">
        <v>1117</v>
      </c>
      <c r="D3072" s="17">
        <v>339</v>
      </c>
      <c r="E3072" s="17" t="e">
        <f>#REF!</f>
        <v>#REF!</v>
      </c>
      <c r="F3072" s="23">
        <v>7309514</v>
      </c>
    </row>
    <row r="3073" spans="1:6" ht="16" customHeight="1" x14ac:dyDescent="0.2">
      <c r="A3073">
        <f>IFERROR(VLOOKUP(C3073,'GASB Match'!$D$2:$F$6042,3,FALSE),"")</f>
        <v>3409390</v>
      </c>
      <c r="B3073" s="17">
        <v>2021</v>
      </c>
      <c r="C3073" s="25" t="s">
        <v>1117</v>
      </c>
      <c r="D3073" s="17">
        <v>339</v>
      </c>
      <c r="E3073" s="17" t="e">
        <f>#REF!</f>
        <v>#REF!</v>
      </c>
      <c r="F3073" s="23">
        <v>9456111</v>
      </c>
    </row>
    <row r="3074" spans="1:6" ht="16" customHeight="1" x14ac:dyDescent="0.2">
      <c r="A3074">
        <f>IFERROR(VLOOKUP(C3074,'GASB Match'!$D$2:$F$6042,3,FALSE),"")</f>
        <v>3409390</v>
      </c>
      <c r="B3074" s="17">
        <v>2022</v>
      </c>
      <c r="C3074" s="21" t="s">
        <v>1117</v>
      </c>
      <c r="D3074" s="17">
        <v>339</v>
      </c>
      <c r="E3074" s="17" t="e">
        <f>#REF!</f>
        <v>#REF!</v>
      </c>
      <c r="F3074" s="23">
        <v>13500965</v>
      </c>
    </row>
    <row r="3075" spans="1:6" ht="16" customHeight="1" x14ac:dyDescent="0.2">
      <c r="A3075">
        <f>IFERROR(VLOOKUP(C3075,'GASB Match'!$D$2:$F$6042,3,FALSE),"")</f>
        <v>3409390</v>
      </c>
      <c r="B3075" s="17">
        <v>2023</v>
      </c>
      <c r="C3075" s="21" t="s">
        <v>1117</v>
      </c>
      <c r="D3075" s="17">
        <v>339</v>
      </c>
      <c r="E3075" s="17" t="e">
        <f>#REF!</f>
        <v>#REF!</v>
      </c>
      <c r="F3075" s="23">
        <v>13511299</v>
      </c>
    </row>
    <row r="3076" spans="1:6" ht="16" customHeight="1" x14ac:dyDescent="0.2">
      <c r="A3076">
        <f>IFERROR(VLOOKUP(C3076,'GASB Match'!$D$2:$F$6042,3,FALSE),"")</f>
        <v>3409390</v>
      </c>
      <c r="B3076" s="28">
        <v>2017</v>
      </c>
      <c r="C3076" s="29" t="s">
        <v>425</v>
      </c>
      <c r="D3076" s="17">
        <v>339</v>
      </c>
      <c r="E3076" s="17" t="e">
        <f>#REF!</f>
        <v>#REF!</v>
      </c>
      <c r="F3076" s="29">
        <v>3612798</v>
      </c>
    </row>
    <row r="3077" spans="1:6" ht="16" customHeight="1" x14ac:dyDescent="0.2">
      <c r="A3077">
        <f>IFERROR(VLOOKUP(C3077,'GASB Match'!$D$2:$F$6042,3,FALSE),"")</f>
        <v>3409420</v>
      </c>
      <c r="B3077" s="17">
        <v>2015</v>
      </c>
      <c r="C3077" s="17" t="s">
        <v>426</v>
      </c>
      <c r="D3077" s="17">
        <v>341</v>
      </c>
      <c r="E3077" s="17" t="e">
        <f>#REF!</f>
        <v>#REF!</v>
      </c>
      <c r="F3077" s="20">
        <v>571588</v>
      </c>
    </row>
    <row r="3078" spans="1:6" ht="16" customHeight="1" x14ac:dyDescent="0.2">
      <c r="A3078">
        <f>IFERROR(VLOOKUP(C3078,'GASB Match'!$D$2:$F$6042,3,FALSE),"")</f>
        <v>3409420</v>
      </c>
      <c r="B3078" s="17">
        <v>2016</v>
      </c>
      <c r="C3078" s="17" t="s">
        <v>426</v>
      </c>
      <c r="D3078" s="17">
        <v>341</v>
      </c>
      <c r="E3078" s="17" t="e">
        <f>#REF!</f>
        <v>#REF!</v>
      </c>
      <c r="F3078" s="20">
        <v>913748</v>
      </c>
    </row>
    <row r="3079" spans="1:6" ht="16" customHeight="1" x14ac:dyDescent="0.2">
      <c r="A3079">
        <f>IFERROR(VLOOKUP(C3079,'GASB Match'!$D$2:$F$6042,3,FALSE),"")</f>
        <v>3409420</v>
      </c>
      <c r="B3079" s="17">
        <v>2018</v>
      </c>
      <c r="C3079" s="17" t="s">
        <v>1118</v>
      </c>
      <c r="D3079" s="17">
        <v>341</v>
      </c>
      <c r="E3079" s="17" t="e">
        <f>#REF!</f>
        <v>#REF!</v>
      </c>
      <c r="F3079" s="20">
        <v>1678670</v>
      </c>
    </row>
    <row r="3080" spans="1:6" ht="16" customHeight="1" x14ac:dyDescent="0.2">
      <c r="A3080">
        <f>IFERROR(VLOOKUP(C3080,'GASB Match'!$D$2:$F$6042,3,FALSE),"")</f>
        <v>3409420</v>
      </c>
      <c r="B3080" s="17">
        <v>2019</v>
      </c>
      <c r="C3080" s="17" t="s">
        <v>1118</v>
      </c>
      <c r="D3080" s="17">
        <v>341</v>
      </c>
      <c r="E3080" s="17" t="e">
        <f>#REF!</f>
        <v>#REF!</v>
      </c>
      <c r="F3080" s="20">
        <v>2282407</v>
      </c>
    </row>
    <row r="3081" spans="1:6" ht="16" customHeight="1" x14ac:dyDescent="0.2">
      <c r="A3081">
        <f>IFERROR(VLOOKUP(C3081,'GASB Match'!$D$2:$F$6042,3,FALSE),"")</f>
        <v>3409420</v>
      </c>
      <c r="B3081" s="17">
        <v>2020</v>
      </c>
      <c r="C3081" s="21" t="s">
        <v>1118</v>
      </c>
      <c r="D3081" s="17">
        <v>341</v>
      </c>
      <c r="E3081" s="17" t="e">
        <f>#REF!</f>
        <v>#REF!</v>
      </c>
      <c r="F3081" s="23">
        <v>2594340</v>
      </c>
    </row>
    <row r="3082" spans="1:6" ht="16" customHeight="1" x14ac:dyDescent="0.2">
      <c r="A3082">
        <f>IFERROR(VLOOKUP(C3082,'GASB Match'!$D$2:$F$6042,3,FALSE),"")</f>
        <v>3409420</v>
      </c>
      <c r="B3082" s="17">
        <v>2021</v>
      </c>
      <c r="C3082" s="25" t="s">
        <v>1118</v>
      </c>
      <c r="D3082" s="17">
        <v>341</v>
      </c>
      <c r="E3082" s="17" t="e">
        <f>#REF!</f>
        <v>#REF!</v>
      </c>
      <c r="F3082" s="23">
        <v>3431801</v>
      </c>
    </row>
    <row r="3083" spans="1:6" ht="16" customHeight="1" x14ac:dyDescent="0.2">
      <c r="A3083">
        <f>IFERROR(VLOOKUP(C3083,'GASB Match'!$D$2:$F$6042,3,FALSE),"")</f>
        <v>3409420</v>
      </c>
      <c r="B3083" s="17">
        <v>2022</v>
      </c>
      <c r="C3083" s="21" t="s">
        <v>1118</v>
      </c>
      <c r="D3083" s="17">
        <v>341</v>
      </c>
      <c r="E3083" s="17" t="e">
        <f>#REF!</f>
        <v>#REF!</v>
      </c>
      <c r="F3083" s="23">
        <v>5038214</v>
      </c>
    </row>
    <row r="3084" spans="1:6" ht="16" customHeight="1" x14ac:dyDescent="0.2">
      <c r="A3084">
        <f>IFERROR(VLOOKUP(C3084,'GASB Match'!$D$2:$F$6042,3,FALSE),"")</f>
        <v>3409420</v>
      </c>
      <c r="B3084" s="17">
        <v>2023</v>
      </c>
      <c r="C3084" s="21" t="s">
        <v>1118</v>
      </c>
      <c r="D3084" s="17">
        <v>341</v>
      </c>
      <c r="E3084" s="17" t="e">
        <f>#REF!</f>
        <v>#REF!</v>
      </c>
      <c r="F3084" s="23">
        <v>5019682</v>
      </c>
    </row>
    <row r="3085" spans="1:6" ht="16" customHeight="1" x14ac:dyDescent="0.2">
      <c r="A3085">
        <f>IFERROR(VLOOKUP(C3085,'GASB Match'!$D$2:$F$6042,3,FALSE),"")</f>
        <v>3409420</v>
      </c>
      <c r="B3085" s="28">
        <v>2017</v>
      </c>
      <c r="C3085" s="29" t="s">
        <v>426</v>
      </c>
      <c r="D3085" s="17">
        <v>341</v>
      </c>
      <c r="E3085" s="17" t="e">
        <f>#REF!</f>
        <v>#REF!</v>
      </c>
      <c r="F3085" s="29">
        <v>1266010</v>
      </c>
    </row>
    <row r="3086" spans="1:6" ht="16" customHeight="1" x14ac:dyDescent="0.2">
      <c r="A3086">
        <f>IFERROR(VLOOKUP(C3086,'GASB Match'!$D$2:$F$6042,3,FALSE),"")</f>
        <v>3409450</v>
      </c>
      <c r="B3086" s="17">
        <v>2015</v>
      </c>
      <c r="C3086" s="17" t="s">
        <v>509</v>
      </c>
      <c r="D3086" s="17">
        <v>524</v>
      </c>
      <c r="E3086" s="17" t="e">
        <f>#REF!</f>
        <v>#REF!</v>
      </c>
      <c r="F3086" s="20">
        <v>1256452</v>
      </c>
    </row>
    <row r="3087" spans="1:6" ht="16" customHeight="1" x14ac:dyDescent="0.2">
      <c r="A3087">
        <f>IFERROR(VLOOKUP(C3087,'GASB Match'!$D$2:$F$6042,3,FALSE),"")</f>
        <v>3409450</v>
      </c>
      <c r="B3087" s="17">
        <v>2016</v>
      </c>
      <c r="C3087" s="17" t="s">
        <v>509</v>
      </c>
      <c r="D3087" s="17">
        <v>524</v>
      </c>
      <c r="E3087" s="17" t="e">
        <f>#REF!</f>
        <v>#REF!</v>
      </c>
      <c r="F3087" s="20">
        <v>1857193</v>
      </c>
    </row>
    <row r="3088" spans="1:6" ht="16" customHeight="1" x14ac:dyDescent="0.2">
      <c r="A3088">
        <f>IFERROR(VLOOKUP(C3088,'GASB Match'!$D$2:$F$6042,3,FALSE),"")</f>
        <v>3409450</v>
      </c>
      <c r="B3088" s="17">
        <v>2018</v>
      </c>
      <c r="C3088" s="17" t="s">
        <v>1201</v>
      </c>
      <c r="D3088" s="17">
        <v>524</v>
      </c>
      <c r="E3088" s="17" t="e">
        <f>#REF!</f>
        <v>#REF!</v>
      </c>
      <c r="F3088" s="20">
        <v>3351632</v>
      </c>
    </row>
    <row r="3089" spans="1:6" ht="16" customHeight="1" x14ac:dyDescent="0.2">
      <c r="A3089">
        <f>IFERROR(VLOOKUP(C3089,'GASB Match'!$D$2:$F$6042,3,FALSE),"")</f>
        <v>3409450</v>
      </c>
      <c r="B3089" s="17">
        <v>2019</v>
      </c>
      <c r="C3089" s="17" t="s">
        <v>1201</v>
      </c>
      <c r="D3089" s="17">
        <v>524</v>
      </c>
      <c r="E3089" s="17" t="e">
        <f>#REF!</f>
        <v>#REF!</v>
      </c>
      <c r="F3089" s="20">
        <v>4570490</v>
      </c>
    </row>
    <row r="3090" spans="1:6" ht="16" customHeight="1" x14ac:dyDescent="0.2">
      <c r="A3090">
        <f>IFERROR(VLOOKUP(C3090,'GASB Match'!$D$2:$F$6042,3,FALSE),"")</f>
        <v>3409450</v>
      </c>
      <c r="B3090" s="17">
        <v>2020</v>
      </c>
      <c r="C3090" s="21" t="s">
        <v>1201</v>
      </c>
      <c r="D3090" s="17">
        <v>524</v>
      </c>
      <c r="E3090" s="17" t="e">
        <f>#REF!</f>
        <v>#REF!</v>
      </c>
      <c r="F3090" s="23">
        <v>5050777</v>
      </c>
    </row>
    <row r="3091" spans="1:6" ht="16" customHeight="1" x14ac:dyDescent="0.2">
      <c r="A3091">
        <f>IFERROR(VLOOKUP(C3091,'GASB Match'!$D$2:$F$6042,3,FALSE),"")</f>
        <v>3409450</v>
      </c>
      <c r="B3091" s="17">
        <v>2021</v>
      </c>
      <c r="C3091" s="25" t="s">
        <v>1201</v>
      </c>
      <c r="D3091" s="17">
        <v>524</v>
      </c>
      <c r="E3091" s="17" t="e">
        <f>#REF!</f>
        <v>#REF!</v>
      </c>
      <c r="F3091" s="23">
        <v>6453845</v>
      </c>
    </row>
    <row r="3092" spans="1:6" ht="16" customHeight="1" x14ac:dyDescent="0.2">
      <c r="A3092">
        <f>IFERROR(VLOOKUP(C3092,'GASB Match'!$D$2:$F$6042,3,FALSE),"")</f>
        <v>3409450</v>
      </c>
      <c r="B3092" s="17">
        <v>2022</v>
      </c>
      <c r="C3092" s="21" t="s">
        <v>1201</v>
      </c>
      <c r="D3092" s="17">
        <v>524</v>
      </c>
      <c r="E3092" s="17" t="e">
        <f>#REF!</f>
        <v>#REF!</v>
      </c>
      <c r="F3092" s="23">
        <v>9102643</v>
      </c>
    </row>
    <row r="3093" spans="1:6" ht="16" customHeight="1" x14ac:dyDescent="0.2">
      <c r="A3093">
        <f>IFERROR(VLOOKUP(C3093,'GASB Match'!$D$2:$F$6042,3,FALSE),"")</f>
        <v>3409450</v>
      </c>
      <c r="B3093" s="17">
        <v>2023</v>
      </c>
      <c r="C3093" s="21" t="s">
        <v>1201</v>
      </c>
      <c r="D3093" s="17">
        <v>524</v>
      </c>
      <c r="E3093" s="17" t="e">
        <f>#REF!</f>
        <v>#REF!</v>
      </c>
      <c r="F3093" s="23">
        <v>9198076</v>
      </c>
    </row>
    <row r="3094" spans="1:6" ht="16" customHeight="1" x14ac:dyDescent="0.2">
      <c r="A3094">
        <f>IFERROR(VLOOKUP(C3094,'GASB Match'!$D$2:$F$6042,3,FALSE),"")</f>
        <v>3409450</v>
      </c>
      <c r="B3094" s="28">
        <v>2017</v>
      </c>
      <c r="C3094" s="29" t="s">
        <v>509</v>
      </c>
      <c r="D3094" s="17">
        <v>524</v>
      </c>
      <c r="E3094" s="17" t="e">
        <f>#REF!</f>
        <v>#REF!</v>
      </c>
      <c r="F3094" s="29">
        <v>2563667</v>
      </c>
    </row>
    <row r="3095" spans="1:6" ht="16" customHeight="1" x14ac:dyDescent="0.2">
      <c r="A3095">
        <f>IFERROR(VLOOKUP(C3095,'GASB Match'!$D$2:$F$6042,3,FALSE),"")</f>
        <v>3409480</v>
      </c>
      <c r="B3095" s="17">
        <v>2015</v>
      </c>
      <c r="C3095" s="17" t="s">
        <v>552</v>
      </c>
      <c r="D3095" s="17">
        <v>716</v>
      </c>
      <c r="E3095" s="17" t="e">
        <f>#REF!</f>
        <v>#REF!</v>
      </c>
      <c r="F3095" s="20">
        <v>58733</v>
      </c>
    </row>
    <row r="3096" spans="1:6" ht="16" customHeight="1" x14ac:dyDescent="0.2">
      <c r="A3096">
        <f>IFERROR(VLOOKUP(C3096,'GASB Match'!$D$2:$F$6042,3,FALSE),"")</f>
        <v>3409480</v>
      </c>
      <c r="B3096" s="17">
        <v>2016</v>
      </c>
      <c r="C3096" s="17" t="s">
        <v>552</v>
      </c>
      <c r="D3096" s="17">
        <v>716</v>
      </c>
      <c r="E3096" s="17" t="e">
        <f>#REF!</f>
        <v>#REF!</v>
      </c>
      <c r="F3096" s="20">
        <v>89311</v>
      </c>
    </row>
    <row r="3097" spans="1:6" ht="16" customHeight="1" x14ac:dyDescent="0.2">
      <c r="A3097">
        <f>IFERROR(VLOOKUP(C3097,'GASB Match'!$D$2:$F$6042,3,FALSE),"")</f>
        <v>3409480</v>
      </c>
      <c r="B3097" s="17">
        <v>2018</v>
      </c>
      <c r="C3097" s="17" t="s">
        <v>1244</v>
      </c>
      <c r="D3097" s="17">
        <v>716</v>
      </c>
      <c r="E3097" s="17" t="e">
        <f>#REF!</f>
        <v>#REF!</v>
      </c>
      <c r="F3097" s="20">
        <v>158582</v>
      </c>
    </row>
    <row r="3098" spans="1:6" ht="16" customHeight="1" x14ac:dyDescent="0.2">
      <c r="A3098">
        <f>IFERROR(VLOOKUP(C3098,'GASB Match'!$D$2:$F$6042,3,FALSE),"")</f>
        <v>3409480</v>
      </c>
      <c r="B3098" s="17">
        <v>2019</v>
      </c>
      <c r="C3098" s="17" t="s">
        <v>1244</v>
      </c>
      <c r="D3098" s="17">
        <v>716</v>
      </c>
      <c r="E3098" s="17" t="e">
        <f>#REF!</f>
        <v>#REF!</v>
      </c>
      <c r="F3098" s="20">
        <v>225988</v>
      </c>
    </row>
    <row r="3099" spans="1:6" ht="16" customHeight="1" x14ac:dyDescent="0.2">
      <c r="A3099">
        <f>IFERROR(VLOOKUP(C3099,'GASB Match'!$D$2:$F$6042,3,FALSE),"")</f>
        <v>3409480</v>
      </c>
      <c r="B3099" s="17">
        <v>2020</v>
      </c>
      <c r="C3099" s="21" t="s">
        <v>1244</v>
      </c>
      <c r="D3099" s="17">
        <v>716</v>
      </c>
      <c r="E3099" s="17" t="e">
        <f>#REF!</f>
        <v>#REF!</v>
      </c>
      <c r="F3099" s="23">
        <v>258676</v>
      </c>
    </row>
    <row r="3100" spans="1:6" ht="16" customHeight="1" x14ac:dyDescent="0.2">
      <c r="A3100">
        <f>IFERROR(VLOOKUP(C3100,'GASB Match'!$D$2:$F$6042,3,FALSE),"")</f>
        <v>3409480</v>
      </c>
      <c r="B3100" s="17">
        <v>2021</v>
      </c>
      <c r="C3100" s="25" t="s">
        <v>1244</v>
      </c>
      <c r="D3100" s="17">
        <v>716</v>
      </c>
      <c r="E3100" s="17" t="e">
        <f>#REF!</f>
        <v>#REF!</v>
      </c>
      <c r="F3100" s="23">
        <v>381712</v>
      </c>
    </row>
    <row r="3101" spans="1:6" ht="16" customHeight="1" x14ac:dyDescent="0.2">
      <c r="A3101">
        <f>IFERROR(VLOOKUP(C3101,'GASB Match'!$D$2:$F$6042,3,FALSE),"")</f>
        <v>3409480</v>
      </c>
      <c r="B3101" s="17">
        <v>2022</v>
      </c>
      <c r="C3101" s="21" t="s">
        <v>1244</v>
      </c>
      <c r="D3101" s="17">
        <v>716</v>
      </c>
      <c r="E3101" s="17" t="e">
        <f>#REF!</f>
        <v>#REF!</v>
      </c>
      <c r="F3101" s="23">
        <v>529650</v>
      </c>
    </row>
    <row r="3102" spans="1:6" ht="16" customHeight="1" x14ac:dyDescent="0.2">
      <c r="A3102">
        <f>IFERROR(VLOOKUP(C3102,'GASB Match'!$D$2:$F$6042,3,FALSE),"")</f>
        <v>3409480</v>
      </c>
      <c r="B3102" s="17">
        <v>2023</v>
      </c>
      <c r="C3102" s="21" t="s">
        <v>1244</v>
      </c>
      <c r="D3102" s="17">
        <v>716</v>
      </c>
      <c r="E3102" s="17" t="e">
        <f>#REF!</f>
        <v>#REF!</v>
      </c>
      <c r="F3102" s="23">
        <v>555264</v>
      </c>
    </row>
    <row r="3103" spans="1:6" ht="16" customHeight="1" x14ac:dyDescent="0.2">
      <c r="A3103">
        <f>IFERROR(VLOOKUP(C3103,'GASB Match'!$D$2:$F$6042,3,FALSE),"")</f>
        <v>3409480</v>
      </c>
      <c r="B3103" s="28">
        <v>2017</v>
      </c>
      <c r="C3103" s="29" t="s">
        <v>552</v>
      </c>
      <c r="D3103" s="17">
        <v>716</v>
      </c>
      <c r="E3103" s="17" t="e">
        <f>#REF!</f>
        <v>#REF!</v>
      </c>
      <c r="F3103" s="29">
        <v>120322</v>
      </c>
    </row>
    <row r="3104" spans="1:6" ht="16" customHeight="1" x14ac:dyDescent="0.2">
      <c r="A3104">
        <f>IFERROR(VLOOKUP(C3104,'GASB Match'!$D$2:$F$6042,3,FALSE),"")</f>
        <v>3409510</v>
      </c>
      <c r="B3104" s="17">
        <v>2019</v>
      </c>
      <c r="C3104" s="17" t="s">
        <v>1359</v>
      </c>
      <c r="D3104" s="17">
        <v>3026</v>
      </c>
      <c r="E3104" s="17" t="e">
        <f>#REF!</f>
        <v>#REF!</v>
      </c>
      <c r="F3104" s="20">
        <v>832064</v>
      </c>
    </row>
    <row r="3105" spans="1:6" ht="16" customHeight="1" x14ac:dyDescent="0.2">
      <c r="A3105">
        <f>IFERROR(VLOOKUP(C3105,'GASB Match'!$D$2:$F$6042,3,FALSE),"")</f>
        <v>3409510</v>
      </c>
      <c r="B3105" s="17">
        <v>2015</v>
      </c>
      <c r="C3105" s="17" t="s">
        <v>124</v>
      </c>
      <c r="D3105" s="17">
        <v>3026</v>
      </c>
      <c r="E3105" s="17" t="e">
        <f>#REF!</f>
        <v>#REF!</v>
      </c>
      <c r="F3105" s="20">
        <v>219102</v>
      </c>
    </row>
    <row r="3106" spans="1:6" ht="16" customHeight="1" x14ac:dyDescent="0.2">
      <c r="A3106">
        <f>IFERROR(VLOOKUP(C3106,'GASB Match'!$D$2:$F$6042,3,FALSE),"")</f>
        <v>3409510</v>
      </c>
      <c r="B3106" s="17">
        <v>2016</v>
      </c>
      <c r="C3106" s="17" t="s">
        <v>124</v>
      </c>
      <c r="D3106" s="17">
        <v>3026</v>
      </c>
      <c r="E3106" s="17" t="e">
        <f>#REF!</f>
        <v>#REF!</v>
      </c>
      <c r="F3106" s="20">
        <v>339713</v>
      </c>
    </row>
    <row r="3107" spans="1:6" ht="16" customHeight="1" x14ac:dyDescent="0.2">
      <c r="A3107">
        <f>IFERROR(VLOOKUP(C3107,'GASB Match'!$D$2:$F$6042,3,FALSE),"")</f>
        <v>3409510</v>
      </c>
      <c r="B3107" s="17">
        <v>2018</v>
      </c>
      <c r="C3107" s="17" t="s">
        <v>805</v>
      </c>
      <c r="D3107" s="17">
        <v>3026</v>
      </c>
      <c r="E3107" s="17" t="e">
        <f>#REF!</f>
        <v>#REF!</v>
      </c>
      <c r="F3107" s="20">
        <v>633694</v>
      </c>
    </row>
    <row r="3108" spans="1:6" ht="16" customHeight="1" x14ac:dyDescent="0.2">
      <c r="A3108">
        <f>IFERROR(VLOOKUP(C3108,'GASB Match'!$D$2:$F$6042,3,FALSE),"")</f>
        <v>3409510</v>
      </c>
      <c r="B3108" s="17">
        <v>2020</v>
      </c>
      <c r="C3108" s="21" t="s">
        <v>805</v>
      </c>
      <c r="D3108" s="17">
        <v>3026</v>
      </c>
      <c r="E3108" s="17" t="e">
        <f>#REF!</f>
        <v>#REF!</v>
      </c>
      <c r="F3108" s="23">
        <v>995053</v>
      </c>
    </row>
    <row r="3109" spans="1:6" ht="16" customHeight="1" x14ac:dyDescent="0.2">
      <c r="A3109">
        <f>IFERROR(VLOOKUP(C3109,'GASB Match'!$D$2:$F$6042,3,FALSE),"")</f>
        <v>3409510</v>
      </c>
      <c r="B3109" s="17">
        <v>2021</v>
      </c>
      <c r="C3109" s="25" t="s">
        <v>805</v>
      </c>
      <c r="D3109" s="17">
        <v>3026</v>
      </c>
      <c r="E3109" s="17" t="e">
        <f>#REF!</f>
        <v>#REF!</v>
      </c>
      <c r="F3109" s="23">
        <v>1333042</v>
      </c>
    </row>
    <row r="3110" spans="1:6" ht="16" customHeight="1" x14ac:dyDescent="0.2">
      <c r="A3110">
        <f>IFERROR(VLOOKUP(C3110,'GASB Match'!$D$2:$F$6042,3,FALSE),"")</f>
        <v>3409510</v>
      </c>
      <c r="B3110" s="17">
        <v>2022</v>
      </c>
      <c r="C3110" s="21" t="s">
        <v>805</v>
      </c>
      <c r="D3110" s="17">
        <v>3026</v>
      </c>
      <c r="E3110" s="17" t="e">
        <f>#REF!</f>
        <v>#REF!</v>
      </c>
      <c r="F3110" s="23">
        <v>1888265</v>
      </c>
    </row>
    <row r="3111" spans="1:6" ht="16" customHeight="1" x14ac:dyDescent="0.2">
      <c r="A3111">
        <f>IFERROR(VLOOKUP(C3111,'GASB Match'!$D$2:$F$6042,3,FALSE),"")</f>
        <v>3409510</v>
      </c>
      <c r="B3111" s="17">
        <v>2023</v>
      </c>
      <c r="C3111" s="21" t="s">
        <v>805</v>
      </c>
      <c r="D3111" s="17">
        <v>3026</v>
      </c>
      <c r="E3111" s="17" t="e">
        <f>#REF!</f>
        <v>#REF!</v>
      </c>
      <c r="F3111" s="23">
        <v>1826544</v>
      </c>
    </row>
    <row r="3112" spans="1:6" ht="16" customHeight="1" x14ac:dyDescent="0.2">
      <c r="A3112">
        <f>IFERROR(VLOOKUP(C3112,'GASB Match'!$D$2:$F$6042,3,FALSE),"")</f>
        <v>3409510</v>
      </c>
      <c r="B3112" s="28">
        <v>2017</v>
      </c>
      <c r="C3112" s="29" t="s">
        <v>124</v>
      </c>
      <c r="D3112" s="17">
        <v>3026</v>
      </c>
      <c r="E3112" s="17" t="e">
        <f>#REF!</f>
        <v>#REF!</v>
      </c>
      <c r="F3112" s="29">
        <v>482546</v>
      </c>
    </row>
    <row r="3113" spans="1:6" ht="16" customHeight="1" x14ac:dyDescent="0.2">
      <c r="A3113">
        <f>IFERROR(VLOOKUP(C3113,'GASB Match'!$D$2:$F$6042,3,FALSE),"")</f>
        <v>3409540</v>
      </c>
      <c r="B3113" s="17">
        <v>2015</v>
      </c>
      <c r="C3113" s="17" t="s">
        <v>650</v>
      </c>
      <c r="D3113" s="17">
        <v>927</v>
      </c>
      <c r="E3113" s="17" t="e">
        <f>#REF!</f>
        <v>#REF!</v>
      </c>
      <c r="F3113" s="20">
        <v>251647</v>
      </c>
    </row>
    <row r="3114" spans="1:6" ht="16" customHeight="1" x14ac:dyDescent="0.2">
      <c r="A3114">
        <f>IFERROR(VLOOKUP(C3114,'GASB Match'!$D$2:$F$6042,3,FALSE),"")</f>
        <v>3409540</v>
      </c>
      <c r="B3114" s="17">
        <v>2016</v>
      </c>
      <c r="C3114" s="17" t="s">
        <v>650</v>
      </c>
      <c r="D3114" s="17">
        <v>927</v>
      </c>
      <c r="E3114" s="17" t="e">
        <f>#REF!</f>
        <v>#REF!</v>
      </c>
      <c r="F3114" s="19">
        <v>373061</v>
      </c>
    </row>
    <row r="3115" spans="1:6" ht="16" customHeight="1" x14ac:dyDescent="0.2">
      <c r="A3115">
        <f>IFERROR(VLOOKUP(C3115,'GASB Match'!$D$2:$F$6042,3,FALSE),"")</f>
        <v>3409540</v>
      </c>
      <c r="B3115" s="17">
        <v>2018</v>
      </c>
      <c r="C3115" s="17" t="s">
        <v>1343</v>
      </c>
      <c r="D3115" s="17">
        <v>927</v>
      </c>
      <c r="E3115" s="17" t="e">
        <f>#REF!</f>
        <v>#REF!</v>
      </c>
      <c r="F3115" s="20">
        <v>712361</v>
      </c>
    </row>
    <row r="3116" spans="1:6" ht="16" customHeight="1" x14ac:dyDescent="0.2">
      <c r="A3116">
        <f>IFERROR(VLOOKUP(C3116,'GASB Match'!$D$2:$F$6042,3,FALSE),"")</f>
        <v>3409540</v>
      </c>
      <c r="B3116" s="17">
        <v>2019</v>
      </c>
      <c r="C3116" s="17" t="s">
        <v>1343</v>
      </c>
      <c r="D3116" s="17">
        <v>927</v>
      </c>
      <c r="E3116" s="17" t="e">
        <f>#REF!</f>
        <v>#REF!</v>
      </c>
      <c r="F3116" s="20">
        <v>952122</v>
      </c>
    </row>
    <row r="3117" spans="1:6" ht="16" customHeight="1" x14ac:dyDescent="0.2">
      <c r="A3117">
        <f>IFERROR(VLOOKUP(C3117,'GASB Match'!$D$2:$F$6042,3,FALSE),"")</f>
        <v>3409540</v>
      </c>
      <c r="B3117" s="17">
        <v>2020</v>
      </c>
      <c r="C3117" s="21" t="s">
        <v>1343</v>
      </c>
      <c r="D3117" s="17">
        <v>927</v>
      </c>
      <c r="E3117" s="17" t="e">
        <f>#REF!</f>
        <v>#REF!</v>
      </c>
      <c r="F3117" s="23">
        <v>1041679</v>
      </c>
    </row>
    <row r="3118" spans="1:6" ht="16" customHeight="1" x14ac:dyDescent="0.2">
      <c r="A3118">
        <f>IFERROR(VLOOKUP(C3118,'GASB Match'!$D$2:$F$6042,3,FALSE),"")</f>
        <v>3409540</v>
      </c>
      <c r="B3118" s="17">
        <v>2021</v>
      </c>
      <c r="C3118" s="25" t="s">
        <v>1343</v>
      </c>
      <c r="D3118" s="17">
        <v>927</v>
      </c>
      <c r="E3118" s="17" t="e">
        <f>#REF!</f>
        <v>#REF!</v>
      </c>
      <c r="F3118" s="23">
        <v>1313427</v>
      </c>
    </row>
    <row r="3119" spans="1:6" ht="16" customHeight="1" x14ac:dyDescent="0.2">
      <c r="A3119">
        <f>IFERROR(VLOOKUP(C3119,'GASB Match'!$D$2:$F$6042,3,FALSE),"")</f>
        <v>3409540</v>
      </c>
      <c r="B3119" s="17">
        <v>2022</v>
      </c>
      <c r="C3119" s="21" t="s">
        <v>1343</v>
      </c>
      <c r="D3119" s="17">
        <v>927</v>
      </c>
      <c r="E3119" s="17" t="e">
        <f>#REF!</f>
        <v>#REF!</v>
      </c>
      <c r="F3119" s="23">
        <v>1894366</v>
      </c>
    </row>
    <row r="3120" spans="1:6" ht="16" customHeight="1" x14ac:dyDescent="0.2">
      <c r="A3120">
        <f>IFERROR(VLOOKUP(C3120,'GASB Match'!$D$2:$F$6042,3,FALSE),"")</f>
        <v>3409540</v>
      </c>
      <c r="B3120" s="17">
        <v>2023</v>
      </c>
      <c r="C3120" s="21" t="s">
        <v>1343</v>
      </c>
      <c r="D3120" s="17">
        <v>927</v>
      </c>
      <c r="E3120" s="17" t="e">
        <f>#REF!</f>
        <v>#REF!</v>
      </c>
      <c r="F3120" s="23">
        <v>1944196</v>
      </c>
    </row>
    <row r="3121" spans="1:6" ht="16" customHeight="1" x14ac:dyDescent="0.2">
      <c r="A3121">
        <f>IFERROR(VLOOKUP(C3121,'GASB Match'!$D$2:$F$6042,3,FALSE),"")</f>
        <v>3409540</v>
      </c>
      <c r="B3121" s="28">
        <v>2017</v>
      </c>
      <c r="C3121" s="29" t="s">
        <v>650</v>
      </c>
      <c r="D3121" s="17">
        <v>927</v>
      </c>
      <c r="E3121" s="17" t="e">
        <f>#REF!</f>
        <v>#REF!</v>
      </c>
      <c r="F3121" s="29">
        <v>523174</v>
      </c>
    </row>
    <row r="3122" spans="1:6" ht="16" customHeight="1" x14ac:dyDescent="0.2">
      <c r="A3122">
        <f>IFERROR(VLOOKUP(C3122,'GASB Match'!$D$2:$F$6042,3,FALSE),"")</f>
        <v>3409600</v>
      </c>
      <c r="B3122" s="17">
        <v>2015</v>
      </c>
      <c r="C3122" s="17" t="s">
        <v>288</v>
      </c>
      <c r="D3122" s="17">
        <v>7021</v>
      </c>
      <c r="E3122" s="17" t="e">
        <f>#REF!</f>
        <v>#REF!</v>
      </c>
      <c r="F3122" s="20">
        <v>445855</v>
      </c>
    </row>
    <row r="3123" spans="1:6" ht="16" customHeight="1" x14ac:dyDescent="0.2">
      <c r="A3123">
        <f>IFERROR(VLOOKUP(C3123,'GASB Match'!$D$2:$F$6042,3,FALSE),"")</f>
        <v>3409600</v>
      </c>
      <c r="B3123" s="17">
        <v>2016</v>
      </c>
      <c r="C3123" s="17" t="s">
        <v>288</v>
      </c>
      <c r="D3123" s="17">
        <v>7021</v>
      </c>
      <c r="E3123" s="17" t="e">
        <f>#REF!</f>
        <v>#REF!</v>
      </c>
      <c r="F3123" s="20">
        <v>673118</v>
      </c>
    </row>
    <row r="3124" spans="1:6" ht="16" customHeight="1" x14ac:dyDescent="0.2">
      <c r="A3124">
        <f>IFERROR(VLOOKUP(C3124,'GASB Match'!$D$2:$F$6042,3,FALSE),"")</f>
        <v>3409600</v>
      </c>
      <c r="B3124" s="17">
        <v>2018</v>
      </c>
      <c r="C3124" s="17" t="s">
        <v>978</v>
      </c>
      <c r="D3124" s="17">
        <v>7021</v>
      </c>
      <c r="E3124" s="17" t="e">
        <f>#REF!</f>
        <v>#REF!</v>
      </c>
      <c r="F3124" s="20">
        <v>1342957</v>
      </c>
    </row>
    <row r="3125" spans="1:6" ht="16" customHeight="1" x14ac:dyDescent="0.2">
      <c r="A3125">
        <f>IFERROR(VLOOKUP(C3125,'GASB Match'!$D$2:$F$6042,3,FALSE),"")</f>
        <v>3409600</v>
      </c>
      <c r="B3125" s="17">
        <v>2019</v>
      </c>
      <c r="C3125" s="17" t="s">
        <v>978</v>
      </c>
      <c r="D3125" s="17">
        <v>7021</v>
      </c>
      <c r="E3125" s="17" t="e">
        <f>#REF!</f>
        <v>#REF!</v>
      </c>
      <c r="F3125" s="20">
        <v>1754874</v>
      </c>
    </row>
    <row r="3126" spans="1:6" ht="16" customHeight="1" x14ac:dyDescent="0.2">
      <c r="A3126">
        <f>IFERROR(VLOOKUP(C3126,'GASB Match'!$D$2:$F$6042,3,FALSE),"")</f>
        <v>3409600</v>
      </c>
      <c r="B3126" s="17">
        <v>2020</v>
      </c>
      <c r="C3126" s="21" t="s">
        <v>978</v>
      </c>
      <c r="D3126" s="17">
        <v>7021</v>
      </c>
      <c r="E3126" s="17" t="e">
        <f>#REF!</f>
        <v>#REF!</v>
      </c>
      <c r="F3126" s="23">
        <v>1958350</v>
      </c>
    </row>
    <row r="3127" spans="1:6" ht="16" customHeight="1" x14ac:dyDescent="0.2">
      <c r="A3127">
        <f>IFERROR(VLOOKUP(C3127,'GASB Match'!$D$2:$F$6042,3,FALSE),"")</f>
        <v>3409600</v>
      </c>
      <c r="B3127" s="17">
        <v>2021</v>
      </c>
      <c r="C3127" s="25" t="s">
        <v>978</v>
      </c>
      <c r="D3127" s="17">
        <v>7021</v>
      </c>
      <c r="E3127" s="17" t="e">
        <f>#REF!</f>
        <v>#REF!</v>
      </c>
      <c r="F3127" s="23">
        <v>2628601</v>
      </c>
    </row>
    <row r="3128" spans="1:6" ht="16" customHeight="1" x14ac:dyDescent="0.2">
      <c r="A3128">
        <f>IFERROR(VLOOKUP(C3128,'GASB Match'!$D$2:$F$6042,3,FALSE),"")</f>
        <v>3409600</v>
      </c>
      <c r="B3128" s="17">
        <v>2022</v>
      </c>
      <c r="C3128" s="21" t="s">
        <v>978</v>
      </c>
      <c r="D3128" s="17">
        <v>7021</v>
      </c>
      <c r="E3128" s="17" t="e">
        <f>#REF!</f>
        <v>#REF!</v>
      </c>
      <c r="F3128" s="23">
        <v>3630403</v>
      </c>
    </row>
    <row r="3129" spans="1:6" ht="16" customHeight="1" x14ac:dyDescent="0.2">
      <c r="A3129">
        <f>IFERROR(VLOOKUP(C3129,'GASB Match'!$D$2:$F$6042,3,FALSE),"")</f>
        <v>3409600</v>
      </c>
      <c r="B3129" s="17">
        <v>2023</v>
      </c>
      <c r="C3129" s="21" t="s">
        <v>978</v>
      </c>
      <c r="D3129" s="17">
        <v>7021</v>
      </c>
      <c r="E3129" s="17" t="e">
        <f>#REF!</f>
        <v>#REF!</v>
      </c>
      <c r="F3129" s="23">
        <v>3793618</v>
      </c>
    </row>
    <row r="3130" spans="1:6" ht="16" customHeight="1" x14ac:dyDescent="0.2">
      <c r="A3130">
        <f>IFERROR(VLOOKUP(C3130,'GASB Match'!$D$2:$F$6042,3,FALSE),"")</f>
        <v>3409600</v>
      </c>
      <c r="B3130" s="28">
        <v>2017</v>
      </c>
      <c r="C3130" s="29" t="s">
        <v>288</v>
      </c>
      <c r="D3130" s="17">
        <v>7021</v>
      </c>
      <c r="E3130" s="17" t="e">
        <f>#REF!</f>
        <v>#REF!</v>
      </c>
      <c r="F3130" s="29">
        <v>980768</v>
      </c>
    </row>
    <row r="3131" spans="1:6" ht="16" customHeight="1" x14ac:dyDescent="0.2">
      <c r="A3131">
        <f>IFERROR(VLOOKUP(C3131,'GASB Match'!$D$2:$F$6042,3,FALSE),"")</f>
        <v>3409630</v>
      </c>
      <c r="B3131" s="17">
        <v>2015</v>
      </c>
      <c r="C3131" s="17" t="s">
        <v>572</v>
      </c>
      <c r="D3131" s="17">
        <v>759</v>
      </c>
      <c r="E3131" s="17" t="e">
        <f>#REF!</f>
        <v>#REF!</v>
      </c>
      <c r="F3131" s="20">
        <v>455761</v>
      </c>
    </row>
    <row r="3132" spans="1:6" ht="16" customHeight="1" x14ac:dyDescent="0.2">
      <c r="A3132">
        <f>IFERROR(VLOOKUP(C3132,'GASB Match'!$D$2:$F$6042,3,FALSE),"")</f>
        <v>3409630</v>
      </c>
      <c r="B3132" s="17">
        <v>2016</v>
      </c>
      <c r="C3132" s="17" t="s">
        <v>572</v>
      </c>
      <c r="D3132" s="17">
        <v>759</v>
      </c>
      <c r="E3132" s="17" t="e">
        <f>#REF!</f>
        <v>#REF!</v>
      </c>
      <c r="F3132" s="20">
        <v>680805</v>
      </c>
    </row>
    <row r="3133" spans="1:6" ht="16" customHeight="1" x14ac:dyDescent="0.2">
      <c r="A3133">
        <f>IFERROR(VLOOKUP(C3133,'GASB Match'!$D$2:$F$6042,3,FALSE),"")</f>
        <v>3409630</v>
      </c>
      <c r="B3133" s="17">
        <v>2018</v>
      </c>
      <c r="C3133" s="17" t="s">
        <v>1264</v>
      </c>
      <c r="D3133" s="17">
        <v>759</v>
      </c>
      <c r="E3133" s="17" t="e">
        <f>#REF!</f>
        <v>#REF!</v>
      </c>
      <c r="F3133" s="20">
        <v>1271969</v>
      </c>
    </row>
    <row r="3134" spans="1:6" ht="16" customHeight="1" x14ac:dyDescent="0.2">
      <c r="A3134">
        <f>IFERROR(VLOOKUP(C3134,'GASB Match'!$D$2:$F$6042,3,FALSE),"")</f>
        <v>3409630</v>
      </c>
      <c r="B3134" s="17">
        <v>2019</v>
      </c>
      <c r="C3134" s="17" t="s">
        <v>1264</v>
      </c>
      <c r="D3134" s="17">
        <v>759</v>
      </c>
      <c r="E3134" s="17" t="e">
        <f>#REF!</f>
        <v>#REF!</v>
      </c>
      <c r="F3134" s="20">
        <v>1690091</v>
      </c>
    </row>
    <row r="3135" spans="1:6" ht="16" customHeight="1" x14ac:dyDescent="0.2">
      <c r="A3135">
        <f>IFERROR(VLOOKUP(C3135,'GASB Match'!$D$2:$F$6042,3,FALSE),"")</f>
        <v>3409630</v>
      </c>
      <c r="B3135" s="17">
        <v>2020</v>
      </c>
      <c r="C3135" s="21" t="s">
        <v>1264</v>
      </c>
      <c r="D3135" s="17">
        <v>759</v>
      </c>
      <c r="E3135" s="17" t="e">
        <f>#REF!</f>
        <v>#REF!</v>
      </c>
      <c r="F3135" s="23">
        <v>1987605</v>
      </c>
    </row>
    <row r="3136" spans="1:6" ht="16" customHeight="1" x14ac:dyDescent="0.2">
      <c r="A3136">
        <f>IFERROR(VLOOKUP(C3136,'GASB Match'!$D$2:$F$6042,3,FALSE),"")</f>
        <v>3409630</v>
      </c>
      <c r="B3136" s="17">
        <v>2021</v>
      </c>
      <c r="C3136" s="25" t="s">
        <v>1264</v>
      </c>
      <c r="D3136" s="17">
        <v>759</v>
      </c>
      <c r="E3136" s="17" t="e">
        <f>#REF!</f>
        <v>#REF!</v>
      </c>
      <c r="F3136" s="23">
        <v>2673045</v>
      </c>
    </row>
    <row r="3137" spans="1:6" ht="16" customHeight="1" x14ac:dyDescent="0.2">
      <c r="A3137">
        <f>IFERROR(VLOOKUP(C3137,'GASB Match'!$D$2:$F$6042,3,FALSE),"")</f>
        <v>3409630</v>
      </c>
      <c r="B3137" s="17">
        <v>2022</v>
      </c>
      <c r="C3137" s="21" t="s">
        <v>1264</v>
      </c>
      <c r="D3137" s="17">
        <v>759</v>
      </c>
      <c r="E3137" s="17" t="e">
        <f>#REF!</f>
        <v>#REF!</v>
      </c>
      <c r="F3137" s="23">
        <v>4257104</v>
      </c>
    </row>
    <row r="3138" spans="1:6" ht="16" customHeight="1" x14ac:dyDescent="0.2">
      <c r="A3138">
        <f>IFERROR(VLOOKUP(C3138,'GASB Match'!$D$2:$F$6042,3,FALSE),"")</f>
        <v>3409630</v>
      </c>
      <c r="B3138" s="17">
        <v>2023</v>
      </c>
      <c r="C3138" s="21" t="s">
        <v>1264</v>
      </c>
      <c r="D3138" s="17">
        <v>759</v>
      </c>
      <c r="E3138" s="17" t="e">
        <f>#REF!</f>
        <v>#REF!</v>
      </c>
      <c r="F3138" s="23">
        <v>4307403</v>
      </c>
    </row>
    <row r="3139" spans="1:6" ht="16" customHeight="1" x14ac:dyDescent="0.2">
      <c r="A3139">
        <f>IFERROR(VLOOKUP(C3139,'GASB Match'!$D$2:$F$6042,3,FALSE),"")</f>
        <v>3409630</v>
      </c>
      <c r="B3139" s="28">
        <v>2017</v>
      </c>
      <c r="C3139" s="29" t="s">
        <v>572</v>
      </c>
      <c r="D3139" s="17">
        <v>759</v>
      </c>
      <c r="E3139" s="17" t="e">
        <f>#REF!</f>
        <v>#REF!</v>
      </c>
      <c r="F3139" s="29">
        <v>896393</v>
      </c>
    </row>
    <row r="3140" spans="1:6" ht="16" customHeight="1" x14ac:dyDescent="0.2">
      <c r="A3140">
        <f>IFERROR(VLOOKUP(C3140,'GASB Match'!$D$2:$F$6042,3,FALSE),"")</f>
        <v>3409660</v>
      </c>
      <c r="B3140" s="17">
        <v>2015</v>
      </c>
      <c r="C3140" s="17" t="s">
        <v>125</v>
      </c>
      <c r="D3140" s="17">
        <v>3015</v>
      </c>
      <c r="E3140" s="17" t="e">
        <f>#REF!</f>
        <v>#REF!</v>
      </c>
      <c r="F3140" s="20">
        <v>774282</v>
      </c>
    </row>
    <row r="3141" spans="1:6" ht="16" customHeight="1" x14ac:dyDescent="0.2">
      <c r="A3141">
        <f>IFERROR(VLOOKUP(C3141,'GASB Match'!$D$2:$F$6042,3,FALSE),"")</f>
        <v>3409660</v>
      </c>
      <c r="B3141" s="17">
        <v>2016</v>
      </c>
      <c r="C3141" s="17" t="s">
        <v>125</v>
      </c>
      <c r="D3141" s="17">
        <v>3015</v>
      </c>
      <c r="E3141" s="17" t="e">
        <f>#REF!</f>
        <v>#REF!</v>
      </c>
      <c r="F3141" s="20">
        <v>1181606</v>
      </c>
    </row>
    <row r="3142" spans="1:6" ht="16" customHeight="1" x14ac:dyDescent="0.2">
      <c r="A3142">
        <f>IFERROR(VLOOKUP(C3142,'GASB Match'!$D$2:$F$6042,3,FALSE),"")</f>
        <v>3409660</v>
      </c>
      <c r="B3142" s="17">
        <v>2018</v>
      </c>
      <c r="C3142" s="17" t="s">
        <v>806</v>
      </c>
      <c r="D3142" s="17">
        <v>3015</v>
      </c>
      <c r="E3142" s="17" t="e">
        <f>#REF!</f>
        <v>#REF!</v>
      </c>
      <c r="F3142" s="20">
        <v>2272261</v>
      </c>
    </row>
    <row r="3143" spans="1:6" ht="16" customHeight="1" x14ac:dyDescent="0.2">
      <c r="A3143">
        <f>IFERROR(VLOOKUP(C3143,'GASB Match'!$D$2:$F$6042,3,FALSE),"")</f>
        <v>3409660</v>
      </c>
      <c r="B3143" s="17">
        <v>2019</v>
      </c>
      <c r="C3143" s="17" t="s">
        <v>806</v>
      </c>
      <c r="D3143" s="17">
        <v>3015</v>
      </c>
      <c r="E3143" s="17" t="e">
        <f>#REF!</f>
        <v>#REF!</v>
      </c>
      <c r="F3143" s="20">
        <v>3000904</v>
      </c>
    </row>
    <row r="3144" spans="1:6" ht="16" customHeight="1" x14ac:dyDescent="0.2">
      <c r="A3144">
        <f>IFERROR(VLOOKUP(C3144,'GASB Match'!$D$2:$F$6042,3,FALSE),"")</f>
        <v>3409660</v>
      </c>
      <c r="B3144" s="17">
        <v>2020</v>
      </c>
      <c r="C3144" s="21" t="s">
        <v>806</v>
      </c>
      <c r="D3144" s="17">
        <v>3015</v>
      </c>
      <c r="E3144" s="17" t="e">
        <f>#REF!</f>
        <v>#REF!</v>
      </c>
      <c r="F3144" s="23">
        <v>3464355</v>
      </c>
    </row>
    <row r="3145" spans="1:6" ht="16" customHeight="1" x14ac:dyDescent="0.2">
      <c r="A3145">
        <f>IFERROR(VLOOKUP(C3145,'GASB Match'!$D$2:$F$6042,3,FALSE),"")</f>
        <v>3409660</v>
      </c>
      <c r="B3145" s="17">
        <v>2021</v>
      </c>
      <c r="C3145" s="25" t="s">
        <v>806</v>
      </c>
      <c r="D3145" s="17">
        <v>3015</v>
      </c>
      <c r="E3145" s="17" t="e">
        <f>#REF!</f>
        <v>#REF!</v>
      </c>
      <c r="F3145" s="23">
        <v>4813639</v>
      </c>
    </row>
    <row r="3146" spans="1:6" ht="16" customHeight="1" x14ac:dyDescent="0.2">
      <c r="A3146">
        <f>IFERROR(VLOOKUP(C3146,'GASB Match'!$D$2:$F$6042,3,FALSE),"")</f>
        <v>3409660</v>
      </c>
      <c r="B3146" s="17">
        <v>2022</v>
      </c>
      <c r="C3146" s="21" t="s">
        <v>806</v>
      </c>
      <c r="D3146" s="17">
        <v>3015</v>
      </c>
      <c r="E3146" s="17" t="e">
        <f>#REF!</f>
        <v>#REF!</v>
      </c>
      <c r="F3146" s="23">
        <v>6948851</v>
      </c>
    </row>
    <row r="3147" spans="1:6" ht="16" customHeight="1" x14ac:dyDescent="0.2">
      <c r="A3147">
        <f>IFERROR(VLOOKUP(C3147,'GASB Match'!$D$2:$F$6042,3,FALSE),"")</f>
        <v>3409660</v>
      </c>
      <c r="B3147" s="17">
        <v>2023</v>
      </c>
      <c r="C3147" s="21" t="s">
        <v>806</v>
      </c>
      <c r="D3147" s="17">
        <v>3015</v>
      </c>
      <c r="E3147" s="17" t="e">
        <f>#REF!</f>
        <v>#REF!</v>
      </c>
      <c r="F3147" s="23">
        <v>6819755</v>
      </c>
    </row>
    <row r="3148" spans="1:6" ht="16" customHeight="1" x14ac:dyDescent="0.2">
      <c r="A3148">
        <f>IFERROR(VLOOKUP(C3148,'GASB Match'!$D$2:$F$6042,3,FALSE),"")</f>
        <v>3409660</v>
      </c>
      <c r="B3148" s="28">
        <v>2017</v>
      </c>
      <c r="C3148" s="29" t="s">
        <v>125</v>
      </c>
      <c r="D3148" s="17">
        <v>3015</v>
      </c>
      <c r="E3148" s="17" t="e">
        <f>#REF!</f>
        <v>#REF!</v>
      </c>
      <c r="F3148" s="29">
        <v>1655745</v>
      </c>
    </row>
    <row r="3149" spans="1:6" ht="16" customHeight="1" x14ac:dyDescent="0.2">
      <c r="A3149">
        <f>IFERROR(VLOOKUP(C3149,'GASB Match'!$D$2:$F$6042,3,FALSE),"")</f>
        <v>3409690</v>
      </c>
      <c r="B3149" s="17">
        <v>2015</v>
      </c>
      <c r="C3149" s="17" t="s">
        <v>18</v>
      </c>
      <c r="D3149" s="17">
        <v>1060</v>
      </c>
      <c r="E3149" s="17" t="e">
        <f>#REF!</f>
        <v>#REF!</v>
      </c>
      <c r="F3149" s="20">
        <v>254102</v>
      </c>
    </row>
    <row r="3150" spans="1:6" ht="16" customHeight="1" x14ac:dyDescent="0.2">
      <c r="A3150">
        <f>IFERROR(VLOOKUP(C3150,'GASB Match'!$D$2:$F$6042,3,FALSE),"")</f>
        <v>3409690</v>
      </c>
      <c r="B3150" s="17">
        <v>2016</v>
      </c>
      <c r="C3150" s="17" t="s">
        <v>18</v>
      </c>
      <c r="D3150" s="17">
        <v>1060</v>
      </c>
      <c r="E3150" s="17" t="e">
        <f>#REF!</f>
        <v>#REF!</v>
      </c>
      <c r="F3150" s="20">
        <v>364944</v>
      </c>
    </row>
    <row r="3151" spans="1:6" ht="16" customHeight="1" x14ac:dyDescent="0.2">
      <c r="A3151">
        <f>IFERROR(VLOOKUP(C3151,'GASB Match'!$D$2:$F$6042,3,FALSE),"")</f>
        <v>3409690</v>
      </c>
      <c r="B3151" s="17">
        <v>2018</v>
      </c>
      <c r="C3151" s="17" t="s">
        <v>697</v>
      </c>
      <c r="D3151" s="17">
        <v>1060</v>
      </c>
      <c r="E3151" s="17" t="e">
        <f>#REF!</f>
        <v>#REF!</v>
      </c>
      <c r="F3151" s="20">
        <v>718032</v>
      </c>
    </row>
    <row r="3152" spans="1:6" ht="16" customHeight="1" x14ac:dyDescent="0.2">
      <c r="A3152">
        <f>IFERROR(VLOOKUP(C3152,'GASB Match'!$D$2:$F$6042,3,FALSE),"")</f>
        <v>3409690</v>
      </c>
      <c r="B3152" s="17">
        <v>2019</v>
      </c>
      <c r="C3152" s="17" t="s">
        <v>697</v>
      </c>
      <c r="D3152" s="17">
        <v>1060</v>
      </c>
      <c r="E3152" s="17" t="e">
        <f>#REF!</f>
        <v>#REF!</v>
      </c>
      <c r="F3152" s="20">
        <v>1008384</v>
      </c>
    </row>
    <row r="3153" spans="1:6" ht="16" customHeight="1" x14ac:dyDescent="0.2">
      <c r="A3153">
        <f>IFERROR(VLOOKUP(C3153,'GASB Match'!$D$2:$F$6042,3,FALSE),"")</f>
        <v>3409690</v>
      </c>
      <c r="B3153" s="17">
        <v>2020</v>
      </c>
      <c r="C3153" s="21" t="s">
        <v>697</v>
      </c>
      <c r="D3153" s="17">
        <v>1060</v>
      </c>
      <c r="E3153" s="17" t="e">
        <f>#REF!</f>
        <v>#REF!</v>
      </c>
      <c r="F3153" s="23">
        <v>1120001</v>
      </c>
    </row>
    <row r="3154" spans="1:6" ht="16" customHeight="1" x14ac:dyDescent="0.2">
      <c r="A3154">
        <f>IFERROR(VLOOKUP(C3154,'GASB Match'!$D$2:$F$6042,3,FALSE),"")</f>
        <v>3409690</v>
      </c>
      <c r="B3154" s="17">
        <v>2021</v>
      </c>
      <c r="C3154" s="25" t="s">
        <v>697</v>
      </c>
      <c r="D3154" s="17">
        <v>1060</v>
      </c>
      <c r="E3154" s="17" t="e">
        <f>#REF!</f>
        <v>#REF!</v>
      </c>
      <c r="F3154" s="23">
        <v>1327843</v>
      </c>
    </row>
    <row r="3155" spans="1:6" ht="16" customHeight="1" x14ac:dyDescent="0.2">
      <c r="A3155">
        <f>IFERROR(VLOOKUP(C3155,'GASB Match'!$D$2:$F$6042,3,FALSE),"")</f>
        <v>3409690</v>
      </c>
      <c r="B3155" s="17">
        <v>2022</v>
      </c>
      <c r="C3155" s="21" t="s">
        <v>697</v>
      </c>
      <c r="D3155" s="17">
        <v>1060</v>
      </c>
      <c r="E3155" s="17" t="e">
        <f>#REF!</f>
        <v>#REF!</v>
      </c>
      <c r="F3155" s="23">
        <v>1892553</v>
      </c>
    </row>
    <row r="3156" spans="1:6" ht="16" customHeight="1" x14ac:dyDescent="0.2">
      <c r="A3156">
        <f>IFERROR(VLOOKUP(C3156,'GASB Match'!$D$2:$F$6042,3,FALSE),"")</f>
        <v>3409690</v>
      </c>
      <c r="B3156" s="17">
        <v>2023</v>
      </c>
      <c r="C3156" s="21" t="s">
        <v>697</v>
      </c>
      <c r="D3156" s="17">
        <v>1060</v>
      </c>
      <c r="E3156" s="17" t="e">
        <f>#REF!</f>
        <v>#REF!</v>
      </c>
      <c r="F3156" s="23">
        <v>1870147</v>
      </c>
    </row>
    <row r="3157" spans="1:6" ht="16" customHeight="1" x14ac:dyDescent="0.2">
      <c r="A3157">
        <f>IFERROR(VLOOKUP(C3157,'GASB Match'!$D$2:$F$6042,3,FALSE),"")</f>
        <v>3409690</v>
      </c>
      <c r="B3157" s="28">
        <v>2017</v>
      </c>
      <c r="C3157" s="29" t="s">
        <v>18</v>
      </c>
      <c r="D3157" s="17">
        <v>1060</v>
      </c>
      <c r="E3157" s="17" t="e">
        <f>#REF!</f>
        <v>#REF!</v>
      </c>
      <c r="F3157" s="29">
        <v>528237</v>
      </c>
    </row>
    <row r="3158" spans="1:6" ht="16" customHeight="1" x14ac:dyDescent="0.2">
      <c r="A3158">
        <f>IFERROR(VLOOKUP(C3158,'GASB Match'!$D$2:$F$6042,3,FALSE),"")</f>
        <v>3400026</v>
      </c>
      <c r="B3158" s="17">
        <v>2015</v>
      </c>
      <c r="C3158" s="17" t="s">
        <v>247</v>
      </c>
      <c r="D3158" s="17">
        <v>6007</v>
      </c>
      <c r="E3158" s="17" t="e">
        <f>#REF!</f>
        <v>#REF!</v>
      </c>
      <c r="F3158" s="20">
        <v>161611</v>
      </c>
    </row>
    <row r="3159" spans="1:6" ht="16" customHeight="1" x14ac:dyDescent="0.2">
      <c r="A3159">
        <f>IFERROR(VLOOKUP(C3159,'GASB Match'!$D$2:$F$6042,3,FALSE),"")</f>
        <v>3400026</v>
      </c>
      <c r="B3159" s="17">
        <v>2016</v>
      </c>
      <c r="C3159" s="17" t="s">
        <v>247</v>
      </c>
      <c r="D3159" s="17">
        <v>6007</v>
      </c>
      <c r="E3159" s="17" t="e">
        <f>#REF!</f>
        <v>#REF!</v>
      </c>
      <c r="F3159" s="20">
        <v>247428</v>
      </c>
    </row>
    <row r="3160" spans="1:6" ht="16" customHeight="1" x14ac:dyDescent="0.2">
      <c r="A3160">
        <f>IFERROR(VLOOKUP(C3160,'GASB Match'!$D$2:$F$6042,3,FALSE),"")</f>
        <v>3400026</v>
      </c>
      <c r="B3160" s="17">
        <v>2018</v>
      </c>
      <c r="C3160" s="17" t="s">
        <v>934</v>
      </c>
      <c r="D3160" s="17">
        <v>6007</v>
      </c>
      <c r="E3160" s="17" t="e">
        <f>#REF!</f>
        <v>#REF!</v>
      </c>
      <c r="F3160" s="20">
        <v>579373</v>
      </c>
    </row>
    <row r="3161" spans="1:6" ht="16" customHeight="1" x14ac:dyDescent="0.2">
      <c r="A3161">
        <f>IFERROR(VLOOKUP(C3161,'GASB Match'!$D$2:$F$6042,3,FALSE),"")</f>
        <v>3400026</v>
      </c>
      <c r="B3161" s="17">
        <v>2019</v>
      </c>
      <c r="C3161" s="17" t="s">
        <v>934</v>
      </c>
      <c r="D3161" s="17">
        <v>6007</v>
      </c>
      <c r="E3161" s="17" t="e">
        <f>#REF!</f>
        <v>#REF!</v>
      </c>
      <c r="F3161" s="20">
        <v>739507</v>
      </c>
    </row>
    <row r="3162" spans="1:6" ht="16" customHeight="1" x14ac:dyDescent="0.2">
      <c r="A3162">
        <f>IFERROR(VLOOKUP(C3162,'GASB Match'!$D$2:$F$6042,3,FALSE),"")</f>
        <v>3400026</v>
      </c>
      <c r="B3162" s="17">
        <v>2020</v>
      </c>
      <c r="C3162" s="21" t="s">
        <v>934</v>
      </c>
      <c r="D3162" s="17">
        <v>6007</v>
      </c>
      <c r="E3162" s="17" t="e">
        <f>#REF!</f>
        <v>#REF!</v>
      </c>
      <c r="F3162" s="23">
        <v>844147</v>
      </c>
    </row>
    <row r="3163" spans="1:6" ht="16" customHeight="1" x14ac:dyDescent="0.2">
      <c r="A3163">
        <f>IFERROR(VLOOKUP(C3163,'GASB Match'!$D$2:$F$6042,3,FALSE),"")</f>
        <v>3400026</v>
      </c>
      <c r="B3163" s="17">
        <v>2021</v>
      </c>
      <c r="C3163" s="25" t="s">
        <v>934</v>
      </c>
      <c r="D3163" s="17">
        <v>6007</v>
      </c>
      <c r="E3163" s="17" t="e">
        <f>#REF!</f>
        <v>#REF!</v>
      </c>
      <c r="F3163" s="23">
        <v>1091797</v>
      </c>
    </row>
    <row r="3164" spans="1:6" ht="16" customHeight="1" x14ac:dyDescent="0.2">
      <c r="A3164">
        <f>IFERROR(VLOOKUP(C3164,'GASB Match'!$D$2:$F$6042,3,FALSE),"")</f>
        <v>3400026</v>
      </c>
      <c r="B3164" s="17">
        <v>2022</v>
      </c>
      <c r="C3164" s="21" t="s">
        <v>934</v>
      </c>
      <c r="D3164" s="17">
        <v>6007</v>
      </c>
      <c r="E3164" s="17" t="e">
        <f>#REF!</f>
        <v>#REF!</v>
      </c>
      <c r="F3164" s="23">
        <v>1585103</v>
      </c>
    </row>
    <row r="3165" spans="1:6" ht="16" customHeight="1" x14ac:dyDescent="0.2">
      <c r="A3165">
        <f>IFERROR(VLOOKUP(C3165,'GASB Match'!$D$2:$F$6042,3,FALSE),"")</f>
        <v>3400026</v>
      </c>
      <c r="B3165" s="17">
        <v>2023</v>
      </c>
      <c r="C3165" s="21" t="s">
        <v>934</v>
      </c>
      <c r="D3165" s="17">
        <v>6007</v>
      </c>
      <c r="E3165" s="17" t="e">
        <f>#REF!</f>
        <v>#REF!</v>
      </c>
      <c r="F3165" s="23">
        <v>1403596</v>
      </c>
    </row>
    <row r="3166" spans="1:6" ht="16" customHeight="1" x14ac:dyDescent="0.2">
      <c r="A3166">
        <f>IFERROR(VLOOKUP(C3166,'GASB Match'!$D$2:$F$6042,3,FALSE),"")</f>
        <v>3400026</v>
      </c>
      <c r="B3166" s="28">
        <v>2017</v>
      </c>
      <c r="C3166" s="29" t="s">
        <v>247</v>
      </c>
      <c r="D3166" s="17">
        <v>6007</v>
      </c>
      <c r="E3166" s="17" t="e">
        <f>#REF!</f>
        <v>#REF!</v>
      </c>
      <c r="F3166" s="29">
        <v>380038</v>
      </c>
    </row>
    <row r="3167" spans="1:6" ht="16" customHeight="1" x14ac:dyDescent="0.2">
      <c r="A3167">
        <f>IFERROR(VLOOKUP(C3167,'GASB Match'!$D$2:$F$6042,3,FALSE),"")</f>
        <v>3400022</v>
      </c>
      <c r="B3167" s="17">
        <v>2015</v>
      </c>
      <c r="C3167" s="17" t="s">
        <v>248</v>
      </c>
      <c r="D3167" s="17">
        <v>6013</v>
      </c>
      <c r="E3167" s="17" t="e">
        <f>#REF!</f>
        <v>#REF!</v>
      </c>
      <c r="F3167" s="20">
        <v>171674</v>
      </c>
    </row>
    <row r="3168" spans="1:6" ht="16" customHeight="1" x14ac:dyDescent="0.2">
      <c r="A3168">
        <f>IFERROR(VLOOKUP(C3168,'GASB Match'!$D$2:$F$6042,3,FALSE),"")</f>
        <v>3400022</v>
      </c>
      <c r="B3168" s="17">
        <v>2016</v>
      </c>
      <c r="C3168" s="17" t="s">
        <v>248</v>
      </c>
      <c r="D3168" s="17">
        <v>6013</v>
      </c>
      <c r="E3168" s="17" t="e">
        <f>#REF!</f>
        <v>#REF!</v>
      </c>
      <c r="F3168" s="20">
        <v>256725</v>
      </c>
    </row>
    <row r="3169" spans="1:6" ht="16" customHeight="1" x14ac:dyDescent="0.2">
      <c r="A3169">
        <f>IFERROR(VLOOKUP(C3169,'GASB Match'!$D$2:$F$6042,3,FALSE),"")</f>
        <v>3400022</v>
      </c>
      <c r="B3169" s="17">
        <v>2018</v>
      </c>
      <c r="C3169" s="17" t="s">
        <v>935</v>
      </c>
      <c r="D3169" s="17">
        <v>6013</v>
      </c>
      <c r="E3169" s="17" t="e">
        <f>#REF!</f>
        <v>#REF!</v>
      </c>
      <c r="F3169" s="20">
        <v>859352</v>
      </c>
    </row>
    <row r="3170" spans="1:6" ht="16" customHeight="1" x14ac:dyDescent="0.2">
      <c r="A3170">
        <f>IFERROR(VLOOKUP(C3170,'GASB Match'!$D$2:$F$6042,3,FALSE),"")</f>
        <v>3400022</v>
      </c>
      <c r="B3170" s="17">
        <v>2019</v>
      </c>
      <c r="C3170" s="17" t="s">
        <v>935</v>
      </c>
      <c r="D3170" s="17">
        <v>6013</v>
      </c>
      <c r="E3170" s="17" t="e">
        <f>#REF!</f>
        <v>#REF!</v>
      </c>
      <c r="F3170" s="20">
        <v>1447234</v>
      </c>
    </row>
    <row r="3171" spans="1:6" ht="16" customHeight="1" x14ac:dyDescent="0.2">
      <c r="A3171">
        <f>IFERROR(VLOOKUP(C3171,'GASB Match'!$D$2:$F$6042,3,FALSE),"")</f>
        <v>3400022</v>
      </c>
      <c r="B3171" s="17">
        <v>2020</v>
      </c>
      <c r="C3171" s="21" t="s">
        <v>935</v>
      </c>
      <c r="D3171" s="17">
        <v>6013</v>
      </c>
      <c r="E3171" s="17" t="e">
        <f>#REF!</f>
        <v>#REF!</v>
      </c>
      <c r="F3171" s="23">
        <v>1970522</v>
      </c>
    </row>
    <row r="3172" spans="1:6" ht="16" customHeight="1" x14ac:dyDescent="0.2">
      <c r="A3172">
        <f>IFERROR(VLOOKUP(C3172,'GASB Match'!$D$2:$F$6042,3,FALSE),"")</f>
        <v>3400022</v>
      </c>
      <c r="B3172" s="17">
        <v>2021</v>
      </c>
      <c r="C3172" s="25" t="s">
        <v>935</v>
      </c>
      <c r="D3172" s="17">
        <v>6013</v>
      </c>
      <c r="E3172" s="17" t="e">
        <f>#REF!</f>
        <v>#REF!</v>
      </c>
      <c r="F3172" s="23">
        <v>2201874</v>
      </c>
    </row>
    <row r="3173" spans="1:6" ht="16" customHeight="1" x14ac:dyDescent="0.2">
      <c r="A3173">
        <f>IFERROR(VLOOKUP(C3173,'GASB Match'!$D$2:$F$6042,3,FALSE),"")</f>
        <v>3400022</v>
      </c>
      <c r="B3173" s="17">
        <v>2022</v>
      </c>
      <c r="C3173" s="21" t="s">
        <v>935</v>
      </c>
      <c r="D3173" s="17">
        <v>6013</v>
      </c>
      <c r="E3173" s="17" t="e">
        <f>#REF!</f>
        <v>#REF!</v>
      </c>
      <c r="F3173" s="23">
        <v>3203008</v>
      </c>
    </row>
    <row r="3174" spans="1:6" ht="16" customHeight="1" x14ac:dyDescent="0.2">
      <c r="A3174">
        <f>IFERROR(VLOOKUP(C3174,'GASB Match'!$D$2:$F$6042,3,FALSE),"")</f>
        <v>3400022</v>
      </c>
      <c r="B3174" s="17">
        <v>2023</v>
      </c>
      <c r="C3174" s="21" t="s">
        <v>935</v>
      </c>
      <c r="D3174" s="17">
        <v>6013</v>
      </c>
      <c r="E3174" s="17" t="e">
        <f>#REF!</f>
        <v>#REF!</v>
      </c>
      <c r="F3174" s="23">
        <v>3376140</v>
      </c>
    </row>
    <row r="3175" spans="1:6" ht="16" customHeight="1" x14ac:dyDescent="0.2">
      <c r="A3175">
        <f>IFERROR(VLOOKUP(C3175,'GASB Match'!$D$2:$F$6042,3,FALSE),"")</f>
        <v>3400022</v>
      </c>
      <c r="B3175" s="28">
        <v>2017</v>
      </c>
      <c r="C3175" s="29" t="s">
        <v>248</v>
      </c>
      <c r="D3175" s="17">
        <v>6013</v>
      </c>
      <c r="E3175" s="17" t="e">
        <f>#REF!</f>
        <v>#REF!</v>
      </c>
      <c r="F3175" s="29">
        <v>496439</v>
      </c>
    </row>
    <row r="3176" spans="1:6" ht="16" customHeight="1" x14ac:dyDescent="0.2">
      <c r="A3176">
        <f>IFERROR(VLOOKUP(C3176,'GASB Match'!$D$2:$F$6042,3,FALSE),"")</f>
        <v>3409720</v>
      </c>
      <c r="B3176" s="17">
        <v>2015</v>
      </c>
      <c r="C3176" s="17" t="s">
        <v>427</v>
      </c>
      <c r="D3176" s="17">
        <v>342</v>
      </c>
      <c r="E3176" s="17" t="e">
        <f>#REF!</f>
        <v>#REF!</v>
      </c>
      <c r="F3176" s="20">
        <v>2028574</v>
      </c>
    </row>
    <row r="3177" spans="1:6" ht="16" customHeight="1" x14ac:dyDescent="0.2">
      <c r="A3177">
        <f>IFERROR(VLOOKUP(C3177,'GASB Match'!$D$2:$F$6042,3,FALSE),"")</f>
        <v>3409720</v>
      </c>
      <c r="B3177" s="17">
        <v>2016</v>
      </c>
      <c r="C3177" s="17" t="s">
        <v>427</v>
      </c>
      <c r="D3177" s="17">
        <v>342</v>
      </c>
      <c r="E3177" s="17" t="e">
        <f>#REF!</f>
        <v>#REF!</v>
      </c>
      <c r="F3177" s="20">
        <v>2970255</v>
      </c>
    </row>
    <row r="3178" spans="1:6" ht="16" customHeight="1" x14ac:dyDescent="0.2">
      <c r="A3178">
        <f>IFERROR(VLOOKUP(C3178,'GASB Match'!$D$2:$F$6042,3,FALSE),"")</f>
        <v>3409720</v>
      </c>
      <c r="B3178" s="17">
        <v>2018</v>
      </c>
      <c r="C3178" s="17" t="s">
        <v>1119</v>
      </c>
      <c r="D3178" s="17">
        <v>342</v>
      </c>
      <c r="E3178" s="17" t="e">
        <f>#REF!</f>
        <v>#REF!</v>
      </c>
      <c r="F3178" s="20">
        <v>5551714</v>
      </c>
    </row>
    <row r="3179" spans="1:6" ht="16" customHeight="1" x14ac:dyDescent="0.2">
      <c r="A3179">
        <f>IFERROR(VLOOKUP(C3179,'GASB Match'!$D$2:$F$6042,3,FALSE),"")</f>
        <v>3409720</v>
      </c>
      <c r="B3179" s="17">
        <v>2019</v>
      </c>
      <c r="C3179" s="17" t="s">
        <v>1119</v>
      </c>
      <c r="D3179" s="17">
        <v>342</v>
      </c>
      <c r="E3179" s="17" t="e">
        <f>#REF!</f>
        <v>#REF!</v>
      </c>
      <c r="F3179" s="20">
        <v>7177321</v>
      </c>
    </row>
    <row r="3180" spans="1:6" ht="16" customHeight="1" x14ac:dyDescent="0.2">
      <c r="A3180">
        <f>IFERROR(VLOOKUP(C3180,'GASB Match'!$D$2:$F$6042,3,FALSE),"")</f>
        <v>3409720</v>
      </c>
      <c r="B3180" s="17">
        <v>2020</v>
      </c>
      <c r="C3180" s="21" t="s">
        <v>1119</v>
      </c>
      <c r="D3180" s="17">
        <v>342</v>
      </c>
      <c r="E3180" s="17" t="e">
        <f>#REF!</f>
        <v>#REF!</v>
      </c>
      <c r="F3180" s="23">
        <v>8366715</v>
      </c>
    </row>
    <row r="3181" spans="1:6" ht="16" customHeight="1" x14ac:dyDescent="0.2">
      <c r="A3181">
        <f>IFERROR(VLOOKUP(C3181,'GASB Match'!$D$2:$F$6042,3,FALSE),"")</f>
        <v>3409720</v>
      </c>
      <c r="B3181" s="17">
        <v>2021</v>
      </c>
      <c r="C3181" s="25" t="s">
        <v>1119</v>
      </c>
      <c r="D3181" s="17">
        <v>342</v>
      </c>
      <c r="E3181" s="17" t="e">
        <f>#REF!</f>
        <v>#REF!</v>
      </c>
      <c r="F3181" s="23">
        <v>10639162</v>
      </c>
    </row>
    <row r="3182" spans="1:6" ht="16" customHeight="1" x14ac:dyDescent="0.2">
      <c r="A3182">
        <f>IFERROR(VLOOKUP(C3182,'GASB Match'!$D$2:$F$6042,3,FALSE),"")</f>
        <v>3409720</v>
      </c>
      <c r="B3182" s="17">
        <v>2022</v>
      </c>
      <c r="C3182" s="21" t="s">
        <v>1119</v>
      </c>
      <c r="D3182" s="17">
        <v>342</v>
      </c>
      <c r="E3182" s="17" t="e">
        <f>#REF!</f>
        <v>#REF!</v>
      </c>
      <c r="F3182" s="23">
        <v>14923089</v>
      </c>
    </row>
    <row r="3183" spans="1:6" ht="16" customHeight="1" x14ac:dyDescent="0.2">
      <c r="A3183">
        <f>IFERROR(VLOOKUP(C3183,'GASB Match'!$D$2:$F$6042,3,FALSE),"")</f>
        <v>3409720</v>
      </c>
      <c r="B3183" s="17">
        <v>2023</v>
      </c>
      <c r="C3183" s="21" t="s">
        <v>1119</v>
      </c>
      <c r="D3183" s="17">
        <v>342</v>
      </c>
      <c r="E3183" s="17" t="e">
        <f>#REF!</f>
        <v>#REF!</v>
      </c>
      <c r="F3183" s="23">
        <v>14936211</v>
      </c>
    </row>
    <row r="3184" spans="1:6" ht="16" customHeight="1" x14ac:dyDescent="0.2">
      <c r="A3184">
        <f>IFERROR(VLOOKUP(C3184,'GASB Match'!$D$2:$F$6042,3,FALSE),"")</f>
        <v>3409720</v>
      </c>
      <c r="B3184" s="28">
        <v>2017</v>
      </c>
      <c r="C3184" s="29" t="s">
        <v>427</v>
      </c>
      <c r="D3184" s="17">
        <v>342</v>
      </c>
      <c r="E3184" s="17" t="e">
        <f>#REF!</f>
        <v>#REF!</v>
      </c>
      <c r="F3184" s="29">
        <v>4093888</v>
      </c>
    </row>
    <row r="3185" spans="1:6" ht="16" customHeight="1" x14ac:dyDescent="0.2">
      <c r="A3185">
        <f>IFERROR(VLOOKUP(C3185,'GASB Match'!$D$2:$F$6042,3,FALSE),"")</f>
        <v>3400772</v>
      </c>
      <c r="B3185" s="17">
        <v>2023</v>
      </c>
      <c r="C3185" s="21" t="s">
        <v>1381</v>
      </c>
      <c r="D3185" s="17">
        <v>4085</v>
      </c>
      <c r="E3185" s="17" t="e">
        <f>#REF!</f>
        <v>#REF!</v>
      </c>
      <c r="F3185" s="23">
        <v>4946318</v>
      </c>
    </row>
    <row r="3186" spans="1:6" ht="16" customHeight="1" x14ac:dyDescent="0.2">
      <c r="A3186">
        <f>IFERROR(VLOOKUP(C3186,'GASB Match'!$D$2:$F$6042,3,FALSE),"")</f>
        <v>3409750</v>
      </c>
      <c r="B3186" s="17">
        <v>2015</v>
      </c>
      <c r="C3186" s="17" t="s">
        <v>428</v>
      </c>
      <c r="D3186" s="17">
        <v>343</v>
      </c>
      <c r="E3186" s="17" t="e">
        <f>#REF!</f>
        <v>#REF!</v>
      </c>
      <c r="F3186" s="20">
        <v>1434652</v>
      </c>
    </row>
    <row r="3187" spans="1:6" ht="16" customHeight="1" x14ac:dyDescent="0.2">
      <c r="A3187">
        <f>IFERROR(VLOOKUP(C3187,'GASB Match'!$D$2:$F$6042,3,FALSE),"")</f>
        <v>3409750</v>
      </c>
      <c r="B3187" s="17">
        <v>2016</v>
      </c>
      <c r="C3187" s="17" t="s">
        <v>428</v>
      </c>
      <c r="D3187" s="17">
        <v>343</v>
      </c>
      <c r="E3187" s="17" t="e">
        <f>#REF!</f>
        <v>#REF!</v>
      </c>
      <c r="F3187" s="20">
        <v>2112352</v>
      </c>
    </row>
    <row r="3188" spans="1:6" ht="16" customHeight="1" x14ac:dyDescent="0.2">
      <c r="A3188">
        <f>IFERROR(VLOOKUP(C3188,'GASB Match'!$D$2:$F$6042,3,FALSE),"")</f>
        <v>3409750</v>
      </c>
      <c r="B3188" s="17">
        <v>2018</v>
      </c>
      <c r="C3188" s="17" t="s">
        <v>1120</v>
      </c>
      <c r="D3188" s="17">
        <v>343</v>
      </c>
      <c r="E3188" s="17" t="e">
        <f>#REF!</f>
        <v>#REF!</v>
      </c>
      <c r="F3188" s="20">
        <v>4146934</v>
      </c>
    </row>
    <row r="3189" spans="1:6" ht="16" customHeight="1" x14ac:dyDescent="0.2">
      <c r="A3189">
        <f>IFERROR(VLOOKUP(C3189,'GASB Match'!$D$2:$F$6042,3,FALSE),"")</f>
        <v>3409750</v>
      </c>
      <c r="B3189" s="17">
        <v>2019</v>
      </c>
      <c r="C3189" s="17" t="s">
        <v>1120</v>
      </c>
      <c r="D3189" s="17">
        <v>343</v>
      </c>
      <c r="E3189" s="17" t="e">
        <f>#REF!</f>
        <v>#REF!</v>
      </c>
      <c r="F3189" s="20">
        <v>5612537</v>
      </c>
    </row>
    <row r="3190" spans="1:6" ht="16" customHeight="1" x14ac:dyDescent="0.2">
      <c r="A3190">
        <f>IFERROR(VLOOKUP(C3190,'GASB Match'!$D$2:$F$6042,3,FALSE),"")</f>
        <v>3409750</v>
      </c>
      <c r="B3190" s="17">
        <v>2020</v>
      </c>
      <c r="C3190" s="21" t="s">
        <v>1120</v>
      </c>
      <c r="D3190" s="17">
        <v>343</v>
      </c>
      <c r="E3190" s="17" t="e">
        <f>#REF!</f>
        <v>#REF!</v>
      </c>
      <c r="F3190" s="23">
        <v>6225631</v>
      </c>
    </row>
    <row r="3191" spans="1:6" ht="16" customHeight="1" x14ac:dyDescent="0.2">
      <c r="A3191">
        <f>IFERROR(VLOOKUP(C3191,'GASB Match'!$D$2:$F$6042,3,FALSE),"")</f>
        <v>3409750</v>
      </c>
      <c r="B3191" s="17">
        <v>2021</v>
      </c>
      <c r="C3191" s="25" t="s">
        <v>1120</v>
      </c>
      <c r="D3191" s="17">
        <v>343</v>
      </c>
      <c r="E3191" s="17" t="e">
        <f>#REF!</f>
        <v>#REF!</v>
      </c>
      <c r="F3191" s="23">
        <v>7871617</v>
      </c>
    </row>
    <row r="3192" spans="1:6" ht="16" customHeight="1" x14ac:dyDescent="0.2">
      <c r="A3192">
        <f>IFERROR(VLOOKUP(C3192,'GASB Match'!$D$2:$F$6042,3,FALSE),"")</f>
        <v>3409750</v>
      </c>
      <c r="B3192" s="17">
        <v>2022</v>
      </c>
      <c r="C3192" s="21" t="s">
        <v>1120</v>
      </c>
      <c r="D3192" s="17">
        <v>343</v>
      </c>
      <c r="E3192" s="17" t="e">
        <f>#REF!</f>
        <v>#REF!</v>
      </c>
      <c r="F3192" s="23">
        <v>11334923</v>
      </c>
    </row>
    <row r="3193" spans="1:6" ht="16" customHeight="1" x14ac:dyDescent="0.2">
      <c r="A3193">
        <f>IFERROR(VLOOKUP(C3193,'GASB Match'!$D$2:$F$6042,3,FALSE),"")</f>
        <v>3409750</v>
      </c>
      <c r="B3193" s="17">
        <v>2023</v>
      </c>
      <c r="C3193" s="21" t="s">
        <v>1120</v>
      </c>
      <c r="D3193" s="17">
        <v>343</v>
      </c>
      <c r="E3193" s="17" t="e">
        <f>#REF!</f>
        <v>#REF!</v>
      </c>
      <c r="F3193" s="23">
        <v>11248798</v>
      </c>
    </row>
    <row r="3194" spans="1:6" ht="16" customHeight="1" x14ac:dyDescent="0.2">
      <c r="A3194">
        <f>IFERROR(VLOOKUP(C3194,'GASB Match'!$D$2:$F$6042,3,FALSE),"")</f>
        <v>3409750</v>
      </c>
      <c r="B3194" s="28">
        <v>2017</v>
      </c>
      <c r="C3194" s="29" t="s">
        <v>428</v>
      </c>
      <c r="D3194" s="17">
        <v>343</v>
      </c>
      <c r="E3194" s="17" t="e">
        <f>#REF!</f>
        <v>#REF!</v>
      </c>
      <c r="F3194" s="29">
        <v>3008630</v>
      </c>
    </row>
    <row r="3195" spans="1:6" ht="16" customHeight="1" x14ac:dyDescent="0.2">
      <c r="A3195">
        <f>IFERROR(VLOOKUP(C3195,'GASB Match'!$D$2:$F$6042,3,FALSE),"")</f>
        <v>3409780</v>
      </c>
      <c r="B3195" s="17">
        <v>2015</v>
      </c>
      <c r="C3195" s="17" t="s">
        <v>222</v>
      </c>
      <c r="D3195" s="17">
        <v>5088</v>
      </c>
      <c r="E3195" s="17" t="e">
        <f>#REF!</f>
        <v>#REF!</v>
      </c>
      <c r="F3195" s="20">
        <v>133237</v>
      </c>
    </row>
    <row r="3196" spans="1:6" ht="16" customHeight="1" x14ac:dyDescent="0.2">
      <c r="A3196">
        <f>IFERROR(VLOOKUP(C3196,'GASB Match'!$D$2:$F$6042,3,FALSE),"")</f>
        <v>3409780</v>
      </c>
      <c r="B3196" s="17">
        <v>2016</v>
      </c>
      <c r="C3196" s="17" t="s">
        <v>222</v>
      </c>
      <c r="D3196" s="17">
        <v>5088</v>
      </c>
      <c r="E3196" s="17" t="e">
        <f>#REF!</f>
        <v>#REF!</v>
      </c>
      <c r="F3196" s="20">
        <v>196021</v>
      </c>
    </row>
    <row r="3197" spans="1:6" ht="16" customHeight="1" x14ac:dyDescent="0.2">
      <c r="A3197">
        <f>IFERROR(VLOOKUP(C3197,'GASB Match'!$D$2:$F$6042,3,FALSE),"")</f>
        <v>3409780</v>
      </c>
      <c r="B3197" s="17">
        <v>2018</v>
      </c>
      <c r="C3197" s="17" t="s">
        <v>908</v>
      </c>
      <c r="D3197" s="17">
        <v>5088</v>
      </c>
      <c r="E3197" s="17" t="e">
        <f>#REF!</f>
        <v>#REF!</v>
      </c>
      <c r="F3197" s="20">
        <v>340576</v>
      </c>
    </row>
    <row r="3198" spans="1:6" ht="16" customHeight="1" x14ac:dyDescent="0.2">
      <c r="A3198">
        <f>IFERROR(VLOOKUP(C3198,'GASB Match'!$D$2:$F$6042,3,FALSE),"")</f>
        <v>3409780</v>
      </c>
      <c r="B3198" s="17">
        <v>2019</v>
      </c>
      <c r="C3198" s="17" t="s">
        <v>908</v>
      </c>
      <c r="D3198" s="17">
        <v>5088</v>
      </c>
      <c r="E3198" s="17" t="e">
        <f>#REF!</f>
        <v>#REF!</v>
      </c>
      <c r="F3198" s="20">
        <v>458881</v>
      </c>
    </row>
    <row r="3199" spans="1:6" ht="16" customHeight="1" x14ac:dyDescent="0.2">
      <c r="A3199">
        <f>IFERROR(VLOOKUP(C3199,'GASB Match'!$D$2:$F$6042,3,FALSE),"")</f>
        <v>3409780</v>
      </c>
      <c r="B3199" s="17">
        <v>2020</v>
      </c>
      <c r="C3199" s="21" t="s">
        <v>908</v>
      </c>
      <c r="D3199" s="17">
        <v>5088</v>
      </c>
      <c r="E3199" s="17" t="e">
        <f>#REF!</f>
        <v>#REF!</v>
      </c>
      <c r="F3199" s="23">
        <v>526168</v>
      </c>
    </row>
    <row r="3200" spans="1:6" ht="16" customHeight="1" x14ac:dyDescent="0.2">
      <c r="A3200">
        <f>IFERROR(VLOOKUP(C3200,'GASB Match'!$D$2:$F$6042,3,FALSE),"")</f>
        <v>3409780</v>
      </c>
      <c r="B3200" s="17">
        <v>2021</v>
      </c>
      <c r="C3200" s="25" t="s">
        <v>908</v>
      </c>
      <c r="D3200" s="17">
        <v>5088</v>
      </c>
      <c r="E3200" s="17" t="e">
        <f>#REF!</f>
        <v>#REF!</v>
      </c>
      <c r="F3200" s="23">
        <v>667829</v>
      </c>
    </row>
    <row r="3201" spans="1:6" ht="16" customHeight="1" x14ac:dyDescent="0.2">
      <c r="A3201">
        <f>IFERROR(VLOOKUP(C3201,'GASB Match'!$D$2:$F$6042,3,FALSE),"")</f>
        <v>3409780</v>
      </c>
      <c r="B3201" s="17">
        <v>2022</v>
      </c>
      <c r="C3201" s="21" t="s">
        <v>908</v>
      </c>
      <c r="D3201" s="17">
        <v>5088</v>
      </c>
      <c r="E3201" s="17" t="e">
        <f>#REF!</f>
        <v>#REF!</v>
      </c>
      <c r="F3201" s="23">
        <v>950553</v>
      </c>
    </row>
    <row r="3202" spans="1:6" ht="16" customHeight="1" x14ac:dyDescent="0.2">
      <c r="A3202">
        <f>IFERROR(VLOOKUP(C3202,'GASB Match'!$D$2:$F$6042,3,FALSE),"")</f>
        <v>3409780</v>
      </c>
      <c r="B3202" s="17">
        <v>2023</v>
      </c>
      <c r="C3202" s="21" t="s">
        <v>908</v>
      </c>
      <c r="D3202" s="17">
        <v>5088</v>
      </c>
      <c r="E3202" s="17" t="e">
        <f>#REF!</f>
        <v>#REF!</v>
      </c>
      <c r="F3202" s="23">
        <v>904672</v>
      </c>
    </row>
    <row r="3203" spans="1:6" ht="16" customHeight="1" x14ac:dyDescent="0.2">
      <c r="A3203">
        <f>IFERROR(VLOOKUP(C3203,'GASB Match'!$D$2:$F$6042,3,FALSE),"")</f>
        <v>3409780</v>
      </c>
      <c r="B3203" s="28">
        <v>2017</v>
      </c>
      <c r="C3203" s="29" t="s">
        <v>222</v>
      </c>
      <c r="D3203" s="17">
        <v>5088</v>
      </c>
      <c r="E3203" s="17" t="e">
        <f>#REF!</f>
        <v>#REF!</v>
      </c>
      <c r="F3203" s="29">
        <v>269185</v>
      </c>
    </row>
    <row r="3204" spans="1:6" ht="16" customHeight="1" x14ac:dyDescent="0.2">
      <c r="A3204">
        <f>IFERROR(VLOOKUP(C3204,'GASB Match'!$D$2:$F$6042,3,FALSE),"")</f>
        <v>3409810</v>
      </c>
      <c r="B3204" s="17">
        <v>2015</v>
      </c>
      <c r="C3204" s="17" t="s">
        <v>65</v>
      </c>
      <c r="D3204" s="17">
        <v>2056</v>
      </c>
      <c r="E3204" s="17" t="e">
        <f>#REF!</f>
        <v>#REF!</v>
      </c>
      <c r="F3204" s="20">
        <v>302315</v>
      </c>
    </row>
    <row r="3205" spans="1:6" ht="16" customHeight="1" x14ac:dyDescent="0.2">
      <c r="A3205">
        <f>IFERROR(VLOOKUP(C3205,'GASB Match'!$D$2:$F$6042,3,FALSE),"")</f>
        <v>3409810</v>
      </c>
      <c r="B3205" s="17">
        <v>2016</v>
      </c>
      <c r="C3205" s="17" t="s">
        <v>65</v>
      </c>
      <c r="D3205" s="17">
        <v>2056</v>
      </c>
      <c r="E3205" s="17" t="e">
        <f>#REF!</f>
        <v>#REF!</v>
      </c>
      <c r="F3205" s="20">
        <v>446665</v>
      </c>
    </row>
    <row r="3206" spans="1:6" ht="16" customHeight="1" x14ac:dyDescent="0.2">
      <c r="A3206">
        <f>IFERROR(VLOOKUP(C3206,'GASB Match'!$D$2:$F$6042,3,FALSE),"")</f>
        <v>3409810</v>
      </c>
      <c r="B3206" s="17">
        <v>2018</v>
      </c>
      <c r="C3206" s="17" t="s">
        <v>743</v>
      </c>
      <c r="D3206" s="17">
        <v>2056</v>
      </c>
      <c r="E3206" s="17" t="e">
        <f>#REF!</f>
        <v>#REF!</v>
      </c>
      <c r="F3206" s="20">
        <v>862973</v>
      </c>
    </row>
    <row r="3207" spans="1:6" ht="16" customHeight="1" x14ac:dyDescent="0.2">
      <c r="A3207">
        <f>IFERROR(VLOOKUP(C3207,'GASB Match'!$D$2:$F$6042,3,FALSE),"")</f>
        <v>3409810</v>
      </c>
      <c r="B3207" s="17">
        <v>2019</v>
      </c>
      <c r="C3207" s="17" t="s">
        <v>743</v>
      </c>
      <c r="D3207" s="17">
        <v>2056</v>
      </c>
      <c r="E3207" s="17" t="e">
        <f>#REF!</f>
        <v>#REF!</v>
      </c>
      <c r="F3207" s="20">
        <v>1098202</v>
      </c>
    </row>
    <row r="3208" spans="1:6" ht="16" customHeight="1" x14ac:dyDescent="0.2">
      <c r="A3208">
        <f>IFERROR(VLOOKUP(C3208,'GASB Match'!$D$2:$F$6042,3,FALSE),"")</f>
        <v>3409810</v>
      </c>
      <c r="B3208" s="17">
        <v>2020</v>
      </c>
      <c r="C3208" s="21" t="s">
        <v>743</v>
      </c>
      <c r="D3208" s="17">
        <v>2056</v>
      </c>
      <c r="E3208" s="17" t="e">
        <f>#REF!</f>
        <v>#REF!</v>
      </c>
      <c r="F3208" s="23">
        <v>1282315</v>
      </c>
    </row>
    <row r="3209" spans="1:6" ht="16" customHeight="1" x14ac:dyDescent="0.2">
      <c r="A3209">
        <f>IFERROR(VLOOKUP(C3209,'GASB Match'!$D$2:$F$6042,3,FALSE),"")</f>
        <v>3409810</v>
      </c>
      <c r="B3209" s="17">
        <v>2021</v>
      </c>
      <c r="C3209" s="25" t="s">
        <v>743</v>
      </c>
      <c r="D3209" s="17">
        <v>2056</v>
      </c>
      <c r="E3209" s="17" t="e">
        <f>#REF!</f>
        <v>#REF!</v>
      </c>
      <c r="F3209" s="23">
        <v>1754866</v>
      </c>
    </row>
    <row r="3210" spans="1:6" ht="16" customHeight="1" x14ac:dyDescent="0.2">
      <c r="A3210">
        <f>IFERROR(VLOOKUP(C3210,'GASB Match'!$D$2:$F$6042,3,FALSE),"")</f>
        <v>3409810</v>
      </c>
      <c r="B3210" s="17">
        <v>2022</v>
      </c>
      <c r="C3210" s="21" t="s">
        <v>743</v>
      </c>
      <c r="D3210" s="17">
        <v>2056</v>
      </c>
      <c r="E3210" s="17" t="e">
        <f>#REF!</f>
        <v>#REF!</v>
      </c>
      <c r="F3210" s="23">
        <v>2628127</v>
      </c>
    </row>
    <row r="3211" spans="1:6" ht="16" customHeight="1" x14ac:dyDescent="0.2">
      <c r="A3211">
        <f>IFERROR(VLOOKUP(C3211,'GASB Match'!$D$2:$F$6042,3,FALSE),"")</f>
        <v>3409810</v>
      </c>
      <c r="B3211" s="17">
        <v>2023</v>
      </c>
      <c r="C3211" s="21" t="s">
        <v>743</v>
      </c>
      <c r="D3211" s="17">
        <v>2056</v>
      </c>
      <c r="E3211" s="17" t="e">
        <f>#REF!</f>
        <v>#REF!</v>
      </c>
      <c r="F3211" s="23">
        <v>2504957</v>
      </c>
    </row>
    <row r="3212" spans="1:6" ht="16" customHeight="1" x14ac:dyDescent="0.2">
      <c r="A3212">
        <f>IFERROR(VLOOKUP(C3212,'GASB Match'!$D$2:$F$6042,3,FALSE),"")</f>
        <v>3409810</v>
      </c>
      <c r="B3212" s="28">
        <v>2017</v>
      </c>
      <c r="C3212" s="29" t="s">
        <v>65</v>
      </c>
      <c r="D3212" s="17">
        <v>2056</v>
      </c>
      <c r="E3212" s="17" t="e">
        <f>#REF!</f>
        <v>#REF!</v>
      </c>
      <c r="F3212" s="29">
        <v>644728</v>
      </c>
    </row>
    <row r="3213" spans="1:6" ht="16" customHeight="1" x14ac:dyDescent="0.2">
      <c r="A3213">
        <f>IFERROR(VLOOKUP(C3213,'GASB Match'!$D$2:$F$6042,3,FALSE),"")</f>
        <v>3409840</v>
      </c>
      <c r="B3213" s="17">
        <v>2015</v>
      </c>
      <c r="C3213" s="17" t="s">
        <v>126</v>
      </c>
      <c r="D3213" s="17">
        <v>3030</v>
      </c>
      <c r="E3213" s="17" t="e">
        <f>#REF!</f>
        <v>#REF!</v>
      </c>
      <c r="F3213" s="20">
        <v>157771</v>
      </c>
    </row>
    <row r="3214" spans="1:6" ht="16" customHeight="1" x14ac:dyDescent="0.2">
      <c r="A3214">
        <f>IFERROR(VLOOKUP(C3214,'GASB Match'!$D$2:$F$6042,3,FALSE),"")</f>
        <v>3409840</v>
      </c>
      <c r="B3214" s="17">
        <v>2016</v>
      </c>
      <c r="C3214" s="17" t="s">
        <v>126</v>
      </c>
      <c r="D3214" s="17">
        <v>3030</v>
      </c>
      <c r="E3214" s="17" t="e">
        <f>#REF!</f>
        <v>#REF!</v>
      </c>
      <c r="F3214" s="20">
        <v>268456</v>
      </c>
    </row>
    <row r="3215" spans="1:6" ht="16" customHeight="1" x14ac:dyDescent="0.2">
      <c r="A3215">
        <f>IFERROR(VLOOKUP(C3215,'GASB Match'!$D$2:$F$6042,3,FALSE),"")</f>
        <v>3409840</v>
      </c>
      <c r="B3215" s="17">
        <v>2018</v>
      </c>
      <c r="C3215" s="17" t="s">
        <v>807</v>
      </c>
      <c r="D3215" s="17">
        <v>3030</v>
      </c>
      <c r="E3215" s="17" t="e">
        <f>#REF!</f>
        <v>#REF!</v>
      </c>
      <c r="F3215" s="20">
        <v>503309</v>
      </c>
    </row>
    <row r="3216" spans="1:6" ht="16" customHeight="1" x14ac:dyDescent="0.2">
      <c r="A3216">
        <f>IFERROR(VLOOKUP(C3216,'GASB Match'!$D$2:$F$6042,3,FALSE),"")</f>
        <v>3409840</v>
      </c>
      <c r="B3216" s="17">
        <v>2019</v>
      </c>
      <c r="C3216" s="17" t="s">
        <v>807</v>
      </c>
      <c r="D3216" s="17">
        <v>3030</v>
      </c>
      <c r="E3216" s="17" t="e">
        <f>#REF!</f>
        <v>#REF!</v>
      </c>
      <c r="F3216" s="20">
        <v>690846</v>
      </c>
    </row>
    <row r="3217" spans="1:6" ht="16" customHeight="1" x14ac:dyDescent="0.2">
      <c r="A3217">
        <f>IFERROR(VLOOKUP(C3217,'GASB Match'!$D$2:$F$6042,3,FALSE),"")</f>
        <v>3409840</v>
      </c>
      <c r="B3217" s="17">
        <v>2020</v>
      </c>
      <c r="C3217" s="21" t="s">
        <v>807</v>
      </c>
      <c r="D3217" s="17">
        <v>3030</v>
      </c>
      <c r="E3217" s="17" t="e">
        <f>#REF!</f>
        <v>#REF!</v>
      </c>
      <c r="F3217" s="23">
        <v>795543</v>
      </c>
    </row>
    <row r="3218" spans="1:6" ht="16" customHeight="1" x14ac:dyDescent="0.2">
      <c r="A3218">
        <f>IFERROR(VLOOKUP(C3218,'GASB Match'!$D$2:$F$6042,3,FALSE),"")</f>
        <v>3409840</v>
      </c>
      <c r="B3218" s="17">
        <v>2021</v>
      </c>
      <c r="C3218" s="25" t="s">
        <v>807</v>
      </c>
      <c r="D3218" s="17">
        <v>3030</v>
      </c>
      <c r="E3218" s="17" t="e">
        <f>#REF!</f>
        <v>#REF!</v>
      </c>
      <c r="F3218" s="23">
        <v>1006356</v>
      </c>
    </row>
    <row r="3219" spans="1:6" ht="16" customHeight="1" x14ac:dyDescent="0.2">
      <c r="A3219">
        <f>IFERROR(VLOOKUP(C3219,'GASB Match'!$D$2:$F$6042,3,FALSE),"")</f>
        <v>3409840</v>
      </c>
      <c r="B3219" s="17">
        <v>2022</v>
      </c>
      <c r="C3219" s="21" t="s">
        <v>807</v>
      </c>
      <c r="D3219" s="17">
        <v>3030</v>
      </c>
      <c r="E3219" s="17" t="e">
        <f>#REF!</f>
        <v>#REF!</v>
      </c>
      <c r="F3219" s="23">
        <v>1493537</v>
      </c>
    </row>
    <row r="3220" spans="1:6" ht="16" customHeight="1" x14ac:dyDescent="0.2">
      <c r="A3220">
        <f>IFERROR(VLOOKUP(C3220,'GASB Match'!$D$2:$F$6042,3,FALSE),"")</f>
        <v>3409840</v>
      </c>
      <c r="B3220" s="17">
        <v>2023</v>
      </c>
      <c r="C3220" s="21" t="s">
        <v>807</v>
      </c>
      <c r="D3220" s="17">
        <v>3030</v>
      </c>
      <c r="E3220" s="17" t="e">
        <f>#REF!</f>
        <v>#REF!</v>
      </c>
      <c r="F3220" s="23">
        <v>1482753</v>
      </c>
    </row>
    <row r="3221" spans="1:6" ht="16" customHeight="1" x14ac:dyDescent="0.2">
      <c r="A3221">
        <f>IFERROR(VLOOKUP(C3221,'GASB Match'!$D$2:$F$6042,3,FALSE),"")</f>
        <v>3409840</v>
      </c>
      <c r="B3221" s="28">
        <v>2017</v>
      </c>
      <c r="C3221" s="29" t="s">
        <v>126</v>
      </c>
      <c r="D3221" s="17">
        <v>3030</v>
      </c>
      <c r="E3221" s="17" t="e">
        <f>#REF!</f>
        <v>#REF!</v>
      </c>
      <c r="F3221" s="29">
        <v>376238</v>
      </c>
    </row>
    <row r="3222" spans="1:6" ht="16" customHeight="1" x14ac:dyDescent="0.2">
      <c r="A3222">
        <f>IFERROR(VLOOKUP(C3222,'GASB Match'!$D$2:$F$6042,3,FALSE),"")</f>
        <v>3409870</v>
      </c>
      <c r="B3222" s="17">
        <v>2015</v>
      </c>
      <c r="C3222" s="17" t="s">
        <v>127</v>
      </c>
      <c r="D3222" s="17">
        <v>3027</v>
      </c>
      <c r="E3222" s="17" t="e">
        <f>#REF!</f>
        <v>#REF!</v>
      </c>
      <c r="F3222" s="20">
        <v>1006497</v>
      </c>
    </row>
    <row r="3223" spans="1:6" ht="16" customHeight="1" x14ac:dyDescent="0.2">
      <c r="A3223">
        <f>IFERROR(VLOOKUP(C3223,'GASB Match'!$D$2:$F$6042,3,FALSE),"")</f>
        <v>3409870</v>
      </c>
      <c r="B3223" s="17">
        <v>2016</v>
      </c>
      <c r="C3223" s="17" t="s">
        <v>127</v>
      </c>
      <c r="D3223" s="17">
        <v>3027</v>
      </c>
      <c r="E3223" s="17" t="e">
        <f>#REF!</f>
        <v>#REF!</v>
      </c>
      <c r="F3223" s="20">
        <v>1549072</v>
      </c>
    </row>
    <row r="3224" spans="1:6" ht="16" customHeight="1" x14ac:dyDescent="0.2">
      <c r="A3224">
        <f>IFERROR(VLOOKUP(C3224,'GASB Match'!$D$2:$F$6042,3,FALSE),"")</f>
        <v>3409870</v>
      </c>
      <c r="B3224" s="17">
        <v>2018</v>
      </c>
      <c r="C3224" s="17" t="s">
        <v>808</v>
      </c>
      <c r="D3224" s="17">
        <v>3027</v>
      </c>
      <c r="E3224" s="17" t="e">
        <f>#REF!</f>
        <v>#REF!</v>
      </c>
      <c r="F3224" s="20">
        <v>2892132</v>
      </c>
    </row>
    <row r="3225" spans="1:6" ht="16" customHeight="1" x14ac:dyDescent="0.2">
      <c r="A3225">
        <f>IFERROR(VLOOKUP(C3225,'GASB Match'!$D$2:$F$6042,3,FALSE),"")</f>
        <v>3409870</v>
      </c>
      <c r="B3225" s="17">
        <v>2019</v>
      </c>
      <c r="C3225" s="17" t="s">
        <v>808</v>
      </c>
      <c r="D3225" s="17">
        <v>3027</v>
      </c>
      <c r="E3225" s="17" t="e">
        <f>#REF!</f>
        <v>#REF!</v>
      </c>
      <c r="F3225" s="20">
        <v>3943780</v>
      </c>
    </row>
    <row r="3226" spans="1:6" ht="16" customHeight="1" x14ac:dyDescent="0.2">
      <c r="A3226">
        <f>IFERROR(VLOOKUP(C3226,'GASB Match'!$D$2:$F$6042,3,FALSE),"")</f>
        <v>3409870</v>
      </c>
      <c r="B3226" s="17">
        <v>2020</v>
      </c>
      <c r="C3226" s="21" t="s">
        <v>808</v>
      </c>
      <c r="D3226" s="17">
        <v>3027</v>
      </c>
      <c r="E3226" s="17" t="e">
        <f>#REF!</f>
        <v>#REF!</v>
      </c>
      <c r="F3226" s="23">
        <v>4658674</v>
      </c>
    </row>
    <row r="3227" spans="1:6" ht="16" customHeight="1" x14ac:dyDescent="0.2">
      <c r="A3227">
        <f>IFERROR(VLOOKUP(C3227,'GASB Match'!$D$2:$F$6042,3,FALSE),"")</f>
        <v>3409870</v>
      </c>
      <c r="B3227" s="17">
        <v>2021</v>
      </c>
      <c r="C3227" s="25" t="s">
        <v>808</v>
      </c>
      <c r="D3227" s="17">
        <v>3027</v>
      </c>
      <c r="E3227" s="17" t="e">
        <f>#REF!</f>
        <v>#REF!</v>
      </c>
      <c r="F3227" s="23">
        <v>5966009</v>
      </c>
    </row>
    <row r="3228" spans="1:6" ht="16" customHeight="1" x14ac:dyDescent="0.2">
      <c r="A3228">
        <f>IFERROR(VLOOKUP(C3228,'GASB Match'!$D$2:$F$6042,3,FALSE),"")</f>
        <v>3409870</v>
      </c>
      <c r="B3228" s="17">
        <v>2022</v>
      </c>
      <c r="C3228" s="21" t="s">
        <v>808</v>
      </c>
      <c r="D3228" s="17">
        <v>3027</v>
      </c>
      <c r="E3228" s="17" t="e">
        <f>#REF!</f>
        <v>#REF!</v>
      </c>
      <c r="F3228" s="23">
        <v>8559787</v>
      </c>
    </row>
    <row r="3229" spans="1:6" ht="16" customHeight="1" x14ac:dyDescent="0.2">
      <c r="A3229">
        <f>IFERROR(VLOOKUP(C3229,'GASB Match'!$D$2:$F$6042,3,FALSE),"")</f>
        <v>3409870</v>
      </c>
      <c r="B3229" s="17">
        <v>2023</v>
      </c>
      <c r="C3229" s="21" t="s">
        <v>808</v>
      </c>
      <c r="D3229" s="17">
        <v>3027</v>
      </c>
      <c r="E3229" s="17" t="e">
        <f>#REF!</f>
        <v>#REF!</v>
      </c>
      <c r="F3229" s="23">
        <v>8487218</v>
      </c>
    </row>
    <row r="3230" spans="1:6" ht="16" customHeight="1" x14ac:dyDescent="0.2">
      <c r="A3230">
        <f>IFERROR(VLOOKUP(C3230,'GASB Match'!$D$2:$F$6042,3,FALSE),"")</f>
        <v>3409870</v>
      </c>
      <c r="B3230" s="28">
        <v>2017</v>
      </c>
      <c r="C3230" s="29" t="s">
        <v>127</v>
      </c>
      <c r="D3230" s="17">
        <v>3027</v>
      </c>
      <c r="E3230" s="17" t="e">
        <f>#REF!</f>
        <v>#REF!</v>
      </c>
      <c r="F3230" s="29">
        <v>2104538</v>
      </c>
    </row>
    <row r="3231" spans="1:6" ht="16" customHeight="1" x14ac:dyDescent="0.2">
      <c r="A3231">
        <f>IFERROR(VLOOKUP(C3231,'GASB Match'!$D$2:$F$6042,3,FALSE),"")</f>
        <v>3409900</v>
      </c>
      <c r="B3231" s="17">
        <v>2015</v>
      </c>
      <c r="C3231" s="17" t="s">
        <v>471</v>
      </c>
      <c r="D3231" s="17">
        <v>427</v>
      </c>
      <c r="E3231" s="17" t="e">
        <f>#REF!</f>
        <v>#REF!</v>
      </c>
      <c r="F3231" s="19">
        <v>232405</v>
      </c>
    </row>
    <row r="3232" spans="1:6" ht="16" customHeight="1" x14ac:dyDescent="0.2">
      <c r="A3232">
        <f>IFERROR(VLOOKUP(C3232,'GASB Match'!$D$2:$F$6042,3,FALSE),"")</f>
        <v>3409900</v>
      </c>
      <c r="B3232" s="17">
        <v>2016</v>
      </c>
      <c r="C3232" s="17" t="s">
        <v>471</v>
      </c>
      <c r="D3232" s="17">
        <v>427</v>
      </c>
      <c r="E3232" s="17" t="e">
        <f>#REF!</f>
        <v>#REF!</v>
      </c>
      <c r="F3232" s="20">
        <v>365843</v>
      </c>
    </row>
    <row r="3233" spans="1:6" ht="16" customHeight="1" x14ac:dyDescent="0.2">
      <c r="A3233">
        <f>IFERROR(VLOOKUP(C3233,'GASB Match'!$D$2:$F$6042,3,FALSE),"")</f>
        <v>3409900</v>
      </c>
      <c r="B3233" s="17">
        <v>2018</v>
      </c>
      <c r="C3233" s="17" t="s">
        <v>1163</v>
      </c>
      <c r="D3233" s="17">
        <v>427</v>
      </c>
      <c r="E3233" s="17" t="e">
        <f>#REF!</f>
        <v>#REF!</v>
      </c>
      <c r="F3233" s="20">
        <v>676675</v>
      </c>
    </row>
    <row r="3234" spans="1:6" ht="16" customHeight="1" x14ac:dyDescent="0.2">
      <c r="A3234">
        <f>IFERROR(VLOOKUP(C3234,'GASB Match'!$D$2:$F$6042,3,FALSE),"")</f>
        <v>3409900</v>
      </c>
      <c r="B3234" s="17">
        <v>2019</v>
      </c>
      <c r="C3234" s="17" t="s">
        <v>1163</v>
      </c>
      <c r="D3234" s="17">
        <v>427</v>
      </c>
      <c r="E3234" s="17" t="e">
        <f>#REF!</f>
        <v>#REF!</v>
      </c>
      <c r="F3234" s="20">
        <v>778486</v>
      </c>
    </row>
    <row r="3235" spans="1:6" ht="16" customHeight="1" x14ac:dyDescent="0.2">
      <c r="A3235">
        <f>IFERROR(VLOOKUP(C3235,'GASB Match'!$D$2:$F$6042,3,FALSE),"")</f>
        <v>3409900</v>
      </c>
      <c r="B3235" s="17">
        <v>2020</v>
      </c>
      <c r="C3235" s="21" t="s">
        <v>1163</v>
      </c>
      <c r="D3235" s="17">
        <v>427</v>
      </c>
      <c r="E3235" s="17" t="e">
        <f>#REF!</f>
        <v>#REF!</v>
      </c>
      <c r="F3235" s="23">
        <v>882624</v>
      </c>
    </row>
    <row r="3236" spans="1:6" ht="16" customHeight="1" x14ac:dyDescent="0.2">
      <c r="A3236">
        <f>IFERROR(VLOOKUP(C3236,'GASB Match'!$D$2:$F$6042,3,FALSE),"")</f>
        <v>3409900</v>
      </c>
      <c r="B3236" s="17">
        <v>2021</v>
      </c>
      <c r="C3236" s="25" t="s">
        <v>1163</v>
      </c>
      <c r="D3236" s="17">
        <v>427</v>
      </c>
      <c r="E3236" s="17" t="e">
        <f>#REF!</f>
        <v>#REF!</v>
      </c>
      <c r="F3236" s="23">
        <v>1192493</v>
      </c>
    </row>
    <row r="3237" spans="1:6" ht="16" customHeight="1" x14ac:dyDescent="0.2">
      <c r="A3237">
        <f>IFERROR(VLOOKUP(C3237,'GASB Match'!$D$2:$F$6042,3,FALSE),"")</f>
        <v>3409900</v>
      </c>
      <c r="B3237" s="17">
        <v>2022</v>
      </c>
      <c r="C3237" s="21" t="s">
        <v>1163</v>
      </c>
      <c r="D3237" s="17">
        <v>427</v>
      </c>
      <c r="E3237" s="17" t="e">
        <f>#REF!</f>
        <v>#REF!</v>
      </c>
      <c r="F3237" s="23">
        <v>1746757</v>
      </c>
    </row>
    <row r="3238" spans="1:6" ht="16" customHeight="1" x14ac:dyDescent="0.2">
      <c r="A3238">
        <f>IFERROR(VLOOKUP(C3238,'GASB Match'!$D$2:$F$6042,3,FALSE),"")</f>
        <v>3409900</v>
      </c>
      <c r="B3238" s="17">
        <v>2023</v>
      </c>
      <c r="C3238" s="21" t="s">
        <v>1163</v>
      </c>
      <c r="D3238" s="17">
        <v>427</v>
      </c>
      <c r="E3238" s="17" t="e">
        <f>#REF!</f>
        <v>#REF!</v>
      </c>
      <c r="F3238" s="23">
        <v>1794384</v>
      </c>
    </row>
    <row r="3239" spans="1:6" ht="16" customHeight="1" x14ac:dyDescent="0.2">
      <c r="A3239">
        <f>IFERROR(VLOOKUP(C3239,'GASB Match'!$D$2:$F$6042,3,FALSE),"")</f>
        <v>3409900</v>
      </c>
      <c r="B3239" s="28">
        <v>2017</v>
      </c>
      <c r="C3239" s="29" t="s">
        <v>471</v>
      </c>
      <c r="D3239" s="17">
        <v>427</v>
      </c>
      <c r="E3239" s="17" t="e">
        <f>#REF!</f>
        <v>#REF!</v>
      </c>
      <c r="F3239" s="29">
        <v>492109</v>
      </c>
    </row>
    <row r="3240" spans="1:6" ht="16" customHeight="1" x14ac:dyDescent="0.2">
      <c r="A3240">
        <f>IFERROR(VLOOKUP(C3240,'GASB Match'!$D$2:$F$6042,3,FALSE),"")</f>
        <v>3409930</v>
      </c>
      <c r="B3240" s="17">
        <v>2015</v>
      </c>
      <c r="C3240" s="17" t="s">
        <v>472</v>
      </c>
      <c r="D3240" s="17">
        <v>428</v>
      </c>
      <c r="E3240" s="17" t="e">
        <f>#REF!</f>
        <v>#REF!</v>
      </c>
      <c r="F3240" s="20">
        <v>339945</v>
      </c>
    </row>
    <row r="3241" spans="1:6" ht="16" customHeight="1" x14ac:dyDescent="0.2">
      <c r="A3241">
        <f>IFERROR(VLOOKUP(C3241,'GASB Match'!$D$2:$F$6042,3,FALSE),"")</f>
        <v>3409930</v>
      </c>
      <c r="B3241" s="17">
        <v>2016</v>
      </c>
      <c r="C3241" s="17" t="s">
        <v>472</v>
      </c>
      <c r="D3241" s="17">
        <v>428</v>
      </c>
      <c r="E3241" s="17" t="e">
        <f>#REF!</f>
        <v>#REF!</v>
      </c>
      <c r="F3241" s="20">
        <v>506495</v>
      </c>
    </row>
    <row r="3242" spans="1:6" ht="16" customHeight="1" x14ac:dyDescent="0.2">
      <c r="A3242">
        <f>IFERROR(VLOOKUP(C3242,'GASB Match'!$D$2:$F$6042,3,FALSE),"")</f>
        <v>3409930</v>
      </c>
      <c r="B3242" s="17">
        <v>2018</v>
      </c>
      <c r="C3242" s="17" t="s">
        <v>1164</v>
      </c>
      <c r="D3242" s="17">
        <v>428</v>
      </c>
      <c r="E3242" s="17" t="e">
        <f>#REF!</f>
        <v>#REF!</v>
      </c>
      <c r="F3242" s="20">
        <v>918814</v>
      </c>
    </row>
    <row r="3243" spans="1:6" ht="16" customHeight="1" x14ac:dyDescent="0.2">
      <c r="A3243">
        <f>IFERROR(VLOOKUP(C3243,'GASB Match'!$D$2:$F$6042,3,FALSE),"")</f>
        <v>3409930</v>
      </c>
      <c r="B3243" s="17">
        <v>2019</v>
      </c>
      <c r="C3243" s="17" t="s">
        <v>1164</v>
      </c>
      <c r="D3243" s="17">
        <v>428</v>
      </c>
      <c r="E3243" s="17" t="e">
        <f>#REF!</f>
        <v>#REF!</v>
      </c>
      <c r="F3243" s="20">
        <v>1198204</v>
      </c>
    </row>
    <row r="3244" spans="1:6" ht="16" customHeight="1" x14ac:dyDescent="0.2">
      <c r="A3244">
        <f>IFERROR(VLOOKUP(C3244,'GASB Match'!$D$2:$F$6042,3,FALSE),"")</f>
        <v>3409930</v>
      </c>
      <c r="B3244" s="17">
        <v>2020</v>
      </c>
      <c r="C3244" s="21" t="s">
        <v>1164</v>
      </c>
      <c r="D3244" s="17">
        <v>428</v>
      </c>
      <c r="E3244" s="17" t="e">
        <f>#REF!</f>
        <v>#REF!</v>
      </c>
      <c r="F3244" s="23">
        <v>1428812</v>
      </c>
    </row>
    <row r="3245" spans="1:6" ht="16" customHeight="1" x14ac:dyDescent="0.2">
      <c r="A3245">
        <f>IFERROR(VLOOKUP(C3245,'GASB Match'!$D$2:$F$6042,3,FALSE),"")</f>
        <v>3409930</v>
      </c>
      <c r="B3245" s="17">
        <v>2021</v>
      </c>
      <c r="C3245" s="25" t="s">
        <v>1164</v>
      </c>
      <c r="D3245" s="17">
        <v>428</v>
      </c>
      <c r="E3245" s="17" t="e">
        <f>#REF!</f>
        <v>#REF!</v>
      </c>
      <c r="F3245" s="23">
        <v>1813037</v>
      </c>
    </row>
    <row r="3246" spans="1:6" ht="16" customHeight="1" x14ac:dyDescent="0.2">
      <c r="A3246">
        <f>IFERROR(VLOOKUP(C3246,'GASB Match'!$D$2:$F$6042,3,FALSE),"")</f>
        <v>3409930</v>
      </c>
      <c r="B3246" s="17">
        <v>2022</v>
      </c>
      <c r="C3246" s="21" t="s">
        <v>1164</v>
      </c>
      <c r="D3246" s="17">
        <v>428</v>
      </c>
      <c r="E3246" s="17" t="e">
        <f>#REF!</f>
        <v>#REF!</v>
      </c>
      <c r="F3246" s="23">
        <v>2515069</v>
      </c>
    </row>
    <row r="3247" spans="1:6" ht="16" customHeight="1" x14ac:dyDescent="0.2">
      <c r="A3247">
        <f>IFERROR(VLOOKUP(C3247,'GASB Match'!$D$2:$F$6042,3,FALSE),"")</f>
        <v>3409930</v>
      </c>
      <c r="B3247" s="17">
        <v>2023</v>
      </c>
      <c r="C3247" s="21" t="s">
        <v>1164</v>
      </c>
      <c r="D3247" s="17">
        <v>428</v>
      </c>
      <c r="E3247" s="17" t="e">
        <f>#REF!</f>
        <v>#REF!</v>
      </c>
      <c r="F3247" s="23">
        <v>2555807</v>
      </c>
    </row>
    <row r="3248" spans="1:6" ht="16" customHeight="1" x14ac:dyDescent="0.2">
      <c r="A3248">
        <f>IFERROR(VLOOKUP(C3248,'GASB Match'!$D$2:$F$6042,3,FALSE),"")</f>
        <v>3409930</v>
      </c>
      <c r="B3248" s="28">
        <v>2017</v>
      </c>
      <c r="C3248" s="29" t="s">
        <v>472</v>
      </c>
      <c r="D3248" s="17">
        <v>428</v>
      </c>
      <c r="E3248" s="17" t="e">
        <f>#REF!</f>
        <v>#REF!</v>
      </c>
      <c r="F3248" s="29">
        <v>689969</v>
      </c>
    </row>
    <row r="3249" spans="1:6" ht="16" customHeight="1" x14ac:dyDescent="0.2">
      <c r="A3249" t="str">
        <f>IFERROR(VLOOKUP(C3249,'GASB Match'!$D$2:$F$6042,3,FALSE),"")</f>
        <v/>
      </c>
      <c r="B3249" s="17">
        <v>2015</v>
      </c>
      <c r="C3249" s="17" t="s">
        <v>1417</v>
      </c>
      <c r="D3249" s="17">
        <v>119</v>
      </c>
      <c r="E3249" s="17" t="e">
        <f>#REF!</f>
        <v>#REF!</v>
      </c>
      <c r="F3249" s="20">
        <v>12780</v>
      </c>
    </row>
    <row r="3250" spans="1:6" ht="16" customHeight="1" x14ac:dyDescent="0.2">
      <c r="A3250" t="str">
        <f>IFERROR(VLOOKUP(C3250,'GASB Match'!$D$2:$F$6042,3,FALSE),"")</f>
        <v/>
      </c>
      <c r="B3250" s="17">
        <v>2016</v>
      </c>
      <c r="C3250" s="17" t="s">
        <v>1417</v>
      </c>
      <c r="D3250" s="17">
        <v>119</v>
      </c>
      <c r="E3250" s="17" t="e">
        <f>#REF!</f>
        <v>#REF!</v>
      </c>
      <c r="F3250" s="20">
        <v>9750</v>
      </c>
    </row>
    <row r="3251" spans="1:6" ht="16" customHeight="1" x14ac:dyDescent="0.2">
      <c r="A3251" t="str">
        <f>IFERROR(VLOOKUP(C3251,'GASB Match'!$D$2:$F$6042,3,FALSE),"")</f>
        <v/>
      </c>
      <c r="B3251" s="17">
        <v>2018</v>
      </c>
      <c r="C3251" s="17" t="s">
        <v>1460</v>
      </c>
      <c r="D3251" s="17">
        <v>119</v>
      </c>
      <c r="E3251" s="17" t="e">
        <f>#REF!</f>
        <v>#REF!</v>
      </c>
      <c r="F3251" s="20">
        <v>18460</v>
      </c>
    </row>
    <row r="3252" spans="1:6" ht="16" customHeight="1" x14ac:dyDescent="0.2">
      <c r="A3252" t="str">
        <f>IFERROR(VLOOKUP(C3252,'GASB Match'!$D$2:$F$6042,3,FALSE),"")</f>
        <v/>
      </c>
      <c r="B3252" s="17">
        <v>2019</v>
      </c>
      <c r="C3252" s="17" t="s">
        <v>1460</v>
      </c>
      <c r="D3252" s="17">
        <v>119</v>
      </c>
      <c r="E3252" s="17" t="e">
        <f>#REF!</f>
        <v>#REF!</v>
      </c>
      <c r="F3252" s="20">
        <v>24090</v>
      </c>
    </row>
    <row r="3253" spans="1:6" ht="16" customHeight="1" x14ac:dyDescent="0.2">
      <c r="A3253" t="str">
        <f>IFERROR(VLOOKUP(C3253,'GASB Match'!$D$2:$F$6042,3,FALSE),"")</f>
        <v/>
      </c>
      <c r="B3253" s="28">
        <v>2017</v>
      </c>
      <c r="C3253" s="29" t="s">
        <v>1417</v>
      </c>
      <c r="D3253" s="17">
        <v>119</v>
      </c>
      <c r="E3253" s="17" t="e">
        <f>#REF!</f>
        <v>#REF!</v>
      </c>
      <c r="F3253" s="29">
        <v>13821</v>
      </c>
    </row>
    <row r="3254" spans="1:6" ht="16" customHeight="1" x14ac:dyDescent="0.2">
      <c r="A3254">
        <f>IFERROR(VLOOKUP(C3254,'GASB Match'!$D$2:$F$6042,3,FALSE),"")</f>
        <v>3480200</v>
      </c>
      <c r="B3254" s="17">
        <v>2015</v>
      </c>
      <c r="C3254" s="17" t="s">
        <v>362</v>
      </c>
      <c r="D3254" s="17">
        <v>111</v>
      </c>
      <c r="E3254" s="17" t="e">
        <f>#REF!</f>
        <v>#REF!</v>
      </c>
      <c r="F3254" s="20">
        <v>830229</v>
      </c>
    </row>
    <row r="3255" spans="1:6" ht="16" customHeight="1" x14ac:dyDescent="0.2">
      <c r="A3255">
        <f>IFERROR(VLOOKUP(C3255,'GASB Match'!$D$2:$F$6042,3,FALSE),"")</f>
        <v>3480200</v>
      </c>
      <c r="B3255" s="17">
        <v>2016</v>
      </c>
      <c r="C3255" s="17" t="s">
        <v>362</v>
      </c>
      <c r="D3255" s="17">
        <v>111</v>
      </c>
      <c r="E3255" s="17" t="e">
        <f>#REF!</f>
        <v>#REF!</v>
      </c>
      <c r="F3255" s="20">
        <v>1197727</v>
      </c>
    </row>
    <row r="3256" spans="1:6" ht="16" customHeight="1" x14ac:dyDescent="0.2">
      <c r="A3256">
        <f>IFERROR(VLOOKUP(C3256,'GASB Match'!$D$2:$F$6042,3,FALSE),"")</f>
        <v>3480200</v>
      </c>
      <c r="B3256" s="17">
        <v>2018</v>
      </c>
      <c r="C3256" s="17" t="s">
        <v>1053</v>
      </c>
      <c r="D3256" s="17">
        <v>111</v>
      </c>
      <c r="E3256" s="17" t="e">
        <f>#REF!</f>
        <v>#REF!</v>
      </c>
      <c r="F3256" s="20">
        <v>2103116</v>
      </c>
    </row>
    <row r="3257" spans="1:6" ht="16" customHeight="1" x14ac:dyDescent="0.2">
      <c r="A3257">
        <f>IFERROR(VLOOKUP(C3257,'GASB Match'!$D$2:$F$6042,3,FALSE),"")</f>
        <v>3480200</v>
      </c>
      <c r="B3257" s="17">
        <v>2019</v>
      </c>
      <c r="C3257" s="17" t="s">
        <v>1053</v>
      </c>
      <c r="D3257" s="17">
        <v>111</v>
      </c>
      <c r="E3257" s="17" t="e">
        <f>#REF!</f>
        <v>#REF!</v>
      </c>
      <c r="F3257" s="20">
        <v>2778028</v>
      </c>
    </row>
    <row r="3258" spans="1:6" ht="16" customHeight="1" x14ac:dyDescent="0.2">
      <c r="A3258">
        <f>IFERROR(VLOOKUP(C3258,'GASB Match'!$D$2:$F$6042,3,FALSE),"")</f>
        <v>3480200</v>
      </c>
      <c r="B3258" s="17">
        <v>2020</v>
      </c>
      <c r="C3258" s="21" t="s">
        <v>1053</v>
      </c>
      <c r="D3258" s="17">
        <v>111</v>
      </c>
      <c r="E3258" s="17" t="e">
        <f>#REF!</f>
        <v>#REF!</v>
      </c>
      <c r="F3258" s="23">
        <v>3108117</v>
      </c>
    </row>
    <row r="3259" spans="1:6" ht="16" customHeight="1" x14ac:dyDescent="0.2">
      <c r="A3259">
        <f>IFERROR(VLOOKUP(C3259,'GASB Match'!$D$2:$F$6042,3,FALSE),"")</f>
        <v>3480200</v>
      </c>
      <c r="B3259" s="17">
        <v>2021</v>
      </c>
      <c r="C3259" s="25" t="s">
        <v>1053</v>
      </c>
      <c r="D3259" s="17">
        <v>111</v>
      </c>
      <c r="E3259" s="17" t="e">
        <f>#REF!</f>
        <v>#REF!</v>
      </c>
      <c r="F3259" s="23">
        <v>3879380</v>
      </c>
    </row>
    <row r="3260" spans="1:6" ht="16" customHeight="1" x14ac:dyDescent="0.2">
      <c r="A3260">
        <f>IFERROR(VLOOKUP(C3260,'GASB Match'!$D$2:$F$6042,3,FALSE),"")</f>
        <v>3480200</v>
      </c>
      <c r="B3260" s="17">
        <v>2022</v>
      </c>
      <c r="C3260" s="21" t="s">
        <v>1053</v>
      </c>
      <c r="D3260" s="17">
        <v>111</v>
      </c>
      <c r="E3260" s="17" t="e">
        <f>#REF!</f>
        <v>#REF!</v>
      </c>
      <c r="F3260" s="23">
        <v>5758348</v>
      </c>
    </row>
    <row r="3261" spans="1:6" ht="16" customHeight="1" x14ac:dyDescent="0.2">
      <c r="A3261">
        <f>IFERROR(VLOOKUP(C3261,'GASB Match'!$D$2:$F$6042,3,FALSE),"")</f>
        <v>3480200</v>
      </c>
      <c r="B3261" s="17">
        <v>2023</v>
      </c>
      <c r="C3261" s="21" t="s">
        <v>1053</v>
      </c>
      <c r="D3261" s="17">
        <v>111</v>
      </c>
      <c r="E3261" s="17" t="e">
        <f>#REF!</f>
        <v>#REF!</v>
      </c>
      <c r="F3261" s="23">
        <v>5470779</v>
      </c>
    </row>
    <row r="3262" spans="1:6" ht="16" customHeight="1" x14ac:dyDescent="0.2">
      <c r="A3262">
        <f>IFERROR(VLOOKUP(C3262,'GASB Match'!$D$2:$F$6042,3,FALSE),"")</f>
        <v>3480200</v>
      </c>
      <c r="B3262" s="28">
        <v>2017</v>
      </c>
      <c r="C3262" s="29" t="s">
        <v>362</v>
      </c>
      <c r="D3262" s="17">
        <v>111</v>
      </c>
      <c r="E3262" s="17" t="e">
        <f>#REF!</f>
        <v>#REF!</v>
      </c>
      <c r="F3262" s="29">
        <v>1688729</v>
      </c>
    </row>
    <row r="3263" spans="1:6" ht="16" customHeight="1" x14ac:dyDescent="0.2">
      <c r="A3263">
        <f>IFERROR(VLOOKUP(C3263,'GASB Match'!$D$2:$F$6042,3,FALSE),"")</f>
        <v>3409950</v>
      </c>
      <c r="B3263" s="17">
        <v>2015</v>
      </c>
      <c r="C3263" s="17" t="s">
        <v>363</v>
      </c>
      <c r="D3263" s="17">
        <v>953</v>
      </c>
      <c r="E3263" s="17" t="e">
        <f>#REF!</f>
        <v>#REF!</v>
      </c>
      <c r="F3263" s="20">
        <v>180314</v>
      </c>
    </row>
    <row r="3264" spans="1:6" ht="16" customHeight="1" x14ac:dyDescent="0.2">
      <c r="A3264">
        <f>IFERROR(VLOOKUP(C3264,'GASB Match'!$D$2:$F$6042,3,FALSE),"")</f>
        <v>3409950</v>
      </c>
      <c r="B3264" s="17">
        <v>2016</v>
      </c>
      <c r="C3264" s="17" t="s">
        <v>363</v>
      </c>
      <c r="D3264" s="17">
        <v>953</v>
      </c>
      <c r="E3264" s="17" t="e">
        <f>#REF!</f>
        <v>#REF!</v>
      </c>
      <c r="F3264" s="20">
        <v>271550</v>
      </c>
    </row>
    <row r="3265" spans="1:6" ht="16" customHeight="1" x14ac:dyDescent="0.2">
      <c r="A3265">
        <f>IFERROR(VLOOKUP(C3265,'GASB Match'!$D$2:$F$6042,3,FALSE),"")</f>
        <v>3409950</v>
      </c>
      <c r="B3265" s="17">
        <v>2018</v>
      </c>
      <c r="C3265" s="17" t="s">
        <v>1054</v>
      </c>
      <c r="D3265" s="17">
        <v>953</v>
      </c>
      <c r="E3265" s="17" t="e">
        <f>#REF!</f>
        <v>#REF!</v>
      </c>
      <c r="F3265" s="20">
        <v>515248</v>
      </c>
    </row>
    <row r="3266" spans="1:6" ht="16" customHeight="1" x14ac:dyDescent="0.2">
      <c r="A3266">
        <f>IFERROR(VLOOKUP(C3266,'GASB Match'!$D$2:$F$6042,3,FALSE),"")</f>
        <v>3409950</v>
      </c>
      <c r="B3266" s="17">
        <v>2019</v>
      </c>
      <c r="C3266" s="17" t="s">
        <v>1054</v>
      </c>
      <c r="D3266" s="17">
        <v>953</v>
      </c>
      <c r="E3266" s="17" t="e">
        <f>#REF!</f>
        <v>#REF!</v>
      </c>
      <c r="F3266" s="20">
        <v>717863</v>
      </c>
    </row>
    <row r="3267" spans="1:6" ht="16" customHeight="1" x14ac:dyDescent="0.2">
      <c r="A3267">
        <f>IFERROR(VLOOKUP(C3267,'GASB Match'!$D$2:$F$6042,3,FALSE),"")</f>
        <v>3409950</v>
      </c>
      <c r="B3267" s="17">
        <v>2020</v>
      </c>
      <c r="C3267" s="21" t="s">
        <v>1054</v>
      </c>
      <c r="D3267" s="17">
        <v>953</v>
      </c>
      <c r="E3267" s="17" t="e">
        <f>#REF!</f>
        <v>#REF!</v>
      </c>
      <c r="F3267" s="23">
        <v>792439</v>
      </c>
    </row>
    <row r="3268" spans="1:6" ht="16" customHeight="1" x14ac:dyDescent="0.2">
      <c r="A3268">
        <f>IFERROR(VLOOKUP(C3268,'GASB Match'!$D$2:$F$6042,3,FALSE),"")</f>
        <v>3409950</v>
      </c>
      <c r="B3268" s="17">
        <v>2021</v>
      </c>
      <c r="C3268" s="25" t="s">
        <v>1054</v>
      </c>
      <c r="D3268" s="17">
        <v>953</v>
      </c>
      <c r="E3268" s="17" t="e">
        <f>#REF!</f>
        <v>#REF!</v>
      </c>
      <c r="F3268" s="23">
        <v>1017308</v>
      </c>
    </row>
    <row r="3269" spans="1:6" ht="16" customHeight="1" x14ac:dyDescent="0.2">
      <c r="A3269">
        <f>IFERROR(VLOOKUP(C3269,'GASB Match'!$D$2:$F$6042,3,FALSE),"")</f>
        <v>3409950</v>
      </c>
      <c r="B3269" s="17">
        <v>2022</v>
      </c>
      <c r="C3269" s="21" t="s">
        <v>1054</v>
      </c>
      <c r="D3269" s="17">
        <v>953</v>
      </c>
      <c r="E3269" s="17" t="e">
        <f>#REF!</f>
        <v>#REF!</v>
      </c>
      <c r="F3269" s="23">
        <v>1401220</v>
      </c>
    </row>
    <row r="3270" spans="1:6" ht="16" customHeight="1" x14ac:dyDescent="0.2">
      <c r="A3270">
        <f>IFERROR(VLOOKUP(C3270,'GASB Match'!$D$2:$F$6042,3,FALSE),"")</f>
        <v>3409950</v>
      </c>
      <c r="B3270" s="17">
        <v>2023</v>
      </c>
      <c r="C3270" s="21" t="s">
        <v>1054</v>
      </c>
      <c r="D3270" s="17">
        <v>953</v>
      </c>
      <c r="E3270" s="17" t="e">
        <f>#REF!</f>
        <v>#REF!</v>
      </c>
      <c r="F3270" s="23">
        <v>1358305</v>
      </c>
    </row>
    <row r="3271" spans="1:6" ht="16" customHeight="1" x14ac:dyDescent="0.2">
      <c r="A3271">
        <f>IFERROR(VLOOKUP(C3271,'GASB Match'!$D$2:$F$6042,3,FALSE),"")</f>
        <v>3409950</v>
      </c>
      <c r="B3271" s="28">
        <v>2017</v>
      </c>
      <c r="C3271" s="29" t="s">
        <v>363</v>
      </c>
      <c r="D3271" s="17">
        <v>953</v>
      </c>
      <c r="E3271" s="17" t="e">
        <f>#REF!</f>
        <v>#REF!</v>
      </c>
      <c r="F3271" s="29">
        <v>361572</v>
      </c>
    </row>
    <row r="3272" spans="1:6" ht="16" customHeight="1" x14ac:dyDescent="0.2">
      <c r="A3272">
        <f>IFERROR(VLOOKUP(C3272,'GASB Match'!$D$2:$F$6042,3,FALSE),"")</f>
        <v>3409960</v>
      </c>
      <c r="B3272" s="17">
        <v>2015</v>
      </c>
      <c r="C3272" s="17" t="s">
        <v>182</v>
      </c>
      <c r="D3272" s="17">
        <v>4042</v>
      </c>
      <c r="E3272" s="17" t="e">
        <f>#REF!</f>
        <v>#REF!</v>
      </c>
      <c r="F3272" s="20">
        <v>138476</v>
      </c>
    </row>
    <row r="3273" spans="1:6" ht="16" customHeight="1" x14ac:dyDescent="0.2">
      <c r="A3273">
        <f>IFERROR(VLOOKUP(C3273,'GASB Match'!$D$2:$F$6042,3,FALSE),"")</f>
        <v>3409960</v>
      </c>
      <c r="B3273" s="17">
        <v>2016</v>
      </c>
      <c r="C3273" s="17" t="s">
        <v>182</v>
      </c>
      <c r="D3273" s="17">
        <v>4042</v>
      </c>
      <c r="E3273" s="17" t="e">
        <f>#REF!</f>
        <v>#REF!</v>
      </c>
      <c r="F3273" s="20">
        <v>199106</v>
      </c>
    </row>
    <row r="3274" spans="1:6" ht="16" customHeight="1" x14ac:dyDescent="0.2">
      <c r="A3274">
        <f>IFERROR(VLOOKUP(C3274,'GASB Match'!$D$2:$F$6042,3,FALSE),"")</f>
        <v>3409960</v>
      </c>
      <c r="B3274" s="17">
        <v>2018</v>
      </c>
      <c r="C3274" s="17" t="s">
        <v>865</v>
      </c>
      <c r="D3274" s="17">
        <v>4042</v>
      </c>
      <c r="E3274" s="17" t="e">
        <f>#REF!</f>
        <v>#REF!</v>
      </c>
      <c r="F3274" s="20">
        <v>384944</v>
      </c>
    </row>
    <row r="3275" spans="1:6" ht="16" customHeight="1" x14ac:dyDescent="0.2">
      <c r="A3275">
        <f>IFERROR(VLOOKUP(C3275,'GASB Match'!$D$2:$F$6042,3,FALSE),"")</f>
        <v>3409960</v>
      </c>
      <c r="B3275" s="17">
        <v>2019</v>
      </c>
      <c r="C3275" s="17" t="s">
        <v>865</v>
      </c>
      <c r="D3275" s="17">
        <v>4042</v>
      </c>
      <c r="E3275" s="17" t="e">
        <f>#REF!</f>
        <v>#REF!</v>
      </c>
      <c r="F3275" s="20">
        <v>487016</v>
      </c>
    </row>
    <row r="3276" spans="1:6" ht="16" customHeight="1" x14ac:dyDescent="0.2">
      <c r="A3276">
        <f>IFERROR(VLOOKUP(C3276,'GASB Match'!$D$2:$F$6042,3,FALSE),"")</f>
        <v>3409960</v>
      </c>
      <c r="B3276" s="17">
        <v>2020</v>
      </c>
      <c r="C3276" s="21" t="s">
        <v>865</v>
      </c>
      <c r="D3276" s="17">
        <v>4042</v>
      </c>
      <c r="E3276" s="17" t="e">
        <f>#REF!</f>
        <v>#REF!</v>
      </c>
      <c r="F3276" s="23">
        <v>554917</v>
      </c>
    </row>
    <row r="3277" spans="1:6" ht="16" customHeight="1" x14ac:dyDescent="0.2">
      <c r="A3277">
        <f>IFERROR(VLOOKUP(C3277,'GASB Match'!$D$2:$F$6042,3,FALSE),"")</f>
        <v>3409960</v>
      </c>
      <c r="B3277" s="17">
        <v>2021</v>
      </c>
      <c r="C3277" s="25" t="s">
        <v>865</v>
      </c>
      <c r="D3277" s="17">
        <v>4042</v>
      </c>
      <c r="E3277" s="17" t="e">
        <f>#REF!</f>
        <v>#REF!</v>
      </c>
      <c r="F3277" s="23">
        <v>800242</v>
      </c>
    </row>
    <row r="3278" spans="1:6" ht="16" customHeight="1" x14ac:dyDescent="0.2">
      <c r="A3278">
        <f>IFERROR(VLOOKUP(C3278,'GASB Match'!$D$2:$F$6042,3,FALSE),"")</f>
        <v>3409960</v>
      </c>
      <c r="B3278" s="17">
        <v>2022</v>
      </c>
      <c r="C3278" s="21" t="s">
        <v>865</v>
      </c>
      <c r="D3278" s="17">
        <v>4042</v>
      </c>
      <c r="E3278" s="17" t="e">
        <f>#REF!</f>
        <v>#REF!</v>
      </c>
      <c r="F3278" s="23">
        <v>1172945</v>
      </c>
    </row>
    <row r="3279" spans="1:6" ht="16" customHeight="1" x14ac:dyDescent="0.2">
      <c r="A3279">
        <f>IFERROR(VLOOKUP(C3279,'GASB Match'!$D$2:$F$6042,3,FALSE),"")</f>
        <v>3409960</v>
      </c>
      <c r="B3279" s="17">
        <v>2023</v>
      </c>
      <c r="C3279" s="21" t="s">
        <v>865</v>
      </c>
      <c r="D3279" s="17">
        <v>4042</v>
      </c>
      <c r="E3279" s="17" t="e">
        <f>#REF!</f>
        <v>#REF!</v>
      </c>
      <c r="F3279" s="23">
        <v>1080982</v>
      </c>
    </row>
    <row r="3280" spans="1:6" ht="16" customHeight="1" x14ac:dyDescent="0.2">
      <c r="A3280">
        <f>IFERROR(VLOOKUP(C3280,'GASB Match'!$D$2:$F$6042,3,FALSE),"")</f>
        <v>3409960</v>
      </c>
      <c r="B3280" s="28">
        <v>2017</v>
      </c>
      <c r="C3280" s="29" t="s">
        <v>182</v>
      </c>
      <c r="D3280" s="17">
        <v>4042</v>
      </c>
      <c r="E3280" s="17" t="e">
        <f>#REF!</f>
        <v>#REF!</v>
      </c>
      <c r="F3280" s="29">
        <v>258952</v>
      </c>
    </row>
    <row r="3281" spans="1:6" ht="16" customHeight="1" x14ac:dyDescent="0.2">
      <c r="A3281">
        <f>IFERROR(VLOOKUP(C3281,'GASB Match'!$D$2:$F$6042,3,FALSE),"")</f>
        <v>3400760</v>
      </c>
      <c r="B3281" s="17">
        <v>2018</v>
      </c>
      <c r="C3281" s="17" t="s">
        <v>936</v>
      </c>
      <c r="D3281" s="17">
        <v>6107</v>
      </c>
      <c r="E3281" s="17" t="e">
        <f>#REF!</f>
        <v>#REF!</v>
      </c>
      <c r="F3281" s="20">
        <v>148176</v>
      </c>
    </row>
    <row r="3282" spans="1:6" ht="16" customHeight="1" x14ac:dyDescent="0.2">
      <c r="A3282">
        <f>IFERROR(VLOOKUP(C3282,'GASB Match'!$D$2:$F$6042,3,FALSE),"")</f>
        <v>3400760</v>
      </c>
      <c r="B3282" s="17">
        <v>2019</v>
      </c>
      <c r="C3282" s="17" t="s">
        <v>936</v>
      </c>
      <c r="D3282" s="17">
        <v>6107</v>
      </c>
      <c r="E3282" s="17" t="e">
        <f>#REF!</f>
        <v>#REF!</v>
      </c>
      <c r="F3282" s="20">
        <v>314029</v>
      </c>
    </row>
    <row r="3283" spans="1:6" ht="16" customHeight="1" x14ac:dyDescent="0.2">
      <c r="A3283">
        <f>IFERROR(VLOOKUP(C3283,'GASB Match'!$D$2:$F$6042,3,FALSE),"")</f>
        <v>3400760</v>
      </c>
      <c r="B3283" s="17">
        <v>2016</v>
      </c>
      <c r="C3283" s="17" t="s">
        <v>668</v>
      </c>
      <c r="D3283" s="17">
        <v>6107</v>
      </c>
      <c r="E3283" s="17" t="e">
        <f>#REF!</f>
        <v>#REF!</v>
      </c>
      <c r="F3283" s="20">
        <v>24189</v>
      </c>
    </row>
    <row r="3284" spans="1:6" ht="16" customHeight="1" x14ac:dyDescent="0.2">
      <c r="A3284">
        <f>IFERROR(VLOOKUP(C3284,'GASB Match'!$D$2:$F$6042,3,FALSE),"")</f>
        <v>3400760</v>
      </c>
      <c r="B3284" s="28">
        <v>2017</v>
      </c>
      <c r="C3284" s="29" t="s">
        <v>668</v>
      </c>
      <c r="D3284" s="17">
        <v>6107</v>
      </c>
      <c r="E3284" s="17" t="e">
        <f>#REF!</f>
        <v>#REF!</v>
      </c>
      <c r="F3284" s="29">
        <v>93162</v>
      </c>
    </row>
    <row r="3285" spans="1:6" ht="16" customHeight="1" x14ac:dyDescent="0.2">
      <c r="A3285">
        <f>IFERROR(VLOOKUP(C3285,'GASB Match'!$D$2:$F$6042,3,FALSE),"")</f>
        <v>3400753</v>
      </c>
      <c r="B3285" s="17">
        <v>2015</v>
      </c>
      <c r="C3285" s="17" t="s">
        <v>317</v>
      </c>
      <c r="D3285" s="17">
        <v>8095</v>
      </c>
      <c r="E3285" s="17" t="e">
        <f>#REF!</f>
        <v>#REF!</v>
      </c>
      <c r="F3285" s="20">
        <v>71334</v>
      </c>
    </row>
    <row r="3286" spans="1:6" ht="16" customHeight="1" x14ac:dyDescent="0.2">
      <c r="A3286">
        <f>IFERROR(VLOOKUP(C3286,'GASB Match'!$D$2:$F$6042,3,FALSE),"")</f>
        <v>3400753</v>
      </c>
      <c r="B3286" s="17">
        <v>2016</v>
      </c>
      <c r="C3286" s="17" t="s">
        <v>317</v>
      </c>
      <c r="D3286" s="17">
        <v>8095</v>
      </c>
      <c r="E3286" s="17" t="e">
        <f>#REF!</f>
        <v>#REF!</v>
      </c>
      <c r="F3286" s="20">
        <v>154409</v>
      </c>
    </row>
    <row r="3287" spans="1:6" ht="16" customHeight="1" x14ac:dyDescent="0.2">
      <c r="A3287">
        <f>IFERROR(VLOOKUP(C3287,'GASB Match'!$D$2:$F$6042,3,FALSE),"")</f>
        <v>3400753</v>
      </c>
      <c r="B3287" s="17">
        <v>2018</v>
      </c>
      <c r="C3287" s="17" t="s">
        <v>1010</v>
      </c>
      <c r="D3287" s="17">
        <v>8095</v>
      </c>
      <c r="E3287" s="17" t="e">
        <f>#REF!</f>
        <v>#REF!</v>
      </c>
      <c r="F3287" s="20">
        <v>496573</v>
      </c>
    </row>
    <row r="3288" spans="1:6" ht="16" customHeight="1" x14ac:dyDescent="0.2">
      <c r="A3288">
        <f>IFERROR(VLOOKUP(C3288,'GASB Match'!$D$2:$F$6042,3,FALSE),"")</f>
        <v>3400753</v>
      </c>
      <c r="B3288" s="17">
        <v>2019</v>
      </c>
      <c r="C3288" s="17" t="s">
        <v>1010</v>
      </c>
      <c r="D3288" s="17">
        <v>8095</v>
      </c>
      <c r="E3288" s="17" t="e">
        <f>#REF!</f>
        <v>#REF!</v>
      </c>
      <c r="F3288" s="20">
        <v>537652</v>
      </c>
    </row>
    <row r="3289" spans="1:6" ht="16" customHeight="1" x14ac:dyDescent="0.2">
      <c r="A3289">
        <f>IFERROR(VLOOKUP(C3289,'GASB Match'!$D$2:$F$6042,3,FALSE),"")</f>
        <v>3400753</v>
      </c>
      <c r="B3289" s="17">
        <v>2020</v>
      </c>
      <c r="C3289" s="21" t="s">
        <v>1010</v>
      </c>
      <c r="D3289" s="17">
        <v>8095</v>
      </c>
      <c r="E3289" s="17" t="e">
        <f>#REF!</f>
        <v>#REF!</v>
      </c>
      <c r="F3289" s="23">
        <v>721439</v>
      </c>
    </row>
    <row r="3290" spans="1:6" ht="16" customHeight="1" x14ac:dyDescent="0.2">
      <c r="A3290">
        <f>IFERROR(VLOOKUP(C3290,'GASB Match'!$D$2:$F$6042,3,FALSE),"")</f>
        <v>3400753</v>
      </c>
      <c r="B3290" s="17">
        <v>2021</v>
      </c>
      <c r="C3290" s="25" t="s">
        <v>1010</v>
      </c>
      <c r="D3290" s="17">
        <v>8095</v>
      </c>
      <c r="E3290" s="17" t="e">
        <f>#REF!</f>
        <v>#REF!</v>
      </c>
      <c r="F3290" s="23">
        <v>1094322</v>
      </c>
    </row>
    <row r="3291" spans="1:6" ht="16" customHeight="1" x14ac:dyDescent="0.2">
      <c r="A3291">
        <f>IFERROR(VLOOKUP(C3291,'GASB Match'!$D$2:$F$6042,3,FALSE),"")</f>
        <v>3400753</v>
      </c>
      <c r="B3291" s="17">
        <v>2022</v>
      </c>
      <c r="C3291" s="21" t="s">
        <v>1010</v>
      </c>
      <c r="D3291" s="17">
        <v>8095</v>
      </c>
      <c r="E3291" s="17" t="e">
        <f>#REF!</f>
        <v>#REF!</v>
      </c>
      <c r="F3291" s="23">
        <v>1170801</v>
      </c>
    </row>
    <row r="3292" spans="1:6" ht="16" customHeight="1" x14ac:dyDescent="0.2">
      <c r="A3292">
        <f>IFERROR(VLOOKUP(C3292,'GASB Match'!$D$2:$F$6042,3,FALSE),"")</f>
        <v>3400753</v>
      </c>
      <c r="B3292" s="28">
        <v>2017</v>
      </c>
      <c r="C3292" s="29" t="s">
        <v>317</v>
      </c>
      <c r="D3292" s="17">
        <v>8095</v>
      </c>
      <c r="E3292" s="17" t="e">
        <f>#REF!</f>
        <v>#REF!</v>
      </c>
      <c r="F3292" s="29">
        <v>298939</v>
      </c>
    </row>
    <row r="3293" spans="1:6" ht="16" customHeight="1" x14ac:dyDescent="0.2">
      <c r="A3293">
        <f>IFERROR(VLOOKUP(C3293,'GASB Match'!$D$2:$F$6042,3,FALSE),"")</f>
        <v>3409990</v>
      </c>
      <c r="B3293" s="17">
        <v>2015</v>
      </c>
      <c r="C3293" s="17" t="s">
        <v>382</v>
      </c>
      <c r="D3293" s="17">
        <v>239</v>
      </c>
      <c r="E3293" s="17" t="e">
        <f>#REF!</f>
        <v>#REF!</v>
      </c>
      <c r="F3293" s="20">
        <v>797730</v>
      </c>
    </row>
    <row r="3294" spans="1:6" ht="16" customHeight="1" x14ac:dyDescent="0.2">
      <c r="A3294">
        <f>IFERROR(VLOOKUP(C3294,'GASB Match'!$D$2:$F$6042,3,FALSE),"")</f>
        <v>3409990</v>
      </c>
      <c r="B3294" s="17">
        <v>2016</v>
      </c>
      <c r="C3294" s="17" t="s">
        <v>382</v>
      </c>
      <c r="D3294" s="17">
        <v>239</v>
      </c>
      <c r="E3294" s="17" t="e">
        <f>#REF!</f>
        <v>#REF!</v>
      </c>
      <c r="F3294" s="20">
        <v>1193770</v>
      </c>
    </row>
    <row r="3295" spans="1:6" ht="16" customHeight="1" x14ac:dyDescent="0.2">
      <c r="A3295">
        <f>IFERROR(VLOOKUP(C3295,'GASB Match'!$D$2:$F$6042,3,FALSE),"")</f>
        <v>3409990</v>
      </c>
      <c r="B3295" s="17">
        <v>2018</v>
      </c>
      <c r="C3295" s="17" t="s">
        <v>1075</v>
      </c>
      <c r="D3295" s="17">
        <v>239</v>
      </c>
      <c r="E3295" s="17" t="e">
        <f>#REF!</f>
        <v>#REF!</v>
      </c>
      <c r="F3295" s="20">
        <v>2302474</v>
      </c>
    </row>
    <row r="3296" spans="1:6" ht="16" customHeight="1" x14ac:dyDescent="0.2">
      <c r="A3296">
        <f>IFERROR(VLOOKUP(C3296,'GASB Match'!$D$2:$F$6042,3,FALSE),"")</f>
        <v>3409990</v>
      </c>
      <c r="B3296" s="17">
        <v>2019</v>
      </c>
      <c r="C3296" s="17" t="s">
        <v>1075</v>
      </c>
      <c r="D3296" s="17">
        <v>239</v>
      </c>
      <c r="E3296" s="17" t="e">
        <f>#REF!</f>
        <v>#REF!</v>
      </c>
      <c r="F3296" s="20">
        <v>3109655</v>
      </c>
    </row>
    <row r="3297" spans="1:6" ht="16" customHeight="1" x14ac:dyDescent="0.2">
      <c r="A3297">
        <f>IFERROR(VLOOKUP(C3297,'GASB Match'!$D$2:$F$6042,3,FALSE),"")</f>
        <v>3409990</v>
      </c>
      <c r="B3297" s="17">
        <v>2020</v>
      </c>
      <c r="C3297" s="21" t="s">
        <v>1075</v>
      </c>
      <c r="D3297" s="17">
        <v>239</v>
      </c>
      <c r="E3297" s="17" t="e">
        <f>#REF!</f>
        <v>#REF!</v>
      </c>
      <c r="F3297" s="23">
        <v>3482501</v>
      </c>
    </row>
    <row r="3298" spans="1:6" ht="16" customHeight="1" x14ac:dyDescent="0.2">
      <c r="A3298">
        <f>IFERROR(VLOOKUP(C3298,'GASB Match'!$D$2:$F$6042,3,FALSE),"")</f>
        <v>3409990</v>
      </c>
      <c r="B3298" s="17">
        <v>2021</v>
      </c>
      <c r="C3298" s="25" t="s">
        <v>1075</v>
      </c>
      <c r="D3298" s="17">
        <v>239</v>
      </c>
      <c r="E3298" s="17" t="e">
        <f>#REF!</f>
        <v>#REF!</v>
      </c>
      <c r="F3298" s="23">
        <v>4603840</v>
      </c>
    </row>
    <row r="3299" spans="1:6" ht="16" customHeight="1" x14ac:dyDescent="0.2">
      <c r="A3299">
        <f>IFERROR(VLOOKUP(C3299,'GASB Match'!$D$2:$F$6042,3,FALSE),"")</f>
        <v>3409990</v>
      </c>
      <c r="B3299" s="17">
        <v>2022</v>
      </c>
      <c r="C3299" s="21" t="s">
        <v>1075</v>
      </c>
      <c r="D3299" s="17">
        <v>239</v>
      </c>
      <c r="E3299" s="17" t="e">
        <f>#REF!</f>
        <v>#REF!</v>
      </c>
      <c r="F3299" s="23">
        <v>6658620</v>
      </c>
    </row>
    <row r="3300" spans="1:6" ht="16" customHeight="1" x14ac:dyDescent="0.2">
      <c r="A3300">
        <f>IFERROR(VLOOKUP(C3300,'GASB Match'!$D$2:$F$6042,3,FALSE),"")</f>
        <v>3409990</v>
      </c>
      <c r="B3300" s="17">
        <v>2023</v>
      </c>
      <c r="C3300" s="21" t="s">
        <v>1075</v>
      </c>
      <c r="D3300" s="17">
        <v>239</v>
      </c>
      <c r="E3300" s="17" t="e">
        <f>#REF!</f>
        <v>#REF!</v>
      </c>
      <c r="F3300" s="23">
        <v>6551824</v>
      </c>
    </row>
    <row r="3301" spans="1:6" ht="16" customHeight="1" x14ac:dyDescent="0.2">
      <c r="A3301">
        <f>IFERROR(VLOOKUP(C3301,'GASB Match'!$D$2:$F$6042,3,FALSE),"")</f>
        <v>3409990</v>
      </c>
      <c r="B3301" s="28">
        <v>2017</v>
      </c>
      <c r="C3301" s="29" t="s">
        <v>382</v>
      </c>
      <c r="D3301" s="17">
        <v>239</v>
      </c>
      <c r="E3301" s="17" t="e">
        <f>#REF!</f>
        <v>#REF!</v>
      </c>
      <c r="F3301" s="29">
        <v>1714048</v>
      </c>
    </row>
    <row r="3302" spans="1:6" ht="16" customHeight="1" x14ac:dyDescent="0.2">
      <c r="A3302">
        <f>IFERROR(VLOOKUP(C3302,'GASB Match'!$D$2:$F$6042,3,FALSE),"")</f>
        <v>3410020</v>
      </c>
      <c r="B3302" s="17">
        <v>2015</v>
      </c>
      <c r="C3302" s="17" t="s">
        <v>203</v>
      </c>
      <c r="D3302" s="17">
        <v>5015</v>
      </c>
      <c r="E3302" s="17" t="e">
        <f>#REF!</f>
        <v>#REF!</v>
      </c>
      <c r="F3302" s="20">
        <v>881354</v>
      </c>
    </row>
    <row r="3303" spans="1:6" ht="16" customHeight="1" x14ac:dyDescent="0.2">
      <c r="A3303">
        <f>IFERROR(VLOOKUP(C3303,'GASB Match'!$D$2:$F$6042,3,FALSE),"")</f>
        <v>3410020</v>
      </c>
      <c r="B3303" s="17">
        <v>2016</v>
      </c>
      <c r="C3303" s="17" t="s">
        <v>203</v>
      </c>
      <c r="D3303" s="17">
        <v>5015</v>
      </c>
      <c r="E3303" s="17" t="e">
        <f>#REF!</f>
        <v>#REF!</v>
      </c>
      <c r="F3303" s="20">
        <v>1301649</v>
      </c>
    </row>
    <row r="3304" spans="1:6" ht="16" customHeight="1" x14ac:dyDescent="0.2">
      <c r="A3304">
        <f>IFERROR(VLOOKUP(C3304,'GASB Match'!$D$2:$F$6042,3,FALSE),"")</f>
        <v>3410020</v>
      </c>
      <c r="B3304" s="17">
        <v>2018</v>
      </c>
      <c r="C3304" s="17" t="s">
        <v>887</v>
      </c>
      <c r="D3304" s="17">
        <v>5015</v>
      </c>
      <c r="E3304" s="17" t="e">
        <f>#REF!</f>
        <v>#REF!</v>
      </c>
      <c r="F3304" s="20">
        <v>2368133</v>
      </c>
    </row>
    <row r="3305" spans="1:6" ht="16" customHeight="1" x14ac:dyDescent="0.2">
      <c r="A3305">
        <f>IFERROR(VLOOKUP(C3305,'GASB Match'!$D$2:$F$6042,3,FALSE),"")</f>
        <v>3410020</v>
      </c>
      <c r="B3305" s="17">
        <v>2019</v>
      </c>
      <c r="C3305" s="17" t="s">
        <v>887</v>
      </c>
      <c r="D3305" s="17">
        <v>5015</v>
      </c>
      <c r="E3305" s="17" t="e">
        <f>#REF!</f>
        <v>#REF!</v>
      </c>
      <c r="F3305" s="20">
        <v>3164542</v>
      </c>
    </row>
    <row r="3306" spans="1:6" ht="16" customHeight="1" x14ac:dyDescent="0.2">
      <c r="A3306">
        <f>IFERROR(VLOOKUP(C3306,'GASB Match'!$D$2:$F$6042,3,FALSE),"")</f>
        <v>3410020</v>
      </c>
      <c r="B3306" s="17">
        <v>2020</v>
      </c>
      <c r="C3306" s="21" t="s">
        <v>887</v>
      </c>
      <c r="D3306" s="17">
        <v>5015</v>
      </c>
      <c r="E3306" s="17" t="e">
        <f>#REF!</f>
        <v>#REF!</v>
      </c>
      <c r="F3306" s="23">
        <v>3483727</v>
      </c>
    </row>
    <row r="3307" spans="1:6" ht="16" customHeight="1" x14ac:dyDescent="0.2">
      <c r="A3307">
        <f>IFERROR(VLOOKUP(C3307,'GASB Match'!$D$2:$F$6042,3,FALSE),"")</f>
        <v>3410020</v>
      </c>
      <c r="B3307" s="17">
        <v>2021</v>
      </c>
      <c r="C3307" s="25" t="s">
        <v>887</v>
      </c>
      <c r="D3307" s="17">
        <v>5015</v>
      </c>
      <c r="E3307" s="17" t="e">
        <f>#REF!</f>
        <v>#REF!</v>
      </c>
      <c r="F3307" s="23">
        <v>4552901</v>
      </c>
    </row>
    <row r="3308" spans="1:6" ht="16" customHeight="1" x14ac:dyDescent="0.2">
      <c r="A3308">
        <f>IFERROR(VLOOKUP(C3308,'GASB Match'!$D$2:$F$6042,3,FALSE),"")</f>
        <v>3410020</v>
      </c>
      <c r="B3308" s="17">
        <v>2022</v>
      </c>
      <c r="C3308" s="21" t="s">
        <v>887</v>
      </c>
      <c r="D3308" s="17">
        <v>5015</v>
      </c>
      <c r="E3308" s="17" t="e">
        <f>#REF!</f>
        <v>#REF!</v>
      </c>
      <c r="F3308" s="23">
        <v>6647578</v>
      </c>
    </row>
    <row r="3309" spans="1:6" ht="16" customHeight="1" x14ac:dyDescent="0.2">
      <c r="A3309">
        <f>IFERROR(VLOOKUP(C3309,'GASB Match'!$D$2:$F$6042,3,FALSE),"")</f>
        <v>3410020</v>
      </c>
      <c r="B3309" s="17">
        <v>2023</v>
      </c>
      <c r="C3309" s="21" t="s">
        <v>887</v>
      </c>
      <c r="D3309" s="17">
        <v>5015</v>
      </c>
      <c r="E3309" s="17" t="e">
        <f>#REF!</f>
        <v>#REF!</v>
      </c>
      <c r="F3309" s="23">
        <v>6607274</v>
      </c>
    </row>
    <row r="3310" spans="1:6" ht="16" customHeight="1" x14ac:dyDescent="0.2">
      <c r="A3310">
        <f>IFERROR(VLOOKUP(C3310,'GASB Match'!$D$2:$F$6042,3,FALSE),"")</f>
        <v>3410020</v>
      </c>
      <c r="B3310" s="28">
        <v>2017</v>
      </c>
      <c r="C3310" s="29" t="s">
        <v>203</v>
      </c>
      <c r="D3310" s="17">
        <v>5015</v>
      </c>
      <c r="E3310" s="17" t="e">
        <f>#REF!</f>
        <v>#REF!</v>
      </c>
      <c r="F3310" s="29">
        <v>1758259</v>
      </c>
    </row>
    <row r="3311" spans="1:6" ht="16" customHeight="1" x14ac:dyDescent="0.2">
      <c r="A3311">
        <f>IFERROR(VLOOKUP(C3311,'GASB Match'!$D$2:$F$6042,3,FALSE),"")</f>
        <v>3410050</v>
      </c>
      <c r="B3311" s="17">
        <v>2015</v>
      </c>
      <c r="C3311" s="17" t="s">
        <v>383</v>
      </c>
      <c r="D3311" s="17">
        <v>241</v>
      </c>
      <c r="E3311" s="17" t="e">
        <f>#REF!</f>
        <v>#REF!</v>
      </c>
      <c r="F3311" s="20">
        <v>801455</v>
      </c>
    </row>
    <row r="3312" spans="1:6" ht="16" customHeight="1" x14ac:dyDescent="0.2">
      <c r="A3312">
        <f>IFERROR(VLOOKUP(C3312,'GASB Match'!$D$2:$F$6042,3,FALSE),"")</f>
        <v>3410050</v>
      </c>
      <c r="B3312" s="17">
        <v>2016</v>
      </c>
      <c r="C3312" s="17" t="s">
        <v>383</v>
      </c>
      <c r="D3312" s="17">
        <v>241</v>
      </c>
      <c r="E3312" s="17" t="e">
        <f>#REF!</f>
        <v>#REF!</v>
      </c>
      <c r="F3312" s="20">
        <v>1206138</v>
      </c>
    </row>
    <row r="3313" spans="1:6" ht="16" customHeight="1" x14ac:dyDescent="0.2">
      <c r="A3313">
        <f>IFERROR(VLOOKUP(C3313,'GASB Match'!$D$2:$F$6042,3,FALSE),"")</f>
        <v>3410050</v>
      </c>
      <c r="B3313" s="17">
        <v>2018</v>
      </c>
      <c r="C3313" s="17" t="s">
        <v>1076</v>
      </c>
      <c r="D3313" s="17">
        <v>241</v>
      </c>
      <c r="E3313" s="17" t="e">
        <f>#REF!</f>
        <v>#REF!</v>
      </c>
      <c r="F3313" s="20">
        <v>2269801</v>
      </c>
    </row>
    <row r="3314" spans="1:6" ht="16" customHeight="1" x14ac:dyDescent="0.2">
      <c r="A3314">
        <f>IFERROR(VLOOKUP(C3314,'GASB Match'!$D$2:$F$6042,3,FALSE),"")</f>
        <v>3410050</v>
      </c>
      <c r="B3314" s="17">
        <v>2019</v>
      </c>
      <c r="C3314" s="17" t="s">
        <v>1076</v>
      </c>
      <c r="D3314" s="17">
        <v>241</v>
      </c>
      <c r="E3314" s="17" t="e">
        <f>#REF!</f>
        <v>#REF!</v>
      </c>
      <c r="F3314" s="20">
        <v>2993076</v>
      </c>
    </row>
    <row r="3315" spans="1:6" ht="16" customHeight="1" x14ac:dyDescent="0.2">
      <c r="A3315">
        <f>IFERROR(VLOOKUP(C3315,'GASB Match'!$D$2:$F$6042,3,FALSE),"")</f>
        <v>3410050</v>
      </c>
      <c r="B3315" s="17">
        <v>2020</v>
      </c>
      <c r="C3315" s="21" t="s">
        <v>1076</v>
      </c>
      <c r="D3315" s="17">
        <v>241</v>
      </c>
      <c r="E3315" s="17" t="e">
        <f>#REF!</f>
        <v>#REF!</v>
      </c>
      <c r="F3315" s="23">
        <v>3288611</v>
      </c>
    </row>
    <row r="3316" spans="1:6" ht="16" customHeight="1" x14ac:dyDescent="0.2">
      <c r="A3316">
        <f>IFERROR(VLOOKUP(C3316,'GASB Match'!$D$2:$F$6042,3,FALSE),"")</f>
        <v>3410050</v>
      </c>
      <c r="B3316" s="17">
        <v>2021</v>
      </c>
      <c r="C3316" s="25" t="s">
        <v>1076</v>
      </c>
      <c r="D3316" s="17">
        <v>241</v>
      </c>
      <c r="E3316" s="17" t="e">
        <f>#REF!</f>
        <v>#REF!</v>
      </c>
      <c r="F3316" s="23">
        <v>4310089</v>
      </c>
    </row>
    <row r="3317" spans="1:6" ht="16" customHeight="1" x14ac:dyDescent="0.2">
      <c r="A3317">
        <f>IFERROR(VLOOKUP(C3317,'GASB Match'!$D$2:$F$6042,3,FALSE),"")</f>
        <v>3410050</v>
      </c>
      <c r="B3317" s="17">
        <v>2022</v>
      </c>
      <c r="C3317" s="21" t="s">
        <v>1076</v>
      </c>
      <c r="D3317" s="17">
        <v>241</v>
      </c>
      <c r="E3317" s="17" t="e">
        <f>#REF!</f>
        <v>#REF!</v>
      </c>
      <c r="F3317" s="23">
        <v>6240443</v>
      </c>
    </row>
    <row r="3318" spans="1:6" ht="16" customHeight="1" x14ac:dyDescent="0.2">
      <c r="A3318">
        <f>IFERROR(VLOOKUP(C3318,'GASB Match'!$D$2:$F$6042,3,FALSE),"")</f>
        <v>3410050</v>
      </c>
      <c r="B3318" s="17">
        <v>2023</v>
      </c>
      <c r="C3318" s="21" t="s">
        <v>1076</v>
      </c>
      <c r="D3318" s="17">
        <v>241</v>
      </c>
      <c r="E3318" s="17" t="e">
        <f>#REF!</f>
        <v>#REF!</v>
      </c>
      <c r="F3318" s="23">
        <v>6338952</v>
      </c>
    </row>
    <row r="3319" spans="1:6" ht="16" customHeight="1" x14ac:dyDescent="0.2">
      <c r="A3319">
        <f>IFERROR(VLOOKUP(C3319,'GASB Match'!$D$2:$F$6042,3,FALSE),"")</f>
        <v>3410050</v>
      </c>
      <c r="B3319" s="28">
        <v>2017</v>
      </c>
      <c r="C3319" s="29" t="s">
        <v>383</v>
      </c>
      <c r="D3319" s="17">
        <v>241</v>
      </c>
      <c r="E3319" s="17" t="e">
        <f>#REF!</f>
        <v>#REF!</v>
      </c>
      <c r="F3319" s="29">
        <v>1673960</v>
      </c>
    </row>
    <row r="3320" spans="1:6" ht="16" customHeight="1" x14ac:dyDescent="0.2">
      <c r="A3320">
        <f>IFERROR(VLOOKUP(C3320,'GASB Match'!$D$2:$F$6042,3,FALSE),"")</f>
        <v>3480180</v>
      </c>
      <c r="B3320" s="17">
        <v>2015</v>
      </c>
      <c r="C3320" s="17" t="s">
        <v>384</v>
      </c>
      <c r="D3320" s="17">
        <v>202</v>
      </c>
      <c r="E3320" s="17" t="e">
        <f>#REF!</f>
        <v>#REF!</v>
      </c>
      <c r="F3320" s="20">
        <v>700061</v>
      </c>
    </row>
    <row r="3321" spans="1:6" ht="16" customHeight="1" x14ac:dyDescent="0.2">
      <c r="A3321">
        <f>IFERROR(VLOOKUP(C3321,'GASB Match'!$D$2:$F$6042,3,FALSE),"")</f>
        <v>3480180</v>
      </c>
      <c r="B3321" s="17">
        <v>2016</v>
      </c>
      <c r="C3321" s="17" t="s">
        <v>384</v>
      </c>
      <c r="D3321" s="17">
        <v>202</v>
      </c>
      <c r="E3321" s="17" t="e">
        <f>#REF!</f>
        <v>#REF!</v>
      </c>
      <c r="F3321" s="20">
        <v>1031400</v>
      </c>
    </row>
    <row r="3322" spans="1:6" ht="16" customHeight="1" x14ac:dyDescent="0.2">
      <c r="A3322">
        <f>IFERROR(VLOOKUP(C3322,'GASB Match'!$D$2:$F$6042,3,FALSE),"")</f>
        <v>3480180</v>
      </c>
      <c r="B3322" s="28">
        <v>2017</v>
      </c>
      <c r="C3322" s="29" t="s">
        <v>384</v>
      </c>
      <c r="D3322" s="17">
        <v>202</v>
      </c>
      <c r="E3322" s="17" t="e">
        <f>#REF!</f>
        <v>#REF!</v>
      </c>
      <c r="F3322" s="29">
        <v>1499723</v>
      </c>
    </row>
    <row r="3323" spans="1:6" ht="16" customHeight="1" x14ac:dyDescent="0.2">
      <c r="A3323">
        <f>IFERROR(VLOOKUP(C3323,'GASB Match'!$D$2:$F$6042,3,FALSE),"")</f>
        <v>3410080</v>
      </c>
      <c r="B3323" s="17">
        <v>2015</v>
      </c>
      <c r="C3323" s="17" t="s">
        <v>385</v>
      </c>
      <c r="D3323" s="17">
        <v>972</v>
      </c>
      <c r="E3323" s="17" t="e">
        <f>#REF!</f>
        <v>#REF!</v>
      </c>
      <c r="F3323" s="20">
        <v>931612</v>
      </c>
    </row>
    <row r="3324" spans="1:6" ht="16" customHeight="1" x14ac:dyDescent="0.2">
      <c r="A3324">
        <f>IFERROR(VLOOKUP(C3324,'GASB Match'!$D$2:$F$6042,3,FALSE),"")</f>
        <v>3410080</v>
      </c>
      <c r="B3324" s="17">
        <v>2016</v>
      </c>
      <c r="C3324" s="17" t="s">
        <v>385</v>
      </c>
      <c r="D3324" s="17">
        <v>972</v>
      </c>
      <c r="E3324" s="17" t="e">
        <f>#REF!</f>
        <v>#REF!</v>
      </c>
      <c r="F3324" s="20">
        <v>1370306</v>
      </c>
    </row>
    <row r="3325" spans="1:6" ht="16" customHeight="1" x14ac:dyDescent="0.2">
      <c r="A3325">
        <f>IFERROR(VLOOKUP(C3325,'GASB Match'!$D$2:$F$6042,3,FALSE),"")</f>
        <v>3410080</v>
      </c>
      <c r="B3325" s="17">
        <v>2018</v>
      </c>
      <c r="C3325" s="17" t="s">
        <v>1077</v>
      </c>
      <c r="D3325" s="17">
        <v>972</v>
      </c>
      <c r="E3325" s="17" t="e">
        <f>#REF!</f>
        <v>#REF!</v>
      </c>
      <c r="F3325" s="20">
        <v>2553167</v>
      </c>
    </row>
    <row r="3326" spans="1:6" ht="16" customHeight="1" x14ac:dyDescent="0.2">
      <c r="A3326">
        <f>IFERROR(VLOOKUP(C3326,'GASB Match'!$D$2:$F$6042,3,FALSE),"")</f>
        <v>3410080</v>
      </c>
      <c r="B3326" s="17">
        <v>2019</v>
      </c>
      <c r="C3326" s="17" t="s">
        <v>1077</v>
      </c>
      <c r="D3326" s="17">
        <v>972</v>
      </c>
      <c r="E3326" s="17" t="e">
        <f>#REF!</f>
        <v>#REF!</v>
      </c>
      <c r="F3326" s="20">
        <v>3468826</v>
      </c>
    </row>
    <row r="3327" spans="1:6" ht="16" customHeight="1" x14ac:dyDescent="0.2">
      <c r="A3327">
        <f>IFERROR(VLOOKUP(C3327,'GASB Match'!$D$2:$F$6042,3,FALSE),"")</f>
        <v>3410080</v>
      </c>
      <c r="B3327" s="17">
        <v>2020</v>
      </c>
      <c r="C3327" s="21" t="s">
        <v>1077</v>
      </c>
      <c r="D3327" s="17">
        <v>972</v>
      </c>
      <c r="E3327" s="17" t="e">
        <f>#REF!</f>
        <v>#REF!</v>
      </c>
      <c r="F3327" s="23">
        <v>3768996</v>
      </c>
    </row>
    <row r="3328" spans="1:6" ht="16" customHeight="1" x14ac:dyDescent="0.2">
      <c r="A3328">
        <f>IFERROR(VLOOKUP(C3328,'GASB Match'!$D$2:$F$6042,3,FALSE),"")</f>
        <v>3410080</v>
      </c>
      <c r="B3328" s="17">
        <v>2021</v>
      </c>
      <c r="C3328" s="25" t="s">
        <v>1077</v>
      </c>
      <c r="D3328" s="17">
        <v>972</v>
      </c>
      <c r="E3328" s="17" t="e">
        <f>#REF!</f>
        <v>#REF!</v>
      </c>
      <c r="F3328" s="23">
        <v>4887915</v>
      </c>
    </row>
    <row r="3329" spans="1:6" ht="16" customHeight="1" x14ac:dyDescent="0.2">
      <c r="A3329">
        <f>IFERROR(VLOOKUP(C3329,'GASB Match'!$D$2:$F$6042,3,FALSE),"")</f>
        <v>3410080</v>
      </c>
      <c r="B3329" s="17">
        <v>2022</v>
      </c>
      <c r="C3329" s="21" t="s">
        <v>1077</v>
      </c>
      <c r="D3329" s="17">
        <v>972</v>
      </c>
      <c r="E3329" s="17" t="e">
        <f>#REF!</f>
        <v>#REF!</v>
      </c>
      <c r="F3329" s="23">
        <v>6920254</v>
      </c>
    </row>
    <row r="3330" spans="1:6" ht="16" customHeight="1" x14ac:dyDescent="0.2">
      <c r="A3330">
        <f>IFERROR(VLOOKUP(C3330,'GASB Match'!$D$2:$F$6042,3,FALSE),"")</f>
        <v>3410080</v>
      </c>
      <c r="B3330" s="17">
        <v>2023</v>
      </c>
      <c r="C3330" s="21" t="s">
        <v>1077</v>
      </c>
      <c r="D3330" s="17">
        <v>972</v>
      </c>
      <c r="E3330" s="17" t="e">
        <f>#REF!</f>
        <v>#REF!</v>
      </c>
      <c r="F3330" s="23">
        <v>6750405</v>
      </c>
    </row>
    <row r="3331" spans="1:6" ht="16" customHeight="1" x14ac:dyDescent="0.2">
      <c r="A3331">
        <f>IFERROR(VLOOKUP(C3331,'GASB Match'!$D$2:$F$6042,3,FALSE),"")</f>
        <v>3410080</v>
      </c>
      <c r="B3331" s="28">
        <v>2017</v>
      </c>
      <c r="C3331" s="29" t="s">
        <v>385</v>
      </c>
      <c r="D3331" s="17">
        <v>972</v>
      </c>
      <c r="E3331" s="17" t="e">
        <f>#REF!</f>
        <v>#REF!</v>
      </c>
      <c r="F3331" s="29">
        <v>1910322</v>
      </c>
    </row>
    <row r="3332" spans="1:6" ht="16" customHeight="1" x14ac:dyDescent="0.2">
      <c r="A3332" t="str">
        <f>IFERROR(VLOOKUP(C3332,'GASB Match'!$D$2:$F$6042,3,FALSE),"")</f>
        <v/>
      </c>
      <c r="B3332" s="17">
        <v>2015</v>
      </c>
      <c r="C3332" s="17" t="s">
        <v>1419</v>
      </c>
      <c r="D3332" s="17">
        <v>201</v>
      </c>
      <c r="E3332" s="17" t="e">
        <f>#REF!</f>
        <v>#REF!</v>
      </c>
      <c r="F3332" s="20">
        <v>12992</v>
      </c>
    </row>
    <row r="3333" spans="1:6" ht="16" customHeight="1" x14ac:dyDescent="0.2">
      <c r="A3333" t="str">
        <f>IFERROR(VLOOKUP(C3333,'GASB Match'!$D$2:$F$6042,3,FALSE),"")</f>
        <v/>
      </c>
      <c r="B3333" s="17">
        <v>2016</v>
      </c>
      <c r="C3333" s="17" t="s">
        <v>1419</v>
      </c>
      <c r="D3333" s="17">
        <v>201</v>
      </c>
      <c r="E3333" s="17" t="e">
        <f>#REF!</f>
        <v>#REF!</v>
      </c>
      <c r="F3333" s="20">
        <v>19812</v>
      </c>
    </row>
    <row r="3334" spans="1:6" ht="16" customHeight="1" x14ac:dyDescent="0.2">
      <c r="A3334" t="str">
        <f>IFERROR(VLOOKUP(C3334,'GASB Match'!$D$2:$F$6042,3,FALSE),"")</f>
        <v/>
      </c>
      <c r="B3334" s="17">
        <v>2018</v>
      </c>
      <c r="C3334" s="17" t="s">
        <v>1462</v>
      </c>
      <c r="D3334" s="17">
        <v>201</v>
      </c>
      <c r="E3334" s="17" t="e">
        <f>#REF!</f>
        <v>#REF!</v>
      </c>
      <c r="F3334" s="20">
        <v>38089</v>
      </c>
    </row>
    <row r="3335" spans="1:6" ht="16" customHeight="1" x14ac:dyDescent="0.2">
      <c r="A3335" t="str">
        <f>IFERROR(VLOOKUP(C3335,'GASB Match'!$D$2:$F$6042,3,FALSE),"")</f>
        <v/>
      </c>
      <c r="B3335" s="17">
        <v>2019</v>
      </c>
      <c r="C3335" s="17" t="s">
        <v>1462</v>
      </c>
      <c r="D3335" s="17">
        <v>201</v>
      </c>
      <c r="E3335" s="17" t="e">
        <f>#REF!</f>
        <v>#REF!</v>
      </c>
      <c r="F3335" s="20">
        <v>49704</v>
      </c>
    </row>
    <row r="3336" spans="1:6" ht="16" customHeight="1" x14ac:dyDescent="0.2">
      <c r="A3336" t="str">
        <f>IFERROR(VLOOKUP(C3336,'GASB Match'!$D$2:$F$6042,3,FALSE),"")</f>
        <v/>
      </c>
      <c r="B3336" s="17">
        <v>2020</v>
      </c>
      <c r="C3336" s="21" t="s">
        <v>1462</v>
      </c>
      <c r="D3336" s="17">
        <v>201</v>
      </c>
      <c r="E3336" s="17" t="e">
        <f>#REF!</f>
        <v>#REF!</v>
      </c>
      <c r="F3336" s="23">
        <v>62162</v>
      </c>
    </row>
    <row r="3337" spans="1:6" ht="16" customHeight="1" x14ac:dyDescent="0.2">
      <c r="A3337" t="str">
        <f>IFERROR(VLOOKUP(C3337,'GASB Match'!$D$2:$F$6042,3,FALSE),"")</f>
        <v/>
      </c>
      <c r="B3337" s="17">
        <v>2021</v>
      </c>
      <c r="C3337" s="25" t="s">
        <v>1462</v>
      </c>
      <c r="D3337" s="17">
        <v>201</v>
      </c>
      <c r="E3337" s="17" t="e">
        <f>#REF!</f>
        <v>#REF!</v>
      </c>
      <c r="F3337" s="23">
        <v>84246</v>
      </c>
    </row>
    <row r="3338" spans="1:6" ht="16" customHeight="1" x14ac:dyDescent="0.2">
      <c r="A3338" t="str">
        <f>IFERROR(VLOOKUP(C3338,'GASB Match'!$D$2:$F$6042,3,FALSE),"")</f>
        <v/>
      </c>
      <c r="B3338" s="17">
        <v>2022</v>
      </c>
      <c r="C3338" s="21" t="s">
        <v>1462</v>
      </c>
      <c r="D3338" s="17">
        <v>201</v>
      </c>
      <c r="E3338" s="17" t="e">
        <f>#REF!</f>
        <v>#REF!</v>
      </c>
      <c r="F3338" s="23">
        <v>107115</v>
      </c>
    </row>
    <row r="3339" spans="1:6" ht="16" customHeight="1" x14ac:dyDescent="0.2">
      <c r="A3339" t="str">
        <f>IFERROR(VLOOKUP(C3339,'GASB Match'!$D$2:$F$6042,3,FALSE),"")</f>
        <v/>
      </c>
      <c r="B3339" s="17">
        <v>2023</v>
      </c>
      <c r="C3339" s="21" t="s">
        <v>1462</v>
      </c>
      <c r="D3339" s="17">
        <v>201</v>
      </c>
      <c r="E3339" s="17" t="e">
        <f>#REF!</f>
        <v>#REF!</v>
      </c>
      <c r="F3339" s="23">
        <v>12012</v>
      </c>
    </row>
    <row r="3340" spans="1:6" ht="16" customHeight="1" x14ac:dyDescent="0.2">
      <c r="A3340" t="str">
        <f>IFERROR(VLOOKUP(C3340,'GASB Match'!$D$2:$F$6042,3,FALSE),"")</f>
        <v/>
      </c>
      <c r="B3340" s="28">
        <v>2017</v>
      </c>
      <c r="C3340" s="29" t="s">
        <v>1419</v>
      </c>
      <c r="D3340" s="17">
        <v>201</v>
      </c>
      <c r="E3340" s="17" t="e">
        <f>#REF!</f>
        <v>#REF!</v>
      </c>
      <c r="F3340" s="29">
        <v>28093</v>
      </c>
    </row>
    <row r="3341" spans="1:6" ht="16" customHeight="1" x14ac:dyDescent="0.2">
      <c r="A3341">
        <f>IFERROR(VLOOKUP(C3341,'GASB Match'!$D$2:$F$6042,3,FALSE),"")</f>
        <v>3410110</v>
      </c>
      <c r="B3341" s="17">
        <v>2015</v>
      </c>
      <c r="C3341" s="17" t="s">
        <v>429</v>
      </c>
      <c r="D3341" s="17">
        <v>344</v>
      </c>
      <c r="E3341" s="17" t="e">
        <f>#REF!</f>
        <v>#REF!</v>
      </c>
      <c r="F3341" s="20">
        <v>3894418</v>
      </c>
    </row>
    <row r="3342" spans="1:6" ht="16" customHeight="1" x14ac:dyDescent="0.2">
      <c r="A3342">
        <f>IFERROR(VLOOKUP(C3342,'GASB Match'!$D$2:$F$6042,3,FALSE),"")</f>
        <v>3410110</v>
      </c>
      <c r="B3342" s="17">
        <v>2016</v>
      </c>
      <c r="C3342" s="17" t="s">
        <v>429</v>
      </c>
      <c r="D3342" s="17">
        <v>344</v>
      </c>
      <c r="E3342" s="17" t="e">
        <f>#REF!</f>
        <v>#REF!</v>
      </c>
      <c r="F3342" s="20">
        <v>5768737</v>
      </c>
    </row>
    <row r="3343" spans="1:6" ht="16" customHeight="1" x14ac:dyDescent="0.2">
      <c r="A3343">
        <f>IFERROR(VLOOKUP(C3343,'GASB Match'!$D$2:$F$6042,3,FALSE),"")</f>
        <v>3410110</v>
      </c>
      <c r="B3343" s="17">
        <v>2018</v>
      </c>
      <c r="C3343" s="17" t="s">
        <v>1121</v>
      </c>
      <c r="D3343" s="17">
        <v>344</v>
      </c>
      <c r="E3343" s="17" t="e">
        <f>#REF!</f>
        <v>#REF!</v>
      </c>
      <c r="F3343" s="20">
        <v>10940339</v>
      </c>
    </row>
    <row r="3344" spans="1:6" ht="16" customHeight="1" x14ac:dyDescent="0.2">
      <c r="A3344">
        <f>IFERROR(VLOOKUP(C3344,'GASB Match'!$D$2:$F$6042,3,FALSE),"")</f>
        <v>3410110</v>
      </c>
      <c r="B3344" s="17">
        <v>2019</v>
      </c>
      <c r="C3344" s="17" t="s">
        <v>1121</v>
      </c>
      <c r="D3344" s="17">
        <v>344</v>
      </c>
      <c r="E3344" s="17" t="e">
        <f>#REF!</f>
        <v>#REF!</v>
      </c>
      <c r="F3344" s="20">
        <v>14497818</v>
      </c>
    </row>
    <row r="3345" spans="1:6" ht="16" customHeight="1" x14ac:dyDescent="0.2">
      <c r="A3345">
        <f>IFERROR(VLOOKUP(C3345,'GASB Match'!$D$2:$F$6042,3,FALSE),"")</f>
        <v>3410110</v>
      </c>
      <c r="B3345" s="17">
        <v>2020</v>
      </c>
      <c r="C3345" s="21" t="s">
        <v>1121</v>
      </c>
      <c r="D3345" s="17">
        <v>344</v>
      </c>
      <c r="E3345" s="17" t="e">
        <f>#REF!</f>
        <v>#REF!</v>
      </c>
      <c r="F3345" s="23">
        <v>15972593</v>
      </c>
    </row>
    <row r="3346" spans="1:6" ht="16" customHeight="1" x14ac:dyDescent="0.2">
      <c r="A3346">
        <f>IFERROR(VLOOKUP(C3346,'GASB Match'!$D$2:$F$6042,3,FALSE),"")</f>
        <v>3410110</v>
      </c>
      <c r="B3346" s="17">
        <v>2021</v>
      </c>
      <c r="C3346" s="25" t="s">
        <v>1121</v>
      </c>
      <c r="D3346" s="17">
        <v>344</v>
      </c>
      <c r="E3346" s="17" t="e">
        <f>#REF!</f>
        <v>#REF!</v>
      </c>
      <c r="F3346" s="23">
        <v>20983249</v>
      </c>
    </row>
    <row r="3347" spans="1:6" ht="16" customHeight="1" x14ac:dyDescent="0.2">
      <c r="A3347">
        <f>IFERROR(VLOOKUP(C3347,'GASB Match'!$D$2:$F$6042,3,FALSE),"")</f>
        <v>3410110</v>
      </c>
      <c r="B3347" s="17">
        <v>2022</v>
      </c>
      <c r="C3347" s="21" t="s">
        <v>1121</v>
      </c>
      <c r="D3347" s="17">
        <v>344</v>
      </c>
      <c r="E3347" s="17" t="e">
        <f>#REF!</f>
        <v>#REF!</v>
      </c>
      <c r="F3347" s="23">
        <v>29374605</v>
      </c>
    </row>
    <row r="3348" spans="1:6" ht="16" customHeight="1" x14ac:dyDescent="0.2">
      <c r="A3348">
        <f>IFERROR(VLOOKUP(C3348,'GASB Match'!$D$2:$F$6042,3,FALSE),"")</f>
        <v>3410110</v>
      </c>
      <c r="B3348" s="17">
        <v>2023</v>
      </c>
      <c r="C3348" s="21" t="s">
        <v>1121</v>
      </c>
      <c r="D3348" s="17">
        <v>344</v>
      </c>
      <c r="E3348" s="17" t="e">
        <f>#REF!</f>
        <v>#REF!</v>
      </c>
      <c r="F3348" s="23">
        <v>29096002</v>
      </c>
    </row>
    <row r="3349" spans="1:6" ht="16" customHeight="1" x14ac:dyDescent="0.2">
      <c r="A3349">
        <f>IFERROR(VLOOKUP(C3349,'GASB Match'!$D$2:$F$6042,3,FALSE),"")</f>
        <v>3410110</v>
      </c>
      <c r="B3349" s="28">
        <v>2017</v>
      </c>
      <c r="C3349" s="29" t="s">
        <v>429</v>
      </c>
      <c r="D3349" s="17">
        <v>344</v>
      </c>
      <c r="E3349" s="17" t="e">
        <f>#REF!</f>
        <v>#REF!</v>
      </c>
      <c r="F3349" s="29">
        <v>7906960</v>
      </c>
    </row>
    <row r="3350" spans="1:6" ht="16" customHeight="1" x14ac:dyDescent="0.2">
      <c r="A3350">
        <f>IFERROR(VLOOKUP(C3350,'GASB Match'!$D$2:$F$6042,3,FALSE),"")</f>
        <v>3410140</v>
      </c>
      <c r="B3350" s="17">
        <v>2015</v>
      </c>
      <c r="C3350" s="17" t="s">
        <v>66</v>
      </c>
      <c r="D3350" s="17">
        <v>2057</v>
      </c>
      <c r="E3350" s="17" t="e">
        <f>#REF!</f>
        <v>#REF!</v>
      </c>
      <c r="F3350" s="20">
        <v>449677</v>
      </c>
    </row>
    <row r="3351" spans="1:6" ht="16" customHeight="1" x14ac:dyDescent="0.2">
      <c r="A3351">
        <f>IFERROR(VLOOKUP(C3351,'GASB Match'!$D$2:$F$6042,3,FALSE),"")</f>
        <v>3410140</v>
      </c>
      <c r="B3351" s="17">
        <v>2016</v>
      </c>
      <c r="C3351" s="17" t="s">
        <v>66</v>
      </c>
      <c r="D3351" s="17">
        <v>2057</v>
      </c>
      <c r="E3351" s="17" t="e">
        <f>#REF!</f>
        <v>#REF!</v>
      </c>
      <c r="F3351" s="20">
        <v>630285</v>
      </c>
    </row>
    <row r="3352" spans="1:6" ht="16" customHeight="1" x14ac:dyDescent="0.2">
      <c r="A3352">
        <f>IFERROR(VLOOKUP(C3352,'GASB Match'!$D$2:$F$6042,3,FALSE),"")</f>
        <v>3410140</v>
      </c>
      <c r="B3352" s="17">
        <v>2018</v>
      </c>
      <c r="C3352" s="17" t="s">
        <v>744</v>
      </c>
      <c r="D3352" s="17">
        <v>2057</v>
      </c>
      <c r="E3352" s="17" t="e">
        <f>#REF!</f>
        <v>#REF!</v>
      </c>
      <c r="F3352" s="20">
        <v>1243710</v>
      </c>
    </row>
    <row r="3353" spans="1:6" ht="16" customHeight="1" x14ac:dyDescent="0.2">
      <c r="A3353">
        <f>IFERROR(VLOOKUP(C3353,'GASB Match'!$D$2:$F$6042,3,FALSE),"")</f>
        <v>3410140</v>
      </c>
      <c r="B3353" s="17">
        <v>2019</v>
      </c>
      <c r="C3353" s="17" t="s">
        <v>744</v>
      </c>
      <c r="D3353" s="17">
        <v>2057</v>
      </c>
      <c r="E3353" s="17" t="e">
        <f>#REF!</f>
        <v>#REF!</v>
      </c>
      <c r="F3353" s="20">
        <v>1689304</v>
      </c>
    </row>
    <row r="3354" spans="1:6" ht="16" customHeight="1" x14ac:dyDescent="0.2">
      <c r="A3354">
        <f>IFERROR(VLOOKUP(C3354,'GASB Match'!$D$2:$F$6042,3,FALSE),"")</f>
        <v>3410140</v>
      </c>
      <c r="B3354" s="17">
        <v>2020</v>
      </c>
      <c r="C3354" s="21" t="s">
        <v>744</v>
      </c>
      <c r="D3354" s="17">
        <v>2057</v>
      </c>
      <c r="E3354" s="17" t="e">
        <f>#REF!</f>
        <v>#REF!</v>
      </c>
      <c r="F3354" s="23">
        <v>2018615</v>
      </c>
    </row>
    <row r="3355" spans="1:6" ht="16" customHeight="1" x14ac:dyDescent="0.2">
      <c r="A3355">
        <f>IFERROR(VLOOKUP(C3355,'GASB Match'!$D$2:$F$6042,3,FALSE),"")</f>
        <v>3410140</v>
      </c>
      <c r="B3355" s="17">
        <v>2021</v>
      </c>
      <c r="C3355" s="25" t="s">
        <v>744</v>
      </c>
      <c r="D3355" s="17">
        <v>2057</v>
      </c>
      <c r="E3355" s="17" t="e">
        <f>#REF!</f>
        <v>#REF!</v>
      </c>
      <c r="F3355" s="23">
        <v>2510268</v>
      </c>
    </row>
    <row r="3356" spans="1:6" ht="16" customHeight="1" x14ac:dyDescent="0.2">
      <c r="A3356">
        <f>IFERROR(VLOOKUP(C3356,'GASB Match'!$D$2:$F$6042,3,FALSE),"")</f>
        <v>3410140</v>
      </c>
      <c r="B3356" s="17">
        <v>2022</v>
      </c>
      <c r="C3356" s="21" t="s">
        <v>744</v>
      </c>
      <c r="D3356" s="17">
        <v>2057</v>
      </c>
      <c r="E3356" s="17" t="e">
        <f>#REF!</f>
        <v>#REF!</v>
      </c>
      <c r="F3356" s="23">
        <v>3492443</v>
      </c>
    </row>
    <row r="3357" spans="1:6" ht="16" customHeight="1" x14ac:dyDescent="0.2">
      <c r="A3357">
        <f>IFERROR(VLOOKUP(C3357,'GASB Match'!$D$2:$F$6042,3,FALSE),"")</f>
        <v>3410140</v>
      </c>
      <c r="B3357" s="17">
        <v>2023</v>
      </c>
      <c r="C3357" s="21" t="s">
        <v>744</v>
      </c>
      <c r="D3357" s="17">
        <v>2057</v>
      </c>
      <c r="E3357" s="17" t="e">
        <f>#REF!</f>
        <v>#REF!</v>
      </c>
      <c r="F3357" s="23">
        <v>3585560</v>
      </c>
    </row>
    <row r="3358" spans="1:6" ht="16" customHeight="1" x14ac:dyDescent="0.2">
      <c r="A3358">
        <f>IFERROR(VLOOKUP(C3358,'GASB Match'!$D$2:$F$6042,3,FALSE),"")</f>
        <v>3410140</v>
      </c>
      <c r="B3358" s="28">
        <v>2017</v>
      </c>
      <c r="C3358" s="29" t="s">
        <v>66</v>
      </c>
      <c r="D3358" s="17">
        <v>2057</v>
      </c>
      <c r="E3358" s="17" t="e">
        <f>#REF!</f>
        <v>#REF!</v>
      </c>
      <c r="F3358" s="29">
        <v>900107</v>
      </c>
    </row>
    <row r="3359" spans="1:6" ht="16" customHeight="1" x14ac:dyDescent="0.2">
      <c r="A3359">
        <f>IFERROR(VLOOKUP(C3359,'GASB Match'!$D$2:$F$6042,3,FALSE),"")</f>
        <v>3410170</v>
      </c>
      <c r="B3359" s="17">
        <v>2015</v>
      </c>
      <c r="C3359" s="17" t="s">
        <v>347</v>
      </c>
      <c r="D3359" s="17">
        <v>9031</v>
      </c>
      <c r="E3359" s="17" t="e">
        <f>#REF!</f>
        <v>#REF!</v>
      </c>
      <c r="F3359" s="20">
        <v>39546</v>
      </c>
    </row>
    <row r="3360" spans="1:6" ht="16" customHeight="1" x14ac:dyDescent="0.2">
      <c r="A3360">
        <f>IFERROR(VLOOKUP(C3360,'GASB Match'!$D$2:$F$6042,3,FALSE),"")</f>
        <v>3410170</v>
      </c>
      <c r="B3360" s="17">
        <v>2016</v>
      </c>
      <c r="C3360" s="17" t="s">
        <v>347</v>
      </c>
      <c r="D3360" s="17">
        <v>9031</v>
      </c>
      <c r="E3360" s="17" t="e">
        <f>#REF!</f>
        <v>#REF!</v>
      </c>
      <c r="F3360" s="20">
        <v>50760</v>
      </c>
    </row>
    <row r="3361" spans="1:6" ht="16" customHeight="1" x14ac:dyDescent="0.2">
      <c r="A3361">
        <f>IFERROR(VLOOKUP(C3361,'GASB Match'!$D$2:$F$6042,3,FALSE),"")</f>
        <v>3410170</v>
      </c>
      <c r="B3361" s="17">
        <v>2018</v>
      </c>
      <c r="C3361" s="17" t="s">
        <v>1039</v>
      </c>
      <c r="D3361" s="17">
        <v>9031</v>
      </c>
      <c r="E3361" s="17" t="e">
        <f>#REF!</f>
        <v>#REF!</v>
      </c>
      <c r="F3361" s="20">
        <v>119175</v>
      </c>
    </row>
    <row r="3362" spans="1:6" ht="16" customHeight="1" x14ac:dyDescent="0.2">
      <c r="A3362">
        <f>IFERROR(VLOOKUP(C3362,'GASB Match'!$D$2:$F$6042,3,FALSE),"")</f>
        <v>3410170</v>
      </c>
      <c r="B3362" s="17">
        <v>2019</v>
      </c>
      <c r="C3362" s="17" t="s">
        <v>1039</v>
      </c>
      <c r="D3362" s="17">
        <v>9031</v>
      </c>
      <c r="E3362" s="17" t="e">
        <f>#REF!</f>
        <v>#REF!</v>
      </c>
      <c r="F3362" s="20">
        <v>168432</v>
      </c>
    </row>
    <row r="3363" spans="1:6" ht="16" customHeight="1" x14ac:dyDescent="0.2">
      <c r="A3363">
        <f>IFERROR(VLOOKUP(C3363,'GASB Match'!$D$2:$F$6042,3,FALSE),"")</f>
        <v>3410170</v>
      </c>
      <c r="B3363" s="17">
        <v>2020</v>
      </c>
      <c r="C3363" s="21" t="s">
        <v>1039</v>
      </c>
      <c r="D3363" s="17">
        <v>9031</v>
      </c>
      <c r="E3363" s="17" t="e">
        <f>#REF!</f>
        <v>#REF!</v>
      </c>
      <c r="F3363" s="23">
        <v>191656</v>
      </c>
    </row>
    <row r="3364" spans="1:6" ht="16" customHeight="1" x14ac:dyDescent="0.2">
      <c r="A3364">
        <f>IFERROR(VLOOKUP(C3364,'GASB Match'!$D$2:$F$6042,3,FALSE),"")</f>
        <v>3410170</v>
      </c>
      <c r="B3364" s="17">
        <v>2021</v>
      </c>
      <c r="C3364" s="25" t="s">
        <v>1039</v>
      </c>
      <c r="D3364" s="17">
        <v>9031</v>
      </c>
      <c r="E3364" s="17" t="e">
        <f>#REF!</f>
        <v>#REF!</v>
      </c>
      <c r="F3364" s="23">
        <v>207666</v>
      </c>
    </row>
    <row r="3365" spans="1:6" ht="16" customHeight="1" x14ac:dyDescent="0.2">
      <c r="A3365">
        <f>IFERROR(VLOOKUP(C3365,'GASB Match'!$D$2:$F$6042,3,FALSE),"")</f>
        <v>3410170</v>
      </c>
      <c r="B3365" s="17">
        <v>2022</v>
      </c>
      <c r="C3365" s="21" t="s">
        <v>1039</v>
      </c>
      <c r="D3365" s="17">
        <v>9031</v>
      </c>
      <c r="E3365" s="17" t="e">
        <f>#REF!</f>
        <v>#REF!</v>
      </c>
      <c r="F3365" s="23">
        <v>230393</v>
      </c>
    </row>
    <row r="3366" spans="1:6" ht="16" customHeight="1" x14ac:dyDescent="0.2">
      <c r="A3366">
        <f>IFERROR(VLOOKUP(C3366,'GASB Match'!$D$2:$F$6042,3,FALSE),"")</f>
        <v>3410170</v>
      </c>
      <c r="B3366" s="17">
        <v>2023</v>
      </c>
      <c r="C3366" s="21" t="s">
        <v>1039</v>
      </c>
      <c r="D3366" s="17">
        <v>9031</v>
      </c>
      <c r="E3366" s="17" t="e">
        <f>#REF!</f>
        <v>#REF!</v>
      </c>
      <c r="F3366" s="23">
        <v>201495</v>
      </c>
    </row>
    <row r="3367" spans="1:6" ht="16" customHeight="1" x14ac:dyDescent="0.2">
      <c r="A3367">
        <f>IFERROR(VLOOKUP(C3367,'GASB Match'!$D$2:$F$6042,3,FALSE),"")</f>
        <v>3410170</v>
      </c>
      <c r="B3367" s="28">
        <v>2017</v>
      </c>
      <c r="C3367" s="29" t="s">
        <v>347</v>
      </c>
      <c r="D3367" s="17">
        <v>9031</v>
      </c>
      <c r="E3367" s="17" t="e">
        <f>#REF!</f>
        <v>#REF!</v>
      </c>
      <c r="F3367" s="29">
        <v>87264</v>
      </c>
    </row>
    <row r="3368" spans="1:6" ht="16" customHeight="1" x14ac:dyDescent="0.2">
      <c r="A3368">
        <f>IFERROR(VLOOKUP(C3368,'GASB Match'!$D$2:$F$6042,3,FALSE),"")</f>
        <v>3410200</v>
      </c>
      <c r="B3368" s="17">
        <v>2015</v>
      </c>
      <c r="C3368" s="17" t="s">
        <v>249</v>
      </c>
      <c r="D3368" s="17">
        <v>6087</v>
      </c>
      <c r="E3368" s="17" t="e">
        <f>#REF!</f>
        <v>#REF!</v>
      </c>
      <c r="F3368" s="20">
        <v>2186517</v>
      </c>
    </row>
    <row r="3369" spans="1:6" ht="16" customHeight="1" x14ac:dyDescent="0.2">
      <c r="A3369">
        <f>IFERROR(VLOOKUP(C3369,'GASB Match'!$D$2:$F$6042,3,FALSE),"")</f>
        <v>3410200</v>
      </c>
      <c r="B3369" s="17">
        <v>2016</v>
      </c>
      <c r="C3369" s="17" t="s">
        <v>249</v>
      </c>
      <c r="D3369" s="17">
        <v>6087</v>
      </c>
      <c r="E3369" s="17" t="e">
        <f>#REF!</f>
        <v>#REF!</v>
      </c>
      <c r="F3369" s="20">
        <v>3275883</v>
      </c>
    </row>
    <row r="3370" spans="1:6" ht="16" customHeight="1" x14ac:dyDescent="0.2">
      <c r="A3370">
        <f>IFERROR(VLOOKUP(C3370,'GASB Match'!$D$2:$F$6042,3,FALSE),"")</f>
        <v>3410200</v>
      </c>
      <c r="B3370" s="17">
        <v>2018</v>
      </c>
      <c r="C3370" s="17" t="s">
        <v>937</v>
      </c>
      <c r="D3370" s="17">
        <v>6087</v>
      </c>
      <c r="E3370" s="17" t="e">
        <f>#REF!</f>
        <v>#REF!</v>
      </c>
      <c r="F3370" s="20">
        <v>6239899</v>
      </c>
    </row>
    <row r="3371" spans="1:6" ht="16" customHeight="1" x14ac:dyDescent="0.2">
      <c r="A3371">
        <f>IFERROR(VLOOKUP(C3371,'GASB Match'!$D$2:$F$6042,3,FALSE),"")</f>
        <v>3410200</v>
      </c>
      <c r="B3371" s="17">
        <v>2019</v>
      </c>
      <c r="C3371" s="17" t="s">
        <v>937</v>
      </c>
      <c r="D3371" s="17">
        <v>6087</v>
      </c>
      <c r="E3371" s="17" t="e">
        <f>#REF!</f>
        <v>#REF!</v>
      </c>
      <c r="F3371" s="20">
        <v>8223263</v>
      </c>
    </row>
    <row r="3372" spans="1:6" ht="16" customHeight="1" x14ac:dyDescent="0.2">
      <c r="A3372">
        <f>IFERROR(VLOOKUP(C3372,'GASB Match'!$D$2:$F$6042,3,FALSE),"")</f>
        <v>3410200</v>
      </c>
      <c r="B3372" s="17">
        <v>2020</v>
      </c>
      <c r="C3372" s="21" t="s">
        <v>937</v>
      </c>
      <c r="D3372" s="17">
        <v>6087</v>
      </c>
      <c r="E3372" s="17" t="e">
        <f>#REF!</f>
        <v>#REF!</v>
      </c>
      <c r="F3372" s="23">
        <v>8879679</v>
      </c>
    </row>
    <row r="3373" spans="1:6" ht="16" customHeight="1" x14ac:dyDescent="0.2">
      <c r="A3373">
        <f>IFERROR(VLOOKUP(C3373,'GASB Match'!$D$2:$F$6042,3,FALSE),"")</f>
        <v>3410200</v>
      </c>
      <c r="B3373" s="17">
        <v>2021</v>
      </c>
      <c r="C3373" s="25" t="s">
        <v>937</v>
      </c>
      <c r="D3373" s="17">
        <v>6087</v>
      </c>
      <c r="E3373" s="17" t="e">
        <f>#REF!</f>
        <v>#REF!</v>
      </c>
      <c r="F3373" s="23">
        <v>11876734</v>
      </c>
    </row>
    <row r="3374" spans="1:6" ht="16" customHeight="1" x14ac:dyDescent="0.2">
      <c r="A3374">
        <f>IFERROR(VLOOKUP(C3374,'GASB Match'!$D$2:$F$6042,3,FALSE),"")</f>
        <v>3410200</v>
      </c>
      <c r="B3374" s="17">
        <v>2022</v>
      </c>
      <c r="C3374" s="21" t="s">
        <v>937</v>
      </c>
      <c r="D3374" s="17">
        <v>6087</v>
      </c>
      <c r="E3374" s="17" t="e">
        <f>#REF!</f>
        <v>#REF!</v>
      </c>
      <c r="F3374" s="23">
        <v>16788119</v>
      </c>
    </row>
    <row r="3375" spans="1:6" ht="16" customHeight="1" x14ac:dyDescent="0.2">
      <c r="A3375">
        <f>IFERROR(VLOOKUP(C3375,'GASB Match'!$D$2:$F$6042,3,FALSE),"")</f>
        <v>3410200</v>
      </c>
      <c r="B3375" s="17">
        <v>2023</v>
      </c>
      <c r="C3375" s="21" t="s">
        <v>937</v>
      </c>
      <c r="D3375" s="17">
        <v>6087</v>
      </c>
      <c r="E3375" s="17" t="e">
        <f>#REF!</f>
        <v>#REF!</v>
      </c>
      <c r="F3375" s="23">
        <v>16786087</v>
      </c>
    </row>
    <row r="3376" spans="1:6" ht="16" customHeight="1" x14ac:dyDescent="0.2">
      <c r="A3376">
        <f>IFERROR(VLOOKUP(C3376,'GASB Match'!$D$2:$F$6042,3,FALSE),"")</f>
        <v>3410200</v>
      </c>
      <c r="B3376" s="28">
        <v>2017</v>
      </c>
      <c r="C3376" s="29" t="s">
        <v>249</v>
      </c>
      <c r="D3376" s="17">
        <v>6087</v>
      </c>
      <c r="E3376" s="17" t="e">
        <f>#REF!</f>
        <v>#REF!</v>
      </c>
      <c r="F3376" s="29">
        <v>4632569</v>
      </c>
    </row>
    <row r="3377" spans="1:6" ht="16" customHeight="1" x14ac:dyDescent="0.2">
      <c r="A3377">
        <f>IFERROR(VLOOKUP(C3377,'GASB Match'!$D$2:$F$6042,3,FALSE),"")</f>
        <v>3410230</v>
      </c>
      <c r="B3377" s="17">
        <v>2015</v>
      </c>
      <c r="C3377" s="17" t="s">
        <v>430</v>
      </c>
      <c r="D3377" s="17">
        <v>345</v>
      </c>
      <c r="E3377" s="17" t="e">
        <f>#REF!</f>
        <v>#REF!</v>
      </c>
      <c r="F3377" s="20">
        <v>528271</v>
      </c>
    </row>
    <row r="3378" spans="1:6" ht="16" customHeight="1" x14ac:dyDescent="0.2">
      <c r="A3378">
        <f>IFERROR(VLOOKUP(C3378,'GASB Match'!$D$2:$F$6042,3,FALSE),"")</f>
        <v>3410230</v>
      </c>
      <c r="B3378" s="17">
        <v>2016</v>
      </c>
      <c r="C3378" s="17" t="s">
        <v>430</v>
      </c>
      <c r="D3378" s="17">
        <v>345</v>
      </c>
      <c r="E3378" s="17" t="e">
        <f>#REF!</f>
        <v>#REF!</v>
      </c>
      <c r="F3378" s="20">
        <v>745094</v>
      </c>
    </row>
    <row r="3379" spans="1:6" ht="16" customHeight="1" x14ac:dyDescent="0.2">
      <c r="A3379">
        <f>IFERROR(VLOOKUP(C3379,'GASB Match'!$D$2:$F$6042,3,FALSE),"")</f>
        <v>3410230</v>
      </c>
      <c r="B3379" s="17">
        <v>2018</v>
      </c>
      <c r="C3379" s="17" t="s">
        <v>1122</v>
      </c>
      <c r="D3379" s="17">
        <v>345</v>
      </c>
      <c r="E3379" s="17" t="e">
        <f>#REF!</f>
        <v>#REF!</v>
      </c>
      <c r="F3379" s="20">
        <v>1386083</v>
      </c>
    </row>
    <row r="3380" spans="1:6" ht="16" customHeight="1" x14ac:dyDescent="0.2">
      <c r="A3380">
        <f>IFERROR(VLOOKUP(C3380,'GASB Match'!$D$2:$F$6042,3,FALSE),"")</f>
        <v>3410230</v>
      </c>
      <c r="B3380" s="17">
        <v>2019</v>
      </c>
      <c r="C3380" s="17" t="s">
        <v>1122</v>
      </c>
      <c r="D3380" s="17">
        <v>345</v>
      </c>
      <c r="E3380" s="17" t="e">
        <f>#REF!</f>
        <v>#REF!</v>
      </c>
      <c r="F3380" s="20">
        <v>1780642</v>
      </c>
    </row>
    <row r="3381" spans="1:6" ht="16" customHeight="1" x14ac:dyDescent="0.2">
      <c r="A3381">
        <f>IFERROR(VLOOKUP(C3381,'GASB Match'!$D$2:$F$6042,3,FALSE),"")</f>
        <v>3410230</v>
      </c>
      <c r="B3381" s="17">
        <v>2020</v>
      </c>
      <c r="C3381" s="21" t="s">
        <v>1122</v>
      </c>
      <c r="D3381" s="17">
        <v>345</v>
      </c>
      <c r="E3381" s="17" t="e">
        <f>#REF!</f>
        <v>#REF!</v>
      </c>
      <c r="F3381" s="23">
        <v>1989375</v>
      </c>
    </row>
    <row r="3382" spans="1:6" ht="16" customHeight="1" x14ac:dyDescent="0.2">
      <c r="A3382">
        <f>IFERROR(VLOOKUP(C3382,'GASB Match'!$D$2:$F$6042,3,FALSE),"")</f>
        <v>3410230</v>
      </c>
      <c r="B3382" s="17">
        <v>2021</v>
      </c>
      <c r="C3382" s="25" t="s">
        <v>1122</v>
      </c>
      <c r="D3382" s="17">
        <v>345</v>
      </c>
      <c r="E3382" s="17" t="e">
        <f>#REF!</f>
        <v>#REF!</v>
      </c>
      <c r="F3382" s="23">
        <v>2661955</v>
      </c>
    </row>
    <row r="3383" spans="1:6" ht="16" customHeight="1" x14ac:dyDescent="0.2">
      <c r="A3383">
        <f>IFERROR(VLOOKUP(C3383,'GASB Match'!$D$2:$F$6042,3,FALSE),"")</f>
        <v>3410230</v>
      </c>
      <c r="B3383" s="17">
        <v>2022</v>
      </c>
      <c r="C3383" s="21" t="s">
        <v>1122</v>
      </c>
      <c r="D3383" s="17">
        <v>345</v>
      </c>
      <c r="E3383" s="17" t="e">
        <f>#REF!</f>
        <v>#REF!</v>
      </c>
      <c r="F3383" s="23">
        <v>3683883</v>
      </c>
    </row>
    <row r="3384" spans="1:6" ht="16" customHeight="1" x14ac:dyDescent="0.2">
      <c r="A3384">
        <f>IFERROR(VLOOKUP(C3384,'GASB Match'!$D$2:$F$6042,3,FALSE),"")</f>
        <v>3410230</v>
      </c>
      <c r="B3384" s="17">
        <v>2023</v>
      </c>
      <c r="C3384" s="21" t="s">
        <v>1122</v>
      </c>
      <c r="D3384" s="17">
        <v>345</v>
      </c>
      <c r="E3384" s="17" t="e">
        <f>#REF!</f>
        <v>#REF!</v>
      </c>
      <c r="F3384" s="23">
        <v>3688555</v>
      </c>
    </row>
    <row r="3385" spans="1:6" ht="16" customHeight="1" x14ac:dyDescent="0.2">
      <c r="A3385">
        <f>IFERROR(VLOOKUP(C3385,'GASB Match'!$D$2:$F$6042,3,FALSE),"")</f>
        <v>3410230</v>
      </c>
      <c r="B3385" s="28">
        <v>2017</v>
      </c>
      <c r="C3385" s="29" t="s">
        <v>430</v>
      </c>
      <c r="D3385" s="17">
        <v>345</v>
      </c>
      <c r="E3385" s="17" t="e">
        <f>#REF!</f>
        <v>#REF!</v>
      </c>
      <c r="F3385" s="29">
        <v>1048034</v>
      </c>
    </row>
    <row r="3386" spans="1:6" ht="16" customHeight="1" x14ac:dyDescent="0.2">
      <c r="A3386">
        <f>IFERROR(VLOOKUP(C3386,'GASB Match'!$D$2:$F$6042,3,FALSE),"")</f>
        <v>3410290</v>
      </c>
      <c r="B3386" s="17">
        <v>2015</v>
      </c>
      <c r="C3386" s="17" t="s">
        <v>386</v>
      </c>
      <c r="D3386" s="17">
        <v>242</v>
      </c>
      <c r="E3386" s="17" t="e">
        <f>#REF!</f>
        <v>#REF!</v>
      </c>
      <c r="F3386" s="20">
        <v>195193</v>
      </c>
    </row>
    <row r="3387" spans="1:6" ht="16" customHeight="1" x14ac:dyDescent="0.2">
      <c r="A3387">
        <f>IFERROR(VLOOKUP(C3387,'GASB Match'!$D$2:$F$6042,3,FALSE),"")</f>
        <v>3410290</v>
      </c>
      <c r="B3387" s="17">
        <v>2016</v>
      </c>
      <c r="C3387" s="17" t="s">
        <v>386</v>
      </c>
      <c r="D3387" s="17">
        <v>242</v>
      </c>
      <c r="E3387" s="17" t="e">
        <f>#REF!</f>
        <v>#REF!</v>
      </c>
      <c r="F3387" s="20">
        <v>273337</v>
      </c>
    </row>
    <row r="3388" spans="1:6" ht="16" customHeight="1" x14ac:dyDescent="0.2">
      <c r="A3388">
        <f>IFERROR(VLOOKUP(C3388,'GASB Match'!$D$2:$F$6042,3,FALSE),"")</f>
        <v>3410290</v>
      </c>
      <c r="B3388" s="17">
        <v>2018</v>
      </c>
      <c r="C3388" s="17" t="s">
        <v>1078</v>
      </c>
      <c r="D3388" s="17">
        <v>242</v>
      </c>
      <c r="E3388" s="17" t="e">
        <f>#REF!</f>
        <v>#REF!</v>
      </c>
      <c r="F3388" s="20">
        <v>627049</v>
      </c>
    </row>
    <row r="3389" spans="1:6" ht="16" customHeight="1" x14ac:dyDescent="0.2">
      <c r="A3389">
        <f>IFERROR(VLOOKUP(C3389,'GASB Match'!$D$2:$F$6042,3,FALSE),"")</f>
        <v>3410290</v>
      </c>
      <c r="B3389" s="17">
        <v>2019</v>
      </c>
      <c r="C3389" s="17" t="s">
        <v>1078</v>
      </c>
      <c r="D3389" s="17">
        <v>242</v>
      </c>
      <c r="E3389" s="17" t="e">
        <f>#REF!</f>
        <v>#REF!</v>
      </c>
      <c r="F3389" s="20">
        <v>860005</v>
      </c>
    </row>
    <row r="3390" spans="1:6" ht="16" customHeight="1" x14ac:dyDescent="0.2">
      <c r="A3390">
        <f>IFERROR(VLOOKUP(C3390,'GASB Match'!$D$2:$F$6042,3,FALSE),"")</f>
        <v>3410290</v>
      </c>
      <c r="B3390" s="17">
        <v>2020</v>
      </c>
      <c r="C3390" s="21" t="s">
        <v>1078</v>
      </c>
      <c r="D3390" s="17">
        <v>242</v>
      </c>
      <c r="E3390" s="17" t="e">
        <f>#REF!</f>
        <v>#REF!</v>
      </c>
      <c r="F3390" s="23">
        <v>957242</v>
      </c>
    </row>
    <row r="3391" spans="1:6" ht="16" customHeight="1" x14ac:dyDescent="0.2">
      <c r="A3391">
        <f>IFERROR(VLOOKUP(C3391,'GASB Match'!$D$2:$F$6042,3,FALSE),"")</f>
        <v>3410290</v>
      </c>
      <c r="B3391" s="17">
        <v>2021</v>
      </c>
      <c r="C3391" s="25" t="s">
        <v>1078</v>
      </c>
      <c r="D3391" s="17">
        <v>242</v>
      </c>
      <c r="E3391" s="17" t="e">
        <f>#REF!</f>
        <v>#REF!</v>
      </c>
      <c r="F3391" s="23">
        <v>1341548</v>
      </c>
    </row>
    <row r="3392" spans="1:6" ht="16" customHeight="1" x14ac:dyDescent="0.2">
      <c r="A3392">
        <f>IFERROR(VLOOKUP(C3392,'GASB Match'!$D$2:$F$6042,3,FALSE),"")</f>
        <v>3410290</v>
      </c>
      <c r="B3392" s="17">
        <v>2022</v>
      </c>
      <c r="C3392" s="21" t="s">
        <v>1078</v>
      </c>
      <c r="D3392" s="17">
        <v>242</v>
      </c>
      <c r="E3392" s="17" t="e">
        <f>#REF!</f>
        <v>#REF!</v>
      </c>
      <c r="F3392" s="23">
        <v>1995331</v>
      </c>
    </row>
    <row r="3393" spans="1:6" ht="16" customHeight="1" x14ac:dyDescent="0.2">
      <c r="A3393">
        <f>IFERROR(VLOOKUP(C3393,'GASB Match'!$D$2:$F$6042,3,FALSE),"")</f>
        <v>3410290</v>
      </c>
      <c r="B3393" s="17">
        <v>2023</v>
      </c>
      <c r="C3393" s="21" t="s">
        <v>1078</v>
      </c>
      <c r="D3393" s="17">
        <v>242</v>
      </c>
      <c r="E3393" s="17" t="e">
        <f>#REF!</f>
        <v>#REF!</v>
      </c>
      <c r="F3393" s="23">
        <v>1937655</v>
      </c>
    </row>
    <row r="3394" spans="1:6" ht="16" customHeight="1" x14ac:dyDescent="0.2">
      <c r="A3394">
        <f>IFERROR(VLOOKUP(C3394,'GASB Match'!$D$2:$F$6042,3,FALSE),"")</f>
        <v>3410290</v>
      </c>
      <c r="B3394" s="28">
        <v>2017</v>
      </c>
      <c r="C3394" s="29" t="s">
        <v>386</v>
      </c>
      <c r="D3394" s="17">
        <v>242</v>
      </c>
      <c r="E3394" s="17" t="e">
        <f>#REF!</f>
        <v>#REF!</v>
      </c>
      <c r="F3394" s="29">
        <v>420998</v>
      </c>
    </row>
    <row r="3395" spans="1:6" ht="16" customHeight="1" x14ac:dyDescent="0.2">
      <c r="A3395">
        <f>IFERROR(VLOOKUP(C3395,'GASB Match'!$D$2:$F$6042,3,FALSE),"")</f>
        <v>3410320</v>
      </c>
      <c r="B3395" s="17">
        <v>2015</v>
      </c>
      <c r="C3395" s="17" t="s">
        <v>223</v>
      </c>
      <c r="D3395" s="17">
        <v>5070</v>
      </c>
      <c r="E3395" s="17" t="e">
        <f>#REF!</f>
        <v>#REF!</v>
      </c>
      <c r="F3395" s="20">
        <v>2188690</v>
      </c>
    </row>
    <row r="3396" spans="1:6" ht="16" customHeight="1" x14ac:dyDescent="0.2">
      <c r="A3396">
        <f>IFERROR(VLOOKUP(C3396,'GASB Match'!$D$2:$F$6042,3,FALSE),"")</f>
        <v>3410320</v>
      </c>
      <c r="B3396" s="17">
        <v>2016</v>
      </c>
      <c r="C3396" s="17" t="s">
        <v>223</v>
      </c>
      <c r="D3396" s="17">
        <v>5070</v>
      </c>
      <c r="E3396" s="17" t="e">
        <f>#REF!</f>
        <v>#REF!</v>
      </c>
      <c r="F3396" s="20">
        <v>3277943</v>
      </c>
    </row>
    <row r="3397" spans="1:6" ht="16" customHeight="1" x14ac:dyDescent="0.2">
      <c r="A3397">
        <f>IFERROR(VLOOKUP(C3397,'GASB Match'!$D$2:$F$6042,3,FALSE),"")</f>
        <v>3410320</v>
      </c>
      <c r="B3397" s="17">
        <v>2018</v>
      </c>
      <c r="C3397" s="17" t="s">
        <v>909</v>
      </c>
      <c r="D3397" s="17">
        <v>5070</v>
      </c>
      <c r="E3397" s="17" t="e">
        <f>#REF!</f>
        <v>#REF!</v>
      </c>
      <c r="F3397" s="20">
        <v>5980339</v>
      </c>
    </row>
    <row r="3398" spans="1:6" ht="16" customHeight="1" x14ac:dyDescent="0.2">
      <c r="A3398">
        <f>IFERROR(VLOOKUP(C3398,'GASB Match'!$D$2:$F$6042,3,FALSE),"")</f>
        <v>3410320</v>
      </c>
      <c r="B3398" s="17">
        <v>2019</v>
      </c>
      <c r="C3398" s="17" t="s">
        <v>909</v>
      </c>
      <c r="D3398" s="17">
        <v>5070</v>
      </c>
      <c r="E3398" s="17" t="e">
        <f>#REF!</f>
        <v>#REF!</v>
      </c>
      <c r="F3398" s="20">
        <v>7620829</v>
      </c>
    </row>
    <row r="3399" spans="1:6" ht="16" customHeight="1" x14ac:dyDescent="0.2">
      <c r="A3399">
        <f>IFERROR(VLOOKUP(C3399,'GASB Match'!$D$2:$F$6042,3,FALSE),"")</f>
        <v>3410320</v>
      </c>
      <c r="B3399" s="17">
        <v>2020</v>
      </c>
      <c r="C3399" s="21" t="s">
        <v>909</v>
      </c>
      <c r="D3399" s="17">
        <v>5070</v>
      </c>
      <c r="E3399" s="17" t="e">
        <f>#REF!</f>
        <v>#REF!</v>
      </c>
      <c r="F3399" s="23">
        <v>8203580</v>
      </c>
    </row>
    <row r="3400" spans="1:6" ht="16" customHeight="1" x14ac:dyDescent="0.2">
      <c r="A3400">
        <f>IFERROR(VLOOKUP(C3400,'GASB Match'!$D$2:$F$6042,3,FALSE),"")</f>
        <v>3410320</v>
      </c>
      <c r="B3400" s="17">
        <v>2021</v>
      </c>
      <c r="C3400" s="25" t="s">
        <v>909</v>
      </c>
      <c r="D3400" s="17">
        <v>5070</v>
      </c>
      <c r="E3400" s="17" t="e">
        <f>#REF!</f>
        <v>#REF!</v>
      </c>
      <c r="F3400" s="23">
        <v>10115341</v>
      </c>
    </row>
    <row r="3401" spans="1:6" ht="16" customHeight="1" x14ac:dyDescent="0.2">
      <c r="A3401">
        <f>IFERROR(VLOOKUP(C3401,'GASB Match'!$D$2:$F$6042,3,FALSE),"")</f>
        <v>3410320</v>
      </c>
      <c r="B3401" s="17">
        <v>2022</v>
      </c>
      <c r="C3401" s="21" t="s">
        <v>909</v>
      </c>
      <c r="D3401" s="17">
        <v>5070</v>
      </c>
      <c r="E3401" s="17" t="e">
        <f>#REF!</f>
        <v>#REF!</v>
      </c>
      <c r="F3401" s="23">
        <v>14715318</v>
      </c>
    </row>
    <row r="3402" spans="1:6" ht="16" customHeight="1" x14ac:dyDescent="0.2">
      <c r="A3402">
        <f>IFERROR(VLOOKUP(C3402,'GASB Match'!$D$2:$F$6042,3,FALSE),"")</f>
        <v>3410320</v>
      </c>
      <c r="B3402" s="17">
        <v>2023</v>
      </c>
      <c r="C3402" s="21" t="s">
        <v>909</v>
      </c>
      <c r="D3402" s="17">
        <v>5070</v>
      </c>
      <c r="E3402" s="17" t="e">
        <f>#REF!</f>
        <v>#REF!</v>
      </c>
      <c r="F3402" s="23">
        <v>14510927</v>
      </c>
    </row>
    <row r="3403" spans="1:6" ht="16" customHeight="1" x14ac:dyDescent="0.2">
      <c r="A3403">
        <f>IFERROR(VLOOKUP(C3403,'GASB Match'!$D$2:$F$6042,3,FALSE),"")</f>
        <v>3410320</v>
      </c>
      <c r="B3403" s="28">
        <v>2017</v>
      </c>
      <c r="C3403" s="29" t="s">
        <v>223</v>
      </c>
      <c r="D3403" s="17">
        <v>5070</v>
      </c>
      <c r="E3403" s="17" t="e">
        <f>#REF!</f>
        <v>#REF!</v>
      </c>
      <c r="F3403" s="29">
        <v>4539469</v>
      </c>
    </row>
    <row r="3404" spans="1:6" ht="16" customHeight="1" x14ac:dyDescent="0.2">
      <c r="A3404">
        <f>IFERROR(VLOOKUP(C3404,'GASB Match'!$D$2:$F$6042,3,FALSE),"")</f>
        <v>3400749</v>
      </c>
      <c r="B3404" s="17">
        <v>2015</v>
      </c>
      <c r="C3404" s="17" t="s">
        <v>224</v>
      </c>
      <c r="D3404" s="17">
        <v>5094</v>
      </c>
      <c r="E3404" s="17" t="e">
        <f>#REF!</f>
        <v>#REF!</v>
      </c>
      <c r="F3404" s="20">
        <v>28032</v>
      </c>
    </row>
    <row r="3405" spans="1:6" ht="16" customHeight="1" x14ac:dyDescent="0.2">
      <c r="A3405">
        <f>IFERROR(VLOOKUP(C3405,'GASB Match'!$D$2:$F$6042,3,FALSE),"")</f>
        <v>3400749</v>
      </c>
      <c r="B3405" s="17">
        <v>2016</v>
      </c>
      <c r="C3405" s="17" t="s">
        <v>224</v>
      </c>
      <c r="D3405" s="17">
        <v>5094</v>
      </c>
      <c r="E3405" s="17" t="e">
        <f>#REF!</f>
        <v>#REF!</v>
      </c>
      <c r="F3405" s="20">
        <v>65282</v>
      </c>
    </row>
    <row r="3406" spans="1:6" ht="16" customHeight="1" x14ac:dyDescent="0.2">
      <c r="A3406">
        <f>IFERROR(VLOOKUP(C3406,'GASB Match'!$D$2:$F$6042,3,FALSE),"")</f>
        <v>3400749</v>
      </c>
      <c r="B3406" s="17">
        <v>2018</v>
      </c>
      <c r="C3406" s="17" t="s">
        <v>910</v>
      </c>
      <c r="D3406" s="17">
        <v>5094</v>
      </c>
      <c r="E3406" s="17" t="e">
        <f>#REF!</f>
        <v>#REF!</v>
      </c>
      <c r="F3406" s="20">
        <v>131291</v>
      </c>
    </row>
    <row r="3407" spans="1:6" ht="16" customHeight="1" x14ac:dyDescent="0.2">
      <c r="A3407">
        <f>IFERROR(VLOOKUP(C3407,'GASB Match'!$D$2:$F$6042,3,FALSE),"")</f>
        <v>3400749</v>
      </c>
      <c r="B3407" s="17">
        <v>2019</v>
      </c>
      <c r="C3407" s="17" t="s">
        <v>910</v>
      </c>
      <c r="D3407" s="17">
        <v>5094</v>
      </c>
      <c r="E3407" s="17" t="e">
        <f>#REF!</f>
        <v>#REF!</v>
      </c>
      <c r="F3407" s="20">
        <v>304477</v>
      </c>
    </row>
    <row r="3408" spans="1:6" ht="16" customHeight="1" x14ac:dyDescent="0.2">
      <c r="A3408">
        <f>IFERROR(VLOOKUP(C3408,'GASB Match'!$D$2:$F$6042,3,FALSE),"")</f>
        <v>3400749</v>
      </c>
      <c r="B3408" s="17">
        <v>2020</v>
      </c>
      <c r="C3408" s="21" t="s">
        <v>910</v>
      </c>
      <c r="D3408" s="17">
        <v>5094</v>
      </c>
      <c r="E3408" s="17" t="e">
        <f>#REF!</f>
        <v>#REF!</v>
      </c>
      <c r="F3408" s="23">
        <v>245133</v>
      </c>
    </row>
    <row r="3409" spans="1:6" ht="16" customHeight="1" x14ac:dyDescent="0.2">
      <c r="A3409">
        <f>IFERROR(VLOOKUP(C3409,'GASB Match'!$D$2:$F$6042,3,FALSE),"")</f>
        <v>3400749</v>
      </c>
      <c r="B3409" s="17">
        <v>2021</v>
      </c>
      <c r="C3409" s="25" t="s">
        <v>910</v>
      </c>
      <c r="D3409" s="17">
        <v>5094</v>
      </c>
      <c r="E3409" s="17" t="e">
        <f>#REF!</f>
        <v>#REF!</v>
      </c>
      <c r="F3409" s="23">
        <v>273599</v>
      </c>
    </row>
    <row r="3410" spans="1:6" ht="16" customHeight="1" x14ac:dyDescent="0.2">
      <c r="A3410">
        <f>IFERROR(VLOOKUP(C3410,'GASB Match'!$D$2:$F$6042,3,FALSE),"")</f>
        <v>3400749</v>
      </c>
      <c r="B3410" s="17">
        <v>2022</v>
      </c>
      <c r="C3410" s="21" t="s">
        <v>910</v>
      </c>
      <c r="D3410" s="17">
        <v>5094</v>
      </c>
      <c r="E3410" s="17" t="e">
        <f>#REF!</f>
        <v>#REF!</v>
      </c>
      <c r="F3410" s="23">
        <v>337998</v>
      </c>
    </row>
    <row r="3411" spans="1:6" ht="16" customHeight="1" x14ac:dyDescent="0.2">
      <c r="A3411">
        <f>IFERROR(VLOOKUP(C3411,'GASB Match'!$D$2:$F$6042,3,FALSE),"")</f>
        <v>3400749</v>
      </c>
      <c r="B3411" s="17">
        <v>2023</v>
      </c>
      <c r="C3411" s="21" t="s">
        <v>910</v>
      </c>
      <c r="D3411" s="17">
        <v>5094</v>
      </c>
      <c r="E3411" s="17" t="e">
        <f>#REF!</f>
        <v>#REF!</v>
      </c>
      <c r="F3411" s="23">
        <v>424371</v>
      </c>
    </row>
    <row r="3412" spans="1:6" ht="16" customHeight="1" x14ac:dyDescent="0.2">
      <c r="A3412">
        <f>IFERROR(VLOOKUP(C3412,'GASB Match'!$D$2:$F$6042,3,FALSE),"")</f>
        <v>3400749</v>
      </c>
      <c r="B3412" s="28">
        <v>2017</v>
      </c>
      <c r="C3412" s="29" t="s">
        <v>224</v>
      </c>
      <c r="D3412" s="17">
        <v>5094</v>
      </c>
      <c r="E3412" s="17" t="e">
        <f>#REF!</f>
        <v>#REF!</v>
      </c>
      <c r="F3412" s="29">
        <v>109826</v>
      </c>
    </row>
    <row r="3413" spans="1:6" ht="16" customHeight="1" x14ac:dyDescent="0.2">
      <c r="A3413">
        <f>IFERROR(VLOOKUP(C3413,'GASB Match'!$D$2:$F$6042,3,FALSE),"")</f>
        <v>3410350</v>
      </c>
      <c r="B3413" s="17">
        <v>2015</v>
      </c>
      <c r="C3413" s="17" t="s">
        <v>473</v>
      </c>
      <c r="D3413" s="17">
        <v>429</v>
      </c>
      <c r="E3413" s="17" t="e">
        <f>#REF!</f>
        <v>#REF!</v>
      </c>
      <c r="F3413" s="20">
        <v>104646</v>
      </c>
    </row>
    <row r="3414" spans="1:6" ht="16" customHeight="1" x14ac:dyDescent="0.2">
      <c r="A3414">
        <f>IFERROR(VLOOKUP(C3414,'GASB Match'!$D$2:$F$6042,3,FALSE),"")</f>
        <v>3410350</v>
      </c>
      <c r="B3414" s="17">
        <v>2016</v>
      </c>
      <c r="C3414" s="17" t="s">
        <v>473</v>
      </c>
      <c r="D3414" s="17">
        <v>429</v>
      </c>
      <c r="E3414" s="17" t="e">
        <f>#REF!</f>
        <v>#REF!</v>
      </c>
      <c r="F3414" s="20">
        <v>178996</v>
      </c>
    </row>
    <row r="3415" spans="1:6" ht="16" customHeight="1" x14ac:dyDescent="0.2">
      <c r="A3415">
        <f>IFERROR(VLOOKUP(C3415,'GASB Match'!$D$2:$F$6042,3,FALSE),"")</f>
        <v>3410350</v>
      </c>
      <c r="B3415" s="17">
        <v>2018</v>
      </c>
      <c r="C3415" s="17" t="s">
        <v>1165</v>
      </c>
      <c r="D3415" s="17">
        <v>429</v>
      </c>
      <c r="E3415" s="17" t="e">
        <f>#REF!</f>
        <v>#REF!</v>
      </c>
      <c r="F3415" s="20">
        <v>348452</v>
      </c>
    </row>
    <row r="3416" spans="1:6" ht="16" customHeight="1" x14ac:dyDescent="0.2">
      <c r="A3416">
        <f>IFERROR(VLOOKUP(C3416,'GASB Match'!$D$2:$F$6042,3,FALSE),"")</f>
        <v>3410350</v>
      </c>
      <c r="B3416" s="17">
        <v>2019</v>
      </c>
      <c r="C3416" s="17" t="s">
        <v>1165</v>
      </c>
      <c r="D3416" s="17">
        <v>429</v>
      </c>
      <c r="E3416" s="17" t="e">
        <f>#REF!</f>
        <v>#REF!</v>
      </c>
      <c r="F3416" s="20">
        <v>455703</v>
      </c>
    </row>
    <row r="3417" spans="1:6" ht="16" customHeight="1" x14ac:dyDescent="0.2">
      <c r="A3417">
        <f>IFERROR(VLOOKUP(C3417,'GASB Match'!$D$2:$F$6042,3,FALSE),"")</f>
        <v>3410350</v>
      </c>
      <c r="B3417" s="17">
        <v>2020</v>
      </c>
      <c r="C3417" s="21" t="s">
        <v>1165</v>
      </c>
      <c r="D3417" s="17">
        <v>429</v>
      </c>
      <c r="E3417" s="17" t="e">
        <f>#REF!</f>
        <v>#REF!</v>
      </c>
      <c r="F3417" s="23">
        <v>536733</v>
      </c>
    </row>
    <row r="3418" spans="1:6" ht="16" customHeight="1" x14ac:dyDescent="0.2">
      <c r="A3418">
        <f>IFERROR(VLOOKUP(C3418,'GASB Match'!$D$2:$F$6042,3,FALSE),"")</f>
        <v>3410350</v>
      </c>
      <c r="B3418" s="17">
        <v>2021</v>
      </c>
      <c r="C3418" s="25" t="s">
        <v>1165</v>
      </c>
      <c r="D3418" s="17">
        <v>429</v>
      </c>
      <c r="E3418" s="17" t="e">
        <f>#REF!</f>
        <v>#REF!</v>
      </c>
      <c r="F3418" s="23">
        <v>674607</v>
      </c>
    </row>
    <row r="3419" spans="1:6" ht="16" customHeight="1" x14ac:dyDescent="0.2">
      <c r="A3419">
        <f>IFERROR(VLOOKUP(C3419,'GASB Match'!$D$2:$F$6042,3,FALSE),"")</f>
        <v>3410350</v>
      </c>
      <c r="B3419" s="17">
        <v>2022</v>
      </c>
      <c r="C3419" s="21" t="s">
        <v>1165</v>
      </c>
      <c r="D3419" s="17">
        <v>429</v>
      </c>
      <c r="E3419" s="17" t="e">
        <f>#REF!</f>
        <v>#REF!</v>
      </c>
      <c r="F3419" s="23">
        <v>945977</v>
      </c>
    </row>
    <row r="3420" spans="1:6" ht="16" customHeight="1" x14ac:dyDescent="0.2">
      <c r="A3420">
        <f>IFERROR(VLOOKUP(C3420,'GASB Match'!$D$2:$F$6042,3,FALSE),"")</f>
        <v>3410350</v>
      </c>
      <c r="B3420" s="17">
        <v>2023</v>
      </c>
      <c r="C3420" s="21" t="s">
        <v>1165</v>
      </c>
      <c r="D3420" s="17">
        <v>429</v>
      </c>
      <c r="E3420" s="17" t="e">
        <f>#REF!</f>
        <v>#REF!</v>
      </c>
      <c r="F3420" s="23">
        <v>966187</v>
      </c>
    </row>
    <row r="3421" spans="1:6" ht="16" customHeight="1" x14ac:dyDescent="0.2">
      <c r="A3421">
        <f>IFERROR(VLOOKUP(C3421,'GASB Match'!$D$2:$F$6042,3,FALSE),"")</f>
        <v>3410350</v>
      </c>
      <c r="B3421" s="28">
        <v>2017</v>
      </c>
      <c r="C3421" s="29" t="s">
        <v>473</v>
      </c>
      <c r="D3421" s="17">
        <v>429</v>
      </c>
      <c r="E3421" s="17" t="e">
        <f>#REF!</f>
        <v>#REF!</v>
      </c>
      <c r="F3421" s="29">
        <v>253960</v>
      </c>
    </row>
    <row r="3422" spans="1:6" ht="16" customHeight="1" x14ac:dyDescent="0.2">
      <c r="A3422">
        <f>IFERROR(VLOOKUP(C3422,'GASB Match'!$D$2:$F$6042,3,FALSE),"")</f>
        <v>3410380</v>
      </c>
      <c r="B3422" s="17">
        <v>2015</v>
      </c>
      <c r="C3422" s="17" t="s">
        <v>431</v>
      </c>
      <c r="D3422" s="17">
        <v>346</v>
      </c>
      <c r="E3422" s="17" t="e">
        <f>#REF!</f>
        <v>#REF!</v>
      </c>
      <c r="F3422" s="20">
        <v>106771</v>
      </c>
    </row>
    <row r="3423" spans="1:6" ht="16" customHeight="1" x14ac:dyDescent="0.2">
      <c r="A3423">
        <f>IFERROR(VLOOKUP(C3423,'GASB Match'!$D$2:$F$6042,3,FALSE),"")</f>
        <v>3410380</v>
      </c>
      <c r="B3423" s="17">
        <v>2016</v>
      </c>
      <c r="C3423" s="17" t="s">
        <v>431</v>
      </c>
      <c r="D3423" s="17">
        <v>346</v>
      </c>
      <c r="E3423" s="17" t="e">
        <f>#REF!</f>
        <v>#REF!</v>
      </c>
      <c r="F3423" s="20">
        <v>158040</v>
      </c>
    </row>
    <row r="3424" spans="1:6" ht="16" customHeight="1" x14ac:dyDescent="0.2">
      <c r="A3424">
        <f>IFERROR(VLOOKUP(C3424,'GASB Match'!$D$2:$F$6042,3,FALSE),"")</f>
        <v>3410380</v>
      </c>
      <c r="B3424" s="17">
        <v>2018</v>
      </c>
      <c r="C3424" s="17" t="s">
        <v>1123</v>
      </c>
      <c r="D3424" s="17">
        <v>346</v>
      </c>
      <c r="E3424" s="17" t="e">
        <f>#REF!</f>
        <v>#REF!</v>
      </c>
      <c r="F3424" s="20">
        <v>290373</v>
      </c>
    </row>
    <row r="3425" spans="1:6" ht="16" customHeight="1" x14ac:dyDescent="0.2">
      <c r="A3425">
        <f>IFERROR(VLOOKUP(C3425,'GASB Match'!$D$2:$F$6042,3,FALSE),"")</f>
        <v>3410380</v>
      </c>
      <c r="B3425" s="17">
        <v>2019</v>
      </c>
      <c r="C3425" s="17" t="s">
        <v>1123</v>
      </c>
      <c r="D3425" s="17">
        <v>346</v>
      </c>
      <c r="E3425" s="17" t="e">
        <f>#REF!</f>
        <v>#REF!</v>
      </c>
      <c r="F3425" s="20">
        <v>405143</v>
      </c>
    </row>
    <row r="3426" spans="1:6" ht="16" customHeight="1" x14ac:dyDescent="0.2">
      <c r="A3426">
        <f>IFERROR(VLOOKUP(C3426,'GASB Match'!$D$2:$F$6042,3,FALSE),"")</f>
        <v>3410380</v>
      </c>
      <c r="B3426" s="17">
        <v>2020</v>
      </c>
      <c r="C3426" s="21" t="s">
        <v>1123</v>
      </c>
      <c r="D3426" s="17">
        <v>346</v>
      </c>
      <c r="E3426" s="17" t="e">
        <f>#REF!</f>
        <v>#REF!</v>
      </c>
      <c r="F3426" s="23">
        <v>465603</v>
      </c>
    </row>
    <row r="3427" spans="1:6" ht="16" customHeight="1" x14ac:dyDescent="0.2">
      <c r="A3427">
        <f>IFERROR(VLOOKUP(C3427,'GASB Match'!$D$2:$F$6042,3,FALSE),"")</f>
        <v>3410380</v>
      </c>
      <c r="B3427" s="17">
        <v>2021</v>
      </c>
      <c r="C3427" s="25" t="s">
        <v>1123</v>
      </c>
      <c r="D3427" s="17">
        <v>346</v>
      </c>
      <c r="E3427" s="17" t="e">
        <f>#REF!</f>
        <v>#REF!</v>
      </c>
      <c r="F3427" s="23">
        <v>606203</v>
      </c>
    </row>
    <row r="3428" spans="1:6" ht="16" customHeight="1" x14ac:dyDescent="0.2">
      <c r="A3428">
        <f>IFERROR(VLOOKUP(C3428,'GASB Match'!$D$2:$F$6042,3,FALSE),"")</f>
        <v>3410380</v>
      </c>
      <c r="B3428" s="17">
        <v>2022</v>
      </c>
      <c r="C3428" s="21" t="s">
        <v>1123</v>
      </c>
      <c r="D3428" s="17">
        <v>346</v>
      </c>
      <c r="E3428" s="17" t="e">
        <f>#REF!</f>
        <v>#REF!</v>
      </c>
      <c r="F3428" s="22">
        <v>796727</v>
      </c>
    </row>
    <row r="3429" spans="1:6" ht="16" customHeight="1" x14ac:dyDescent="0.2">
      <c r="A3429">
        <f>IFERROR(VLOOKUP(C3429,'GASB Match'!$D$2:$F$6042,3,FALSE),"")</f>
        <v>3410380</v>
      </c>
      <c r="B3429" s="17">
        <v>2023</v>
      </c>
      <c r="C3429" s="21" t="s">
        <v>1123</v>
      </c>
      <c r="D3429" s="17">
        <v>346</v>
      </c>
      <c r="E3429" s="17" t="e">
        <f>#REF!</f>
        <v>#REF!</v>
      </c>
      <c r="F3429" s="23">
        <v>855886</v>
      </c>
    </row>
    <row r="3430" spans="1:6" ht="16" customHeight="1" x14ac:dyDescent="0.2">
      <c r="A3430">
        <f>IFERROR(VLOOKUP(C3430,'GASB Match'!$D$2:$F$6042,3,FALSE),"")</f>
        <v>3410380</v>
      </c>
      <c r="B3430" s="28">
        <v>2017</v>
      </c>
      <c r="C3430" s="29" t="s">
        <v>431</v>
      </c>
      <c r="D3430" s="17">
        <v>346</v>
      </c>
      <c r="E3430" s="17" t="e">
        <f>#REF!</f>
        <v>#REF!</v>
      </c>
      <c r="F3430" s="29">
        <v>227292</v>
      </c>
    </row>
    <row r="3431" spans="1:6" ht="16" customHeight="1" x14ac:dyDescent="0.2">
      <c r="A3431">
        <f>IFERROR(VLOOKUP(C3431,'GASB Match'!$D$2:$F$6042,3,FALSE),"")</f>
        <v>3417500</v>
      </c>
      <c r="B3431" s="17">
        <v>2015</v>
      </c>
      <c r="C3431" s="17" t="s">
        <v>432</v>
      </c>
      <c r="D3431" s="17">
        <v>987</v>
      </c>
      <c r="E3431" s="17" t="e">
        <f>#REF!</f>
        <v>#REF!</v>
      </c>
      <c r="F3431" s="20">
        <v>1059132</v>
      </c>
    </row>
    <row r="3432" spans="1:6" ht="16" customHeight="1" x14ac:dyDescent="0.2">
      <c r="A3432">
        <f>IFERROR(VLOOKUP(C3432,'GASB Match'!$D$2:$F$6042,3,FALSE),"")</f>
        <v>3417500</v>
      </c>
      <c r="B3432" s="17">
        <v>2016</v>
      </c>
      <c r="C3432" s="17" t="s">
        <v>432</v>
      </c>
      <c r="D3432" s="17">
        <v>987</v>
      </c>
      <c r="E3432" s="17" t="e">
        <f>#REF!</f>
        <v>#REF!</v>
      </c>
      <c r="F3432" s="20">
        <v>1505826</v>
      </c>
    </row>
    <row r="3433" spans="1:6" ht="16" customHeight="1" x14ac:dyDescent="0.2">
      <c r="A3433">
        <f>IFERROR(VLOOKUP(C3433,'GASB Match'!$D$2:$F$6042,3,FALSE),"")</f>
        <v>3417500</v>
      </c>
      <c r="B3433" s="17">
        <v>2018</v>
      </c>
      <c r="C3433" s="17" t="s">
        <v>1124</v>
      </c>
      <c r="D3433" s="17">
        <v>987</v>
      </c>
      <c r="E3433" s="17" t="e">
        <f>#REF!</f>
        <v>#REF!</v>
      </c>
      <c r="F3433" s="20">
        <v>2888996</v>
      </c>
    </row>
    <row r="3434" spans="1:6" ht="16" customHeight="1" x14ac:dyDescent="0.2">
      <c r="A3434">
        <f>IFERROR(VLOOKUP(C3434,'GASB Match'!$D$2:$F$6042,3,FALSE),"")</f>
        <v>3417500</v>
      </c>
      <c r="B3434" s="17">
        <v>2019</v>
      </c>
      <c r="C3434" s="17" t="s">
        <v>1124</v>
      </c>
      <c r="D3434" s="17">
        <v>987</v>
      </c>
      <c r="E3434" s="17" t="e">
        <f>#REF!</f>
        <v>#REF!</v>
      </c>
      <c r="F3434" s="20">
        <v>3839733</v>
      </c>
    </row>
    <row r="3435" spans="1:6" ht="16" customHeight="1" x14ac:dyDescent="0.2">
      <c r="A3435">
        <f>IFERROR(VLOOKUP(C3435,'GASB Match'!$D$2:$F$6042,3,FALSE),"")</f>
        <v>3417500</v>
      </c>
      <c r="B3435" s="17">
        <v>2020</v>
      </c>
      <c r="C3435" s="21" t="s">
        <v>1124</v>
      </c>
      <c r="D3435" s="17">
        <v>987</v>
      </c>
      <c r="E3435" s="17" t="e">
        <f>#REF!</f>
        <v>#REF!</v>
      </c>
      <c r="F3435" s="23">
        <v>4212186</v>
      </c>
    </row>
    <row r="3436" spans="1:6" ht="16" customHeight="1" x14ac:dyDescent="0.2">
      <c r="A3436">
        <f>IFERROR(VLOOKUP(C3436,'GASB Match'!$D$2:$F$6042,3,FALSE),"")</f>
        <v>3417500</v>
      </c>
      <c r="B3436" s="17">
        <v>2021</v>
      </c>
      <c r="C3436" s="25" t="s">
        <v>1124</v>
      </c>
      <c r="D3436" s="17">
        <v>987</v>
      </c>
      <c r="E3436" s="17" t="e">
        <f>#REF!</f>
        <v>#REF!</v>
      </c>
      <c r="F3436" s="23">
        <v>5407088</v>
      </c>
    </row>
    <row r="3437" spans="1:6" ht="16" customHeight="1" x14ac:dyDescent="0.2">
      <c r="A3437">
        <f>IFERROR(VLOOKUP(C3437,'GASB Match'!$D$2:$F$6042,3,FALSE),"")</f>
        <v>3417500</v>
      </c>
      <c r="B3437" s="17">
        <v>2022</v>
      </c>
      <c r="C3437" s="21" t="s">
        <v>1124</v>
      </c>
      <c r="D3437" s="17">
        <v>987</v>
      </c>
      <c r="E3437" s="17" t="e">
        <f>#REF!</f>
        <v>#REF!</v>
      </c>
      <c r="F3437" s="23">
        <v>7716423</v>
      </c>
    </row>
    <row r="3438" spans="1:6" ht="16" customHeight="1" x14ac:dyDescent="0.2">
      <c r="A3438">
        <f>IFERROR(VLOOKUP(C3438,'GASB Match'!$D$2:$F$6042,3,FALSE),"")</f>
        <v>3417500</v>
      </c>
      <c r="B3438" s="17">
        <v>2023</v>
      </c>
      <c r="C3438" s="21" t="s">
        <v>1124</v>
      </c>
      <c r="D3438" s="17">
        <v>987</v>
      </c>
      <c r="E3438" s="17" t="e">
        <f>#REF!</f>
        <v>#REF!</v>
      </c>
      <c r="F3438" s="23">
        <v>7584096</v>
      </c>
    </row>
    <row r="3439" spans="1:6" ht="16" customHeight="1" x14ac:dyDescent="0.2">
      <c r="A3439">
        <f>IFERROR(VLOOKUP(C3439,'GASB Match'!$D$2:$F$6042,3,FALSE),"")</f>
        <v>3417500</v>
      </c>
      <c r="B3439" s="28">
        <v>2017</v>
      </c>
      <c r="C3439" s="29" t="s">
        <v>432</v>
      </c>
      <c r="D3439" s="17">
        <v>987</v>
      </c>
      <c r="E3439" s="17" t="e">
        <f>#REF!</f>
        <v>#REF!</v>
      </c>
      <c r="F3439" s="29">
        <v>2140138</v>
      </c>
    </row>
    <row r="3440" spans="1:6" ht="16" customHeight="1" x14ac:dyDescent="0.2">
      <c r="A3440">
        <f>IFERROR(VLOOKUP(C3440,'GASB Match'!$D$2:$F$6042,3,FALSE),"")</f>
        <v>3480240</v>
      </c>
      <c r="B3440" s="17">
        <v>2015</v>
      </c>
      <c r="C3440" s="17" t="s">
        <v>663</v>
      </c>
      <c r="D3440" s="17">
        <v>375</v>
      </c>
      <c r="E3440" s="17" t="e">
        <f>#REF!</f>
        <v>#REF!</v>
      </c>
      <c r="F3440" s="20">
        <v>152612</v>
      </c>
    </row>
    <row r="3441" spans="1:6" ht="16" customHeight="1" x14ac:dyDescent="0.2">
      <c r="A3441">
        <f>IFERROR(VLOOKUP(C3441,'GASB Match'!$D$2:$F$6042,3,FALSE),"")</f>
        <v>3480240</v>
      </c>
      <c r="B3441" s="17">
        <v>2016</v>
      </c>
      <c r="C3441" s="17" t="s">
        <v>663</v>
      </c>
      <c r="D3441" s="17">
        <v>375</v>
      </c>
      <c r="E3441" s="17" t="e">
        <f>#REF!</f>
        <v>#REF!</v>
      </c>
      <c r="F3441" s="20">
        <v>200283</v>
      </c>
    </row>
    <row r="3442" spans="1:6" ht="16" customHeight="1" x14ac:dyDescent="0.2">
      <c r="A3442">
        <f>IFERROR(VLOOKUP(C3442,'GASB Match'!$D$2:$F$6042,3,FALSE),"")</f>
        <v>3480240</v>
      </c>
      <c r="B3442" s="17">
        <v>2018</v>
      </c>
      <c r="C3442" s="17" t="s">
        <v>1356</v>
      </c>
      <c r="D3442" s="17">
        <v>375</v>
      </c>
      <c r="E3442" s="17" t="e">
        <f>#REF!</f>
        <v>#REF!</v>
      </c>
      <c r="F3442" s="20">
        <v>529012</v>
      </c>
    </row>
    <row r="3443" spans="1:6" ht="16" customHeight="1" x14ac:dyDescent="0.2">
      <c r="A3443">
        <f>IFERROR(VLOOKUP(C3443,'GASB Match'!$D$2:$F$6042,3,FALSE),"")</f>
        <v>3480240</v>
      </c>
      <c r="B3443" s="17">
        <v>2019</v>
      </c>
      <c r="C3443" s="17" t="s">
        <v>1356</v>
      </c>
      <c r="D3443" s="17">
        <v>375</v>
      </c>
      <c r="E3443" s="17" t="e">
        <f>#REF!</f>
        <v>#REF!</v>
      </c>
      <c r="F3443" s="20">
        <v>686679</v>
      </c>
    </row>
    <row r="3444" spans="1:6" ht="16" customHeight="1" x14ac:dyDescent="0.2">
      <c r="A3444">
        <f>IFERROR(VLOOKUP(C3444,'GASB Match'!$D$2:$F$6042,3,FALSE),"")</f>
        <v>3480240</v>
      </c>
      <c r="B3444" s="17">
        <v>2020</v>
      </c>
      <c r="C3444" s="21" t="s">
        <v>1356</v>
      </c>
      <c r="D3444" s="17">
        <v>375</v>
      </c>
      <c r="E3444" s="17" t="e">
        <f>#REF!</f>
        <v>#REF!</v>
      </c>
      <c r="F3444" s="23">
        <v>702403</v>
      </c>
    </row>
    <row r="3445" spans="1:6" ht="16" customHeight="1" x14ac:dyDescent="0.2">
      <c r="A3445">
        <f>IFERROR(VLOOKUP(C3445,'GASB Match'!$D$2:$F$6042,3,FALSE),"")</f>
        <v>3480240</v>
      </c>
      <c r="B3445" s="17">
        <v>2021</v>
      </c>
      <c r="C3445" s="25" t="s">
        <v>1356</v>
      </c>
      <c r="D3445" s="17">
        <v>375</v>
      </c>
      <c r="E3445" s="17" t="e">
        <f>#REF!</f>
        <v>#REF!</v>
      </c>
      <c r="F3445" s="23">
        <v>883845</v>
      </c>
    </row>
    <row r="3446" spans="1:6" ht="16" customHeight="1" x14ac:dyDescent="0.2">
      <c r="A3446">
        <f>IFERROR(VLOOKUP(C3446,'GASB Match'!$D$2:$F$6042,3,FALSE),"")</f>
        <v>3480240</v>
      </c>
      <c r="B3446" s="17">
        <v>2022</v>
      </c>
      <c r="C3446" s="21" t="s">
        <v>1356</v>
      </c>
      <c r="D3446" s="17">
        <v>375</v>
      </c>
      <c r="E3446" s="17" t="e">
        <f>#REF!</f>
        <v>#REF!</v>
      </c>
      <c r="F3446" s="23">
        <v>1147066</v>
      </c>
    </row>
    <row r="3447" spans="1:6" ht="16" customHeight="1" x14ac:dyDescent="0.2">
      <c r="A3447">
        <f>IFERROR(VLOOKUP(C3447,'GASB Match'!$D$2:$F$6042,3,FALSE),"")</f>
        <v>3480240</v>
      </c>
      <c r="B3447" s="17">
        <v>2023</v>
      </c>
      <c r="C3447" s="21" t="s">
        <v>1356</v>
      </c>
      <c r="D3447" s="17">
        <v>375</v>
      </c>
      <c r="E3447" s="17" t="e">
        <f>#REF!</f>
        <v>#REF!</v>
      </c>
      <c r="F3447" s="23">
        <v>946915</v>
      </c>
    </row>
    <row r="3448" spans="1:6" ht="16" customHeight="1" x14ac:dyDescent="0.2">
      <c r="A3448">
        <f>IFERROR(VLOOKUP(C3448,'GASB Match'!$D$2:$F$6042,3,FALSE),"")</f>
        <v>3480240</v>
      </c>
      <c r="B3448" s="28">
        <v>2017</v>
      </c>
      <c r="C3448" s="29" t="s">
        <v>663</v>
      </c>
      <c r="D3448" s="17">
        <v>375</v>
      </c>
      <c r="E3448" s="17" t="e">
        <f>#REF!</f>
        <v>#REF!</v>
      </c>
      <c r="F3448" s="29">
        <v>340639</v>
      </c>
    </row>
    <row r="3449" spans="1:6" ht="16" customHeight="1" x14ac:dyDescent="0.2">
      <c r="A3449">
        <f>IFERROR(VLOOKUP(C3449,'GASB Match'!$D$2:$F$6042,3,FALSE),"")</f>
        <v>3410440</v>
      </c>
      <c r="B3449" s="17">
        <v>2015</v>
      </c>
      <c r="C3449" s="17" t="s">
        <v>433</v>
      </c>
      <c r="D3449" s="17">
        <v>372</v>
      </c>
      <c r="E3449" s="17" t="e">
        <f>#REF!</f>
        <v>#REF!</v>
      </c>
      <c r="F3449" s="20">
        <v>486906</v>
      </c>
    </row>
    <row r="3450" spans="1:6" ht="16" customHeight="1" x14ac:dyDescent="0.2">
      <c r="A3450">
        <f>IFERROR(VLOOKUP(C3450,'GASB Match'!$D$2:$F$6042,3,FALSE),"")</f>
        <v>3410440</v>
      </c>
      <c r="B3450" s="17">
        <v>2016</v>
      </c>
      <c r="C3450" s="17" t="s">
        <v>433</v>
      </c>
      <c r="D3450" s="17">
        <v>372</v>
      </c>
      <c r="E3450" s="17" t="e">
        <f>#REF!</f>
        <v>#REF!</v>
      </c>
      <c r="F3450" s="20">
        <v>698576</v>
      </c>
    </row>
    <row r="3451" spans="1:6" ht="16" customHeight="1" x14ac:dyDescent="0.2">
      <c r="A3451">
        <f>IFERROR(VLOOKUP(C3451,'GASB Match'!$D$2:$F$6042,3,FALSE),"")</f>
        <v>3410440</v>
      </c>
      <c r="B3451" s="17">
        <v>2018</v>
      </c>
      <c r="C3451" s="17" t="s">
        <v>1125</v>
      </c>
      <c r="D3451" s="17">
        <v>372</v>
      </c>
      <c r="E3451" s="17" t="e">
        <f>#REF!</f>
        <v>#REF!</v>
      </c>
      <c r="F3451" s="20">
        <v>1381009</v>
      </c>
    </row>
    <row r="3452" spans="1:6" ht="16" customHeight="1" x14ac:dyDescent="0.2">
      <c r="A3452">
        <f>IFERROR(VLOOKUP(C3452,'GASB Match'!$D$2:$F$6042,3,FALSE),"")</f>
        <v>3410440</v>
      </c>
      <c r="B3452" s="17">
        <v>2019</v>
      </c>
      <c r="C3452" s="17" t="s">
        <v>1125</v>
      </c>
      <c r="D3452" s="17">
        <v>372</v>
      </c>
      <c r="E3452" s="17" t="e">
        <f>#REF!</f>
        <v>#REF!</v>
      </c>
      <c r="F3452" s="20">
        <v>1654266</v>
      </c>
    </row>
    <row r="3453" spans="1:6" ht="16" customHeight="1" x14ac:dyDescent="0.2">
      <c r="A3453">
        <f>IFERROR(VLOOKUP(C3453,'GASB Match'!$D$2:$F$6042,3,FALSE),"")</f>
        <v>3410440</v>
      </c>
      <c r="B3453" s="17">
        <v>2020</v>
      </c>
      <c r="C3453" s="21" t="s">
        <v>1125</v>
      </c>
      <c r="D3453" s="17">
        <v>372</v>
      </c>
      <c r="E3453" s="17" t="e">
        <f>#REF!</f>
        <v>#REF!</v>
      </c>
      <c r="F3453" s="23">
        <v>1862088</v>
      </c>
    </row>
    <row r="3454" spans="1:6" ht="16" customHeight="1" x14ac:dyDescent="0.2">
      <c r="A3454">
        <f>IFERROR(VLOOKUP(C3454,'GASB Match'!$D$2:$F$6042,3,FALSE),"")</f>
        <v>3410440</v>
      </c>
      <c r="B3454" s="17">
        <v>2021</v>
      </c>
      <c r="C3454" s="25" t="s">
        <v>1125</v>
      </c>
      <c r="D3454" s="17">
        <v>372</v>
      </c>
      <c r="E3454" s="17" t="e">
        <f>#REF!</f>
        <v>#REF!</v>
      </c>
      <c r="F3454" s="23">
        <v>2548351</v>
      </c>
    </row>
    <row r="3455" spans="1:6" ht="16" customHeight="1" x14ac:dyDescent="0.2">
      <c r="A3455">
        <f>IFERROR(VLOOKUP(C3455,'GASB Match'!$D$2:$F$6042,3,FALSE),"")</f>
        <v>3410440</v>
      </c>
      <c r="B3455" s="17">
        <v>2022</v>
      </c>
      <c r="C3455" s="21" t="s">
        <v>1125</v>
      </c>
      <c r="D3455" s="17">
        <v>372</v>
      </c>
      <c r="E3455" s="17" t="e">
        <f>#REF!</f>
        <v>#REF!</v>
      </c>
      <c r="F3455" s="23">
        <v>3671327</v>
      </c>
    </row>
    <row r="3456" spans="1:6" ht="16" customHeight="1" x14ac:dyDescent="0.2">
      <c r="A3456">
        <f>IFERROR(VLOOKUP(C3456,'GASB Match'!$D$2:$F$6042,3,FALSE),"")</f>
        <v>3410440</v>
      </c>
      <c r="B3456" s="17">
        <v>2023</v>
      </c>
      <c r="C3456" s="21" t="s">
        <v>1125</v>
      </c>
      <c r="D3456" s="17">
        <v>372</v>
      </c>
      <c r="E3456" s="17" t="e">
        <f>#REF!</f>
        <v>#REF!</v>
      </c>
      <c r="F3456" s="23">
        <v>3597025</v>
      </c>
    </row>
    <row r="3457" spans="1:6" ht="16" customHeight="1" x14ac:dyDescent="0.2">
      <c r="A3457">
        <f>IFERROR(VLOOKUP(C3457,'GASB Match'!$D$2:$F$6042,3,FALSE),"")</f>
        <v>3410440</v>
      </c>
      <c r="B3457" s="28">
        <v>2017</v>
      </c>
      <c r="C3457" s="29" t="s">
        <v>433</v>
      </c>
      <c r="D3457" s="17">
        <v>372</v>
      </c>
      <c r="E3457" s="17" t="e">
        <f>#REF!</f>
        <v>#REF!</v>
      </c>
      <c r="F3457" s="29">
        <v>984027</v>
      </c>
    </row>
    <row r="3458" spans="1:6" ht="16" customHeight="1" x14ac:dyDescent="0.2">
      <c r="A3458">
        <f>IFERROR(VLOOKUP(C3458,'GASB Match'!$D$2:$F$6042,3,FALSE),"")</f>
        <v>3410470</v>
      </c>
      <c r="B3458" s="17">
        <v>2019</v>
      </c>
      <c r="C3458" s="17" t="s">
        <v>1363</v>
      </c>
      <c r="D3458" s="17">
        <v>7022</v>
      </c>
      <c r="E3458" s="17" t="e">
        <f>#REF!</f>
        <v>#REF!</v>
      </c>
      <c r="F3458" s="20">
        <v>6590503</v>
      </c>
    </row>
    <row r="3459" spans="1:6" ht="16" customHeight="1" x14ac:dyDescent="0.2">
      <c r="A3459">
        <f>IFERROR(VLOOKUP(C3459,'GASB Match'!$D$2:$F$6042,3,FALSE),"")</f>
        <v>3410470</v>
      </c>
      <c r="B3459" s="17">
        <v>2015</v>
      </c>
      <c r="C3459" s="17" t="s">
        <v>289</v>
      </c>
      <c r="D3459" s="17">
        <v>7022</v>
      </c>
      <c r="E3459" s="17" t="e">
        <f>#REF!</f>
        <v>#REF!</v>
      </c>
      <c r="F3459" s="20">
        <v>1763732</v>
      </c>
    </row>
    <row r="3460" spans="1:6" ht="16" customHeight="1" x14ac:dyDescent="0.2">
      <c r="A3460">
        <f>IFERROR(VLOOKUP(C3460,'GASB Match'!$D$2:$F$6042,3,FALSE),"")</f>
        <v>3410470</v>
      </c>
      <c r="B3460" s="17">
        <v>2016</v>
      </c>
      <c r="C3460" s="17" t="s">
        <v>289</v>
      </c>
      <c r="D3460" s="17">
        <v>7022</v>
      </c>
      <c r="E3460" s="17" t="e">
        <f>#REF!</f>
        <v>#REF!</v>
      </c>
      <c r="F3460" s="20">
        <v>2637677</v>
      </c>
    </row>
    <row r="3461" spans="1:6" ht="16" customHeight="1" x14ac:dyDescent="0.2">
      <c r="A3461">
        <f>IFERROR(VLOOKUP(C3461,'GASB Match'!$D$2:$F$6042,3,FALSE),"")</f>
        <v>3410470</v>
      </c>
      <c r="B3461" s="17">
        <v>2018</v>
      </c>
      <c r="C3461" s="17" t="s">
        <v>979</v>
      </c>
      <c r="D3461" s="17">
        <v>7022</v>
      </c>
      <c r="E3461" s="17" t="e">
        <f>#REF!</f>
        <v>#REF!</v>
      </c>
      <c r="F3461" s="20">
        <v>5031799</v>
      </c>
    </row>
    <row r="3462" spans="1:6" ht="16" customHeight="1" x14ac:dyDescent="0.2">
      <c r="A3462">
        <f>IFERROR(VLOOKUP(C3462,'GASB Match'!$D$2:$F$6042,3,FALSE),"")</f>
        <v>3410470</v>
      </c>
      <c r="B3462" s="17">
        <v>2020</v>
      </c>
      <c r="C3462" s="21" t="s">
        <v>979</v>
      </c>
      <c r="D3462" s="17">
        <v>7022</v>
      </c>
      <c r="E3462" s="17" t="e">
        <f>#REF!</f>
        <v>#REF!</v>
      </c>
      <c r="F3462" s="23">
        <v>7724930</v>
      </c>
    </row>
    <row r="3463" spans="1:6" ht="16" customHeight="1" x14ac:dyDescent="0.2">
      <c r="A3463">
        <f>IFERROR(VLOOKUP(C3463,'GASB Match'!$D$2:$F$6042,3,FALSE),"")</f>
        <v>3410470</v>
      </c>
      <c r="B3463" s="17">
        <v>2021</v>
      </c>
      <c r="C3463" s="25" t="s">
        <v>979</v>
      </c>
      <c r="D3463" s="17">
        <v>7022</v>
      </c>
      <c r="E3463" s="17" t="e">
        <f>#REF!</f>
        <v>#REF!</v>
      </c>
      <c r="F3463" s="23">
        <v>9570418</v>
      </c>
    </row>
    <row r="3464" spans="1:6" ht="16" customHeight="1" x14ac:dyDescent="0.2">
      <c r="A3464">
        <f>IFERROR(VLOOKUP(C3464,'GASB Match'!$D$2:$F$6042,3,FALSE),"")</f>
        <v>3410470</v>
      </c>
      <c r="B3464" s="17">
        <v>2022</v>
      </c>
      <c r="C3464" s="21" t="s">
        <v>979</v>
      </c>
      <c r="D3464" s="17">
        <v>7022</v>
      </c>
      <c r="E3464" s="17" t="e">
        <f>#REF!</f>
        <v>#REF!</v>
      </c>
      <c r="F3464" s="23">
        <v>13965147</v>
      </c>
    </row>
    <row r="3465" spans="1:6" ht="16" customHeight="1" x14ac:dyDescent="0.2">
      <c r="A3465">
        <f>IFERROR(VLOOKUP(C3465,'GASB Match'!$D$2:$F$6042,3,FALSE),"")</f>
        <v>3410470</v>
      </c>
      <c r="B3465" s="17">
        <v>2023</v>
      </c>
      <c r="C3465" s="21" t="s">
        <v>979</v>
      </c>
      <c r="D3465" s="17">
        <v>7022</v>
      </c>
      <c r="E3465" s="17" t="e">
        <f>#REF!</f>
        <v>#REF!</v>
      </c>
      <c r="F3465" s="23">
        <v>14676445</v>
      </c>
    </row>
    <row r="3466" spans="1:6" ht="16" customHeight="1" x14ac:dyDescent="0.2">
      <c r="A3466">
        <f>IFERROR(VLOOKUP(C3466,'GASB Match'!$D$2:$F$6042,3,FALSE),"")</f>
        <v>3410470</v>
      </c>
      <c r="B3466" s="28">
        <v>2017</v>
      </c>
      <c r="C3466" s="29" t="s">
        <v>289</v>
      </c>
      <c r="D3466" s="17">
        <v>7022</v>
      </c>
      <c r="E3466" s="17" t="e">
        <f>#REF!</f>
        <v>#REF!</v>
      </c>
      <c r="F3466" s="29">
        <v>3761085</v>
      </c>
    </row>
    <row r="3467" spans="1:6" ht="16" customHeight="1" x14ac:dyDescent="0.2">
      <c r="A3467">
        <f>IFERROR(VLOOKUP(C3467,'GASB Match'!$D$2:$F$6042,3,FALSE),"")</f>
        <v>3410500</v>
      </c>
      <c r="B3467" s="17">
        <v>2015</v>
      </c>
      <c r="C3467" s="17" t="s">
        <v>387</v>
      </c>
      <c r="D3467" s="17">
        <v>243</v>
      </c>
      <c r="E3467" s="17" t="e">
        <f>#REF!</f>
        <v>#REF!</v>
      </c>
      <c r="F3467" s="20">
        <v>2084910</v>
      </c>
    </row>
    <row r="3468" spans="1:6" ht="16" customHeight="1" x14ac:dyDescent="0.2">
      <c r="A3468">
        <f>IFERROR(VLOOKUP(C3468,'GASB Match'!$D$2:$F$6042,3,FALSE),"")</f>
        <v>3410500</v>
      </c>
      <c r="B3468" s="17">
        <v>2016</v>
      </c>
      <c r="C3468" s="17" t="s">
        <v>387</v>
      </c>
      <c r="D3468" s="17">
        <v>243</v>
      </c>
      <c r="E3468" s="17" t="e">
        <f>#REF!</f>
        <v>#REF!</v>
      </c>
      <c r="F3468" s="20">
        <v>3115699</v>
      </c>
    </row>
    <row r="3469" spans="1:6" ht="16" customHeight="1" x14ac:dyDescent="0.2">
      <c r="A3469">
        <f>IFERROR(VLOOKUP(C3469,'GASB Match'!$D$2:$F$6042,3,FALSE),"")</f>
        <v>3410500</v>
      </c>
      <c r="B3469" s="17">
        <v>2018</v>
      </c>
      <c r="C3469" s="17" t="s">
        <v>1079</v>
      </c>
      <c r="D3469" s="17">
        <v>243</v>
      </c>
      <c r="E3469" s="17" t="e">
        <f>#REF!</f>
        <v>#REF!</v>
      </c>
      <c r="F3469" s="20">
        <v>6076720</v>
      </c>
    </row>
    <row r="3470" spans="1:6" ht="16" customHeight="1" x14ac:dyDescent="0.2">
      <c r="A3470">
        <f>IFERROR(VLOOKUP(C3470,'GASB Match'!$D$2:$F$6042,3,FALSE),"")</f>
        <v>3410500</v>
      </c>
      <c r="B3470" s="17">
        <v>2019</v>
      </c>
      <c r="C3470" s="17" t="s">
        <v>1079</v>
      </c>
      <c r="D3470" s="17">
        <v>243</v>
      </c>
      <c r="E3470" s="17" t="e">
        <f>#REF!</f>
        <v>#REF!</v>
      </c>
      <c r="F3470" s="20">
        <v>8373687</v>
      </c>
    </row>
    <row r="3471" spans="1:6" ht="16" customHeight="1" x14ac:dyDescent="0.2">
      <c r="A3471">
        <f>IFERROR(VLOOKUP(C3471,'GASB Match'!$D$2:$F$6042,3,FALSE),"")</f>
        <v>3410500</v>
      </c>
      <c r="B3471" s="17">
        <v>2020</v>
      </c>
      <c r="C3471" s="21" t="s">
        <v>1079</v>
      </c>
      <c r="D3471" s="17">
        <v>243</v>
      </c>
      <c r="E3471" s="17" t="e">
        <f>#REF!</f>
        <v>#REF!</v>
      </c>
      <c r="F3471" s="23">
        <v>9475924</v>
      </c>
    </row>
    <row r="3472" spans="1:6" ht="16" customHeight="1" x14ac:dyDescent="0.2">
      <c r="A3472">
        <f>IFERROR(VLOOKUP(C3472,'GASB Match'!$D$2:$F$6042,3,FALSE),"")</f>
        <v>3410500</v>
      </c>
      <c r="B3472" s="17">
        <v>2021</v>
      </c>
      <c r="C3472" s="25" t="s">
        <v>1079</v>
      </c>
      <c r="D3472" s="17">
        <v>243</v>
      </c>
      <c r="E3472" s="17" t="e">
        <f>#REF!</f>
        <v>#REF!</v>
      </c>
      <c r="F3472" s="23">
        <v>13082366</v>
      </c>
    </row>
    <row r="3473" spans="1:6" ht="16" customHeight="1" x14ac:dyDescent="0.2">
      <c r="A3473">
        <f>IFERROR(VLOOKUP(C3473,'GASB Match'!$D$2:$F$6042,3,FALSE),"")</f>
        <v>3410500</v>
      </c>
      <c r="B3473" s="17">
        <v>2022</v>
      </c>
      <c r="C3473" s="21" t="s">
        <v>1079</v>
      </c>
      <c r="D3473" s="17">
        <v>243</v>
      </c>
      <c r="E3473" s="17" t="e">
        <f>#REF!</f>
        <v>#REF!</v>
      </c>
      <c r="F3473" s="23">
        <v>19004262</v>
      </c>
    </row>
    <row r="3474" spans="1:6" ht="16" customHeight="1" x14ac:dyDescent="0.2">
      <c r="A3474">
        <f>IFERROR(VLOOKUP(C3474,'GASB Match'!$D$2:$F$6042,3,FALSE),"")</f>
        <v>3410500</v>
      </c>
      <c r="B3474" s="17">
        <v>2023</v>
      </c>
      <c r="C3474" s="21" t="s">
        <v>1079</v>
      </c>
      <c r="D3474" s="17">
        <v>243</v>
      </c>
      <c r="E3474" s="17" t="e">
        <f>#REF!</f>
        <v>#REF!</v>
      </c>
      <c r="F3474" s="23">
        <v>19123801</v>
      </c>
    </row>
    <row r="3475" spans="1:6" ht="16" customHeight="1" x14ac:dyDescent="0.2">
      <c r="A3475">
        <f>IFERROR(VLOOKUP(C3475,'GASB Match'!$D$2:$F$6042,3,FALSE),"")</f>
        <v>3410500</v>
      </c>
      <c r="B3475" s="28">
        <v>2017</v>
      </c>
      <c r="C3475" s="29" t="s">
        <v>387</v>
      </c>
      <c r="D3475" s="17">
        <v>243</v>
      </c>
      <c r="E3475" s="17" t="e">
        <f>#REF!</f>
        <v>#REF!</v>
      </c>
      <c r="F3475" s="29">
        <v>4413926</v>
      </c>
    </row>
    <row r="3476" spans="1:6" ht="16" customHeight="1" x14ac:dyDescent="0.2">
      <c r="A3476">
        <f>IFERROR(VLOOKUP(C3476,'GASB Match'!$D$2:$F$6042,3,FALSE),"")</f>
        <v>3410530</v>
      </c>
      <c r="B3476" s="17">
        <v>2015</v>
      </c>
      <c r="C3476" s="17" t="s">
        <v>597</v>
      </c>
      <c r="D3476" s="17">
        <v>785</v>
      </c>
      <c r="E3476" s="17" t="e">
        <f>#REF!</f>
        <v>#REF!</v>
      </c>
      <c r="F3476" s="20">
        <v>132203</v>
      </c>
    </row>
    <row r="3477" spans="1:6" ht="16" customHeight="1" x14ac:dyDescent="0.2">
      <c r="A3477">
        <f>IFERROR(VLOOKUP(C3477,'GASB Match'!$D$2:$F$6042,3,FALSE),"")</f>
        <v>3410530</v>
      </c>
      <c r="B3477" s="17">
        <v>2016</v>
      </c>
      <c r="C3477" s="17" t="s">
        <v>597</v>
      </c>
      <c r="D3477" s="17">
        <v>785</v>
      </c>
      <c r="E3477" s="17" t="e">
        <f>#REF!</f>
        <v>#REF!</v>
      </c>
      <c r="F3477" s="20">
        <v>199394</v>
      </c>
    </row>
    <row r="3478" spans="1:6" ht="16" customHeight="1" x14ac:dyDescent="0.2">
      <c r="A3478">
        <f>IFERROR(VLOOKUP(C3478,'GASB Match'!$D$2:$F$6042,3,FALSE),"")</f>
        <v>3410530</v>
      </c>
      <c r="B3478" s="17">
        <v>2018</v>
      </c>
      <c r="C3478" s="17" t="s">
        <v>1290</v>
      </c>
      <c r="D3478" s="17">
        <v>785</v>
      </c>
      <c r="E3478" s="17" t="e">
        <f>#REF!</f>
        <v>#REF!</v>
      </c>
      <c r="F3478" s="20">
        <v>341735</v>
      </c>
    </row>
    <row r="3479" spans="1:6" ht="16" customHeight="1" x14ac:dyDescent="0.2">
      <c r="A3479">
        <f>IFERROR(VLOOKUP(C3479,'GASB Match'!$D$2:$F$6042,3,FALSE),"")</f>
        <v>3410530</v>
      </c>
      <c r="B3479" s="17">
        <v>2019</v>
      </c>
      <c r="C3479" s="17" t="s">
        <v>1290</v>
      </c>
      <c r="D3479" s="17">
        <v>785</v>
      </c>
      <c r="E3479" s="17" t="e">
        <f>#REF!</f>
        <v>#REF!</v>
      </c>
      <c r="F3479" s="20">
        <v>405593</v>
      </c>
    </row>
    <row r="3480" spans="1:6" ht="16" customHeight="1" x14ac:dyDescent="0.2">
      <c r="A3480">
        <f>IFERROR(VLOOKUP(C3480,'GASB Match'!$D$2:$F$6042,3,FALSE),"")</f>
        <v>3410530</v>
      </c>
      <c r="B3480" s="17">
        <v>2020</v>
      </c>
      <c r="C3480" s="21" t="s">
        <v>1290</v>
      </c>
      <c r="D3480" s="17">
        <v>785</v>
      </c>
      <c r="E3480" s="17" t="e">
        <f>#REF!</f>
        <v>#REF!</v>
      </c>
      <c r="F3480" s="23">
        <v>463503</v>
      </c>
    </row>
    <row r="3481" spans="1:6" ht="16" customHeight="1" x14ac:dyDescent="0.2">
      <c r="A3481">
        <f>IFERROR(VLOOKUP(C3481,'GASB Match'!$D$2:$F$6042,3,FALSE),"")</f>
        <v>3410530</v>
      </c>
      <c r="B3481" s="17">
        <v>2021</v>
      </c>
      <c r="C3481" s="25" t="s">
        <v>1290</v>
      </c>
      <c r="D3481" s="17">
        <v>785</v>
      </c>
      <c r="E3481" s="17" t="e">
        <f>#REF!</f>
        <v>#REF!</v>
      </c>
      <c r="F3481" s="23">
        <v>621217</v>
      </c>
    </row>
    <row r="3482" spans="1:6" ht="16" customHeight="1" x14ac:dyDescent="0.2">
      <c r="A3482">
        <f>IFERROR(VLOOKUP(C3482,'GASB Match'!$D$2:$F$6042,3,FALSE),"")</f>
        <v>3410530</v>
      </c>
      <c r="B3482" s="17">
        <v>2022</v>
      </c>
      <c r="C3482" s="21" t="s">
        <v>1290</v>
      </c>
      <c r="D3482" s="17">
        <v>785</v>
      </c>
      <c r="E3482" s="17" t="e">
        <f>#REF!</f>
        <v>#REF!</v>
      </c>
      <c r="F3482" s="23">
        <v>877628</v>
      </c>
    </row>
    <row r="3483" spans="1:6" ht="16" customHeight="1" x14ac:dyDescent="0.2">
      <c r="A3483">
        <f>IFERROR(VLOOKUP(C3483,'GASB Match'!$D$2:$F$6042,3,FALSE),"")</f>
        <v>3410530</v>
      </c>
      <c r="B3483" s="17">
        <v>2023</v>
      </c>
      <c r="C3483" s="21" t="s">
        <v>1290</v>
      </c>
      <c r="D3483" s="17">
        <v>785</v>
      </c>
      <c r="E3483" s="17" t="e">
        <f>#REF!</f>
        <v>#REF!</v>
      </c>
      <c r="F3483" s="23">
        <v>912998</v>
      </c>
    </row>
    <row r="3484" spans="1:6" ht="16" customHeight="1" x14ac:dyDescent="0.2">
      <c r="A3484">
        <f>IFERROR(VLOOKUP(C3484,'GASB Match'!$D$2:$F$6042,3,FALSE),"")</f>
        <v>3410530</v>
      </c>
      <c r="B3484" s="28">
        <v>2017</v>
      </c>
      <c r="C3484" s="29" t="s">
        <v>597</v>
      </c>
      <c r="D3484" s="17">
        <v>785</v>
      </c>
      <c r="E3484" s="17" t="e">
        <f>#REF!</f>
        <v>#REF!</v>
      </c>
      <c r="F3484" s="29">
        <v>258563</v>
      </c>
    </row>
    <row r="3485" spans="1:6" ht="16" customHeight="1" x14ac:dyDescent="0.2">
      <c r="A3485">
        <f>IFERROR(VLOOKUP(C3485,'GASB Match'!$D$2:$F$6042,3,FALSE),"")</f>
        <v>3410560</v>
      </c>
      <c r="B3485" s="17">
        <v>2015</v>
      </c>
      <c r="C3485" s="17" t="s">
        <v>250</v>
      </c>
      <c r="D3485" s="17">
        <v>6050</v>
      </c>
      <c r="E3485" s="17" t="e">
        <f>#REF!</f>
        <v>#REF!</v>
      </c>
      <c r="F3485" s="20">
        <v>2752708</v>
      </c>
    </row>
    <row r="3486" spans="1:6" ht="16" customHeight="1" x14ac:dyDescent="0.2">
      <c r="A3486">
        <f>IFERROR(VLOOKUP(C3486,'GASB Match'!$D$2:$F$6042,3,FALSE),"")</f>
        <v>3410560</v>
      </c>
      <c r="B3486" s="17">
        <v>2016</v>
      </c>
      <c r="C3486" s="17" t="s">
        <v>250</v>
      </c>
      <c r="D3486" s="17">
        <v>6050</v>
      </c>
      <c r="E3486" s="17" t="e">
        <f>#REF!</f>
        <v>#REF!</v>
      </c>
      <c r="F3486" s="20">
        <v>4220714</v>
      </c>
    </row>
    <row r="3487" spans="1:6" ht="16" customHeight="1" x14ac:dyDescent="0.2">
      <c r="A3487">
        <f>IFERROR(VLOOKUP(C3487,'GASB Match'!$D$2:$F$6042,3,FALSE),"")</f>
        <v>3410560</v>
      </c>
      <c r="B3487" s="17">
        <v>2018</v>
      </c>
      <c r="C3487" s="17" t="s">
        <v>938</v>
      </c>
      <c r="D3487" s="17">
        <v>6050</v>
      </c>
      <c r="E3487" s="17" t="e">
        <f>#REF!</f>
        <v>#REF!</v>
      </c>
      <c r="F3487" s="20">
        <v>8045716</v>
      </c>
    </row>
    <row r="3488" spans="1:6" ht="16" customHeight="1" x14ac:dyDescent="0.2">
      <c r="A3488">
        <f>IFERROR(VLOOKUP(C3488,'GASB Match'!$D$2:$F$6042,3,FALSE),"")</f>
        <v>3410560</v>
      </c>
      <c r="B3488" s="17">
        <v>2019</v>
      </c>
      <c r="C3488" s="17" t="s">
        <v>938</v>
      </c>
      <c r="D3488" s="17">
        <v>6050</v>
      </c>
      <c r="E3488" s="17" t="e">
        <f>#REF!</f>
        <v>#REF!</v>
      </c>
      <c r="F3488" s="20">
        <v>10893189</v>
      </c>
    </row>
    <row r="3489" spans="1:6" ht="16" customHeight="1" x14ac:dyDescent="0.2">
      <c r="A3489">
        <f>IFERROR(VLOOKUP(C3489,'GASB Match'!$D$2:$F$6042,3,FALSE),"")</f>
        <v>3410560</v>
      </c>
      <c r="B3489" s="17">
        <v>2020</v>
      </c>
      <c r="C3489" s="21" t="s">
        <v>938</v>
      </c>
      <c r="D3489" s="17">
        <v>6050</v>
      </c>
      <c r="E3489" s="17" t="e">
        <f>#REF!</f>
        <v>#REF!</v>
      </c>
      <c r="F3489" s="23">
        <v>12345847</v>
      </c>
    </row>
    <row r="3490" spans="1:6" ht="16" customHeight="1" x14ac:dyDescent="0.2">
      <c r="A3490">
        <f>IFERROR(VLOOKUP(C3490,'GASB Match'!$D$2:$F$6042,3,FALSE),"")</f>
        <v>3410560</v>
      </c>
      <c r="B3490" s="17">
        <v>2021</v>
      </c>
      <c r="C3490" s="25" t="s">
        <v>938</v>
      </c>
      <c r="D3490" s="17">
        <v>6050</v>
      </c>
      <c r="E3490" s="17" t="e">
        <f>#REF!</f>
        <v>#REF!</v>
      </c>
      <c r="F3490" s="23">
        <v>15366091</v>
      </c>
    </row>
    <row r="3491" spans="1:6" ht="16" customHeight="1" x14ac:dyDescent="0.2">
      <c r="A3491">
        <f>IFERROR(VLOOKUP(C3491,'GASB Match'!$D$2:$F$6042,3,FALSE),"")</f>
        <v>3410560</v>
      </c>
      <c r="B3491" s="17">
        <v>2022</v>
      </c>
      <c r="C3491" s="21" t="s">
        <v>938</v>
      </c>
      <c r="D3491" s="17">
        <v>6050</v>
      </c>
      <c r="E3491" s="17" t="e">
        <f>#REF!</f>
        <v>#REF!</v>
      </c>
      <c r="F3491" s="23">
        <v>22681915</v>
      </c>
    </row>
    <row r="3492" spans="1:6" ht="16" customHeight="1" x14ac:dyDescent="0.2">
      <c r="A3492">
        <f>IFERROR(VLOOKUP(C3492,'GASB Match'!$D$2:$F$6042,3,FALSE),"")</f>
        <v>3410560</v>
      </c>
      <c r="B3492" s="17">
        <v>2023</v>
      </c>
      <c r="C3492" s="21" t="s">
        <v>938</v>
      </c>
      <c r="D3492" s="17">
        <v>6050</v>
      </c>
      <c r="E3492" s="17" t="e">
        <f>#REF!</f>
        <v>#REF!</v>
      </c>
      <c r="F3492" s="23">
        <v>22736126</v>
      </c>
    </row>
    <row r="3493" spans="1:6" ht="16" customHeight="1" x14ac:dyDescent="0.2">
      <c r="A3493">
        <f>IFERROR(VLOOKUP(C3493,'GASB Match'!$D$2:$F$6042,3,FALSE),"")</f>
        <v>3410560</v>
      </c>
      <c r="B3493" s="28">
        <v>2017</v>
      </c>
      <c r="C3493" s="29" t="s">
        <v>250</v>
      </c>
      <c r="D3493" s="17">
        <v>6050</v>
      </c>
      <c r="E3493" s="17" t="e">
        <f>#REF!</f>
        <v>#REF!</v>
      </c>
      <c r="F3493" s="29">
        <v>6078033</v>
      </c>
    </row>
    <row r="3494" spans="1:6" ht="16" customHeight="1" x14ac:dyDescent="0.2">
      <c r="A3494" t="str">
        <f>IFERROR(VLOOKUP(C3494,'GASB Match'!$D$2:$F$6042,3,FALSE),"")</f>
        <v/>
      </c>
      <c r="B3494" s="17">
        <v>2015</v>
      </c>
      <c r="C3494" s="17" t="s">
        <v>1394</v>
      </c>
      <c r="D3494" s="17">
        <v>90414</v>
      </c>
      <c r="E3494" s="18"/>
      <c r="F3494" s="20">
        <v>146149</v>
      </c>
    </row>
    <row r="3495" spans="1:6" ht="16" customHeight="1" x14ac:dyDescent="0.2">
      <c r="A3495" t="str">
        <f>IFERROR(VLOOKUP(C3495,'GASB Match'!$D$2:$F$6042,3,FALSE),"")</f>
        <v/>
      </c>
      <c r="B3495" s="17">
        <v>2016</v>
      </c>
      <c r="C3495" s="17" t="s">
        <v>1394</v>
      </c>
      <c r="D3495" s="17">
        <v>90414</v>
      </c>
      <c r="E3495" s="18"/>
      <c r="F3495" s="20">
        <v>43076</v>
      </c>
    </row>
    <row r="3496" spans="1:6" ht="16" customHeight="1" x14ac:dyDescent="0.2">
      <c r="A3496" t="str">
        <f>IFERROR(VLOOKUP(C3496,'GASB Match'!$D$2:$F$6042,3,FALSE),"")</f>
        <v/>
      </c>
      <c r="B3496" s="17">
        <v>2018</v>
      </c>
      <c r="C3496" s="17" t="s">
        <v>1435</v>
      </c>
      <c r="D3496" s="17">
        <v>90414</v>
      </c>
      <c r="E3496" s="18"/>
      <c r="F3496" s="20">
        <v>75954</v>
      </c>
    </row>
    <row r="3497" spans="1:6" ht="16" customHeight="1" x14ac:dyDescent="0.2">
      <c r="A3497" t="str">
        <f>IFERROR(VLOOKUP(C3497,'GASB Match'!$D$2:$F$6042,3,FALSE),"")</f>
        <v/>
      </c>
      <c r="B3497" s="17">
        <v>2019</v>
      </c>
      <c r="C3497" s="17" t="s">
        <v>1435</v>
      </c>
      <c r="D3497" s="17">
        <v>90414</v>
      </c>
      <c r="E3497" s="18"/>
      <c r="F3497" s="20">
        <v>96378</v>
      </c>
    </row>
    <row r="3498" spans="1:6" ht="16" customHeight="1" x14ac:dyDescent="0.2">
      <c r="A3498" t="str">
        <f>IFERROR(VLOOKUP(C3498,'GASB Match'!$D$2:$F$6042,3,FALSE),"")</f>
        <v/>
      </c>
      <c r="B3498" s="17">
        <v>2020</v>
      </c>
      <c r="C3498" s="21" t="s">
        <v>1435</v>
      </c>
      <c r="D3498" s="17">
        <v>90414</v>
      </c>
      <c r="E3498" s="21"/>
      <c r="F3498" s="23">
        <v>110259</v>
      </c>
    </row>
    <row r="3499" spans="1:6" ht="16" customHeight="1" x14ac:dyDescent="0.2">
      <c r="A3499" t="str">
        <f>IFERROR(VLOOKUP(C3499,'GASB Match'!$D$2:$F$6042,3,FALSE),"")</f>
        <v/>
      </c>
      <c r="B3499" s="17">
        <v>2021</v>
      </c>
      <c r="C3499" s="25" t="s">
        <v>1435</v>
      </c>
      <c r="D3499" s="17">
        <v>90414</v>
      </c>
      <c r="E3499" s="25"/>
      <c r="F3499" s="23">
        <v>125002</v>
      </c>
    </row>
    <row r="3500" spans="1:6" ht="16" customHeight="1" x14ac:dyDescent="0.2">
      <c r="A3500" t="str">
        <f>IFERROR(VLOOKUP(C3500,'GASB Match'!$D$2:$F$6042,3,FALSE),"")</f>
        <v/>
      </c>
      <c r="B3500" s="17">
        <v>2022</v>
      </c>
      <c r="C3500" s="21" t="s">
        <v>1435</v>
      </c>
      <c r="D3500" s="17">
        <v>90414</v>
      </c>
      <c r="E3500" s="21"/>
      <c r="F3500" s="23">
        <v>175891</v>
      </c>
    </row>
    <row r="3501" spans="1:6" ht="16" customHeight="1" x14ac:dyDescent="0.2">
      <c r="A3501" t="str">
        <f>IFERROR(VLOOKUP(C3501,'GASB Match'!$D$2:$F$6042,3,FALSE),"")</f>
        <v/>
      </c>
      <c r="B3501" s="17">
        <v>2023</v>
      </c>
      <c r="C3501" s="21" t="s">
        <v>1435</v>
      </c>
      <c r="D3501" s="17">
        <v>90414</v>
      </c>
      <c r="E3501" s="21"/>
      <c r="F3501" s="23">
        <v>163117</v>
      </c>
    </row>
    <row r="3502" spans="1:6" ht="16" customHeight="1" x14ac:dyDescent="0.2">
      <c r="A3502" t="str">
        <f>IFERROR(VLOOKUP(C3502,'GASB Match'!$D$2:$F$6042,3,FALSE),"")</f>
        <v/>
      </c>
      <c r="B3502" s="28">
        <v>2017</v>
      </c>
      <c r="C3502" s="29" t="s">
        <v>1394</v>
      </c>
      <c r="D3502" s="17">
        <v>90414</v>
      </c>
      <c r="E3502" s="29"/>
      <c r="F3502" s="29">
        <v>60121</v>
      </c>
    </row>
    <row r="3503" spans="1:6" ht="16" customHeight="1" x14ac:dyDescent="0.2">
      <c r="A3503">
        <f>IFERROR(VLOOKUP(C3503,'GASB Match'!$D$2:$F$6042,3,FALSE),"")</f>
        <v>3410590</v>
      </c>
      <c r="B3503" s="17">
        <v>2015</v>
      </c>
      <c r="C3503" s="17" t="s">
        <v>573</v>
      </c>
      <c r="D3503" s="17">
        <v>751</v>
      </c>
      <c r="E3503" s="17" t="s">
        <v>1425</v>
      </c>
      <c r="F3503" s="20">
        <v>1768091</v>
      </c>
    </row>
    <row r="3504" spans="1:6" ht="16" customHeight="1" x14ac:dyDescent="0.2">
      <c r="A3504">
        <f>IFERROR(VLOOKUP(C3504,'GASB Match'!$D$2:$F$6042,3,FALSE),"")</f>
        <v>3410590</v>
      </c>
      <c r="B3504" s="17">
        <v>2016</v>
      </c>
      <c r="C3504" s="17" t="s">
        <v>573</v>
      </c>
      <c r="D3504" s="17">
        <v>751</v>
      </c>
      <c r="E3504" s="17" t="s">
        <v>1425</v>
      </c>
      <c r="F3504" s="20">
        <v>2617320</v>
      </c>
    </row>
    <row r="3505" spans="1:6" ht="16" customHeight="1" x14ac:dyDescent="0.2">
      <c r="A3505">
        <f>IFERROR(VLOOKUP(C3505,'GASB Match'!$D$2:$F$6042,3,FALSE),"")</f>
        <v>3410590</v>
      </c>
      <c r="B3505" s="17">
        <v>2018</v>
      </c>
      <c r="C3505" s="17" t="s">
        <v>1265</v>
      </c>
      <c r="D3505" s="17">
        <v>751</v>
      </c>
      <c r="E3505" s="17" t="s">
        <v>1468</v>
      </c>
      <c r="F3505" s="20">
        <v>5041993</v>
      </c>
    </row>
    <row r="3506" spans="1:6" ht="16" customHeight="1" x14ac:dyDescent="0.2">
      <c r="A3506">
        <f>IFERROR(VLOOKUP(C3506,'GASB Match'!$D$2:$F$6042,3,FALSE),"")</f>
        <v>3410590</v>
      </c>
      <c r="B3506" s="17">
        <v>2019</v>
      </c>
      <c r="C3506" s="17" t="s">
        <v>1265</v>
      </c>
      <c r="D3506" s="17">
        <v>751</v>
      </c>
      <c r="E3506" s="17" t="s">
        <v>1468</v>
      </c>
      <c r="F3506" s="20">
        <v>6886159</v>
      </c>
    </row>
    <row r="3507" spans="1:6" ht="16" customHeight="1" x14ac:dyDescent="0.2">
      <c r="A3507">
        <f>IFERROR(VLOOKUP(C3507,'GASB Match'!$D$2:$F$6042,3,FALSE),"")</f>
        <v>3410590</v>
      </c>
      <c r="B3507" s="17">
        <v>2020</v>
      </c>
      <c r="C3507" s="21" t="s">
        <v>1265</v>
      </c>
      <c r="D3507" s="17">
        <v>751</v>
      </c>
      <c r="E3507" s="17" t="s">
        <v>1468</v>
      </c>
      <c r="F3507" s="23">
        <v>7740293</v>
      </c>
    </row>
    <row r="3508" spans="1:6" ht="16" customHeight="1" x14ac:dyDescent="0.2">
      <c r="A3508">
        <f>IFERROR(VLOOKUP(C3508,'GASB Match'!$D$2:$F$6042,3,FALSE),"")</f>
        <v>3410590</v>
      </c>
      <c r="B3508" s="17">
        <v>2021</v>
      </c>
      <c r="C3508" s="25" t="s">
        <v>1265</v>
      </c>
      <c r="D3508" s="17">
        <v>751</v>
      </c>
      <c r="E3508" s="17" t="s">
        <v>1468</v>
      </c>
      <c r="F3508" s="23">
        <v>9958436</v>
      </c>
    </row>
    <row r="3509" spans="1:6" ht="16" customHeight="1" x14ac:dyDescent="0.2">
      <c r="A3509">
        <f>IFERROR(VLOOKUP(C3509,'GASB Match'!$D$2:$F$6042,3,FALSE),"")</f>
        <v>3410590</v>
      </c>
      <c r="B3509" s="17">
        <v>2022</v>
      </c>
      <c r="C3509" s="21" t="s">
        <v>1265</v>
      </c>
      <c r="D3509" s="17">
        <v>751</v>
      </c>
      <c r="E3509" s="17" t="s">
        <v>1468</v>
      </c>
      <c r="F3509" s="23">
        <v>14826962</v>
      </c>
    </row>
    <row r="3510" spans="1:6" ht="16" customHeight="1" x14ac:dyDescent="0.2">
      <c r="A3510">
        <f>IFERROR(VLOOKUP(C3510,'GASB Match'!$D$2:$F$6042,3,FALSE),"")</f>
        <v>3410590</v>
      </c>
      <c r="B3510" s="17">
        <v>2023</v>
      </c>
      <c r="C3510" s="21" t="s">
        <v>1265</v>
      </c>
      <c r="D3510" s="17">
        <v>751</v>
      </c>
      <c r="E3510" s="17" t="s">
        <v>1468</v>
      </c>
      <c r="F3510" s="23">
        <v>14813148</v>
      </c>
    </row>
    <row r="3511" spans="1:6" ht="16" customHeight="1" x14ac:dyDescent="0.2">
      <c r="A3511">
        <f>IFERROR(VLOOKUP(C3511,'GASB Match'!$D$2:$F$6042,3,FALSE),"")</f>
        <v>3410590</v>
      </c>
      <c r="B3511" s="28">
        <v>2017</v>
      </c>
      <c r="C3511" s="29" t="s">
        <v>573</v>
      </c>
      <c r="D3511" s="17">
        <v>751</v>
      </c>
      <c r="E3511" s="17" t="s">
        <v>1425</v>
      </c>
      <c r="F3511" s="29">
        <v>3691986</v>
      </c>
    </row>
    <row r="3512" spans="1:6" ht="16" customHeight="1" x14ac:dyDescent="0.2">
      <c r="A3512">
        <f>IFERROR(VLOOKUP(C3512,'GASB Match'!$D$2:$F$6042,3,FALSE),"")</f>
        <v>3410620</v>
      </c>
      <c r="B3512" s="17">
        <v>2015</v>
      </c>
      <c r="C3512" s="17" t="s">
        <v>67</v>
      </c>
      <c r="D3512" s="17">
        <v>2061</v>
      </c>
      <c r="E3512" s="17" t="s">
        <v>1402</v>
      </c>
      <c r="F3512" s="20">
        <v>385518</v>
      </c>
    </row>
    <row r="3513" spans="1:6" ht="16" customHeight="1" x14ac:dyDescent="0.2">
      <c r="A3513">
        <f>IFERROR(VLOOKUP(C3513,'GASB Match'!$D$2:$F$6042,3,FALSE),"")</f>
        <v>3410620</v>
      </c>
      <c r="B3513" s="17">
        <v>2016</v>
      </c>
      <c r="C3513" s="17" t="s">
        <v>67</v>
      </c>
      <c r="D3513" s="17">
        <v>2061</v>
      </c>
      <c r="E3513" s="17" t="s">
        <v>1402</v>
      </c>
      <c r="F3513" s="20">
        <v>551651</v>
      </c>
    </row>
    <row r="3514" spans="1:6" ht="16" customHeight="1" x14ac:dyDescent="0.2">
      <c r="A3514">
        <f>IFERROR(VLOOKUP(C3514,'GASB Match'!$D$2:$F$6042,3,FALSE),"")</f>
        <v>3410620</v>
      </c>
      <c r="B3514" s="17">
        <v>2018</v>
      </c>
      <c r="C3514" s="17" t="s">
        <v>745</v>
      </c>
      <c r="D3514" s="17">
        <v>2061</v>
      </c>
      <c r="E3514" s="17" t="s">
        <v>1443</v>
      </c>
      <c r="F3514" s="20">
        <v>1025424</v>
      </c>
    </row>
    <row r="3515" spans="1:6" ht="16" customHeight="1" x14ac:dyDescent="0.2">
      <c r="A3515">
        <f>IFERROR(VLOOKUP(C3515,'GASB Match'!$D$2:$F$6042,3,FALSE),"")</f>
        <v>3410620</v>
      </c>
      <c r="B3515" s="17">
        <v>2019</v>
      </c>
      <c r="C3515" s="17" t="s">
        <v>745</v>
      </c>
      <c r="D3515" s="17">
        <v>2061</v>
      </c>
      <c r="E3515" s="17" t="s">
        <v>1443</v>
      </c>
      <c r="F3515" s="20">
        <v>1445897</v>
      </c>
    </row>
    <row r="3516" spans="1:6" ht="16" customHeight="1" x14ac:dyDescent="0.2">
      <c r="A3516">
        <f>IFERROR(VLOOKUP(C3516,'GASB Match'!$D$2:$F$6042,3,FALSE),"")</f>
        <v>3410620</v>
      </c>
      <c r="B3516" s="17">
        <v>2020</v>
      </c>
      <c r="C3516" s="21" t="s">
        <v>745</v>
      </c>
      <c r="D3516" s="17">
        <v>2061</v>
      </c>
      <c r="E3516" s="17" t="s">
        <v>1443</v>
      </c>
      <c r="F3516" s="23">
        <v>1678006</v>
      </c>
    </row>
    <row r="3517" spans="1:6" ht="16" customHeight="1" x14ac:dyDescent="0.2">
      <c r="A3517">
        <f>IFERROR(VLOOKUP(C3517,'GASB Match'!$D$2:$F$6042,3,FALSE),"")</f>
        <v>3410620</v>
      </c>
      <c r="B3517" s="17">
        <v>2021</v>
      </c>
      <c r="C3517" s="25" t="s">
        <v>745</v>
      </c>
      <c r="D3517" s="17">
        <v>2061</v>
      </c>
      <c r="E3517" s="17" t="s">
        <v>1443</v>
      </c>
      <c r="F3517" s="23">
        <v>2205915</v>
      </c>
    </row>
    <row r="3518" spans="1:6" ht="16" customHeight="1" x14ac:dyDescent="0.2">
      <c r="A3518">
        <f>IFERROR(VLOOKUP(C3518,'GASB Match'!$D$2:$F$6042,3,FALSE),"")</f>
        <v>3410620</v>
      </c>
      <c r="B3518" s="17">
        <v>2022</v>
      </c>
      <c r="C3518" s="21" t="s">
        <v>745</v>
      </c>
      <c r="D3518" s="17">
        <v>2061</v>
      </c>
      <c r="E3518" s="17" t="s">
        <v>1443</v>
      </c>
      <c r="F3518" s="23">
        <v>3156867</v>
      </c>
    </row>
    <row r="3519" spans="1:6" ht="16" customHeight="1" x14ac:dyDescent="0.2">
      <c r="A3519">
        <f>IFERROR(VLOOKUP(C3519,'GASB Match'!$D$2:$F$6042,3,FALSE),"")</f>
        <v>3410620</v>
      </c>
      <c r="B3519" s="17">
        <v>2023</v>
      </c>
      <c r="C3519" s="21" t="s">
        <v>745</v>
      </c>
      <c r="D3519" s="17">
        <v>2061</v>
      </c>
      <c r="E3519" s="17" t="s">
        <v>1443</v>
      </c>
      <c r="F3519" s="22">
        <v>3242777</v>
      </c>
    </row>
    <row r="3520" spans="1:6" ht="16" customHeight="1" x14ac:dyDescent="0.2">
      <c r="A3520">
        <f>IFERROR(VLOOKUP(C3520,'GASB Match'!$D$2:$F$6042,3,FALSE),"")</f>
        <v>3410620</v>
      </c>
      <c r="B3520" s="28">
        <v>2017</v>
      </c>
      <c r="C3520" s="29" t="s">
        <v>67</v>
      </c>
      <c r="D3520" s="17">
        <v>2061</v>
      </c>
      <c r="E3520" s="17" t="s">
        <v>1402</v>
      </c>
      <c r="F3520" s="29">
        <v>805966</v>
      </c>
    </row>
    <row r="3521" spans="1:6" ht="16" customHeight="1" x14ac:dyDescent="0.2">
      <c r="A3521">
        <f>IFERROR(VLOOKUP(C3521,'GASB Match'!$D$2:$F$6042,3,FALSE),"")</f>
        <v>3410650</v>
      </c>
      <c r="B3521" s="17">
        <v>2015</v>
      </c>
      <c r="C3521" s="17" t="s">
        <v>474</v>
      </c>
      <c r="D3521" s="17">
        <v>431</v>
      </c>
      <c r="E3521" s="17" t="s">
        <v>1421</v>
      </c>
      <c r="F3521" s="20">
        <v>1728129</v>
      </c>
    </row>
    <row r="3522" spans="1:6" ht="16" customHeight="1" x14ac:dyDescent="0.2">
      <c r="A3522">
        <f>IFERROR(VLOOKUP(C3522,'GASB Match'!$D$2:$F$6042,3,FALSE),"")</f>
        <v>3410650</v>
      </c>
      <c r="B3522" s="17">
        <v>2016</v>
      </c>
      <c r="C3522" s="17" t="s">
        <v>474</v>
      </c>
      <c r="D3522" s="17">
        <v>431</v>
      </c>
      <c r="E3522" s="17" t="s">
        <v>1421</v>
      </c>
      <c r="F3522" s="20">
        <v>2577985</v>
      </c>
    </row>
    <row r="3523" spans="1:6" ht="16" customHeight="1" x14ac:dyDescent="0.2">
      <c r="A3523">
        <f>IFERROR(VLOOKUP(C3523,'GASB Match'!$D$2:$F$6042,3,FALSE),"")</f>
        <v>3410650</v>
      </c>
      <c r="B3523" s="17">
        <v>2018</v>
      </c>
      <c r="C3523" s="17" t="s">
        <v>1166</v>
      </c>
      <c r="D3523" s="17">
        <v>431</v>
      </c>
      <c r="E3523" s="17" t="s">
        <v>1464</v>
      </c>
      <c r="F3523" s="20">
        <v>4968385</v>
      </c>
    </row>
    <row r="3524" spans="1:6" ht="16" customHeight="1" x14ac:dyDescent="0.2">
      <c r="A3524">
        <f>IFERROR(VLOOKUP(C3524,'GASB Match'!$D$2:$F$6042,3,FALSE),"")</f>
        <v>3410650</v>
      </c>
      <c r="B3524" s="17">
        <v>2019</v>
      </c>
      <c r="C3524" s="17" t="s">
        <v>1166</v>
      </c>
      <c r="D3524" s="17">
        <v>431</v>
      </c>
      <c r="E3524" s="17" t="s">
        <v>1464</v>
      </c>
      <c r="F3524" s="20">
        <v>6716908</v>
      </c>
    </row>
    <row r="3525" spans="1:6" ht="16" customHeight="1" x14ac:dyDescent="0.2">
      <c r="A3525">
        <f>IFERROR(VLOOKUP(C3525,'GASB Match'!$D$2:$F$6042,3,FALSE),"")</f>
        <v>3410650</v>
      </c>
      <c r="B3525" s="17">
        <v>2020</v>
      </c>
      <c r="C3525" s="21" t="s">
        <v>1166</v>
      </c>
      <c r="D3525" s="17">
        <v>431</v>
      </c>
      <c r="E3525" s="17" t="s">
        <v>1464</v>
      </c>
      <c r="F3525" s="23">
        <v>7498581</v>
      </c>
    </row>
    <row r="3526" spans="1:6" ht="16" customHeight="1" x14ac:dyDescent="0.2">
      <c r="A3526">
        <f>IFERROR(VLOOKUP(C3526,'GASB Match'!$D$2:$F$6042,3,FALSE),"")</f>
        <v>3410650</v>
      </c>
      <c r="B3526" s="17">
        <v>2021</v>
      </c>
      <c r="C3526" s="25" t="s">
        <v>1166</v>
      </c>
      <c r="D3526" s="17">
        <v>431</v>
      </c>
      <c r="E3526" s="17" t="s">
        <v>1464</v>
      </c>
      <c r="F3526" s="23">
        <v>9515435</v>
      </c>
    </row>
    <row r="3527" spans="1:6" ht="16" customHeight="1" x14ac:dyDescent="0.2">
      <c r="A3527">
        <f>IFERROR(VLOOKUP(C3527,'GASB Match'!$D$2:$F$6042,3,FALSE),"")</f>
        <v>3410650</v>
      </c>
      <c r="B3527" s="17">
        <v>2022</v>
      </c>
      <c r="C3527" s="21" t="s">
        <v>1166</v>
      </c>
      <c r="D3527" s="17">
        <v>431</v>
      </c>
      <c r="E3527" s="17" t="s">
        <v>1464</v>
      </c>
      <c r="F3527" s="23">
        <v>13462457</v>
      </c>
    </row>
    <row r="3528" spans="1:6" ht="16" customHeight="1" x14ac:dyDescent="0.2">
      <c r="A3528">
        <f>IFERROR(VLOOKUP(C3528,'GASB Match'!$D$2:$F$6042,3,FALSE),"")</f>
        <v>3410650</v>
      </c>
      <c r="B3528" s="17">
        <v>2023</v>
      </c>
      <c r="C3528" s="21" t="s">
        <v>1166</v>
      </c>
      <c r="D3528" s="17">
        <v>431</v>
      </c>
      <c r="E3528" s="17" t="s">
        <v>1464</v>
      </c>
      <c r="F3528" s="23">
        <v>13543794</v>
      </c>
    </row>
    <row r="3529" spans="1:6" ht="16" customHeight="1" x14ac:dyDescent="0.2">
      <c r="A3529">
        <f>IFERROR(VLOOKUP(C3529,'GASB Match'!$D$2:$F$6042,3,FALSE),"")</f>
        <v>3410650</v>
      </c>
      <c r="B3529" s="28">
        <v>2017</v>
      </c>
      <c r="C3529" s="29" t="s">
        <v>474</v>
      </c>
      <c r="D3529" s="17">
        <v>431</v>
      </c>
      <c r="E3529" s="17" t="s">
        <v>1421</v>
      </c>
      <c r="F3529" s="29">
        <v>3667850</v>
      </c>
    </row>
    <row r="3530" spans="1:6" ht="16" customHeight="1" x14ac:dyDescent="0.2">
      <c r="A3530">
        <f>IFERROR(VLOOKUP(C3530,'GASB Match'!$D$2:$F$6042,3,FALSE),"")</f>
        <v>3410680</v>
      </c>
      <c r="B3530" s="17">
        <v>2015</v>
      </c>
      <c r="C3530" s="17" t="s">
        <v>68</v>
      </c>
      <c r="D3530" s="17">
        <v>2059</v>
      </c>
      <c r="E3530" s="17" t="s">
        <v>1402</v>
      </c>
      <c r="F3530" s="20">
        <v>139851</v>
      </c>
    </row>
    <row r="3531" spans="1:6" ht="16" customHeight="1" x14ac:dyDescent="0.2">
      <c r="A3531">
        <f>IFERROR(VLOOKUP(C3531,'GASB Match'!$D$2:$F$6042,3,FALSE),"")</f>
        <v>3410680</v>
      </c>
      <c r="B3531" s="17">
        <v>2016</v>
      </c>
      <c r="C3531" s="17" t="s">
        <v>68</v>
      </c>
      <c r="D3531" s="17">
        <v>2059</v>
      </c>
      <c r="E3531" s="17" t="s">
        <v>1402</v>
      </c>
      <c r="F3531" s="20">
        <v>189675</v>
      </c>
    </row>
    <row r="3532" spans="1:6" ht="16" customHeight="1" x14ac:dyDescent="0.2">
      <c r="A3532">
        <f>IFERROR(VLOOKUP(C3532,'GASB Match'!$D$2:$F$6042,3,FALSE),"")</f>
        <v>3410680</v>
      </c>
      <c r="B3532" s="17">
        <v>2018</v>
      </c>
      <c r="C3532" s="17" t="s">
        <v>746</v>
      </c>
      <c r="D3532" s="17">
        <v>2059</v>
      </c>
      <c r="E3532" s="17" t="s">
        <v>1443</v>
      </c>
      <c r="F3532" s="20">
        <v>329342</v>
      </c>
    </row>
    <row r="3533" spans="1:6" ht="16" customHeight="1" x14ac:dyDescent="0.2">
      <c r="A3533">
        <f>IFERROR(VLOOKUP(C3533,'GASB Match'!$D$2:$F$6042,3,FALSE),"")</f>
        <v>3410680</v>
      </c>
      <c r="B3533" s="17">
        <v>2019</v>
      </c>
      <c r="C3533" s="17" t="s">
        <v>746</v>
      </c>
      <c r="D3533" s="17">
        <v>2059</v>
      </c>
      <c r="E3533" s="17" t="s">
        <v>1443</v>
      </c>
      <c r="F3533" s="20">
        <v>429897</v>
      </c>
    </row>
    <row r="3534" spans="1:6" ht="16" customHeight="1" x14ac:dyDescent="0.2">
      <c r="A3534">
        <f>IFERROR(VLOOKUP(C3534,'GASB Match'!$D$2:$F$6042,3,FALSE),"")</f>
        <v>3410680</v>
      </c>
      <c r="B3534" s="17">
        <v>2020</v>
      </c>
      <c r="C3534" s="21" t="s">
        <v>746</v>
      </c>
      <c r="D3534" s="17">
        <v>2059</v>
      </c>
      <c r="E3534" s="17" t="s">
        <v>1443</v>
      </c>
      <c r="F3534" s="23">
        <v>491551</v>
      </c>
    </row>
    <row r="3535" spans="1:6" ht="16" customHeight="1" x14ac:dyDescent="0.2">
      <c r="A3535">
        <f>IFERROR(VLOOKUP(C3535,'GASB Match'!$D$2:$F$6042,3,FALSE),"")</f>
        <v>3410680</v>
      </c>
      <c r="B3535" s="17">
        <v>2021</v>
      </c>
      <c r="C3535" s="25" t="s">
        <v>746</v>
      </c>
      <c r="D3535" s="17">
        <v>2059</v>
      </c>
      <c r="E3535" s="17" t="s">
        <v>1443</v>
      </c>
      <c r="F3535" s="23">
        <v>675455</v>
      </c>
    </row>
    <row r="3536" spans="1:6" ht="16" customHeight="1" x14ac:dyDescent="0.2">
      <c r="A3536">
        <f>IFERROR(VLOOKUP(C3536,'GASB Match'!$D$2:$F$6042,3,FALSE),"")</f>
        <v>3410680</v>
      </c>
      <c r="B3536" s="17">
        <v>2022</v>
      </c>
      <c r="C3536" s="21" t="s">
        <v>746</v>
      </c>
      <c r="D3536" s="17">
        <v>2059</v>
      </c>
      <c r="E3536" s="17" t="s">
        <v>1443</v>
      </c>
      <c r="F3536" s="23">
        <v>1021867</v>
      </c>
    </row>
    <row r="3537" spans="1:6" ht="16" customHeight="1" x14ac:dyDescent="0.2">
      <c r="A3537">
        <f>IFERROR(VLOOKUP(C3537,'GASB Match'!$D$2:$F$6042,3,FALSE),"")</f>
        <v>3410680</v>
      </c>
      <c r="B3537" s="17">
        <v>2023</v>
      </c>
      <c r="C3537" s="21" t="s">
        <v>746</v>
      </c>
      <c r="D3537" s="17">
        <v>2059</v>
      </c>
      <c r="E3537" s="17" t="s">
        <v>1443</v>
      </c>
      <c r="F3537" s="23">
        <v>1007383</v>
      </c>
    </row>
    <row r="3538" spans="1:6" ht="16" customHeight="1" x14ac:dyDescent="0.2">
      <c r="A3538">
        <f>IFERROR(VLOOKUP(C3538,'GASB Match'!$D$2:$F$6042,3,FALSE),"")</f>
        <v>3410680</v>
      </c>
      <c r="B3538" s="28">
        <v>2017</v>
      </c>
      <c r="C3538" s="29" t="s">
        <v>68</v>
      </c>
      <c r="D3538" s="17">
        <v>2059</v>
      </c>
      <c r="E3538" s="17" t="s">
        <v>1402</v>
      </c>
      <c r="F3538" s="29">
        <v>256549</v>
      </c>
    </row>
    <row r="3539" spans="1:6" ht="16" customHeight="1" x14ac:dyDescent="0.2">
      <c r="A3539">
        <f>IFERROR(VLOOKUP(C3539,'GASB Match'!$D$2:$F$6042,3,FALSE),"")</f>
        <v>3410710</v>
      </c>
      <c r="B3539" s="17">
        <v>2015</v>
      </c>
      <c r="C3539" s="17" t="s">
        <v>128</v>
      </c>
      <c r="D3539" s="17">
        <v>3028</v>
      </c>
      <c r="E3539" s="17" t="s">
        <v>1404</v>
      </c>
      <c r="F3539" s="20">
        <v>1545203</v>
      </c>
    </row>
    <row r="3540" spans="1:6" ht="16" customHeight="1" x14ac:dyDescent="0.2">
      <c r="A3540">
        <f>IFERROR(VLOOKUP(C3540,'GASB Match'!$D$2:$F$6042,3,FALSE),"")</f>
        <v>3410710</v>
      </c>
      <c r="B3540" s="17">
        <v>2016</v>
      </c>
      <c r="C3540" s="17" t="s">
        <v>128</v>
      </c>
      <c r="D3540" s="17">
        <v>3028</v>
      </c>
      <c r="E3540" s="17" t="s">
        <v>1404</v>
      </c>
      <c r="F3540" s="20">
        <v>2304831</v>
      </c>
    </row>
    <row r="3541" spans="1:6" ht="16" customHeight="1" x14ac:dyDescent="0.2">
      <c r="A3541">
        <f>IFERROR(VLOOKUP(C3541,'GASB Match'!$D$2:$F$6042,3,FALSE),"")</f>
        <v>3410710</v>
      </c>
      <c r="B3541" s="17">
        <v>2018</v>
      </c>
      <c r="C3541" s="17" t="s">
        <v>809</v>
      </c>
      <c r="D3541" s="17">
        <v>3028</v>
      </c>
      <c r="E3541" s="17" t="s">
        <v>1445</v>
      </c>
      <c r="F3541" s="20">
        <v>4496779</v>
      </c>
    </row>
    <row r="3542" spans="1:6" ht="16" customHeight="1" x14ac:dyDescent="0.2">
      <c r="A3542">
        <f>IFERROR(VLOOKUP(C3542,'GASB Match'!$D$2:$F$6042,3,FALSE),"")</f>
        <v>3410710</v>
      </c>
      <c r="B3542" s="17">
        <v>2019</v>
      </c>
      <c r="C3542" s="17" t="s">
        <v>809</v>
      </c>
      <c r="D3542" s="17">
        <v>3028</v>
      </c>
      <c r="E3542" s="17" t="s">
        <v>1445</v>
      </c>
      <c r="F3542" s="20">
        <v>6103219</v>
      </c>
    </row>
    <row r="3543" spans="1:6" ht="16" customHeight="1" x14ac:dyDescent="0.2">
      <c r="A3543">
        <f>IFERROR(VLOOKUP(C3543,'GASB Match'!$D$2:$F$6042,3,FALSE),"")</f>
        <v>3410710</v>
      </c>
      <c r="B3543" s="17">
        <v>2020</v>
      </c>
      <c r="C3543" s="21" t="s">
        <v>809</v>
      </c>
      <c r="D3543" s="17">
        <v>3028</v>
      </c>
      <c r="E3543" s="17" t="s">
        <v>1445</v>
      </c>
      <c r="F3543" s="23">
        <v>6914291</v>
      </c>
    </row>
    <row r="3544" spans="1:6" ht="16" customHeight="1" x14ac:dyDescent="0.2">
      <c r="A3544">
        <f>IFERROR(VLOOKUP(C3544,'GASB Match'!$D$2:$F$6042,3,FALSE),"")</f>
        <v>3410710</v>
      </c>
      <c r="B3544" s="17">
        <v>2021</v>
      </c>
      <c r="C3544" s="25" t="s">
        <v>809</v>
      </c>
      <c r="D3544" s="17">
        <v>3028</v>
      </c>
      <c r="E3544" s="17" t="s">
        <v>1445</v>
      </c>
      <c r="F3544" s="23">
        <v>8956934</v>
      </c>
    </row>
    <row r="3545" spans="1:6" ht="16" customHeight="1" x14ac:dyDescent="0.2">
      <c r="A3545">
        <f>IFERROR(VLOOKUP(C3545,'GASB Match'!$D$2:$F$6042,3,FALSE),"")</f>
        <v>3410710</v>
      </c>
      <c r="B3545" s="17">
        <v>2022</v>
      </c>
      <c r="C3545" s="21" t="s">
        <v>809</v>
      </c>
      <c r="D3545" s="17">
        <v>3028</v>
      </c>
      <c r="E3545" s="17" t="s">
        <v>1445</v>
      </c>
      <c r="F3545" s="23">
        <v>12823156</v>
      </c>
    </row>
    <row r="3546" spans="1:6" ht="16" customHeight="1" x14ac:dyDescent="0.2">
      <c r="A3546">
        <f>IFERROR(VLOOKUP(C3546,'GASB Match'!$D$2:$F$6042,3,FALSE),"")</f>
        <v>3410710</v>
      </c>
      <c r="B3546" s="17">
        <v>2023</v>
      </c>
      <c r="C3546" s="21" t="s">
        <v>809</v>
      </c>
      <c r="D3546" s="17">
        <v>3028</v>
      </c>
      <c r="E3546" s="17" t="s">
        <v>1445</v>
      </c>
      <c r="F3546" s="23">
        <v>12799058</v>
      </c>
    </row>
    <row r="3547" spans="1:6" ht="16" customHeight="1" x14ac:dyDescent="0.2">
      <c r="A3547">
        <f>IFERROR(VLOOKUP(C3547,'GASB Match'!$D$2:$F$6042,3,FALSE),"")</f>
        <v>3410710</v>
      </c>
      <c r="B3547" s="28">
        <v>2017</v>
      </c>
      <c r="C3547" s="29" t="s">
        <v>128</v>
      </c>
      <c r="D3547" s="17">
        <v>3028</v>
      </c>
      <c r="E3547" s="17" t="s">
        <v>1404</v>
      </c>
      <c r="F3547" s="29">
        <v>3272850</v>
      </c>
    </row>
    <row r="3548" spans="1:6" ht="16" customHeight="1" x14ac:dyDescent="0.2">
      <c r="A3548">
        <f>IFERROR(VLOOKUP(C3548,'GASB Match'!$D$2:$F$6042,3,FALSE),"")</f>
        <v>3480260</v>
      </c>
      <c r="B3548" s="17">
        <v>2015</v>
      </c>
      <c r="C3548" s="17" t="s">
        <v>475</v>
      </c>
      <c r="D3548" s="17">
        <v>453</v>
      </c>
      <c r="E3548" s="17" t="s">
        <v>1421</v>
      </c>
      <c r="F3548" s="20">
        <v>176962</v>
      </c>
    </row>
    <row r="3549" spans="1:6" ht="16" customHeight="1" x14ac:dyDescent="0.2">
      <c r="A3549">
        <f>IFERROR(VLOOKUP(C3549,'GASB Match'!$D$2:$F$6042,3,FALSE),"")</f>
        <v>3480260</v>
      </c>
      <c r="B3549" s="17">
        <v>2016</v>
      </c>
      <c r="C3549" s="17" t="s">
        <v>475</v>
      </c>
      <c r="D3549" s="17">
        <v>453</v>
      </c>
      <c r="E3549" s="17" t="s">
        <v>1421</v>
      </c>
      <c r="F3549" s="20">
        <v>261955</v>
      </c>
    </row>
    <row r="3550" spans="1:6" ht="16" customHeight="1" x14ac:dyDescent="0.2">
      <c r="A3550">
        <f>IFERROR(VLOOKUP(C3550,'GASB Match'!$D$2:$F$6042,3,FALSE),"")</f>
        <v>3480260</v>
      </c>
      <c r="B3550" s="17">
        <v>2018</v>
      </c>
      <c r="C3550" s="17" t="s">
        <v>1167</v>
      </c>
      <c r="D3550" s="17">
        <v>453</v>
      </c>
      <c r="E3550" s="17" t="s">
        <v>1464</v>
      </c>
      <c r="F3550" s="20">
        <v>436995</v>
      </c>
    </row>
    <row r="3551" spans="1:6" ht="16" customHeight="1" x14ac:dyDescent="0.2">
      <c r="A3551">
        <f>IFERROR(VLOOKUP(C3551,'GASB Match'!$D$2:$F$6042,3,FALSE),"")</f>
        <v>3480260</v>
      </c>
      <c r="B3551" s="17">
        <v>2019</v>
      </c>
      <c r="C3551" s="17" t="s">
        <v>1167</v>
      </c>
      <c r="D3551" s="17">
        <v>453</v>
      </c>
      <c r="E3551" s="17" t="s">
        <v>1464</v>
      </c>
      <c r="F3551" s="20">
        <v>557321</v>
      </c>
    </row>
    <row r="3552" spans="1:6" ht="16" customHeight="1" x14ac:dyDescent="0.2">
      <c r="A3552">
        <f>IFERROR(VLOOKUP(C3552,'GASB Match'!$D$2:$F$6042,3,FALSE),"")</f>
        <v>3480260</v>
      </c>
      <c r="B3552" s="17">
        <v>2020</v>
      </c>
      <c r="C3552" s="21" t="s">
        <v>1167</v>
      </c>
      <c r="D3552" s="17">
        <v>453</v>
      </c>
      <c r="E3552" s="17" t="s">
        <v>1464</v>
      </c>
      <c r="F3552" s="23">
        <v>601560</v>
      </c>
    </row>
    <row r="3553" spans="1:6" ht="16" customHeight="1" x14ac:dyDescent="0.2">
      <c r="A3553">
        <f>IFERROR(VLOOKUP(C3553,'GASB Match'!$D$2:$F$6042,3,FALSE),"")</f>
        <v>3480260</v>
      </c>
      <c r="B3553" s="17">
        <v>2021</v>
      </c>
      <c r="C3553" s="25" t="s">
        <v>1167</v>
      </c>
      <c r="D3553" s="17">
        <v>453</v>
      </c>
      <c r="E3553" s="17" t="s">
        <v>1464</v>
      </c>
      <c r="F3553" s="23">
        <v>736289</v>
      </c>
    </row>
    <row r="3554" spans="1:6" ht="16" customHeight="1" x14ac:dyDescent="0.2">
      <c r="A3554">
        <f>IFERROR(VLOOKUP(C3554,'GASB Match'!$D$2:$F$6042,3,FALSE),"")</f>
        <v>3480260</v>
      </c>
      <c r="B3554" s="17">
        <v>2022</v>
      </c>
      <c r="C3554" s="21" t="s">
        <v>1167</v>
      </c>
      <c r="D3554" s="17">
        <v>453</v>
      </c>
      <c r="E3554" s="17" t="s">
        <v>1464</v>
      </c>
      <c r="F3554" s="23">
        <v>1026507</v>
      </c>
    </row>
    <row r="3555" spans="1:6" ht="16" customHeight="1" x14ac:dyDescent="0.2">
      <c r="A3555">
        <f>IFERROR(VLOOKUP(C3555,'GASB Match'!$D$2:$F$6042,3,FALSE),"")</f>
        <v>3480260</v>
      </c>
      <c r="B3555" s="17">
        <v>2023</v>
      </c>
      <c r="C3555" s="21" t="s">
        <v>1167</v>
      </c>
      <c r="D3555" s="17">
        <v>453</v>
      </c>
      <c r="E3555" s="17" t="s">
        <v>1464</v>
      </c>
      <c r="F3555" s="23">
        <v>910240</v>
      </c>
    </row>
    <row r="3556" spans="1:6" ht="16" customHeight="1" x14ac:dyDescent="0.2">
      <c r="A3556">
        <f>IFERROR(VLOOKUP(C3556,'GASB Match'!$D$2:$F$6042,3,FALSE),"")</f>
        <v>3480260</v>
      </c>
      <c r="B3556" s="28">
        <v>2017</v>
      </c>
      <c r="C3556" s="29" t="s">
        <v>475</v>
      </c>
      <c r="D3556" s="17">
        <v>453</v>
      </c>
      <c r="E3556" s="17" t="s">
        <v>1421</v>
      </c>
      <c r="F3556" s="29">
        <v>348310</v>
      </c>
    </row>
    <row r="3557" spans="1:6" ht="16" customHeight="1" x14ac:dyDescent="0.2">
      <c r="A3557">
        <f>IFERROR(VLOOKUP(C3557,'GASB Match'!$D$2:$F$6042,3,FALSE),"")</f>
        <v>3410720</v>
      </c>
      <c r="B3557" s="17">
        <v>2015</v>
      </c>
      <c r="C3557" s="17" t="s">
        <v>476</v>
      </c>
      <c r="D3557" s="17">
        <v>955</v>
      </c>
      <c r="E3557" s="17" t="s">
        <v>1421</v>
      </c>
      <c r="F3557" s="20">
        <v>385461</v>
      </c>
    </row>
    <row r="3558" spans="1:6" ht="16" customHeight="1" x14ac:dyDescent="0.2">
      <c r="A3558">
        <f>IFERROR(VLOOKUP(C3558,'GASB Match'!$D$2:$F$6042,3,FALSE),"")</f>
        <v>3410720</v>
      </c>
      <c r="B3558" s="17">
        <v>2016</v>
      </c>
      <c r="C3558" s="17" t="s">
        <v>476</v>
      </c>
      <c r="D3558" s="17">
        <v>955</v>
      </c>
      <c r="E3558" s="17" t="s">
        <v>1421</v>
      </c>
      <c r="F3558" s="20">
        <v>545236</v>
      </c>
    </row>
    <row r="3559" spans="1:6" ht="16" customHeight="1" x14ac:dyDescent="0.2">
      <c r="A3559">
        <f>IFERROR(VLOOKUP(C3559,'GASB Match'!$D$2:$F$6042,3,FALSE),"")</f>
        <v>3410720</v>
      </c>
      <c r="B3559" s="17">
        <v>2018</v>
      </c>
      <c r="C3559" s="17" t="s">
        <v>1168</v>
      </c>
      <c r="D3559" s="17">
        <v>955</v>
      </c>
      <c r="E3559" s="17" t="s">
        <v>1464</v>
      </c>
      <c r="F3559" s="20">
        <v>1033986</v>
      </c>
    </row>
    <row r="3560" spans="1:6" ht="16" customHeight="1" x14ac:dyDescent="0.2">
      <c r="A3560">
        <f>IFERROR(VLOOKUP(C3560,'GASB Match'!$D$2:$F$6042,3,FALSE),"")</f>
        <v>3410720</v>
      </c>
      <c r="B3560" s="17">
        <v>2019</v>
      </c>
      <c r="C3560" s="17" t="s">
        <v>1168</v>
      </c>
      <c r="D3560" s="17">
        <v>955</v>
      </c>
      <c r="E3560" s="17" t="s">
        <v>1464</v>
      </c>
      <c r="F3560" s="20">
        <v>1401638</v>
      </c>
    </row>
    <row r="3561" spans="1:6" ht="16" customHeight="1" x14ac:dyDescent="0.2">
      <c r="A3561">
        <f>IFERROR(VLOOKUP(C3561,'GASB Match'!$D$2:$F$6042,3,FALSE),"")</f>
        <v>3410720</v>
      </c>
      <c r="B3561" s="17">
        <v>2020</v>
      </c>
      <c r="C3561" s="21" t="s">
        <v>1168</v>
      </c>
      <c r="D3561" s="17">
        <v>955</v>
      </c>
      <c r="E3561" s="17" t="s">
        <v>1464</v>
      </c>
      <c r="F3561" s="23">
        <v>1596087</v>
      </c>
    </row>
    <row r="3562" spans="1:6" ht="16" customHeight="1" x14ac:dyDescent="0.2">
      <c r="A3562">
        <f>IFERROR(VLOOKUP(C3562,'GASB Match'!$D$2:$F$6042,3,FALSE),"")</f>
        <v>3410720</v>
      </c>
      <c r="B3562" s="17">
        <v>2021</v>
      </c>
      <c r="C3562" s="25" t="s">
        <v>1168</v>
      </c>
      <c r="D3562" s="17">
        <v>955</v>
      </c>
      <c r="E3562" s="17" t="s">
        <v>1464</v>
      </c>
      <c r="F3562" s="23">
        <v>2020117</v>
      </c>
    </row>
    <row r="3563" spans="1:6" ht="16" customHeight="1" x14ac:dyDescent="0.2">
      <c r="A3563">
        <f>IFERROR(VLOOKUP(C3563,'GASB Match'!$D$2:$F$6042,3,FALSE),"")</f>
        <v>3410720</v>
      </c>
      <c r="B3563" s="17">
        <v>2022</v>
      </c>
      <c r="C3563" s="21" t="s">
        <v>1168</v>
      </c>
      <c r="D3563" s="17">
        <v>955</v>
      </c>
      <c r="E3563" s="17" t="s">
        <v>1464</v>
      </c>
      <c r="F3563" s="23">
        <v>2876672</v>
      </c>
    </row>
    <row r="3564" spans="1:6" ht="16" customHeight="1" x14ac:dyDescent="0.2">
      <c r="A3564">
        <f>IFERROR(VLOOKUP(C3564,'GASB Match'!$D$2:$F$6042,3,FALSE),"")</f>
        <v>3410720</v>
      </c>
      <c r="B3564" s="17">
        <v>2023</v>
      </c>
      <c r="C3564" s="21" t="s">
        <v>1168</v>
      </c>
      <c r="D3564" s="17">
        <v>955</v>
      </c>
      <c r="E3564" s="17" t="s">
        <v>1464</v>
      </c>
      <c r="F3564" s="23">
        <v>3017874</v>
      </c>
    </row>
    <row r="3565" spans="1:6" ht="16" customHeight="1" x14ac:dyDescent="0.2">
      <c r="A3565">
        <f>IFERROR(VLOOKUP(C3565,'GASB Match'!$D$2:$F$6042,3,FALSE),"")</f>
        <v>3410720</v>
      </c>
      <c r="B3565" s="28">
        <v>2017</v>
      </c>
      <c r="C3565" s="29" t="s">
        <v>476</v>
      </c>
      <c r="D3565" s="17">
        <v>955</v>
      </c>
      <c r="E3565" s="17" t="s">
        <v>1421</v>
      </c>
      <c r="F3565" s="29">
        <v>795367</v>
      </c>
    </row>
    <row r="3566" spans="1:6" ht="16" customHeight="1" x14ac:dyDescent="0.2">
      <c r="A3566">
        <f>IFERROR(VLOOKUP(C3566,'GASB Match'!$D$2:$F$6042,3,FALSE),"")</f>
        <v>3410740</v>
      </c>
      <c r="B3566" s="17">
        <v>2015</v>
      </c>
      <c r="C3566" s="17" t="s">
        <v>477</v>
      </c>
      <c r="D3566" s="17">
        <v>450</v>
      </c>
      <c r="E3566" s="17" t="s">
        <v>1421</v>
      </c>
      <c r="F3566" s="20">
        <v>1378136</v>
      </c>
    </row>
    <row r="3567" spans="1:6" ht="16" customHeight="1" x14ac:dyDescent="0.2">
      <c r="A3567">
        <f>IFERROR(VLOOKUP(C3567,'GASB Match'!$D$2:$F$6042,3,FALSE),"")</f>
        <v>3410740</v>
      </c>
      <c r="B3567" s="17">
        <v>2016</v>
      </c>
      <c r="C3567" s="17" t="s">
        <v>477</v>
      </c>
      <c r="D3567" s="17">
        <v>450</v>
      </c>
      <c r="E3567" s="17" t="s">
        <v>1421</v>
      </c>
      <c r="F3567" s="20">
        <v>2101810</v>
      </c>
    </row>
    <row r="3568" spans="1:6" ht="16" customHeight="1" x14ac:dyDescent="0.2">
      <c r="A3568">
        <f>IFERROR(VLOOKUP(C3568,'GASB Match'!$D$2:$F$6042,3,FALSE),"")</f>
        <v>3410740</v>
      </c>
      <c r="B3568" s="17">
        <v>2018</v>
      </c>
      <c r="C3568" s="17" t="s">
        <v>1169</v>
      </c>
      <c r="D3568" s="17">
        <v>450</v>
      </c>
      <c r="E3568" s="17" t="s">
        <v>1464</v>
      </c>
      <c r="F3568" s="20">
        <v>3988800</v>
      </c>
    </row>
    <row r="3569" spans="1:6" ht="16" customHeight="1" x14ac:dyDescent="0.2">
      <c r="A3569">
        <f>IFERROR(VLOOKUP(C3569,'GASB Match'!$D$2:$F$6042,3,FALSE),"")</f>
        <v>3410740</v>
      </c>
      <c r="B3569" s="17">
        <v>2019</v>
      </c>
      <c r="C3569" s="17" t="s">
        <v>1169</v>
      </c>
      <c r="D3569" s="17">
        <v>450</v>
      </c>
      <c r="E3569" s="17" t="s">
        <v>1464</v>
      </c>
      <c r="F3569" s="19">
        <v>5320612</v>
      </c>
    </row>
    <row r="3570" spans="1:6" ht="16" customHeight="1" x14ac:dyDescent="0.2">
      <c r="A3570">
        <f>IFERROR(VLOOKUP(C3570,'GASB Match'!$D$2:$F$6042,3,FALSE),"")</f>
        <v>3410740</v>
      </c>
      <c r="B3570" s="17">
        <v>2020</v>
      </c>
      <c r="C3570" s="21" t="s">
        <v>1169</v>
      </c>
      <c r="D3570" s="17">
        <v>450</v>
      </c>
      <c r="E3570" s="17" t="s">
        <v>1464</v>
      </c>
      <c r="F3570" s="22">
        <v>5975028</v>
      </c>
    </row>
    <row r="3571" spans="1:6" ht="16" customHeight="1" x14ac:dyDescent="0.2">
      <c r="A3571">
        <f>IFERROR(VLOOKUP(C3571,'GASB Match'!$D$2:$F$6042,3,FALSE),"")</f>
        <v>3410740</v>
      </c>
      <c r="B3571" s="17">
        <v>2021</v>
      </c>
      <c r="C3571" s="25" t="s">
        <v>1169</v>
      </c>
      <c r="D3571" s="17">
        <v>450</v>
      </c>
      <c r="E3571" s="17" t="s">
        <v>1464</v>
      </c>
      <c r="F3571" s="23">
        <v>7683500</v>
      </c>
    </row>
    <row r="3572" spans="1:6" ht="16" customHeight="1" x14ac:dyDescent="0.2">
      <c r="A3572">
        <f>IFERROR(VLOOKUP(C3572,'GASB Match'!$D$2:$F$6042,3,FALSE),"")</f>
        <v>3410740</v>
      </c>
      <c r="B3572" s="17">
        <v>2022</v>
      </c>
      <c r="C3572" s="21" t="s">
        <v>1169</v>
      </c>
      <c r="D3572" s="17">
        <v>450</v>
      </c>
      <c r="E3572" s="17" t="s">
        <v>1464</v>
      </c>
      <c r="F3572" s="23">
        <v>11010316</v>
      </c>
    </row>
    <row r="3573" spans="1:6" ht="16" customHeight="1" x14ac:dyDescent="0.2">
      <c r="A3573">
        <f>IFERROR(VLOOKUP(C3573,'GASB Match'!$D$2:$F$6042,3,FALSE),"")</f>
        <v>3410740</v>
      </c>
      <c r="B3573" s="17">
        <v>2023</v>
      </c>
      <c r="C3573" s="21" t="s">
        <v>1169</v>
      </c>
      <c r="D3573" s="17">
        <v>450</v>
      </c>
      <c r="E3573" s="17" t="s">
        <v>1464</v>
      </c>
      <c r="F3573" s="23">
        <v>11239456</v>
      </c>
    </row>
    <row r="3574" spans="1:6" ht="16" customHeight="1" x14ac:dyDescent="0.2">
      <c r="A3574">
        <f>IFERROR(VLOOKUP(C3574,'GASB Match'!$D$2:$F$6042,3,FALSE),"")</f>
        <v>3410740</v>
      </c>
      <c r="B3574" s="28">
        <v>2017</v>
      </c>
      <c r="C3574" s="29" t="s">
        <v>477</v>
      </c>
      <c r="D3574" s="17">
        <v>450</v>
      </c>
      <c r="E3574" s="17" t="s">
        <v>1421</v>
      </c>
      <c r="F3574" s="29">
        <v>3004816</v>
      </c>
    </row>
    <row r="3575" spans="1:6" ht="16" customHeight="1" x14ac:dyDescent="0.2">
      <c r="A3575">
        <f>IFERROR(VLOOKUP(C3575,'GASB Match'!$D$2:$F$6042,3,FALSE),"")</f>
        <v>3410770</v>
      </c>
      <c r="B3575" s="17">
        <v>2015</v>
      </c>
      <c r="C3575" s="17" t="s">
        <v>478</v>
      </c>
      <c r="D3575" s="17">
        <v>432</v>
      </c>
      <c r="E3575" s="17" t="s">
        <v>1421</v>
      </c>
      <c r="F3575" s="20">
        <v>207373</v>
      </c>
    </row>
    <row r="3576" spans="1:6" ht="16" customHeight="1" x14ac:dyDescent="0.2">
      <c r="A3576">
        <f>IFERROR(VLOOKUP(C3576,'GASB Match'!$D$2:$F$6042,3,FALSE),"")</f>
        <v>3410770</v>
      </c>
      <c r="B3576" s="17">
        <v>2016</v>
      </c>
      <c r="C3576" s="17" t="s">
        <v>478</v>
      </c>
      <c r="D3576" s="17">
        <v>432</v>
      </c>
      <c r="E3576" s="17" t="s">
        <v>1421</v>
      </c>
      <c r="F3576" s="20">
        <v>300167</v>
      </c>
    </row>
    <row r="3577" spans="1:6" ht="16" customHeight="1" x14ac:dyDescent="0.2">
      <c r="A3577">
        <f>IFERROR(VLOOKUP(C3577,'GASB Match'!$D$2:$F$6042,3,FALSE),"")</f>
        <v>3410770</v>
      </c>
      <c r="B3577" s="17">
        <v>2018</v>
      </c>
      <c r="C3577" s="17" t="s">
        <v>1170</v>
      </c>
      <c r="D3577" s="17">
        <v>432</v>
      </c>
      <c r="E3577" s="17" t="s">
        <v>1464</v>
      </c>
      <c r="F3577" s="20">
        <v>666508</v>
      </c>
    </row>
    <row r="3578" spans="1:6" ht="16" customHeight="1" x14ac:dyDescent="0.2">
      <c r="A3578">
        <f>IFERROR(VLOOKUP(C3578,'GASB Match'!$D$2:$F$6042,3,FALSE),"")</f>
        <v>3410770</v>
      </c>
      <c r="B3578" s="17">
        <v>2019</v>
      </c>
      <c r="C3578" s="17" t="s">
        <v>1170</v>
      </c>
      <c r="D3578" s="17">
        <v>432</v>
      </c>
      <c r="E3578" s="17" t="s">
        <v>1464</v>
      </c>
      <c r="F3578" s="20">
        <v>943898</v>
      </c>
    </row>
    <row r="3579" spans="1:6" ht="16" customHeight="1" x14ac:dyDescent="0.2">
      <c r="A3579">
        <f>IFERROR(VLOOKUP(C3579,'GASB Match'!$D$2:$F$6042,3,FALSE),"")</f>
        <v>3410770</v>
      </c>
      <c r="B3579" s="17">
        <v>2020</v>
      </c>
      <c r="C3579" s="21" t="s">
        <v>1170</v>
      </c>
      <c r="D3579" s="17">
        <v>432</v>
      </c>
      <c r="E3579" s="17" t="s">
        <v>1464</v>
      </c>
      <c r="F3579" s="23">
        <v>1049130</v>
      </c>
    </row>
    <row r="3580" spans="1:6" ht="16" customHeight="1" x14ac:dyDescent="0.2">
      <c r="A3580">
        <f>IFERROR(VLOOKUP(C3580,'GASB Match'!$D$2:$F$6042,3,FALSE),"")</f>
        <v>3410770</v>
      </c>
      <c r="B3580" s="17">
        <v>2021</v>
      </c>
      <c r="C3580" s="25" t="s">
        <v>1170</v>
      </c>
      <c r="D3580" s="17">
        <v>432</v>
      </c>
      <c r="E3580" s="17" t="s">
        <v>1464</v>
      </c>
      <c r="F3580" s="23">
        <v>1384820</v>
      </c>
    </row>
    <row r="3581" spans="1:6" ht="16" customHeight="1" x14ac:dyDescent="0.2">
      <c r="A3581">
        <f>IFERROR(VLOOKUP(C3581,'GASB Match'!$D$2:$F$6042,3,FALSE),"")</f>
        <v>3410770</v>
      </c>
      <c r="B3581" s="17">
        <v>2022</v>
      </c>
      <c r="C3581" s="21" t="s">
        <v>1170</v>
      </c>
      <c r="D3581" s="17">
        <v>432</v>
      </c>
      <c r="E3581" s="17" t="s">
        <v>1464</v>
      </c>
      <c r="F3581" s="23">
        <v>1976877</v>
      </c>
    </row>
    <row r="3582" spans="1:6" ht="16" customHeight="1" x14ac:dyDescent="0.2">
      <c r="A3582">
        <f>IFERROR(VLOOKUP(C3582,'GASB Match'!$D$2:$F$6042,3,FALSE),"")</f>
        <v>3410770</v>
      </c>
      <c r="B3582" s="17">
        <v>2023</v>
      </c>
      <c r="C3582" s="21" t="s">
        <v>1170</v>
      </c>
      <c r="D3582" s="17">
        <v>432</v>
      </c>
      <c r="E3582" s="17" t="s">
        <v>1464</v>
      </c>
      <c r="F3582" s="23">
        <v>2002041</v>
      </c>
    </row>
    <row r="3583" spans="1:6" ht="16" customHeight="1" x14ac:dyDescent="0.2">
      <c r="A3583">
        <f>IFERROR(VLOOKUP(C3583,'GASB Match'!$D$2:$F$6042,3,FALSE),"")</f>
        <v>3410770</v>
      </c>
      <c r="B3583" s="28">
        <v>2017</v>
      </c>
      <c r="C3583" s="29" t="s">
        <v>478</v>
      </c>
      <c r="D3583" s="17">
        <v>432</v>
      </c>
      <c r="E3583" s="17" t="s">
        <v>1421</v>
      </c>
      <c r="F3583" s="29">
        <v>443119</v>
      </c>
    </row>
    <row r="3584" spans="1:6" ht="16" customHeight="1" x14ac:dyDescent="0.2">
      <c r="A3584">
        <f>IFERROR(VLOOKUP(C3584,'GASB Match'!$D$2:$F$6042,3,FALSE),"")</f>
        <v>3410810</v>
      </c>
      <c r="B3584" s="17">
        <v>2015</v>
      </c>
      <c r="C3584" s="17" t="s">
        <v>479</v>
      </c>
      <c r="D3584" s="17">
        <v>440</v>
      </c>
      <c r="E3584" s="17" t="s">
        <v>1421</v>
      </c>
      <c r="F3584" s="20">
        <v>2113500</v>
      </c>
    </row>
    <row r="3585" spans="1:6" ht="16" customHeight="1" x14ac:dyDescent="0.2">
      <c r="A3585">
        <f>IFERROR(VLOOKUP(C3585,'GASB Match'!$D$2:$F$6042,3,FALSE),"")</f>
        <v>3410810</v>
      </c>
      <c r="B3585" s="17">
        <v>2016</v>
      </c>
      <c r="C3585" s="17" t="s">
        <v>479</v>
      </c>
      <c r="D3585" s="17">
        <v>440</v>
      </c>
      <c r="E3585" s="17" t="s">
        <v>1421</v>
      </c>
      <c r="F3585" s="20">
        <v>3023857</v>
      </c>
    </row>
    <row r="3586" spans="1:6" ht="16" customHeight="1" x14ac:dyDescent="0.2">
      <c r="A3586">
        <f>IFERROR(VLOOKUP(C3586,'GASB Match'!$D$2:$F$6042,3,FALSE),"")</f>
        <v>3410810</v>
      </c>
      <c r="B3586" s="17">
        <v>2018</v>
      </c>
      <c r="C3586" s="17" t="s">
        <v>1171</v>
      </c>
      <c r="D3586" s="17">
        <v>440</v>
      </c>
      <c r="E3586" s="17" t="s">
        <v>1464</v>
      </c>
      <c r="F3586" s="20">
        <v>5931128</v>
      </c>
    </row>
    <row r="3587" spans="1:6" ht="16" customHeight="1" x14ac:dyDescent="0.2">
      <c r="A3587">
        <f>IFERROR(VLOOKUP(C3587,'GASB Match'!$D$2:$F$6042,3,FALSE),"")</f>
        <v>3410810</v>
      </c>
      <c r="B3587" s="17">
        <v>2019</v>
      </c>
      <c r="C3587" s="17" t="s">
        <v>1171</v>
      </c>
      <c r="D3587" s="17">
        <v>440</v>
      </c>
      <c r="E3587" s="17" t="s">
        <v>1464</v>
      </c>
      <c r="F3587" s="20">
        <v>7966830</v>
      </c>
    </row>
    <row r="3588" spans="1:6" ht="16" customHeight="1" x14ac:dyDescent="0.2">
      <c r="A3588">
        <f>IFERROR(VLOOKUP(C3588,'GASB Match'!$D$2:$F$6042,3,FALSE),"")</f>
        <v>3410810</v>
      </c>
      <c r="B3588" s="17">
        <v>2020</v>
      </c>
      <c r="C3588" s="21" t="s">
        <v>1171</v>
      </c>
      <c r="D3588" s="17">
        <v>440</v>
      </c>
      <c r="E3588" s="17" t="s">
        <v>1464</v>
      </c>
      <c r="F3588" s="23">
        <v>9033896</v>
      </c>
    </row>
    <row r="3589" spans="1:6" ht="16" customHeight="1" x14ac:dyDescent="0.2">
      <c r="A3589">
        <f>IFERROR(VLOOKUP(C3589,'GASB Match'!$D$2:$F$6042,3,FALSE),"")</f>
        <v>3410810</v>
      </c>
      <c r="B3589" s="17">
        <v>2021</v>
      </c>
      <c r="C3589" s="25" t="s">
        <v>1171</v>
      </c>
      <c r="D3589" s="17">
        <v>440</v>
      </c>
      <c r="E3589" s="17" t="s">
        <v>1464</v>
      </c>
      <c r="F3589" s="23">
        <v>11737011</v>
      </c>
    </row>
    <row r="3590" spans="1:6" ht="16" customHeight="1" x14ac:dyDescent="0.2">
      <c r="A3590">
        <f>IFERROR(VLOOKUP(C3590,'GASB Match'!$D$2:$F$6042,3,FALSE),"")</f>
        <v>3410810</v>
      </c>
      <c r="B3590" s="17">
        <v>2022</v>
      </c>
      <c r="C3590" s="21" t="s">
        <v>1171</v>
      </c>
      <c r="D3590" s="17">
        <v>440</v>
      </c>
      <c r="E3590" s="17" t="s">
        <v>1464</v>
      </c>
      <c r="F3590" s="23">
        <v>16794634</v>
      </c>
    </row>
    <row r="3591" spans="1:6" ht="16" customHeight="1" x14ac:dyDescent="0.2">
      <c r="A3591">
        <f>IFERROR(VLOOKUP(C3591,'GASB Match'!$D$2:$F$6042,3,FALSE),"")</f>
        <v>3410810</v>
      </c>
      <c r="B3591" s="17">
        <v>2023</v>
      </c>
      <c r="C3591" s="21" t="s">
        <v>1171</v>
      </c>
      <c r="D3591" s="17">
        <v>440</v>
      </c>
      <c r="E3591" s="17" t="s">
        <v>1464</v>
      </c>
      <c r="F3591" s="23">
        <v>16935683</v>
      </c>
    </row>
    <row r="3592" spans="1:6" ht="16" customHeight="1" x14ac:dyDescent="0.2">
      <c r="A3592">
        <f>IFERROR(VLOOKUP(C3592,'GASB Match'!$D$2:$F$6042,3,FALSE),"")</f>
        <v>3410810</v>
      </c>
      <c r="B3592" s="28">
        <v>2017</v>
      </c>
      <c r="C3592" s="29" t="s">
        <v>479</v>
      </c>
      <c r="D3592" s="17">
        <v>440</v>
      </c>
      <c r="E3592" s="17" t="s">
        <v>1421</v>
      </c>
      <c r="F3592" s="29">
        <v>4312793</v>
      </c>
    </row>
    <row r="3593" spans="1:6" ht="16" customHeight="1" x14ac:dyDescent="0.2">
      <c r="A3593">
        <f>IFERROR(VLOOKUP(C3593,'GASB Match'!$D$2:$F$6042,3,FALSE),"")</f>
        <v>3400005</v>
      </c>
      <c r="B3593" s="17">
        <v>2015</v>
      </c>
      <c r="C3593" s="17" t="s">
        <v>664</v>
      </c>
      <c r="D3593" s="17">
        <v>851</v>
      </c>
      <c r="E3593" s="17" t="s">
        <v>1431</v>
      </c>
      <c r="F3593" s="20">
        <v>486545</v>
      </c>
    </row>
    <row r="3594" spans="1:6" ht="16" customHeight="1" x14ac:dyDescent="0.2">
      <c r="A3594">
        <f>IFERROR(VLOOKUP(C3594,'GASB Match'!$D$2:$F$6042,3,FALSE),"")</f>
        <v>3400005</v>
      </c>
      <c r="B3594" s="17">
        <v>2016</v>
      </c>
      <c r="C3594" s="17" t="s">
        <v>664</v>
      </c>
      <c r="D3594" s="17">
        <v>851</v>
      </c>
      <c r="E3594" s="17" t="s">
        <v>1431</v>
      </c>
      <c r="F3594" s="20">
        <v>605834</v>
      </c>
    </row>
    <row r="3595" spans="1:6" ht="16" customHeight="1" x14ac:dyDescent="0.2">
      <c r="A3595">
        <f>IFERROR(VLOOKUP(C3595,'GASB Match'!$D$2:$F$6042,3,FALSE),"")</f>
        <v>3400005</v>
      </c>
      <c r="B3595" s="17">
        <v>2018</v>
      </c>
      <c r="C3595" s="17" t="s">
        <v>1357</v>
      </c>
      <c r="D3595" s="17">
        <v>851</v>
      </c>
      <c r="E3595" s="17" t="s">
        <v>1473</v>
      </c>
      <c r="F3595" s="20">
        <v>1071068</v>
      </c>
    </row>
    <row r="3596" spans="1:6" ht="16" customHeight="1" x14ac:dyDescent="0.2">
      <c r="A3596">
        <f>IFERROR(VLOOKUP(C3596,'GASB Match'!$D$2:$F$6042,3,FALSE),"")</f>
        <v>3400005</v>
      </c>
      <c r="B3596" s="17">
        <v>2019</v>
      </c>
      <c r="C3596" s="17" t="s">
        <v>1357</v>
      </c>
      <c r="D3596" s="17">
        <v>851</v>
      </c>
      <c r="E3596" s="17" t="s">
        <v>1473</v>
      </c>
      <c r="F3596" s="20">
        <v>1438343</v>
      </c>
    </row>
    <row r="3597" spans="1:6" ht="16" customHeight="1" x14ac:dyDescent="0.2">
      <c r="A3597">
        <f>IFERROR(VLOOKUP(C3597,'GASB Match'!$D$2:$F$6042,3,FALSE),"")</f>
        <v>3400005</v>
      </c>
      <c r="B3597" s="17">
        <v>2020</v>
      </c>
      <c r="C3597" s="21" t="s">
        <v>1357</v>
      </c>
      <c r="D3597" s="17">
        <v>851</v>
      </c>
      <c r="E3597" s="17" t="s">
        <v>1473</v>
      </c>
      <c r="F3597" s="23">
        <v>1384381</v>
      </c>
    </row>
    <row r="3598" spans="1:6" ht="16" customHeight="1" x14ac:dyDescent="0.2">
      <c r="A3598">
        <f>IFERROR(VLOOKUP(C3598,'GASB Match'!$D$2:$F$6042,3,FALSE),"")</f>
        <v>3400005</v>
      </c>
      <c r="B3598" s="17">
        <v>2021</v>
      </c>
      <c r="C3598" s="25" t="s">
        <v>1357</v>
      </c>
      <c r="D3598" s="17">
        <v>851</v>
      </c>
      <c r="E3598" s="17" t="s">
        <v>1473</v>
      </c>
      <c r="F3598" s="23">
        <v>1761279</v>
      </c>
    </row>
    <row r="3599" spans="1:6" ht="16" customHeight="1" x14ac:dyDescent="0.2">
      <c r="A3599">
        <f>IFERROR(VLOOKUP(C3599,'GASB Match'!$D$2:$F$6042,3,FALSE),"")</f>
        <v>3400005</v>
      </c>
      <c r="B3599" s="17">
        <v>2022</v>
      </c>
      <c r="C3599" s="21" t="s">
        <v>1357</v>
      </c>
      <c r="D3599" s="17">
        <v>851</v>
      </c>
      <c r="E3599" s="17" t="s">
        <v>1473</v>
      </c>
      <c r="F3599" s="23">
        <v>2498411</v>
      </c>
    </row>
    <row r="3600" spans="1:6" ht="16" customHeight="1" x14ac:dyDescent="0.2">
      <c r="A3600">
        <f>IFERROR(VLOOKUP(C3600,'GASB Match'!$D$2:$F$6042,3,FALSE),"")</f>
        <v>3400005</v>
      </c>
      <c r="B3600" s="17">
        <v>2023</v>
      </c>
      <c r="C3600" s="21" t="s">
        <v>1357</v>
      </c>
      <c r="D3600" s="17">
        <v>851</v>
      </c>
      <c r="E3600" s="17" t="s">
        <v>1473</v>
      </c>
      <c r="F3600" s="23">
        <v>2423617</v>
      </c>
    </row>
    <row r="3601" spans="1:6" ht="16" customHeight="1" x14ac:dyDescent="0.2">
      <c r="A3601">
        <f>IFERROR(VLOOKUP(C3601,'GASB Match'!$D$2:$F$6042,3,FALSE),"")</f>
        <v>3400005</v>
      </c>
      <c r="B3601" s="28">
        <v>2017</v>
      </c>
      <c r="C3601" s="29" t="s">
        <v>664</v>
      </c>
      <c r="D3601" s="17">
        <v>851</v>
      </c>
      <c r="E3601" s="17" t="s">
        <v>1431</v>
      </c>
      <c r="F3601" s="29">
        <v>806220</v>
      </c>
    </row>
    <row r="3602" spans="1:6" ht="16" customHeight="1" x14ac:dyDescent="0.2">
      <c r="A3602">
        <f>IFERROR(VLOOKUP(C3602,'GASB Match'!$D$2:$F$6042,3,FALSE),"")</f>
        <v>3410860</v>
      </c>
      <c r="B3602" s="17">
        <v>2015</v>
      </c>
      <c r="C3602" s="17" t="s">
        <v>480</v>
      </c>
      <c r="D3602" s="17">
        <v>435</v>
      </c>
      <c r="E3602" s="17" t="s">
        <v>1421</v>
      </c>
      <c r="F3602" s="20">
        <v>163679</v>
      </c>
    </row>
    <row r="3603" spans="1:6" ht="16" customHeight="1" x14ac:dyDescent="0.2">
      <c r="A3603">
        <f>IFERROR(VLOOKUP(C3603,'GASB Match'!$D$2:$F$6042,3,FALSE),"")</f>
        <v>3410860</v>
      </c>
      <c r="B3603" s="17">
        <v>2016</v>
      </c>
      <c r="C3603" s="17" t="s">
        <v>480</v>
      </c>
      <c r="D3603" s="17">
        <v>435</v>
      </c>
      <c r="E3603" s="17" t="s">
        <v>1421</v>
      </c>
      <c r="F3603" s="20">
        <v>246133</v>
      </c>
    </row>
    <row r="3604" spans="1:6" ht="16" customHeight="1" x14ac:dyDescent="0.2">
      <c r="A3604">
        <f>IFERROR(VLOOKUP(C3604,'GASB Match'!$D$2:$F$6042,3,FALSE),"")</f>
        <v>3410860</v>
      </c>
      <c r="B3604" s="17">
        <v>2018</v>
      </c>
      <c r="C3604" s="17" t="s">
        <v>1172</v>
      </c>
      <c r="D3604" s="17">
        <v>435</v>
      </c>
      <c r="E3604" s="17" t="s">
        <v>1464</v>
      </c>
      <c r="F3604" s="20">
        <v>446884</v>
      </c>
    </row>
    <row r="3605" spans="1:6" ht="16" customHeight="1" x14ac:dyDescent="0.2">
      <c r="A3605">
        <f>IFERROR(VLOOKUP(C3605,'GASB Match'!$D$2:$F$6042,3,FALSE),"")</f>
        <v>3410860</v>
      </c>
      <c r="B3605" s="17">
        <v>2019</v>
      </c>
      <c r="C3605" s="17" t="s">
        <v>1172</v>
      </c>
      <c r="D3605" s="17">
        <v>435</v>
      </c>
      <c r="E3605" s="17" t="s">
        <v>1464</v>
      </c>
      <c r="F3605" s="20">
        <v>592998</v>
      </c>
    </row>
    <row r="3606" spans="1:6" ht="16" customHeight="1" x14ac:dyDescent="0.2">
      <c r="A3606">
        <f>IFERROR(VLOOKUP(C3606,'GASB Match'!$D$2:$F$6042,3,FALSE),"")</f>
        <v>3410860</v>
      </c>
      <c r="B3606" s="17">
        <v>2020</v>
      </c>
      <c r="C3606" s="21" t="s">
        <v>1172</v>
      </c>
      <c r="D3606" s="17">
        <v>435</v>
      </c>
      <c r="E3606" s="17" t="s">
        <v>1464</v>
      </c>
      <c r="F3606" s="23">
        <v>688984</v>
      </c>
    </row>
    <row r="3607" spans="1:6" ht="16" customHeight="1" x14ac:dyDescent="0.2">
      <c r="A3607">
        <f>IFERROR(VLOOKUP(C3607,'GASB Match'!$D$2:$F$6042,3,FALSE),"")</f>
        <v>3410860</v>
      </c>
      <c r="B3607" s="17">
        <v>2021</v>
      </c>
      <c r="C3607" s="25" t="s">
        <v>1172</v>
      </c>
      <c r="D3607" s="17">
        <v>435</v>
      </c>
      <c r="E3607" s="17" t="s">
        <v>1464</v>
      </c>
      <c r="F3607" s="22">
        <v>872587</v>
      </c>
    </row>
    <row r="3608" spans="1:6" ht="16" customHeight="1" x14ac:dyDescent="0.2">
      <c r="A3608">
        <f>IFERROR(VLOOKUP(C3608,'GASB Match'!$D$2:$F$6042,3,FALSE),"")</f>
        <v>3410860</v>
      </c>
      <c r="B3608" s="17">
        <v>2022</v>
      </c>
      <c r="C3608" s="21" t="s">
        <v>1172</v>
      </c>
      <c r="D3608" s="17">
        <v>435</v>
      </c>
      <c r="E3608" s="17" t="s">
        <v>1464</v>
      </c>
      <c r="F3608" s="23">
        <v>1303189</v>
      </c>
    </row>
    <row r="3609" spans="1:6" ht="16" customHeight="1" x14ac:dyDescent="0.2">
      <c r="A3609">
        <f>IFERROR(VLOOKUP(C3609,'GASB Match'!$D$2:$F$6042,3,FALSE),"")</f>
        <v>3410860</v>
      </c>
      <c r="B3609" s="17">
        <v>2023</v>
      </c>
      <c r="C3609" s="21" t="s">
        <v>1172</v>
      </c>
      <c r="D3609" s="17">
        <v>435</v>
      </c>
      <c r="E3609" s="17" t="s">
        <v>1464</v>
      </c>
      <c r="F3609" s="23">
        <v>1214670</v>
      </c>
    </row>
    <row r="3610" spans="1:6" ht="16" customHeight="1" x14ac:dyDescent="0.2">
      <c r="A3610">
        <f>IFERROR(VLOOKUP(C3610,'GASB Match'!$D$2:$F$6042,3,FALSE),"")</f>
        <v>3410860</v>
      </c>
      <c r="B3610" s="28">
        <v>2017</v>
      </c>
      <c r="C3610" s="29" t="s">
        <v>480</v>
      </c>
      <c r="D3610" s="17">
        <v>435</v>
      </c>
      <c r="E3610" s="17" t="s">
        <v>1421</v>
      </c>
      <c r="F3610" s="29">
        <v>342704</v>
      </c>
    </row>
    <row r="3611" spans="1:6" ht="16" customHeight="1" x14ac:dyDescent="0.2">
      <c r="A3611">
        <f>IFERROR(VLOOKUP(C3611,'GASB Match'!$D$2:$F$6042,3,FALSE),"")</f>
        <v>3410890</v>
      </c>
      <c r="B3611" s="17">
        <v>2015</v>
      </c>
      <c r="C3611" s="17" t="s">
        <v>183</v>
      </c>
      <c r="D3611" s="17">
        <v>4043</v>
      </c>
      <c r="E3611" s="17" t="s">
        <v>1405</v>
      </c>
      <c r="F3611" s="20">
        <v>136600</v>
      </c>
    </row>
    <row r="3612" spans="1:6" ht="16" customHeight="1" x14ac:dyDescent="0.2">
      <c r="A3612">
        <f>IFERROR(VLOOKUP(C3612,'GASB Match'!$D$2:$F$6042,3,FALSE),"")</f>
        <v>3410890</v>
      </c>
      <c r="B3612" s="17">
        <v>2016</v>
      </c>
      <c r="C3612" s="17" t="s">
        <v>183</v>
      </c>
      <c r="D3612" s="17">
        <v>4043</v>
      </c>
      <c r="E3612" s="17" t="s">
        <v>1405</v>
      </c>
      <c r="F3612" s="20">
        <v>216972</v>
      </c>
    </row>
    <row r="3613" spans="1:6" ht="16" customHeight="1" x14ac:dyDescent="0.2">
      <c r="A3613">
        <f>IFERROR(VLOOKUP(C3613,'GASB Match'!$D$2:$F$6042,3,FALSE),"")</f>
        <v>3410890</v>
      </c>
      <c r="B3613" s="17">
        <v>2018</v>
      </c>
      <c r="C3613" s="17" t="s">
        <v>866</v>
      </c>
      <c r="D3613" s="17">
        <v>4043</v>
      </c>
      <c r="E3613" s="17" t="s">
        <v>1446</v>
      </c>
      <c r="F3613" s="20">
        <v>442250</v>
      </c>
    </row>
    <row r="3614" spans="1:6" ht="16" customHeight="1" x14ac:dyDescent="0.2">
      <c r="A3614">
        <f>IFERROR(VLOOKUP(C3614,'GASB Match'!$D$2:$F$6042,3,FALSE),"")</f>
        <v>3410890</v>
      </c>
      <c r="B3614" s="17">
        <v>2019</v>
      </c>
      <c r="C3614" s="17" t="s">
        <v>866</v>
      </c>
      <c r="D3614" s="17">
        <v>4043</v>
      </c>
      <c r="E3614" s="17" t="s">
        <v>1446</v>
      </c>
      <c r="F3614" s="20">
        <v>555994</v>
      </c>
    </row>
    <row r="3615" spans="1:6" ht="16" customHeight="1" x14ac:dyDescent="0.2">
      <c r="A3615">
        <f>IFERROR(VLOOKUP(C3615,'GASB Match'!$D$2:$F$6042,3,FALSE),"")</f>
        <v>3410890</v>
      </c>
      <c r="B3615" s="17">
        <v>2020</v>
      </c>
      <c r="C3615" s="21" t="s">
        <v>866</v>
      </c>
      <c r="D3615" s="17">
        <v>4043</v>
      </c>
      <c r="E3615" s="17" t="s">
        <v>1446</v>
      </c>
      <c r="F3615" s="23">
        <v>657842</v>
      </c>
    </row>
    <row r="3616" spans="1:6" ht="16" customHeight="1" x14ac:dyDescent="0.2">
      <c r="A3616">
        <f>IFERROR(VLOOKUP(C3616,'GASB Match'!$D$2:$F$6042,3,FALSE),"")</f>
        <v>3410890</v>
      </c>
      <c r="B3616" s="17">
        <v>2021</v>
      </c>
      <c r="C3616" s="25" t="s">
        <v>866</v>
      </c>
      <c r="D3616" s="17">
        <v>4043</v>
      </c>
      <c r="E3616" s="17" t="s">
        <v>1446</v>
      </c>
      <c r="F3616" s="23">
        <v>849791</v>
      </c>
    </row>
    <row r="3617" spans="1:6" ht="16" customHeight="1" x14ac:dyDescent="0.2">
      <c r="A3617">
        <f>IFERROR(VLOOKUP(C3617,'GASB Match'!$D$2:$F$6042,3,FALSE),"")</f>
        <v>3410890</v>
      </c>
      <c r="B3617" s="17">
        <v>2022</v>
      </c>
      <c r="C3617" s="21" t="s">
        <v>866</v>
      </c>
      <c r="D3617" s="17">
        <v>4043</v>
      </c>
      <c r="E3617" s="17" t="s">
        <v>1446</v>
      </c>
      <c r="F3617" s="23">
        <v>1267756</v>
      </c>
    </row>
    <row r="3618" spans="1:6" ht="16" customHeight="1" x14ac:dyDescent="0.2">
      <c r="A3618">
        <f>IFERROR(VLOOKUP(C3618,'GASB Match'!$D$2:$F$6042,3,FALSE),"")</f>
        <v>3410890</v>
      </c>
      <c r="B3618" s="17">
        <v>2023</v>
      </c>
      <c r="C3618" s="21" t="s">
        <v>866</v>
      </c>
      <c r="D3618" s="17">
        <v>4043</v>
      </c>
      <c r="E3618" s="17" t="s">
        <v>1446</v>
      </c>
      <c r="F3618" s="23">
        <v>1255758</v>
      </c>
    </row>
    <row r="3619" spans="1:6" ht="16" customHeight="1" x14ac:dyDescent="0.2">
      <c r="A3619">
        <f>IFERROR(VLOOKUP(C3619,'GASB Match'!$D$2:$F$6042,3,FALSE),"")</f>
        <v>3410890</v>
      </c>
      <c r="B3619" s="28">
        <v>2017</v>
      </c>
      <c r="C3619" s="29" t="s">
        <v>183</v>
      </c>
      <c r="D3619" s="17">
        <v>4043</v>
      </c>
      <c r="E3619" s="17" t="s">
        <v>1405</v>
      </c>
      <c r="F3619" s="29">
        <v>345520</v>
      </c>
    </row>
    <row r="3620" spans="1:6" ht="16" customHeight="1" x14ac:dyDescent="0.2">
      <c r="A3620">
        <f>IFERROR(VLOOKUP(C3620,'GASB Match'!$D$2:$F$6042,3,FALSE),"")</f>
        <v>3410920</v>
      </c>
      <c r="B3620" s="17">
        <v>2015</v>
      </c>
      <c r="C3620" s="17" t="s">
        <v>129</v>
      </c>
      <c r="D3620" s="17">
        <v>3032</v>
      </c>
      <c r="E3620" s="17" t="s">
        <v>1404</v>
      </c>
      <c r="F3620" s="20">
        <v>394292</v>
      </c>
    </row>
    <row r="3621" spans="1:6" ht="16" customHeight="1" x14ac:dyDescent="0.2">
      <c r="A3621">
        <f>IFERROR(VLOOKUP(C3621,'GASB Match'!$D$2:$F$6042,3,FALSE),"")</f>
        <v>3410920</v>
      </c>
      <c r="B3621" s="17">
        <v>2016</v>
      </c>
      <c r="C3621" s="17" t="s">
        <v>129</v>
      </c>
      <c r="D3621" s="17">
        <v>3032</v>
      </c>
      <c r="E3621" s="17" t="s">
        <v>1404</v>
      </c>
      <c r="F3621" s="20">
        <v>592666</v>
      </c>
    </row>
    <row r="3622" spans="1:6" ht="16" customHeight="1" x14ac:dyDescent="0.2">
      <c r="A3622">
        <f>IFERROR(VLOOKUP(C3622,'GASB Match'!$D$2:$F$6042,3,FALSE),"")</f>
        <v>3410920</v>
      </c>
      <c r="B3622" s="17">
        <v>2018</v>
      </c>
      <c r="C3622" s="17" t="s">
        <v>810</v>
      </c>
      <c r="D3622" s="17">
        <v>3032</v>
      </c>
      <c r="E3622" s="17" t="s">
        <v>1445</v>
      </c>
      <c r="F3622" s="20">
        <v>1183446</v>
      </c>
    </row>
    <row r="3623" spans="1:6" ht="16" customHeight="1" x14ac:dyDescent="0.2">
      <c r="A3623">
        <f>IFERROR(VLOOKUP(C3623,'GASB Match'!$D$2:$F$6042,3,FALSE),"")</f>
        <v>3410920</v>
      </c>
      <c r="B3623" s="17">
        <v>2019</v>
      </c>
      <c r="C3623" s="17" t="s">
        <v>810</v>
      </c>
      <c r="D3623" s="17">
        <v>3032</v>
      </c>
      <c r="E3623" s="17" t="s">
        <v>1445</v>
      </c>
      <c r="F3623" s="20">
        <v>1573864</v>
      </c>
    </row>
    <row r="3624" spans="1:6" ht="16" customHeight="1" x14ac:dyDescent="0.2">
      <c r="A3624">
        <f>IFERROR(VLOOKUP(C3624,'GASB Match'!$D$2:$F$6042,3,FALSE),"")</f>
        <v>3410920</v>
      </c>
      <c r="B3624" s="17">
        <v>2020</v>
      </c>
      <c r="C3624" s="21" t="s">
        <v>810</v>
      </c>
      <c r="D3624" s="17">
        <v>3032</v>
      </c>
      <c r="E3624" s="17" t="s">
        <v>1445</v>
      </c>
      <c r="F3624" s="23">
        <v>1700682</v>
      </c>
    </row>
    <row r="3625" spans="1:6" ht="16" customHeight="1" x14ac:dyDescent="0.2">
      <c r="A3625">
        <f>IFERROR(VLOOKUP(C3625,'GASB Match'!$D$2:$F$6042,3,FALSE),"")</f>
        <v>3410920</v>
      </c>
      <c r="B3625" s="17">
        <v>2021</v>
      </c>
      <c r="C3625" s="25" t="s">
        <v>810</v>
      </c>
      <c r="D3625" s="17">
        <v>3032</v>
      </c>
      <c r="E3625" s="17" t="s">
        <v>1445</v>
      </c>
      <c r="F3625" s="23">
        <v>2328859</v>
      </c>
    </row>
    <row r="3626" spans="1:6" ht="16" customHeight="1" x14ac:dyDescent="0.2">
      <c r="A3626">
        <f>IFERROR(VLOOKUP(C3626,'GASB Match'!$D$2:$F$6042,3,FALSE),"")</f>
        <v>3410920</v>
      </c>
      <c r="B3626" s="17">
        <v>2022</v>
      </c>
      <c r="C3626" s="21" t="s">
        <v>810</v>
      </c>
      <c r="D3626" s="17">
        <v>3032</v>
      </c>
      <c r="E3626" s="17" t="s">
        <v>1445</v>
      </c>
      <c r="F3626" s="23">
        <v>3331172</v>
      </c>
    </row>
    <row r="3627" spans="1:6" ht="16" customHeight="1" x14ac:dyDescent="0.2">
      <c r="A3627">
        <f>IFERROR(VLOOKUP(C3627,'GASB Match'!$D$2:$F$6042,3,FALSE),"")</f>
        <v>3410920</v>
      </c>
      <c r="B3627" s="17">
        <v>2023</v>
      </c>
      <c r="C3627" s="21" t="s">
        <v>810</v>
      </c>
      <c r="D3627" s="17">
        <v>3032</v>
      </c>
      <c r="E3627" s="17" t="s">
        <v>1445</v>
      </c>
      <c r="F3627" s="23">
        <v>3459206</v>
      </c>
    </row>
    <row r="3628" spans="1:6" ht="16" customHeight="1" x14ac:dyDescent="0.2">
      <c r="A3628">
        <f>IFERROR(VLOOKUP(C3628,'GASB Match'!$D$2:$F$6042,3,FALSE),"")</f>
        <v>3410920</v>
      </c>
      <c r="B3628" s="28">
        <v>2017</v>
      </c>
      <c r="C3628" s="29" t="s">
        <v>129</v>
      </c>
      <c r="D3628" s="17">
        <v>3032</v>
      </c>
      <c r="E3628" s="17" t="s">
        <v>1404</v>
      </c>
      <c r="F3628" s="29">
        <v>853076</v>
      </c>
    </row>
    <row r="3629" spans="1:6" ht="16" customHeight="1" x14ac:dyDescent="0.2">
      <c r="A3629">
        <f>IFERROR(VLOOKUP(C3629,'GASB Match'!$D$2:$F$6042,3,FALSE),"")</f>
        <v>3410950</v>
      </c>
      <c r="B3629" s="17">
        <v>2015</v>
      </c>
      <c r="C3629" s="17" t="s">
        <v>130</v>
      </c>
      <c r="D3629" s="17">
        <v>3029</v>
      </c>
      <c r="E3629" s="17" t="s">
        <v>1404</v>
      </c>
      <c r="F3629" s="20">
        <v>1572971</v>
      </c>
    </row>
    <row r="3630" spans="1:6" ht="16" customHeight="1" x14ac:dyDescent="0.2">
      <c r="A3630">
        <f>IFERROR(VLOOKUP(C3630,'GASB Match'!$D$2:$F$6042,3,FALSE),"")</f>
        <v>3410950</v>
      </c>
      <c r="B3630" s="17">
        <v>2016</v>
      </c>
      <c r="C3630" s="17" t="s">
        <v>130</v>
      </c>
      <c r="D3630" s="17">
        <v>3029</v>
      </c>
      <c r="E3630" s="17" t="s">
        <v>1404</v>
      </c>
      <c r="F3630" s="20">
        <v>2284973</v>
      </c>
    </row>
    <row r="3631" spans="1:6" ht="16" customHeight="1" x14ac:dyDescent="0.2">
      <c r="A3631">
        <f>IFERROR(VLOOKUP(C3631,'GASB Match'!$D$2:$F$6042,3,FALSE),"")</f>
        <v>3410950</v>
      </c>
      <c r="B3631" s="17">
        <v>2018</v>
      </c>
      <c r="C3631" s="17" t="s">
        <v>811</v>
      </c>
      <c r="D3631" s="17">
        <v>3029</v>
      </c>
      <c r="E3631" s="17" t="s">
        <v>1445</v>
      </c>
      <c r="F3631" s="20">
        <v>4388748</v>
      </c>
    </row>
    <row r="3632" spans="1:6" ht="16" customHeight="1" x14ac:dyDescent="0.2">
      <c r="A3632">
        <f>IFERROR(VLOOKUP(C3632,'GASB Match'!$D$2:$F$6042,3,FALSE),"")</f>
        <v>3410950</v>
      </c>
      <c r="B3632" s="17">
        <v>2019</v>
      </c>
      <c r="C3632" s="17" t="s">
        <v>811</v>
      </c>
      <c r="D3632" s="17">
        <v>3029</v>
      </c>
      <c r="E3632" s="17" t="s">
        <v>1445</v>
      </c>
      <c r="F3632" s="20">
        <v>5815154</v>
      </c>
    </row>
    <row r="3633" spans="1:6" ht="16" customHeight="1" x14ac:dyDescent="0.2">
      <c r="A3633">
        <f>IFERROR(VLOOKUP(C3633,'GASB Match'!$D$2:$F$6042,3,FALSE),"")</f>
        <v>3410950</v>
      </c>
      <c r="B3633" s="17">
        <v>2020</v>
      </c>
      <c r="C3633" s="21" t="s">
        <v>811</v>
      </c>
      <c r="D3633" s="17">
        <v>3029</v>
      </c>
      <c r="E3633" s="17" t="s">
        <v>1445</v>
      </c>
      <c r="F3633" s="23">
        <v>6624799</v>
      </c>
    </row>
    <row r="3634" spans="1:6" ht="16" customHeight="1" x14ac:dyDescent="0.2">
      <c r="A3634">
        <f>IFERROR(VLOOKUP(C3634,'GASB Match'!$D$2:$F$6042,3,FALSE),"")</f>
        <v>3410950</v>
      </c>
      <c r="B3634" s="17">
        <v>2021</v>
      </c>
      <c r="C3634" s="25" t="s">
        <v>811</v>
      </c>
      <c r="D3634" s="17">
        <v>3029</v>
      </c>
      <c r="E3634" s="17" t="s">
        <v>1445</v>
      </c>
      <c r="F3634" s="23">
        <v>8707050</v>
      </c>
    </row>
    <row r="3635" spans="1:6" ht="16" customHeight="1" x14ac:dyDescent="0.2">
      <c r="A3635">
        <f>IFERROR(VLOOKUP(C3635,'GASB Match'!$D$2:$F$6042,3,FALSE),"")</f>
        <v>3410950</v>
      </c>
      <c r="B3635" s="17">
        <v>2022</v>
      </c>
      <c r="C3635" s="21" t="s">
        <v>811</v>
      </c>
      <c r="D3635" s="17">
        <v>3029</v>
      </c>
      <c r="E3635" s="17" t="s">
        <v>1445</v>
      </c>
      <c r="F3635" s="23">
        <v>12486977</v>
      </c>
    </row>
    <row r="3636" spans="1:6" ht="16" customHeight="1" x14ac:dyDescent="0.2">
      <c r="A3636">
        <f>IFERROR(VLOOKUP(C3636,'GASB Match'!$D$2:$F$6042,3,FALSE),"")</f>
        <v>3410950</v>
      </c>
      <c r="B3636" s="17">
        <v>2023</v>
      </c>
      <c r="C3636" s="21" t="s">
        <v>811</v>
      </c>
      <c r="D3636" s="17">
        <v>3029</v>
      </c>
      <c r="E3636" s="17" t="s">
        <v>1445</v>
      </c>
      <c r="F3636" s="23">
        <v>12560480</v>
      </c>
    </row>
    <row r="3637" spans="1:6" ht="16" customHeight="1" x14ac:dyDescent="0.2">
      <c r="A3637">
        <f>IFERROR(VLOOKUP(C3637,'GASB Match'!$D$2:$F$6042,3,FALSE),"")</f>
        <v>3410950</v>
      </c>
      <c r="B3637" s="28">
        <v>2017</v>
      </c>
      <c r="C3637" s="29" t="s">
        <v>130</v>
      </c>
      <c r="D3637" s="17">
        <v>3029</v>
      </c>
      <c r="E3637" s="17" t="s">
        <v>1404</v>
      </c>
      <c r="F3637" s="29">
        <v>3226646</v>
      </c>
    </row>
    <row r="3638" spans="1:6" ht="16" customHeight="1" x14ac:dyDescent="0.2">
      <c r="A3638">
        <f>IFERROR(VLOOKUP(C3638,'GASB Match'!$D$2:$F$6042,3,FALSE),"")</f>
        <v>3410980</v>
      </c>
      <c r="B3638" s="17">
        <v>2015</v>
      </c>
      <c r="C3638" s="17" t="s">
        <v>481</v>
      </c>
      <c r="D3638" s="17">
        <v>436</v>
      </c>
      <c r="E3638" s="17" t="s">
        <v>1421</v>
      </c>
      <c r="F3638" s="20">
        <v>1660776</v>
      </c>
    </row>
    <row r="3639" spans="1:6" ht="16" customHeight="1" x14ac:dyDescent="0.2">
      <c r="A3639">
        <f>IFERROR(VLOOKUP(C3639,'GASB Match'!$D$2:$F$6042,3,FALSE),"")</f>
        <v>3410980</v>
      </c>
      <c r="B3639" s="17">
        <v>2016</v>
      </c>
      <c r="C3639" s="17" t="s">
        <v>481</v>
      </c>
      <c r="D3639" s="17">
        <v>436</v>
      </c>
      <c r="E3639" s="17" t="s">
        <v>1421</v>
      </c>
      <c r="F3639" s="20">
        <v>2484800</v>
      </c>
    </row>
    <row r="3640" spans="1:6" ht="16" customHeight="1" x14ac:dyDescent="0.2">
      <c r="A3640">
        <f>IFERROR(VLOOKUP(C3640,'GASB Match'!$D$2:$F$6042,3,FALSE),"")</f>
        <v>3410980</v>
      </c>
      <c r="B3640" s="17">
        <v>2018</v>
      </c>
      <c r="C3640" s="17" t="s">
        <v>1173</v>
      </c>
      <c r="D3640" s="17">
        <v>436</v>
      </c>
      <c r="E3640" s="17" t="s">
        <v>1464</v>
      </c>
      <c r="F3640" s="20">
        <v>4800574</v>
      </c>
    </row>
    <row r="3641" spans="1:6" ht="16" customHeight="1" x14ac:dyDescent="0.2">
      <c r="A3641">
        <f>IFERROR(VLOOKUP(C3641,'GASB Match'!$D$2:$F$6042,3,FALSE),"")</f>
        <v>3410980</v>
      </c>
      <c r="B3641" s="17">
        <v>2019</v>
      </c>
      <c r="C3641" s="17" t="s">
        <v>1173</v>
      </c>
      <c r="D3641" s="17">
        <v>436</v>
      </c>
      <c r="E3641" s="17" t="s">
        <v>1464</v>
      </c>
      <c r="F3641" s="20">
        <v>6278258</v>
      </c>
    </row>
    <row r="3642" spans="1:6" ht="16" customHeight="1" x14ac:dyDescent="0.2">
      <c r="A3642">
        <f>IFERROR(VLOOKUP(C3642,'GASB Match'!$D$2:$F$6042,3,FALSE),"")</f>
        <v>3410980</v>
      </c>
      <c r="B3642" s="17">
        <v>2020</v>
      </c>
      <c r="C3642" s="21" t="s">
        <v>1173</v>
      </c>
      <c r="D3642" s="17">
        <v>436</v>
      </c>
      <c r="E3642" s="17" t="s">
        <v>1464</v>
      </c>
      <c r="F3642" s="23">
        <v>7083612</v>
      </c>
    </row>
    <row r="3643" spans="1:6" ht="16" customHeight="1" x14ac:dyDescent="0.2">
      <c r="A3643">
        <f>IFERROR(VLOOKUP(C3643,'GASB Match'!$D$2:$F$6042,3,FALSE),"")</f>
        <v>3410980</v>
      </c>
      <c r="B3643" s="17">
        <v>2021</v>
      </c>
      <c r="C3643" s="25" t="s">
        <v>1173</v>
      </c>
      <c r="D3643" s="17">
        <v>436</v>
      </c>
      <c r="E3643" s="17" t="s">
        <v>1464</v>
      </c>
      <c r="F3643" s="23">
        <v>9352649</v>
      </c>
    </row>
    <row r="3644" spans="1:6" ht="16" customHeight="1" x14ac:dyDescent="0.2">
      <c r="A3644">
        <f>IFERROR(VLOOKUP(C3644,'GASB Match'!$D$2:$F$6042,3,FALSE),"")</f>
        <v>3410980</v>
      </c>
      <c r="B3644" s="17">
        <v>2022</v>
      </c>
      <c r="C3644" s="21" t="s">
        <v>1173</v>
      </c>
      <c r="D3644" s="17">
        <v>436</v>
      </c>
      <c r="E3644" s="17" t="s">
        <v>1464</v>
      </c>
      <c r="F3644" s="23">
        <v>13287420</v>
      </c>
    </row>
    <row r="3645" spans="1:6" ht="16" customHeight="1" x14ac:dyDescent="0.2">
      <c r="A3645">
        <f>IFERROR(VLOOKUP(C3645,'GASB Match'!$D$2:$F$6042,3,FALSE),"")</f>
        <v>3410980</v>
      </c>
      <c r="B3645" s="17">
        <v>2023</v>
      </c>
      <c r="C3645" s="21" t="s">
        <v>1173</v>
      </c>
      <c r="D3645" s="17">
        <v>436</v>
      </c>
      <c r="E3645" s="17" t="s">
        <v>1464</v>
      </c>
      <c r="F3645" s="23">
        <v>13787061</v>
      </c>
    </row>
    <row r="3646" spans="1:6" ht="16" customHeight="1" x14ac:dyDescent="0.2">
      <c r="A3646">
        <f>IFERROR(VLOOKUP(C3646,'GASB Match'!$D$2:$F$6042,3,FALSE),"")</f>
        <v>3410980</v>
      </c>
      <c r="B3646" s="28">
        <v>2017</v>
      </c>
      <c r="C3646" s="29" t="s">
        <v>481</v>
      </c>
      <c r="D3646" s="17">
        <v>436</v>
      </c>
      <c r="E3646" s="17" t="s">
        <v>1421</v>
      </c>
      <c r="F3646" s="29">
        <v>3484217</v>
      </c>
    </row>
    <row r="3647" spans="1:6" ht="16" customHeight="1" x14ac:dyDescent="0.2">
      <c r="A3647">
        <f>IFERROR(VLOOKUP(C3647,'GASB Match'!$D$2:$F$6042,3,FALSE),"")</f>
        <v>3411010</v>
      </c>
      <c r="B3647" s="17">
        <v>2015</v>
      </c>
      <c r="C3647" s="17" t="s">
        <v>482</v>
      </c>
      <c r="D3647" s="17">
        <v>434</v>
      </c>
      <c r="E3647" s="17" t="s">
        <v>1421</v>
      </c>
      <c r="F3647" s="20">
        <v>943560</v>
      </c>
    </row>
    <row r="3648" spans="1:6" ht="16" customHeight="1" x14ac:dyDescent="0.2">
      <c r="A3648">
        <f>IFERROR(VLOOKUP(C3648,'GASB Match'!$D$2:$F$6042,3,FALSE),"")</f>
        <v>3411010</v>
      </c>
      <c r="B3648" s="17">
        <v>2016</v>
      </c>
      <c r="C3648" s="17" t="s">
        <v>482</v>
      </c>
      <c r="D3648" s="17">
        <v>434</v>
      </c>
      <c r="E3648" s="17" t="s">
        <v>1421</v>
      </c>
      <c r="F3648" s="20">
        <v>1331242</v>
      </c>
    </row>
    <row r="3649" spans="1:6" ht="16" customHeight="1" x14ac:dyDescent="0.2">
      <c r="A3649">
        <f>IFERROR(VLOOKUP(C3649,'GASB Match'!$D$2:$F$6042,3,FALSE),"")</f>
        <v>3411010</v>
      </c>
      <c r="B3649" s="17">
        <v>2018</v>
      </c>
      <c r="C3649" s="17" t="s">
        <v>1174</v>
      </c>
      <c r="D3649" s="17">
        <v>434</v>
      </c>
      <c r="E3649" s="17" t="s">
        <v>1464</v>
      </c>
      <c r="F3649" s="20">
        <v>2515526</v>
      </c>
    </row>
    <row r="3650" spans="1:6" ht="16" customHeight="1" x14ac:dyDescent="0.2">
      <c r="A3650">
        <f>IFERROR(VLOOKUP(C3650,'GASB Match'!$D$2:$F$6042,3,FALSE),"")</f>
        <v>3411010</v>
      </c>
      <c r="B3650" s="17">
        <v>2019</v>
      </c>
      <c r="C3650" s="17" t="s">
        <v>1174</v>
      </c>
      <c r="D3650" s="17">
        <v>434</v>
      </c>
      <c r="E3650" s="17" t="s">
        <v>1464</v>
      </c>
      <c r="F3650" s="20">
        <v>3367213</v>
      </c>
    </row>
    <row r="3651" spans="1:6" ht="16" customHeight="1" x14ac:dyDescent="0.2">
      <c r="A3651">
        <f>IFERROR(VLOOKUP(C3651,'GASB Match'!$D$2:$F$6042,3,FALSE),"")</f>
        <v>3411010</v>
      </c>
      <c r="B3651" s="17">
        <v>2020</v>
      </c>
      <c r="C3651" s="21" t="s">
        <v>1174</v>
      </c>
      <c r="D3651" s="17">
        <v>434</v>
      </c>
      <c r="E3651" s="17" t="s">
        <v>1464</v>
      </c>
      <c r="F3651" s="23">
        <v>3897541</v>
      </c>
    </row>
    <row r="3652" spans="1:6" ht="16" customHeight="1" x14ac:dyDescent="0.2">
      <c r="A3652">
        <f>IFERROR(VLOOKUP(C3652,'GASB Match'!$D$2:$F$6042,3,FALSE),"")</f>
        <v>3411010</v>
      </c>
      <c r="B3652" s="17">
        <v>2021</v>
      </c>
      <c r="C3652" s="25" t="s">
        <v>1174</v>
      </c>
      <c r="D3652" s="17">
        <v>434</v>
      </c>
      <c r="E3652" s="17" t="s">
        <v>1464</v>
      </c>
      <c r="F3652" s="23">
        <v>4908484</v>
      </c>
    </row>
    <row r="3653" spans="1:6" ht="16" customHeight="1" x14ac:dyDescent="0.2">
      <c r="A3653">
        <f>IFERROR(VLOOKUP(C3653,'GASB Match'!$D$2:$F$6042,3,FALSE),"")</f>
        <v>3411010</v>
      </c>
      <c r="B3653" s="17">
        <v>2022</v>
      </c>
      <c r="C3653" s="21" t="s">
        <v>1174</v>
      </c>
      <c r="D3653" s="17">
        <v>434</v>
      </c>
      <c r="E3653" s="17" t="s">
        <v>1464</v>
      </c>
      <c r="F3653" s="23">
        <v>6995285</v>
      </c>
    </row>
    <row r="3654" spans="1:6" ht="16" customHeight="1" x14ac:dyDescent="0.2">
      <c r="A3654">
        <f>IFERROR(VLOOKUP(C3654,'GASB Match'!$D$2:$F$6042,3,FALSE),"")</f>
        <v>3411010</v>
      </c>
      <c r="B3654" s="17">
        <v>2023</v>
      </c>
      <c r="C3654" s="21" t="s">
        <v>1174</v>
      </c>
      <c r="D3654" s="17">
        <v>434</v>
      </c>
      <c r="E3654" s="17" t="s">
        <v>1464</v>
      </c>
      <c r="F3654" s="23">
        <v>6850011</v>
      </c>
    </row>
    <row r="3655" spans="1:6" ht="16" customHeight="1" x14ac:dyDescent="0.2">
      <c r="A3655">
        <f>IFERROR(VLOOKUP(C3655,'GASB Match'!$D$2:$F$6042,3,FALSE),"")</f>
        <v>3411010</v>
      </c>
      <c r="B3655" s="28">
        <v>2017</v>
      </c>
      <c r="C3655" s="29" t="s">
        <v>482</v>
      </c>
      <c r="D3655" s="17">
        <v>434</v>
      </c>
      <c r="E3655" s="17" t="s">
        <v>1421</v>
      </c>
      <c r="F3655" s="29">
        <v>1925251</v>
      </c>
    </row>
    <row r="3656" spans="1:6" ht="16" customHeight="1" x14ac:dyDescent="0.2">
      <c r="A3656">
        <f>IFERROR(VLOOKUP(C3656,'GASB Match'!$D$2:$F$6042,3,FALSE),"")</f>
        <v>3411040</v>
      </c>
      <c r="B3656" s="17">
        <v>2015</v>
      </c>
      <c r="C3656" s="17" t="s">
        <v>621</v>
      </c>
      <c r="D3656" s="17">
        <v>836</v>
      </c>
      <c r="E3656" s="17" t="s">
        <v>1427</v>
      </c>
      <c r="F3656" s="20">
        <v>248539</v>
      </c>
    </row>
    <row r="3657" spans="1:6" ht="16" customHeight="1" x14ac:dyDescent="0.2">
      <c r="A3657">
        <f>IFERROR(VLOOKUP(C3657,'GASB Match'!$D$2:$F$6042,3,FALSE),"")</f>
        <v>3411040</v>
      </c>
      <c r="B3657" s="17">
        <v>2016</v>
      </c>
      <c r="C3657" s="17" t="s">
        <v>621</v>
      </c>
      <c r="D3657" s="17">
        <v>836</v>
      </c>
      <c r="E3657" s="17" t="s">
        <v>1427</v>
      </c>
      <c r="F3657" s="20">
        <v>367344</v>
      </c>
    </row>
    <row r="3658" spans="1:6" ht="16" customHeight="1" x14ac:dyDescent="0.2">
      <c r="A3658">
        <f>IFERROR(VLOOKUP(C3658,'GASB Match'!$D$2:$F$6042,3,FALSE),"")</f>
        <v>3411040</v>
      </c>
      <c r="B3658" s="17">
        <v>2018</v>
      </c>
      <c r="C3658" s="17" t="s">
        <v>1314</v>
      </c>
      <c r="D3658" s="17">
        <v>836</v>
      </c>
      <c r="E3658" s="17" t="s">
        <v>1470</v>
      </c>
      <c r="F3658" s="20">
        <v>737610</v>
      </c>
    </row>
    <row r="3659" spans="1:6" ht="16" customHeight="1" x14ac:dyDescent="0.2">
      <c r="A3659">
        <f>IFERROR(VLOOKUP(C3659,'GASB Match'!$D$2:$F$6042,3,FALSE),"")</f>
        <v>3411040</v>
      </c>
      <c r="B3659" s="17">
        <v>2019</v>
      </c>
      <c r="C3659" s="17" t="s">
        <v>1314</v>
      </c>
      <c r="D3659" s="17">
        <v>836</v>
      </c>
      <c r="E3659" s="17" t="s">
        <v>1470</v>
      </c>
      <c r="F3659" s="20">
        <v>915112</v>
      </c>
    </row>
    <row r="3660" spans="1:6" ht="16" customHeight="1" x14ac:dyDescent="0.2">
      <c r="A3660">
        <f>IFERROR(VLOOKUP(C3660,'GASB Match'!$D$2:$F$6042,3,FALSE),"")</f>
        <v>3411040</v>
      </c>
      <c r="B3660" s="17">
        <v>2020</v>
      </c>
      <c r="C3660" s="21" t="s">
        <v>1314</v>
      </c>
      <c r="D3660" s="17">
        <v>836</v>
      </c>
      <c r="E3660" s="17" t="s">
        <v>1470</v>
      </c>
      <c r="F3660" s="23">
        <v>1042181</v>
      </c>
    </row>
    <row r="3661" spans="1:6" ht="16" customHeight="1" x14ac:dyDescent="0.2">
      <c r="A3661">
        <f>IFERROR(VLOOKUP(C3661,'GASB Match'!$D$2:$F$6042,3,FALSE),"")</f>
        <v>3411040</v>
      </c>
      <c r="B3661" s="17">
        <v>2021</v>
      </c>
      <c r="C3661" s="25" t="s">
        <v>1314</v>
      </c>
      <c r="D3661" s="17">
        <v>836</v>
      </c>
      <c r="E3661" s="17" t="s">
        <v>1470</v>
      </c>
      <c r="F3661" s="23">
        <v>1464502</v>
      </c>
    </row>
    <row r="3662" spans="1:6" ht="16" customHeight="1" x14ac:dyDescent="0.2">
      <c r="A3662">
        <f>IFERROR(VLOOKUP(C3662,'GASB Match'!$D$2:$F$6042,3,FALSE),"")</f>
        <v>3411040</v>
      </c>
      <c r="B3662" s="17">
        <v>2022</v>
      </c>
      <c r="C3662" s="21" t="s">
        <v>1314</v>
      </c>
      <c r="D3662" s="17">
        <v>836</v>
      </c>
      <c r="E3662" s="17" t="s">
        <v>1470</v>
      </c>
      <c r="F3662" s="23">
        <v>2139383</v>
      </c>
    </row>
    <row r="3663" spans="1:6" ht="16" customHeight="1" x14ac:dyDescent="0.2">
      <c r="A3663">
        <f>IFERROR(VLOOKUP(C3663,'GASB Match'!$D$2:$F$6042,3,FALSE),"")</f>
        <v>3411040</v>
      </c>
      <c r="B3663" s="17">
        <v>2023</v>
      </c>
      <c r="C3663" s="21" t="s">
        <v>1314</v>
      </c>
      <c r="D3663" s="17">
        <v>836</v>
      </c>
      <c r="E3663" s="17" t="s">
        <v>1470</v>
      </c>
      <c r="F3663" s="23">
        <v>2116582</v>
      </c>
    </row>
    <row r="3664" spans="1:6" ht="16" customHeight="1" x14ac:dyDescent="0.2">
      <c r="A3664">
        <f>IFERROR(VLOOKUP(C3664,'GASB Match'!$D$2:$F$6042,3,FALSE),"")</f>
        <v>3411040</v>
      </c>
      <c r="B3664" s="28">
        <v>2017</v>
      </c>
      <c r="C3664" s="29" t="s">
        <v>621</v>
      </c>
      <c r="D3664" s="17">
        <v>836</v>
      </c>
      <c r="E3664" s="17" t="s">
        <v>1427</v>
      </c>
      <c r="F3664" s="29">
        <v>494797</v>
      </c>
    </row>
    <row r="3665" spans="1:6" ht="16" customHeight="1" x14ac:dyDescent="0.2">
      <c r="A3665">
        <f>IFERROR(VLOOKUP(C3665,'GASB Match'!$D$2:$F$6042,3,FALSE),"")</f>
        <v>3411070</v>
      </c>
      <c r="B3665" s="17">
        <v>2015</v>
      </c>
      <c r="C3665" s="17" t="s">
        <v>19</v>
      </c>
      <c r="D3665" s="17">
        <v>1088</v>
      </c>
      <c r="E3665" s="17" t="s">
        <v>1400</v>
      </c>
      <c r="F3665" s="20">
        <v>267110</v>
      </c>
    </row>
    <row r="3666" spans="1:6" ht="16" customHeight="1" x14ac:dyDescent="0.2">
      <c r="A3666">
        <f>IFERROR(VLOOKUP(C3666,'GASB Match'!$D$2:$F$6042,3,FALSE),"")</f>
        <v>3411070</v>
      </c>
      <c r="B3666" s="17">
        <v>2016</v>
      </c>
      <c r="C3666" s="17" t="s">
        <v>19</v>
      </c>
      <c r="D3666" s="17">
        <v>1088</v>
      </c>
      <c r="E3666" s="17" t="s">
        <v>1400</v>
      </c>
      <c r="F3666" s="20">
        <v>381017</v>
      </c>
    </row>
    <row r="3667" spans="1:6" ht="16" customHeight="1" x14ac:dyDescent="0.2">
      <c r="A3667">
        <f>IFERROR(VLOOKUP(C3667,'GASB Match'!$D$2:$F$6042,3,FALSE),"")</f>
        <v>3411070</v>
      </c>
      <c r="B3667" s="17">
        <v>2018</v>
      </c>
      <c r="C3667" s="17" t="s">
        <v>698</v>
      </c>
      <c r="D3667" s="17">
        <v>1088</v>
      </c>
      <c r="E3667" s="17" t="s">
        <v>1441</v>
      </c>
      <c r="F3667" s="20">
        <v>763899</v>
      </c>
    </row>
    <row r="3668" spans="1:6" ht="16" customHeight="1" x14ac:dyDescent="0.2">
      <c r="A3668">
        <f>IFERROR(VLOOKUP(C3668,'GASB Match'!$D$2:$F$6042,3,FALSE),"")</f>
        <v>3411070</v>
      </c>
      <c r="B3668" s="17">
        <v>2019</v>
      </c>
      <c r="C3668" s="17" t="s">
        <v>698</v>
      </c>
      <c r="D3668" s="17">
        <v>1088</v>
      </c>
      <c r="E3668" s="17" t="s">
        <v>1441</v>
      </c>
      <c r="F3668" s="20">
        <v>1002371</v>
      </c>
    </row>
    <row r="3669" spans="1:6" ht="16" customHeight="1" x14ac:dyDescent="0.2">
      <c r="A3669">
        <f>IFERROR(VLOOKUP(C3669,'GASB Match'!$D$2:$F$6042,3,FALSE),"")</f>
        <v>3411070</v>
      </c>
      <c r="B3669" s="17">
        <v>2020</v>
      </c>
      <c r="C3669" s="21" t="s">
        <v>698</v>
      </c>
      <c r="D3669" s="17">
        <v>1088</v>
      </c>
      <c r="E3669" s="17" t="s">
        <v>1441</v>
      </c>
      <c r="F3669" s="23">
        <v>989375</v>
      </c>
    </row>
    <row r="3670" spans="1:6" ht="16" customHeight="1" x14ac:dyDescent="0.2">
      <c r="A3670">
        <f>IFERROR(VLOOKUP(C3670,'GASB Match'!$D$2:$F$6042,3,FALSE),"")</f>
        <v>3411070</v>
      </c>
      <c r="B3670" s="17">
        <v>2021</v>
      </c>
      <c r="C3670" s="25" t="s">
        <v>698</v>
      </c>
      <c r="D3670" s="17">
        <v>1088</v>
      </c>
      <c r="E3670" s="17" t="s">
        <v>1441</v>
      </c>
      <c r="F3670" s="23">
        <v>1226743</v>
      </c>
    </row>
    <row r="3671" spans="1:6" ht="16" customHeight="1" x14ac:dyDescent="0.2">
      <c r="A3671">
        <f>IFERROR(VLOOKUP(C3671,'GASB Match'!$D$2:$F$6042,3,FALSE),"")</f>
        <v>3411070</v>
      </c>
      <c r="B3671" s="17">
        <v>2022</v>
      </c>
      <c r="C3671" s="21" t="s">
        <v>698</v>
      </c>
      <c r="D3671" s="17">
        <v>1088</v>
      </c>
      <c r="E3671" s="17" t="s">
        <v>1441</v>
      </c>
      <c r="F3671" s="23">
        <v>1904803</v>
      </c>
    </row>
    <row r="3672" spans="1:6" ht="16" customHeight="1" x14ac:dyDescent="0.2">
      <c r="A3672">
        <f>IFERROR(VLOOKUP(C3672,'GASB Match'!$D$2:$F$6042,3,FALSE),"")</f>
        <v>3411070</v>
      </c>
      <c r="B3672" s="17">
        <v>2023</v>
      </c>
      <c r="C3672" s="21" t="s">
        <v>698</v>
      </c>
      <c r="D3672" s="17">
        <v>1088</v>
      </c>
      <c r="E3672" s="17" t="s">
        <v>1441</v>
      </c>
      <c r="F3672" s="23">
        <v>1874110</v>
      </c>
    </row>
    <row r="3673" spans="1:6" ht="16" customHeight="1" x14ac:dyDescent="0.2">
      <c r="A3673">
        <f>IFERROR(VLOOKUP(C3673,'GASB Match'!$D$2:$F$6042,3,FALSE),"")</f>
        <v>3411070</v>
      </c>
      <c r="B3673" s="28">
        <v>2017</v>
      </c>
      <c r="C3673" s="29" t="s">
        <v>19</v>
      </c>
      <c r="D3673" s="17">
        <v>1088</v>
      </c>
      <c r="E3673" s="17" t="s">
        <v>1400</v>
      </c>
      <c r="F3673" s="29">
        <v>523064</v>
      </c>
    </row>
    <row r="3674" spans="1:6" ht="16" customHeight="1" x14ac:dyDescent="0.2">
      <c r="A3674">
        <f>IFERROR(VLOOKUP(C3674,'GASB Match'!$D$2:$F$6042,3,FALSE),"")</f>
        <v>3411100</v>
      </c>
      <c r="B3674" s="17">
        <v>2015</v>
      </c>
      <c r="C3674" s="17" t="s">
        <v>290</v>
      </c>
      <c r="D3674" s="17">
        <v>7023</v>
      </c>
      <c r="E3674" s="17" t="s">
        <v>1412</v>
      </c>
      <c r="F3674" s="20">
        <v>93311</v>
      </c>
    </row>
    <row r="3675" spans="1:6" ht="16" customHeight="1" x14ac:dyDescent="0.2">
      <c r="A3675">
        <f>IFERROR(VLOOKUP(C3675,'GASB Match'!$D$2:$F$6042,3,FALSE),"")</f>
        <v>3411100</v>
      </c>
      <c r="B3675" s="17">
        <v>2016</v>
      </c>
      <c r="C3675" s="17" t="s">
        <v>290</v>
      </c>
      <c r="D3675" s="17">
        <v>7023</v>
      </c>
      <c r="E3675" s="17" t="s">
        <v>1412</v>
      </c>
      <c r="F3675" s="19">
        <v>141381</v>
      </c>
    </row>
    <row r="3676" spans="1:6" ht="16" customHeight="1" x14ac:dyDescent="0.2">
      <c r="A3676">
        <f>IFERROR(VLOOKUP(C3676,'GASB Match'!$D$2:$F$6042,3,FALSE),"")</f>
        <v>3411100</v>
      </c>
      <c r="B3676" s="17">
        <v>2018</v>
      </c>
      <c r="C3676" s="17" t="s">
        <v>980</v>
      </c>
      <c r="D3676" s="17">
        <v>7023</v>
      </c>
      <c r="E3676" s="17" t="s">
        <v>1454</v>
      </c>
      <c r="F3676" s="20">
        <v>269051</v>
      </c>
    </row>
    <row r="3677" spans="1:6" ht="16" customHeight="1" x14ac:dyDescent="0.2">
      <c r="A3677">
        <f>IFERROR(VLOOKUP(C3677,'GASB Match'!$D$2:$F$6042,3,FALSE),"")</f>
        <v>3411100</v>
      </c>
      <c r="B3677" s="17">
        <v>2019</v>
      </c>
      <c r="C3677" s="17" t="s">
        <v>980</v>
      </c>
      <c r="D3677" s="17">
        <v>7023</v>
      </c>
      <c r="E3677" s="17" t="s">
        <v>1454</v>
      </c>
      <c r="F3677" s="20">
        <v>351005</v>
      </c>
    </row>
    <row r="3678" spans="1:6" ht="16" customHeight="1" x14ac:dyDescent="0.2">
      <c r="A3678">
        <f>IFERROR(VLOOKUP(C3678,'GASB Match'!$D$2:$F$6042,3,FALSE),"")</f>
        <v>3411100</v>
      </c>
      <c r="B3678" s="17">
        <v>2020</v>
      </c>
      <c r="C3678" s="21" t="s">
        <v>980</v>
      </c>
      <c r="D3678" s="17">
        <v>7023</v>
      </c>
      <c r="E3678" s="17" t="s">
        <v>1454</v>
      </c>
      <c r="F3678" s="23">
        <v>420724</v>
      </c>
    </row>
    <row r="3679" spans="1:6" ht="16" customHeight="1" x14ac:dyDescent="0.2">
      <c r="A3679">
        <f>IFERROR(VLOOKUP(C3679,'GASB Match'!$D$2:$F$6042,3,FALSE),"")</f>
        <v>3411100</v>
      </c>
      <c r="B3679" s="17">
        <v>2021</v>
      </c>
      <c r="C3679" s="25" t="s">
        <v>980</v>
      </c>
      <c r="D3679" s="17">
        <v>7023</v>
      </c>
      <c r="E3679" s="17" t="s">
        <v>1454</v>
      </c>
      <c r="F3679" s="23">
        <v>558850</v>
      </c>
    </row>
    <row r="3680" spans="1:6" ht="16" customHeight="1" x14ac:dyDescent="0.2">
      <c r="A3680">
        <f>IFERROR(VLOOKUP(C3680,'GASB Match'!$D$2:$F$6042,3,FALSE),"")</f>
        <v>3411100</v>
      </c>
      <c r="B3680" s="17">
        <v>2022</v>
      </c>
      <c r="C3680" s="21" t="s">
        <v>980</v>
      </c>
      <c r="D3680" s="17">
        <v>7023</v>
      </c>
      <c r="E3680" s="17" t="s">
        <v>1454</v>
      </c>
      <c r="F3680" s="23">
        <v>768209</v>
      </c>
    </row>
    <row r="3681" spans="1:6" ht="16" customHeight="1" x14ac:dyDescent="0.2">
      <c r="A3681">
        <f>IFERROR(VLOOKUP(C3681,'GASB Match'!$D$2:$F$6042,3,FALSE),"")</f>
        <v>3411100</v>
      </c>
      <c r="B3681" s="17">
        <v>2023</v>
      </c>
      <c r="C3681" s="21" t="s">
        <v>980</v>
      </c>
      <c r="D3681" s="17">
        <v>7023</v>
      </c>
      <c r="E3681" s="17" t="s">
        <v>1454</v>
      </c>
      <c r="F3681" s="23">
        <v>779825</v>
      </c>
    </row>
    <row r="3682" spans="1:6" ht="16" customHeight="1" x14ac:dyDescent="0.2">
      <c r="A3682">
        <f>IFERROR(VLOOKUP(C3682,'GASB Match'!$D$2:$F$6042,3,FALSE),"")</f>
        <v>3411100</v>
      </c>
      <c r="B3682" s="28">
        <v>2017</v>
      </c>
      <c r="C3682" s="29" t="s">
        <v>290</v>
      </c>
      <c r="D3682" s="17">
        <v>7023</v>
      </c>
      <c r="E3682" s="17" t="s">
        <v>1412</v>
      </c>
      <c r="F3682" s="29">
        <v>198443</v>
      </c>
    </row>
    <row r="3683" spans="1:6" ht="16" customHeight="1" x14ac:dyDescent="0.2">
      <c r="A3683">
        <f>IFERROR(VLOOKUP(C3683,'GASB Match'!$D$2:$F$6042,3,FALSE),"")</f>
        <v>3411130</v>
      </c>
      <c r="B3683" s="17">
        <v>2015</v>
      </c>
      <c r="C3683" s="17" t="s">
        <v>434</v>
      </c>
      <c r="D3683" s="17">
        <v>347</v>
      </c>
      <c r="E3683" s="17" t="s">
        <v>1420</v>
      </c>
      <c r="F3683" s="20">
        <v>107834</v>
      </c>
    </row>
    <row r="3684" spans="1:6" ht="16" customHeight="1" x14ac:dyDescent="0.2">
      <c r="A3684">
        <f>IFERROR(VLOOKUP(C3684,'GASB Match'!$D$2:$F$6042,3,FALSE),"")</f>
        <v>3411130</v>
      </c>
      <c r="B3684" s="17">
        <v>2016</v>
      </c>
      <c r="C3684" s="17" t="s">
        <v>434</v>
      </c>
      <c r="D3684" s="17">
        <v>347</v>
      </c>
      <c r="E3684" s="17" t="s">
        <v>1420</v>
      </c>
      <c r="F3684" s="20">
        <v>162491</v>
      </c>
    </row>
    <row r="3685" spans="1:6" ht="16" customHeight="1" x14ac:dyDescent="0.2">
      <c r="A3685">
        <f>IFERROR(VLOOKUP(C3685,'GASB Match'!$D$2:$F$6042,3,FALSE),"")</f>
        <v>3411130</v>
      </c>
      <c r="B3685" s="17">
        <v>2018</v>
      </c>
      <c r="C3685" s="17" t="s">
        <v>1126</v>
      </c>
      <c r="D3685" s="17">
        <v>347</v>
      </c>
      <c r="E3685" s="17" t="s">
        <v>1463</v>
      </c>
      <c r="F3685" s="20">
        <v>299571</v>
      </c>
    </row>
    <row r="3686" spans="1:6" ht="16" customHeight="1" x14ac:dyDescent="0.2">
      <c r="A3686">
        <f>IFERROR(VLOOKUP(C3686,'GASB Match'!$D$2:$F$6042,3,FALSE),"")</f>
        <v>3411130</v>
      </c>
      <c r="B3686" s="17">
        <v>2019</v>
      </c>
      <c r="C3686" s="17" t="s">
        <v>1126</v>
      </c>
      <c r="D3686" s="17">
        <v>347</v>
      </c>
      <c r="E3686" s="17" t="s">
        <v>1463</v>
      </c>
      <c r="F3686" s="20">
        <v>359361</v>
      </c>
    </row>
    <row r="3687" spans="1:6" ht="16" customHeight="1" x14ac:dyDescent="0.2">
      <c r="A3687">
        <f>IFERROR(VLOOKUP(C3687,'GASB Match'!$D$2:$F$6042,3,FALSE),"")</f>
        <v>3411130</v>
      </c>
      <c r="B3687" s="17">
        <v>2020</v>
      </c>
      <c r="C3687" s="21" t="s">
        <v>1126</v>
      </c>
      <c r="D3687" s="17">
        <v>347</v>
      </c>
      <c r="E3687" s="17" t="s">
        <v>1463</v>
      </c>
      <c r="F3687" s="23">
        <v>433518</v>
      </c>
    </row>
    <row r="3688" spans="1:6" ht="16" customHeight="1" x14ac:dyDescent="0.2">
      <c r="A3688">
        <f>IFERROR(VLOOKUP(C3688,'GASB Match'!$D$2:$F$6042,3,FALSE),"")</f>
        <v>3411130</v>
      </c>
      <c r="B3688" s="17">
        <v>2021</v>
      </c>
      <c r="C3688" s="25" t="s">
        <v>1126</v>
      </c>
      <c r="D3688" s="17">
        <v>347</v>
      </c>
      <c r="E3688" s="17" t="s">
        <v>1463</v>
      </c>
      <c r="F3688" s="23">
        <v>563678</v>
      </c>
    </row>
    <row r="3689" spans="1:6" ht="16" customHeight="1" x14ac:dyDescent="0.2">
      <c r="A3689">
        <f>IFERROR(VLOOKUP(C3689,'GASB Match'!$D$2:$F$6042,3,FALSE),"")</f>
        <v>3411130</v>
      </c>
      <c r="B3689" s="17">
        <v>2022</v>
      </c>
      <c r="C3689" s="21" t="s">
        <v>1126</v>
      </c>
      <c r="D3689" s="17">
        <v>347</v>
      </c>
      <c r="E3689" s="17" t="s">
        <v>1463</v>
      </c>
      <c r="F3689" s="23">
        <v>724190</v>
      </c>
    </row>
    <row r="3690" spans="1:6" ht="16" customHeight="1" x14ac:dyDescent="0.2">
      <c r="A3690">
        <f>IFERROR(VLOOKUP(C3690,'GASB Match'!$D$2:$F$6042,3,FALSE),"")</f>
        <v>3411130</v>
      </c>
      <c r="B3690" s="17">
        <v>2023</v>
      </c>
      <c r="C3690" s="21" t="s">
        <v>1126</v>
      </c>
      <c r="D3690" s="17">
        <v>347</v>
      </c>
      <c r="E3690" s="17" t="s">
        <v>1463</v>
      </c>
      <c r="F3690" s="23">
        <v>731969</v>
      </c>
    </row>
    <row r="3691" spans="1:6" ht="16" customHeight="1" x14ac:dyDescent="0.2">
      <c r="A3691">
        <f>IFERROR(VLOOKUP(C3691,'GASB Match'!$D$2:$F$6042,3,FALSE),"")</f>
        <v>3411130</v>
      </c>
      <c r="B3691" s="28">
        <v>2017</v>
      </c>
      <c r="C3691" s="29" t="s">
        <v>434</v>
      </c>
      <c r="D3691" s="17">
        <v>347</v>
      </c>
      <c r="E3691" s="17" t="s">
        <v>1420</v>
      </c>
      <c r="F3691" s="29">
        <v>210909</v>
      </c>
    </row>
    <row r="3692" spans="1:6" ht="16" customHeight="1" x14ac:dyDescent="0.2">
      <c r="A3692">
        <f>IFERROR(VLOOKUP(C3692,'GASB Match'!$D$2:$F$6042,3,FALSE),"")</f>
        <v>3411160</v>
      </c>
      <c r="B3692" s="17">
        <v>2015</v>
      </c>
      <c r="C3692" s="17" t="s">
        <v>435</v>
      </c>
      <c r="D3692" s="17">
        <v>348</v>
      </c>
      <c r="E3692" s="17" t="s">
        <v>1420</v>
      </c>
      <c r="F3692" s="20">
        <v>1581433</v>
      </c>
    </row>
    <row r="3693" spans="1:6" ht="16" customHeight="1" x14ac:dyDescent="0.2">
      <c r="A3693">
        <f>IFERROR(VLOOKUP(C3693,'GASB Match'!$D$2:$F$6042,3,FALSE),"")</f>
        <v>3411160</v>
      </c>
      <c r="B3693" s="17">
        <v>2016</v>
      </c>
      <c r="C3693" s="17" t="s">
        <v>435</v>
      </c>
      <c r="D3693" s="17">
        <v>348</v>
      </c>
      <c r="E3693" s="17" t="s">
        <v>1420</v>
      </c>
      <c r="F3693" s="20">
        <v>2380147</v>
      </c>
    </row>
    <row r="3694" spans="1:6" ht="16" customHeight="1" x14ac:dyDescent="0.2">
      <c r="A3694">
        <f>IFERROR(VLOOKUP(C3694,'GASB Match'!$D$2:$F$6042,3,FALSE),"")</f>
        <v>3411160</v>
      </c>
      <c r="B3694" s="17">
        <v>2018</v>
      </c>
      <c r="C3694" s="17" t="s">
        <v>1127</v>
      </c>
      <c r="D3694" s="17">
        <v>348</v>
      </c>
      <c r="E3694" s="17" t="s">
        <v>1463</v>
      </c>
      <c r="F3694" s="20">
        <v>4393702</v>
      </c>
    </row>
    <row r="3695" spans="1:6" ht="16" customHeight="1" x14ac:dyDescent="0.2">
      <c r="A3695">
        <f>IFERROR(VLOOKUP(C3695,'GASB Match'!$D$2:$F$6042,3,FALSE),"")</f>
        <v>3411160</v>
      </c>
      <c r="B3695" s="17">
        <v>2019</v>
      </c>
      <c r="C3695" s="17" t="s">
        <v>1127</v>
      </c>
      <c r="D3695" s="17">
        <v>348</v>
      </c>
      <c r="E3695" s="17" t="s">
        <v>1463</v>
      </c>
      <c r="F3695" s="20">
        <v>5625307</v>
      </c>
    </row>
    <row r="3696" spans="1:6" ht="16" customHeight="1" x14ac:dyDescent="0.2">
      <c r="A3696">
        <f>IFERROR(VLOOKUP(C3696,'GASB Match'!$D$2:$F$6042,3,FALSE),"")</f>
        <v>3411160</v>
      </c>
      <c r="B3696" s="17">
        <v>2020</v>
      </c>
      <c r="C3696" s="21" t="s">
        <v>1127</v>
      </c>
      <c r="D3696" s="17">
        <v>348</v>
      </c>
      <c r="E3696" s="17" t="s">
        <v>1463</v>
      </c>
      <c r="F3696" s="23">
        <v>6497249</v>
      </c>
    </row>
    <row r="3697" spans="1:6" ht="16" customHeight="1" x14ac:dyDescent="0.2">
      <c r="A3697">
        <f>IFERROR(VLOOKUP(C3697,'GASB Match'!$D$2:$F$6042,3,FALSE),"")</f>
        <v>3411160</v>
      </c>
      <c r="B3697" s="17">
        <v>2021</v>
      </c>
      <c r="C3697" s="25" t="s">
        <v>1127</v>
      </c>
      <c r="D3697" s="17">
        <v>348</v>
      </c>
      <c r="E3697" s="17" t="s">
        <v>1463</v>
      </c>
      <c r="F3697" s="23">
        <v>8417187</v>
      </c>
    </row>
    <row r="3698" spans="1:6" ht="16" customHeight="1" x14ac:dyDescent="0.2">
      <c r="A3698">
        <f>IFERROR(VLOOKUP(C3698,'GASB Match'!$D$2:$F$6042,3,FALSE),"")</f>
        <v>3411160</v>
      </c>
      <c r="B3698" s="17">
        <v>2022</v>
      </c>
      <c r="C3698" s="21" t="s">
        <v>1127</v>
      </c>
      <c r="D3698" s="17">
        <v>348</v>
      </c>
      <c r="E3698" s="17" t="s">
        <v>1463</v>
      </c>
      <c r="F3698" s="23">
        <v>12111592</v>
      </c>
    </row>
    <row r="3699" spans="1:6" ht="16" customHeight="1" x14ac:dyDescent="0.2">
      <c r="A3699">
        <f>IFERROR(VLOOKUP(C3699,'GASB Match'!$D$2:$F$6042,3,FALSE),"")</f>
        <v>3411160</v>
      </c>
      <c r="B3699" s="17">
        <v>2023</v>
      </c>
      <c r="C3699" s="21" t="s">
        <v>1127</v>
      </c>
      <c r="D3699" s="17">
        <v>348</v>
      </c>
      <c r="E3699" s="17" t="s">
        <v>1463</v>
      </c>
      <c r="F3699" s="23">
        <v>11766101</v>
      </c>
    </row>
    <row r="3700" spans="1:6" ht="16" customHeight="1" x14ac:dyDescent="0.2">
      <c r="A3700">
        <f>IFERROR(VLOOKUP(C3700,'GASB Match'!$D$2:$F$6042,3,FALSE),"")</f>
        <v>3411160</v>
      </c>
      <c r="B3700" s="28">
        <v>2017</v>
      </c>
      <c r="C3700" s="29" t="s">
        <v>435</v>
      </c>
      <c r="D3700" s="17">
        <v>348</v>
      </c>
      <c r="E3700" s="17" t="s">
        <v>1420</v>
      </c>
      <c r="F3700" s="29">
        <v>3334057</v>
      </c>
    </row>
    <row r="3701" spans="1:6" ht="16" customHeight="1" x14ac:dyDescent="0.2">
      <c r="A3701">
        <f>IFERROR(VLOOKUP(C3701,'GASB Match'!$D$2:$F$6042,3,FALSE),"")</f>
        <v>3411190</v>
      </c>
      <c r="B3701" s="17">
        <v>2015</v>
      </c>
      <c r="C3701" s="17" t="s">
        <v>483</v>
      </c>
      <c r="D3701" s="17">
        <v>437</v>
      </c>
      <c r="E3701" s="17" t="s">
        <v>1421</v>
      </c>
      <c r="F3701" s="20">
        <v>120644</v>
      </c>
    </row>
    <row r="3702" spans="1:6" ht="16" customHeight="1" x14ac:dyDescent="0.2">
      <c r="A3702">
        <f>IFERROR(VLOOKUP(C3702,'GASB Match'!$D$2:$F$6042,3,FALSE),"")</f>
        <v>3411190</v>
      </c>
      <c r="B3702" s="17">
        <v>2016</v>
      </c>
      <c r="C3702" s="17" t="s">
        <v>483</v>
      </c>
      <c r="D3702" s="17">
        <v>437</v>
      </c>
      <c r="E3702" s="17" t="s">
        <v>1421</v>
      </c>
      <c r="F3702" s="20">
        <v>196939</v>
      </c>
    </row>
    <row r="3703" spans="1:6" ht="16" customHeight="1" x14ac:dyDescent="0.2">
      <c r="A3703">
        <f>IFERROR(VLOOKUP(C3703,'GASB Match'!$D$2:$F$6042,3,FALSE),"")</f>
        <v>3411190</v>
      </c>
      <c r="B3703" s="17">
        <v>2018</v>
      </c>
      <c r="C3703" s="17" t="s">
        <v>1175</v>
      </c>
      <c r="D3703" s="17">
        <v>437</v>
      </c>
      <c r="E3703" s="17" t="s">
        <v>1464</v>
      </c>
      <c r="F3703" s="20">
        <v>305783</v>
      </c>
    </row>
    <row r="3704" spans="1:6" ht="16" customHeight="1" x14ac:dyDescent="0.2">
      <c r="A3704">
        <f>IFERROR(VLOOKUP(C3704,'GASB Match'!$D$2:$F$6042,3,FALSE),"")</f>
        <v>3411190</v>
      </c>
      <c r="B3704" s="17">
        <v>2019</v>
      </c>
      <c r="C3704" s="17" t="s">
        <v>1175</v>
      </c>
      <c r="D3704" s="17">
        <v>437</v>
      </c>
      <c r="E3704" s="17" t="s">
        <v>1464</v>
      </c>
      <c r="F3704" s="20">
        <v>408887</v>
      </c>
    </row>
    <row r="3705" spans="1:6" ht="16" customHeight="1" x14ac:dyDescent="0.2">
      <c r="A3705">
        <f>IFERROR(VLOOKUP(C3705,'GASB Match'!$D$2:$F$6042,3,FALSE),"")</f>
        <v>3411190</v>
      </c>
      <c r="B3705" s="17">
        <v>2020</v>
      </c>
      <c r="C3705" s="21" t="s">
        <v>1175</v>
      </c>
      <c r="D3705" s="17">
        <v>437</v>
      </c>
      <c r="E3705" s="17" t="s">
        <v>1464</v>
      </c>
      <c r="F3705" s="23">
        <v>423271</v>
      </c>
    </row>
    <row r="3706" spans="1:6" ht="16" customHeight="1" x14ac:dyDescent="0.2">
      <c r="A3706">
        <f>IFERROR(VLOOKUP(C3706,'GASB Match'!$D$2:$F$6042,3,FALSE),"")</f>
        <v>3411190</v>
      </c>
      <c r="B3706" s="17">
        <v>2021</v>
      </c>
      <c r="C3706" s="25" t="s">
        <v>1175</v>
      </c>
      <c r="D3706" s="17">
        <v>437</v>
      </c>
      <c r="E3706" s="17" t="s">
        <v>1464</v>
      </c>
      <c r="F3706" s="23">
        <v>608554</v>
      </c>
    </row>
    <row r="3707" spans="1:6" ht="16" customHeight="1" x14ac:dyDescent="0.2">
      <c r="A3707">
        <f>IFERROR(VLOOKUP(C3707,'GASB Match'!$D$2:$F$6042,3,FALSE),"")</f>
        <v>3411190</v>
      </c>
      <c r="B3707" s="17">
        <v>2022</v>
      </c>
      <c r="C3707" s="21" t="s">
        <v>1175</v>
      </c>
      <c r="D3707" s="17">
        <v>437</v>
      </c>
      <c r="E3707" s="17" t="s">
        <v>1464</v>
      </c>
      <c r="F3707" s="23">
        <v>930539</v>
      </c>
    </row>
    <row r="3708" spans="1:6" ht="16" customHeight="1" x14ac:dyDescent="0.2">
      <c r="A3708">
        <f>IFERROR(VLOOKUP(C3708,'GASB Match'!$D$2:$F$6042,3,FALSE),"")</f>
        <v>3411190</v>
      </c>
      <c r="B3708" s="17">
        <v>2023</v>
      </c>
      <c r="C3708" s="21" t="s">
        <v>1175</v>
      </c>
      <c r="D3708" s="17">
        <v>437</v>
      </c>
      <c r="E3708" s="17" t="s">
        <v>1464</v>
      </c>
      <c r="F3708" s="23">
        <v>952816</v>
      </c>
    </row>
    <row r="3709" spans="1:6" ht="16" customHeight="1" x14ac:dyDescent="0.2">
      <c r="A3709">
        <f>IFERROR(VLOOKUP(C3709,'GASB Match'!$D$2:$F$6042,3,FALSE),"")</f>
        <v>3411190</v>
      </c>
      <c r="B3709" s="28">
        <v>2017</v>
      </c>
      <c r="C3709" s="29" t="s">
        <v>483</v>
      </c>
      <c r="D3709" s="17">
        <v>437</v>
      </c>
      <c r="E3709" s="17" t="s">
        <v>1421</v>
      </c>
      <c r="F3709" s="29">
        <v>251353</v>
      </c>
    </row>
    <row r="3710" spans="1:6" ht="16" customHeight="1" x14ac:dyDescent="0.2">
      <c r="A3710">
        <f>IFERROR(VLOOKUP(C3710,'GASB Match'!$D$2:$F$6042,3,FALSE),"")</f>
        <v>3411220</v>
      </c>
      <c r="B3710" s="17">
        <v>2015</v>
      </c>
      <c r="C3710" s="17" t="s">
        <v>388</v>
      </c>
      <c r="D3710" s="17">
        <v>200</v>
      </c>
      <c r="E3710" s="17" t="s">
        <v>1418</v>
      </c>
      <c r="F3710" s="20">
        <v>3308187</v>
      </c>
    </row>
    <row r="3711" spans="1:6" ht="16" customHeight="1" x14ac:dyDescent="0.2">
      <c r="A3711">
        <f>IFERROR(VLOOKUP(C3711,'GASB Match'!$D$2:$F$6042,3,FALSE),"")</f>
        <v>3411220</v>
      </c>
      <c r="B3711" s="17">
        <v>2016</v>
      </c>
      <c r="C3711" s="17" t="s">
        <v>388</v>
      </c>
      <c r="D3711" s="17">
        <v>200</v>
      </c>
      <c r="E3711" s="17" t="s">
        <v>1418</v>
      </c>
      <c r="F3711" s="20">
        <v>4886687</v>
      </c>
    </row>
    <row r="3712" spans="1:6" ht="16" customHeight="1" x14ac:dyDescent="0.2">
      <c r="A3712">
        <f>IFERROR(VLOOKUP(C3712,'GASB Match'!$D$2:$F$6042,3,FALSE),"")</f>
        <v>3411220</v>
      </c>
      <c r="B3712" s="17">
        <v>2018</v>
      </c>
      <c r="C3712" s="17" t="s">
        <v>1080</v>
      </c>
      <c r="D3712" s="17">
        <v>200</v>
      </c>
      <c r="E3712" s="17" t="s">
        <v>1461</v>
      </c>
      <c r="F3712" s="20">
        <v>9354966</v>
      </c>
    </row>
    <row r="3713" spans="1:6" ht="16" customHeight="1" x14ac:dyDescent="0.2">
      <c r="A3713">
        <f>IFERROR(VLOOKUP(C3713,'GASB Match'!$D$2:$F$6042,3,FALSE),"")</f>
        <v>3411220</v>
      </c>
      <c r="B3713" s="17">
        <v>2019</v>
      </c>
      <c r="C3713" s="17" t="s">
        <v>1080</v>
      </c>
      <c r="D3713" s="17">
        <v>200</v>
      </c>
      <c r="E3713" s="17" t="s">
        <v>1461</v>
      </c>
      <c r="F3713" s="20">
        <v>13047637</v>
      </c>
    </row>
    <row r="3714" spans="1:6" ht="16" customHeight="1" x14ac:dyDescent="0.2">
      <c r="A3714">
        <f>IFERROR(VLOOKUP(C3714,'GASB Match'!$D$2:$F$6042,3,FALSE),"")</f>
        <v>3411220</v>
      </c>
      <c r="B3714" s="17">
        <v>2020</v>
      </c>
      <c r="C3714" s="21" t="s">
        <v>1080</v>
      </c>
      <c r="D3714" s="17">
        <v>200</v>
      </c>
      <c r="E3714" s="17" t="s">
        <v>1461</v>
      </c>
      <c r="F3714" s="23">
        <v>15144855</v>
      </c>
    </row>
    <row r="3715" spans="1:6" ht="16" customHeight="1" x14ac:dyDescent="0.2">
      <c r="A3715">
        <f>IFERROR(VLOOKUP(C3715,'GASB Match'!$D$2:$F$6042,3,FALSE),"")</f>
        <v>3411220</v>
      </c>
      <c r="B3715" s="17">
        <v>2021</v>
      </c>
      <c r="C3715" s="25" t="s">
        <v>1080</v>
      </c>
      <c r="D3715" s="17">
        <v>200</v>
      </c>
      <c r="E3715" s="17" t="s">
        <v>1461</v>
      </c>
      <c r="F3715" s="23">
        <v>19893353</v>
      </c>
    </row>
    <row r="3716" spans="1:6" ht="16" customHeight="1" x14ac:dyDescent="0.2">
      <c r="A3716">
        <f>IFERROR(VLOOKUP(C3716,'GASB Match'!$D$2:$F$6042,3,FALSE),"")</f>
        <v>3411220</v>
      </c>
      <c r="B3716" s="17">
        <v>2022</v>
      </c>
      <c r="C3716" s="21" t="s">
        <v>1080</v>
      </c>
      <c r="D3716" s="17">
        <v>200</v>
      </c>
      <c r="E3716" s="17" t="s">
        <v>1461</v>
      </c>
      <c r="F3716" s="23">
        <v>28123147</v>
      </c>
    </row>
    <row r="3717" spans="1:6" ht="16" customHeight="1" x14ac:dyDescent="0.2">
      <c r="A3717">
        <f>IFERROR(VLOOKUP(C3717,'GASB Match'!$D$2:$F$6042,3,FALSE),"")</f>
        <v>3411220</v>
      </c>
      <c r="B3717" s="17">
        <v>2023</v>
      </c>
      <c r="C3717" s="21" t="s">
        <v>1080</v>
      </c>
      <c r="D3717" s="17">
        <v>200</v>
      </c>
      <c r="E3717" s="17" t="s">
        <v>1461</v>
      </c>
      <c r="F3717" s="23">
        <v>27265856</v>
      </c>
    </row>
    <row r="3718" spans="1:6" ht="16" customHeight="1" x14ac:dyDescent="0.2">
      <c r="A3718">
        <f>IFERROR(VLOOKUP(C3718,'GASB Match'!$D$2:$F$6042,3,FALSE),"")</f>
        <v>3411220</v>
      </c>
      <c r="B3718" s="28">
        <v>2017</v>
      </c>
      <c r="C3718" s="29" t="s">
        <v>388</v>
      </c>
      <c r="D3718" s="17">
        <v>200</v>
      </c>
      <c r="E3718" s="17" t="s">
        <v>1418</v>
      </c>
      <c r="F3718" s="29">
        <v>6827734</v>
      </c>
    </row>
    <row r="3719" spans="1:6" ht="16" customHeight="1" x14ac:dyDescent="0.2">
      <c r="A3719">
        <f>IFERROR(VLOOKUP(C3719,'GASB Match'!$D$2:$F$6042,3,FALSE),"")</f>
        <v>3411250</v>
      </c>
      <c r="B3719" s="17">
        <v>2015</v>
      </c>
      <c r="C3719" s="17" t="s">
        <v>131</v>
      </c>
      <c r="D3719" s="17">
        <v>3031</v>
      </c>
      <c r="E3719" s="17" t="s">
        <v>1404</v>
      </c>
      <c r="F3719" s="20">
        <v>74409</v>
      </c>
    </row>
    <row r="3720" spans="1:6" ht="16" customHeight="1" x14ac:dyDescent="0.2">
      <c r="A3720">
        <f>IFERROR(VLOOKUP(C3720,'GASB Match'!$D$2:$F$6042,3,FALSE),"")</f>
        <v>3411250</v>
      </c>
      <c r="B3720" s="17">
        <v>2016</v>
      </c>
      <c r="C3720" s="17" t="s">
        <v>131</v>
      </c>
      <c r="D3720" s="17">
        <v>3031</v>
      </c>
      <c r="E3720" s="17" t="s">
        <v>1404</v>
      </c>
      <c r="F3720" s="20">
        <v>114988</v>
      </c>
    </row>
    <row r="3721" spans="1:6" ht="16" customHeight="1" x14ac:dyDescent="0.2">
      <c r="A3721">
        <f>IFERROR(VLOOKUP(C3721,'GASB Match'!$D$2:$F$6042,3,FALSE),"")</f>
        <v>3411250</v>
      </c>
      <c r="B3721" s="17">
        <v>2018</v>
      </c>
      <c r="C3721" s="17" t="s">
        <v>812</v>
      </c>
      <c r="D3721" s="17">
        <v>3031</v>
      </c>
      <c r="E3721" s="17" t="s">
        <v>1445</v>
      </c>
      <c r="F3721" s="20">
        <v>260381</v>
      </c>
    </row>
    <row r="3722" spans="1:6" ht="16" customHeight="1" x14ac:dyDescent="0.2">
      <c r="A3722">
        <f>IFERROR(VLOOKUP(C3722,'GASB Match'!$D$2:$F$6042,3,FALSE),"")</f>
        <v>3411250</v>
      </c>
      <c r="B3722" s="17">
        <v>2019</v>
      </c>
      <c r="C3722" s="17" t="s">
        <v>812</v>
      </c>
      <c r="D3722" s="17">
        <v>3031</v>
      </c>
      <c r="E3722" s="17" t="s">
        <v>1445</v>
      </c>
      <c r="F3722" s="20">
        <v>336606</v>
      </c>
    </row>
    <row r="3723" spans="1:6" ht="16" customHeight="1" x14ac:dyDescent="0.2">
      <c r="A3723">
        <f>IFERROR(VLOOKUP(C3723,'GASB Match'!$D$2:$F$6042,3,FALSE),"")</f>
        <v>3411250</v>
      </c>
      <c r="B3723" s="17">
        <v>2020</v>
      </c>
      <c r="C3723" s="21" t="s">
        <v>812</v>
      </c>
      <c r="D3723" s="17">
        <v>3031</v>
      </c>
      <c r="E3723" s="17" t="s">
        <v>1445</v>
      </c>
      <c r="F3723" s="23">
        <v>374100</v>
      </c>
    </row>
    <row r="3724" spans="1:6" ht="16" customHeight="1" x14ac:dyDescent="0.2">
      <c r="A3724">
        <f>IFERROR(VLOOKUP(C3724,'GASB Match'!$D$2:$F$6042,3,FALSE),"")</f>
        <v>3411250</v>
      </c>
      <c r="B3724" s="17">
        <v>2021</v>
      </c>
      <c r="C3724" s="25" t="s">
        <v>812</v>
      </c>
      <c r="D3724" s="17">
        <v>3031</v>
      </c>
      <c r="E3724" s="17" t="s">
        <v>1445</v>
      </c>
      <c r="F3724" s="23">
        <v>458684</v>
      </c>
    </row>
    <row r="3725" spans="1:6" ht="16" customHeight="1" x14ac:dyDescent="0.2">
      <c r="A3725">
        <f>IFERROR(VLOOKUP(C3725,'GASB Match'!$D$2:$F$6042,3,FALSE),"")</f>
        <v>3411250</v>
      </c>
      <c r="B3725" s="17">
        <v>2022</v>
      </c>
      <c r="C3725" s="21" t="s">
        <v>812</v>
      </c>
      <c r="D3725" s="17">
        <v>3031</v>
      </c>
      <c r="E3725" s="17" t="s">
        <v>1445</v>
      </c>
      <c r="F3725" s="23">
        <v>651045</v>
      </c>
    </row>
    <row r="3726" spans="1:6" ht="16" customHeight="1" x14ac:dyDescent="0.2">
      <c r="A3726">
        <f>IFERROR(VLOOKUP(C3726,'GASB Match'!$D$2:$F$6042,3,FALSE),"")</f>
        <v>3411250</v>
      </c>
      <c r="B3726" s="17">
        <v>2023</v>
      </c>
      <c r="C3726" s="21" t="s">
        <v>812</v>
      </c>
      <c r="D3726" s="17">
        <v>3031</v>
      </c>
      <c r="E3726" s="17" t="s">
        <v>1445</v>
      </c>
      <c r="F3726" s="23">
        <v>595838</v>
      </c>
    </row>
    <row r="3727" spans="1:6" ht="16" customHeight="1" x14ac:dyDescent="0.2">
      <c r="A3727">
        <f>IFERROR(VLOOKUP(C3727,'GASB Match'!$D$2:$F$6042,3,FALSE),"")</f>
        <v>3411250</v>
      </c>
      <c r="B3727" s="28">
        <v>2017</v>
      </c>
      <c r="C3727" s="29" t="s">
        <v>131</v>
      </c>
      <c r="D3727" s="17">
        <v>3031</v>
      </c>
      <c r="E3727" s="17" t="s">
        <v>1404</v>
      </c>
      <c r="F3727" s="29">
        <v>184798</v>
      </c>
    </row>
    <row r="3728" spans="1:6" ht="16" customHeight="1" x14ac:dyDescent="0.2">
      <c r="A3728">
        <f>IFERROR(VLOOKUP(C3728,'GASB Match'!$D$2:$F$6042,3,FALSE),"")</f>
        <v>3400023</v>
      </c>
      <c r="B3728" s="17">
        <v>2015</v>
      </c>
      <c r="C3728" s="17" t="s">
        <v>251</v>
      </c>
      <c r="D3728" s="17">
        <v>6014</v>
      </c>
      <c r="E3728" s="17" t="s">
        <v>1411</v>
      </c>
      <c r="F3728" s="20">
        <v>131566</v>
      </c>
    </row>
    <row r="3729" spans="1:6" ht="16" customHeight="1" x14ac:dyDescent="0.2">
      <c r="A3729">
        <f>IFERROR(VLOOKUP(C3729,'GASB Match'!$D$2:$F$6042,3,FALSE),"")</f>
        <v>3400023</v>
      </c>
      <c r="B3729" s="17">
        <v>2016</v>
      </c>
      <c r="C3729" s="17" t="s">
        <v>251</v>
      </c>
      <c r="D3729" s="17">
        <v>6014</v>
      </c>
      <c r="E3729" s="17" t="s">
        <v>1411</v>
      </c>
      <c r="F3729" s="20">
        <v>184610</v>
      </c>
    </row>
    <row r="3730" spans="1:6" ht="16" customHeight="1" x14ac:dyDescent="0.2">
      <c r="A3730">
        <f>IFERROR(VLOOKUP(C3730,'GASB Match'!$D$2:$F$6042,3,FALSE),"")</f>
        <v>3400023</v>
      </c>
      <c r="B3730" s="17">
        <v>2018</v>
      </c>
      <c r="C3730" s="17" t="s">
        <v>939</v>
      </c>
      <c r="D3730" s="17">
        <v>6014</v>
      </c>
      <c r="E3730" s="17" t="s">
        <v>1452</v>
      </c>
      <c r="F3730" s="20">
        <v>368698</v>
      </c>
    </row>
    <row r="3731" spans="1:6" ht="16" customHeight="1" x14ac:dyDescent="0.2">
      <c r="A3731">
        <f>IFERROR(VLOOKUP(C3731,'GASB Match'!$D$2:$F$6042,3,FALSE),"")</f>
        <v>3400023</v>
      </c>
      <c r="B3731" s="17">
        <v>2019</v>
      </c>
      <c r="C3731" s="17" t="s">
        <v>939</v>
      </c>
      <c r="D3731" s="17">
        <v>6014</v>
      </c>
      <c r="E3731" s="17" t="s">
        <v>1452</v>
      </c>
      <c r="F3731" s="20">
        <v>544145</v>
      </c>
    </row>
    <row r="3732" spans="1:6" ht="16" customHeight="1" x14ac:dyDescent="0.2">
      <c r="A3732">
        <f>IFERROR(VLOOKUP(C3732,'GASB Match'!$D$2:$F$6042,3,FALSE),"")</f>
        <v>3400023</v>
      </c>
      <c r="B3732" s="17">
        <v>2020</v>
      </c>
      <c r="C3732" s="21" t="s">
        <v>939</v>
      </c>
      <c r="D3732" s="17">
        <v>6014</v>
      </c>
      <c r="E3732" s="17" t="s">
        <v>1452</v>
      </c>
      <c r="F3732" s="23">
        <v>711261</v>
      </c>
    </row>
    <row r="3733" spans="1:6" ht="16" customHeight="1" x14ac:dyDescent="0.2">
      <c r="A3733">
        <f>IFERROR(VLOOKUP(C3733,'GASB Match'!$D$2:$F$6042,3,FALSE),"")</f>
        <v>3400023</v>
      </c>
      <c r="B3733" s="17">
        <v>2021</v>
      </c>
      <c r="C3733" s="25" t="s">
        <v>939</v>
      </c>
      <c r="D3733" s="17">
        <v>6014</v>
      </c>
      <c r="E3733" s="17" t="s">
        <v>1452</v>
      </c>
      <c r="F3733" s="23">
        <v>1089578</v>
      </c>
    </row>
    <row r="3734" spans="1:6" ht="16" customHeight="1" x14ac:dyDescent="0.2">
      <c r="A3734">
        <f>IFERROR(VLOOKUP(C3734,'GASB Match'!$D$2:$F$6042,3,FALSE),"")</f>
        <v>3400023</v>
      </c>
      <c r="B3734" s="17">
        <v>2022</v>
      </c>
      <c r="C3734" s="21" t="s">
        <v>939</v>
      </c>
      <c r="D3734" s="17">
        <v>6014</v>
      </c>
      <c r="E3734" s="17" t="s">
        <v>1452</v>
      </c>
      <c r="F3734" s="23">
        <v>1193605</v>
      </c>
    </row>
    <row r="3735" spans="1:6" ht="16" customHeight="1" x14ac:dyDescent="0.2">
      <c r="A3735">
        <f>IFERROR(VLOOKUP(C3735,'GASB Match'!$D$2:$F$6042,3,FALSE),"")</f>
        <v>3400023</v>
      </c>
      <c r="B3735" s="17">
        <v>2023</v>
      </c>
      <c r="C3735" s="21" t="s">
        <v>939</v>
      </c>
      <c r="D3735" s="17">
        <v>6014</v>
      </c>
      <c r="E3735" s="17" t="s">
        <v>1452</v>
      </c>
      <c r="F3735" s="23">
        <v>1077452</v>
      </c>
    </row>
    <row r="3736" spans="1:6" ht="16" customHeight="1" x14ac:dyDescent="0.2">
      <c r="A3736">
        <f>IFERROR(VLOOKUP(C3736,'GASB Match'!$D$2:$F$6042,3,FALSE),"")</f>
        <v>3400023</v>
      </c>
      <c r="B3736" s="28">
        <v>2017</v>
      </c>
      <c r="C3736" s="29" t="s">
        <v>251</v>
      </c>
      <c r="D3736" s="17">
        <v>6014</v>
      </c>
      <c r="E3736" s="17" t="s">
        <v>1411</v>
      </c>
      <c r="F3736" s="29">
        <v>310060</v>
      </c>
    </row>
    <row r="3737" spans="1:6" ht="16" customHeight="1" x14ac:dyDescent="0.2">
      <c r="A3737" t="str">
        <f>IFERROR(VLOOKUP(C3737,'GASB Match'!$D$2:$F$6042,3,FALSE),"")</f>
        <v/>
      </c>
      <c r="B3737" s="17">
        <v>2015</v>
      </c>
      <c r="C3737" s="17" t="s">
        <v>1395</v>
      </c>
      <c r="D3737" s="17">
        <v>90411</v>
      </c>
      <c r="E3737" s="17" t="s">
        <v>1477</v>
      </c>
      <c r="F3737" s="20">
        <v>332168</v>
      </c>
    </row>
    <row r="3738" spans="1:6" ht="16" customHeight="1" x14ac:dyDescent="0.2">
      <c r="A3738" t="str">
        <f>IFERROR(VLOOKUP(C3738,'GASB Match'!$D$2:$F$6042,3,FALSE),"")</f>
        <v/>
      </c>
      <c r="B3738" s="17">
        <v>2016</v>
      </c>
      <c r="C3738" s="17" t="s">
        <v>1395</v>
      </c>
      <c r="D3738" s="17">
        <v>90411</v>
      </c>
      <c r="E3738" s="17" t="s">
        <v>1477</v>
      </c>
      <c r="F3738" s="20">
        <v>113695</v>
      </c>
    </row>
    <row r="3739" spans="1:6" ht="16" customHeight="1" x14ac:dyDescent="0.2">
      <c r="A3739" t="str">
        <f>IFERROR(VLOOKUP(C3739,'GASB Match'!$D$2:$F$6042,3,FALSE),"")</f>
        <v/>
      </c>
      <c r="B3739" s="17">
        <v>2018</v>
      </c>
      <c r="C3739" s="17" t="s">
        <v>1436</v>
      </c>
      <c r="D3739" s="17">
        <v>90411</v>
      </c>
      <c r="E3739" s="17" t="s">
        <v>1477</v>
      </c>
      <c r="F3739" s="20">
        <v>201428</v>
      </c>
    </row>
    <row r="3740" spans="1:6" ht="16" customHeight="1" x14ac:dyDescent="0.2">
      <c r="A3740" t="str">
        <f>IFERROR(VLOOKUP(C3740,'GASB Match'!$D$2:$F$6042,3,FALSE),"")</f>
        <v/>
      </c>
      <c r="B3740" s="17">
        <v>2019</v>
      </c>
      <c r="C3740" s="17" t="s">
        <v>1436</v>
      </c>
      <c r="D3740" s="17">
        <v>90411</v>
      </c>
      <c r="E3740" s="17" t="s">
        <v>1477</v>
      </c>
      <c r="F3740" s="20">
        <v>256344</v>
      </c>
    </row>
    <row r="3741" spans="1:6" ht="16" customHeight="1" x14ac:dyDescent="0.2">
      <c r="A3741" t="str">
        <f>IFERROR(VLOOKUP(C3741,'GASB Match'!$D$2:$F$6042,3,FALSE),"")</f>
        <v/>
      </c>
      <c r="B3741" s="17">
        <v>2020</v>
      </c>
      <c r="C3741" s="21" t="s">
        <v>1436</v>
      </c>
      <c r="D3741" s="17">
        <v>90411</v>
      </c>
      <c r="E3741" s="17" t="s">
        <v>1477</v>
      </c>
      <c r="F3741" s="23">
        <v>266461</v>
      </c>
    </row>
    <row r="3742" spans="1:6" ht="16" customHeight="1" x14ac:dyDescent="0.2">
      <c r="A3742" t="str">
        <f>IFERROR(VLOOKUP(C3742,'GASB Match'!$D$2:$F$6042,3,FALSE),"")</f>
        <v/>
      </c>
      <c r="B3742" s="17">
        <v>2021</v>
      </c>
      <c r="C3742" s="25" t="s">
        <v>1436</v>
      </c>
      <c r="D3742" s="17">
        <v>90411</v>
      </c>
      <c r="E3742" s="17" t="s">
        <v>1477</v>
      </c>
      <c r="F3742" s="23">
        <v>302091</v>
      </c>
    </row>
    <row r="3743" spans="1:6" ht="16" customHeight="1" x14ac:dyDescent="0.2">
      <c r="A3743" t="str">
        <f>IFERROR(VLOOKUP(C3743,'GASB Match'!$D$2:$F$6042,3,FALSE),"")</f>
        <v/>
      </c>
      <c r="B3743" s="17">
        <v>2022</v>
      </c>
      <c r="C3743" s="21" t="s">
        <v>1436</v>
      </c>
      <c r="D3743" s="17">
        <v>90411</v>
      </c>
      <c r="E3743" s="17" t="s">
        <v>1477</v>
      </c>
      <c r="F3743" s="23">
        <v>425071</v>
      </c>
    </row>
    <row r="3744" spans="1:6" ht="16" customHeight="1" x14ac:dyDescent="0.2">
      <c r="A3744" t="str">
        <f>IFERROR(VLOOKUP(C3744,'GASB Match'!$D$2:$F$6042,3,FALSE),"")</f>
        <v/>
      </c>
      <c r="B3744" s="17">
        <v>2023</v>
      </c>
      <c r="C3744" s="21" t="s">
        <v>1436</v>
      </c>
      <c r="D3744" s="17">
        <v>90411</v>
      </c>
      <c r="E3744" s="17" t="s">
        <v>1477</v>
      </c>
      <c r="F3744" s="23">
        <v>394199</v>
      </c>
    </row>
    <row r="3745" spans="1:6" ht="16" customHeight="1" x14ac:dyDescent="0.2">
      <c r="A3745" t="str">
        <f>IFERROR(VLOOKUP(C3745,'GASB Match'!$D$2:$F$6042,3,FALSE),"")</f>
        <v/>
      </c>
      <c r="B3745" s="28">
        <v>2017</v>
      </c>
      <c r="C3745" s="29" t="s">
        <v>1395</v>
      </c>
      <c r="D3745" s="17">
        <v>90411</v>
      </c>
      <c r="E3745" s="17" t="s">
        <v>1477</v>
      </c>
      <c r="F3745" s="29">
        <v>158737</v>
      </c>
    </row>
    <row r="3746" spans="1:6" ht="16" customHeight="1" x14ac:dyDescent="0.2">
      <c r="A3746" t="str">
        <f>IFERROR(VLOOKUP(C3746,'GASB Match'!$D$2:$F$6042,3,FALSE),"")</f>
        <v/>
      </c>
      <c r="B3746" s="17">
        <v>2015</v>
      </c>
      <c r="C3746" s="17" t="s">
        <v>1396</v>
      </c>
      <c r="D3746" s="17">
        <v>981</v>
      </c>
      <c r="E3746" s="17" t="s">
        <v>1477</v>
      </c>
      <c r="F3746" s="20">
        <v>64433</v>
      </c>
    </row>
    <row r="3747" spans="1:6" ht="16" customHeight="1" x14ac:dyDescent="0.2">
      <c r="A3747" t="str">
        <f>IFERROR(VLOOKUP(C3747,'GASB Match'!$D$2:$F$6042,3,FALSE),"")</f>
        <v/>
      </c>
      <c r="B3747" s="17">
        <v>2016</v>
      </c>
      <c r="C3747" s="17" t="s">
        <v>1396</v>
      </c>
      <c r="D3747" s="17">
        <v>981</v>
      </c>
      <c r="E3747" s="17" t="s">
        <v>1477</v>
      </c>
      <c r="F3747" s="20">
        <v>20935</v>
      </c>
    </row>
    <row r="3748" spans="1:6" ht="16" customHeight="1" x14ac:dyDescent="0.2">
      <c r="A3748" t="str">
        <f>IFERROR(VLOOKUP(C3748,'GASB Match'!$D$2:$F$6042,3,FALSE),"")</f>
        <v/>
      </c>
      <c r="B3748" s="28">
        <v>2017</v>
      </c>
      <c r="C3748" s="29" t="s">
        <v>1396</v>
      </c>
      <c r="D3748" s="17">
        <v>981</v>
      </c>
      <c r="E3748" s="17" t="s">
        <v>1477</v>
      </c>
      <c r="F3748" s="29">
        <v>29218</v>
      </c>
    </row>
    <row r="3749" spans="1:6" ht="16" customHeight="1" x14ac:dyDescent="0.2">
      <c r="A3749">
        <f>IFERROR(VLOOKUP(C3749,'GASB Match'!$D$2:$F$6042,3,FALSE),"")</f>
        <v>3411280</v>
      </c>
      <c r="B3749" s="17">
        <v>2015</v>
      </c>
      <c r="C3749" s="17" t="s">
        <v>69</v>
      </c>
      <c r="D3749" s="17">
        <v>2062</v>
      </c>
      <c r="E3749" s="17" t="s">
        <v>1402</v>
      </c>
      <c r="F3749" s="20">
        <v>685584</v>
      </c>
    </row>
    <row r="3750" spans="1:6" ht="16" customHeight="1" x14ac:dyDescent="0.2">
      <c r="A3750">
        <f>IFERROR(VLOOKUP(C3750,'GASB Match'!$D$2:$F$6042,3,FALSE),"")</f>
        <v>3411280</v>
      </c>
      <c r="B3750" s="17">
        <v>2016</v>
      </c>
      <c r="C3750" s="17" t="s">
        <v>69</v>
      </c>
      <c r="D3750" s="17">
        <v>2062</v>
      </c>
      <c r="E3750" s="17" t="s">
        <v>1402</v>
      </c>
      <c r="F3750" s="20">
        <v>1052409</v>
      </c>
    </row>
    <row r="3751" spans="1:6" ht="16" customHeight="1" x14ac:dyDescent="0.2">
      <c r="A3751">
        <f>IFERROR(VLOOKUP(C3751,'GASB Match'!$D$2:$F$6042,3,FALSE),"")</f>
        <v>3411280</v>
      </c>
      <c r="B3751" s="17">
        <v>2018</v>
      </c>
      <c r="C3751" s="17" t="s">
        <v>747</v>
      </c>
      <c r="D3751" s="17">
        <v>2062</v>
      </c>
      <c r="E3751" s="17" t="s">
        <v>1443</v>
      </c>
      <c r="F3751" s="20">
        <v>1983796</v>
      </c>
    </row>
    <row r="3752" spans="1:6" ht="16" customHeight="1" x14ac:dyDescent="0.2">
      <c r="A3752">
        <f>IFERROR(VLOOKUP(C3752,'GASB Match'!$D$2:$F$6042,3,FALSE),"")</f>
        <v>3411280</v>
      </c>
      <c r="B3752" s="17">
        <v>2019</v>
      </c>
      <c r="C3752" s="17" t="s">
        <v>747</v>
      </c>
      <c r="D3752" s="17">
        <v>2062</v>
      </c>
      <c r="E3752" s="17" t="s">
        <v>1443</v>
      </c>
      <c r="F3752" s="20">
        <v>2798427</v>
      </c>
    </row>
    <row r="3753" spans="1:6" ht="16" customHeight="1" x14ac:dyDescent="0.2">
      <c r="A3753">
        <f>IFERROR(VLOOKUP(C3753,'GASB Match'!$D$2:$F$6042,3,FALSE),"")</f>
        <v>3411280</v>
      </c>
      <c r="B3753" s="17">
        <v>2020</v>
      </c>
      <c r="C3753" s="21" t="s">
        <v>747</v>
      </c>
      <c r="D3753" s="17">
        <v>2062</v>
      </c>
      <c r="E3753" s="17" t="s">
        <v>1443</v>
      </c>
      <c r="F3753" s="23">
        <v>3103492</v>
      </c>
    </row>
    <row r="3754" spans="1:6" ht="16" customHeight="1" x14ac:dyDescent="0.2">
      <c r="A3754">
        <f>IFERROR(VLOOKUP(C3754,'GASB Match'!$D$2:$F$6042,3,FALSE),"")</f>
        <v>3411280</v>
      </c>
      <c r="B3754" s="17">
        <v>2021</v>
      </c>
      <c r="C3754" s="25" t="s">
        <v>747</v>
      </c>
      <c r="D3754" s="17">
        <v>2062</v>
      </c>
      <c r="E3754" s="17" t="s">
        <v>1443</v>
      </c>
      <c r="F3754" s="23">
        <v>4039268</v>
      </c>
    </row>
    <row r="3755" spans="1:6" ht="16" customHeight="1" x14ac:dyDescent="0.2">
      <c r="A3755">
        <f>IFERROR(VLOOKUP(C3755,'GASB Match'!$D$2:$F$6042,3,FALSE),"")</f>
        <v>3411280</v>
      </c>
      <c r="B3755" s="17">
        <v>2022</v>
      </c>
      <c r="C3755" s="21" t="s">
        <v>747</v>
      </c>
      <c r="D3755" s="17">
        <v>2062</v>
      </c>
      <c r="E3755" s="17" t="s">
        <v>1443</v>
      </c>
      <c r="F3755" s="23">
        <v>5890716</v>
      </c>
    </row>
    <row r="3756" spans="1:6" ht="16" customHeight="1" x14ac:dyDescent="0.2">
      <c r="A3756">
        <f>IFERROR(VLOOKUP(C3756,'GASB Match'!$D$2:$F$6042,3,FALSE),"")</f>
        <v>3411280</v>
      </c>
      <c r="B3756" s="17">
        <v>2023</v>
      </c>
      <c r="C3756" s="21" t="s">
        <v>747</v>
      </c>
      <c r="D3756" s="17">
        <v>2062</v>
      </c>
      <c r="E3756" s="17" t="s">
        <v>1443</v>
      </c>
      <c r="F3756" s="23">
        <v>6325682</v>
      </c>
    </row>
    <row r="3757" spans="1:6" ht="16" customHeight="1" x14ac:dyDescent="0.2">
      <c r="A3757">
        <f>IFERROR(VLOOKUP(C3757,'GASB Match'!$D$2:$F$6042,3,FALSE),"")</f>
        <v>3411280</v>
      </c>
      <c r="B3757" s="28">
        <v>2017</v>
      </c>
      <c r="C3757" s="29" t="s">
        <v>69</v>
      </c>
      <c r="D3757" s="17">
        <v>2062</v>
      </c>
      <c r="E3757" s="17" t="s">
        <v>1402</v>
      </c>
      <c r="F3757" s="29">
        <v>1456923</v>
      </c>
    </row>
    <row r="3758" spans="1:6" ht="16" customHeight="1" x14ac:dyDescent="0.2">
      <c r="A3758">
        <f>IFERROR(VLOOKUP(C3758,'GASB Match'!$D$2:$F$6042,3,FALSE),"")</f>
        <v>3411310</v>
      </c>
      <c r="B3758" s="17">
        <v>2015</v>
      </c>
      <c r="C3758" s="17" t="s">
        <v>622</v>
      </c>
      <c r="D3758" s="17">
        <v>837</v>
      </c>
      <c r="E3758" s="17" t="s">
        <v>1427</v>
      </c>
      <c r="F3758" s="20">
        <v>851841</v>
      </c>
    </row>
    <row r="3759" spans="1:6" ht="16" customHeight="1" x14ac:dyDescent="0.2">
      <c r="A3759">
        <f>IFERROR(VLOOKUP(C3759,'GASB Match'!$D$2:$F$6042,3,FALSE),"")</f>
        <v>3411310</v>
      </c>
      <c r="B3759" s="17">
        <v>2016</v>
      </c>
      <c r="C3759" s="17" t="s">
        <v>622</v>
      </c>
      <c r="D3759" s="17">
        <v>837</v>
      </c>
      <c r="E3759" s="17" t="s">
        <v>1427</v>
      </c>
      <c r="F3759" s="20">
        <v>1291759</v>
      </c>
    </row>
    <row r="3760" spans="1:6" ht="16" customHeight="1" x14ac:dyDescent="0.2">
      <c r="A3760">
        <f>IFERROR(VLOOKUP(C3760,'GASB Match'!$D$2:$F$6042,3,FALSE),"")</f>
        <v>3411310</v>
      </c>
      <c r="B3760" s="17">
        <v>2018</v>
      </c>
      <c r="C3760" s="17" t="s">
        <v>1315</v>
      </c>
      <c r="D3760" s="17">
        <v>837</v>
      </c>
      <c r="E3760" s="17" t="s">
        <v>1470</v>
      </c>
      <c r="F3760" s="20">
        <v>2439772</v>
      </c>
    </row>
    <row r="3761" spans="1:6" ht="16" customHeight="1" x14ac:dyDescent="0.2">
      <c r="A3761">
        <f>IFERROR(VLOOKUP(C3761,'GASB Match'!$D$2:$F$6042,3,FALSE),"")</f>
        <v>3411310</v>
      </c>
      <c r="B3761" s="17">
        <v>2019</v>
      </c>
      <c r="C3761" s="17" t="s">
        <v>1315</v>
      </c>
      <c r="D3761" s="17">
        <v>837</v>
      </c>
      <c r="E3761" s="17" t="s">
        <v>1470</v>
      </c>
      <c r="F3761" s="20">
        <v>3166632</v>
      </c>
    </row>
    <row r="3762" spans="1:6" ht="16" customHeight="1" x14ac:dyDescent="0.2">
      <c r="A3762">
        <f>IFERROR(VLOOKUP(C3762,'GASB Match'!$D$2:$F$6042,3,FALSE),"")</f>
        <v>3411310</v>
      </c>
      <c r="B3762" s="17">
        <v>2020</v>
      </c>
      <c r="C3762" s="21" t="s">
        <v>1315</v>
      </c>
      <c r="D3762" s="17">
        <v>837</v>
      </c>
      <c r="E3762" s="17" t="s">
        <v>1470</v>
      </c>
      <c r="F3762" s="23">
        <v>3752923</v>
      </c>
    </row>
    <row r="3763" spans="1:6" ht="16" customHeight="1" x14ac:dyDescent="0.2">
      <c r="A3763">
        <f>IFERROR(VLOOKUP(C3763,'GASB Match'!$D$2:$F$6042,3,FALSE),"")</f>
        <v>3411310</v>
      </c>
      <c r="B3763" s="17">
        <v>2021</v>
      </c>
      <c r="C3763" s="25" t="s">
        <v>1315</v>
      </c>
      <c r="D3763" s="17">
        <v>837</v>
      </c>
      <c r="E3763" s="17" t="s">
        <v>1470</v>
      </c>
      <c r="F3763" s="23">
        <v>4901083</v>
      </c>
    </row>
    <row r="3764" spans="1:6" ht="16" customHeight="1" x14ac:dyDescent="0.2">
      <c r="A3764">
        <f>IFERROR(VLOOKUP(C3764,'GASB Match'!$D$2:$F$6042,3,FALSE),"")</f>
        <v>3411310</v>
      </c>
      <c r="B3764" s="17">
        <v>2022</v>
      </c>
      <c r="C3764" s="21" t="s">
        <v>1315</v>
      </c>
      <c r="D3764" s="17">
        <v>837</v>
      </c>
      <c r="E3764" s="17" t="s">
        <v>1470</v>
      </c>
      <c r="F3764" s="23">
        <v>7044016</v>
      </c>
    </row>
    <row r="3765" spans="1:6" ht="16" customHeight="1" x14ac:dyDescent="0.2">
      <c r="A3765">
        <f>IFERROR(VLOOKUP(C3765,'GASB Match'!$D$2:$F$6042,3,FALSE),"")</f>
        <v>3411310</v>
      </c>
      <c r="B3765" s="17">
        <v>2023</v>
      </c>
      <c r="C3765" s="21" t="s">
        <v>1315</v>
      </c>
      <c r="D3765" s="17">
        <v>837</v>
      </c>
      <c r="E3765" s="17" t="s">
        <v>1470</v>
      </c>
      <c r="F3765" s="23">
        <v>6990249</v>
      </c>
    </row>
    <row r="3766" spans="1:6" ht="16" customHeight="1" x14ac:dyDescent="0.2">
      <c r="A3766">
        <f>IFERROR(VLOOKUP(C3766,'GASB Match'!$D$2:$F$6042,3,FALSE),"")</f>
        <v>3411310</v>
      </c>
      <c r="B3766" s="28">
        <v>2017</v>
      </c>
      <c r="C3766" s="29" t="s">
        <v>622</v>
      </c>
      <c r="D3766" s="17">
        <v>837</v>
      </c>
      <c r="E3766" s="17" t="s">
        <v>1427</v>
      </c>
      <c r="F3766" s="29">
        <v>1782534</v>
      </c>
    </row>
    <row r="3767" spans="1:6" ht="16" customHeight="1" x14ac:dyDescent="0.2">
      <c r="A3767">
        <f>IFERROR(VLOOKUP(C3767,'GASB Match'!$D$2:$F$6042,3,FALSE),"")</f>
        <v>3400065</v>
      </c>
      <c r="B3767" s="17">
        <v>2015</v>
      </c>
      <c r="C3767" s="17" t="s">
        <v>252</v>
      </c>
      <c r="D3767" s="17">
        <v>6016</v>
      </c>
      <c r="E3767" s="17" t="s">
        <v>1411</v>
      </c>
      <c r="F3767" s="20">
        <v>62876</v>
      </c>
    </row>
    <row r="3768" spans="1:6" ht="16" customHeight="1" x14ac:dyDescent="0.2">
      <c r="A3768">
        <f>IFERROR(VLOOKUP(C3768,'GASB Match'!$D$2:$F$6042,3,FALSE),"")</f>
        <v>3400065</v>
      </c>
      <c r="B3768" s="17">
        <v>2016</v>
      </c>
      <c r="C3768" s="17" t="s">
        <v>252</v>
      </c>
      <c r="D3768" s="17">
        <v>6016</v>
      </c>
      <c r="E3768" s="17" t="s">
        <v>1411</v>
      </c>
      <c r="F3768" s="20">
        <v>106155</v>
      </c>
    </row>
    <row r="3769" spans="1:6" ht="16" customHeight="1" x14ac:dyDescent="0.2">
      <c r="A3769">
        <f>IFERROR(VLOOKUP(C3769,'GASB Match'!$D$2:$F$6042,3,FALSE),"")</f>
        <v>3400065</v>
      </c>
      <c r="B3769" s="17">
        <v>2018</v>
      </c>
      <c r="C3769" s="17" t="s">
        <v>940</v>
      </c>
      <c r="D3769" s="17">
        <v>6016</v>
      </c>
      <c r="E3769" s="17" t="s">
        <v>1452</v>
      </c>
      <c r="F3769" s="20">
        <v>23510</v>
      </c>
    </row>
    <row r="3770" spans="1:6" ht="16" customHeight="1" x14ac:dyDescent="0.2">
      <c r="A3770">
        <f>IFERROR(VLOOKUP(C3770,'GASB Match'!$D$2:$F$6042,3,FALSE),"")</f>
        <v>3400065</v>
      </c>
      <c r="B3770" s="28">
        <v>2017</v>
      </c>
      <c r="C3770" s="29" t="s">
        <v>252</v>
      </c>
      <c r="D3770" s="17">
        <v>6016</v>
      </c>
      <c r="E3770" s="17" t="s">
        <v>1411</v>
      </c>
      <c r="F3770" s="29">
        <v>59217</v>
      </c>
    </row>
    <row r="3771" spans="1:6" ht="16" customHeight="1" x14ac:dyDescent="0.2">
      <c r="A3771">
        <f>IFERROR(VLOOKUP(C3771,'GASB Match'!$D$2:$F$6042,3,FALSE),"")</f>
        <v>3400730</v>
      </c>
      <c r="B3771" s="17">
        <v>2018</v>
      </c>
      <c r="C3771" s="17" t="s">
        <v>941</v>
      </c>
      <c r="D3771" s="17">
        <v>6099</v>
      </c>
      <c r="E3771" s="17" t="s">
        <v>1452</v>
      </c>
      <c r="F3771" s="20">
        <v>250942</v>
      </c>
    </row>
    <row r="3772" spans="1:6" ht="16" customHeight="1" x14ac:dyDescent="0.2">
      <c r="A3772">
        <f>IFERROR(VLOOKUP(C3772,'GASB Match'!$D$2:$F$6042,3,FALSE),"")</f>
        <v>3400730</v>
      </c>
      <c r="B3772" s="17">
        <v>2019</v>
      </c>
      <c r="C3772" s="17" t="s">
        <v>941</v>
      </c>
      <c r="D3772" s="17">
        <v>6099</v>
      </c>
      <c r="E3772" s="17" t="s">
        <v>1452</v>
      </c>
      <c r="F3772" s="20">
        <v>212603</v>
      </c>
    </row>
    <row r="3773" spans="1:6" ht="16" customHeight="1" x14ac:dyDescent="0.2">
      <c r="A3773">
        <f>IFERROR(VLOOKUP(C3773,'GASB Match'!$D$2:$F$6042,3,FALSE),"")</f>
        <v>3400730</v>
      </c>
      <c r="B3773" s="17">
        <v>2020</v>
      </c>
      <c r="C3773" s="21" t="s">
        <v>941</v>
      </c>
      <c r="D3773" s="17">
        <v>6099</v>
      </c>
      <c r="E3773" s="17" t="s">
        <v>1452</v>
      </c>
      <c r="F3773" s="23">
        <v>217790</v>
      </c>
    </row>
    <row r="3774" spans="1:6" ht="16" customHeight="1" x14ac:dyDescent="0.2">
      <c r="A3774">
        <f>IFERROR(VLOOKUP(C3774,'GASB Match'!$D$2:$F$6042,3,FALSE),"")</f>
        <v>3400730</v>
      </c>
      <c r="B3774" s="17">
        <v>2021</v>
      </c>
      <c r="C3774" s="25" t="s">
        <v>941</v>
      </c>
      <c r="D3774" s="17">
        <v>6099</v>
      </c>
      <c r="E3774" s="17" t="s">
        <v>1452</v>
      </c>
      <c r="F3774" s="23">
        <v>235042</v>
      </c>
    </row>
    <row r="3775" spans="1:6" ht="16" customHeight="1" x14ac:dyDescent="0.2">
      <c r="A3775">
        <f>IFERROR(VLOOKUP(C3775,'GASB Match'!$D$2:$F$6042,3,FALSE),"")</f>
        <v>3400730</v>
      </c>
      <c r="B3775" s="17">
        <v>2022</v>
      </c>
      <c r="C3775" s="21" t="s">
        <v>941</v>
      </c>
      <c r="D3775" s="17">
        <v>6099</v>
      </c>
      <c r="E3775" s="17" t="s">
        <v>1452</v>
      </c>
      <c r="F3775" s="23">
        <v>362739</v>
      </c>
    </row>
    <row r="3776" spans="1:6" ht="16" customHeight="1" x14ac:dyDescent="0.2">
      <c r="A3776">
        <f>IFERROR(VLOOKUP(C3776,'GASB Match'!$D$2:$F$6042,3,FALSE),"")</f>
        <v>3400730</v>
      </c>
      <c r="B3776" s="17">
        <v>2023</v>
      </c>
      <c r="C3776" s="21" t="s">
        <v>941</v>
      </c>
      <c r="D3776" s="17">
        <v>6099</v>
      </c>
      <c r="E3776" s="17" t="s">
        <v>1452</v>
      </c>
      <c r="F3776" s="23">
        <v>456801</v>
      </c>
    </row>
    <row r="3777" spans="1:6" ht="16" customHeight="1" x14ac:dyDescent="0.2">
      <c r="A3777">
        <f>IFERROR(VLOOKUP(C3777,'GASB Match'!$D$2:$F$6042,3,FALSE),"")</f>
        <v>3400730</v>
      </c>
      <c r="B3777" s="17">
        <v>2015</v>
      </c>
      <c r="C3777" s="17" t="s">
        <v>253</v>
      </c>
      <c r="D3777" s="17">
        <v>6099</v>
      </c>
      <c r="E3777" s="17" t="s">
        <v>1411</v>
      </c>
      <c r="F3777" s="20">
        <v>99288</v>
      </c>
    </row>
    <row r="3778" spans="1:6" ht="16" customHeight="1" x14ac:dyDescent="0.2">
      <c r="A3778">
        <f>IFERROR(VLOOKUP(C3778,'GASB Match'!$D$2:$F$6042,3,FALSE),"")</f>
        <v>3400730</v>
      </c>
      <c r="B3778" s="17">
        <v>2016</v>
      </c>
      <c r="C3778" s="17" t="s">
        <v>253</v>
      </c>
      <c r="D3778" s="17">
        <v>6099</v>
      </c>
      <c r="E3778" s="17" t="s">
        <v>1411</v>
      </c>
      <c r="F3778" s="20">
        <v>157490</v>
      </c>
    </row>
    <row r="3779" spans="1:6" ht="16" customHeight="1" x14ac:dyDescent="0.2">
      <c r="A3779">
        <f>IFERROR(VLOOKUP(C3779,'GASB Match'!$D$2:$F$6042,3,FALSE),"")</f>
        <v>3400730</v>
      </c>
      <c r="B3779" s="28">
        <v>2017</v>
      </c>
      <c r="C3779" s="29" t="s">
        <v>253</v>
      </c>
      <c r="D3779" s="17">
        <v>6099</v>
      </c>
      <c r="E3779" s="17" t="s">
        <v>1411</v>
      </c>
      <c r="F3779" s="29">
        <v>209330</v>
      </c>
    </row>
    <row r="3780" spans="1:6" ht="16" customHeight="1" x14ac:dyDescent="0.2">
      <c r="A3780">
        <f>IFERROR(VLOOKUP(C3780,'GASB Match'!$D$2:$F$6042,3,FALSE),"")</f>
        <v>3400736</v>
      </c>
      <c r="B3780" s="17">
        <v>2015</v>
      </c>
      <c r="C3780" s="17" t="s">
        <v>254</v>
      </c>
      <c r="D3780" s="17">
        <v>6100</v>
      </c>
      <c r="E3780" s="17" t="s">
        <v>1411</v>
      </c>
      <c r="F3780" s="20">
        <v>80725</v>
      </c>
    </row>
    <row r="3781" spans="1:6" ht="16" customHeight="1" x14ac:dyDescent="0.2">
      <c r="A3781">
        <f>IFERROR(VLOOKUP(C3781,'GASB Match'!$D$2:$F$6042,3,FALSE),"")</f>
        <v>3400736</v>
      </c>
      <c r="B3781" s="17">
        <v>2016</v>
      </c>
      <c r="C3781" s="17" t="s">
        <v>254</v>
      </c>
      <c r="D3781" s="17">
        <v>6100</v>
      </c>
      <c r="E3781" s="17" t="s">
        <v>1411</v>
      </c>
      <c r="F3781" s="20">
        <v>131561</v>
      </c>
    </row>
    <row r="3782" spans="1:6" ht="16" customHeight="1" x14ac:dyDescent="0.2">
      <c r="A3782">
        <f>IFERROR(VLOOKUP(C3782,'GASB Match'!$D$2:$F$6042,3,FALSE),"")</f>
        <v>3400736</v>
      </c>
      <c r="B3782" s="17">
        <v>2018</v>
      </c>
      <c r="C3782" s="17" t="s">
        <v>942</v>
      </c>
      <c r="D3782" s="17">
        <v>6100</v>
      </c>
      <c r="E3782" s="17" t="s">
        <v>1452</v>
      </c>
      <c r="F3782" s="20">
        <v>561398</v>
      </c>
    </row>
    <row r="3783" spans="1:6" ht="16" customHeight="1" x14ac:dyDescent="0.2">
      <c r="A3783">
        <f>IFERROR(VLOOKUP(C3783,'GASB Match'!$D$2:$F$6042,3,FALSE),"")</f>
        <v>3400736</v>
      </c>
      <c r="B3783" s="17">
        <v>2019</v>
      </c>
      <c r="C3783" s="17" t="s">
        <v>942</v>
      </c>
      <c r="D3783" s="17">
        <v>6100</v>
      </c>
      <c r="E3783" s="17" t="s">
        <v>1452</v>
      </c>
      <c r="F3783" s="20">
        <v>9281</v>
      </c>
    </row>
    <row r="3784" spans="1:6" ht="16" customHeight="1" x14ac:dyDescent="0.2">
      <c r="A3784">
        <f>IFERROR(VLOOKUP(C3784,'GASB Match'!$D$2:$F$6042,3,FALSE),"")</f>
        <v>3400736</v>
      </c>
      <c r="B3784" s="28">
        <v>2017</v>
      </c>
      <c r="C3784" s="29" t="s">
        <v>254</v>
      </c>
      <c r="D3784" s="17">
        <v>6100</v>
      </c>
      <c r="E3784" s="17" t="s">
        <v>1411</v>
      </c>
      <c r="F3784" s="29">
        <v>347197</v>
      </c>
    </row>
    <row r="3785" spans="1:6" ht="16" customHeight="1" x14ac:dyDescent="0.2">
      <c r="A3785">
        <f>IFERROR(VLOOKUP(C3785,'GASB Match'!$D$2:$F$6042,3,FALSE),"")</f>
        <v>3400758</v>
      </c>
      <c r="B3785" s="17">
        <v>2016</v>
      </c>
      <c r="C3785" s="17" t="s">
        <v>669</v>
      </c>
      <c r="D3785" s="17">
        <v>6106</v>
      </c>
      <c r="E3785" s="17" t="s">
        <v>1411</v>
      </c>
      <c r="F3785" s="20">
        <v>64225</v>
      </c>
    </row>
    <row r="3786" spans="1:6" ht="16" customHeight="1" x14ac:dyDescent="0.2">
      <c r="A3786">
        <f>IFERROR(VLOOKUP(C3786,'GASB Match'!$D$2:$F$6042,3,FALSE),"")</f>
        <v>3400758</v>
      </c>
      <c r="B3786" s="17">
        <v>2018</v>
      </c>
      <c r="C3786" s="17" t="s">
        <v>943</v>
      </c>
      <c r="D3786" s="17">
        <v>6106</v>
      </c>
      <c r="E3786" s="17" t="s">
        <v>1452</v>
      </c>
      <c r="F3786" s="20">
        <v>242815</v>
      </c>
    </row>
    <row r="3787" spans="1:6" ht="16" customHeight="1" x14ac:dyDescent="0.2">
      <c r="A3787">
        <f>IFERROR(VLOOKUP(C3787,'GASB Match'!$D$2:$F$6042,3,FALSE),"")</f>
        <v>3400758</v>
      </c>
      <c r="B3787" s="17">
        <v>2019</v>
      </c>
      <c r="C3787" s="17" t="s">
        <v>943</v>
      </c>
      <c r="D3787" s="17">
        <v>6106</v>
      </c>
      <c r="E3787" s="17" t="s">
        <v>1452</v>
      </c>
      <c r="F3787" s="20">
        <v>288538</v>
      </c>
    </row>
    <row r="3788" spans="1:6" ht="16" customHeight="1" x14ac:dyDescent="0.2">
      <c r="A3788">
        <f>IFERROR(VLOOKUP(C3788,'GASB Match'!$D$2:$F$6042,3,FALSE),"")</f>
        <v>3400758</v>
      </c>
      <c r="B3788" s="28">
        <v>2017</v>
      </c>
      <c r="C3788" s="29" t="s">
        <v>669</v>
      </c>
      <c r="D3788" s="17">
        <v>6106</v>
      </c>
      <c r="E3788" s="17" t="s">
        <v>1411</v>
      </c>
      <c r="F3788" s="29">
        <v>141880</v>
      </c>
    </row>
    <row r="3789" spans="1:6" ht="16" customHeight="1" x14ac:dyDescent="0.2">
      <c r="A3789">
        <f>IFERROR(VLOOKUP(C3789,'GASB Match'!$D$2:$F$6042,3,FALSE),"")</f>
        <v>3411340</v>
      </c>
      <c r="B3789" s="17">
        <v>2015</v>
      </c>
      <c r="C3789" s="17" t="s">
        <v>255</v>
      </c>
      <c r="D3789" s="17">
        <v>6000</v>
      </c>
      <c r="E3789" s="17" t="s">
        <v>1411</v>
      </c>
      <c r="F3789" s="20">
        <v>16883636</v>
      </c>
    </row>
    <row r="3790" spans="1:6" ht="16" customHeight="1" x14ac:dyDescent="0.2">
      <c r="A3790">
        <f>IFERROR(VLOOKUP(C3790,'GASB Match'!$D$2:$F$6042,3,FALSE),"")</f>
        <v>3411340</v>
      </c>
      <c r="B3790" s="17">
        <v>2016</v>
      </c>
      <c r="C3790" s="17" t="s">
        <v>255</v>
      </c>
      <c r="D3790" s="17">
        <v>6000</v>
      </c>
      <c r="E3790" s="17" t="s">
        <v>1411</v>
      </c>
      <c r="F3790" s="20">
        <v>23815140</v>
      </c>
    </row>
    <row r="3791" spans="1:6" ht="16" customHeight="1" x14ac:dyDescent="0.2">
      <c r="A3791">
        <f>IFERROR(VLOOKUP(C3791,'GASB Match'!$D$2:$F$6042,3,FALSE),"")</f>
        <v>3411340</v>
      </c>
      <c r="B3791" s="17">
        <v>2018</v>
      </c>
      <c r="C3791" s="17" t="s">
        <v>944</v>
      </c>
      <c r="D3791" s="17">
        <v>6000</v>
      </c>
      <c r="E3791" s="17" t="s">
        <v>1452</v>
      </c>
      <c r="F3791" s="20">
        <v>39738901</v>
      </c>
    </row>
    <row r="3792" spans="1:6" ht="16" customHeight="1" x14ac:dyDescent="0.2">
      <c r="A3792">
        <f>IFERROR(VLOOKUP(C3792,'GASB Match'!$D$2:$F$6042,3,FALSE),"")</f>
        <v>3411340</v>
      </c>
      <c r="B3792" s="17">
        <v>2019</v>
      </c>
      <c r="C3792" s="17" t="s">
        <v>944</v>
      </c>
      <c r="D3792" s="17">
        <v>6000</v>
      </c>
      <c r="E3792" s="17" t="s">
        <v>1452</v>
      </c>
      <c r="F3792" s="20">
        <v>51668368</v>
      </c>
    </row>
    <row r="3793" spans="1:6" ht="16" customHeight="1" x14ac:dyDescent="0.2">
      <c r="A3793">
        <f>IFERROR(VLOOKUP(C3793,'GASB Match'!$D$2:$F$6042,3,FALSE),"")</f>
        <v>3411340</v>
      </c>
      <c r="B3793" s="17">
        <v>2020</v>
      </c>
      <c r="C3793" s="21" t="s">
        <v>944</v>
      </c>
      <c r="D3793" s="17">
        <v>6000</v>
      </c>
      <c r="E3793" s="17" t="s">
        <v>1452</v>
      </c>
      <c r="F3793" s="23">
        <v>60891880</v>
      </c>
    </row>
    <row r="3794" spans="1:6" ht="16" customHeight="1" x14ac:dyDescent="0.2">
      <c r="A3794">
        <f>IFERROR(VLOOKUP(C3794,'GASB Match'!$D$2:$F$6042,3,FALSE),"")</f>
        <v>3411340</v>
      </c>
      <c r="B3794" s="17">
        <v>2021</v>
      </c>
      <c r="C3794" s="25" t="s">
        <v>944</v>
      </c>
      <c r="D3794" s="17">
        <v>6000</v>
      </c>
      <c r="E3794" s="17" t="s">
        <v>1452</v>
      </c>
      <c r="F3794" s="23">
        <v>79242613</v>
      </c>
    </row>
    <row r="3795" spans="1:6" ht="16" customHeight="1" x14ac:dyDescent="0.2">
      <c r="A3795">
        <f>IFERROR(VLOOKUP(C3795,'GASB Match'!$D$2:$F$6042,3,FALSE),"")</f>
        <v>3411340</v>
      </c>
      <c r="B3795" s="17">
        <v>2022</v>
      </c>
      <c r="C3795" s="21" t="s">
        <v>944</v>
      </c>
      <c r="D3795" s="17">
        <v>6000</v>
      </c>
      <c r="E3795" s="17" t="s">
        <v>1452</v>
      </c>
      <c r="F3795" s="23">
        <v>114318222</v>
      </c>
    </row>
    <row r="3796" spans="1:6" ht="16" customHeight="1" x14ac:dyDescent="0.2">
      <c r="A3796">
        <f>IFERROR(VLOOKUP(C3796,'GASB Match'!$D$2:$F$6042,3,FALSE),"")</f>
        <v>3411340</v>
      </c>
      <c r="B3796" s="17">
        <v>2023</v>
      </c>
      <c r="C3796" s="21" t="s">
        <v>944</v>
      </c>
      <c r="D3796" s="17">
        <v>6000</v>
      </c>
      <c r="E3796" s="17" t="s">
        <v>1452</v>
      </c>
      <c r="F3796" s="23">
        <v>116269497</v>
      </c>
    </row>
    <row r="3797" spans="1:6" ht="16" customHeight="1" x14ac:dyDescent="0.2">
      <c r="A3797">
        <f>IFERROR(VLOOKUP(C3797,'GASB Match'!$D$2:$F$6042,3,FALSE),"")</f>
        <v>3411340</v>
      </c>
      <c r="B3797" s="28">
        <v>2017</v>
      </c>
      <c r="C3797" s="29" t="s">
        <v>255</v>
      </c>
      <c r="D3797" s="17">
        <v>6000</v>
      </c>
      <c r="E3797" s="17" t="s">
        <v>1411</v>
      </c>
      <c r="F3797" s="29">
        <v>31475650</v>
      </c>
    </row>
    <row r="3798" spans="1:6" ht="16" customHeight="1" x14ac:dyDescent="0.2">
      <c r="A3798">
        <f>IFERROR(VLOOKUP(C3798,'GASB Match'!$D$2:$F$6042,3,FALSE),"")</f>
        <v>3411400</v>
      </c>
      <c r="B3798" s="17">
        <v>2015</v>
      </c>
      <c r="C3798" s="17" t="s">
        <v>598</v>
      </c>
      <c r="D3798" s="17">
        <v>786</v>
      </c>
      <c r="E3798" s="17" t="s">
        <v>1426</v>
      </c>
      <c r="F3798" s="20">
        <v>621130</v>
      </c>
    </row>
    <row r="3799" spans="1:6" ht="16" customHeight="1" x14ac:dyDescent="0.2">
      <c r="A3799">
        <f>IFERROR(VLOOKUP(C3799,'GASB Match'!$D$2:$F$6042,3,FALSE),"")</f>
        <v>3411400</v>
      </c>
      <c r="B3799" s="17">
        <v>2016</v>
      </c>
      <c r="C3799" s="17" t="s">
        <v>598</v>
      </c>
      <c r="D3799" s="17">
        <v>786</v>
      </c>
      <c r="E3799" s="17" t="s">
        <v>1426</v>
      </c>
      <c r="F3799" s="20">
        <v>920757</v>
      </c>
    </row>
    <row r="3800" spans="1:6" ht="16" customHeight="1" x14ac:dyDescent="0.2">
      <c r="A3800">
        <f>IFERROR(VLOOKUP(C3800,'GASB Match'!$D$2:$F$6042,3,FALSE),"")</f>
        <v>3411400</v>
      </c>
      <c r="B3800" s="17">
        <v>2018</v>
      </c>
      <c r="C3800" s="17" t="s">
        <v>1291</v>
      </c>
      <c r="D3800" s="17">
        <v>786</v>
      </c>
      <c r="E3800" s="17" t="s">
        <v>1469</v>
      </c>
      <c r="F3800" s="20">
        <v>1860552</v>
      </c>
    </row>
    <row r="3801" spans="1:6" ht="16" customHeight="1" x14ac:dyDescent="0.2">
      <c r="A3801">
        <f>IFERROR(VLOOKUP(C3801,'GASB Match'!$D$2:$F$6042,3,FALSE),"")</f>
        <v>3411400</v>
      </c>
      <c r="B3801" s="17">
        <v>2019</v>
      </c>
      <c r="C3801" s="17" t="s">
        <v>1291</v>
      </c>
      <c r="D3801" s="17">
        <v>786</v>
      </c>
      <c r="E3801" s="17" t="s">
        <v>1469</v>
      </c>
      <c r="F3801" s="20">
        <v>2493281</v>
      </c>
    </row>
    <row r="3802" spans="1:6" ht="16" customHeight="1" x14ac:dyDescent="0.2">
      <c r="A3802">
        <f>IFERROR(VLOOKUP(C3802,'GASB Match'!$D$2:$F$6042,3,FALSE),"")</f>
        <v>3411400</v>
      </c>
      <c r="B3802" s="17">
        <v>2020</v>
      </c>
      <c r="C3802" s="21" t="s">
        <v>1291</v>
      </c>
      <c r="D3802" s="17">
        <v>786</v>
      </c>
      <c r="E3802" s="17" t="s">
        <v>1469</v>
      </c>
      <c r="F3802" s="23">
        <v>2767852</v>
      </c>
    </row>
    <row r="3803" spans="1:6" ht="16" customHeight="1" x14ac:dyDescent="0.2">
      <c r="A3803">
        <f>IFERROR(VLOOKUP(C3803,'GASB Match'!$D$2:$F$6042,3,FALSE),"")</f>
        <v>3411400</v>
      </c>
      <c r="B3803" s="17">
        <v>2021</v>
      </c>
      <c r="C3803" s="25" t="s">
        <v>1291</v>
      </c>
      <c r="D3803" s="17">
        <v>786</v>
      </c>
      <c r="E3803" s="17" t="s">
        <v>1469</v>
      </c>
      <c r="F3803" s="22">
        <v>3571026</v>
      </c>
    </row>
    <row r="3804" spans="1:6" ht="16" customHeight="1" x14ac:dyDescent="0.2">
      <c r="A3804">
        <f>IFERROR(VLOOKUP(C3804,'GASB Match'!$D$2:$F$6042,3,FALSE),"")</f>
        <v>3411400</v>
      </c>
      <c r="B3804" s="17">
        <v>2022</v>
      </c>
      <c r="C3804" s="21" t="s">
        <v>1291</v>
      </c>
      <c r="D3804" s="17">
        <v>786</v>
      </c>
      <c r="E3804" s="17" t="s">
        <v>1469</v>
      </c>
      <c r="F3804" s="23">
        <v>4922991</v>
      </c>
    </row>
    <row r="3805" spans="1:6" ht="16" customHeight="1" x14ac:dyDescent="0.2">
      <c r="A3805">
        <f>IFERROR(VLOOKUP(C3805,'GASB Match'!$D$2:$F$6042,3,FALSE),"")</f>
        <v>3411400</v>
      </c>
      <c r="B3805" s="17">
        <v>2023</v>
      </c>
      <c r="C3805" s="21" t="s">
        <v>1291</v>
      </c>
      <c r="D3805" s="17">
        <v>786</v>
      </c>
      <c r="E3805" s="17" t="s">
        <v>1469</v>
      </c>
      <c r="F3805" s="23">
        <v>4768261</v>
      </c>
    </row>
    <row r="3806" spans="1:6" ht="16" customHeight="1" x14ac:dyDescent="0.2">
      <c r="A3806">
        <f>IFERROR(VLOOKUP(C3806,'GASB Match'!$D$2:$F$6042,3,FALSE),"")</f>
        <v>3411400</v>
      </c>
      <c r="B3806" s="28">
        <v>2017</v>
      </c>
      <c r="C3806" s="29" t="s">
        <v>598</v>
      </c>
      <c r="D3806" s="17">
        <v>786</v>
      </c>
      <c r="E3806" s="17" t="s">
        <v>1426</v>
      </c>
      <c r="F3806" s="29">
        <v>1341051</v>
      </c>
    </row>
    <row r="3807" spans="1:6" ht="16" customHeight="1" x14ac:dyDescent="0.2">
      <c r="A3807" t="str">
        <f>IFERROR(VLOOKUP(C3807,'GASB Match'!$D$2:$F$6042,3,FALSE),"")</f>
        <v/>
      </c>
      <c r="B3807" s="17">
        <v>2018</v>
      </c>
      <c r="C3807" s="17" t="s">
        <v>1437</v>
      </c>
      <c r="D3807" s="17">
        <v>981</v>
      </c>
      <c r="E3807" s="17" t="s">
        <v>1477</v>
      </c>
      <c r="F3807" s="20">
        <v>36913</v>
      </c>
    </row>
    <row r="3808" spans="1:6" ht="16" customHeight="1" x14ac:dyDescent="0.2">
      <c r="A3808" t="str">
        <f>IFERROR(VLOOKUP(C3808,'GASB Match'!$D$2:$F$6042,3,FALSE),"")</f>
        <v/>
      </c>
      <c r="B3808" s="17">
        <v>2019</v>
      </c>
      <c r="C3808" s="17" t="s">
        <v>1437</v>
      </c>
      <c r="D3808" s="17">
        <v>981</v>
      </c>
      <c r="E3808" s="17" t="s">
        <v>1477</v>
      </c>
      <c r="F3808" s="20">
        <v>46838</v>
      </c>
    </row>
    <row r="3809" spans="1:6" ht="16" customHeight="1" x14ac:dyDescent="0.2">
      <c r="A3809" t="str">
        <f>IFERROR(VLOOKUP(C3809,'GASB Match'!$D$2:$F$6042,3,FALSE),"")</f>
        <v/>
      </c>
      <c r="B3809" s="17">
        <v>2020</v>
      </c>
      <c r="C3809" s="21" t="s">
        <v>1437</v>
      </c>
      <c r="D3809" s="17">
        <v>981</v>
      </c>
      <c r="E3809" s="17" t="s">
        <v>1477</v>
      </c>
      <c r="F3809" s="23">
        <v>53585</v>
      </c>
    </row>
    <row r="3810" spans="1:6" ht="16" customHeight="1" x14ac:dyDescent="0.2">
      <c r="A3810" t="str">
        <f>IFERROR(VLOOKUP(C3810,'GASB Match'!$D$2:$F$6042,3,FALSE),"")</f>
        <v/>
      </c>
      <c r="B3810" s="17">
        <v>2021</v>
      </c>
      <c r="C3810" s="25" t="s">
        <v>1437</v>
      </c>
      <c r="D3810" s="17">
        <v>981</v>
      </c>
      <c r="E3810" s="17" t="s">
        <v>1477</v>
      </c>
      <c r="F3810" s="23">
        <v>60749</v>
      </c>
    </row>
    <row r="3811" spans="1:6" ht="16" customHeight="1" x14ac:dyDescent="0.2">
      <c r="A3811" t="str">
        <f>IFERROR(VLOOKUP(C3811,'GASB Match'!$D$2:$F$6042,3,FALSE),"")</f>
        <v/>
      </c>
      <c r="B3811" s="17">
        <v>2022</v>
      </c>
      <c r="C3811" s="21" t="s">
        <v>1437</v>
      </c>
      <c r="D3811" s="17">
        <v>981</v>
      </c>
      <c r="E3811" s="17" t="s">
        <v>1477</v>
      </c>
      <c r="F3811" s="23">
        <v>85482</v>
      </c>
    </row>
    <row r="3812" spans="1:6" ht="16" customHeight="1" x14ac:dyDescent="0.2">
      <c r="A3812" t="str">
        <f>IFERROR(VLOOKUP(C3812,'GASB Match'!$D$2:$F$6042,3,FALSE),"")</f>
        <v/>
      </c>
      <c r="B3812" s="17">
        <v>2023</v>
      </c>
      <c r="C3812" s="21" t="s">
        <v>1437</v>
      </c>
      <c r="D3812" s="17">
        <v>981</v>
      </c>
      <c r="E3812" s="17" t="s">
        <v>1477</v>
      </c>
      <c r="F3812" s="22">
        <v>79272</v>
      </c>
    </row>
    <row r="3813" spans="1:6" ht="16" customHeight="1" x14ac:dyDescent="0.2">
      <c r="A3813">
        <f>IFERROR(VLOOKUP(C3813,'GASB Match'!$D$2:$F$6042,3,FALSE),"")</f>
        <v>3411430</v>
      </c>
      <c r="B3813" s="17">
        <v>2015</v>
      </c>
      <c r="C3813" s="17" t="s">
        <v>70</v>
      </c>
      <c r="D3813" s="17">
        <v>2063</v>
      </c>
      <c r="E3813" s="17" t="s">
        <v>1402</v>
      </c>
      <c r="F3813" s="20">
        <v>542328</v>
      </c>
    </row>
    <row r="3814" spans="1:6" ht="16" customHeight="1" x14ac:dyDescent="0.2">
      <c r="A3814">
        <f>IFERROR(VLOOKUP(C3814,'GASB Match'!$D$2:$F$6042,3,FALSE),"")</f>
        <v>3411430</v>
      </c>
      <c r="B3814" s="17">
        <v>2016</v>
      </c>
      <c r="C3814" s="17" t="s">
        <v>70</v>
      </c>
      <c r="D3814" s="17">
        <v>2063</v>
      </c>
      <c r="E3814" s="17" t="s">
        <v>1402</v>
      </c>
      <c r="F3814" s="20">
        <v>842006</v>
      </c>
    </row>
    <row r="3815" spans="1:6" ht="16" customHeight="1" x14ac:dyDescent="0.2">
      <c r="A3815">
        <f>IFERROR(VLOOKUP(C3815,'GASB Match'!$D$2:$F$6042,3,FALSE),"")</f>
        <v>3411430</v>
      </c>
      <c r="B3815" s="17">
        <v>2018</v>
      </c>
      <c r="C3815" s="17" t="s">
        <v>748</v>
      </c>
      <c r="D3815" s="17">
        <v>2063</v>
      </c>
      <c r="E3815" s="17" t="s">
        <v>1443</v>
      </c>
      <c r="F3815" s="20">
        <v>1515802</v>
      </c>
    </row>
    <row r="3816" spans="1:6" ht="16" customHeight="1" x14ac:dyDescent="0.2">
      <c r="A3816">
        <f>IFERROR(VLOOKUP(C3816,'GASB Match'!$D$2:$F$6042,3,FALSE),"")</f>
        <v>3411430</v>
      </c>
      <c r="B3816" s="17">
        <v>2019</v>
      </c>
      <c r="C3816" s="17" t="s">
        <v>748</v>
      </c>
      <c r="D3816" s="17">
        <v>2063</v>
      </c>
      <c r="E3816" s="17" t="s">
        <v>1443</v>
      </c>
      <c r="F3816" s="20">
        <v>2106264</v>
      </c>
    </row>
    <row r="3817" spans="1:6" ht="16" customHeight="1" x14ac:dyDescent="0.2">
      <c r="A3817">
        <f>IFERROR(VLOOKUP(C3817,'GASB Match'!$D$2:$F$6042,3,FALSE),"")</f>
        <v>3411430</v>
      </c>
      <c r="B3817" s="17">
        <v>2020</v>
      </c>
      <c r="C3817" s="21" t="s">
        <v>748</v>
      </c>
      <c r="D3817" s="17">
        <v>2063</v>
      </c>
      <c r="E3817" s="17" t="s">
        <v>1443</v>
      </c>
      <c r="F3817" s="23">
        <v>2344738</v>
      </c>
    </row>
    <row r="3818" spans="1:6" ht="16" customHeight="1" x14ac:dyDescent="0.2">
      <c r="A3818">
        <f>IFERROR(VLOOKUP(C3818,'GASB Match'!$D$2:$F$6042,3,FALSE),"")</f>
        <v>3411430</v>
      </c>
      <c r="B3818" s="17">
        <v>2021</v>
      </c>
      <c r="C3818" s="25" t="s">
        <v>748</v>
      </c>
      <c r="D3818" s="17">
        <v>2063</v>
      </c>
      <c r="E3818" s="17" t="s">
        <v>1443</v>
      </c>
      <c r="F3818" s="23">
        <v>2991760</v>
      </c>
    </row>
    <row r="3819" spans="1:6" ht="16" customHeight="1" x14ac:dyDescent="0.2">
      <c r="A3819">
        <f>IFERROR(VLOOKUP(C3819,'GASB Match'!$D$2:$F$6042,3,FALSE),"")</f>
        <v>3411430</v>
      </c>
      <c r="B3819" s="17">
        <v>2022</v>
      </c>
      <c r="C3819" s="21" t="s">
        <v>748</v>
      </c>
      <c r="D3819" s="17">
        <v>2063</v>
      </c>
      <c r="E3819" s="17" t="s">
        <v>1443</v>
      </c>
      <c r="F3819" s="23">
        <v>4258156</v>
      </c>
    </row>
    <row r="3820" spans="1:6" ht="16" customHeight="1" x14ac:dyDescent="0.2">
      <c r="A3820">
        <f>IFERROR(VLOOKUP(C3820,'GASB Match'!$D$2:$F$6042,3,FALSE),"")</f>
        <v>3411430</v>
      </c>
      <c r="B3820" s="17">
        <v>2023</v>
      </c>
      <c r="C3820" s="21" t="s">
        <v>748</v>
      </c>
      <c r="D3820" s="17">
        <v>2063</v>
      </c>
      <c r="E3820" s="17" t="s">
        <v>1443</v>
      </c>
      <c r="F3820" s="23">
        <v>4495851</v>
      </c>
    </row>
    <row r="3821" spans="1:6" ht="16" customHeight="1" x14ac:dyDescent="0.2">
      <c r="A3821">
        <f>IFERROR(VLOOKUP(C3821,'GASB Match'!$D$2:$F$6042,3,FALSE),"")</f>
        <v>3411430</v>
      </c>
      <c r="B3821" s="28">
        <v>2017</v>
      </c>
      <c r="C3821" s="29" t="s">
        <v>70</v>
      </c>
      <c r="D3821" s="17">
        <v>2063</v>
      </c>
      <c r="E3821" s="17" t="s">
        <v>1402</v>
      </c>
      <c r="F3821" s="29">
        <v>1141741</v>
      </c>
    </row>
    <row r="3822" spans="1:6" ht="16" customHeight="1" x14ac:dyDescent="0.2">
      <c r="A3822">
        <f>IFERROR(VLOOKUP(C3822,'GASB Match'!$D$2:$F$6042,3,FALSE),"")</f>
        <v>3411460</v>
      </c>
      <c r="B3822" s="17">
        <v>2015</v>
      </c>
      <c r="C3822" s="17" t="s">
        <v>318</v>
      </c>
      <c r="D3822" s="17">
        <v>8040</v>
      </c>
      <c r="E3822" s="17" t="s">
        <v>1413</v>
      </c>
      <c r="F3822" s="20">
        <v>2897565</v>
      </c>
    </row>
    <row r="3823" spans="1:6" ht="16" customHeight="1" x14ac:dyDescent="0.2">
      <c r="A3823">
        <f>IFERROR(VLOOKUP(C3823,'GASB Match'!$D$2:$F$6042,3,FALSE),"")</f>
        <v>3411460</v>
      </c>
      <c r="B3823" s="17">
        <v>2016</v>
      </c>
      <c r="C3823" s="17" t="s">
        <v>318</v>
      </c>
      <c r="D3823" s="17">
        <v>8040</v>
      </c>
      <c r="E3823" s="17" t="s">
        <v>1413</v>
      </c>
      <c r="F3823" s="20">
        <v>4236730</v>
      </c>
    </row>
    <row r="3824" spans="1:6" ht="16" customHeight="1" x14ac:dyDescent="0.2">
      <c r="A3824">
        <f>IFERROR(VLOOKUP(C3824,'GASB Match'!$D$2:$F$6042,3,FALSE),"")</f>
        <v>3411460</v>
      </c>
      <c r="B3824" s="17">
        <v>2018</v>
      </c>
      <c r="C3824" s="17" t="s">
        <v>1011</v>
      </c>
      <c r="D3824" s="17">
        <v>8040</v>
      </c>
      <c r="E3824" s="17" t="s">
        <v>1456</v>
      </c>
      <c r="F3824" s="20">
        <v>8039995</v>
      </c>
    </row>
    <row r="3825" spans="1:6" ht="16" customHeight="1" x14ac:dyDescent="0.2">
      <c r="A3825">
        <f>IFERROR(VLOOKUP(C3825,'GASB Match'!$D$2:$F$6042,3,FALSE),"")</f>
        <v>3411460</v>
      </c>
      <c r="B3825" s="17">
        <v>2019</v>
      </c>
      <c r="C3825" s="17" t="s">
        <v>1011</v>
      </c>
      <c r="D3825" s="17">
        <v>8040</v>
      </c>
      <c r="E3825" s="17" t="s">
        <v>1456</v>
      </c>
      <c r="F3825" s="20">
        <v>10640649</v>
      </c>
    </row>
    <row r="3826" spans="1:6" ht="16" customHeight="1" x14ac:dyDescent="0.2">
      <c r="A3826">
        <f>IFERROR(VLOOKUP(C3826,'GASB Match'!$D$2:$F$6042,3,FALSE),"")</f>
        <v>3411460</v>
      </c>
      <c r="B3826" s="17">
        <v>2020</v>
      </c>
      <c r="C3826" s="21" t="s">
        <v>1011</v>
      </c>
      <c r="D3826" s="17">
        <v>8040</v>
      </c>
      <c r="E3826" s="17" t="s">
        <v>1456</v>
      </c>
      <c r="F3826" s="23">
        <v>12091231</v>
      </c>
    </row>
    <row r="3827" spans="1:6" ht="16" customHeight="1" x14ac:dyDescent="0.2">
      <c r="A3827">
        <f>IFERROR(VLOOKUP(C3827,'GASB Match'!$D$2:$F$6042,3,FALSE),"")</f>
        <v>3411460</v>
      </c>
      <c r="B3827" s="17">
        <v>2021</v>
      </c>
      <c r="C3827" s="25" t="s">
        <v>1011</v>
      </c>
      <c r="D3827" s="17">
        <v>8040</v>
      </c>
      <c r="E3827" s="17" t="s">
        <v>1456</v>
      </c>
      <c r="F3827" s="23">
        <v>15408393</v>
      </c>
    </row>
    <row r="3828" spans="1:6" ht="16" customHeight="1" x14ac:dyDescent="0.2">
      <c r="A3828">
        <f>IFERROR(VLOOKUP(C3828,'GASB Match'!$D$2:$F$6042,3,FALSE),"")</f>
        <v>3411460</v>
      </c>
      <c r="B3828" s="17">
        <v>2022</v>
      </c>
      <c r="C3828" s="21" t="s">
        <v>1011</v>
      </c>
      <c r="D3828" s="17">
        <v>8040</v>
      </c>
      <c r="E3828" s="17" t="s">
        <v>1456</v>
      </c>
      <c r="F3828" s="23">
        <v>21672066</v>
      </c>
    </row>
    <row r="3829" spans="1:6" ht="16" customHeight="1" x14ac:dyDescent="0.2">
      <c r="A3829">
        <f>IFERROR(VLOOKUP(C3829,'GASB Match'!$D$2:$F$6042,3,FALSE),"")</f>
        <v>3411460</v>
      </c>
      <c r="B3829" s="17">
        <v>2023</v>
      </c>
      <c r="C3829" s="21" t="s">
        <v>1011</v>
      </c>
      <c r="D3829" s="17">
        <v>8040</v>
      </c>
      <c r="E3829" s="17" t="s">
        <v>1456</v>
      </c>
      <c r="F3829" s="23">
        <v>21256498</v>
      </c>
    </row>
    <row r="3830" spans="1:6" ht="16" customHeight="1" x14ac:dyDescent="0.2">
      <c r="A3830">
        <f>IFERROR(VLOOKUP(C3830,'GASB Match'!$D$2:$F$6042,3,FALSE),"")</f>
        <v>3411460</v>
      </c>
      <c r="B3830" s="28">
        <v>2017</v>
      </c>
      <c r="C3830" s="29" t="s">
        <v>318</v>
      </c>
      <c r="D3830" s="17">
        <v>8040</v>
      </c>
      <c r="E3830" s="17" t="s">
        <v>1413</v>
      </c>
      <c r="F3830" s="29">
        <v>5909676</v>
      </c>
    </row>
    <row r="3831" spans="1:6" ht="16" customHeight="1" x14ac:dyDescent="0.2">
      <c r="A3831">
        <f>IFERROR(VLOOKUP(C3831,'GASB Match'!$D$2:$F$6042,3,FALSE),"")</f>
        <v>3411490</v>
      </c>
      <c r="B3831" s="17">
        <v>2015</v>
      </c>
      <c r="C3831" s="17" t="s">
        <v>389</v>
      </c>
      <c r="D3831" s="17">
        <v>244</v>
      </c>
      <c r="E3831" s="17" t="s">
        <v>1418</v>
      </c>
      <c r="F3831" s="20">
        <v>1969254</v>
      </c>
    </row>
    <row r="3832" spans="1:6" ht="16" customHeight="1" x14ac:dyDescent="0.2">
      <c r="A3832">
        <f>IFERROR(VLOOKUP(C3832,'GASB Match'!$D$2:$F$6042,3,FALSE),"")</f>
        <v>3411490</v>
      </c>
      <c r="B3832" s="17">
        <v>2016</v>
      </c>
      <c r="C3832" s="17" t="s">
        <v>389</v>
      </c>
      <c r="D3832" s="17">
        <v>244</v>
      </c>
      <c r="E3832" s="17" t="s">
        <v>1418</v>
      </c>
      <c r="F3832" s="20">
        <v>3023812</v>
      </c>
    </row>
    <row r="3833" spans="1:6" ht="16" customHeight="1" x14ac:dyDescent="0.2">
      <c r="A3833">
        <f>IFERROR(VLOOKUP(C3833,'GASB Match'!$D$2:$F$6042,3,FALSE),"")</f>
        <v>3411490</v>
      </c>
      <c r="B3833" s="17">
        <v>2018</v>
      </c>
      <c r="C3833" s="17" t="s">
        <v>1081</v>
      </c>
      <c r="D3833" s="17">
        <v>244</v>
      </c>
      <c r="E3833" s="17" t="s">
        <v>1461</v>
      </c>
      <c r="F3833" s="20">
        <v>5869938</v>
      </c>
    </row>
    <row r="3834" spans="1:6" ht="16" customHeight="1" x14ac:dyDescent="0.2">
      <c r="A3834">
        <f>IFERROR(VLOOKUP(C3834,'GASB Match'!$D$2:$F$6042,3,FALSE),"")</f>
        <v>3411490</v>
      </c>
      <c r="B3834" s="17">
        <v>2019</v>
      </c>
      <c r="C3834" s="17" t="s">
        <v>1081</v>
      </c>
      <c r="D3834" s="17">
        <v>244</v>
      </c>
      <c r="E3834" s="17" t="s">
        <v>1461</v>
      </c>
      <c r="F3834" s="20">
        <v>7856234</v>
      </c>
    </row>
    <row r="3835" spans="1:6" ht="16" customHeight="1" x14ac:dyDescent="0.2">
      <c r="A3835">
        <f>IFERROR(VLOOKUP(C3835,'GASB Match'!$D$2:$F$6042,3,FALSE),"")</f>
        <v>3411490</v>
      </c>
      <c r="B3835" s="17">
        <v>2020</v>
      </c>
      <c r="C3835" s="21" t="s">
        <v>1081</v>
      </c>
      <c r="D3835" s="17">
        <v>244</v>
      </c>
      <c r="E3835" s="17" t="s">
        <v>1461</v>
      </c>
      <c r="F3835" s="23">
        <v>9252025</v>
      </c>
    </row>
    <row r="3836" spans="1:6" ht="16" customHeight="1" x14ac:dyDescent="0.2">
      <c r="A3836">
        <f>IFERROR(VLOOKUP(C3836,'GASB Match'!$D$2:$F$6042,3,FALSE),"")</f>
        <v>3411490</v>
      </c>
      <c r="B3836" s="17">
        <v>2021</v>
      </c>
      <c r="C3836" s="25" t="s">
        <v>1081</v>
      </c>
      <c r="D3836" s="17">
        <v>244</v>
      </c>
      <c r="E3836" s="17" t="s">
        <v>1461</v>
      </c>
      <c r="F3836" s="23">
        <v>12222732</v>
      </c>
    </row>
    <row r="3837" spans="1:6" ht="16" customHeight="1" x14ac:dyDescent="0.2">
      <c r="A3837">
        <f>IFERROR(VLOOKUP(C3837,'GASB Match'!$D$2:$F$6042,3,FALSE),"")</f>
        <v>3411490</v>
      </c>
      <c r="B3837" s="17">
        <v>2022</v>
      </c>
      <c r="C3837" s="21" t="s">
        <v>1081</v>
      </c>
      <c r="D3837" s="17">
        <v>244</v>
      </c>
      <c r="E3837" s="17" t="s">
        <v>1461</v>
      </c>
      <c r="F3837" s="23">
        <v>17343011</v>
      </c>
    </row>
    <row r="3838" spans="1:6" ht="16" customHeight="1" x14ac:dyDescent="0.2">
      <c r="A3838">
        <f>IFERROR(VLOOKUP(C3838,'GASB Match'!$D$2:$F$6042,3,FALSE),"")</f>
        <v>3411490</v>
      </c>
      <c r="B3838" s="17">
        <v>2023</v>
      </c>
      <c r="C3838" s="21" t="s">
        <v>1081</v>
      </c>
      <c r="D3838" s="17">
        <v>244</v>
      </c>
      <c r="E3838" s="17" t="s">
        <v>1461</v>
      </c>
      <c r="F3838" s="23">
        <v>18202109</v>
      </c>
    </row>
    <row r="3839" spans="1:6" ht="16" customHeight="1" x14ac:dyDescent="0.2">
      <c r="A3839">
        <f>IFERROR(VLOOKUP(C3839,'GASB Match'!$D$2:$F$6042,3,FALSE),"")</f>
        <v>3411490</v>
      </c>
      <c r="B3839" s="28">
        <v>2017</v>
      </c>
      <c r="C3839" s="29" t="s">
        <v>389</v>
      </c>
      <c r="D3839" s="17">
        <v>244</v>
      </c>
      <c r="E3839" s="17" t="s">
        <v>1418</v>
      </c>
      <c r="F3839" s="29">
        <v>4226968</v>
      </c>
    </row>
    <row r="3840" spans="1:6" ht="16" customHeight="1" x14ac:dyDescent="0.2">
      <c r="A3840">
        <f>IFERROR(VLOOKUP(C3840,'GASB Match'!$D$2:$F$6042,3,FALSE),"")</f>
        <v>3411520</v>
      </c>
      <c r="B3840" s="17">
        <v>2015</v>
      </c>
      <c r="C3840" s="17" t="s">
        <v>256</v>
      </c>
      <c r="D3840" s="17">
        <v>6088</v>
      </c>
      <c r="E3840" s="17" t="s">
        <v>1411</v>
      </c>
      <c r="F3840" s="20">
        <v>267318</v>
      </c>
    </row>
    <row r="3841" spans="1:6" ht="16" customHeight="1" x14ac:dyDescent="0.2">
      <c r="A3841">
        <f>IFERROR(VLOOKUP(C3841,'GASB Match'!$D$2:$F$6042,3,FALSE),"")</f>
        <v>3411520</v>
      </c>
      <c r="B3841" s="17">
        <v>2016</v>
      </c>
      <c r="C3841" s="17" t="s">
        <v>256</v>
      </c>
      <c r="D3841" s="17">
        <v>6088</v>
      </c>
      <c r="E3841" s="17" t="s">
        <v>1411</v>
      </c>
      <c r="F3841" s="20">
        <v>366101</v>
      </c>
    </row>
    <row r="3842" spans="1:6" ht="16" customHeight="1" x14ac:dyDescent="0.2">
      <c r="A3842">
        <f>IFERROR(VLOOKUP(C3842,'GASB Match'!$D$2:$F$6042,3,FALSE),"")</f>
        <v>3411520</v>
      </c>
      <c r="B3842" s="17">
        <v>2018</v>
      </c>
      <c r="C3842" s="17" t="s">
        <v>945</v>
      </c>
      <c r="D3842" s="17">
        <v>6088</v>
      </c>
      <c r="E3842" s="17" t="s">
        <v>1452</v>
      </c>
      <c r="F3842" s="20">
        <v>728828</v>
      </c>
    </row>
    <row r="3843" spans="1:6" ht="16" customHeight="1" x14ac:dyDescent="0.2">
      <c r="A3843">
        <f>IFERROR(VLOOKUP(C3843,'GASB Match'!$D$2:$F$6042,3,FALSE),"")</f>
        <v>3411520</v>
      </c>
      <c r="B3843" s="17">
        <v>2019</v>
      </c>
      <c r="C3843" s="17" t="s">
        <v>945</v>
      </c>
      <c r="D3843" s="17">
        <v>6088</v>
      </c>
      <c r="E3843" s="17" t="s">
        <v>1452</v>
      </c>
      <c r="F3843" s="20">
        <v>946340</v>
      </c>
    </row>
    <row r="3844" spans="1:6" ht="16" customHeight="1" x14ac:dyDescent="0.2">
      <c r="A3844">
        <f>IFERROR(VLOOKUP(C3844,'GASB Match'!$D$2:$F$6042,3,FALSE),"")</f>
        <v>3411520</v>
      </c>
      <c r="B3844" s="17">
        <v>2020</v>
      </c>
      <c r="C3844" s="21" t="s">
        <v>945</v>
      </c>
      <c r="D3844" s="17">
        <v>6088</v>
      </c>
      <c r="E3844" s="17" t="s">
        <v>1452</v>
      </c>
      <c r="F3844" s="23">
        <v>1077174</v>
      </c>
    </row>
    <row r="3845" spans="1:6" ht="16" customHeight="1" x14ac:dyDescent="0.2">
      <c r="A3845">
        <f>IFERROR(VLOOKUP(C3845,'GASB Match'!$D$2:$F$6042,3,FALSE),"")</f>
        <v>3411520</v>
      </c>
      <c r="B3845" s="17">
        <v>2021</v>
      </c>
      <c r="C3845" s="25" t="s">
        <v>945</v>
      </c>
      <c r="D3845" s="17">
        <v>6088</v>
      </c>
      <c r="E3845" s="17" t="s">
        <v>1452</v>
      </c>
      <c r="F3845" s="23">
        <v>1433667</v>
      </c>
    </row>
    <row r="3846" spans="1:6" ht="16" customHeight="1" x14ac:dyDescent="0.2">
      <c r="A3846">
        <f>IFERROR(VLOOKUP(C3846,'GASB Match'!$D$2:$F$6042,3,FALSE),"")</f>
        <v>3411520</v>
      </c>
      <c r="B3846" s="17">
        <v>2022</v>
      </c>
      <c r="C3846" s="21" t="s">
        <v>945</v>
      </c>
      <c r="D3846" s="17">
        <v>6088</v>
      </c>
      <c r="E3846" s="17" t="s">
        <v>1452</v>
      </c>
      <c r="F3846" s="23">
        <v>2034316</v>
      </c>
    </row>
    <row r="3847" spans="1:6" ht="16" customHeight="1" x14ac:dyDescent="0.2">
      <c r="A3847">
        <f>IFERROR(VLOOKUP(C3847,'GASB Match'!$D$2:$F$6042,3,FALSE),"")</f>
        <v>3411520</v>
      </c>
      <c r="B3847" s="17">
        <v>2023</v>
      </c>
      <c r="C3847" s="21" t="s">
        <v>945</v>
      </c>
      <c r="D3847" s="17">
        <v>6088</v>
      </c>
      <c r="E3847" s="17" t="s">
        <v>1452</v>
      </c>
      <c r="F3847" s="23">
        <v>2068495</v>
      </c>
    </row>
    <row r="3848" spans="1:6" ht="16" customHeight="1" x14ac:dyDescent="0.2">
      <c r="A3848">
        <f>IFERROR(VLOOKUP(C3848,'GASB Match'!$D$2:$F$6042,3,FALSE),"")</f>
        <v>3411520</v>
      </c>
      <c r="B3848" s="28">
        <v>2017</v>
      </c>
      <c r="C3848" s="29" t="s">
        <v>256</v>
      </c>
      <c r="D3848" s="17">
        <v>6088</v>
      </c>
      <c r="E3848" s="17" t="s">
        <v>1411</v>
      </c>
      <c r="F3848" s="29">
        <v>543300</v>
      </c>
    </row>
    <row r="3849" spans="1:6" ht="16" customHeight="1" x14ac:dyDescent="0.2">
      <c r="A3849">
        <f>IFERROR(VLOOKUP(C3849,'GASB Match'!$D$2:$F$6042,3,FALSE),"")</f>
        <v>3411550</v>
      </c>
      <c r="B3849" s="17">
        <v>2015</v>
      </c>
      <c r="C3849" s="17" t="s">
        <v>532</v>
      </c>
      <c r="D3849" s="17">
        <v>635</v>
      </c>
      <c r="E3849" s="17" t="s">
        <v>1423</v>
      </c>
      <c r="F3849" s="19">
        <v>220944</v>
      </c>
    </row>
    <row r="3850" spans="1:6" ht="16" customHeight="1" x14ac:dyDescent="0.2">
      <c r="A3850">
        <f>IFERROR(VLOOKUP(C3850,'GASB Match'!$D$2:$F$6042,3,FALSE),"")</f>
        <v>3411550</v>
      </c>
      <c r="B3850" s="17">
        <v>2016</v>
      </c>
      <c r="C3850" s="17" t="s">
        <v>532</v>
      </c>
      <c r="D3850" s="17">
        <v>635</v>
      </c>
      <c r="E3850" s="17" t="s">
        <v>1423</v>
      </c>
      <c r="F3850" s="20">
        <v>342409</v>
      </c>
    </row>
    <row r="3851" spans="1:6" ht="16" customHeight="1" x14ac:dyDescent="0.2">
      <c r="A3851">
        <f>IFERROR(VLOOKUP(C3851,'GASB Match'!$D$2:$F$6042,3,FALSE),"")</f>
        <v>3411550</v>
      </c>
      <c r="B3851" s="17">
        <v>2018</v>
      </c>
      <c r="C3851" s="17" t="s">
        <v>1224</v>
      </c>
      <c r="D3851" s="17">
        <v>635</v>
      </c>
      <c r="E3851" s="17" t="s">
        <v>1466</v>
      </c>
      <c r="F3851" s="20">
        <v>611904</v>
      </c>
    </row>
    <row r="3852" spans="1:6" ht="16" customHeight="1" x14ac:dyDescent="0.2">
      <c r="A3852">
        <f>IFERROR(VLOOKUP(C3852,'GASB Match'!$D$2:$F$6042,3,FALSE),"")</f>
        <v>3411550</v>
      </c>
      <c r="B3852" s="17">
        <v>2019</v>
      </c>
      <c r="C3852" s="17" t="s">
        <v>1224</v>
      </c>
      <c r="D3852" s="17">
        <v>635</v>
      </c>
      <c r="E3852" s="17" t="s">
        <v>1466</v>
      </c>
      <c r="F3852" s="20">
        <v>841302</v>
      </c>
    </row>
    <row r="3853" spans="1:6" ht="16" customHeight="1" x14ac:dyDescent="0.2">
      <c r="A3853">
        <f>IFERROR(VLOOKUP(C3853,'GASB Match'!$D$2:$F$6042,3,FALSE),"")</f>
        <v>3411550</v>
      </c>
      <c r="B3853" s="17">
        <v>2020</v>
      </c>
      <c r="C3853" s="21" t="s">
        <v>1224</v>
      </c>
      <c r="D3853" s="17">
        <v>635</v>
      </c>
      <c r="E3853" s="17" t="s">
        <v>1466</v>
      </c>
      <c r="F3853" s="23">
        <v>1030449</v>
      </c>
    </row>
    <row r="3854" spans="1:6" ht="16" customHeight="1" x14ac:dyDescent="0.2">
      <c r="A3854">
        <f>IFERROR(VLOOKUP(C3854,'GASB Match'!$D$2:$F$6042,3,FALSE),"")</f>
        <v>3411550</v>
      </c>
      <c r="B3854" s="17">
        <v>2021</v>
      </c>
      <c r="C3854" s="25" t="s">
        <v>1224</v>
      </c>
      <c r="D3854" s="17">
        <v>635</v>
      </c>
      <c r="E3854" s="17" t="s">
        <v>1466</v>
      </c>
      <c r="F3854" s="23">
        <v>1374506</v>
      </c>
    </row>
    <row r="3855" spans="1:6" ht="16" customHeight="1" x14ac:dyDescent="0.2">
      <c r="A3855">
        <f>IFERROR(VLOOKUP(C3855,'GASB Match'!$D$2:$F$6042,3,FALSE),"")</f>
        <v>3411550</v>
      </c>
      <c r="B3855" s="17">
        <v>2022</v>
      </c>
      <c r="C3855" s="21" t="s">
        <v>1224</v>
      </c>
      <c r="D3855" s="17">
        <v>635</v>
      </c>
      <c r="E3855" s="17" t="s">
        <v>1466</v>
      </c>
      <c r="F3855" s="23">
        <v>1958929</v>
      </c>
    </row>
    <row r="3856" spans="1:6" ht="16" customHeight="1" x14ac:dyDescent="0.2">
      <c r="A3856">
        <f>IFERROR(VLOOKUP(C3856,'GASB Match'!$D$2:$F$6042,3,FALSE),"")</f>
        <v>3411550</v>
      </c>
      <c r="B3856" s="17">
        <v>2023</v>
      </c>
      <c r="C3856" s="21" t="s">
        <v>1224</v>
      </c>
      <c r="D3856" s="17">
        <v>635</v>
      </c>
      <c r="E3856" s="17" t="s">
        <v>1466</v>
      </c>
      <c r="F3856" s="23">
        <v>1874655</v>
      </c>
    </row>
    <row r="3857" spans="1:6" ht="16" customHeight="1" x14ac:dyDescent="0.2">
      <c r="A3857">
        <f>IFERROR(VLOOKUP(C3857,'GASB Match'!$D$2:$F$6042,3,FALSE),"")</f>
        <v>3411550</v>
      </c>
      <c r="B3857" s="28">
        <v>2017</v>
      </c>
      <c r="C3857" s="29" t="s">
        <v>532</v>
      </c>
      <c r="D3857" s="17">
        <v>635</v>
      </c>
      <c r="E3857" s="17" t="s">
        <v>1423</v>
      </c>
      <c r="F3857" s="29">
        <v>538712</v>
      </c>
    </row>
    <row r="3858" spans="1:6" ht="16" customHeight="1" x14ac:dyDescent="0.2">
      <c r="A3858">
        <f>IFERROR(VLOOKUP(C3858,'GASB Match'!$D$2:$F$6042,3,FALSE),"")</f>
        <v>3411580</v>
      </c>
      <c r="B3858" s="17">
        <v>2015</v>
      </c>
      <c r="C3858" s="17" t="s">
        <v>132</v>
      </c>
      <c r="D3858" s="17">
        <v>3033</v>
      </c>
      <c r="E3858" s="17" t="s">
        <v>1404</v>
      </c>
      <c r="F3858" s="20">
        <v>539399</v>
      </c>
    </row>
    <row r="3859" spans="1:6" ht="16" customHeight="1" x14ac:dyDescent="0.2">
      <c r="A3859">
        <f>IFERROR(VLOOKUP(C3859,'GASB Match'!$D$2:$F$6042,3,FALSE),"")</f>
        <v>3411580</v>
      </c>
      <c r="B3859" s="17">
        <v>2016</v>
      </c>
      <c r="C3859" s="17" t="s">
        <v>132</v>
      </c>
      <c r="D3859" s="17">
        <v>3033</v>
      </c>
      <c r="E3859" s="17" t="s">
        <v>1404</v>
      </c>
      <c r="F3859" s="20">
        <v>748889</v>
      </c>
    </row>
    <row r="3860" spans="1:6" ht="16" customHeight="1" x14ac:dyDescent="0.2">
      <c r="A3860">
        <f>IFERROR(VLOOKUP(C3860,'GASB Match'!$D$2:$F$6042,3,FALSE),"")</f>
        <v>3411580</v>
      </c>
      <c r="B3860" s="17">
        <v>2018</v>
      </c>
      <c r="C3860" s="17" t="s">
        <v>813</v>
      </c>
      <c r="D3860" s="17">
        <v>3033</v>
      </c>
      <c r="E3860" s="17" t="s">
        <v>1445</v>
      </c>
      <c r="F3860" s="20">
        <v>1368435</v>
      </c>
    </row>
    <row r="3861" spans="1:6" ht="16" customHeight="1" x14ac:dyDescent="0.2">
      <c r="A3861">
        <f>IFERROR(VLOOKUP(C3861,'GASB Match'!$D$2:$F$6042,3,FALSE),"")</f>
        <v>3411580</v>
      </c>
      <c r="B3861" s="17">
        <v>2019</v>
      </c>
      <c r="C3861" s="17" t="s">
        <v>813</v>
      </c>
      <c r="D3861" s="17">
        <v>3033</v>
      </c>
      <c r="E3861" s="17" t="s">
        <v>1445</v>
      </c>
      <c r="F3861" s="20">
        <v>1834623</v>
      </c>
    </row>
    <row r="3862" spans="1:6" ht="16" customHeight="1" x14ac:dyDescent="0.2">
      <c r="A3862">
        <f>IFERROR(VLOOKUP(C3862,'GASB Match'!$D$2:$F$6042,3,FALSE),"")</f>
        <v>3411580</v>
      </c>
      <c r="B3862" s="17">
        <v>2020</v>
      </c>
      <c r="C3862" s="21" t="s">
        <v>813</v>
      </c>
      <c r="D3862" s="17">
        <v>3033</v>
      </c>
      <c r="E3862" s="17" t="s">
        <v>1445</v>
      </c>
      <c r="F3862" s="23">
        <v>2057583</v>
      </c>
    </row>
    <row r="3863" spans="1:6" ht="16" customHeight="1" x14ac:dyDescent="0.2">
      <c r="A3863">
        <f>IFERROR(VLOOKUP(C3863,'GASB Match'!$D$2:$F$6042,3,FALSE),"")</f>
        <v>3411580</v>
      </c>
      <c r="B3863" s="17">
        <v>2021</v>
      </c>
      <c r="C3863" s="25" t="s">
        <v>813</v>
      </c>
      <c r="D3863" s="17">
        <v>3033</v>
      </c>
      <c r="E3863" s="17" t="s">
        <v>1445</v>
      </c>
      <c r="F3863" s="23">
        <v>2612141</v>
      </c>
    </row>
    <row r="3864" spans="1:6" ht="16" customHeight="1" x14ac:dyDescent="0.2">
      <c r="A3864">
        <f>IFERROR(VLOOKUP(C3864,'GASB Match'!$D$2:$F$6042,3,FALSE),"")</f>
        <v>3411580</v>
      </c>
      <c r="B3864" s="17">
        <v>2022</v>
      </c>
      <c r="C3864" s="21" t="s">
        <v>813</v>
      </c>
      <c r="D3864" s="17">
        <v>3033</v>
      </c>
      <c r="E3864" s="17" t="s">
        <v>1445</v>
      </c>
      <c r="F3864" s="23">
        <v>4131097</v>
      </c>
    </row>
    <row r="3865" spans="1:6" ht="16" customHeight="1" x14ac:dyDescent="0.2">
      <c r="A3865">
        <f>IFERROR(VLOOKUP(C3865,'GASB Match'!$D$2:$F$6042,3,FALSE),"")</f>
        <v>3411580</v>
      </c>
      <c r="B3865" s="17">
        <v>2023</v>
      </c>
      <c r="C3865" s="21" t="s">
        <v>813</v>
      </c>
      <c r="D3865" s="17">
        <v>3033</v>
      </c>
      <c r="E3865" s="17" t="s">
        <v>1445</v>
      </c>
      <c r="F3865" s="23">
        <v>4322419</v>
      </c>
    </row>
    <row r="3866" spans="1:6" ht="16" customHeight="1" x14ac:dyDescent="0.2">
      <c r="A3866">
        <f>IFERROR(VLOOKUP(C3866,'GASB Match'!$D$2:$F$6042,3,FALSE),"")</f>
        <v>3411580</v>
      </c>
      <c r="B3866" s="28">
        <v>2017</v>
      </c>
      <c r="C3866" s="29" t="s">
        <v>132</v>
      </c>
      <c r="D3866" s="17">
        <v>3033</v>
      </c>
      <c r="E3866" s="17" t="s">
        <v>1404</v>
      </c>
      <c r="F3866" s="29">
        <v>1053547</v>
      </c>
    </row>
    <row r="3867" spans="1:6" ht="16" customHeight="1" x14ac:dyDescent="0.2">
      <c r="A3867">
        <f>IFERROR(VLOOKUP(C3867,'GASB Match'!$D$2:$F$6042,3,FALSE),"")</f>
        <v>3411610</v>
      </c>
      <c r="B3867" s="17">
        <v>2015</v>
      </c>
      <c r="C3867" s="17" t="s">
        <v>348</v>
      </c>
      <c r="D3867" s="17">
        <v>9038</v>
      </c>
      <c r="E3867" s="17" t="s">
        <v>1415</v>
      </c>
      <c r="F3867" s="20">
        <v>1124630</v>
      </c>
    </row>
    <row r="3868" spans="1:6" ht="16" customHeight="1" x14ac:dyDescent="0.2">
      <c r="A3868">
        <f>IFERROR(VLOOKUP(C3868,'GASB Match'!$D$2:$F$6042,3,FALSE),"")</f>
        <v>3411610</v>
      </c>
      <c r="B3868" s="17">
        <v>2016</v>
      </c>
      <c r="C3868" s="17" t="s">
        <v>348</v>
      </c>
      <c r="D3868" s="17">
        <v>9038</v>
      </c>
      <c r="E3868" s="17" t="s">
        <v>1415</v>
      </c>
      <c r="F3868" s="20">
        <v>1697513</v>
      </c>
    </row>
    <row r="3869" spans="1:6" ht="16" customHeight="1" x14ac:dyDescent="0.2">
      <c r="A3869">
        <f>IFERROR(VLOOKUP(C3869,'GASB Match'!$D$2:$F$6042,3,FALSE),"")</f>
        <v>3411610</v>
      </c>
      <c r="B3869" s="17">
        <v>2018</v>
      </c>
      <c r="C3869" s="17" t="s">
        <v>1040</v>
      </c>
      <c r="D3869" s="17">
        <v>9038</v>
      </c>
      <c r="E3869" s="17" t="s">
        <v>1458</v>
      </c>
      <c r="F3869" s="20">
        <v>3079367</v>
      </c>
    </row>
    <row r="3870" spans="1:6" ht="16" customHeight="1" x14ac:dyDescent="0.2">
      <c r="A3870">
        <f>IFERROR(VLOOKUP(C3870,'GASB Match'!$D$2:$F$6042,3,FALSE),"")</f>
        <v>3411610</v>
      </c>
      <c r="B3870" s="17">
        <v>2019</v>
      </c>
      <c r="C3870" s="17" t="s">
        <v>1040</v>
      </c>
      <c r="D3870" s="17">
        <v>9038</v>
      </c>
      <c r="E3870" s="17" t="s">
        <v>1458</v>
      </c>
      <c r="F3870" s="20">
        <v>3929129</v>
      </c>
    </row>
    <row r="3871" spans="1:6" ht="16" customHeight="1" x14ac:dyDescent="0.2">
      <c r="A3871">
        <f>IFERROR(VLOOKUP(C3871,'GASB Match'!$D$2:$F$6042,3,FALSE),"")</f>
        <v>3411610</v>
      </c>
      <c r="B3871" s="17">
        <v>2020</v>
      </c>
      <c r="C3871" s="21" t="s">
        <v>1040</v>
      </c>
      <c r="D3871" s="17">
        <v>9038</v>
      </c>
      <c r="E3871" s="17" t="s">
        <v>1458</v>
      </c>
      <c r="F3871" s="23">
        <v>4409744</v>
      </c>
    </row>
    <row r="3872" spans="1:6" ht="16" customHeight="1" x14ac:dyDescent="0.2">
      <c r="A3872">
        <f>IFERROR(VLOOKUP(C3872,'GASB Match'!$D$2:$F$6042,3,FALSE),"")</f>
        <v>3411610</v>
      </c>
      <c r="B3872" s="17">
        <v>2021</v>
      </c>
      <c r="C3872" s="25" t="s">
        <v>1040</v>
      </c>
      <c r="D3872" s="17">
        <v>9038</v>
      </c>
      <c r="E3872" s="17" t="s">
        <v>1458</v>
      </c>
      <c r="F3872" s="23">
        <v>5588360</v>
      </c>
    </row>
    <row r="3873" spans="1:6" ht="16" customHeight="1" x14ac:dyDescent="0.2">
      <c r="A3873">
        <f>IFERROR(VLOOKUP(C3873,'GASB Match'!$D$2:$F$6042,3,FALSE),"")</f>
        <v>3411610</v>
      </c>
      <c r="B3873" s="17">
        <v>2022</v>
      </c>
      <c r="C3873" s="21" t="s">
        <v>1040</v>
      </c>
      <c r="D3873" s="17">
        <v>9038</v>
      </c>
      <c r="E3873" s="17" t="s">
        <v>1458</v>
      </c>
      <c r="F3873" s="23">
        <v>7850677</v>
      </c>
    </row>
    <row r="3874" spans="1:6" ht="16" customHeight="1" x14ac:dyDescent="0.2">
      <c r="A3874">
        <f>IFERROR(VLOOKUP(C3874,'GASB Match'!$D$2:$F$6042,3,FALSE),"")</f>
        <v>3411610</v>
      </c>
      <c r="B3874" s="17">
        <v>2023</v>
      </c>
      <c r="C3874" s="21" t="s">
        <v>1040</v>
      </c>
      <c r="D3874" s="17">
        <v>9038</v>
      </c>
      <c r="E3874" s="17" t="s">
        <v>1458</v>
      </c>
      <c r="F3874" s="23">
        <v>7697342</v>
      </c>
    </row>
    <row r="3875" spans="1:6" ht="16" customHeight="1" x14ac:dyDescent="0.2">
      <c r="A3875">
        <f>IFERROR(VLOOKUP(C3875,'GASB Match'!$D$2:$F$6042,3,FALSE),"")</f>
        <v>3411610</v>
      </c>
      <c r="B3875" s="28">
        <v>2017</v>
      </c>
      <c r="C3875" s="29" t="s">
        <v>348</v>
      </c>
      <c r="D3875" s="17">
        <v>9038</v>
      </c>
      <c r="E3875" s="17" t="s">
        <v>1415</v>
      </c>
      <c r="F3875" s="29">
        <v>2378360</v>
      </c>
    </row>
    <row r="3876" spans="1:6" ht="16" customHeight="1" x14ac:dyDescent="0.2">
      <c r="A3876">
        <f>IFERROR(VLOOKUP(C3876,'GASB Match'!$D$2:$F$6042,3,FALSE),"")</f>
        <v>3411640</v>
      </c>
      <c r="B3876" s="17">
        <v>2015</v>
      </c>
      <c r="C3876" s="17" t="s">
        <v>574</v>
      </c>
      <c r="D3876" s="17">
        <v>752</v>
      </c>
      <c r="E3876" s="17" t="s">
        <v>1425</v>
      </c>
      <c r="F3876" s="20">
        <v>1290791</v>
      </c>
    </row>
    <row r="3877" spans="1:6" ht="16" customHeight="1" x14ac:dyDescent="0.2">
      <c r="A3877">
        <f>IFERROR(VLOOKUP(C3877,'GASB Match'!$D$2:$F$6042,3,FALSE),"")</f>
        <v>3411640</v>
      </c>
      <c r="B3877" s="17">
        <v>2016</v>
      </c>
      <c r="C3877" s="17" t="s">
        <v>574</v>
      </c>
      <c r="D3877" s="17">
        <v>752</v>
      </c>
      <c r="E3877" s="17" t="s">
        <v>1425</v>
      </c>
      <c r="F3877" s="20">
        <v>1934919</v>
      </c>
    </row>
    <row r="3878" spans="1:6" ht="16" customHeight="1" x14ac:dyDescent="0.2">
      <c r="A3878">
        <f>IFERROR(VLOOKUP(C3878,'GASB Match'!$D$2:$F$6042,3,FALSE),"")</f>
        <v>3411640</v>
      </c>
      <c r="B3878" s="17">
        <v>2018</v>
      </c>
      <c r="C3878" s="17" t="s">
        <v>1266</v>
      </c>
      <c r="D3878" s="17">
        <v>752</v>
      </c>
      <c r="E3878" s="17" t="s">
        <v>1468</v>
      </c>
      <c r="F3878" s="20">
        <v>3830467</v>
      </c>
    </row>
    <row r="3879" spans="1:6" ht="16" customHeight="1" x14ac:dyDescent="0.2">
      <c r="A3879">
        <f>IFERROR(VLOOKUP(C3879,'GASB Match'!$D$2:$F$6042,3,FALSE),"")</f>
        <v>3411640</v>
      </c>
      <c r="B3879" s="17">
        <v>2019</v>
      </c>
      <c r="C3879" s="17" t="s">
        <v>1266</v>
      </c>
      <c r="D3879" s="17">
        <v>752</v>
      </c>
      <c r="E3879" s="17" t="s">
        <v>1468</v>
      </c>
      <c r="F3879" s="20">
        <v>5061035</v>
      </c>
    </row>
    <row r="3880" spans="1:6" ht="16" customHeight="1" x14ac:dyDescent="0.2">
      <c r="A3880">
        <f>IFERROR(VLOOKUP(C3880,'GASB Match'!$D$2:$F$6042,3,FALSE),"")</f>
        <v>3411640</v>
      </c>
      <c r="B3880" s="17">
        <v>2020</v>
      </c>
      <c r="C3880" s="21" t="s">
        <v>1266</v>
      </c>
      <c r="D3880" s="17">
        <v>752</v>
      </c>
      <c r="E3880" s="17" t="s">
        <v>1468</v>
      </c>
      <c r="F3880" s="23">
        <v>5462689</v>
      </c>
    </row>
    <row r="3881" spans="1:6" ht="16" customHeight="1" x14ac:dyDescent="0.2">
      <c r="A3881">
        <f>IFERROR(VLOOKUP(C3881,'GASB Match'!$D$2:$F$6042,3,FALSE),"")</f>
        <v>3411640</v>
      </c>
      <c r="B3881" s="17">
        <v>2021</v>
      </c>
      <c r="C3881" s="25" t="s">
        <v>1266</v>
      </c>
      <c r="D3881" s="17">
        <v>752</v>
      </c>
      <c r="E3881" s="17" t="s">
        <v>1468</v>
      </c>
      <c r="F3881" s="23">
        <v>6858966</v>
      </c>
    </row>
    <row r="3882" spans="1:6" ht="16" customHeight="1" x14ac:dyDescent="0.2">
      <c r="A3882">
        <f>IFERROR(VLOOKUP(C3882,'GASB Match'!$D$2:$F$6042,3,FALSE),"")</f>
        <v>3411640</v>
      </c>
      <c r="B3882" s="17">
        <v>2022</v>
      </c>
      <c r="C3882" s="21" t="s">
        <v>1266</v>
      </c>
      <c r="D3882" s="17">
        <v>752</v>
      </c>
      <c r="E3882" s="17" t="s">
        <v>1468</v>
      </c>
      <c r="F3882" s="23">
        <v>10389082</v>
      </c>
    </row>
    <row r="3883" spans="1:6" ht="16" customHeight="1" x14ac:dyDescent="0.2">
      <c r="A3883">
        <f>IFERROR(VLOOKUP(C3883,'GASB Match'!$D$2:$F$6042,3,FALSE),"")</f>
        <v>3411640</v>
      </c>
      <c r="B3883" s="17">
        <v>2023</v>
      </c>
      <c r="C3883" s="21" t="s">
        <v>1266</v>
      </c>
      <c r="D3883" s="17">
        <v>752</v>
      </c>
      <c r="E3883" s="17" t="s">
        <v>1468</v>
      </c>
      <c r="F3883" s="23">
        <v>10931573</v>
      </c>
    </row>
    <row r="3884" spans="1:6" ht="16" customHeight="1" x14ac:dyDescent="0.2">
      <c r="A3884">
        <f>IFERROR(VLOOKUP(C3884,'GASB Match'!$D$2:$F$6042,3,FALSE),"")</f>
        <v>3411640</v>
      </c>
      <c r="B3884" s="28">
        <v>2017</v>
      </c>
      <c r="C3884" s="29" t="s">
        <v>574</v>
      </c>
      <c r="D3884" s="17">
        <v>752</v>
      </c>
      <c r="E3884" s="17" t="s">
        <v>1425</v>
      </c>
      <c r="F3884" s="29">
        <v>2723191</v>
      </c>
    </row>
    <row r="3885" spans="1:6" ht="16" customHeight="1" x14ac:dyDescent="0.2">
      <c r="A3885">
        <f>IFERROR(VLOOKUP(C3885,'GASB Match'!$D$2:$F$6042,3,FALSE),"")</f>
        <v>3400024</v>
      </c>
      <c r="B3885" s="17">
        <v>2015</v>
      </c>
      <c r="C3885" s="17" t="s">
        <v>257</v>
      </c>
      <c r="D3885" s="17">
        <v>6006</v>
      </c>
      <c r="E3885" s="17" t="s">
        <v>1411</v>
      </c>
      <c r="F3885" s="20">
        <v>735543</v>
      </c>
    </row>
    <row r="3886" spans="1:6" ht="16" customHeight="1" x14ac:dyDescent="0.2">
      <c r="A3886">
        <f>IFERROR(VLOOKUP(C3886,'GASB Match'!$D$2:$F$6042,3,FALSE),"")</f>
        <v>3400024</v>
      </c>
      <c r="B3886" s="17">
        <v>2016</v>
      </c>
      <c r="C3886" s="17" t="s">
        <v>257</v>
      </c>
      <c r="D3886" s="17">
        <v>6006</v>
      </c>
      <c r="E3886" s="17" t="s">
        <v>1411</v>
      </c>
      <c r="F3886" s="20">
        <v>1133836</v>
      </c>
    </row>
    <row r="3887" spans="1:6" ht="16" customHeight="1" x14ac:dyDescent="0.2">
      <c r="A3887">
        <f>IFERROR(VLOOKUP(C3887,'GASB Match'!$D$2:$F$6042,3,FALSE),"")</f>
        <v>3400024</v>
      </c>
      <c r="B3887" s="17">
        <v>2018</v>
      </c>
      <c r="C3887" s="17" t="s">
        <v>946</v>
      </c>
      <c r="D3887" s="17">
        <v>6006</v>
      </c>
      <c r="E3887" s="17" t="s">
        <v>1452</v>
      </c>
      <c r="F3887" s="20">
        <v>2903363</v>
      </c>
    </row>
    <row r="3888" spans="1:6" ht="16" customHeight="1" x14ac:dyDescent="0.2">
      <c r="A3888">
        <f>IFERROR(VLOOKUP(C3888,'GASB Match'!$D$2:$F$6042,3,FALSE),"")</f>
        <v>3400024</v>
      </c>
      <c r="B3888" s="17">
        <v>2019</v>
      </c>
      <c r="C3888" s="17" t="s">
        <v>946</v>
      </c>
      <c r="D3888" s="17">
        <v>6006</v>
      </c>
      <c r="E3888" s="17" t="s">
        <v>1452</v>
      </c>
      <c r="F3888" s="20">
        <v>3771876</v>
      </c>
    </row>
    <row r="3889" spans="1:6" ht="16" customHeight="1" x14ac:dyDescent="0.2">
      <c r="A3889">
        <f>IFERROR(VLOOKUP(C3889,'GASB Match'!$D$2:$F$6042,3,FALSE),"")</f>
        <v>3400024</v>
      </c>
      <c r="B3889" s="17">
        <v>2020</v>
      </c>
      <c r="C3889" s="21" t="s">
        <v>946</v>
      </c>
      <c r="D3889" s="17">
        <v>6006</v>
      </c>
      <c r="E3889" s="17" t="s">
        <v>1452</v>
      </c>
      <c r="F3889" s="23">
        <v>4797067</v>
      </c>
    </row>
    <row r="3890" spans="1:6" ht="16" customHeight="1" x14ac:dyDescent="0.2">
      <c r="A3890">
        <f>IFERROR(VLOOKUP(C3890,'GASB Match'!$D$2:$F$6042,3,FALSE),"")</f>
        <v>3400024</v>
      </c>
      <c r="B3890" s="17">
        <v>2021</v>
      </c>
      <c r="C3890" s="25" t="s">
        <v>946</v>
      </c>
      <c r="D3890" s="17">
        <v>6006</v>
      </c>
      <c r="E3890" s="17" t="s">
        <v>1452</v>
      </c>
      <c r="F3890" s="23">
        <v>5526863</v>
      </c>
    </row>
    <row r="3891" spans="1:6" ht="16" customHeight="1" x14ac:dyDescent="0.2">
      <c r="A3891">
        <f>IFERROR(VLOOKUP(C3891,'GASB Match'!$D$2:$F$6042,3,FALSE),"")</f>
        <v>3400024</v>
      </c>
      <c r="B3891" s="17">
        <v>2022</v>
      </c>
      <c r="C3891" s="21" t="s">
        <v>946</v>
      </c>
      <c r="D3891" s="17">
        <v>6006</v>
      </c>
      <c r="E3891" s="17" t="s">
        <v>1452</v>
      </c>
      <c r="F3891" s="23">
        <v>6979293</v>
      </c>
    </row>
    <row r="3892" spans="1:6" ht="16" customHeight="1" x14ac:dyDescent="0.2">
      <c r="A3892">
        <f>IFERROR(VLOOKUP(C3892,'GASB Match'!$D$2:$F$6042,3,FALSE),"")</f>
        <v>3400024</v>
      </c>
      <c r="B3892" s="17">
        <v>2023</v>
      </c>
      <c r="C3892" s="21" t="s">
        <v>946</v>
      </c>
      <c r="D3892" s="17">
        <v>6006</v>
      </c>
      <c r="E3892" s="17" t="s">
        <v>1452</v>
      </c>
      <c r="F3892" s="23">
        <v>6741094</v>
      </c>
    </row>
    <row r="3893" spans="1:6" ht="16" customHeight="1" x14ac:dyDescent="0.2">
      <c r="A3893">
        <f>IFERROR(VLOOKUP(C3893,'GASB Match'!$D$2:$F$6042,3,FALSE),"")</f>
        <v>3400024</v>
      </c>
      <c r="B3893" s="28">
        <v>2017</v>
      </c>
      <c r="C3893" s="29" t="s">
        <v>257</v>
      </c>
      <c r="D3893" s="17">
        <v>6006</v>
      </c>
      <c r="E3893" s="17" t="s">
        <v>1411</v>
      </c>
      <c r="F3893" s="29">
        <v>2012517</v>
      </c>
    </row>
    <row r="3894" spans="1:6" ht="16" customHeight="1" x14ac:dyDescent="0.2">
      <c r="A3894">
        <f>IFERROR(VLOOKUP(C3894,'GASB Match'!$D$2:$F$6042,3,FALSE),"")</f>
        <v>3409550</v>
      </c>
      <c r="B3894" s="17">
        <v>2015</v>
      </c>
      <c r="C3894" s="17" t="s">
        <v>651</v>
      </c>
      <c r="D3894" s="17">
        <v>901</v>
      </c>
      <c r="E3894" s="17" t="s">
        <v>1429</v>
      </c>
      <c r="F3894" s="20">
        <v>391272</v>
      </c>
    </row>
    <row r="3895" spans="1:6" ht="16" customHeight="1" x14ac:dyDescent="0.2">
      <c r="A3895">
        <f>IFERROR(VLOOKUP(C3895,'GASB Match'!$D$2:$F$6042,3,FALSE),"")</f>
        <v>3409550</v>
      </c>
      <c r="B3895" s="17">
        <v>2016</v>
      </c>
      <c r="C3895" s="17" t="s">
        <v>651</v>
      </c>
      <c r="D3895" s="17">
        <v>901</v>
      </c>
      <c r="E3895" s="17" t="s">
        <v>1429</v>
      </c>
      <c r="F3895" s="20">
        <v>582769</v>
      </c>
    </row>
    <row r="3896" spans="1:6" ht="16" customHeight="1" x14ac:dyDescent="0.2">
      <c r="A3896">
        <f>IFERROR(VLOOKUP(C3896,'GASB Match'!$D$2:$F$6042,3,FALSE),"")</f>
        <v>3409550</v>
      </c>
      <c r="B3896" s="17">
        <v>2018</v>
      </c>
      <c r="C3896" s="17" t="s">
        <v>1344</v>
      </c>
      <c r="D3896" s="17">
        <v>901</v>
      </c>
      <c r="E3896" s="17" t="s">
        <v>1472</v>
      </c>
      <c r="F3896" s="20">
        <v>974199</v>
      </c>
    </row>
    <row r="3897" spans="1:6" ht="16" customHeight="1" x14ac:dyDescent="0.2">
      <c r="A3897">
        <f>IFERROR(VLOOKUP(C3897,'GASB Match'!$D$2:$F$6042,3,FALSE),"")</f>
        <v>3409550</v>
      </c>
      <c r="B3897" s="17">
        <v>2019</v>
      </c>
      <c r="C3897" s="17" t="s">
        <v>1344</v>
      </c>
      <c r="D3897" s="17">
        <v>901</v>
      </c>
      <c r="E3897" s="17" t="s">
        <v>1472</v>
      </c>
      <c r="F3897" s="20">
        <v>1282568</v>
      </c>
    </row>
    <row r="3898" spans="1:6" ht="16" customHeight="1" x14ac:dyDescent="0.2">
      <c r="A3898">
        <f>IFERROR(VLOOKUP(C3898,'GASB Match'!$D$2:$F$6042,3,FALSE),"")</f>
        <v>3409550</v>
      </c>
      <c r="B3898" s="17">
        <v>2020</v>
      </c>
      <c r="C3898" s="21" t="s">
        <v>1344</v>
      </c>
      <c r="D3898" s="17">
        <v>901</v>
      </c>
      <c r="E3898" s="17" t="s">
        <v>1472</v>
      </c>
      <c r="F3898" s="23">
        <v>1440905</v>
      </c>
    </row>
    <row r="3899" spans="1:6" ht="16" customHeight="1" x14ac:dyDescent="0.2">
      <c r="A3899">
        <f>IFERROR(VLOOKUP(C3899,'GASB Match'!$D$2:$F$6042,3,FALSE),"")</f>
        <v>3409550</v>
      </c>
      <c r="B3899" s="17">
        <v>2021</v>
      </c>
      <c r="C3899" s="25" t="s">
        <v>1344</v>
      </c>
      <c r="D3899" s="17">
        <v>901</v>
      </c>
      <c r="E3899" s="17" t="s">
        <v>1472</v>
      </c>
      <c r="F3899" s="23">
        <v>1847950</v>
      </c>
    </row>
    <row r="3900" spans="1:6" ht="16" customHeight="1" x14ac:dyDescent="0.2">
      <c r="A3900">
        <f>IFERROR(VLOOKUP(C3900,'GASB Match'!$D$2:$F$6042,3,FALSE),"")</f>
        <v>3409550</v>
      </c>
      <c r="B3900" s="17">
        <v>2022</v>
      </c>
      <c r="C3900" s="21" t="s">
        <v>1344</v>
      </c>
      <c r="D3900" s="17">
        <v>901</v>
      </c>
      <c r="E3900" s="17" t="s">
        <v>1472</v>
      </c>
      <c r="F3900" s="23">
        <v>2524526</v>
      </c>
    </row>
    <row r="3901" spans="1:6" ht="16" customHeight="1" x14ac:dyDescent="0.2">
      <c r="A3901">
        <f>IFERROR(VLOOKUP(C3901,'GASB Match'!$D$2:$F$6042,3,FALSE),"")</f>
        <v>3409550</v>
      </c>
      <c r="B3901" s="17">
        <v>2023</v>
      </c>
      <c r="C3901" s="21" t="s">
        <v>1344</v>
      </c>
      <c r="D3901" s="17">
        <v>901</v>
      </c>
      <c r="E3901" s="17" t="s">
        <v>1472</v>
      </c>
      <c r="F3901" s="23">
        <v>2150537</v>
      </c>
    </row>
    <row r="3902" spans="1:6" ht="16" customHeight="1" x14ac:dyDescent="0.2">
      <c r="A3902">
        <f>IFERROR(VLOOKUP(C3902,'GASB Match'!$D$2:$F$6042,3,FALSE),"")</f>
        <v>3409550</v>
      </c>
      <c r="B3902" s="28">
        <v>2017</v>
      </c>
      <c r="C3902" s="29" t="s">
        <v>651</v>
      </c>
      <c r="D3902" s="17">
        <v>901</v>
      </c>
      <c r="E3902" s="17" t="s">
        <v>1429</v>
      </c>
      <c r="F3902" s="29">
        <v>813140</v>
      </c>
    </row>
    <row r="3903" spans="1:6" ht="16" customHeight="1" x14ac:dyDescent="0.2">
      <c r="A3903">
        <f>IFERROR(VLOOKUP(C3903,'GASB Match'!$D$2:$F$6042,3,FALSE),"")</f>
        <v>3411670</v>
      </c>
      <c r="B3903" s="17">
        <v>2015</v>
      </c>
      <c r="C3903" s="17" t="s">
        <v>204</v>
      </c>
      <c r="D3903" s="17">
        <v>5016</v>
      </c>
      <c r="E3903" s="17" t="s">
        <v>1407</v>
      </c>
      <c r="F3903" s="20">
        <v>169273</v>
      </c>
    </row>
    <row r="3904" spans="1:6" ht="16" customHeight="1" x14ac:dyDescent="0.2">
      <c r="A3904">
        <f>IFERROR(VLOOKUP(C3904,'GASB Match'!$D$2:$F$6042,3,FALSE),"")</f>
        <v>3411670</v>
      </c>
      <c r="B3904" s="17">
        <v>2016</v>
      </c>
      <c r="C3904" s="17" t="s">
        <v>204</v>
      </c>
      <c r="D3904" s="17">
        <v>5016</v>
      </c>
      <c r="E3904" s="17" t="s">
        <v>1407</v>
      </c>
      <c r="F3904" s="20">
        <v>263005</v>
      </c>
    </row>
    <row r="3905" spans="1:6" ht="16" customHeight="1" x14ac:dyDescent="0.2">
      <c r="A3905">
        <f>IFERROR(VLOOKUP(C3905,'GASB Match'!$D$2:$F$6042,3,FALSE),"")</f>
        <v>3411670</v>
      </c>
      <c r="B3905" s="17">
        <v>2018</v>
      </c>
      <c r="C3905" s="17" t="s">
        <v>888</v>
      </c>
      <c r="D3905" s="17">
        <v>5016</v>
      </c>
      <c r="E3905" s="17" t="s">
        <v>1448</v>
      </c>
      <c r="F3905" s="20">
        <v>511816</v>
      </c>
    </row>
    <row r="3906" spans="1:6" ht="16" customHeight="1" x14ac:dyDescent="0.2">
      <c r="A3906">
        <f>IFERROR(VLOOKUP(C3906,'GASB Match'!$D$2:$F$6042,3,FALSE),"")</f>
        <v>3411670</v>
      </c>
      <c r="B3906" s="17">
        <v>2019</v>
      </c>
      <c r="C3906" s="17" t="s">
        <v>888</v>
      </c>
      <c r="D3906" s="17">
        <v>5016</v>
      </c>
      <c r="E3906" s="17" t="s">
        <v>1448</v>
      </c>
      <c r="F3906" s="20">
        <v>685941</v>
      </c>
    </row>
    <row r="3907" spans="1:6" ht="16" customHeight="1" x14ac:dyDescent="0.2">
      <c r="A3907">
        <f>IFERROR(VLOOKUP(C3907,'GASB Match'!$D$2:$F$6042,3,FALSE),"")</f>
        <v>3411670</v>
      </c>
      <c r="B3907" s="17">
        <v>2020</v>
      </c>
      <c r="C3907" s="21" t="s">
        <v>888</v>
      </c>
      <c r="D3907" s="17">
        <v>5016</v>
      </c>
      <c r="E3907" s="17" t="s">
        <v>1448</v>
      </c>
      <c r="F3907" s="23">
        <v>731456</v>
      </c>
    </row>
    <row r="3908" spans="1:6" ht="16" customHeight="1" x14ac:dyDescent="0.2">
      <c r="A3908">
        <f>IFERROR(VLOOKUP(C3908,'GASB Match'!$D$2:$F$6042,3,FALSE),"")</f>
        <v>3411670</v>
      </c>
      <c r="B3908" s="17">
        <v>2021</v>
      </c>
      <c r="C3908" s="25" t="s">
        <v>888</v>
      </c>
      <c r="D3908" s="17">
        <v>5016</v>
      </c>
      <c r="E3908" s="17" t="s">
        <v>1448</v>
      </c>
      <c r="F3908" s="23">
        <v>927023</v>
      </c>
    </row>
    <row r="3909" spans="1:6" ht="16" customHeight="1" x14ac:dyDescent="0.2">
      <c r="A3909">
        <f>IFERROR(VLOOKUP(C3909,'GASB Match'!$D$2:$F$6042,3,FALSE),"")</f>
        <v>3411670</v>
      </c>
      <c r="B3909" s="17">
        <v>2022</v>
      </c>
      <c r="C3909" s="21" t="s">
        <v>888</v>
      </c>
      <c r="D3909" s="17">
        <v>5016</v>
      </c>
      <c r="E3909" s="17" t="s">
        <v>1448</v>
      </c>
      <c r="F3909" s="23">
        <v>1239400</v>
      </c>
    </row>
    <row r="3910" spans="1:6" ht="16" customHeight="1" x14ac:dyDescent="0.2">
      <c r="A3910">
        <f>IFERROR(VLOOKUP(C3910,'GASB Match'!$D$2:$F$6042,3,FALSE),"")</f>
        <v>3411670</v>
      </c>
      <c r="B3910" s="17">
        <v>2023</v>
      </c>
      <c r="C3910" s="21" t="s">
        <v>888</v>
      </c>
      <c r="D3910" s="17">
        <v>5016</v>
      </c>
      <c r="E3910" s="17" t="s">
        <v>1448</v>
      </c>
      <c r="F3910" s="23">
        <v>1297277</v>
      </c>
    </row>
    <row r="3911" spans="1:6" ht="16" customHeight="1" x14ac:dyDescent="0.2">
      <c r="A3911">
        <f>IFERROR(VLOOKUP(C3911,'GASB Match'!$D$2:$F$6042,3,FALSE),"")</f>
        <v>3411670</v>
      </c>
      <c r="B3911" s="28">
        <v>2017</v>
      </c>
      <c r="C3911" s="29" t="s">
        <v>204</v>
      </c>
      <c r="D3911" s="17">
        <v>5016</v>
      </c>
      <c r="E3911" s="17" t="s">
        <v>1407</v>
      </c>
      <c r="F3911" s="29">
        <v>389837</v>
      </c>
    </row>
    <row r="3912" spans="1:6" ht="16" customHeight="1" x14ac:dyDescent="0.2">
      <c r="A3912">
        <f>IFERROR(VLOOKUP(C3912,'GASB Match'!$D$2:$F$6042,3,FALSE),"")</f>
        <v>3411700</v>
      </c>
      <c r="B3912" s="17">
        <v>2015</v>
      </c>
      <c r="C3912" s="17" t="s">
        <v>133</v>
      </c>
      <c r="D3912" s="17">
        <v>3049</v>
      </c>
      <c r="E3912" s="17" t="s">
        <v>1404</v>
      </c>
      <c r="F3912" s="20">
        <v>688795</v>
      </c>
    </row>
    <row r="3913" spans="1:6" ht="16" customHeight="1" x14ac:dyDescent="0.2">
      <c r="A3913">
        <f>IFERROR(VLOOKUP(C3913,'GASB Match'!$D$2:$F$6042,3,FALSE),"")</f>
        <v>3411700</v>
      </c>
      <c r="B3913" s="17">
        <v>2016</v>
      </c>
      <c r="C3913" s="17" t="s">
        <v>133</v>
      </c>
      <c r="D3913" s="17">
        <v>3049</v>
      </c>
      <c r="E3913" s="17" t="s">
        <v>1404</v>
      </c>
      <c r="F3913" s="20">
        <v>988119</v>
      </c>
    </row>
    <row r="3914" spans="1:6" ht="16" customHeight="1" x14ac:dyDescent="0.2">
      <c r="A3914">
        <f>IFERROR(VLOOKUP(C3914,'GASB Match'!$D$2:$F$6042,3,FALSE),"")</f>
        <v>3411700</v>
      </c>
      <c r="B3914" s="17">
        <v>2018</v>
      </c>
      <c r="C3914" s="17" t="s">
        <v>814</v>
      </c>
      <c r="D3914" s="17">
        <v>3049</v>
      </c>
      <c r="E3914" s="17" t="s">
        <v>1445</v>
      </c>
      <c r="F3914" s="20">
        <v>1898770</v>
      </c>
    </row>
    <row r="3915" spans="1:6" ht="16" customHeight="1" x14ac:dyDescent="0.2">
      <c r="A3915">
        <f>IFERROR(VLOOKUP(C3915,'GASB Match'!$D$2:$F$6042,3,FALSE),"")</f>
        <v>3411700</v>
      </c>
      <c r="B3915" s="17">
        <v>2019</v>
      </c>
      <c r="C3915" s="17" t="s">
        <v>814</v>
      </c>
      <c r="D3915" s="17">
        <v>3049</v>
      </c>
      <c r="E3915" s="17" t="s">
        <v>1445</v>
      </c>
      <c r="F3915" s="20">
        <v>2529336</v>
      </c>
    </row>
    <row r="3916" spans="1:6" ht="16" customHeight="1" x14ac:dyDescent="0.2">
      <c r="A3916">
        <f>IFERROR(VLOOKUP(C3916,'GASB Match'!$D$2:$F$6042,3,FALSE),"")</f>
        <v>3411700</v>
      </c>
      <c r="B3916" s="17">
        <v>2020</v>
      </c>
      <c r="C3916" s="21" t="s">
        <v>814</v>
      </c>
      <c r="D3916" s="17">
        <v>3049</v>
      </c>
      <c r="E3916" s="17" t="s">
        <v>1445</v>
      </c>
      <c r="F3916" s="23">
        <v>2926479</v>
      </c>
    </row>
    <row r="3917" spans="1:6" ht="16" customHeight="1" x14ac:dyDescent="0.2">
      <c r="A3917">
        <f>IFERROR(VLOOKUP(C3917,'GASB Match'!$D$2:$F$6042,3,FALSE),"")</f>
        <v>3411700</v>
      </c>
      <c r="B3917" s="17">
        <v>2021</v>
      </c>
      <c r="C3917" s="25" t="s">
        <v>814</v>
      </c>
      <c r="D3917" s="17">
        <v>3049</v>
      </c>
      <c r="E3917" s="17" t="s">
        <v>1445</v>
      </c>
      <c r="F3917" s="23">
        <v>3883309</v>
      </c>
    </row>
    <row r="3918" spans="1:6" ht="16" customHeight="1" x14ac:dyDescent="0.2">
      <c r="A3918">
        <f>IFERROR(VLOOKUP(C3918,'GASB Match'!$D$2:$F$6042,3,FALSE),"")</f>
        <v>3411700</v>
      </c>
      <c r="B3918" s="17">
        <v>2022</v>
      </c>
      <c r="C3918" s="21" t="s">
        <v>814</v>
      </c>
      <c r="D3918" s="17">
        <v>3049</v>
      </c>
      <c r="E3918" s="17" t="s">
        <v>1445</v>
      </c>
      <c r="F3918" s="23">
        <v>5685033</v>
      </c>
    </row>
    <row r="3919" spans="1:6" ht="16" customHeight="1" x14ac:dyDescent="0.2">
      <c r="A3919">
        <f>IFERROR(VLOOKUP(C3919,'GASB Match'!$D$2:$F$6042,3,FALSE),"")</f>
        <v>3411700</v>
      </c>
      <c r="B3919" s="17">
        <v>2023</v>
      </c>
      <c r="C3919" s="21" t="s">
        <v>814</v>
      </c>
      <c r="D3919" s="17">
        <v>3049</v>
      </c>
      <c r="E3919" s="17" t="s">
        <v>1445</v>
      </c>
      <c r="F3919" s="23">
        <v>5689579</v>
      </c>
    </row>
    <row r="3920" spans="1:6" ht="16" customHeight="1" x14ac:dyDescent="0.2">
      <c r="A3920">
        <f>IFERROR(VLOOKUP(C3920,'GASB Match'!$D$2:$F$6042,3,FALSE),"")</f>
        <v>3411700</v>
      </c>
      <c r="B3920" s="28">
        <v>2017</v>
      </c>
      <c r="C3920" s="29" t="s">
        <v>133</v>
      </c>
      <c r="D3920" s="17">
        <v>3049</v>
      </c>
      <c r="E3920" s="17" t="s">
        <v>1404</v>
      </c>
      <c r="F3920" s="29">
        <v>1421132</v>
      </c>
    </row>
    <row r="3921" spans="1:6" ht="16" customHeight="1" x14ac:dyDescent="0.2">
      <c r="A3921">
        <f>IFERROR(VLOOKUP(C3921,'GASB Match'!$D$2:$F$6042,3,FALSE),"")</f>
        <v>3411730</v>
      </c>
      <c r="B3921" s="17">
        <v>2015</v>
      </c>
      <c r="C3921" s="17" t="s">
        <v>71</v>
      </c>
      <c r="D3921" s="17">
        <v>2096</v>
      </c>
      <c r="E3921" s="17" t="s">
        <v>1402</v>
      </c>
      <c r="F3921" s="20">
        <v>590738</v>
      </c>
    </row>
    <row r="3922" spans="1:6" ht="16" customHeight="1" x14ac:dyDescent="0.2">
      <c r="A3922">
        <f>IFERROR(VLOOKUP(C3922,'GASB Match'!$D$2:$F$6042,3,FALSE),"")</f>
        <v>3411730</v>
      </c>
      <c r="B3922" s="17">
        <v>2016</v>
      </c>
      <c r="C3922" s="17" t="s">
        <v>71</v>
      </c>
      <c r="D3922" s="17">
        <v>2096</v>
      </c>
      <c r="E3922" s="17" t="s">
        <v>1402</v>
      </c>
      <c r="F3922" s="20">
        <v>920886</v>
      </c>
    </row>
    <row r="3923" spans="1:6" ht="16" customHeight="1" x14ac:dyDescent="0.2">
      <c r="A3923">
        <f>IFERROR(VLOOKUP(C3923,'GASB Match'!$D$2:$F$6042,3,FALSE),"")</f>
        <v>3411730</v>
      </c>
      <c r="B3923" s="17">
        <v>2018</v>
      </c>
      <c r="C3923" s="17" t="s">
        <v>749</v>
      </c>
      <c r="D3923" s="17">
        <v>2096</v>
      </c>
      <c r="E3923" s="17" t="s">
        <v>1443</v>
      </c>
      <c r="F3923" s="20">
        <v>1753420</v>
      </c>
    </row>
    <row r="3924" spans="1:6" ht="16" customHeight="1" x14ac:dyDescent="0.2">
      <c r="A3924">
        <f>IFERROR(VLOOKUP(C3924,'GASB Match'!$D$2:$F$6042,3,FALSE),"")</f>
        <v>3411730</v>
      </c>
      <c r="B3924" s="17">
        <v>2019</v>
      </c>
      <c r="C3924" s="17" t="s">
        <v>749</v>
      </c>
      <c r="D3924" s="17">
        <v>2096</v>
      </c>
      <c r="E3924" s="17" t="s">
        <v>1443</v>
      </c>
      <c r="F3924" s="20">
        <v>2391505</v>
      </c>
    </row>
    <row r="3925" spans="1:6" ht="16" customHeight="1" x14ac:dyDescent="0.2">
      <c r="A3925">
        <f>IFERROR(VLOOKUP(C3925,'GASB Match'!$D$2:$F$6042,3,FALSE),"")</f>
        <v>3411730</v>
      </c>
      <c r="B3925" s="17">
        <v>2020</v>
      </c>
      <c r="C3925" s="21" t="s">
        <v>749</v>
      </c>
      <c r="D3925" s="17">
        <v>2096</v>
      </c>
      <c r="E3925" s="17" t="s">
        <v>1443</v>
      </c>
      <c r="F3925" s="23">
        <v>2713735</v>
      </c>
    </row>
    <row r="3926" spans="1:6" ht="16" customHeight="1" x14ac:dyDescent="0.2">
      <c r="A3926">
        <f>IFERROR(VLOOKUP(C3926,'GASB Match'!$D$2:$F$6042,3,FALSE),"")</f>
        <v>3411730</v>
      </c>
      <c r="B3926" s="17">
        <v>2021</v>
      </c>
      <c r="C3926" s="25" t="s">
        <v>749</v>
      </c>
      <c r="D3926" s="17">
        <v>2096</v>
      </c>
      <c r="E3926" s="17" t="s">
        <v>1443</v>
      </c>
      <c r="F3926" s="23">
        <v>3564502</v>
      </c>
    </row>
    <row r="3927" spans="1:6" ht="16" customHeight="1" x14ac:dyDescent="0.2">
      <c r="A3927">
        <f>IFERROR(VLOOKUP(C3927,'GASB Match'!$D$2:$F$6042,3,FALSE),"")</f>
        <v>3411730</v>
      </c>
      <c r="B3927" s="17">
        <v>2022</v>
      </c>
      <c r="C3927" s="21" t="s">
        <v>749</v>
      </c>
      <c r="D3927" s="17">
        <v>2096</v>
      </c>
      <c r="E3927" s="17" t="s">
        <v>1443</v>
      </c>
      <c r="F3927" s="23">
        <v>4986980</v>
      </c>
    </row>
    <row r="3928" spans="1:6" ht="16" customHeight="1" x14ac:dyDescent="0.2">
      <c r="A3928">
        <f>IFERROR(VLOOKUP(C3928,'GASB Match'!$D$2:$F$6042,3,FALSE),"")</f>
        <v>3411730</v>
      </c>
      <c r="B3928" s="17">
        <v>2023</v>
      </c>
      <c r="C3928" s="21" t="s">
        <v>749</v>
      </c>
      <c r="D3928" s="17">
        <v>2096</v>
      </c>
      <c r="E3928" s="17" t="s">
        <v>1443</v>
      </c>
      <c r="F3928" s="23">
        <v>5046039</v>
      </c>
    </row>
    <row r="3929" spans="1:6" ht="16" customHeight="1" x14ac:dyDescent="0.2">
      <c r="A3929">
        <f>IFERROR(VLOOKUP(C3929,'GASB Match'!$D$2:$F$6042,3,FALSE),"")</f>
        <v>3411730</v>
      </c>
      <c r="B3929" s="28">
        <v>2017</v>
      </c>
      <c r="C3929" s="29" t="s">
        <v>71</v>
      </c>
      <c r="D3929" s="17">
        <v>2096</v>
      </c>
      <c r="E3929" s="17" t="s">
        <v>1402</v>
      </c>
      <c r="F3929" s="29">
        <v>1284911</v>
      </c>
    </row>
    <row r="3930" spans="1:6" ht="16" customHeight="1" x14ac:dyDescent="0.2">
      <c r="A3930">
        <f>IFERROR(VLOOKUP(C3930,'GASB Match'!$D$2:$F$6042,3,FALSE),"")</f>
        <v>3411760</v>
      </c>
      <c r="B3930" s="17">
        <v>2015</v>
      </c>
      <c r="C3930" s="17" t="s">
        <v>72</v>
      </c>
      <c r="D3930" s="17">
        <v>2060</v>
      </c>
      <c r="E3930" s="17" t="s">
        <v>1402</v>
      </c>
      <c r="F3930" s="20">
        <v>1509026</v>
      </c>
    </row>
    <row r="3931" spans="1:6" ht="16" customHeight="1" x14ac:dyDescent="0.2">
      <c r="A3931">
        <f>IFERROR(VLOOKUP(C3931,'GASB Match'!$D$2:$F$6042,3,FALSE),"")</f>
        <v>3411760</v>
      </c>
      <c r="B3931" s="17">
        <v>2016</v>
      </c>
      <c r="C3931" s="17" t="s">
        <v>72</v>
      </c>
      <c r="D3931" s="17">
        <v>2060</v>
      </c>
      <c r="E3931" s="17" t="s">
        <v>1402</v>
      </c>
      <c r="F3931" s="20">
        <v>2327269</v>
      </c>
    </row>
    <row r="3932" spans="1:6" ht="16" customHeight="1" x14ac:dyDescent="0.2">
      <c r="A3932">
        <f>IFERROR(VLOOKUP(C3932,'GASB Match'!$D$2:$F$6042,3,FALSE),"")</f>
        <v>3411760</v>
      </c>
      <c r="B3932" s="17">
        <v>2018</v>
      </c>
      <c r="C3932" s="17" t="s">
        <v>750</v>
      </c>
      <c r="D3932" s="17">
        <v>2060</v>
      </c>
      <c r="E3932" s="17" t="s">
        <v>1443</v>
      </c>
      <c r="F3932" s="20">
        <v>4580222</v>
      </c>
    </row>
    <row r="3933" spans="1:6" ht="16" customHeight="1" x14ac:dyDescent="0.2">
      <c r="A3933">
        <f>IFERROR(VLOOKUP(C3933,'GASB Match'!$D$2:$F$6042,3,FALSE),"")</f>
        <v>3411760</v>
      </c>
      <c r="B3933" s="17">
        <v>2019</v>
      </c>
      <c r="C3933" s="17" t="s">
        <v>750</v>
      </c>
      <c r="D3933" s="17">
        <v>2060</v>
      </c>
      <c r="E3933" s="17" t="s">
        <v>1443</v>
      </c>
      <c r="F3933" s="20">
        <v>6442609</v>
      </c>
    </row>
    <row r="3934" spans="1:6" ht="16" customHeight="1" x14ac:dyDescent="0.2">
      <c r="A3934">
        <f>IFERROR(VLOOKUP(C3934,'GASB Match'!$D$2:$F$6042,3,FALSE),"")</f>
        <v>3411760</v>
      </c>
      <c r="B3934" s="17">
        <v>2020</v>
      </c>
      <c r="C3934" s="21" t="s">
        <v>750</v>
      </c>
      <c r="D3934" s="17">
        <v>2060</v>
      </c>
      <c r="E3934" s="17" t="s">
        <v>1443</v>
      </c>
      <c r="F3934" s="23">
        <v>7244609</v>
      </c>
    </row>
    <row r="3935" spans="1:6" ht="16" customHeight="1" x14ac:dyDescent="0.2">
      <c r="A3935">
        <f>IFERROR(VLOOKUP(C3935,'GASB Match'!$D$2:$F$6042,3,FALSE),"")</f>
        <v>3411760</v>
      </c>
      <c r="B3935" s="17">
        <v>2021</v>
      </c>
      <c r="C3935" s="25" t="s">
        <v>750</v>
      </c>
      <c r="D3935" s="17">
        <v>2060</v>
      </c>
      <c r="E3935" s="17" t="s">
        <v>1443</v>
      </c>
      <c r="F3935" s="23">
        <v>8925432</v>
      </c>
    </row>
    <row r="3936" spans="1:6" ht="16" customHeight="1" x14ac:dyDescent="0.2">
      <c r="A3936">
        <f>IFERROR(VLOOKUP(C3936,'GASB Match'!$D$2:$F$6042,3,FALSE),"")</f>
        <v>3411760</v>
      </c>
      <c r="B3936" s="17">
        <v>2022</v>
      </c>
      <c r="C3936" s="21" t="s">
        <v>750</v>
      </c>
      <c r="D3936" s="17">
        <v>2060</v>
      </c>
      <c r="E3936" s="17" t="s">
        <v>1443</v>
      </c>
      <c r="F3936" s="23">
        <v>13105349</v>
      </c>
    </row>
    <row r="3937" spans="1:6" ht="16" customHeight="1" x14ac:dyDescent="0.2">
      <c r="A3937">
        <f>IFERROR(VLOOKUP(C3937,'GASB Match'!$D$2:$F$6042,3,FALSE),"")</f>
        <v>3411760</v>
      </c>
      <c r="B3937" s="17">
        <v>2023</v>
      </c>
      <c r="C3937" s="21" t="s">
        <v>750</v>
      </c>
      <c r="D3937" s="17">
        <v>2060</v>
      </c>
      <c r="E3937" s="17" t="s">
        <v>1443</v>
      </c>
      <c r="F3937" s="23">
        <v>12966356</v>
      </c>
    </row>
    <row r="3938" spans="1:6" ht="16" customHeight="1" x14ac:dyDescent="0.2">
      <c r="A3938">
        <f>IFERROR(VLOOKUP(C3938,'GASB Match'!$D$2:$F$6042,3,FALSE),"")</f>
        <v>3411760</v>
      </c>
      <c r="B3938" s="28">
        <v>2017</v>
      </c>
      <c r="C3938" s="29" t="s">
        <v>72</v>
      </c>
      <c r="D3938" s="17">
        <v>2060</v>
      </c>
      <c r="E3938" s="17" t="s">
        <v>1402</v>
      </c>
      <c r="F3938" s="29">
        <v>3359387</v>
      </c>
    </row>
    <row r="3939" spans="1:6" ht="16" customHeight="1" x14ac:dyDescent="0.2">
      <c r="A3939">
        <f>IFERROR(VLOOKUP(C3939,'GASB Match'!$D$2:$F$6042,3,FALSE),"")</f>
        <v>3411790</v>
      </c>
      <c r="B3939" s="17">
        <v>2015</v>
      </c>
      <c r="C3939" s="17" t="s">
        <v>20</v>
      </c>
      <c r="D3939" s="17">
        <v>1089</v>
      </c>
      <c r="E3939" s="17" t="s">
        <v>1400</v>
      </c>
      <c r="F3939" s="20">
        <v>337136</v>
      </c>
    </row>
    <row r="3940" spans="1:6" ht="16" customHeight="1" x14ac:dyDescent="0.2">
      <c r="A3940">
        <f>IFERROR(VLOOKUP(C3940,'GASB Match'!$D$2:$F$6042,3,FALSE),"")</f>
        <v>3411790</v>
      </c>
      <c r="B3940" s="17">
        <v>2016</v>
      </c>
      <c r="C3940" s="17" t="s">
        <v>20</v>
      </c>
      <c r="D3940" s="17">
        <v>1089</v>
      </c>
      <c r="E3940" s="17" t="s">
        <v>1400</v>
      </c>
      <c r="F3940" s="20">
        <v>473609</v>
      </c>
    </row>
    <row r="3941" spans="1:6" ht="16" customHeight="1" x14ac:dyDescent="0.2">
      <c r="A3941">
        <f>IFERROR(VLOOKUP(C3941,'GASB Match'!$D$2:$F$6042,3,FALSE),"")</f>
        <v>3411790</v>
      </c>
      <c r="B3941" s="17">
        <v>2018</v>
      </c>
      <c r="C3941" s="17" t="s">
        <v>699</v>
      </c>
      <c r="D3941" s="17">
        <v>1089</v>
      </c>
      <c r="E3941" s="17" t="s">
        <v>1441</v>
      </c>
      <c r="F3941" s="20">
        <v>964150</v>
      </c>
    </row>
    <row r="3942" spans="1:6" ht="16" customHeight="1" x14ac:dyDescent="0.2">
      <c r="A3942">
        <f>IFERROR(VLOOKUP(C3942,'GASB Match'!$D$2:$F$6042,3,FALSE),"")</f>
        <v>3411790</v>
      </c>
      <c r="B3942" s="17">
        <v>2019</v>
      </c>
      <c r="C3942" s="17" t="s">
        <v>699</v>
      </c>
      <c r="D3942" s="17">
        <v>1089</v>
      </c>
      <c r="E3942" s="17" t="s">
        <v>1441</v>
      </c>
      <c r="F3942" s="20">
        <v>1239518</v>
      </c>
    </row>
    <row r="3943" spans="1:6" ht="16" customHeight="1" x14ac:dyDescent="0.2">
      <c r="A3943">
        <f>IFERROR(VLOOKUP(C3943,'GASB Match'!$D$2:$F$6042,3,FALSE),"")</f>
        <v>3411790</v>
      </c>
      <c r="B3943" s="17">
        <v>2020</v>
      </c>
      <c r="C3943" s="21" t="s">
        <v>699</v>
      </c>
      <c r="D3943" s="17">
        <v>1089</v>
      </c>
      <c r="E3943" s="17" t="s">
        <v>1441</v>
      </c>
      <c r="F3943" s="23">
        <v>1479095</v>
      </c>
    </row>
    <row r="3944" spans="1:6" ht="16" customHeight="1" x14ac:dyDescent="0.2">
      <c r="A3944">
        <f>IFERROR(VLOOKUP(C3944,'GASB Match'!$D$2:$F$6042,3,FALSE),"")</f>
        <v>3411790</v>
      </c>
      <c r="B3944" s="17">
        <v>2021</v>
      </c>
      <c r="C3944" s="25" t="s">
        <v>699</v>
      </c>
      <c r="D3944" s="17">
        <v>1089</v>
      </c>
      <c r="E3944" s="17" t="s">
        <v>1441</v>
      </c>
      <c r="F3944" s="23">
        <v>1963308</v>
      </c>
    </row>
    <row r="3945" spans="1:6" ht="16" customHeight="1" x14ac:dyDescent="0.2">
      <c r="A3945">
        <f>IFERROR(VLOOKUP(C3945,'GASB Match'!$D$2:$F$6042,3,FALSE),"")</f>
        <v>3411790</v>
      </c>
      <c r="B3945" s="17">
        <v>2022</v>
      </c>
      <c r="C3945" s="21" t="s">
        <v>699</v>
      </c>
      <c r="D3945" s="17">
        <v>1089</v>
      </c>
      <c r="E3945" s="17" t="s">
        <v>1441</v>
      </c>
      <c r="F3945" s="23">
        <v>2785886</v>
      </c>
    </row>
    <row r="3946" spans="1:6" ht="16" customHeight="1" x14ac:dyDescent="0.2">
      <c r="A3946">
        <f>IFERROR(VLOOKUP(C3946,'GASB Match'!$D$2:$F$6042,3,FALSE),"")</f>
        <v>3411790</v>
      </c>
      <c r="B3946" s="17">
        <v>2023</v>
      </c>
      <c r="C3946" s="21" t="s">
        <v>699</v>
      </c>
      <c r="D3946" s="17">
        <v>1089</v>
      </c>
      <c r="E3946" s="17" t="s">
        <v>1441</v>
      </c>
      <c r="F3946" s="23">
        <v>2744107</v>
      </c>
    </row>
    <row r="3947" spans="1:6" ht="16" customHeight="1" x14ac:dyDescent="0.2">
      <c r="A3947">
        <f>IFERROR(VLOOKUP(C3947,'GASB Match'!$D$2:$F$6042,3,FALSE),"")</f>
        <v>3411790</v>
      </c>
      <c r="B3947" s="28">
        <v>2017</v>
      </c>
      <c r="C3947" s="29" t="s">
        <v>20</v>
      </c>
      <c r="D3947" s="17">
        <v>1089</v>
      </c>
      <c r="E3947" s="17" t="s">
        <v>1400</v>
      </c>
      <c r="F3947" s="29">
        <v>685310</v>
      </c>
    </row>
    <row r="3948" spans="1:6" ht="16" customHeight="1" x14ac:dyDescent="0.2">
      <c r="A3948">
        <f>IFERROR(VLOOKUP(C3948,'GASB Match'!$D$2:$F$6042,3,FALSE),"")</f>
        <v>3411820</v>
      </c>
      <c r="B3948" s="17">
        <v>2015</v>
      </c>
      <c r="C3948" s="17" t="s">
        <v>73</v>
      </c>
      <c r="D3948" s="17">
        <v>2065</v>
      </c>
      <c r="E3948" s="17" t="s">
        <v>1402</v>
      </c>
      <c r="F3948" s="20">
        <v>208284</v>
      </c>
    </row>
    <row r="3949" spans="1:6" ht="16" customHeight="1" x14ac:dyDescent="0.2">
      <c r="A3949">
        <f>IFERROR(VLOOKUP(C3949,'GASB Match'!$D$2:$F$6042,3,FALSE),"")</f>
        <v>3411820</v>
      </c>
      <c r="B3949" s="17">
        <v>2016</v>
      </c>
      <c r="C3949" s="17" t="s">
        <v>73</v>
      </c>
      <c r="D3949" s="17">
        <v>2065</v>
      </c>
      <c r="E3949" s="17" t="s">
        <v>1402</v>
      </c>
      <c r="F3949" s="20">
        <v>312254</v>
      </c>
    </row>
    <row r="3950" spans="1:6" ht="16" customHeight="1" x14ac:dyDescent="0.2">
      <c r="A3950">
        <f>IFERROR(VLOOKUP(C3950,'GASB Match'!$D$2:$F$6042,3,FALSE),"")</f>
        <v>3411820</v>
      </c>
      <c r="B3950" s="17">
        <v>2018</v>
      </c>
      <c r="C3950" s="17" t="s">
        <v>751</v>
      </c>
      <c r="D3950" s="17">
        <v>2065</v>
      </c>
      <c r="E3950" s="17" t="s">
        <v>1443</v>
      </c>
      <c r="F3950" s="20">
        <v>603479</v>
      </c>
    </row>
    <row r="3951" spans="1:6" ht="16" customHeight="1" x14ac:dyDescent="0.2">
      <c r="A3951">
        <f>IFERROR(VLOOKUP(C3951,'GASB Match'!$D$2:$F$6042,3,FALSE),"")</f>
        <v>3411820</v>
      </c>
      <c r="B3951" s="17">
        <v>2019</v>
      </c>
      <c r="C3951" s="17" t="s">
        <v>751</v>
      </c>
      <c r="D3951" s="17">
        <v>2065</v>
      </c>
      <c r="E3951" s="17" t="s">
        <v>1443</v>
      </c>
      <c r="F3951" s="20">
        <v>795969</v>
      </c>
    </row>
    <row r="3952" spans="1:6" ht="16" customHeight="1" x14ac:dyDescent="0.2">
      <c r="A3952">
        <f>IFERROR(VLOOKUP(C3952,'GASB Match'!$D$2:$F$6042,3,FALSE),"")</f>
        <v>3411820</v>
      </c>
      <c r="B3952" s="17">
        <v>2020</v>
      </c>
      <c r="C3952" s="21" t="s">
        <v>751</v>
      </c>
      <c r="D3952" s="17">
        <v>2065</v>
      </c>
      <c r="E3952" s="17" t="s">
        <v>1443</v>
      </c>
      <c r="F3952" s="23">
        <v>933918</v>
      </c>
    </row>
    <row r="3953" spans="1:6" ht="16" customHeight="1" x14ac:dyDescent="0.2">
      <c r="A3953">
        <f>IFERROR(VLOOKUP(C3953,'GASB Match'!$D$2:$F$6042,3,FALSE),"")</f>
        <v>3411820</v>
      </c>
      <c r="B3953" s="17">
        <v>2021</v>
      </c>
      <c r="C3953" s="25" t="s">
        <v>751</v>
      </c>
      <c r="D3953" s="17">
        <v>2065</v>
      </c>
      <c r="E3953" s="17" t="s">
        <v>1443</v>
      </c>
      <c r="F3953" s="23">
        <v>1163808</v>
      </c>
    </row>
    <row r="3954" spans="1:6" ht="16" customHeight="1" x14ac:dyDescent="0.2">
      <c r="A3954">
        <f>IFERROR(VLOOKUP(C3954,'GASB Match'!$D$2:$F$6042,3,FALSE),"")</f>
        <v>3411820</v>
      </c>
      <c r="B3954" s="17">
        <v>2022</v>
      </c>
      <c r="C3954" s="21" t="s">
        <v>751</v>
      </c>
      <c r="D3954" s="17">
        <v>2065</v>
      </c>
      <c r="E3954" s="17" t="s">
        <v>1443</v>
      </c>
      <c r="F3954" s="23">
        <v>1710802</v>
      </c>
    </row>
    <row r="3955" spans="1:6" ht="16" customHeight="1" x14ac:dyDescent="0.2">
      <c r="A3955">
        <f>IFERROR(VLOOKUP(C3955,'GASB Match'!$D$2:$F$6042,3,FALSE),"")</f>
        <v>3411820</v>
      </c>
      <c r="B3955" s="17">
        <v>2023</v>
      </c>
      <c r="C3955" s="21" t="s">
        <v>751</v>
      </c>
      <c r="D3955" s="17">
        <v>2065</v>
      </c>
      <c r="E3955" s="17" t="s">
        <v>1443</v>
      </c>
      <c r="F3955" s="23">
        <v>1790801</v>
      </c>
    </row>
    <row r="3956" spans="1:6" ht="16" customHeight="1" x14ac:dyDescent="0.2">
      <c r="A3956">
        <f>IFERROR(VLOOKUP(C3956,'GASB Match'!$D$2:$F$6042,3,FALSE),"")</f>
        <v>3411820</v>
      </c>
      <c r="B3956" s="28">
        <v>2017</v>
      </c>
      <c r="C3956" s="29" t="s">
        <v>73</v>
      </c>
      <c r="D3956" s="17">
        <v>2065</v>
      </c>
      <c r="E3956" s="17" t="s">
        <v>1402</v>
      </c>
      <c r="F3956" s="29">
        <v>432459</v>
      </c>
    </row>
    <row r="3957" spans="1:6" ht="16" customHeight="1" x14ac:dyDescent="0.2">
      <c r="A3957">
        <f>IFERROR(VLOOKUP(C3957,'GASB Match'!$D$2:$F$6042,3,FALSE),"")</f>
        <v>3411850</v>
      </c>
      <c r="B3957" s="17">
        <v>2015</v>
      </c>
      <c r="C3957" s="17" t="s">
        <v>74</v>
      </c>
      <c r="D3957" s="17">
        <v>2064</v>
      </c>
      <c r="E3957" s="17" t="s">
        <v>1402</v>
      </c>
      <c r="F3957" s="20">
        <v>207545</v>
      </c>
    </row>
    <row r="3958" spans="1:6" ht="16" customHeight="1" x14ac:dyDescent="0.2">
      <c r="A3958">
        <f>IFERROR(VLOOKUP(C3958,'GASB Match'!$D$2:$F$6042,3,FALSE),"")</f>
        <v>3411850</v>
      </c>
      <c r="B3958" s="17">
        <v>2016</v>
      </c>
      <c r="C3958" s="17" t="s">
        <v>74</v>
      </c>
      <c r="D3958" s="17">
        <v>2064</v>
      </c>
      <c r="E3958" s="17" t="s">
        <v>1402</v>
      </c>
      <c r="F3958" s="20">
        <v>307727</v>
      </c>
    </row>
    <row r="3959" spans="1:6" ht="16" customHeight="1" x14ac:dyDescent="0.2">
      <c r="A3959">
        <f>IFERROR(VLOOKUP(C3959,'GASB Match'!$D$2:$F$6042,3,FALSE),"")</f>
        <v>3411850</v>
      </c>
      <c r="B3959" s="17">
        <v>2018</v>
      </c>
      <c r="C3959" s="17" t="s">
        <v>752</v>
      </c>
      <c r="D3959" s="17">
        <v>2064</v>
      </c>
      <c r="E3959" s="17" t="s">
        <v>1443</v>
      </c>
      <c r="F3959" s="20">
        <v>580394</v>
      </c>
    </row>
    <row r="3960" spans="1:6" ht="16" customHeight="1" x14ac:dyDescent="0.2">
      <c r="A3960">
        <f>IFERROR(VLOOKUP(C3960,'GASB Match'!$D$2:$F$6042,3,FALSE),"")</f>
        <v>3411850</v>
      </c>
      <c r="B3960" s="17">
        <v>2019</v>
      </c>
      <c r="C3960" s="17" t="s">
        <v>752</v>
      </c>
      <c r="D3960" s="17">
        <v>2064</v>
      </c>
      <c r="E3960" s="17" t="s">
        <v>1443</v>
      </c>
      <c r="F3960" s="20">
        <v>784016</v>
      </c>
    </row>
    <row r="3961" spans="1:6" ht="16" customHeight="1" x14ac:dyDescent="0.2">
      <c r="A3961">
        <f>IFERROR(VLOOKUP(C3961,'GASB Match'!$D$2:$F$6042,3,FALSE),"")</f>
        <v>3411850</v>
      </c>
      <c r="B3961" s="17">
        <v>2020</v>
      </c>
      <c r="C3961" s="21" t="s">
        <v>752</v>
      </c>
      <c r="D3961" s="17">
        <v>2064</v>
      </c>
      <c r="E3961" s="17" t="s">
        <v>1443</v>
      </c>
      <c r="F3961" s="23">
        <v>916877</v>
      </c>
    </row>
    <row r="3962" spans="1:6" ht="16" customHeight="1" x14ac:dyDescent="0.2">
      <c r="A3962">
        <f>IFERROR(VLOOKUP(C3962,'GASB Match'!$D$2:$F$6042,3,FALSE),"")</f>
        <v>3411850</v>
      </c>
      <c r="B3962" s="17">
        <v>2021</v>
      </c>
      <c r="C3962" s="25" t="s">
        <v>752</v>
      </c>
      <c r="D3962" s="17">
        <v>2064</v>
      </c>
      <c r="E3962" s="17" t="s">
        <v>1443</v>
      </c>
      <c r="F3962" s="23">
        <v>1169643</v>
      </c>
    </row>
    <row r="3963" spans="1:6" ht="16" customHeight="1" x14ac:dyDescent="0.2">
      <c r="A3963">
        <f>IFERROR(VLOOKUP(C3963,'GASB Match'!$D$2:$F$6042,3,FALSE),"")</f>
        <v>3411850</v>
      </c>
      <c r="B3963" s="17">
        <v>2022</v>
      </c>
      <c r="C3963" s="21" t="s">
        <v>752</v>
      </c>
      <c r="D3963" s="17">
        <v>2064</v>
      </c>
      <c r="E3963" s="17" t="s">
        <v>1443</v>
      </c>
      <c r="F3963" s="23">
        <v>1677493</v>
      </c>
    </row>
    <row r="3964" spans="1:6" ht="16" customHeight="1" x14ac:dyDescent="0.2">
      <c r="A3964">
        <f>IFERROR(VLOOKUP(C3964,'GASB Match'!$D$2:$F$6042,3,FALSE),"")</f>
        <v>3411850</v>
      </c>
      <c r="B3964" s="17">
        <v>2023</v>
      </c>
      <c r="C3964" s="21" t="s">
        <v>752</v>
      </c>
      <c r="D3964" s="17">
        <v>2064</v>
      </c>
      <c r="E3964" s="17" t="s">
        <v>1443</v>
      </c>
      <c r="F3964" s="23">
        <v>1630272</v>
      </c>
    </row>
    <row r="3965" spans="1:6" ht="16" customHeight="1" x14ac:dyDescent="0.2">
      <c r="A3965">
        <f>IFERROR(VLOOKUP(C3965,'GASB Match'!$D$2:$F$6042,3,FALSE),"")</f>
        <v>3411850</v>
      </c>
      <c r="B3965" s="28">
        <v>2017</v>
      </c>
      <c r="C3965" s="29" t="s">
        <v>74</v>
      </c>
      <c r="D3965" s="17">
        <v>2064</v>
      </c>
      <c r="E3965" s="17" t="s">
        <v>1402</v>
      </c>
      <c r="F3965" s="29">
        <v>421252</v>
      </c>
    </row>
    <row r="3966" spans="1:6" ht="16" customHeight="1" x14ac:dyDescent="0.2">
      <c r="A3966">
        <f>IFERROR(VLOOKUP(C3966,'GASB Match'!$D$2:$F$6042,3,FALSE),"")</f>
        <v>3411880</v>
      </c>
      <c r="B3966" s="17">
        <v>2015</v>
      </c>
      <c r="C3966" s="17" t="s">
        <v>258</v>
      </c>
      <c r="D3966" s="17">
        <v>6089</v>
      </c>
      <c r="E3966" s="17" t="s">
        <v>1411</v>
      </c>
      <c r="F3966" s="20">
        <v>1433913</v>
      </c>
    </row>
    <row r="3967" spans="1:6" ht="16" customHeight="1" x14ac:dyDescent="0.2">
      <c r="A3967">
        <f>IFERROR(VLOOKUP(C3967,'GASB Match'!$D$2:$F$6042,3,FALSE),"")</f>
        <v>3411880</v>
      </c>
      <c r="B3967" s="17">
        <v>2016</v>
      </c>
      <c r="C3967" s="17" t="s">
        <v>258</v>
      </c>
      <c r="D3967" s="17">
        <v>6089</v>
      </c>
      <c r="E3967" s="17" t="s">
        <v>1411</v>
      </c>
      <c r="F3967" s="20">
        <v>2158171</v>
      </c>
    </row>
    <row r="3968" spans="1:6" ht="16" customHeight="1" x14ac:dyDescent="0.2">
      <c r="A3968">
        <f>IFERROR(VLOOKUP(C3968,'GASB Match'!$D$2:$F$6042,3,FALSE),"")</f>
        <v>3411880</v>
      </c>
      <c r="B3968" s="17">
        <v>2018</v>
      </c>
      <c r="C3968" s="17" t="s">
        <v>947</v>
      </c>
      <c r="D3968" s="17">
        <v>6089</v>
      </c>
      <c r="E3968" s="17" t="s">
        <v>1452</v>
      </c>
      <c r="F3968" s="20">
        <v>4113077</v>
      </c>
    </row>
    <row r="3969" spans="1:6" ht="16" customHeight="1" x14ac:dyDescent="0.2">
      <c r="A3969">
        <f>IFERROR(VLOOKUP(C3969,'GASB Match'!$D$2:$F$6042,3,FALSE),"")</f>
        <v>3411880</v>
      </c>
      <c r="B3969" s="17">
        <v>2019</v>
      </c>
      <c r="C3969" s="17" t="s">
        <v>947</v>
      </c>
      <c r="D3969" s="17">
        <v>6089</v>
      </c>
      <c r="E3969" s="17" t="s">
        <v>1452</v>
      </c>
      <c r="F3969" s="20">
        <v>5612880</v>
      </c>
    </row>
    <row r="3970" spans="1:6" ht="16" customHeight="1" x14ac:dyDescent="0.2">
      <c r="A3970">
        <f>IFERROR(VLOOKUP(C3970,'GASB Match'!$D$2:$F$6042,3,FALSE),"")</f>
        <v>3411880</v>
      </c>
      <c r="B3970" s="17">
        <v>2020</v>
      </c>
      <c r="C3970" s="21" t="s">
        <v>947</v>
      </c>
      <c r="D3970" s="17">
        <v>6089</v>
      </c>
      <c r="E3970" s="17" t="s">
        <v>1452</v>
      </c>
      <c r="F3970" s="23">
        <v>6359937</v>
      </c>
    </row>
    <row r="3971" spans="1:6" ht="16" customHeight="1" x14ac:dyDescent="0.2">
      <c r="A3971">
        <f>IFERROR(VLOOKUP(C3971,'GASB Match'!$D$2:$F$6042,3,FALSE),"")</f>
        <v>3411880</v>
      </c>
      <c r="B3971" s="17">
        <v>2021</v>
      </c>
      <c r="C3971" s="25" t="s">
        <v>947</v>
      </c>
      <c r="D3971" s="17">
        <v>6089</v>
      </c>
      <c r="E3971" s="17" t="s">
        <v>1452</v>
      </c>
      <c r="F3971" s="23">
        <v>7848861</v>
      </c>
    </row>
    <row r="3972" spans="1:6" ht="16" customHeight="1" x14ac:dyDescent="0.2">
      <c r="A3972">
        <f>IFERROR(VLOOKUP(C3972,'GASB Match'!$D$2:$F$6042,3,FALSE),"")</f>
        <v>3411880</v>
      </c>
      <c r="B3972" s="17">
        <v>2022</v>
      </c>
      <c r="C3972" s="21" t="s">
        <v>947</v>
      </c>
      <c r="D3972" s="17">
        <v>6089</v>
      </c>
      <c r="E3972" s="17" t="s">
        <v>1452</v>
      </c>
      <c r="F3972" s="23">
        <v>11926403</v>
      </c>
    </row>
    <row r="3973" spans="1:6" ht="16" customHeight="1" x14ac:dyDescent="0.2">
      <c r="A3973">
        <f>IFERROR(VLOOKUP(C3973,'GASB Match'!$D$2:$F$6042,3,FALSE),"")</f>
        <v>3411880</v>
      </c>
      <c r="B3973" s="17">
        <v>2023</v>
      </c>
      <c r="C3973" s="21" t="s">
        <v>947</v>
      </c>
      <c r="D3973" s="17">
        <v>6089</v>
      </c>
      <c r="E3973" s="17" t="s">
        <v>1452</v>
      </c>
      <c r="F3973" s="23">
        <v>11528559</v>
      </c>
    </row>
    <row r="3974" spans="1:6" ht="16" customHeight="1" x14ac:dyDescent="0.2">
      <c r="A3974">
        <f>IFERROR(VLOOKUP(C3974,'GASB Match'!$D$2:$F$6042,3,FALSE),"")</f>
        <v>3411880</v>
      </c>
      <c r="B3974" s="28">
        <v>2017</v>
      </c>
      <c r="C3974" s="29" t="s">
        <v>258</v>
      </c>
      <c r="D3974" s="17">
        <v>6089</v>
      </c>
      <c r="E3974" s="17" t="s">
        <v>1411</v>
      </c>
      <c r="F3974" s="29">
        <v>3076494</v>
      </c>
    </row>
    <row r="3975" spans="1:6" ht="16" customHeight="1" x14ac:dyDescent="0.2">
      <c r="A3975">
        <f>IFERROR(VLOOKUP(C3975,'GASB Match'!$D$2:$F$6042,3,FALSE),"")</f>
        <v>3411910</v>
      </c>
      <c r="B3975" s="17">
        <v>2015</v>
      </c>
      <c r="C3975" s="17" t="s">
        <v>75</v>
      </c>
      <c r="D3975" s="17">
        <v>2066</v>
      </c>
      <c r="E3975" s="17" t="s">
        <v>1402</v>
      </c>
      <c r="F3975" s="20">
        <v>616747</v>
      </c>
    </row>
    <row r="3976" spans="1:6" ht="16" customHeight="1" x14ac:dyDescent="0.2">
      <c r="A3976">
        <f>IFERROR(VLOOKUP(C3976,'GASB Match'!$D$2:$F$6042,3,FALSE),"")</f>
        <v>3411910</v>
      </c>
      <c r="B3976" s="17">
        <v>2016</v>
      </c>
      <c r="C3976" s="17" t="s">
        <v>75</v>
      </c>
      <c r="D3976" s="17">
        <v>2066</v>
      </c>
      <c r="E3976" s="17" t="s">
        <v>1402</v>
      </c>
      <c r="F3976" s="20">
        <v>933062</v>
      </c>
    </row>
    <row r="3977" spans="1:6" ht="16" customHeight="1" x14ac:dyDescent="0.2">
      <c r="A3977">
        <f>IFERROR(VLOOKUP(C3977,'GASB Match'!$D$2:$F$6042,3,FALSE),"")</f>
        <v>3411910</v>
      </c>
      <c r="B3977" s="17">
        <v>2018</v>
      </c>
      <c r="C3977" s="17" t="s">
        <v>753</v>
      </c>
      <c r="D3977" s="17">
        <v>2066</v>
      </c>
      <c r="E3977" s="17" t="s">
        <v>1443</v>
      </c>
      <c r="F3977" s="20">
        <v>1876196</v>
      </c>
    </row>
    <row r="3978" spans="1:6" ht="16" customHeight="1" x14ac:dyDescent="0.2">
      <c r="A3978">
        <f>IFERROR(VLOOKUP(C3978,'GASB Match'!$D$2:$F$6042,3,FALSE),"")</f>
        <v>3411910</v>
      </c>
      <c r="B3978" s="17">
        <v>2019</v>
      </c>
      <c r="C3978" s="17" t="s">
        <v>753</v>
      </c>
      <c r="D3978" s="17">
        <v>2066</v>
      </c>
      <c r="E3978" s="17" t="s">
        <v>1443</v>
      </c>
      <c r="F3978" s="20">
        <v>2521702</v>
      </c>
    </row>
    <row r="3979" spans="1:6" ht="16" customHeight="1" x14ac:dyDescent="0.2">
      <c r="A3979">
        <f>IFERROR(VLOOKUP(C3979,'GASB Match'!$D$2:$F$6042,3,FALSE),"")</f>
        <v>3411910</v>
      </c>
      <c r="B3979" s="17">
        <v>2020</v>
      </c>
      <c r="C3979" s="21" t="s">
        <v>753</v>
      </c>
      <c r="D3979" s="17">
        <v>2066</v>
      </c>
      <c r="E3979" s="17" t="s">
        <v>1443</v>
      </c>
      <c r="F3979" s="23">
        <v>2815592</v>
      </c>
    </row>
    <row r="3980" spans="1:6" ht="16" customHeight="1" x14ac:dyDescent="0.2">
      <c r="A3980">
        <f>IFERROR(VLOOKUP(C3980,'GASB Match'!$D$2:$F$6042,3,FALSE),"")</f>
        <v>3411910</v>
      </c>
      <c r="B3980" s="17">
        <v>2021</v>
      </c>
      <c r="C3980" s="25" t="s">
        <v>753</v>
      </c>
      <c r="D3980" s="17">
        <v>2066</v>
      </c>
      <c r="E3980" s="17" t="s">
        <v>1443</v>
      </c>
      <c r="F3980" s="23">
        <v>3722274</v>
      </c>
    </row>
    <row r="3981" spans="1:6" ht="16" customHeight="1" x14ac:dyDescent="0.2">
      <c r="A3981">
        <f>IFERROR(VLOOKUP(C3981,'GASB Match'!$D$2:$F$6042,3,FALSE),"")</f>
        <v>3411910</v>
      </c>
      <c r="B3981" s="17">
        <v>2022</v>
      </c>
      <c r="C3981" s="21" t="s">
        <v>753</v>
      </c>
      <c r="D3981" s="17">
        <v>2066</v>
      </c>
      <c r="E3981" s="17" t="s">
        <v>1443</v>
      </c>
      <c r="F3981" s="23">
        <v>5303675</v>
      </c>
    </row>
    <row r="3982" spans="1:6" ht="16" customHeight="1" x14ac:dyDescent="0.2">
      <c r="A3982">
        <f>IFERROR(VLOOKUP(C3982,'GASB Match'!$D$2:$F$6042,3,FALSE),"")</f>
        <v>3411910</v>
      </c>
      <c r="B3982" s="17">
        <v>2023</v>
      </c>
      <c r="C3982" s="21" t="s">
        <v>753</v>
      </c>
      <c r="D3982" s="17">
        <v>2066</v>
      </c>
      <c r="E3982" s="17" t="s">
        <v>1443</v>
      </c>
      <c r="F3982" s="23">
        <v>5270685</v>
      </c>
    </row>
    <row r="3983" spans="1:6" ht="16" customHeight="1" x14ac:dyDescent="0.2">
      <c r="A3983">
        <f>IFERROR(VLOOKUP(C3983,'GASB Match'!$D$2:$F$6042,3,FALSE),"")</f>
        <v>3411910</v>
      </c>
      <c r="B3983" s="28">
        <v>2017</v>
      </c>
      <c r="C3983" s="29" t="s">
        <v>75</v>
      </c>
      <c r="D3983" s="17">
        <v>2066</v>
      </c>
      <c r="E3983" s="17" t="s">
        <v>1402</v>
      </c>
      <c r="F3983" s="29">
        <v>1381982</v>
      </c>
    </row>
    <row r="3984" spans="1:6" ht="16" customHeight="1" x14ac:dyDescent="0.2">
      <c r="A3984">
        <f>IFERROR(VLOOKUP(C3984,'GASB Match'!$D$2:$F$6042,3,FALSE),"")</f>
        <v>3411940</v>
      </c>
      <c r="B3984" s="17">
        <v>2015</v>
      </c>
      <c r="C3984" s="17" t="s">
        <v>184</v>
      </c>
      <c r="D3984" s="17">
        <v>4044</v>
      </c>
      <c r="E3984" s="17" t="s">
        <v>1405</v>
      </c>
      <c r="F3984" s="20">
        <v>136418</v>
      </c>
    </row>
    <row r="3985" spans="1:6" ht="16" customHeight="1" x14ac:dyDescent="0.2">
      <c r="A3985">
        <f>IFERROR(VLOOKUP(C3985,'GASB Match'!$D$2:$F$6042,3,FALSE),"")</f>
        <v>3411940</v>
      </c>
      <c r="B3985" s="17">
        <v>2016</v>
      </c>
      <c r="C3985" s="17" t="s">
        <v>184</v>
      </c>
      <c r="D3985" s="17">
        <v>4044</v>
      </c>
      <c r="E3985" s="17" t="s">
        <v>1405</v>
      </c>
      <c r="F3985" s="20">
        <v>187099</v>
      </c>
    </row>
    <row r="3986" spans="1:6" ht="16" customHeight="1" x14ac:dyDescent="0.2">
      <c r="A3986">
        <f>IFERROR(VLOOKUP(C3986,'GASB Match'!$D$2:$F$6042,3,FALSE),"")</f>
        <v>3411940</v>
      </c>
      <c r="B3986" s="17">
        <v>2018</v>
      </c>
      <c r="C3986" s="17" t="s">
        <v>867</v>
      </c>
      <c r="D3986" s="17">
        <v>4044</v>
      </c>
      <c r="E3986" s="17" t="s">
        <v>1446</v>
      </c>
      <c r="F3986" s="20">
        <v>344409</v>
      </c>
    </row>
    <row r="3987" spans="1:6" ht="16" customHeight="1" x14ac:dyDescent="0.2">
      <c r="A3987">
        <f>IFERROR(VLOOKUP(C3987,'GASB Match'!$D$2:$F$6042,3,FALSE),"")</f>
        <v>3411940</v>
      </c>
      <c r="B3987" s="17">
        <v>2019</v>
      </c>
      <c r="C3987" s="17" t="s">
        <v>867</v>
      </c>
      <c r="D3987" s="17">
        <v>4044</v>
      </c>
      <c r="E3987" s="17" t="s">
        <v>1446</v>
      </c>
      <c r="F3987" s="20">
        <v>475262</v>
      </c>
    </row>
    <row r="3988" spans="1:6" ht="16" customHeight="1" x14ac:dyDescent="0.2">
      <c r="A3988">
        <f>IFERROR(VLOOKUP(C3988,'GASB Match'!$D$2:$F$6042,3,FALSE),"")</f>
        <v>3411940</v>
      </c>
      <c r="B3988" s="17">
        <v>2020</v>
      </c>
      <c r="C3988" s="21" t="s">
        <v>867</v>
      </c>
      <c r="D3988" s="17">
        <v>4044</v>
      </c>
      <c r="E3988" s="17" t="s">
        <v>1446</v>
      </c>
      <c r="F3988" s="23">
        <v>435135</v>
      </c>
    </row>
    <row r="3989" spans="1:6" ht="16" customHeight="1" x14ac:dyDescent="0.2">
      <c r="A3989">
        <f>IFERROR(VLOOKUP(C3989,'GASB Match'!$D$2:$F$6042,3,FALSE),"")</f>
        <v>3411940</v>
      </c>
      <c r="B3989" s="17">
        <v>2021</v>
      </c>
      <c r="C3989" s="25" t="s">
        <v>867</v>
      </c>
      <c r="D3989" s="17">
        <v>4044</v>
      </c>
      <c r="E3989" s="17" t="s">
        <v>1446</v>
      </c>
      <c r="F3989" s="23">
        <v>481378</v>
      </c>
    </row>
    <row r="3990" spans="1:6" ht="16" customHeight="1" x14ac:dyDescent="0.2">
      <c r="A3990">
        <f>IFERROR(VLOOKUP(C3990,'GASB Match'!$D$2:$F$6042,3,FALSE),"")</f>
        <v>3411940</v>
      </c>
      <c r="B3990" s="17">
        <v>2022</v>
      </c>
      <c r="C3990" s="21" t="s">
        <v>867</v>
      </c>
      <c r="D3990" s="17">
        <v>4044</v>
      </c>
      <c r="E3990" s="17" t="s">
        <v>1446</v>
      </c>
      <c r="F3990" s="23">
        <v>733965</v>
      </c>
    </row>
    <row r="3991" spans="1:6" ht="16" customHeight="1" x14ac:dyDescent="0.2">
      <c r="A3991">
        <f>IFERROR(VLOOKUP(C3991,'GASB Match'!$D$2:$F$6042,3,FALSE),"")</f>
        <v>3411940</v>
      </c>
      <c r="B3991" s="17">
        <v>2023</v>
      </c>
      <c r="C3991" s="21" t="s">
        <v>867</v>
      </c>
      <c r="D3991" s="17">
        <v>4044</v>
      </c>
      <c r="E3991" s="17" t="s">
        <v>1446</v>
      </c>
      <c r="F3991" s="23">
        <v>742181</v>
      </c>
    </row>
    <row r="3992" spans="1:6" ht="16" customHeight="1" x14ac:dyDescent="0.2">
      <c r="A3992">
        <f>IFERROR(VLOOKUP(C3992,'GASB Match'!$D$2:$F$6042,3,FALSE),"")</f>
        <v>3411940</v>
      </c>
      <c r="B3992" s="28">
        <v>2017</v>
      </c>
      <c r="C3992" s="29" t="s">
        <v>184</v>
      </c>
      <c r="D3992" s="17">
        <v>4044</v>
      </c>
      <c r="E3992" s="17" t="s">
        <v>1405</v>
      </c>
      <c r="F3992" s="29">
        <v>253102</v>
      </c>
    </row>
    <row r="3993" spans="1:6" ht="16" customHeight="1" x14ac:dyDescent="0.2">
      <c r="A3993">
        <f>IFERROR(VLOOKUP(C3993,'GASB Match'!$D$2:$F$6042,3,FALSE),"")</f>
        <v>3400789</v>
      </c>
      <c r="B3993" s="17">
        <v>2021</v>
      </c>
      <c r="C3993" s="25" t="s">
        <v>1376</v>
      </c>
      <c r="D3993" s="17">
        <v>547</v>
      </c>
      <c r="E3993" s="17" t="s">
        <v>1465</v>
      </c>
      <c r="F3993" s="23">
        <v>184218</v>
      </c>
    </row>
    <row r="3994" spans="1:6" ht="16" customHeight="1" x14ac:dyDescent="0.2">
      <c r="A3994">
        <f>IFERROR(VLOOKUP(C3994,'GASB Match'!$D$2:$F$6042,3,FALSE),"")</f>
        <v>3400789</v>
      </c>
      <c r="B3994" s="17">
        <v>2022</v>
      </c>
      <c r="C3994" s="21" t="s">
        <v>1376</v>
      </c>
      <c r="D3994" s="17">
        <v>547</v>
      </c>
      <c r="E3994" s="17" t="s">
        <v>1465</v>
      </c>
      <c r="F3994" s="23">
        <v>351279</v>
      </c>
    </row>
    <row r="3995" spans="1:6" ht="16" customHeight="1" x14ac:dyDescent="0.2">
      <c r="A3995">
        <f>IFERROR(VLOOKUP(C3995,'GASB Match'!$D$2:$F$6042,3,FALSE),"")</f>
        <v>3400789</v>
      </c>
      <c r="B3995" s="17">
        <v>2023</v>
      </c>
      <c r="C3995" s="21" t="s">
        <v>1376</v>
      </c>
      <c r="D3995" s="17">
        <v>547</v>
      </c>
      <c r="E3995" s="17" t="s">
        <v>1465</v>
      </c>
      <c r="F3995" s="23">
        <v>430894</v>
      </c>
    </row>
    <row r="3996" spans="1:6" ht="16" customHeight="1" x14ac:dyDescent="0.2">
      <c r="A3996">
        <f>IFERROR(VLOOKUP(C3996,'GASB Match'!$D$2:$F$6042,3,FALSE),"")</f>
        <v>3411970</v>
      </c>
      <c r="B3996" s="17">
        <v>2015</v>
      </c>
      <c r="C3996" s="17" t="s">
        <v>205</v>
      </c>
      <c r="D3996" s="17">
        <v>5017</v>
      </c>
      <c r="E3996" s="17" t="s">
        <v>1407</v>
      </c>
      <c r="F3996" s="20">
        <v>1010746</v>
      </c>
    </row>
    <row r="3997" spans="1:6" ht="16" customHeight="1" x14ac:dyDescent="0.2">
      <c r="A3997">
        <f>IFERROR(VLOOKUP(C3997,'GASB Match'!$D$2:$F$6042,3,FALSE),"")</f>
        <v>3411970</v>
      </c>
      <c r="B3997" s="17">
        <v>2016</v>
      </c>
      <c r="C3997" s="17" t="s">
        <v>205</v>
      </c>
      <c r="D3997" s="17">
        <v>5017</v>
      </c>
      <c r="E3997" s="17" t="s">
        <v>1407</v>
      </c>
      <c r="F3997" s="20">
        <v>1488433</v>
      </c>
    </row>
    <row r="3998" spans="1:6" ht="16" customHeight="1" x14ac:dyDescent="0.2">
      <c r="A3998">
        <f>IFERROR(VLOOKUP(C3998,'GASB Match'!$D$2:$F$6042,3,FALSE),"")</f>
        <v>3411970</v>
      </c>
      <c r="B3998" s="17">
        <v>2018</v>
      </c>
      <c r="C3998" s="17" t="s">
        <v>889</v>
      </c>
      <c r="D3998" s="17">
        <v>5017</v>
      </c>
      <c r="E3998" s="17" t="s">
        <v>1448</v>
      </c>
      <c r="F3998" s="20">
        <v>2779092</v>
      </c>
    </row>
    <row r="3999" spans="1:6" ht="16" customHeight="1" x14ac:dyDescent="0.2">
      <c r="A3999">
        <f>IFERROR(VLOOKUP(C3999,'GASB Match'!$D$2:$F$6042,3,FALSE),"")</f>
        <v>3411970</v>
      </c>
      <c r="B3999" s="17">
        <v>2019</v>
      </c>
      <c r="C3999" s="17" t="s">
        <v>889</v>
      </c>
      <c r="D3999" s="17">
        <v>5017</v>
      </c>
      <c r="E3999" s="17" t="s">
        <v>1448</v>
      </c>
      <c r="F3999" s="20">
        <v>3622302</v>
      </c>
    </row>
    <row r="4000" spans="1:6" ht="16" customHeight="1" x14ac:dyDescent="0.2">
      <c r="A4000">
        <f>IFERROR(VLOOKUP(C4000,'GASB Match'!$D$2:$F$6042,3,FALSE),"")</f>
        <v>3411970</v>
      </c>
      <c r="B4000" s="17">
        <v>2020</v>
      </c>
      <c r="C4000" s="21" t="s">
        <v>889</v>
      </c>
      <c r="D4000" s="17">
        <v>5017</v>
      </c>
      <c r="E4000" s="17" t="s">
        <v>1448</v>
      </c>
      <c r="F4000" s="23">
        <v>4051087</v>
      </c>
    </row>
    <row r="4001" spans="1:6" ht="16" customHeight="1" x14ac:dyDescent="0.2">
      <c r="A4001">
        <f>IFERROR(VLOOKUP(C4001,'GASB Match'!$D$2:$F$6042,3,FALSE),"")</f>
        <v>3411970</v>
      </c>
      <c r="B4001" s="17">
        <v>2021</v>
      </c>
      <c r="C4001" s="25" t="s">
        <v>889</v>
      </c>
      <c r="D4001" s="17">
        <v>5017</v>
      </c>
      <c r="E4001" s="17" t="s">
        <v>1448</v>
      </c>
      <c r="F4001" s="23">
        <v>5226826</v>
      </c>
    </row>
    <row r="4002" spans="1:6" ht="16" customHeight="1" x14ac:dyDescent="0.2">
      <c r="A4002">
        <f>IFERROR(VLOOKUP(C4002,'GASB Match'!$D$2:$F$6042,3,FALSE),"")</f>
        <v>3411970</v>
      </c>
      <c r="B4002" s="17">
        <v>2022</v>
      </c>
      <c r="C4002" s="21" t="s">
        <v>889</v>
      </c>
      <c r="D4002" s="17">
        <v>5017</v>
      </c>
      <c r="E4002" s="17" t="s">
        <v>1448</v>
      </c>
      <c r="F4002" s="23">
        <v>7436033</v>
      </c>
    </row>
    <row r="4003" spans="1:6" ht="16" customHeight="1" x14ac:dyDescent="0.2">
      <c r="A4003">
        <f>IFERROR(VLOOKUP(C4003,'GASB Match'!$D$2:$F$6042,3,FALSE),"")</f>
        <v>3411970</v>
      </c>
      <c r="B4003" s="17">
        <v>2023</v>
      </c>
      <c r="C4003" s="21" t="s">
        <v>889</v>
      </c>
      <c r="D4003" s="17">
        <v>5017</v>
      </c>
      <c r="E4003" s="17" t="s">
        <v>1448</v>
      </c>
      <c r="F4003" s="23">
        <v>7309716</v>
      </c>
    </row>
    <row r="4004" spans="1:6" ht="16" customHeight="1" x14ac:dyDescent="0.2">
      <c r="A4004">
        <f>IFERROR(VLOOKUP(C4004,'GASB Match'!$D$2:$F$6042,3,FALSE),"")</f>
        <v>3411970</v>
      </c>
      <c r="B4004" s="28">
        <v>2017</v>
      </c>
      <c r="C4004" s="29" t="s">
        <v>205</v>
      </c>
      <c r="D4004" s="17">
        <v>5017</v>
      </c>
      <c r="E4004" s="17" t="s">
        <v>1407</v>
      </c>
      <c r="F4004" s="29">
        <v>2069892</v>
      </c>
    </row>
    <row r="4005" spans="1:6" ht="16" customHeight="1" x14ac:dyDescent="0.2">
      <c r="A4005">
        <f>IFERROR(VLOOKUP(C4005,'GASB Match'!$D$2:$F$6042,3,FALSE),"")</f>
        <v>3411980</v>
      </c>
      <c r="B4005" s="17">
        <v>2015</v>
      </c>
      <c r="C4005" s="17" t="s">
        <v>510</v>
      </c>
      <c r="D4005" s="17">
        <v>986</v>
      </c>
      <c r="E4005" s="17" t="s">
        <v>1422</v>
      </c>
      <c r="F4005" s="20">
        <v>583630</v>
      </c>
    </row>
    <row r="4006" spans="1:6" ht="16" customHeight="1" x14ac:dyDescent="0.2">
      <c r="A4006">
        <f>IFERROR(VLOOKUP(C4006,'GASB Match'!$D$2:$F$6042,3,FALSE),"")</f>
        <v>3411980</v>
      </c>
      <c r="B4006" s="17">
        <v>2016</v>
      </c>
      <c r="C4006" s="17" t="s">
        <v>510</v>
      </c>
      <c r="D4006" s="17">
        <v>986</v>
      </c>
      <c r="E4006" s="17" t="s">
        <v>1422</v>
      </c>
      <c r="F4006" s="20">
        <v>880379</v>
      </c>
    </row>
    <row r="4007" spans="1:6" ht="16" customHeight="1" x14ac:dyDescent="0.2">
      <c r="A4007">
        <f>IFERROR(VLOOKUP(C4007,'GASB Match'!$D$2:$F$6042,3,FALSE),"")</f>
        <v>3411980</v>
      </c>
      <c r="B4007" s="17">
        <v>2018</v>
      </c>
      <c r="C4007" s="17" t="s">
        <v>1202</v>
      </c>
      <c r="D4007" s="17">
        <v>986</v>
      </c>
      <c r="E4007" s="17" t="s">
        <v>1465</v>
      </c>
      <c r="F4007" s="20">
        <v>1612713</v>
      </c>
    </row>
    <row r="4008" spans="1:6" ht="16" customHeight="1" x14ac:dyDescent="0.2">
      <c r="A4008">
        <f>IFERROR(VLOOKUP(C4008,'GASB Match'!$D$2:$F$6042,3,FALSE),"")</f>
        <v>3411980</v>
      </c>
      <c r="B4008" s="17">
        <v>2019</v>
      </c>
      <c r="C4008" s="17" t="s">
        <v>1202</v>
      </c>
      <c r="D4008" s="17">
        <v>986</v>
      </c>
      <c r="E4008" s="17" t="s">
        <v>1465</v>
      </c>
      <c r="F4008" s="20">
        <v>2214600</v>
      </c>
    </row>
    <row r="4009" spans="1:6" ht="16" customHeight="1" x14ac:dyDescent="0.2">
      <c r="A4009">
        <f>IFERROR(VLOOKUP(C4009,'GASB Match'!$D$2:$F$6042,3,FALSE),"")</f>
        <v>3411980</v>
      </c>
      <c r="B4009" s="17">
        <v>2020</v>
      </c>
      <c r="C4009" s="21" t="s">
        <v>1202</v>
      </c>
      <c r="D4009" s="17">
        <v>986</v>
      </c>
      <c r="E4009" s="17" t="s">
        <v>1465</v>
      </c>
      <c r="F4009" s="23">
        <v>2502175</v>
      </c>
    </row>
    <row r="4010" spans="1:6" ht="16" customHeight="1" x14ac:dyDescent="0.2">
      <c r="A4010">
        <f>IFERROR(VLOOKUP(C4010,'GASB Match'!$D$2:$F$6042,3,FALSE),"")</f>
        <v>3411980</v>
      </c>
      <c r="B4010" s="17">
        <v>2021</v>
      </c>
      <c r="C4010" s="25" t="s">
        <v>1202</v>
      </c>
      <c r="D4010" s="17">
        <v>986</v>
      </c>
      <c r="E4010" s="17" t="s">
        <v>1465</v>
      </c>
      <c r="F4010" s="23">
        <v>3179259</v>
      </c>
    </row>
    <row r="4011" spans="1:6" ht="16" customHeight="1" x14ac:dyDescent="0.2">
      <c r="A4011">
        <f>IFERROR(VLOOKUP(C4011,'GASB Match'!$D$2:$F$6042,3,FALSE),"")</f>
        <v>3411980</v>
      </c>
      <c r="B4011" s="17">
        <v>2022</v>
      </c>
      <c r="C4011" s="21" t="s">
        <v>1202</v>
      </c>
      <c r="D4011" s="17">
        <v>986</v>
      </c>
      <c r="E4011" s="17" t="s">
        <v>1465</v>
      </c>
      <c r="F4011" s="23">
        <v>4502054</v>
      </c>
    </row>
    <row r="4012" spans="1:6" ht="16" customHeight="1" x14ac:dyDescent="0.2">
      <c r="A4012">
        <f>IFERROR(VLOOKUP(C4012,'GASB Match'!$D$2:$F$6042,3,FALSE),"")</f>
        <v>3411980</v>
      </c>
      <c r="B4012" s="17">
        <v>2023</v>
      </c>
      <c r="C4012" s="21" t="s">
        <v>1202</v>
      </c>
      <c r="D4012" s="17">
        <v>986</v>
      </c>
      <c r="E4012" s="17" t="s">
        <v>1465</v>
      </c>
      <c r="F4012" s="23">
        <v>4498805</v>
      </c>
    </row>
    <row r="4013" spans="1:6" ht="16" customHeight="1" x14ac:dyDescent="0.2">
      <c r="A4013">
        <f>IFERROR(VLOOKUP(C4013,'GASB Match'!$D$2:$F$6042,3,FALSE),"")</f>
        <v>3411980</v>
      </c>
      <c r="B4013" s="28">
        <v>2017</v>
      </c>
      <c r="C4013" s="29" t="s">
        <v>510</v>
      </c>
      <c r="D4013" s="17">
        <v>986</v>
      </c>
      <c r="E4013" s="17" t="s">
        <v>1422</v>
      </c>
      <c r="F4013" s="29">
        <v>1222905</v>
      </c>
    </row>
    <row r="4014" spans="1:6" ht="16" customHeight="1" x14ac:dyDescent="0.2">
      <c r="A4014">
        <f>IFERROR(VLOOKUP(C4014,'GASB Match'!$D$2:$F$6042,3,FALSE),"")</f>
        <v>3412030</v>
      </c>
      <c r="B4014" s="17">
        <v>2015</v>
      </c>
      <c r="C4014" s="17" t="s">
        <v>511</v>
      </c>
      <c r="D4014" s="17">
        <v>526</v>
      </c>
      <c r="E4014" s="17" t="s">
        <v>1422</v>
      </c>
      <c r="F4014" s="20">
        <v>62623</v>
      </c>
    </row>
    <row r="4015" spans="1:6" ht="16" customHeight="1" x14ac:dyDescent="0.2">
      <c r="A4015">
        <f>IFERROR(VLOOKUP(C4015,'GASB Match'!$D$2:$F$6042,3,FALSE),"")</f>
        <v>3412030</v>
      </c>
      <c r="B4015" s="17">
        <v>2016</v>
      </c>
      <c r="C4015" s="17" t="s">
        <v>511</v>
      </c>
      <c r="D4015" s="17">
        <v>526</v>
      </c>
      <c r="E4015" s="17" t="s">
        <v>1422</v>
      </c>
      <c r="F4015" s="20">
        <v>94336</v>
      </c>
    </row>
    <row r="4016" spans="1:6" ht="16" customHeight="1" x14ac:dyDescent="0.2">
      <c r="A4016">
        <f>IFERROR(VLOOKUP(C4016,'GASB Match'!$D$2:$F$6042,3,FALSE),"")</f>
        <v>3412030</v>
      </c>
      <c r="B4016" s="17">
        <v>2018</v>
      </c>
      <c r="C4016" s="17" t="s">
        <v>1203</v>
      </c>
      <c r="D4016" s="17">
        <v>526</v>
      </c>
      <c r="E4016" s="17" t="s">
        <v>1465</v>
      </c>
      <c r="F4016" s="20">
        <v>177038</v>
      </c>
    </row>
    <row r="4017" spans="1:6" ht="16" customHeight="1" x14ac:dyDescent="0.2">
      <c r="A4017">
        <f>IFERROR(VLOOKUP(C4017,'GASB Match'!$D$2:$F$6042,3,FALSE),"")</f>
        <v>3412030</v>
      </c>
      <c r="B4017" s="17">
        <v>2019</v>
      </c>
      <c r="C4017" s="17" t="s">
        <v>1203</v>
      </c>
      <c r="D4017" s="17">
        <v>526</v>
      </c>
      <c r="E4017" s="17" t="s">
        <v>1465</v>
      </c>
      <c r="F4017" s="20">
        <v>250035</v>
      </c>
    </row>
    <row r="4018" spans="1:6" ht="16" customHeight="1" x14ac:dyDescent="0.2">
      <c r="A4018">
        <f>IFERROR(VLOOKUP(C4018,'GASB Match'!$D$2:$F$6042,3,FALSE),"")</f>
        <v>3412030</v>
      </c>
      <c r="B4018" s="17">
        <v>2020</v>
      </c>
      <c r="C4018" s="21" t="s">
        <v>1203</v>
      </c>
      <c r="D4018" s="17">
        <v>526</v>
      </c>
      <c r="E4018" s="17" t="s">
        <v>1465</v>
      </c>
      <c r="F4018" s="23">
        <v>273101</v>
      </c>
    </row>
    <row r="4019" spans="1:6" ht="16" customHeight="1" x14ac:dyDescent="0.2">
      <c r="A4019">
        <f>IFERROR(VLOOKUP(C4019,'GASB Match'!$D$2:$F$6042,3,FALSE),"")</f>
        <v>3412030</v>
      </c>
      <c r="B4019" s="17">
        <v>2021</v>
      </c>
      <c r="C4019" s="25" t="s">
        <v>1203</v>
      </c>
      <c r="D4019" s="17">
        <v>526</v>
      </c>
      <c r="E4019" s="17" t="s">
        <v>1465</v>
      </c>
      <c r="F4019" s="23">
        <v>344068</v>
      </c>
    </row>
    <row r="4020" spans="1:6" ht="16" customHeight="1" x14ac:dyDescent="0.2">
      <c r="A4020">
        <f>IFERROR(VLOOKUP(C4020,'GASB Match'!$D$2:$F$6042,3,FALSE),"")</f>
        <v>3412030</v>
      </c>
      <c r="B4020" s="17">
        <v>2022</v>
      </c>
      <c r="C4020" s="21" t="s">
        <v>1203</v>
      </c>
      <c r="D4020" s="17">
        <v>526</v>
      </c>
      <c r="E4020" s="17" t="s">
        <v>1465</v>
      </c>
      <c r="F4020" s="23">
        <v>446624</v>
      </c>
    </row>
    <row r="4021" spans="1:6" ht="16" customHeight="1" x14ac:dyDescent="0.2">
      <c r="A4021">
        <f>IFERROR(VLOOKUP(C4021,'GASB Match'!$D$2:$F$6042,3,FALSE),"")</f>
        <v>3412030</v>
      </c>
      <c r="B4021" s="17">
        <v>2023</v>
      </c>
      <c r="C4021" s="21" t="s">
        <v>1203</v>
      </c>
      <c r="D4021" s="17">
        <v>526</v>
      </c>
      <c r="E4021" s="17" t="s">
        <v>1465</v>
      </c>
      <c r="F4021" s="23">
        <v>430669</v>
      </c>
    </row>
    <row r="4022" spans="1:6" ht="16" customHeight="1" x14ac:dyDescent="0.2">
      <c r="A4022">
        <f>IFERROR(VLOOKUP(C4022,'GASB Match'!$D$2:$F$6042,3,FALSE),"")</f>
        <v>3412030</v>
      </c>
      <c r="B4022" s="28">
        <v>2017</v>
      </c>
      <c r="C4022" s="29" t="s">
        <v>511</v>
      </c>
      <c r="D4022" s="17">
        <v>526</v>
      </c>
      <c r="E4022" s="17" t="s">
        <v>1422</v>
      </c>
      <c r="F4022" s="29">
        <v>129976</v>
      </c>
    </row>
    <row r="4023" spans="1:6" ht="16" customHeight="1" x14ac:dyDescent="0.2">
      <c r="A4023">
        <f>IFERROR(VLOOKUP(C4023,'GASB Match'!$D$2:$F$6042,3,FALSE),"")</f>
        <v>3412060</v>
      </c>
      <c r="B4023" s="17">
        <v>2015</v>
      </c>
      <c r="C4023" s="17" t="s">
        <v>436</v>
      </c>
      <c r="D4023" s="17">
        <v>351</v>
      </c>
      <c r="E4023" s="17" t="s">
        <v>1420</v>
      </c>
      <c r="F4023" s="20">
        <v>1635382</v>
      </c>
    </row>
    <row r="4024" spans="1:6" ht="16" customHeight="1" x14ac:dyDescent="0.2">
      <c r="A4024">
        <f>IFERROR(VLOOKUP(C4024,'GASB Match'!$D$2:$F$6042,3,FALSE),"")</f>
        <v>3412060</v>
      </c>
      <c r="B4024" s="17">
        <v>2016</v>
      </c>
      <c r="C4024" s="17" t="s">
        <v>436</v>
      </c>
      <c r="D4024" s="17">
        <v>351</v>
      </c>
      <c r="E4024" s="17" t="s">
        <v>1420</v>
      </c>
      <c r="F4024" s="20">
        <v>2485508</v>
      </c>
    </row>
    <row r="4025" spans="1:6" ht="16" customHeight="1" x14ac:dyDescent="0.2">
      <c r="A4025">
        <f>IFERROR(VLOOKUP(C4025,'GASB Match'!$D$2:$F$6042,3,FALSE),"")</f>
        <v>3412060</v>
      </c>
      <c r="B4025" s="17">
        <v>2018</v>
      </c>
      <c r="C4025" s="17" t="s">
        <v>1128</v>
      </c>
      <c r="D4025" s="17">
        <v>351</v>
      </c>
      <c r="E4025" s="17" t="s">
        <v>1463</v>
      </c>
      <c r="F4025" s="20">
        <v>4610147</v>
      </c>
    </row>
    <row r="4026" spans="1:6" ht="16" customHeight="1" x14ac:dyDescent="0.2">
      <c r="A4026">
        <f>IFERROR(VLOOKUP(C4026,'GASB Match'!$D$2:$F$6042,3,FALSE),"")</f>
        <v>3412060</v>
      </c>
      <c r="B4026" s="17">
        <v>2019</v>
      </c>
      <c r="C4026" s="17" t="s">
        <v>1128</v>
      </c>
      <c r="D4026" s="17">
        <v>351</v>
      </c>
      <c r="E4026" s="17" t="s">
        <v>1463</v>
      </c>
      <c r="F4026" s="20">
        <v>5999579</v>
      </c>
    </row>
    <row r="4027" spans="1:6" ht="16" customHeight="1" x14ac:dyDescent="0.2">
      <c r="A4027">
        <f>IFERROR(VLOOKUP(C4027,'GASB Match'!$D$2:$F$6042,3,FALSE),"")</f>
        <v>3412060</v>
      </c>
      <c r="B4027" s="17">
        <v>2020</v>
      </c>
      <c r="C4027" s="21" t="s">
        <v>1128</v>
      </c>
      <c r="D4027" s="17">
        <v>351</v>
      </c>
      <c r="E4027" s="17" t="s">
        <v>1463</v>
      </c>
      <c r="F4027" s="23">
        <v>6666114</v>
      </c>
    </row>
    <row r="4028" spans="1:6" ht="16" customHeight="1" x14ac:dyDescent="0.2">
      <c r="A4028">
        <f>IFERROR(VLOOKUP(C4028,'GASB Match'!$D$2:$F$6042,3,FALSE),"")</f>
        <v>3412060</v>
      </c>
      <c r="B4028" s="17">
        <v>2021</v>
      </c>
      <c r="C4028" s="25" t="s">
        <v>1128</v>
      </c>
      <c r="D4028" s="17">
        <v>351</v>
      </c>
      <c r="E4028" s="17" t="s">
        <v>1463</v>
      </c>
      <c r="F4028" s="23">
        <v>8450393</v>
      </c>
    </row>
    <row r="4029" spans="1:6" ht="16" customHeight="1" x14ac:dyDescent="0.2">
      <c r="A4029">
        <f>IFERROR(VLOOKUP(C4029,'GASB Match'!$D$2:$F$6042,3,FALSE),"")</f>
        <v>3412060</v>
      </c>
      <c r="B4029" s="17">
        <v>2022</v>
      </c>
      <c r="C4029" s="21" t="s">
        <v>1128</v>
      </c>
      <c r="D4029" s="17">
        <v>351</v>
      </c>
      <c r="E4029" s="17" t="s">
        <v>1463</v>
      </c>
      <c r="F4029" s="23">
        <v>12064350</v>
      </c>
    </row>
    <row r="4030" spans="1:6" ht="16" customHeight="1" x14ac:dyDescent="0.2">
      <c r="A4030">
        <f>IFERROR(VLOOKUP(C4030,'GASB Match'!$D$2:$F$6042,3,FALSE),"")</f>
        <v>3412060</v>
      </c>
      <c r="B4030" s="17">
        <v>2023</v>
      </c>
      <c r="C4030" s="21" t="s">
        <v>1128</v>
      </c>
      <c r="D4030" s="17">
        <v>351</v>
      </c>
      <c r="E4030" s="17" t="s">
        <v>1463</v>
      </c>
      <c r="F4030" s="23">
        <v>12285879</v>
      </c>
    </row>
    <row r="4031" spans="1:6" ht="16" customHeight="1" x14ac:dyDescent="0.2">
      <c r="A4031">
        <f>IFERROR(VLOOKUP(C4031,'GASB Match'!$D$2:$F$6042,3,FALSE),"")</f>
        <v>3412060</v>
      </c>
      <c r="B4031" s="28">
        <v>2017</v>
      </c>
      <c r="C4031" s="29" t="s">
        <v>436</v>
      </c>
      <c r="D4031" s="17">
        <v>351</v>
      </c>
      <c r="E4031" s="17" t="s">
        <v>1420</v>
      </c>
      <c r="F4031" s="29">
        <v>3450836</v>
      </c>
    </row>
    <row r="4032" spans="1:6" ht="16" customHeight="1" x14ac:dyDescent="0.2">
      <c r="A4032">
        <f>IFERROR(VLOOKUP(C4032,'GASB Match'!$D$2:$F$6042,3,FALSE),"")</f>
        <v>3412090</v>
      </c>
      <c r="B4032" s="17">
        <v>2015</v>
      </c>
      <c r="C4032" s="17" t="s">
        <v>512</v>
      </c>
      <c r="D4032" s="17">
        <v>525</v>
      </c>
      <c r="E4032" s="17" t="s">
        <v>1422</v>
      </c>
      <c r="F4032" s="20">
        <v>219588</v>
      </c>
    </row>
    <row r="4033" spans="1:6" ht="16" customHeight="1" x14ac:dyDescent="0.2">
      <c r="A4033">
        <f>IFERROR(VLOOKUP(C4033,'GASB Match'!$D$2:$F$6042,3,FALSE),"")</f>
        <v>3412090</v>
      </c>
      <c r="B4033" s="17">
        <v>2016</v>
      </c>
      <c r="C4033" s="17" t="s">
        <v>512</v>
      </c>
      <c r="D4033" s="17">
        <v>525</v>
      </c>
      <c r="E4033" s="17" t="s">
        <v>1422</v>
      </c>
      <c r="F4033" s="20">
        <v>324343</v>
      </c>
    </row>
    <row r="4034" spans="1:6" ht="16" customHeight="1" x14ac:dyDescent="0.2">
      <c r="A4034">
        <f>IFERROR(VLOOKUP(C4034,'GASB Match'!$D$2:$F$6042,3,FALSE),"")</f>
        <v>3412090</v>
      </c>
      <c r="B4034" s="17">
        <v>2018</v>
      </c>
      <c r="C4034" s="17" t="s">
        <v>1204</v>
      </c>
      <c r="D4034" s="17">
        <v>525</v>
      </c>
      <c r="E4034" s="17" t="s">
        <v>1465</v>
      </c>
      <c r="F4034" s="20">
        <v>614859</v>
      </c>
    </row>
    <row r="4035" spans="1:6" ht="16" customHeight="1" x14ac:dyDescent="0.2">
      <c r="A4035">
        <f>IFERROR(VLOOKUP(C4035,'GASB Match'!$D$2:$F$6042,3,FALSE),"")</f>
        <v>3412090</v>
      </c>
      <c r="B4035" s="17">
        <v>2019</v>
      </c>
      <c r="C4035" s="17" t="s">
        <v>1204</v>
      </c>
      <c r="D4035" s="17">
        <v>525</v>
      </c>
      <c r="E4035" s="17" t="s">
        <v>1465</v>
      </c>
      <c r="F4035" s="20">
        <v>794119</v>
      </c>
    </row>
    <row r="4036" spans="1:6" ht="16" customHeight="1" x14ac:dyDescent="0.2">
      <c r="A4036">
        <f>IFERROR(VLOOKUP(C4036,'GASB Match'!$D$2:$F$6042,3,FALSE),"")</f>
        <v>3412090</v>
      </c>
      <c r="B4036" s="17">
        <v>2020</v>
      </c>
      <c r="C4036" s="21" t="s">
        <v>1204</v>
      </c>
      <c r="D4036" s="17">
        <v>525</v>
      </c>
      <c r="E4036" s="17" t="s">
        <v>1465</v>
      </c>
      <c r="F4036" s="23">
        <v>909978</v>
      </c>
    </row>
    <row r="4037" spans="1:6" ht="16" customHeight="1" x14ac:dyDescent="0.2">
      <c r="A4037">
        <f>IFERROR(VLOOKUP(C4037,'GASB Match'!$D$2:$F$6042,3,FALSE),"")</f>
        <v>3412090</v>
      </c>
      <c r="B4037" s="17">
        <v>2021</v>
      </c>
      <c r="C4037" s="25" t="s">
        <v>1204</v>
      </c>
      <c r="D4037" s="17">
        <v>525</v>
      </c>
      <c r="E4037" s="17" t="s">
        <v>1465</v>
      </c>
      <c r="F4037" s="23">
        <v>1160690</v>
      </c>
    </row>
    <row r="4038" spans="1:6" ht="16" customHeight="1" x14ac:dyDescent="0.2">
      <c r="A4038">
        <f>IFERROR(VLOOKUP(C4038,'GASB Match'!$D$2:$F$6042,3,FALSE),"")</f>
        <v>3412090</v>
      </c>
      <c r="B4038" s="17">
        <v>2022</v>
      </c>
      <c r="C4038" s="21" t="s">
        <v>1204</v>
      </c>
      <c r="D4038" s="17">
        <v>525</v>
      </c>
      <c r="E4038" s="17" t="s">
        <v>1465</v>
      </c>
      <c r="F4038" s="23">
        <v>1679133</v>
      </c>
    </row>
    <row r="4039" spans="1:6" ht="16" customHeight="1" x14ac:dyDescent="0.2">
      <c r="A4039">
        <f>IFERROR(VLOOKUP(C4039,'GASB Match'!$D$2:$F$6042,3,FALSE),"")</f>
        <v>3412090</v>
      </c>
      <c r="B4039" s="17">
        <v>2023</v>
      </c>
      <c r="C4039" s="21" t="s">
        <v>1204</v>
      </c>
      <c r="D4039" s="17">
        <v>525</v>
      </c>
      <c r="E4039" s="17" t="s">
        <v>1465</v>
      </c>
      <c r="F4039" s="23">
        <v>1588057</v>
      </c>
    </row>
    <row r="4040" spans="1:6" ht="16" customHeight="1" x14ac:dyDescent="0.2">
      <c r="A4040">
        <f>IFERROR(VLOOKUP(C4040,'GASB Match'!$D$2:$F$6042,3,FALSE),"")</f>
        <v>3412090</v>
      </c>
      <c r="B4040" s="28">
        <v>2017</v>
      </c>
      <c r="C4040" s="29" t="s">
        <v>512</v>
      </c>
      <c r="D4040" s="17">
        <v>525</v>
      </c>
      <c r="E4040" s="17" t="s">
        <v>1422</v>
      </c>
      <c r="F4040" s="29">
        <v>465360</v>
      </c>
    </row>
    <row r="4041" spans="1:6" ht="16" customHeight="1" x14ac:dyDescent="0.2">
      <c r="A4041">
        <f>IFERROR(VLOOKUP(C4041,'GASB Match'!$D$2:$F$6042,3,FALSE),"")</f>
        <v>3412120</v>
      </c>
      <c r="B4041" s="17">
        <v>2015</v>
      </c>
      <c r="C4041" s="17" t="s">
        <v>437</v>
      </c>
      <c r="D4041" s="17">
        <v>349</v>
      </c>
      <c r="E4041" s="17" t="s">
        <v>1420</v>
      </c>
      <c r="F4041" s="20">
        <v>242962</v>
      </c>
    </row>
    <row r="4042" spans="1:6" ht="16" customHeight="1" x14ac:dyDescent="0.2">
      <c r="A4042">
        <f>IFERROR(VLOOKUP(C4042,'GASB Match'!$D$2:$F$6042,3,FALSE),"")</f>
        <v>3412120</v>
      </c>
      <c r="B4042" s="17">
        <v>2016</v>
      </c>
      <c r="C4042" s="17" t="s">
        <v>437</v>
      </c>
      <c r="D4042" s="17">
        <v>349</v>
      </c>
      <c r="E4042" s="17" t="s">
        <v>1420</v>
      </c>
      <c r="F4042" s="20">
        <v>344918</v>
      </c>
    </row>
    <row r="4043" spans="1:6" ht="16" customHeight="1" x14ac:dyDescent="0.2">
      <c r="A4043">
        <f>IFERROR(VLOOKUP(C4043,'GASB Match'!$D$2:$F$6042,3,FALSE),"")</f>
        <v>3412120</v>
      </c>
      <c r="B4043" s="17">
        <v>2018</v>
      </c>
      <c r="C4043" s="17" t="s">
        <v>1129</v>
      </c>
      <c r="D4043" s="17">
        <v>349</v>
      </c>
      <c r="E4043" s="17" t="s">
        <v>1463</v>
      </c>
      <c r="F4043" s="20">
        <v>687397</v>
      </c>
    </row>
    <row r="4044" spans="1:6" ht="16" customHeight="1" x14ac:dyDescent="0.2">
      <c r="A4044">
        <f>IFERROR(VLOOKUP(C4044,'GASB Match'!$D$2:$F$6042,3,FALSE),"")</f>
        <v>3412120</v>
      </c>
      <c r="B4044" s="17">
        <v>2019</v>
      </c>
      <c r="C4044" s="17" t="s">
        <v>1129</v>
      </c>
      <c r="D4044" s="17">
        <v>349</v>
      </c>
      <c r="E4044" s="17" t="s">
        <v>1463</v>
      </c>
      <c r="F4044" s="20">
        <v>896486</v>
      </c>
    </row>
    <row r="4045" spans="1:6" ht="16" customHeight="1" x14ac:dyDescent="0.2">
      <c r="A4045">
        <f>IFERROR(VLOOKUP(C4045,'GASB Match'!$D$2:$F$6042,3,FALSE),"")</f>
        <v>3412120</v>
      </c>
      <c r="B4045" s="17">
        <v>2020</v>
      </c>
      <c r="C4045" s="21" t="s">
        <v>1129</v>
      </c>
      <c r="D4045" s="17">
        <v>349</v>
      </c>
      <c r="E4045" s="17" t="s">
        <v>1463</v>
      </c>
      <c r="F4045" s="23">
        <v>1019239</v>
      </c>
    </row>
    <row r="4046" spans="1:6" ht="16" customHeight="1" x14ac:dyDescent="0.2">
      <c r="A4046">
        <f>IFERROR(VLOOKUP(C4046,'GASB Match'!$D$2:$F$6042,3,FALSE),"")</f>
        <v>3412120</v>
      </c>
      <c r="B4046" s="17">
        <v>2021</v>
      </c>
      <c r="C4046" s="25" t="s">
        <v>1129</v>
      </c>
      <c r="D4046" s="17">
        <v>349</v>
      </c>
      <c r="E4046" s="17" t="s">
        <v>1463</v>
      </c>
      <c r="F4046" s="23">
        <v>1360528</v>
      </c>
    </row>
    <row r="4047" spans="1:6" ht="16" customHeight="1" x14ac:dyDescent="0.2">
      <c r="A4047">
        <f>IFERROR(VLOOKUP(C4047,'GASB Match'!$D$2:$F$6042,3,FALSE),"")</f>
        <v>3412120</v>
      </c>
      <c r="B4047" s="17">
        <v>2022</v>
      </c>
      <c r="C4047" s="21" t="s">
        <v>1129</v>
      </c>
      <c r="D4047" s="17">
        <v>349</v>
      </c>
      <c r="E4047" s="17" t="s">
        <v>1463</v>
      </c>
      <c r="F4047" s="23">
        <v>2018008</v>
      </c>
    </row>
    <row r="4048" spans="1:6" ht="16" customHeight="1" x14ac:dyDescent="0.2">
      <c r="A4048">
        <f>IFERROR(VLOOKUP(C4048,'GASB Match'!$D$2:$F$6042,3,FALSE),"")</f>
        <v>3412120</v>
      </c>
      <c r="B4048" s="17">
        <v>2023</v>
      </c>
      <c r="C4048" s="21" t="s">
        <v>1129</v>
      </c>
      <c r="D4048" s="17">
        <v>349</v>
      </c>
      <c r="E4048" s="17" t="s">
        <v>1463</v>
      </c>
      <c r="F4048" s="23">
        <v>2065225</v>
      </c>
    </row>
    <row r="4049" spans="1:6" ht="16" customHeight="1" x14ac:dyDescent="0.2">
      <c r="A4049">
        <f>IFERROR(VLOOKUP(C4049,'GASB Match'!$D$2:$F$6042,3,FALSE),"")</f>
        <v>3412120</v>
      </c>
      <c r="B4049" s="28">
        <v>2017</v>
      </c>
      <c r="C4049" s="29" t="s">
        <v>437</v>
      </c>
      <c r="D4049" s="17">
        <v>349</v>
      </c>
      <c r="E4049" s="17" t="s">
        <v>1420</v>
      </c>
      <c r="F4049" s="29">
        <v>505852</v>
      </c>
    </row>
    <row r="4050" spans="1:6" ht="16" customHeight="1" x14ac:dyDescent="0.2">
      <c r="A4050" t="str">
        <f>IFERROR(VLOOKUP(C4050,'GASB Match'!$D$2:$F$6042,3,FALSE),"")</f>
        <v/>
      </c>
      <c r="B4050" s="17">
        <v>2015</v>
      </c>
      <c r="C4050" s="17" t="s">
        <v>1401</v>
      </c>
      <c r="D4050" s="17">
        <v>1022</v>
      </c>
      <c r="E4050" s="17" t="s">
        <v>1400</v>
      </c>
      <c r="F4050" s="20">
        <v>107834</v>
      </c>
    </row>
    <row r="4051" spans="1:6" ht="16" customHeight="1" x14ac:dyDescent="0.2">
      <c r="A4051" t="str">
        <f>IFERROR(VLOOKUP(C4051,'GASB Match'!$D$2:$F$6042,3,FALSE),"")</f>
        <v/>
      </c>
      <c r="B4051" s="17">
        <v>2018</v>
      </c>
      <c r="C4051" s="17" t="s">
        <v>1442</v>
      </c>
      <c r="D4051" s="17">
        <v>1022</v>
      </c>
      <c r="E4051" s="17" t="s">
        <v>1441</v>
      </c>
      <c r="F4051" s="20">
        <v>50012</v>
      </c>
    </row>
    <row r="4052" spans="1:6" ht="16" customHeight="1" x14ac:dyDescent="0.2">
      <c r="A4052" t="str">
        <f>IFERROR(VLOOKUP(C4052,'GASB Match'!$D$2:$F$6042,3,FALSE),"")</f>
        <v/>
      </c>
      <c r="B4052" s="28">
        <v>2017</v>
      </c>
      <c r="C4052" s="29" t="s">
        <v>1401</v>
      </c>
      <c r="D4052" s="17">
        <v>1022</v>
      </c>
      <c r="E4052" s="17" t="s">
        <v>1400</v>
      </c>
      <c r="F4052" s="29">
        <v>63236</v>
      </c>
    </row>
    <row r="4053" spans="1:6" ht="16" customHeight="1" x14ac:dyDescent="0.2">
      <c r="A4053">
        <f>IFERROR(VLOOKUP(C4053,'GASB Match'!$D$2:$F$6042,3,FALSE),"")</f>
        <v>3412150</v>
      </c>
      <c r="B4053" s="17">
        <v>2015</v>
      </c>
      <c r="C4053" s="17" t="s">
        <v>599</v>
      </c>
      <c r="D4053" s="17">
        <v>787</v>
      </c>
      <c r="E4053" s="17" t="s">
        <v>1426</v>
      </c>
      <c r="F4053" s="20">
        <v>108811</v>
      </c>
    </row>
    <row r="4054" spans="1:6" ht="16" customHeight="1" x14ac:dyDescent="0.2">
      <c r="A4054">
        <f>IFERROR(VLOOKUP(C4054,'GASB Match'!$D$2:$F$6042,3,FALSE),"")</f>
        <v>3412150</v>
      </c>
      <c r="B4054" s="17">
        <v>2016</v>
      </c>
      <c r="C4054" s="17" t="s">
        <v>599</v>
      </c>
      <c r="D4054" s="17">
        <v>787</v>
      </c>
      <c r="E4054" s="17" t="s">
        <v>1426</v>
      </c>
      <c r="F4054" s="20">
        <v>174389</v>
      </c>
    </row>
    <row r="4055" spans="1:6" ht="16" customHeight="1" x14ac:dyDescent="0.2">
      <c r="A4055">
        <f>IFERROR(VLOOKUP(C4055,'GASB Match'!$D$2:$F$6042,3,FALSE),"")</f>
        <v>3412150</v>
      </c>
      <c r="B4055" s="17">
        <v>2018</v>
      </c>
      <c r="C4055" s="17" t="s">
        <v>1292</v>
      </c>
      <c r="D4055" s="17">
        <v>787</v>
      </c>
      <c r="E4055" s="17" t="s">
        <v>1469</v>
      </c>
      <c r="F4055" s="20">
        <v>271588</v>
      </c>
    </row>
    <row r="4056" spans="1:6" ht="16" customHeight="1" x14ac:dyDescent="0.2">
      <c r="A4056">
        <f>IFERROR(VLOOKUP(C4056,'GASB Match'!$D$2:$F$6042,3,FALSE),"")</f>
        <v>3412150</v>
      </c>
      <c r="B4056" s="17">
        <v>2019</v>
      </c>
      <c r="C4056" s="17" t="s">
        <v>1292</v>
      </c>
      <c r="D4056" s="17">
        <v>787</v>
      </c>
      <c r="E4056" s="17" t="s">
        <v>1469</v>
      </c>
      <c r="F4056" s="20">
        <v>430325</v>
      </c>
    </row>
    <row r="4057" spans="1:6" ht="16" customHeight="1" x14ac:dyDescent="0.2">
      <c r="A4057">
        <f>IFERROR(VLOOKUP(C4057,'GASB Match'!$D$2:$F$6042,3,FALSE),"")</f>
        <v>3412150</v>
      </c>
      <c r="B4057" s="17">
        <v>2020</v>
      </c>
      <c r="C4057" s="21" t="s">
        <v>1292</v>
      </c>
      <c r="D4057" s="17">
        <v>787</v>
      </c>
      <c r="E4057" s="17" t="s">
        <v>1469</v>
      </c>
      <c r="F4057" s="23">
        <v>429119</v>
      </c>
    </row>
    <row r="4058" spans="1:6" ht="16" customHeight="1" x14ac:dyDescent="0.2">
      <c r="A4058">
        <f>IFERROR(VLOOKUP(C4058,'GASB Match'!$D$2:$F$6042,3,FALSE),"")</f>
        <v>3412150</v>
      </c>
      <c r="B4058" s="17">
        <v>2021</v>
      </c>
      <c r="C4058" s="25" t="s">
        <v>1292</v>
      </c>
      <c r="D4058" s="17">
        <v>787</v>
      </c>
      <c r="E4058" s="17" t="s">
        <v>1469</v>
      </c>
      <c r="F4058" s="23">
        <v>584666</v>
      </c>
    </row>
    <row r="4059" spans="1:6" ht="16" customHeight="1" x14ac:dyDescent="0.2">
      <c r="A4059">
        <f>IFERROR(VLOOKUP(C4059,'GASB Match'!$D$2:$F$6042,3,FALSE),"")</f>
        <v>3412150</v>
      </c>
      <c r="B4059" s="17">
        <v>2022</v>
      </c>
      <c r="C4059" s="21" t="s">
        <v>1292</v>
      </c>
      <c r="D4059" s="17">
        <v>787</v>
      </c>
      <c r="E4059" s="17" t="s">
        <v>1469</v>
      </c>
      <c r="F4059" s="23">
        <v>811389</v>
      </c>
    </row>
    <row r="4060" spans="1:6" ht="16" customHeight="1" x14ac:dyDescent="0.2">
      <c r="A4060">
        <f>IFERROR(VLOOKUP(C4060,'GASB Match'!$D$2:$F$6042,3,FALSE),"")</f>
        <v>3412150</v>
      </c>
      <c r="B4060" s="17">
        <v>2023</v>
      </c>
      <c r="C4060" s="21" t="s">
        <v>1292</v>
      </c>
      <c r="D4060" s="17">
        <v>787</v>
      </c>
      <c r="E4060" s="17" t="s">
        <v>1469</v>
      </c>
      <c r="F4060" s="23">
        <v>806615</v>
      </c>
    </row>
    <row r="4061" spans="1:6" ht="16" customHeight="1" x14ac:dyDescent="0.2">
      <c r="A4061">
        <f>IFERROR(VLOOKUP(C4061,'GASB Match'!$D$2:$F$6042,3,FALSE),"")</f>
        <v>3412150</v>
      </c>
      <c r="B4061" s="28">
        <v>2017</v>
      </c>
      <c r="C4061" s="29" t="s">
        <v>599</v>
      </c>
      <c r="D4061" s="17">
        <v>787</v>
      </c>
      <c r="E4061" s="17" t="s">
        <v>1426</v>
      </c>
      <c r="F4061" s="29">
        <v>226197</v>
      </c>
    </row>
    <row r="4062" spans="1:6" ht="16" customHeight="1" x14ac:dyDescent="0.2">
      <c r="A4062">
        <f>IFERROR(VLOOKUP(C4062,'GASB Match'!$D$2:$F$6042,3,FALSE),"")</f>
        <v>3409270</v>
      </c>
      <c r="B4062" s="17">
        <v>2015</v>
      </c>
      <c r="C4062" s="17" t="s">
        <v>390</v>
      </c>
      <c r="D4062" s="17">
        <v>238</v>
      </c>
      <c r="E4062" s="17" t="s">
        <v>1418</v>
      </c>
      <c r="F4062" s="20">
        <v>3329033</v>
      </c>
    </row>
    <row r="4063" spans="1:6" ht="16" customHeight="1" x14ac:dyDescent="0.2">
      <c r="A4063">
        <f>IFERROR(VLOOKUP(C4063,'GASB Match'!$D$2:$F$6042,3,FALSE),"")</f>
        <v>3409270</v>
      </c>
      <c r="B4063" s="17">
        <v>2016</v>
      </c>
      <c r="C4063" s="17" t="s">
        <v>390</v>
      </c>
      <c r="D4063" s="17">
        <v>238</v>
      </c>
      <c r="E4063" s="17" t="s">
        <v>1418</v>
      </c>
      <c r="F4063" s="20">
        <v>4939537</v>
      </c>
    </row>
    <row r="4064" spans="1:6" ht="16" customHeight="1" x14ac:dyDescent="0.2">
      <c r="A4064">
        <f>IFERROR(VLOOKUP(C4064,'GASB Match'!$D$2:$F$6042,3,FALSE),"")</f>
        <v>3409270</v>
      </c>
      <c r="B4064" s="17">
        <v>2018</v>
      </c>
      <c r="C4064" s="17" t="s">
        <v>1082</v>
      </c>
      <c r="D4064" s="17">
        <v>238</v>
      </c>
      <c r="E4064" s="17" t="s">
        <v>1461</v>
      </c>
      <c r="F4064" s="20">
        <v>9510367</v>
      </c>
    </row>
    <row r="4065" spans="1:6" ht="16" customHeight="1" x14ac:dyDescent="0.2">
      <c r="A4065">
        <f>IFERROR(VLOOKUP(C4065,'GASB Match'!$D$2:$F$6042,3,FALSE),"")</f>
        <v>3409270</v>
      </c>
      <c r="B4065" s="17">
        <v>2019</v>
      </c>
      <c r="C4065" s="17" t="s">
        <v>1082</v>
      </c>
      <c r="D4065" s="17">
        <v>238</v>
      </c>
      <c r="E4065" s="17" t="s">
        <v>1461</v>
      </c>
      <c r="F4065" s="20">
        <v>12733405</v>
      </c>
    </row>
    <row r="4066" spans="1:6" ht="16" customHeight="1" x14ac:dyDescent="0.2">
      <c r="A4066">
        <f>IFERROR(VLOOKUP(C4066,'GASB Match'!$D$2:$F$6042,3,FALSE),"")</f>
        <v>3409270</v>
      </c>
      <c r="B4066" s="17">
        <v>2020</v>
      </c>
      <c r="C4066" s="21" t="s">
        <v>1082</v>
      </c>
      <c r="D4066" s="17">
        <v>238</v>
      </c>
      <c r="E4066" s="17" t="s">
        <v>1461</v>
      </c>
      <c r="F4066" s="23">
        <v>14460555</v>
      </c>
    </row>
    <row r="4067" spans="1:6" ht="16" customHeight="1" x14ac:dyDescent="0.2">
      <c r="A4067">
        <f>IFERROR(VLOOKUP(C4067,'GASB Match'!$D$2:$F$6042,3,FALSE),"")</f>
        <v>3409270</v>
      </c>
      <c r="B4067" s="17">
        <v>2021</v>
      </c>
      <c r="C4067" s="25" t="s">
        <v>1082</v>
      </c>
      <c r="D4067" s="17">
        <v>238</v>
      </c>
      <c r="E4067" s="17" t="s">
        <v>1461</v>
      </c>
      <c r="F4067" s="23">
        <v>18619271</v>
      </c>
    </row>
    <row r="4068" spans="1:6" ht="16" customHeight="1" x14ac:dyDescent="0.2">
      <c r="A4068">
        <f>IFERROR(VLOOKUP(C4068,'GASB Match'!$D$2:$F$6042,3,FALSE),"")</f>
        <v>3409270</v>
      </c>
      <c r="B4068" s="17">
        <v>2022</v>
      </c>
      <c r="C4068" s="21" t="s">
        <v>1082</v>
      </c>
      <c r="D4068" s="17">
        <v>238</v>
      </c>
      <c r="E4068" s="17" t="s">
        <v>1461</v>
      </c>
      <c r="F4068" s="23">
        <v>25026702</v>
      </c>
    </row>
    <row r="4069" spans="1:6" ht="16" customHeight="1" x14ac:dyDescent="0.2">
      <c r="A4069">
        <f>IFERROR(VLOOKUP(C4069,'GASB Match'!$D$2:$F$6042,3,FALSE),"")</f>
        <v>3409270</v>
      </c>
      <c r="B4069" s="17">
        <v>2023</v>
      </c>
      <c r="C4069" s="21" t="s">
        <v>1082</v>
      </c>
      <c r="D4069" s="17">
        <v>238</v>
      </c>
      <c r="E4069" s="17" t="s">
        <v>1461</v>
      </c>
      <c r="F4069" s="23">
        <v>24863252</v>
      </c>
    </row>
    <row r="4070" spans="1:6" ht="16" customHeight="1" x14ac:dyDescent="0.2">
      <c r="A4070">
        <f>IFERROR(VLOOKUP(C4070,'GASB Match'!$D$2:$F$6042,3,FALSE),"")</f>
        <v>3409270</v>
      </c>
      <c r="B4070" s="28">
        <v>2017</v>
      </c>
      <c r="C4070" s="29" t="s">
        <v>390</v>
      </c>
      <c r="D4070" s="17">
        <v>238</v>
      </c>
      <c r="E4070" s="17" t="s">
        <v>1418</v>
      </c>
      <c r="F4070" s="29">
        <v>6992497</v>
      </c>
    </row>
    <row r="4071" spans="1:6" ht="16" customHeight="1" x14ac:dyDescent="0.2">
      <c r="A4071">
        <f>IFERROR(VLOOKUP(C4071,'GASB Match'!$D$2:$F$6042,3,FALSE),"")</f>
        <v>3412180</v>
      </c>
      <c r="B4071" s="17">
        <v>2015</v>
      </c>
      <c r="C4071" s="17" t="s">
        <v>76</v>
      </c>
      <c r="D4071" s="17">
        <v>2067</v>
      </c>
      <c r="E4071" s="17" t="s">
        <v>1402</v>
      </c>
      <c r="F4071" s="20">
        <v>317173</v>
      </c>
    </row>
    <row r="4072" spans="1:6" ht="16" customHeight="1" x14ac:dyDescent="0.2">
      <c r="A4072">
        <f>IFERROR(VLOOKUP(C4072,'GASB Match'!$D$2:$F$6042,3,FALSE),"")</f>
        <v>3412180</v>
      </c>
      <c r="B4072" s="17">
        <v>2016</v>
      </c>
      <c r="C4072" s="17" t="s">
        <v>76</v>
      </c>
      <c r="D4072" s="17">
        <v>2067</v>
      </c>
      <c r="E4072" s="17" t="s">
        <v>1402</v>
      </c>
      <c r="F4072" s="20">
        <v>486032</v>
      </c>
    </row>
    <row r="4073" spans="1:6" ht="16" customHeight="1" x14ac:dyDescent="0.2">
      <c r="A4073">
        <f>IFERROR(VLOOKUP(C4073,'GASB Match'!$D$2:$F$6042,3,FALSE),"")</f>
        <v>3412180</v>
      </c>
      <c r="B4073" s="17">
        <v>2018</v>
      </c>
      <c r="C4073" s="17" t="s">
        <v>754</v>
      </c>
      <c r="D4073" s="17">
        <v>2067</v>
      </c>
      <c r="E4073" s="17" t="s">
        <v>1443</v>
      </c>
      <c r="F4073" s="20">
        <v>888268</v>
      </c>
    </row>
    <row r="4074" spans="1:6" ht="16" customHeight="1" x14ac:dyDescent="0.2">
      <c r="A4074">
        <f>IFERROR(VLOOKUP(C4074,'GASB Match'!$D$2:$F$6042,3,FALSE),"")</f>
        <v>3412180</v>
      </c>
      <c r="B4074" s="17">
        <v>2019</v>
      </c>
      <c r="C4074" s="17" t="s">
        <v>754</v>
      </c>
      <c r="D4074" s="17">
        <v>2067</v>
      </c>
      <c r="E4074" s="17" t="s">
        <v>1443</v>
      </c>
      <c r="F4074" s="20">
        <v>1162777</v>
      </c>
    </row>
    <row r="4075" spans="1:6" ht="16" customHeight="1" x14ac:dyDescent="0.2">
      <c r="A4075">
        <f>IFERROR(VLOOKUP(C4075,'GASB Match'!$D$2:$F$6042,3,FALSE),"")</f>
        <v>3412180</v>
      </c>
      <c r="B4075" s="17">
        <v>2020</v>
      </c>
      <c r="C4075" s="21" t="s">
        <v>754</v>
      </c>
      <c r="D4075" s="17">
        <v>2067</v>
      </c>
      <c r="E4075" s="17" t="s">
        <v>1443</v>
      </c>
      <c r="F4075" s="23">
        <v>1270807</v>
      </c>
    </row>
    <row r="4076" spans="1:6" ht="16" customHeight="1" x14ac:dyDescent="0.2">
      <c r="A4076">
        <f>IFERROR(VLOOKUP(C4076,'GASB Match'!$D$2:$F$6042,3,FALSE),"")</f>
        <v>3412180</v>
      </c>
      <c r="B4076" s="17">
        <v>2021</v>
      </c>
      <c r="C4076" s="25" t="s">
        <v>754</v>
      </c>
      <c r="D4076" s="17">
        <v>2067</v>
      </c>
      <c r="E4076" s="17" t="s">
        <v>1443</v>
      </c>
      <c r="F4076" s="23">
        <v>1682671</v>
      </c>
    </row>
    <row r="4077" spans="1:6" ht="16" customHeight="1" x14ac:dyDescent="0.2">
      <c r="A4077">
        <f>IFERROR(VLOOKUP(C4077,'GASB Match'!$D$2:$F$6042,3,FALSE),"")</f>
        <v>3412180</v>
      </c>
      <c r="B4077" s="17">
        <v>2022</v>
      </c>
      <c r="C4077" s="21" t="s">
        <v>754</v>
      </c>
      <c r="D4077" s="17">
        <v>2067</v>
      </c>
      <c r="E4077" s="17" t="s">
        <v>1443</v>
      </c>
      <c r="F4077" s="23">
        <v>2385166</v>
      </c>
    </row>
    <row r="4078" spans="1:6" ht="16" customHeight="1" x14ac:dyDescent="0.2">
      <c r="A4078">
        <f>IFERROR(VLOOKUP(C4078,'GASB Match'!$D$2:$F$6042,3,FALSE),"")</f>
        <v>3412180</v>
      </c>
      <c r="B4078" s="17">
        <v>2023</v>
      </c>
      <c r="C4078" s="21" t="s">
        <v>754</v>
      </c>
      <c r="D4078" s="17">
        <v>2067</v>
      </c>
      <c r="E4078" s="17" t="s">
        <v>1443</v>
      </c>
      <c r="F4078" s="23">
        <v>2485532</v>
      </c>
    </row>
    <row r="4079" spans="1:6" ht="16" customHeight="1" x14ac:dyDescent="0.2">
      <c r="A4079">
        <f>IFERROR(VLOOKUP(C4079,'GASB Match'!$D$2:$F$6042,3,FALSE),"")</f>
        <v>3412180</v>
      </c>
      <c r="B4079" s="28">
        <v>2017</v>
      </c>
      <c r="C4079" s="29" t="s">
        <v>76</v>
      </c>
      <c r="D4079" s="17">
        <v>2067</v>
      </c>
      <c r="E4079" s="17" t="s">
        <v>1402</v>
      </c>
      <c r="F4079" s="29">
        <v>671738</v>
      </c>
    </row>
    <row r="4080" spans="1:6" ht="16" customHeight="1" x14ac:dyDescent="0.2">
      <c r="A4080">
        <f>IFERROR(VLOOKUP(C4080,'GASB Match'!$D$2:$F$6042,3,FALSE),"")</f>
        <v>3412210</v>
      </c>
      <c r="B4080" s="17">
        <v>2015</v>
      </c>
      <c r="C4080" s="17" t="s">
        <v>553</v>
      </c>
      <c r="D4080" s="17">
        <v>717</v>
      </c>
      <c r="E4080" s="17" t="s">
        <v>1424</v>
      </c>
      <c r="F4080" s="20">
        <v>85338</v>
      </c>
    </row>
    <row r="4081" spans="1:6" ht="16" customHeight="1" x14ac:dyDescent="0.2">
      <c r="A4081">
        <f>IFERROR(VLOOKUP(C4081,'GASB Match'!$D$2:$F$6042,3,FALSE),"")</f>
        <v>3412210</v>
      </c>
      <c r="B4081" s="17">
        <v>2016</v>
      </c>
      <c r="C4081" s="17" t="s">
        <v>553</v>
      </c>
      <c r="D4081" s="17">
        <v>717</v>
      </c>
      <c r="E4081" s="17" t="s">
        <v>1424</v>
      </c>
      <c r="F4081" s="20">
        <v>135393</v>
      </c>
    </row>
    <row r="4082" spans="1:6" ht="16" customHeight="1" x14ac:dyDescent="0.2">
      <c r="A4082">
        <f>IFERROR(VLOOKUP(C4082,'GASB Match'!$D$2:$F$6042,3,FALSE),"")</f>
        <v>3412210</v>
      </c>
      <c r="B4082" s="17">
        <v>2018</v>
      </c>
      <c r="C4082" s="17" t="s">
        <v>1245</v>
      </c>
      <c r="D4082" s="17">
        <v>717</v>
      </c>
      <c r="E4082" s="17" t="s">
        <v>1467</v>
      </c>
      <c r="F4082" s="20">
        <v>266002</v>
      </c>
    </row>
    <row r="4083" spans="1:6" ht="16" customHeight="1" x14ac:dyDescent="0.2">
      <c r="A4083">
        <f>IFERROR(VLOOKUP(C4083,'GASB Match'!$D$2:$F$6042,3,FALSE),"")</f>
        <v>3412210</v>
      </c>
      <c r="B4083" s="17">
        <v>2019</v>
      </c>
      <c r="C4083" s="17" t="s">
        <v>1245</v>
      </c>
      <c r="D4083" s="17">
        <v>717</v>
      </c>
      <c r="E4083" s="17" t="s">
        <v>1467</v>
      </c>
      <c r="F4083" s="20">
        <v>326695</v>
      </c>
    </row>
    <row r="4084" spans="1:6" ht="16" customHeight="1" x14ac:dyDescent="0.2">
      <c r="A4084">
        <f>IFERROR(VLOOKUP(C4084,'GASB Match'!$D$2:$F$6042,3,FALSE),"")</f>
        <v>3412210</v>
      </c>
      <c r="B4084" s="17">
        <v>2020</v>
      </c>
      <c r="C4084" s="21" t="s">
        <v>1245</v>
      </c>
      <c r="D4084" s="17">
        <v>717</v>
      </c>
      <c r="E4084" s="17" t="s">
        <v>1467</v>
      </c>
      <c r="F4084" s="23">
        <v>378528</v>
      </c>
    </row>
    <row r="4085" spans="1:6" ht="16" customHeight="1" x14ac:dyDescent="0.2">
      <c r="A4085">
        <f>IFERROR(VLOOKUP(C4085,'GASB Match'!$D$2:$F$6042,3,FALSE),"")</f>
        <v>3412210</v>
      </c>
      <c r="B4085" s="17">
        <v>2021</v>
      </c>
      <c r="C4085" s="25" t="s">
        <v>1245</v>
      </c>
      <c r="D4085" s="17">
        <v>717</v>
      </c>
      <c r="E4085" s="17" t="s">
        <v>1467</v>
      </c>
      <c r="F4085" s="23">
        <v>505550</v>
      </c>
    </row>
    <row r="4086" spans="1:6" ht="16" customHeight="1" x14ac:dyDescent="0.2">
      <c r="A4086">
        <f>IFERROR(VLOOKUP(C4086,'GASB Match'!$D$2:$F$6042,3,FALSE),"")</f>
        <v>3412210</v>
      </c>
      <c r="B4086" s="17">
        <v>2022</v>
      </c>
      <c r="C4086" s="21" t="s">
        <v>1245</v>
      </c>
      <c r="D4086" s="17">
        <v>717</v>
      </c>
      <c r="E4086" s="17" t="s">
        <v>1467</v>
      </c>
      <c r="F4086" s="22">
        <v>749597</v>
      </c>
    </row>
    <row r="4087" spans="1:6" ht="16" customHeight="1" x14ac:dyDescent="0.2">
      <c r="A4087">
        <f>IFERROR(VLOOKUP(C4087,'GASB Match'!$D$2:$F$6042,3,FALSE),"")</f>
        <v>3412210</v>
      </c>
      <c r="B4087" s="17">
        <v>2023</v>
      </c>
      <c r="C4087" s="21" t="s">
        <v>1245</v>
      </c>
      <c r="D4087" s="17">
        <v>717</v>
      </c>
      <c r="E4087" s="17" t="s">
        <v>1467</v>
      </c>
      <c r="F4087" s="23">
        <v>731113</v>
      </c>
    </row>
    <row r="4088" spans="1:6" ht="16" customHeight="1" x14ac:dyDescent="0.2">
      <c r="A4088">
        <f>IFERROR(VLOOKUP(C4088,'GASB Match'!$D$2:$F$6042,3,FALSE),"")</f>
        <v>3412210</v>
      </c>
      <c r="B4088" s="28">
        <v>2017</v>
      </c>
      <c r="C4088" s="29" t="s">
        <v>553</v>
      </c>
      <c r="D4088" s="17">
        <v>717</v>
      </c>
      <c r="E4088" s="17" t="s">
        <v>1424</v>
      </c>
      <c r="F4088" s="29">
        <v>188732</v>
      </c>
    </row>
    <row r="4089" spans="1:6" ht="16" customHeight="1" x14ac:dyDescent="0.2">
      <c r="A4089">
        <f>IFERROR(VLOOKUP(C4089,'GASB Match'!$D$2:$F$6042,3,FALSE),"")</f>
        <v>3412240</v>
      </c>
      <c r="B4089" s="17">
        <v>2015</v>
      </c>
      <c r="C4089" s="17" t="s">
        <v>77</v>
      </c>
      <c r="D4089" s="17">
        <v>2068</v>
      </c>
      <c r="E4089" s="17" t="s">
        <v>1402</v>
      </c>
      <c r="F4089" s="20">
        <v>261849</v>
      </c>
    </row>
    <row r="4090" spans="1:6" ht="16" customHeight="1" x14ac:dyDescent="0.2">
      <c r="A4090">
        <f>IFERROR(VLOOKUP(C4090,'GASB Match'!$D$2:$F$6042,3,FALSE),"")</f>
        <v>3412240</v>
      </c>
      <c r="B4090" s="17">
        <v>2016</v>
      </c>
      <c r="C4090" s="17" t="s">
        <v>77</v>
      </c>
      <c r="D4090" s="17">
        <v>2068</v>
      </c>
      <c r="E4090" s="17" t="s">
        <v>1402</v>
      </c>
      <c r="F4090" s="20">
        <v>364368</v>
      </c>
    </row>
    <row r="4091" spans="1:6" ht="16" customHeight="1" x14ac:dyDescent="0.2">
      <c r="A4091">
        <f>IFERROR(VLOOKUP(C4091,'GASB Match'!$D$2:$F$6042,3,FALSE),"")</f>
        <v>3412240</v>
      </c>
      <c r="B4091" s="17">
        <v>2018</v>
      </c>
      <c r="C4091" s="17" t="s">
        <v>755</v>
      </c>
      <c r="D4091" s="17">
        <v>2068</v>
      </c>
      <c r="E4091" s="17" t="s">
        <v>1443</v>
      </c>
      <c r="F4091" s="20">
        <v>677783</v>
      </c>
    </row>
    <row r="4092" spans="1:6" ht="16" customHeight="1" x14ac:dyDescent="0.2">
      <c r="A4092">
        <f>IFERROR(VLOOKUP(C4092,'GASB Match'!$D$2:$F$6042,3,FALSE),"")</f>
        <v>3412240</v>
      </c>
      <c r="B4092" s="17">
        <v>2019</v>
      </c>
      <c r="C4092" s="17" t="s">
        <v>755</v>
      </c>
      <c r="D4092" s="17">
        <v>2068</v>
      </c>
      <c r="E4092" s="17" t="s">
        <v>1443</v>
      </c>
      <c r="F4092" s="20">
        <v>957837</v>
      </c>
    </row>
    <row r="4093" spans="1:6" ht="16" customHeight="1" x14ac:dyDescent="0.2">
      <c r="A4093">
        <f>IFERROR(VLOOKUP(C4093,'GASB Match'!$D$2:$F$6042,3,FALSE),"")</f>
        <v>3412240</v>
      </c>
      <c r="B4093" s="17">
        <v>2020</v>
      </c>
      <c r="C4093" s="21" t="s">
        <v>755</v>
      </c>
      <c r="D4093" s="17">
        <v>2068</v>
      </c>
      <c r="E4093" s="17" t="s">
        <v>1443</v>
      </c>
      <c r="F4093" s="23">
        <v>1120662</v>
      </c>
    </row>
    <row r="4094" spans="1:6" ht="16" customHeight="1" x14ac:dyDescent="0.2">
      <c r="A4094">
        <f>IFERROR(VLOOKUP(C4094,'GASB Match'!$D$2:$F$6042,3,FALSE),"")</f>
        <v>3412240</v>
      </c>
      <c r="B4094" s="17">
        <v>2021</v>
      </c>
      <c r="C4094" s="25" t="s">
        <v>755</v>
      </c>
      <c r="D4094" s="17">
        <v>2068</v>
      </c>
      <c r="E4094" s="17" t="s">
        <v>1443</v>
      </c>
      <c r="F4094" s="23">
        <v>1480303</v>
      </c>
    </row>
    <row r="4095" spans="1:6" ht="16" customHeight="1" x14ac:dyDescent="0.2">
      <c r="A4095">
        <f>IFERROR(VLOOKUP(C4095,'GASB Match'!$D$2:$F$6042,3,FALSE),"")</f>
        <v>3412240</v>
      </c>
      <c r="B4095" s="17">
        <v>2022</v>
      </c>
      <c r="C4095" s="21" t="s">
        <v>755</v>
      </c>
      <c r="D4095" s="17">
        <v>2068</v>
      </c>
      <c r="E4095" s="17" t="s">
        <v>1443</v>
      </c>
      <c r="F4095" s="23">
        <v>2108613</v>
      </c>
    </row>
    <row r="4096" spans="1:6" ht="16" customHeight="1" x14ac:dyDescent="0.2">
      <c r="A4096">
        <f>IFERROR(VLOOKUP(C4096,'GASB Match'!$D$2:$F$6042,3,FALSE),"")</f>
        <v>3412240</v>
      </c>
      <c r="B4096" s="17">
        <v>2023</v>
      </c>
      <c r="C4096" s="21" t="s">
        <v>755</v>
      </c>
      <c r="D4096" s="17">
        <v>2068</v>
      </c>
      <c r="E4096" s="17" t="s">
        <v>1443</v>
      </c>
      <c r="F4096" s="23">
        <v>2101123</v>
      </c>
    </row>
    <row r="4097" spans="1:6" ht="16" customHeight="1" x14ac:dyDescent="0.2">
      <c r="A4097">
        <f>IFERROR(VLOOKUP(C4097,'GASB Match'!$D$2:$F$6042,3,FALSE),"")</f>
        <v>3412240</v>
      </c>
      <c r="B4097" s="28">
        <v>2017</v>
      </c>
      <c r="C4097" s="29" t="s">
        <v>77</v>
      </c>
      <c r="D4097" s="17">
        <v>2068</v>
      </c>
      <c r="E4097" s="17" t="s">
        <v>1402</v>
      </c>
      <c r="F4097" s="29">
        <v>512636</v>
      </c>
    </row>
    <row r="4098" spans="1:6" ht="16" customHeight="1" x14ac:dyDescent="0.2">
      <c r="A4098">
        <f>IFERROR(VLOOKUP(C4098,'GASB Match'!$D$2:$F$6042,3,FALSE),"")</f>
        <v>3412270</v>
      </c>
      <c r="B4098" s="17">
        <v>2015</v>
      </c>
      <c r="C4098" s="17" t="s">
        <v>259</v>
      </c>
      <c r="D4098" s="17">
        <v>6060</v>
      </c>
      <c r="E4098" s="17" t="s">
        <v>1411</v>
      </c>
      <c r="F4098" s="20">
        <v>1980224</v>
      </c>
    </row>
    <row r="4099" spans="1:6" ht="16" customHeight="1" x14ac:dyDescent="0.2">
      <c r="A4099">
        <f>IFERROR(VLOOKUP(C4099,'GASB Match'!$D$2:$F$6042,3,FALSE),"")</f>
        <v>3412270</v>
      </c>
      <c r="B4099" s="17">
        <v>2016</v>
      </c>
      <c r="C4099" s="17" t="s">
        <v>259</v>
      </c>
      <c r="D4099" s="17">
        <v>6060</v>
      </c>
      <c r="E4099" s="17" t="s">
        <v>1411</v>
      </c>
      <c r="F4099" s="20">
        <v>3042607</v>
      </c>
    </row>
    <row r="4100" spans="1:6" ht="16" customHeight="1" x14ac:dyDescent="0.2">
      <c r="A4100">
        <f>IFERROR(VLOOKUP(C4100,'GASB Match'!$D$2:$F$6042,3,FALSE),"")</f>
        <v>3412270</v>
      </c>
      <c r="B4100" s="17">
        <v>2018</v>
      </c>
      <c r="C4100" s="17" t="s">
        <v>948</v>
      </c>
      <c r="D4100" s="17">
        <v>6060</v>
      </c>
      <c r="E4100" s="17" t="s">
        <v>1452</v>
      </c>
      <c r="F4100" s="20">
        <v>5594611</v>
      </c>
    </row>
    <row r="4101" spans="1:6" ht="16" customHeight="1" x14ac:dyDescent="0.2">
      <c r="A4101">
        <f>IFERROR(VLOOKUP(C4101,'GASB Match'!$D$2:$F$6042,3,FALSE),"")</f>
        <v>3412270</v>
      </c>
      <c r="B4101" s="17">
        <v>2019</v>
      </c>
      <c r="C4101" s="17" t="s">
        <v>948</v>
      </c>
      <c r="D4101" s="17">
        <v>6060</v>
      </c>
      <c r="E4101" s="17" t="s">
        <v>1452</v>
      </c>
      <c r="F4101" s="20">
        <v>7447930</v>
      </c>
    </row>
    <row r="4102" spans="1:6" ht="16" customHeight="1" x14ac:dyDescent="0.2">
      <c r="A4102">
        <f>IFERROR(VLOOKUP(C4102,'GASB Match'!$D$2:$F$6042,3,FALSE),"")</f>
        <v>3412270</v>
      </c>
      <c r="B4102" s="17">
        <v>2020</v>
      </c>
      <c r="C4102" s="21" t="s">
        <v>948</v>
      </c>
      <c r="D4102" s="17">
        <v>6060</v>
      </c>
      <c r="E4102" s="17" t="s">
        <v>1452</v>
      </c>
      <c r="F4102" s="23">
        <v>7910986</v>
      </c>
    </row>
    <row r="4103" spans="1:6" ht="16" customHeight="1" x14ac:dyDescent="0.2">
      <c r="A4103">
        <f>IFERROR(VLOOKUP(C4103,'GASB Match'!$D$2:$F$6042,3,FALSE),"")</f>
        <v>3412270</v>
      </c>
      <c r="B4103" s="17">
        <v>2021</v>
      </c>
      <c r="C4103" s="25" t="s">
        <v>948</v>
      </c>
      <c r="D4103" s="17">
        <v>6060</v>
      </c>
      <c r="E4103" s="17" t="s">
        <v>1452</v>
      </c>
      <c r="F4103" s="23">
        <v>10974365</v>
      </c>
    </row>
    <row r="4104" spans="1:6" ht="16" customHeight="1" x14ac:dyDescent="0.2">
      <c r="A4104">
        <f>IFERROR(VLOOKUP(C4104,'GASB Match'!$D$2:$F$6042,3,FALSE),"")</f>
        <v>3412270</v>
      </c>
      <c r="B4104" s="17">
        <v>2022</v>
      </c>
      <c r="C4104" s="21" t="s">
        <v>948</v>
      </c>
      <c r="D4104" s="17">
        <v>6060</v>
      </c>
      <c r="E4104" s="17" t="s">
        <v>1452</v>
      </c>
      <c r="F4104" s="23">
        <v>16107074</v>
      </c>
    </row>
    <row r="4105" spans="1:6" ht="16" customHeight="1" x14ac:dyDescent="0.2">
      <c r="A4105">
        <f>IFERROR(VLOOKUP(C4105,'GASB Match'!$D$2:$F$6042,3,FALSE),"")</f>
        <v>3412270</v>
      </c>
      <c r="B4105" s="17">
        <v>2023</v>
      </c>
      <c r="C4105" s="21" t="s">
        <v>948</v>
      </c>
      <c r="D4105" s="17">
        <v>6060</v>
      </c>
      <c r="E4105" s="17" t="s">
        <v>1452</v>
      </c>
      <c r="F4105" s="23">
        <v>16677358</v>
      </c>
    </row>
    <row r="4106" spans="1:6" ht="16" customHeight="1" x14ac:dyDescent="0.2">
      <c r="A4106">
        <f>IFERROR(VLOOKUP(C4106,'GASB Match'!$D$2:$F$6042,3,FALSE),"")</f>
        <v>3412270</v>
      </c>
      <c r="B4106" s="28">
        <v>2017</v>
      </c>
      <c r="C4106" s="29" t="s">
        <v>259</v>
      </c>
      <c r="D4106" s="17">
        <v>6060</v>
      </c>
      <c r="E4106" s="17" t="s">
        <v>1411</v>
      </c>
      <c r="F4106" s="29">
        <v>4164504</v>
      </c>
    </row>
    <row r="4107" spans="1:6" ht="16" customHeight="1" x14ac:dyDescent="0.2">
      <c r="A4107">
        <f>IFERROR(VLOOKUP(C4107,'GASB Match'!$D$2:$F$6042,3,FALSE),"")</f>
        <v>3412300</v>
      </c>
      <c r="B4107" s="17">
        <v>2015</v>
      </c>
      <c r="C4107" s="17" t="s">
        <v>652</v>
      </c>
      <c r="D4107" s="17">
        <v>928</v>
      </c>
      <c r="E4107" s="17" t="s">
        <v>1429</v>
      </c>
      <c r="F4107" s="20">
        <v>101399</v>
      </c>
    </row>
    <row r="4108" spans="1:6" ht="16" customHeight="1" x14ac:dyDescent="0.2">
      <c r="A4108">
        <f>IFERROR(VLOOKUP(C4108,'GASB Match'!$D$2:$F$6042,3,FALSE),"")</f>
        <v>3412300</v>
      </c>
      <c r="B4108" s="17">
        <v>2016</v>
      </c>
      <c r="C4108" s="17" t="s">
        <v>652</v>
      </c>
      <c r="D4108" s="17">
        <v>928</v>
      </c>
      <c r="E4108" s="17" t="s">
        <v>1429</v>
      </c>
      <c r="F4108" s="20">
        <v>156867</v>
      </c>
    </row>
    <row r="4109" spans="1:6" ht="16" customHeight="1" x14ac:dyDescent="0.2">
      <c r="A4109">
        <f>IFERROR(VLOOKUP(C4109,'GASB Match'!$D$2:$F$6042,3,FALSE),"")</f>
        <v>3412300</v>
      </c>
      <c r="B4109" s="17">
        <v>2018</v>
      </c>
      <c r="C4109" s="17" t="s">
        <v>1345</v>
      </c>
      <c r="D4109" s="17">
        <v>928</v>
      </c>
      <c r="E4109" s="17" t="s">
        <v>1472</v>
      </c>
      <c r="F4109" s="20">
        <v>342146</v>
      </c>
    </row>
    <row r="4110" spans="1:6" ht="16" customHeight="1" x14ac:dyDescent="0.2">
      <c r="A4110">
        <f>IFERROR(VLOOKUP(C4110,'GASB Match'!$D$2:$F$6042,3,FALSE),"")</f>
        <v>3412300</v>
      </c>
      <c r="B4110" s="17">
        <v>2019</v>
      </c>
      <c r="C4110" s="17" t="s">
        <v>1345</v>
      </c>
      <c r="D4110" s="17">
        <v>928</v>
      </c>
      <c r="E4110" s="17" t="s">
        <v>1472</v>
      </c>
      <c r="F4110" s="20">
        <v>448083</v>
      </c>
    </row>
    <row r="4111" spans="1:6" ht="16" customHeight="1" x14ac:dyDescent="0.2">
      <c r="A4111">
        <f>IFERROR(VLOOKUP(C4111,'GASB Match'!$D$2:$F$6042,3,FALSE),"")</f>
        <v>3412300</v>
      </c>
      <c r="B4111" s="17">
        <v>2020</v>
      </c>
      <c r="C4111" s="21" t="s">
        <v>1345</v>
      </c>
      <c r="D4111" s="17">
        <v>928</v>
      </c>
      <c r="E4111" s="17" t="s">
        <v>1472</v>
      </c>
      <c r="F4111" s="23">
        <v>462453</v>
      </c>
    </row>
    <row r="4112" spans="1:6" ht="16" customHeight="1" x14ac:dyDescent="0.2">
      <c r="A4112">
        <f>IFERROR(VLOOKUP(C4112,'GASB Match'!$D$2:$F$6042,3,FALSE),"")</f>
        <v>3412300</v>
      </c>
      <c r="B4112" s="17">
        <v>2021</v>
      </c>
      <c r="C4112" s="25" t="s">
        <v>1345</v>
      </c>
      <c r="D4112" s="17">
        <v>928</v>
      </c>
      <c r="E4112" s="17" t="s">
        <v>1472</v>
      </c>
      <c r="F4112" s="23">
        <v>628474</v>
      </c>
    </row>
    <row r="4113" spans="1:6" ht="16" customHeight="1" x14ac:dyDescent="0.2">
      <c r="A4113">
        <f>IFERROR(VLOOKUP(C4113,'GASB Match'!$D$2:$F$6042,3,FALSE),"")</f>
        <v>3412300</v>
      </c>
      <c r="B4113" s="17">
        <v>2022</v>
      </c>
      <c r="C4113" s="21" t="s">
        <v>1345</v>
      </c>
      <c r="D4113" s="17">
        <v>928</v>
      </c>
      <c r="E4113" s="17" t="s">
        <v>1472</v>
      </c>
      <c r="F4113" s="23">
        <v>854028</v>
      </c>
    </row>
    <row r="4114" spans="1:6" ht="16" customHeight="1" x14ac:dyDescent="0.2">
      <c r="A4114">
        <f>IFERROR(VLOOKUP(C4114,'GASB Match'!$D$2:$F$6042,3,FALSE),"")</f>
        <v>3412300</v>
      </c>
      <c r="B4114" s="17">
        <v>2023</v>
      </c>
      <c r="C4114" s="21" t="s">
        <v>1345</v>
      </c>
      <c r="D4114" s="17">
        <v>928</v>
      </c>
      <c r="E4114" s="17" t="s">
        <v>1472</v>
      </c>
      <c r="F4114" s="23">
        <v>770566</v>
      </c>
    </row>
    <row r="4115" spans="1:6" ht="16" customHeight="1" x14ac:dyDescent="0.2">
      <c r="A4115">
        <f>IFERROR(VLOOKUP(C4115,'GASB Match'!$D$2:$F$6042,3,FALSE),"")</f>
        <v>3412300</v>
      </c>
      <c r="B4115" s="28">
        <v>2017</v>
      </c>
      <c r="C4115" s="29" t="s">
        <v>652</v>
      </c>
      <c r="D4115" s="17">
        <v>928</v>
      </c>
      <c r="E4115" s="17" t="s">
        <v>1429</v>
      </c>
      <c r="F4115" s="29">
        <v>246842</v>
      </c>
    </row>
    <row r="4116" spans="1:6" ht="16" customHeight="1" x14ac:dyDescent="0.2">
      <c r="A4116">
        <f>IFERROR(VLOOKUP(C4116,'GASB Match'!$D$2:$F$6042,3,FALSE),"")</f>
        <v>3400042</v>
      </c>
      <c r="B4116" s="17">
        <v>2015</v>
      </c>
      <c r="C4116" s="17" t="s">
        <v>364</v>
      </c>
      <c r="D4116" s="17">
        <v>131</v>
      </c>
      <c r="E4116" s="17" t="s">
        <v>1416</v>
      </c>
      <c r="F4116" s="20">
        <v>31891</v>
      </c>
    </row>
    <row r="4117" spans="1:6" ht="16" customHeight="1" x14ac:dyDescent="0.2">
      <c r="A4117">
        <f>IFERROR(VLOOKUP(C4117,'GASB Match'!$D$2:$F$6042,3,FALSE),"")</f>
        <v>3400042</v>
      </c>
      <c r="B4117" s="17">
        <v>2016</v>
      </c>
      <c r="C4117" s="17" t="s">
        <v>364</v>
      </c>
      <c r="D4117" s="17">
        <v>131</v>
      </c>
      <c r="E4117" s="17" t="s">
        <v>1416</v>
      </c>
      <c r="F4117" s="20">
        <v>67055</v>
      </c>
    </row>
    <row r="4118" spans="1:6" ht="16" customHeight="1" x14ac:dyDescent="0.2">
      <c r="A4118">
        <f>IFERROR(VLOOKUP(C4118,'GASB Match'!$D$2:$F$6042,3,FALSE),"")</f>
        <v>3400042</v>
      </c>
      <c r="B4118" s="17">
        <v>2018</v>
      </c>
      <c r="C4118" s="17" t="s">
        <v>1055</v>
      </c>
      <c r="D4118" s="17">
        <v>131</v>
      </c>
      <c r="E4118" s="17" t="s">
        <v>1459</v>
      </c>
      <c r="F4118" s="20">
        <v>196947</v>
      </c>
    </row>
    <row r="4119" spans="1:6" ht="16" customHeight="1" x14ac:dyDescent="0.2">
      <c r="A4119">
        <f>IFERROR(VLOOKUP(C4119,'GASB Match'!$D$2:$F$6042,3,FALSE),"")</f>
        <v>3400042</v>
      </c>
      <c r="B4119" s="17">
        <v>2019</v>
      </c>
      <c r="C4119" s="17" t="s">
        <v>1055</v>
      </c>
      <c r="D4119" s="17">
        <v>131</v>
      </c>
      <c r="E4119" s="17" t="s">
        <v>1459</v>
      </c>
      <c r="F4119" s="20">
        <v>285264</v>
      </c>
    </row>
    <row r="4120" spans="1:6" ht="16" customHeight="1" x14ac:dyDescent="0.2">
      <c r="A4120">
        <f>IFERROR(VLOOKUP(C4120,'GASB Match'!$D$2:$F$6042,3,FALSE),"")</f>
        <v>3400042</v>
      </c>
      <c r="B4120" s="17">
        <v>2020</v>
      </c>
      <c r="C4120" s="21" t="s">
        <v>1055</v>
      </c>
      <c r="D4120" s="17">
        <v>131</v>
      </c>
      <c r="E4120" s="17" t="s">
        <v>1459</v>
      </c>
      <c r="F4120" s="23">
        <v>327979</v>
      </c>
    </row>
    <row r="4121" spans="1:6" ht="16" customHeight="1" x14ac:dyDescent="0.2">
      <c r="A4121">
        <f>IFERROR(VLOOKUP(C4121,'GASB Match'!$D$2:$F$6042,3,FALSE),"")</f>
        <v>3400042</v>
      </c>
      <c r="B4121" s="17">
        <v>2021</v>
      </c>
      <c r="C4121" s="25" t="s">
        <v>1055</v>
      </c>
      <c r="D4121" s="17">
        <v>131</v>
      </c>
      <c r="E4121" s="17" t="s">
        <v>1459</v>
      </c>
      <c r="F4121" s="23">
        <v>491230</v>
      </c>
    </row>
    <row r="4122" spans="1:6" ht="16" customHeight="1" x14ac:dyDescent="0.2">
      <c r="A4122">
        <f>IFERROR(VLOOKUP(C4122,'GASB Match'!$D$2:$F$6042,3,FALSE),"")</f>
        <v>3400042</v>
      </c>
      <c r="B4122" s="17">
        <v>2022</v>
      </c>
      <c r="C4122" s="21" t="s">
        <v>1055</v>
      </c>
      <c r="D4122" s="17">
        <v>131</v>
      </c>
      <c r="E4122" s="17" t="s">
        <v>1459</v>
      </c>
      <c r="F4122" s="23">
        <v>719385</v>
      </c>
    </row>
    <row r="4123" spans="1:6" ht="16" customHeight="1" x14ac:dyDescent="0.2">
      <c r="A4123">
        <f>IFERROR(VLOOKUP(C4123,'GASB Match'!$D$2:$F$6042,3,FALSE),"")</f>
        <v>3400042</v>
      </c>
      <c r="B4123" s="17">
        <v>2023</v>
      </c>
      <c r="C4123" s="21" t="s">
        <v>1055</v>
      </c>
      <c r="D4123" s="17">
        <v>131</v>
      </c>
      <c r="E4123" s="17" t="s">
        <v>1459</v>
      </c>
      <c r="F4123" s="23">
        <v>837714</v>
      </c>
    </row>
    <row r="4124" spans="1:6" ht="16" customHeight="1" x14ac:dyDescent="0.2">
      <c r="A4124">
        <f>IFERROR(VLOOKUP(C4124,'GASB Match'!$D$2:$F$6042,3,FALSE),"")</f>
        <v>3400042</v>
      </c>
      <c r="B4124" s="28">
        <v>2017</v>
      </c>
      <c r="C4124" s="29" t="s">
        <v>364</v>
      </c>
      <c r="D4124" s="17">
        <v>131</v>
      </c>
      <c r="E4124" s="17" t="s">
        <v>1416</v>
      </c>
      <c r="F4124" s="29">
        <v>136559</v>
      </c>
    </row>
    <row r="4125" spans="1:6" ht="16" customHeight="1" x14ac:dyDescent="0.2">
      <c r="A4125">
        <f>IFERROR(VLOOKUP(C4125,'GASB Match'!$D$2:$F$6042,3,FALSE),"")</f>
        <v>3412360</v>
      </c>
      <c r="B4125" s="17">
        <v>2015</v>
      </c>
      <c r="C4125" s="17" t="s">
        <v>78</v>
      </c>
      <c r="D4125" s="17">
        <v>2071</v>
      </c>
      <c r="E4125" s="17" t="s">
        <v>1402</v>
      </c>
      <c r="F4125" s="20">
        <v>578849</v>
      </c>
    </row>
    <row r="4126" spans="1:6" ht="16" customHeight="1" x14ac:dyDescent="0.2">
      <c r="A4126">
        <f>IFERROR(VLOOKUP(C4126,'GASB Match'!$D$2:$F$6042,3,FALSE),"")</f>
        <v>3412360</v>
      </c>
      <c r="B4126" s="17">
        <v>2016</v>
      </c>
      <c r="C4126" s="17" t="s">
        <v>78</v>
      </c>
      <c r="D4126" s="17">
        <v>2071</v>
      </c>
      <c r="E4126" s="17" t="s">
        <v>1402</v>
      </c>
      <c r="F4126" s="20">
        <v>819643</v>
      </c>
    </row>
    <row r="4127" spans="1:6" ht="16" customHeight="1" x14ac:dyDescent="0.2">
      <c r="A4127">
        <f>IFERROR(VLOOKUP(C4127,'GASB Match'!$D$2:$F$6042,3,FALSE),"")</f>
        <v>3412360</v>
      </c>
      <c r="B4127" s="17">
        <v>2018</v>
      </c>
      <c r="C4127" s="17" t="s">
        <v>756</v>
      </c>
      <c r="D4127" s="17">
        <v>2071</v>
      </c>
      <c r="E4127" s="17" t="s">
        <v>1443</v>
      </c>
      <c r="F4127" s="20">
        <v>1633327</v>
      </c>
    </row>
    <row r="4128" spans="1:6" ht="16" customHeight="1" x14ac:dyDescent="0.2">
      <c r="A4128">
        <f>IFERROR(VLOOKUP(C4128,'GASB Match'!$D$2:$F$6042,3,FALSE),"")</f>
        <v>3412360</v>
      </c>
      <c r="B4128" s="17">
        <v>2019</v>
      </c>
      <c r="C4128" s="17" t="s">
        <v>756</v>
      </c>
      <c r="D4128" s="17">
        <v>2071</v>
      </c>
      <c r="E4128" s="17" t="s">
        <v>1443</v>
      </c>
      <c r="F4128" s="20">
        <v>2303004</v>
      </c>
    </row>
    <row r="4129" spans="1:6" ht="16" customHeight="1" x14ac:dyDescent="0.2">
      <c r="A4129">
        <f>IFERROR(VLOOKUP(C4129,'GASB Match'!$D$2:$F$6042,3,FALSE),"")</f>
        <v>3412360</v>
      </c>
      <c r="B4129" s="17">
        <v>2020</v>
      </c>
      <c r="C4129" s="21" t="s">
        <v>756</v>
      </c>
      <c r="D4129" s="17">
        <v>2071</v>
      </c>
      <c r="E4129" s="17" t="s">
        <v>1443</v>
      </c>
      <c r="F4129" s="23">
        <v>2562919</v>
      </c>
    </row>
    <row r="4130" spans="1:6" ht="16" customHeight="1" x14ac:dyDescent="0.2">
      <c r="A4130">
        <f>IFERROR(VLOOKUP(C4130,'GASB Match'!$D$2:$F$6042,3,FALSE),"")</f>
        <v>3412360</v>
      </c>
      <c r="B4130" s="17">
        <v>2021</v>
      </c>
      <c r="C4130" s="25" t="s">
        <v>756</v>
      </c>
      <c r="D4130" s="17">
        <v>2071</v>
      </c>
      <c r="E4130" s="17" t="s">
        <v>1443</v>
      </c>
      <c r="F4130" s="23">
        <v>3261575</v>
      </c>
    </row>
    <row r="4131" spans="1:6" ht="16" customHeight="1" x14ac:dyDescent="0.2">
      <c r="A4131">
        <f>IFERROR(VLOOKUP(C4131,'GASB Match'!$D$2:$F$6042,3,FALSE),"")</f>
        <v>3412360</v>
      </c>
      <c r="B4131" s="17">
        <v>2022</v>
      </c>
      <c r="C4131" s="21" t="s">
        <v>756</v>
      </c>
      <c r="D4131" s="17">
        <v>2071</v>
      </c>
      <c r="E4131" s="17" t="s">
        <v>1443</v>
      </c>
      <c r="F4131" s="23">
        <v>4569008</v>
      </c>
    </row>
    <row r="4132" spans="1:6" ht="16" customHeight="1" x14ac:dyDescent="0.2">
      <c r="A4132">
        <f>IFERROR(VLOOKUP(C4132,'GASB Match'!$D$2:$F$6042,3,FALSE),"")</f>
        <v>3412360</v>
      </c>
      <c r="B4132" s="17">
        <v>2023</v>
      </c>
      <c r="C4132" s="21" t="s">
        <v>756</v>
      </c>
      <c r="D4132" s="17">
        <v>2071</v>
      </c>
      <c r="E4132" s="17" t="s">
        <v>1443</v>
      </c>
      <c r="F4132" s="23">
        <v>4371636</v>
      </c>
    </row>
    <row r="4133" spans="1:6" ht="16" customHeight="1" x14ac:dyDescent="0.2">
      <c r="A4133">
        <f>IFERROR(VLOOKUP(C4133,'GASB Match'!$D$2:$F$6042,3,FALSE),"")</f>
        <v>3412360</v>
      </c>
      <c r="B4133" s="28">
        <v>2017</v>
      </c>
      <c r="C4133" s="29" t="s">
        <v>78</v>
      </c>
      <c r="D4133" s="17">
        <v>2071</v>
      </c>
      <c r="E4133" s="17" t="s">
        <v>1402</v>
      </c>
      <c r="F4133" s="29">
        <v>1124501</v>
      </c>
    </row>
    <row r="4134" spans="1:6" ht="16" customHeight="1" x14ac:dyDescent="0.2">
      <c r="A4134">
        <f>IFERROR(VLOOKUP(C4134,'GASB Match'!$D$2:$F$6042,3,FALSE),"")</f>
        <v>3412390</v>
      </c>
      <c r="B4134" s="17">
        <v>2015</v>
      </c>
      <c r="C4134" s="17" t="s">
        <v>134</v>
      </c>
      <c r="D4134" s="17">
        <v>3034</v>
      </c>
      <c r="E4134" s="17" t="s">
        <v>1404</v>
      </c>
      <c r="F4134" s="20">
        <v>332432</v>
      </c>
    </row>
    <row r="4135" spans="1:6" ht="16" customHeight="1" x14ac:dyDescent="0.2">
      <c r="A4135">
        <f>IFERROR(VLOOKUP(C4135,'GASB Match'!$D$2:$F$6042,3,FALSE),"")</f>
        <v>3412390</v>
      </c>
      <c r="B4135" s="17">
        <v>2016</v>
      </c>
      <c r="C4135" s="17" t="s">
        <v>134</v>
      </c>
      <c r="D4135" s="17">
        <v>3034</v>
      </c>
      <c r="E4135" s="17" t="s">
        <v>1404</v>
      </c>
      <c r="F4135" s="20">
        <v>496608</v>
      </c>
    </row>
    <row r="4136" spans="1:6" ht="16" customHeight="1" x14ac:dyDescent="0.2">
      <c r="A4136">
        <f>IFERROR(VLOOKUP(C4136,'GASB Match'!$D$2:$F$6042,3,FALSE),"")</f>
        <v>3412390</v>
      </c>
      <c r="B4136" s="17">
        <v>2018</v>
      </c>
      <c r="C4136" s="17" t="s">
        <v>815</v>
      </c>
      <c r="D4136" s="17">
        <v>3034</v>
      </c>
      <c r="E4136" s="17" t="s">
        <v>1445</v>
      </c>
      <c r="F4136" s="20">
        <v>963686</v>
      </c>
    </row>
    <row r="4137" spans="1:6" ht="16" customHeight="1" x14ac:dyDescent="0.2">
      <c r="A4137">
        <f>IFERROR(VLOOKUP(C4137,'GASB Match'!$D$2:$F$6042,3,FALSE),"")</f>
        <v>3412390</v>
      </c>
      <c r="B4137" s="17">
        <v>2019</v>
      </c>
      <c r="C4137" s="17" t="s">
        <v>815</v>
      </c>
      <c r="D4137" s="17">
        <v>3034</v>
      </c>
      <c r="E4137" s="17" t="s">
        <v>1445</v>
      </c>
      <c r="F4137" s="20">
        <v>1271817</v>
      </c>
    </row>
    <row r="4138" spans="1:6" ht="16" customHeight="1" x14ac:dyDescent="0.2">
      <c r="A4138">
        <f>IFERROR(VLOOKUP(C4138,'GASB Match'!$D$2:$F$6042,3,FALSE),"")</f>
        <v>3412390</v>
      </c>
      <c r="B4138" s="17">
        <v>2020</v>
      </c>
      <c r="C4138" s="21" t="s">
        <v>815</v>
      </c>
      <c r="D4138" s="17">
        <v>3034</v>
      </c>
      <c r="E4138" s="17" t="s">
        <v>1445</v>
      </c>
      <c r="F4138" s="23">
        <v>1394636</v>
      </c>
    </row>
    <row r="4139" spans="1:6" ht="16" customHeight="1" x14ac:dyDescent="0.2">
      <c r="A4139">
        <f>IFERROR(VLOOKUP(C4139,'GASB Match'!$D$2:$F$6042,3,FALSE),"")</f>
        <v>3412390</v>
      </c>
      <c r="B4139" s="17">
        <v>2021</v>
      </c>
      <c r="C4139" s="25" t="s">
        <v>815</v>
      </c>
      <c r="D4139" s="17">
        <v>3034</v>
      </c>
      <c r="E4139" s="17" t="s">
        <v>1445</v>
      </c>
      <c r="F4139" s="23">
        <v>1806681</v>
      </c>
    </row>
    <row r="4140" spans="1:6" ht="16" customHeight="1" x14ac:dyDescent="0.2">
      <c r="A4140">
        <f>IFERROR(VLOOKUP(C4140,'GASB Match'!$D$2:$F$6042,3,FALSE),"")</f>
        <v>3412390</v>
      </c>
      <c r="B4140" s="17">
        <v>2022</v>
      </c>
      <c r="C4140" s="21" t="s">
        <v>815</v>
      </c>
      <c r="D4140" s="17">
        <v>3034</v>
      </c>
      <c r="E4140" s="17" t="s">
        <v>1445</v>
      </c>
      <c r="F4140" s="23">
        <v>2586071</v>
      </c>
    </row>
    <row r="4141" spans="1:6" ht="16" customHeight="1" x14ac:dyDescent="0.2">
      <c r="A4141">
        <f>IFERROR(VLOOKUP(C4141,'GASB Match'!$D$2:$F$6042,3,FALSE),"")</f>
        <v>3412390</v>
      </c>
      <c r="B4141" s="17">
        <v>2023</v>
      </c>
      <c r="C4141" s="21" t="s">
        <v>815</v>
      </c>
      <c r="D4141" s="17">
        <v>3034</v>
      </c>
      <c r="E4141" s="17" t="s">
        <v>1445</v>
      </c>
      <c r="F4141" s="23">
        <v>2684629</v>
      </c>
    </row>
    <row r="4142" spans="1:6" ht="16" customHeight="1" x14ac:dyDescent="0.2">
      <c r="A4142">
        <f>IFERROR(VLOOKUP(C4142,'GASB Match'!$D$2:$F$6042,3,FALSE),"")</f>
        <v>3412390</v>
      </c>
      <c r="B4142" s="28">
        <v>2017</v>
      </c>
      <c r="C4142" s="29" t="s">
        <v>134</v>
      </c>
      <c r="D4142" s="17">
        <v>3034</v>
      </c>
      <c r="E4142" s="17" t="s">
        <v>1404</v>
      </c>
      <c r="F4142" s="29">
        <v>702302</v>
      </c>
    </row>
    <row r="4143" spans="1:6" ht="16" customHeight="1" x14ac:dyDescent="0.2">
      <c r="A4143">
        <f>IFERROR(VLOOKUP(C4143,'GASB Match'!$D$2:$F$6042,3,FALSE),"")</f>
        <v>3412420</v>
      </c>
      <c r="B4143" s="17">
        <v>2015</v>
      </c>
      <c r="C4143" s="17" t="s">
        <v>79</v>
      </c>
      <c r="D4143" s="17">
        <v>2072</v>
      </c>
      <c r="E4143" s="17" t="s">
        <v>1402</v>
      </c>
      <c r="F4143" s="20">
        <v>1561399</v>
      </c>
    </row>
    <row r="4144" spans="1:6" ht="16" customHeight="1" x14ac:dyDescent="0.2">
      <c r="A4144">
        <f>IFERROR(VLOOKUP(C4144,'GASB Match'!$D$2:$F$6042,3,FALSE),"")</f>
        <v>3412420</v>
      </c>
      <c r="B4144" s="17">
        <v>2016</v>
      </c>
      <c r="C4144" s="17" t="s">
        <v>79</v>
      </c>
      <c r="D4144" s="17">
        <v>2072</v>
      </c>
      <c r="E4144" s="17" t="s">
        <v>1402</v>
      </c>
      <c r="F4144" s="20">
        <v>2367010</v>
      </c>
    </row>
    <row r="4145" spans="1:6" ht="16" customHeight="1" x14ac:dyDescent="0.2">
      <c r="A4145">
        <f>IFERROR(VLOOKUP(C4145,'GASB Match'!$D$2:$F$6042,3,FALSE),"")</f>
        <v>3412420</v>
      </c>
      <c r="B4145" s="17">
        <v>2018</v>
      </c>
      <c r="C4145" s="17" t="s">
        <v>757</v>
      </c>
      <c r="D4145" s="17">
        <v>2072</v>
      </c>
      <c r="E4145" s="17" t="s">
        <v>1443</v>
      </c>
      <c r="F4145" s="20">
        <v>4464216</v>
      </c>
    </row>
    <row r="4146" spans="1:6" ht="16" customHeight="1" x14ac:dyDescent="0.2">
      <c r="A4146">
        <f>IFERROR(VLOOKUP(C4146,'GASB Match'!$D$2:$F$6042,3,FALSE),"")</f>
        <v>3412420</v>
      </c>
      <c r="B4146" s="17">
        <v>2019</v>
      </c>
      <c r="C4146" s="17" t="s">
        <v>757</v>
      </c>
      <c r="D4146" s="17">
        <v>2072</v>
      </c>
      <c r="E4146" s="17" t="s">
        <v>1443</v>
      </c>
      <c r="F4146" s="20">
        <v>6090015</v>
      </c>
    </row>
    <row r="4147" spans="1:6" ht="16" customHeight="1" x14ac:dyDescent="0.2">
      <c r="A4147">
        <f>IFERROR(VLOOKUP(C4147,'GASB Match'!$D$2:$F$6042,3,FALSE),"")</f>
        <v>3412420</v>
      </c>
      <c r="B4147" s="17">
        <v>2020</v>
      </c>
      <c r="C4147" s="21" t="s">
        <v>757</v>
      </c>
      <c r="D4147" s="17">
        <v>2072</v>
      </c>
      <c r="E4147" s="17" t="s">
        <v>1443</v>
      </c>
      <c r="F4147" s="23">
        <v>6946165</v>
      </c>
    </row>
    <row r="4148" spans="1:6" ht="16" customHeight="1" x14ac:dyDescent="0.2">
      <c r="A4148">
        <f>IFERROR(VLOOKUP(C4148,'GASB Match'!$D$2:$F$6042,3,FALSE),"")</f>
        <v>3412420</v>
      </c>
      <c r="B4148" s="17">
        <v>2021</v>
      </c>
      <c r="C4148" s="25" t="s">
        <v>757</v>
      </c>
      <c r="D4148" s="17">
        <v>2072</v>
      </c>
      <c r="E4148" s="17" t="s">
        <v>1443</v>
      </c>
      <c r="F4148" s="23">
        <v>8894444</v>
      </c>
    </row>
    <row r="4149" spans="1:6" ht="16" customHeight="1" x14ac:dyDescent="0.2">
      <c r="A4149">
        <f>IFERROR(VLOOKUP(C4149,'GASB Match'!$D$2:$F$6042,3,FALSE),"")</f>
        <v>3412420</v>
      </c>
      <c r="B4149" s="17">
        <v>2022</v>
      </c>
      <c r="C4149" s="21" t="s">
        <v>757</v>
      </c>
      <c r="D4149" s="17">
        <v>2072</v>
      </c>
      <c r="E4149" s="17" t="s">
        <v>1443</v>
      </c>
      <c r="F4149" s="23">
        <v>12764428</v>
      </c>
    </row>
    <row r="4150" spans="1:6" ht="16" customHeight="1" x14ac:dyDescent="0.2">
      <c r="A4150">
        <f>IFERROR(VLOOKUP(C4150,'GASB Match'!$D$2:$F$6042,3,FALSE),"")</f>
        <v>3412420</v>
      </c>
      <c r="B4150" s="17">
        <v>2023</v>
      </c>
      <c r="C4150" s="21" t="s">
        <v>757</v>
      </c>
      <c r="D4150" s="17">
        <v>2072</v>
      </c>
      <c r="E4150" s="17" t="s">
        <v>1443</v>
      </c>
      <c r="F4150" s="23">
        <v>12488617</v>
      </c>
    </row>
    <row r="4151" spans="1:6" ht="16" customHeight="1" x14ac:dyDescent="0.2">
      <c r="A4151">
        <f>IFERROR(VLOOKUP(C4151,'GASB Match'!$D$2:$F$6042,3,FALSE),"")</f>
        <v>3412420</v>
      </c>
      <c r="B4151" s="28">
        <v>2017</v>
      </c>
      <c r="C4151" s="29" t="s">
        <v>79</v>
      </c>
      <c r="D4151" s="17">
        <v>2072</v>
      </c>
      <c r="E4151" s="17" t="s">
        <v>1402</v>
      </c>
      <c r="F4151" s="29">
        <v>3282095</v>
      </c>
    </row>
    <row r="4152" spans="1:6" ht="16" customHeight="1" x14ac:dyDescent="0.2">
      <c r="A4152">
        <f>IFERROR(VLOOKUP(C4152,'GASB Match'!$D$2:$F$6042,3,FALSE),"")</f>
        <v>3412450</v>
      </c>
      <c r="B4152" s="17">
        <v>2015</v>
      </c>
      <c r="C4152" s="17" t="s">
        <v>80</v>
      </c>
      <c r="D4152" s="17">
        <v>2073</v>
      </c>
      <c r="E4152" s="17" t="s">
        <v>1402</v>
      </c>
      <c r="F4152" s="20">
        <v>631759</v>
      </c>
    </row>
    <row r="4153" spans="1:6" ht="16" customHeight="1" x14ac:dyDescent="0.2">
      <c r="A4153">
        <f>IFERROR(VLOOKUP(C4153,'GASB Match'!$D$2:$F$6042,3,FALSE),"")</f>
        <v>3412450</v>
      </c>
      <c r="B4153" s="17">
        <v>2016</v>
      </c>
      <c r="C4153" s="17" t="s">
        <v>80</v>
      </c>
      <c r="D4153" s="17">
        <v>2073</v>
      </c>
      <c r="E4153" s="17" t="s">
        <v>1402</v>
      </c>
      <c r="F4153" s="20">
        <v>902259</v>
      </c>
    </row>
    <row r="4154" spans="1:6" ht="16" customHeight="1" x14ac:dyDescent="0.2">
      <c r="A4154">
        <f>IFERROR(VLOOKUP(C4154,'GASB Match'!$D$2:$F$6042,3,FALSE),"")</f>
        <v>3412450</v>
      </c>
      <c r="B4154" s="17">
        <v>2018</v>
      </c>
      <c r="C4154" s="17" t="s">
        <v>758</v>
      </c>
      <c r="D4154" s="17">
        <v>2073</v>
      </c>
      <c r="E4154" s="17" t="s">
        <v>1443</v>
      </c>
      <c r="F4154" s="20">
        <v>1721351</v>
      </c>
    </row>
    <row r="4155" spans="1:6" ht="16" customHeight="1" x14ac:dyDescent="0.2">
      <c r="A4155">
        <f>IFERROR(VLOOKUP(C4155,'GASB Match'!$D$2:$F$6042,3,FALSE),"")</f>
        <v>3412450</v>
      </c>
      <c r="B4155" s="17">
        <v>2019</v>
      </c>
      <c r="C4155" s="17" t="s">
        <v>758</v>
      </c>
      <c r="D4155" s="17">
        <v>2073</v>
      </c>
      <c r="E4155" s="17" t="s">
        <v>1443</v>
      </c>
      <c r="F4155" s="20">
        <v>2388702</v>
      </c>
    </row>
    <row r="4156" spans="1:6" ht="16" customHeight="1" x14ac:dyDescent="0.2">
      <c r="A4156">
        <f>IFERROR(VLOOKUP(C4156,'GASB Match'!$D$2:$F$6042,3,FALSE),"")</f>
        <v>3412450</v>
      </c>
      <c r="B4156" s="17">
        <v>2020</v>
      </c>
      <c r="C4156" s="21" t="s">
        <v>758</v>
      </c>
      <c r="D4156" s="17">
        <v>2073</v>
      </c>
      <c r="E4156" s="17" t="s">
        <v>1443</v>
      </c>
      <c r="F4156" s="23">
        <v>2736765</v>
      </c>
    </row>
    <row r="4157" spans="1:6" ht="16" customHeight="1" x14ac:dyDescent="0.2">
      <c r="A4157">
        <f>IFERROR(VLOOKUP(C4157,'GASB Match'!$D$2:$F$6042,3,FALSE),"")</f>
        <v>3412450</v>
      </c>
      <c r="B4157" s="17">
        <v>2021</v>
      </c>
      <c r="C4157" s="25" t="s">
        <v>758</v>
      </c>
      <c r="D4157" s="17">
        <v>2073</v>
      </c>
      <c r="E4157" s="17" t="s">
        <v>1443</v>
      </c>
      <c r="F4157" s="23">
        <v>3598820</v>
      </c>
    </row>
    <row r="4158" spans="1:6" ht="16" customHeight="1" x14ac:dyDescent="0.2">
      <c r="A4158">
        <f>IFERROR(VLOOKUP(C4158,'GASB Match'!$D$2:$F$6042,3,FALSE),"")</f>
        <v>3412450</v>
      </c>
      <c r="B4158" s="17">
        <v>2022</v>
      </c>
      <c r="C4158" s="21" t="s">
        <v>758</v>
      </c>
      <c r="D4158" s="17">
        <v>2073</v>
      </c>
      <c r="E4158" s="17" t="s">
        <v>1443</v>
      </c>
      <c r="F4158" s="23">
        <v>5046385</v>
      </c>
    </row>
    <row r="4159" spans="1:6" ht="16" customHeight="1" x14ac:dyDescent="0.2">
      <c r="A4159">
        <f>IFERROR(VLOOKUP(C4159,'GASB Match'!$D$2:$F$6042,3,FALSE),"")</f>
        <v>3412450</v>
      </c>
      <c r="B4159" s="17">
        <v>2023</v>
      </c>
      <c r="C4159" s="21" t="s">
        <v>758</v>
      </c>
      <c r="D4159" s="17">
        <v>2073</v>
      </c>
      <c r="E4159" s="17" t="s">
        <v>1443</v>
      </c>
      <c r="F4159" s="23">
        <v>5127287</v>
      </c>
    </row>
    <row r="4160" spans="1:6" ht="16" customHeight="1" x14ac:dyDescent="0.2">
      <c r="A4160">
        <f>IFERROR(VLOOKUP(C4160,'GASB Match'!$D$2:$F$6042,3,FALSE),"")</f>
        <v>3412450</v>
      </c>
      <c r="B4160" s="28">
        <v>2017</v>
      </c>
      <c r="C4160" s="29" t="s">
        <v>80</v>
      </c>
      <c r="D4160" s="17">
        <v>2073</v>
      </c>
      <c r="E4160" s="17" t="s">
        <v>1402</v>
      </c>
      <c r="F4160" s="29">
        <v>1291444</v>
      </c>
    </row>
    <row r="4161" spans="1:6" ht="16" customHeight="1" x14ac:dyDescent="0.2">
      <c r="A4161">
        <f>IFERROR(VLOOKUP(C4161,'GASB Match'!$D$2:$F$6042,3,FALSE),"")</f>
        <v>3412480</v>
      </c>
      <c r="B4161" s="17">
        <v>2015</v>
      </c>
      <c r="C4161" s="17" t="s">
        <v>484</v>
      </c>
      <c r="D4161" s="17">
        <v>449</v>
      </c>
      <c r="E4161" s="17" t="s">
        <v>1421</v>
      </c>
      <c r="F4161" s="20">
        <v>3011097</v>
      </c>
    </row>
    <row r="4162" spans="1:6" ht="16" customHeight="1" x14ac:dyDescent="0.2">
      <c r="A4162">
        <f>IFERROR(VLOOKUP(C4162,'GASB Match'!$D$2:$F$6042,3,FALSE),"")</f>
        <v>3412480</v>
      </c>
      <c r="B4162" s="17">
        <v>2016</v>
      </c>
      <c r="C4162" s="17" t="s">
        <v>484</v>
      </c>
      <c r="D4162" s="17">
        <v>449</v>
      </c>
      <c r="E4162" s="17" t="s">
        <v>1421</v>
      </c>
      <c r="F4162" s="20">
        <v>4461826</v>
      </c>
    </row>
    <row r="4163" spans="1:6" ht="16" customHeight="1" x14ac:dyDescent="0.2">
      <c r="A4163">
        <f>IFERROR(VLOOKUP(C4163,'GASB Match'!$D$2:$F$6042,3,FALSE),"")</f>
        <v>3412480</v>
      </c>
      <c r="B4163" s="17">
        <v>2018</v>
      </c>
      <c r="C4163" s="17" t="s">
        <v>1176</v>
      </c>
      <c r="D4163" s="17">
        <v>449</v>
      </c>
      <c r="E4163" s="17" t="s">
        <v>1464</v>
      </c>
      <c r="F4163" s="20">
        <v>8564602</v>
      </c>
    </row>
    <row r="4164" spans="1:6" ht="16" customHeight="1" x14ac:dyDescent="0.2">
      <c r="A4164">
        <f>IFERROR(VLOOKUP(C4164,'GASB Match'!$D$2:$F$6042,3,FALSE),"")</f>
        <v>3412480</v>
      </c>
      <c r="B4164" s="17">
        <v>2019</v>
      </c>
      <c r="C4164" s="17" t="s">
        <v>1176</v>
      </c>
      <c r="D4164" s="17">
        <v>449</v>
      </c>
      <c r="E4164" s="17" t="s">
        <v>1464</v>
      </c>
      <c r="F4164" s="20">
        <v>11562443</v>
      </c>
    </row>
    <row r="4165" spans="1:6" ht="16" customHeight="1" x14ac:dyDescent="0.2">
      <c r="A4165">
        <f>IFERROR(VLOOKUP(C4165,'GASB Match'!$D$2:$F$6042,3,FALSE),"")</f>
        <v>3412480</v>
      </c>
      <c r="B4165" s="17">
        <v>2020</v>
      </c>
      <c r="C4165" s="21" t="s">
        <v>1176</v>
      </c>
      <c r="D4165" s="17">
        <v>449</v>
      </c>
      <c r="E4165" s="17" t="s">
        <v>1464</v>
      </c>
      <c r="F4165" s="23">
        <v>12890507</v>
      </c>
    </row>
    <row r="4166" spans="1:6" ht="16" customHeight="1" x14ac:dyDescent="0.2">
      <c r="A4166">
        <f>IFERROR(VLOOKUP(C4166,'GASB Match'!$D$2:$F$6042,3,FALSE),"")</f>
        <v>3412480</v>
      </c>
      <c r="B4166" s="17">
        <v>2021</v>
      </c>
      <c r="C4166" s="25" t="s">
        <v>1176</v>
      </c>
      <c r="D4166" s="17">
        <v>449</v>
      </c>
      <c r="E4166" s="17" t="s">
        <v>1464</v>
      </c>
      <c r="F4166" s="23">
        <v>16748474</v>
      </c>
    </row>
    <row r="4167" spans="1:6" ht="16" customHeight="1" x14ac:dyDescent="0.2">
      <c r="A4167">
        <f>IFERROR(VLOOKUP(C4167,'GASB Match'!$D$2:$F$6042,3,FALSE),"")</f>
        <v>3412480</v>
      </c>
      <c r="B4167" s="17">
        <v>2022</v>
      </c>
      <c r="C4167" s="21" t="s">
        <v>1176</v>
      </c>
      <c r="D4167" s="17">
        <v>449</v>
      </c>
      <c r="E4167" s="17" t="s">
        <v>1464</v>
      </c>
      <c r="F4167" s="23">
        <v>24265138</v>
      </c>
    </row>
    <row r="4168" spans="1:6" ht="16" customHeight="1" x14ac:dyDescent="0.2">
      <c r="A4168">
        <f>IFERROR(VLOOKUP(C4168,'GASB Match'!$D$2:$F$6042,3,FALSE),"")</f>
        <v>3412480</v>
      </c>
      <c r="B4168" s="17">
        <v>2023</v>
      </c>
      <c r="C4168" s="21" t="s">
        <v>1176</v>
      </c>
      <c r="D4168" s="17">
        <v>449</v>
      </c>
      <c r="E4168" s="17" t="s">
        <v>1464</v>
      </c>
      <c r="F4168" s="23">
        <v>24231940</v>
      </c>
    </row>
    <row r="4169" spans="1:6" ht="16" customHeight="1" x14ac:dyDescent="0.2">
      <c r="A4169">
        <f>IFERROR(VLOOKUP(C4169,'GASB Match'!$D$2:$F$6042,3,FALSE),"")</f>
        <v>3412480</v>
      </c>
      <c r="B4169" s="28">
        <v>2017</v>
      </c>
      <c r="C4169" s="29" t="s">
        <v>484</v>
      </c>
      <c r="D4169" s="17">
        <v>449</v>
      </c>
      <c r="E4169" s="17" t="s">
        <v>1421</v>
      </c>
      <c r="F4169" s="29">
        <v>6299214</v>
      </c>
    </row>
    <row r="4170" spans="1:6" ht="16" customHeight="1" x14ac:dyDescent="0.2">
      <c r="A4170">
        <f>IFERROR(VLOOKUP(C4170,'GASB Match'!$D$2:$F$6042,3,FALSE),"")</f>
        <v>3412510</v>
      </c>
      <c r="B4170" s="17">
        <v>2015</v>
      </c>
      <c r="C4170" s="17" t="s">
        <v>81</v>
      </c>
      <c r="D4170" s="17">
        <v>2070</v>
      </c>
      <c r="E4170" s="17" t="s">
        <v>1402</v>
      </c>
      <c r="F4170" s="20">
        <v>994165</v>
      </c>
    </row>
    <row r="4171" spans="1:6" ht="16" customHeight="1" x14ac:dyDescent="0.2">
      <c r="A4171">
        <f>IFERROR(VLOOKUP(C4171,'GASB Match'!$D$2:$F$6042,3,FALSE),"")</f>
        <v>3412510</v>
      </c>
      <c r="B4171" s="17">
        <v>2016</v>
      </c>
      <c r="C4171" s="17" t="s">
        <v>81</v>
      </c>
      <c r="D4171" s="17">
        <v>2070</v>
      </c>
      <c r="E4171" s="17" t="s">
        <v>1402</v>
      </c>
      <c r="F4171" s="20">
        <v>1501210</v>
      </c>
    </row>
    <row r="4172" spans="1:6" ht="16" customHeight="1" x14ac:dyDescent="0.2">
      <c r="A4172">
        <f>IFERROR(VLOOKUP(C4172,'GASB Match'!$D$2:$F$6042,3,FALSE),"")</f>
        <v>3412510</v>
      </c>
      <c r="B4172" s="17">
        <v>2018</v>
      </c>
      <c r="C4172" s="17" t="s">
        <v>759</v>
      </c>
      <c r="D4172" s="17">
        <v>2070</v>
      </c>
      <c r="E4172" s="17" t="s">
        <v>1443</v>
      </c>
      <c r="F4172" s="20">
        <v>3031119</v>
      </c>
    </row>
    <row r="4173" spans="1:6" ht="16" customHeight="1" x14ac:dyDescent="0.2">
      <c r="A4173">
        <f>IFERROR(VLOOKUP(C4173,'GASB Match'!$D$2:$F$6042,3,FALSE),"")</f>
        <v>3412510</v>
      </c>
      <c r="B4173" s="17">
        <v>2019</v>
      </c>
      <c r="C4173" s="17" t="s">
        <v>759</v>
      </c>
      <c r="D4173" s="17">
        <v>2070</v>
      </c>
      <c r="E4173" s="17" t="s">
        <v>1443</v>
      </c>
      <c r="F4173" s="20">
        <v>4009921</v>
      </c>
    </row>
    <row r="4174" spans="1:6" ht="16" customHeight="1" x14ac:dyDescent="0.2">
      <c r="A4174">
        <f>IFERROR(VLOOKUP(C4174,'GASB Match'!$D$2:$F$6042,3,FALSE),"")</f>
        <v>3412510</v>
      </c>
      <c r="B4174" s="17">
        <v>2020</v>
      </c>
      <c r="C4174" s="21" t="s">
        <v>759</v>
      </c>
      <c r="D4174" s="17">
        <v>2070</v>
      </c>
      <c r="E4174" s="17" t="s">
        <v>1443</v>
      </c>
      <c r="F4174" s="23">
        <v>4538242</v>
      </c>
    </row>
    <row r="4175" spans="1:6" ht="16" customHeight="1" x14ac:dyDescent="0.2">
      <c r="A4175">
        <f>IFERROR(VLOOKUP(C4175,'GASB Match'!$D$2:$F$6042,3,FALSE),"")</f>
        <v>3412510</v>
      </c>
      <c r="B4175" s="17">
        <v>2021</v>
      </c>
      <c r="C4175" s="25" t="s">
        <v>759</v>
      </c>
      <c r="D4175" s="17">
        <v>2070</v>
      </c>
      <c r="E4175" s="17" t="s">
        <v>1443</v>
      </c>
      <c r="F4175" s="23">
        <v>5851507</v>
      </c>
    </row>
    <row r="4176" spans="1:6" ht="16" customHeight="1" x14ac:dyDescent="0.2">
      <c r="A4176">
        <f>IFERROR(VLOOKUP(C4176,'GASB Match'!$D$2:$F$6042,3,FALSE),"")</f>
        <v>3412510</v>
      </c>
      <c r="B4176" s="17">
        <v>2022</v>
      </c>
      <c r="C4176" s="21" t="s">
        <v>759</v>
      </c>
      <c r="D4176" s="17">
        <v>2070</v>
      </c>
      <c r="E4176" s="17" t="s">
        <v>1443</v>
      </c>
      <c r="F4176" s="23">
        <v>8355535</v>
      </c>
    </row>
    <row r="4177" spans="1:6" ht="16" customHeight="1" x14ac:dyDescent="0.2">
      <c r="A4177">
        <f>IFERROR(VLOOKUP(C4177,'GASB Match'!$D$2:$F$6042,3,FALSE),"")</f>
        <v>3412510</v>
      </c>
      <c r="B4177" s="17">
        <v>2023</v>
      </c>
      <c r="C4177" s="21" t="s">
        <v>759</v>
      </c>
      <c r="D4177" s="17">
        <v>2070</v>
      </c>
      <c r="E4177" s="17" t="s">
        <v>1443</v>
      </c>
      <c r="F4177" s="23">
        <v>8319563</v>
      </c>
    </row>
    <row r="4178" spans="1:6" ht="16" customHeight="1" x14ac:dyDescent="0.2">
      <c r="A4178">
        <f>IFERROR(VLOOKUP(C4178,'GASB Match'!$D$2:$F$6042,3,FALSE),"")</f>
        <v>3412510</v>
      </c>
      <c r="B4178" s="28">
        <v>2017</v>
      </c>
      <c r="C4178" s="29" t="s">
        <v>81</v>
      </c>
      <c r="D4178" s="17">
        <v>2070</v>
      </c>
      <c r="E4178" s="17" t="s">
        <v>1402</v>
      </c>
      <c r="F4178" s="29">
        <v>2180230</v>
      </c>
    </row>
    <row r="4179" spans="1:6" ht="16" customHeight="1" x14ac:dyDescent="0.2">
      <c r="A4179">
        <f>IFERROR(VLOOKUP(C4179,'GASB Match'!$D$2:$F$6042,3,FALSE),"")</f>
        <v>3400745</v>
      </c>
      <c r="B4179" s="17">
        <v>2018</v>
      </c>
      <c r="C4179" s="17" t="s">
        <v>1225</v>
      </c>
      <c r="D4179" s="17">
        <v>663</v>
      </c>
      <c r="E4179" s="17" t="s">
        <v>1466</v>
      </c>
      <c r="F4179" s="20">
        <v>540299</v>
      </c>
    </row>
    <row r="4180" spans="1:6" ht="16" customHeight="1" x14ac:dyDescent="0.2">
      <c r="A4180">
        <f>IFERROR(VLOOKUP(C4180,'GASB Match'!$D$2:$F$6042,3,FALSE),"")</f>
        <v>3400745</v>
      </c>
      <c r="B4180" s="17">
        <v>2019</v>
      </c>
      <c r="C4180" s="17" t="s">
        <v>1225</v>
      </c>
      <c r="D4180" s="17">
        <v>663</v>
      </c>
      <c r="E4180" s="17" t="s">
        <v>1466</v>
      </c>
      <c r="F4180" s="20">
        <v>688411</v>
      </c>
    </row>
    <row r="4181" spans="1:6" ht="16" customHeight="1" x14ac:dyDescent="0.2">
      <c r="A4181">
        <f>IFERROR(VLOOKUP(C4181,'GASB Match'!$D$2:$F$6042,3,FALSE),"")</f>
        <v>3400745</v>
      </c>
      <c r="B4181" s="17">
        <v>2020</v>
      </c>
      <c r="C4181" s="21" t="s">
        <v>1225</v>
      </c>
      <c r="D4181" s="17">
        <v>663</v>
      </c>
      <c r="E4181" s="17" t="s">
        <v>1466</v>
      </c>
      <c r="F4181" s="23">
        <v>1128573</v>
      </c>
    </row>
    <row r="4182" spans="1:6" ht="16" customHeight="1" x14ac:dyDescent="0.2">
      <c r="A4182">
        <f>IFERROR(VLOOKUP(C4182,'GASB Match'!$D$2:$F$6042,3,FALSE),"")</f>
        <v>3400745</v>
      </c>
      <c r="B4182" s="17">
        <v>2021</v>
      </c>
      <c r="C4182" s="25" t="s">
        <v>1225</v>
      </c>
      <c r="D4182" s="17">
        <v>663</v>
      </c>
      <c r="E4182" s="17" t="s">
        <v>1466</v>
      </c>
      <c r="F4182" s="23">
        <v>1700388</v>
      </c>
    </row>
    <row r="4183" spans="1:6" ht="16" customHeight="1" x14ac:dyDescent="0.2">
      <c r="A4183">
        <f>IFERROR(VLOOKUP(C4183,'GASB Match'!$D$2:$F$6042,3,FALSE),"")</f>
        <v>3400745</v>
      </c>
      <c r="B4183" s="17">
        <v>2022</v>
      </c>
      <c r="C4183" s="21" t="s">
        <v>1225</v>
      </c>
      <c r="D4183" s="17">
        <v>663</v>
      </c>
      <c r="E4183" s="17" t="s">
        <v>1466</v>
      </c>
      <c r="F4183" s="23">
        <v>2495631</v>
      </c>
    </row>
    <row r="4184" spans="1:6" ht="16" customHeight="1" x14ac:dyDescent="0.2">
      <c r="A4184">
        <f>IFERROR(VLOOKUP(C4184,'GASB Match'!$D$2:$F$6042,3,FALSE),"")</f>
        <v>3400745</v>
      </c>
      <c r="B4184" s="17">
        <v>2023</v>
      </c>
      <c r="C4184" s="21" t="s">
        <v>1225</v>
      </c>
      <c r="D4184" s="17">
        <v>663</v>
      </c>
      <c r="E4184" s="17" t="s">
        <v>1466</v>
      </c>
      <c r="F4184" s="23">
        <v>2672646</v>
      </c>
    </row>
    <row r="4185" spans="1:6" ht="16" customHeight="1" x14ac:dyDescent="0.2">
      <c r="A4185">
        <f>IFERROR(VLOOKUP(C4185,'GASB Match'!$D$2:$F$6042,3,FALSE),"")</f>
        <v>3400745</v>
      </c>
      <c r="B4185" s="17">
        <v>2015</v>
      </c>
      <c r="C4185" s="17" t="s">
        <v>533</v>
      </c>
      <c r="D4185" s="17">
        <v>663</v>
      </c>
      <c r="E4185" s="17" t="s">
        <v>1423</v>
      </c>
      <c r="F4185" s="20">
        <v>86754</v>
      </c>
    </row>
    <row r="4186" spans="1:6" ht="16" customHeight="1" x14ac:dyDescent="0.2">
      <c r="A4186">
        <f>IFERROR(VLOOKUP(C4186,'GASB Match'!$D$2:$F$6042,3,FALSE),"")</f>
        <v>3400745</v>
      </c>
      <c r="B4186" s="17">
        <v>2016</v>
      </c>
      <c r="C4186" s="17" t="s">
        <v>533</v>
      </c>
      <c r="D4186" s="17">
        <v>663</v>
      </c>
      <c r="E4186" s="17" t="s">
        <v>1423</v>
      </c>
      <c r="F4186" s="20">
        <v>155731</v>
      </c>
    </row>
    <row r="4187" spans="1:6" ht="16" customHeight="1" x14ac:dyDescent="0.2">
      <c r="A4187">
        <f>IFERROR(VLOOKUP(C4187,'GASB Match'!$D$2:$F$6042,3,FALSE),"")</f>
        <v>3400745</v>
      </c>
      <c r="B4187" s="28">
        <v>2017</v>
      </c>
      <c r="C4187" s="29" t="s">
        <v>533</v>
      </c>
      <c r="D4187" s="17">
        <v>663</v>
      </c>
      <c r="E4187" s="17" t="s">
        <v>1423</v>
      </c>
      <c r="F4187" s="29">
        <v>295137</v>
      </c>
    </row>
    <row r="4188" spans="1:6" ht="16" customHeight="1" x14ac:dyDescent="0.2">
      <c r="A4188">
        <f>IFERROR(VLOOKUP(C4188,'GASB Match'!$D$2:$F$6042,3,FALSE),"")</f>
        <v>3412540</v>
      </c>
      <c r="B4188" s="17">
        <v>2015</v>
      </c>
      <c r="C4188" s="17" t="s">
        <v>534</v>
      </c>
      <c r="D4188" s="17">
        <v>620</v>
      </c>
      <c r="E4188" s="17" t="s">
        <v>1423</v>
      </c>
      <c r="F4188" s="20">
        <v>5777307</v>
      </c>
    </row>
    <row r="4189" spans="1:6" ht="16" customHeight="1" x14ac:dyDescent="0.2">
      <c r="A4189">
        <f>IFERROR(VLOOKUP(C4189,'GASB Match'!$D$2:$F$6042,3,FALSE),"")</f>
        <v>3412540</v>
      </c>
      <c r="B4189" s="17">
        <v>2016</v>
      </c>
      <c r="C4189" s="17" t="s">
        <v>534</v>
      </c>
      <c r="D4189" s="17">
        <v>620</v>
      </c>
      <c r="E4189" s="17" t="s">
        <v>1423</v>
      </c>
      <c r="F4189" s="20">
        <v>8878948</v>
      </c>
    </row>
    <row r="4190" spans="1:6" ht="16" customHeight="1" x14ac:dyDescent="0.2">
      <c r="A4190">
        <f>IFERROR(VLOOKUP(C4190,'GASB Match'!$D$2:$F$6042,3,FALSE),"")</f>
        <v>3412540</v>
      </c>
      <c r="B4190" s="17">
        <v>2018</v>
      </c>
      <c r="C4190" s="17" t="s">
        <v>1226</v>
      </c>
      <c r="D4190" s="17">
        <v>620</v>
      </c>
      <c r="E4190" s="17" t="s">
        <v>1466</v>
      </c>
      <c r="F4190" s="20">
        <v>16035666</v>
      </c>
    </row>
    <row r="4191" spans="1:6" ht="16" customHeight="1" x14ac:dyDescent="0.2">
      <c r="A4191">
        <f>IFERROR(VLOOKUP(C4191,'GASB Match'!$D$2:$F$6042,3,FALSE),"")</f>
        <v>3412540</v>
      </c>
      <c r="B4191" s="17">
        <v>2019</v>
      </c>
      <c r="C4191" s="17" t="s">
        <v>1226</v>
      </c>
      <c r="D4191" s="17">
        <v>620</v>
      </c>
      <c r="E4191" s="17" t="s">
        <v>1466</v>
      </c>
      <c r="F4191" s="20">
        <v>20778504</v>
      </c>
    </row>
    <row r="4192" spans="1:6" ht="16" customHeight="1" x14ac:dyDescent="0.2">
      <c r="A4192">
        <f>IFERROR(VLOOKUP(C4192,'GASB Match'!$D$2:$F$6042,3,FALSE),"")</f>
        <v>3412540</v>
      </c>
      <c r="B4192" s="17">
        <v>2020</v>
      </c>
      <c r="C4192" s="21" t="s">
        <v>1226</v>
      </c>
      <c r="D4192" s="17">
        <v>620</v>
      </c>
      <c r="E4192" s="17" t="s">
        <v>1466</v>
      </c>
      <c r="F4192" s="23">
        <v>22444816</v>
      </c>
    </row>
    <row r="4193" spans="1:6" ht="16" customHeight="1" x14ac:dyDescent="0.2">
      <c r="A4193">
        <f>IFERROR(VLOOKUP(C4193,'GASB Match'!$D$2:$F$6042,3,FALSE),"")</f>
        <v>3412540</v>
      </c>
      <c r="B4193" s="17">
        <v>2021</v>
      </c>
      <c r="C4193" s="25" t="s">
        <v>1226</v>
      </c>
      <c r="D4193" s="17">
        <v>620</v>
      </c>
      <c r="E4193" s="17" t="s">
        <v>1466</v>
      </c>
      <c r="F4193" s="23">
        <v>27886622</v>
      </c>
    </row>
    <row r="4194" spans="1:6" ht="16" customHeight="1" x14ac:dyDescent="0.2">
      <c r="A4194">
        <f>IFERROR(VLOOKUP(C4194,'GASB Match'!$D$2:$F$6042,3,FALSE),"")</f>
        <v>3412540</v>
      </c>
      <c r="B4194" s="17">
        <v>2022</v>
      </c>
      <c r="C4194" s="21" t="s">
        <v>1226</v>
      </c>
      <c r="D4194" s="17">
        <v>620</v>
      </c>
      <c r="E4194" s="17" t="s">
        <v>1466</v>
      </c>
      <c r="F4194" s="23">
        <v>42194751</v>
      </c>
    </row>
    <row r="4195" spans="1:6" ht="16" customHeight="1" x14ac:dyDescent="0.2">
      <c r="A4195">
        <f>IFERROR(VLOOKUP(C4195,'GASB Match'!$D$2:$F$6042,3,FALSE),"")</f>
        <v>3412540</v>
      </c>
      <c r="B4195" s="17">
        <v>2023</v>
      </c>
      <c r="C4195" s="21" t="s">
        <v>1226</v>
      </c>
      <c r="D4195" s="17">
        <v>620</v>
      </c>
      <c r="E4195" s="17" t="s">
        <v>1466</v>
      </c>
      <c r="F4195" s="23">
        <v>41777968</v>
      </c>
    </row>
    <row r="4196" spans="1:6" ht="16" customHeight="1" x14ac:dyDescent="0.2">
      <c r="A4196">
        <f>IFERROR(VLOOKUP(C4196,'GASB Match'!$D$2:$F$6042,3,FALSE),"")</f>
        <v>3412540</v>
      </c>
      <c r="B4196" s="28">
        <v>2017</v>
      </c>
      <c r="C4196" s="29" t="s">
        <v>534</v>
      </c>
      <c r="D4196" s="17">
        <v>620</v>
      </c>
      <c r="E4196" s="17" t="s">
        <v>1423</v>
      </c>
      <c r="F4196" s="29">
        <v>12063394</v>
      </c>
    </row>
    <row r="4197" spans="1:6" ht="16" customHeight="1" x14ac:dyDescent="0.2">
      <c r="A4197">
        <f>IFERROR(VLOOKUP(C4197,'GASB Match'!$D$2:$F$6042,3,FALSE),"")</f>
        <v>3412600</v>
      </c>
      <c r="B4197" s="17">
        <v>2015</v>
      </c>
      <c r="C4197" s="17" t="s">
        <v>535</v>
      </c>
      <c r="D4197" s="17">
        <v>646</v>
      </c>
      <c r="E4197" s="17" t="s">
        <v>1423</v>
      </c>
      <c r="F4197" s="20">
        <v>308962</v>
      </c>
    </row>
    <row r="4198" spans="1:6" ht="16" customHeight="1" x14ac:dyDescent="0.2">
      <c r="A4198">
        <f>IFERROR(VLOOKUP(C4198,'GASB Match'!$D$2:$F$6042,3,FALSE),"")</f>
        <v>3412600</v>
      </c>
      <c r="B4198" s="17">
        <v>2016</v>
      </c>
      <c r="C4198" s="17" t="s">
        <v>535</v>
      </c>
      <c r="D4198" s="17">
        <v>646</v>
      </c>
      <c r="E4198" s="17" t="s">
        <v>1423</v>
      </c>
      <c r="F4198" s="20">
        <v>464676</v>
      </c>
    </row>
    <row r="4199" spans="1:6" ht="16" customHeight="1" x14ac:dyDescent="0.2">
      <c r="A4199">
        <f>IFERROR(VLOOKUP(C4199,'GASB Match'!$D$2:$F$6042,3,FALSE),"")</f>
        <v>3412600</v>
      </c>
      <c r="B4199" s="17">
        <v>2018</v>
      </c>
      <c r="C4199" s="17" t="s">
        <v>1227</v>
      </c>
      <c r="D4199" s="17">
        <v>646</v>
      </c>
      <c r="E4199" s="17" t="s">
        <v>1466</v>
      </c>
      <c r="F4199" s="20">
        <v>885457</v>
      </c>
    </row>
    <row r="4200" spans="1:6" ht="16" customHeight="1" x14ac:dyDescent="0.2">
      <c r="A4200">
        <f>IFERROR(VLOOKUP(C4200,'GASB Match'!$D$2:$F$6042,3,FALSE),"")</f>
        <v>3412600</v>
      </c>
      <c r="B4200" s="17">
        <v>2019</v>
      </c>
      <c r="C4200" s="17" t="s">
        <v>1227</v>
      </c>
      <c r="D4200" s="17">
        <v>646</v>
      </c>
      <c r="E4200" s="17" t="s">
        <v>1466</v>
      </c>
      <c r="F4200" s="20">
        <v>1125761</v>
      </c>
    </row>
    <row r="4201" spans="1:6" ht="16" customHeight="1" x14ac:dyDescent="0.2">
      <c r="A4201">
        <f>IFERROR(VLOOKUP(C4201,'GASB Match'!$D$2:$F$6042,3,FALSE),"")</f>
        <v>3412600</v>
      </c>
      <c r="B4201" s="17">
        <v>2020</v>
      </c>
      <c r="C4201" s="21" t="s">
        <v>1227</v>
      </c>
      <c r="D4201" s="17">
        <v>646</v>
      </c>
      <c r="E4201" s="17" t="s">
        <v>1466</v>
      </c>
      <c r="F4201" s="23">
        <v>1210417</v>
      </c>
    </row>
    <row r="4202" spans="1:6" ht="16" customHeight="1" x14ac:dyDescent="0.2">
      <c r="A4202">
        <f>IFERROR(VLOOKUP(C4202,'GASB Match'!$D$2:$F$6042,3,FALSE),"")</f>
        <v>3412600</v>
      </c>
      <c r="B4202" s="17">
        <v>2021</v>
      </c>
      <c r="C4202" s="25" t="s">
        <v>1227</v>
      </c>
      <c r="D4202" s="17">
        <v>646</v>
      </c>
      <c r="E4202" s="17" t="s">
        <v>1466</v>
      </c>
      <c r="F4202" s="23">
        <v>1649943</v>
      </c>
    </row>
    <row r="4203" spans="1:6" ht="16" customHeight="1" x14ac:dyDescent="0.2">
      <c r="A4203">
        <f>IFERROR(VLOOKUP(C4203,'GASB Match'!$D$2:$F$6042,3,FALSE),"")</f>
        <v>3412600</v>
      </c>
      <c r="B4203" s="17">
        <v>2022</v>
      </c>
      <c r="C4203" s="21" t="s">
        <v>1227</v>
      </c>
      <c r="D4203" s="17">
        <v>646</v>
      </c>
      <c r="E4203" s="17" t="s">
        <v>1466</v>
      </c>
      <c r="F4203" s="23">
        <v>2454385</v>
      </c>
    </row>
    <row r="4204" spans="1:6" ht="16" customHeight="1" x14ac:dyDescent="0.2">
      <c r="A4204">
        <f>IFERROR(VLOOKUP(C4204,'GASB Match'!$D$2:$F$6042,3,FALSE),"")</f>
        <v>3412600</v>
      </c>
      <c r="B4204" s="17">
        <v>2023</v>
      </c>
      <c r="C4204" s="21" t="s">
        <v>1227</v>
      </c>
      <c r="D4204" s="17">
        <v>646</v>
      </c>
      <c r="E4204" s="17" t="s">
        <v>1466</v>
      </c>
      <c r="F4204" s="23">
        <v>2351449</v>
      </c>
    </row>
    <row r="4205" spans="1:6" ht="16" customHeight="1" x14ac:dyDescent="0.2">
      <c r="A4205">
        <f>IFERROR(VLOOKUP(C4205,'GASB Match'!$D$2:$F$6042,3,FALSE),"")</f>
        <v>3412600</v>
      </c>
      <c r="B4205" s="28">
        <v>2017</v>
      </c>
      <c r="C4205" s="29" t="s">
        <v>535</v>
      </c>
      <c r="D4205" s="17">
        <v>646</v>
      </c>
      <c r="E4205" s="17" t="s">
        <v>1423</v>
      </c>
      <c r="F4205" s="29">
        <v>644584</v>
      </c>
    </row>
    <row r="4206" spans="1:6" ht="16" customHeight="1" x14ac:dyDescent="0.2">
      <c r="A4206">
        <f>IFERROR(VLOOKUP(C4206,'GASB Match'!$D$2:$F$6042,3,FALSE),"")</f>
        <v>3412570</v>
      </c>
      <c r="B4206" s="17">
        <v>2015</v>
      </c>
      <c r="C4206" s="17" t="s">
        <v>536</v>
      </c>
      <c r="D4206" s="17">
        <v>640</v>
      </c>
      <c r="E4206" s="17" t="s">
        <v>1423</v>
      </c>
      <c r="F4206" s="20">
        <v>513498</v>
      </c>
    </row>
    <row r="4207" spans="1:6" ht="16" customHeight="1" x14ac:dyDescent="0.2">
      <c r="A4207">
        <f>IFERROR(VLOOKUP(C4207,'GASB Match'!$D$2:$F$6042,3,FALSE),"")</f>
        <v>3412570</v>
      </c>
      <c r="B4207" s="17">
        <v>2016</v>
      </c>
      <c r="C4207" s="17" t="s">
        <v>536</v>
      </c>
      <c r="D4207" s="17">
        <v>640</v>
      </c>
      <c r="E4207" s="17" t="s">
        <v>1423</v>
      </c>
      <c r="F4207" s="20">
        <v>782584</v>
      </c>
    </row>
    <row r="4208" spans="1:6" ht="16" customHeight="1" x14ac:dyDescent="0.2">
      <c r="A4208">
        <f>IFERROR(VLOOKUP(C4208,'GASB Match'!$D$2:$F$6042,3,FALSE),"")</f>
        <v>3412570</v>
      </c>
      <c r="B4208" s="17">
        <v>2018</v>
      </c>
      <c r="C4208" s="17" t="s">
        <v>1228</v>
      </c>
      <c r="D4208" s="17">
        <v>640</v>
      </c>
      <c r="E4208" s="17" t="s">
        <v>1466</v>
      </c>
      <c r="F4208" s="20">
        <v>1458980</v>
      </c>
    </row>
    <row r="4209" spans="1:6" ht="16" customHeight="1" x14ac:dyDescent="0.2">
      <c r="A4209">
        <f>IFERROR(VLOOKUP(C4209,'GASB Match'!$D$2:$F$6042,3,FALSE),"")</f>
        <v>3412570</v>
      </c>
      <c r="B4209" s="17">
        <v>2019</v>
      </c>
      <c r="C4209" s="17" t="s">
        <v>1228</v>
      </c>
      <c r="D4209" s="17">
        <v>640</v>
      </c>
      <c r="E4209" s="17" t="s">
        <v>1466</v>
      </c>
      <c r="F4209" s="20">
        <v>1950024</v>
      </c>
    </row>
    <row r="4210" spans="1:6" ht="16" customHeight="1" x14ac:dyDescent="0.2">
      <c r="A4210">
        <f>IFERROR(VLOOKUP(C4210,'GASB Match'!$D$2:$F$6042,3,FALSE),"")</f>
        <v>3412570</v>
      </c>
      <c r="B4210" s="17">
        <v>2020</v>
      </c>
      <c r="C4210" s="21" t="s">
        <v>1228</v>
      </c>
      <c r="D4210" s="17">
        <v>640</v>
      </c>
      <c r="E4210" s="17" t="s">
        <v>1466</v>
      </c>
      <c r="F4210" s="23">
        <v>2166274</v>
      </c>
    </row>
    <row r="4211" spans="1:6" ht="16" customHeight="1" x14ac:dyDescent="0.2">
      <c r="A4211">
        <f>IFERROR(VLOOKUP(C4211,'GASB Match'!$D$2:$F$6042,3,FALSE),"")</f>
        <v>3412570</v>
      </c>
      <c r="B4211" s="17">
        <v>2021</v>
      </c>
      <c r="C4211" s="25" t="s">
        <v>1228</v>
      </c>
      <c r="D4211" s="17">
        <v>640</v>
      </c>
      <c r="E4211" s="17" t="s">
        <v>1466</v>
      </c>
      <c r="F4211" s="23">
        <v>2796499</v>
      </c>
    </row>
    <row r="4212" spans="1:6" ht="16" customHeight="1" x14ac:dyDescent="0.2">
      <c r="A4212">
        <f>IFERROR(VLOOKUP(C4212,'GASB Match'!$D$2:$F$6042,3,FALSE),"")</f>
        <v>3412570</v>
      </c>
      <c r="B4212" s="17">
        <v>2022</v>
      </c>
      <c r="C4212" s="21" t="s">
        <v>1228</v>
      </c>
      <c r="D4212" s="17">
        <v>640</v>
      </c>
      <c r="E4212" s="17" t="s">
        <v>1466</v>
      </c>
      <c r="F4212" s="23">
        <v>3693124</v>
      </c>
    </row>
    <row r="4213" spans="1:6" ht="16" customHeight="1" x14ac:dyDescent="0.2">
      <c r="A4213">
        <f>IFERROR(VLOOKUP(C4213,'GASB Match'!$D$2:$F$6042,3,FALSE),"")</f>
        <v>3412570</v>
      </c>
      <c r="B4213" s="17">
        <v>2023</v>
      </c>
      <c r="C4213" s="21" t="s">
        <v>1228</v>
      </c>
      <c r="D4213" s="17">
        <v>640</v>
      </c>
      <c r="E4213" s="17" t="s">
        <v>1466</v>
      </c>
      <c r="F4213" s="23">
        <v>3449462</v>
      </c>
    </row>
    <row r="4214" spans="1:6" ht="16" customHeight="1" x14ac:dyDescent="0.2">
      <c r="A4214">
        <f>IFERROR(VLOOKUP(C4214,'GASB Match'!$D$2:$F$6042,3,FALSE),"")</f>
        <v>3412570</v>
      </c>
      <c r="B4214" s="28">
        <v>2017</v>
      </c>
      <c r="C4214" s="29" t="s">
        <v>536</v>
      </c>
      <c r="D4214" s="17">
        <v>640</v>
      </c>
      <c r="E4214" s="17" t="s">
        <v>1423</v>
      </c>
      <c r="F4214" s="29">
        <v>1070836</v>
      </c>
    </row>
    <row r="4215" spans="1:6" ht="16" customHeight="1" x14ac:dyDescent="0.2">
      <c r="A4215">
        <f>IFERROR(VLOOKUP(C4215,'GASB Match'!$D$2:$F$6042,3,FALSE),"")</f>
        <v>3412630</v>
      </c>
      <c r="B4215" s="17">
        <v>2015</v>
      </c>
      <c r="C4215" s="17" t="s">
        <v>537</v>
      </c>
      <c r="D4215" s="17">
        <v>952</v>
      </c>
      <c r="E4215" s="17" t="s">
        <v>1423</v>
      </c>
      <c r="F4215" s="20">
        <v>1696288</v>
      </c>
    </row>
    <row r="4216" spans="1:6" ht="16" customHeight="1" x14ac:dyDescent="0.2">
      <c r="A4216">
        <f>IFERROR(VLOOKUP(C4216,'GASB Match'!$D$2:$F$6042,3,FALSE),"")</f>
        <v>3412630</v>
      </c>
      <c r="B4216" s="17">
        <v>2016</v>
      </c>
      <c r="C4216" s="17" t="s">
        <v>537</v>
      </c>
      <c r="D4216" s="17">
        <v>952</v>
      </c>
      <c r="E4216" s="17" t="s">
        <v>1423</v>
      </c>
      <c r="F4216" s="20">
        <v>2549077</v>
      </c>
    </row>
    <row r="4217" spans="1:6" ht="16" customHeight="1" x14ac:dyDescent="0.2">
      <c r="A4217">
        <f>IFERROR(VLOOKUP(C4217,'GASB Match'!$D$2:$F$6042,3,FALSE),"")</f>
        <v>3412630</v>
      </c>
      <c r="B4217" s="17">
        <v>2018</v>
      </c>
      <c r="C4217" s="17" t="s">
        <v>1229</v>
      </c>
      <c r="D4217" s="17">
        <v>952</v>
      </c>
      <c r="E4217" s="17" t="s">
        <v>1466</v>
      </c>
      <c r="F4217" s="20">
        <v>4844148</v>
      </c>
    </row>
    <row r="4218" spans="1:6" ht="16" customHeight="1" x14ac:dyDescent="0.2">
      <c r="A4218">
        <f>IFERROR(VLOOKUP(C4218,'GASB Match'!$D$2:$F$6042,3,FALSE),"")</f>
        <v>3412630</v>
      </c>
      <c r="B4218" s="17">
        <v>2019</v>
      </c>
      <c r="C4218" s="17" t="s">
        <v>1229</v>
      </c>
      <c r="D4218" s="17">
        <v>952</v>
      </c>
      <c r="E4218" s="17" t="s">
        <v>1466</v>
      </c>
      <c r="F4218" s="20">
        <v>6719953</v>
      </c>
    </row>
    <row r="4219" spans="1:6" ht="16" customHeight="1" x14ac:dyDescent="0.2">
      <c r="A4219">
        <f>IFERROR(VLOOKUP(C4219,'GASB Match'!$D$2:$F$6042,3,FALSE),"")</f>
        <v>3412630</v>
      </c>
      <c r="B4219" s="17">
        <v>2020</v>
      </c>
      <c r="C4219" s="21" t="s">
        <v>1229</v>
      </c>
      <c r="D4219" s="17">
        <v>952</v>
      </c>
      <c r="E4219" s="17" t="s">
        <v>1466</v>
      </c>
      <c r="F4219" s="22">
        <v>7689443</v>
      </c>
    </row>
    <row r="4220" spans="1:6" ht="16" customHeight="1" x14ac:dyDescent="0.2">
      <c r="A4220">
        <f>IFERROR(VLOOKUP(C4220,'GASB Match'!$D$2:$F$6042,3,FALSE),"")</f>
        <v>3412630</v>
      </c>
      <c r="B4220" s="17">
        <v>2021</v>
      </c>
      <c r="C4220" s="25" t="s">
        <v>1229</v>
      </c>
      <c r="D4220" s="17">
        <v>952</v>
      </c>
      <c r="E4220" s="17" t="s">
        <v>1466</v>
      </c>
      <c r="F4220" s="23">
        <v>10532735</v>
      </c>
    </row>
    <row r="4221" spans="1:6" ht="16" customHeight="1" x14ac:dyDescent="0.2">
      <c r="A4221">
        <f>IFERROR(VLOOKUP(C4221,'GASB Match'!$D$2:$F$6042,3,FALSE),"")</f>
        <v>3412630</v>
      </c>
      <c r="B4221" s="17">
        <v>2022</v>
      </c>
      <c r="C4221" s="21" t="s">
        <v>1229</v>
      </c>
      <c r="D4221" s="17">
        <v>952</v>
      </c>
      <c r="E4221" s="17" t="s">
        <v>1466</v>
      </c>
      <c r="F4221" s="23">
        <v>15450596</v>
      </c>
    </row>
    <row r="4222" spans="1:6" ht="16" customHeight="1" x14ac:dyDescent="0.2">
      <c r="A4222">
        <f>IFERROR(VLOOKUP(C4222,'GASB Match'!$D$2:$F$6042,3,FALSE),"")</f>
        <v>3412630</v>
      </c>
      <c r="B4222" s="17">
        <v>2023</v>
      </c>
      <c r="C4222" s="21" t="s">
        <v>1229</v>
      </c>
      <c r="D4222" s="17">
        <v>952</v>
      </c>
      <c r="E4222" s="17" t="s">
        <v>1466</v>
      </c>
      <c r="F4222" s="23">
        <v>16190516</v>
      </c>
    </row>
    <row r="4223" spans="1:6" ht="16" customHeight="1" x14ac:dyDescent="0.2">
      <c r="A4223">
        <f>IFERROR(VLOOKUP(C4223,'GASB Match'!$D$2:$F$6042,3,FALSE),"")</f>
        <v>3412630</v>
      </c>
      <c r="B4223" s="28">
        <v>2017</v>
      </c>
      <c r="C4223" s="29" t="s">
        <v>537</v>
      </c>
      <c r="D4223" s="17">
        <v>952</v>
      </c>
      <c r="E4223" s="17" t="s">
        <v>1423</v>
      </c>
      <c r="F4223" s="29">
        <v>3607619</v>
      </c>
    </row>
    <row r="4224" spans="1:6" ht="16" customHeight="1" x14ac:dyDescent="0.2">
      <c r="A4224">
        <f>IFERROR(VLOOKUP(C4224,'GASB Match'!$D$2:$F$6042,3,FALSE),"")</f>
        <v>3480364</v>
      </c>
      <c r="B4224" s="17">
        <v>2015</v>
      </c>
      <c r="C4224" s="17" t="s">
        <v>538</v>
      </c>
      <c r="D4224" s="17">
        <v>647</v>
      </c>
      <c r="E4224" s="17" t="s">
        <v>1423</v>
      </c>
      <c r="F4224" s="20">
        <v>96915</v>
      </c>
    </row>
    <row r="4225" spans="1:6" ht="16" customHeight="1" x14ac:dyDescent="0.2">
      <c r="A4225">
        <f>IFERROR(VLOOKUP(C4225,'GASB Match'!$D$2:$F$6042,3,FALSE),"")</f>
        <v>3480364</v>
      </c>
      <c r="B4225" s="17">
        <v>2016</v>
      </c>
      <c r="C4225" s="17" t="s">
        <v>538</v>
      </c>
      <c r="D4225" s="17">
        <v>647</v>
      </c>
      <c r="E4225" s="17" t="s">
        <v>1423</v>
      </c>
      <c r="F4225" s="20">
        <v>142549</v>
      </c>
    </row>
    <row r="4226" spans="1:6" ht="16" customHeight="1" x14ac:dyDescent="0.2">
      <c r="A4226">
        <f>IFERROR(VLOOKUP(C4226,'GASB Match'!$D$2:$F$6042,3,FALSE),"")</f>
        <v>3480364</v>
      </c>
      <c r="B4226" s="17">
        <v>2018</v>
      </c>
      <c r="C4226" s="17" t="s">
        <v>1230</v>
      </c>
      <c r="D4226" s="17">
        <v>647</v>
      </c>
      <c r="E4226" s="17" t="s">
        <v>1466</v>
      </c>
      <c r="F4226" s="20">
        <v>236077</v>
      </c>
    </row>
    <row r="4227" spans="1:6" ht="16" customHeight="1" x14ac:dyDescent="0.2">
      <c r="A4227">
        <f>IFERROR(VLOOKUP(C4227,'GASB Match'!$D$2:$F$6042,3,FALSE),"")</f>
        <v>3480364</v>
      </c>
      <c r="B4227" s="17">
        <v>2019</v>
      </c>
      <c r="C4227" s="17" t="s">
        <v>1230</v>
      </c>
      <c r="D4227" s="17">
        <v>647</v>
      </c>
      <c r="E4227" s="17" t="s">
        <v>1466</v>
      </c>
      <c r="F4227" s="20">
        <v>274089</v>
      </c>
    </row>
    <row r="4228" spans="1:6" ht="16" customHeight="1" x14ac:dyDescent="0.2">
      <c r="A4228">
        <f>IFERROR(VLOOKUP(C4228,'GASB Match'!$D$2:$F$6042,3,FALSE),"")</f>
        <v>3480364</v>
      </c>
      <c r="B4228" s="17">
        <v>2020</v>
      </c>
      <c r="C4228" s="21" t="s">
        <v>1230</v>
      </c>
      <c r="D4228" s="17">
        <v>647</v>
      </c>
      <c r="E4228" s="17" t="s">
        <v>1466</v>
      </c>
      <c r="F4228" s="23">
        <v>335909</v>
      </c>
    </row>
    <row r="4229" spans="1:6" ht="16" customHeight="1" x14ac:dyDescent="0.2">
      <c r="A4229">
        <f>IFERROR(VLOOKUP(C4229,'GASB Match'!$D$2:$F$6042,3,FALSE),"")</f>
        <v>3480364</v>
      </c>
      <c r="B4229" s="17">
        <v>2021</v>
      </c>
      <c r="C4229" s="25" t="s">
        <v>1230</v>
      </c>
      <c r="D4229" s="17">
        <v>647</v>
      </c>
      <c r="E4229" s="17" t="s">
        <v>1466</v>
      </c>
      <c r="F4229" s="23">
        <v>978435</v>
      </c>
    </row>
    <row r="4230" spans="1:6" ht="16" customHeight="1" x14ac:dyDescent="0.2">
      <c r="A4230">
        <f>IFERROR(VLOOKUP(C4230,'GASB Match'!$D$2:$F$6042,3,FALSE),"")</f>
        <v>3480364</v>
      </c>
      <c r="B4230" s="17">
        <v>2022</v>
      </c>
      <c r="C4230" s="21" t="s">
        <v>1230</v>
      </c>
      <c r="D4230" s="17">
        <v>647</v>
      </c>
      <c r="E4230" s="17" t="s">
        <v>1466</v>
      </c>
      <c r="F4230" s="23">
        <v>1721424</v>
      </c>
    </row>
    <row r="4231" spans="1:6" ht="16" customHeight="1" x14ac:dyDescent="0.2">
      <c r="A4231">
        <f>IFERROR(VLOOKUP(C4231,'GASB Match'!$D$2:$F$6042,3,FALSE),"")</f>
        <v>3480364</v>
      </c>
      <c r="B4231" s="17">
        <v>2023</v>
      </c>
      <c r="C4231" s="21" t="s">
        <v>1230</v>
      </c>
      <c r="D4231" s="17">
        <v>647</v>
      </c>
      <c r="E4231" s="17" t="s">
        <v>1466</v>
      </c>
      <c r="F4231" s="23">
        <v>1739592</v>
      </c>
    </row>
    <row r="4232" spans="1:6" ht="16" customHeight="1" x14ac:dyDescent="0.2">
      <c r="A4232">
        <f>IFERROR(VLOOKUP(C4232,'GASB Match'!$D$2:$F$6042,3,FALSE),"")</f>
        <v>3480364</v>
      </c>
      <c r="B4232" s="28">
        <v>2017</v>
      </c>
      <c r="C4232" s="29" t="s">
        <v>538</v>
      </c>
      <c r="D4232" s="17">
        <v>647</v>
      </c>
      <c r="E4232" s="17" t="s">
        <v>1423</v>
      </c>
      <c r="F4232" s="29">
        <v>189828</v>
      </c>
    </row>
    <row r="4233" spans="1:6" ht="16" customHeight="1" x14ac:dyDescent="0.2">
      <c r="A4233">
        <f>IFERROR(VLOOKUP(C4233,'GASB Match'!$D$2:$F$6042,3,FALSE),"")</f>
        <v>3400765</v>
      </c>
      <c r="B4233" s="17">
        <v>2018</v>
      </c>
      <c r="C4233" s="17" t="s">
        <v>760</v>
      </c>
      <c r="D4233" s="17">
        <v>2099</v>
      </c>
      <c r="E4233" s="17" t="s">
        <v>1443</v>
      </c>
      <c r="F4233" s="20">
        <v>312872</v>
      </c>
    </row>
    <row r="4234" spans="1:6" ht="16" customHeight="1" x14ac:dyDescent="0.2">
      <c r="A4234">
        <f>IFERROR(VLOOKUP(C4234,'GASB Match'!$D$2:$F$6042,3,FALSE),"")</f>
        <v>3400765</v>
      </c>
      <c r="B4234" s="17">
        <v>2019</v>
      </c>
      <c r="C4234" s="17" t="s">
        <v>760</v>
      </c>
      <c r="D4234" s="17">
        <v>2099</v>
      </c>
      <c r="E4234" s="17" t="s">
        <v>1443</v>
      </c>
      <c r="F4234" s="20">
        <v>453133</v>
      </c>
    </row>
    <row r="4235" spans="1:6" ht="16" customHeight="1" x14ac:dyDescent="0.2">
      <c r="A4235">
        <f>IFERROR(VLOOKUP(C4235,'GASB Match'!$D$2:$F$6042,3,FALSE),"")</f>
        <v>3400765</v>
      </c>
      <c r="B4235" s="17">
        <v>2020</v>
      </c>
      <c r="C4235" s="21" t="s">
        <v>760</v>
      </c>
      <c r="D4235" s="17">
        <v>2099</v>
      </c>
      <c r="E4235" s="17" t="s">
        <v>1443</v>
      </c>
      <c r="F4235" s="23">
        <v>565698</v>
      </c>
    </row>
    <row r="4236" spans="1:6" ht="16" customHeight="1" x14ac:dyDescent="0.2">
      <c r="A4236">
        <f>IFERROR(VLOOKUP(C4236,'GASB Match'!$D$2:$F$6042,3,FALSE),"")</f>
        <v>3400765</v>
      </c>
      <c r="B4236" s="17">
        <v>2021</v>
      </c>
      <c r="C4236" s="25" t="s">
        <v>760</v>
      </c>
      <c r="D4236" s="17">
        <v>2099</v>
      </c>
      <c r="E4236" s="17" t="s">
        <v>1443</v>
      </c>
      <c r="F4236" s="23">
        <v>828936</v>
      </c>
    </row>
    <row r="4237" spans="1:6" ht="16" customHeight="1" x14ac:dyDescent="0.2">
      <c r="A4237">
        <f>IFERROR(VLOOKUP(C4237,'GASB Match'!$D$2:$F$6042,3,FALSE),"")</f>
        <v>3400765</v>
      </c>
      <c r="B4237" s="17">
        <v>2022</v>
      </c>
      <c r="C4237" s="21" t="s">
        <v>760</v>
      </c>
      <c r="D4237" s="17">
        <v>2099</v>
      </c>
      <c r="E4237" s="17" t="s">
        <v>1443</v>
      </c>
      <c r="F4237" s="23">
        <v>1538964</v>
      </c>
    </row>
    <row r="4238" spans="1:6" ht="16" customHeight="1" x14ac:dyDescent="0.2">
      <c r="A4238">
        <f>IFERROR(VLOOKUP(C4238,'GASB Match'!$D$2:$F$6042,3,FALSE),"")</f>
        <v>3400765</v>
      </c>
      <c r="B4238" s="17">
        <v>2023</v>
      </c>
      <c r="C4238" s="21" t="s">
        <v>760</v>
      </c>
      <c r="D4238" s="17">
        <v>2099</v>
      </c>
      <c r="E4238" s="17" t="s">
        <v>1443</v>
      </c>
      <c r="F4238" s="23">
        <v>1604537</v>
      </c>
    </row>
    <row r="4239" spans="1:6" ht="16" customHeight="1" x14ac:dyDescent="0.2">
      <c r="A4239">
        <f>IFERROR(VLOOKUP(C4239,'GASB Match'!$D$2:$F$6042,3,FALSE),"")</f>
        <v>3400765</v>
      </c>
      <c r="B4239" s="17">
        <v>2016</v>
      </c>
      <c r="C4239" s="17" t="s">
        <v>665</v>
      </c>
      <c r="D4239" s="17">
        <v>2099</v>
      </c>
      <c r="E4239" s="17" t="s">
        <v>1402</v>
      </c>
      <c r="F4239" s="20">
        <v>78828</v>
      </c>
    </row>
    <row r="4240" spans="1:6" ht="16" customHeight="1" x14ac:dyDescent="0.2">
      <c r="A4240">
        <f>IFERROR(VLOOKUP(C4240,'GASB Match'!$D$2:$F$6042,3,FALSE),"")</f>
        <v>3400765</v>
      </c>
      <c r="B4240" s="28">
        <v>2017</v>
      </c>
      <c r="C4240" s="29" t="s">
        <v>665</v>
      </c>
      <c r="D4240" s="17">
        <v>2099</v>
      </c>
      <c r="E4240" s="17" t="s">
        <v>1402</v>
      </c>
      <c r="F4240" s="29">
        <v>210518</v>
      </c>
    </row>
    <row r="4241" spans="1:6" ht="16" customHeight="1" x14ac:dyDescent="0.2">
      <c r="A4241">
        <f>IFERROR(VLOOKUP(C4241,'GASB Match'!$D$2:$F$6042,3,FALSE),"")</f>
        <v>3412690</v>
      </c>
      <c r="B4241" s="17">
        <v>2015</v>
      </c>
      <c r="C4241" s="17" t="s">
        <v>539</v>
      </c>
      <c r="D4241" s="17">
        <v>600</v>
      </c>
      <c r="E4241" s="17" t="s">
        <v>1423</v>
      </c>
      <c r="F4241" s="20">
        <v>9951252</v>
      </c>
    </row>
    <row r="4242" spans="1:6" ht="16" customHeight="1" x14ac:dyDescent="0.2">
      <c r="A4242">
        <f>IFERROR(VLOOKUP(C4242,'GASB Match'!$D$2:$F$6042,3,FALSE),"")</f>
        <v>3412690</v>
      </c>
      <c r="B4242" s="17">
        <v>2016</v>
      </c>
      <c r="C4242" s="17" t="s">
        <v>539</v>
      </c>
      <c r="D4242" s="17">
        <v>600</v>
      </c>
      <c r="E4242" s="17" t="s">
        <v>1423</v>
      </c>
      <c r="F4242" s="20">
        <v>14644870</v>
      </c>
    </row>
    <row r="4243" spans="1:6" ht="16" customHeight="1" x14ac:dyDescent="0.2">
      <c r="A4243">
        <f>IFERROR(VLOOKUP(C4243,'GASB Match'!$D$2:$F$6042,3,FALSE),"")</f>
        <v>3412690</v>
      </c>
      <c r="B4243" s="17">
        <v>2018</v>
      </c>
      <c r="C4243" s="17" t="s">
        <v>1231</v>
      </c>
      <c r="D4243" s="17">
        <v>600</v>
      </c>
      <c r="E4243" s="17" t="s">
        <v>1466</v>
      </c>
      <c r="F4243" s="20">
        <v>27287117</v>
      </c>
    </row>
    <row r="4244" spans="1:6" ht="16" customHeight="1" x14ac:dyDescent="0.2">
      <c r="A4244">
        <f>IFERROR(VLOOKUP(C4244,'GASB Match'!$D$2:$F$6042,3,FALSE),"")</f>
        <v>3412690</v>
      </c>
      <c r="B4244" s="17">
        <v>2019</v>
      </c>
      <c r="C4244" s="17" t="s">
        <v>1231</v>
      </c>
      <c r="D4244" s="17">
        <v>600</v>
      </c>
      <c r="E4244" s="17" t="s">
        <v>1466</v>
      </c>
      <c r="F4244" s="19">
        <v>36178573</v>
      </c>
    </row>
    <row r="4245" spans="1:6" ht="16" customHeight="1" x14ac:dyDescent="0.2">
      <c r="A4245">
        <f>IFERROR(VLOOKUP(C4245,'GASB Match'!$D$2:$F$6042,3,FALSE),"")</f>
        <v>3412690</v>
      </c>
      <c r="B4245" s="17">
        <v>2020</v>
      </c>
      <c r="C4245" s="21" t="s">
        <v>1231</v>
      </c>
      <c r="D4245" s="17">
        <v>600</v>
      </c>
      <c r="E4245" s="17" t="s">
        <v>1466</v>
      </c>
      <c r="F4245" s="23">
        <v>38920519</v>
      </c>
    </row>
    <row r="4246" spans="1:6" ht="16" customHeight="1" x14ac:dyDescent="0.2">
      <c r="A4246">
        <f>IFERROR(VLOOKUP(C4246,'GASB Match'!$D$2:$F$6042,3,FALSE),"")</f>
        <v>3412690</v>
      </c>
      <c r="B4246" s="17">
        <v>2021</v>
      </c>
      <c r="C4246" s="25" t="s">
        <v>1231</v>
      </c>
      <c r="D4246" s="17">
        <v>600</v>
      </c>
      <c r="E4246" s="17" t="s">
        <v>1466</v>
      </c>
      <c r="F4246" s="22">
        <v>52008215</v>
      </c>
    </row>
    <row r="4247" spans="1:6" ht="16" customHeight="1" x14ac:dyDescent="0.2">
      <c r="A4247">
        <f>IFERROR(VLOOKUP(C4247,'GASB Match'!$D$2:$F$6042,3,FALSE),"")</f>
        <v>3412690</v>
      </c>
      <c r="B4247" s="17">
        <v>2022</v>
      </c>
      <c r="C4247" s="21" t="s">
        <v>1231</v>
      </c>
      <c r="D4247" s="17">
        <v>600</v>
      </c>
      <c r="E4247" s="17" t="s">
        <v>1466</v>
      </c>
      <c r="F4247" s="23">
        <v>70351058</v>
      </c>
    </row>
    <row r="4248" spans="1:6" ht="16" customHeight="1" x14ac:dyDescent="0.2">
      <c r="A4248">
        <f>IFERROR(VLOOKUP(C4248,'GASB Match'!$D$2:$F$6042,3,FALSE),"")</f>
        <v>3412690</v>
      </c>
      <c r="B4248" s="17">
        <v>2023</v>
      </c>
      <c r="C4248" s="21" t="s">
        <v>1231</v>
      </c>
      <c r="D4248" s="17">
        <v>600</v>
      </c>
      <c r="E4248" s="17" t="s">
        <v>1466</v>
      </c>
      <c r="F4248" s="23">
        <v>69186129</v>
      </c>
    </row>
    <row r="4249" spans="1:6" ht="16" customHeight="1" x14ac:dyDescent="0.2">
      <c r="A4249">
        <f>IFERROR(VLOOKUP(C4249,'GASB Match'!$D$2:$F$6042,3,FALSE),"")</f>
        <v>3412690</v>
      </c>
      <c r="B4249" s="28">
        <v>2017</v>
      </c>
      <c r="C4249" s="29" t="s">
        <v>539</v>
      </c>
      <c r="D4249" s="17">
        <v>600</v>
      </c>
      <c r="E4249" s="17" t="s">
        <v>1423</v>
      </c>
      <c r="F4249" s="29">
        <v>21286110</v>
      </c>
    </row>
    <row r="4250" spans="1:6" ht="16" customHeight="1" x14ac:dyDescent="0.2">
      <c r="A4250">
        <f>IFERROR(VLOOKUP(C4250,'GASB Match'!$D$2:$F$6042,3,FALSE),"")</f>
        <v>3400087</v>
      </c>
      <c r="B4250" s="17">
        <v>2015</v>
      </c>
      <c r="C4250" s="17" t="s">
        <v>540</v>
      </c>
      <c r="D4250" s="17">
        <v>660</v>
      </c>
      <c r="E4250" s="17" t="s">
        <v>1423</v>
      </c>
      <c r="F4250" s="20">
        <v>272412</v>
      </c>
    </row>
    <row r="4251" spans="1:6" ht="16" customHeight="1" x14ac:dyDescent="0.2">
      <c r="A4251">
        <f>IFERROR(VLOOKUP(C4251,'GASB Match'!$D$2:$F$6042,3,FALSE),"")</f>
        <v>3400087</v>
      </c>
      <c r="B4251" s="17">
        <v>2016</v>
      </c>
      <c r="C4251" s="17" t="s">
        <v>540</v>
      </c>
      <c r="D4251" s="17">
        <v>660</v>
      </c>
      <c r="E4251" s="17" t="s">
        <v>1423</v>
      </c>
      <c r="F4251" s="20">
        <v>478517</v>
      </c>
    </row>
    <row r="4252" spans="1:6" ht="16" customHeight="1" x14ac:dyDescent="0.2">
      <c r="A4252">
        <f>IFERROR(VLOOKUP(C4252,'GASB Match'!$D$2:$F$6042,3,FALSE),"")</f>
        <v>3400087</v>
      </c>
      <c r="B4252" s="17">
        <v>2018</v>
      </c>
      <c r="C4252" s="17" t="s">
        <v>1232</v>
      </c>
      <c r="D4252" s="17">
        <v>660</v>
      </c>
      <c r="E4252" s="17" t="s">
        <v>1466</v>
      </c>
      <c r="F4252" s="20">
        <v>943953</v>
      </c>
    </row>
    <row r="4253" spans="1:6" ht="16" customHeight="1" x14ac:dyDescent="0.2">
      <c r="A4253">
        <f>IFERROR(VLOOKUP(C4253,'GASB Match'!$D$2:$F$6042,3,FALSE),"")</f>
        <v>3400087</v>
      </c>
      <c r="B4253" s="17">
        <v>2019</v>
      </c>
      <c r="C4253" s="17" t="s">
        <v>1232</v>
      </c>
      <c r="D4253" s="17">
        <v>660</v>
      </c>
      <c r="E4253" s="17" t="s">
        <v>1466</v>
      </c>
      <c r="F4253" s="20">
        <v>1132021</v>
      </c>
    </row>
    <row r="4254" spans="1:6" ht="16" customHeight="1" x14ac:dyDescent="0.2">
      <c r="A4254">
        <f>IFERROR(VLOOKUP(C4254,'GASB Match'!$D$2:$F$6042,3,FALSE),"")</f>
        <v>3400087</v>
      </c>
      <c r="B4254" s="17">
        <v>2020</v>
      </c>
      <c r="C4254" s="21" t="s">
        <v>1232</v>
      </c>
      <c r="D4254" s="17">
        <v>660</v>
      </c>
      <c r="E4254" s="17" t="s">
        <v>1466</v>
      </c>
      <c r="F4254" s="23">
        <v>1562578</v>
      </c>
    </row>
    <row r="4255" spans="1:6" ht="16" customHeight="1" x14ac:dyDescent="0.2">
      <c r="A4255">
        <f>IFERROR(VLOOKUP(C4255,'GASB Match'!$D$2:$F$6042,3,FALSE),"")</f>
        <v>3400087</v>
      </c>
      <c r="B4255" s="17">
        <v>2021</v>
      </c>
      <c r="C4255" s="25" t="s">
        <v>1232</v>
      </c>
      <c r="D4255" s="17">
        <v>660</v>
      </c>
      <c r="E4255" s="17" t="s">
        <v>1466</v>
      </c>
      <c r="F4255" s="23">
        <v>2005915</v>
      </c>
    </row>
    <row r="4256" spans="1:6" ht="16" customHeight="1" x14ac:dyDescent="0.2">
      <c r="A4256">
        <f>IFERROR(VLOOKUP(C4256,'GASB Match'!$D$2:$F$6042,3,FALSE),"")</f>
        <v>3400087</v>
      </c>
      <c r="B4256" s="17">
        <v>2022</v>
      </c>
      <c r="C4256" s="21" t="s">
        <v>1232</v>
      </c>
      <c r="D4256" s="17">
        <v>660</v>
      </c>
      <c r="E4256" s="17" t="s">
        <v>1466</v>
      </c>
      <c r="F4256" s="23">
        <v>2992211</v>
      </c>
    </row>
    <row r="4257" spans="1:6" ht="16" customHeight="1" x14ac:dyDescent="0.2">
      <c r="A4257">
        <f>IFERROR(VLOOKUP(C4257,'GASB Match'!$D$2:$F$6042,3,FALSE),"")</f>
        <v>3400087</v>
      </c>
      <c r="B4257" s="17">
        <v>2023</v>
      </c>
      <c r="C4257" s="21" t="s">
        <v>1232</v>
      </c>
      <c r="D4257" s="17">
        <v>660</v>
      </c>
      <c r="E4257" s="17" t="s">
        <v>1466</v>
      </c>
      <c r="F4257" s="23">
        <v>3130573</v>
      </c>
    </row>
    <row r="4258" spans="1:6" ht="16" customHeight="1" x14ac:dyDescent="0.2">
      <c r="A4258">
        <f>IFERROR(VLOOKUP(C4258,'GASB Match'!$D$2:$F$6042,3,FALSE),"")</f>
        <v>3400087</v>
      </c>
      <c r="B4258" s="28">
        <v>2017</v>
      </c>
      <c r="C4258" s="29" t="s">
        <v>540</v>
      </c>
      <c r="D4258" s="17">
        <v>660</v>
      </c>
      <c r="E4258" s="17" t="s">
        <v>1423</v>
      </c>
      <c r="F4258" s="29">
        <v>715102</v>
      </c>
    </row>
    <row r="4259" spans="1:6" ht="16" customHeight="1" x14ac:dyDescent="0.2">
      <c r="A4259">
        <f>IFERROR(VLOOKUP(C4259,'GASB Match'!$D$2:$F$6042,3,FALSE),"")</f>
        <v>3400723</v>
      </c>
      <c r="B4259" s="17">
        <v>2015</v>
      </c>
      <c r="C4259" s="17" t="s">
        <v>365</v>
      </c>
      <c r="D4259" s="17">
        <v>135</v>
      </c>
      <c r="E4259" s="17" t="s">
        <v>1416</v>
      </c>
      <c r="F4259" s="20">
        <v>75156</v>
      </c>
    </row>
    <row r="4260" spans="1:6" ht="16" customHeight="1" x14ac:dyDescent="0.2">
      <c r="A4260">
        <f>IFERROR(VLOOKUP(C4260,'GASB Match'!$D$2:$F$6042,3,FALSE),"")</f>
        <v>3400723</v>
      </c>
      <c r="B4260" s="17">
        <v>2016</v>
      </c>
      <c r="C4260" s="17" t="s">
        <v>365</v>
      </c>
      <c r="D4260" s="17">
        <v>135</v>
      </c>
      <c r="E4260" s="17" t="s">
        <v>1416</v>
      </c>
      <c r="F4260" s="20">
        <v>93603</v>
      </c>
    </row>
    <row r="4261" spans="1:6" ht="16" customHeight="1" x14ac:dyDescent="0.2">
      <c r="A4261">
        <f>IFERROR(VLOOKUP(C4261,'GASB Match'!$D$2:$F$6042,3,FALSE),"")</f>
        <v>3400723</v>
      </c>
      <c r="B4261" s="17">
        <v>2018</v>
      </c>
      <c r="C4261" s="17" t="s">
        <v>1056</v>
      </c>
      <c r="D4261" s="17">
        <v>135</v>
      </c>
      <c r="E4261" s="17" t="s">
        <v>1459</v>
      </c>
      <c r="F4261" s="20">
        <v>225381</v>
      </c>
    </row>
    <row r="4262" spans="1:6" ht="16" customHeight="1" x14ac:dyDescent="0.2">
      <c r="A4262">
        <f>IFERROR(VLOOKUP(C4262,'GASB Match'!$D$2:$F$6042,3,FALSE),"")</f>
        <v>3400723</v>
      </c>
      <c r="B4262" s="17">
        <v>2019</v>
      </c>
      <c r="C4262" s="17" t="s">
        <v>1056</v>
      </c>
      <c r="D4262" s="17">
        <v>135</v>
      </c>
      <c r="E4262" s="17" t="s">
        <v>1459</v>
      </c>
      <c r="F4262" s="20">
        <v>285648</v>
      </c>
    </row>
    <row r="4263" spans="1:6" ht="16" customHeight="1" x14ac:dyDescent="0.2">
      <c r="A4263">
        <f>IFERROR(VLOOKUP(C4263,'GASB Match'!$D$2:$F$6042,3,FALSE),"")</f>
        <v>3400723</v>
      </c>
      <c r="B4263" s="17">
        <v>2020</v>
      </c>
      <c r="C4263" s="21" t="s">
        <v>1056</v>
      </c>
      <c r="D4263" s="17">
        <v>135</v>
      </c>
      <c r="E4263" s="17" t="s">
        <v>1459</v>
      </c>
      <c r="F4263" s="23">
        <v>403327</v>
      </c>
    </row>
    <row r="4264" spans="1:6" ht="16" customHeight="1" x14ac:dyDescent="0.2">
      <c r="A4264">
        <f>IFERROR(VLOOKUP(C4264,'GASB Match'!$D$2:$F$6042,3,FALSE),"")</f>
        <v>3400723</v>
      </c>
      <c r="B4264" s="17">
        <v>2021</v>
      </c>
      <c r="C4264" s="25" t="s">
        <v>1056</v>
      </c>
      <c r="D4264" s="17">
        <v>135</v>
      </c>
      <c r="E4264" s="17" t="s">
        <v>1459</v>
      </c>
      <c r="F4264" s="23">
        <v>512514</v>
      </c>
    </row>
    <row r="4265" spans="1:6" ht="16" customHeight="1" x14ac:dyDescent="0.2">
      <c r="A4265">
        <f>IFERROR(VLOOKUP(C4265,'GASB Match'!$D$2:$F$6042,3,FALSE),"")</f>
        <v>3400723</v>
      </c>
      <c r="B4265" s="17">
        <v>2022</v>
      </c>
      <c r="C4265" s="21" t="s">
        <v>1056</v>
      </c>
      <c r="D4265" s="17">
        <v>135</v>
      </c>
      <c r="E4265" s="17" t="s">
        <v>1459</v>
      </c>
      <c r="F4265" s="23">
        <v>856279</v>
      </c>
    </row>
    <row r="4266" spans="1:6" ht="16" customHeight="1" x14ac:dyDescent="0.2">
      <c r="A4266">
        <f>IFERROR(VLOOKUP(C4266,'GASB Match'!$D$2:$F$6042,3,FALSE),"")</f>
        <v>3400723</v>
      </c>
      <c r="B4266" s="17">
        <v>2023</v>
      </c>
      <c r="C4266" s="21" t="s">
        <v>1056</v>
      </c>
      <c r="D4266" s="17">
        <v>135</v>
      </c>
      <c r="E4266" s="17" t="s">
        <v>1459</v>
      </c>
      <c r="F4266" s="23">
        <v>879704</v>
      </c>
    </row>
    <row r="4267" spans="1:6" ht="16" customHeight="1" x14ac:dyDescent="0.2">
      <c r="A4267">
        <f>IFERROR(VLOOKUP(C4267,'GASB Match'!$D$2:$F$6042,3,FALSE),"")</f>
        <v>3400723</v>
      </c>
      <c r="B4267" s="28">
        <v>2017</v>
      </c>
      <c r="C4267" s="29" t="s">
        <v>365</v>
      </c>
      <c r="D4267" s="17">
        <v>135</v>
      </c>
      <c r="E4267" s="17" t="s">
        <v>1416</v>
      </c>
      <c r="F4267" s="29">
        <v>164765</v>
      </c>
    </row>
    <row r="4268" spans="1:6" ht="16" customHeight="1" x14ac:dyDescent="0.2">
      <c r="A4268">
        <f>IFERROR(VLOOKUP(C4268,'GASB Match'!$D$2:$F$6042,3,FALSE),"")</f>
        <v>3400757</v>
      </c>
      <c r="B4268" s="17">
        <v>2016</v>
      </c>
      <c r="C4268" s="17" t="s">
        <v>670</v>
      </c>
      <c r="D4268" s="17">
        <v>6108</v>
      </c>
      <c r="E4268" s="17" t="s">
        <v>1411</v>
      </c>
      <c r="F4268" s="20">
        <v>72405</v>
      </c>
    </row>
    <row r="4269" spans="1:6" ht="16" customHeight="1" x14ac:dyDescent="0.2">
      <c r="A4269">
        <f>IFERROR(VLOOKUP(C4269,'GASB Match'!$D$2:$F$6042,3,FALSE),"")</f>
        <v>3400757</v>
      </c>
      <c r="B4269" s="17">
        <v>2018</v>
      </c>
      <c r="C4269" s="17" t="s">
        <v>949</v>
      </c>
      <c r="D4269" s="17">
        <v>6108</v>
      </c>
      <c r="E4269" s="17" t="s">
        <v>1452</v>
      </c>
      <c r="F4269" s="20">
        <v>186068</v>
      </c>
    </row>
    <row r="4270" spans="1:6" ht="16" customHeight="1" x14ac:dyDescent="0.2">
      <c r="A4270">
        <f>IFERROR(VLOOKUP(C4270,'GASB Match'!$D$2:$F$6042,3,FALSE),"")</f>
        <v>3400757</v>
      </c>
      <c r="B4270" s="17">
        <v>2019</v>
      </c>
      <c r="C4270" s="17" t="s">
        <v>949</v>
      </c>
      <c r="D4270" s="17">
        <v>6108</v>
      </c>
      <c r="E4270" s="17" t="s">
        <v>1452</v>
      </c>
      <c r="F4270" s="20">
        <v>136863</v>
      </c>
    </row>
    <row r="4271" spans="1:6" ht="16" customHeight="1" x14ac:dyDescent="0.2">
      <c r="A4271">
        <f>IFERROR(VLOOKUP(C4271,'GASB Match'!$D$2:$F$6042,3,FALSE),"")</f>
        <v>3400757</v>
      </c>
      <c r="B4271" s="28">
        <v>2017</v>
      </c>
      <c r="C4271" s="29" t="s">
        <v>670</v>
      </c>
      <c r="D4271" s="17">
        <v>6108</v>
      </c>
      <c r="E4271" s="17" t="s">
        <v>1411</v>
      </c>
      <c r="F4271" s="29">
        <v>88765</v>
      </c>
    </row>
    <row r="4272" spans="1:6" ht="16" customHeight="1" x14ac:dyDescent="0.2">
      <c r="A4272">
        <f>IFERROR(VLOOKUP(C4272,'GASB Match'!$D$2:$F$6042,3,FALSE),"")</f>
        <v>3412720</v>
      </c>
      <c r="B4272" s="17">
        <v>2015</v>
      </c>
      <c r="C4272" s="17" t="s">
        <v>291</v>
      </c>
      <c r="D4272" s="17">
        <v>7025</v>
      </c>
      <c r="E4272" s="17" t="s">
        <v>1412</v>
      </c>
      <c r="F4272" s="20">
        <v>486435</v>
      </c>
    </row>
    <row r="4273" spans="1:6" ht="16" customHeight="1" x14ac:dyDescent="0.2">
      <c r="A4273">
        <f>IFERROR(VLOOKUP(C4273,'GASB Match'!$D$2:$F$6042,3,FALSE),"")</f>
        <v>3412720</v>
      </c>
      <c r="B4273" s="17">
        <v>2016</v>
      </c>
      <c r="C4273" s="17" t="s">
        <v>291</v>
      </c>
      <c r="D4273" s="17">
        <v>7025</v>
      </c>
      <c r="E4273" s="17" t="s">
        <v>1412</v>
      </c>
      <c r="F4273" s="20">
        <v>711031</v>
      </c>
    </row>
    <row r="4274" spans="1:6" ht="16" customHeight="1" x14ac:dyDescent="0.2">
      <c r="A4274">
        <f>IFERROR(VLOOKUP(C4274,'GASB Match'!$D$2:$F$6042,3,FALSE),"")</f>
        <v>3412720</v>
      </c>
      <c r="B4274" s="17">
        <v>2018</v>
      </c>
      <c r="C4274" s="17" t="s">
        <v>981</v>
      </c>
      <c r="D4274" s="17">
        <v>7025</v>
      </c>
      <c r="E4274" s="17" t="s">
        <v>1454</v>
      </c>
      <c r="F4274" s="20">
        <v>1316258</v>
      </c>
    </row>
    <row r="4275" spans="1:6" ht="16" customHeight="1" x14ac:dyDescent="0.2">
      <c r="A4275">
        <f>IFERROR(VLOOKUP(C4275,'GASB Match'!$D$2:$F$6042,3,FALSE),"")</f>
        <v>3412720</v>
      </c>
      <c r="B4275" s="17">
        <v>2019</v>
      </c>
      <c r="C4275" s="17" t="s">
        <v>981</v>
      </c>
      <c r="D4275" s="17">
        <v>7025</v>
      </c>
      <c r="E4275" s="17" t="s">
        <v>1454</v>
      </c>
      <c r="F4275" s="20">
        <v>1709260</v>
      </c>
    </row>
    <row r="4276" spans="1:6" ht="16" customHeight="1" x14ac:dyDescent="0.2">
      <c r="A4276">
        <f>IFERROR(VLOOKUP(C4276,'GASB Match'!$D$2:$F$6042,3,FALSE),"")</f>
        <v>3412720</v>
      </c>
      <c r="B4276" s="17">
        <v>2020</v>
      </c>
      <c r="C4276" s="21" t="s">
        <v>981</v>
      </c>
      <c r="D4276" s="17">
        <v>7025</v>
      </c>
      <c r="E4276" s="17" t="s">
        <v>1454</v>
      </c>
      <c r="F4276" s="23">
        <v>1795204</v>
      </c>
    </row>
    <row r="4277" spans="1:6" ht="16" customHeight="1" x14ac:dyDescent="0.2">
      <c r="A4277">
        <f>IFERROR(VLOOKUP(C4277,'GASB Match'!$D$2:$F$6042,3,FALSE),"")</f>
        <v>3412720</v>
      </c>
      <c r="B4277" s="17">
        <v>2021</v>
      </c>
      <c r="C4277" s="25" t="s">
        <v>981</v>
      </c>
      <c r="D4277" s="17">
        <v>7025</v>
      </c>
      <c r="E4277" s="17" t="s">
        <v>1454</v>
      </c>
      <c r="F4277" s="23">
        <v>2258843</v>
      </c>
    </row>
    <row r="4278" spans="1:6" ht="16" customHeight="1" x14ac:dyDescent="0.2">
      <c r="A4278">
        <f>IFERROR(VLOOKUP(C4278,'GASB Match'!$D$2:$F$6042,3,FALSE),"")</f>
        <v>3412720</v>
      </c>
      <c r="B4278" s="17">
        <v>2022</v>
      </c>
      <c r="C4278" s="21" t="s">
        <v>981</v>
      </c>
      <c r="D4278" s="17">
        <v>7025</v>
      </c>
      <c r="E4278" s="17" t="s">
        <v>1454</v>
      </c>
      <c r="F4278" s="23">
        <v>2973246</v>
      </c>
    </row>
    <row r="4279" spans="1:6" ht="16" customHeight="1" x14ac:dyDescent="0.2">
      <c r="A4279">
        <f>IFERROR(VLOOKUP(C4279,'GASB Match'!$D$2:$F$6042,3,FALSE),"")</f>
        <v>3412720</v>
      </c>
      <c r="B4279" s="17">
        <v>2023</v>
      </c>
      <c r="C4279" s="21" t="s">
        <v>981</v>
      </c>
      <c r="D4279" s="17">
        <v>7025</v>
      </c>
      <c r="E4279" s="17" t="s">
        <v>1454</v>
      </c>
      <c r="F4279" s="23">
        <v>3257038</v>
      </c>
    </row>
    <row r="4280" spans="1:6" ht="16" customHeight="1" x14ac:dyDescent="0.2">
      <c r="A4280">
        <f>IFERROR(VLOOKUP(C4280,'GASB Match'!$D$2:$F$6042,3,FALSE),"")</f>
        <v>3412720</v>
      </c>
      <c r="B4280" s="28">
        <v>2017</v>
      </c>
      <c r="C4280" s="29" t="s">
        <v>291</v>
      </c>
      <c r="D4280" s="17">
        <v>7025</v>
      </c>
      <c r="E4280" s="17" t="s">
        <v>1412</v>
      </c>
      <c r="F4280" s="29">
        <v>977827</v>
      </c>
    </row>
    <row r="4281" spans="1:6" ht="16" customHeight="1" x14ac:dyDescent="0.2">
      <c r="A4281">
        <f>IFERROR(VLOOKUP(C4281,'GASB Match'!$D$2:$F$6042,3,FALSE),"")</f>
        <v>3412810</v>
      </c>
      <c r="B4281" s="17">
        <v>2015</v>
      </c>
      <c r="C4281" s="17" t="s">
        <v>135</v>
      </c>
      <c r="D4281" s="17">
        <v>3036</v>
      </c>
      <c r="E4281" s="17" t="s">
        <v>1404</v>
      </c>
      <c r="F4281" s="20">
        <v>2320434</v>
      </c>
    </row>
    <row r="4282" spans="1:6" ht="16" customHeight="1" x14ac:dyDescent="0.2">
      <c r="A4282">
        <f>IFERROR(VLOOKUP(C4282,'GASB Match'!$D$2:$F$6042,3,FALSE),"")</f>
        <v>3412810</v>
      </c>
      <c r="B4282" s="17">
        <v>2016</v>
      </c>
      <c r="C4282" s="17" t="s">
        <v>135</v>
      </c>
      <c r="D4282" s="17">
        <v>3036</v>
      </c>
      <c r="E4282" s="17" t="s">
        <v>1404</v>
      </c>
      <c r="F4282" s="20">
        <v>3383781</v>
      </c>
    </row>
    <row r="4283" spans="1:6" ht="16" customHeight="1" x14ac:dyDescent="0.2">
      <c r="A4283">
        <f>IFERROR(VLOOKUP(C4283,'GASB Match'!$D$2:$F$6042,3,FALSE),"")</f>
        <v>3412810</v>
      </c>
      <c r="B4283" s="17">
        <v>2018</v>
      </c>
      <c r="C4283" s="17" t="s">
        <v>816</v>
      </c>
      <c r="D4283" s="17">
        <v>3036</v>
      </c>
      <c r="E4283" s="17" t="s">
        <v>1445</v>
      </c>
      <c r="F4283" s="20">
        <v>6556341</v>
      </c>
    </row>
    <row r="4284" spans="1:6" ht="16" customHeight="1" x14ac:dyDescent="0.2">
      <c r="A4284">
        <f>IFERROR(VLOOKUP(C4284,'GASB Match'!$D$2:$F$6042,3,FALSE),"")</f>
        <v>3412810</v>
      </c>
      <c r="B4284" s="17">
        <v>2019</v>
      </c>
      <c r="C4284" s="17" t="s">
        <v>816</v>
      </c>
      <c r="D4284" s="17">
        <v>3036</v>
      </c>
      <c r="E4284" s="17" t="s">
        <v>1445</v>
      </c>
      <c r="F4284" s="20">
        <v>8640136</v>
      </c>
    </row>
    <row r="4285" spans="1:6" ht="16" customHeight="1" x14ac:dyDescent="0.2">
      <c r="A4285">
        <f>IFERROR(VLOOKUP(C4285,'GASB Match'!$D$2:$F$6042,3,FALSE),"")</f>
        <v>3412810</v>
      </c>
      <c r="B4285" s="17">
        <v>2020</v>
      </c>
      <c r="C4285" s="21" t="s">
        <v>816</v>
      </c>
      <c r="D4285" s="17">
        <v>3036</v>
      </c>
      <c r="E4285" s="17" t="s">
        <v>1445</v>
      </c>
      <c r="F4285" s="23">
        <v>9623895</v>
      </c>
    </row>
    <row r="4286" spans="1:6" ht="16" customHeight="1" x14ac:dyDescent="0.2">
      <c r="A4286">
        <f>IFERROR(VLOOKUP(C4286,'GASB Match'!$D$2:$F$6042,3,FALSE),"")</f>
        <v>3412810</v>
      </c>
      <c r="B4286" s="17">
        <v>2021</v>
      </c>
      <c r="C4286" s="25" t="s">
        <v>816</v>
      </c>
      <c r="D4286" s="17">
        <v>3036</v>
      </c>
      <c r="E4286" s="17" t="s">
        <v>1445</v>
      </c>
      <c r="F4286" s="23">
        <v>11868184</v>
      </c>
    </row>
    <row r="4287" spans="1:6" ht="16" customHeight="1" x14ac:dyDescent="0.2">
      <c r="A4287">
        <f>IFERROR(VLOOKUP(C4287,'GASB Match'!$D$2:$F$6042,3,FALSE),"")</f>
        <v>3412810</v>
      </c>
      <c r="B4287" s="17">
        <v>2022</v>
      </c>
      <c r="C4287" s="21" t="s">
        <v>816</v>
      </c>
      <c r="D4287" s="17">
        <v>3036</v>
      </c>
      <c r="E4287" s="17" t="s">
        <v>1445</v>
      </c>
      <c r="F4287" s="23">
        <v>16260954</v>
      </c>
    </row>
    <row r="4288" spans="1:6" ht="16" customHeight="1" x14ac:dyDescent="0.2">
      <c r="A4288">
        <f>IFERROR(VLOOKUP(C4288,'GASB Match'!$D$2:$F$6042,3,FALSE),"")</f>
        <v>3412810</v>
      </c>
      <c r="B4288" s="17">
        <v>2023</v>
      </c>
      <c r="C4288" s="21" t="s">
        <v>816</v>
      </c>
      <c r="D4288" s="17">
        <v>3036</v>
      </c>
      <c r="E4288" s="17" t="s">
        <v>1445</v>
      </c>
      <c r="F4288" s="23">
        <v>15670858</v>
      </c>
    </row>
    <row r="4289" spans="1:6" ht="16" customHeight="1" x14ac:dyDescent="0.2">
      <c r="A4289">
        <f>IFERROR(VLOOKUP(C4289,'GASB Match'!$D$2:$F$6042,3,FALSE),"")</f>
        <v>3412810</v>
      </c>
      <c r="B4289" s="28">
        <v>2017</v>
      </c>
      <c r="C4289" s="29" t="s">
        <v>135</v>
      </c>
      <c r="D4289" s="17">
        <v>3036</v>
      </c>
      <c r="E4289" s="17" t="s">
        <v>1404</v>
      </c>
      <c r="F4289" s="29">
        <v>4782475</v>
      </c>
    </row>
    <row r="4290" spans="1:6" ht="16" customHeight="1" x14ac:dyDescent="0.2">
      <c r="A4290">
        <f>IFERROR(VLOOKUP(C4290,'GASB Match'!$D$2:$F$6042,3,FALSE),"")</f>
        <v>3412840</v>
      </c>
      <c r="B4290" s="17">
        <v>2015</v>
      </c>
      <c r="C4290" s="17" t="s">
        <v>554</v>
      </c>
      <c r="D4290" s="17">
        <v>725</v>
      </c>
      <c r="E4290" s="17" t="s">
        <v>1424</v>
      </c>
      <c r="F4290" s="20">
        <v>831438</v>
      </c>
    </row>
    <row r="4291" spans="1:6" ht="16" customHeight="1" x14ac:dyDescent="0.2">
      <c r="A4291">
        <f>IFERROR(VLOOKUP(C4291,'GASB Match'!$D$2:$F$6042,3,FALSE),"")</f>
        <v>3412840</v>
      </c>
      <c r="B4291" s="17">
        <v>2016</v>
      </c>
      <c r="C4291" s="17" t="s">
        <v>554</v>
      </c>
      <c r="D4291" s="17">
        <v>725</v>
      </c>
      <c r="E4291" s="17" t="s">
        <v>1424</v>
      </c>
      <c r="F4291" s="20">
        <v>1249481</v>
      </c>
    </row>
    <row r="4292" spans="1:6" ht="16" customHeight="1" x14ac:dyDescent="0.2">
      <c r="A4292">
        <f>IFERROR(VLOOKUP(C4292,'GASB Match'!$D$2:$F$6042,3,FALSE),"")</f>
        <v>3412840</v>
      </c>
      <c r="B4292" s="17">
        <v>2018</v>
      </c>
      <c r="C4292" s="17" t="s">
        <v>1246</v>
      </c>
      <c r="D4292" s="17">
        <v>725</v>
      </c>
      <c r="E4292" s="17" t="s">
        <v>1467</v>
      </c>
      <c r="F4292" s="20">
        <v>2258788</v>
      </c>
    </row>
    <row r="4293" spans="1:6" ht="16" customHeight="1" x14ac:dyDescent="0.2">
      <c r="A4293">
        <f>IFERROR(VLOOKUP(C4293,'GASB Match'!$D$2:$F$6042,3,FALSE),"")</f>
        <v>3412840</v>
      </c>
      <c r="B4293" s="17">
        <v>2019</v>
      </c>
      <c r="C4293" s="17" t="s">
        <v>1246</v>
      </c>
      <c r="D4293" s="17">
        <v>725</v>
      </c>
      <c r="E4293" s="17" t="s">
        <v>1467</v>
      </c>
      <c r="F4293" s="20">
        <v>2933563</v>
      </c>
    </row>
    <row r="4294" spans="1:6" ht="16" customHeight="1" x14ac:dyDescent="0.2">
      <c r="A4294">
        <f>IFERROR(VLOOKUP(C4294,'GASB Match'!$D$2:$F$6042,3,FALSE),"")</f>
        <v>3412840</v>
      </c>
      <c r="B4294" s="17">
        <v>2020</v>
      </c>
      <c r="C4294" s="21" t="s">
        <v>1246</v>
      </c>
      <c r="D4294" s="17">
        <v>725</v>
      </c>
      <c r="E4294" s="17" t="s">
        <v>1467</v>
      </c>
      <c r="F4294" s="23">
        <v>3284901</v>
      </c>
    </row>
    <row r="4295" spans="1:6" ht="16" customHeight="1" x14ac:dyDescent="0.2">
      <c r="A4295">
        <f>IFERROR(VLOOKUP(C4295,'GASB Match'!$D$2:$F$6042,3,FALSE),"")</f>
        <v>3412840</v>
      </c>
      <c r="B4295" s="17">
        <v>2021</v>
      </c>
      <c r="C4295" s="25" t="s">
        <v>1246</v>
      </c>
      <c r="D4295" s="17">
        <v>725</v>
      </c>
      <c r="E4295" s="17" t="s">
        <v>1467</v>
      </c>
      <c r="F4295" s="23">
        <v>4173968</v>
      </c>
    </row>
    <row r="4296" spans="1:6" ht="16" customHeight="1" x14ac:dyDescent="0.2">
      <c r="A4296">
        <f>IFERROR(VLOOKUP(C4296,'GASB Match'!$D$2:$F$6042,3,FALSE),"")</f>
        <v>3412840</v>
      </c>
      <c r="B4296" s="17">
        <v>2022</v>
      </c>
      <c r="C4296" s="21" t="s">
        <v>1246</v>
      </c>
      <c r="D4296" s="17">
        <v>725</v>
      </c>
      <c r="E4296" s="17" t="s">
        <v>1467</v>
      </c>
      <c r="F4296" s="23">
        <v>5714097</v>
      </c>
    </row>
    <row r="4297" spans="1:6" ht="16" customHeight="1" x14ac:dyDescent="0.2">
      <c r="A4297">
        <f>IFERROR(VLOOKUP(C4297,'GASB Match'!$D$2:$F$6042,3,FALSE),"")</f>
        <v>3412840</v>
      </c>
      <c r="B4297" s="17">
        <v>2023</v>
      </c>
      <c r="C4297" s="21" t="s">
        <v>1246</v>
      </c>
      <c r="D4297" s="17">
        <v>725</v>
      </c>
      <c r="E4297" s="17" t="s">
        <v>1467</v>
      </c>
      <c r="F4297" s="23">
        <v>5649483</v>
      </c>
    </row>
    <row r="4298" spans="1:6" ht="16" customHeight="1" x14ac:dyDescent="0.2">
      <c r="A4298">
        <f>IFERROR(VLOOKUP(C4298,'GASB Match'!$D$2:$F$6042,3,FALSE),"")</f>
        <v>3412840</v>
      </c>
      <c r="B4298" s="28">
        <v>2017</v>
      </c>
      <c r="C4298" s="29" t="s">
        <v>554</v>
      </c>
      <c r="D4298" s="17">
        <v>725</v>
      </c>
      <c r="E4298" s="17" t="s">
        <v>1424</v>
      </c>
      <c r="F4298" s="29">
        <v>1751111</v>
      </c>
    </row>
    <row r="4299" spans="1:6" ht="16" customHeight="1" x14ac:dyDescent="0.2">
      <c r="A4299">
        <f>IFERROR(VLOOKUP(C4299,'GASB Match'!$D$2:$F$6042,3,FALSE),"")</f>
        <v>3412870</v>
      </c>
      <c r="B4299" s="17">
        <v>2015</v>
      </c>
      <c r="C4299" s="17" t="s">
        <v>185</v>
      </c>
      <c r="D4299" s="17">
        <v>4050</v>
      </c>
      <c r="E4299" s="17" t="s">
        <v>1405</v>
      </c>
      <c r="F4299" s="20">
        <v>1895758</v>
      </c>
    </row>
    <row r="4300" spans="1:6" ht="16" customHeight="1" x14ac:dyDescent="0.2">
      <c r="A4300">
        <f>IFERROR(VLOOKUP(C4300,'GASB Match'!$D$2:$F$6042,3,FALSE),"")</f>
        <v>3412870</v>
      </c>
      <c r="B4300" s="17">
        <v>2016</v>
      </c>
      <c r="C4300" s="17" t="s">
        <v>185</v>
      </c>
      <c r="D4300" s="17">
        <v>4050</v>
      </c>
      <c r="E4300" s="17" t="s">
        <v>1405</v>
      </c>
      <c r="F4300" s="20">
        <v>2681280</v>
      </c>
    </row>
    <row r="4301" spans="1:6" ht="16" customHeight="1" x14ac:dyDescent="0.2">
      <c r="A4301">
        <f>IFERROR(VLOOKUP(C4301,'GASB Match'!$D$2:$F$6042,3,FALSE),"")</f>
        <v>3412870</v>
      </c>
      <c r="B4301" s="17">
        <v>2018</v>
      </c>
      <c r="C4301" s="17" t="s">
        <v>868</v>
      </c>
      <c r="D4301" s="17">
        <v>4050</v>
      </c>
      <c r="E4301" s="17" t="s">
        <v>1446</v>
      </c>
      <c r="F4301" s="20">
        <v>5067810</v>
      </c>
    </row>
    <row r="4302" spans="1:6" ht="16" customHeight="1" x14ac:dyDescent="0.2">
      <c r="A4302">
        <f>IFERROR(VLOOKUP(C4302,'GASB Match'!$D$2:$F$6042,3,FALSE),"")</f>
        <v>3412870</v>
      </c>
      <c r="B4302" s="17">
        <v>2019</v>
      </c>
      <c r="C4302" s="17" t="s">
        <v>868</v>
      </c>
      <c r="D4302" s="17">
        <v>4050</v>
      </c>
      <c r="E4302" s="17" t="s">
        <v>1446</v>
      </c>
      <c r="F4302" s="20">
        <v>6710486</v>
      </c>
    </row>
    <row r="4303" spans="1:6" ht="16" customHeight="1" x14ac:dyDescent="0.2">
      <c r="A4303">
        <f>IFERROR(VLOOKUP(C4303,'GASB Match'!$D$2:$F$6042,3,FALSE),"")</f>
        <v>3412870</v>
      </c>
      <c r="B4303" s="17">
        <v>2020</v>
      </c>
      <c r="C4303" s="21" t="s">
        <v>868</v>
      </c>
      <c r="D4303" s="17">
        <v>4050</v>
      </c>
      <c r="E4303" s="17" t="s">
        <v>1446</v>
      </c>
      <c r="F4303" s="23">
        <v>7633151</v>
      </c>
    </row>
    <row r="4304" spans="1:6" ht="16" customHeight="1" x14ac:dyDescent="0.2">
      <c r="A4304">
        <f>IFERROR(VLOOKUP(C4304,'GASB Match'!$D$2:$F$6042,3,FALSE),"")</f>
        <v>3412870</v>
      </c>
      <c r="B4304" s="17">
        <v>2021</v>
      </c>
      <c r="C4304" s="25" t="s">
        <v>868</v>
      </c>
      <c r="D4304" s="17">
        <v>4050</v>
      </c>
      <c r="E4304" s="17" t="s">
        <v>1446</v>
      </c>
      <c r="F4304" s="23">
        <v>9847282</v>
      </c>
    </row>
    <row r="4305" spans="1:6" ht="16" customHeight="1" x14ac:dyDescent="0.2">
      <c r="A4305">
        <f>IFERROR(VLOOKUP(C4305,'GASB Match'!$D$2:$F$6042,3,FALSE),"")</f>
        <v>3412870</v>
      </c>
      <c r="B4305" s="17">
        <v>2022</v>
      </c>
      <c r="C4305" s="21" t="s">
        <v>868</v>
      </c>
      <c r="D4305" s="17">
        <v>4050</v>
      </c>
      <c r="E4305" s="17" t="s">
        <v>1446</v>
      </c>
      <c r="F4305" s="22">
        <v>14017768</v>
      </c>
    </row>
    <row r="4306" spans="1:6" ht="16" customHeight="1" x14ac:dyDescent="0.2">
      <c r="A4306">
        <f>IFERROR(VLOOKUP(C4306,'GASB Match'!$D$2:$F$6042,3,FALSE),"")</f>
        <v>3412870</v>
      </c>
      <c r="B4306" s="17">
        <v>2023</v>
      </c>
      <c r="C4306" s="21" t="s">
        <v>868</v>
      </c>
      <c r="D4306" s="17">
        <v>4050</v>
      </c>
      <c r="E4306" s="17" t="s">
        <v>1446</v>
      </c>
      <c r="F4306" s="23">
        <v>13497381</v>
      </c>
    </row>
    <row r="4307" spans="1:6" ht="16" customHeight="1" x14ac:dyDescent="0.2">
      <c r="A4307">
        <f>IFERROR(VLOOKUP(C4307,'GASB Match'!$D$2:$F$6042,3,FALSE),"")</f>
        <v>3412870</v>
      </c>
      <c r="B4307" s="28">
        <v>2017</v>
      </c>
      <c r="C4307" s="29" t="s">
        <v>185</v>
      </c>
      <c r="D4307" s="17">
        <v>4050</v>
      </c>
      <c r="E4307" s="17" t="s">
        <v>1405</v>
      </c>
      <c r="F4307" s="29">
        <v>3745300</v>
      </c>
    </row>
    <row r="4308" spans="1:6" ht="16" customHeight="1" x14ac:dyDescent="0.2">
      <c r="A4308">
        <f>IFERROR(VLOOKUP(C4308,'GASB Match'!$D$2:$F$6042,3,FALSE),"")</f>
        <v>3409120</v>
      </c>
      <c r="B4308" s="17">
        <v>2015</v>
      </c>
      <c r="C4308" s="17" t="s">
        <v>555</v>
      </c>
      <c r="D4308" s="17">
        <v>715</v>
      </c>
      <c r="E4308" s="17" t="s">
        <v>1424</v>
      </c>
      <c r="F4308" s="20">
        <v>661781</v>
      </c>
    </row>
    <row r="4309" spans="1:6" ht="16" customHeight="1" x14ac:dyDescent="0.2">
      <c r="A4309">
        <f>IFERROR(VLOOKUP(C4309,'GASB Match'!$D$2:$F$6042,3,FALSE),"")</f>
        <v>3409120</v>
      </c>
      <c r="B4309" s="17">
        <v>2016</v>
      </c>
      <c r="C4309" s="17" t="s">
        <v>555</v>
      </c>
      <c r="D4309" s="17">
        <v>715</v>
      </c>
      <c r="E4309" s="17" t="s">
        <v>1424</v>
      </c>
      <c r="F4309" s="20">
        <v>1002595</v>
      </c>
    </row>
    <row r="4310" spans="1:6" ht="16" customHeight="1" x14ac:dyDescent="0.2">
      <c r="A4310">
        <f>IFERROR(VLOOKUP(C4310,'GASB Match'!$D$2:$F$6042,3,FALSE),"")</f>
        <v>3409120</v>
      </c>
      <c r="B4310" s="17">
        <v>2018</v>
      </c>
      <c r="C4310" s="17" t="s">
        <v>1247</v>
      </c>
      <c r="D4310" s="17">
        <v>715</v>
      </c>
      <c r="E4310" s="17" t="s">
        <v>1467</v>
      </c>
      <c r="F4310" s="20">
        <v>1774002</v>
      </c>
    </row>
    <row r="4311" spans="1:6" ht="16" customHeight="1" x14ac:dyDescent="0.2">
      <c r="A4311">
        <f>IFERROR(VLOOKUP(C4311,'GASB Match'!$D$2:$F$6042,3,FALSE),"")</f>
        <v>3409120</v>
      </c>
      <c r="B4311" s="17">
        <v>2019</v>
      </c>
      <c r="C4311" s="17" t="s">
        <v>1247</v>
      </c>
      <c r="D4311" s="17">
        <v>715</v>
      </c>
      <c r="E4311" s="17" t="s">
        <v>1467</v>
      </c>
      <c r="F4311" s="20">
        <v>2406774</v>
      </c>
    </row>
    <row r="4312" spans="1:6" ht="16" customHeight="1" x14ac:dyDescent="0.2">
      <c r="A4312">
        <f>IFERROR(VLOOKUP(C4312,'GASB Match'!$D$2:$F$6042,3,FALSE),"")</f>
        <v>3409120</v>
      </c>
      <c r="B4312" s="17">
        <v>2020</v>
      </c>
      <c r="C4312" s="21" t="s">
        <v>1247</v>
      </c>
      <c r="D4312" s="17">
        <v>715</v>
      </c>
      <c r="E4312" s="17" t="s">
        <v>1467</v>
      </c>
      <c r="F4312" s="23">
        <v>2760648</v>
      </c>
    </row>
    <row r="4313" spans="1:6" ht="16" customHeight="1" x14ac:dyDescent="0.2">
      <c r="A4313">
        <f>IFERROR(VLOOKUP(C4313,'GASB Match'!$D$2:$F$6042,3,FALSE),"")</f>
        <v>3409120</v>
      </c>
      <c r="B4313" s="17">
        <v>2021</v>
      </c>
      <c r="C4313" s="25" t="s">
        <v>1247</v>
      </c>
      <c r="D4313" s="17">
        <v>715</v>
      </c>
      <c r="E4313" s="17" t="s">
        <v>1467</v>
      </c>
      <c r="F4313" s="23">
        <v>3626798</v>
      </c>
    </row>
    <row r="4314" spans="1:6" ht="16" customHeight="1" x14ac:dyDescent="0.2">
      <c r="A4314">
        <f>IFERROR(VLOOKUP(C4314,'GASB Match'!$D$2:$F$6042,3,FALSE),"")</f>
        <v>3409120</v>
      </c>
      <c r="B4314" s="17">
        <v>2022</v>
      </c>
      <c r="C4314" s="21" t="s">
        <v>1247</v>
      </c>
      <c r="D4314" s="17">
        <v>715</v>
      </c>
      <c r="E4314" s="17" t="s">
        <v>1467</v>
      </c>
      <c r="F4314" s="23">
        <v>5044972</v>
      </c>
    </row>
    <row r="4315" spans="1:6" ht="16" customHeight="1" x14ac:dyDescent="0.2">
      <c r="A4315">
        <f>IFERROR(VLOOKUP(C4315,'GASB Match'!$D$2:$F$6042,3,FALSE),"")</f>
        <v>3409120</v>
      </c>
      <c r="B4315" s="17">
        <v>2023</v>
      </c>
      <c r="C4315" s="21" t="s">
        <v>1247</v>
      </c>
      <c r="D4315" s="17">
        <v>715</v>
      </c>
      <c r="E4315" s="17" t="s">
        <v>1467</v>
      </c>
      <c r="F4315" s="23">
        <v>4980553</v>
      </c>
    </row>
    <row r="4316" spans="1:6" ht="16" customHeight="1" x14ac:dyDescent="0.2">
      <c r="A4316">
        <f>IFERROR(VLOOKUP(C4316,'GASB Match'!$D$2:$F$6042,3,FALSE),"")</f>
        <v>3409120</v>
      </c>
      <c r="B4316" s="28">
        <v>2017</v>
      </c>
      <c r="C4316" s="29" t="s">
        <v>555</v>
      </c>
      <c r="D4316" s="17">
        <v>715</v>
      </c>
      <c r="E4316" s="17" t="s">
        <v>1424</v>
      </c>
      <c r="F4316" s="29">
        <v>1340639</v>
      </c>
    </row>
    <row r="4317" spans="1:6" ht="16" customHeight="1" x14ac:dyDescent="0.2">
      <c r="A4317">
        <f>IFERROR(VLOOKUP(C4317,'GASB Match'!$D$2:$F$6042,3,FALSE),"")</f>
        <v>3400754</v>
      </c>
      <c r="B4317" s="17">
        <v>2015</v>
      </c>
      <c r="C4317" s="17" t="s">
        <v>260</v>
      </c>
      <c r="D4317" s="17">
        <v>6102</v>
      </c>
      <c r="E4317" s="17" t="s">
        <v>1411</v>
      </c>
      <c r="F4317" s="20">
        <v>74559</v>
      </c>
    </row>
    <row r="4318" spans="1:6" ht="16" customHeight="1" x14ac:dyDescent="0.2">
      <c r="A4318">
        <f>IFERROR(VLOOKUP(C4318,'GASB Match'!$D$2:$F$6042,3,FALSE),"")</f>
        <v>3400754</v>
      </c>
      <c r="B4318" s="17">
        <v>2016</v>
      </c>
      <c r="C4318" s="17" t="s">
        <v>260</v>
      </c>
      <c r="D4318" s="17">
        <v>6102</v>
      </c>
      <c r="E4318" s="17" t="s">
        <v>1411</v>
      </c>
      <c r="F4318" s="20">
        <v>140450</v>
      </c>
    </row>
    <row r="4319" spans="1:6" ht="16" customHeight="1" x14ac:dyDescent="0.2">
      <c r="A4319">
        <f>IFERROR(VLOOKUP(C4319,'GASB Match'!$D$2:$F$6042,3,FALSE),"")</f>
        <v>3400754</v>
      </c>
      <c r="B4319" s="17">
        <v>2018</v>
      </c>
      <c r="C4319" s="17" t="s">
        <v>950</v>
      </c>
      <c r="D4319" s="17">
        <v>6102</v>
      </c>
      <c r="E4319" s="17" t="s">
        <v>1452</v>
      </c>
      <c r="F4319" s="20">
        <v>325601</v>
      </c>
    </row>
    <row r="4320" spans="1:6" ht="16" customHeight="1" x14ac:dyDescent="0.2">
      <c r="A4320">
        <f>IFERROR(VLOOKUP(C4320,'GASB Match'!$D$2:$F$6042,3,FALSE),"")</f>
        <v>3400754</v>
      </c>
      <c r="B4320" s="17">
        <v>2019</v>
      </c>
      <c r="C4320" s="17" t="s">
        <v>950</v>
      </c>
      <c r="D4320" s="17">
        <v>6102</v>
      </c>
      <c r="E4320" s="17" t="s">
        <v>1452</v>
      </c>
      <c r="F4320" s="20">
        <v>434444</v>
      </c>
    </row>
    <row r="4321" spans="1:6" ht="16" customHeight="1" x14ac:dyDescent="0.2">
      <c r="A4321">
        <f>IFERROR(VLOOKUP(C4321,'GASB Match'!$D$2:$F$6042,3,FALSE),"")</f>
        <v>3400754</v>
      </c>
      <c r="B4321" s="17">
        <v>2020</v>
      </c>
      <c r="C4321" s="21" t="s">
        <v>950</v>
      </c>
      <c r="D4321" s="17">
        <v>6102</v>
      </c>
      <c r="E4321" s="17" t="s">
        <v>1452</v>
      </c>
      <c r="F4321" s="23">
        <v>385576</v>
      </c>
    </row>
    <row r="4322" spans="1:6" ht="16" customHeight="1" x14ac:dyDescent="0.2">
      <c r="A4322">
        <f>IFERROR(VLOOKUP(C4322,'GASB Match'!$D$2:$F$6042,3,FALSE),"")</f>
        <v>3400754</v>
      </c>
      <c r="B4322" s="17">
        <v>2021</v>
      </c>
      <c r="C4322" s="25" t="s">
        <v>950</v>
      </c>
      <c r="D4322" s="17">
        <v>6102</v>
      </c>
      <c r="E4322" s="17" t="s">
        <v>1452</v>
      </c>
      <c r="F4322" s="23">
        <v>475913</v>
      </c>
    </row>
    <row r="4323" spans="1:6" ht="16" customHeight="1" x14ac:dyDescent="0.2">
      <c r="A4323">
        <f>IFERROR(VLOOKUP(C4323,'GASB Match'!$D$2:$F$6042,3,FALSE),"")</f>
        <v>3400754</v>
      </c>
      <c r="B4323" s="17">
        <v>2022</v>
      </c>
      <c r="C4323" s="21" t="s">
        <v>950</v>
      </c>
      <c r="D4323" s="17">
        <v>6102</v>
      </c>
      <c r="E4323" s="17" t="s">
        <v>1452</v>
      </c>
      <c r="F4323" s="23">
        <v>677486</v>
      </c>
    </row>
    <row r="4324" spans="1:6" ht="16" customHeight="1" x14ac:dyDescent="0.2">
      <c r="A4324">
        <f>IFERROR(VLOOKUP(C4324,'GASB Match'!$D$2:$F$6042,3,FALSE),"")</f>
        <v>3400754</v>
      </c>
      <c r="B4324" s="17">
        <v>2023</v>
      </c>
      <c r="C4324" s="21" t="s">
        <v>950</v>
      </c>
      <c r="D4324" s="17">
        <v>6102</v>
      </c>
      <c r="E4324" s="17" t="s">
        <v>1452</v>
      </c>
      <c r="F4324" s="23">
        <v>662033</v>
      </c>
    </row>
    <row r="4325" spans="1:6" ht="16" customHeight="1" x14ac:dyDescent="0.2">
      <c r="A4325">
        <f>IFERROR(VLOOKUP(C4325,'GASB Match'!$D$2:$F$6042,3,FALSE),"")</f>
        <v>3400754</v>
      </c>
      <c r="B4325" s="28">
        <v>2017</v>
      </c>
      <c r="C4325" s="29" t="s">
        <v>260</v>
      </c>
      <c r="D4325" s="17">
        <v>6102</v>
      </c>
      <c r="E4325" s="17" t="s">
        <v>1411</v>
      </c>
      <c r="F4325" s="29">
        <v>270933</v>
      </c>
    </row>
    <row r="4326" spans="1:6" ht="16" customHeight="1" x14ac:dyDescent="0.2">
      <c r="A4326">
        <f>IFERROR(VLOOKUP(C4326,'GASB Match'!$D$2:$F$6042,3,FALSE),"")</f>
        <v>3412900</v>
      </c>
      <c r="B4326" s="17">
        <v>2015</v>
      </c>
      <c r="C4326" s="17" t="s">
        <v>485</v>
      </c>
      <c r="D4326" s="17">
        <v>439</v>
      </c>
      <c r="E4326" s="17" t="s">
        <v>1421</v>
      </c>
      <c r="F4326" s="20">
        <v>845397</v>
      </c>
    </row>
    <row r="4327" spans="1:6" ht="16" customHeight="1" x14ac:dyDescent="0.2">
      <c r="A4327">
        <f>IFERROR(VLOOKUP(C4327,'GASB Match'!$D$2:$F$6042,3,FALSE),"")</f>
        <v>3412900</v>
      </c>
      <c r="B4327" s="17">
        <v>2016</v>
      </c>
      <c r="C4327" s="17" t="s">
        <v>485</v>
      </c>
      <c r="D4327" s="17">
        <v>439</v>
      </c>
      <c r="E4327" s="17" t="s">
        <v>1421</v>
      </c>
      <c r="F4327" s="20">
        <v>1241249</v>
      </c>
    </row>
    <row r="4328" spans="1:6" ht="16" customHeight="1" x14ac:dyDescent="0.2">
      <c r="A4328">
        <f>IFERROR(VLOOKUP(C4328,'GASB Match'!$D$2:$F$6042,3,FALSE),"")</f>
        <v>3412900</v>
      </c>
      <c r="B4328" s="17">
        <v>2018</v>
      </c>
      <c r="C4328" s="17" t="s">
        <v>1177</v>
      </c>
      <c r="D4328" s="17">
        <v>439</v>
      </c>
      <c r="E4328" s="17" t="s">
        <v>1464</v>
      </c>
      <c r="F4328" s="20">
        <v>2390969</v>
      </c>
    </row>
    <row r="4329" spans="1:6" ht="16" customHeight="1" x14ac:dyDescent="0.2">
      <c r="A4329">
        <f>IFERROR(VLOOKUP(C4329,'GASB Match'!$D$2:$F$6042,3,FALSE),"")</f>
        <v>3412900</v>
      </c>
      <c r="B4329" s="17">
        <v>2019</v>
      </c>
      <c r="C4329" s="17" t="s">
        <v>1177</v>
      </c>
      <c r="D4329" s="17">
        <v>439</v>
      </c>
      <c r="E4329" s="17" t="s">
        <v>1464</v>
      </c>
      <c r="F4329" s="20">
        <v>3134587</v>
      </c>
    </row>
    <row r="4330" spans="1:6" ht="16" customHeight="1" x14ac:dyDescent="0.2">
      <c r="A4330">
        <f>IFERROR(VLOOKUP(C4330,'GASB Match'!$D$2:$F$6042,3,FALSE),"")</f>
        <v>3412900</v>
      </c>
      <c r="B4330" s="17">
        <v>2020</v>
      </c>
      <c r="C4330" s="21" t="s">
        <v>1177</v>
      </c>
      <c r="D4330" s="17">
        <v>439</v>
      </c>
      <c r="E4330" s="17" t="s">
        <v>1464</v>
      </c>
      <c r="F4330" s="23">
        <v>3527323</v>
      </c>
    </row>
    <row r="4331" spans="1:6" ht="16" customHeight="1" x14ac:dyDescent="0.2">
      <c r="A4331">
        <f>IFERROR(VLOOKUP(C4331,'GASB Match'!$D$2:$F$6042,3,FALSE),"")</f>
        <v>3412900</v>
      </c>
      <c r="B4331" s="17">
        <v>2021</v>
      </c>
      <c r="C4331" s="25" t="s">
        <v>1177</v>
      </c>
      <c r="D4331" s="17">
        <v>439</v>
      </c>
      <c r="E4331" s="17" t="s">
        <v>1464</v>
      </c>
      <c r="F4331" s="23">
        <v>4368388</v>
      </c>
    </row>
    <row r="4332" spans="1:6" ht="16" customHeight="1" x14ac:dyDescent="0.2">
      <c r="A4332">
        <f>IFERROR(VLOOKUP(C4332,'GASB Match'!$D$2:$F$6042,3,FALSE),"")</f>
        <v>3412900</v>
      </c>
      <c r="B4332" s="17">
        <v>2022</v>
      </c>
      <c r="C4332" s="21" t="s">
        <v>1177</v>
      </c>
      <c r="D4332" s="17">
        <v>439</v>
      </c>
      <c r="E4332" s="17" t="s">
        <v>1464</v>
      </c>
      <c r="F4332" s="23">
        <v>6373871</v>
      </c>
    </row>
    <row r="4333" spans="1:6" ht="16" customHeight="1" x14ac:dyDescent="0.2">
      <c r="A4333">
        <f>IFERROR(VLOOKUP(C4333,'GASB Match'!$D$2:$F$6042,3,FALSE),"")</f>
        <v>3412900</v>
      </c>
      <c r="B4333" s="17">
        <v>2023</v>
      </c>
      <c r="C4333" s="21" t="s">
        <v>1177</v>
      </c>
      <c r="D4333" s="17">
        <v>439</v>
      </c>
      <c r="E4333" s="17" t="s">
        <v>1464</v>
      </c>
      <c r="F4333" s="23">
        <v>6441457</v>
      </c>
    </row>
    <row r="4334" spans="1:6" ht="16" customHeight="1" x14ac:dyDescent="0.2">
      <c r="A4334">
        <f>IFERROR(VLOOKUP(C4334,'GASB Match'!$D$2:$F$6042,3,FALSE),"")</f>
        <v>3412900</v>
      </c>
      <c r="B4334" s="28">
        <v>2017</v>
      </c>
      <c r="C4334" s="29" t="s">
        <v>485</v>
      </c>
      <c r="D4334" s="17">
        <v>439</v>
      </c>
      <c r="E4334" s="17" t="s">
        <v>1421</v>
      </c>
      <c r="F4334" s="29">
        <v>1772449</v>
      </c>
    </row>
    <row r="4335" spans="1:6" ht="16" customHeight="1" x14ac:dyDescent="0.2">
      <c r="A4335">
        <f>IFERROR(VLOOKUP(C4335,'GASB Match'!$D$2:$F$6042,3,FALSE),"")</f>
        <v>3412930</v>
      </c>
      <c r="B4335" s="17">
        <v>2015</v>
      </c>
      <c r="C4335" s="17" t="s">
        <v>391</v>
      </c>
      <c r="D4335" s="17">
        <v>210</v>
      </c>
      <c r="E4335" s="17" t="s">
        <v>1418</v>
      </c>
      <c r="F4335" s="20">
        <v>3602289</v>
      </c>
    </row>
    <row r="4336" spans="1:6" ht="16" customHeight="1" x14ac:dyDescent="0.2">
      <c r="A4336">
        <f>IFERROR(VLOOKUP(C4336,'GASB Match'!$D$2:$F$6042,3,FALSE),"")</f>
        <v>3412930</v>
      </c>
      <c r="B4336" s="17">
        <v>2016</v>
      </c>
      <c r="C4336" s="17" t="s">
        <v>391</v>
      </c>
      <c r="D4336" s="17">
        <v>210</v>
      </c>
      <c r="E4336" s="17" t="s">
        <v>1418</v>
      </c>
      <c r="F4336" s="20">
        <v>5350636</v>
      </c>
    </row>
    <row r="4337" spans="1:6" ht="16" customHeight="1" x14ac:dyDescent="0.2">
      <c r="A4337">
        <f>IFERROR(VLOOKUP(C4337,'GASB Match'!$D$2:$F$6042,3,FALSE),"")</f>
        <v>3412930</v>
      </c>
      <c r="B4337" s="17">
        <v>2018</v>
      </c>
      <c r="C4337" s="17" t="s">
        <v>1083</v>
      </c>
      <c r="D4337" s="17">
        <v>210</v>
      </c>
      <c r="E4337" s="17" t="s">
        <v>1461</v>
      </c>
      <c r="F4337" s="20">
        <v>10405750</v>
      </c>
    </row>
    <row r="4338" spans="1:6" ht="16" customHeight="1" x14ac:dyDescent="0.2">
      <c r="A4338">
        <f>IFERROR(VLOOKUP(C4338,'GASB Match'!$D$2:$F$6042,3,FALSE),"")</f>
        <v>3412930</v>
      </c>
      <c r="B4338" s="17">
        <v>2019</v>
      </c>
      <c r="C4338" s="17" t="s">
        <v>1083</v>
      </c>
      <c r="D4338" s="17">
        <v>210</v>
      </c>
      <c r="E4338" s="17" t="s">
        <v>1461</v>
      </c>
      <c r="F4338" s="20">
        <v>14226871</v>
      </c>
    </row>
    <row r="4339" spans="1:6" ht="16" customHeight="1" x14ac:dyDescent="0.2">
      <c r="A4339">
        <f>IFERROR(VLOOKUP(C4339,'GASB Match'!$D$2:$F$6042,3,FALSE),"")</f>
        <v>3412930</v>
      </c>
      <c r="B4339" s="17">
        <v>2020</v>
      </c>
      <c r="C4339" s="21" t="s">
        <v>1083</v>
      </c>
      <c r="D4339" s="17">
        <v>210</v>
      </c>
      <c r="E4339" s="17" t="s">
        <v>1461</v>
      </c>
      <c r="F4339" s="23">
        <v>16574400</v>
      </c>
    </row>
    <row r="4340" spans="1:6" ht="16" customHeight="1" x14ac:dyDescent="0.2">
      <c r="A4340">
        <f>IFERROR(VLOOKUP(C4340,'GASB Match'!$D$2:$F$6042,3,FALSE),"")</f>
        <v>3412930</v>
      </c>
      <c r="B4340" s="17">
        <v>2021</v>
      </c>
      <c r="C4340" s="25" t="s">
        <v>1083</v>
      </c>
      <c r="D4340" s="17">
        <v>210</v>
      </c>
      <c r="E4340" s="17" t="s">
        <v>1461</v>
      </c>
      <c r="F4340" s="23">
        <v>21331529</v>
      </c>
    </row>
    <row r="4341" spans="1:6" ht="16" customHeight="1" x14ac:dyDescent="0.2">
      <c r="A4341">
        <f>IFERROR(VLOOKUP(C4341,'GASB Match'!$D$2:$F$6042,3,FALSE),"")</f>
        <v>3412930</v>
      </c>
      <c r="B4341" s="17">
        <v>2022</v>
      </c>
      <c r="C4341" s="21" t="s">
        <v>1083</v>
      </c>
      <c r="D4341" s="17">
        <v>210</v>
      </c>
      <c r="E4341" s="17" t="s">
        <v>1461</v>
      </c>
      <c r="F4341" s="23">
        <v>30833125</v>
      </c>
    </row>
    <row r="4342" spans="1:6" ht="16" customHeight="1" x14ac:dyDescent="0.2">
      <c r="A4342">
        <f>IFERROR(VLOOKUP(C4342,'GASB Match'!$D$2:$F$6042,3,FALSE),"")</f>
        <v>3412930</v>
      </c>
      <c r="B4342" s="17">
        <v>2023</v>
      </c>
      <c r="C4342" s="21" t="s">
        <v>1083</v>
      </c>
      <c r="D4342" s="17">
        <v>210</v>
      </c>
      <c r="E4342" s="17" t="s">
        <v>1461</v>
      </c>
      <c r="F4342" s="23">
        <v>30476821</v>
      </c>
    </row>
    <row r="4343" spans="1:6" ht="16" customHeight="1" x14ac:dyDescent="0.2">
      <c r="A4343">
        <f>IFERROR(VLOOKUP(C4343,'GASB Match'!$D$2:$F$6042,3,FALSE),"")</f>
        <v>3412930</v>
      </c>
      <c r="B4343" s="28">
        <v>2017</v>
      </c>
      <c r="C4343" s="29" t="s">
        <v>391</v>
      </c>
      <c r="D4343" s="17">
        <v>210</v>
      </c>
      <c r="E4343" s="17" t="s">
        <v>1418</v>
      </c>
      <c r="F4343" s="29">
        <v>7780208</v>
      </c>
    </row>
    <row r="4344" spans="1:6" ht="16" customHeight="1" x14ac:dyDescent="0.2">
      <c r="A4344">
        <f>IFERROR(VLOOKUP(C4344,'GASB Match'!$D$2:$F$6042,3,FALSE),"")</f>
        <v>3400784</v>
      </c>
      <c r="B4344" s="17">
        <v>2020</v>
      </c>
      <c r="C4344" s="21" t="s">
        <v>1373</v>
      </c>
      <c r="D4344" s="17">
        <v>6111</v>
      </c>
      <c r="E4344" s="17" t="s">
        <v>1466</v>
      </c>
      <c r="F4344" s="23">
        <v>195072</v>
      </c>
    </row>
    <row r="4345" spans="1:6" ht="16" customHeight="1" x14ac:dyDescent="0.2">
      <c r="A4345">
        <f>IFERROR(VLOOKUP(C4345,'GASB Match'!$D$2:$F$6042,3,FALSE),"")</f>
        <v>3400784</v>
      </c>
      <c r="B4345" s="17">
        <v>2021</v>
      </c>
      <c r="C4345" s="25" t="s">
        <v>1373</v>
      </c>
      <c r="D4345" s="17">
        <v>6111</v>
      </c>
      <c r="E4345" s="17" t="s">
        <v>1466</v>
      </c>
      <c r="F4345" s="23">
        <v>360901</v>
      </c>
    </row>
    <row r="4346" spans="1:6" ht="16" customHeight="1" x14ac:dyDescent="0.2">
      <c r="A4346">
        <f>IFERROR(VLOOKUP(C4346,'GASB Match'!$D$2:$F$6042,3,FALSE),"")</f>
        <v>3400784</v>
      </c>
      <c r="B4346" s="17">
        <v>2022</v>
      </c>
      <c r="C4346" s="21" t="s">
        <v>1373</v>
      </c>
      <c r="D4346" s="17">
        <v>6111</v>
      </c>
      <c r="E4346" s="17" t="s">
        <v>1466</v>
      </c>
      <c r="F4346" s="23">
        <v>647475</v>
      </c>
    </row>
    <row r="4347" spans="1:6" ht="16" customHeight="1" x14ac:dyDescent="0.2">
      <c r="A4347">
        <f>IFERROR(VLOOKUP(C4347,'GASB Match'!$D$2:$F$6042,3,FALSE),"")</f>
        <v>3400784</v>
      </c>
      <c r="B4347" s="17">
        <v>2023</v>
      </c>
      <c r="C4347" s="21" t="s">
        <v>1373</v>
      </c>
      <c r="D4347" s="17">
        <v>6111</v>
      </c>
      <c r="E4347" s="17" t="s">
        <v>1466</v>
      </c>
      <c r="F4347" s="23">
        <v>651437</v>
      </c>
    </row>
    <row r="4348" spans="1:6" ht="16" customHeight="1" x14ac:dyDescent="0.2">
      <c r="A4348" t="str">
        <f>IFERROR(VLOOKUP(C4348,'GASB Match'!$D$2:$F$6042,3,FALSE),"")</f>
        <v/>
      </c>
      <c r="B4348" s="17">
        <v>2016</v>
      </c>
      <c r="C4348" s="17" t="s">
        <v>1432</v>
      </c>
      <c r="D4348" s="17">
        <v>6109</v>
      </c>
      <c r="E4348" s="17" t="s">
        <v>1411</v>
      </c>
      <c r="F4348" s="20">
        <v>94853</v>
      </c>
    </row>
    <row r="4349" spans="1:6" ht="16" customHeight="1" x14ac:dyDescent="0.2">
      <c r="A4349" t="str">
        <f>IFERROR(VLOOKUP(C4349,'GASB Match'!$D$2:$F$6042,3,FALSE),"")</f>
        <v/>
      </c>
      <c r="B4349" s="17">
        <v>2018</v>
      </c>
      <c r="C4349" s="17" t="s">
        <v>1453</v>
      </c>
      <c r="D4349" s="17">
        <v>6109</v>
      </c>
      <c r="E4349" s="17" t="s">
        <v>1452</v>
      </c>
      <c r="F4349" s="20">
        <v>290286</v>
      </c>
    </row>
    <row r="4350" spans="1:6" ht="16" customHeight="1" x14ac:dyDescent="0.2">
      <c r="A4350" t="str">
        <f>IFERROR(VLOOKUP(C4350,'GASB Match'!$D$2:$F$6042,3,FALSE),"")</f>
        <v/>
      </c>
      <c r="B4350" s="17">
        <v>2019</v>
      </c>
      <c r="C4350" s="17" t="s">
        <v>1453</v>
      </c>
      <c r="D4350" s="17">
        <v>6109</v>
      </c>
      <c r="E4350" s="17" t="s">
        <v>1452</v>
      </c>
      <c r="F4350" s="20">
        <v>393837</v>
      </c>
    </row>
    <row r="4351" spans="1:6" ht="16" customHeight="1" x14ac:dyDescent="0.2">
      <c r="A4351" t="str">
        <f>IFERROR(VLOOKUP(C4351,'GASB Match'!$D$2:$F$6042,3,FALSE),"")</f>
        <v/>
      </c>
      <c r="B4351" s="17">
        <v>2020</v>
      </c>
      <c r="C4351" s="21" t="s">
        <v>1453</v>
      </c>
      <c r="D4351" s="17">
        <v>6109</v>
      </c>
      <c r="E4351" s="17" t="s">
        <v>1452</v>
      </c>
      <c r="F4351" s="23">
        <v>503628</v>
      </c>
    </row>
    <row r="4352" spans="1:6" ht="16" customHeight="1" x14ac:dyDescent="0.2">
      <c r="A4352" t="str">
        <f>IFERROR(VLOOKUP(C4352,'GASB Match'!$D$2:$F$6042,3,FALSE),"")</f>
        <v/>
      </c>
      <c r="B4352" s="17">
        <v>2021</v>
      </c>
      <c r="C4352" s="25" t="s">
        <v>1453</v>
      </c>
      <c r="D4352" s="17">
        <v>6109</v>
      </c>
      <c r="E4352" s="17" t="s">
        <v>1452</v>
      </c>
      <c r="F4352" s="23">
        <v>698521</v>
      </c>
    </row>
    <row r="4353" spans="1:6" ht="16" customHeight="1" x14ac:dyDescent="0.2">
      <c r="A4353" t="str">
        <f>IFERROR(VLOOKUP(C4353,'GASB Match'!$D$2:$F$6042,3,FALSE),"")</f>
        <v/>
      </c>
      <c r="B4353" s="17">
        <v>2022</v>
      </c>
      <c r="C4353" s="21" t="s">
        <v>1453</v>
      </c>
      <c r="D4353" s="17">
        <v>6109</v>
      </c>
      <c r="E4353" s="17" t="s">
        <v>1452</v>
      </c>
      <c r="F4353" s="23">
        <v>1075038</v>
      </c>
    </row>
    <row r="4354" spans="1:6" ht="16" customHeight="1" x14ac:dyDescent="0.2">
      <c r="A4354" t="str">
        <f>IFERROR(VLOOKUP(C4354,'GASB Match'!$D$2:$F$6042,3,FALSE),"")</f>
        <v/>
      </c>
      <c r="B4354" s="17">
        <v>2023</v>
      </c>
      <c r="C4354" s="21" t="s">
        <v>1453</v>
      </c>
      <c r="D4354" s="17">
        <v>6109</v>
      </c>
      <c r="E4354" s="17" t="s">
        <v>1452</v>
      </c>
      <c r="F4354" s="23">
        <v>1084256</v>
      </c>
    </row>
    <row r="4355" spans="1:6" ht="16" customHeight="1" x14ac:dyDescent="0.2">
      <c r="A4355" t="str">
        <f>IFERROR(VLOOKUP(C4355,'GASB Match'!$D$2:$F$6042,3,FALSE),"")</f>
        <v/>
      </c>
      <c r="B4355" s="28">
        <v>2017</v>
      </c>
      <c r="C4355" s="29" t="s">
        <v>1432</v>
      </c>
      <c r="D4355" s="17">
        <v>6109</v>
      </c>
      <c r="E4355" s="17" t="s">
        <v>1411</v>
      </c>
      <c r="F4355" s="29">
        <v>182765</v>
      </c>
    </row>
    <row r="4356" spans="1:6" ht="16" customHeight="1" x14ac:dyDescent="0.2">
      <c r="A4356">
        <f>IFERROR(VLOOKUP(C4356,'GASB Match'!$D$2:$F$6042,3,FALSE),"")</f>
        <v>3412960</v>
      </c>
      <c r="B4356" s="17">
        <v>2015</v>
      </c>
      <c r="C4356" s="17" t="s">
        <v>653</v>
      </c>
      <c r="D4356" s="17">
        <v>900</v>
      </c>
      <c r="E4356" s="17" t="s">
        <v>1429</v>
      </c>
      <c r="F4356" s="20">
        <v>1575217</v>
      </c>
    </row>
    <row r="4357" spans="1:6" ht="16" customHeight="1" x14ac:dyDescent="0.2">
      <c r="A4357">
        <f>IFERROR(VLOOKUP(C4357,'GASB Match'!$D$2:$F$6042,3,FALSE),"")</f>
        <v>3412960</v>
      </c>
      <c r="B4357" s="17">
        <v>2016</v>
      </c>
      <c r="C4357" s="17" t="s">
        <v>653</v>
      </c>
      <c r="D4357" s="17">
        <v>900</v>
      </c>
      <c r="E4357" s="17" t="s">
        <v>1429</v>
      </c>
      <c r="F4357" s="20">
        <v>2358398</v>
      </c>
    </row>
    <row r="4358" spans="1:6" ht="16" customHeight="1" x14ac:dyDescent="0.2">
      <c r="A4358">
        <f>IFERROR(VLOOKUP(C4358,'GASB Match'!$D$2:$F$6042,3,FALSE),"")</f>
        <v>3412960</v>
      </c>
      <c r="B4358" s="17">
        <v>2018</v>
      </c>
      <c r="C4358" s="17" t="s">
        <v>1346</v>
      </c>
      <c r="D4358" s="17">
        <v>900</v>
      </c>
      <c r="E4358" s="17" t="s">
        <v>1472</v>
      </c>
      <c r="F4358" s="20">
        <v>4531649</v>
      </c>
    </row>
    <row r="4359" spans="1:6" ht="16" customHeight="1" x14ac:dyDescent="0.2">
      <c r="A4359">
        <f>IFERROR(VLOOKUP(C4359,'GASB Match'!$D$2:$F$6042,3,FALSE),"")</f>
        <v>3412960</v>
      </c>
      <c r="B4359" s="17">
        <v>2019</v>
      </c>
      <c r="C4359" s="17" t="s">
        <v>1346</v>
      </c>
      <c r="D4359" s="17">
        <v>900</v>
      </c>
      <c r="E4359" s="17" t="s">
        <v>1472</v>
      </c>
      <c r="F4359" s="20">
        <v>5917497</v>
      </c>
    </row>
    <row r="4360" spans="1:6" ht="16" customHeight="1" x14ac:dyDescent="0.2">
      <c r="A4360">
        <f>IFERROR(VLOOKUP(C4360,'GASB Match'!$D$2:$F$6042,3,FALSE),"")</f>
        <v>3412960</v>
      </c>
      <c r="B4360" s="17">
        <v>2020</v>
      </c>
      <c r="C4360" s="21" t="s">
        <v>1346</v>
      </c>
      <c r="D4360" s="17">
        <v>900</v>
      </c>
      <c r="E4360" s="17" t="s">
        <v>1472</v>
      </c>
      <c r="F4360" s="23">
        <v>6762200</v>
      </c>
    </row>
    <row r="4361" spans="1:6" ht="16" customHeight="1" x14ac:dyDescent="0.2">
      <c r="A4361">
        <f>IFERROR(VLOOKUP(C4361,'GASB Match'!$D$2:$F$6042,3,FALSE),"")</f>
        <v>3412960</v>
      </c>
      <c r="B4361" s="17">
        <v>2021</v>
      </c>
      <c r="C4361" s="25" t="s">
        <v>1346</v>
      </c>
      <c r="D4361" s="17">
        <v>900</v>
      </c>
      <c r="E4361" s="17" t="s">
        <v>1472</v>
      </c>
      <c r="F4361" s="23">
        <v>8748577</v>
      </c>
    </row>
    <row r="4362" spans="1:6" ht="16" customHeight="1" x14ac:dyDescent="0.2">
      <c r="A4362">
        <f>IFERROR(VLOOKUP(C4362,'GASB Match'!$D$2:$F$6042,3,FALSE),"")</f>
        <v>3412960</v>
      </c>
      <c r="B4362" s="17">
        <v>2022</v>
      </c>
      <c r="C4362" s="21" t="s">
        <v>1346</v>
      </c>
      <c r="D4362" s="17">
        <v>900</v>
      </c>
      <c r="E4362" s="17" t="s">
        <v>1472</v>
      </c>
      <c r="F4362" s="23">
        <v>12239369</v>
      </c>
    </row>
    <row r="4363" spans="1:6" ht="16" customHeight="1" x14ac:dyDescent="0.2">
      <c r="A4363">
        <f>IFERROR(VLOOKUP(C4363,'GASB Match'!$D$2:$F$6042,3,FALSE),"")</f>
        <v>3412960</v>
      </c>
      <c r="B4363" s="17">
        <v>2023</v>
      </c>
      <c r="C4363" s="21" t="s">
        <v>1346</v>
      </c>
      <c r="D4363" s="17">
        <v>900</v>
      </c>
      <c r="E4363" s="17" t="s">
        <v>1472</v>
      </c>
      <c r="F4363" s="23">
        <v>12059547</v>
      </c>
    </row>
    <row r="4364" spans="1:6" ht="16" customHeight="1" x14ac:dyDescent="0.2">
      <c r="A4364">
        <f>IFERROR(VLOOKUP(C4364,'GASB Match'!$D$2:$F$6042,3,FALSE),"")</f>
        <v>3412960</v>
      </c>
      <c r="B4364" s="28">
        <v>2017</v>
      </c>
      <c r="C4364" s="29" t="s">
        <v>653</v>
      </c>
      <c r="D4364" s="17">
        <v>900</v>
      </c>
      <c r="E4364" s="17" t="s">
        <v>1429</v>
      </c>
      <c r="F4364" s="29">
        <v>3397045</v>
      </c>
    </row>
    <row r="4365" spans="1:6" ht="16" customHeight="1" x14ac:dyDescent="0.2">
      <c r="A4365">
        <f>IFERROR(VLOOKUP(C4365,'GASB Match'!$D$2:$F$6042,3,FALSE),"")</f>
        <v>3412990</v>
      </c>
      <c r="B4365" s="17">
        <v>2015</v>
      </c>
      <c r="C4365" s="17" t="s">
        <v>186</v>
      </c>
      <c r="D4365" s="17">
        <v>4069</v>
      </c>
      <c r="E4365" s="17" t="s">
        <v>1405</v>
      </c>
      <c r="F4365" s="20">
        <v>798886</v>
      </c>
    </row>
    <row r="4366" spans="1:6" ht="16" customHeight="1" x14ac:dyDescent="0.2">
      <c r="A4366">
        <f>IFERROR(VLOOKUP(C4366,'GASB Match'!$D$2:$F$6042,3,FALSE),"")</f>
        <v>3412990</v>
      </c>
      <c r="B4366" s="17">
        <v>2016</v>
      </c>
      <c r="C4366" s="17" t="s">
        <v>186</v>
      </c>
      <c r="D4366" s="17">
        <v>4069</v>
      </c>
      <c r="E4366" s="17" t="s">
        <v>1405</v>
      </c>
      <c r="F4366" s="20">
        <v>1106466</v>
      </c>
    </row>
    <row r="4367" spans="1:6" ht="16" customHeight="1" x14ac:dyDescent="0.2">
      <c r="A4367">
        <f>IFERROR(VLOOKUP(C4367,'GASB Match'!$D$2:$F$6042,3,FALSE),"")</f>
        <v>3412990</v>
      </c>
      <c r="B4367" s="17">
        <v>2018</v>
      </c>
      <c r="C4367" s="17" t="s">
        <v>869</v>
      </c>
      <c r="D4367" s="17">
        <v>4069</v>
      </c>
      <c r="E4367" s="17" t="s">
        <v>1446</v>
      </c>
      <c r="F4367" s="20">
        <v>2090868</v>
      </c>
    </row>
    <row r="4368" spans="1:6" ht="16" customHeight="1" x14ac:dyDescent="0.2">
      <c r="A4368">
        <f>IFERROR(VLOOKUP(C4368,'GASB Match'!$D$2:$F$6042,3,FALSE),"")</f>
        <v>3412990</v>
      </c>
      <c r="B4368" s="17">
        <v>2019</v>
      </c>
      <c r="C4368" s="17" t="s">
        <v>869</v>
      </c>
      <c r="D4368" s="17">
        <v>4069</v>
      </c>
      <c r="E4368" s="17" t="s">
        <v>1446</v>
      </c>
      <c r="F4368" s="20">
        <v>2724836</v>
      </c>
    </row>
    <row r="4369" spans="1:6" ht="16" customHeight="1" x14ac:dyDescent="0.2">
      <c r="A4369">
        <f>IFERROR(VLOOKUP(C4369,'GASB Match'!$D$2:$F$6042,3,FALSE),"")</f>
        <v>3412990</v>
      </c>
      <c r="B4369" s="17">
        <v>2020</v>
      </c>
      <c r="C4369" s="21" t="s">
        <v>869</v>
      </c>
      <c r="D4369" s="17">
        <v>4069</v>
      </c>
      <c r="E4369" s="17" t="s">
        <v>1446</v>
      </c>
      <c r="F4369" s="23">
        <v>3029966</v>
      </c>
    </row>
    <row r="4370" spans="1:6" ht="16" customHeight="1" x14ac:dyDescent="0.2">
      <c r="A4370">
        <f>IFERROR(VLOOKUP(C4370,'GASB Match'!$D$2:$F$6042,3,FALSE),"")</f>
        <v>3412990</v>
      </c>
      <c r="B4370" s="17">
        <v>2021</v>
      </c>
      <c r="C4370" s="25" t="s">
        <v>869</v>
      </c>
      <c r="D4370" s="17">
        <v>4069</v>
      </c>
      <c r="E4370" s="17" t="s">
        <v>1446</v>
      </c>
      <c r="F4370" s="23">
        <v>4014405</v>
      </c>
    </row>
    <row r="4371" spans="1:6" ht="16" customHeight="1" x14ac:dyDescent="0.2">
      <c r="A4371">
        <f>IFERROR(VLOOKUP(C4371,'GASB Match'!$D$2:$F$6042,3,FALSE),"")</f>
        <v>3412990</v>
      </c>
      <c r="B4371" s="17">
        <v>2022</v>
      </c>
      <c r="C4371" s="21" t="s">
        <v>869</v>
      </c>
      <c r="D4371" s="17">
        <v>4069</v>
      </c>
      <c r="E4371" s="17" t="s">
        <v>1446</v>
      </c>
      <c r="F4371" s="23">
        <v>5639762</v>
      </c>
    </row>
    <row r="4372" spans="1:6" ht="16" customHeight="1" x14ac:dyDescent="0.2">
      <c r="A4372">
        <f>IFERROR(VLOOKUP(C4372,'GASB Match'!$D$2:$F$6042,3,FALSE),"")</f>
        <v>3412990</v>
      </c>
      <c r="B4372" s="17">
        <v>2023</v>
      </c>
      <c r="C4372" s="21" t="s">
        <v>869</v>
      </c>
      <c r="D4372" s="17">
        <v>4069</v>
      </c>
      <c r="E4372" s="17" t="s">
        <v>1446</v>
      </c>
      <c r="F4372" s="23">
        <v>5735555</v>
      </c>
    </row>
    <row r="4373" spans="1:6" ht="16" customHeight="1" x14ac:dyDescent="0.2">
      <c r="A4373">
        <f>IFERROR(VLOOKUP(C4373,'GASB Match'!$D$2:$F$6042,3,FALSE),"")</f>
        <v>3412990</v>
      </c>
      <c r="B4373" s="28">
        <v>2017</v>
      </c>
      <c r="C4373" s="29" t="s">
        <v>186</v>
      </c>
      <c r="D4373" s="17">
        <v>4069</v>
      </c>
      <c r="E4373" s="17" t="s">
        <v>1405</v>
      </c>
      <c r="F4373" s="29">
        <v>1591077</v>
      </c>
    </row>
    <row r="4374" spans="1:6" ht="16" customHeight="1" x14ac:dyDescent="0.2">
      <c r="A4374">
        <f>IFERROR(VLOOKUP(C4374,'GASB Match'!$D$2:$F$6042,3,FALSE),"")</f>
        <v>3413000</v>
      </c>
      <c r="B4374" s="17">
        <v>2015</v>
      </c>
      <c r="C4374" s="17" t="s">
        <v>513</v>
      </c>
      <c r="D4374" s="17">
        <v>502</v>
      </c>
      <c r="E4374" s="17" t="s">
        <v>1422</v>
      </c>
      <c r="F4374" s="20">
        <v>719437</v>
      </c>
    </row>
    <row r="4375" spans="1:6" ht="16" customHeight="1" x14ac:dyDescent="0.2">
      <c r="A4375">
        <f>IFERROR(VLOOKUP(C4375,'GASB Match'!$D$2:$F$6042,3,FALSE),"")</f>
        <v>3413000</v>
      </c>
      <c r="B4375" s="17">
        <v>2016</v>
      </c>
      <c r="C4375" s="17" t="s">
        <v>513</v>
      </c>
      <c r="D4375" s="17">
        <v>502</v>
      </c>
      <c r="E4375" s="17" t="s">
        <v>1422</v>
      </c>
      <c r="F4375" s="20">
        <v>1039217</v>
      </c>
    </row>
    <row r="4376" spans="1:6" ht="16" customHeight="1" x14ac:dyDescent="0.2">
      <c r="A4376">
        <f>IFERROR(VLOOKUP(C4376,'GASB Match'!$D$2:$F$6042,3,FALSE),"")</f>
        <v>3413000</v>
      </c>
      <c r="B4376" s="17">
        <v>2018</v>
      </c>
      <c r="C4376" s="17" t="s">
        <v>1205</v>
      </c>
      <c r="D4376" s="17">
        <v>502</v>
      </c>
      <c r="E4376" s="17" t="s">
        <v>1465</v>
      </c>
      <c r="F4376" s="20">
        <v>1981288</v>
      </c>
    </row>
    <row r="4377" spans="1:6" ht="16" customHeight="1" x14ac:dyDescent="0.2">
      <c r="A4377">
        <f>IFERROR(VLOOKUP(C4377,'GASB Match'!$D$2:$F$6042,3,FALSE),"")</f>
        <v>3413000</v>
      </c>
      <c r="B4377" s="17">
        <v>2019</v>
      </c>
      <c r="C4377" s="17" t="s">
        <v>1205</v>
      </c>
      <c r="D4377" s="17">
        <v>502</v>
      </c>
      <c r="E4377" s="17" t="s">
        <v>1465</v>
      </c>
      <c r="F4377" s="20">
        <v>2498273</v>
      </c>
    </row>
    <row r="4378" spans="1:6" ht="16" customHeight="1" x14ac:dyDescent="0.2">
      <c r="A4378">
        <f>IFERROR(VLOOKUP(C4378,'GASB Match'!$D$2:$F$6042,3,FALSE),"")</f>
        <v>3413000</v>
      </c>
      <c r="B4378" s="17">
        <v>2020</v>
      </c>
      <c r="C4378" s="21" t="s">
        <v>1205</v>
      </c>
      <c r="D4378" s="17">
        <v>502</v>
      </c>
      <c r="E4378" s="17" t="s">
        <v>1465</v>
      </c>
      <c r="F4378" s="23">
        <v>2786828</v>
      </c>
    </row>
    <row r="4379" spans="1:6" ht="16" customHeight="1" x14ac:dyDescent="0.2">
      <c r="A4379">
        <f>IFERROR(VLOOKUP(C4379,'GASB Match'!$D$2:$F$6042,3,FALSE),"")</f>
        <v>3413000</v>
      </c>
      <c r="B4379" s="17">
        <v>2021</v>
      </c>
      <c r="C4379" s="25" t="s">
        <v>1205</v>
      </c>
      <c r="D4379" s="17">
        <v>502</v>
      </c>
      <c r="E4379" s="17" t="s">
        <v>1465</v>
      </c>
      <c r="F4379" s="23">
        <v>3485071</v>
      </c>
    </row>
    <row r="4380" spans="1:6" ht="16" customHeight="1" x14ac:dyDescent="0.2">
      <c r="A4380">
        <f>IFERROR(VLOOKUP(C4380,'GASB Match'!$D$2:$F$6042,3,FALSE),"")</f>
        <v>3413000</v>
      </c>
      <c r="B4380" s="17">
        <v>2022</v>
      </c>
      <c r="C4380" s="21" t="s">
        <v>1205</v>
      </c>
      <c r="D4380" s="17">
        <v>502</v>
      </c>
      <c r="E4380" s="17" t="s">
        <v>1465</v>
      </c>
      <c r="F4380" s="23">
        <v>4717277</v>
      </c>
    </row>
    <row r="4381" spans="1:6" ht="16" customHeight="1" x14ac:dyDescent="0.2">
      <c r="A4381">
        <f>IFERROR(VLOOKUP(C4381,'GASB Match'!$D$2:$F$6042,3,FALSE),"")</f>
        <v>3413000</v>
      </c>
      <c r="B4381" s="17">
        <v>2023</v>
      </c>
      <c r="C4381" s="21" t="s">
        <v>1205</v>
      </c>
      <c r="D4381" s="17">
        <v>502</v>
      </c>
      <c r="E4381" s="17" t="s">
        <v>1465</v>
      </c>
      <c r="F4381" s="23">
        <v>4531478</v>
      </c>
    </row>
    <row r="4382" spans="1:6" ht="16" customHeight="1" x14ac:dyDescent="0.2">
      <c r="A4382">
        <f>IFERROR(VLOOKUP(C4382,'GASB Match'!$D$2:$F$6042,3,FALSE),"")</f>
        <v>3413000</v>
      </c>
      <c r="B4382" s="28">
        <v>2017</v>
      </c>
      <c r="C4382" s="29" t="s">
        <v>513</v>
      </c>
      <c r="D4382" s="17">
        <v>502</v>
      </c>
      <c r="E4382" s="17" t="s">
        <v>1422</v>
      </c>
      <c r="F4382" s="29">
        <v>1465925</v>
      </c>
    </row>
    <row r="4383" spans="1:6" ht="16" customHeight="1" x14ac:dyDescent="0.2">
      <c r="A4383">
        <f>IFERROR(VLOOKUP(C4383,'GASB Match'!$D$2:$F$6042,3,FALSE),"")</f>
        <v>3413050</v>
      </c>
      <c r="B4383" s="17">
        <v>2015</v>
      </c>
      <c r="C4383" s="17" t="s">
        <v>392</v>
      </c>
      <c r="D4383" s="17">
        <v>245</v>
      </c>
      <c r="E4383" s="17" t="s">
        <v>1418</v>
      </c>
      <c r="F4383" s="20">
        <v>2383777</v>
      </c>
    </row>
    <row r="4384" spans="1:6" ht="16" customHeight="1" x14ac:dyDescent="0.2">
      <c r="A4384">
        <f>IFERROR(VLOOKUP(C4384,'GASB Match'!$D$2:$F$6042,3,FALSE),"")</f>
        <v>3413050</v>
      </c>
      <c r="B4384" s="17">
        <v>2016</v>
      </c>
      <c r="C4384" s="17" t="s">
        <v>392</v>
      </c>
      <c r="D4384" s="17">
        <v>245</v>
      </c>
      <c r="E4384" s="17" t="s">
        <v>1418</v>
      </c>
      <c r="F4384" s="20">
        <v>3688465</v>
      </c>
    </row>
    <row r="4385" spans="1:6" ht="16" customHeight="1" x14ac:dyDescent="0.2">
      <c r="A4385">
        <f>IFERROR(VLOOKUP(C4385,'GASB Match'!$D$2:$F$6042,3,FALSE),"")</f>
        <v>3413050</v>
      </c>
      <c r="B4385" s="17">
        <v>2018</v>
      </c>
      <c r="C4385" s="17" t="s">
        <v>1084</v>
      </c>
      <c r="D4385" s="17">
        <v>245</v>
      </c>
      <c r="E4385" s="17" t="s">
        <v>1461</v>
      </c>
      <c r="F4385" s="20">
        <v>7232892</v>
      </c>
    </row>
    <row r="4386" spans="1:6" ht="16" customHeight="1" x14ac:dyDescent="0.2">
      <c r="A4386">
        <f>IFERROR(VLOOKUP(C4386,'GASB Match'!$D$2:$F$6042,3,FALSE),"")</f>
        <v>3413050</v>
      </c>
      <c r="B4386" s="17">
        <v>2019</v>
      </c>
      <c r="C4386" s="17" t="s">
        <v>1084</v>
      </c>
      <c r="D4386" s="17">
        <v>245</v>
      </c>
      <c r="E4386" s="17" t="s">
        <v>1461</v>
      </c>
      <c r="F4386" s="20">
        <v>9425991</v>
      </c>
    </row>
    <row r="4387" spans="1:6" ht="16" customHeight="1" x14ac:dyDescent="0.2">
      <c r="A4387">
        <f>IFERROR(VLOOKUP(C4387,'GASB Match'!$D$2:$F$6042,3,FALSE),"")</f>
        <v>3413050</v>
      </c>
      <c r="B4387" s="17">
        <v>2020</v>
      </c>
      <c r="C4387" s="21" t="s">
        <v>1084</v>
      </c>
      <c r="D4387" s="17">
        <v>245</v>
      </c>
      <c r="E4387" s="17" t="s">
        <v>1461</v>
      </c>
      <c r="F4387" s="23">
        <v>10745459</v>
      </c>
    </row>
    <row r="4388" spans="1:6" ht="16" customHeight="1" x14ac:dyDescent="0.2">
      <c r="A4388">
        <f>IFERROR(VLOOKUP(C4388,'GASB Match'!$D$2:$F$6042,3,FALSE),"")</f>
        <v>3413050</v>
      </c>
      <c r="B4388" s="17">
        <v>2021</v>
      </c>
      <c r="C4388" s="25" t="s">
        <v>1084</v>
      </c>
      <c r="D4388" s="17">
        <v>245</v>
      </c>
      <c r="E4388" s="17" t="s">
        <v>1461</v>
      </c>
      <c r="F4388" s="23">
        <v>13746514</v>
      </c>
    </row>
    <row r="4389" spans="1:6" ht="16" customHeight="1" x14ac:dyDescent="0.2">
      <c r="A4389">
        <f>IFERROR(VLOOKUP(C4389,'GASB Match'!$D$2:$F$6042,3,FALSE),"")</f>
        <v>3413050</v>
      </c>
      <c r="B4389" s="17">
        <v>2022</v>
      </c>
      <c r="C4389" s="21" t="s">
        <v>1084</v>
      </c>
      <c r="D4389" s="17">
        <v>245</v>
      </c>
      <c r="E4389" s="17" t="s">
        <v>1461</v>
      </c>
      <c r="F4389" s="23">
        <v>19741447</v>
      </c>
    </row>
    <row r="4390" spans="1:6" ht="16" customHeight="1" x14ac:dyDescent="0.2">
      <c r="A4390">
        <f>IFERROR(VLOOKUP(C4390,'GASB Match'!$D$2:$F$6042,3,FALSE),"")</f>
        <v>3413050</v>
      </c>
      <c r="B4390" s="17">
        <v>2023</v>
      </c>
      <c r="C4390" s="21" t="s">
        <v>1084</v>
      </c>
      <c r="D4390" s="17">
        <v>245</v>
      </c>
      <c r="E4390" s="17" t="s">
        <v>1461</v>
      </c>
      <c r="F4390" s="23">
        <v>19457672</v>
      </c>
    </row>
    <row r="4391" spans="1:6" ht="16" customHeight="1" x14ac:dyDescent="0.2">
      <c r="A4391">
        <f>IFERROR(VLOOKUP(C4391,'GASB Match'!$D$2:$F$6042,3,FALSE),"")</f>
        <v>3413050</v>
      </c>
      <c r="B4391" s="28">
        <v>2017</v>
      </c>
      <c r="C4391" s="29" t="s">
        <v>392</v>
      </c>
      <c r="D4391" s="17">
        <v>245</v>
      </c>
      <c r="E4391" s="17" t="s">
        <v>1418</v>
      </c>
      <c r="F4391" s="29">
        <v>5224557</v>
      </c>
    </row>
    <row r="4392" spans="1:6" ht="16" customHeight="1" x14ac:dyDescent="0.2">
      <c r="A4392">
        <f>IFERROR(VLOOKUP(C4392,'GASB Match'!$D$2:$F$6042,3,FALSE),"")</f>
        <v>3413080</v>
      </c>
      <c r="B4392" s="17">
        <v>2015</v>
      </c>
      <c r="C4392" s="17" t="s">
        <v>292</v>
      </c>
      <c r="D4392" s="17">
        <v>7026</v>
      </c>
      <c r="E4392" s="17" t="s">
        <v>1412</v>
      </c>
      <c r="F4392" s="19">
        <v>619865</v>
      </c>
    </row>
    <row r="4393" spans="1:6" ht="16" customHeight="1" x14ac:dyDescent="0.2">
      <c r="A4393">
        <f>IFERROR(VLOOKUP(C4393,'GASB Match'!$D$2:$F$6042,3,FALSE),"")</f>
        <v>3413080</v>
      </c>
      <c r="B4393" s="17">
        <v>2016</v>
      </c>
      <c r="C4393" s="17" t="s">
        <v>292</v>
      </c>
      <c r="D4393" s="17">
        <v>7026</v>
      </c>
      <c r="E4393" s="17" t="s">
        <v>1412</v>
      </c>
      <c r="F4393" s="20">
        <v>894538</v>
      </c>
    </row>
    <row r="4394" spans="1:6" ht="16" customHeight="1" x14ac:dyDescent="0.2">
      <c r="A4394">
        <f>IFERROR(VLOOKUP(C4394,'GASB Match'!$D$2:$F$6042,3,FALSE),"")</f>
        <v>3413080</v>
      </c>
      <c r="B4394" s="17">
        <v>2018</v>
      </c>
      <c r="C4394" s="17" t="s">
        <v>982</v>
      </c>
      <c r="D4394" s="17">
        <v>7026</v>
      </c>
      <c r="E4394" s="17" t="s">
        <v>1454</v>
      </c>
      <c r="F4394" s="20">
        <v>1737388</v>
      </c>
    </row>
    <row r="4395" spans="1:6" ht="16" customHeight="1" x14ac:dyDescent="0.2">
      <c r="A4395">
        <f>IFERROR(VLOOKUP(C4395,'GASB Match'!$D$2:$F$6042,3,FALSE),"")</f>
        <v>3413080</v>
      </c>
      <c r="B4395" s="17">
        <v>2019</v>
      </c>
      <c r="C4395" s="17" t="s">
        <v>982</v>
      </c>
      <c r="D4395" s="17">
        <v>7026</v>
      </c>
      <c r="E4395" s="17" t="s">
        <v>1454</v>
      </c>
      <c r="F4395" s="20">
        <v>2363038</v>
      </c>
    </row>
    <row r="4396" spans="1:6" ht="16" customHeight="1" x14ac:dyDescent="0.2">
      <c r="A4396">
        <f>IFERROR(VLOOKUP(C4396,'GASB Match'!$D$2:$F$6042,3,FALSE),"")</f>
        <v>3413080</v>
      </c>
      <c r="B4396" s="17">
        <v>2020</v>
      </c>
      <c r="C4396" s="21" t="s">
        <v>982</v>
      </c>
      <c r="D4396" s="17">
        <v>7026</v>
      </c>
      <c r="E4396" s="17" t="s">
        <v>1454</v>
      </c>
      <c r="F4396" s="23">
        <v>2594500</v>
      </c>
    </row>
    <row r="4397" spans="1:6" ht="16" customHeight="1" x14ac:dyDescent="0.2">
      <c r="A4397">
        <f>IFERROR(VLOOKUP(C4397,'GASB Match'!$D$2:$F$6042,3,FALSE),"")</f>
        <v>3413080</v>
      </c>
      <c r="B4397" s="17">
        <v>2021</v>
      </c>
      <c r="C4397" s="25" t="s">
        <v>982</v>
      </c>
      <c r="D4397" s="17">
        <v>7026</v>
      </c>
      <c r="E4397" s="17" t="s">
        <v>1454</v>
      </c>
      <c r="F4397" s="23">
        <v>3224652</v>
      </c>
    </row>
    <row r="4398" spans="1:6" ht="16" customHeight="1" x14ac:dyDescent="0.2">
      <c r="A4398">
        <f>IFERROR(VLOOKUP(C4398,'GASB Match'!$D$2:$F$6042,3,FALSE),"")</f>
        <v>3413080</v>
      </c>
      <c r="B4398" s="17">
        <v>2022</v>
      </c>
      <c r="C4398" s="21" t="s">
        <v>982</v>
      </c>
      <c r="D4398" s="17">
        <v>7026</v>
      </c>
      <c r="E4398" s="17" t="s">
        <v>1454</v>
      </c>
      <c r="F4398" s="23">
        <v>4259084</v>
      </c>
    </row>
    <row r="4399" spans="1:6" ht="16" customHeight="1" x14ac:dyDescent="0.2">
      <c r="A4399">
        <f>IFERROR(VLOOKUP(C4399,'GASB Match'!$D$2:$F$6042,3,FALSE),"")</f>
        <v>3413080</v>
      </c>
      <c r="B4399" s="17">
        <v>2023</v>
      </c>
      <c r="C4399" s="21" t="s">
        <v>982</v>
      </c>
      <c r="D4399" s="17">
        <v>7026</v>
      </c>
      <c r="E4399" s="17" t="s">
        <v>1454</v>
      </c>
      <c r="F4399" s="23">
        <v>4224236</v>
      </c>
    </row>
    <row r="4400" spans="1:6" ht="16" customHeight="1" x14ac:dyDescent="0.2">
      <c r="A4400">
        <f>IFERROR(VLOOKUP(C4400,'GASB Match'!$D$2:$F$6042,3,FALSE),"")</f>
        <v>3413080</v>
      </c>
      <c r="B4400" s="28">
        <v>2017</v>
      </c>
      <c r="C4400" s="29" t="s">
        <v>292</v>
      </c>
      <c r="D4400" s="17">
        <v>7026</v>
      </c>
      <c r="E4400" s="17" t="s">
        <v>1412</v>
      </c>
      <c r="F4400" s="29">
        <v>1277891</v>
      </c>
    </row>
    <row r="4401" spans="1:6" ht="16" customHeight="1" x14ac:dyDescent="0.2">
      <c r="A4401">
        <f>IFERROR(VLOOKUP(C4401,'GASB Match'!$D$2:$F$6042,3,FALSE),"")</f>
        <v>3413110</v>
      </c>
      <c r="B4401" s="17">
        <v>2015</v>
      </c>
      <c r="C4401" s="17" t="s">
        <v>556</v>
      </c>
      <c r="D4401" s="17">
        <v>721</v>
      </c>
      <c r="E4401" s="17" t="s">
        <v>1424</v>
      </c>
      <c r="F4401" s="20">
        <v>606261</v>
      </c>
    </row>
    <row r="4402" spans="1:6" ht="16" customHeight="1" x14ac:dyDescent="0.2">
      <c r="A4402">
        <f>IFERROR(VLOOKUP(C4402,'GASB Match'!$D$2:$F$6042,3,FALSE),"")</f>
        <v>3413110</v>
      </c>
      <c r="B4402" s="17">
        <v>2016</v>
      </c>
      <c r="C4402" s="17" t="s">
        <v>556</v>
      </c>
      <c r="D4402" s="17">
        <v>721</v>
      </c>
      <c r="E4402" s="17" t="s">
        <v>1424</v>
      </c>
      <c r="F4402" s="20">
        <v>897382</v>
      </c>
    </row>
    <row r="4403" spans="1:6" ht="16" customHeight="1" x14ac:dyDescent="0.2">
      <c r="A4403">
        <f>IFERROR(VLOOKUP(C4403,'GASB Match'!$D$2:$F$6042,3,FALSE),"")</f>
        <v>3413110</v>
      </c>
      <c r="B4403" s="17">
        <v>2018</v>
      </c>
      <c r="C4403" s="17" t="s">
        <v>1248</v>
      </c>
      <c r="D4403" s="17">
        <v>721</v>
      </c>
      <c r="E4403" s="17" t="s">
        <v>1467</v>
      </c>
      <c r="F4403" s="20">
        <v>1734217</v>
      </c>
    </row>
    <row r="4404" spans="1:6" ht="16" customHeight="1" x14ac:dyDescent="0.2">
      <c r="A4404">
        <f>IFERROR(VLOOKUP(C4404,'GASB Match'!$D$2:$F$6042,3,FALSE),"")</f>
        <v>3413110</v>
      </c>
      <c r="B4404" s="17">
        <v>2019</v>
      </c>
      <c r="C4404" s="17" t="s">
        <v>1248</v>
      </c>
      <c r="D4404" s="17">
        <v>721</v>
      </c>
      <c r="E4404" s="17" t="s">
        <v>1467</v>
      </c>
      <c r="F4404" s="20">
        <v>2265962</v>
      </c>
    </row>
    <row r="4405" spans="1:6" ht="16" customHeight="1" x14ac:dyDescent="0.2">
      <c r="A4405">
        <f>IFERROR(VLOOKUP(C4405,'GASB Match'!$D$2:$F$6042,3,FALSE),"")</f>
        <v>3413110</v>
      </c>
      <c r="B4405" s="17">
        <v>2020</v>
      </c>
      <c r="C4405" s="21" t="s">
        <v>1248</v>
      </c>
      <c r="D4405" s="17">
        <v>721</v>
      </c>
      <c r="E4405" s="17" t="s">
        <v>1467</v>
      </c>
      <c r="F4405" s="23">
        <v>2681404</v>
      </c>
    </row>
    <row r="4406" spans="1:6" ht="16" customHeight="1" x14ac:dyDescent="0.2">
      <c r="A4406">
        <f>IFERROR(VLOOKUP(C4406,'GASB Match'!$D$2:$F$6042,3,FALSE),"")</f>
        <v>3413110</v>
      </c>
      <c r="B4406" s="17">
        <v>2021</v>
      </c>
      <c r="C4406" s="25" t="s">
        <v>1248</v>
      </c>
      <c r="D4406" s="17">
        <v>721</v>
      </c>
      <c r="E4406" s="17" t="s">
        <v>1467</v>
      </c>
      <c r="F4406" s="23">
        <v>3357982</v>
      </c>
    </row>
    <row r="4407" spans="1:6" ht="16" customHeight="1" x14ac:dyDescent="0.2">
      <c r="A4407">
        <f>IFERROR(VLOOKUP(C4407,'GASB Match'!$D$2:$F$6042,3,FALSE),"")</f>
        <v>3413110</v>
      </c>
      <c r="B4407" s="17">
        <v>2022</v>
      </c>
      <c r="C4407" s="21" t="s">
        <v>1248</v>
      </c>
      <c r="D4407" s="17">
        <v>721</v>
      </c>
      <c r="E4407" s="17" t="s">
        <v>1467</v>
      </c>
      <c r="F4407" s="23">
        <v>4706317</v>
      </c>
    </row>
    <row r="4408" spans="1:6" ht="16" customHeight="1" x14ac:dyDescent="0.2">
      <c r="A4408">
        <f>IFERROR(VLOOKUP(C4408,'GASB Match'!$D$2:$F$6042,3,FALSE),"")</f>
        <v>3413110</v>
      </c>
      <c r="B4408" s="17">
        <v>2023</v>
      </c>
      <c r="C4408" s="21" t="s">
        <v>1248</v>
      </c>
      <c r="D4408" s="17">
        <v>721</v>
      </c>
      <c r="E4408" s="17" t="s">
        <v>1467</v>
      </c>
      <c r="F4408" s="23">
        <v>4554453</v>
      </c>
    </row>
    <row r="4409" spans="1:6" ht="16" customHeight="1" x14ac:dyDescent="0.2">
      <c r="A4409">
        <f>IFERROR(VLOOKUP(C4409,'GASB Match'!$D$2:$F$6042,3,FALSE),"")</f>
        <v>3413110</v>
      </c>
      <c r="B4409" s="28">
        <v>2017</v>
      </c>
      <c r="C4409" s="29" t="s">
        <v>556</v>
      </c>
      <c r="D4409" s="17">
        <v>721</v>
      </c>
      <c r="E4409" s="17" t="s">
        <v>1424</v>
      </c>
      <c r="F4409" s="29">
        <v>1249275</v>
      </c>
    </row>
    <row r="4410" spans="1:6" ht="16" customHeight="1" x14ac:dyDescent="0.2">
      <c r="A4410">
        <f>IFERROR(VLOOKUP(C4410,'GASB Match'!$D$2:$F$6042,3,FALSE),"")</f>
        <v>3413140</v>
      </c>
      <c r="B4410" s="17">
        <v>2015</v>
      </c>
      <c r="C4410" s="17" t="s">
        <v>623</v>
      </c>
      <c r="D4410" s="17">
        <v>820</v>
      </c>
      <c r="E4410" s="17" t="s">
        <v>1427</v>
      </c>
      <c r="F4410" s="20">
        <v>2791742</v>
      </c>
    </row>
    <row r="4411" spans="1:6" ht="16" customHeight="1" x14ac:dyDescent="0.2">
      <c r="A4411">
        <f>IFERROR(VLOOKUP(C4411,'GASB Match'!$D$2:$F$6042,3,FALSE),"")</f>
        <v>3413140</v>
      </c>
      <c r="B4411" s="17">
        <v>2016</v>
      </c>
      <c r="C4411" s="17" t="s">
        <v>623</v>
      </c>
      <c r="D4411" s="17">
        <v>820</v>
      </c>
      <c r="E4411" s="17" t="s">
        <v>1427</v>
      </c>
      <c r="F4411" s="20">
        <v>4107364</v>
      </c>
    </row>
    <row r="4412" spans="1:6" ht="16" customHeight="1" x14ac:dyDescent="0.2">
      <c r="A4412">
        <f>IFERROR(VLOOKUP(C4412,'GASB Match'!$D$2:$F$6042,3,FALSE),"")</f>
        <v>3413140</v>
      </c>
      <c r="B4412" s="17">
        <v>2018</v>
      </c>
      <c r="C4412" s="17" t="s">
        <v>1316</v>
      </c>
      <c r="D4412" s="17">
        <v>820</v>
      </c>
      <c r="E4412" s="17" t="s">
        <v>1470</v>
      </c>
      <c r="F4412" s="20">
        <v>8274167</v>
      </c>
    </row>
    <row r="4413" spans="1:6" ht="16" customHeight="1" x14ac:dyDescent="0.2">
      <c r="A4413">
        <f>IFERROR(VLOOKUP(C4413,'GASB Match'!$D$2:$F$6042,3,FALSE),"")</f>
        <v>3413140</v>
      </c>
      <c r="B4413" s="17">
        <v>2019</v>
      </c>
      <c r="C4413" s="17" t="s">
        <v>1316</v>
      </c>
      <c r="D4413" s="17">
        <v>820</v>
      </c>
      <c r="E4413" s="17" t="s">
        <v>1470</v>
      </c>
      <c r="F4413" s="20">
        <v>10851255</v>
      </c>
    </row>
    <row r="4414" spans="1:6" ht="16" customHeight="1" x14ac:dyDescent="0.2">
      <c r="A4414">
        <f>IFERROR(VLOOKUP(C4414,'GASB Match'!$D$2:$F$6042,3,FALSE),"")</f>
        <v>3413140</v>
      </c>
      <c r="B4414" s="17">
        <v>2020</v>
      </c>
      <c r="C4414" s="21" t="s">
        <v>1316</v>
      </c>
      <c r="D4414" s="17">
        <v>820</v>
      </c>
      <c r="E4414" s="17" t="s">
        <v>1470</v>
      </c>
      <c r="F4414" s="23">
        <v>12047706</v>
      </c>
    </row>
    <row r="4415" spans="1:6" ht="16" customHeight="1" x14ac:dyDescent="0.2">
      <c r="A4415">
        <f>IFERROR(VLOOKUP(C4415,'GASB Match'!$D$2:$F$6042,3,FALSE),"")</f>
        <v>3413140</v>
      </c>
      <c r="B4415" s="17">
        <v>2021</v>
      </c>
      <c r="C4415" s="25" t="s">
        <v>1316</v>
      </c>
      <c r="D4415" s="17">
        <v>820</v>
      </c>
      <c r="E4415" s="17" t="s">
        <v>1470</v>
      </c>
      <c r="F4415" s="23">
        <v>15587295</v>
      </c>
    </row>
    <row r="4416" spans="1:6" ht="16" customHeight="1" x14ac:dyDescent="0.2">
      <c r="A4416">
        <f>IFERROR(VLOOKUP(C4416,'GASB Match'!$D$2:$F$6042,3,FALSE),"")</f>
        <v>3413140</v>
      </c>
      <c r="B4416" s="17">
        <v>2022</v>
      </c>
      <c r="C4416" s="21" t="s">
        <v>1316</v>
      </c>
      <c r="D4416" s="17">
        <v>820</v>
      </c>
      <c r="E4416" s="17" t="s">
        <v>1470</v>
      </c>
      <c r="F4416" s="23">
        <v>22289658</v>
      </c>
    </row>
    <row r="4417" spans="1:6" ht="16" customHeight="1" x14ac:dyDescent="0.2">
      <c r="A4417">
        <f>IFERROR(VLOOKUP(C4417,'GASB Match'!$D$2:$F$6042,3,FALSE),"")</f>
        <v>3413140</v>
      </c>
      <c r="B4417" s="17">
        <v>2023</v>
      </c>
      <c r="C4417" s="21" t="s">
        <v>1316</v>
      </c>
      <c r="D4417" s="17">
        <v>820</v>
      </c>
      <c r="E4417" s="17" t="s">
        <v>1470</v>
      </c>
      <c r="F4417" s="23">
        <v>21984541</v>
      </c>
    </row>
    <row r="4418" spans="1:6" ht="16" customHeight="1" x14ac:dyDescent="0.2">
      <c r="A4418">
        <f>IFERROR(VLOOKUP(C4418,'GASB Match'!$D$2:$F$6042,3,FALSE),"")</f>
        <v>3413140</v>
      </c>
      <c r="B4418" s="28">
        <v>2017</v>
      </c>
      <c r="C4418" s="29" t="s">
        <v>623</v>
      </c>
      <c r="D4418" s="17">
        <v>820</v>
      </c>
      <c r="E4418" s="17" t="s">
        <v>1427</v>
      </c>
      <c r="F4418" s="29">
        <v>5727047</v>
      </c>
    </row>
    <row r="4419" spans="1:6" ht="16" customHeight="1" x14ac:dyDescent="0.2">
      <c r="A4419">
        <f>IFERROR(VLOOKUP(C4419,'GASB Match'!$D$2:$F$6042,3,FALSE),"")</f>
        <v>3413200</v>
      </c>
      <c r="B4419" s="17">
        <v>2015</v>
      </c>
      <c r="C4419" s="17" t="s">
        <v>21</v>
      </c>
      <c r="D4419" s="17">
        <v>1010</v>
      </c>
      <c r="E4419" s="17" t="s">
        <v>1400</v>
      </c>
      <c r="F4419" s="20">
        <v>1612369</v>
      </c>
    </row>
    <row r="4420" spans="1:6" ht="16" customHeight="1" x14ac:dyDescent="0.2">
      <c r="A4420">
        <f>IFERROR(VLOOKUP(C4420,'GASB Match'!$D$2:$F$6042,3,FALSE),"")</f>
        <v>3413200</v>
      </c>
      <c r="B4420" s="17">
        <v>2016</v>
      </c>
      <c r="C4420" s="17" t="s">
        <v>21</v>
      </c>
      <c r="D4420" s="17">
        <v>1010</v>
      </c>
      <c r="E4420" s="17" t="s">
        <v>1400</v>
      </c>
      <c r="F4420" s="20">
        <v>2448213</v>
      </c>
    </row>
    <row r="4421" spans="1:6" ht="16" customHeight="1" x14ac:dyDescent="0.2">
      <c r="A4421">
        <f>IFERROR(VLOOKUP(C4421,'GASB Match'!$D$2:$F$6042,3,FALSE),"")</f>
        <v>3413200</v>
      </c>
      <c r="B4421" s="17">
        <v>2018</v>
      </c>
      <c r="C4421" s="17" t="s">
        <v>700</v>
      </c>
      <c r="D4421" s="17">
        <v>1010</v>
      </c>
      <c r="E4421" s="17" t="s">
        <v>1441</v>
      </c>
      <c r="F4421" s="20">
        <v>4680445</v>
      </c>
    </row>
    <row r="4422" spans="1:6" ht="16" customHeight="1" x14ac:dyDescent="0.2">
      <c r="A4422">
        <f>IFERROR(VLOOKUP(C4422,'GASB Match'!$D$2:$F$6042,3,FALSE),"")</f>
        <v>3413200</v>
      </c>
      <c r="B4422" s="17">
        <v>2019</v>
      </c>
      <c r="C4422" s="17" t="s">
        <v>700</v>
      </c>
      <c r="D4422" s="17">
        <v>1010</v>
      </c>
      <c r="E4422" s="17" t="s">
        <v>1441</v>
      </c>
      <c r="F4422" s="20">
        <v>5825056</v>
      </c>
    </row>
    <row r="4423" spans="1:6" ht="16" customHeight="1" x14ac:dyDescent="0.2">
      <c r="A4423">
        <f>IFERROR(VLOOKUP(C4423,'GASB Match'!$D$2:$F$6042,3,FALSE),"")</f>
        <v>3413200</v>
      </c>
      <c r="B4423" s="17">
        <v>2020</v>
      </c>
      <c r="C4423" s="21" t="s">
        <v>700</v>
      </c>
      <c r="D4423" s="17">
        <v>1010</v>
      </c>
      <c r="E4423" s="17" t="s">
        <v>1441</v>
      </c>
      <c r="F4423" s="23">
        <v>6123586</v>
      </c>
    </row>
    <row r="4424" spans="1:6" ht="16" customHeight="1" x14ac:dyDescent="0.2">
      <c r="A4424">
        <f>IFERROR(VLOOKUP(C4424,'GASB Match'!$D$2:$F$6042,3,FALSE),"")</f>
        <v>3413200</v>
      </c>
      <c r="B4424" s="17">
        <v>2021</v>
      </c>
      <c r="C4424" s="25" t="s">
        <v>700</v>
      </c>
      <c r="D4424" s="17">
        <v>1010</v>
      </c>
      <c r="E4424" s="17" t="s">
        <v>1441</v>
      </c>
      <c r="F4424" s="23">
        <v>8204879</v>
      </c>
    </row>
    <row r="4425" spans="1:6" ht="16" customHeight="1" x14ac:dyDescent="0.2">
      <c r="A4425">
        <f>IFERROR(VLOOKUP(C4425,'GASB Match'!$D$2:$F$6042,3,FALSE),"")</f>
        <v>3413200</v>
      </c>
      <c r="B4425" s="17">
        <v>2022</v>
      </c>
      <c r="C4425" s="21" t="s">
        <v>700</v>
      </c>
      <c r="D4425" s="17">
        <v>1010</v>
      </c>
      <c r="E4425" s="17" t="s">
        <v>1441</v>
      </c>
      <c r="F4425" s="23">
        <v>11397623</v>
      </c>
    </row>
    <row r="4426" spans="1:6" ht="16" customHeight="1" x14ac:dyDescent="0.2">
      <c r="A4426">
        <f>IFERROR(VLOOKUP(C4426,'GASB Match'!$D$2:$F$6042,3,FALSE),"")</f>
        <v>3413200</v>
      </c>
      <c r="B4426" s="17">
        <v>2023</v>
      </c>
      <c r="C4426" s="21" t="s">
        <v>700</v>
      </c>
      <c r="D4426" s="17">
        <v>1010</v>
      </c>
      <c r="E4426" s="17" t="s">
        <v>1441</v>
      </c>
      <c r="F4426" s="23">
        <v>11591386</v>
      </c>
    </row>
    <row r="4427" spans="1:6" ht="16" customHeight="1" x14ac:dyDescent="0.2">
      <c r="A4427">
        <f>IFERROR(VLOOKUP(C4427,'GASB Match'!$D$2:$F$6042,3,FALSE),"")</f>
        <v>3413200</v>
      </c>
      <c r="B4427" s="28">
        <v>2017</v>
      </c>
      <c r="C4427" s="29" t="s">
        <v>21</v>
      </c>
      <c r="D4427" s="17">
        <v>1010</v>
      </c>
      <c r="E4427" s="17" t="s">
        <v>1400</v>
      </c>
      <c r="F4427" s="29">
        <v>3453322</v>
      </c>
    </row>
    <row r="4428" spans="1:6" ht="16" customHeight="1" x14ac:dyDescent="0.2">
      <c r="A4428">
        <f>IFERROR(VLOOKUP(C4428,'GASB Match'!$D$2:$F$6042,3,FALSE),"")</f>
        <v>3413230</v>
      </c>
      <c r="B4428" s="17">
        <v>2015</v>
      </c>
      <c r="C4428" s="17" t="s">
        <v>514</v>
      </c>
      <c r="D4428" s="17">
        <v>527</v>
      </c>
      <c r="E4428" s="17" t="s">
        <v>1422</v>
      </c>
      <c r="F4428" s="20">
        <v>595708</v>
      </c>
    </row>
    <row r="4429" spans="1:6" ht="16" customHeight="1" x14ac:dyDescent="0.2">
      <c r="A4429">
        <f>IFERROR(VLOOKUP(C4429,'GASB Match'!$D$2:$F$6042,3,FALSE),"")</f>
        <v>3413230</v>
      </c>
      <c r="B4429" s="17">
        <v>2016</v>
      </c>
      <c r="C4429" s="17" t="s">
        <v>514</v>
      </c>
      <c r="D4429" s="17">
        <v>527</v>
      </c>
      <c r="E4429" s="17" t="s">
        <v>1422</v>
      </c>
      <c r="F4429" s="20">
        <v>882473</v>
      </c>
    </row>
    <row r="4430" spans="1:6" ht="16" customHeight="1" x14ac:dyDescent="0.2">
      <c r="A4430">
        <f>IFERROR(VLOOKUP(C4430,'GASB Match'!$D$2:$F$6042,3,FALSE),"")</f>
        <v>3413230</v>
      </c>
      <c r="B4430" s="17">
        <v>2018</v>
      </c>
      <c r="C4430" s="17" t="s">
        <v>1206</v>
      </c>
      <c r="D4430" s="17">
        <v>527</v>
      </c>
      <c r="E4430" s="17" t="s">
        <v>1465</v>
      </c>
      <c r="F4430" s="20">
        <v>1664158</v>
      </c>
    </row>
    <row r="4431" spans="1:6" ht="16" customHeight="1" x14ac:dyDescent="0.2">
      <c r="A4431">
        <f>IFERROR(VLOOKUP(C4431,'GASB Match'!$D$2:$F$6042,3,FALSE),"")</f>
        <v>3413230</v>
      </c>
      <c r="B4431" s="17">
        <v>2019</v>
      </c>
      <c r="C4431" s="17" t="s">
        <v>1206</v>
      </c>
      <c r="D4431" s="17">
        <v>527</v>
      </c>
      <c r="E4431" s="17" t="s">
        <v>1465</v>
      </c>
      <c r="F4431" s="20">
        <v>2305026</v>
      </c>
    </row>
    <row r="4432" spans="1:6" ht="16" customHeight="1" x14ac:dyDescent="0.2">
      <c r="A4432">
        <f>IFERROR(VLOOKUP(C4432,'GASB Match'!$D$2:$F$6042,3,FALSE),"")</f>
        <v>3413230</v>
      </c>
      <c r="B4432" s="17">
        <v>2020</v>
      </c>
      <c r="C4432" s="21" t="s">
        <v>1206</v>
      </c>
      <c r="D4432" s="17">
        <v>527</v>
      </c>
      <c r="E4432" s="17" t="s">
        <v>1465</v>
      </c>
      <c r="F4432" s="23">
        <v>2631928</v>
      </c>
    </row>
    <row r="4433" spans="1:6" ht="16" customHeight="1" x14ac:dyDescent="0.2">
      <c r="A4433">
        <f>IFERROR(VLOOKUP(C4433,'GASB Match'!$D$2:$F$6042,3,FALSE),"")</f>
        <v>3413230</v>
      </c>
      <c r="B4433" s="17">
        <v>2021</v>
      </c>
      <c r="C4433" s="25" t="s">
        <v>1206</v>
      </c>
      <c r="D4433" s="17">
        <v>527</v>
      </c>
      <c r="E4433" s="17" t="s">
        <v>1465</v>
      </c>
      <c r="F4433" s="23">
        <v>3334847</v>
      </c>
    </row>
    <row r="4434" spans="1:6" ht="16" customHeight="1" x14ac:dyDescent="0.2">
      <c r="A4434">
        <f>IFERROR(VLOOKUP(C4434,'GASB Match'!$D$2:$F$6042,3,FALSE),"")</f>
        <v>3413230</v>
      </c>
      <c r="B4434" s="17">
        <v>2022</v>
      </c>
      <c r="C4434" s="21" t="s">
        <v>1206</v>
      </c>
      <c r="D4434" s="17">
        <v>527</v>
      </c>
      <c r="E4434" s="17" t="s">
        <v>1465</v>
      </c>
      <c r="F4434" s="23">
        <v>4418118</v>
      </c>
    </row>
    <row r="4435" spans="1:6" ht="16" customHeight="1" x14ac:dyDescent="0.2">
      <c r="A4435">
        <f>IFERROR(VLOOKUP(C4435,'GASB Match'!$D$2:$F$6042,3,FALSE),"")</f>
        <v>3413230</v>
      </c>
      <c r="B4435" s="17">
        <v>2023</v>
      </c>
      <c r="C4435" s="21" t="s">
        <v>1206</v>
      </c>
      <c r="D4435" s="17">
        <v>527</v>
      </c>
      <c r="E4435" s="17" t="s">
        <v>1465</v>
      </c>
      <c r="F4435" s="23">
        <v>3973956</v>
      </c>
    </row>
    <row r="4436" spans="1:6" ht="16" customHeight="1" x14ac:dyDescent="0.2">
      <c r="A4436">
        <f>IFERROR(VLOOKUP(C4436,'GASB Match'!$D$2:$F$6042,3,FALSE),"")</f>
        <v>3413230</v>
      </c>
      <c r="B4436" s="28">
        <v>2017</v>
      </c>
      <c r="C4436" s="29" t="s">
        <v>514</v>
      </c>
      <c r="D4436" s="17">
        <v>527</v>
      </c>
      <c r="E4436" s="17" t="s">
        <v>1422</v>
      </c>
      <c r="F4436" s="29">
        <v>1226547</v>
      </c>
    </row>
    <row r="4437" spans="1:6" ht="16" customHeight="1" x14ac:dyDescent="0.2">
      <c r="A4437">
        <f>IFERROR(VLOOKUP(C4437,'GASB Match'!$D$2:$F$6042,3,FALSE),"")</f>
        <v>3413260</v>
      </c>
      <c r="B4437" s="17">
        <v>2015</v>
      </c>
      <c r="C4437" s="17" t="s">
        <v>654</v>
      </c>
      <c r="D4437" s="17">
        <v>931</v>
      </c>
      <c r="E4437" s="17" t="s">
        <v>1429</v>
      </c>
      <c r="F4437" s="20">
        <v>125242</v>
      </c>
    </row>
    <row r="4438" spans="1:6" ht="16" customHeight="1" x14ac:dyDescent="0.2">
      <c r="A4438">
        <f>IFERROR(VLOOKUP(C4438,'GASB Match'!$D$2:$F$6042,3,FALSE),"")</f>
        <v>3413260</v>
      </c>
      <c r="B4438" s="17">
        <v>2016</v>
      </c>
      <c r="C4438" s="17" t="s">
        <v>654</v>
      </c>
      <c r="D4438" s="17">
        <v>931</v>
      </c>
      <c r="E4438" s="17" t="s">
        <v>1429</v>
      </c>
      <c r="F4438" s="20">
        <v>200694</v>
      </c>
    </row>
    <row r="4439" spans="1:6" ht="16" customHeight="1" x14ac:dyDescent="0.2">
      <c r="A4439">
        <f>IFERROR(VLOOKUP(C4439,'GASB Match'!$D$2:$F$6042,3,FALSE),"")</f>
        <v>3413260</v>
      </c>
      <c r="B4439" s="17">
        <v>2018</v>
      </c>
      <c r="C4439" s="17" t="s">
        <v>1347</v>
      </c>
      <c r="D4439" s="17">
        <v>931</v>
      </c>
      <c r="E4439" s="17" t="s">
        <v>1472</v>
      </c>
      <c r="F4439" s="20">
        <v>353915</v>
      </c>
    </row>
    <row r="4440" spans="1:6" ht="16" customHeight="1" x14ac:dyDescent="0.2">
      <c r="A4440">
        <f>IFERROR(VLOOKUP(C4440,'GASB Match'!$D$2:$F$6042,3,FALSE),"")</f>
        <v>3413260</v>
      </c>
      <c r="B4440" s="17">
        <v>2019</v>
      </c>
      <c r="C4440" s="17" t="s">
        <v>1347</v>
      </c>
      <c r="D4440" s="17">
        <v>931</v>
      </c>
      <c r="E4440" s="17" t="s">
        <v>1472</v>
      </c>
      <c r="F4440" s="20">
        <v>457599</v>
      </c>
    </row>
    <row r="4441" spans="1:6" ht="16" customHeight="1" x14ac:dyDescent="0.2">
      <c r="A4441">
        <f>IFERROR(VLOOKUP(C4441,'GASB Match'!$D$2:$F$6042,3,FALSE),"")</f>
        <v>3413260</v>
      </c>
      <c r="B4441" s="17">
        <v>2020</v>
      </c>
      <c r="C4441" s="21" t="s">
        <v>1347</v>
      </c>
      <c r="D4441" s="17">
        <v>931</v>
      </c>
      <c r="E4441" s="17" t="s">
        <v>1472</v>
      </c>
      <c r="F4441" s="23">
        <v>519377</v>
      </c>
    </row>
    <row r="4442" spans="1:6" ht="16" customHeight="1" x14ac:dyDescent="0.2">
      <c r="A4442">
        <f>IFERROR(VLOOKUP(C4442,'GASB Match'!$D$2:$F$6042,3,FALSE),"")</f>
        <v>3413260</v>
      </c>
      <c r="B4442" s="17">
        <v>2021</v>
      </c>
      <c r="C4442" s="25" t="s">
        <v>1347</v>
      </c>
      <c r="D4442" s="17">
        <v>931</v>
      </c>
      <c r="E4442" s="17" t="s">
        <v>1472</v>
      </c>
      <c r="F4442" s="23">
        <v>687374</v>
      </c>
    </row>
    <row r="4443" spans="1:6" ht="16" customHeight="1" x14ac:dyDescent="0.2">
      <c r="A4443">
        <f>IFERROR(VLOOKUP(C4443,'GASB Match'!$D$2:$F$6042,3,FALSE),"")</f>
        <v>3413260</v>
      </c>
      <c r="B4443" s="17">
        <v>2022</v>
      </c>
      <c r="C4443" s="21" t="s">
        <v>1347</v>
      </c>
      <c r="D4443" s="17">
        <v>931</v>
      </c>
      <c r="E4443" s="17" t="s">
        <v>1472</v>
      </c>
      <c r="F4443" s="23">
        <v>1068819</v>
      </c>
    </row>
    <row r="4444" spans="1:6" ht="16" customHeight="1" x14ac:dyDescent="0.2">
      <c r="A4444">
        <f>IFERROR(VLOOKUP(C4444,'GASB Match'!$D$2:$F$6042,3,FALSE),"")</f>
        <v>3413260</v>
      </c>
      <c r="B4444" s="17">
        <v>2023</v>
      </c>
      <c r="C4444" s="21" t="s">
        <v>1347</v>
      </c>
      <c r="D4444" s="17">
        <v>931</v>
      </c>
      <c r="E4444" s="17" t="s">
        <v>1472</v>
      </c>
      <c r="F4444" s="23">
        <v>946980</v>
      </c>
    </row>
    <row r="4445" spans="1:6" ht="16" customHeight="1" x14ac:dyDescent="0.2">
      <c r="A4445">
        <f>IFERROR(VLOOKUP(C4445,'GASB Match'!$D$2:$F$6042,3,FALSE),"")</f>
        <v>3413260</v>
      </c>
      <c r="B4445" s="28">
        <v>2017</v>
      </c>
      <c r="C4445" s="29" t="s">
        <v>654</v>
      </c>
      <c r="D4445" s="17">
        <v>931</v>
      </c>
      <c r="E4445" s="17" t="s">
        <v>1429</v>
      </c>
      <c r="F4445" s="29">
        <v>280590</v>
      </c>
    </row>
    <row r="4446" spans="1:6" ht="16" customHeight="1" x14ac:dyDescent="0.2">
      <c r="A4446">
        <f>IFERROR(VLOOKUP(C4446,'GASB Match'!$D$2:$F$6042,3,FALSE),"")</f>
        <v>3413320</v>
      </c>
      <c r="B4446" s="17">
        <v>2015</v>
      </c>
      <c r="C4446" s="17" t="s">
        <v>515</v>
      </c>
      <c r="D4446" s="17">
        <v>529</v>
      </c>
      <c r="E4446" s="17" t="s">
        <v>1422</v>
      </c>
      <c r="F4446" s="20">
        <v>344620</v>
      </c>
    </row>
    <row r="4447" spans="1:6" ht="16" customHeight="1" x14ac:dyDescent="0.2">
      <c r="A4447">
        <f>IFERROR(VLOOKUP(C4447,'GASB Match'!$D$2:$F$6042,3,FALSE),"")</f>
        <v>3413320</v>
      </c>
      <c r="B4447" s="17">
        <v>2016</v>
      </c>
      <c r="C4447" s="17" t="s">
        <v>515</v>
      </c>
      <c r="D4447" s="17">
        <v>529</v>
      </c>
      <c r="E4447" s="17" t="s">
        <v>1422</v>
      </c>
      <c r="F4447" s="20">
        <v>510328</v>
      </c>
    </row>
    <row r="4448" spans="1:6" ht="16" customHeight="1" x14ac:dyDescent="0.2">
      <c r="A4448">
        <f>IFERROR(VLOOKUP(C4448,'GASB Match'!$D$2:$F$6042,3,FALSE),"")</f>
        <v>3413320</v>
      </c>
      <c r="B4448" s="17">
        <v>2018</v>
      </c>
      <c r="C4448" s="17" t="s">
        <v>1207</v>
      </c>
      <c r="D4448" s="17">
        <v>529</v>
      </c>
      <c r="E4448" s="17" t="s">
        <v>1465</v>
      </c>
      <c r="F4448" s="20">
        <v>950701</v>
      </c>
    </row>
    <row r="4449" spans="1:6" ht="16" customHeight="1" x14ac:dyDescent="0.2">
      <c r="A4449">
        <f>IFERROR(VLOOKUP(C4449,'GASB Match'!$D$2:$F$6042,3,FALSE),"")</f>
        <v>3413320</v>
      </c>
      <c r="B4449" s="17">
        <v>2019</v>
      </c>
      <c r="C4449" s="17" t="s">
        <v>1207</v>
      </c>
      <c r="D4449" s="17">
        <v>529</v>
      </c>
      <c r="E4449" s="17" t="s">
        <v>1465</v>
      </c>
      <c r="F4449" s="20">
        <v>1328221</v>
      </c>
    </row>
    <row r="4450" spans="1:6" ht="16" customHeight="1" x14ac:dyDescent="0.2">
      <c r="A4450">
        <f>IFERROR(VLOOKUP(C4450,'GASB Match'!$D$2:$F$6042,3,FALSE),"")</f>
        <v>3413320</v>
      </c>
      <c r="B4450" s="17">
        <v>2020</v>
      </c>
      <c r="C4450" s="21" t="s">
        <v>1207</v>
      </c>
      <c r="D4450" s="17">
        <v>529</v>
      </c>
      <c r="E4450" s="17" t="s">
        <v>1465</v>
      </c>
      <c r="F4450" s="23">
        <v>1476023</v>
      </c>
    </row>
    <row r="4451" spans="1:6" ht="16" customHeight="1" x14ac:dyDescent="0.2">
      <c r="A4451">
        <f>IFERROR(VLOOKUP(C4451,'GASB Match'!$D$2:$F$6042,3,FALSE),"")</f>
        <v>3413320</v>
      </c>
      <c r="B4451" s="17">
        <v>2021</v>
      </c>
      <c r="C4451" s="25" t="s">
        <v>1207</v>
      </c>
      <c r="D4451" s="17">
        <v>529</v>
      </c>
      <c r="E4451" s="17" t="s">
        <v>1465</v>
      </c>
      <c r="F4451" s="23">
        <v>1863536</v>
      </c>
    </row>
    <row r="4452" spans="1:6" ht="16" customHeight="1" x14ac:dyDescent="0.2">
      <c r="A4452">
        <f>IFERROR(VLOOKUP(C4452,'GASB Match'!$D$2:$F$6042,3,FALSE),"")</f>
        <v>3413320</v>
      </c>
      <c r="B4452" s="17">
        <v>2022</v>
      </c>
      <c r="C4452" s="21" t="s">
        <v>1207</v>
      </c>
      <c r="D4452" s="17">
        <v>529</v>
      </c>
      <c r="E4452" s="17" t="s">
        <v>1465</v>
      </c>
      <c r="F4452" s="23">
        <v>2651639</v>
      </c>
    </row>
    <row r="4453" spans="1:6" ht="16" customHeight="1" x14ac:dyDescent="0.2">
      <c r="A4453">
        <f>IFERROR(VLOOKUP(C4453,'GASB Match'!$D$2:$F$6042,3,FALSE),"")</f>
        <v>3413320</v>
      </c>
      <c r="B4453" s="17">
        <v>2023</v>
      </c>
      <c r="C4453" s="21" t="s">
        <v>1207</v>
      </c>
      <c r="D4453" s="17">
        <v>529</v>
      </c>
      <c r="E4453" s="17" t="s">
        <v>1465</v>
      </c>
      <c r="F4453" s="23">
        <v>2598247</v>
      </c>
    </row>
    <row r="4454" spans="1:6" ht="16" customHeight="1" x14ac:dyDescent="0.2">
      <c r="A4454">
        <f>IFERROR(VLOOKUP(C4454,'GASB Match'!$D$2:$F$6042,3,FALSE),"")</f>
        <v>3413320</v>
      </c>
      <c r="B4454" s="28">
        <v>2017</v>
      </c>
      <c r="C4454" s="29" t="s">
        <v>515</v>
      </c>
      <c r="D4454" s="17">
        <v>529</v>
      </c>
      <c r="E4454" s="17" t="s">
        <v>1422</v>
      </c>
      <c r="F4454" s="29">
        <v>729665</v>
      </c>
    </row>
    <row r="4455" spans="1:6" ht="16" customHeight="1" x14ac:dyDescent="0.2">
      <c r="A4455">
        <f>IFERROR(VLOOKUP(C4455,'GASB Match'!$D$2:$F$6042,3,FALSE),"")</f>
        <v>3413290</v>
      </c>
      <c r="B4455" s="17">
        <v>2015</v>
      </c>
      <c r="C4455" s="17" t="s">
        <v>516</v>
      </c>
      <c r="D4455" s="17">
        <v>528</v>
      </c>
      <c r="E4455" s="17" t="s">
        <v>1422</v>
      </c>
      <c r="F4455" s="20">
        <v>957262</v>
      </c>
    </row>
    <row r="4456" spans="1:6" ht="16" customHeight="1" x14ac:dyDescent="0.2">
      <c r="A4456">
        <f>IFERROR(VLOOKUP(C4456,'GASB Match'!$D$2:$F$6042,3,FALSE),"")</f>
        <v>3413290</v>
      </c>
      <c r="B4456" s="17">
        <v>2016</v>
      </c>
      <c r="C4456" s="17" t="s">
        <v>516</v>
      </c>
      <c r="D4456" s="17">
        <v>528</v>
      </c>
      <c r="E4456" s="17" t="s">
        <v>1422</v>
      </c>
      <c r="F4456" s="20">
        <v>1425738</v>
      </c>
    </row>
    <row r="4457" spans="1:6" ht="16" customHeight="1" x14ac:dyDescent="0.2">
      <c r="A4457">
        <f>IFERROR(VLOOKUP(C4457,'GASB Match'!$D$2:$F$6042,3,FALSE),"")</f>
        <v>3413290</v>
      </c>
      <c r="B4457" s="17">
        <v>2018</v>
      </c>
      <c r="C4457" s="17" t="s">
        <v>1208</v>
      </c>
      <c r="D4457" s="17">
        <v>528</v>
      </c>
      <c r="E4457" s="17" t="s">
        <v>1465</v>
      </c>
      <c r="F4457" s="20">
        <v>2727789</v>
      </c>
    </row>
    <row r="4458" spans="1:6" ht="16" customHeight="1" x14ac:dyDescent="0.2">
      <c r="A4458">
        <f>IFERROR(VLOOKUP(C4458,'GASB Match'!$D$2:$F$6042,3,FALSE),"")</f>
        <v>3413290</v>
      </c>
      <c r="B4458" s="17">
        <v>2019</v>
      </c>
      <c r="C4458" s="17" t="s">
        <v>1208</v>
      </c>
      <c r="D4458" s="17">
        <v>528</v>
      </c>
      <c r="E4458" s="17" t="s">
        <v>1465</v>
      </c>
      <c r="F4458" s="20">
        <v>3638066</v>
      </c>
    </row>
    <row r="4459" spans="1:6" ht="16" customHeight="1" x14ac:dyDescent="0.2">
      <c r="A4459">
        <f>IFERROR(VLOOKUP(C4459,'GASB Match'!$D$2:$F$6042,3,FALSE),"")</f>
        <v>3413290</v>
      </c>
      <c r="B4459" s="17">
        <v>2020</v>
      </c>
      <c r="C4459" s="21" t="s">
        <v>1208</v>
      </c>
      <c r="D4459" s="17">
        <v>528</v>
      </c>
      <c r="E4459" s="17" t="s">
        <v>1465</v>
      </c>
      <c r="F4459" s="23">
        <v>4088073</v>
      </c>
    </row>
    <row r="4460" spans="1:6" ht="16" customHeight="1" x14ac:dyDescent="0.2">
      <c r="A4460">
        <f>IFERROR(VLOOKUP(C4460,'GASB Match'!$D$2:$F$6042,3,FALSE),"")</f>
        <v>3413290</v>
      </c>
      <c r="B4460" s="17">
        <v>2021</v>
      </c>
      <c r="C4460" s="25" t="s">
        <v>1208</v>
      </c>
      <c r="D4460" s="17">
        <v>528</v>
      </c>
      <c r="E4460" s="17" t="s">
        <v>1465</v>
      </c>
      <c r="F4460" s="23">
        <v>5376769</v>
      </c>
    </row>
    <row r="4461" spans="1:6" ht="16" customHeight="1" x14ac:dyDescent="0.2">
      <c r="A4461">
        <f>IFERROR(VLOOKUP(C4461,'GASB Match'!$D$2:$F$6042,3,FALSE),"")</f>
        <v>3413290</v>
      </c>
      <c r="B4461" s="17">
        <v>2022</v>
      </c>
      <c r="C4461" s="21" t="s">
        <v>1208</v>
      </c>
      <c r="D4461" s="17">
        <v>528</v>
      </c>
      <c r="E4461" s="17" t="s">
        <v>1465</v>
      </c>
      <c r="F4461" s="23">
        <v>7585923</v>
      </c>
    </row>
    <row r="4462" spans="1:6" ht="16" customHeight="1" x14ac:dyDescent="0.2">
      <c r="A4462">
        <f>IFERROR(VLOOKUP(C4462,'GASB Match'!$D$2:$F$6042,3,FALSE),"")</f>
        <v>3413290</v>
      </c>
      <c r="B4462" s="17">
        <v>2023</v>
      </c>
      <c r="C4462" s="21" t="s">
        <v>1208</v>
      </c>
      <c r="D4462" s="17">
        <v>528</v>
      </c>
      <c r="E4462" s="17" t="s">
        <v>1465</v>
      </c>
      <c r="F4462" s="23">
        <v>7569330</v>
      </c>
    </row>
    <row r="4463" spans="1:6" ht="16" customHeight="1" x14ac:dyDescent="0.2">
      <c r="A4463">
        <f>IFERROR(VLOOKUP(C4463,'GASB Match'!$D$2:$F$6042,3,FALSE),"")</f>
        <v>3413290</v>
      </c>
      <c r="B4463" s="28">
        <v>2017</v>
      </c>
      <c r="C4463" s="29" t="s">
        <v>516</v>
      </c>
      <c r="D4463" s="17">
        <v>528</v>
      </c>
      <c r="E4463" s="17" t="s">
        <v>1422</v>
      </c>
      <c r="F4463" s="29">
        <v>2006210</v>
      </c>
    </row>
    <row r="4464" spans="1:6" ht="16" customHeight="1" x14ac:dyDescent="0.2">
      <c r="A4464">
        <f>IFERROR(VLOOKUP(C4464,'GASB Match'!$D$2:$F$6042,3,FALSE),"")</f>
        <v>3413350</v>
      </c>
      <c r="B4464" s="17">
        <v>2015</v>
      </c>
      <c r="C4464" s="17" t="s">
        <v>541</v>
      </c>
      <c r="D4464" s="17">
        <v>636</v>
      </c>
      <c r="E4464" s="17" t="s">
        <v>1423</v>
      </c>
      <c r="F4464" s="20">
        <v>731176</v>
      </c>
    </row>
    <row r="4465" spans="1:6" ht="16" customHeight="1" x14ac:dyDescent="0.2">
      <c r="A4465">
        <f>IFERROR(VLOOKUP(C4465,'GASB Match'!$D$2:$F$6042,3,FALSE),"")</f>
        <v>3413350</v>
      </c>
      <c r="B4465" s="17">
        <v>2016</v>
      </c>
      <c r="C4465" s="17" t="s">
        <v>541</v>
      </c>
      <c r="D4465" s="17">
        <v>636</v>
      </c>
      <c r="E4465" s="17" t="s">
        <v>1423</v>
      </c>
      <c r="F4465" s="20">
        <v>1139390</v>
      </c>
    </row>
    <row r="4466" spans="1:6" ht="16" customHeight="1" x14ac:dyDescent="0.2">
      <c r="A4466">
        <f>IFERROR(VLOOKUP(C4466,'GASB Match'!$D$2:$F$6042,3,FALSE),"")</f>
        <v>3413350</v>
      </c>
      <c r="B4466" s="17">
        <v>2018</v>
      </c>
      <c r="C4466" s="17" t="s">
        <v>1233</v>
      </c>
      <c r="D4466" s="17">
        <v>636</v>
      </c>
      <c r="E4466" s="17" t="s">
        <v>1466</v>
      </c>
      <c r="F4466" s="20">
        <v>2142488</v>
      </c>
    </row>
    <row r="4467" spans="1:6" ht="16" customHeight="1" x14ac:dyDescent="0.2">
      <c r="A4467">
        <f>IFERROR(VLOOKUP(C4467,'GASB Match'!$D$2:$F$6042,3,FALSE),"")</f>
        <v>3413350</v>
      </c>
      <c r="B4467" s="17">
        <v>2019</v>
      </c>
      <c r="C4467" s="17" t="s">
        <v>1233</v>
      </c>
      <c r="D4467" s="17">
        <v>636</v>
      </c>
      <c r="E4467" s="17" t="s">
        <v>1466</v>
      </c>
      <c r="F4467" s="20">
        <v>2882488</v>
      </c>
    </row>
    <row r="4468" spans="1:6" ht="16" customHeight="1" x14ac:dyDescent="0.2">
      <c r="A4468">
        <f>IFERROR(VLOOKUP(C4468,'GASB Match'!$D$2:$F$6042,3,FALSE),"")</f>
        <v>3413350</v>
      </c>
      <c r="B4468" s="17">
        <v>2020</v>
      </c>
      <c r="C4468" s="21" t="s">
        <v>1233</v>
      </c>
      <c r="D4468" s="17">
        <v>636</v>
      </c>
      <c r="E4468" s="17" t="s">
        <v>1466</v>
      </c>
      <c r="F4468" s="23">
        <v>3283148</v>
      </c>
    </row>
    <row r="4469" spans="1:6" ht="16" customHeight="1" x14ac:dyDescent="0.2">
      <c r="A4469">
        <f>IFERROR(VLOOKUP(C4469,'GASB Match'!$D$2:$F$6042,3,FALSE),"")</f>
        <v>3413350</v>
      </c>
      <c r="B4469" s="17">
        <v>2021</v>
      </c>
      <c r="C4469" s="25" t="s">
        <v>1233</v>
      </c>
      <c r="D4469" s="17">
        <v>636</v>
      </c>
      <c r="E4469" s="17" t="s">
        <v>1466</v>
      </c>
      <c r="F4469" s="23">
        <v>4042489</v>
      </c>
    </row>
    <row r="4470" spans="1:6" ht="16" customHeight="1" x14ac:dyDescent="0.2">
      <c r="A4470">
        <f>IFERROR(VLOOKUP(C4470,'GASB Match'!$D$2:$F$6042,3,FALSE),"")</f>
        <v>3413350</v>
      </c>
      <c r="B4470" s="17">
        <v>2022</v>
      </c>
      <c r="C4470" s="21" t="s">
        <v>1233</v>
      </c>
      <c r="D4470" s="17">
        <v>636</v>
      </c>
      <c r="E4470" s="17" t="s">
        <v>1466</v>
      </c>
      <c r="F4470" s="23">
        <v>5757943</v>
      </c>
    </row>
    <row r="4471" spans="1:6" ht="16" customHeight="1" x14ac:dyDescent="0.2">
      <c r="A4471">
        <f>IFERROR(VLOOKUP(C4471,'GASB Match'!$D$2:$F$6042,3,FALSE),"")</f>
        <v>3413350</v>
      </c>
      <c r="B4471" s="17">
        <v>2023</v>
      </c>
      <c r="C4471" s="21" t="s">
        <v>1233</v>
      </c>
      <c r="D4471" s="17">
        <v>636</v>
      </c>
      <c r="E4471" s="17" t="s">
        <v>1466</v>
      </c>
      <c r="F4471" s="23">
        <v>5909220</v>
      </c>
    </row>
    <row r="4472" spans="1:6" ht="16" customHeight="1" x14ac:dyDescent="0.2">
      <c r="A4472">
        <f>IFERROR(VLOOKUP(C4472,'GASB Match'!$D$2:$F$6042,3,FALSE),"")</f>
        <v>3413350</v>
      </c>
      <c r="B4472" s="28">
        <v>2017</v>
      </c>
      <c r="C4472" s="29" t="s">
        <v>541</v>
      </c>
      <c r="D4472" s="17">
        <v>636</v>
      </c>
      <c r="E4472" s="17" t="s">
        <v>1423</v>
      </c>
      <c r="F4472" s="29">
        <v>1608619</v>
      </c>
    </row>
    <row r="4473" spans="1:6" ht="16" customHeight="1" x14ac:dyDescent="0.2">
      <c r="A4473">
        <f>IFERROR(VLOOKUP(C4473,'GASB Match'!$D$2:$F$6042,3,FALSE),"")</f>
        <v>3413380</v>
      </c>
      <c r="B4473" s="17">
        <v>2015</v>
      </c>
      <c r="C4473" s="17" t="s">
        <v>22</v>
      </c>
      <c r="D4473" s="17">
        <v>1091</v>
      </c>
      <c r="E4473" s="17" t="s">
        <v>1400</v>
      </c>
      <c r="F4473" s="20">
        <v>51976</v>
      </c>
    </row>
    <row r="4474" spans="1:6" ht="16" customHeight="1" x14ac:dyDescent="0.2">
      <c r="A4474">
        <f>IFERROR(VLOOKUP(C4474,'GASB Match'!$D$2:$F$6042,3,FALSE),"")</f>
        <v>3413380</v>
      </c>
      <c r="B4474" s="17">
        <v>2016</v>
      </c>
      <c r="C4474" s="17" t="s">
        <v>22</v>
      </c>
      <c r="D4474" s="17">
        <v>1091</v>
      </c>
      <c r="E4474" s="17" t="s">
        <v>1400</v>
      </c>
      <c r="F4474" s="20">
        <v>70677</v>
      </c>
    </row>
    <row r="4475" spans="1:6" ht="16" customHeight="1" x14ac:dyDescent="0.2">
      <c r="A4475">
        <f>IFERROR(VLOOKUP(C4475,'GASB Match'!$D$2:$F$6042,3,FALSE),"")</f>
        <v>3413380</v>
      </c>
      <c r="B4475" s="17">
        <v>2018</v>
      </c>
      <c r="C4475" s="17" t="s">
        <v>701</v>
      </c>
      <c r="D4475" s="17">
        <v>1091</v>
      </c>
      <c r="E4475" s="17" t="s">
        <v>1441</v>
      </c>
      <c r="F4475" s="20">
        <v>123817</v>
      </c>
    </row>
    <row r="4476" spans="1:6" ht="16" customHeight="1" x14ac:dyDescent="0.2">
      <c r="A4476">
        <f>IFERROR(VLOOKUP(C4476,'GASB Match'!$D$2:$F$6042,3,FALSE),"")</f>
        <v>3413380</v>
      </c>
      <c r="B4476" s="17">
        <v>2019</v>
      </c>
      <c r="C4476" s="17" t="s">
        <v>701</v>
      </c>
      <c r="D4476" s="17">
        <v>1091</v>
      </c>
      <c r="E4476" s="17" t="s">
        <v>1441</v>
      </c>
      <c r="F4476" s="20">
        <v>169894</v>
      </c>
    </row>
    <row r="4477" spans="1:6" ht="16" customHeight="1" x14ac:dyDescent="0.2">
      <c r="A4477">
        <f>IFERROR(VLOOKUP(C4477,'GASB Match'!$D$2:$F$6042,3,FALSE),"")</f>
        <v>3413380</v>
      </c>
      <c r="B4477" s="17">
        <v>2020</v>
      </c>
      <c r="C4477" s="21" t="s">
        <v>701</v>
      </c>
      <c r="D4477" s="17">
        <v>1091</v>
      </c>
      <c r="E4477" s="17" t="s">
        <v>1441</v>
      </c>
      <c r="F4477" s="23">
        <v>177672</v>
      </c>
    </row>
    <row r="4478" spans="1:6" ht="16" customHeight="1" x14ac:dyDescent="0.2">
      <c r="A4478">
        <f>IFERROR(VLOOKUP(C4478,'GASB Match'!$D$2:$F$6042,3,FALSE),"")</f>
        <v>3413380</v>
      </c>
      <c r="B4478" s="17">
        <v>2021</v>
      </c>
      <c r="C4478" s="25" t="s">
        <v>701</v>
      </c>
      <c r="D4478" s="17">
        <v>1091</v>
      </c>
      <c r="E4478" s="17" t="s">
        <v>1441</v>
      </c>
      <c r="F4478" s="23">
        <v>260460</v>
      </c>
    </row>
    <row r="4479" spans="1:6" ht="16" customHeight="1" x14ac:dyDescent="0.2">
      <c r="A4479">
        <f>IFERROR(VLOOKUP(C4479,'GASB Match'!$D$2:$F$6042,3,FALSE),"")</f>
        <v>3413380</v>
      </c>
      <c r="B4479" s="17">
        <v>2022</v>
      </c>
      <c r="C4479" s="21" t="s">
        <v>701</v>
      </c>
      <c r="D4479" s="17">
        <v>1091</v>
      </c>
      <c r="E4479" s="17" t="s">
        <v>1441</v>
      </c>
      <c r="F4479" s="23">
        <v>397710</v>
      </c>
    </row>
    <row r="4480" spans="1:6" ht="16" customHeight="1" x14ac:dyDescent="0.2">
      <c r="A4480">
        <f>IFERROR(VLOOKUP(C4480,'GASB Match'!$D$2:$F$6042,3,FALSE),"")</f>
        <v>3413380</v>
      </c>
      <c r="B4480" s="17">
        <v>2023</v>
      </c>
      <c r="C4480" s="21" t="s">
        <v>701</v>
      </c>
      <c r="D4480" s="17">
        <v>1091</v>
      </c>
      <c r="E4480" s="17" t="s">
        <v>1441</v>
      </c>
      <c r="F4480" s="23">
        <v>357184</v>
      </c>
    </row>
    <row r="4481" spans="1:6" ht="16" customHeight="1" x14ac:dyDescent="0.2">
      <c r="A4481">
        <f>IFERROR(VLOOKUP(C4481,'GASB Match'!$D$2:$F$6042,3,FALSE),"")</f>
        <v>3413380</v>
      </c>
      <c r="B4481" s="28">
        <v>2017</v>
      </c>
      <c r="C4481" s="29" t="s">
        <v>22</v>
      </c>
      <c r="D4481" s="17">
        <v>1091</v>
      </c>
      <c r="E4481" s="17" t="s">
        <v>1400</v>
      </c>
      <c r="F4481" s="29">
        <v>95261</v>
      </c>
    </row>
    <row r="4482" spans="1:6" ht="16" customHeight="1" x14ac:dyDescent="0.2">
      <c r="A4482">
        <f>IFERROR(VLOOKUP(C4482,'GASB Match'!$D$2:$F$6042,3,FALSE),"")</f>
        <v>3400719</v>
      </c>
      <c r="B4482" s="17">
        <v>2015</v>
      </c>
      <c r="C4482" s="17" t="s">
        <v>261</v>
      </c>
      <c r="D4482" s="17">
        <v>6098</v>
      </c>
      <c r="E4482" s="17" t="s">
        <v>1411</v>
      </c>
      <c r="F4482" s="20">
        <v>113177</v>
      </c>
    </row>
    <row r="4483" spans="1:6" ht="16" customHeight="1" x14ac:dyDescent="0.2">
      <c r="A4483">
        <f>IFERROR(VLOOKUP(C4483,'GASB Match'!$D$2:$F$6042,3,FALSE),"")</f>
        <v>3400719</v>
      </c>
      <c r="B4483" s="17">
        <v>2016</v>
      </c>
      <c r="C4483" s="17" t="s">
        <v>261</v>
      </c>
      <c r="D4483" s="17">
        <v>6098</v>
      </c>
      <c r="E4483" s="17" t="s">
        <v>1411</v>
      </c>
      <c r="F4483" s="20">
        <v>164610</v>
      </c>
    </row>
    <row r="4484" spans="1:6" ht="16" customHeight="1" x14ac:dyDescent="0.2">
      <c r="A4484">
        <f>IFERROR(VLOOKUP(C4484,'GASB Match'!$D$2:$F$6042,3,FALSE),"")</f>
        <v>3400719</v>
      </c>
      <c r="B4484" s="17">
        <v>2018</v>
      </c>
      <c r="C4484" s="17" t="s">
        <v>951</v>
      </c>
      <c r="D4484" s="17">
        <v>6098</v>
      </c>
      <c r="E4484" s="17" t="s">
        <v>1452</v>
      </c>
      <c r="F4484" s="20">
        <v>337894</v>
      </c>
    </row>
    <row r="4485" spans="1:6" ht="16" customHeight="1" x14ac:dyDescent="0.2">
      <c r="A4485">
        <f>IFERROR(VLOOKUP(C4485,'GASB Match'!$D$2:$F$6042,3,FALSE),"")</f>
        <v>3400719</v>
      </c>
      <c r="B4485" s="17">
        <v>2019</v>
      </c>
      <c r="C4485" s="17" t="s">
        <v>951</v>
      </c>
      <c r="D4485" s="17">
        <v>6098</v>
      </c>
      <c r="E4485" s="17" t="s">
        <v>1452</v>
      </c>
      <c r="F4485" s="20">
        <v>442364</v>
      </c>
    </row>
    <row r="4486" spans="1:6" ht="16" customHeight="1" x14ac:dyDescent="0.2">
      <c r="A4486">
        <f>IFERROR(VLOOKUP(C4486,'GASB Match'!$D$2:$F$6042,3,FALSE),"")</f>
        <v>3400719</v>
      </c>
      <c r="B4486" s="17">
        <v>2020</v>
      </c>
      <c r="C4486" s="21" t="s">
        <v>951</v>
      </c>
      <c r="D4486" s="17">
        <v>6098</v>
      </c>
      <c r="E4486" s="17" t="s">
        <v>1452</v>
      </c>
      <c r="F4486" s="23">
        <v>441725</v>
      </c>
    </row>
    <row r="4487" spans="1:6" ht="16" customHeight="1" x14ac:dyDescent="0.2">
      <c r="A4487">
        <f>IFERROR(VLOOKUP(C4487,'GASB Match'!$D$2:$F$6042,3,FALSE),"")</f>
        <v>3400719</v>
      </c>
      <c r="B4487" s="17">
        <v>2021</v>
      </c>
      <c r="C4487" s="25" t="s">
        <v>951</v>
      </c>
      <c r="D4487" s="17">
        <v>6098</v>
      </c>
      <c r="E4487" s="17" t="s">
        <v>1452</v>
      </c>
      <c r="F4487" s="23">
        <v>571307</v>
      </c>
    </row>
    <row r="4488" spans="1:6" ht="16" customHeight="1" x14ac:dyDescent="0.2">
      <c r="A4488">
        <f>IFERROR(VLOOKUP(C4488,'GASB Match'!$D$2:$F$6042,3,FALSE),"")</f>
        <v>3400719</v>
      </c>
      <c r="B4488" s="17">
        <v>2022</v>
      </c>
      <c r="C4488" s="21" t="s">
        <v>951</v>
      </c>
      <c r="D4488" s="17">
        <v>6098</v>
      </c>
      <c r="E4488" s="17" t="s">
        <v>1452</v>
      </c>
      <c r="F4488" s="23">
        <v>764512</v>
      </c>
    </row>
    <row r="4489" spans="1:6" ht="16" customHeight="1" x14ac:dyDescent="0.2">
      <c r="A4489">
        <f>IFERROR(VLOOKUP(C4489,'GASB Match'!$D$2:$F$6042,3,FALSE),"")</f>
        <v>3400719</v>
      </c>
      <c r="B4489" s="17">
        <v>2023</v>
      </c>
      <c r="C4489" s="21" t="s">
        <v>951</v>
      </c>
      <c r="D4489" s="17">
        <v>6098</v>
      </c>
      <c r="E4489" s="17" t="s">
        <v>1452</v>
      </c>
      <c r="F4489" s="23">
        <v>777728</v>
      </c>
    </row>
    <row r="4490" spans="1:6" ht="16" customHeight="1" x14ac:dyDescent="0.2">
      <c r="A4490">
        <f>IFERROR(VLOOKUP(C4490,'GASB Match'!$D$2:$F$6042,3,FALSE),"")</f>
        <v>3400719</v>
      </c>
      <c r="B4490" s="28">
        <v>2017</v>
      </c>
      <c r="C4490" s="29" t="s">
        <v>261</v>
      </c>
      <c r="D4490" s="17">
        <v>6098</v>
      </c>
      <c r="E4490" s="17" t="s">
        <v>1411</v>
      </c>
      <c r="F4490" s="29">
        <v>253838</v>
      </c>
    </row>
    <row r="4491" spans="1:6" ht="16" customHeight="1" x14ac:dyDescent="0.2">
      <c r="A4491">
        <f>IFERROR(VLOOKUP(C4491,'GASB Match'!$D$2:$F$6042,3,FALSE),"")</f>
        <v>3413410</v>
      </c>
      <c r="B4491" s="17">
        <v>2018</v>
      </c>
      <c r="C4491" s="17" t="s">
        <v>1057</v>
      </c>
      <c r="D4491" s="17">
        <v>125</v>
      </c>
      <c r="E4491" s="17" t="s">
        <v>1459</v>
      </c>
      <c r="F4491" s="20">
        <v>4922115</v>
      </c>
    </row>
    <row r="4492" spans="1:6" ht="16" customHeight="1" x14ac:dyDescent="0.2">
      <c r="A4492">
        <f>IFERROR(VLOOKUP(C4492,'GASB Match'!$D$2:$F$6042,3,FALSE),"")</f>
        <v>3413410</v>
      </c>
      <c r="B4492" s="17">
        <v>2019</v>
      </c>
      <c r="C4492" s="17" t="s">
        <v>1057</v>
      </c>
      <c r="D4492" s="17">
        <v>125</v>
      </c>
      <c r="E4492" s="17" t="s">
        <v>1459</v>
      </c>
      <c r="F4492" s="20">
        <v>6516726</v>
      </c>
    </row>
    <row r="4493" spans="1:6" ht="16" customHeight="1" x14ac:dyDescent="0.2">
      <c r="A4493">
        <f>IFERROR(VLOOKUP(C4493,'GASB Match'!$D$2:$F$6042,3,FALSE),"")</f>
        <v>3413410</v>
      </c>
      <c r="B4493" s="17">
        <v>2020</v>
      </c>
      <c r="C4493" s="21" t="s">
        <v>1057</v>
      </c>
      <c r="D4493" s="17">
        <v>125</v>
      </c>
      <c r="E4493" s="17" t="s">
        <v>1459</v>
      </c>
      <c r="F4493" s="23">
        <v>7632990</v>
      </c>
    </row>
    <row r="4494" spans="1:6" ht="16" customHeight="1" x14ac:dyDescent="0.2">
      <c r="A4494">
        <f>IFERROR(VLOOKUP(C4494,'GASB Match'!$D$2:$F$6042,3,FALSE),"")</f>
        <v>3413410</v>
      </c>
      <c r="B4494" s="17">
        <v>2021</v>
      </c>
      <c r="C4494" s="25" t="s">
        <v>1057</v>
      </c>
      <c r="D4494" s="17">
        <v>125</v>
      </c>
      <c r="E4494" s="17" t="s">
        <v>1459</v>
      </c>
      <c r="F4494" s="23">
        <v>9928918</v>
      </c>
    </row>
    <row r="4495" spans="1:6" ht="16" customHeight="1" x14ac:dyDescent="0.2">
      <c r="A4495">
        <f>IFERROR(VLOOKUP(C4495,'GASB Match'!$D$2:$F$6042,3,FALSE),"")</f>
        <v>3413410</v>
      </c>
      <c r="B4495" s="17">
        <v>2022</v>
      </c>
      <c r="C4495" s="21" t="s">
        <v>1057</v>
      </c>
      <c r="D4495" s="17">
        <v>125</v>
      </c>
      <c r="E4495" s="17" t="s">
        <v>1459</v>
      </c>
      <c r="F4495" s="23">
        <v>13827698</v>
      </c>
    </row>
    <row r="4496" spans="1:6" ht="16" customHeight="1" x14ac:dyDescent="0.2">
      <c r="A4496">
        <f>IFERROR(VLOOKUP(C4496,'GASB Match'!$D$2:$F$6042,3,FALSE),"")</f>
        <v>3413410</v>
      </c>
      <c r="B4496" s="17">
        <v>2023</v>
      </c>
      <c r="C4496" s="21" t="s">
        <v>1057</v>
      </c>
      <c r="D4496" s="17">
        <v>125</v>
      </c>
      <c r="E4496" s="17" t="s">
        <v>1459</v>
      </c>
      <c r="F4496" s="23">
        <v>13655464</v>
      </c>
    </row>
    <row r="4497" spans="1:6" ht="16" customHeight="1" x14ac:dyDescent="0.2">
      <c r="A4497">
        <f>IFERROR(VLOOKUP(C4497,'GASB Match'!$D$2:$F$6042,3,FALSE),"")</f>
        <v>3400043</v>
      </c>
      <c r="B4497" s="17">
        <v>2015</v>
      </c>
      <c r="C4497" s="17" t="s">
        <v>366</v>
      </c>
      <c r="D4497" s="17">
        <v>126</v>
      </c>
      <c r="E4497" s="17" t="s">
        <v>1416</v>
      </c>
      <c r="F4497" s="20">
        <v>140050</v>
      </c>
    </row>
    <row r="4498" spans="1:6" ht="16" customHeight="1" x14ac:dyDescent="0.2">
      <c r="A4498">
        <f>IFERROR(VLOOKUP(C4498,'GASB Match'!$D$2:$F$6042,3,FALSE),"")</f>
        <v>3400043</v>
      </c>
      <c r="B4498" s="17">
        <v>2016</v>
      </c>
      <c r="C4498" s="17" t="s">
        <v>366</v>
      </c>
      <c r="D4498" s="17">
        <v>126</v>
      </c>
      <c r="E4498" s="17" t="s">
        <v>1416</v>
      </c>
      <c r="F4498" s="20">
        <v>196521</v>
      </c>
    </row>
    <row r="4499" spans="1:6" ht="16" customHeight="1" x14ac:dyDescent="0.2">
      <c r="A4499">
        <f>IFERROR(VLOOKUP(C4499,'GASB Match'!$D$2:$F$6042,3,FALSE),"")</f>
        <v>3400043</v>
      </c>
      <c r="B4499" s="17">
        <v>2018</v>
      </c>
      <c r="C4499" s="17" t="s">
        <v>1058</v>
      </c>
      <c r="D4499" s="17">
        <v>126</v>
      </c>
      <c r="E4499" s="17" t="s">
        <v>1459</v>
      </c>
      <c r="F4499" s="20">
        <v>375176</v>
      </c>
    </row>
    <row r="4500" spans="1:6" ht="16" customHeight="1" x14ac:dyDescent="0.2">
      <c r="A4500">
        <f>IFERROR(VLOOKUP(C4500,'GASB Match'!$D$2:$F$6042,3,FALSE),"")</f>
        <v>3400043</v>
      </c>
      <c r="B4500" s="17">
        <v>2019</v>
      </c>
      <c r="C4500" s="17" t="s">
        <v>1058</v>
      </c>
      <c r="D4500" s="17">
        <v>126</v>
      </c>
      <c r="E4500" s="17" t="s">
        <v>1459</v>
      </c>
      <c r="F4500" s="20">
        <v>484811</v>
      </c>
    </row>
    <row r="4501" spans="1:6" ht="16" customHeight="1" x14ac:dyDescent="0.2">
      <c r="A4501">
        <f>IFERROR(VLOOKUP(C4501,'GASB Match'!$D$2:$F$6042,3,FALSE),"")</f>
        <v>3400043</v>
      </c>
      <c r="B4501" s="17">
        <v>2020</v>
      </c>
      <c r="C4501" s="21" t="s">
        <v>1058</v>
      </c>
      <c r="D4501" s="17">
        <v>126</v>
      </c>
      <c r="E4501" s="17" t="s">
        <v>1459</v>
      </c>
      <c r="F4501" s="23">
        <v>660804</v>
      </c>
    </row>
    <row r="4502" spans="1:6" ht="16" customHeight="1" x14ac:dyDescent="0.2">
      <c r="A4502">
        <f>IFERROR(VLOOKUP(C4502,'GASB Match'!$D$2:$F$6042,3,FALSE),"")</f>
        <v>3400043</v>
      </c>
      <c r="B4502" s="17">
        <v>2021</v>
      </c>
      <c r="C4502" s="25" t="s">
        <v>1058</v>
      </c>
      <c r="D4502" s="17">
        <v>126</v>
      </c>
      <c r="E4502" s="17" t="s">
        <v>1459</v>
      </c>
      <c r="F4502" s="23">
        <v>829825</v>
      </c>
    </row>
    <row r="4503" spans="1:6" ht="16" customHeight="1" x14ac:dyDescent="0.2">
      <c r="A4503">
        <f>IFERROR(VLOOKUP(C4503,'GASB Match'!$D$2:$F$6042,3,FALSE),"")</f>
        <v>3400043</v>
      </c>
      <c r="B4503" s="17">
        <v>2022</v>
      </c>
      <c r="C4503" s="21" t="s">
        <v>1058</v>
      </c>
      <c r="D4503" s="17">
        <v>126</v>
      </c>
      <c r="E4503" s="17" t="s">
        <v>1459</v>
      </c>
      <c r="F4503" s="23">
        <v>1200266</v>
      </c>
    </row>
    <row r="4504" spans="1:6" ht="16" customHeight="1" x14ac:dyDescent="0.2">
      <c r="A4504">
        <f>IFERROR(VLOOKUP(C4504,'GASB Match'!$D$2:$F$6042,3,FALSE),"")</f>
        <v>3400043</v>
      </c>
      <c r="B4504" s="17">
        <v>2023</v>
      </c>
      <c r="C4504" s="21" t="s">
        <v>1058</v>
      </c>
      <c r="D4504" s="17">
        <v>126</v>
      </c>
      <c r="E4504" s="17" t="s">
        <v>1459</v>
      </c>
      <c r="F4504" s="23">
        <v>1219347</v>
      </c>
    </row>
    <row r="4505" spans="1:6" ht="16" customHeight="1" x14ac:dyDescent="0.2">
      <c r="A4505">
        <f>IFERROR(VLOOKUP(C4505,'GASB Match'!$D$2:$F$6042,3,FALSE),"")</f>
        <v>3400043</v>
      </c>
      <c r="B4505" s="28">
        <v>2017</v>
      </c>
      <c r="C4505" s="29" t="s">
        <v>366</v>
      </c>
      <c r="D4505" s="17">
        <v>126</v>
      </c>
      <c r="E4505" s="17" t="s">
        <v>1416</v>
      </c>
      <c r="F4505" s="29">
        <v>288286</v>
      </c>
    </row>
    <row r="4506" spans="1:6" ht="16" customHeight="1" x14ac:dyDescent="0.2">
      <c r="A4506">
        <f>IFERROR(VLOOKUP(C4506,'GASB Match'!$D$2:$F$6042,3,FALSE),"")</f>
        <v>3413410</v>
      </c>
      <c r="B4506" s="17">
        <v>2015</v>
      </c>
      <c r="C4506" s="17" t="s">
        <v>367</v>
      </c>
      <c r="D4506" s="17">
        <v>125</v>
      </c>
      <c r="E4506" s="17" t="s">
        <v>1416</v>
      </c>
      <c r="F4506" s="20">
        <v>1717008</v>
      </c>
    </row>
    <row r="4507" spans="1:6" ht="16" customHeight="1" x14ac:dyDescent="0.2">
      <c r="A4507">
        <f>IFERROR(VLOOKUP(C4507,'GASB Match'!$D$2:$F$6042,3,FALSE),"")</f>
        <v>3413410</v>
      </c>
      <c r="B4507" s="17">
        <v>2016</v>
      </c>
      <c r="C4507" s="17" t="s">
        <v>367</v>
      </c>
      <c r="D4507" s="17">
        <v>125</v>
      </c>
      <c r="E4507" s="17" t="s">
        <v>1416</v>
      </c>
      <c r="F4507" s="20">
        <v>2529005</v>
      </c>
    </row>
    <row r="4508" spans="1:6" ht="16" customHeight="1" x14ac:dyDescent="0.2">
      <c r="A4508">
        <f>IFERROR(VLOOKUP(C4508,'GASB Match'!$D$2:$F$6042,3,FALSE),"")</f>
        <v>3413410</v>
      </c>
      <c r="B4508" s="28">
        <v>2017</v>
      </c>
      <c r="C4508" s="29" t="s">
        <v>367</v>
      </c>
      <c r="D4508" s="17">
        <v>125</v>
      </c>
      <c r="E4508" s="17" t="s">
        <v>1416</v>
      </c>
      <c r="F4508" s="29">
        <v>3497228</v>
      </c>
    </row>
    <row r="4509" spans="1:6" ht="16" customHeight="1" x14ac:dyDescent="0.2">
      <c r="A4509">
        <f>IFERROR(VLOOKUP(C4509,'GASB Match'!$D$2:$F$6042,3,FALSE),"")</f>
        <v>3413470</v>
      </c>
      <c r="B4509" s="17">
        <v>2015</v>
      </c>
      <c r="C4509" s="17" t="s">
        <v>542</v>
      </c>
      <c r="D4509" s="17">
        <v>637</v>
      </c>
      <c r="E4509" s="17" t="s">
        <v>1423</v>
      </c>
      <c r="F4509" s="20">
        <v>291746</v>
      </c>
    </row>
    <row r="4510" spans="1:6" ht="16" customHeight="1" x14ac:dyDescent="0.2">
      <c r="A4510">
        <f>IFERROR(VLOOKUP(C4510,'GASB Match'!$D$2:$F$6042,3,FALSE),"")</f>
        <v>3413470</v>
      </c>
      <c r="B4510" s="17">
        <v>2016</v>
      </c>
      <c r="C4510" s="17" t="s">
        <v>542</v>
      </c>
      <c r="D4510" s="17">
        <v>637</v>
      </c>
      <c r="E4510" s="17" t="s">
        <v>1423</v>
      </c>
      <c r="F4510" s="20">
        <v>449943</v>
      </c>
    </row>
    <row r="4511" spans="1:6" ht="16" customHeight="1" x14ac:dyDescent="0.2">
      <c r="A4511">
        <f>IFERROR(VLOOKUP(C4511,'GASB Match'!$D$2:$F$6042,3,FALSE),"")</f>
        <v>3413470</v>
      </c>
      <c r="B4511" s="17">
        <v>2018</v>
      </c>
      <c r="C4511" s="17" t="s">
        <v>1234</v>
      </c>
      <c r="D4511" s="17">
        <v>637</v>
      </c>
      <c r="E4511" s="17" t="s">
        <v>1466</v>
      </c>
      <c r="F4511" s="20">
        <v>872622</v>
      </c>
    </row>
    <row r="4512" spans="1:6" ht="16" customHeight="1" x14ac:dyDescent="0.2">
      <c r="A4512">
        <f>IFERROR(VLOOKUP(C4512,'GASB Match'!$D$2:$F$6042,3,FALSE),"")</f>
        <v>3413470</v>
      </c>
      <c r="B4512" s="17">
        <v>2019</v>
      </c>
      <c r="C4512" s="17" t="s">
        <v>1234</v>
      </c>
      <c r="D4512" s="17">
        <v>637</v>
      </c>
      <c r="E4512" s="17" t="s">
        <v>1466</v>
      </c>
      <c r="F4512" s="20">
        <v>1010664</v>
      </c>
    </row>
    <row r="4513" spans="1:6" ht="16" customHeight="1" x14ac:dyDescent="0.2">
      <c r="A4513">
        <f>IFERROR(VLOOKUP(C4513,'GASB Match'!$D$2:$F$6042,3,FALSE),"")</f>
        <v>3413470</v>
      </c>
      <c r="B4513" s="17">
        <v>2020</v>
      </c>
      <c r="C4513" s="21" t="s">
        <v>1234</v>
      </c>
      <c r="D4513" s="17">
        <v>637</v>
      </c>
      <c r="E4513" s="17" t="s">
        <v>1466</v>
      </c>
      <c r="F4513" s="23">
        <v>1147036</v>
      </c>
    </row>
    <row r="4514" spans="1:6" ht="16" customHeight="1" x14ac:dyDescent="0.2">
      <c r="A4514">
        <f>IFERROR(VLOOKUP(C4514,'GASB Match'!$D$2:$F$6042,3,FALSE),"")</f>
        <v>3413470</v>
      </c>
      <c r="B4514" s="17">
        <v>2021</v>
      </c>
      <c r="C4514" s="25" t="s">
        <v>1234</v>
      </c>
      <c r="D4514" s="17">
        <v>637</v>
      </c>
      <c r="E4514" s="17" t="s">
        <v>1466</v>
      </c>
      <c r="F4514" s="23">
        <v>1481874</v>
      </c>
    </row>
    <row r="4515" spans="1:6" ht="16" customHeight="1" x14ac:dyDescent="0.2">
      <c r="A4515">
        <f>IFERROR(VLOOKUP(C4515,'GASB Match'!$D$2:$F$6042,3,FALSE),"")</f>
        <v>3413470</v>
      </c>
      <c r="B4515" s="17">
        <v>2022</v>
      </c>
      <c r="C4515" s="21" t="s">
        <v>1234</v>
      </c>
      <c r="D4515" s="17">
        <v>637</v>
      </c>
      <c r="E4515" s="17" t="s">
        <v>1466</v>
      </c>
      <c r="F4515" s="23">
        <v>2109005</v>
      </c>
    </row>
    <row r="4516" spans="1:6" ht="16" customHeight="1" x14ac:dyDescent="0.2">
      <c r="A4516">
        <f>IFERROR(VLOOKUP(C4516,'GASB Match'!$D$2:$F$6042,3,FALSE),"")</f>
        <v>3413470</v>
      </c>
      <c r="B4516" s="17">
        <v>2023</v>
      </c>
      <c r="C4516" s="21" t="s">
        <v>1234</v>
      </c>
      <c r="D4516" s="17">
        <v>637</v>
      </c>
      <c r="E4516" s="17" t="s">
        <v>1466</v>
      </c>
      <c r="F4516" s="23">
        <v>2010959</v>
      </c>
    </row>
    <row r="4517" spans="1:6" ht="16" customHeight="1" x14ac:dyDescent="0.2">
      <c r="A4517">
        <f>IFERROR(VLOOKUP(C4517,'GASB Match'!$D$2:$F$6042,3,FALSE),"")</f>
        <v>3413470</v>
      </c>
      <c r="B4517" s="28">
        <v>2017</v>
      </c>
      <c r="C4517" s="29" t="s">
        <v>542</v>
      </c>
      <c r="D4517" s="17">
        <v>637</v>
      </c>
      <c r="E4517" s="17" t="s">
        <v>1423</v>
      </c>
      <c r="F4517" s="29">
        <v>623313</v>
      </c>
    </row>
    <row r="4518" spans="1:6" ht="16" customHeight="1" x14ac:dyDescent="0.2">
      <c r="A4518">
        <f>IFERROR(VLOOKUP(C4518,'GASB Match'!$D$2:$F$6042,3,FALSE),"")</f>
        <v>3400061</v>
      </c>
      <c r="B4518" s="17">
        <v>2015</v>
      </c>
      <c r="C4518" s="17" t="s">
        <v>624</v>
      </c>
      <c r="D4518" s="17">
        <v>132</v>
      </c>
      <c r="E4518" s="17" t="s">
        <v>1427</v>
      </c>
      <c r="F4518" s="20">
        <v>78384</v>
      </c>
    </row>
    <row r="4519" spans="1:6" ht="16" customHeight="1" x14ac:dyDescent="0.2">
      <c r="A4519">
        <f>IFERROR(VLOOKUP(C4519,'GASB Match'!$D$2:$F$6042,3,FALSE),"")</f>
        <v>3400061</v>
      </c>
      <c r="B4519" s="17">
        <v>2016</v>
      </c>
      <c r="C4519" s="17" t="s">
        <v>624</v>
      </c>
      <c r="D4519" s="17">
        <v>132</v>
      </c>
      <c r="E4519" s="17" t="s">
        <v>1427</v>
      </c>
      <c r="F4519" s="20">
        <v>124444</v>
      </c>
    </row>
    <row r="4520" spans="1:6" ht="16" customHeight="1" x14ac:dyDescent="0.2">
      <c r="A4520">
        <f>IFERROR(VLOOKUP(C4520,'GASB Match'!$D$2:$F$6042,3,FALSE),"")</f>
        <v>3400061</v>
      </c>
      <c r="B4520" s="17">
        <v>2018</v>
      </c>
      <c r="C4520" s="17" t="s">
        <v>1317</v>
      </c>
      <c r="D4520" s="17">
        <v>132</v>
      </c>
      <c r="E4520" s="17" t="s">
        <v>1470</v>
      </c>
      <c r="F4520" s="20">
        <v>302633</v>
      </c>
    </row>
    <row r="4521" spans="1:6" ht="16" customHeight="1" x14ac:dyDescent="0.2">
      <c r="A4521">
        <f>IFERROR(VLOOKUP(C4521,'GASB Match'!$D$2:$F$6042,3,FALSE),"")</f>
        <v>3400061</v>
      </c>
      <c r="B4521" s="17">
        <v>2019</v>
      </c>
      <c r="C4521" s="17" t="s">
        <v>1317</v>
      </c>
      <c r="D4521" s="17">
        <v>132</v>
      </c>
      <c r="E4521" s="17" t="s">
        <v>1470</v>
      </c>
      <c r="F4521" s="20">
        <v>351589</v>
      </c>
    </row>
    <row r="4522" spans="1:6" ht="16" customHeight="1" x14ac:dyDescent="0.2">
      <c r="A4522">
        <f>IFERROR(VLOOKUP(C4522,'GASB Match'!$D$2:$F$6042,3,FALSE),"")</f>
        <v>3400061</v>
      </c>
      <c r="B4522" s="17">
        <v>2020</v>
      </c>
      <c r="C4522" s="21" t="s">
        <v>1317</v>
      </c>
      <c r="D4522" s="17">
        <v>132</v>
      </c>
      <c r="E4522" s="17" t="s">
        <v>1470</v>
      </c>
      <c r="F4522" s="23">
        <v>389011</v>
      </c>
    </row>
    <row r="4523" spans="1:6" ht="16" customHeight="1" x14ac:dyDescent="0.2">
      <c r="A4523">
        <f>IFERROR(VLOOKUP(C4523,'GASB Match'!$D$2:$F$6042,3,FALSE),"")</f>
        <v>3400061</v>
      </c>
      <c r="B4523" s="17">
        <v>2021</v>
      </c>
      <c r="C4523" s="25" t="s">
        <v>1317</v>
      </c>
      <c r="D4523" s="17">
        <v>132</v>
      </c>
      <c r="E4523" s="17" t="s">
        <v>1470</v>
      </c>
      <c r="F4523" s="23">
        <v>537754</v>
      </c>
    </row>
    <row r="4524" spans="1:6" ht="16" customHeight="1" x14ac:dyDescent="0.2">
      <c r="A4524">
        <f>IFERROR(VLOOKUP(C4524,'GASB Match'!$D$2:$F$6042,3,FALSE),"")</f>
        <v>3400061</v>
      </c>
      <c r="B4524" s="17">
        <v>2022</v>
      </c>
      <c r="C4524" s="21" t="s">
        <v>1317</v>
      </c>
      <c r="D4524" s="17">
        <v>132</v>
      </c>
      <c r="E4524" s="17" t="s">
        <v>1470</v>
      </c>
      <c r="F4524" s="23">
        <v>695942</v>
      </c>
    </row>
    <row r="4525" spans="1:6" ht="16" customHeight="1" x14ac:dyDescent="0.2">
      <c r="A4525">
        <f>IFERROR(VLOOKUP(C4525,'GASB Match'!$D$2:$F$6042,3,FALSE),"")</f>
        <v>3400061</v>
      </c>
      <c r="B4525" s="17">
        <v>2023</v>
      </c>
      <c r="C4525" s="21" t="s">
        <v>1317</v>
      </c>
      <c r="D4525" s="17">
        <v>132</v>
      </c>
      <c r="E4525" s="17" t="s">
        <v>1470</v>
      </c>
      <c r="F4525" s="23">
        <v>648391</v>
      </c>
    </row>
    <row r="4526" spans="1:6" ht="16" customHeight="1" x14ac:dyDescent="0.2">
      <c r="A4526">
        <f>IFERROR(VLOOKUP(C4526,'GASB Match'!$D$2:$F$6042,3,FALSE),"")</f>
        <v>3400061</v>
      </c>
      <c r="B4526" s="28">
        <v>2017</v>
      </c>
      <c r="C4526" s="29" t="s">
        <v>624</v>
      </c>
      <c r="D4526" s="17">
        <v>132</v>
      </c>
      <c r="E4526" s="17" t="s">
        <v>1427</v>
      </c>
      <c r="F4526" s="29">
        <v>179537</v>
      </c>
    </row>
    <row r="4527" spans="1:6" ht="16" customHeight="1" x14ac:dyDescent="0.2">
      <c r="A4527">
        <f>IFERROR(VLOOKUP(C4527,'GASB Match'!$D$2:$F$6042,3,FALSE),"")</f>
        <v>3413500</v>
      </c>
      <c r="B4527" s="17">
        <v>2015</v>
      </c>
      <c r="C4527" s="17" t="s">
        <v>557</v>
      </c>
      <c r="D4527" s="17">
        <v>722</v>
      </c>
      <c r="E4527" s="17" t="s">
        <v>1424</v>
      </c>
      <c r="F4527" s="20">
        <v>130565</v>
      </c>
    </row>
    <row r="4528" spans="1:6" ht="16" customHeight="1" x14ac:dyDescent="0.2">
      <c r="A4528">
        <f>IFERROR(VLOOKUP(C4528,'GASB Match'!$D$2:$F$6042,3,FALSE),"")</f>
        <v>3413500</v>
      </c>
      <c r="B4528" s="17">
        <v>2016</v>
      </c>
      <c r="C4528" s="17" t="s">
        <v>557</v>
      </c>
      <c r="D4528" s="17">
        <v>722</v>
      </c>
      <c r="E4528" s="17" t="s">
        <v>1424</v>
      </c>
      <c r="F4528" s="20">
        <v>168745</v>
      </c>
    </row>
    <row r="4529" spans="1:6" ht="16" customHeight="1" x14ac:dyDescent="0.2">
      <c r="A4529">
        <f>IFERROR(VLOOKUP(C4529,'GASB Match'!$D$2:$F$6042,3,FALSE),"")</f>
        <v>3413500</v>
      </c>
      <c r="B4529" s="17">
        <v>2018</v>
      </c>
      <c r="C4529" s="17" t="s">
        <v>1249</v>
      </c>
      <c r="D4529" s="17">
        <v>722</v>
      </c>
      <c r="E4529" s="17" t="s">
        <v>1467</v>
      </c>
      <c r="F4529" s="20">
        <v>332032</v>
      </c>
    </row>
    <row r="4530" spans="1:6" ht="16" customHeight="1" x14ac:dyDescent="0.2">
      <c r="A4530">
        <f>IFERROR(VLOOKUP(C4530,'GASB Match'!$D$2:$F$6042,3,FALSE),"")</f>
        <v>3413500</v>
      </c>
      <c r="B4530" s="17">
        <v>2019</v>
      </c>
      <c r="C4530" s="17" t="s">
        <v>1249</v>
      </c>
      <c r="D4530" s="17">
        <v>722</v>
      </c>
      <c r="E4530" s="17" t="s">
        <v>1467</v>
      </c>
      <c r="F4530" s="20">
        <v>432990</v>
      </c>
    </row>
    <row r="4531" spans="1:6" ht="16" customHeight="1" x14ac:dyDescent="0.2">
      <c r="A4531">
        <f>IFERROR(VLOOKUP(C4531,'GASB Match'!$D$2:$F$6042,3,FALSE),"")</f>
        <v>3413500</v>
      </c>
      <c r="B4531" s="17">
        <v>2020</v>
      </c>
      <c r="C4531" s="21" t="s">
        <v>1249</v>
      </c>
      <c r="D4531" s="17">
        <v>722</v>
      </c>
      <c r="E4531" s="17" t="s">
        <v>1467</v>
      </c>
      <c r="F4531" s="23">
        <v>494287</v>
      </c>
    </row>
    <row r="4532" spans="1:6" ht="16" customHeight="1" x14ac:dyDescent="0.2">
      <c r="A4532">
        <f>IFERROR(VLOOKUP(C4532,'GASB Match'!$D$2:$F$6042,3,FALSE),"")</f>
        <v>3413500</v>
      </c>
      <c r="B4532" s="17">
        <v>2021</v>
      </c>
      <c r="C4532" s="25" t="s">
        <v>1249</v>
      </c>
      <c r="D4532" s="17">
        <v>722</v>
      </c>
      <c r="E4532" s="17" t="s">
        <v>1467</v>
      </c>
      <c r="F4532" s="23">
        <v>583847</v>
      </c>
    </row>
    <row r="4533" spans="1:6" ht="16" customHeight="1" x14ac:dyDescent="0.2">
      <c r="A4533">
        <f>IFERROR(VLOOKUP(C4533,'GASB Match'!$D$2:$F$6042,3,FALSE),"")</f>
        <v>3413500</v>
      </c>
      <c r="B4533" s="17">
        <v>2022</v>
      </c>
      <c r="C4533" s="21" t="s">
        <v>1249</v>
      </c>
      <c r="D4533" s="17">
        <v>722</v>
      </c>
      <c r="E4533" s="17" t="s">
        <v>1467</v>
      </c>
      <c r="F4533" s="23">
        <v>811368</v>
      </c>
    </row>
    <row r="4534" spans="1:6" ht="16" customHeight="1" x14ac:dyDescent="0.2">
      <c r="A4534">
        <f>IFERROR(VLOOKUP(C4534,'GASB Match'!$D$2:$F$6042,3,FALSE),"")</f>
        <v>3413500</v>
      </c>
      <c r="B4534" s="17">
        <v>2023</v>
      </c>
      <c r="C4534" s="21" t="s">
        <v>1249</v>
      </c>
      <c r="D4534" s="17">
        <v>722</v>
      </c>
      <c r="E4534" s="17" t="s">
        <v>1467</v>
      </c>
      <c r="F4534" s="23">
        <v>877206</v>
      </c>
    </row>
    <row r="4535" spans="1:6" ht="16" customHeight="1" x14ac:dyDescent="0.2">
      <c r="A4535">
        <f>IFERROR(VLOOKUP(C4535,'GASB Match'!$D$2:$F$6042,3,FALSE),"")</f>
        <v>3413500</v>
      </c>
      <c r="B4535" s="28">
        <v>2017</v>
      </c>
      <c r="C4535" s="29" t="s">
        <v>557</v>
      </c>
      <c r="D4535" s="17">
        <v>722</v>
      </c>
      <c r="E4535" s="17" t="s">
        <v>1424</v>
      </c>
      <c r="F4535" s="29">
        <v>236795</v>
      </c>
    </row>
    <row r="4536" spans="1:6" ht="16" customHeight="1" x14ac:dyDescent="0.2">
      <c r="A4536">
        <f>IFERROR(VLOOKUP(C4536,'GASB Match'!$D$2:$F$6042,3,FALSE),"")</f>
        <v>3413530</v>
      </c>
      <c r="B4536" s="17">
        <v>2015</v>
      </c>
      <c r="C4536" s="17" t="s">
        <v>625</v>
      </c>
      <c r="D4536" s="17">
        <v>839</v>
      </c>
      <c r="E4536" s="17" t="s">
        <v>1427</v>
      </c>
      <c r="F4536" s="20">
        <v>1516000</v>
      </c>
    </row>
    <row r="4537" spans="1:6" ht="16" customHeight="1" x14ac:dyDescent="0.2">
      <c r="A4537">
        <f>IFERROR(VLOOKUP(C4537,'GASB Match'!$D$2:$F$6042,3,FALSE),"")</f>
        <v>3413530</v>
      </c>
      <c r="B4537" s="17">
        <v>2016</v>
      </c>
      <c r="C4537" s="17" t="s">
        <v>625</v>
      </c>
      <c r="D4537" s="17">
        <v>839</v>
      </c>
      <c r="E4537" s="17" t="s">
        <v>1427</v>
      </c>
      <c r="F4537" s="20">
        <v>2256989</v>
      </c>
    </row>
    <row r="4538" spans="1:6" ht="16" customHeight="1" x14ac:dyDescent="0.2">
      <c r="A4538">
        <f>IFERROR(VLOOKUP(C4538,'GASB Match'!$D$2:$F$6042,3,FALSE),"")</f>
        <v>3413530</v>
      </c>
      <c r="B4538" s="17">
        <v>2018</v>
      </c>
      <c r="C4538" s="17" t="s">
        <v>1318</v>
      </c>
      <c r="D4538" s="17">
        <v>839</v>
      </c>
      <c r="E4538" s="17" t="s">
        <v>1470</v>
      </c>
      <c r="F4538" s="20">
        <v>4189599</v>
      </c>
    </row>
    <row r="4539" spans="1:6" ht="16" customHeight="1" x14ac:dyDescent="0.2">
      <c r="A4539">
        <f>IFERROR(VLOOKUP(C4539,'GASB Match'!$D$2:$F$6042,3,FALSE),"")</f>
        <v>3413530</v>
      </c>
      <c r="B4539" s="17">
        <v>2019</v>
      </c>
      <c r="C4539" s="17" t="s">
        <v>1318</v>
      </c>
      <c r="D4539" s="17">
        <v>839</v>
      </c>
      <c r="E4539" s="17" t="s">
        <v>1470</v>
      </c>
      <c r="F4539" s="20">
        <v>5646466</v>
      </c>
    </row>
    <row r="4540" spans="1:6" ht="16" customHeight="1" x14ac:dyDescent="0.2">
      <c r="A4540">
        <f>IFERROR(VLOOKUP(C4540,'GASB Match'!$D$2:$F$6042,3,FALSE),"")</f>
        <v>3413530</v>
      </c>
      <c r="B4540" s="17">
        <v>2020</v>
      </c>
      <c r="C4540" s="21" t="s">
        <v>1318</v>
      </c>
      <c r="D4540" s="17">
        <v>839</v>
      </c>
      <c r="E4540" s="17" t="s">
        <v>1470</v>
      </c>
      <c r="F4540" s="23">
        <v>6411785</v>
      </c>
    </row>
    <row r="4541" spans="1:6" ht="16" customHeight="1" x14ac:dyDescent="0.2">
      <c r="A4541">
        <f>IFERROR(VLOOKUP(C4541,'GASB Match'!$D$2:$F$6042,3,FALSE),"")</f>
        <v>3413530</v>
      </c>
      <c r="B4541" s="17">
        <v>2021</v>
      </c>
      <c r="C4541" s="25" t="s">
        <v>1318</v>
      </c>
      <c r="D4541" s="17">
        <v>839</v>
      </c>
      <c r="E4541" s="17" t="s">
        <v>1470</v>
      </c>
      <c r="F4541" s="23">
        <v>8512265</v>
      </c>
    </row>
    <row r="4542" spans="1:6" ht="16" customHeight="1" x14ac:dyDescent="0.2">
      <c r="A4542">
        <f>IFERROR(VLOOKUP(C4542,'GASB Match'!$D$2:$F$6042,3,FALSE),"")</f>
        <v>3413530</v>
      </c>
      <c r="B4542" s="17">
        <v>2022</v>
      </c>
      <c r="C4542" s="21" t="s">
        <v>1318</v>
      </c>
      <c r="D4542" s="17">
        <v>839</v>
      </c>
      <c r="E4542" s="17" t="s">
        <v>1470</v>
      </c>
      <c r="F4542" s="23">
        <v>12159062</v>
      </c>
    </row>
    <row r="4543" spans="1:6" ht="16" customHeight="1" x14ac:dyDescent="0.2">
      <c r="A4543">
        <f>IFERROR(VLOOKUP(C4543,'GASB Match'!$D$2:$F$6042,3,FALSE),"")</f>
        <v>3413530</v>
      </c>
      <c r="B4543" s="17">
        <v>2023</v>
      </c>
      <c r="C4543" s="21" t="s">
        <v>1318</v>
      </c>
      <c r="D4543" s="17">
        <v>839</v>
      </c>
      <c r="E4543" s="17" t="s">
        <v>1470</v>
      </c>
      <c r="F4543" s="23">
        <v>11734751</v>
      </c>
    </row>
    <row r="4544" spans="1:6" ht="16" customHeight="1" x14ac:dyDescent="0.2">
      <c r="A4544">
        <f>IFERROR(VLOOKUP(C4544,'GASB Match'!$D$2:$F$6042,3,FALSE),"")</f>
        <v>3413530</v>
      </c>
      <c r="B4544" s="28">
        <v>2017</v>
      </c>
      <c r="C4544" s="29" t="s">
        <v>625</v>
      </c>
      <c r="D4544" s="17">
        <v>839</v>
      </c>
      <c r="E4544" s="17" t="s">
        <v>1427</v>
      </c>
      <c r="F4544" s="29">
        <v>3057244</v>
      </c>
    </row>
    <row r="4545" spans="1:6" ht="16" customHeight="1" x14ac:dyDescent="0.2">
      <c r="A4545">
        <f>IFERROR(VLOOKUP(C4545,'GASB Match'!$D$2:$F$6042,3,FALSE),"")</f>
        <v>3413560</v>
      </c>
      <c r="B4545" s="17">
        <v>2015</v>
      </c>
      <c r="C4545" s="17" t="s">
        <v>82</v>
      </c>
      <c r="D4545" s="17">
        <v>2080</v>
      </c>
      <c r="E4545" s="17" t="s">
        <v>1402</v>
      </c>
      <c r="F4545" s="20">
        <v>971845</v>
      </c>
    </row>
    <row r="4546" spans="1:6" ht="16" customHeight="1" x14ac:dyDescent="0.2">
      <c r="A4546">
        <f>IFERROR(VLOOKUP(C4546,'GASB Match'!$D$2:$F$6042,3,FALSE),"")</f>
        <v>3413560</v>
      </c>
      <c r="B4546" s="17">
        <v>2016</v>
      </c>
      <c r="C4546" s="17" t="s">
        <v>82</v>
      </c>
      <c r="D4546" s="17">
        <v>2080</v>
      </c>
      <c r="E4546" s="17" t="s">
        <v>1402</v>
      </c>
      <c r="F4546" s="20">
        <v>1421530</v>
      </c>
    </row>
    <row r="4547" spans="1:6" ht="16" customHeight="1" x14ac:dyDescent="0.2">
      <c r="A4547">
        <f>IFERROR(VLOOKUP(C4547,'GASB Match'!$D$2:$F$6042,3,FALSE),"")</f>
        <v>3413560</v>
      </c>
      <c r="B4547" s="17">
        <v>2018</v>
      </c>
      <c r="C4547" s="17" t="s">
        <v>761</v>
      </c>
      <c r="D4547" s="17">
        <v>2080</v>
      </c>
      <c r="E4547" s="17" t="s">
        <v>1443</v>
      </c>
      <c r="F4547" s="20">
        <v>2776087</v>
      </c>
    </row>
    <row r="4548" spans="1:6" ht="16" customHeight="1" x14ac:dyDescent="0.2">
      <c r="A4548">
        <f>IFERROR(VLOOKUP(C4548,'GASB Match'!$D$2:$F$6042,3,FALSE),"")</f>
        <v>3413560</v>
      </c>
      <c r="B4548" s="17">
        <v>2019</v>
      </c>
      <c r="C4548" s="17" t="s">
        <v>761</v>
      </c>
      <c r="D4548" s="17">
        <v>2080</v>
      </c>
      <c r="E4548" s="17" t="s">
        <v>1443</v>
      </c>
      <c r="F4548" s="20">
        <v>3611771</v>
      </c>
    </row>
    <row r="4549" spans="1:6" ht="16" customHeight="1" x14ac:dyDescent="0.2">
      <c r="A4549">
        <f>IFERROR(VLOOKUP(C4549,'GASB Match'!$D$2:$F$6042,3,FALSE),"")</f>
        <v>3413560</v>
      </c>
      <c r="B4549" s="17">
        <v>2020</v>
      </c>
      <c r="C4549" s="21" t="s">
        <v>761</v>
      </c>
      <c r="D4549" s="17">
        <v>2080</v>
      </c>
      <c r="E4549" s="17" t="s">
        <v>1443</v>
      </c>
      <c r="F4549" s="23">
        <v>3994422</v>
      </c>
    </row>
    <row r="4550" spans="1:6" ht="16" customHeight="1" x14ac:dyDescent="0.2">
      <c r="A4550">
        <f>IFERROR(VLOOKUP(C4550,'GASB Match'!$D$2:$F$6042,3,FALSE),"")</f>
        <v>3413560</v>
      </c>
      <c r="B4550" s="17">
        <v>2021</v>
      </c>
      <c r="C4550" s="25" t="s">
        <v>761</v>
      </c>
      <c r="D4550" s="17">
        <v>2080</v>
      </c>
      <c r="E4550" s="17" t="s">
        <v>1443</v>
      </c>
      <c r="F4550" s="23">
        <v>5581162</v>
      </c>
    </row>
    <row r="4551" spans="1:6" ht="16" customHeight="1" x14ac:dyDescent="0.2">
      <c r="A4551">
        <f>IFERROR(VLOOKUP(C4551,'GASB Match'!$D$2:$F$6042,3,FALSE),"")</f>
        <v>3413560</v>
      </c>
      <c r="B4551" s="17">
        <v>2022</v>
      </c>
      <c r="C4551" s="21" t="s">
        <v>761</v>
      </c>
      <c r="D4551" s="17">
        <v>2080</v>
      </c>
      <c r="E4551" s="17" t="s">
        <v>1443</v>
      </c>
      <c r="F4551" s="23">
        <v>7939470</v>
      </c>
    </row>
    <row r="4552" spans="1:6" ht="16" customHeight="1" x14ac:dyDescent="0.2">
      <c r="A4552">
        <f>IFERROR(VLOOKUP(C4552,'GASB Match'!$D$2:$F$6042,3,FALSE),"")</f>
        <v>3413560</v>
      </c>
      <c r="B4552" s="17">
        <v>2023</v>
      </c>
      <c r="C4552" s="21" t="s">
        <v>761</v>
      </c>
      <c r="D4552" s="17">
        <v>2080</v>
      </c>
      <c r="E4552" s="17" t="s">
        <v>1443</v>
      </c>
      <c r="F4552" s="23">
        <v>7698592</v>
      </c>
    </row>
    <row r="4553" spans="1:6" ht="16" customHeight="1" x14ac:dyDescent="0.2">
      <c r="A4553">
        <f>IFERROR(VLOOKUP(C4553,'GASB Match'!$D$2:$F$6042,3,FALSE),"")</f>
        <v>3413560</v>
      </c>
      <c r="B4553" s="28">
        <v>2017</v>
      </c>
      <c r="C4553" s="29" t="s">
        <v>82</v>
      </c>
      <c r="D4553" s="17">
        <v>2080</v>
      </c>
      <c r="E4553" s="17" t="s">
        <v>1402</v>
      </c>
      <c r="F4553" s="29">
        <v>2057647</v>
      </c>
    </row>
    <row r="4554" spans="1:6" ht="16" customHeight="1" x14ac:dyDescent="0.2">
      <c r="A4554">
        <f>IFERROR(VLOOKUP(C4554,'GASB Match'!$D$2:$F$6042,3,FALSE),"")</f>
        <v>3413590</v>
      </c>
      <c r="B4554" s="17">
        <v>2015</v>
      </c>
      <c r="C4554" s="17" t="s">
        <v>83</v>
      </c>
      <c r="D4554" s="17">
        <v>2074</v>
      </c>
      <c r="E4554" s="17" t="s">
        <v>1402</v>
      </c>
      <c r="F4554" s="20">
        <v>1305309</v>
      </c>
    </row>
    <row r="4555" spans="1:6" ht="16" customHeight="1" x14ac:dyDescent="0.2">
      <c r="A4555">
        <f>IFERROR(VLOOKUP(C4555,'GASB Match'!$D$2:$F$6042,3,FALSE),"")</f>
        <v>3413590</v>
      </c>
      <c r="B4555" s="17">
        <v>2016</v>
      </c>
      <c r="C4555" s="17" t="s">
        <v>83</v>
      </c>
      <c r="D4555" s="17">
        <v>2074</v>
      </c>
      <c r="E4555" s="17" t="s">
        <v>1402</v>
      </c>
      <c r="F4555" s="20">
        <v>1940721</v>
      </c>
    </row>
    <row r="4556" spans="1:6" ht="16" customHeight="1" x14ac:dyDescent="0.2">
      <c r="A4556">
        <f>IFERROR(VLOOKUP(C4556,'GASB Match'!$D$2:$F$6042,3,FALSE),"")</f>
        <v>3413590</v>
      </c>
      <c r="B4556" s="17">
        <v>2018</v>
      </c>
      <c r="C4556" s="17" t="s">
        <v>762</v>
      </c>
      <c r="D4556" s="17">
        <v>2074</v>
      </c>
      <c r="E4556" s="17" t="s">
        <v>1443</v>
      </c>
      <c r="F4556" s="20">
        <v>3617212</v>
      </c>
    </row>
    <row r="4557" spans="1:6" ht="16" customHeight="1" x14ac:dyDescent="0.2">
      <c r="A4557">
        <f>IFERROR(VLOOKUP(C4557,'GASB Match'!$D$2:$F$6042,3,FALSE),"")</f>
        <v>3413590</v>
      </c>
      <c r="B4557" s="17">
        <v>2019</v>
      </c>
      <c r="C4557" s="17" t="s">
        <v>762</v>
      </c>
      <c r="D4557" s="17">
        <v>2074</v>
      </c>
      <c r="E4557" s="17" t="s">
        <v>1443</v>
      </c>
      <c r="F4557" s="20">
        <v>4765457</v>
      </c>
    </row>
    <row r="4558" spans="1:6" ht="16" customHeight="1" x14ac:dyDescent="0.2">
      <c r="A4558">
        <f>IFERROR(VLOOKUP(C4558,'GASB Match'!$D$2:$F$6042,3,FALSE),"")</f>
        <v>3413590</v>
      </c>
      <c r="B4558" s="17">
        <v>2020</v>
      </c>
      <c r="C4558" s="21" t="s">
        <v>762</v>
      </c>
      <c r="D4558" s="17">
        <v>2074</v>
      </c>
      <c r="E4558" s="17" t="s">
        <v>1443</v>
      </c>
      <c r="F4558" s="23">
        <v>5501014</v>
      </c>
    </row>
    <row r="4559" spans="1:6" ht="16" customHeight="1" x14ac:dyDescent="0.2">
      <c r="A4559">
        <f>IFERROR(VLOOKUP(C4559,'GASB Match'!$D$2:$F$6042,3,FALSE),"")</f>
        <v>3413590</v>
      </c>
      <c r="B4559" s="17">
        <v>2021</v>
      </c>
      <c r="C4559" s="25" t="s">
        <v>762</v>
      </c>
      <c r="D4559" s="17">
        <v>2074</v>
      </c>
      <c r="E4559" s="17" t="s">
        <v>1443</v>
      </c>
      <c r="F4559" s="23">
        <v>7045775</v>
      </c>
    </row>
    <row r="4560" spans="1:6" ht="16" customHeight="1" x14ac:dyDescent="0.2">
      <c r="A4560">
        <f>IFERROR(VLOOKUP(C4560,'GASB Match'!$D$2:$F$6042,3,FALSE),"")</f>
        <v>3413590</v>
      </c>
      <c r="B4560" s="17">
        <v>2022</v>
      </c>
      <c r="C4560" s="21" t="s">
        <v>762</v>
      </c>
      <c r="D4560" s="17">
        <v>2074</v>
      </c>
      <c r="E4560" s="17" t="s">
        <v>1443</v>
      </c>
      <c r="F4560" s="23">
        <v>10108913</v>
      </c>
    </row>
    <row r="4561" spans="1:6" ht="16" customHeight="1" x14ac:dyDescent="0.2">
      <c r="A4561">
        <f>IFERROR(VLOOKUP(C4561,'GASB Match'!$D$2:$F$6042,3,FALSE),"")</f>
        <v>3413590</v>
      </c>
      <c r="B4561" s="17">
        <v>2023</v>
      </c>
      <c r="C4561" s="21" t="s">
        <v>762</v>
      </c>
      <c r="D4561" s="17">
        <v>2074</v>
      </c>
      <c r="E4561" s="17" t="s">
        <v>1443</v>
      </c>
      <c r="F4561" s="23">
        <v>9957867</v>
      </c>
    </row>
    <row r="4562" spans="1:6" ht="16" customHeight="1" x14ac:dyDescent="0.2">
      <c r="A4562">
        <f>IFERROR(VLOOKUP(C4562,'GASB Match'!$D$2:$F$6042,3,FALSE),"")</f>
        <v>3413590</v>
      </c>
      <c r="B4562" s="28">
        <v>2017</v>
      </c>
      <c r="C4562" s="29" t="s">
        <v>83</v>
      </c>
      <c r="D4562" s="17">
        <v>2074</v>
      </c>
      <c r="E4562" s="17" t="s">
        <v>1402</v>
      </c>
      <c r="F4562" s="29">
        <v>2755385</v>
      </c>
    </row>
    <row r="4563" spans="1:6" ht="16" customHeight="1" x14ac:dyDescent="0.2">
      <c r="A4563">
        <f>IFERROR(VLOOKUP(C4563,'GASB Match'!$D$2:$F$6042,3,FALSE),"")</f>
        <v>3413620</v>
      </c>
      <c r="B4563" s="17">
        <v>2015</v>
      </c>
      <c r="C4563" s="17" t="s">
        <v>136</v>
      </c>
      <c r="D4563" s="17">
        <v>3048</v>
      </c>
      <c r="E4563" s="17" t="s">
        <v>1404</v>
      </c>
      <c r="F4563" s="20">
        <v>616046</v>
      </c>
    </row>
    <row r="4564" spans="1:6" ht="16" customHeight="1" x14ac:dyDescent="0.2">
      <c r="A4564">
        <f>IFERROR(VLOOKUP(C4564,'GASB Match'!$D$2:$F$6042,3,FALSE),"")</f>
        <v>3413620</v>
      </c>
      <c r="B4564" s="17">
        <v>2016</v>
      </c>
      <c r="C4564" s="17" t="s">
        <v>136</v>
      </c>
      <c r="D4564" s="17">
        <v>3048</v>
      </c>
      <c r="E4564" s="17" t="s">
        <v>1404</v>
      </c>
      <c r="F4564" s="20">
        <v>888688</v>
      </c>
    </row>
    <row r="4565" spans="1:6" ht="16" customHeight="1" x14ac:dyDescent="0.2">
      <c r="A4565">
        <f>IFERROR(VLOOKUP(C4565,'GASB Match'!$D$2:$F$6042,3,FALSE),"")</f>
        <v>3413620</v>
      </c>
      <c r="B4565" s="17">
        <v>2018</v>
      </c>
      <c r="C4565" s="17" t="s">
        <v>817</v>
      </c>
      <c r="D4565" s="17">
        <v>3048</v>
      </c>
      <c r="E4565" s="17" t="s">
        <v>1445</v>
      </c>
      <c r="F4565" s="20">
        <v>1807998</v>
      </c>
    </row>
    <row r="4566" spans="1:6" ht="16" customHeight="1" x14ac:dyDescent="0.2">
      <c r="A4566">
        <f>IFERROR(VLOOKUP(C4566,'GASB Match'!$D$2:$F$6042,3,FALSE),"")</f>
        <v>3413620</v>
      </c>
      <c r="B4566" s="17">
        <v>2019</v>
      </c>
      <c r="C4566" s="17" t="s">
        <v>817</v>
      </c>
      <c r="D4566" s="17">
        <v>3048</v>
      </c>
      <c r="E4566" s="17" t="s">
        <v>1445</v>
      </c>
      <c r="F4566" s="20">
        <v>2461930</v>
      </c>
    </row>
    <row r="4567" spans="1:6" ht="16" customHeight="1" x14ac:dyDescent="0.2">
      <c r="A4567">
        <f>IFERROR(VLOOKUP(C4567,'GASB Match'!$D$2:$F$6042,3,FALSE),"")</f>
        <v>3413620</v>
      </c>
      <c r="B4567" s="17">
        <v>2020</v>
      </c>
      <c r="C4567" s="21" t="s">
        <v>817</v>
      </c>
      <c r="D4567" s="17">
        <v>3048</v>
      </c>
      <c r="E4567" s="17" t="s">
        <v>1445</v>
      </c>
      <c r="F4567" s="23">
        <v>2812753</v>
      </c>
    </row>
    <row r="4568" spans="1:6" ht="16" customHeight="1" x14ac:dyDescent="0.2">
      <c r="A4568">
        <f>IFERROR(VLOOKUP(C4568,'GASB Match'!$D$2:$F$6042,3,FALSE),"")</f>
        <v>3413620</v>
      </c>
      <c r="B4568" s="17">
        <v>2021</v>
      </c>
      <c r="C4568" s="25" t="s">
        <v>817</v>
      </c>
      <c r="D4568" s="17">
        <v>3048</v>
      </c>
      <c r="E4568" s="17" t="s">
        <v>1445</v>
      </c>
      <c r="F4568" s="23">
        <v>3676510</v>
      </c>
    </row>
    <row r="4569" spans="1:6" ht="16" customHeight="1" x14ac:dyDescent="0.2">
      <c r="A4569">
        <f>IFERROR(VLOOKUP(C4569,'GASB Match'!$D$2:$F$6042,3,FALSE),"")</f>
        <v>3413620</v>
      </c>
      <c r="B4569" s="17">
        <v>2022</v>
      </c>
      <c r="C4569" s="21" t="s">
        <v>817</v>
      </c>
      <c r="D4569" s="17">
        <v>3048</v>
      </c>
      <c r="E4569" s="17" t="s">
        <v>1445</v>
      </c>
      <c r="F4569" s="23">
        <v>5279933</v>
      </c>
    </row>
    <row r="4570" spans="1:6" ht="16" customHeight="1" x14ac:dyDescent="0.2">
      <c r="A4570">
        <f>IFERROR(VLOOKUP(C4570,'GASB Match'!$D$2:$F$6042,3,FALSE),"")</f>
        <v>3413620</v>
      </c>
      <c r="B4570" s="17">
        <v>2023</v>
      </c>
      <c r="C4570" s="21" t="s">
        <v>817</v>
      </c>
      <c r="D4570" s="17">
        <v>3048</v>
      </c>
      <c r="E4570" s="17" t="s">
        <v>1445</v>
      </c>
      <c r="F4570" s="23">
        <v>5119093</v>
      </c>
    </row>
    <row r="4571" spans="1:6" ht="16" customHeight="1" x14ac:dyDescent="0.2">
      <c r="A4571">
        <f>IFERROR(VLOOKUP(C4571,'GASB Match'!$D$2:$F$6042,3,FALSE),"")</f>
        <v>3413620</v>
      </c>
      <c r="B4571" s="28">
        <v>2017</v>
      </c>
      <c r="C4571" s="29" t="s">
        <v>136</v>
      </c>
      <c r="D4571" s="17">
        <v>3048</v>
      </c>
      <c r="E4571" s="17" t="s">
        <v>1404</v>
      </c>
      <c r="F4571" s="29">
        <v>1273484</v>
      </c>
    </row>
    <row r="4572" spans="1:6" ht="16" customHeight="1" x14ac:dyDescent="0.2">
      <c r="A4572">
        <f>IFERROR(VLOOKUP(C4572,'GASB Match'!$D$2:$F$6042,3,FALSE),"")</f>
        <v>3413650</v>
      </c>
      <c r="B4572" s="17">
        <v>2015</v>
      </c>
      <c r="C4572" s="17" t="s">
        <v>486</v>
      </c>
      <c r="D4572" s="17">
        <v>441</v>
      </c>
      <c r="E4572" s="17" t="s">
        <v>1421</v>
      </c>
      <c r="F4572" s="20">
        <v>1936816</v>
      </c>
    </row>
    <row r="4573" spans="1:6" ht="16" customHeight="1" x14ac:dyDescent="0.2">
      <c r="A4573">
        <f>IFERROR(VLOOKUP(C4573,'GASB Match'!$D$2:$F$6042,3,FALSE),"")</f>
        <v>3413650</v>
      </c>
      <c r="B4573" s="17">
        <v>2016</v>
      </c>
      <c r="C4573" s="17" t="s">
        <v>486</v>
      </c>
      <c r="D4573" s="17">
        <v>441</v>
      </c>
      <c r="E4573" s="17" t="s">
        <v>1421</v>
      </c>
      <c r="F4573" s="20">
        <v>2835740</v>
      </c>
    </row>
    <row r="4574" spans="1:6" ht="16" customHeight="1" x14ac:dyDescent="0.2">
      <c r="A4574">
        <f>IFERROR(VLOOKUP(C4574,'GASB Match'!$D$2:$F$6042,3,FALSE),"")</f>
        <v>3413650</v>
      </c>
      <c r="B4574" s="17">
        <v>2018</v>
      </c>
      <c r="C4574" s="17" t="s">
        <v>1178</v>
      </c>
      <c r="D4574" s="17">
        <v>441</v>
      </c>
      <c r="E4574" s="17" t="s">
        <v>1464</v>
      </c>
      <c r="F4574" s="20">
        <v>5445630</v>
      </c>
    </row>
    <row r="4575" spans="1:6" ht="16" customHeight="1" x14ac:dyDescent="0.2">
      <c r="A4575">
        <f>IFERROR(VLOOKUP(C4575,'GASB Match'!$D$2:$F$6042,3,FALSE),"")</f>
        <v>3413650</v>
      </c>
      <c r="B4575" s="17">
        <v>2019</v>
      </c>
      <c r="C4575" s="17" t="s">
        <v>1178</v>
      </c>
      <c r="D4575" s="17">
        <v>441</v>
      </c>
      <c r="E4575" s="17" t="s">
        <v>1464</v>
      </c>
      <c r="F4575" s="20">
        <v>7196136</v>
      </c>
    </row>
    <row r="4576" spans="1:6" ht="16" customHeight="1" x14ac:dyDescent="0.2">
      <c r="A4576">
        <f>IFERROR(VLOOKUP(C4576,'GASB Match'!$D$2:$F$6042,3,FALSE),"")</f>
        <v>3413650</v>
      </c>
      <c r="B4576" s="17">
        <v>2020</v>
      </c>
      <c r="C4576" s="21" t="s">
        <v>1178</v>
      </c>
      <c r="D4576" s="17">
        <v>441</v>
      </c>
      <c r="E4576" s="17" t="s">
        <v>1464</v>
      </c>
      <c r="F4576" s="23">
        <v>7930784</v>
      </c>
    </row>
    <row r="4577" spans="1:6" ht="16" customHeight="1" x14ac:dyDescent="0.2">
      <c r="A4577">
        <f>IFERROR(VLOOKUP(C4577,'GASB Match'!$D$2:$F$6042,3,FALSE),"")</f>
        <v>3413650</v>
      </c>
      <c r="B4577" s="17">
        <v>2021</v>
      </c>
      <c r="C4577" s="25" t="s">
        <v>1178</v>
      </c>
      <c r="D4577" s="17">
        <v>441</v>
      </c>
      <c r="E4577" s="17" t="s">
        <v>1464</v>
      </c>
      <c r="F4577" s="23">
        <v>10516284</v>
      </c>
    </row>
    <row r="4578" spans="1:6" ht="16" customHeight="1" x14ac:dyDescent="0.2">
      <c r="A4578">
        <f>IFERROR(VLOOKUP(C4578,'GASB Match'!$D$2:$F$6042,3,FALSE),"")</f>
        <v>3413650</v>
      </c>
      <c r="B4578" s="17">
        <v>2022</v>
      </c>
      <c r="C4578" s="21" t="s">
        <v>1178</v>
      </c>
      <c r="D4578" s="17">
        <v>441</v>
      </c>
      <c r="E4578" s="17" t="s">
        <v>1464</v>
      </c>
      <c r="F4578" s="23">
        <v>14350046</v>
      </c>
    </row>
    <row r="4579" spans="1:6" ht="16" customHeight="1" x14ac:dyDescent="0.2">
      <c r="A4579">
        <f>IFERROR(VLOOKUP(C4579,'GASB Match'!$D$2:$F$6042,3,FALSE),"")</f>
        <v>3413650</v>
      </c>
      <c r="B4579" s="17">
        <v>2023</v>
      </c>
      <c r="C4579" s="21" t="s">
        <v>1178</v>
      </c>
      <c r="D4579" s="17">
        <v>441</v>
      </c>
      <c r="E4579" s="17" t="s">
        <v>1464</v>
      </c>
      <c r="F4579" s="23">
        <v>13941107</v>
      </c>
    </row>
    <row r="4580" spans="1:6" ht="16" customHeight="1" x14ac:dyDescent="0.2">
      <c r="A4580">
        <f>IFERROR(VLOOKUP(C4580,'GASB Match'!$D$2:$F$6042,3,FALSE),"")</f>
        <v>3413650</v>
      </c>
      <c r="B4580" s="28">
        <v>2017</v>
      </c>
      <c r="C4580" s="29" t="s">
        <v>486</v>
      </c>
      <c r="D4580" s="17">
        <v>441</v>
      </c>
      <c r="E4580" s="17" t="s">
        <v>1421</v>
      </c>
      <c r="F4580" s="29">
        <v>3884786</v>
      </c>
    </row>
    <row r="4581" spans="1:6" ht="16" customHeight="1" x14ac:dyDescent="0.2">
      <c r="A4581">
        <f>IFERROR(VLOOKUP(C4581,'GASB Match'!$D$2:$F$6042,3,FALSE),"")</f>
        <v>3413710</v>
      </c>
      <c r="B4581" s="17">
        <v>2015</v>
      </c>
      <c r="C4581" s="17" t="s">
        <v>349</v>
      </c>
      <c r="D4581" s="17">
        <v>9033</v>
      </c>
      <c r="E4581" s="17" t="s">
        <v>1415</v>
      </c>
      <c r="F4581" s="20">
        <v>758601</v>
      </c>
    </row>
    <row r="4582" spans="1:6" ht="16" customHeight="1" x14ac:dyDescent="0.2">
      <c r="A4582">
        <f>IFERROR(VLOOKUP(C4582,'GASB Match'!$D$2:$F$6042,3,FALSE),"")</f>
        <v>3413710</v>
      </c>
      <c r="B4582" s="17">
        <v>2016</v>
      </c>
      <c r="C4582" s="17" t="s">
        <v>349</v>
      </c>
      <c r="D4582" s="17">
        <v>9033</v>
      </c>
      <c r="E4582" s="17" t="s">
        <v>1415</v>
      </c>
      <c r="F4582" s="20">
        <v>1109921</v>
      </c>
    </row>
    <row r="4583" spans="1:6" ht="16" customHeight="1" x14ac:dyDescent="0.2">
      <c r="A4583">
        <f>IFERROR(VLOOKUP(C4583,'GASB Match'!$D$2:$F$6042,3,FALSE),"")</f>
        <v>3413710</v>
      </c>
      <c r="B4583" s="17">
        <v>2018</v>
      </c>
      <c r="C4583" s="17" t="s">
        <v>1041</v>
      </c>
      <c r="D4583" s="17">
        <v>9033</v>
      </c>
      <c r="E4583" s="17" t="s">
        <v>1458</v>
      </c>
      <c r="F4583" s="20">
        <v>2026484</v>
      </c>
    </row>
    <row r="4584" spans="1:6" ht="16" customHeight="1" x14ac:dyDescent="0.2">
      <c r="A4584">
        <f>IFERROR(VLOOKUP(C4584,'GASB Match'!$D$2:$F$6042,3,FALSE),"")</f>
        <v>3413710</v>
      </c>
      <c r="B4584" s="17">
        <v>2019</v>
      </c>
      <c r="C4584" s="17" t="s">
        <v>1041</v>
      </c>
      <c r="D4584" s="17">
        <v>9033</v>
      </c>
      <c r="E4584" s="17" t="s">
        <v>1458</v>
      </c>
      <c r="F4584" s="20">
        <v>2655114</v>
      </c>
    </row>
    <row r="4585" spans="1:6" ht="16" customHeight="1" x14ac:dyDescent="0.2">
      <c r="A4585">
        <f>IFERROR(VLOOKUP(C4585,'GASB Match'!$D$2:$F$6042,3,FALSE),"")</f>
        <v>3413710</v>
      </c>
      <c r="B4585" s="17">
        <v>2020</v>
      </c>
      <c r="C4585" s="21" t="s">
        <v>1041</v>
      </c>
      <c r="D4585" s="17">
        <v>9033</v>
      </c>
      <c r="E4585" s="17" t="s">
        <v>1458</v>
      </c>
      <c r="F4585" s="23">
        <v>2942945</v>
      </c>
    </row>
    <row r="4586" spans="1:6" ht="16" customHeight="1" x14ac:dyDescent="0.2">
      <c r="A4586">
        <f>IFERROR(VLOOKUP(C4586,'GASB Match'!$D$2:$F$6042,3,FALSE),"")</f>
        <v>3413710</v>
      </c>
      <c r="B4586" s="17">
        <v>2021</v>
      </c>
      <c r="C4586" s="25" t="s">
        <v>1041</v>
      </c>
      <c r="D4586" s="17">
        <v>9033</v>
      </c>
      <c r="E4586" s="17" t="s">
        <v>1458</v>
      </c>
      <c r="F4586" s="23">
        <v>3976248</v>
      </c>
    </row>
    <row r="4587" spans="1:6" ht="16" customHeight="1" x14ac:dyDescent="0.2">
      <c r="A4587">
        <f>IFERROR(VLOOKUP(C4587,'GASB Match'!$D$2:$F$6042,3,FALSE),"")</f>
        <v>3413710</v>
      </c>
      <c r="B4587" s="17">
        <v>2022</v>
      </c>
      <c r="C4587" s="21" t="s">
        <v>1041</v>
      </c>
      <c r="D4587" s="17">
        <v>9033</v>
      </c>
      <c r="E4587" s="17" t="s">
        <v>1458</v>
      </c>
      <c r="F4587" s="23">
        <v>5515767</v>
      </c>
    </row>
    <row r="4588" spans="1:6" ht="16" customHeight="1" x14ac:dyDescent="0.2">
      <c r="A4588">
        <f>IFERROR(VLOOKUP(C4588,'GASB Match'!$D$2:$F$6042,3,FALSE),"")</f>
        <v>3413710</v>
      </c>
      <c r="B4588" s="17">
        <v>2023</v>
      </c>
      <c r="C4588" s="21" t="s">
        <v>1041</v>
      </c>
      <c r="D4588" s="17">
        <v>9033</v>
      </c>
      <c r="E4588" s="17" t="s">
        <v>1458</v>
      </c>
      <c r="F4588" s="23">
        <v>5420223</v>
      </c>
    </row>
    <row r="4589" spans="1:6" ht="16" customHeight="1" x14ac:dyDescent="0.2">
      <c r="A4589">
        <f>IFERROR(VLOOKUP(C4589,'GASB Match'!$D$2:$F$6042,3,FALSE),"")</f>
        <v>3413710</v>
      </c>
      <c r="B4589" s="28">
        <v>2017</v>
      </c>
      <c r="C4589" s="29" t="s">
        <v>349</v>
      </c>
      <c r="D4589" s="17">
        <v>9033</v>
      </c>
      <c r="E4589" s="17" t="s">
        <v>1415</v>
      </c>
      <c r="F4589" s="29">
        <v>1502040</v>
      </c>
    </row>
    <row r="4590" spans="1:6" ht="16" customHeight="1" x14ac:dyDescent="0.2">
      <c r="A4590">
        <f>IFERROR(VLOOKUP(C4590,'GASB Match'!$D$2:$F$6042,3,FALSE),"")</f>
        <v>3413740</v>
      </c>
      <c r="B4590" s="17">
        <v>2015</v>
      </c>
      <c r="C4590" s="17" t="s">
        <v>438</v>
      </c>
      <c r="D4590" s="17">
        <v>353</v>
      </c>
      <c r="E4590" s="17" t="s">
        <v>1420</v>
      </c>
      <c r="F4590" s="20">
        <v>346249</v>
      </c>
    </row>
    <row r="4591" spans="1:6" ht="16" customHeight="1" x14ac:dyDescent="0.2">
      <c r="A4591">
        <f>IFERROR(VLOOKUP(C4591,'GASB Match'!$D$2:$F$6042,3,FALSE),"")</f>
        <v>3413740</v>
      </c>
      <c r="B4591" s="17">
        <v>2016</v>
      </c>
      <c r="C4591" s="17" t="s">
        <v>438</v>
      </c>
      <c r="D4591" s="17">
        <v>353</v>
      </c>
      <c r="E4591" s="17" t="s">
        <v>1420</v>
      </c>
      <c r="F4591" s="20">
        <v>470239</v>
      </c>
    </row>
    <row r="4592" spans="1:6" ht="16" customHeight="1" x14ac:dyDescent="0.2">
      <c r="A4592">
        <f>IFERROR(VLOOKUP(C4592,'GASB Match'!$D$2:$F$6042,3,FALSE),"")</f>
        <v>3413740</v>
      </c>
      <c r="B4592" s="17">
        <v>2018</v>
      </c>
      <c r="C4592" s="17" t="s">
        <v>1130</v>
      </c>
      <c r="D4592" s="17">
        <v>353</v>
      </c>
      <c r="E4592" s="17" t="s">
        <v>1463</v>
      </c>
      <c r="F4592" s="20">
        <v>990435</v>
      </c>
    </row>
    <row r="4593" spans="1:6" ht="16" customHeight="1" x14ac:dyDescent="0.2">
      <c r="A4593">
        <f>IFERROR(VLOOKUP(C4593,'GASB Match'!$D$2:$F$6042,3,FALSE),"")</f>
        <v>3413740</v>
      </c>
      <c r="B4593" s="17">
        <v>2019</v>
      </c>
      <c r="C4593" s="17" t="s">
        <v>1130</v>
      </c>
      <c r="D4593" s="17">
        <v>353</v>
      </c>
      <c r="E4593" s="17" t="s">
        <v>1463</v>
      </c>
      <c r="F4593" s="20">
        <v>1391451</v>
      </c>
    </row>
    <row r="4594" spans="1:6" ht="16" customHeight="1" x14ac:dyDescent="0.2">
      <c r="A4594">
        <f>IFERROR(VLOOKUP(C4594,'GASB Match'!$D$2:$F$6042,3,FALSE),"")</f>
        <v>3413740</v>
      </c>
      <c r="B4594" s="17">
        <v>2020</v>
      </c>
      <c r="C4594" s="21" t="s">
        <v>1130</v>
      </c>
      <c r="D4594" s="17">
        <v>353</v>
      </c>
      <c r="E4594" s="17" t="s">
        <v>1463</v>
      </c>
      <c r="F4594" s="23">
        <v>1637001</v>
      </c>
    </row>
    <row r="4595" spans="1:6" ht="16" customHeight="1" x14ac:dyDescent="0.2">
      <c r="A4595">
        <f>IFERROR(VLOOKUP(C4595,'GASB Match'!$D$2:$F$6042,3,FALSE),"")</f>
        <v>3413740</v>
      </c>
      <c r="B4595" s="17">
        <v>2021</v>
      </c>
      <c r="C4595" s="25" t="s">
        <v>1130</v>
      </c>
      <c r="D4595" s="17">
        <v>353</v>
      </c>
      <c r="E4595" s="17" t="s">
        <v>1463</v>
      </c>
      <c r="F4595" s="23">
        <v>2278903</v>
      </c>
    </row>
    <row r="4596" spans="1:6" ht="16" customHeight="1" x14ac:dyDescent="0.2">
      <c r="A4596">
        <f>IFERROR(VLOOKUP(C4596,'GASB Match'!$D$2:$F$6042,3,FALSE),"")</f>
        <v>3413740</v>
      </c>
      <c r="B4596" s="17">
        <v>2022</v>
      </c>
      <c r="C4596" s="21" t="s">
        <v>1130</v>
      </c>
      <c r="D4596" s="17">
        <v>353</v>
      </c>
      <c r="E4596" s="17" t="s">
        <v>1463</v>
      </c>
      <c r="F4596" s="23">
        <v>3389606</v>
      </c>
    </row>
    <row r="4597" spans="1:6" ht="16" customHeight="1" x14ac:dyDescent="0.2">
      <c r="A4597">
        <f>IFERROR(VLOOKUP(C4597,'GASB Match'!$D$2:$F$6042,3,FALSE),"")</f>
        <v>3413740</v>
      </c>
      <c r="B4597" s="17">
        <v>2023</v>
      </c>
      <c r="C4597" s="21" t="s">
        <v>1130</v>
      </c>
      <c r="D4597" s="17">
        <v>353</v>
      </c>
      <c r="E4597" s="17" t="s">
        <v>1463</v>
      </c>
      <c r="F4597" s="23">
        <v>3559669</v>
      </c>
    </row>
    <row r="4598" spans="1:6" ht="16" customHeight="1" x14ac:dyDescent="0.2">
      <c r="A4598">
        <f>IFERROR(VLOOKUP(C4598,'GASB Match'!$D$2:$F$6042,3,FALSE),"")</f>
        <v>3413740</v>
      </c>
      <c r="B4598" s="28">
        <v>2017</v>
      </c>
      <c r="C4598" s="29" t="s">
        <v>438</v>
      </c>
      <c r="D4598" s="17">
        <v>353</v>
      </c>
      <c r="E4598" s="17" t="s">
        <v>1420</v>
      </c>
      <c r="F4598" s="29">
        <v>683905</v>
      </c>
    </row>
    <row r="4599" spans="1:6" ht="16" customHeight="1" x14ac:dyDescent="0.2">
      <c r="A4599">
        <f>IFERROR(VLOOKUP(C4599,'GASB Match'!$D$2:$F$6042,3,FALSE),"")</f>
        <v>3400049</v>
      </c>
      <c r="B4599" s="17">
        <v>2015</v>
      </c>
      <c r="C4599" s="17" t="s">
        <v>439</v>
      </c>
      <c r="D4599" s="17">
        <v>360</v>
      </c>
      <c r="E4599" s="17" t="s">
        <v>1420</v>
      </c>
      <c r="F4599" s="20">
        <v>64385</v>
      </c>
    </row>
    <row r="4600" spans="1:6" ht="16" customHeight="1" x14ac:dyDescent="0.2">
      <c r="A4600">
        <f>IFERROR(VLOOKUP(C4600,'GASB Match'!$D$2:$F$6042,3,FALSE),"")</f>
        <v>3400049</v>
      </c>
      <c r="B4600" s="17">
        <v>2016</v>
      </c>
      <c r="C4600" s="17" t="s">
        <v>439</v>
      </c>
      <c r="D4600" s="17">
        <v>360</v>
      </c>
      <c r="E4600" s="17" t="s">
        <v>1420</v>
      </c>
      <c r="F4600" s="20">
        <v>110793</v>
      </c>
    </row>
    <row r="4601" spans="1:6" ht="16" customHeight="1" x14ac:dyDescent="0.2">
      <c r="A4601">
        <f>IFERROR(VLOOKUP(C4601,'GASB Match'!$D$2:$F$6042,3,FALSE),"")</f>
        <v>3400049</v>
      </c>
      <c r="B4601" s="17">
        <v>2018</v>
      </c>
      <c r="C4601" s="17" t="s">
        <v>1131</v>
      </c>
      <c r="D4601" s="17">
        <v>360</v>
      </c>
      <c r="E4601" s="17" t="s">
        <v>1463</v>
      </c>
      <c r="F4601" s="20">
        <v>212628</v>
      </c>
    </row>
    <row r="4602" spans="1:6" ht="16" customHeight="1" x14ac:dyDescent="0.2">
      <c r="A4602">
        <f>IFERROR(VLOOKUP(C4602,'GASB Match'!$D$2:$F$6042,3,FALSE),"")</f>
        <v>3400049</v>
      </c>
      <c r="B4602" s="17">
        <v>2019</v>
      </c>
      <c r="C4602" s="17" t="s">
        <v>1131</v>
      </c>
      <c r="D4602" s="17">
        <v>360</v>
      </c>
      <c r="E4602" s="17" t="s">
        <v>1463</v>
      </c>
      <c r="F4602" s="20">
        <v>295732</v>
      </c>
    </row>
    <row r="4603" spans="1:6" ht="16" customHeight="1" x14ac:dyDescent="0.2">
      <c r="A4603">
        <f>IFERROR(VLOOKUP(C4603,'GASB Match'!$D$2:$F$6042,3,FALSE),"")</f>
        <v>3400049</v>
      </c>
      <c r="B4603" s="17">
        <v>2020</v>
      </c>
      <c r="C4603" s="21" t="s">
        <v>1131</v>
      </c>
      <c r="D4603" s="17">
        <v>360</v>
      </c>
      <c r="E4603" s="17" t="s">
        <v>1463</v>
      </c>
      <c r="F4603" s="23">
        <v>321814</v>
      </c>
    </row>
    <row r="4604" spans="1:6" ht="16" customHeight="1" x14ac:dyDescent="0.2">
      <c r="A4604">
        <f>IFERROR(VLOOKUP(C4604,'GASB Match'!$D$2:$F$6042,3,FALSE),"")</f>
        <v>3400049</v>
      </c>
      <c r="B4604" s="17">
        <v>2021</v>
      </c>
      <c r="C4604" s="25" t="s">
        <v>1131</v>
      </c>
      <c r="D4604" s="17">
        <v>360</v>
      </c>
      <c r="E4604" s="17" t="s">
        <v>1463</v>
      </c>
      <c r="F4604" s="23">
        <v>427859</v>
      </c>
    </row>
    <row r="4605" spans="1:6" ht="16" customHeight="1" x14ac:dyDescent="0.2">
      <c r="A4605">
        <f>IFERROR(VLOOKUP(C4605,'GASB Match'!$D$2:$F$6042,3,FALSE),"")</f>
        <v>3400049</v>
      </c>
      <c r="B4605" s="17">
        <v>2022</v>
      </c>
      <c r="C4605" s="21" t="s">
        <v>1131</v>
      </c>
      <c r="D4605" s="17">
        <v>360</v>
      </c>
      <c r="E4605" s="17" t="s">
        <v>1463</v>
      </c>
      <c r="F4605" s="23">
        <v>594928</v>
      </c>
    </row>
    <row r="4606" spans="1:6" ht="16" customHeight="1" x14ac:dyDescent="0.2">
      <c r="A4606">
        <f>IFERROR(VLOOKUP(C4606,'GASB Match'!$D$2:$F$6042,3,FALSE),"")</f>
        <v>3400049</v>
      </c>
      <c r="B4606" s="17">
        <v>2023</v>
      </c>
      <c r="C4606" s="21" t="s">
        <v>1131</v>
      </c>
      <c r="D4606" s="17">
        <v>360</v>
      </c>
      <c r="E4606" s="17" t="s">
        <v>1463</v>
      </c>
      <c r="F4606" s="23">
        <v>609822</v>
      </c>
    </row>
    <row r="4607" spans="1:6" ht="16" customHeight="1" x14ac:dyDescent="0.2">
      <c r="A4607">
        <f>IFERROR(VLOOKUP(C4607,'GASB Match'!$D$2:$F$6042,3,FALSE),"")</f>
        <v>3400049</v>
      </c>
      <c r="B4607" s="28">
        <v>2017</v>
      </c>
      <c r="C4607" s="29" t="s">
        <v>439</v>
      </c>
      <c r="D4607" s="17">
        <v>360</v>
      </c>
      <c r="E4607" s="17" t="s">
        <v>1420</v>
      </c>
      <c r="F4607" s="29">
        <v>141420</v>
      </c>
    </row>
    <row r="4608" spans="1:6" ht="16" customHeight="1" x14ac:dyDescent="0.2">
      <c r="A4608">
        <f>IFERROR(VLOOKUP(C4608,'GASB Match'!$D$2:$F$6042,3,FALSE),"")</f>
        <v>3413750</v>
      </c>
      <c r="B4608" s="17">
        <v>2015</v>
      </c>
      <c r="C4608" s="17" t="s">
        <v>440</v>
      </c>
      <c r="D4608" s="17">
        <v>301</v>
      </c>
      <c r="E4608" s="17" t="s">
        <v>1420</v>
      </c>
      <c r="F4608" s="20">
        <v>507662</v>
      </c>
    </row>
    <row r="4609" spans="1:6" ht="16" customHeight="1" x14ac:dyDescent="0.2">
      <c r="A4609">
        <f>IFERROR(VLOOKUP(C4609,'GASB Match'!$D$2:$F$6042,3,FALSE),"")</f>
        <v>3413750</v>
      </c>
      <c r="B4609" s="17">
        <v>2016</v>
      </c>
      <c r="C4609" s="17" t="s">
        <v>440</v>
      </c>
      <c r="D4609" s="17">
        <v>301</v>
      </c>
      <c r="E4609" s="17" t="s">
        <v>1420</v>
      </c>
      <c r="F4609" s="20">
        <v>777256</v>
      </c>
    </row>
    <row r="4610" spans="1:6" ht="16" customHeight="1" x14ac:dyDescent="0.2">
      <c r="A4610">
        <f>IFERROR(VLOOKUP(C4610,'GASB Match'!$D$2:$F$6042,3,FALSE),"")</f>
        <v>3413750</v>
      </c>
      <c r="B4610" s="17">
        <v>2018</v>
      </c>
      <c r="C4610" s="17" t="s">
        <v>1132</v>
      </c>
      <c r="D4610" s="17">
        <v>301</v>
      </c>
      <c r="E4610" s="17" t="s">
        <v>1463</v>
      </c>
      <c r="F4610" s="20">
        <v>1501219</v>
      </c>
    </row>
    <row r="4611" spans="1:6" ht="16" customHeight="1" x14ac:dyDescent="0.2">
      <c r="A4611">
        <f>IFERROR(VLOOKUP(C4611,'GASB Match'!$D$2:$F$6042,3,FALSE),"")</f>
        <v>3413750</v>
      </c>
      <c r="B4611" s="17">
        <v>2019</v>
      </c>
      <c r="C4611" s="17" t="s">
        <v>1132</v>
      </c>
      <c r="D4611" s="17">
        <v>301</v>
      </c>
      <c r="E4611" s="17" t="s">
        <v>1463</v>
      </c>
      <c r="F4611" s="20">
        <v>2041365</v>
      </c>
    </row>
    <row r="4612" spans="1:6" ht="16" customHeight="1" x14ac:dyDescent="0.2">
      <c r="A4612">
        <f>IFERROR(VLOOKUP(C4612,'GASB Match'!$D$2:$F$6042,3,FALSE),"")</f>
        <v>3413750</v>
      </c>
      <c r="B4612" s="17">
        <v>2020</v>
      </c>
      <c r="C4612" s="21" t="s">
        <v>1132</v>
      </c>
      <c r="D4612" s="17">
        <v>301</v>
      </c>
      <c r="E4612" s="17" t="s">
        <v>1463</v>
      </c>
      <c r="F4612" s="23">
        <v>2312421</v>
      </c>
    </row>
    <row r="4613" spans="1:6" ht="16" customHeight="1" x14ac:dyDescent="0.2">
      <c r="A4613">
        <f>IFERROR(VLOOKUP(C4613,'GASB Match'!$D$2:$F$6042,3,FALSE),"")</f>
        <v>3413750</v>
      </c>
      <c r="B4613" s="17">
        <v>2021</v>
      </c>
      <c r="C4613" s="25" t="s">
        <v>1132</v>
      </c>
      <c r="D4613" s="17">
        <v>301</v>
      </c>
      <c r="E4613" s="17" t="s">
        <v>1463</v>
      </c>
      <c r="F4613" s="23">
        <v>3016523</v>
      </c>
    </row>
    <row r="4614" spans="1:6" ht="16" customHeight="1" x14ac:dyDescent="0.2">
      <c r="A4614">
        <f>IFERROR(VLOOKUP(C4614,'GASB Match'!$D$2:$F$6042,3,FALSE),"")</f>
        <v>3413750</v>
      </c>
      <c r="B4614" s="17">
        <v>2022</v>
      </c>
      <c r="C4614" s="21" t="s">
        <v>1132</v>
      </c>
      <c r="D4614" s="17">
        <v>301</v>
      </c>
      <c r="E4614" s="17" t="s">
        <v>1463</v>
      </c>
      <c r="F4614" s="23">
        <v>4160485</v>
      </c>
    </row>
    <row r="4615" spans="1:6" ht="16" customHeight="1" x14ac:dyDescent="0.2">
      <c r="A4615">
        <f>IFERROR(VLOOKUP(C4615,'GASB Match'!$D$2:$F$6042,3,FALSE),"")</f>
        <v>3413750</v>
      </c>
      <c r="B4615" s="17">
        <v>2023</v>
      </c>
      <c r="C4615" s="21" t="s">
        <v>1132</v>
      </c>
      <c r="D4615" s="17">
        <v>301</v>
      </c>
      <c r="E4615" s="17" t="s">
        <v>1463</v>
      </c>
      <c r="F4615" s="23">
        <v>4236182</v>
      </c>
    </row>
    <row r="4616" spans="1:6" ht="16" customHeight="1" x14ac:dyDescent="0.2">
      <c r="A4616">
        <f>IFERROR(VLOOKUP(C4616,'GASB Match'!$D$2:$F$6042,3,FALSE),"")</f>
        <v>3413750</v>
      </c>
      <c r="B4616" s="28">
        <v>2017</v>
      </c>
      <c r="C4616" s="29" t="s">
        <v>440</v>
      </c>
      <c r="D4616" s="17">
        <v>301</v>
      </c>
      <c r="E4616" s="17" t="s">
        <v>1420</v>
      </c>
      <c r="F4616" s="29">
        <v>1108277</v>
      </c>
    </row>
    <row r="4617" spans="1:6" ht="16" customHeight="1" x14ac:dyDescent="0.2">
      <c r="A4617">
        <f>IFERROR(VLOOKUP(C4617,'GASB Match'!$D$2:$F$6042,3,FALSE),"")</f>
        <v>3400737</v>
      </c>
      <c r="B4617" s="17">
        <v>2015</v>
      </c>
      <c r="C4617" s="17" t="s">
        <v>137</v>
      </c>
      <c r="D4617" s="17">
        <v>3057</v>
      </c>
      <c r="E4617" s="17" t="s">
        <v>1404</v>
      </c>
      <c r="F4617" s="20">
        <v>28658</v>
      </c>
    </row>
    <row r="4618" spans="1:6" ht="16" customHeight="1" x14ac:dyDescent="0.2">
      <c r="A4618">
        <f>IFERROR(VLOOKUP(C4618,'GASB Match'!$D$2:$F$6042,3,FALSE),"")</f>
        <v>3400737</v>
      </c>
      <c r="B4618" s="17">
        <v>2016</v>
      </c>
      <c r="C4618" s="17" t="s">
        <v>137</v>
      </c>
      <c r="D4618" s="17">
        <v>3057</v>
      </c>
      <c r="E4618" s="17" t="s">
        <v>1404</v>
      </c>
      <c r="F4618" s="20">
        <v>39557</v>
      </c>
    </row>
    <row r="4619" spans="1:6" ht="16" customHeight="1" x14ac:dyDescent="0.2">
      <c r="A4619">
        <f>IFERROR(VLOOKUP(C4619,'GASB Match'!$D$2:$F$6042,3,FALSE),"")</f>
        <v>3400737</v>
      </c>
      <c r="B4619" s="17">
        <v>2018</v>
      </c>
      <c r="C4619" s="17" t="s">
        <v>818</v>
      </c>
      <c r="D4619" s="17">
        <v>3057</v>
      </c>
      <c r="E4619" s="17" t="s">
        <v>1445</v>
      </c>
      <c r="F4619" s="20">
        <v>50168</v>
      </c>
    </row>
    <row r="4620" spans="1:6" ht="16" customHeight="1" x14ac:dyDescent="0.2">
      <c r="A4620">
        <f>IFERROR(VLOOKUP(C4620,'GASB Match'!$D$2:$F$6042,3,FALSE),"")</f>
        <v>3400737</v>
      </c>
      <c r="B4620" s="28">
        <v>2017</v>
      </c>
      <c r="C4620" s="29" t="s">
        <v>137</v>
      </c>
      <c r="D4620" s="17">
        <v>3057</v>
      </c>
      <c r="E4620" s="17" t="s">
        <v>1404</v>
      </c>
      <c r="F4620" s="29">
        <v>37742</v>
      </c>
    </row>
    <row r="4621" spans="1:6" ht="16" customHeight="1" x14ac:dyDescent="0.2">
      <c r="A4621">
        <f>IFERROR(VLOOKUP(C4621,'GASB Match'!$D$2:$F$6042,3,FALSE),"")</f>
        <v>3400082</v>
      </c>
      <c r="B4621" s="17">
        <v>2015</v>
      </c>
      <c r="C4621" s="17" t="s">
        <v>655</v>
      </c>
      <c r="D4621" s="17">
        <v>902</v>
      </c>
      <c r="E4621" s="17" t="s">
        <v>1429</v>
      </c>
      <c r="F4621" s="20">
        <v>40111</v>
      </c>
    </row>
    <row r="4622" spans="1:6" ht="16" customHeight="1" x14ac:dyDescent="0.2">
      <c r="A4622">
        <f>IFERROR(VLOOKUP(C4622,'GASB Match'!$D$2:$F$6042,3,FALSE),"")</f>
        <v>3400082</v>
      </c>
      <c r="B4622" s="17">
        <v>2016</v>
      </c>
      <c r="C4622" s="17" t="s">
        <v>655</v>
      </c>
      <c r="D4622" s="17">
        <v>902</v>
      </c>
      <c r="E4622" s="17" t="s">
        <v>1429</v>
      </c>
      <c r="F4622" s="20">
        <v>48614</v>
      </c>
    </row>
    <row r="4623" spans="1:6" ht="16" customHeight="1" x14ac:dyDescent="0.2">
      <c r="A4623">
        <f>IFERROR(VLOOKUP(C4623,'GASB Match'!$D$2:$F$6042,3,FALSE),"")</f>
        <v>3400082</v>
      </c>
      <c r="B4623" s="17">
        <v>2018</v>
      </c>
      <c r="C4623" s="17" t="s">
        <v>1348</v>
      </c>
      <c r="D4623" s="17">
        <v>902</v>
      </c>
      <c r="E4623" s="17" t="s">
        <v>1472</v>
      </c>
      <c r="F4623" s="20">
        <v>94252</v>
      </c>
    </row>
    <row r="4624" spans="1:6" ht="16" customHeight="1" x14ac:dyDescent="0.2">
      <c r="A4624">
        <f>IFERROR(VLOOKUP(C4624,'GASB Match'!$D$2:$F$6042,3,FALSE),"")</f>
        <v>3400082</v>
      </c>
      <c r="B4624" s="17">
        <v>2019</v>
      </c>
      <c r="C4624" s="17" t="s">
        <v>1348</v>
      </c>
      <c r="D4624" s="17">
        <v>902</v>
      </c>
      <c r="E4624" s="17" t="s">
        <v>1472</v>
      </c>
      <c r="F4624" s="20">
        <v>172952</v>
      </c>
    </row>
    <row r="4625" spans="1:6" ht="16" customHeight="1" x14ac:dyDescent="0.2">
      <c r="A4625">
        <f>IFERROR(VLOOKUP(C4625,'GASB Match'!$D$2:$F$6042,3,FALSE),"")</f>
        <v>3400082</v>
      </c>
      <c r="B4625" s="17">
        <v>2020</v>
      </c>
      <c r="C4625" s="21" t="s">
        <v>1348</v>
      </c>
      <c r="D4625" s="17">
        <v>902</v>
      </c>
      <c r="E4625" s="17" t="s">
        <v>1472</v>
      </c>
      <c r="F4625" s="23">
        <v>211435</v>
      </c>
    </row>
    <row r="4626" spans="1:6" ht="16" customHeight="1" x14ac:dyDescent="0.2">
      <c r="A4626">
        <f>IFERROR(VLOOKUP(C4626,'GASB Match'!$D$2:$F$6042,3,FALSE),"")</f>
        <v>3400082</v>
      </c>
      <c r="B4626" s="17">
        <v>2021</v>
      </c>
      <c r="C4626" s="25" t="s">
        <v>1348</v>
      </c>
      <c r="D4626" s="17">
        <v>902</v>
      </c>
      <c r="E4626" s="17" t="s">
        <v>1472</v>
      </c>
      <c r="F4626" s="23">
        <v>292273</v>
      </c>
    </row>
    <row r="4627" spans="1:6" ht="16" customHeight="1" x14ac:dyDescent="0.2">
      <c r="A4627">
        <f>IFERROR(VLOOKUP(C4627,'GASB Match'!$D$2:$F$6042,3,FALSE),"")</f>
        <v>3400082</v>
      </c>
      <c r="B4627" s="17">
        <v>2022</v>
      </c>
      <c r="C4627" s="21" t="s">
        <v>1348</v>
      </c>
      <c r="D4627" s="17">
        <v>902</v>
      </c>
      <c r="E4627" s="17" t="s">
        <v>1472</v>
      </c>
      <c r="F4627" s="23">
        <v>434304</v>
      </c>
    </row>
    <row r="4628" spans="1:6" ht="16" customHeight="1" x14ac:dyDescent="0.2">
      <c r="A4628">
        <f>IFERROR(VLOOKUP(C4628,'GASB Match'!$D$2:$F$6042,3,FALSE),"")</f>
        <v>3400082</v>
      </c>
      <c r="B4628" s="17">
        <v>2023</v>
      </c>
      <c r="C4628" s="21" t="s">
        <v>1348</v>
      </c>
      <c r="D4628" s="17">
        <v>902</v>
      </c>
      <c r="E4628" s="17" t="s">
        <v>1472</v>
      </c>
      <c r="F4628" s="23">
        <v>359276</v>
      </c>
    </row>
    <row r="4629" spans="1:6" ht="16" customHeight="1" x14ac:dyDescent="0.2">
      <c r="A4629">
        <f>IFERROR(VLOOKUP(C4629,'GASB Match'!$D$2:$F$6042,3,FALSE),"")</f>
        <v>3400082</v>
      </c>
      <c r="B4629" s="28">
        <v>2017</v>
      </c>
      <c r="C4629" s="29" t="s">
        <v>655</v>
      </c>
      <c r="D4629" s="17">
        <v>902</v>
      </c>
      <c r="E4629" s="17" t="s">
        <v>1429</v>
      </c>
      <c r="F4629" s="29">
        <v>80251</v>
      </c>
    </row>
    <row r="4630" spans="1:6" ht="16" customHeight="1" x14ac:dyDescent="0.2">
      <c r="A4630">
        <f>IFERROR(VLOOKUP(C4630,'GASB Match'!$D$2:$F$6042,3,FALSE),"")</f>
        <v>3413770</v>
      </c>
      <c r="B4630" s="17">
        <v>2015</v>
      </c>
      <c r="C4630" s="17" t="s">
        <v>84</v>
      </c>
      <c r="D4630" s="17">
        <v>2075</v>
      </c>
      <c r="E4630" s="17" t="s">
        <v>1402</v>
      </c>
      <c r="F4630" s="20">
        <v>840185</v>
      </c>
    </row>
    <row r="4631" spans="1:6" ht="16" customHeight="1" x14ac:dyDescent="0.2">
      <c r="A4631">
        <f>IFERROR(VLOOKUP(C4631,'GASB Match'!$D$2:$F$6042,3,FALSE),"")</f>
        <v>3413770</v>
      </c>
      <c r="B4631" s="17">
        <v>2016</v>
      </c>
      <c r="C4631" s="17" t="s">
        <v>84</v>
      </c>
      <c r="D4631" s="17">
        <v>2075</v>
      </c>
      <c r="E4631" s="17" t="s">
        <v>1402</v>
      </c>
      <c r="F4631" s="20">
        <v>1264306</v>
      </c>
    </row>
    <row r="4632" spans="1:6" ht="16" customHeight="1" x14ac:dyDescent="0.2">
      <c r="A4632">
        <f>IFERROR(VLOOKUP(C4632,'GASB Match'!$D$2:$F$6042,3,FALSE),"")</f>
        <v>3413770</v>
      </c>
      <c r="B4632" s="17">
        <v>2018</v>
      </c>
      <c r="C4632" s="17" t="s">
        <v>763</v>
      </c>
      <c r="D4632" s="17">
        <v>2075</v>
      </c>
      <c r="E4632" s="17" t="s">
        <v>1443</v>
      </c>
      <c r="F4632" s="20">
        <v>2486327</v>
      </c>
    </row>
    <row r="4633" spans="1:6" ht="16" customHeight="1" x14ac:dyDescent="0.2">
      <c r="A4633">
        <f>IFERROR(VLOOKUP(C4633,'GASB Match'!$D$2:$F$6042,3,FALSE),"")</f>
        <v>3413770</v>
      </c>
      <c r="B4633" s="17">
        <v>2019</v>
      </c>
      <c r="C4633" s="17" t="s">
        <v>763</v>
      </c>
      <c r="D4633" s="17">
        <v>2075</v>
      </c>
      <c r="E4633" s="17" t="s">
        <v>1443</v>
      </c>
      <c r="F4633" s="20">
        <v>3275288</v>
      </c>
    </row>
    <row r="4634" spans="1:6" ht="16" customHeight="1" x14ac:dyDescent="0.2">
      <c r="A4634">
        <f>IFERROR(VLOOKUP(C4634,'GASB Match'!$D$2:$F$6042,3,FALSE),"")</f>
        <v>3413770</v>
      </c>
      <c r="B4634" s="17">
        <v>2020</v>
      </c>
      <c r="C4634" s="21" t="s">
        <v>763</v>
      </c>
      <c r="D4634" s="17">
        <v>2075</v>
      </c>
      <c r="E4634" s="17" t="s">
        <v>1443</v>
      </c>
      <c r="F4634" s="23">
        <v>3551907</v>
      </c>
    </row>
    <row r="4635" spans="1:6" ht="16" customHeight="1" x14ac:dyDescent="0.2">
      <c r="A4635">
        <f>IFERROR(VLOOKUP(C4635,'GASB Match'!$D$2:$F$6042,3,FALSE),"")</f>
        <v>3413770</v>
      </c>
      <c r="B4635" s="17">
        <v>2021</v>
      </c>
      <c r="C4635" s="25" t="s">
        <v>763</v>
      </c>
      <c r="D4635" s="17">
        <v>2075</v>
      </c>
      <c r="E4635" s="17" t="s">
        <v>1443</v>
      </c>
      <c r="F4635" s="23">
        <v>4592982</v>
      </c>
    </row>
    <row r="4636" spans="1:6" ht="16" customHeight="1" x14ac:dyDescent="0.2">
      <c r="A4636">
        <f>IFERROR(VLOOKUP(C4636,'GASB Match'!$D$2:$F$6042,3,FALSE),"")</f>
        <v>3413770</v>
      </c>
      <c r="B4636" s="17">
        <v>2022</v>
      </c>
      <c r="C4636" s="21" t="s">
        <v>763</v>
      </c>
      <c r="D4636" s="17">
        <v>2075</v>
      </c>
      <c r="E4636" s="17" t="s">
        <v>1443</v>
      </c>
      <c r="F4636" s="23">
        <v>6375935</v>
      </c>
    </row>
    <row r="4637" spans="1:6" ht="16" customHeight="1" x14ac:dyDescent="0.2">
      <c r="A4637">
        <f>IFERROR(VLOOKUP(C4637,'GASB Match'!$D$2:$F$6042,3,FALSE),"")</f>
        <v>3413770</v>
      </c>
      <c r="B4637" s="17">
        <v>2023</v>
      </c>
      <c r="C4637" s="21" t="s">
        <v>763</v>
      </c>
      <c r="D4637" s="17">
        <v>2075</v>
      </c>
      <c r="E4637" s="17" t="s">
        <v>1443</v>
      </c>
      <c r="F4637" s="23">
        <v>6454274</v>
      </c>
    </row>
    <row r="4638" spans="1:6" ht="16" customHeight="1" x14ac:dyDescent="0.2">
      <c r="A4638">
        <f>IFERROR(VLOOKUP(C4638,'GASB Match'!$D$2:$F$6042,3,FALSE),"")</f>
        <v>3413770</v>
      </c>
      <c r="B4638" s="28">
        <v>2017</v>
      </c>
      <c r="C4638" s="29" t="s">
        <v>84</v>
      </c>
      <c r="D4638" s="17">
        <v>2075</v>
      </c>
      <c r="E4638" s="17" t="s">
        <v>1402</v>
      </c>
      <c r="F4638" s="29">
        <v>1782957</v>
      </c>
    </row>
    <row r="4639" spans="1:6" ht="16" customHeight="1" x14ac:dyDescent="0.2">
      <c r="A4639">
        <f>IFERROR(VLOOKUP(C4639,'GASB Match'!$D$2:$F$6042,3,FALSE),"")</f>
        <v>3413800</v>
      </c>
      <c r="B4639" s="17">
        <v>2015</v>
      </c>
      <c r="C4639" s="17" t="s">
        <v>85</v>
      </c>
      <c r="D4639" s="17">
        <v>2069</v>
      </c>
      <c r="E4639" s="17" t="s">
        <v>1402</v>
      </c>
      <c r="F4639" s="20">
        <v>881577</v>
      </c>
    </row>
    <row r="4640" spans="1:6" ht="16" customHeight="1" x14ac:dyDescent="0.2">
      <c r="A4640">
        <f>IFERROR(VLOOKUP(C4640,'GASB Match'!$D$2:$F$6042,3,FALSE),"")</f>
        <v>3413800</v>
      </c>
      <c r="B4640" s="17">
        <v>2016</v>
      </c>
      <c r="C4640" s="17" t="s">
        <v>85</v>
      </c>
      <c r="D4640" s="17">
        <v>2069</v>
      </c>
      <c r="E4640" s="17" t="s">
        <v>1402</v>
      </c>
      <c r="F4640" s="20">
        <v>1358080</v>
      </c>
    </row>
    <row r="4641" spans="1:6" ht="16" customHeight="1" x14ac:dyDescent="0.2">
      <c r="A4641">
        <f>IFERROR(VLOOKUP(C4641,'GASB Match'!$D$2:$F$6042,3,FALSE),"")</f>
        <v>3413800</v>
      </c>
      <c r="B4641" s="17">
        <v>2018</v>
      </c>
      <c r="C4641" s="17" t="s">
        <v>764</v>
      </c>
      <c r="D4641" s="17">
        <v>2069</v>
      </c>
      <c r="E4641" s="17" t="s">
        <v>1443</v>
      </c>
      <c r="F4641" s="20">
        <v>2730063</v>
      </c>
    </row>
    <row r="4642" spans="1:6" ht="16" customHeight="1" x14ac:dyDescent="0.2">
      <c r="A4642">
        <f>IFERROR(VLOOKUP(C4642,'GASB Match'!$D$2:$F$6042,3,FALSE),"")</f>
        <v>3413800</v>
      </c>
      <c r="B4642" s="17">
        <v>2019</v>
      </c>
      <c r="C4642" s="17" t="s">
        <v>764</v>
      </c>
      <c r="D4642" s="17">
        <v>2069</v>
      </c>
      <c r="E4642" s="17" t="s">
        <v>1443</v>
      </c>
      <c r="F4642" s="20">
        <v>3347037</v>
      </c>
    </row>
    <row r="4643" spans="1:6" ht="16" customHeight="1" x14ac:dyDescent="0.2">
      <c r="A4643">
        <f>IFERROR(VLOOKUP(C4643,'GASB Match'!$D$2:$F$6042,3,FALSE),"")</f>
        <v>3413800</v>
      </c>
      <c r="B4643" s="17">
        <v>2020</v>
      </c>
      <c r="C4643" s="21" t="s">
        <v>764</v>
      </c>
      <c r="D4643" s="17">
        <v>2069</v>
      </c>
      <c r="E4643" s="17" t="s">
        <v>1443</v>
      </c>
      <c r="F4643" s="23">
        <v>3731085</v>
      </c>
    </row>
    <row r="4644" spans="1:6" ht="16" customHeight="1" x14ac:dyDescent="0.2">
      <c r="A4644">
        <f>IFERROR(VLOOKUP(C4644,'GASB Match'!$D$2:$F$6042,3,FALSE),"")</f>
        <v>3413800</v>
      </c>
      <c r="B4644" s="17">
        <v>2021</v>
      </c>
      <c r="C4644" s="25" t="s">
        <v>764</v>
      </c>
      <c r="D4644" s="17">
        <v>2069</v>
      </c>
      <c r="E4644" s="17" t="s">
        <v>1443</v>
      </c>
      <c r="F4644" s="23">
        <v>4822268</v>
      </c>
    </row>
    <row r="4645" spans="1:6" ht="16" customHeight="1" x14ac:dyDescent="0.2">
      <c r="A4645">
        <f>IFERROR(VLOOKUP(C4645,'GASB Match'!$D$2:$F$6042,3,FALSE),"")</f>
        <v>3413800</v>
      </c>
      <c r="B4645" s="17">
        <v>2022</v>
      </c>
      <c r="C4645" s="21" t="s">
        <v>764</v>
      </c>
      <c r="D4645" s="17">
        <v>2069</v>
      </c>
      <c r="E4645" s="17" t="s">
        <v>1443</v>
      </c>
      <c r="F4645" s="23">
        <v>6979574</v>
      </c>
    </row>
    <row r="4646" spans="1:6" ht="16" customHeight="1" x14ac:dyDescent="0.2">
      <c r="A4646">
        <f>IFERROR(VLOOKUP(C4646,'GASB Match'!$D$2:$F$6042,3,FALSE),"")</f>
        <v>3413800</v>
      </c>
      <c r="B4646" s="17">
        <v>2023</v>
      </c>
      <c r="C4646" s="21" t="s">
        <v>764</v>
      </c>
      <c r="D4646" s="17">
        <v>2069</v>
      </c>
      <c r="E4646" s="17" t="s">
        <v>1443</v>
      </c>
      <c r="F4646" s="23">
        <v>7402612</v>
      </c>
    </row>
    <row r="4647" spans="1:6" ht="16" customHeight="1" x14ac:dyDescent="0.2">
      <c r="A4647">
        <f>IFERROR(VLOOKUP(C4647,'GASB Match'!$D$2:$F$6042,3,FALSE),"")</f>
        <v>3413800</v>
      </c>
      <c r="B4647" s="28">
        <v>2017</v>
      </c>
      <c r="C4647" s="29" t="s">
        <v>85</v>
      </c>
      <c r="D4647" s="17">
        <v>2069</v>
      </c>
      <c r="E4647" s="17" t="s">
        <v>1402</v>
      </c>
      <c r="F4647" s="29">
        <v>1976454</v>
      </c>
    </row>
    <row r="4648" spans="1:6" ht="16" customHeight="1" x14ac:dyDescent="0.2">
      <c r="A4648">
        <f>IFERROR(VLOOKUP(C4648,'GASB Match'!$D$2:$F$6042,3,FALSE),"")</f>
        <v>3413830</v>
      </c>
      <c r="B4648" s="17">
        <v>2015</v>
      </c>
      <c r="C4648" s="17" t="s">
        <v>86</v>
      </c>
      <c r="D4648" s="17">
        <v>2076</v>
      </c>
      <c r="E4648" s="17" t="s">
        <v>1402</v>
      </c>
      <c r="F4648" s="20">
        <v>2381938</v>
      </c>
    </row>
    <row r="4649" spans="1:6" ht="16" customHeight="1" x14ac:dyDescent="0.2">
      <c r="A4649">
        <f>IFERROR(VLOOKUP(C4649,'GASB Match'!$D$2:$F$6042,3,FALSE),"")</f>
        <v>3413830</v>
      </c>
      <c r="B4649" s="17">
        <v>2016</v>
      </c>
      <c r="C4649" s="17" t="s">
        <v>86</v>
      </c>
      <c r="D4649" s="17">
        <v>2076</v>
      </c>
      <c r="E4649" s="17" t="s">
        <v>1402</v>
      </c>
      <c r="F4649" s="20">
        <v>3507454</v>
      </c>
    </row>
    <row r="4650" spans="1:6" ht="16" customHeight="1" x14ac:dyDescent="0.2">
      <c r="A4650">
        <f>IFERROR(VLOOKUP(C4650,'GASB Match'!$D$2:$F$6042,3,FALSE),"")</f>
        <v>3413830</v>
      </c>
      <c r="B4650" s="17">
        <v>2018</v>
      </c>
      <c r="C4650" s="17" t="s">
        <v>765</v>
      </c>
      <c r="D4650" s="17">
        <v>2076</v>
      </c>
      <c r="E4650" s="17" t="s">
        <v>1443</v>
      </c>
      <c r="F4650" s="20">
        <v>6485759</v>
      </c>
    </row>
    <row r="4651" spans="1:6" ht="16" customHeight="1" x14ac:dyDescent="0.2">
      <c r="A4651">
        <f>IFERROR(VLOOKUP(C4651,'GASB Match'!$D$2:$F$6042,3,FALSE),"")</f>
        <v>3413830</v>
      </c>
      <c r="B4651" s="17">
        <v>2019</v>
      </c>
      <c r="C4651" s="17" t="s">
        <v>765</v>
      </c>
      <c r="D4651" s="17">
        <v>2076</v>
      </c>
      <c r="E4651" s="17" t="s">
        <v>1443</v>
      </c>
      <c r="F4651" s="20">
        <v>8895962</v>
      </c>
    </row>
    <row r="4652" spans="1:6" ht="16" customHeight="1" x14ac:dyDescent="0.2">
      <c r="A4652">
        <f>IFERROR(VLOOKUP(C4652,'GASB Match'!$D$2:$F$6042,3,FALSE),"")</f>
        <v>3413830</v>
      </c>
      <c r="B4652" s="17">
        <v>2020</v>
      </c>
      <c r="C4652" s="21" t="s">
        <v>765</v>
      </c>
      <c r="D4652" s="17">
        <v>2076</v>
      </c>
      <c r="E4652" s="17" t="s">
        <v>1443</v>
      </c>
      <c r="F4652" s="23">
        <v>10110938</v>
      </c>
    </row>
    <row r="4653" spans="1:6" ht="16" customHeight="1" x14ac:dyDescent="0.2">
      <c r="A4653">
        <f>IFERROR(VLOOKUP(C4653,'GASB Match'!$D$2:$F$6042,3,FALSE),"")</f>
        <v>3413830</v>
      </c>
      <c r="B4653" s="17">
        <v>2021</v>
      </c>
      <c r="C4653" s="25" t="s">
        <v>765</v>
      </c>
      <c r="D4653" s="17">
        <v>2076</v>
      </c>
      <c r="E4653" s="17" t="s">
        <v>1443</v>
      </c>
      <c r="F4653" s="23">
        <v>13117147</v>
      </c>
    </row>
    <row r="4654" spans="1:6" ht="16" customHeight="1" x14ac:dyDescent="0.2">
      <c r="A4654">
        <f>IFERROR(VLOOKUP(C4654,'GASB Match'!$D$2:$F$6042,3,FALSE),"")</f>
        <v>3413830</v>
      </c>
      <c r="B4654" s="17">
        <v>2022</v>
      </c>
      <c r="C4654" s="21" t="s">
        <v>765</v>
      </c>
      <c r="D4654" s="17">
        <v>2076</v>
      </c>
      <c r="E4654" s="17" t="s">
        <v>1443</v>
      </c>
      <c r="F4654" s="23">
        <v>18726536</v>
      </c>
    </row>
    <row r="4655" spans="1:6" ht="16" customHeight="1" x14ac:dyDescent="0.2">
      <c r="A4655">
        <f>IFERROR(VLOOKUP(C4655,'GASB Match'!$D$2:$F$6042,3,FALSE),"")</f>
        <v>3413830</v>
      </c>
      <c r="B4655" s="17">
        <v>2023</v>
      </c>
      <c r="C4655" s="21" t="s">
        <v>765</v>
      </c>
      <c r="D4655" s="17">
        <v>2076</v>
      </c>
      <c r="E4655" s="17" t="s">
        <v>1443</v>
      </c>
      <c r="F4655" s="23">
        <v>18448059</v>
      </c>
    </row>
    <row r="4656" spans="1:6" ht="16" customHeight="1" x14ac:dyDescent="0.2">
      <c r="A4656">
        <f>IFERROR(VLOOKUP(C4656,'GASB Match'!$D$2:$F$6042,3,FALSE),"")</f>
        <v>3413830</v>
      </c>
      <c r="B4656" s="28">
        <v>2017</v>
      </c>
      <c r="C4656" s="29" t="s">
        <v>86</v>
      </c>
      <c r="D4656" s="17">
        <v>2076</v>
      </c>
      <c r="E4656" s="17" t="s">
        <v>1402</v>
      </c>
      <c r="F4656" s="29">
        <v>5006526</v>
      </c>
    </row>
    <row r="4657" spans="1:6" ht="16" customHeight="1" x14ac:dyDescent="0.2">
      <c r="A4657">
        <f>IFERROR(VLOOKUP(C4657,'GASB Match'!$D$2:$F$6042,3,FALSE),"")</f>
        <v>3413860</v>
      </c>
      <c r="B4657" s="17">
        <v>2015</v>
      </c>
      <c r="C4657" s="17" t="s">
        <v>543</v>
      </c>
      <c r="D4657" s="17">
        <v>638</v>
      </c>
      <c r="E4657" s="17" t="s">
        <v>1423</v>
      </c>
      <c r="F4657" s="20">
        <v>472552</v>
      </c>
    </row>
    <row r="4658" spans="1:6" ht="16" customHeight="1" x14ac:dyDescent="0.2">
      <c r="A4658">
        <f>IFERROR(VLOOKUP(C4658,'GASB Match'!$D$2:$F$6042,3,FALSE),"")</f>
        <v>3413860</v>
      </c>
      <c r="B4658" s="17">
        <v>2016</v>
      </c>
      <c r="C4658" s="17" t="s">
        <v>543</v>
      </c>
      <c r="D4658" s="17">
        <v>638</v>
      </c>
      <c r="E4658" s="17" t="s">
        <v>1423</v>
      </c>
      <c r="F4658" s="20">
        <v>646723</v>
      </c>
    </row>
    <row r="4659" spans="1:6" ht="16" customHeight="1" x14ac:dyDescent="0.2">
      <c r="A4659">
        <f>IFERROR(VLOOKUP(C4659,'GASB Match'!$D$2:$F$6042,3,FALSE),"")</f>
        <v>3413860</v>
      </c>
      <c r="B4659" s="17">
        <v>2018</v>
      </c>
      <c r="C4659" s="17" t="s">
        <v>1235</v>
      </c>
      <c r="D4659" s="17">
        <v>638</v>
      </c>
      <c r="E4659" s="17" t="s">
        <v>1466</v>
      </c>
      <c r="F4659" s="20">
        <v>1333131</v>
      </c>
    </row>
    <row r="4660" spans="1:6" ht="16" customHeight="1" x14ac:dyDescent="0.2">
      <c r="A4660">
        <f>IFERROR(VLOOKUP(C4660,'GASB Match'!$D$2:$F$6042,3,FALSE),"")</f>
        <v>3413860</v>
      </c>
      <c r="B4660" s="17">
        <v>2019</v>
      </c>
      <c r="C4660" s="17" t="s">
        <v>1235</v>
      </c>
      <c r="D4660" s="17">
        <v>638</v>
      </c>
      <c r="E4660" s="17" t="s">
        <v>1466</v>
      </c>
      <c r="F4660" s="20">
        <v>1880651</v>
      </c>
    </row>
    <row r="4661" spans="1:6" ht="16" customHeight="1" x14ac:dyDescent="0.2">
      <c r="A4661">
        <f>IFERROR(VLOOKUP(C4661,'GASB Match'!$D$2:$F$6042,3,FALSE),"")</f>
        <v>3413860</v>
      </c>
      <c r="B4661" s="17">
        <v>2020</v>
      </c>
      <c r="C4661" s="21" t="s">
        <v>1235</v>
      </c>
      <c r="D4661" s="17">
        <v>638</v>
      </c>
      <c r="E4661" s="17" t="s">
        <v>1466</v>
      </c>
      <c r="F4661" s="23">
        <v>2093816</v>
      </c>
    </row>
    <row r="4662" spans="1:6" ht="16" customHeight="1" x14ac:dyDescent="0.2">
      <c r="A4662">
        <f>IFERROR(VLOOKUP(C4662,'GASB Match'!$D$2:$F$6042,3,FALSE),"")</f>
        <v>3413860</v>
      </c>
      <c r="B4662" s="17">
        <v>2021</v>
      </c>
      <c r="C4662" s="25" t="s">
        <v>1235</v>
      </c>
      <c r="D4662" s="17">
        <v>638</v>
      </c>
      <c r="E4662" s="17" t="s">
        <v>1466</v>
      </c>
      <c r="F4662" s="23">
        <v>2582049</v>
      </c>
    </row>
    <row r="4663" spans="1:6" ht="16" customHeight="1" x14ac:dyDescent="0.2">
      <c r="A4663">
        <f>IFERROR(VLOOKUP(C4663,'GASB Match'!$D$2:$F$6042,3,FALSE),"")</f>
        <v>3413860</v>
      </c>
      <c r="B4663" s="17">
        <v>2022</v>
      </c>
      <c r="C4663" s="21" t="s">
        <v>1235</v>
      </c>
      <c r="D4663" s="17">
        <v>638</v>
      </c>
      <c r="E4663" s="17" t="s">
        <v>1466</v>
      </c>
      <c r="F4663" s="23">
        <v>3865630</v>
      </c>
    </row>
    <row r="4664" spans="1:6" ht="16" customHeight="1" x14ac:dyDescent="0.2">
      <c r="A4664">
        <f>IFERROR(VLOOKUP(C4664,'GASB Match'!$D$2:$F$6042,3,FALSE),"")</f>
        <v>3413860</v>
      </c>
      <c r="B4664" s="17">
        <v>2023</v>
      </c>
      <c r="C4664" s="21" t="s">
        <v>1235</v>
      </c>
      <c r="D4664" s="17">
        <v>638</v>
      </c>
      <c r="E4664" s="17" t="s">
        <v>1466</v>
      </c>
      <c r="F4664" s="23">
        <v>3938296</v>
      </c>
    </row>
    <row r="4665" spans="1:6" ht="16" customHeight="1" x14ac:dyDescent="0.2">
      <c r="A4665">
        <f>IFERROR(VLOOKUP(C4665,'GASB Match'!$D$2:$F$6042,3,FALSE),"")</f>
        <v>3413860</v>
      </c>
      <c r="B4665" s="28">
        <v>2017</v>
      </c>
      <c r="C4665" s="29" t="s">
        <v>543</v>
      </c>
      <c r="D4665" s="17">
        <v>638</v>
      </c>
      <c r="E4665" s="17" t="s">
        <v>1423</v>
      </c>
      <c r="F4665" s="29">
        <v>1052378</v>
      </c>
    </row>
    <row r="4666" spans="1:6" ht="16" customHeight="1" x14ac:dyDescent="0.2">
      <c r="A4666">
        <f>IFERROR(VLOOKUP(C4666,'GASB Match'!$D$2:$F$6042,3,FALSE),"")</f>
        <v>3412260</v>
      </c>
      <c r="B4666" s="17">
        <v>2015</v>
      </c>
      <c r="C4666" s="17" t="s">
        <v>87</v>
      </c>
      <c r="D4666" s="17">
        <v>2093</v>
      </c>
      <c r="E4666" s="17" t="s">
        <v>1402</v>
      </c>
      <c r="F4666" s="20">
        <v>744381</v>
      </c>
    </row>
    <row r="4667" spans="1:6" ht="16" customHeight="1" x14ac:dyDescent="0.2">
      <c r="A4667">
        <f>IFERROR(VLOOKUP(C4667,'GASB Match'!$D$2:$F$6042,3,FALSE),"")</f>
        <v>3412260</v>
      </c>
      <c r="B4667" s="17">
        <v>2016</v>
      </c>
      <c r="C4667" s="17" t="s">
        <v>87</v>
      </c>
      <c r="D4667" s="17">
        <v>2093</v>
      </c>
      <c r="E4667" s="17" t="s">
        <v>1402</v>
      </c>
      <c r="F4667" s="20">
        <v>1094258</v>
      </c>
    </row>
    <row r="4668" spans="1:6" ht="16" customHeight="1" x14ac:dyDescent="0.2">
      <c r="A4668">
        <f>IFERROR(VLOOKUP(C4668,'GASB Match'!$D$2:$F$6042,3,FALSE),"")</f>
        <v>3412260</v>
      </c>
      <c r="B4668" s="17">
        <v>2018</v>
      </c>
      <c r="C4668" s="17" t="s">
        <v>766</v>
      </c>
      <c r="D4668" s="17">
        <v>2093</v>
      </c>
      <c r="E4668" s="17" t="s">
        <v>1443</v>
      </c>
      <c r="F4668" s="20">
        <v>2124032</v>
      </c>
    </row>
    <row r="4669" spans="1:6" ht="16" customHeight="1" x14ac:dyDescent="0.2">
      <c r="A4669">
        <f>IFERROR(VLOOKUP(C4669,'GASB Match'!$D$2:$F$6042,3,FALSE),"")</f>
        <v>3412260</v>
      </c>
      <c r="B4669" s="17">
        <v>2019</v>
      </c>
      <c r="C4669" s="17" t="s">
        <v>766</v>
      </c>
      <c r="D4669" s="17">
        <v>2093</v>
      </c>
      <c r="E4669" s="17" t="s">
        <v>1443</v>
      </c>
      <c r="F4669" s="20">
        <v>2895863</v>
      </c>
    </row>
    <row r="4670" spans="1:6" ht="16" customHeight="1" x14ac:dyDescent="0.2">
      <c r="A4670">
        <f>IFERROR(VLOOKUP(C4670,'GASB Match'!$D$2:$F$6042,3,FALSE),"")</f>
        <v>3412260</v>
      </c>
      <c r="B4670" s="17">
        <v>2020</v>
      </c>
      <c r="C4670" s="21" t="s">
        <v>766</v>
      </c>
      <c r="D4670" s="17">
        <v>2093</v>
      </c>
      <c r="E4670" s="17" t="s">
        <v>1443</v>
      </c>
      <c r="F4670" s="23">
        <v>3218688</v>
      </c>
    </row>
    <row r="4671" spans="1:6" ht="16" customHeight="1" x14ac:dyDescent="0.2">
      <c r="A4671">
        <f>IFERROR(VLOOKUP(C4671,'GASB Match'!$D$2:$F$6042,3,FALSE),"")</f>
        <v>3412260</v>
      </c>
      <c r="B4671" s="17">
        <v>2021</v>
      </c>
      <c r="C4671" s="25" t="s">
        <v>766</v>
      </c>
      <c r="D4671" s="17">
        <v>2093</v>
      </c>
      <c r="E4671" s="17" t="s">
        <v>1443</v>
      </c>
      <c r="F4671" s="23">
        <v>4178770</v>
      </c>
    </row>
    <row r="4672" spans="1:6" ht="16" customHeight="1" x14ac:dyDescent="0.2">
      <c r="A4672">
        <f>IFERROR(VLOOKUP(C4672,'GASB Match'!$D$2:$F$6042,3,FALSE),"")</f>
        <v>3412260</v>
      </c>
      <c r="B4672" s="17">
        <v>2022</v>
      </c>
      <c r="C4672" s="21" t="s">
        <v>766</v>
      </c>
      <c r="D4672" s="17">
        <v>2093</v>
      </c>
      <c r="E4672" s="17" t="s">
        <v>1443</v>
      </c>
      <c r="F4672" s="23">
        <v>6013953</v>
      </c>
    </row>
    <row r="4673" spans="1:6" ht="16" customHeight="1" x14ac:dyDescent="0.2">
      <c r="A4673">
        <f>IFERROR(VLOOKUP(C4673,'GASB Match'!$D$2:$F$6042,3,FALSE),"")</f>
        <v>3412260</v>
      </c>
      <c r="B4673" s="17">
        <v>2023</v>
      </c>
      <c r="C4673" s="21" t="s">
        <v>766</v>
      </c>
      <c r="D4673" s="17">
        <v>2093</v>
      </c>
      <c r="E4673" s="17" t="s">
        <v>1443</v>
      </c>
      <c r="F4673" s="23">
        <v>6113368</v>
      </c>
    </row>
    <row r="4674" spans="1:6" ht="16" customHeight="1" x14ac:dyDescent="0.2">
      <c r="A4674">
        <f>IFERROR(VLOOKUP(C4674,'GASB Match'!$D$2:$F$6042,3,FALSE),"")</f>
        <v>3412260</v>
      </c>
      <c r="B4674" s="28">
        <v>2017</v>
      </c>
      <c r="C4674" s="29" t="s">
        <v>87</v>
      </c>
      <c r="D4674" s="17">
        <v>2093</v>
      </c>
      <c r="E4674" s="17" t="s">
        <v>1402</v>
      </c>
      <c r="F4674" s="29">
        <v>1653064</v>
      </c>
    </row>
    <row r="4675" spans="1:6" ht="16" customHeight="1" x14ac:dyDescent="0.2">
      <c r="A4675">
        <f>IFERROR(VLOOKUP(C4675,'GASB Match'!$D$2:$F$6042,3,FALSE),"")</f>
        <v>3413890</v>
      </c>
      <c r="B4675" s="17">
        <v>2015</v>
      </c>
      <c r="C4675" s="17" t="s">
        <v>88</v>
      </c>
      <c r="D4675" s="17">
        <v>2077</v>
      </c>
      <c r="E4675" s="17" t="s">
        <v>1402</v>
      </c>
      <c r="F4675" s="20">
        <v>428549</v>
      </c>
    </row>
    <row r="4676" spans="1:6" ht="16" customHeight="1" x14ac:dyDescent="0.2">
      <c r="A4676">
        <f>IFERROR(VLOOKUP(C4676,'GASB Match'!$D$2:$F$6042,3,FALSE),"")</f>
        <v>3413890</v>
      </c>
      <c r="B4676" s="17">
        <v>2016</v>
      </c>
      <c r="C4676" s="17" t="s">
        <v>88</v>
      </c>
      <c r="D4676" s="17">
        <v>2077</v>
      </c>
      <c r="E4676" s="17" t="s">
        <v>1402</v>
      </c>
      <c r="F4676" s="20">
        <v>625846</v>
      </c>
    </row>
    <row r="4677" spans="1:6" ht="16" customHeight="1" x14ac:dyDescent="0.2">
      <c r="A4677">
        <f>IFERROR(VLOOKUP(C4677,'GASB Match'!$D$2:$F$6042,3,FALSE),"")</f>
        <v>3413890</v>
      </c>
      <c r="B4677" s="17">
        <v>2018</v>
      </c>
      <c r="C4677" s="17" t="s">
        <v>767</v>
      </c>
      <c r="D4677" s="17">
        <v>2077</v>
      </c>
      <c r="E4677" s="17" t="s">
        <v>1443</v>
      </c>
      <c r="F4677" s="20">
        <v>1155482</v>
      </c>
    </row>
    <row r="4678" spans="1:6" ht="16" customHeight="1" x14ac:dyDescent="0.2">
      <c r="A4678">
        <f>IFERROR(VLOOKUP(C4678,'GASB Match'!$D$2:$F$6042,3,FALSE),"")</f>
        <v>3413890</v>
      </c>
      <c r="B4678" s="17">
        <v>2019</v>
      </c>
      <c r="C4678" s="17" t="s">
        <v>767</v>
      </c>
      <c r="D4678" s="17">
        <v>2077</v>
      </c>
      <c r="E4678" s="17" t="s">
        <v>1443</v>
      </c>
      <c r="F4678" s="20">
        <v>1545760</v>
      </c>
    </row>
    <row r="4679" spans="1:6" ht="16" customHeight="1" x14ac:dyDescent="0.2">
      <c r="A4679">
        <f>IFERROR(VLOOKUP(C4679,'GASB Match'!$D$2:$F$6042,3,FALSE),"")</f>
        <v>3413890</v>
      </c>
      <c r="B4679" s="17">
        <v>2020</v>
      </c>
      <c r="C4679" s="21" t="s">
        <v>767</v>
      </c>
      <c r="D4679" s="17">
        <v>2077</v>
      </c>
      <c r="E4679" s="17" t="s">
        <v>1443</v>
      </c>
      <c r="F4679" s="23">
        <v>1636138</v>
      </c>
    </row>
    <row r="4680" spans="1:6" ht="16" customHeight="1" x14ac:dyDescent="0.2">
      <c r="A4680">
        <f>IFERROR(VLOOKUP(C4680,'GASB Match'!$D$2:$F$6042,3,FALSE),"")</f>
        <v>3413890</v>
      </c>
      <c r="B4680" s="17">
        <v>2021</v>
      </c>
      <c r="C4680" s="25" t="s">
        <v>767</v>
      </c>
      <c r="D4680" s="17">
        <v>2077</v>
      </c>
      <c r="E4680" s="17" t="s">
        <v>1443</v>
      </c>
      <c r="F4680" s="23">
        <v>2285633</v>
      </c>
    </row>
    <row r="4681" spans="1:6" ht="16" customHeight="1" x14ac:dyDescent="0.2">
      <c r="A4681">
        <f>IFERROR(VLOOKUP(C4681,'GASB Match'!$D$2:$F$6042,3,FALSE),"")</f>
        <v>3413890</v>
      </c>
      <c r="B4681" s="17">
        <v>2022</v>
      </c>
      <c r="C4681" s="21" t="s">
        <v>767</v>
      </c>
      <c r="D4681" s="17">
        <v>2077</v>
      </c>
      <c r="E4681" s="17" t="s">
        <v>1443</v>
      </c>
      <c r="F4681" s="23">
        <v>3223614</v>
      </c>
    </row>
    <row r="4682" spans="1:6" ht="16" customHeight="1" x14ac:dyDescent="0.2">
      <c r="A4682">
        <f>IFERROR(VLOOKUP(C4682,'GASB Match'!$D$2:$F$6042,3,FALSE),"")</f>
        <v>3413890</v>
      </c>
      <c r="B4682" s="17">
        <v>2023</v>
      </c>
      <c r="C4682" s="21" t="s">
        <v>767</v>
      </c>
      <c r="D4682" s="17">
        <v>2077</v>
      </c>
      <c r="E4682" s="17" t="s">
        <v>1443</v>
      </c>
      <c r="F4682" s="23">
        <v>3276030</v>
      </c>
    </row>
    <row r="4683" spans="1:6" ht="16" customHeight="1" x14ac:dyDescent="0.2">
      <c r="A4683">
        <f>IFERROR(VLOOKUP(C4683,'GASB Match'!$D$2:$F$6042,3,FALSE),"")</f>
        <v>3413890</v>
      </c>
      <c r="B4683" s="28">
        <v>2017</v>
      </c>
      <c r="C4683" s="29" t="s">
        <v>88</v>
      </c>
      <c r="D4683" s="17">
        <v>2077</v>
      </c>
      <c r="E4683" s="17" t="s">
        <v>1402</v>
      </c>
      <c r="F4683" s="29">
        <v>840566</v>
      </c>
    </row>
    <row r="4684" spans="1:6" ht="16" customHeight="1" x14ac:dyDescent="0.2">
      <c r="A4684">
        <f>IFERROR(VLOOKUP(C4684,'GASB Match'!$D$2:$F$6042,3,FALSE),"")</f>
        <v>3413950</v>
      </c>
      <c r="B4684" s="17">
        <v>2015</v>
      </c>
      <c r="C4684" s="17" t="s">
        <v>89</v>
      </c>
      <c r="D4684" s="17">
        <v>2078</v>
      </c>
      <c r="E4684" s="17" t="s">
        <v>1402</v>
      </c>
      <c r="F4684" s="20">
        <v>471975</v>
      </c>
    </row>
    <row r="4685" spans="1:6" ht="16" customHeight="1" x14ac:dyDescent="0.2">
      <c r="A4685">
        <f>IFERROR(VLOOKUP(C4685,'GASB Match'!$D$2:$F$6042,3,FALSE),"")</f>
        <v>3413950</v>
      </c>
      <c r="B4685" s="17">
        <v>2016</v>
      </c>
      <c r="C4685" s="17" t="s">
        <v>89</v>
      </c>
      <c r="D4685" s="17">
        <v>2078</v>
      </c>
      <c r="E4685" s="17" t="s">
        <v>1402</v>
      </c>
      <c r="F4685" s="20">
        <v>722338</v>
      </c>
    </row>
    <row r="4686" spans="1:6" ht="16" customHeight="1" x14ac:dyDescent="0.2">
      <c r="A4686">
        <f>IFERROR(VLOOKUP(C4686,'GASB Match'!$D$2:$F$6042,3,FALSE),"")</f>
        <v>3413950</v>
      </c>
      <c r="B4686" s="17">
        <v>2018</v>
      </c>
      <c r="C4686" s="17" t="s">
        <v>768</v>
      </c>
      <c r="D4686" s="17">
        <v>2078</v>
      </c>
      <c r="E4686" s="17" t="s">
        <v>1443</v>
      </c>
      <c r="F4686" s="20">
        <v>1379406</v>
      </c>
    </row>
    <row r="4687" spans="1:6" ht="16" customHeight="1" x14ac:dyDescent="0.2">
      <c r="A4687">
        <f>IFERROR(VLOOKUP(C4687,'GASB Match'!$D$2:$F$6042,3,FALSE),"")</f>
        <v>3413950</v>
      </c>
      <c r="B4687" s="17">
        <v>2019</v>
      </c>
      <c r="C4687" s="17" t="s">
        <v>768</v>
      </c>
      <c r="D4687" s="17">
        <v>2078</v>
      </c>
      <c r="E4687" s="17" t="s">
        <v>1443</v>
      </c>
      <c r="F4687" s="20">
        <v>1889604</v>
      </c>
    </row>
    <row r="4688" spans="1:6" ht="16" customHeight="1" x14ac:dyDescent="0.2">
      <c r="A4688">
        <f>IFERROR(VLOOKUP(C4688,'GASB Match'!$D$2:$F$6042,3,FALSE),"")</f>
        <v>3413950</v>
      </c>
      <c r="B4688" s="17">
        <v>2020</v>
      </c>
      <c r="C4688" s="21" t="s">
        <v>768</v>
      </c>
      <c r="D4688" s="17">
        <v>2078</v>
      </c>
      <c r="E4688" s="17" t="s">
        <v>1443</v>
      </c>
      <c r="F4688" s="23">
        <v>2099735</v>
      </c>
    </row>
    <row r="4689" spans="1:6" ht="16" customHeight="1" x14ac:dyDescent="0.2">
      <c r="A4689">
        <f>IFERROR(VLOOKUP(C4689,'GASB Match'!$D$2:$F$6042,3,FALSE),"")</f>
        <v>3413950</v>
      </c>
      <c r="B4689" s="17">
        <v>2021</v>
      </c>
      <c r="C4689" s="25" t="s">
        <v>768</v>
      </c>
      <c r="D4689" s="17">
        <v>2078</v>
      </c>
      <c r="E4689" s="17" t="s">
        <v>1443</v>
      </c>
      <c r="F4689" s="23">
        <v>2733639</v>
      </c>
    </row>
    <row r="4690" spans="1:6" ht="16" customHeight="1" x14ac:dyDescent="0.2">
      <c r="A4690">
        <f>IFERROR(VLOOKUP(C4690,'GASB Match'!$D$2:$F$6042,3,FALSE),"")</f>
        <v>3413950</v>
      </c>
      <c r="B4690" s="17">
        <v>2022</v>
      </c>
      <c r="C4690" s="21" t="s">
        <v>768</v>
      </c>
      <c r="D4690" s="17">
        <v>2078</v>
      </c>
      <c r="E4690" s="17" t="s">
        <v>1443</v>
      </c>
      <c r="F4690" s="23">
        <v>3904066</v>
      </c>
    </row>
    <row r="4691" spans="1:6" ht="16" customHeight="1" x14ac:dyDescent="0.2">
      <c r="A4691">
        <f>IFERROR(VLOOKUP(C4691,'GASB Match'!$D$2:$F$6042,3,FALSE),"")</f>
        <v>3413950</v>
      </c>
      <c r="B4691" s="17">
        <v>2023</v>
      </c>
      <c r="C4691" s="21" t="s">
        <v>768</v>
      </c>
      <c r="D4691" s="17">
        <v>2078</v>
      </c>
      <c r="E4691" s="17" t="s">
        <v>1443</v>
      </c>
      <c r="F4691" s="23">
        <v>4001145</v>
      </c>
    </row>
    <row r="4692" spans="1:6" ht="16" customHeight="1" x14ac:dyDescent="0.2">
      <c r="A4692">
        <f>IFERROR(VLOOKUP(C4692,'GASB Match'!$D$2:$F$6042,3,FALSE),"")</f>
        <v>3413950</v>
      </c>
      <c r="B4692" s="28">
        <v>2017</v>
      </c>
      <c r="C4692" s="29" t="s">
        <v>89</v>
      </c>
      <c r="D4692" s="17">
        <v>2078</v>
      </c>
      <c r="E4692" s="17" t="s">
        <v>1402</v>
      </c>
      <c r="F4692" s="29">
        <v>1027554</v>
      </c>
    </row>
    <row r="4693" spans="1:6" ht="16" customHeight="1" x14ac:dyDescent="0.2">
      <c r="A4693">
        <f>IFERROR(VLOOKUP(C4693,'GASB Match'!$D$2:$F$6042,3,FALSE),"")</f>
        <v>3400731</v>
      </c>
      <c r="B4693" s="17">
        <v>2015</v>
      </c>
      <c r="C4693" s="17" t="s">
        <v>138</v>
      </c>
      <c r="D4693" s="17">
        <v>3056</v>
      </c>
      <c r="E4693" s="17" t="s">
        <v>1404</v>
      </c>
      <c r="F4693" s="20">
        <v>35543</v>
      </c>
    </row>
    <row r="4694" spans="1:6" ht="16" customHeight="1" x14ac:dyDescent="0.2">
      <c r="A4694">
        <f>IFERROR(VLOOKUP(C4694,'GASB Match'!$D$2:$F$6042,3,FALSE),"")</f>
        <v>3400731</v>
      </c>
      <c r="B4694" s="17">
        <v>2016</v>
      </c>
      <c r="C4694" s="17" t="s">
        <v>138</v>
      </c>
      <c r="D4694" s="17">
        <v>3056</v>
      </c>
      <c r="E4694" s="17" t="s">
        <v>1404</v>
      </c>
      <c r="F4694" s="20">
        <v>58289</v>
      </c>
    </row>
    <row r="4695" spans="1:6" ht="16" customHeight="1" x14ac:dyDescent="0.2">
      <c r="A4695">
        <f>IFERROR(VLOOKUP(C4695,'GASB Match'!$D$2:$F$6042,3,FALSE),"")</f>
        <v>3400731</v>
      </c>
      <c r="B4695" s="17">
        <v>2018</v>
      </c>
      <c r="C4695" s="17" t="s">
        <v>819</v>
      </c>
      <c r="D4695" s="17">
        <v>3056</v>
      </c>
      <c r="E4695" s="17" t="s">
        <v>1445</v>
      </c>
      <c r="F4695" s="20">
        <v>124346</v>
      </c>
    </row>
    <row r="4696" spans="1:6" ht="16" customHeight="1" x14ac:dyDescent="0.2">
      <c r="A4696">
        <f>IFERROR(VLOOKUP(C4696,'GASB Match'!$D$2:$F$6042,3,FALSE),"")</f>
        <v>3400731</v>
      </c>
      <c r="B4696" s="17">
        <v>2019</v>
      </c>
      <c r="C4696" s="17" t="s">
        <v>819</v>
      </c>
      <c r="D4696" s="17">
        <v>3056</v>
      </c>
      <c r="E4696" s="17" t="s">
        <v>1445</v>
      </c>
      <c r="F4696" s="20">
        <v>144860</v>
      </c>
    </row>
    <row r="4697" spans="1:6" ht="16" customHeight="1" x14ac:dyDescent="0.2">
      <c r="A4697">
        <f>IFERROR(VLOOKUP(C4697,'GASB Match'!$D$2:$F$6042,3,FALSE),"")</f>
        <v>3400731</v>
      </c>
      <c r="B4697" s="17">
        <v>2020</v>
      </c>
      <c r="C4697" s="21" t="s">
        <v>819</v>
      </c>
      <c r="D4697" s="17">
        <v>3056</v>
      </c>
      <c r="E4697" s="17" t="s">
        <v>1445</v>
      </c>
      <c r="F4697" s="23">
        <v>172386</v>
      </c>
    </row>
    <row r="4698" spans="1:6" ht="16" customHeight="1" x14ac:dyDescent="0.2">
      <c r="A4698">
        <f>IFERROR(VLOOKUP(C4698,'GASB Match'!$D$2:$F$6042,3,FALSE),"")</f>
        <v>3400731</v>
      </c>
      <c r="B4698" s="17">
        <v>2021</v>
      </c>
      <c r="C4698" s="25" t="s">
        <v>819</v>
      </c>
      <c r="D4698" s="17">
        <v>3056</v>
      </c>
      <c r="E4698" s="17" t="s">
        <v>1445</v>
      </c>
      <c r="F4698" s="23">
        <v>223990</v>
      </c>
    </row>
    <row r="4699" spans="1:6" ht="16" customHeight="1" x14ac:dyDescent="0.2">
      <c r="A4699">
        <f>IFERROR(VLOOKUP(C4699,'GASB Match'!$D$2:$F$6042,3,FALSE),"")</f>
        <v>3400731</v>
      </c>
      <c r="B4699" s="17">
        <v>2022</v>
      </c>
      <c r="C4699" s="21" t="s">
        <v>819</v>
      </c>
      <c r="D4699" s="17">
        <v>3056</v>
      </c>
      <c r="E4699" s="17" t="s">
        <v>1445</v>
      </c>
      <c r="F4699" s="23">
        <v>313159</v>
      </c>
    </row>
    <row r="4700" spans="1:6" ht="16" customHeight="1" x14ac:dyDescent="0.2">
      <c r="A4700">
        <f>IFERROR(VLOOKUP(C4700,'GASB Match'!$D$2:$F$6042,3,FALSE),"")</f>
        <v>3400731</v>
      </c>
      <c r="B4700" s="17">
        <v>2023</v>
      </c>
      <c r="C4700" s="21" t="s">
        <v>819</v>
      </c>
      <c r="D4700" s="17">
        <v>3056</v>
      </c>
      <c r="E4700" s="17" t="s">
        <v>1445</v>
      </c>
      <c r="F4700" s="23">
        <v>301866</v>
      </c>
    </row>
    <row r="4701" spans="1:6" ht="16" customHeight="1" x14ac:dyDescent="0.2">
      <c r="A4701">
        <f>IFERROR(VLOOKUP(C4701,'GASB Match'!$D$2:$F$6042,3,FALSE),"")</f>
        <v>3400731</v>
      </c>
      <c r="B4701" s="28">
        <v>2017</v>
      </c>
      <c r="C4701" s="29" t="s">
        <v>138</v>
      </c>
      <c r="D4701" s="17">
        <v>3056</v>
      </c>
      <c r="E4701" s="17" t="s">
        <v>1404</v>
      </c>
      <c r="F4701" s="29">
        <v>97540</v>
      </c>
    </row>
    <row r="4702" spans="1:6" ht="16" customHeight="1" x14ac:dyDescent="0.2">
      <c r="A4702">
        <f>IFERROR(VLOOKUP(C4702,'GASB Match'!$D$2:$F$6042,3,FALSE),"")</f>
        <v>3413980</v>
      </c>
      <c r="B4702" s="17">
        <v>2015</v>
      </c>
      <c r="C4702" s="17" t="s">
        <v>487</v>
      </c>
      <c r="D4702" s="17">
        <v>442</v>
      </c>
      <c r="E4702" s="17" t="s">
        <v>1421</v>
      </c>
      <c r="F4702" s="20">
        <v>121560</v>
      </c>
    </row>
    <row r="4703" spans="1:6" ht="16" customHeight="1" x14ac:dyDescent="0.2">
      <c r="A4703">
        <f>IFERROR(VLOOKUP(C4703,'GASB Match'!$D$2:$F$6042,3,FALSE),"")</f>
        <v>3413980</v>
      </c>
      <c r="B4703" s="17">
        <v>2016</v>
      </c>
      <c r="C4703" s="17" t="s">
        <v>487</v>
      </c>
      <c r="D4703" s="17">
        <v>442</v>
      </c>
      <c r="E4703" s="17" t="s">
        <v>1421</v>
      </c>
      <c r="F4703" s="20">
        <v>152819</v>
      </c>
    </row>
    <row r="4704" spans="1:6" ht="16" customHeight="1" x14ac:dyDescent="0.2">
      <c r="A4704">
        <f>IFERROR(VLOOKUP(C4704,'GASB Match'!$D$2:$F$6042,3,FALSE),"")</f>
        <v>3413980</v>
      </c>
      <c r="B4704" s="17">
        <v>2018</v>
      </c>
      <c r="C4704" s="17" t="s">
        <v>1179</v>
      </c>
      <c r="D4704" s="17">
        <v>442</v>
      </c>
      <c r="E4704" s="17" t="s">
        <v>1464</v>
      </c>
      <c r="F4704" s="20">
        <v>286766</v>
      </c>
    </row>
    <row r="4705" spans="1:6" ht="16" customHeight="1" x14ac:dyDescent="0.2">
      <c r="A4705">
        <f>IFERROR(VLOOKUP(C4705,'GASB Match'!$D$2:$F$6042,3,FALSE),"")</f>
        <v>3413980</v>
      </c>
      <c r="B4705" s="17">
        <v>2019</v>
      </c>
      <c r="C4705" s="17" t="s">
        <v>1179</v>
      </c>
      <c r="D4705" s="17">
        <v>442</v>
      </c>
      <c r="E4705" s="17" t="s">
        <v>1464</v>
      </c>
      <c r="F4705" s="20">
        <v>431425</v>
      </c>
    </row>
    <row r="4706" spans="1:6" ht="16" customHeight="1" x14ac:dyDescent="0.2">
      <c r="A4706">
        <f>IFERROR(VLOOKUP(C4706,'GASB Match'!$D$2:$F$6042,3,FALSE),"")</f>
        <v>3413980</v>
      </c>
      <c r="B4706" s="17">
        <v>2020</v>
      </c>
      <c r="C4706" s="21" t="s">
        <v>1179</v>
      </c>
      <c r="D4706" s="17">
        <v>442</v>
      </c>
      <c r="E4706" s="17" t="s">
        <v>1464</v>
      </c>
      <c r="F4706" s="23">
        <v>490570</v>
      </c>
    </row>
    <row r="4707" spans="1:6" ht="16" customHeight="1" x14ac:dyDescent="0.2">
      <c r="A4707">
        <f>IFERROR(VLOOKUP(C4707,'GASB Match'!$D$2:$F$6042,3,FALSE),"")</f>
        <v>3413980</v>
      </c>
      <c r="B4707" s="17">
        <v>2021</v>
      </c>
      <c r="C4707" s="25" t="s">
        <v>1179</v>
      </c>
      <c r="D4707" s="17">
        <v>442</v>
      </c>
      <c r="E4707" s="17" t="s">
        <v>1464</v>
      </c>
      <c r="F4707" s="23">
        <v>618055</v>
      </c>
    </row>
    <row r="4708" spans="1:6" ht="16" customHeight="1" x14ac:dyDescent="0.2">
      <c r="A4708">
        <f>IFERROR(VLOOKUP(C4708,'GASB Match'!$D$2:$F$6042,3,FALSE),"")</f>
        <v>3413980</v>
      </c>
      <c r="B4708" s="17">
        <v>2022</v>
      </c>
      <c r="C4708" s="21" t="s">
        <v>1179</v>
      </c>
      <c r="D4708" s="17">
        <v>442</v>
      </c>
      <c r="E4708" s="17" t="s">
        <v>1464</v>
      </c>
      <c r="F4708" s="23">
        <v>876820</v>
      </c>
    </row>
    <row r="4709" spans="1:6" ht="16" customHeight="1" x14ac:dyDescent="0.2">
      <c r="A4709">
        <f>IFERROR(VLOOKUP(C4709,'GASB Match'!$D$2:$F$6042,3,FALSE),"")</f>
        <v>3413980</v>
      </c>
      <c r="B4709" s="17">
        <v>2023</v>
      </c>
      <c r="C4709" s="21" t="s">
        <v>1179</v>
      </c>
      <c r="D4709" s="17">
        <v>442</v>
      </c>
      <c r="E4709" s="17" t="s">
        <v>1464</v>
      </c>
      <c r="F4709" s="22">
        <v>945821</v>
      </c>
    </row>
    <row r="4710" spans="1:6" ht="16" customHeight="1" x14ac:dyDescent="0.2">
      <c r="A4710">
        <f>IFERROR(VLOOKUP(C4710,'GASB Match'!$D$2:$F$6042,3,FALSE),"")</f>
        <v>3413980</v>
      </c>
      <c r="B4710" s="28">
        <v>2017</v>
      </c>
      <c r="C4710" s="29" t="s">
        <v>487</v>
      </c>
      <c r="D4710" s="17">
        <v>442</v>
      </c>
      <c r="E4710" s="17" t="s">
        <v>1421</v>
      </c>
      <c r="F4710" s="29">
        <v>230911</v>
      </c>
    </row>
    <row r="4711" spans="1:6" ht="16" customHeight="1" x14ac:dyDescent="0.2">
      <c r="A4711">
        <f>IFERROR(VLOOKUP(C4711,'GASB Match'!$D$2:$F$6042,3,FALSE),"")</f>
        <v>3414010</v>
      </c>
      <c r="B4711" s="17">
        <v>2015</v>
      </c>
      <c r="C4711" s="17" t="s">
        <v>139</v>
      </c>
      <c r="D4711" s="17">
        <v>3037</v>
      </c>
      <c r="E4711" s="17" t="s">
        <v>1404</v>
      </c>
      <c r="F4711" s="20">
        <v>515036</v>
      </c>
    </row>
    <row r="4712" spans="1:6" ht="16" customHeight="1" x14ac:dyDescent="0.2">
      <c r="A4712">
        <f>IFERROR(VLOOKUP(C4712,'GASB Match'!$D$2:$F$6042,3,FALSE),"")</f>
        <v>3414010</v>
      </c>
      <c r="B4712" s="17">
        <v>2016</v>
      </c>
      <c r="C4712" s="17" t="s">
        <v>139</v>
      </c>
      <c r="D4712" s="17">
        <v>3037</v>
      </c>
      <c r="E4712" s="17" t="s">
        <v>1404</v>
      </c>
      <c r="F4712" s="20">
        <v>763609</v>
      </c>
    </row>
    <row r="4713" spans="1:6" ht="16" customHeight="1" x14ac:dyDescent="0.2">
      <c r="A4713">
        <f>IFERROR(VLOOKUP(C4713,'GASB Match'!$D$2:$F$6042,3,FALSE),"")</f>
        <v>3414010</v>
      </c>
      <c r="B4713" s="17">
        <v>2018</v>
      </c>
      <c r="C4713" s="17" t="s">
        <v>820</v>
      </c>
      <c r="D4713" s="17">
        <v>3037</v>
      </c>
      <c r="E4713" s="17" t="s">
        <v>1445</v>
      </c>
      <c r="F4713" s="20">
        <v>1425705</v>
      </c>
    </row>
    <row r="4714" spans="1:6" ht="16" customHeight="1" x14ac:dyDescent="0.2">
      <c r="A4714">
        <f>IFERROR(VLOOKUP(C4714,'GASB Match'!$D$2:$F$6042,3,FALSE),"")</f>
        <v>3414010</v>
      </c>
      <c r="B4714" s="17">
        <v>2019</v>
      </c>
      <c r="C4714" s="17" t="s">
        <v>820</v>
      </c>
      <c r="D4714" s="17">
        <v>3037</v>
      </c>
      <c r="E4714" s="17" t="s">
        <v>1445</v>
      </c>
      <c r="F4714" s="20">
        <v>1906139</v>
      </c>
    </row>
    <row r="4715" spans="1:6" ht="16" customHeight="1" x14ac:dyDescent="0.2">
      <c r="A4715">
        <f>IFERROR(VLOOKUP(C4715,'GASB Match'!$D$2:$F$6042,3,FALSE),"")</f>
        <v>3414010</v>
      </c>
      <c r="B4715" s="17">
        <v>2020</v>
      </c>
      <c r="C4715" s="21" t="s">
        <v>820</v>
      </c>
      <c r="D4715" s="17">
        <v>3037</v>
      </c>
      <c r="E4715" s="17" t="s">
        <v>1445</v>
      </c>
      <c r="F4715" s="23">
        <v>2189193</v>
      </c>
    </row>
    <row r="4716" spans="1:6" ht="16" customHeight="1" x14ac:dyDescent="0.2">
      <c r="A4716">
        <f>IFERROR(VLOOKUP(C4716,'GASB Match'!$D$2:$F$6042,3,FALSE),"")</f>
        <v>3414010</v>
      </c>
      <c r="B4716" s="17">
        <v>2021</v>
      </c>
      <c r="C4716" s="25" t="s">
        <v>820</v>
      </c>
      <c r="D4716" s="17">
        <v>3037</v>
      </c>
      <c r="E4716" s="17" t="s">
        <v>1445</v>
      </c>
      <c r="F4716" s="23">
        <v>2884124</v>
      </c>
    </row>
    <row r="4717" spans="1:6" ht="16" customHeight="1" x14ac:dyDescent="0.2">
      <c r="A4717">
        <f>IFERROR(VLOOKUP(C4717,'GASB Match'!$D$2:$F$6042,3,FALSE),"")</f>
        <v>3414010</v>
      </c>
      <c r="B4717" s="17">
        <v>2022</v>
      </c>
      <c r="C4717" s="21" t="s">
        <v>820</v>
      </c>
      <c r="D4717" s="17">
        <v>3037</v>
      </c>
      <c r="E4717" s="17" t="s">
        <v>1445</v>
      </c>
      <c r="F4717" s="23">
        <v>4167471</v>
      </c>
    </row>
    <row r="4718" spans="1:6" ht="16" customHeight="1" x14ac:dyDescent="0.2">
      <c r="A4718">
        <f>IFERROR(VLOOKUP(C4718,'GASB Match'!$D$2:$F$6042,3,FALSE),"")</f>
        <v>3414010</v>
      </c>
      <c r="B4718" s="17">
        <v>2023</v>
      </c>
      <c r="C4718" s="21" t="s">
        <v>820</v>
      </c>
      <c r="D4718" s="17">
        <v>3037</v>
      </c>
      <c r="E4718" s="17" t="s">
        <v>1445</v>
      </c>
      <c r="F4718" s="22">
        <v>4184887</v>
      </c>
    </row>
    <row r="4719" spans="1:6" ht="16" customHeight="1" x14ac:dyDescent="0.2">
      <c r="A4719">
        <f>IFERROR(VLOOKUP(C4719,'GASB Match'!$D$2:$F$6042,3,FALSE),"")</f>
        <v>3414010</v>
      </c>
      <c r="B4719" s="28">
        <v>2017</v>
      </c>
      <c r="C4719" s="29" t="s">
        <v>139</v>
      </c>
      <c r="D4719" s="17">
        <v>3037</v>
      </c>
      <c r="E4719" s="17" t="s">
        <v>1404</v>
      </c>
      <c r="F4719" s="29">
        <v>1068649</v>
      </c>
    </row>
    <row r="4720" spans="1:6" ht="16" customHeight="1" x14ac:dyDescent="0.2">
      <c r="A4720">
        <f>IFERROR(VLOOKUP(C4720,'GASB Match'!$D$2:$F$6042,3,FALSE),"")</f>
        <v>3414040</v>
      </c>
      <c r="B4720" s="17">
        <v>2015</v>
      </c>
      <c r="C4720" s="17" t="s">
        <v>140</v>
      </c>
      <c r="D4720" s="17">
        <v>3038</v>
      </c>
      <c r="E4720" s="17" t="s">
        <v>1404</v>
      </c>
      <c r="F4720" s="20">
        <v>100302</v>
      </c>
    </row>
    <row r="4721" spans="1:6" ht="16" customHeight="1" x14ac:dyDescent="0.2">
      <c r="A4721">
        <f>IFERROR(VLOOKUP(C4721,'GASB Match'!$D$2:$F$6042,3,FALSE),"")</f>
        <v>3414040</v>
      </c>
      <c r="B4721" s="17">
        <v>2016</v>
      </c>
      <c r="C4721" s="17" t="s">
        <v>140</v>
      </c>
      <c r="D4721" s="17">
        <v>3038</v>
      </c>
      <c r="E4721" s="17" t="s">
        <v>1404</v>
      </c>
      <c r="F4721" s="20">
        <v>153771</v>
      </c>
    </row>
    <row r="4722" spans="1:6" ht="16" customHeight="1" x14ac:dyDescent="0.2">
      <c r="A4722">
        <f>IFERROR(VLOOKUP(C4722,'GASB Match'!$D$2:$F$6042,3,FALSE),"")</f>
        <v>3414040</v>
      </c>
      <c r="B4722" s="17">
        <v>2018</v>
      </c>
      <c r="C4722" s="17" t="s">
        <v>821</v>
      </c>
      <c r="D4722" s="17">
        <v>3038</v>
      </c>
      <c r="E4722" s="17" t="s">
        <v>1445</v>
      </c>
      <c r="F4722" s="20">
        <v>326257</v>
      </c>
    </row>
    <row r="4723" spans="1:6" ht="16" customHeight="1" x14ac:dyDescent="0.2">
      <c r="A4723">
        <f>IFERROR(VLOOKUP(C4723,'GASB Match'!$D$2:$F$6042,3,FALSE),"")</f>
        <v>3414040</v>
      </c>
      <c r="B4723" s="17">
        <v>2019</v>
      </c>
      <c r="C4723" s="17" t="s">
        <v>821</v>
      </c>
      <c r="D4723" s="17">
        <v>3038</v>
      </c>
      <c r="E4723" s="17" t="s">
        <v>1445</v>
      </c>
      <c r="F4723" s="20">
        <v>415623</v>
      </c>
    </row>
    <row r="4724" spans="1:6" ht="16" customHeight="1" x14ac:dyDescent="0.2">
      <c r="A4724">
        <f>IFERROR(VLOOKUP(C4724,'GASB Match'!$D$2:$F$6042,3,FALSE),"")</f>
        <v>3414040</v>
      </c>
      <c r="B4724" s="17">
        <v>2020</v>
      </c>
      <c r="C4724" s="21" t="s">
        <v>821</v>
      </c>
      <c r="D4724" s="17">
        <v>3038</v>
      </c>
      <c r="E4724" s="17" t="s">
        <v>1445</v>
      </c>
      <c r="F4724" s="23">
        <v>440990</v>
      </c>
    </row>
    <row r="4725" spans="1:6" ht="16" customHeight="1" x14ac:dyDescent="0.2">
      <c r="A4725">
        <f>IFERROR(VLOOKUP(C4725,'GASB Match'!$D$2:$F$6042,3,FALSE),"")</f>
        <v>3414040</v>
      </c>
      <c r="B4725" s="17">
        <v>2021</v>
      </c>
      <c r="C4725" s="25" t="s">
        <v>821</v>
      </c>
      <c r="D4725" s="17">
        <v>3038</v>
      </c>
      <c r="E4725" s="17" t="s">
        <v>1445</v>
      </c>
      <c r="F4725" s="23">
        <v>583361</v>
      </c>
    </row>
    <row r="4726" spans="1:6" ht="16" customHeight="1" x14ac:dyDescent="0.2">
      <c r="A4726">
        <f>IFERROR(VLOOKUP(C4726,'GASB Match'!$D$2:$F$6042,3,FALSE),"")</f>
        <v>3414040</v>
      </c>
      <c r="B4726" s="17">
        <v>2022</v>
      </c>
      <c r="C4726" s="21" t="s">
        <v>821</v>
      </c>
      <c r="D4726" s="17">
        <v>3038</v>
      </c>
      <c r="E4726" s="17" t="s">
        <v>1445</v>
      </c>
      <c r="F4726" s="23">
        <v>868376</v>
      </c>
    </row>
    <row r="4727" spans="1:6" ht="16" customHeight="1" x14ac:dyDescent="0.2">
      <c r="A4727">
        <f>IFERROR(VLOOKUP(C4727,'GASB Match'!$D$2:$F$6042,3,FALSE),"")</f>
        <v>3414040</v>
      </c>
      <c r="B4727" s="17">
        <v>2023</v>
      </c>
      <c r="C4727" s="21" t="s">
        <v>821</v>
      </c>
      <c r="D4727" s="17">
        <v>3038</v>
      </c>
      <c r="E4727" s="17" t="s">
        <v>1445</v>
      </c>
      <c r="F4727" s="23">
        <v>898815</v>
      </c>
    </row>
    <row r="4728" spans="1:6" ht="16" customHeight="1" x14ac:dyDescent="0.2">
      <c r="A4728">
        <f>IFERROR(VLOOKUP(C4728,'GASB Match'!$D$2:$F$6042,3,FALSE),"")</f>
        <v>3414040</v>
      </c>
      <c r="B4728" s="28">
        <v>2017</v>
      </c>
      <c r="C4728" s="29" t="s">
        <v>140</v>
      </c>
      <c r="D4728" s="17">
        <v>3038</v>
      </c>
      <c r="E4728" s="17" t="s">
        <v>1404</v>
      </c>
      <c r="F4728" s="29">
        <v>230212</v>
      </c>
    </row>
    <row r="4729" spans="1:6" ht="16" customHeight="1" x14ac:dyDescent="0.2">
      <c r="A4729">
        <f>IFERROR(VLOOKUP(C4729,'GASB Match'!$D$2:$F$6042,3,FALSE),"")</f>
        <v>3417100</v>
      </c>
      <c r="B4729" s="17">
        <v>2015</v>
      </c>
      <c r="C4729" s="17" t="s">
        <v>368</v>
      </c>
      <c r="D4729" s="17">
        <v>127</v>
      </c>
      <c r="E4729" s="17" t="s">
        <v>1416</v>
      </c>
      <c r="F4729" s="20">
        <v>904589</v>
      </c>
    </row>
    <row r="4730" spans="1:6" ht="16" customHeight="1" x14ac:dyDescent="0.2">
      <c r="A4730">
        <f>IFERROR(VLOOKUP(C4730,'GASB Match'!$D$2:$F$6042,3,FALSE),"")</f>
        <v>3417100</v>
      </c>
      <c r="B4730" s="17">
        <v>2016</v>
      </c>
      <c r="C4730" s="17" t="s">
        <v>368</v>
      </c>
      <c r="D4730" s="17">
        <v>127</v>
      </c>
      <c r="E4730" s="17" t="s">
        <v>1416</v>
      </c>
      <c r="F4730" s="20">
        <v>1364981</v>
      </c>
    </row>
    <row r="4731" spans="1:6" ht="16" customHeight="1" x14ac:dyDescent="0.2">
      <c r="A4731">
        <f>IFERROR(VLOOKUP(C4731,'GASB Match'!$D$2:$F$6042,3,FALSE),"")</f>
        <v>3417100</v>
      </c>
      <c r="B4731" s="17">
        <v>2018</v>
      </c>
      <c r="C4731" s="17" t="s">
        <v>1059</v>
      </c>
      <c r="D4731" s="17">
        <v>127</v>
      </c>
      <c r="E4731" s="17" t="s">
        <v>1459</v>
      </c>
      <c r="F4731" s="20">
        <v>2618911</v>
      </c>
    </row>
    <row r="4732" spans="1:6" ht="16" customHeight="1" x14ac:dyDescent="0.2">
      <c r="A4732">
        <f>IFERROR(VLOOKUP(C4732,'GASB Match'!$D$2:$F$6042,3,FALSE),"")</f>
        <v>3417100</v>
      </c>
      <c r="B4732" s="17">
        <v>2019</v>
      </c>
      <c r="C4732" s="17" t="s">
        <v>1059</v>
      </c>
      <c r="D4732" s="17">
        <v>127</v>
      </c>
      <c r="E4732" s="17" t="s">
        <v>1459</v>
      </c>
      <c r="F4732" s="20">
        <v>3495328</v>
      </c>
    </row>
    <row r="4733" spans="1:6" ht="16" customHeight="1" x14ac:dyDescent="0.2">
      <c r="A4733">
        <f>IFERROR(VLOOKUP(C4733,'GASB Match'!$D$2:$F$6042,3,FALSE),"")</f>
        <v>3417100</v>
      </c>
      <c r="B4733" s="17">
        <v>2020</v>
      </c>
      <c r="C4733" s="21" t="s">
        <v>1059</v>
      </c>
      <c r="D4733" s="17">
        <v>127</v>
      </c>
      <c r="E4733" s="17" t="s">
        <v>1459</v>
      </c>
      <c r="F4733" s="23">
        <v>4057349</v>
      </c>
    </row>
    <row r="4734" spans="1:6" ht="16" customHeight="1" x14ac:dyDescent="0.2">
      <c r="A4734">
        <f>IFERROR(VLOOKUP(C4734,'GASB Match'!$D$2:$F$6042,3,FALSE),"")</f>
        <v>3417100</v>
      </c>
      <c r="B4734" s="17">
        <v>2021</v>
      </c>
      <c r="C4734" s="25" t="s">
        <v>1059</v>
      </c>
      <c r="D4734" s="17">
        <v>127</v>
      </c>
      <c r="E4734" s="17" t="s">
        <v>1459</v>
      </c>
      <c r="F4734" s="23">
        <v>5209611</v>
      </c>
    </row>
    <row r="4735" spans="1:6" ht="16" customHeight="1" x14ac:dyDescent="0.2">
      <c r="A4735">
        <f>IFERROR(VLOOKUP(C4735,'GASB Match'!$D$2:$F$6042,3,FALSE),"")</f>
        <v>3417100</v>
      </c>
      <c r="B4735" s="17">
        <v>2022</v>
      </c>
      <c r="C4735" s="21" t="s">
        <v>1059</v>
      </c>
      <c r="D4735" s="17">
        <v>127</v>
      </c>
      <c r="E4735" s="17" t="s">
        <v>1459</v>
      </c>
      <c r="F4735" s="23">
        <v>7855003</v>
      </c>
    </row>
    <row r="4736" spans="1:6" ht="16" customHeight="1" x14ac:dyDescent="0.2">
      <c r="A4736">
        <f>IFERROR(VLOOKUP(C4736,'GASB Match'!$D$2:$F$6042,3,FALSE),"")</f>
        <v>3417100</v>
      </c>
      <c r="B4736" s="17">
        <v>2023</v>
      </c>
      <c r="C4736" s="21" t="s">
        <v>1059</v>
      </c>
      <c r="D4736" s="17">
        <v>127</v>
      </c>
      <c r="E4736" s="17" t="s">
        <v>1459</v>
      </c>
      <c r="F4736" s="23">
        <v>8063217</v>
      </c>
    </row>
    <row r="4737" spans="1:6" ht="16" customHeight="1" x14ac:dyDescent="0.2">
      <c r="A4737">
        <f>IFERROR(VLOOKUP(C4737,'GASB Match'!$D$2:$F$6042,3,FALSE),"")</f>
        <v>3417100</v>
      </c>
      <c r="B4737" s="28">
        <v>2017</v>
      </c>
      <c r="C4737" s="29" t="s">
        <v>368</v>
      </c>
      <c r="D4737" s="17">
        <v>127</v>
      </c>
      <c r="E4737" s="17" t="s">
        <v>1416</v>
      </c>
      <c r="F4737" s="29">
        <v>1971099</v>
      </c>
    </row>
    <row r="4738" spans="1:6" ht="16" customHeight="1" x14ac:dyDescent="0.2">
      <c r="A4738">
        <f>IFERROR(VLOOKUP(C4738,'GASB Match'!$D$2:$F$6042,3,FALSE),"")</f>
        <v>3400025</v>
      </c>
      <c r="B4738" s="17">
        <v>2015</v>
      </c>
      <c r="C4738" s="17" t="s">
        <v>262</v>
      </c>
      <c r="D4738" s="17">
        <v>6005</v>
      </c>
      <c r="E4738" s="17" t="s">
        <v>1411</v>
      </c>
      <c r="F4738" s="20">
        <v>146560</v>
      </c>
    </row>
    <row r="4739" spans="1:6" ht="16" customHeight="1" x14ac:dyDescent="0.2">
      <c r="A4739">
        <f>IFERROR(VLOOKUP(C4739,'GASB Match'!$D$2:$F$6042,3,FALSE),"")</f>
        <v>3400025</v>
      </c>
      <c r="B4739" s="17">
        <v>2016</v>
      </c>
      <c r="C4739" s="17" t="s">
        <v>262</v>
      </c>
      <c r="D4739" s="17">
        <v>6005</v>
      </c>
      <c r="E4739" s="17" t="s">
        <v>1411</v>
      </c>
      <c r="F4739" s="20">
        <v>244952</v>
      </c>
    </row>
    <row r="4740" spans="1:6" ht="16" customHeight="1" x14ac:dyDescent="0.2">
      <c r="A4740">
        <f>IFERROR(VLOOKUP(C4740,'GASB Match'!$D$2:$F$6042,3,FALSE),"")</f>
        <v>3400025</v>
      </c>
      <c r="B4740" s="17">
        <v>2018</v>
      </c>
      <c r="C4740" s="17" t="s">
        <v>952</v>
      </c>
      <c r="D4740" s="17">
        <v>6005</v>
      </c>
      <c r="E4740" s="17" t="s">
        <v>1452</v>
      </c>
      <c r="F4740" s="20">
        <v>442073</v>
      </c>
    </row>
    <row r="4741" spans="1:6" ht="16" customHeight="1" x14ac:dyDescent="0.2">
      <c r="A4741">
        <f>IFERROR(VLOOKUP(C4741,'GASB Match'!$D$2:$F$6042,3,FALSE),"")</f>
        <v>3400025</v>
      </c>
      <c r="B4741" s="17">
        <v>2019</v>
      </c>
      <c r="C4741" s="17" t="s">
        <v>952</v>
      </c>
      <c r="D4741" s="17">
        <v>6005</v>
      </c>
      <c r="E4741" s="17" t="s">
        <v>1452</v>
      </c>
      <c r="F4741" s="20">
        <v>609390</v>
      </c>
    </row>
    <row r="4742" spans="1:6" ht="16" customHeight="1" x14ac:dyDescent="0.2">
      <c r="A4742">
        <f>IFERROR(VLOOKUP(C4742,'GASB Match'!$D$2:$F$6042,3,FALSE),"")</f>
        <v>3400025</v>
      </c>
      <c r="B4742" s="17">
        <v>2020</v>
      </c>
      <c r="C4742" s="21" t="s">
        <v>952</v>
      </c>
      <c r="D4742" s="17">
        <v>6005</v>
      </c>
      <c r="E4742" s="17" t="s">
        <v>1452</v>
      </c>
      <c r="F4742" s="23">
        <v>665730</v>
      </c>
    </row>
    <row r="4743" spans="1:6" ht="16" customHeight="1" x14ac:dyDescent="0.2">
      <c r="A4743">
        <f>IFERROR(VLOOKUP(C4743,'GASB Match'!$D$2:$F$6042,3,FALSE),"")</f>
        <v>3400025</v>
      </c>
      <c r="B4743" s="17">
        <v>2021</v>
      </c>
      <c r="C4743" s="25" t="s">
        <v>952</v>
      </c>
      <c r="D4743" s="17">
        <v>6005</v>
      </c>
      <c r="E4743" s="17" t="s">
        <v>1452</v>
      </c>
      <c r="F4743" s="23">
        <v>897896</v>
      </c>
    </row>
    <row r="4744" spans="1:6" ht="16" customHeight="1" x14ac:dyDescent="0.2">
      <c r="A4744">
        <f>IFERROR(VLOOKUP(C4744,'GASB Match'!$D$2:$F$6042,3,FALSE),"")</f>
        <v>3400025</v>
      </c>
      <c r="B4744" s="17">
        <v>2022</v>
      </c>
      <c r="C4744" s="21" t="s">
        <v>952</v>
      </c>
      <c r="D4744" s="17">
        <v>6005</v>
      </c>
      <c r="E4744" s="17" t="s">
        <v>1452</v>
      </c>
      <c r="F4744" s="23">
        <v>1273799</v>
      </c>
    </row>
    <row r="4745" spans="1:6" ht="16" customHeight="1" x14ac:dyDescent="0.2">
      <c r="A4745">
        <f>IFERROR(VLOOKUP(C4745,'GASB Match'!$D$2:$F$6042,3,FALSE),"")</f>
        <v>3400025</v>
      </c>
      <c r="B4745" s="17">
        <v>2023</v>
      </c>
      <c r="C4745" s="21" t="s">
        <v>952</v>
      </c>
      <c r="D4745" s="17">
        <v>6005</v>
      </c>
      <c r="E4745" s="17" t="s">
        <v>1452</v>
      </c>
      <c r="F4745" s="23">
        <v>1255859</v>
      </c>
    </row>
    <row r="4746" spans="1:6" ht="16" customHeight="1" x14ac:dyDescent="0.2">
      <c r="A4746">
        <f>IFERROR(VLOOKUP(C4746,'GASB Match'!$D$2:$F$6042,3,FALSE),"")</f>
        <v>3400025</v>
      </c>
      <c r="B4746" s="28">
        <v>2017</v>
      </c>
      <c r="C4746" s="29" t="s">
        <v>262</v>
      </c>
      <c r="D4746" s="17">
        <v>6005</v>
      </c>
      <c r="E4746" s="17" t="s">
        <v>1411</v>
      </c>
      <c r="F4746" s="29">
        <v>354675</v>
      </c>
    </row>
    <row r="4747" spans="1:6" ht="16" customHeight="1" x14ac:dyDescent="0.2">
      <c r="A4747">
        <f>IFERROR(VLOOKUP(C4747,'GASB Match'!$D$2:$F$6042,3,FALSE),"")</f>
        <v>3414070</v>
      </c>
      <c r="B4747" s="17">
        <v>2015</v>
      </c>
      <c r="C4747" s="17" t="s">
        <v>90</v>
      </c>
      <c r="D4747" s="17">
        <v>2058</v>
      </c>
      <c r="E4747" s="17" t="s">
        <v>1402</v>
      </c>
      <c r="F4747" s="20">
        <v>183502</v>
      </c>
    </row>
    <row r="4748" spans="1:6" ht="16" customHeight="1" x14ac:dyDescent="0.2">
      <c r="A4748">
        <f>IFERROR(VLOOKUP(C4748,'GASB Match'!$D$2:$F$6042,3,FALSE),"")</f>
        <v>3414070</v>
      </c>
      <c r="B4748" s="17">
        <v>2016</v>
      </c>
      <c r="C4748" s="17" t="s">
        <v>90</v>
      </c>
      <c r="D4748" s="17">
        <v>2058</v>
      </c>
      <c r="E4748" s="17" t="s">
        <v>1402</v>
      </c>
      <c r="F4748" s="20">
        <v>289930</v>
      </c>
    </row>
    <row r="4749" spans="1:6" ht="16" customHeight="1" x14ac:dyDescent="0.2">
      <c r="A4749">
        <f>IFERROR(VLOOKUP(C4749,'GASB Match'!$D$2:$F$6042,3,FALSE),"")</f>
        <v>3414070</v>
      </c>
      <c r="B4749" s="17">
        <v>2018</v>
      </c>
      <c r="C4749" s="17" t="s">
        <v>769</v>
      </c>
      <c r="D4749" s="17">
        <v>2058</v>
      </c>
      <c r="E4749" s="17" t="s">
        <v>1443</v>
      </c>
      <c r="F4749" s="20">
        <v>566040</v>
      </c>
    </row>
    <row r="4750" spans="1:6" ht="16" customHeight="1" x14ac:dyDescent="0.2">
      <c r="A4750">
        <f>IFERROR(VLOOKUP(C4750,'GASB Match'!$D$2:$F$6042,3,FALSE),"")</f>
        <v>3414070</v>
      </c>
      <c r="B4750" s="17">
        <v>2019</v>
      </c>
      <c r="C4750" s="17" t="s">
        <v>769</v>
      </c>
      <c r="D4750" s="17">
        <v>2058</v>
      </c>
      <c r="E4750" s="17" t="s">
        <v>1443</v>
      </c>
      <c r="F4750" s="20">
        <v>780836</v>
      </c>
    </row>
    <row r="4751" spans="1:6" ht="16" customHeight="1" x14ac:dyDescent="0.2">
      <c r="A4751">
        <f>IFERROR(VLOOKUP(C4751,'GASB Match'!$D$2:$F$6042,3,FALSE),"")</f>
        <v>3414070</v>
      </c>
      <c r="B4751" s="17">
        <v>2020</v>
      </c>
      <c r="C4751" s="21" t="s">
        <v>769</v>
      </c>
      <c r="D4751" s="17">
        <v>2058</v>
      </c>
      <c r="E4751" s="17" t="s">
        <v>1443</v>
      </c>
      <c r="F4751" s="23">
        <v>881938</v>
      </c>
    </row>
    <row r="4752" spans="1:6" ht="16" customHeight="1" x14ac:dyDescent="0.2">
      <c r="A4752">
        <f>IFERROR(VLOOKUP(C4752,'GASB Match'!$D$2:$F$6042,3,FALSE),"")</f>
        <v>3414070</v>
      </c>
      <c r="B4752" s="17">
        <v>2021</v>
      </c>
      <c r="C4752" s="25" t="s">
        <v>769</v>
      </c>
      <c r="D4752" s="17">
        <v>2058</v>
      </c>
      <c r="E4752" s="17" t="s">
        <v>1443</v>
      </c>
      <c r="F4752" s="23">
        <v>1161488</v>
      </c>
    </row>
    <row r="4753" spans="1:6" ht="16" customHeight="1" x14ac:dyDescent="0.2">
      <c r="A4753">
        <f>IFERROR(VLOOKUP(C4753,'GASB Match'!$D$2:$F$6042,3,FALSE),"")</f>
        <v>3414070</v>
      </c>
      <c r="B4753" s="17">
        <v>2022</v>
      </c>
      <c r="C4753" s="21" t="s">
        <v>769</v>
      </c>
      <c r="D4753" s="17">
        <v>2058</v>
      </c>
      <c r="E4753" s="17" t="s">
        <v>1443</v>
      </c>
      <c r="F4753" s="23">
        <v>1698847</v>
      </c>
    </row>
    <row r="4754" spans="1:6" ht="16" customHeight="1" x14ac:dyDescent="0.2">
      <c r="A4754">
        <f>IFERROR(VLOOKUP(C4754,'GASB Match'!$D$2:$F$6042,3,FALSE),"")</f>
        <v>3414070</v>
      </c>
      <c r="B4754" s="17">
        <v>2023</v>
      </c>
      <c r="C4754" s="21" t="s">
        <v>769</v>
      </c>
      <c r="D4754" s="17">
        <v>2058</v>
      </c>
      <c r="E4754" s="17" t="s">
        <v>1443</v>
      </c>
      <c r="F4754" s="23">
        <v>1732490</v>
      </c>
    </row>
    <row r="4755" spans="1:6" ht="16" customHeight="1" x14ac:dyDescent="0.2">
      <c r="A4755">
        <f>IFERROR(VLOOKUP(C4755,'GASB Match'!$D$2:$F$6042,3,FALSE),"")</f>
        <v>3414070</v>
      </c>
      <c r="B4755" s="28">
        <v>2017</v>
      </c>
      <c r="C4755" s="29" t="s">
        <v>90</v>
      </c>
      <c r="D4755" s="17">
        <v>2058</v>
      </c>
      <c r="E4755" s="17" t="s">
        <v>1402</v>
      </c>
      <c r="F4755" s="29">
        <v>437425</v>
      </c>
    </row>
    <row r="4756" spans="1:6" ht="16" customHeight="1" x14ac:dyDescent="0.2">
      <c r="A4756">
        <f>IFERROR(VLOOKUP(C4756,'GASB Match'!$D$2:$F$6042,3,FALSE),"")</f>
        <v>3414100</v>
      </c>
      <c r="B4756" s="17">
        <v>2015</v>
      </c>
      <c r="C4756" s="17" t="s">
        <v>488</v>
      </c>
      <c r="D4756" s="17">
        <v>443</v>
      </c>
      <c r="E4756" s="17" t="s">
        <v>1421</v>
      </c>
      <c r="F4756" s="20">
        <v>167757</v>
      </c>
    </row>
    <row r="4757" spans="1:6" ht="16" customHeight="1" x14ac:dyDescent="0.2">
      <c r="A4757">
        <f>IFERROR(VLOOKUP(C4757,'GASB Match'!$D$2:$F$6042,3,FALSE),"")</f>
        <v>3414100</v>
      </c>
      <c r="B4757" s="17">
        <v>2016</v>
      </c>
      <c r="C4757" s="17" t="s">
        <v>488</v>
      </c>
      <c r="D4757" s="17">
        <v>443</v>
      </c>
      <c r="E4757" s="17" t="s">
        <v>1421</v>
      </c>
      <c r="F4757" s="20">
        <v>218272</v>
      </c>
    </row>
    <row r="4758" spans="1:6" ht="16" customHeight="1" x14ac:dyDescent="0.2">
      <c r="A4758">
        <f>IFERROR(VLOOKUP(C4758,'GASB Match'!$D$2:$F$6042,3,FALSE),"")</f>
        <v>3414100</v>
      </c>
      <c r="B4758" s="17">
        <v>2018</v>
      </c>
      <c r="C4758" s="17" t="s">
        <v>1180</v>
      </c>
      <c r="D4758" s="17">
        <v>443</v>
      </c>
      <c r="E4758" s="17" t="s">
        <v>1464</v>
      </c>
      <c r="F4758" s="20">
        <v>477858</v>
      </c>
    </row>
    <row r="4759" spans="1:6" ht="16" customHeight="1" x14ac:dyDescent="0.2">
      <c r="A4759">
        <f>IFERROR(VLOOKUP(C4759,'GASB Match'!$D$2:$F$6042,3,FALSE),"")</f>
        <v>3414100</v>
      </c>
      <c r="B4759" s="17">
        <v>2019</v>
      </c>
      <c r="C4759" s="17" t="s">
        <v>1180</v>
      </c>
      <c r="D4759" s="17">
        <v>443</v>
      </c>
      <c r="E4759" s="17" t="s">
        <v>1464</v>
      </c>
      <c r="F4759" s="20">
        <v>656050</v>
      </c>
    </row>
    <row r="4760" spans="1:6" ht="16" customHeight="1" x14ac:dyDescent="0.2">
      <c r="A4760">
        <f>IFERROR(VLOOKUP(C4760,'GASB Match'!$D$2:$F$6042,3,FALSE),"")</f>
        <v>3414100</v>
      </c>
      <c r="B4760" s="17">
        <v>2020</v>
      </c>
      <c r="C4760" s="21" t="s">
        <v>1180</v>
      </c>
      <c r="D4760" s="17">
        <v>443</v>
      </c>
      <c r="E4760" s="17" t="s">
        <v>1464</v>
      </c>
      <c r="F4760" s="23">
        <v>745590</v>
      </c>
    </row>
    <row r="4761" spans="1:6" ht="16" customHeight="1" x14ac:dyDescent="0.2">
      <c r="A4761">
        <f>IFERROR(VLOOKUP(C4761,'GASB Match'!$D$2:$F$6042,3,FALSE),"")</f>
        <v>3414100</v>
      </c>
      <c r="B4761" s="17">
        <v>2021</v>
      </c>
      <c r="C4761" s="25" t="s">
        <v>1180</v>
      </c>
      <c r="D4761" s="17">
        <v>443</v>
      </c>
      <c r="E4761" s="17" t="s">
        <v>1464</v>
      </c>
      <c r="F4761" s="23">
        <v>1089202</v>
      </c>
    </row>
    <row r="4762" spans="1:6" ht="16" customHeight="1" x14ac:dyDescent="0.2">
      <c r="A4762">
        <f>IFERROR(VLOOKUP(C4762,'GASB Match'!$D$2:$F$6042,3,FALSE),"")</f>
        <v>3414100</v>
      </c>
      <c r="B4762" s="17">
        <v>2022</v>
      </c>
      <c r="C4762" s="21" t="s">
        <v>1180</v>
      </c>
      <c r="D4762" s="17">
        <v>443</v>
      </c>
      <c r="E4762" s="17" t="s">
        <v>1464</v>
      </c>
      <c r="F4762" s="23">
        <v>1585267</v>
      </c>
    </row>
    <row r="4763" spans="1:6" ht="16" customHeight="1" x14ac:dyDescent="0.2">
      <c r="A4763">
        <f>IFERROR(VLOOKUP(C4763,'GASB Match'!$D$2:$F$6042,3,FALSE),"")</f>
        <v>3414100</v>
      </c>
      <c r="B4763" s="17">
        <v>2023</v>
      </c>
      <c r="C4763" s="21" t="s">
        <v>1180</v>
      </c>
      <c r="D4763" s="17">
        <v>443</v>
      </c>
      <c r="E4763" s="17" t="s">
        <v>1464</v>
      </c>
      <c r="F4763" s="23">
        <v>1607233</v>
      </c>
    </row>
    <row r="4764" spans="1:6" ht="16" customHeight="1" x14ac:dyDescent="0.2">
      <c r="A4764">
        <f>IFERROR(VLOOKUP(C4764,'GASB Match'!$D$2:$F$6042,3,FALSE),"")</f>
        <v>3414100</v>
      </c>
      <c r="B4764" s="28">
        <v>2017</v>
      </c>
      <c r="C4764" s="29" t="s">
        <v>488</v>
      </c>
      <c r="D4764" s="17">
        <v>443</v>
      </c>
      <c r="E4764" s="17" t="s">
        <v>1421</v>
      </c>
      <c r="F4764" s="29">
        <v>340395</v>
      </c>
    </row>
    <row r="4765" spans="1:6" ht="16" customHeight="1" x14ac:dyDescent="0.2">
      <c r="A4765">
        <f>IFERROR(VLOOKUP(C4765,'GASB Match'!$D$2:$F$6042,3,FALSE),"")</f>
        <v>3414130</v>
      </c>
      <c r="B4765" s="17">
        <v>2015</v>
      </c>
      <c r="C4765" s="17" t="s">
        <v>489</v>
      </c>
      <c r="D4765" s="17">
        <v>444</v>
      </c>
      <c r="E4765" s="17" t="s">
        <v>1421</v>
      </c>
      <c r="F4765" s="20">
        <v>1024644</v>
      </c>
    </row>
    <row r="4766" spans="1:6" ht="16" customHeight="1" x14ac:dyDescent="0.2">
      <c r="A4766">
        <f>IFERROR(VLOOKUP(C4766,'GASB Match'!$D$2:$F$6042,3,FALSE),"")</f>
        <v>3414130</v>
      </c>
      <c r="B4766" s="17">
        <v>2016</v>
      </c>
      <c r="C4766" s="17" t="s">
        <v>489</v>
      </c>
      <c r="D4766" s="17">
        <v>444</v>
      </c>
      <c r="E4766" s="17" t="s">
        <v>1421</v>
      </c>
      <c r="F4766" s="20">
        <v>1506837</v>
      </c>
    </row>
    <row r="4767" spans="1:6" ht="16" customHeight="1" x14ac:dyDescent="0.2">
      <c r="A4767">
        <f>IFERROR(VLOOKUP(C4767,'GASB Match'!$D$2:$F$6042,3,FALSE),"")</f>
        <v>3414130</v>
      </c>
      <c r="B4767" s="17">
        <v>2018</v>
      </c>
      <c r="C4767" s="17" t="s">
        <v>1181</v>
      </c>
      <c r="D4767" s="17">
        <v>444</v>
      </c>
      <c r="E4767" s="17" t="s">
        <v>1464</v>
      </c>
      <c r="F4767" s="20">
        <v>2958815</v>
      </c>
    </row>
    <row r="4768" spans="1:6" ht="16" customHeight="1" x14ac:dyDescent="0.2">
      <c r="A4768">
        <f>IFERROR(VLOOKUP(C4768,'GASB Match'!$D$2:$F$6042,3,FALSE),"")</f>
        <v>3414130</v>
      </c>
      <c r="B4768" s="17">
        <v>2019</v>
      </c>
      <c r="C4768" s="17" t="s">
        <v>1181</v>
      </c>
      <c r="D4768" s="17">
        <v>444</v>
      </c>
      <c r="E4768" s="17" t="s">
        <v>1464</v>
      </c>
      <c r="F4768" s="20">
        <v>3920879</v>
      </c>
    </row>
    <row r="4769" spans="1:6" ht="16" customHeight="1" x14ac:dyDescent="0.2">
      <c r="A4769">
        <f>IFERROR(VLOOKUP(C4769,'GASB Match'!$D$2:$F$6042,3,FALSE),"")</f>
        <v>3414130</v>
      </c>
      <c r="B4769" s="17">
        <v>2020</v>
      </c>
      <c r="C4769" s="21" t="s">
        <v>1181</v>
      </c>
      <c r="D4769" s="17">
        <v>444</v>
      </c>
      <c r="E4769" s="17" t="s">
        <v>1464</v>
      </c>
      <c r="F4769" s="23">
        <v>4341329</v>
      </c>
    </row>
    <row r="4770" spans="1:6" ht="16" customHeight="1" x14ac:dyDescent="0.2">
      <c r="A4770">
        <f>IFERROR(VLOOKUP(C4770,'GASB Match'!$D$2:$F$6042,3,FALSE),"")</f>
        <v>3414130</v>
      </c>
      <c r="B4770" s="17">
        <v>2021</v>
      </c>
      <c r="C4770" s="25" t="s">
        <v>1181</v>
      </c>
      <c r="D4770" s="17">
        <v>444</v>
      </c>
      <c r="E4770" s="17" t="s">
        <v>1464</v>
      </c>
      <c r="F4770" s="23">
        <v>5545396</v>
      </c>
    </row>
    <row r="4771" spans="1:6" ht="16" customHeight="1" x14ac:dyDescent="0.2">
      <c r="A4771">
        <f>IFERROR(VLOOKUP(C4771,'GASB Match'!$D$2:$F$6042,3,FALSE),"")</f>
        <v>3414130</v>
      </c>
      <c r="B4771" s="17">
        <v>2022</v>
      </c>
      <c r="C4771" s="21" t="s">
        <v>1181</v>
      </c>
      <c r="D4771" s="17">
        <v>444</v>
      </c>
      <c r="E4771" s="17" t="s">
        <v>1464</v>
      </c>
      <c r="F4771" s="23">
        <v>8070148</v>
      </c>
    </row>
    <row r="4772" spans="1:6" ht="16" customHeight="1" x14ac:dyDescent="0.2">
      <c r="A4772">
        <f>IFERROR(VLOOKUP(C4772,'GASB Match'!$D$2:$F$6042,3,FALSE),"")</f>
        <v>3414130</v>
      </c>
      <c r="B4772" s="17">
        <v>2023</v>
      </c>
      <c r="C4772" s="21" t="s">
        <v>1181</v>
      </c>
      <c r="D4772" s="17">
        <v>444</v>
      </c>
      <c r="E4772" s="17" t="s">
        <v>1464</v>
      </c>
      <c r="F4772" s="23">
        <v>8159627</v>
      </c>
    </row>
    <row r="4773" spans="1:6" ht="16" customHeight="1" x14ac:dyDescent="0.2">
      <c r="A4773">
        <f>IFERROR(VLOOKUP(C4773,'GASB Match'!$D$2:$F$6042,3,FALSE),"")</f>
        <v>3414130</v>
      </c>
      <c r="B4773" s="28">
        <v>2017</v>
      </c>
      <c r="C4773" s="29" t="s">
        <v>489</v>
      </c>
      <c r="D4773" s="17">
        <v>444</v>
      </c>
      <c r="E4773" s="17" t="s">
        <v>1421</v>
      </c>
      <c r="F4773" s="29">
        <v>2156692</v>
      </c>
    </row>
    <row r="4774" spans="1:6" ht="16" customHeight="1" x14ac:dyDescent="0.2">
      <c r="A4774">
        <f>IFERROR(VLOOKUP(C4774,'GASB Match'!$D$2:$F$6042,3,FALSE),"")</f>
        <v>3414160</v>
      </c>
      <c r="B4774" s="17">
        <v>2015</v>
      </c>
      <c r="C4774" s="17" t="s">
        <v>91</v>
      </c>
      <c r="D4774" s="17">
        <v>2095</v>
      </c>
      <c r="E4774" s="17" t="s">
        <v>1402</v>
      </c>
      <c r="F4774" s="17">
        <v>961</v>
      </c>
    </row>
    <row r="4775" spans="1:6" ht="16" customHeight="1" x14ac:dyDescent="0.2">
      <c r="A4775">
        <f>IFERROR(VLOOKUP(C4775,'GASB Match'!$D$2:$F$6042,3,FALSE),"")</f>
        <v>3414160</v>
      </c>
      <c r="B4775" s="17">
        <v>2016</v>
      </c>
      <c r="C4775" s="17" t="s">
        <v>91</v>
      </c>
      <c r="D4775" s="17">
        <v>2095</v>
      </c>
      <c r="E4775" s="17" t="s">
        <v>1402</v>
      </c>
      <c r="F4775" s="20">
        <v>1438</v>
      </c>
    </row>
    <row r="4776" spans="1:6" ht="16" customHeight="1" x14ac:dyDescent="0.2">
      <c r="A4776">
        <f>IFERROR(VLOOKUP(C4776,'GASB Match'!$D$2:$F$6042,3,FALSE),"")</f>
        <v>3414160</v>
      </c>
      <c r="B4776" s="17">
        <v>2018</v>
      </c>
      <c r="C4776" s="17" t="s">
        <v>770</v>
      </c>
      <c r="D4776" s="17">
        <v>2095</v>
      </c>
      <c r="E4776" s="17" t="s">
        <v>1443</v>
      </c>
      <c r="F4776" s="20">
        <v>2764</v>
      </c>
    </row>
    <row r="4777" spans="1:6" ht="16" customHeight="1" x14ac:dyDescent="0.2">
      <c r="A4777">
        <f>IFERROR(VLOOKUP(C4777,'GASB Match'!$D$2:$F$6042,3,FALSE),"")</f>
        <v>3414160</v>
      </c>
      <c r="B4777" s="17">
        <v>2019</v>
      </c>
      <c r="C4777" s="17" t="s">
        <v>770</v>
      </c>
      <c r="D4777" s="17">
        <v>2095</v>
      </c>
      <c r="E4777" s="17" t="s">
        <v>1443</v>
      </c>
      <c r="F4777" s="20">
        <v>3716</v>
      </c>
    </row>
    <row r="4778" spans="1:6" ht="16" customHeight="1" x14ac:dyDescent="0.2">
      <c r="A4778">
        <f>IFERROR(VLOOKUP(C4778,'GASB Match'!$D$2:$F$6042,3,FALSE),"")</f>
        <v>3414160</v>
      </c>
      <c r="B4778" s="17">
        <v>2020</v>
      </c>
      <c r="C4778" s="21" t="s">
        <v>770</v>
      </c>
      <c r="D4778" s="17">
        <v>2095</v>
      </c>
      <c r="E4778" s="17" t="s">
        <v>1443</v>
      </c>
      <c r="F4778" s="23">
        <v>4241</v>
      </c>
    </row>
    <row r="4779" spans="1:6" ht="16" customHeight="1" x14ac:dyDescent="0.2">
      <c r="A4779">
        <f>IFERROR(VLOOKUP(C4779,'GASB Match'!$D$2:$F$6042,3,FALSE),"")</f>
        <v>3414160</v>
      </c>
      <c r="B4779" s="17">
        <v>2021</v>
      </c>
      <c r="C4779" s="25" t="s">
        <v>770</v>
      </c>
      <c r="D4779" s="17">
        <v>2095</v>
      </c>
      <c r="E4779" s="17" t="s">
        <v>1443</v>
      </c>
      <c r="F4779" s="23">
        <v>5527</v>
      </c>
    </row>
    <row r="4780" spans="1:6" ht="16" customHeight="1" x14ac:dyDescent="0.2">
      <c r="A4780">
        <f>IFERROR(VLOOKUP(C4780,'GASB Match'!$D$2:$F$6042,3,FALSE),"")</f>
        <v>3414160</v>
      </c>
      <c r="B4780" s="17">
        <v>2022</v>
      </c>
      <c r="C4780" s="21" t="s">
        <v>770</v>
      </c>
      <c r="D4780" s="17">
        <v>2095</v>
      </c>
      <c r="E4780" s="17" t="s">
        <v>1443</v>
      </c>
      <c r="F4780" s="23">
        <v>7942</v>
      </c>
    </row>
    <row r="4781" spans="1:6" ht="16" customHeight="1" x14ac:dyDescent="0.2">
      <c r="A4781">
        <f>IFERROR(VLOOKUP(C4781,'GASB Match'!$D$2:$F$6042,3,FALSE),"")</f>
        <v>3414160</v>
      </c>
      <c r="B4781" s="17">
        <v>2023</v>
      </c>
      <c r="C4781" s="21" t="s">
        <v>770</v>
      </c>
      <c r="D4781" s="17">
        <v>2095</v>
      </c>
      <c r="E4781" s="17" t="s">
        <v>1443</v>
      </c>
      <c r="F4781" s="23">
        <v>8022</v>
      </c>
    </row>
    <row r="4782" spans="1:6" ht="16" customHeight="1" x14ac:dyDescent="0.2">
      <c r="A4782">
        <f>IFERROR(VLOOKUP(C4782,'GASB Match'!$D$2:$F$6042,3,FALSE),"")</f>
        <v>3414160</v>
      </c>
      <c r="B4782" s="28">
        <v>2017</v>
      </c>
      <c r="C4782" s="29" t="s">
        <v>91</v>
      </c>
      <c r="D4782" s="17">
        <v>2095</v>
      </c>
      <c r="E4782" s="17" t="s">
        <v>1402</v>
      </c>
      <c r="F4782" s="29">
        <v>2038</v>
      </c>
    </row>
    <row r="4783" spans="1:6" ht="16" customHeight="1" x14ac:dyDescent="0.2">
      <c r="A4783">
        <f>IFERROR(VLOOKUP(C4783,'GASB Match'!$D$2:$F$6042,3,FALSE),"")</f>
        <v>3414220</v>
      </c>
      <c r="B4783" s="17">
        <v>2015</v>
      </c>
      <c r="C4783" s="17" t="s">
        <v>441</v>
      </c>
      <c r="D4783" s="17">
        <v>369</v>
      </c>
      <c r="E4783" s="17" t="s">
        <v>1420</v>
      </c>
      <c r="F4783" s="20">
        <v>33102</v>
      </c>
    </row>
    <row r="4784" spans="1:6" ht="16" customHeight="1" x14ac:dyDescent="0.2">
      <c r="A4784">
        <f>IFERROR(VLOOKUP(C4784,'GASB Match'!$D$2:$F$6042,3,FALSE),"")</f>
        <v>3414220</v>
      </c>
      <c r="B4784" s="17">
        <v>2016</v>
      </c>
      <c r="C4784" s="17" t="s">
        <v>441</v>
      </c>
      <c r="D4784" s="17">
        <v>369</v>
      </c>
      <c r="E4784" s="17" t="s">
        <v>1420</v>
      </c>
      <c r="F4784" s="20">
        <v>49491</v>
      </c>
    </row>
    <row r="4785" spans="1:6" ht="16" customHeight="1" x14ac:dyDescent="0.2">
      <c r="A4785">
        <f>IFERROR(VLOOKUP(C4785,'GASB Match'!$D$2:$F$6042,3,FALSE),"")</f>
        <v>3414220</v>
      </c>
      <c r="B4785" s="17">
        <v>2018</v>
      </c>
      <c r="C4785" s="17" t="s">
        <v>1133</v>
      </c>
      <c r="D4785" s="17">
        <v>369</v>
      </c>
      <c r="E4785" s="17" t="s">
        <v>1463</v>
      </c>
      <c r="F4785" s="20">
        <v>125787</v>
      </c>
    </row>
    <row r="4786" spans="1:6" ht="16" customHeight="1" x14ac:dyDescent="0.2">
      <c r="A4786">
        <f>IFERROR(VLOOKUP(C4786,'GASB Match'!$D$2:$F$6042,3,FALSE),"")</f>
        <v>3414220</v>
      </c>
      <c r="B4786" s="17">
        <v>2019</v>
      </c>
      <c r="C4786" s="17" t="s">
        <v>1133</v>
      </c>
      <c r="D4786" s="17">
        <v>369</v>
      </c>
      <c r="E4786" s="17" t="s">
        <v>1463</v>
      </c>
      <c r="F4786" s="20">
        <v>165842</v>
      </c>
    </row>
    <row r="4787" spans="1:6" ht="16" customHeight="1" x14ac:dyDescent="0.2">
      <c r="A4787">
        <f>IFERROR(VLOOKUP(C4787,'GASB Match'!$D$2:$F$6042,3,FALSE),"")</f>
        <v>3414220</v>
      </c>
      <c r="B4787" s="17">
        <v>2020</v>
      </c>
      <c r="C4787" s="21" t="s">
        <v>1133</v>
      </c>
      <c r="D4787" s="17">
        <v>369</v>
      </c>
      <c r="E4787" s="17" t="s">
        <v>1463</v>
      </c>
      <c r="F4787" s="23">
        <v>184047</v>
      </c>
    </row>
    <row r="4788" spans="1:6" ht="16" customHeight="1" x14ac:dyDescent="0.2">
      <c r="A4788">
        <f>IFERROR(VLOOKUP(C4788,'GASB Match'!$D$2:$F$6042,3,FALSE),"")</f>
        <v>3414220</v>
      </c>
      <c r="B4788" s="17">
        <v>2021</v>
      </c>
      <c r="C4788" s="25" t="s">
        <v>1133</v>
      </c>
      <c r="D4788" s="17">
        <v>369</v>
      </c>
      <c r="E4788" s="17" t="s">
        <v>1463</v>
      </c>
      <c r="F4788" s="23">
        <v>253698</v>
      </c>
    </row>
    <row r="4789" spans="1:6" ht="16" customHeight="1" x14ac:dyDescent="0.2">
      <c r="A4789">
        <f>IFERROR(VLOOKUP(C4789,'GASB Match'!$D$2:$F$6042,3,FALSE),"")</f>
        <v>3414220</v>
      </c>
      <c r="B4789" s="17">
        <v>2022</v>
      </c>
      <c r="C4789" s="21" t="s">
        <v>1133</v>
      </c>
      <c r="D4789" s="17">
        <v>369</v>
      </c>
      <c r="E4789" s="17" t="s">
        <v>1463</v>
      </c>
      <c r="F4789" s="23">
        <v>289173</v>
      </c>
    </row>
    <row r="4790" spans="1:6" ht="16" customHeight="1" x14ac:dyDescent="0.2">
      <c r="A4790">
        <f>IFERROR(VLOOKUP(C4790,'GASB Match'!$D$2:$F$6042,3,FALSE),"")</f>
        <v>3414220</v>
      </c>
      <c r="B4790" s="17">
        <v>2023</v>
      </c>
      <c r="C4790" s="21" t="s">
        <v>1133</v>
      </c>
      <c r="D4790" s="17">
        <v>369</v>
      </c>
      <c r="E4790" s="17" t="s">
        <v>1463</v>
      </c>
      <c r="F4790" s="23">
        <v>276451</v>
      </c>
    </row>
    <row r="4791" spans="1:6" ht="16" customHeight="1" x14ac:dyDescent="0.2">
      <c r="A4791">
        <f>IFERROR(VLOOKUP(C4791,'GASB Match'!$D$2:$F$6042,3,FALSE),"")</f>
        <v>3414220</v>
      </c>
      <c r="B4791" s="28">
        <v>2017</v>
      </c>
      <c r="C4791" s="29" t="s">
        <v>441</v>
      </c>
      <c r="D4791" s="17">
        <v>369</v>
      </c>
      <c r="E4791" s="17" t="s">
        <v>1420</v>
      </c>
      <c r="F4791" s="29">
        <v>81984</v>
      </c>
    </row>
    <row r="4792" spans="1:6" ht="16" customHeight="1" x14ac:dyDescent="0.2">
      <c r="A4792">
        <f>IFERROR(VLOOKUP(C4792,'GASB Match'!$D$2:$F$6042,3,FALSE),"")</f>
        <v>3414250</v>
      </c>
      <c r="B4792" s="17">
        <v>2015</v>
      </c>
      <c r="C4792" s="17" t="s">
        <v>263</v>
      </c>
      <c r="D4792" s="17">
        <v>6091</v>
      </c>
      <c r="E4792" s="17" t="s">
        <v>1411</v>
      </c>
      <c r="F4792" s="20">
        <v>200714</v>
      </c>
    </row>
    <row r="4793" spans="1:6" ht="16" customHeight="1" x14ac:dyDescent="0.2">
      <c r="A4793">
        <f>IFERROR(VLOOKUP(C4793,'GASB Match'!$D$2:$F$6042,3,FALSE),"")</f>
        <v>3414250</v>
      </c>
      <c r="B4793" s="17">
        <v>2016</v>
      </c>
      <c r="C4793" s="17" t="s">
        <v>263</v>
      </c>
      <c r="D4793" s="17">
        <v>6091</v>
      </c>
      <c r="E4793" s="17" t="s">
        <v>1411</v>
      </c>
      <c r="F4793" s="20">
        <v>277803</v>
      </c>
    </row>
    <row r="4794" spans="1:6" ht="16" customHeight="1" x14ac:dyDescent="0.2">
      <c r="A4794">
        <f>IFERROR(VLOOKUP(C4794,'GASB Match'!$D$2:$F$6042,3,FALSE),"")</f>
        <v>3414250</v>
      </c>
      <c r="B4794" s="17">
        <v>2018</v>
      </c>
      <c r="C4794" s="17" t="s">
        <v>953</v>
      </c>
      <c r="D4794" s="17">
        <v>6091</v>
      </c>
      <c r="E4794" s="17" t="s">
        <v>1452</v>
      </c>
      <c r="F4794" s="20">
        <v>498580</v>
      </c>
    </row>
    <row r="4795" spans="1:6" ht="16" customHeight="1" x14ac:dyDescent="0.2">
      <c r="A4795">
        <f>IFERROR(VLOOKUP(C4795,'GASB Match'!$D$2:$F$6042,3,FALSE),"")</f>
        <v>3414250</v>
      </c>
      <c r="B4795" s="17">
        <v>2019</v>
      </c>
      <c r="C4795" s="17" t="s">
        <v>953</v>
      </c>
      <c r="D4795" s="17">
        <v>6091</v>
      </c>
      <c r="E4795" s="17" t="s">
        <v>1452</v>
      </c>
      <c r="F4795" s="20">
        <v>659370</v>
      </c>
    </row>
    <row r="4796" spans="1:6" ht="16" customHeight="1" x14ac:dyDescent="0.2">
      <c r="A4796">
        <f>IFERROR(VLOOKUP(C4796,'GASB Match'!$D$2:$F$6042,3,FALSE),"")</f>
        <v>3414250</v>
      </c>
      <c r="B4796" s="17">
        <v>2020</v>
      </c>
      <c r="C4796" s="21" t="s">
        <v>953</v>
      </c>
      <c r="D4796" s="17">
        <v>6091</v>
      </c>
      <c r="E4796" s="17" t="s">
        <v>1452</v>
      </c>
      <c r="F4796" s="23">
        <v>690535</v>
      </c>
    </row>
    <row r="4797" spans="1:6" ht="16" customHeight="1" x14ac:dyDescent="0.2">
      <c r="A4797">
        <f>IFERROR(VLOOKUP(C4797,'GASB Match'!$D$2:$F$6042,3,FALSE),"")</f>
        <v>3414250</v>
      </c>
      <c r="B4797" s="17">
        <v>2021</v>
      </c>
      <c r="C4797" s="25" t="s">
        <v>953</v>
      </c>
      <c r="D4797" s="17">
        <v>6091</v>
      </c>
      <c r="E4797" s="17" t="s">
        <v>1452</v>
      </c>
      <c r="F4797" s="23">
        <v>954591</v>
      </c>
    </row>
    <row r="4798" spans="1:6" ht="16" customHeight="1" x14ac:dyDescent="0.2">
      <c r="A4798">
        <f>IFERROR(VLOOKUP(C4798,'GASB Match'!$D$2:$F$6042,3,FALSE),"")</f>
        <v>3414250</v>
      </c>
      <c r="B4798" s="17">
        <v>2022</v>
      </c>
      <c r="C4798" s="21" t="s">
        <v>953</v>
      </c>
      <c r="D4798" s="17">
        <v>6091</v>
      </c>
      <c r="E4798" s="17" t="s">
        <v>1452</v>
      </c>
      <c r="F4798" s="23">
        <v>1449982</v>
      </c>
    </row>
    <row r="4799" spans="1:6" ht="16" customHeight="1" x14ac:dyDescent="0.2">
      <c r="A4799">
        <f>IFERROR(VLOOKUP(C4799,'GASB Match'!$D$2:$F$6042,3,FALSE),"")</f>
        <v>3414250</v>
      </c>
      <c r="B4799" s="17">
        <v>2023</v>
      </c>
      <c r="C4799" s="21" t="s">
        <v>953</v>
      </c>
      <c r="D4799" s="17">
        <v>6091</v>
      </c>
      <c r="E4799" s="17" t="s">
        <v>1452</v>
      </c>
      <c r="F4799" s="23">
        <v>1511292</v>
      </c>
    </row>
    <row r="4800" spans="1:6" ht="16" customHeight="1" x14ac:dyDescent="0.2">
      <c r="A4800">
        <f>IFERROR(VLOOKUP(C4800,'GASB Match'!$D$2:$F$6042,3,FALSE),"")</f>
        <v>3414250</v>
      </c>
      <c r="B4800" s="28">
        <v>2017</v>
      </c>
      <c r="C4800" s="29" t="s">
        <v>263</v>
      </c>
      <c r="D4800" s="17">
        <v>6091</v>
      </c>
      <c r="E4800" s="17" t="s">
        <v>1411</v>
      </c>
      <c r="F4800" s="29">
        <v>401121</v>
      </c>
    </row>
    <row r="4801" spans="1:6" ht="16" customHeight="1" x14ac:dyDescent="0.2">
      <c r="A4801">
        <f>IFERROR(VLOOKUP(C4801,'GASB Match'!$D$2:$F$6042,3,FALSE),"")</f>
        <v>3414280</v>
      </c>
      <c r="B4801" s="17">
        <v>2015</v>
      </c>
      <c r="C4801" s="17" t="s">
        <v>626</v>
      </c>
      <c r="D4801" s="17">
        <v>840</v>
      </c>
      <c r="E4801" s="17" t="s">
        <v>1427</v>
      </c>
      <c r="F4801" s="20">
        <v>989337</v>
      </c>
    </row>
    <row r="4802" spans="1:6" ht="16" customHeight="1" x14ac:dyDescent="0.2">
      <c r="A4802">
        <f>IFERROR(VLOOKUP(C4802,'GASB Match'!$D$2:$F$6042,3,FALSE),"")</f>
        <v>3414280</v>
      </c>
      <c r="B4802" s="17">
        <v>2016</v>
      </c>
      <c r="C4802" s="17" t="s">
        <v>626</v>
      </c>
      <c r="D4802" s="17">
        <v>840</v>
      </c>
      <c r="E4802" s="17" t="s">
        <v>1427</v>
      </c>
      <c r="F4802" s="20">
        <v>1478091</v>
      </c>
    </row>
    <row r="4803" spans="1:6" ht="16" customHeight="1" x14ac:dyDescent="0.2">
      <c r="A4803">
        <f>IFERROR(VLOOKUP(C4803,'GASB Match'!$D$2:$F$6042,3,FALSE),"")</f>
        <v>3414280</v>
      </c>
      <c r="B4803" s="17">
        <v>2018</v>
      </c>
      <c r="C4803" s="17" t="s">
        <v>1319</v>
      </c>
      <c r="D4803" s="17">
        <v>840</v>
      </c>
      <c r="E4803" s="17" t="s">
        <v>1470</v>
      </c>
      <c r="F4803" s="20">
        <v>2854723</v>
      </c>
    </row>
    <row r="4804" spans="1:6" ht="16" customHeight="1" x14ac:dyDescent="0.2">
      <c r="A4804">
        <f>IFERROR(VLOOKUP(C4804,'GASB Match'!$D$2:$F$6042,3,FALSE),"")</f>
        <v>3414280</v>
      </c>
      <c r="B4804" s="17">
        <v>2019</v>
      </c>
      <c r="C4804" s="17" t="s">
        <v>1319</v>
      </c>
      <c r="D4804" s="17">
        <v>840</v>
      </c>
      <c r="E4804" s="17" t="s">
        <v>1470</v>
      </c>
      <c r="F4804" s="20">
        <v>3840890</v>
      </c>
    </row>
    <row r="4805" spans="1:6" ht="16" customHeight="1" x14ac:dyDescent="0.2">
      <c r="A4805">
        <f>IFERROR(VLOOKUP(C4805,'GASB Match'!$D$2:$F$6042,3,FALSE),"")</f>
        <v>3414280</v>
      </c>
      <c r="B4805" s="17">
        <v>2020</v>
      </c>
      <c r="C4805" s="21" t="s">
        <v>1319</v>
      </c>
      <c r="D4805" s="17">
        <v>840</v>
      </c>
      <c r="E4805" s="17" t="s">
        <v>1470</v>
      </c>
      <c r="F4805" s="23">
        <v>4279681</v>
      </c>
    </row>
    <row r="4806" spans="1:6" ht="16" customHeight="1" x14ac:dyDescent="0.2">
      <c r="A4806">
        <f>IFERROR(VLOOKUP(C4806,'GASB Match'!$D$2:$F$6042,3,FALSE),"")</f>
        <v>3414280</v>
      </c>
      <c r="B4806" s="17">
        <v>2021</v>
      </c>
      <c r="C4806" s="25" t="s">
        <v>1319</v>
      </c>
      <c r="D4806" s="17">
        <v>840</v>
      </c>
      <c r="E4806" s="17" t="s">
        <v>1470</v>
      </c>
      <c r="F4806" s="23">
        <v>5533131</v>
      </c>
    </row>
    <row r="4807" spans="1:6" ht="16" customHeight="1" x14ac:dyDescent="0.2">
      <c r="A4807">
        <f>IFERROR(VLOOKUP(C4807,'GASB Match'!$D$2:$F$6042,3,FALSE),"")</f>
        <v>3414280</v>
      </c>
      <c r="B4807" s="17">
        <v>2022</v>
      </c>
      <c r="C4807" s="21" t="s">
        <v>1319</v>
      </c>
      <c r="D4807" s="17">
        <v>840</v>
      </c>
      <c r="E4807" s="17" t="s">
        <v>1470</v>
      </c>
      <c r="F4807" s="23">
        <v>8416355</v>
      </c>
    </row>
    <row r="4808" spans="1:6" ht="16" customHeight="1" x14ac:dyDescent="0.2">
      <c r="A4808">
        <f>IFERROR(VLOOKUP(C4808,'GASB Match'!$D$2:$F$6042,3,FALSE),"")</f>
        <v>3414280</v>
      </c>
      <c r="B4808" s="17">
        <v>2023</v>
      </c>
      <c r="C4808" s="21" t="s">
        <v>1319</v>
      </c>
      <c r="D4808" s="17">
        <v>840</v>
      </c>
      <c r="E4808" s="17" t="s">
        <v>1470</v>
      </c>
      <c r="F4808" s="23">
        <v>8384595</v>
      </c>
    </row>
    <row r="4809" spans="1:6" ht="16" customHeight="1" x14ac:dyDescent="0.2">
      <c r="A4809">
        <f>IFERROR(VLOOKUP(C4809,'GASB Match'!$D$2:$F$6042,3,FALSE),"")</f>
        <v>3414280</v>
      </c>
      <c r="B4809" s="28">
        <v>2017</v>
      </c>
      <c r="C4809" s="29" t="s">
        <v>626</v>
      </c>
      <c r="D4809" s="17">
        <v>840</v>
      </c>
      <c r="E4809" s="17" t="s">
        <v>1427</v>
      </c>
      <c r="F4809" s="29">
        <v>2123456</v>
      </c>
    </row>
    <row r="4810" spans="1:6" ht="16" customHeight="1" x14ac:dyDescent="0.2">
      <c r="A4810">
        <f>IFERROR(VLOOKUP(C4810,'GASB Match'!$D$2:$F$6042,3,FALSE),"")</f>
        <v>3414310</v>
      </c>
      <c r="B4810" s="17">
        <v>2015</v>
      </c>
      <c r="C4810" s="17" t="s">
        <v>627</v>
      </c>
      <c r="D4810" s="17">
        <v>842</v>
      </c>
      <c r="E4810" s="17" t="s">
        <v>1427</v>
      </c>
      <c r="F4810" s="20">
        <v>743172</v>
      </c>
    </row>
    <row r="4811" spans="1:6" ht="16" customHeight="1" x14ac:dyDescent="0.2">
      <c r="A4811">
        <f>IFERROR(VLOOKUP(C4811,'GASB Match'!$D$2:$F$6042,3,FALSE),"")</f>
        <v>3414310</v>
      </c>
      <c r="B4811" s="17">
        <v>2016</v>
      </c>
      <c r="C4811" s="17" t="s">
        <v>627</v>
      </c>
      <c r="D4811" s="17">
        <v>842</v>
      </c>
      <c r="E4811" s="17" t="s">
        <v>1427</v>
      </c>
      <c r="F4811" s="20">
        <v>1135723</v>
      </c>
    </row>
    <row r="4812" spans="1:6" ht="16" customHeight="1" x14ac:dyDescent="0.2">
      <c r="A4812">
        <f>IFERROR(VLOOKUP(C4812,'GASB Match'!$D$2:$F$6042,3,FALSE),"")</f>
        <v>3414310</v>
      </c>
      <c r="B4812" s="17">
        <v>2018</v>
      </c>
      <c r="C4812" s="17" t="s">
        <v>1320</v>
      </c>
      <c r="D4812" s="17">
        <v>842</v>
      </c>
      <c r="E4812" s="17" t="s">
        <v>1470</v>
      </c>
      <c r="F4812" s="20">
        <v>2265350</v>
      </c>
    </row>
    <row r="4813" spans="1:6" ht="16" customHeight="1" x14ac:dyDescent="0.2">
      <c r="A4813">
        <f>IFERROR(VLOOKUP(C4813,'GASB Match'!$D$2:$F$6042,3,FALSE),"")</f>
        <v>3414310</v>
      </c>
      <c r="B4813" s="17">
        <v>2019</v>
      </c>
      <c r="C4813" s="17" t="s">
        <v>1320</v>
      </c>
      <c r="D4813" s="17">
        <v>842</v>
      </c>
      <c r="E4813" s="17" t="s">
        <v>1470</v>
      </c>
      <c r="F4813" s="20">
        <v>3063998</v>
      </c>
    </row>
    <row r="4814" spans="1:6" ht="16" customHeight="1" x14ac:dyDescent="0.2">
      <c r="A4814">
        <f>IFERROR(VLOOKUP(C4814,'GASB Match'!$D$2:$F$6042,3,FALSE),"")</f>
        <v>3414310</v>
      </c>
      <c r="B4814" s="17">
        <v>2020</v>
      </c>
      <c r="C4814" s="21" t="s">
        <v>1320</v>
      </c>
      <c r="D4814" s="17">
        <v>842</v>
      </c>
      <c r="E4814" s="17" t="s">
        <v>1470</v>
      </c>
      <c r="F4814" s="23">
        <v>3490955</v>
      </c>
    </row>
    <row r="4815" spans="1:6" ht="16" customHeight="1" x14ac:dyDescent="0.2">
      <c r="A4815">
        <f>IFERROR(VLOOKUP(C4815,'GASB Match'!$D$2:$F$6042,3,FALSE),"")</f>
        <v>3414310</v>
      </c>
      <c r="B4815" s="17">
        <v>2021</v>
      </c>
      <c r="C4815" s="25" t="s">
        <v>1320</v>
      </c>
      <c r="D4815" s="17">
        <v>842</v>
      </c>
      <c r="E4815" s="17" t="s">
        <v>1470</v>
      </c>
      <c r="F4815" s="23">
        <v>4497422</v>
      </c>
    </row>
    <row r="4816" spans="1:6" ht="16" customHeight="1" x14ac:dyDescent="0.2">
      <c r="A4816">
        <f>IFERROR(VLOOKUP(C4816,'GASB Match'!$D$2:$F$6042,3,FALSE),"")</f>
        <v>3414310</v>
      </c>
      <c r="B4816" s="17">
        <v>2022</v>
      </c>
      <c r="C4816" s="21" t="s">
        <v>1320</v>
      </c>
      <c r="D4816" s="17">
        <v>842</v>
      </c>
      <c r="E4816" s="17" t="s">
        <v>1470</v>
      </c>
      <c r="F4816" s="23">
        <v>6359254</v>
      </c>
    </row>
    <row r="4817" spans="1:6" ht="16" customHeight="1" x14ac:dyDescent="0.2">
      <c r="A4817">
        <f>IFERROR(VLOOKUP(C4817,'GASB Match'!$D$2:$F$6042,3,FALSE),"")</f>
        <v>3414310</v>
      </c>
      <c r="B4817" s="17">
        <v>2023</v>
      </c>
      <c r="C4817" s="21" t="s">
        <v>1320</v>
      </c>
      <c r="D4817" s="17">
        <v>842</v>
      </c>
      <c r="E4817" s="17" t="s">
        <v>1470</v>
      </c>
      <c r="F4817" s="23">
        <v>6229386</v>
      </c>
    </row>
    <row r="4818" spans="1:6" ht="16" customHeight="1" x14ac:dyDescent="0.2">
      <c r="A4818">
        <f>IFERROR(VLOOKUP(C4818,'GASB Match'!$D$2:$F$6042,3,FALSE),"")</f>
        <v>3414310</v>
      </c>
      <c r="B4818" s="28">
        <v>2017</v>
      </c>
      <c r="C4818" s="29" t="s">
        <v>627</v>
      </c>
      <c r="D4818" s="17">
        <v>842</v>
      </c>
      <c r="E4818" s="17" t="s">
        <v>1427</v>
      </c>
      <c r="F4818" s="29">
        <v>1701555</v>
      </c>
    </row>
    <row r="4819" spans="1:6" ht="16" customHeight="1" x14ac:dyDescent="0.2">
      <c r="A4819">
        <f>IFERROR(VLOOKUP(C4819,'GASB Match'!$D$2:$F$6042,3,FALSE),"")</f>
        <v>3400755</v>
      </c>
      <c r="B4819" s="17">
        <v>2015</v>
      </c>
      <c r="C4819" s="17" t="s">
        <v>264</v>
      </c>
      <c r="D4819" s="17">
        <v>6103</v>
      </c>
      <c r="E4819" s="17" t="s">
        <v>1411</v>
      </c>
      <c r="F4819" s="20">
        <v>74574</v>
      </c>
    </row>
    <row r="4820" spans="1:6" ht="16" customHeight="1" x14ac:dyDescent="0.2">
      <c r="A4820">
        <f>IFERROR(VLOOKUP(C4820,'GASB Match'!$D$2:$F$6042,3,FALSE),"")</f>
        <v>3400755</v>
      </c>
      <c r="B4820" s="17">
        <v>2016</v>
      </c>
      <c r="C4820" s="17" t="s">
        <v>264</v>
      </c>
      <c r="D4820" s="17">
        <v>6103</v>
      </c>
      <c r="E4820" s="17" t="s">
        <v>1411</v>
      </c>
      <c r="F4820" s="20">
        <v>114211</v>
      </c>
    </row>
    <row r="4821" spans="1:6" ht="16" customHeight="1" x14ac:dyDescent="0.2">
      <c r="A4821">
        <f>IFERROR(VLOOKUP(C4821,'GASB Match'!$D$2:$F$6042,3,FALSE),"")</f>
        <v>3400755</v>
      </c>
      <c r="B4821" s="17">
        <v>2018</v>
      </c>
      <c r="C4821" s="17" t="s">
        <v>954</v>
      </c>
      <c r="D4821" s="17">
        <v>6103</v>
      </c>
      <c r="E4821" s="17" t="s">
        <v>1452</v>
      </c>
      <c r="F4821" s="20">
        <v>309595</v>
      </c>
    </row>
    <row r="4822" spans="1:6" ht="16" customHeight="1" x14ac:dyDescent="0.2">
      <c r="A4822">
        <f>IFERROR(VLOOKUP(C4822,'GASB Match'!$D$2:$F$6042,3,FALSE),"")</f>
        <v>3400755</v>
      </c>
      <c r="B4822" s="17">
        <v>2019</v>
      </c>
      <c r="C4822" s="17" t="s">
        <v>954</v>
      </c>
      <c r="D4822" s="17">
        <v>6103</v>
      </c>
      <c r="E4822" s="17" t="s">
        <v>1452</v>
      </c>
      <c r="F4822" s="20">
        <v>295082</v>
      </c>
    </row>
    <row r="4823" spans="1:6" ht="16" customHeight="1" x14ac:dyDescent="0.2">
      <c r="A4823">
        <f>IFERROR(VLOOKUP(C4823,'GASB Match'!$D$2:$F$6042,3,FALSE),"")</f>
        <v>3400755</v>
      </c>
      <c r="B4823" s="17">
        <v>2020</v>
      </c>
      <c r="C4823" s="21" t="s">
        <v>954</v>
      </c>
      <c r="D4823" s="17">
        <v>6103</v>
      </c>
      <c r="E4823" s="17" t="s">
        <v>1452</v>
      </c>
      <c r="F4823" s="23">
        <v>377595</v>
      </c>
    </row>
    <row r="4824" spans="1:6" ht="16" customHeight="1" x14ac:dyDescent="0.2">
      <c r="A4824">
        <f>IFERROR(VLOOKUP(C4824,'GASB Match'!$D$2:$F$6042,3,FALSE),"")</f>
        <v>3400755</v>
      </c>
      <c r="B4824" s="17">
        <v>2021</v>
      </c>
      <c r="C4824" s="25" t="s">
        <v>954</v>
      </c>
      <c r="D4824" s="17">
        <v>6103</v>
      </c>
      <c r="E4824" s="17" t="s">
        <v>1452</v>
      </c>
      <c r="F4824" s="23">
        <v>445111</v>
      </c>
    </row>
    <row r="4825" spans="1:6" ht="16" customHeight="1" x14ac:dyDescent="0.2">
      <c r="A4825">
        <f>IFERROR(VLOOKUP(C4825,'GASB Match'!$D$2:$F$6042,3,FALSE),"")</f>
        <v>3400755</v>
      </c>
      <c r="B4825" s="17">
        <v>2022</v>
      </c>
      <c r="C4825" s="21" t="s">
        <v>954</v>
      </c>
      <c r="D4825" s="17">
        <v>6103</v>
      </c>
      <c r="E4825" s="17" t="s">
        <v>1452</v>
      </c>
      <c r="F4825" s="23">
        <v>691136</v>
      </c>
    </row>
    <row r="4826" spans="1:6" ht="16" customHeight="1" x14ac:dyDescent="0.2">
      <c r="A4826">
        <f>IFERROR(VLOOKUP(C4826,'GASB Match'!$D$2:$F$6042,3,FALSE),"")</f>
        <v>3400755</v>
      </c>
      <c r="B4826" s="17">
        <v>2023</v>
      </c>
      <c r="C4826" s="21" t="s">
        <v>954</v>
      </c>
      <c r="D4826" s="17">
        <v>6103</v>
      </c>
      <c r="E4826" s="17" t="s">
        <v>1452</v>
      </c>
      <c r="F4826" s="23">
        <v>732580</v>
      </c>
    </row>
    <row r="4827" spans="1:6" ht="16" customHeight="1" x14ac:dyDescent="0.2">
      <c r="A4827">
        <f>IFERROR(VLOOKUP(C4827,'GASB Match'!$D$2:$F$6042,3,FALSE),"")</f>
        <v>3400755</v>
      </c>
      <c r="B4827" s="28">
        <v>2017</v>
      </c>
      <c r="C4827" s="29" t="s">
        <v>264</v>
      </c>
      <c r="D4827" s="17">
        <v>6103</v>
      </c>
      <c r="E4827" s="17" t="s">
        <v>1411</v>
      </c>
      <c r="F4827" s="29">
        <v>190666</v>
      </c>
    </row>
    <row r="4828" spans="1:6" ht="16" customHeight="1" x14ac:dyDescent="0.2">
      <c r="A4828" t="str">
        <f>IFERROR(VLOOKUP(C4828,'GASB Match'!$D$2:$F$6042,3,FALSE),"")</f>
        <v/>
      </c>
      <c r="B4828" s="17">
        <v>2015</v>
      </c>
      <c r="C4828" s="17" t="s">
        <v>1397</v>
      </c>
      <c r="D4828" s="17">
        <v>90410</v>
      </c>
      <c r="E4828" s="17" t="s">
        <v>1477</v>
      </c>
      <c r="F4828" s="20">
        <v>54621</v>
      </c>
    </row>
    <row r="4829" spans="1:6" ht="16" customHeight="1" x14ac:dyDescent="0.2">
      <c r="A4829" t="str">
        <f>IFERROR(VLOOKUP(C4829,'GASB Match'!$D$2:$F$6042,3,FALSE),"")</f>
        <v/>
      </c>
      <c r="B4829" s="17">
        <v>2016</v>
      </c>
      <c r="C4829" s="17" t="s">
        <v>1397</v>
      </c>
      <c r="D4829" s="17">
        <v>90410</v>
      </c>
      <c r="E4829" s="17" t="s">
        <v>1477</v>
      </c>
      <c r="F4829" s="20">
        <v>17658</v>
      </c>
    </row>
    <row r="4830" spans="1:6" ht="16" customHeight="1" x14ac:dyDescent="0.2">
      <c r="A4830" t="str">
        <f>IFERROR(VLOOKUP(C4830,'GASB Match'!$D$2:$F$6042,3,FALSE),"")</f>
        <v/>
      </c>
      <c r="B4830" s="17">
        <v>2018</v>
      </c>
      <c r="C4830" s="17" t="s">
        <v>1438</v>
      </c>
      <c r="D4830" s="17">
        <v>90410</v>
      </c>
      <c r="E4830" s="17" t="s">
        <v>1477</v>
      </c>
      <c r="F4830" s="20">
        <v>31134</v>
      </c>
    </row>
    <row r="4831" spans="1:6" ht="16" customHeight="1" x14ac:dyDescent="0.2">
      <c r="A4831" t="str">
        <f>IFERROR(VLOOKUP(C4831,'GASB Match'!$D$2:$F$6042,3,FALSE),"")</f>
        <v/>
      </c>
      <c r="B4831" s="17">
        <v>2019</v>
      </c>
      <c r="C4831" s="17" t="s">
        <v>1438</v>
      </c>
      <c r="D4831" s="17">
        <v>90410</v>
      </c>
      <c r="E4831" s="17" t="s">
        <v>1477</v>
      </c>
      <c r="F4831" s="20">
        <v>39507</v>
      </c>
    </row>
    <row r="4832" spans="1:6" ht="16" customHeight="1" x14ac:dyDescent="0.2">
      <c r="A4832" t="str">
        <f>IFERROR(VLOOKUP(C4832,'GASB Match'!$D$2:$F$6042,3,FALSE),"")</f>
        <v/>
      </c>
      <c r="B4832" s="17">
        <v>2020</v>
      </c>
      <c r="C4832" s="21" t="s">
        <v>1438</v>
      </c>
      <c r="D4832" s="17">
        <v>90410</v>
      </c>
      <c r="E4832" s="17" t="s">
        <v>1477</v>
      </c>
      <c r="F4832" s="23">
        <v>45197</v>
      </c>
    </row>
    <row r="4833" spans="1:6" ht="16" customHeight="1" x14ac:dyDescent="0.2">
      <c r="A4833" t="str">
        <f>IFERROR(VLOOKUP(C4833,'GASB Match'!$D$2:$F$6042,3,FALSE),"")</f>
        <v/>
      </c>
      <c r="B4833" s="17">
        <v>2021</v>
      </c>
      <c r="C4833" s="25" t="s">
        <v>1438</v>
      </c>
      <c r="D4833" s="17">
        <v>90410</v>
      </c>
      <c r="E4833" s="17" t="s">
        <v>1477</v>
      </c>
      <c r="F4833" s="23">
        <v>51240</v>
      </c>
    </row>
    <row r="4834" spans="1:6" ht="16" customHeight="1" x14ac:dyDescent="0.2">
      <c r="A4834" t="str">
        <f>IFERROR(VLOOKUP(C4834,'GASB Match'!$D$2:$F$6042,3,FALSE),"")</f>
        <v/>
      </c>
      <c r="B4834" s="17">
        <v>2022</v>
      </c>
      <c r="C4834" s="21" t="s">
        <v>1438</v>
      </c>
      <c r="D4834" s="17">
        <v>90410</v>
      </c>
      <c r="E4834" s="17" t="s">
        <v>1477</v>
      </c>
      <c r="F4834" s="23">
        <v>72101</v>
      </c>
    </row>
    <row r="4835" spans="1:6" ht="16" customHeight="1" x14ac:dyDescent="0.2">
      <c r="A4835" t="str">
        <f>IFERROR(VLOOKUP(C4835,'GASB Match'!$D$2:$F$6042,3,FALSE),"")</f>
        <v/>
      </c>
      <c r="B4835" s="17">
        <v>2023</v>
      </c>
      <c r="C4835" s="21" t="s">
        <v>1438</v>
      </c>
      <c r="D4835" s="17">
        <v>90410</v>
      </c>
      <c r="E4835" s="17" t="s">
        <v>1477</v>
      </c>
      <c r="F4835" s="23">
        <v>66865</v>
      </c>
    </row>
    <row r="4836" spans="1:6" ht="16" customHeight="1" x14ac:dyDescent="0.2">
      <c r="A4836" t="str">
        <f>IFERROR(VLOOKUP(C4836,'GASB Match'!$D$2:$F$6042,3,FALSE),"")</f>
        <v/>
      </c>
      <c r="B4836" s="28">
        <v>2017</v>
      </c>
      <c r="C4836" s="29" t="s">
        <v>1397</v>
      </c>
      <c r="D4836" s="17">
        <v>90410</v>
      </c>
      <c r="E4836" s="17" t="s">
        <v>1477</v>
      </c>
      <c r="F4836" s="29">
        <v>24644</v>
      </c>
    </row>
    <row r="4837" spans="1:6" ht="16" customHeight="1" x14ac:dyDescent="0.2">
      <c r="A4837">
        <f>IFERROR(VLOOKUP(C4837,'GASB Match'!$D$2:$F$6042,3,FALSE),"")</f>
        <v>3414340</v>
      </c>
      <c r="B4837" s="17">
        <v>2015</v>
      </c>
      <c r="C4837" s="17" t="s">
        <v>490</v>
      </c>
      <c r="D4837" s="17">
        <v>445</v>
      </c>
      <c r="E4837" s="17" t="s">
        <v>1421</v>
      </c>
      <c r="F4837" s="20">
        <v>1525599</v>
      </c>
    </row>
    <row r="4838" spans="1:6" ht="16" customHeight="1" x14ac:dyDescent="0.2">
      <c r="A4838">
        <f>IFERROR(VLOOKUP(C4838,'GASB Match'!$D$2:$F$6042,3,FALSE),"")</f>
        <v>3414340</v>
      </c>
      <c r="B4838" s="17">
        <v>2016</v>
      </c>
      <c r="C4838" s="17" t="s">
        <v>490</v>
      </c>
      <c r="D4838" s="17">
        <v>445</v>
      </c>
      <c r="E4838" s="17" t="s">
        <v>1421</v>
      </c>
      <c r="F4838" s="20">
        <v>2268888</v>
      </c>
    </row>
    <row r="4839" spans="1:6" ht="16" customHeight="1" x14ac:dyDescent="0.2">
      <c r="A4839">
        <f>IFERROR(VLOOKUP(C4839,'GASB Match'!$D$2:$F$6042,3,FALSE),"")</f>
        <v>3414340</v>
      </c>
      <c r="B4839" s="17">
        <v>2018</v>
      </c>
      <c r="C4839" s="17" t="s">
        <v>1182</v>
      </c>
      <c r="D4839" s="17">
        <v>445</v>
      </c>
      <c r="E4839" s="17" t="s">
        <v>1464</v>
      </c>
      <c r="F4839" s="20">
        <v>4108774</v>
      </c>
    </row>
    <row r="4840" spans="1:6" ht="16" customHeight="1" x14ac:dyDescent="0.2">
      <c r="A4840">
        <f>IFERROR(VLOOKUP(C4840,'GASB Match'!$D$2:$F$6042,3,FALSE),"")</f>
        <v>3414340</v>
      </c>
      <c r="B4840" s="17">
        <v>2019</v>
      </c>
      <c r="C4840" s="17" t="s">
        <v>1182</v>
      </c>
      <c r="D4840" s="17">
        <v>445</v>
      </c>
      <c r="E4840" s="17" t="s">
        <v>1464</v>
      </c>
      <c r="F4840" s="20">
        <v>5683703</v>
      </c>
    </row>
    <row r="4841" spans="1:6" ht="16" customHeight="1" x14ac:dyDescent="0.2">
      <c r="A4841">
        <f>IFERROR(VLOOKUP(C4841,'GASB Match'!$D$2:$F$6042,3,FALSE),"")</f>
        <v>3414340</v>
      </c>
      <c r="B4841" s="17">
        <v>2020</v>
      </c>
      <c r="C4841" s="21" t="s">
        <v>1182</v>
      </c>
      <c r="D4841" s="17">
        <v>445</v>
      </c>
      <c r="E4841" s="17" t="s">
        <v>1464</v>
      </c>
      <c r="F4841" s="23">
        <v>6079409</v>
      </c>
    </row>
    <row r="4842" spans="1:6" ht="16" customHeight="1" x14ac:dyDescent="0.2">
      <c r="A4842">
        <f>IFERROR(VLOOKUP(C4842,'GASB Match'!$D$2:$F$6042,3,FALSE),"")</f>
        <v>3414340</v>
      </c>
      <c r="B4842" s="17">
        <v>2021</v>
      </c>
      <c r="C4842" s="25" t="s">
        <v>1182</v>
      </c>
      <c r="D4842" s="17">
        <v>445</v>
      </c>
      <c r="E4842" s="17" t="s">
        <v>1464</v>
      </c>
      <c r="F4842" s="23">
        <v>8043051</v>
      </c>
    </row>
    <row r="4843" spans="1:6" ht="16" customHeight="1" x14ac:dyDescent="0.2">
      <c r="A4843">
        <f>IFERROR(VLOOKUP(C4843,'GASB Match'!$D$2:$F$6042,3,FALSE),"")</f>
        <v>3414340</v>
      </c>
      <c r="B4843" s="17">
        <v>2022</v>
      </c>
      <c r="C4843" s="21" t="s">
        <v>1182</v>
      </c>
      <c r="D4843" s="17">
        <v>445</v>
      </c>
      <c r="E4843" s="17" t="s">
        <v>1464</v>
      </c>
      <c r="F4843" s="23">
        <v>11494444</v>
      </c>
    </row>
    <row r="4844" spans="1:6" ht="16" customHeight="1" x14ac:dyDescent="0.2">
      <c r="A4844">
        <f>IFERROR(VLOOKUP(C4844,'GASB Match'!$D$2:$F$6042,3,FALSE),"")</f>
        <v>3414340</v>
      </c>
      <c r="B4844" s="17">
        <v>2023</v>
      </c>
      <c r="C4844" s="21" t="s">
        <v>1182</v>
      </c>
      <c r="D4844" s="17">
        <v>445</v>
      </c>
      <c r="E4844" s="17" t="s">
        <v>1464</v>
      </c>
      <c r="F4844" s="23">
        <v>11039022</v>
      </c>
    </row>
    <row r="4845" spans="1:6" ht="16" customHeight="1" x14ac:dyDescent="0.2">
      <c r="A4845">
        <f>IFERROR(VLOOKUP(C4845,'GASB Match'!$D$2:$F$6042,3,FALSE),"")</f>
        <v>3414340</v>
      </c>
      <c r="B4845" s="28">
        <v>2017</v>
      </c>
      <c r="C4845" s="29" t="s">
        <v>490</v>
      </c>
      <c r="D4845" s="17">
        <v>445</v>
      </c>
      <c r="E4845" s="17" t="s">
        <v>1421</v>
      </c>
      <c r="F4845" s="29">
        <v>3155710</v>
      </c>
    </row>
    <row r="4846" spans="1:6" ht="16" customHeight="1" x14ac:dyDescent="0.2">
      <c r="A4846">
        <f>IFERROR(VLOOKUP(C4846,'GASB Match'!$D$2:$F$6042,3,FALSE),"")</f>
        <v>3414370</v>
      </c>
      <c r="B4846" s="17">
        <v>2015</v>
      </c>
      <c r="C4846" s="17" t="s">
        <v>442</v>
      </c>
      <c r="D4846" s="17">
        <v>354</v>
      </c>
      <c r="E4846" s="17" t="s">
        <v>1420</v>
      </c>
      <c r="F4846" s="20">
        <v>341373</v>
      </c>
    </row>
    <row r="4847" spans="1:6" ht="16" customHeight="1" x14ac:dyDescent="0.2">
      <c r="A4847">
        <f>IFERROR(VLOOKUP(C4847,'GASB Match'!$D$2:$F$6042,3,FALSE),"")</f>
        <v>3414370</v>
      </c>
      <c r="B4847" s="17">
        <v>2016</v>
      </c>
      <c r="C4847" s="17" t="s">
        <v>442</v>
      </c>
      <c r="D4847" s="17">
        <v>354</v>
      </c>
      <c r="E4847" s="17" t="s">
        <v>1420</v>
      </c>
      <c r="F4847" s="20">
        <v>511295</v>
      </c>
    </row>
    <row r="4848" spans="1:6" ht="16" customHeight="1" x14ac:dyDescent="0.2">
      <c r="A4848">
        <f>IFERROR(VLOOKUP(C4848,'GASB Match'!$D$2:$F$6042,3,FALSE),"")</f>
        <v>3414370</v>
      </c>
      <c r="B4848" s="17">
        <v>2018</v>
      </c>
      <c r="C4848" s="17" t="s">
        <v>1134</v>
      </c>
      <c r="D4848" s="17">
        <v>354</v>
      </c>
      <c r="E4848" s="17" t="s">
        <v>1463</v>
      </c>
      <c r="F4848" s="20">
        <v>1076417</v>
      </c>
    </row>
    <row r="4849" spans="1:6" ht="16" customHeight="1" x14ac:dyDescent="0.2">
      <c r="A4849">
        <f>IFERROR(VLOOKUP(C4849,'GASB Match'!$D$2:$F$6042,3,FALSE),"")</f>
        <v>3414370</v>
      </c>
      <c r="B4849" s="17">
        <v>2019</v>
      </c>
      <c r="C4849" s="17" t="s">
        <v>1134</v>
      </c>
      <c r="D4849" s="17">
        <v>354</v>
      </c>
      <c r="E4849" s="17" t="s">
        <v>1463</v>
      </c>
      <c r="F4849" s="20">
        <v>1445585</v>
      </c>
    </row>
    <row r="4850" spans="1:6" ht="16" customHeight="1" x14ac:dyDescent="0.2">
      <c r="A4850">
        <f>IFERROR(VLOOKUP(C4850,'GASB Match'!$D$2:$F$6042,3,FALSE),"")</f>
        <v>3414370</v>
      </c>
      <c r="B4850" s="17">
        <v>2020</v>
      </c>
      <c r="C4850" s="21" t="s">
        <v>1134</v>
      </c>
      <c r="D4850" s="17">
        <v>354</v>
      </c>
      <c r="E4850" s="17" t="s">
        <v>1463</v>
      </c>
      <c r="F4850" s="23">
        <v>1666088</v>
      </c>
    </row>
    <row r="4851" spans="1:6" ht="16" customHeight="1" x14ac:dyDescent="0.2">
      <c r="A4851">
        <f>IFERROR(VLOOKUP(C4851,'GASB Match'!$D$2:$F$6042,3,FALSE),"")</f>
        <v>3414370</v>
      </c>
      <c r="B4851" s="17">
        <v>2021</v>
      </c>
      <c r="C4851" s="25" t="s">
        <v>1134</v>
      </c>
      <c r="D4851" s="17">
        <v>354</v>
      </c>
      <c r="E4851" s="17" t="s">
        <v>1463</v>
      </c>
      <c r="F4851" s="23">
        <v>2379109</v>
      </c>
    </row>
    <row r="4852" spans="1:6" ht="16" customHeight="1" x14ac:dyDescent="0.2">
      <c r="A4852">
        <f>IFERROR(VLOOKUP(C4852,'GASB Match'!$D$2:$F$6042,3,FALSE),"")</f>
        <v>3414370</v>
      </c>
      <c r="B4852" s="17">
        <v>2022</v>
      </c>
      <c r="C4852" s="21" t="s">
        <v>1134</v>
      </c>
      <c r="D4852" s="17">
        <v>354</v>
      </c>
      <c r="E4852" s="17" t="s">
        <v>1463</v>
      </c>
      <c r="F4852" s="23">
        <v>3150776</v>
      </c>
    </row>
    <row r="4853" spans="1:6" ht="16" customHeight="1" x14ac:dyDescent="0.2">
      <c r="A4853">
        <f>IFERROR(VLOOKUP(C4853,'GASB Match'!$D$2:$F$6042,3,FALSE),"")</f>
        <v>3414370</v>
      </c>
      <c r="B4853" s="17">
        <v>2023</v>
      </c>
      <c r="C4853" s="21" t="s">
        <v>1134</v>
      </c>
      <c r="D4853" s="17">
        <v>354</v>
      </c>
      <c r="E4853" s="17" t="s">
        <v>1463</v>
      </c>
      <c r="F4853" s="23">
        <v>3191423</v>
      </c>
    </row>
    <row r="4854" spans="1:6" ht="16" customHeight="1" x14ac:dyDescent="0.2">
      <c r="A4854">
        <f>IFERROR(VLOOKUP(C4854,'GASB Match'!$D$2:$F$6042,3,FALSE),"")</f>
        <v>3414370</v>
      </c>
      <c r="B4854" s="28">
        <v>2017</v>
      </c>
      <c r="C4854" s="29" t="s">
        <v>442</v>
      </c>
      <c r="D4854" s="17">
        <v>354</v>
      </c>
      <c r="E4854" s="17" t="s">
        <v>1420</v>
      </c>
      <c r="F4854" s="29">
        <v>747858</v>
      </c>
    </row>
    <row r="4855" spans="1:6" ht="16" customHeight="1" x14ac:dyDescent="0.2">
      <c r="A4855">
        <f>IFERROR(VLOOKUP(C4855,'GASB Match'!$D$2:$F$6042,3,FALSE),"")</f>
        <v>3414400</v>
      </c>
      <c r="B4855" s="17">
        <v>2015</v>
      </c>
      <c r="C4855" s="17" t="s">
        <v>443</v>
      </c>
      <c r="D4855" s="17">
        <v>371</v>
      </c>
      <c r="E4855" s="17" t="s">
        <v>1420</v>
      </c>
      <c r="F4855" s="20">
        <v>399153</v>
      </c>
    </row>
    <row r="4856" spans="1:6" ht="16" customHeight="1" x14ac:dyDescent="0.2">
      <c r="A4856">
        <f>IFERROR(VLOOKUP(C4856,'GASB Match'!$D$2:$F$6042,3,FALSE),"")</f>
        <v>3414400</v>
      </c>
      <c r="B4856" s="17">
        <v>2016</v>
      </c>
      <c r="C4856" s="17" t="s">
        <v>443</v>
      </c>
      <c r="D4856" s="17">
        <v>371</v>
      </c>
      <c r="E4856" s="17" t="s">
        <v>1420</v>
      </c>
      <c r="F4856" s="20">
        <v>611143</v>
      </c>
    </row>
    <row r="4857" spans="1:6" ht="16" customHeight="1" x14ac:dyDescent="0.2">
      <c r="A4857">
        <f>IFERROR(VLOOKUP(C4857,'GASB Match'!$D$2:$F$6042,3,FALSE),"")</f>
        <v>3414400</v>
      </c>
      <c r="B4857" s="17">
        <v>2018</v>
      </c>
      <c r="C4857" s="17" t="s">
        <v>1135</v>
      </c>
      <c r="D4857" s="17">
        <v>371</v>
      </c>
      <c r="E4857" s="17" t="s">
        <v>1463</v>
      </c>
      <c r="F4857" s="20">
        <v>1155821</v>
      </c>
    </row>
    <row r="4858" spans="1:6" ht="16" customHeight="1" x14ac:dyDescent="0.2">
      <c r="A4858">
        <f>IFERROR(VLOOKUP(C4858,'GASB Match'!$D$2:$F$6042,3,FALSE),"")</f>
        <v>3414400</v>
      </c>
      <c r="B4858" s="17">
        <v>2019</v>
      </c>
      <c r="C4858" s="17" t="s">
        <v>1135</v>
      </c>
      <c r="D4858" s="17">
        <v>371</v>
      </c>
      <c r="E4858" s="17" t="s">
        <v>1463</v>
      </c>
      <c r="F4858" s="20">
        <v>1601217</v>
      </c>
    </row>
    <row r="4859" spans="1:6" ht="16" customHeight="1" x14ac:dyDescent="0.2">
      <c r="A4859">
        <f>IFERROR(VLOOKUP(C4859,'GASB Match'!$D$2:$F$6042,3,FALSE),"")</f>
        <v>3414400</v>
      </c>
      <c r="B4859" s="17">
        <v>2020</v>
      </c>
      <c r="C4859" s="21" t="s">
        <v>1135</v>
      </c>
      <c r="D4859" s="17">
        <v>371</v>
      </c>
      <c r="E4859" s="17" t="s">
        <v>1463</v>
      </c>
      <c r="F4859" s="23">
        <v>1720484</v>
      </c>
    </row>
    <row r="4860" spans="1:6" ht="16" customHeight="1" x14ac:dyDescent="0.2">
      <c r="A4860">
        <f>IFERROR(VLOOKUP(C4860,'GASB Match'!$D$2:$F$6042,3,FALSE),"")</f>
        <v>3414400</v>
      </c>
      <c r="B4860" s="17">
        <v>2021</v>
      </c>
      <c r="C4860" s="25" t="s">
        <v>1135</v>
      </c>
      <c r="D4860" s="17">
        <v>371</v>
      </c>
      <c r="E4860" s="17" t="s">
        <v>1463</v>
      </c>
      <c r="F4860" s="23">
        <v>2339467</v>
      </c>
    </row>
    <row r="4861" spans="1:6" ht="16" customHeight="1" x14ac:dyDescent="0.2">
      <c r="A4861">
        <f>IFERROR(VLOOKUP(C4861,'GASB Match'!$D$2:$F$6042,3,FALSE),"")</f>
        <v>3414400</v>
      </c>
      <c r="B4861" s="17">
        <v>2022</v>
      </c>
      <c r="C4861" s="21" t="s">
        <v>1135</v>
      </c>
      <c r="D4861" s="17">
        <v>371</v>
      </c>
      <c r="E4861" s="17" t="s">
        <v>1463</v>
      </c>
      <c r="F4861" s="23">
        <v>3248969</v>
      </c>
    </row>
    <row r="4862" spans="1:6" ht="16" customHeight="1" x14ac:dyDescent="0.2">
      <c r="A4862">
        <f>IFERROR(VLOOKUP(C4862,'GASB Match'!$D$2:$F$6042,3,FALSE),"")</f>
        <v>3414400</v>
      </c>
      <c r="B4862" s="17">
        <v>2023</v>
      </c>
      <c r="C4862" s="21" t="s">
        <v>1135</v>
      </c>
      <c r="D4862" s="17">
        <v>371</v>
      </c>
      <c r="E4862" s="17" t="s">
        <v>1463</v>
      </c>
      <c r="F4862" s="23">
        <v>3151084</v>
      </c>
    </row>
    <row r="4863" spans="1:6" ht="16" customHeight="1" x14ac:dyDescent="0.2">
      <c r="A4863">
        <f>IFERROR(VLOOKUP(C4863,'GASB Match'!$D$2:$F$6042,3,FALSE),"")</f>
        <v>3414400</v>
      </c>
      <c r="B4863" s="28">
        <v>2017</v>
      </c>
      <c r="C4863" s="29" t="s">
        <v>443</v>
      </c>
      <c r="D4863" s="17">
        <v>371</v>
      </c>
      <c r="E4863" s="17" t="s">
        <v>1420</v>
      </c>
      <c r="F4863" s="29">
        <v>854605</v>
      </c>
    </row>
    <row r="4864" spans="1:6" ht="16" customHeight="1" x14ac:dyDescent="0.2">
      <c r="A4864">
        <f>IFERROR(VLOOKUP(C4864,'GASB Match'!$D$2:$F$6042,3,FALSE),"")</f>
        <v>3414430</v>
      </c>
      <c r="B4864" s="17">
        <v>2015</v>
      </c>
      <c r="C4864" s="17" t="s">
        <v>187</v>
      </c>
      <c r="D4864" s="17">
        <v>4061</v>
      </c>
      <c r="E4864" s="17" t="s">
        <v>1405</v>
      </c>
      <c r="F4864" s="20">
        <v>287914</v>
      </c>
    </row>
    <row r="4865" spans="1:6" ht="16" customHeight="1" x14ac:dyDescent="0.2">
      <c r="A4865">
        <f>IFERROR(VLOOKUP(C4865,'GASB Match'!$D$2:$F$6042,3,FALSE),"")</f>
        <v>3414430</v>
      </c>
      <c r="B4865" s="17">
        <v>2016</v>
      </c>
      <c r="C4865" s="17" t="s">
        <v>187</v>
      </c>
      <c r="D4865" s="17">
        <v>4061</v>
      </c>
      <c r="E4865" s="17" t="s">
        <v>1405</v>
      </c>
      <c r="F4865" s="20">
        <v>392555</v>
      </c>
    </row>
    <row r="4866" spans="1:6" ht="16" customHeight="1" x14ac:dyDescent="0.2">
      <c r="A4866">
        <f>IFERROR(VLOOKUP(C4866,'GASB Match'!$D$2:$F$6042,3,FALSE),"")</f>
        <v>3414430</v>
      </c>
      <c r="B4866" s="17">
        <v>2018</v>
      </c>
      <c r="C4866" s="17" t="s">
        <v>870</v>
      </c>
      <c r="D4866" s="17">
        <v>4061</v>
      </c>
      <c r="E4866" s="17" t="s">
        <v>1446</v>
      </c>
      <c r="F4866" s="20">
        <v>737299</v>
      </c>
    </row>
    <row r="4867" spans="1:6" ht="16" customHeight="1" x14ac:dyDescent="0.2">
      <c r="A4867">
        <f>IFERROR(VLOOKUP(C4867,'GASB Match'!$D$2:$F$6042,3,FALSE),"")</f>
        <v>3414430</v>
      </c>
      <c r="B4867" s="17">
        <v>2019</v>
      </c>
      <c r="C4867" s="17" t="s">
        <v>870</v>
      </c>
      <c r="D4867" s="17">
        <v>4061</v>
      </c>
      <c r="E4867" s="17" t="s">
        <v>1446</v>
      </c>
      <c r="F4867" s="20">
        <v>1032970</v>
      </c>
    </row>
    <row r="4868" spans="1:6" ht="16" customHeight="1" x14ac:dyDescent="0.2">
      <c r="A4868">
        <f>IFERROR(VLOOKUP(C4868,'GASB Match'!$D$2:$F$6042,3,FALSE),"")</f>
        <v>3414430</v>
      </c>
      <c r="B4868" s="17">
        <v>2020</v>
      </c>
      <c r="C4868" s="21" t="s">
        <v>870</v>
      </c>
      <c r="D4868" s="17">
        <v>4061</v>
      </c>
      <c r="E4868" s="17" t="s">
        <v>1446</v>
      </c>
      <c r="F4868" s="23">
        <v>1198220</v>
      </c>
    </row>
    <row r="4869" spans="1:6" ht="16" customHeight="1" x14ac:dyDescent="0.2">
      <c r="A4869">
        <f>IFERROR(VLOOKUP(C4869,'GASB Match'!$D$2:$F$6042,3,FALSE),"")</f>
        <v>3414430</v>
      </c>
      <c r="B4869" s="17">
        <v>2021</v>
      </c>
      <c r="C4869" s="25" t="s">
        <v>870</v>
      </c>
      <c r="D4869" s="17">
        <v>4061</v>
      </c>
      <c r="E4869" s="17" t="s">
        <v>1446</v>
      </c>
      <c r="F4869" s="23">
        <v>1544945</v>
      </c>
    </row>
    <row r="4870" spans="1:6" ht="16" customHeight="1" x14ac:dyDescent="0.2">
      <c r="A4870">
        <f>IFERROR(VLOOKUP(C4870,'GASB Match'!$D$2:$F$6042,3,FALSE),"")</f>
        <v>3414430</v>
      </c>
      <c r="B4870" s="17">
        <v>2022</v>
      </c>
      <c r="C4870" s="21" t="s">
        <v>870</v>
      </c>
      <c r="D4870" s="17">
        <v>4061</v>
      </c>
      <c r="E4870" s="17" t="s">
        <v>1446</v>
      </c>
      <c r="F4870" s="23">
        <v>2183056</v>
      </c>
    </row>
    <row r="4871" spans="1:6" ht="16" customHeight="1" x14ac:dyDescent="0.2">
      <c r="A4871">
        <f>IFERROR(VLOOKUP(C4871,'GASB Match'!$D$2:$F$6042,3,FALSE),"")</f>
        <v>3414430</v>
      </c>
      <c r="B4871" s="17">
        <v>2023</v>
      </c>
      <c r="C4871" s="21" t="s">
        <v>870</v>
      </c>
      <c r="D4871" s="17">
        <v>4061</v>
      </c>
      <c r="E4871" s="17" t="s">
        <v>1446</v>
      </c>
      <c r="F4871" s="23">
        <v>2161025</v>
      </c>
    </row>
    <row r="4872" spans="1:6" ht="16" customHeight="1" x14ac:dyDescent="0.2">
      <c r="A4872">
        <f>IFERROR(VLOOKUP(C4872,'GASB Match'!$D$2:$F$6042,3,FALSE),"")</f>
        <v>3414430</v>
      </c>
      <c r="B4872" s="28">
        <v>2017</v>
      </c>
      <c r="C4872" s="29" t="s">
        <v>187</v>
      </c>
      <c r="D4872" s="17">
        <v>4061</v>
      </c>
      <c r="E4872" s="17" t="s">
        <v>1405</v>
      </c>
      <c r="F4872" s="29">
        <v>576816</v>
      </c>
    </row>
    <row r="4873" spans="1:6" ht="16" customHeight="1" x14ac:dyDescent="0.2">
      <c r="A4873">
        <f>IFERROR(VLOOKUP(C4873,'GASB Match'!$D$2:$F$6042,3,FALSE),"")</f>
        <v>3414460</v>
      </c>
      <c r="B4873" s="17">
        <v>2015</v>
      </c>
      <c r="C4873" s="17" t="s">
        <v>92</v>
      </c>
      <c r="D4873" s="17">
        <v>2079</v>
      </c>
      <c r="E4873" s="17" t="s">
        <v>1402</v>
      </c>
      <c r="F4873" s="20">
        <v>999825</v>
      </c>
    </row>
    <row r="4874" spans="1:6" ht="16" customHeight="1" x14ac:dyDescent="0.2">
      <c r="A4874">
        <f>IFERROR(VLOOKUP(C4874,'GASB Match'!$D$2:$F$6042,3,FALSE),"")</f>
        <v>3414460</v>
      </c>
      <c r="B4874" s="17">
        <v>2016</v>
      </c>
      <c r="C4874" s="17" t="s">
        <v>92</v>
      </c>
      <c r="D4874" s="17">
        <v>2079</v>
      </c>
      <c r="E4874" s="17" t="s">
        <v>1402</v>
      </c>
      <c r="F4874" s="20">
        <v>1444143</v>
      </c>
    </row>
    <row r="4875" spans="1:6" ht="16" customHeight="1" x14ac:dyDescent="0.2">
      <c r="A4875">
        <f>IFERROR(VLOOKUP(C4875,'GASB Match'!$D$2:$F$6042,3,FALSE),"")</f>
        <v>3414460</v>
      </c>
      <c r="B4875" s="17">
        <v>2018</v>
      </c>
      <c r="C4875" s="17" t="s">
        <v>771</v>
      </c>
      <c r="D4875" s="17">
        <v>2079</v>
      </c>
      <c r="E4875" s="17" t="s">
        <v>1443</v>
      </c>
      <c r="F4875" s="20">
        <v>2830566</v>
      </c>
    </row>
    <row r="4876" spans="1:6" ht="16" customHeight="1" x14ac:dyDescent="0.2">
      <c r="A4876">
        <f>IFERROR(VLOOKUP(C4876,'GASB Match'!$D$2:$F$6042,3,FALSE),"")</f>
        <v>3414460</v>
      </c>
      <c r="B4876" s="17">
        <v>2019</v>
      </c>
      <c r="C4876" s="17" t="s">
        <v>771</v>
      </c>
      <c r="D4876" s="17">
        <v>2079</v>
      </c>
      <c r="E4876" s="17" t="s">
        <v>1443</v>
      </c>
      <c r="F4876" s="20">
        <v>3678449</v>
      </c>
    </row>
    <row r="4877" spans="1:6" ht="16" customHeight="1" x14ac:dyDescent="0.2">
      <c r="A4877">
        <f>IFERROR(VLOOKUP(C4877,'GASB Match'!$D$2:$F$6042,3,FALSE),"")</f>
        <v>3414460</v>
      </c>
      <c r="B4877" s="17">
        <v>2020</v>
      </c>
      <c r="C4877" s="21" t="s">
        <v>771</v>
      </c>
      <c r="D4877" s="17">
        <v>2079</v>
      </c>
      <c r="E4877" s="17" t="s">
        <v>1443</v>
      </c>
      <c r="F4877" s="23">
        <v>4119413</v>
      </c>
    </row>
    <row r="4878" spans="1:6" ht="16" customHeight="1" x14ac:dyDescent="0.2">
      <c r="A4878">
        <f>IFERROR(VLOOKUP(C4878,'GASB Match'!$D$2:$F$6042,3,FALSE),"")</f>
        <v>3414460</v>
      </c>
      <c r="B4878" s="17">
        <v>2021</v>
      </c>
      <c r="C4878" s="25" t="s">
        <v>771</v>
      </c>
      <c r="D4878" s="17">
        <v>2079</v>
      </c>
      <c r="E4878" s="17" t="s">
        <v>1443</v>
      </c>
      <c r="F4878" s="23">
        <v>5418888</v>
      </c>
    </row>
    <row r="4879" spans="1:6" ht="16" customHeight="1" x14ac:dyDescent="0.2">
      <c r="A4879">
        <f>IFERROR(VLOOKUP(C4879,'GASB Match'!$D$2:$F$6042,3,FALSE),"")</f>
        <v>3414460</v>
      </c>
      <c r="B4879" s="17">
        <v>2022</v>
      </c>
      <c r="C4879" s="21" t="s">
        <v>771</v>
      </c>
      <c r="D4879" s="17">
        <v>2079</v>
      </c>
      <c r="E4879" s="17" t="s">
        <v>1443</v>
      </c>
      <c r="F4879" s="23">
        <v>7853950</v>
      </c>
    </row>
    <row r="4880" spans="1:6" ht="16" customHeight="1" x14ac:dyDescent="0.2">
      <c r="A4880">
        <f>IFERROR(VLOOKUP(C4880,'GASB Match'!$D$2:$F$6042,3,FALSE),"")</f>
        <v>3414460</v>
      </c>
      <c r="B4880" s="17">
        <v>2023</v>
      </c>
      <c r="C4880" s="21" t="s">
        <v>771</v>
      </c>
      <c r="D4880" s="17">
        <v>2079</v>
      </c>
      <c r="E4880" s="17" t="s">
        <v>1443</v>
      </c>
      <c r="F4880" s="23">
        <v>7776767</v>
      </c>
    </row>
    <row r="4881" spans="1:6" ht="16" customHeight="1" x14ac:dyDescent="0.2">
      <c r="A4881">
        <f>IFERROR(VLOOKUP(C4881,'GASB Match'!$D$2:$F$6042,3,FALSE),"")</f>
        <v>3414460</v>
      </c>
      <c r="B4881" s="28">
        <v>2017</v>
      </c>
      <c r="C4881" s="29" t="s">
        <v>92</v>
      </c>
      <c r="D4881" s="17">
        <v>2079</v>
      </c>
      <c r="E4881" s="17" t="s">
        <v>1402</v>
      </c>
      <c r="F4881" s="29">
        <v>2026595</v>
      </c>
    </row>
    <row r="4882" spans="1:6" ht="16" customHeight="1" x14ac:dyDescent="0.2">
      <c r="A4882">
        <f>IFERROR(VLOOKUP(C4882,'GASB Match'!$D$2:$F$6042,3,FALSE),"")</f>
        <v>3414490</v>
      </c>
      <c r="B4882" s="17">
        <v>2015</v>
      </c>
      <c r="C4882" s="17" t="s">
        <v>93</v>
      </c>
      <c r="D4882" s="17">
        <v>2082</v>
      </c>
      <c r="E4882" s="17" t="s">
        <v>1402</v>
      </c>
      <c r="F4882" s="20">
        <v>670740</v>
      </c>
    </row>
    <row r="4883" spans="1:6" ht="16" customHeight="1" x14ac:dyDescent="0.2">
      <c r="A4883">
        <f>IFERROR(VLOOKUP(C4883,'GASB Match'!$D$2:$F$6042,3,FALSE),"")</f>
        <v>3414490</v>
      </c>
      <c r="B4883" s="17">
        <v>2016</v>
      </c>
      <c r="C4883" s="17" t="s">
        <v>93</v>
      </c>
      <c r="D4883" s="17">
        <v>2082</v>
      </c>
      <c r="E4883" s="17" t="s">
        <v>1402</v>
      </c>
      <c r="F4883" s="20">
        <v>997765</v>
      </c>
    </row>
    <row r="4884" spans="1:6" ht="16" customHeight="1" x14ac:dyDescent="0.2">
      <c r="A4884">
        <f>IFERROR(VLOOKUP(C4884,'GASB Match'!$D$2:$F$6042,3,FALSE),"")</f>
        <v>3414490</v>
      </c>
      <c r="B4884" s="17">
        <v>2018</v>
      </c>
      <c r="C4884" s="17" t="s">
        <v>772</v>
      </c>
      <c r="D4884" s="17">
        <v>2082</v>
      </c>
      <c r="E4884" s="17" t="s">
        <v>1443</v>
      </c>
      <c r="F4884" s="20">
        <v>1840718</v>
      </c>
    </row>
    <row r="4885" spans="1:6" ht="16" customHeight="1" x14ac:dyDescent="0.2">
      <c r="A4885">
        <f>IFERROR(VLOOKUP(C4885,'GASB Match'!$D$2:$F$6042,3,FALSE),"")</f>
        <v>3414490</v>
      </c>
      <c r="B4885" s="17">
        <v>2019</v>
      </c>
      <c r="C4885" s="17" t="s">
        <v>772</v>
      </c>
      <c r="D4885" s="17">
        <v>2082</v>
      </c>
      <c r="E4885" s="17" t="s">
        <v>1443</v>
      </c>
      <c r="F4885" s="20">
        <v>2578961</v>
      </c>
    </row>
    <row r="4886" spans="1:6" ht="16" customHeight="1" x14ac:dyDescent="0.2">
      <c r="A4886">
        <f>IFERROR(VLOOKUP(C4886,'GASB Match'!$D$2:$F$6042,3,FALSE),"")</f>
        <v>3414490</v>
      </c>
      <c r="B4886" s="17">
        <v>2020</v>
      </c>
      <c r="C4886" s="21" t="s">
        <v>772</v>
      </c>
      <c r="D4886" s="17">
        <v>2082</v>
      </c>
      <c r="E4886" s="17" t="s">
        <v>1443</v>
      </c>
      <c r="F4886" s="23">
        <v>2808784</v>
      </c>
    </row>
    <row r="4887" spans="1:6" ht="16" customHeight="1" x14ac:dyDescent="0.2">
      <c r="A4887">
        <f>IFERROR(VLOOKUP(C4887,'GASB Match'!$D$2:$F$6042,3,FALSE),"")</f>
        <v>3414490</v>
      </c>
      <c r="B4887" s="17">
        <v>2021</v>
      </c>
      <c r="C4887" s="25" t="s">
        <v>772</v>
      </c>
      <c r="D4887" s="17">
        <v>2082</v>
      </c>
      <c r="E4887" s="17" t="s">
        <v>1443</v>
      </c>
      <c r="F4887" s="23">
        <v>3654289</v>
      </c>
    </row>
    <row r="4888" spans="1:6" ht="16" customHeight="1" x14ac:dyDescent="0.2">
      <c r="A4888">
        <f>IFERROR(VLOOKUP(C4888,'GASB Match'!$D$2:$F$6042,3,FALSE),"")</f>
        <v>3414490</v>
      </c>
      <c r="B4888" s="17">
        <v>2022</v>
      </c>
      <c r="C4888" s="21" t="s">
        <v>772</v>
      </c>
      <c r="D4888" s="17">
        <v>2082</v>
      </c>
      <c r="E4888" s="17" t="s">
        <v>1443</v>
      </c>
      <c r="F4888" s="23">
        <v>5229841</v>
      </c>
    </row>
    <row r="4889" spans="1:6" ht="16" customHeight="1" x14ac:dyDescent="0.2">
      <c r="A4889">
        <f>IFERROR(VLOOKUP(C4889,'GASB Match'!$D$2:$F$6042,3,FALSE),"")</f>
        <v>3414490</v>
      </c>
      <c r="B4889" s="17">
        <v>2023</v>
      </c>
      <c r="C4889" s="21" t="s">
        <v>772</v>
      </c>
      <c r="D4889" s="17">
        <v>2082</v>
      </c>
      <c r="E4889" s="17" t="s">
        <v>1443</v>
      </c>
      <c r="F4889" s="23">
        <v>5198984</v>
      </c>
    </row>
    <row r="4890" spans="1:6" ht="16" customHeight="1" x14ac:dyDescent="0.2">
      <c r="A4890">
        <f>IFERROR(VLOOKUP(C4890,'GASB Match'!$D$2:$F$6042,3,FALSE),"")</f>
        <v>3414490</v>
      </c>
      <c r="B4890" s="28">
        <v>2017</v>
      </c>
      <c r="C4890" s="29" t="s">
        <v>93</v>
      </c>
      <c r="D4890" s="17">
        <v>2082</v>
      </c>
      <c r="E4890" s="17" t="s">
        <v>1402</v>
      </c>
      <c r="F4890" s="29">
        <v>1419146</v>
      </c>
    </row>
    <row r="4891" spans="1:6" ht="16" customHeight="1" x14ac:dyDescent="0.2">
      <c r="A4891">
        <f>IFERROR(VLOOKUP(C4891,'GASB Match'!$D$2:$F$6042,3,FALSE),"")</f>
        <v>3414520</v>
      </c>
      <c r="B4891" s="17">
        <v>2015</v>
      </c>
      <c r="C4891" s="17" t="s">
        <v>94</v>
      </c>
      <c r="D4891" s="17">
        <v>2081</v>
      </c>
      <c r="E4891" s="17" t="s">
        <v>1402</v>
      </c>
      <c r="F4891" s="20">
        <v>112962</v>
      </c>
    </row>
    <row r="4892" spans="1:6" ht="16" customHeight="1" x14ac:dyDescent="0.2">
      <c r="A4892">
        <f>IFERROR(VLOOKUP(C4892,'GASB Match'!$D$2:$F$6042,3,FALSE),"")</f>
        <v>3414520</v>
      </c>
      <c r="B4892" s="17">
        <v>2016</v>
      </c>
      <c r="C4892" s="17" t="s">
        <v>94</v>
      </c>
      <c r="D4892" s="17">
        <v>2081</v>
      </c>
      <c r="E4892" s="17" t="s">
        <v>1402</v>
      </c>
      <c r="F4892" s="20">
        <v>160176</v>
      </c>
    </row>
    <row r="4893" spans="1:6" ht="16" customHeight="1" x14ac:dyDescent="0.2">
      <c r="A4893">
        <f>IFERROR(VLOOKUP(C4893,'GASB Match'!$D$2:$F$6042,3,FALSE),"")</f>
        <v>3414520</v>
      </c>
      <c r="B4893" s="17">
        <v>2018</v>
      </c>
      <c r="C4893" s="17" t="s">
        <v>773</v>
      </c>
      <c r="D4893" s="17">
        <v>2081</v>
      </c>
      <c r="E4893" s="17" t="s">
        <v>1443</v>
      </c>
      <c r="F4893" s="20">
        <v>297480</v>
      </c>
    </row>
    <row r="4894" spans="1:6" ht="16" customHeight="1" x14ac:dyDescent="0.2">
      <c r="A4894">
        <f>IFERROR(VLOOKUP(C4894,'GASB Match'!$D$2:$F$6042,3,FALSE),"")</f>
        <v>3414520</v>
      </c>
      <c r="B4894" s="17">
        <v>2019</v>
      </c>
      <c r="C4894" s="17" t="s">
        <v>773</v>
      </c>
      <c r="D4894" s="17">
        <v>2081</v>
      </c>
      <c r="E4894" s="17" t="s">
        <v>1443</v>
      </c>
      <c r="F4894" s="20">
        <v>370557</v>
      </c>
    </row>
    <row r="4895" spans="1:6" ht="16" customHeight="1" x14ac:dyDescent="0.2">
      <c r="A4895">
        <f>IFERROR(VLOOKUP(C4895,'GASB Match'!$D$2:$F$6042,3,FALSE),"")</f>
        <v>3414520</v>
      </c>
      <c r="B4895" s="17">
        <v>2020</v>
      </c>
      <c r="C4895" s="21" t="s">
        <v>773</v>
      </c>
      <c r="D4895" s="17">
        <v>2081</v>
      </c>
      <c r="E4895" s="17" t="s">
        <v>1443</v>
      </c>
      <c r="F4895" s="23">
        <v>373672</v>
      </c>
    </row>
    <row r="4896" spans="1:6" ht="16" customHeight="1" x14ac:dyDescent="0.2">
      <c r="A4896">
        <f>IFERROR(VLOOKUP(C4896,'GASB Match'!$D$2:$F$6042,3,FALSE),"")</f>
        <v>3414520</v>
      </c>
      <c r="B4896" s="17">
        <v>2021</v>
      </c>
      <c r="C4896" s="25" t="s">
        <v>773</v>
      </c>
      <c r="D4896" s="17">
        <v>2081</v>
      </c>
      <c r="E4896" s="17" t="s">
        <v>1443</v>
      </c>
      <c r="F4896" s="23">
        <v>498134</v>
      </c>
    </row>
    <row r="4897" spans="1:6" ht="16" customHeight="1" x14ac:dyDescent="0.2">
      <c r="A4897">
        <f>IFERROR(VLOOKUP(C4897,'GASB Match'!$D$2:$F$6042,3,FALSE),"")</f>
        <v>3414520</v>
      </c>
      <c r="B4897" s="17">
        <v>2022</v>
      </c>
      <c r="C4897" s="21" t="s">
        <v>773</v>
      </c>
      <c r="D4897" s="17">
        <v>2081</v>
      </c>
      <c r="E4897" s="17" t="s">
        <v>1443</v>
      </c>
      <c r="F4897" s="23">
        <v>699141</v>
      </c>
    </row>
    <row r="4898" spans="1:6" ht="16" customHeight="1" x14ac:dyDescent="0.2">
      <c r="A4898">
        <f>IFERROR(VLOOKUP(C4898,'GASB Match'!$D$2:$F$6042,3,FALSE),"")</f>
        <v>3414520</v>
      </c>
      <c r="B4898" s="17">
        <v>2023</v>
      </c>
      <c r="C4898" s="21" t="s">
        <v>773</v>
      </c>
      <c r="D4898" s="17">
        <v>2081</v>
      </c>
      <c r="E4898" s="17" t="s">
        <v>1443</v>
      </c>
      <c r="F4898" s="23">
        <v>646019</v>
      </c>
    </row>
    <row r="4899" spans="1:6" ht="16" customHeight="1" x14ac:dyDescent="0.2">
      <c r="A4899">
        <f>IFERROR(VLOOKUP(C4899,'GASB Match'!$D$2:$F$6042,3,FALSE),"")</f>
        <v>3414520</v>
      </c>
      <c r="B4899" s="28">
        <v>2017</v>
      </c>
      <c r="C4899" s="29" t="s">
        <v>94</v>
      </c>
      <c r="D4899" s="17">
        <v>2081</v>
      </c>
      <c r="E4899" s="17" t="s">
        <v>1402</v>
      </c>
      <c r="F4899" s="29">
        <v>204698</v>
      </c>
    </row>
    <row r="4900" spans="1:6" ht="16" customHeight="1" x14ac:dyDescent="0.2">
      <c r="A4900">
        <f>IFERROR(VLOOKUP(C4900,'GASB Match'!$D$2:$F$6042,3,FALSE),"")</f>
        <v>3414550</v>
      </c>
      <c r="B4900" s="17">
        <v>2015</v>
      </c>
      <c r="C4900" s="17" t="s">
        <v>558</v>
      </c>
      <c r="D4900" s="17">
        <v>700</v>
      </c>
      <c r="E4900" s="17" t="s">
        <v>1424</v>
      </c>
      <c r="F4900" s="20">
        <v>572543</v>
      </c>
    </row>
    <row r="4901" spans="1:6" ht="16" customHeight="1" x14ac:dyDescent="0.2">
      <c r="A4901">
        <f>IFERROR(VLOOKUP(C4901,'GASB Match'!$D$2:$F$6042,3,FALSE),"")</f>
        <v>3414550</v>
      </c>
      <c r="B4901" s="17">
        <v>2016</v>
      </c>
      <c r="C4901" s="17" t="s">
        <v>558</v>
      </c>
      <c r="D4901" s="17">
        <v>700</v>
      </c>
      <c r="E4901" s="17" t="s">
        <v>1424</v>
      </c>
      <c r="F4901" s="20">
        <v>818172</v>
      </c>
    </row>
    <row r="4902" spans="1:6" ht="16" customHeight="1" x14ac:dyDescent="0.2">
      <c r="A4902">
        <f>IFERROR(VLOOKUP(C4902,'GASB Match'!$D$2:$F$6042,3,FALSE),"")</f>
        <v>3414550</v>
      </c>
      <c r="B4902" s="17">
        <v>2018</v>
      </c>
      <c r="C4902" s="17" t="s">
        <v>1250</v>
      </c>
      <c r="D4902" s="17">
        <v>700</v>
      </c>
      <c r="E4902" s="17" t="s">
        <v>1467</v>
      </c>
      <c r="F4902" s="20">
        <v>1456575</v>
      </c>
    </row>
    <row r="4903" spans="1:6" ht="16" customHeight="1" x14ac:dyDescent="0.2">
      <c r="A4903">
        <f>IFERROR(VLOOKUP(C4903,'GASB Match'!$D$2:$F$6042,3,FALSE),"")</f>
        <v>3414550</v>
      </c>
      <c r="B4903" s="17">
        <v>2019</v>
      </c>
      <c r="C4903" s="17" t="s">
        <v>1250</v>
      </c>
      <c r="D4903" s="17">
        <v>700</v>
      </c>
      <c r="E4903" s="17" t="s">
        <v>1467</v>
      </c>
      <c r="F4903" s="20">
        <v>1993138</v>
      </c>
    </row>
    <row r="4904" spans="1:6" ht="16" customHeight="1" x14ac:dyDescent="0.2">
      <c r="A4904">
        <f>IFERROR(VLOOKUP(C4904,'GASB Match'!$D$2:$F$6042,3,FALSE),"")</f>
        <v>3414550</v>
      </c>
      <c r="B4904" s="17">
        <v>2020</v>
      </c>
      <c r="C4904" s="21" t="s">
        <v>1250</v>
      </c>
      <c r="D4904" s="17">
        <v>700</v>
      </c>
      <c r="E4904" s="17" t="s">
        <v>1467</v>
      </c>
      <c r="F4904" s="23">
        <v>2125806</v>
      </c>
    </row>
    <row r="4905" spans="1:6" ht="16" customHeight="1" x14ac:dyDescent="0.2">
      <c r="A4905">
        <f>IFERROR(VLOOKUP(C4905,'GASB Match'!$D$2:$F$6042,3,FALSE),"")</f>
        <v>3414550</v>
      </c>
      <c r="B4905" s="17">
        <v>2021</v>
      </c>
      <c r="C4905" s="25" t="s">
        <v>1250</v>
      </c>
      <c r="D4905" s="17">
        <v>700</v>
      </c>
      <c r="E4905" s="17" t="s">
        <v>1467</v>
      </c>
      <c r="F4905" s="23">
        <v>2674299</v>
      </c>
    </row>
    <row r="4906" spans="1:6" ht="16" customHeight="1" x14ac:dyDescent="0.2">
      <c r="A4906">
        <f>IFERROR(VLOOKUP(C4906,'GASB Match'!$D$2:$F$6042,3,FALSE),"")</f>
        <v>3414550</v>
      </c>
      <c r="B4906" s="17">
        <v>2022</v>
      </c>
      <c r="C4906" s="21" t="s">
        <v>1250</v>
      </c>
      <c r="D4906" s="17">
        <v>700</v>
      </c>
      <c r="E4906" s="17" t="s">
        <v>1467</v>
      </c>
      <c r="F4906" s="23">
        <v>3791684</v>
      </c>
    </row>
    <row r="4907" spans="1:6" ht="16" customHeight="1" x14ac:dyDescent="0.2">
      <c r="A4907">
        <f>IFERROR(VLOOKUP(C4907,'GASB Match'!$D$2:$F$6042,3,FALSE),"")</f>
        <v>3414550</v>
      </c>
      <c r="B4907" s="17">
        <v>2023</v>
      </c>
      <c r="C4907" s="21" t="s">
        <v>1250</v>
      </c>
      <c r="D4907" s="17">
        <v>700</v>
      </c>
      <c r="E4907" s="17" t="s">
        <v>1467</v>
      </c>
      <c r="F4907" s="23">
        <v>3550237</v>
      </c>
    </row>
    <row r="4908" spans="1:6" ht="16" customHeight="1" x14ac:dyDescent="0.2">
      <c r="A4908">
        <f>IFERROR(VLOOKUP(C4908,'GASB Match'!$D$2:$F$6042,3,FALSE),"")</f>
        <v>3414550</v>
      </c>
      <c r="B4908" s="28">
        <v>2017</v>
      </c>
      <c r="C4908" s="29" t="s">
        <v>558</v>
      </c>
      <c r="D4908" s="17">
        <v>700</v>
      </c>
      <c r="E4908" s="17" t="s">
        <v>1424</v>
      </c>
      <c r="F4908" s="29">
        <v>1091355</v>
      </c>
    </row>
    <row r="4909" spans="1:6" ht="16" customHeight="1" x14ac:dyDescent="0.2">
      <c r="A4909">
        <f>IFERROR(VLOOKUP(C4909,'GASB Match'!$D$2:$F$6042,3,FALSE),"")</f>
        <v>3480361</v>
      </c>
      <c r="B4909" s="17">
        <v>2015</v>
      </c>
      <c r="C4909" s="17" t="s">
        <v>559</v>
      </c>
      <c r="D4909" s="17">
        <v>726</v>
      </c>
      <c r="E4909" s="17" t="s">
        <v>1424</v>
      </c>
      <c r="F4909" s="20">
        <v>266850</v>
      </c>
    </row>
    <row r="4910" spans="1:6" ht="16" customHeight="1" x14ac:dyDescent="0.2">
      <c r="A4910">
        <f>IFERROR(VLOOKUP(C4910,'GASB Match'!$D$2:$F$6042,3,FALSE),"")</f>
        <v>3480361</v>
      </c>
      <c r="B4910" s="17">
        <v>2016</v>
      </c>
      <c r="C4910" s="17" t="s">
        <v>559</v>
      </c>
      <c r="D4910" s="17">
        <v>726</v>
      </c>
      <c r="E4910" s="17" t="s">
        <v>1424</v>
      </c>
      <c r="F4910" s="20">
        <v>340539</v>
      </c>
    </row>
    <row r="4911" spans="1:6" ht="16" customHeight="1" x14ac:dyDescent="0.2">
      <c r="A4911">
        <f>IFERROR(VLOOKUP(C4911,'GASB Match'!$D$2:$F$6042,3,FALSE),"")</f>
        <v>3480361</v>
      </c>
      <c r="B4911" s="17">
        <v>2018</v>
      </c>
      <c r="C4911" s="17" t="s">
        <v>1251</v>
      </c>
      <c r="D4911" s="17">
        <v>726</v>
      </c>
      <c r="E4911" s="17" t="s">
        <v>1467</v>
      </c>
      <c r="F4911" s="20">
        <v>761421</v>
      </c>
    </row>
    <row r="4912" spans="1:6" ht="16" customHeight="1" x14ac:dyDescent="0.2">
      <c r="A4912">
        <f>IFERROR(VLOOKUP(C4912,'GASB Match'!$D$2:$F$6042,3,FALSE),"")</f>
        <v>3480361</v>
      </c>
      <c r="B4912" s="17">
        <v>2019</v>
      </c>
      <c r="C4912" s="17" t="s">
        <v>1251</v>
      </c>
      <c r="D4912" s="17">
        <v>726</v>
      </c>
      <c r="E4912" s="17" t="s">
        <v>1467</v>
      </c>
      <c r="F4912" s="20">
        <v>937790</v>
      </c>
    </row>
    <row r="4913" spans="1:6" ht="16" customHeight="1" x14ac:dyDescent="0.2">
      <c r="A4913">
        <f>IFERROR(VLOOKUP(C4913,'GASB Match'!$D$2:$F$6042,3,FALSE),"")</f>
        <v>3480361</v>
      </c>
      <c r="B4913" s="17">
        <v>2020</v>
      </c>
      <c r="C4913" s="21" t="s">
        <v>1251</v>
      </c>
      <c r="D4913" s="17">
        <v>726</v>
      </c>
      <c r="E4913" s="17" t="s">
        <v>1467</v>
      </c>
      <c r="F4913" s="23">
        <v>1123408</v>
      </c>
    </row>
    <row r="4914" spans="1:6" ht="16" customHeight="1" x14ac:dyDescent="0.2">
      <c r="A4914">
        <f>IFERROR(VLOOKUP(C4914,'GASB Match'!$D$2:$F$6042,3,FALSE),"")</f>
        <v>3480361</v>
      </c>
      <c r="B4914" s="17">
        <v>2021</v>
      </c>
      <c r="C4914" s="25" t="s">
        <v>1251</v>
      </c>
      <c r="D4914" s="17">
        <v>726</v>
      </c>
      <c r="E4914" s="17" t="s">
        <v>1467</v>
      </c>
      <c r="F4914" s="23">
        <v>1473410</v>
      </c>
    </row>
    <row r="4915" spans="1:6" ht="16" customHeight="1" x14ac:dyDescent="0.2">
      <c r="A4915">
        <f>IFERROR(VLOOKUP(C4915,'GASB Match'!$D$2:$F$6042,3,FALSE),"")</f>
        <v>3480361</v>
      </c>
      <c r="B4915" s="17">
        <v>2022</v>
      </c>
      <c r="C4915" s="21" t="s">
        <v>1251</v>
      </c>
      <c r="D4915" s="17">
        <v>726</v>
      </c>
      <c r="E4915" s="17" t="s">
        <v>1467</v>
      </c>
      <c r="F4915" s="23">
        <v>2137722</v>
      </c>
    </row>
    <row r="4916" spans="1:6" ht="16" customHeight="1" x14ac:dyDescent="0.2">
      <c r="A4916">
        <f>IFERROR(VLOOKUP(C4916,'GASB Match'!$D$2:$F$6042,3,FALSE),"")</f>
        <v>3480361</v>
      </c>
      <c r="B4916" s="17">
        <v>2023</v>
      </c>
      <c r="C4916" s="21" t="s">
        <v>1251</v>
      </c>
      <c r="D4916" s="17">
        <v>726</v>
      </c>
      <c r="E4916" s="17" t="s">
        <v>1467</v>
      </c>
      <c r="F4916" s="23">
        <v>2042030</v>
      </c>
    </row>
    <row r="4917" spans="1:6" ht="16" customHeight="1" x14ac:dyDescent="0.2">
      <c r="A4917">
        <f>IFERROR(VLOOKUP(C4917,'GASB Match'!$D$2:$F$6042,3,FALSE),"")</f>
        <v>3480361</v>
      </c>
      <c r="B4917" s="28">
        <v>2017</v>
      </c>
      <c r="C4917" s="29" t="s">
        <v>559</v>
      </c>
      <c r="D4917" s="17">
        <v>726</v>
      </c>
      <c r="E4917" s="17" t="s">
        <v>1424</v>
      </c>
      <c r="F4917" s="29">
        <v>523664</v>
      </c>
    </row>
    <row r="4918" spans="1:6" ht="16" customHeight="1" x14ac:dyDescent="0.2">
      <c r="A4918">
        <f>IFERROR(VLOOKUP(C4918,'GASB Match'!$D$2:$F$6042,3,FALSE),"")</f>
        <v>3414580</v>
      </c>
      <c r="B4918" s="17">
        <v>2015</v>
      </c>
      <c r="C4918" s="17" t="s">
        <v>560</v>
      </c>
      <c r="D4918" s="17">
        <v>984</v>
      </c>
      <c r="E4918" s="17" t="s">
        <v>1424</v>
      </c>
      <c r="F4918" s="20">
        <v>167019</v>
      </c>
    </row>
    <row r="4919" spans="1:6" ht="16" customHeight="1" x14ac:dyDescent="0.2">
      <c r="A4919">
        <f>IFERROR(VLOOKUP(C4919,'GASB Match'!$D$2:$F$6042,3,FALSE),"")</f>
        <v>3414580</v>
      </c>
      <c r="B4919" s="17">
        <v>2016</v>
      </c>
      <c r="C4919" s="17" t="s">
        <v>560</v>
      </c>
      <c r="D4919" s="17">
        <v>984</v>
      </c>
      <c r="E4919" s="17" t="s">
        <v>1424</v>
      </c>
      <c r="F4919" s="20">
        <v>253509</v>
      </c>
    </row>
    <row r="4920" spans="1:6" ht="16" customHeight="1" x14ac:dyDescent="0.2">
      <c r="A4920">
        <f>IFERROR(VLOOKUP(C4920,'GASB Match'!$D$2:$F$6042,3,FALSE),"")</f>
        <v>3414580</v>
      </c>
      <c r="B4920" s="17">
        <v>2018</v>
      </c>
      <c r="C4920" s="17" t="s">
        <v>1252</v>
      </c>
      <c r="D4920" s="17">
        <v>984</v>
      </c>
      <c r="E4920" s="17" t="s">
        <v>1467</v>
      </c>
      <c r="F4920" s="20">
        <v>484548</v>
      </c>
    </row>
    <row r="4921" spans="1:6" ht="16" customHeight="1" x14ac:dyDescent="0.2">
      <c r="A4921">
        <f>IFERROR(VLOOKUP(C4921,'GASB Match'!$D$2:$F$6042,3,FALSE),"")</f>
        <v>3414580</v>
      </c>
      <c r="B4921" s="17">
        <v>2019</v>
      </c>
      <c r="C4921" s="17" t="s">
        <v>1252</v>
      </c>
      <c r="D4921" s="17">
        <v>984</v>
      </c>
      <c r="E4921" s="17" t="s">
        <v>1467</v>
      </c>
      <c r="F4921" s="20">
        <v>646312</v>
      </c>
    </row>
    <row r="4922" spans="1:6" ht="16" customHeight="1" x14ac:dyDescent="0.2">
      <c r="A4922">
        <f>IFERROR(VLOOKUP(C4922,'GASB Match'!$D$2:$F$6042,3,FALSE),"")</f>
        <v>3414580</v>
      </c>
      <c r="B4922" s="17">
        <v>2020</v>
      </c>
      <c r="C4922" s="21" t="s">
        <v>1252</v>
      </c>
      <c r="D4922" s="17">
        <v>984</v>
      </c>
      <c r="E4922" s="17" t="s">
        <v>1467</v>
      </c>
      <c r="F4922" s="23">
        <v>709052</v>
      </c>
    </row>
    <row r="4923" spans="1:6" ht="16" customHeight="1" x14ac:dyDescent="0.2">
      <c r="A4923">
        <f>IFERROR(VLOOKUP(C4923,'GASB Match'!$D$2:$F$6042,3,FALSE),"")</f>
        <v>3414580</v>
      </c>
      <c r="B4923" s="17">
        <v>2021</v>
      </c>
      <c r="C4923" s="25" t="s">
        <v>1252</v>
      </c>
      <c r="D4923" s="17">
        <v>984</v>
      </c>
      <c r="E4923" s="17" t="s">
        <v>1467</v>
      </c>
      <c r="F4923" s="23">
        <v>947775</v>
      </c>
    </row>
    <row r="4924" spans="1:6" ht="16" customHeight="1" x14ac:dyDescent="0.2">
      <c r="A4924">
        <f>IFERROR(VLOOKUP(C4924,'GASB Match'!$D$2:$F$6042,3,FALSE),"")</f>
        <v>3414580</v>
      </c>
      <c r="B4924" s="17">
        <v>2022</v>
      </c>
      <c r="C4924" s="21" t="s">
        <v>1252</v>
      </c>
      <c r="D4924" s="17">
        <v>984</v>
      </c>
      <c r="E4924" s="17" t="s">
        <v>1467</v>
      </c>
      <c r="F4924" s="23">
        <v>1401613</v>
      </c>
    </row>
    <row r="4925" spans="1:6" ht="16" customHeight="1" x14ac:dyDescent="0.2">
      <c r="A4925">
        <f>IFERROR(VLOOKUP(C4925,'GASB Match'!$D$2:$F$6042,3,FALSE),"")</f>
        <v>3414580</v>
      </c>
      <c r="B4925" s="17">
        <v>2023</v>
      </c>
      <c r="C4925" s="21" t="s">
        <v>1252</v>
      </c>
      <c r="D4925" s="17">
        <v>984</v>
      </c>
      <c r="E4925" s="17" t="s">
        <v>1467</v>
      </c>
      <c r="F4925" s="23">
        <v>1411913</v>
      </c>
    </row>
    <row r="4926" spans="1:6" ht="16" customHeight="1" x14ac:dyDescent="0.2">
      <c r="A4926">
        <f>IFERROR(VLOOKUP(C4926,'GASB Match'!$D$2:$F$6042,3,FALSE),"")</f>
        <v>3414580</v>
      </c>
      <c r="B4926" s="28">
        <v>2017</v>
      </c>
      <c r="C4926" s="29" t="s">
        <v>560</v>
      </c>
      <c r="D4926" s="17">
        <v>984</v>
      </c>
      <c r="E4926" s="17" t="s">
        <v>1424</v>
      </c>
      <c r="F4926" s="29">
        <v>341515</v>
      </c>
    </row>
    <row r="4927" spans="1:6" ht="16" customHeight="1" x14ac:dyDescent="0.2">
      <c r="A4927">
        <f>IFERROR(VLOOKUP(C4927,'GASB Match'!$D$2:$F$6042,3,FALSE),"")</f>
        <v>3414610</v>
      </c>
      <c r="B4927" s="17">
        <v>2015</v>
      </c>
      <c r="C4927" s="17" t="s">
        <v>600</v>
      </c>
      <c r="D4927" s="17">
        <v>788</v>
      </c>
      <c r="E4927" s="17" t="s">
        <v>1426</v>
      </c>
      <c r="F4927" s="20">
        <v>62691</v>
      </c>
    </row>
    <row r="4928" spans="1:6" ht="16" customHeight="1" x14ac:dyDescent="0.2">
      <c r="A4928">
        <f>IFERROR(VLOOKUP(C4928,'GASB Match'!$D$2:$F$6042,3,FALSE),"")</f>
        <v>3414610</v>
      </c>
      <c r="B4928" s="17">
        <v>2018</v>
      </c>
      <c r="C4928" s="17" t="s">
        <v>1293</v>
      </c>
      <c r="D4928" s="17">
        <v>788</v>
      </c>
      <c r="E4928" s="17" t="s">
        <v>1469</v>
      </c>
      <c r="F4928" s="20">
        <v>156801</v>
      </c>
    </row>
    <row r="4929" spans="1:6" ht="16" customHeight="1" x14ac:dyDescent="0.2">
      <c r="A4929">
        <f>IFERROR(VLOOKUP(C4929,'GASB Match'!$D$2:$F$6042,3,FALSE),"")</f>
        <v>3414610</v>
      </c>
      <c r="B4929" s="17">
        <v>2019</v>
      </c>
      <c r="C4929" s="17" t="s">
        <v>1293</v>
      </c>
      <c r="D4929" s="17">
        <v>788</v>
      </c>
      <c r="E4929" s="17" t="s">
        <v>1469</v>
      </c>
      <c r="F4929" s="19">
        <v>227683</v>
      </c>
    </row>
    <row r="4930" spans="1:6" ht="16" customHeight="1" x14ac:dyDescent="0.2">
      <c r="A4930">
        <f>IFERROR(VLOOKUP(C4930,'GASB Match'!$D$2:$F$6042,3,FALSE),"")</f>
        <v>3414610</v>
      </c>
      <c r="B4930" s="17">
        <v>2020</v>
      </c>
      <c r="C4930" s="21" t="s">
        <v>1293</v>
      </c>
      <c r="D4930" s="17">
        <v>788</v>
      </c>
      <c r="E4930" s="17" t="s">
        <v>1469</v>
      </c>
      <c r="F4930" s="23">
        <v>253283</v>
      </c>
    </row>
    <row r="4931" spans="1:6" ht="16" customHeight="1" x14ac:dyDescent="0.2">
      <c r="A4931">
        <f>IFERROR(VLOOKUP(C4931,'GASB Match'!$D$2:$F$6042,3,FALSE),"")</f>
        <v>3414610</v>
      </c>
      <c r="B4931" s="17">
        <v>2021</v>
      </c>
      <c r="C4931" s="25" t="s">
        <v>1293</v>
      </c>
      <c r="D4931" s="17">
        <v>788</v>
      </c>
      <c r="E4931" s="17" t="s">
        <v>1469</v>
      </c>
      <c r="F4931" s="23">
        <v>282521</v>
      </c>
    </row>
    <row r="4932" spans="1:6" ht="16" customHeight="1" x14ac:dyDescent="0.2">
      <c r="A4932">
        <f>IFERROR(VLOOKUP(C4932,'GASB Match'!$D$2:$F$6042,3,FALSE),"")</f>
        <v>3414610</v>
      </c>
      <c r="B4932" s="17">
        <v>2022</v>
      </c>
      <c r="C4932" s="21" t="s">
        <v>1293</v>
      </c>
      <c r="D4932" s="17">
        <v>788</v>
      </c>
      <c r="E4932" s="17" t="s">
        <v>1469</v>
      </c>
      <c r="F4932" s="23">
        <v>251073</v>
      </c>
    </row>
    <row r="4933" spans="1:6" ht="16" customHeight="1" x14ac:dyDescent="0.2">
      <c r="A4933">
        <f>IFERROR(VLOOKUP(C4933,'GASB Match'!$D$2:$F$6042,3,FALSE),"")</f>
        <v>3414610</v>
      </c>
      <c r="B4933" s="17">
        <v>2023</v>
      </c>
      <c r="C4933" s="21" t="s">
        <v>1293</v>
      </c>
      <c r="D4933" s="17">
        <v>788</v>
      </c>
      <c r="E4933" s="17" t="s">
        <v>1469</v>
      </c>
      <c r="F4933" s="23">
        <v>391846</v>
      </c>
    </row>
    <row r="4934" spans="1:6" ht="16" customHeight="1" x14ac:dyDescent="0.2">
      <c r="A4934">
        <f>IFERROR(VLOOKUP(C4934,'GASB Match'!$D$2:$F$6042,3,FALSE),"")</f>
        <v>3414610</v>
      </c>
      <c r="B4934" s="28">
        <v>2017</v>
      </c>
      <c r="C4934" s="29" t="s">
        <v>678</v>
      </c>
      <c r="D4934" s="17">
        <v>788</v>
      </c>
      <c r="E4934" s="17" t="s">
        <v>1426</v>
      </c>
      <c r="F4934" s="29">
        <v>115949</v>
      </c>
    </row>
    <row r="4935" spans="1:6" ht="16" customHeight="1" x14ac:dyDescent="0.2">
      <c r="A4935">
        <f>IFERROR(VLOOKUP(C4935,'GASB Match'!$D$2:$F$6042,3,FALSE),"")</f>
        <v>3414640</v>
      </c>
      <c r="B4935" s="17">
        <v>2015</v>
      </c>
      <c r="C4935" s="17" t="s">
        <v>393</v>
      </c>
      <c r="D4935" s="17">
        <v>248</v>
      </c>
      <c r="E4935" s="17" t="s">
        <v>1418</v>
      </c>
      <c r="F4935" s="20">
        <v>1851506</v>
      </c>
    </row>
    <row r="4936" spans="1:6" ht="16" customHeight="1" x14ac:dyDescent="0.2">
      <c r="A4936">
        <f>IFERROR(VLOOKUP(C4936,'GASB Match'!$D$2:$F$6042,3,FALSE),"")</f>
        <v>3414640</v>
      </c>
      <c r="B4936" s="17">
        <v>2016</v>
      </c>
      <c r="C4936" s="17" t="s">
        <v>393</v>
      </c>
      <c r="D4936" s="17">
        <v>248</v>
      </c>
      <c r="E4936" s="17" t="s">
        <v>1418</v>
      </c>
      <c r="F4936" s="20">
        <v>2698178</v>
      </c>
    </row>
    <row r="4937" spans="1:6" ht="16" customHeight="1" x14ac:dyDescent="0.2">
      <c r="A4937">
        <f>IFERROR(VLOOKUP(C4937,'GASB Match'!$D$2:$F$6042,3,FALSE),"")</f>
        <v>3414640</v>
      </c>
      <c r="B4937" s="17">
        <v>2018</v>
      </c>
      <c r="C4937" s="17" t="s">
        <v>1085</v>
      </c>
      <c r="D4937" s="17">
        <v>248</v>
      </c>
      <c r="E4937" s="17" t="s">
        <v>1461</v>
      </c>
      <c r="F4937" s="20">
        <v>5569904</v>
      </c>
    </row>
    <row r="4938" spans="1:6" ht="16" customHeight="1" x14ac:dyDescent="0.2">
      <c r="A4938">
        <f>IFERROR(VLOOKUP(C4938,'GASB Match'!$D$2:$F$6042,3,FALSE),"")</f>
        <v>3414640</v>
      </c>
      <c r="B4938" s="17">
        <v>2019</v>
      </c>
      <c r="C4938" s="17" t="s">
        <v>1085</v>
      </c>
      <c r="D4938" s="17">
        <v>248</v>
      </c>
      <c r="E4938" s="17" t="s">
        <v>1461</v>
      </c>
      <c r="F4938" s="20">
        <v>7339975</v>
      </c>
    </row>
    <row r="4939" spans="1:6" ht="16" customHeight="1" x14ac:dyDescent="0.2">
      <c r="A4939">
        <f>IFERROR(VLOOKUP(C4939,'GASB Match'!$D$2:$F$6042,3,FALSE),"")</f>
        <v>3414640</v>
      </c>
      <c r="B4939" s="17">
        <v>2020</v>
      </c>
      <c r="C4939" s="21" t="s">
        <v>1085</v>
      </c>
      <c r="D4939" s="17">
        <v>248</v>
      </c>
      <c r="E4939" s="17" t="s">
        <v>1461</v>
      </c>
      <c r="F4939" s="23">
        <v>8700396</v>
      </c>
    </row>
    <row r="4940" spans="1:6" ht="16" customHeight="1" x14ac:dyDescent="0.2">
      <c r="A4940">
        <f>IFERROR(VLOOKUP(C4940,'GASB Match'!$D$2:$F$6042,3,FALSE),"")</f>
        <v>3414640</v>
      </c>
      <c r="B4940" s="17">
        <v>2021</v>
      </c>
      <c r="C4940" s="25" t="s">
        <v>1085</v>
      </c>
      <c r="D4940" s="17">
        <v>248</v>
      </c>
      <c r="E4940" s="17" t="s">
        <v>1461</v>
      </c>
      <c r="F4940" s="23">
        <v>11353589</v>
      </c>
    </row>
    <row r="4941" spans="1:6" ht="16" customHeight="1" x14ac:dyDescent="0.2">
      <c r="A4941">
        <f>IFERROR(VLOOKUP(C4941,'GASB Match'!$D$2:$F$6042,3,FALSE),"")</f>
        <v>3414640</v>
      </c>
      <c r="B4941" s="17">
        <v>2022</v>
      </c>
      <c r="C4941" s="21" t="s">
        <v>1085</v>
      </c>
      <c r="D4941" s="17">
        <v>248</v>
      </c>
      <c r="E4941" s="17" t="s">
        <v>1461</v>
      </c>
      <c r="F4941" s="23">
        <v>16587011</v>
      </c>
    </row>
    <row r="4942" spans="1:6" ht="16" customHeight="1" x14ac:dyDescent="0.2">
      <c r="A4942">
        <f>IFERROR(VLOOKUP(C4942,'GASB Match'!$D$2:$F$6042,3,FALSE),"")</f>
        <v>3414640</v>
      </c>
      <c r="B4942" s="17">
        <v>2023</v>
      </c>
      <c r="C4942" s="21" t="s">
        <v>1085</v>
      </c>
      <c r="D4942" s="17">
        <v>248</v>
      </c>
      <c r="E4942" s="17" t="s">
        <v>1461</v>
      </c>
      <c r="F4942" s="23">
        <v>16892023</v>
      </c>
    </row>
    <row r="4943" spans="1:6" ht="16" customHeight="1" x14ac:dyDescent="0.2">
      <c r="A4943">
        <f>IFERROR(VLOOKUP(C4943,'GASB Match'!$D$2:$F$6042,3,FALSE),"")</f>
        <v>3414640</v>
      </c>
      <c r="B4943" s="28">
        <v>2017</v>
      </c>
      <c r="C4943" s="29" t="s">
        <v>393</v>
      </c>
      <c r="D4943" s="17">
        <v>248</v>
      </c>
      <c r="E4943" s="17" t="s">
        <v>1418</v>
      </c>
      <c r="F4943" s="29">
        <v>4068044</v>
      </c>
    </row>
    <row r="4944" spans="1:6" ht="16" customHeight="1" x14ac:dyDescent="0.2">
      <c r="A4944">
        <f>IFERROR(VLOOKUP(C4944,'GASB Match'!$D$2:$F$6042,3,FALSE),"")</f>
        <v>3414670</v>
      </c>
      <c r="B4944" s="17">
        <v>2015</v>
      </c>
      <c r="C4944" s="17" t="s">
        <v>628</v>
      </c>
      <c r="D4944" s="17">
        <v>843</v>
      </c>
      <c r="E4944" s="17" t="s">
        <v>1427</v>
      </c>
      <c r="F4944" s="20">
        <v>1779154</v>
      </c>
    </row>
    <row r="4945" spans="1:6" ht="16" customHeight="1" x14ac:dyDescent="0.2">
      <c r="A4945">
        <f>IFERROR(VLOOKUP(C4945,'GASB Match'!$D$2:$F$6042,3,FALSE),"")</f>
        <v>3414670</v>
      </c>
      <c r="B4945" s="17">
        <v>2016</v>
      </c>
      <c r="C4945" s="17" t="s">
        <v>628</v>
      </c>
      <c r="D4945" s="17">
        <v>843</v>
      </c>
      <c r="E4945" s="17" t="s">
        <v>1427</v>
      </c>
      <c r="F4945" s="20">
        <v>2614592</v>
      </c>
    </row>
    <row r="4946" spans="1:6" ht="16" customHeight="1" x14ac:dyDescent="0.2">
      <c r="A4946">
        <f>IFERROR(VLOOKUP(C4946,'GASB Match'!$D$2:$F$6042,3,FALSE),"")</f>
        <v>3414670</v>
      </c>
      <c r="B4946" s="17">
        <v>2018</v>
      </c>
      <c r="C4946" s="17" t="s">
        <v>1321</v>
      </c>
      <c r="D4946" s="17">
        <v>843</v>
      </c>
      <c r="E4946" s="17" t="s">
        <v>1470</v>
      </c>
      <c r="F4946" s="20">
        <v>4980130</v>
      </c>
    </row>
    <row r="4947" spans="1:6" ht="16" customHeight="1" x14ac:dyDescent="0.2">
      <c r="A4947">
        <f>IFERROR(VLOOKUP(C4947,'GASB Match'!$D$2:$F$6042,3,FALSE),"")</f>
        <v>3414670</v>
      </c>
      <c r="B4947" s="17">
        <v>2019</v>
      </c>
      <c r="C4947" s="17" t="s">
        <v>1321</v>
      </c>
      <c r="D4947" s="17">
        <v>843</v>
      </c>
      <c r="E4947" s="17" t="s">
        <v>1470</v>
      </c>
      <c r="F4947" s="20">
        <v>6863225</v>
      </c>
    </row>
    <row r="4948" spans="1:6" ht="16" customHeight="1" x14ac:dyDescent="0.2">
      <c r="A4948">
        <f>IFERROR(VLOOKUP(C4948,'GASB Match'!$D$2:$F$6042,3,FALSE),"")</f>
        <v>3414670</v>
      </c>
      <c r="B4948" s="17">
        <v>2020</v>
      </c>
      <c r="C4948" s="21" t="s">
        <v>1321</v>
      </c>
      <c r="D4948" s="17">
        <v>843</v>
      </c>
      <c r="E4948" s="17" t="s">
        <v>1470</v>
      </c>
      <c r="F4948" s="23">
        <v>7966826</v>
      </c>
    </row>
    <row r="4949" spans="1:6" ht="16" customHeight="1" x14ac:dyDescent="0.2">
      <c r="A4949">
        <f>IFERROR(VLOOKUP(C4949,'GASB Match'!$D$2:$F$6042,3,FALSE),"")</f>
        <v>3414670</v>
      </c>
      <c r="B4949" s="17">
        <v>2021</v>
      </c>
      <c r="C4949" s="25" t="s">
        <v>1321</v>
      </c>
      <c r="D4949" s="17">
        <v>843</v>
      </c>
      <c r="E4949" s="17" t="s">
        <v>1470</v>
      </c>
      <c r="F4949" s="23">
        <v>10067187</v>
      </c>
    </row>
    <row r="4950" spans="1:6" ht="16" customHeight="1" x14ac:dyDescent="0.2">
      <c r="A4950">
        <f>IFERROR(VLOOKUP(C4950,'GASB Match'!$D$2:$F$6042,3,FALSE),"")</f>
        <v>3414670</v>
      </c>
      <c r="B4950" s="17">
        <v>2022</v>
      </c>
      <c r="C4950" s="21" t="s">
        <v>1321</v>
      </c>
      <c r="D4950" s="17">
        <v>843</v>
      </c>
      <c r="E4950" s="17" t="s">
        <v>1470</v>
      </c>
      <c r="F4950" s="23">
        <v>14706695</v>
      </c>
    </row>
    <row r="4951" spans="1:6" ht="16" customHeight="1" x14ac:dyDescent="0.2">
      <c r="A4951">
        <f>IFERROR(VLOOKUP(C4951,'GASB Match'!$D$2:$F$6042,3,FALSE),"")</f>
        <v>3414670</v>
      </c>
      <c r="B4951" s="17">
        <v>2023</v>
      </c>
      <c r="C4951" s="21" t="s">
        <v>1321</v>
      </c>
      <c r="D4951" s="17">
        <v>843</v>
      </c>
      <c r="E4951" s="17" t="s">
        <v>1470</v>
      </c>
      <c r="F4951" s="23">
        <v>14952647</v>
      </c>
    </row>
    <row r="4952" spans="1:6" ht="16" customHeight="1" x14ac:dyDescent="0.2">
      <c r="A4952">
        <f>IFERROR(VLOOKUP(C4952,'GASB Match'!$D$2:$F$6042,3,FALSE),"")</f>
        <v>3414670</v>
      </c>
      <c r="B4952" s="28">
        <v>2017</v>
      </c>
      <c r="C4952" s="29" t="s">
        <v>628</v>
      </c>
      <c r="D4952" s="17">
        <v>843</v>
      </c>
      <c r="E4952" s="17" t="s">
        <v>1427</v>
      </c>
      <c r="F4952" s="29">
        <v>3707352</v>
      </c>
    </row>
    <row r="4953" spans="1:6" ht="16" customHeight="1" x14ac:dyDescent="0.2">
      <c r="A4953">
        <f>IFERROR(VLOOKUP(C4953,'GASB Match'!$D$2:$F$6042,3,FALSE),"")</f>
        <v>3414730</v>
      </c>
      <c r="B4953" s="17">
        <v>2015</v>
      </c>
      <c r="C4953" s="17" t="s">
        <v>444</v>
      </c>
      <c r="D4953" s="17">
        <v>366</v>
      </c>
      <c r="E4953" s="17" t="s">
        <v>1420</v>
      </c>
      <c r="F4953" s="20">
        <v>77067</v>
      </c>
    </row>
    <row r="4954" spans="1:6" ht="16" customHeight="1" x14ac:dyDescent="0.2">
      <c r="A4954">
        <f>IFERROR(VLOOKUP(C4954,'GASB Match'!$D$2:$F$6042,3,FALSE),"")</f>
        <v>3414730</v>
      </c>
      <c r="B4954" s="17">
        <v>2016</v>
      </c>
      <c r="C4954" s="17" t="s">
        <v>444</v>
      </c>
      <c r="D4954" s="17">
        <v>366</v>
      </c>
      <c r="E4954" s="17" t="s">
        <v>1420</v>
      </c>
      <c r="F4954" s="20">
        <v>117150</v>
      </c>
    </row>
    <row r="4955" spans="1:6" ht="16" customHeight="1" x14ac:dyDescent="0.2">
      <c r="A4955">
        <f>IFERROR(VLOOKUP(C4955,'GASB Match'!$D$2:$F$6042,3,FALSE),"")</f>
        <v>3414730</v>
      </c>
      <c r="B4955" s="17">
        <v>2018</v>
      </c>
      <c r="C4955" s="17" t="s">
        <v>1136</v>
      </c>
      <c r="D4955" s="17">
        <v>366</v>
      </c>
      <c r="E4955" s="17" t="s">
        <v>1463</v>
      </c>
      <c r="F4955" s="20">
        <v>218530</v>
      </c>
    </row>
    <row r="4956" spans="1:6" ht="16" customHeight="1" x14ac:dyDescent="0.2">
      <c r="A4956">
        <f>IFERROR(VLOOKUP(C4956,'GASB Match'!$D$2:$F$6042,3,FALSE),"")</f>
        <v>3414730</v>
      </c>
      <c r="B4956" s="17">
        <v>2019</v>
      </c>
      <c r="C4956" s="17" t="s">
        <v>1136</v>
      </c>
      <c r="D4956" s="17">
        <v>366</v>
      </c>
      <c r="E4956" s="17" t="s">
        <v>1463</v>
      </c>
      <c r="F4956" s="20">
        <v>252891</v>
      </c>
    </row>
    <row r="4957" spans="1:6" ht="16" customHeight="1" x14ac:dyDescent="0.2">
      <c r="A4957">
        <f>IFERROR(VLOOKUP(C4957,'GASB Match'!$D$2:$F$6042,3,FALSE),"")</f>
        <v>3414730</v>
      </c>
      <c r="B4957" s="17">
        <v>2020</v>
      </c>
      <c r="C4957" s="21" t="s">
        <v>1136</v>
      </c>
      <c r="D4957" s="17">
        <v>366</v>
      </c>
      <c r="E4957" s="17" t="s">
        <v>1463</v>
      </c>
      <c r="F4957" s="23">
        <v>307978</v>
      </c>
    </row>
    <row r="4958" spans="1:6" ht="16" customHeight="1" x14ac:dyDescent="0.2">
      <c r="A4958">
        <f>IFERROR(VLOOKUP(C4958,'GASB Match'!$D$2:$F$6042,3,FALSE),"")</f>
        <v>3414730</v>
      </c>
      <c r="B4958" s="17">
        <v>2021</v>
      </c>
      <c r="C4958" s="25" t="s">
        <v>1136</v>
      </c>
      <c r="D4958" s="17">
        <v>366</v>
      </c>
      <c r="E4958" s="17" t="s">
        <v>1463</v>
      </c>
      <c r="F4958" s="23">
        <v>441888</v>
      </c>
    </row>
    <row r="4959" spans="1:6" ht="16" customHeight="1" x14ac:dyDescent="0.2">
      <c r="A4959">
        <f>IFERROR(VLOOKUP(C4959,'GASB Match'!$D$2:$F$6042,3,FALSE),"")</f>
        <v>3414730</v>
      </c>
      <c r="B4959" s="17">
        <v>2022</v>
      </c>
      <c r="C4959" s="21" t="s">
        <v>1136</v>
      </c>
      <c r="D4959" s="17">
        <v>366</v>
      </c>
      <c r="E4959" s="17" t="s">
        <v>1463</v>
      </c>
      <c r="F4959" s="23">
        <v>635242</v>
      </c>
    </row>
    <row r="4960" spans="1:6" ht="16" customHeight="1" x14ac:dyDescent="0.2">
      <c r="A4960">
        <f>IFERROR(VLOOKUP(C4960,'GASB Match'!$D$2:$F$6042,3,FALSE),"")</f>
        <v>3414730</v>
      </c>
      <c r="B4960" s="17">
        <v>2023</v>
      </c>
      <c r="C4960" s="21" t="s">
        <v>1136</v>
      </c>
      <c r="D4960" s="17">
        <v>366</v>
      </c>
      <c r="E4960" s="17" t="s">
        <v>1463</v>
      </c>
      <c r="F4960" s="23">
        <v>713455</v>
      </c>
    </row>
    <row r="4961" spans="1:6" ht="16" customHeight="1" x14ac:dyDescent="0.2">
      <c r="A4961">
        <f>IFERROR(VLOOKUP(C4961,'GASB Match'!$D$2:$F$6042,3,FALSE),"")</f>
        <v>3414730</v>
      </c>
      <c r="B4961" s="28">
        <v>2017</v>
      </c>
      <c r="C4961" s="29" t="s">
        <v>444</v>
      </c>
      <c r="D4961" s="17">
        <v>366</v>
      </c>
      <c r="E4961" s="17" t="s">
        <v>1420</v>
      </c>
      <c r="F4961" s="29">
        <v>166850</v>
      </c>
    </row>
    <row r="4962" spans="1:6" ht="16" customHeight="1" x14ac:dyDescent="0.2">
      <c r="A4962">
        <f>IFERROR(VLOOKUP(C4962,'GASB Match'!$D$2:$F$6042,3,FALSE),"")</f>
        <v>3414790</v>
      </c>
      <c r="B4962" s="17">
        <v>2015</v>
      </c>
      <c r="C4962" s="17" t="s">
        <v>517</v>
      </c>
      <c r="D4962" s="17">
        <v>531</v>
      </c>
      <c r="E4962" s="17" t="s">
        <v>1422</v>
      </c>
      <c r="F4962" s="20">
        <v>76538</v>
      </c>
    </row>
    <row r="4963" spans="1:6" ht="16" customHeight="1" x14ac:dyDescent="0.2">
      <c r="A4963">
        <f>IFERROR(VLOOKUP(C4963,'GASB Match'!$D$2:$F$6042,3,FALSE),"")</f>
        <v>3414790</v>
      </c>
      <c r="B4963" s="17">
        <v>2016</v>
      </c>
      <c r="C4963" s="17" t="s">
        <v>517</v>
      </c>
      <c r="D4963" s="17">
        <v>531</v>
      </c>
      <c r="E4963" s="17" t="s">
        <v>1422</v>
      </c>
      <c r="F4963" s="20">
        <v>111706</v>
      </c>
    </row>
    <row r="4964" spans="1:6" ht="16" customHeight="1" x14ac:dyDescent="0.2">
      <c r="A4964">
        <f>IFERROR(VLOOKUP(C4964,'GASB Match'!$D$2:$F$6042,3,FALSE),"")</f>
        <v>3414790</v>
      </c>
      <c r="B4964" s="17">
        <v>2018</v>
      </c>
      <c r="C4964" s="17" t="s">
        <v>1209</v>
      </c>
      <c r="D4964" s="17">
        <v>531</v>
      </c>
      <c r="E4964" s="17" t="s">
        <v>1465</v>
      </c>
      <c r="F4964" s="20">
        <v>253004</v>
      </c>
    </row>
    <row r="4965" spans="1:6" ht="16" customHeight="1" x14ac:dyDescent="0.2">
      <c r="A4965">
        <f>IFERROR(VLOOKUP(C4965,'GASB Match'!$D$2:$F$6042,3,FALSE),"")</f>
        <v>3414790</v>
      </c>
      <c r="B4965" s="17">
        <v>2019</v>
      </c>
      <c r="C4965" s="17" t="s">
        <v>1209</v>
      </c>
      <c r="D4965" s="17">
        <v>531</v>
      </c>
      <c r="E4965" s="17" t="s">
        <v>1465</v>
      </c>
      <c r="F4965" s="20">
        <v>327898</v>
      </c>
    </row>
    <row r="4966" spans="1:6" ht="16" customHeight="1" x14ac:dyDescent="0.2">
      <c r="A4966">
        <f>IFERROR(VLOOKUP(C4966,'GASB Match'!$D$2:$F$6042,3,FALSE),"")</f>
        <v>3414790</v>
      </c>
      <c r="B4966" s="17">
        <v>2020</v>
      </c>
      <c r="C4966" s="21" t="s">
        <v>1209</v>
      </c>
      <c r="D4966" s="17">
        <v>531</v>
      </c>
      <c r="E4966" s="17" t="s">
        <v>1465</v>
      </c>
      <c r="F4966" s="23">
        <v>382369</v>
      </c>
    </row>
    <row r="4967" spans="1:6" ht="16" customHeight="1" x14ac:dyDescent="0.2">
      <c r="A4967">
        <f>IFERROR(VLOOKUP(C4967,'GASB Match'!$D$2:$F$6042,3,FALSE),"")</f>
        <v>3414790</v>
      </c>
      <c r="B4967" s="17">
        <v>2021</v>
      </c>
      <c r="C4967" s="25" t="s">
        <v>1209</v>
      </c>
      <c r="D4967" s="17">
        <v>531</v>
      </c>
      <c r="E4967" s="17" t="s">
        <v>1465</v>
      </c>
      <c r="F4967" s="23">
        <v>483226</v>
      </c>
    </row>
    <row r="4968" spans="1:6" ht="16" customHeight="1" x14ac:dyDescent="0.2">
      <c r="A4968">
        <f>IFERROR(VLOOKUP(C4968,'GASB Match'!$D$2:$F$6042,3,FALSE),"")</f>
        <v>3414790</v>
      </c>
      <c r="B4968" s="17">
        <v>2022</v>
      </c>
      <c r="C4968" s="21" t="s">
        <v>1209</v>
      </c>
      <c r="D4968" s="17">
        <v>531</v>
      </c>
      <c r="E4968" s="17" t="s">
        <v>1465</v>
      </c>
      <c r="F4968" s="23">
        <v>718373</v>
      </c>
    </row>
    <row r="4969" spans="1:6" ht="16" customHeight="1" x14ac:dyDescent="0.2">
      <c r="A4969">
        <f>IFERROR(VLOOKUP(C4969,'GASB Match'!$D$2:$F$6042,3,FALSE),"")</f>
        <v>3414790</v>
      </c>
      <c r="B4969" s="17">
        <v>2023</v>
      </c>
      <c r="C4969" s="21" t="s">
        <v>1209</v>
      </c>
      <c r="D4969" s="17">
        <v>531</v>
      </c>
      <c r="E4969" s="17" t="s">
        <v>1465</v>
      </c>
      <c r="F4969" s="23">
        <v>776492</v>
      </c>
    </row>
    <row r="4970" spans="1:6" ht="16" customHeight="1" x14ac:dyDescent="0.2">
      <c r="A4970">
        <f>IFERROR(VLOOKUP(C4970,'GASB Match'!$D$2:$F$6042,3,FALSE),"")</f>
        <v>3414790</v>
      </c>
      <c r="B4970" s="28">
        <v>2017</v>
      </c>
      <c r="C4970" s="29" t="s">
        <v>517</v>
      </c>
      <c r="D4970" s="17">
        <v>531</v>
      </c>
      <c r="E4970" s="17" t="s">
        <v>1422</v>
      </c>
      <c r="F4970" s="29">
        <v>173368</v>
      </c>
    </row>
    <row r="4971" spans="1:6" ht="16" customHeight="1" x14ac:dyDescent="0.2">
      <c r="A4971">
        <f>IFERROR(VLOOKUP(C4971,'GASB Match'!$D$2:$F$6042,3,FALSE),"")</f>
        <v>3414820</v>
      </c>
      <c r="B4971" s="17">
        <v>2015</v>
      </c>
      <c r="C4971" s="17" t="s">
        <v>518</v>
      </c>
      <c r="D4971" s="17">
        <v>532</v>
      </c>
      <c r="E4971" s="17" t="s">
        <v>1422</v>
      </c>
      <c r="F4971" s="20">
        <v>1351</v>
      </c>
    </row>
    <row r="4972" spans="1:6" ht="16" customHeight="1" x14ac:dyDescent="0.2">
      <c r="A4972">
        <f>IFERROR(VLOOKUP(C4972,'GASB Match'!$D$2:$F$6042,3,FALSE),"")</f>
        <v>3414820</v>
      </c>
      <c r="B4972" s="17">
        <v>2016</v>
      </c>
      <c r="C4972" s="17" t="s">
        <v>518</v>
      </c>
      <c r="D4972" s="17">
        <v>532</v>
      </c>
      <c r="E4972" s="17" t="s">
        <v>1422</v>
      </c>
      <c r="F4972" s="20">
        <v>1979</v>
      </c>
    </row>
    <row r="4973" spans="1:6" ht="16" customHeight="1" x14ac:dyDescent="0.2">
      <c r="A4973">
        <f>IFERROR(VLOOKUP(C4973,'GASB Match'!$D$2:$F$6042,3,FALSE),"")</f>
        <v>3414820</v>
      </c>
      <c r="B4973" s="17">
        <v>2018</v>
      </c>
      <c r="C4973" s="17" t="s">
        <v>1210</v>
      </c>
      <c r="D4973" s="17">
        <v>532</v>
      </c>
      <c r="E4973" s="17" t="s">
        <v>1465</v>
      </c>
      <c r="F4973" s="19">
        <v>3805</v>
      </c>
    </row>
    <row r="4974" spans="1:6" ht="16" customHeight="1" x14ac:dyDescent="0.2">
      <c r="A4974">
        <f>IFERROR(VLOOKUP(C4974,'GASB Match'!$D$2:$F$6042,3,FALSE),"")</f>
        <v>3414820</v>
      </c>
      <c r="B4974" s="17">
        <v>2019</v>
      </c>
      <c r="C4974" s="17" t="s">
        <v>1210</v>
      </c>
      <c r="D4974" s="17">
        <v>532</v>
      </c>
      <c r="E4974" s="17" t="s">
        <v>1465</v>
      </c>
      <c r="F4974" s="20">
        <v>4966</v>
      </c>
    </row>
    <row r="4975" spans="1:6" ht="16" customHeight="1" x14ac:dyDescent="0.2">
      <c r="A4975">
        <f>IFERROR(VLOOKUP(C4975,'GASB Match'!$D$2:$F$6042,3,FALSE),"")</f>
        <v>3414820</v>
      </c>
      <c r="B4975" s="17">
        <v>2020</v>
      </c>
      <c r="C4975" s="21" t="s">
        <v>1210</v>
      </c>
      <c r="D4975" s="17">
        <v>532</v>
      </c>
      <c r="E4975" s="17" t="s">
        <v>1465</v>
      </c>
      <c r="F4975" s="23">
        <v>5498</v>
      </c>
    </row>
    <row r="4976" spans="1:6" ht="16" customHeight="1" x14ac:dyDescent="0.2">
      <c r="A4976">
        <f>IFERROR(VLOOKUP(C4976,'GASB Match'!$D$2:$F$6042,3,FALSE),"")</f>
        <v>3414820</v>
      </c>
      <c r="B4976" s="17">
        <v>2021</v>
      </c>
      <c r="C4976" s="25" t="s">
        <v>1210</v>
      </c>
      <c r="D4976" s="17">
        <v>532</v>
      </c>
      <c r="E4976" s="17" t="s">
        <v>1465</v>
      </c>
      <c r="F4976" s="23">
        <v>6957</v>
      </c>
    </row>
    <row r="4977" spans="1:6" ht="16" customHeight="1" x14ac:dyDescent="0.2">
      <c r="A4977">
        <f>IFERROR(VLOOKUP(C4977,'GASB Match'!$D$2:$F$6042,3,FALSE),"")</f>
        <v>3414820</v>
      </c>
      <c r="B4977" s="17">
        <v>2022</v>
      </c>
      <c r="C4977" s="21" t="s">
        <v>1210</v>
      </c>
      <c r="D4977" s="17">
        <v>532</v>
      </c>
      <c r="E4977" s="17" t="s">
        <v>1465</v>
      </c>
      <c r="F4977" s="23">
        <v>9695</v>
      </c>
    </row>
    <row r="4978" spans="1:6" ht="16" customHeight="1" x14ac:dyDescent="0.2">
      <c r="A4978">
        <f>IFERROR(VLOOKUP(C4978,'GASB Match'!$D$2:$F$6042,3,FALSE),"")</f>
        <v>3414820</v>
      </c>
      <c r="B4978" s="17">
        <v>2023</v>
      </c>
      <c r="C4978" s="21" t="s">
        <v>1210</v>
      </c>
      <c r="D4978" s="17">
        <v>532</v>
      </c>
      <c r="E4978" s="17" t="s">
        <v>1465</v>
      </c>
      <c r="F4978" s="23">
        <v>9507</v>
      </c>
    </row>
    <row r="4979" spans="1:6" ht="16" customHeight="1" x14ac:dyDescent="0.2">
      <c r="A4979">
        <f>IFERROR(VLOOKUP(C4979,'GASB Match'!$D$2:$F$6042,3,FALSE),"")</f>
        <v>3414820</v>
      </c>
      <c r="B4979" s="28">
        <v>2017</v>
      </c>
      <c r="C4979" s="29" t="s">
        <v>518</v>
      </c>
      <c r="D4979" s="17">
        <v>532</v>
      </c>
      <c r="E4979" s="17" t="s">
        <v>1422</v>
      </c>
      <c r="F4979" s="29">
        <v>2862</v>
      </c>
    </row>
    <row r="4980" spans="1:6" ht="16" customHeight="1" x14ac:dyDescent="0.2">
      <c r="A4980">
        <f>IFERROR(VLOOKUP(C4980,'GASB Match'!$D$2:$F$6042,3,FALSE),"")</f>
        <v>3414850</v>
      </c>
      <c r="B4980" s="17">
        <v>2015</v>
      </c>
      <c r="C4980" s="17" t="s">
        <v>319</v>
      </c>
      <c r="D4980" s="17">
        <v>8084</v>
      </c>
      <c r="E4980" s="17" t="s">
        <v>1413</v>
      </c>
      <c r="F4980" s="20">
        <v>771279</v>
      </c>
    </row>
    <row r="4981" spans="1:6" ht="16" customHeight="1" x14ac:dyDescent="0.2">
      <c r="A4981">
        <f>IFERROR(VLOOKUP(C4981,'GASB Match'!$D$2:$F$6042,3,FALSE),"")</f>
        <v>3414850</v>
      </c>
      <c r="B4981" s="17">
        <v>2016</v>
      </c>
      <c r="C4981" s="17" t="s">
        <v>319</v>
      </c>
      <c r="D4981" s="17">
        <v>8084</v>
      </c>
      <c r="E4981" s="17" t="s">
        <v>1413</v>
      </c>
      <c r="F4981" s="20">
        <v>1187394</v>
      </c>
    </row>
    <row r="4982" spans="1:6" ht="16" customHeight="1" x14ac:dyDescent="0.2">
      <c r="A4982">
        <f>IFERROR(VLOOKUP(C4982,'GASB Match'!$D$2:$F$6042,3,FALSE),"")</f>
        <v>3414850</v>
      </c>
      <c r="B4982" s="17">
        <v>2018</v>
      </c>
      <c r="C4982" s="17" t="s">
        <v>1012</v>
      </c>
      <c r="D4982" s="17">
        <v>8084</v>
      </c>
      <c r="E4982" s="17" t="s">
        <v>1456</v>
      </c>
      <c r="F4982" s="20">
        <v>2239233</v>
      </c>
    </row>
    <row r="4983" spans="1:6" ht="16" customHeight="1" x14ac:dyDescent="0.2">
      <c r="A4983">
        <f>IFERROR(VLOOKUP(C4983,'GASB Match'!$D$2:$F$6042,3,FALSE),"")</f>
        <v>3414850</v>
      </c>
      <c r="B4983" s="17">
        <v>2019</v>
      </c>
      <c r="C4983" s="17" t="s">
        <v>1012</v>
      </c>
      <c r="D4983" s="17">
        <v>8084</v>
      </c>
      <c r="E4983" s="17" t="s">
        <v>1456</v>
      </c>
      <c r="F4983" s="20">
        <v>2966519</v>
      </c>
    </row>
    <row r="4984" spans="1:6" ht="16" customHeight="1" x14ac:dyDescent="0.2">
      <c r="A4984">
        <f>IFERROR(VLOOKUP(C4984,'GASB Match'!$D$2:$F$6042,3,FALSE),"")</f>
        <v>3414850</v>
      </c>
      <c r="B4984" s="17">
        <v>2020</v>
      </c>
      <c r="C4984" s="21" t="s">
        <v>1012</v>
      </c>
      <c r="D4984" s="17">
        <v>8084</v>
      </c>
      <c r="E4984" s="17" t="s">
        <v>1456</v>
      </c>
      <c r="F4984" s="23">
        <v>3429089</v>
      </c>
    </row>
    <row r="4985" spans="1:6" ht="16" customHeight="1" x14ac:dyDescent="0.2">
      <c r="A4985">
        <f>IFERROR(VLOOKUP(C4985,'GASB Match'!$D$2:$F$6042,3,FALSE),"")</f>
        <v>3414850</v>
      </c>
      <c r="B4985" s="17">
        <v>2021</v>
      </c>
      <c r="C4985" s="25" t="s">
        <v>1012</v>
      </c>
      <c r="D4985" s="17">
        <v>8084</v>
      </c>
      <c r="E4985" s="17" t="s">
        <v>1456</v>
      </c>
      <c r="F4985" s="23">
        <v>4479395</v>
      </c>
    </row>
    <row r="4986" spans="1:6" ht="16" customHeight="1" x14ac:dyDescent="0.2">
      <c r="A4986">
        <f>IFERROR(VLOOKUP(C4986,'GASB Match'!$D$2:$F$6042,3,FALSE),"")</f>
        <v>3414850</v>
      </c>
      <c r="B4986" s="17">
        <v>2022</v>
      </c>
      <c r="C4986" s="21" t="s">
        <v>1012</v>
      </c>
      <c r="D4986" s="17">
        <v>8084</v>
      </c>
      <c r="E4986" s="17" t="s">
        <v>1456</v>
      </c>
      <c r="F4986" s="23">
        <v>6416781</v>
      </c>
    </row>
    <row r="4987" spans="1:6" ht="16" customHeight="1" x14ac:dyDescent="0.2">
      <c r="A4987">
        <f>IFERROR(VLOOKUP(C4987,'GASB Match'!$D$2:$F$6042,3,FALSE),"")</f>
        <v>3414850</v>
      </c>
      <c r="B4987" s="17">
        <v>2023</v>
      </c>
      <c r="C4987" s="21" t="s">
        <v>1012</v>
      </c>
      <c r="D4987" s="17">
        <v>8084</v>
      </c>
      <c r="E4987" s="17" t="s">
        <v>1456</v>
      </c>
      <c r="F4987" s="23">
        <v>6193971</v>
      </c>
    </row>
    <row r="4988" spans="1:6" ht="16" customHeight="1" x14ac:dyDescent="0.2">
      <c r="A4988">
        <f>IFERROR(VLOOKUP(C4988,'GASB Match'!$D$2:$F$6042,3,FALSE),"")</f>
        <v>3414850</v>
      </c>
      <c r="B4988" s="28">
        <v>2017</v>
      </c>
      <c r="C4988" s="29" t="s">
        <v>319</v>
      </c>
      <c r="D4988" s="17">
        <v>8084</v>
      </c>
      <c r="E4988" s="17" t="s">
        <v>1413</v>
      </c>
      <c r="F4988" s="29">
        <v>1663395</v>
      </c>
    </row>
    <row r="4989" spans="1:6" ht="16" customHeight="1" x14ac:dyDescent="0.2">
      <c r="A4989">
        <f>IFERROR(VLOOKUP(C4989,'GASB Match'!$D$2:$F$6042,3,FALSE),"")</f>
        <v>3414880</v>
      </c>
      <c r="B4989" s="17">
        <v>2015</v>
      </c>
      <c r="C4989" s="17" t="s">
        <v>141</v>
      </c>
      <c r="D4989" s="17">
        <v>3039</v>
      </c>
      <c r="E4989" s="17" t="s">
        <v>1404</v>
      </c>
      <c r="F4989" s="20">
        <v>310103</v>
      </c>
    </row>
    <row r="4990" spans="1:6" ht="16" customHeight="1" x14ac:dyDescent="0.2">
      <c r="A4990">
        <f>IFERROR(VLOOKUP(C4990,'GASB Match'!$D$2:$F$6042,3,FALSE),"")</f>
        <v>3414880</v>
      </c>
      <c r="B4990" s="17">
        <v>2016</v>
      </c>
      <c r="C4990" s="17" t="s">
        <v>141</v>
      </c>
      <c r="D4990" s="17">
        <v>3039</v>
      </c>
      <c r="E4990" s="17" t="s">
        <v>1404</v>
      </c>
      <c r="F4990" s="20">
        <v>453679</v>
      </c>
    </row>
    <row r="4991" spans="1:6" ht="16" customHeight="1" x14ac:dyDescent="0.2">
      <c r="A4991">
        <f>IFERROR(VLOOKUP(C4991,'GASB Match'!$D$2:$F$6042,3,FALSE),"")</f>
        <v>3414880</v>
      </c>
      <c r="B4991" s="17">
        <v>2018</v>
      </c>
      <c r="C4991" s="17" t="s">
        <v>822</v>
      </c>
      <c r="D4991" s="17">
        <v>3039</v>
      </c>
      <c r="E4991" s="17" t="s">
        <v>1445</v>
      </c>
      <c r="F4991" s="20">
        <v>846351</v>
      </c>
    </row>
    <row r="4992" spans="1:6" ht="16" customHeight="1" x14ac:dyDescent="0.2">
      <c r="A4992">
        <f>IFERROR(VLOOKUP(C4992,'GASB Match'!$D$2:$F$6042,3,FALSE),"")</f>
        <v>3414880</v>
      </c>
      <c r="B4992" s="17">
        <v>2019</v>
      </c>
      <c r="C4992" s="17" t="s">
        <v>822</v>
      </c>
      <c r="D4992" s="17">
        <v>3039</v>
      </c>
      <c r="E4992" s="17" t="s">
        <v>1445</v>
      </c>
      <c r="F4992" s="20">
        <v>1176517</v>
      </c>
    </row>
    <row r="4993" spans="1:6" ht="16" customHeight="1" x14ac:dyDescent="0.2">
      <c r="A4993">
        <f>IFERROR(VLOOKUP(C4993,'GASB Match'!$D$2:$F$6042,3,FALSE),"")</f>
        <v>3414880</v>
      </c>
      <c r="B4993" s="17">
        <v>2020</v>
      </c>
      <c r="C4993" s="21" t="s">
        <v>822</v>
      </c>
      <c r="D4993" s="17">
        <v>3039</v>
      </c>
      <c r="E4993" s="17" t="s">
        <v>1445</v>
      </c>
      <c r="F4993" s="23">
        <v>1291244</v>
      </c>
    </row>
    <row r="4994" spans="1:6" ht="16" customHeight="1" x14ac:dyDescent="0.2">
      <c r="A4994">
        <f>IFERROR(VLOOKUP(C4994,'GASB Match'!$D$2:$F$6042,3,FALSE),"")</f>
        <v>3414880</v>
      </c>
      <c r="B4994" s="17">
        <v>2021</v>
      </c>
      <c r="C4994" s="25" t="s">
        <v>822</v>
      </c>
      <c r="D4994" s="17">
        <v>3039</v>
      </c>
      <c r="E4994" s="17" t="s">
        <v>1445</v>
      </c>
      <c r="F4994" s="23">
        <v>1687667</v>
      </c>
    </row>
    <row r="4995" spans="1:6" ht="16" customHeight="1" x14ac:dyDescent="0.2">
      <c r="A4995">
        <f>IFERROR(VLOOKUP(C4995,'GASB Match'!$D$2:$F$6042,3,FALSE),"")</f>
        <v>3414880</v>
      </c>
      <c r="B4995" s="17">
        <v>2022</v>
      </c>
      <c r="C4995" s="21" t="s">
        <v>822</v>
      </c>
      <c r="D4995" s="17">
        <v>3039</v>
      </c>
      <c r="E4995" s="17" t="s">
        <v>1445</v>
      </c>
      <c r="F4995" s="23">
        <v>2362775</v>
      </c>
    </row>
    <row r="4996" spans="1:6" ht="16" customHeight="1" x14ac:dyDescent="0.2">
      <c r="A4996">
        <f>IFERROR(VLOOKUP(C4996,'GASB Match'!$D$2:$F$6042,3,FALSE),"")</f>
        <v>3414880</v>
      </c>
      <c r="B4996" s="17">
        <v>2023</v>
      </c>
      <c r="C4996" s="21" t="s">
        <v>822</v>
      </c>
      <c r="D4996" s="17">
        <v>3039</v>
      </c>
      <c r="E4996" s="17" t="s">
        <v>1445</v>
      </c>
      <c r="F4996" s="23">
        <v>2228277</v>
      </c>
    </row>
    <row r="4997" spans="1:6" ht="16" customHeight="1" x14ac:dyDescent="0.2">
      <c r="A4997">
        <f>IFERROR(VLOOKUP(C4997,'GASB Match'!$D$2:$F$6042,3,FALSE),"")</f>
        <v>3414880</v>
      </c>
      <c r="B4997" s="28">
        <v>2017</v>
      </c>
      <c r="C4997" s="29" t="s">
        <v>141</v>
      </c>
      <c r="D4997" s="17">
        <v>3039</v>
      </c>
      <c r="E4997" s="17" t="s">
        <v>1404</v>
      </c>
      <c r="F4997" s="29">
        <v>620884</v>
      </c>
    </row>
    <row r="4998" spans="1:6" ht="16" customHeight="1" x14ac:dyDescent="0.2">
      <c r="A4998">
        <f>IFERROR(VLOOKUP(C4998,'GASB Match'!$D$2:$F$6042,3,FALSE),"")</f>
        <v>3414940</v>
      </c>
      <c r="B4998" s="17">
        <v>2015</v>
      </c>
      <c r="C4998" s="17" t="s">
        <v>445</v>
      </c>
      <c r="D4998" s="17">
        <v>373</v>
      </c>
      <c r="E4998" s="17" t="s">
        <v>1420</v>
      </c>
      <c r="F4998" s="20">
        <v>288753</v>
      </c>
    </row>
    <row r="4999" spans="1:6" ht="16" customHeight="1" x14ac:dyDescent="0.2">
      <c r="A4999">
        <f>IFERROR(VLOOKUP(C4999,'GASB Match'!$D$2:$F$6042,3,FALSE),"")</f>
        <v>3414940</v>
      </c>
      <c r="B4999" s="17">
        <v>2016</v>
      </c>
      <c r="C4999" s="17" t="s">
        <v>445</v>
      </c>
      <c r="D4999" s="17">
        <v>373</v>
      </c>
      <c r="E4999" s="17" t="s">
        <v>1420</v>
      </c>
      <c r="F4999" s="20">
        <v>426726</v>
      </c>
    </row>
    <row r="5000" spans="1:6" ht="16" customHeight="1" x14ac:dyDescent="0.2">
      <c r="A5000">
        <f>IFERROR(VLOOKUP(C5000,'GASB Match'!$D$2:$F$6042,3,FALSE),"")</f>
        <v>3414940</v>
      </c>
      <c r="B5000" s="17">
        <v>2018</v>
      </c>
      <c r="C5000" s="17" t="s">
        <v>1137</v>
      </c>
      <c r="D5000" s="17">
        <v>373</v>
      </c>
      <c r="E5000" s="17" t="s">
        <v>1463</v>
      </c>
      <c r="F5000" s="20">
        <v>821052</v>
      </c>
    </row>
    <row r="5001" spans="1:6" ht="16" customHeight="1" x14ac:dyDescent="0.2">
      <c r="A5001">
        <f>IFERROR(VLOOKUP(C5001,'GASB Match'!$D$2:$F$6042,3,FALSE),"")</f>
        <v>3414940</v>
      </c>
      <c r="B5001" s="17">
        <v>2019</v>
      </c>
      <c r="C5001" s="17" t="s">
        <v>1137</v>
      </c>
      <c r="D5001" s="17">
        <v>373</v>
      </c>
      <c r="E5001" s="17" t="s">
        <v>1463</v>
      </c>
      <c r="F5001" s="20">
        <v>1120537</v>
      </c>
    </row>
    <row r="5002" spans="1:6" ht="16" customHeight="1" x14ac:dyDescent="0.2">
      <c r="A5002">
        <f>IFERROR(VLOOKUP(C5002,'GASB Match'!$D$2:$F$6042,3,FALSE),"")</f>
        <v>3414940</v>
      </c>
      <c r="B5002" s="17">
        <v>2020</v>
      </c>
      <c r="C5002" s="21" t="s">
        <v>1137</v>
      </c>
      <c r="D5002" s="17">
        <v>373</v>
      </c>
      <c r="E5002" s="17" t="s">
        <v>1463</v>
      </c>
      <c r="F5002" s="23">
        <v>1255214</v>
      </c>
    </row>
    <row r="5003" spans="1:6" ht="16" customHeight="1" x14ac:dyDescent="0.2">
      <c r="A5003">
        <f>IFERROR(VLOOKUP(C5003,'GASB Match'!$D$2:$F$6042,3,FALSE),"")</f>
        <v>3414940</v>
      </c>
      <c r="B5003" s="17">
        <v>2021</v>
      </c>
      <c r="C5003" s="25" t="s">
        <v>1137</v>
      </c>
      <c r="D5003" s="17">
        <v>373</v>
      </c>
      <c r="E5003" s="17" t="s">
        <v>1463</v>
      </c>
      <c r="F5003" s="23">
        <v>1593039</v>
      </c>
    </row>
    <row r="5004" spans="1:6" ht="16" customHeight="1" x14ac:dyDescent="0.2">
      <c r="A5004">
        <f>IFERROR(VLOOKUP(C5004,'GASB Match'!$D$2:$F$6042,3,FALSE),"")</f>
        <v>3414940</v>
      </c>
      <c r="B5004" s="17">
        <v>2022</v>
      </c>
      <c r="C5004" s="21" t="s">
        <v>1137</v>
      </c>
      <c r="D5004" s="17">
        <v>373</v>
      </c>
      <c r="E5004" s="17" t="s">
        <v>1463</v>
      </c>
      <c r="F5004" s="23">
        <v>2207016</v>
      </c>
    </row>
    <row r="5005" spans="1:6" ht="16" customHeight="1" x14ac:dyDescent="0.2">
      <c r="A5005">
        <f>IFERROR(VLOOKUP(C5005,'GASB Match'!$D$2:$F$6042,3,FALSE),"")</f>
        <v>3414940</v>
      </c>
      <c r="B5005" s="17">
        <v>2023</v>
      </c>
      <c r="C5005" s="21" t="s">
        <v>1137</v>
      </c>
      <c r="D5005" s="17">
        <v>373</v>
      </c>
      <c r="E5005" s="17" t="s">
        <v>1463</v>
      </c>
      <c r="F5005" s="23">
        <v>2090983</v>
      </c>
    </row>
    <row r="5006" spans="1:6" ht="16" customHeight="1" x14ac:dyDescent="0.2">
      <c r="A5006">
        <f>IFERROR(VLOOKUP(C5006,'GASB Match'!$D$2:$F$6042,3,FALSE),"")</f>
        <v>3414940</v>
      </c>
      <c r="B5006" s="28">
        <v>2017</v>
      </c>
      <c r="C5006" s="29" t="s">
        <v>445</v>
      </c>
      <c r="D5006" s="17">
        <v>373</v>
      </c>
      <c r="E5006" s="17" t="s">
        <v>1420</v>
      </c>
      <c r="F5006" s="29">
        <v>621651</v>
      </c>
    </row>
    <row r="5007" spans="1:6" ht="16" customHeight="1" x14ac:dyDescent="0.2">
      <c r="A5007">
        <f>IFERROR(VLOOKUP(C5007,'GASB Match'!$D$2:$F$6042,3,FALSE),"")</f>
        <v>3414970</v>
      </c>
      <c r="B5007" s="17">
        <v>2015</v>
      </c>
      <c r="C5007" s="17" t="s">
        <v>446</v>
      </c>
      <c r="D5007" s="17">
        <v>356</v>
      </c>
      <c r="E5007" s="17" t="s">
        <v>1420</v>
      </c>
      <c r="F5007" s="20">
        <v>188810</v>
      </c>
    </row>
    <row r="5008" spans="1:6" ht="16" customHeight="1" x14ac:dyDescent="0.2">
      <c r="A5008">
        <f>IFERROR(VLOOKUP(C5008,'GASB Match'!$D$2:$F$6042,3,FALSE),"")</f>
        <v>3414970</v>
      </c>
      <c r="B5008" s="17">
        <v>2016</v>
      </c>
      <c r="C5008" s="17" t="s">
        <v>446</v>
      </c>
      <c r="D5008" s="17">
        <v>356</v>
      </c>
      <c r="E5008" s="17" t="s">
        <v>1420</v>
      </c>
      <c r="F5008" s="20">
        <v>267814</v>
      </c>
    </row>
    <row r="5009" spans="1:6" ht="16" customHeight="1" x14ac:dyDescent="0.2">
      <c r="A5009">
        <f>IFERROR(VLOOKUP(C5009,'GASB Match'!$D$2:$F$6042,3,FALSE),"")</f>
        <v>3414970</v>
      </c>
      <c r="B5009" s="17">
        <v>2018</v>
      </c>
      <c r="C5009" s="17" t="s">
        <v>1138</v>
      </c>
      <c r="D5009" s="17">
        <v>356</v>
      </c>
      <c r="E5009" s="17" t="s">
        <v>1463</v>
      </c>
      <c r="F5009" s="20">
        <v>555039</v>
      </c>
    </row>
    <row r="5010" spans="1:6" ht="16" customHeight="1" x14ac:dyDescent="0.2">
      <c r="A5010">
        <f>IFERROR(VLOOKUP(C5010,'GASB Match'!$D$2:$F$6042,3,FALSE),"")</f>
        <v>3414970</v>
      </c>
      <c r="B5010" s="17">
        <v>2019</v>
      </c>
      <c r="C5010" s="17" t="s">
        <v>1138</v>
      </c>
      <c r="D5010" s="17">
        <v>356</v>
      </c>
      <c r="E5010" s="17" t="s">
        <v>1463</v>
      </c>
      <c r="F5010" s="20">
        <v>718301</v>
      </c>
    </row>
    <row r="5011" spans="1:6" ht="16" customHeight="1" x14ac:dyDescent="0.2">
      <c r="A5011">
        <f>IFERROR(VLOOKUP(C5011,'GASB Match'!$D$2:$F$6042,3,FALSE),"")</f>
        <v>3414970</v>
      </c>
      <c r="B5011" s="17">
        <v>2020</v>
      </c>
      <c r="C5011" s="21" t="s">
        <v>1138</v>
      </c>
      <c r="D5011" s="17">
        <v>356</v>
      </c>
      <c r="E5011" s="17" t="s">
        <v>1463</v>
      </c>
      <c r="F5011" s="23">
        <v>798781</v>
      </c>
    </row>
    <row r="5012" spans="1:6" ht="16" customHeight="1" x14ac:dyDescent="0.2">
      <c r="A5012">
        <f>IFERROR(VLOOKUP(C5012,'GASB Match'!$D$2:$F$6042,3,FALSE),"")</f>
        <v>3414970</v>
      </c>
      <c r="B5012" s="17">
        <v>2021</v>
      </c>
      <c r="C5012" s="25" t="s">
        <v>1138</v>
      </c>
      <c r="D5012" s="17">
        <v>356</v>
      </c>
      <c r="E5012" s="17" t="s">
        <v>1463</v>
      </c>
      <c r="F5012" s="23">
        <v>1119978</v>
      </c>
    </row>
    <row r="5013" spans="1:6" ht="16" customHeight="1" x14ac:dyDescent="0.2">
      <c r="A5013">
        <f>IFERROR(VLOOKUP(C5013,'GASB Match'!$D$2:$F$6042,3,FALSE),"")</f>
        <v>3414970</v>
      </c>
      <c r="B5013" s="17">
        <v>2022</v>
      </c>
      <c r="C5013" s="21" t="s">
        <v>1138</v>
      </c>
      <c r="D5013" s="17">
        <v>356</v>
      </c>
      <c r="E5013" s="17" t="s">
        <v>1463</v>
      </c>
      <c r="F5013" s="23">
        <v>1581442</v>
      </c>
    </row>
    <row r="5014" spans="1:6" ht="16" customHeight="1" x14ac:dyDescent="0.2">
      <c r="A5014">
        <f>IFERROR(VLOOKUP(C5014,'GASB Match'!$D$2:$F$6042,3,FALSE),"")</f>
        <v>3414970</v>
      </c>
      <c r="B5014" s="17">
        <v>2023</v>
      </c>
      <c r="C5014" s="21" t="s">
        <v>1138</v>
      </c>
      <c r="D5014" s="17">
        <v>356</v>
      </c>
      <c r="E5014" s="17" t="s">
        <v>1463</v>
      </c>
      <c r="F5014" s="23">
        <v>1641601</v>
      </c>
    </row>
    <row r="5015" spans="1:6" ht="16" customHeight="1" x14ac:dyDescent="0.2">
      <c r="A5015">
        <f>IFERROR(VLOOKUP(C5015,'GASB Match'!$D$2:$F$6042,3,FALSE),"")</f>
        <v>3414970</v>
      </c>
      <c r="B5015" s="28">
        <v>2017</v>
      </c>
      <c r="C5015" s="29" t="s">
        <v>446</v>
      </c>
      <c r="D5015" s="17">
        <v>356</v>
      </c>
      <c r="E5015" s="17" t="s">
        <v>1420</v>
      </c>
      <c r="F5015" s="29">
        <v>396678</v>
      </c>
    </row>
    <row r="5016" spans="1:6" ht="16" customHeight="1" x14ac:dyDescent="0.2">
      <c r="A5016">
        <f>IFERROR(VLOOKUP(C5016,'GASB Match'!$D$2:$F$6042,3,FALSE),"")</f>
        <v>3400036</v>
      </c>
      <c r="B5016" s="17">
        <v>2015</v>
      </c>
      <c r="C5016" s="17" t="s">
        <v>320</v>
      </c>
      <c r="D5016" s="17">
        <v>8087</v>
      </c>
      <c r="E5016" s="17" t="s">
        <v>1413</v>
      </c>
      <c r="F5016" s="20">
        <v>56075</v>
      </c>
    </row>
    <row r="5017" spans="1:6" ht="16" customHeight="1" x14ac:dyDescent="0.2">
      <c r="A5017">
        <f>IFERROR(VLOOKUP(C5017,'GASB Match'!$D$2:$F$6042,3,FALSE),"")</f>
        <v>3400036</v>
      </c>
      <c r="B5017" s="17">
        <v>2016</v>
      </c>
      <c r="C5017" s="17" t="s">
        <v>320</v>
      </c>
      <c r="D5017" s="17">
        <v>8087</v>
      </c>
      <c r="E5017" s="17" t="s">
        <v>1413</v>
      </c>
      <c r="F5017" s="20">
        <v>84313</v>
      </c>
    </row>
    <row r="5018" spans="1:6" ht="16" customHeight="1" x14ac:dyDescent="0.2">
      <c r="A5018">
        <f>IFERROR(VLOOKUP(C5018,'GASB Match'!$D$2:$F$6042,3,FALSE),"")</f>
        <v>3400036</v>
      </c>
      <c r="B5018" s="17">
        <v>2018</v>
      </c>
      <c r="C5018" s="17" t="s">
        <v>1013</v>
      </c>
      <c r="D5018" s="17">
        <v>8087</v>
      </c>
      <c r="E5018" s="17" t="s">
        <v>1456</v>
      </c>
      <c r="F5018" s="20">
        <v>166121</v>
      </c>
    </row>
    <row r="5019" spans="1:6" ht="16" customHeight="1" x14ac:dyDescent="0.2">
      <c r="A5019">
        <f>IFERROR(VLOOKUP(C5019,'GASB Match'!$D$2:$F$6042,3,FALSE),"")</f>
        <v>3400036</v>
      </c>
      <c r="B5019" s="17">
        <v>2019</v>
      </c>
      <c r="C5019" s="17" t="s">
        <v>1013</v>
      </c>
      <c r="D5019" s="17">
        <v>8087</v>
      </c>
      <c r="E5019" s="17" t="s">
        <v>1456</v>
      </c>
      <c r="F5019" s="20">
        <v>232252</v>
      </c>
    </row>
    <row r="5020" spans="1:6" ht="16" customHeight="1" x14ac:dyDescent="0.2">
      <c r="A5020">
        <f>IFERROR(VLOOKUP(C5020,'GASB Match'!$D$2:$F$6042,3,FALSE),"")</f>
        <v>3400036</v>
      </c>
      <c r="B5020" s="17">
        <v>2020</v>
      </c>
      <c r="C5020" s="21" t="s">
        <v>1013</v>
      </c>
      <c r="D5020" s="17">
        <v>8087</v>
      </c>
      <c r="E5020" s="17" t="s">
        <v>1456</v>
      </c>
      <c r="F5020" s="23">
        <v>272529</v>
      </c>
    </row>
    <row r="5021" spans="1:6" ht="16" customHeight="1" x14ac:dyDescent="0.2">
      <c r="A5021">
        <f>IFERROR(VLOOKUP(C5021,'GASB Match'!$D$2:$F$6042,3,FALSE),"")</f>
        <v>3400036</v>
      </c>
      <c r="B5021" s="17">
        <v>2021</v>
      </c>
      <c r="C5021" s="25" t="s">
        <v>1013</v>
      </c>
      <c r="D5021" s="17">
        <v>8087</v>
      </c>
      <c r="E5021" s="17" t="s">
        <v>1456</v>
      </c>
      <c r="F5021" s="23">
        <v>362554</v>
      </c>
    </row>
    <row r="5022" spans="1:6" ht="16" customHeight="1" x14ac:dyDescent="0.2">
      <c r="A5022">
        <f>IFERROR(VLOOKUP(C5022,'GASB Match'!$D$2:$F$6042,3,FALSE),"")</f>
        <v>3400036</v>
      </c>
      <c r="B5022" s="17">
        <v>2022</v>
      </c>
      <c r="C5022" s="21" t="s">
        <v>1013</v>
      </c>
      <c r="D5022" s="17">
        <v>8087</v>
      </c>
      <c r="E5022" s="17" t="s">
        <v>1456</v>
      </c>
      <c r="F5022" s="23">
        <v>514306</v>
      </c>
    </row>
    <row r="5023" spans="1:6" ht="16" customHeight="1" x14ac:dyDescent="0.2">
      <c r="A5023">
        <f>IFERROR(VLOOKUP(C5023,'GASB Match'!$D$2:$F$6042,3,FALSE),"")</f>
        <v>3400036</v>
      </c>
      <c r="B5023" s="17">
        <v>2023</v>
      </c>
      <c r="C5023" s="21" t="s">
        <v>1013</v>
      </c>
      <c r="D5023" s="17">
        <v>8087</v>
      </c>
      <c r="E5023" s="17" t="s">
        <v>1456</v>
      </c>
      <c r="F5023" s="23">
        <v>469369</v>
      </c>
    </row>
    <row r="5024" spans="1:6" ht="16" customHeight="1" x14ac:dyDescent="0.2">
      <c r="A5024">
        <f>IFERROR(VLOOKUP(C5024,'GASB Match'!$D$2:$F$6042,3,FALSE),"")</f>
        <v>3400036</v>
      </c>
      <c r="B5024" s="28">
        <v>2017</v>
      </c>
      <c r="C5024" s="29" t="s">
        <v>320</v>
      </c>
      <c r="D5024" s="17">
        <v>8087</v>
      </c>
      <c r="E5024" s="17" t="s">
        <v>1413</v>
      </c>
      <c r="F5024" s="29">
        <v>115387</v>
      </c>
    </row>
    <row r="5025" spans="1:6" ht="16" customHeight="1" x14ac:dyDescent="0.2">
      <c r="A5025">
        <f>IFERROR(VLOOKUP(C5025,'GASB Match'!$D$2:$F$6042,3,FALSE),"")</f>
        <v>3415000</v>
      </c>
      <c r="B5025" s="17">
        <v>2015</v>
      </c>
      <c r="C5025" s="17" t="s">
        <v>188</v>
      </c>
      <c r="D5025" s="17">
        <v>4067</v>
      </c>
      <c r="E5025" s="17" t="s">
        <v>1405</v>
      </c>
      <c r="F5025" s="20">
        <v>164874</v>
      </c>
    </row>
    <row r="5026" spans="1:6" ht="16" customHeight="1" x14ac:dyDescent="0.2">
      <c r="A5026">
        <f>IFERROR(VLOOKUP(C5026,'GASB Match'!$D$2:$F$6042,3,FALSE),"")</f>
        <v>3415000</v>
      </c>
      <c r="B5026" s="17">
        <v>2016</v>
      </c>
      <c r="C5026" s="17" t="s">
        <v>188</v>
      </c>
      <c r="D5026" s="17">
        <v>4067</v>
      </c>
      <c r="E5026" s="17" t="s">
        <v>1405</v>
      </c>
      <c r="F5026" s="20">
        <v>241412</v>
      </c>
    </row>
    <row r="5027" spans="1:6" ht="16" customHeight="1" x14ac:dyDescent="0.2">
      <c r="A5027">
        <f>IFERROR(VLOOKUP(C5027,'GASB Match'!$D$2:$F$6042,3,FALSE),"")</f>
        <v>3415000</v>
      </c>
      <c r="B5027" s="17">
        <v>2018</v>
      </c>
      <c r="C5027" s="17" t="s">
        <v>871</v>
      </c>
      <c r="D5027" s="17">
        <v>4067</v>
      </c>
      <c r="E5027" s="17" t="s">
        <v>1446</v>
      </c>
      <c r="F5027" s="20">
        <v>474739</v>
      </c>
    </row>
    <row r="5028" spans="1:6" ht="16" customHeight="1" x14ac:dyDescent="0.2">
      <c r="A5028">
        <f>IFERROR(VLOOKUP(C5028,'GASB Match'!$D$2:$F$6042,3,FALSE),"")</f>
        <v>3415000</v>
      </c>
      <c r="B5028" s="17">
        <v>2019</v>
      </c>
      <c r="C5028" s="17" t="s">
        <v>871</v>
      </c>
      <c r="D5028" s="17">
        <v>4067</v>
      </c>
      <c r="E5028" s="17" t="s">
        <v>1446</v>
      </c>
      <c r="F5028" s="20">
        <v>690618</v>
      </c>
    </row>
    <row r="5029" spans="1:6" ht="16" customHeight="1" x14ac:dyDescent="0.2">
      <c r="A5029">
        <f>IFERROR(VLOOKUP(C5029,'GASB Match'!$D$2:$F$6042,3,FALSE),"")</f>
        <v>3415000</v>
      </c>
      <c r="B5029" s="17">
        <v>2020</v>
      </c>
      <c r="C5029" s="21" t="s">
        <v>871</v>
      </c>
      <c r="D5029" s="17">
        <v>4067</v>
      </c>
      <c r="E5029" s="17" t="s">
        <v>1446</v>
      </c>
      <c r="F5029" s="23">
        <v>793504</v>
      </c>
    </row>
    <row r="5030" spans="1:6" ht="16" customHeight="1" x14ac:dyDescent="0.2">
      <c r="A5030">
        <f>IFERROR(VLOOKUP(C5030,'GASB Match'!$D$2:$F$6042,3,FALSE),"")</f>
        <v>3415000</v>
      </c>
      <c r="B5030" s="17">
        <v>2021</v>
      </c>
      <c r="C5030" s="25" t="s">
        <v>871</v>
      </c>
      <c r="D5030" s="17">
        <v>4067</v>
      </c>
      <c r="E5030" s="17" t="s">
        <v>1446</v>
      </c>
      <c r="F5030" s="23">
        <v>1031327</v>
      </c>
    </row>
    <row r="5031" spans="1:6" ht="16" customHeight="1" x14ac:dyDescent="0.2">
      <c r="A5031">
        <f>IFERROR(VLOOKUP(C5031,'GASB Match'!$D$2:$F$6042,3,FALSE),"")</f>
        <v>3415000</v>
      </c>
      <c r="B5031" s="17">
        <v>2022</v>
      </c>
      <c r="C5031" s="21" t="s">
        <v>871</v>
      </c>
      <c r="D5031" s="17">
        <v>4067</v>
      </c>
      <c r="E5031" s="17" t="s">
        <v>1446</v>
      </c>
      <c r="F5031" s="23">
        <v>1403840</v>
      </c>
    </row>
    <row r="5032" spans="1:6" ht="16" customHeight="1" x14ac:dyDescent="0.2">
      <c r="A5032">
        <f>IFERROR(VLOOKUP(C5032,'GASB Match'!$D$2:$F$6042,3,FALSE),"")</f>
        <v>3415000</v>
      </c>
      <c r="B5032" s="17">
        <v>2023</v>
      </c>
      <c r="C5032" s="21" t="s">
        <v>871</v>
      </c>
      <c r="D5032" s="17">
        <v>4067</v>
      </c>
      <c r="E5032" s="17" t="s">
        <v>1446</v>
      </c>
      <c r="F5032" s="23">
        <v>1389359</v>
      </c>
    </row>
    <row r="5033" spans="1:6" ht="16" customHeight="1" x14ac:dyDescent="0.2">
      <c r="A5033">
        <f>IFERROR(VLOOKUP(C5033,'GASB Match'!$D$2:$F$6042,3,FALSE),"")</f>
        <v>3415000</v>
      </c>
      <c r="B5033" s="28">
        <v>2017</v>
      </c>
      <c r="C5033" s="29" t="s">
        <v>188</v>
      </c>
      <c r="D5033" s="17">
        <v>4067</v>
      </c>
      <c r="E5033" s="17" t="s">
        <v>1405</v>
      </c>
      <c r="F5033" s="29">
        <v>359790</v>
      </c>
    </row>
    <row r="5034" spans="1:6" ht="16" customHeight="1" x14ac:dyDescent="0.2">
      <c r="A5034">
        <f>IFERROR(VLOOKUP(C5034,'GASB Match'!$D$2:$F$6042,3,FALSE),"")</f>
        <v>3415030</v>
      </c>
      <c r="B5034" s="17">
        <v>2015</v>
      </c>
      <c r="C5034" s="17" t="s">
        <v>23</v>
      </c>
      <c r="D5034" s="17">
        <v>1092</v>
      </c>
      <c r="E5034" s="17" t="s">
        <v>1400</v>
      </c>
      <c r="F5034" s="20">
        <v>384914</v>
      </c>
    </row>
    <row r="5035" spans="1:6" ht="16" customHeight="1" x14ac:dyDescent="0.2">
      <c r="A5035">
        <f>IFERROR(VLOOKUP(C5035,'GASB Match'!$D$2:$F$6042,3,FALSE),"")</f>
        <v>3415030</v>
      </c>
      <c r="B5035" s="17">
        <v>2016</v>
      </c>
      <c r="C5035" s="17" t="s">
        <v>23</v>
      </c>
      <c r="D5035" s="17">
        <v>1092</v>
      </c>
      <c r="E5035" s="17" t="s">
        <v>1400</v>
      </c>
      <c r="F5035" s="20">
        <v>550291</v>
      </c>
    </row>
    <row r="5036" spans="1:6" ht="16" customHeight="1" x14ac:dyDescent="0.2">
      <c r="A5036">
        <f>IFERROR(VLOOKUP(C5036,'GASB Match'!$D$2:$F$6042,3,FALSE),"")</f>
        <v>3415030</v>
      </c>
      <c r="B5036" s="17">
        <v>2018</v>
      </c>
      <c r="C5036" s="17" t="s">
        <v>702</v>
      </c>
      <c r="D5036" s="17">
        <v>1092</v>
      </c>
      <c r="E5036" s="17" t="s">
        <v>1441</v>
      </c>
      <c r="F5036" s="20">
        <v>1065279</v>
      </c>
    </row>
    <row r="5037" spans="1:6" ht="16" customHeight="1" x14ac:dyDescent="0.2">
      <c r="A5037">
        <f>IFERROR(VLOOKUP(C5037,'GASB Match'!$D$2:$F$6042,3,FALSE),"")</f>
        <v>3415030</v>
      </c>
      <c r="B5037" s="17">
        <v>2019</v>
      </c>
      <c r="C5037" s="17" t="s">
        <v>702</v>
      </c>
      <c r="D5037" s="17">
        <v>1092</v>
      </c>
      <c r="E5037" s="17" t="s">
        <v>1441</v>
      </c>
      <c r="F5037" s="20">
        <v>1419061</v>
      </c>
    </row>
    <row r="5038" spans="1:6" ht="16" customHeight="1" x14ac:dyDescent="0.2">
      <c r="A5038">
        <f>IFERROR(VLOOKUP(C5038,'GASB Match'!$D$2:$F$6042,3,FALSE),"")</f>
        <v>3415030</v>
      </c>
      <c r="B5038" s="17">
        <v>2020</v>
      </c>
      <c r="C5038" s="21" t="s">
        <v>702</v>
      </c>
      <c r="D5038" s="17">
        <v>1092</v>
      </c>
      <c r="E5038" s="17" t="s">
        <v>1441</v>
      </c>
      <c r="F5038" s="23">
        <v>1648212</v>
      </c>
    </row>
    <row r="5039" spans="1:6" ht="16" customHeight="1" x14ac:dyDescent="0.2">
      <c r="A5039">
        <f>IFERROR(VLOOKUP(C5039,'GASB Match'!$D$2:$F$6042,3,FALSE),"")</f>
        <v>3415030</v>
      </c>
      <c r="B5039" s="17">
        <v>2021</v>
      </c>
      <c r="C5039" s="25" t="s">
        <v>702</v>
      </c>
      <c r="D5039" s="17">
        <v>1092</v>
      </c>
      <c r="E5039" s="17" t="s">
        <v>1441</v>
      </c>
      <c r="F5039" s="23">
        <v>2134944</v>
      </c>
    </row>
    <row r="5040" spans="1:6" ht="16" customHeight="1" x14ac:dyDescent="0.2">
      <c r="A5040">
        <f>IFERROR(VLOOKUP(C5040,'GASB Match'!$D$2:$F$6042,3,FALSE),"")</f>
        <v>3415030</v>
      </c>
      <c r="B5040" s="17">
        <v>2022</v>
      </c>
      <c r="C5040" s="21" t="s">
        <v>702</v>
      </c>
      <c r="D5040" s="17">
        <v>1092</v>
      </c>
      <c r="E5040" s="17" t="s">
        <v>1441</v>
      </c>
      <c r="F5040" s="23">
        <v>3007507</v>
      </c>
    </row>
    <row r="5041" spans="1:6" ht="16" customHeight="1" x14ac:dyDescent="0.2">
      <c r="A5041">
        <f>IFERROR(VLOOKUP(C5041,'GASB Match'!$D$2:$F$6042,3,FALSE),"")</f>
        <v>3415030</v>
      </c>
      <c r="B5041" s="17">
        <v>2023</v>
      </c>
      <c r="C5041" s="21" t="s">
        <v>702</v>
      </c>
      <c r="D5041" s="17">
        <v>1092</v>
      </c>
      <c r="E5041" s="17" t="s">
        <v>1441</v>
      </c>
      <c r="F5041" s="23">
        <v>2912496</v>
      </c>
    </row>
    <row r="5042" spans="1:6" ht="16" customHeight="1" x14ac:dyDescent="0.2">
      <c r="A5042">
        <f>IFERROR(VLOOKUP(C5042,'GASB Match'!$D$2:$F$6042,3,FALSE),"")</f>
        <v>3415030</v>
      </c>
      <c r="B5042" s="28">
        <v>2017</v>
      </c>
      <c r="C5042" s="29" t="s">
        <v>23</v>
      </c>
      <c r="D5042" s="17">
        <v>1092</v>
      </c>
      <c r="E5042" s="17" t="s">
        <v>1400</v>
      </c>
      <c r="F5042" s="29">
        <v>842756</v>
      </c>
    </row>
    <row r="5043" spans="1:6" ht="16" customHeight="1" x14ac:dyDescent="0.2">
      <c r="A5043">
        <f>IFERROR(VLOOKUP(C5043,'GASB Match'!$D$2:$F$6042,3,FALSE),"")</f>
        <v>3480280</v>
      </c>
      <c r="B5043" s="17">
        <v>2015</v>
      </c>
      <c r="C5043" s="17" t="s">
        <v>575</v>
      </c>
      <c r="D5043" s="17">
        <v>764</v>
      </c>
      <c r="E5043" s="17" t="s">
        <v>1425</v>
      </c>
      <c r="F5043" s="20">
        <v>136336</v>
      </c>
    </row>
    <row r="5044" spans="1:6" ht="16" customHeight="1" x14ac:dyDescent="0.2">
      <c r="A5044">
        <f>IFERROR(VLOOKUP(C5044,'GASB Match'!$D$2:$F$6042,3,FALSE),"")</f>
        <v>3480280</v>
      </c>
      <c r="B5044" s="17">
        <v>2016</v>
      </c>
      <c r="C5044" s="17" t="s">
        <v>575</v>
      </c>
      <c r="D5044" s="17">
        <v>764</v>
      </c>
      <c r="E5044" s="17" t="s">
        <v>1425</v>
      </c>
      <c r="F5044" s="20">
        <v>212922</v>
      </c>
    </row>
    <row r="5045" spans="1:6" ht="16" customHeight="1" x14ac:dyDescent="0.2">
      <c r="A5045">
        <f>IFERROR(VLOOKUP(C5045,'GASB Match'!$D$2:$F$6042,3,FALSE),"")</f>
        <v>3480280</v>
      </c>
      <c r="B5045" s="17">
        <v>2018</v>
      </c>
      <c r="C5045" s="17" t="s">
        <v>1267</v>
      </c>
      <c r="D5045" s="17">
        <v>764</v>
      </c>
      <c r="E5045" s="17" t="s">
        <v>1468</v>
      </c>
      <c r="F5045" s="20">
        <v>391383</v>
      </c>
    </row>
    <row r="5046" spans="1:6" ht="16" customHeight="1" x14ac:dyDescent="0.2">
      <c r="A5046">
        <f>IFERROR(VLOOKUP(C5046,'GASB Match'!$D$2:$F$6042,3,FALSE),"")</f>
        <v>3480280</v>
      </c>
      <c r="B5046" s="17">
        <v>2019</v>
      </c>
      <c r="C5046" s="17" t="s">
        <v>1267</v>
      </c>
      <c r="D5046" s="17">
        <v>764</v>
      </c>
      <c r="E5046" s="17" t="s">
        <v>1468</v>
      </c>
      <c r="F5046" s="20">
        <v>540045</v>
      </c>
    </row>
    <row r="5047" spans="1:6" ht="16" customHeight="1" x14ac:dyDescent="0.2">
      <c r="A5047">
        <f>IFERROR(VLOOKUP(C5047,'GASB Match'!$D$2:$F$6042,3,FALSE),"")</f>
        <v>3480280</v>
      </c>
      <c r="B5047" s="17">
        <v>2020</v>
      </c>
      <c r="C5047" s="21" t="s">
        <v>1267</v>
      </c>
      <c r="D5047" s="17">
        <v>764</v>
      </c>
      <c r="E5047" s="17" t="s">
        <v>1468</v>
      </c>
      <c r="F5047" s="23">
        <v>586693</v>
      </c>
    </row>
    <row r="5048" spans="1:6" ht="16" customHeight="1" x14ac:dyDescent="0.2">
      <c r="A5048">
        <f>IFERROR(VLOOKUP(C5048,'GASB Match'!$D$2:$F$6042,3,FALSE),"")</f>
        <v>3480280</v>
      </c>
      <c r="B5048" s="17">
        <v>2021</v>
      </c>
      <c r="C5048" s="25" t="s">
        <v>1267</v>
      </c>
      <c r="D5048" s="17">
        <v>764</v>
      </c>
      <c r="E5048" s="17" t="s">
        <v>1468</v>
      </c>
      <c r="F5048" s="23">
        <v>778990</v>
      </c>
    </row>
    <row r="5049" spans="1:6" ht="16" customHeight="1" x14ac:dyDescent="0.2">
      <c r="A5049">
        <f>IFERROR(VLOOKUP(C5049,'GASB Match'!$D$2:$F$6042,3,FALSE),"")</f>
        <v>3480280</v>
      </c>
      <c r="B5049" s="17">
        <v>2022</v>
      </c>
      <c r="C5049" s="21" t="s">
        <v>1267</v>
      </c>
      <c r="D5049" s="17">
        <v>764</v>
      </c>
      <c r="E5049" s="17" t="s">
        <v>1468</v>
      </c>
      <c r="F5049" s="23">
        <v>1028413</v>
      </c>
    </row>
    <row r="5050" spans="1:6" ht="16" customHeight="1" x14ac:dyDescent="0.2">
      <c r="A5050">
        <f>IFERROR(VLOOKUP(C5050,'GASB Match'!$D$2:$F$6042,3,FALSE),"")</f>
        <v>3480280</v>
      </c>
      <c r="B5050" s="17">
        <v>2023</v>
      </c>
      <c r="C5050" s="21" t="s">
        <v>1267</v>
      </c>
      <c r="D5050" s="17">
        <v>764</v>
      </c>
      <c r="E5050" s="17" t="s">
        <v>1468</v>
      </c>
      <c r="F5050" s="23">
        <v>879481</v>
      </c>
    </row>
    <row r="5051" spans="1:6" ht="16" customHeight="1" x14ac:dyDescent="0.2">
      <c r="A5051">
        <f>IFERROR(VLOOKUP(C5051,'GASB Match'!$D$2:$F$6042,3,FALSE),"")</f>
        <v>3480280</v>
      </c>
      <c r="B5051" s="28">
        <v>2017</v>
      </c>
      <c r="C5051" s="29" t="s">
        <v>575</v>
      </c>
      <c r="D5051" s="17">
        <v>764</v>
      </c>
      <c r="E5051" s="17" t="s">
        <v>1425</v>
      </c>
      <c r="F5051" s="29">
        <v>321966</v>
      </c>
    </row>
    <row r="5052" spans="1:6" ht="16" customHeight="1" x14ac:dyDescent="0.2">
      <c r="A5052">
        <f>IFERROR(VLOOKUP(C5052,'GASB Match'!$D$2:$F$6042,3,FALSE),"")</f>
        <v>3415060</v>
      </c>
      <c r="B5052" s="17">
        <v>2015</v>
      </c>
      <c r="C5052" s="17" t="s">
        <v>576</v>
      </c>
      <c r="D5052" s="17">
        <v>990</v>
      </c>
      <c r="E5052" s="17" t="s">
        <v>1425</v>
      </c>
      <c r="F5052" s="20">
        <v>262697</v>
      </c>
    </row>
    <row r="5053" spans="1:6" ht="16" customHeight="1" x14ac:dyDescent="0.2">
      <c r="A5053">
        <f>IFERROR(VLOOKUP(C5053,'GASB Match'!$D$2:$F$6042,3,FALSE),"")</f>
        <v>3415060</v>
      </c>
      <c r="B5053" s="17">
        <v>2016</v>
      </c>
      <c r="C5053" s="17" t="s">
        <v>576</v>
      </c>
      <c r="D5053" s="17">
        <v>990</v>
      </c>
      <c r="E5053" s="17" t="s">
        <v>1425</v>
      </c>
      <c r="F5053" s="20">
        <v>379840</v>
      </c>
    </row>
    <row r="5054" spans="1:6" ht="16" customHeight="1" x14ac:dyDescent="0.2">
      <c r="A5054">
        <f>IFERROR(VLOOKUP(C5054,'GASB Match'!$D$2:$F$6042,3,FALSE),"")</f>
        <v>3415060</v>
      </c>
      <c r="B5054" s="17">
        <v>2018</v>
      </c>
      <c r="C5054" s="17" t="s">
        <v>1268</v>
      </c>
      <c r="D5054" s="17">
        <v>990</v>
      </c>
      <c r="E5054" s="17" t="s">
        <v>1468</v>
      </c>
      <c r="F5054" s="20">
        <v>786643</v>
      </c>
    </row>
    <row r="5055" spans="1:6" ht="16" customHeight="1" x14ac:dyDescent="0.2">
      <c r="A5055">
        <f>IFERROR(VLOOKUP(C5055,'GASB Match'!$D$2:$F$6042,3,FALSE),"")</f>
        <v>3415060</v>
      </c>
      <c r="B5055" s="17">
        <v>2019</v>
      </c>
      <c r="C5055" s="17" t="s">
        <v>1268</v>
      </c>
      <c r="D5055" s="17">
        <v>990</v>
      </c>
      <c r="E5055" s="17" t="s">
        <v>1468</v>
      </c>
      <c r="F5055" s="20">
        <v>1093102</v>
      </c>
    </row>
    <row r="5056" spans="1:6" ht="16" customHeight="1" x14ac:dyDescent="0.2">
      <c r="A5056">
        <f>IFERROR(VLOOKUP(C5056,'GASB Match'!$D$2:$F$6042,3,FALSE),"")</f>
        <v>3415060</v>
      </c>
      <c r="B5056" s="17">
        <v>2020</v>
      </c>
      <c r="C5056" s="21" t="s">
        <v>1268</v>
      </c>
      <c r="D5056" s="17">
        <v>990</v>
      </c>
      <c r="E5056" s="17" t="s">
        <v>1468</v>
      </c>
      <c r="F5056" s="23">
        <v>1276840</v>
      </c>
    </row>
    <row r="5057" spans="1:6" ht="16" customHeight="1" x14ac:dyDescent="0.2">
      <c r="A5057">
        <f>IFERROR(VLOOKUP(C5057,'GASB Match'!$D$2:$F$6042,3,FALSE),"")</f>
        <v>3415060</v>
      </c>
      <c r="B5057" s="17">
        <v>2021</v>
      </c>
      <c r="C5057" s="25" t="s">
        <v>1268</v>
      </c>
      <c r="D5057" s="17">
        <v>990</v>
      </c>
      <c r="E5057" s="17" t="s">
        <v>1468</v>
      </c>
      <c r="F5057" s="23">
        <v>1641643</v>
      </c>
    </row>
    <row r="5058" spans="1:6" ht="16" customHeight="1" x14ac:dyDescent="0.2">
      <c r="A5058">
        <f>IFERROR(VLOOKUP(C5058,'GASB Match'!$D$2:$F$6042,3,FALSE),"")</f>
        <v>3415060</v>
      </c>
      <c r="B5058" s="17">
        <v>2022</v>
      </c>
      <c r="C5058" s="21" t="s">
        <v>1268</v>
      </c>
      <c r="D5058" s="17">
        <v>990</v>
      </c>
      <c r="E5058" s="17" t="s">
        <v>1468</v>
      </c>
      <c r="F5058" s="23">
        <v>2274733</v>
      </c>
    </row>
    <row r="5059" spans="1:6" ht="16" customHeight="1" x14ac:dyDescent="0.2">
      <c r="A5059">
        <f>IFERROR(VLOOKUP(C5059,'GASB Match'!$D$2:$F$6042,3,FALSE),"")</f>
        <v>3415060</v>
      </c>
      <c r="B5059" s="17">
        <v>2023</v>
      </c>
      <c r="C5059" s="21" t="s">
        <v>1268</v>
      </c>
      <c r="D5059" s="17">
        <v>990</v>
      </c>
      <c r="E5059" s="17" t="s">
        <v>1468</v>
      </c>
      <c r="F5059" s="23">
        <v>2283012</v>
      </c>
    </row>
    <row r="5060" spans="1:6" ht="16" customHeight="1" x14ac:dyDescent="0.2">
      <c r="A5060">
        <f>IFERROR(VLOOKUP(C5060,'GASB Match'!$D$2:$F$6042,3,FALSE),"")</f>
        <v>3415060</v>
      </c>
      <c r="B5060" s="28">
        <v>2017</v>
      </c>
      <c r="C5060" s="29" t="s">
        <v>576</v>
      </c>
      <c r="D5060" s="17">
        <v>990</v>
      </c>
      <c r="E5060" s="17" t="s">
        <v>1425</v>
      </c>
      <c r="F5060" s="29">
        <v>598316</v>
      </c>
    </row>
    <row r="5061" spans="1:6" ht="16" customHeight="1" x14ac:dyDescent="0.2">
      <c r="A5061">
        <f>IFERROR(VLOOKUP(C5061,'GASB Match'!$D$2:$F$6042,3,FALSE),"")</f>
        <v>3400009</v>
      </c>
      <c r="B5061" s="17">
        <v>2015</v>
      </c>
      <c r="C5061" s="17" t="s">
        <v>577</v>
      </c>
      <c r="D5061" s="17">
        <v>761</v>
      </c>
      <c r="E5061" s="17" t="s">
        <v>1425</v>
      </c>
      <c r="F5061" s="20">
        <v>834949</v>
      </c>
    </row>
    <row r="5062" spans="1:6" ht="16" customHeight="1" x14ac:dyDescent="0.2">
      <c r="A5062">
        <f>IFERROR(VLOOKUP(C5062,'GASB Match'!$D$2:$F$6042,3,FALSE),"")</f>
        <v>3400009</v>
      </c>
      <c r="B5062" s="17">
        <v>2016</v>
      </c>
      <c r="C5062" s="17" t="s">
        <v>577</v>
      </c>
      <c r="D5062" s="17">
        <v>761</v>
      </c>
      <c r="E5062" s="17" t="s">
        <v>1425</v>
      </c>
      <c r="F5062" s="20">
        <v>1213563</v>
      </c>
    </row>
    <row r="5063" spans="1:6" ht="16" customHeight="1" x14ac:dyDescent="0.2">
      <c r="A5063">
        <f>IFERROR(VLOOKUP(C5063,'GASB Match'!$D$2:$F$6042,3,FALSE),"")</f>
        <v>3400009</v>
      </c>
      <c r="B5063" s="17">
        <v>2018</v>
      </c>
      <c r="C5063" s="17" t="s">
        <v>1269</v>
      </c>
      <c r="D5063" s="17">
        <v>761</v>
      </c>
      <c r="E5063" s="17" t="s">
        <v>1468</v>
      </c>
      <c r="F5063" s="20">
        <v>2273621</v>
      </c>
    </row>
    <row r="5064" spans="1:6" ht="16" customHeight="1" x14ac:dyDescent="0.2">
      <c r="A5064">
        <f>IFERROR(VLOOKUP(C5064,'GASB Match'!$D$2:$F$6042,3,FALSE),"")</f>
        <v>3400009</v>
      </c>
      <c r="B5064" s="17">
        <v>2019</v>
      </c>
      <c r="C5064" s="17" t="s">
        <v>1269</v>
      </c>
      <c r="D5064" s="17">
        <v>761</v>
      </c>
      <c r="E5064" s="17" t="s">
        <v>1468</v>
      </c>
      <c r="F5064" s="20">
        <v>3028444</v>
      </c>
    </row>
    <row r="5065" spans="1:6" ht="16" customHeight="1" x14ac:dyDescent="0.2">
      <c r="A5065">
        <f>IFERROR(VLOOKUP(C5065,'GASB Match'!$D$2:$F$6042,3,FALSE),"")</f>
        <v>3400009</v>
      </c>
      <c r="B5065" s="17">
        <v>2020</v>
      </c>
      <c r="C5065" s="21" t="s">
        <v>1269</v>
      </c>
      <c r="D5065" s="17">
        <v>761</v>
      </c>
      <c r="E5065" s="17" t="s">
        <v>1468</v>
      </c>
      <c r="F5065" s="23">
        <v>3476476</v>
      </c>
    </row>
    <row r="5066" spans="1:6" ht="16" customHeight="1" x14ac:dyDescent="0.2">
      <c r="A5066">
        <f>IFERROR(VLOOKUP(C5066,'GASB Match'!$D$2:$F$6042,3,FALSE),"")</f>
        <v>3400009</v>
      </c>
      <c r="B5066" s="17">
        <v>2021</v>
      </c>
      <c r="C5066" s="25" t="s">
        <v>1269</v>
      </c>
      <c r="D5066" s="17">
        <v>761</v>
      </c>
      <c r="E5066" s="17" t="s">
        <v>1468</v>
      </c>
      <c r="F5066" s="23">
        <v>4328495</v>
      </c>
    </row>
    <row r="5067" spans="1:6" ht="16" customHeight="1" x14ac:dyDescent="0.2">
      <c r="A5067">
        <f>IFERROR(VLOOKUP(C5067,'GASB Match'!$D$2:$F$6042,3,FALSE),"")</f>
        <v>3400009</v>
      </c>
      <c r="B5067" s="17">
        <v>2022</v>
      </c>
      <c r="C5067" s="21" t="s">
        <v>1269</v>
      </c>
      <c r="D5067" s="17">
        <v>761</v>
      </c>
      <c r="E5067" s="17" t="s">
        <v>1468</v>
      </c>
      <c r="F5067" s="23">
        <v>6361661</v>
      </c>
    </row>
    <row r="5068" spans="1:6" ht="16" customHeight="1" x14ac:dyDescent="0.2">
      <c r="A5068">
        <f>IFERROR(VLOOKUP(C5068,'GASB Match'!$D$2:$F$6042,3,FALSE),"")</f>
        <v>3400009</v>
      </c>
      <c r="B5068" s="17">
        <v>2023</v>
      </c>
      <c r="C5068" s="21" t="s">
        <v>1269</v>
      </c>
      <c r="D5068" s="17">
        <v>761</v>
      </c>
      <c r="E5068" s="17" t="s">
        <v>1468</v>
      </c>
      <c r="F5068" s="23">
        <v>6205942</v>
      </c>
    </row>
    <row r="5069" spans="1:6" ht="16" customHeight="1" x14ac:dyDescent="0.2">
      <c r="A5069">
        <f>IFERROR(VLOOKUP(C5069,'GASB Match'!$D$2:$F$6042,3,FALSE),"")</f>
        <v>3400009</v>
      </c>
      <c r="B5069" s="28">
        <v>2017</v>
      </c>
      <c r="C5069" s="29" t="s">
        <v>577</v>
      </c>
      <c r="D5069" s="17">
        <v>761</v>
      </c>
      <c r="E5069" s="17" t="s">
        <v>1425</v>
      </c>
      <c r="F5069" s="29">
        <v>1686637</v>
      </c>
    </row>
    <row r="5070" spans="1:6" ht="16" customHeight="1" x14ac:dyDescent="0.2">
      <c r="A5070">
        <f>IFERROR(VLOOKUP(C5070,'GASB Match'!$D$2:$F$6042,3,FALSE),"")</f>
        <v>3415090</v>
      </c>
      <c r="B5070" s="17">
        <v>2015</v>
      </c>
      <c r="C5070" s="17" t="s">
        <v>578</v>
      </c>
      <c r="D5070" s="17">
        <v>730</v>
      </c>
      <c r="E5070" s="17" t="s">
        <v>1425</v>
      </c>
      <c r="F5070" s="20">
        <v>925506</v>
      </c>
    </row>
    <row r="5071" spans="1:6" ht="16" customHeight="1" x14ac:dyDescent="0.2">
      <c r="A5071">
        <f>IFERROR(VLOOKUP(C5071,'GASB Match'!$D$2:$F$6042,3,FALSE),"")</f>
        <v>3415090</v>
      </c>
      <c r="B5071" s="17">
        <v>2016</v>
      </c>
      <c r="C5071" s="17" t="s">
        <v>578</v>
      </c>
      <c r="D5071" s="17">
        <v>730</v>
      </c>
      <c r="E5071" s="17" t="s">
        <v>1425</v>
      </c>
      <c r="F5071" s="20">
        <v>1326226</v>
      </c>
    </row>
    <row r="5072" spans="1:6" ht="16" customHeight="1" x14ac:dyDescent="0.2">
      <c r="A5072">
        <f>IFERROR(VLOOKUP(C5072,'GASB Match'!$D$2:$F$6042,3,FALSE),"")</f>
        <v>3415090</v>
      </c>
      <c r="B5072" s="17">
        <v>2018</v>
      </c>
      <c r="C5072" s="17" t="s">
        <v>1270</v>
      </c>
      <c r="D5072" s="17">
        <v>730</v>
      </c>
      <c r="E5072" s="17" t="s">
        <v>1468</v>
      </c>
      <c r="F5072" s="20">
        <v>2604223</v>
      </c>
    </row>
    <row r="5073" spans="1:6" ht="16" customHeight="1" x14ac:dyDescent="0.2">
      <c r="A5073">
        <f>IFERROR(VLOOKUP(C5073,'GASB Match'!$D$2:$F$6042,3,FALSE),"")</f>
        <v>3415090</v>
      </c>
      <c r="B5073" s="17">
        <v>2019</v>
      </c>
      <c r="C5073" s="17" t="s">
        <v>1270</v>
      </c>
      <c r="D5073" s="17">
        <v>730</v>
      </c>
      <c r="E5073" s="17" t="s">
        <v>1468</v>
      </c>
      <c r="F5073" s="20">
        <v>3432686</v>
      </c>
    </row>
    <row r="5074" spans="1:6" ht="16" customHeight="1" x14ac:dyDescent="0.2">
      <c r="A5074">
        <f>IFERROR(VLOOKUP(C5074,'GASB Match'!$D$2:$F$6042,3,FALSE),"")</f>
        <v>3415090</v>
      </c>
      <c r="B5074" s="17">
        <v>2020</v>
      </c>
      <c r="C5074" s="21" t="s">
        <v>1270</v>
      </c>
      <c r="D5074" s="17">
        <v>730</v>
      </c>
      <c r="E5074" s="17" t="s">
        <v>1468</v>
      </c>
      <c r="F5074" s="23">
        <v>3802465</v>
      </c>
    </row>
    <row r="5075" spans="1:6" ht="16" customHeight="1" x14ac:dyDescent="0.2">
      <c r="A5075">
        <f>IFERROR(VLOOKUP(C5075,'GASB Match'!$D$2:$F$6042,3,FALSE),"")</f>
        <v>3415090</v>
      </c>
      <c r="B5075" s="17">
        <v>2021</v>
      </c>
      <c r="C5075" s="25" t="s">
        <v>1270</v>
      </c>
      <c r="D5075" s="17">
        <v>730</v>
      </c>
      <c r="E5075" s="17" t="s">
        <v>1468</v>
      </c>
      <c r="F5075" s="23">
        <v>4910184</v>
      </c>
    </row>
    <row r="5076" spans="1:6" ht="16" customHeight="1" x14ac:dyDescent="0.2">
      <c r="A5076">
        <f>IFERROR(VLOOKUP(C5076,'GASB Match'!$D$2:$F$6042,3,FALSE),"")</f>
        <v>3415090</v>
      </c>
      <c r="B5076" s="17">
        <v>2022</v>
      </c>
      <c r="C5076" s="21" t="s">
        <v>1270</v>
      </c>
      <c r="D5076" s="17">
        <v>730</v>
      </c>
      <c r="E5076" s="17" t="s">
        <v>1468</v>
      </c>
      <c r="F5076" s="23">
        <v>7478318</v>
      </c>
    </row>
    <row r="5077" spans="1:6" ht="16" customHeight="1" x14ac:dyDescent="0.2">
      <c r="A5077">
        <f>IFERROR(VLOOKUP(C5077,'GASB Match'!$D$2:$F$6042,3,FALSE),"")</f>
        <v>3415090</v>
      </c>
      <c r="B5077" s="17">
        <v>2023</v>
      </c>
      <c r="C5077" s="21" t="s">
        <v>1270</v>
      </c>
      <c r="D5077" s="17">
        <v>730</v>
      </c>
      <c r="E5077" s="17" t="s">
        <v>1468</v>
      </c>
      <c r="F5077" s="23">
        <v>7068217</v>
      </c>
    </row>
    <row r="5078" spans="1:6" ht="16" customHeight="1" x14ac:dyDescent="0.2">
      <c r="A5078">
        <f>IFERROR(VLOOKUP(C5078,'GASB Match'!$D$2:$F$6042,3,FALSE),"")</f>
        <v>3415090</v>
      </c>
      <c r="B5078" s="28">
        <v>2017</v>
      </c>
      <c r="C5078" s="29" t="s">
        <v>578</v>
      </c>
      <c r="D5078" s="17">
        <v>730</v>
      </c>
      <c r="E5078" s="17" t="s">
        <v>1425</v>
      </c>
      <c r="F5078" s="29">
        <v>1885836</v>
      </c>
    </row>
    <row r="5079" spans="1:6" ht="16" customHeight="1" x14ac:dyDescent="0.2">
      <c r="A5079">
        <f>IFERROR(VLOOKUP(C5079,'GASB Match'!$D$2:$F$6042,3,FALSE),"")</f>
        <v>3415120</v>
      </c>
      <c r="B5079" s="17">
        <v>2015</v>
      </c>
      <c r="C5079" s="17" t="s">
        <v>394</v>
      </c>
      <c r="D5079" s="17">
        <v>249</v>
      </c>
      <c r="E5079" s="17" t="s">
        <v>1418</v>
      </c>
      <c r="F5079" s="20">
        <v>378888</v>
      </c>
    </row>
    <row r="5080" spans="1:6" ht="16" customHeight="1" x14ac:dyDescent="0.2">
      <c r="A5080">
        <f>IFERROR(VLOOKUP(C5080,'GASB Match'!$D$2:$F$6042,3,FALSE),"")</f>
        <v>3415120</v>
      </c>
      <c r="B5080" s="17">
        <v>2016</v>
      </c>
      <c r="C5080" s="17" t="s">
        <v>394</v>
      </c>
      <c r="D5080" s="17">
        <v>249</v>
      </c>
      <c r="E5080" s="17" t="s">
        <v>1418</v>
      </c>
      <c r="F5080" s="20">
        <v>564397</v>
      </c>
    </row>
    <row r="5081" spans="1:6" ht="16" customHeight="1" x14ac:dyDescent="0.2">
      <c r="A5081">
        <f>IFERROR(VLOOKUP(C5081,'GASB Match'!$D$2:$F$6042,3,FALSE),"")</f>
        <v>3415120</v>
      </c>
      <c r="B5081" s="17">
        <v>2018</v>
      </c>
      <c r="C5081" s="17" t="s">
        <v>1086</v>
      </c>
      <c r="D5081" s="17">
        <v>249</v>
      </c>
      <c r="E5081" s="17" t="s">
        <v>1461</v>
      </c>
      <c r="F5081" s="20">
        <v>1082959</v>
      </c>
    </row>
    <row r="5082" spans="1:6" ht="16" customHeight="1" x14ac:dyDescent="0.2">
      <c r="A5082">
        <f>IFERROR(VLOOKUP(C5082,'GASB Match'!$D$2:$F$6042,3,FALSE),"")</f>
        <v>3415120</v>
      </c>
      <c r="B5082" s="17">
        <v>2019</v>
      </c>
      <c r="C5082" s="17" t="s">
        <v>1086</v>
      </c>
      <c r="D5082" s="17">
        <v>249</v>
      </c>
      <c r="E5082" s="17" t="s">
        <v>1461</v>
      </c>
      <c r="F5082" s="20">
        <v>1433121</v>
      </c>
    </row>
    <row r="5083" spans="1:6" ht="16" customHeight="1" x14ac:dyDescent="0.2">
      <c r="A5083">
        <f>IFERROR(VLOOKUP(C5083,'GASB Match'!$D$2:$F$6042,3,FALSE),"")</f>
        <v>3415120</v>
      </c>
      <c r="B5083" s="17">
        <v>2020</v>
      </c>
      <c r="C5083" s="21" t="s">
        <v>1086</v>
      </c>
      <c r="D5083" s="17">
        <v>249</v>
      </c>
      <c r="E5083" s="17" t="s">
        <v>1461</v>
      </c>
      <c r="F5083" s="23">
        <v>1542989</v>
      </c>
    </row>
    <row r="5084" spans="1:6" ht="16" customHeight="1" x14ac:dyDescent="0.2">
      <c r="A5084">
        <f>IFERROR(VLOOKUP(C5084,'GASB Match'!$D$2:$F$6042,3,FALSE),"")</f>
        <v>3415120</v>
      </c>
      <c r="B5084" s="17">
        <v>2021</v>
      </c>
      <c r="C5084" s="25" t="s">
        <v>1086</v>
      </c>
      <c r="D5084" s="17">
        <v>249</v>
      </c>
      <c r="E5084" s="17" t="s">
        <v>1461</v>
      </c>
      <c r="F5084" s="23">
        <v>2066605</v>
      </c>
    </row>
    <row r="5085" spans="1:6" ht="16" customHeight="1" x14ac:dyDescent="0.2">
      <c r="A5085">
        <f>IFERROR(VLOOKUP(C5085,'GASB Match'!$D$2:$F$6042,3,FALSE),"")</f>
        <v>3415120</v>
      </c>
      <c r="B5085" s="17">
        <v>2022</v>
      </c>
      <c r="C5085" s="21" t="s">
        <v>1086</v>
      </c>
      <c r="D5085" s="17">
        <v>249</v>
      </c>
      <c r="E5085" s="17" t="s">
        <v>1461</v>
      </c>
      <c r="F5085" s="23">
        <v>2967339</v>
      </c>
    </row>
    <row r="5086" spans="1:6" ht="16" customHeight="1" x14ac:dyDescent="0.2">
      <c r="A5086">
        <f>IFERROR(VLOOKUP(C5086,'GASB Match'!$D$2:$F$6042,3,FALSE),"")</f>
        <v>3415120</v>
      </c>
      <c r="B5086" s="17">
        <v>2023</v>
      </c>
      <c r="C5086" s="21" t="s">
        <v>1086</v>
      </c>
      <c r="D5086" s="17">
        <v>249</v>
      </c>
      <c r="E5086" s="17" t="s">
        <v>1461</v>
      </c>
      <c r="F5086" s="23">
        <v>3011277</v>
      </c>
    </row>
    <row r="5087" spans="1:6" ht="16" customHeight="1" x14ac:dyDescent="0.2">
      <c r="A5087">
        <f>IFERROR(VLOOKUP(C5087,'GASB Match'!$D$2:$F$6042,3,FALSE),"")</f>
        <v>3415120</v>
      </c>
      <c r="B5087" s="28">
        <v>2017</v>
      </c>
      <c r="C5087" s="29" t="s">
        <v>394</v>
      </c>
      <c r="D5087" s="17">
        <v>249</v>
      </c>
      <c r="E5087" s="17" t="s">
        <v>1418</v>
      </c>
      <c r="F5087" s="29">
        <v>805883</v>
      </c>
    </row>
    <row r="5088" spans="1:6" ht="16" customHeight="1" x14ac:dyDescent="0.2">
      <c r="A5088">
        <f>IFERROR(VLOOKUP(C5088,'GASB Match'!$D$2:$F$6042,3,FALSE),"")</f>
        <v>3400007</v>
      </c>
      <c r="B5088" s="17">
        <v>2015</v>
      </c>
      <c r="C5088" s="17" t="s">
        <v>26</v>
      </c>
      <c r="D5088" s="17">
        <v>2097</v>
      </c>
      <c r="E5088" s="17" t="s">
        <v>1402</v>
      </c>
      <c r="F5088" s="20">
        <v>441087</v>
      </c>
    </row>
    <row r="5089" spans="1:6" ht="16" customHeight="1" x14ac:dyDescent="0.2">
      <c r="A5089">
        <f>IFERROR(VLOOKUP(C5089,'GASB Match'!$D$2:$F$6042,3,FALSE),"")</f>
        <v>3400007</v>
      </c>
      <c r="B5089" s="17">
        <v>2016</v>
      </c>
      <c r="C5089" s="17" t="s">
        <v>26</v>
      </c>
      <c r="D5089" s="17">
        <v>2097</v>
      </c>
      <c r="E5089" s="17" t="s">
        <v>1402</v>
      </c>
      <c r="F5089" s="20">
        <v>649047</v>
      </c>
    </row>
    <row r="5090" spans="1:6" ht="16" customHeight="1" x14ac:dyDescent="0.2">
      <c r="A5090">
        <f>IFERROR(VLOOKUP(C5090,'GASB Match'!$D$2:$F$6042,3,FALSE),"")</f>
        <v>3400007</v>
      </c>
      <c r="B5090" s="17">
        <v>2018</v>
      </c>
      <c r="C5090" s="17" t="s">
        <v>774</v>
      </c>
      <c r="D5090" s="17">
        <v>2097</v>
      </c>
      <c r="E5090" s="17" t="s">
        <v>1443</v>
      </c>
      <c r="F5090" s="20">
        <v>1464537</v>
      </c>
    </row>
    <row r="5091" spans="1:6" ht="16" customHeight="1" x14ac:dyDescent="0.2">
      <c r="A5091">
        <f>IFERROR(VLOOKUP(C5091,'GASB Match'!$D$2:$F$6042,3,FALSE),"")</f>
        <v>3400007</v>
      </c>
      <c r="B5091" s="17">
        <v>2019</v>
      </c>
      <c r="C5091" s="17" t="s">
        <v>774</v>
      </c>
      <c r="D5091" s="17">
        <v>2097</v>
      </c>
      <c r="E5091" s="17" t="s">
        <v>1443</v>
      </c>
      <c r="F5091" s="20">
        <v>1964628</v>
      </c>
    </row>
    <row r="5092" spans="1:6" ht="16" customHeight="1" x14ac:dyDescent="0.2">
      <c r="A5092">
        <f>IFERROR(VLOOKUP(C5092,'GASB Match'!$D$2:$F$6042,3,FALSE),"")</f>
        <v>3400007</v>
      </c>
      <c r="B5092" s="17">
        <v>2020</v>
      </c>
      <c r="C5092" s="21" t="s">
        <v>774</v>
      </c>
      <c r="D5092" s="17">
        <v>2097</v>
      </c>
      <c r="E5092" s="17" t="s">
        <v>1443</v>
      </c>
      <c r="F5092" s="23">
        <v>2199240</v>
      </c>
    </row>
    <row r="5093" spans="1:6" ht="16" customHeight="1" x14ac:dyDescent="0.2">
      <c r="A5093">
        <f>IFERROR(VLOOKUP(C5093,'GASB Match'!$D$2:$F$6042,3,FALSE),"")</f>
        <v>3400007</v>
      </c>
      <c r="B5093" s="17">
        <v>2021</v>
      </c>
      <c r="C5093" s="25" t="s">
        <v>774</v>
      </c>
      <c r="D5093" s="17">
        <v>2097</v>
      </c>
      <c r="E5093" s="17" t="s">
        <v>1443</v>
      </c>
      <c r="F5093" s="23">
        <v>2881195</v>
      </c>
    </row>
    <row r="5094" spans="1:6" ht="16" customHeight="1" x14ac:dyDescent="0.2">
      <c r="A5094">
        <f>IFERROR(VLOOKUP(C5094,'GASB Match'!$D$2:$F$6042,3,FALSE),"")</f>
        <v>3400007</v>
      </c>
      <c r="B5094" s="17">
        <v>2022</v>
      </c>
      <c r="C5094" s="21" t="s">
        <v>774</v>
      </c>
      <c r="D5094" s="17">
        <v>2097</v>
      </c>
      <c r="E5094" s="17" t="s">
        <v>1443</v>
      </c>
      <c r="F5094" s="23">
        <v>4334604</v>
      </c>
    </row>
    <row r="5095" spans="1:6" ht="16" customHeight="1" x14ac:dyDescent="0.2">
      <c r="A5095">
        <f>IFERROR(VLOOKUP(C5095,'GASB Match'!$D$2:$F$6042,3,FALSE),"")</f>
        <v>3400007</v>
      </c>
      <c r="B5095" s="17">
        <v>2023</v>
      </c>
      <c r="C5095" s="21" t="s">
        <v>774</v>
      </c>
      <c r="D5095" s="17">
        <v>2097</v>
      </c>
      <c r="E5095" s="17" t="s">
        <v>1443</v>
      </c>
      <c r="F5095" s="23">
        <v>4327162</v>
      </c>
    </row>
    <row r="5096" spans="1:6" ht="16" customHeight="1" x14ac:dyDescent="0.2">
      <c r="A5096">
        <f>IFERROR(VLOOKUP(C5096,'GASB Match'!$D$2:$F$6042,3,FALSE),"")</f>
        <v>3400007</v>
      </c>
      <c r="B5096" s="28">
        <v>2017</v>
      </c>
      <c r="C5096" s="29" t="s">
        <v>26</v>
      </c>
      <c r="D5096" s="17">
        <v>2097</v>
      </c>
      <c r="E5096" s="17" t="s">
        <v>1402</v>
      </c>
      <c r="F5096" s="29">
        <v>997443</v>
      </c>
    </row>
    <row r="5097" spans="1:6" ht="16" customHeight="1" x14ac:dyDescent="0.2">
      <c r="A5097">
        <f>IFERROR(VLOOKUP(C5097,'GASB Match'!$D$2:$F$6042,3,FALSE),"")</f>
        <v>3415180</v>
      </c>
      <c r="B5097" s="17">
        <v>2015</v>
      </c>
      <c r="C5097" s="17" t="s">
        <v>579</v>
      </c>
      <c r="D5097" s="17">
        <v>756</v>
      </c>
      <c r="E5097" s="17" t="s">
        <v>1425</v>
      </c>
      <c r="F5097" s="20">
        <v>168234</v>
      </c>
    </row>
    <row r="5098" spans="1:6" ht="16" customHeight="1" x14ac:dyDescent="0.2">
      <c r="A5098">
        <f>IFERROR(VLOOKUP(C5098,'GASB Match'!$D$2:$F$6042,3,FALSE),"")</f>
        <v>3415180</v>
      </c>
      <c r="B5098" s="17">
        <v>2016</v>
      </c>
      <c r="C5098" s="17" t="s">
        <v>579</v>
      </c>
      <c r="D5098" s="17">
        <v>756</v>
      </c>
      <c r="E5098" s="17" t="s">
        <v>1425</v>
      </c>
      <c r="F5098" s="20">
        <v>258846</v>
      </c>
    </row>
    <row r="5099" spans="1:6" ht="16" customHeight="1" x14ac:dyDescent="0.2">
      <c r="A5099">
        <f>IFERROR(VLOOKUP(C5099,'GASB Match'!$D$2:$F$6042,3,FALSE),"")</f>
        <v>3415180</v>
      </c>
      <c r="B5099" s="17">
        <v>2018</v>
      </c>
      <c r="C5099" s="17" t="s">
        <v>1271</v>
      </c>
      <c r="D5099" s="17">
        <v>756</v>
      </c>
      <c r="E5099" s="17" t="s">
        <v>1468</v>
      </c>
      <c r="F5099" s="19">
        <v>506515</v>
      </c>
    </row>
    <row r="5100" spans="1:6" ht="16" customHeight="1" x14ac:dyDescent="0.2">
      <c r="A5100">
        <f>IFERROR(VLOOKUP(C5100,'GASB Match'!$D$2:$F$6042,3,FALSE),"")</f>
        <v>3415180</v>
      </c>
      <c r="B5100" s="17">
        <v>2019</v>
      </c>
      <c r="C5100" s="17" t="s">
        <v>1271</v>
      </c>
      <c r="D5100" s="17">
        <v>756</v>
      </c>
      <c r="E5100" s="17" t="s">
        <v>1468</v>
      </c>
      <c r="F5100" s="20">
        <v>627528</v>
      </c>
    </row>
    <row r="5101" spans="1:6" ht="16" customHeight="1" x14ac:dyDescent="0.2">
      <c r="A5101">
        <f>IFERROR(VLOOKUP(C5101,'GASB Match'!$D$2:$F$6042,3,FALSE),"")</f>
        <v>3415180</v>
      </c>
      <c r="B5101" s="17">
        <v>2020</v>
      </c>
      <c r="C5101" s="21" t="s">
        <v>1271</v>
      </c>
      <c r="D5101" s="17">
        <v>756</v>
      </c>
      <c r="E5101" s="17" t="s">
        <v>1468</v>
      </c>
      <c r="F5101" s="23">
        <v>697118</v>
      </c>
    </row>
    <row r="5102" spans="1:6" ht="16" customHeight="1" x14ac:dyDescent="0.2">
      <c r="A5102">
        <f>IFERROR(VLOOKUP(C5102,'GASB Match'!$D$2:$F$6042,3,FALSE),"")</f>
        <v>3415180</v>
      </c>
      <c r="B5102" s="17">
        <v>2021</v>
      </c>
      <c r="C5102" s="25" t="s">
        <v>1271</v>
      </c>
      <c r="D5102" s="17">
        <v>756</v>
      </c>
      <c r="E5102" s="17" t="s">
        <v>1468</v>
      </c>
      <c r="F5102" s="23">
        <v>874662</v>
      </c>
    </row>
    <row r="5103" spans="1:6" ht="16" customHeight="1" x14ac:dyDescent="0.2">
      <c r="A5103">
        <f>IFERROR(VLOOKUP(C5103,'GASB Match'!$D$2:$F$6042,3,FALSE),"")</f>
        <v>3415180</v>
      </c>
      <c r="B5103" s="17">
        <v>2022</v>
      </c>
      <c r="C5103" s="21" t="s">
        <v>1271</v>
      </c>
      <c r="D5103" s="17">
        <v>756</v>
      </c>
      <c r="E5103" s="17" t="s">
        <v>1468</v>
      </c>
      <c r="F5103" s="23">
        <v>1236531</v>
      </c>
    </row>
    <row r="5104" spans="1:6" ht="16" customHeight="1" x14ac:dyDescent="0.2">
      <c r="A5104">
        <f>IFERROR(VLOOKUP(C5104,'GASB Match'!$D$2:$F$6042,3,FALSE),"")</f>
        <v>3415180</v>
      </c>
      <c r="B5104" s="17">
        <v>2023</v>
      </c>
      <c r="C5104" s="21" t="s">
        <v>1271</v>
      </c>
      <c r="D5104" s="17">
        <v>756</v>
      </c>
      <c r="E5104" s="17" t="s">
        <v>1468</v>
      </c>
      <c r="F5104" s="23">
        <v>1247583</v>
      </c>
    </row>
    <row r="5105" spans="1:6" ht="16" customHeight="1" x14ac:dyDescent="0.2">
      <c r="A5105">
        <f>IFERROR(VLOOKUP(C5105,'GASB Match'!$D$2:$F$6042,3,FALSE),"")</f>
        <v>3415180</v>
      </c>
      <c r="B5105" s="28">
        <v>2017</v>
      </c>
      <c r="C5105" s="29" t="s">
        <v>579</v>
      </c>
      <c r="D5105" s="17">
        <v>756</v>
      </c>
      <c r="E5105" s="17" t="s">
        <v>1425</v>
      </c>
      <c r="F5105" s="29">
        <v>373296</v>
      </c>
    </row>
    <row r="5106" spans="1:6" ht="16" customHeight="1" x14ac:dyDescent="0.2">
      <c r="A5106">
        <f>IFERROR(VLOOKUP(C5106,'GASB Match'!$D$2:$F$6042,3,FALSE),"")</f>
        <v>3415210</v>
      </c>
      <c r="B5106" s="17">
        <v>2015</v>
      </c>
      <c r="C5106" s="17" t="s">
        <v>395</v>
      </c>
      <c r="D5106" s="17">
        <v>251</v>
      </c>
      <c r="E5106" s="17" t="s">
        <v>1418</v>
      </c>
      <c r="F5106" s="20">
        <v>2816571</v>
      </c>
    </row>
    <row r="5107" spans="1:6" ht="16" customHeight="1" x14ac:dyDescent="0.2">
      <c r="A5107">
        <f>IFERROR(VLOOKUP(C5107,'GASB Match'!$D$2:$F$6042,3,FALSE),"")</f>
        <v>3415210</v>
      </c>
      <c r="B5107" s="17">
        <v>2016</v>
      </c>
      <c r="C5107" s="17" t="s">
        <v>395</v>
      </c>
      <c r="D5107" s="17">
        <v>251</v>
      </c>
      <c r="E5107" s="17" t="s">
        <v>1418</v>
      </c>
      <c r="F5107" s="20">
        <v>4213451</v>
      </c>
    </row>
    <row r="5108" spans="1:6" ht="16" customHeight="1" x14ac:dyDescent="0.2">
      <c r="A5108">
        <f>IFERROR(VLOOKUP(C5108,'GASB Match'!$D$2:$F$6042,3,FALSE),"")</f>
        <v>3415210</v>
      </c>
      <c r="B5108" s="17">
        <v>2018</v>
      </c>
      <c r="C5108" s="17" t="s">
        <v>1087</v>
      </c>
      <c r="D5108" s="17">
        <v>251</v>
      </c>
      <c r="E5108" s="17" t="s">
        <v>1461</v>
      </c>
      <c r="F5108" s="20">
        <v>8237768</v>
      </c>
    </row>
    <row r="5109" spans="1:6" ht="16" customHeight="1" x14ac:dyDescent="0.2">
      <c r="A5109">
        <f>IFERROR(VLOOKUP(C5109,'GASB Match'!$D$2:$F$6042,3,FALSE),"")</f>
        <v>3415210</v>
      </c>
      <c r="B5109" s="17">
        <v>2019</v>
      </c>
      <c r="C5109" s="17" t="s">
        <v>1087</v>
      </c>
      <c r="D5109" s="17">
        <v>251</v>
      </c>
      <c r="E5109" s="17" t="s">
        <v>1461</v>
      </c>
      <c r="F5109" s="20">
        <v>10945989</v>
      </c>
    </row>
    <row r="5110" spans="1:6" ht="16" customHeight="1" x14ac:dyDescent="0.2">
      <c r="A5110">
        <f>IFERROR(VLOOKUP(C5110,'GASB Match'!$D$2:$F$6042,3,FALSE),"")</f>
        <v>3415210</v>
      </c>
      <c r="B5110" s="17">
        <v>2020</v>
      </c>
      <c r="C5110" s="21" t="s">
        <v>1087</v>
      </c>
      <c r="D5110" s="17">
        <v>251</v>
      </c>
      <c r="E5110" s="17" t="s">
        <v>1461</v>
      </c>
      <c r="F5110" s="23">
        <v>12294990</v>
      </c>
    </row>
    <row r="5111" spans="1:6" ht="16" customHeight="1" x14ac:dyDescent="0.2">
      <c r="A5111">
        <f>IFERROR(VLOOKUP(C5111,'GASB Match'!$D$2:$F$6042,3,FALSE),"")</f>
        <v>3415210</v>
      </c>
      <c r="B5111" s="17">
        <v>2021</v>
      </c>
      <c r="C5111" s="25" t="s">
        <v>1087</v>
      </c>
      <c r="D5111" s="17">
        <v>251</v>
      </c>
      <c r="E5111" s="17" t="s">
        <v>1461</v>
      </c>
      <c r="F5111" s="23">
        <v>15956349</v>
      </c>
    </row>
    <row r="5112" spans="1:6" ht="16" customHeight="1" x14ac:dyDescent="0.2">
      <c r="A5112">
        <f>IFERROR(VLOOKUP(C5112,'GASB Match'!$D$2:$F$6042,3,FALSE),"")</f>
        <v>3415210</v>
      </c>
      <c r="B5112" s="17">
        <v>2022</v>
      </c>
      <c r="C5112" s="21" t="s">
        <v>1087</v>
      </c>
      <c r="D5112" s="17">
        <v>251</v>
      </c>
      <c r="E5112" s="17" t="s">
        <v>1461</v>
      </c>
      <c r="F5112" s="23">
        <v>23570041</v>
      </c>
    </row>
    <row r="5113" spans="1:6" ht="16" customHeight="1" x14ac:dyDescent="0.2">
      <c r="A5113">
        <f>IFERROR(VLOOKUP(C5113,'GASB Match'!$D$2:$F$6042,3,FALSE),"")</f>
        <v>3415210</v>
      </c>
      <c r="B5113" s="17">
        <v>2023</v>
      </c>
      <c r="C5113" s="21" t="s">
        <v>1087</v>
      </c>
      <c r="D5113" s="17">
        <v>251</v>
      </c>
      <c r="E5113" s="17" t="s">
        <v>1461</v>
      </c>
      <c r="F5113" s="23">
        <v>22994099</v>
      </c>
    </row>
    <row r="5114" spans="1:6" ht="16" customHeight="1" x14ac:dyDescent="0.2">
      <c r="A5114">
        <f>IFERROR(VLOOKUP(C5114,'GASB Match'!$D$2:$F$6042,3,FALSE),"")</f>
        <v>3415210</v>
      </c>
      <c r="B5114" s="28">
        <v>2017</v>
      </c>
      <c r="C5114" s="29" t="s">
        <v>395</v>
      </c>
      <c r="D5114" s="17">
        <v>251</v>
      </c>
      <c r="E5114" s="17" t="s">
        <v>1418</v>
      </c>
      <c r="F5114" s="29">
        <v>5940156</v>
      </c>
    </row>
    <row r="5115" spans="1:6" ht="16" customHeight="1" x14ac:dyDescent="0.2">
      <c r="A5115">
        <f>IFERROR(VLOOKUP(C5115,'GASB Match'!$D$2:$F$6042,3,FALSE),"")</f>
        <v>3415240</v>
      </c>
      <c r="B5115" s="17">
        <v>2015</v>
      </c>
      <c r="C5115" s="17" t="s">
        <v>95</v>
      </c>
      <c r="D5115" s="17">
        <v>2054</v>
      </c>
      <c r="E5115" s="17" t="s">
        <v>1402</v>
      </c>
      <c r="F5115" s="20">
        <v>107130</v>
      </c>
    </row>
    <row r="5116" spans="1:6" ht="16" customHeight="1" x14ac:dyDescent="0.2">
      <c r="A5116">
        <f>IFERROR(VLOOKUP(C5116,'GASB Match'!$D$2:$F$6042,3,FALSE),"")</f>
        <v>3415240</v>
      </c>
      <c r="B5116" s="17">
        <v>2016</v>
      </c>
      <c r="C5116" s="17" t="s">
        <v>95</v>
      </c>
      <c r="D5116" s="17">
        <v>2054</v>
      </c>
      <c r="E5116" s="17" t="s">
        <v>1402</v>
      </c>
      <c r="F5116" s="20">
        <v>144716</v>
      </c>
    </row>
    <row r="5117" spans="1:6" ht="16" customHeight="1" x14ac:dyDescent="0.2">
      <c r="A5117">
        <f>IFERROR(VLOOKUP(C5117,'GASB Match'!$D$2:$F$6042,3,FALSE),"")</f>
        <v>3415240</v>
      </c>
      <c r="B5117" s="17">
        <v>2018</v>
      </c>
      <c r="C5117" s="17" t="s">
        <v>775</v>
      </c>
      <c r="D5117" s="17">
        <v>2054</v>
      </c>
      <c r="E5117" s="17" t="s">
        <v>1443</v>
      </c>
      <c r="F5117" s="20">
        <v>285320</v>
      </c>
    </row>
    <row r="5118" spans="1:6" ht="16" customHeight="1" x14ac:dyDescent="0.2">
      <c r="A5118">
        <f>IFERROR(VLOOKUP(C5118,'GASB Match'!$D$2:$F$6042,3,FALSE),"")</f>
        <v>3415240</v>
      </c>
      <c r="B5118" s="17">
        <v>2019</v>
      </c>
      <c r="C5118" s="17" t="s">
        <v>775</v>
      </c>
      <c r="D5118" s="17">
        <v>2054</v>
      </c>
      <c r="E5118" s="17" t="s">
        <v>1443</v>
      </c>
      <c r="F5118" s="20">
        <v>376165</v>
      </c>
    </row>
    <row r="5119" spans="1:6" ht="16" customHeight="1" x14ac:dyDescent="0.2">
      <c r="A5119">
        <f>IFERROR(VLOOKUP(C5119,'GASB Match'!$D$2:$F$6042,3,FALSE),"")</f>
        <v>3415240</v>
      </c>
      <c r="B5119" s="17">
        <v>2020</v>
      </c>
      <c r="C5119" s="21" t="s">
        <v>775</v>
      </c>
      <c r="D5119" s="17">
        <v>2054</v>
      </c>
      <c r="E5119" s="17" t="s">
        <v>1443</v>
      </c>
      <c r="F5119" s="23">
        <v>457568</v>
      </c>
    </row>
    <row r="5120" spans="1:6" ht="16" customHeight="1" x14ac:dyDescent="0.2">
      <c r="A5120">
        <f>IFERROR(VLOOKUP(C5120,'GASB Match'!$D$2:$F$6042,3,FALSE),"")</f>
        <v>3415240</v>
      </c>
      <c r="B5120" s="17">
        <v>2021</v>
      </c>
      <c r="C5120" s="25" t="s">
        <v>775</v>
      </c>
      <c r="D5120" s="17">
        <v>2054</v>
      </c>
      <c r="E5120" s="17" t="s">
        <v>1443</v>
      </c>
      <c r="F5120" s="23">
        <v>610502</v>
      </c>
    </row>
    <row r="5121" spans="1:6" ht="16" customHeight="1" x14ac:dyDescent="0.2">
      <c r="A5121">
        <f>IFERROR(VLOOKUP(C5121,'GASB Match'!$D$2:$F$6042,3,FALSE),"")</f>
        <v>3415240</v>
      </c>
      <c r="B5121" s="17">
        <v>2022</v>
      </c>
      <c r="C5121" s="21" t="s">
        <v>775</v>
      </c>
      <c r="D5121" s="17">
        <v>2054</v>
      </c>
      <c r="E5121" s="17" t="s">
        <v>1443</v>
      </c>
      <c r="F5121" s="23">
        <v>828174</v>
      </c>
    </row>
    <row r="5122" spans="1:6" ht="16" customHeight="1" x14ac:dyDescent="0.2">
      <c r="A5122">
        <f>IFERROR(VLOOKUP(C5122,'GASB Match'!$D$2:$F$6042,3,FALSE),"")</f>
        <v>3415240</v>
      </c>
      <c r="B5122" s="17">
        <v>2023</v>
      </c>
      <c r="C5122" s="21" t="s">
        <v>775</v>
      </c>
      <c r="D5122" s="17">
        <v>2054</v>
      </c>
      <c r="E5122" s="17" t="s">
        <v>1443</v>
      </c>
      <c r="F5122" s="23">
        <v>967683</v>
      </c>
    </row>
    <row r="5123" spans="1:6" ht="16" customHeight="1" x14ac:dyDescent="0.2">
      <c r="A5123">
        <f>IFERROR(VLOOKUP(C5123,'GASB Match'!$D$2:$F$6042,3,FALSE),"")</f>
        <v>3415240</v>
      </c>
      <c r="B5123" s="28">
        <v>2017</v>
      </c>
      <c r="C5123" s="29" t="s">
        <v>95</v>
      </c>
      <c r="D5123" s="17">
        <v>2054</v>
      </c>
      <c r="E5123" s="17" t="s">
        <v>1402</v>
      </c>
      <c r="F5123" s="29">
        <v>211748</v>
      </c>
    </row>
    <row r="5124" spans="1:6" ht="16" customHeight="1" x14ac:dyDescent="0.2">
      <c r="A5124">
        <f>IFERROR(VLOOKUP(C5124,'GASB Match'!$D$2:$F$6042,3,FALSE),"")</f>
        <v>3415270</v>
      </c>
      <c r="B5124" s="17">
        <v>2015</v>
      </c>
      <c r="C5124" s="17" t="s">
        <v>293</v>
      </c>
      <c r="D5124" s="17">
        <v>7027</v>
      </c>
      <c r="E5124" s="17" t="s">
        <v>1412</v>
      </c>
      <c r="F5124" s="20">
        <v>99007</v>
      </c>
    </row>
    <row r="5125" spans="1:6" ht="16" customHeight="1" x14ac:dyDescent="0.2">
      <c r="A5125">
        <f>IFERROR(VLOOKUP(C5125,'GASB Match'!$D$2:$F$6042,3,FALSE),"")</f>
        <v>3415270</v>
      </c>
      <c r="B5125" s="17">
        <v>2016</v>
      </c>
      <c r="C5125" s="17" t="s">
        <v>293</v>
      </c>
      <c r="D5125" s="17">
        <v>7027</v>
      </c>
      <c r="E5125" s="17" t="s">
        <v>1412</v>
      </c>
      <c r="F5125" s="20">
        <v>153472</v>
      </c>
    </row>
    <row r="5126" spans="1:6" ht="16" customHeight="1" x14ac:dyDescent="0.2">
      <c r="A5126">
        <f>IFERROR(VLOOKUP(C5126,'GASB Match'!$D$2:$F$6042,3,FALSE),"")</f>
        <v>3415270</v>
      </c>
      <c r="B5126" s="17">
        <v>2018</v>
      </c>
      <c r="C5126" s="17" t="s">
        <v>983</v>
      </c>
      <c r="D5126" s="17">
        <v>7027</v>
      </c>
      <c r="E5126" s="17" t="s">
        <v>1454</v>
      </c>
      <c r="F5126" s="20">
        <v>297447</v>
      </c>
    </row>
    <row r="5127" spans="1:6" ht="16" customHeight="1" x14ac:dyDescent="0.2">
      <c r="A5127">
        <f>IFERROR(VLOOKUP(C5127,'GASB Match'!$D$2:$F$6042,3,FALSE),"")</f>
        <v>3415270</v>
      </c>
      <c r="B5127" s="17">
        <v>2019</v>
      </c>
      <c r="C5127" s="17" t="s">
        <v>983</v>
      </c>
      <c r="D5127" s="17">
        <v>7027</v>
      </c>
      <c r="E5127" s="17" t="s">
        <v>1454</v>
      </c>
      <c r="F5127" s="20">
        <v>385583</v>
      </c>
    </row>
    <row r="5128" spans="1:6" ht="16" customHeight="1" x14ac:dyDescent="0.2">
      <c r="A5128">
        <f>IFERROR(VLOOKUP(C5128,'GASB Match'!$D$2:$F$6042,3,FALSE),"")</f>
        <v>3415270</v>
      </c>
      <c r="B5128" s="17">
        <v>2020</v>
      </c>
      <c r="C5128" s="21" t="s">
        <v>983</v>
      </c>
      <c r="D5128" s="17">
        <v>7027</v>
      </c>
      <c r="E5128" s="17" t="s">
        <v>1454</v>
      </c>
      <c r="F5128" s="23">
        <v>445941</v>
      </c>
    </row>
    <row r="5129" spans="1:6" ht="16" customHeight="1" x14ac:dyDescent="0.2">
      <c r="A5129">
        <f>IFERROR(VLOOKUP(C5129,'GASB Match'!$D$2:$F$6042,3,FALSE),"")</f>
        <v>3415270</v>
      </c>
      <c r="B5129" s="17">
        <v>2021</v>
      </c>
      <c r="C5129" s="25" t="s">
        <v>983</v>
      </c>
      <c r="D5129" s="17">
        <v>7027</v>
      </c>
      <c r="E5129" s="17" t="s">
        <v>1454</v>
      </c>
      <c r="F5129" s="23">
        <v>528127</v>
      </c>
    </row>
    <row r="5130" spans="1:6" ht="16" customHeight="1" x14ac:dyDescent="0.2">
      <c r="A5130">
        <f>IFERROR(VLOOKUP(C5130,'GASB Match'!$D$2:$F$6042,3,FALSE),"")</f>
        <v>3415270</v>
      </c>
      <c r="B5130" s="17">
        <v>2022</v>
      </c>
      <c r="C5130" s="21" t="s">
        <v>983</v>
      </c>
      <c r="D5130" s="17">
        <v>7027</v>
      </c>
      <c r="E5130" s="17" t="s">
        <v>1454</v>
      </c>
      <c r="F5130" s="23">
        <v>742264</v>
      </c>
    </row>
    <row r="5131" spans="1:6" ht="16" customHeight="1" x14ac:dyDescent="0.2">
      <c r="A5131">
        <f>IFERROR(VLOOKUP(C5131,'GASB Match'!$D$2:$F$6042,3,FALSE),"")</f>
        <v>3415270</v>
      </c>
      <c r="B5131" s="17">
        <v>2023</v>
      </c>
      <c r="C5131" s="21" t="s">
        <v>983</v>
      </c>
      <c r="D5131" s="17">
        <v>7027</v>
      </c>
      <c r="E5131" s="17" t="s">
        <v>1454</v>
      </c>
      <c r="F5131" s="23">
        <v>692343</v>
      </c>
    </row>
    <row r="5132" spans="1:6" ht="16" customHeight="1" x14ac:dyDescent="0.2">
      <c r="A5132">
        <f>IFERROR(VLOOKUP(C5132,'GASB Match'!$D$2:$F$6042,3,FALSE),"")</f>
        <v>3415270</v>
      </c>
      <c r="B5132" s="28">
        <v>2017</v>
      </c>
      <c r="C5132" s="29" t="s">
        <v>293</v>
      </c>
      <c r="D5132" s="17">
        <v>7027</v>
      </c>
      <c r="E5132" s="17" t="s">
        <v>1412</v>
      </c>
      <c r="F5132" s="29">
        <v>205912</v>
      </c>
    </row>
    <row r="5133" spans="1:6" ht="16" customHeight="1" x14ac:dyDescent="0.2">
      <c r="A5133">
        <f>IFERROR(VLOOKUP(C5133,'GASB Match'!$D$2:$F$6042,3,FALSE),"")</f>
        <v>3400769</v>
      </c>
      <c r="B5133" s="17">
        <v>2015</v>
      </c>
      <c r="C5133" s="17" t="s">
        <v>350</v>
      </c>
      <c r="D5133" s="17">
        <v>9039</v>
      </c>
      <c r="E5133" s="17" t="s">
        <v>1415</v>
      </c>
      <c r="F5133" s="20">
        <v>202579</v>
      </c>
    </row>
    <row r="5134" spans="1:6" ht="16" customHeight="1" x14ac:dyDescent="0.2">
      <c r="A5134">
        <f>IFERROR(VLOOKUP(C5134,'GASB Match'!$D$2:$F$6042,3,FALSE),"")</f>
        <v>3400769</v>
      </c>
      <c r="B5134" s="17">
        <v>2016</v>
      </c>
      <c r="C5134" s="17" t="s">
        <v>350</v>
      </c>
      <c r="D5134" s="17">
        <v>9039</v>
      </c>
      <c r="E5134" s="17" t="s">
        <v>1415</v>
      </c>
      <c r="F5134" s="19">
        <v>304932</v>
      </c>
    </row>
    <row r="5135" spans="1:6" ht="16" customHeight="1" x14ac:dyDescent="0.2">
      <c r="A5135">
        <f>IFERROR(VLOOKUP(C5135,'GASB Match'!$D$2:$F$6042,3,FALSE),"")</f>
        <v>3400769</v>
      </c>
      <c r="B5135" s="28">
        <v>2017</v>
      </c>
      <c r="C5135" s="29" t="s">
        <v>350</v>
      </c>
      <c r="D5135" s="17">
        <v>9039</v>
      </c>
      <c r="E5135" s="17" t="s">
        <v>1415</v>
      </c>
      <c r="F5135" s="29">
        <v>476005</v>
      </c>
    </row>
    <row r="5136" spans="1:6" ht="16" customHeight="1" x14ac:dyDescent="0.2">
      <c r="A5136">
        <f>IFERROR(VLOOKUP(C5136,'GASB Match'!$D$2:$F$6042,3,FALSE),"")</f>
        <v>3400769</v>
      </c>
      <c r="B5136" s="17">
        <v>2018</v>
      </c>
      <c r="C5136" s="17" t="s">
        <v>1042</v>
      </c>
      <c r="D5136" s="17">
        <v>9042</v>
      </c>
      <c r="E5136" s="17" t="s">
        <v>1458</v>
      </c>
      <c r="F5136" s="20">
        <v>1233155</v>
      </c>
    </row>
    <row r="5137" spans="1:6" ht="16" customHeight="1" x14ac:dyDescent="0.2">
      <c r="A5137">
        <f>IFERROR(VLOOKUP(C5137,'GASB Match'!$D$2:$F$6042,3,FALSE),"")</f>
        <v>3400769</v>
      </c>
      <c r="B5137" s="17">
        <v>2019</v>
      </c>
      <c r="C5137" s="17" t="s">
        <v>1042</v>
      </c>
      <c r="D5137" s="17">
        <v>9042</v>
      </c>
      <c r="E5137" s="17" t="s">
        <v>1458</v>
      </c>
      <c r="F5137" s="20">
        <v>1688479</v>
      </c>
    </row>
    <row r="5138" spans="1:6" ht="16" customHeight="1" x14ac:dyDescent="0.2">
      <c r="A5138">
        <f>IFERROR(VLOOKUP(C5138,'GASB Match'!$D$2:$F$6042,3,FALSE),"")</f>
        <v>3400769</v>
      </c>
      <c r="B5138" s="17">
        <v>2020</v>
      </c>
      <c r="C5138" s="21" t="s">
        <v>1042</v>
      </c>
      <c r="D5138" s="17">
        <v>9042</v>
      </c>
      <c r="E5138" s="17" t="s">
        <v>1458</v>
      </c>
      <c r="F5138" s="23">
        <v>1903190</v>
      </c>
    </row>
    <row r="5139" spans="1:6" ht="16" customHeight="1" x14ac:dyDescent="0.2">
      <c r="A5139">
        <f>IFERROR(VLOOKUP(C5139,'GASB Match'!$D$2:$F$6042,3,FALSE),"")</f>
        <v>3400769</v>
      </c>
      <c r="B5139" s="17">
        <v>2021</v>
      </c>
      <c r="C5139" s="25" t="s">
        <v>1042</v>
      </c>
      <c r="D5139" s="17">
        <v>9042</v>
      </c>
      <c r="E5139" s="17" t="s">
        <v>1458</v>
      </c>
      <c r="F5139" s="23">
        <v>2494361</v>
      </c>
    </row>
    <row r="5140" spans="1:6" ht="16" customHeight="1" x14ac:dyDescent="0.2">
      <c r="A5140">
        <f>IFERROR(VLOOKUP(C5140,'GASB Match'!$D$2:$F$6042,3,FALSE),"")</f>
        <v>3400769</v>
      </c>
      <c r="B5140" s="17">
        <v>2022</v>
      </c>
      <c r="C5140" s="21" t="s">
        <v>1042</v>
      </c>
      <c r="D5140" s="17">
        <v>9042</v>
      </c>
      <c r="E5140" s="17" t="s">
        <v>1458</v>
      </c>
      <c r="F5140" s="23">
        <v>3579568</v>
      </c>
    </row>
    <row r="5141" spans="1:6" ht="16" customHeight="1" x14ac:dyDescent="0.2">
      <c r="A5141">
        <f>IFERROR(VLOOKUP(C5141,'GASB Match'!$D$2:$F$6042,3,FALSE),"")</f>
        <v>3400769</v>
      </c>
      <c r="B5141" s="17">
        <v>2023</v>
      </c>
      <c r="C5141" s="21" t="s">
        <v>1042</v>
      </c>
      <c r="D5141" s="17">
        <v>9042</v>
      </c>
      <c r="E5141" s="17" t="s">
        <v>1458</v>
      </c>
      <c r="F5141" s="23">
        <v>3777593</v>
      </c>
    </row>
    <row r="5142" spans="1:6" ht="16" customHeight="1" x14ac:dyDescent="0.2">
      <c r="A5142">
        <f>IFERROR(VLOOKUP(C5142,'GASB Match'!$D$2:$F$6042,3,FALSE),"")</f>
        <v>3415330</v>
      </c>
      <c r="B5142" s="17">
        <v>2015</v>
      </c>
      <c r="C5142" s="17" t="s">
        <v>265</v>
      </c>
      <c r="D5142" s="17">
        <v>6070</v>
      </c>
      <c r="E5142" s="17" t="s">
        <v>1411</v>
      </c>
      <c r="F5142" s="20">
        <v>2651467</v>
      </c>
    </row>
    <row r="5143" spans="1:6" ht="16" customHeight="1" x14ac:dyDescent="0.2">
      <c r="A5143">
        <f>IFERROR(VLOOKUP(C5143,'GASB Match'!$D$2:$F$6042,3,FALSE),"")</f>
        <v>3415330</v>
      </c>
      <c r="B5143" s="17">
        <v>2016</v>
      </c>
      <c r="C5143" s="17" t="s">
        <v>265</v>
      </c>
      <c r="D5143" s="17">
        <v>6070</v>
      </c>
      <c r="E5143" s="17" t="s">
        <v>1411</v>
      </c>
      <c r="F5143" s="20">
        <v>3820356</v>
      </c>
    </row>
    <row r="5144" spans="1:6" ht="16" customHeight="1" x14ac:dyDescent="0.2">
      <c r="A5144">
        <f>IFERROR(VLOOKUP(C5144,'GASB Match'!$D$2:$F$6042,3,FALSE),"")</f>
        <v>3415330</v>
      </c>
      <c r="B5144" s="17">
        <v>2018</v>
      </c>
      <c r="C5144" s="17" t="s">
        <v>955</v>
      </c>
      <c r="D5144" s="17">
        <v>6070</v>
      </c>
      <c r="E5144" s="17" t="s">
        <v>1452</v>
      </c>
      <c r="F5144" s="20">
        <v>7140442</v>
      </c>
    </row>
    <row r="5145" spans="1:6" ht="16" customHeight="1" x14ac:dyDescent="0.2">
      <c r="A5145">
        <f>IFERROR(VLOOKUP(C5145,'GASB Match'!$D$2:$F$6042,3,FALSE),"")</f>
        <v>3415330</v>
      </c>
      <c r="B5145" s="17">
        <v>2019</v>
      </c>
      <c r="C5145" s="17" t="s">
        <v>955</v>
      </c>
      <c r="D5145" s="17">
        <v>6070</v>
      </c>
      <c r="E5145" s="17" t="s">
        <v>1452</v>
      </c>
      <c r="F5145" s="20">
        <v>9336259</v>
      </c>
    </row>
    <row r="5146" spans="1:6" ht="16" customHeight="1" x14ac:dyDescent="0.2">
      <c r="A5146">
        <f>IFERROR(VLOOKUP(C5146,'GASB Match'!$D$2:$F$6042,3,FALSE),"")</f>
        <v>3415330</v>
      </c>
      <c r="B5146" s="17">
        <v>2020</v>
      </c>
      <c r="C5146" s="21" t="s">
        <v>955</v>
      </c>
      <c r="D5146" s="17">
        <v>6070</v>
      </c>
      <c r="E5146" s="17" t="s">
        <v>1452</v>
      </c>
      <c r="F5146" s="23">
        <v>10529546</v>
      </c>
    </row>
    <row r="5147" spans="1:6" ht="16" customHeight="1" x14ac:dyDescent="0.2">
      <c r="A5147">
        <f>IFERROR(VLOOKUP(C5147,'GASB Match'!$D$2:$F$6042,3,FALSE),"")</f>
        <v>3415330</v>
      </c>
      <c r="B5147" s="17">
        <v>2021</v>
      </c>
      <c r="C5147" s="25" t="s">
        <v>955</v>
      </c>
      <c r="D5147" s="17">
        <v>6070</v>
      </c>
      <c r="E5147" s="17" t="s">
        <v>1452</v>
      </c>
      <c r="F5147" s="23">
        <v>13503991</v>
      </c>
    </row>
    <row r="5148" spans="1:6" ht="16" customHeight="1" x14ac:dyDescent="0.2">
      <c r="A5148">
        <f>IFERROR(VLOOKUP(C5148,'GASB Match'!$D$2:$F$6042,3,FALSE),"")</f>
        <v>3415330</v>
      </c>
      <c r="B5148" s="17">
        <v>2022</v>
      </c>
      <c r="C5148" s="21" t="s">
        <v>955</v>
      </c>
      <c r="D5148" s="17">
        <v>6070</v>
      </c>
      <c r="E5148" s="17" t="s">
        <v>1452</v>
      </c>
      <c r="F5148" s="23">
        <v>20275856</v>
      </c>
    </row>
    <row r="5149" spans="1:6" ht="16" customHeight="1" x14ac:dyDescent="0.2">
      <c r="A5149">
        <f>IFERROR(VLOOKUP(C5149,'GASB Match'!$D$2:$F$6042,3,FALSE),"")</f>
        <v>3415330</v>
      </c>
      <c r="B5149" s="17">
        <v>2023</v>
      </c>
      <c r="C5149" s="21" t="s">
        <v>955</v>
      </c>
      <c r="D5149" s="17">
        <v>6070</v>
      </c>
      <c r="E5149" s="17" t="s">
        <v>1452</v>
      </c>
      <c r="F5149" s="23">
        <v>20443070</v>
      </c>
    </row>
    <row r="5150" spans="1:6" ht="16" customHeight="1" x14ac:dyDescent="0.2">
      <c r="A5150">
        <f>IFERROR(VLOOKUP(C5150,'GASB Match'!$D$2:$F$6042,3,FALSE),"")</f>
        <v>3415330</v>
      </c>
      <c r="B5150" s="28">
        <v>2017</v>
      </c>
      <c r="C5150" s="29" t="s">
        <v>265</v>
      </c>
      <c r="D5150" s="17">
        <v>6070</v>
      </c>
      <c r="E5150" s="17" t="s">
        <v>1411</v>
      </c>
      <c r="F5150" s="29">
        <v>5409767</v>
      </c>
    </row>
    <row r="5151" spans="1:6" ht="16" customHeight="1" x14ac:dyDescent="0.2">
      <c r="A5151">
        <f>IFERROR(VLOOKUP(C5151,'GASB Match'!$D$2:$F$6042,3,FALSE),"")</f>
        <v>3415360</v>
      </c>
      <c r="B5151" s="17">
        <v>2015</v>
      </c>
      <c r="C5151" s="17" t="s">
        <v>396</v>
      </c>
      <c r="D5151" s="17">
        <v>252</v>
      </c>
      <c r="E5151" s="17" t="s">
        <v>1418</v>
      </c>
      <c r="F5151" s="20">
        <v>1339935</v>
      </c>
    </row>
    <row r="5152" spans="1:6" ht="16" customHeight="1" x14ac:dyDescent="0.2">
      <c r="A5152">
        <f>IFERROR(VLOOKUP(C5152,'GASB Match'!$D$2:$F$6042,3,FALSE),"")</f>
        <v>3415360</v>
      </c>
      <c r="B5152" s="17">
        <v>2016</v>
      </c>
      <c r="C5152" s="17" t="s">
        <v>396</v>
      </c>
      <c r="D5152" s="17">
        <v>252</v>
      </c>
      <c r="E5152" s="17" t="s">
        <v>1418</v>
      </c>
      <c r="F5152" s="20">
        <v>2004439</v>
      </c>
    </row>
    <row r="5153" spans="1:6" ht="16" customHeight="1" x14ac:dyDescent="0.2">
      <c r="A5153">
        <f>IFERROR(VLOOKUP(C5153,'GASB Match'!$D$2:$F$6042,3,FALSE),"")</f>
        <v>3415360</v>
      </c>
      <c r="B5153" s="17">
        <v>2018</v>
      </c>
      <c r="C5153" s="17" t="s">
        <v>1088</v>
      </c>
      <c r="D5153" s="17">
        <v>252</v>
      </c>
      <c r="E5153" s="17" t="s">
        <v>1461</v>
      </c>
      <c r="F5153" s="19">
        <v>3871390</v>
      </c>
    </row>
    <row r="5154" spans="1:6" ht="16" customHeight="1" x14ac:dyDescent="0.2">
      <c r="A5154">
        <f>IFERROR(VLOOKUP(C5154,'GASB Match'!$D$2:$F$6042,3,FALSE),"")</f>
        <v>3415360</v>
      </c>
      <c r="B5154" s="17">
        <v>2019</v>
      </c>
      <c r="C5154" s="17" t="s">
        <v>1088</v>
      </c>
      <c r="D5154" s="17">
        <v>252</v>
      </c>
      <c r="E5154" s="17" t="s">
        <v>1461</v>
      </c>
      <c r="F5154" s="20">
        <v>5068889</v>
      </c>
    </row>
    <row r="5155" spans="1:6" ht="16" customHeight="1" x14ac:dyDescent="0.2">
      <c r="A5155">
        <f>IFERROR(VLOOKUP(C5155,'GASB Match'!$D$2:$F$6042,3,FALSE),"")</f>
        <v>3415360</v>
      </c>
      <c r="B5155" s="17">
        <v>2020</v>
      </c>
      <c r="C5155" s="21" t="s">
        <v>1088</v>
      </c>
      <c r="D5155" s="17">
        <v>252</v>
      </c>
      <c r="E5155" s="17" t="s">
        <v>1461</v>
      </c>
      <c r="F5155" s="23">
        <v>5784215</v>
      </c>
    </row>
    <row r="5156" spans="1:6" ht="16" customHeight="1" x14ac:dyDescent="0.2">
      <c r="A5156">
        <f>IFERROR(VLOOKUP(C5156,'GASB Match'!$D$2:$F$6042,3,FALSE),"")</f>
        <v>3415360</v>
      </c>
      <c r="B5156" s="17">
        <v>2021</v>
      </c>
      <c r="C5156" s="25" t="s">
        <v>1088</v>
      </c>
      <c r="D5156" s="17">
        <v>252</v>
      </c>
      <c r="E5156" s="17" t="s">
        <v>1461</v>
      </c>
      <c r="F5156" s="23">
        <v>7551834</v>
      </c>
    </row>
    <row r="5157" spans="1:6" ht="16" customHeight="1" x14ac:dyDescent="0.2">
      <c r="A5157">
        <f>IFERROR(VLOOKUP(C5157,'GASB Match'!$D$2:$F$6042,3,FALSE),"")</f>
        <v>3415360</v>
      </c>
      <c r="B5157" s="17">
        <v>2022</v>
      </c>
      <c r="C5157" s="21" t="s">
        <v>1088</v>
      </c>
      <c r="D5157" s="17">
        <v>252</v>
      </c>
      <c r="E5157" s="17" t="s">
        <v>1461</v>
      </c>
      <c r="F5157" s="23">
        <v>10566539</v>
      </c>
    </row>
    <row r="5158" spans="1:6" ht="16" customHeight="1" x14ac:dyDescent="0.2">
      <c r="A5158">
        <f>IFERROR(VLOOKUP(C5158,'GASB Match'!$D$2:$F$6042,3,FALSE),"")</f>
        <v>3415360</v>
      </c>
      <c r="B5158" s="17">
        <v>2023</v>
      </c>
      <c r="C5158" s="21" t="s">
        <v>1088</v>
      </c>
      <c r="D5158" s="17">
        <v>252</v>
      </c>
      <c r="E5158" s="17" t="s">
        <v>1461</v>
      </c>
      <c r="F5158" s="23">
        <v>10387166</v>
      </c>
    </row>
    <row r="5159" spans="1:6" ht="16" customHeight="1" x14ac:dyDescent="0.2">
      <c r="A5159">
        <f>IFERROR(VLOOKUP(C5159,'GASB Match'!$D$2:$F$6042,3,FALSE),"")</f>
        <v>3415360</v>
      </c>
      <c r="B5159" s="28">
        <v>2017</v>
      </c>
      <c r="C5159" s="29" t="s">
        <v>396</v>
      </c>
      <c r="D5159" s="17">
        <v>252</v>
      </c>
      <c r="E5159" s="17" t="s">
        <v>1418</v>
      </c>
      <c r="F5159" s="29">
        <v>2828720</v>
      </c>
    </row>
    <row r="5160" spans="1:6" ht="16" customHeight="1" x14ac:dyDescent="0.2">
      <c r="A5160">
        <f>IFERROR(VLOOKUP(C5160,'GASB Match'!$D$2:$F$6042,3,FALSE),"")</f>
        <v>3415390</v>
      </c>
      <c r="B5160" s="17">
        <v>2015</v>
      </c>
      <c r="C5160" s="17" t="s">
        <v>397</v>
      </c>
      <c r="D5160" s="17">
        <v>253</v>
      </c>
      <c r="E5160" s="17" t="s">
        <v>1418</v>
      </c>
      <c r="F5160" s="20">
        <v>668053</v>
      </c>
    </row>
    <row r="5161" spans="1:6" ht="16" customHeight="1" x14ac:dyDescent="0.2">
      <c r="A5161">
        <f>IFERROR(VLOOKUP(C5161,'GASB Match'!$D$2:$F$6042,3,FALSE),"")</f>
        <v>3415390</v>
      </c>
      <c r="B5161" s="17">
        <v>2016</v>
      </c>
      <c r="C5161" s="17" t="s">
        <v>397</v>
      </c>
      <c r="D5161" s="17">
        <v>253</v>
      </c>
      <c r="E5161" s="17" t="s">
        <v>1418</v>
      </c>
      <c r="F5161" s="20">
        <v>1013347</v>
      </c>
    </row>
    <row r="5162" spans="1:6" ht="16" customHeight="1" x14ac:dyDescent="0.2">
      <c r="A5162">
        <f>IFERROR(VLOOKUP(C5162,'GASB Match'!$D$2:$F$6042,3,FALSE),"")</f>
        <v>3415390</v>
      </c>
      <c r="B5162" s="17">
        <v>2018</v>
      </c>
      <c r="C5162" s="17" t="s">
        <v>1089</v>
      </c>
      <c r="D5162" s="17">
        <v>253</v>
      </c>
      <c r="E5162" s="17" t="s">
        <v>1461</v>
      </c>
      <c r="F5162" s="20">
        <v>1928764</v>
      </c>
    </row>
    <row r="5163" spans="1:6" ht="16" customHeight="1" x14ac:dyDescent="0.2">
      <c r="A5163">
        <f>IFERROR(VLOOKUP(C5163,'GASB Match'!$D$2:$F$6042,3,FALSE),"")</f>
        <v>3415390</v>
      </c>
      <c r="B5163" s="17">
        <v>2019</v>
      </c>
      <c r="C5163" s="17" t="s">
        <v>1089</v>
      </c>
      <c r="D5163" s="17">
        <v>253</v>
      </c>
      <c r="E5163" s="17" t="s">
        <v>1461</v>
      </c>
      <c r="F5163" s="20">
        <v>2637475</v>
      </c>
    </row>
    <row r="5164" spans="1:6" ht="16" customHeight="1" x14ac:dyDescent="0.2">
      <c r="A5164">
        <f>IFERROR(VLOOKUP(C5164,'GASB Match'!$D$2:$F$6042,3,FALSE),"")</f>
        <v>3415390</v>
      </c>
      <c r="B5164" s="17">
        <v>2020</v>
      </c>
      <c r="C5164" s="21" t="s">
        <v>1089</v>
      </c>
      <c r="D5164" s="17">
        <v>253</v>
      </c>
      <c r="E5164" s="17" t="s">
        <v>1461</v>
      </c>
      <c r="F5164" s="23">
        <v>2899344</v>
      </c>
    </row>
    <row r="5165" spans="1:6" ht="16" customHeight="1" x14ac:dyDescent="0.2">
      <c r="A5165">
        <f>IFERROR(VLOOKUP(C5165,'GASB Match'!$D$2:$F$6042,3,FALSE),"")</f>
        <v>3415390</v>
      </c>
      <c r="B5165" s="17">
        <v>2021</v>
      </c>
      <c r="C5165" s="25" t="s">
        <v>1089</v>
      </c>
      <c r="D5165" s="17">
        <v>253</v>
      </c>
      <c r="E5165" s="17" t="s">
        <v>1461</v>
      </c>
      <c r="F5165" s="23">
        <v>4011476</v>
      </c>
    </row>
    <row r="5166" spans="1:6" ht="16" customHeight="1" x14ac:dyDescent="0.2">
      <c r="A5166">
        <f>IFERROR(VLOOKUP(C5166,'GASB Match'!$D$2:$F$6042,3,FALSE),"")</f>
        <v>3415390</v>
      </c>
      <c r="B5166" s="17">
        <v>2022</v>
      </c>
      <c r="C5166" s="21" t="s">
        <v>1089</v>
      </c>
      <c r="D5166" s="17">
        <v>253</v>
      </c>
      <c r="E5166" s="17" t="s">
        <v>1461</v>
      </c>
      <c r="F5166" s="23">
        <v>6071689</v>
      </c>
    </row>
    <row r="5167" spans="1:6" ht="16" customHeight="1" x14ac:dyDescent="0.2">
      <c r="A5167">
        <f>IFERROR(VLOOKUP(C5167,'GASB Match'!$D$2:$F$6042,3,FALSE),"")</f>
        <v>3415390</v>
      </c>
      <c r="B5167" s="17">
        <v>2023</v>
      </c>
      <c r="C5167" s="21" t="s">
        <v>1089</v>
      </c>
      <c r="D5167" s="17">
        <v>253</v>
      </c>
      <c r="E5167" s="17" t="s">
        <v>1461</v>
      </c>
      <c r="F5167" s="23">
        <v>6049712</v>
      </c>
    </row>
    <row r="5168" spans="1:6" ht="16" customHeight="1" x14ac:dyDescent="0.2">
      <c r="A5168">
        <f>IFERROR(VLOOKUP(C5168,'GASB Match'!$D$2:$F$6042,3,FALSE),"")</f>
        <v>3415390</v>
      </c>
      <c r="B5168" s="28">
        <v>2017</v>
      </c>
      <c r="C5168" s="29" t="s">
        <v>397</v>
      </c>
      <c r="D5168" s="17">
        <v>253</v>
      </c>
      <c r="E5168" s="17" t="s">
        <v>1418</v>
      </c>
      <c r="F5168" s="29">
        <v>1462959</v>
      </c>
    </row>
    <row r="5169" spans="1:6" ht="16" customHeight="1" x14ac:dyDescent="0.2">
      <c r="A5169">
        <f>IFERROR(VLOOKUP(C5169,'GASB Match'!$D$2:$F$6042,3,FALSE),"")</f>
        <v>3415420</v>
      </c>
      <c r="B5169" s="17">
        <v>2015</v>
      </c>
      <c r="C5169" s="17" t="s">
        <v>142</v>
      </c>
      <c r="D5169" s="17">
        <v>3041</v>
      </c>
      <c r="E5169" s="17" t="s">
        <v>1404</v>
      </c>
      <c r="F5169" s="20">
        <v>309163</v>
      </c>
    </row>
    <row r="5170" spans="1:6" ht="16" customHeight="1" x14ac:dyDescent="0.2">
      <c r="A5170">
        <f>IFERROR(VLOOKUP(C5170,'GASB Match'!$D$2:$F$6042,3,FALSE),"")</f>
        <v>3415420</v>
      </c>
      <c r="B5170" s="17">
        <v>2016</v>
      </c>
      <c r="C5170" s="17" t="s">
        <v>142</v>
      </c>
      <c r="D5170" s="17">
        <v>3041</v>
      </c>
      <c r="E5170" s="17" t="s">
        <v>1404</v>
      </c>
      <c r="F5170" s="20">
        <v>452990</v>
      </c>
    </row>
    <row r="5171" spans="1:6" ht="16" customHeight="1" x14ac:dyDescent="0.2">
      <c r="A5171">
        <f>IFERROR(VLOOKUP(C5171,'GASB Match'!$D$2:$F$6042,3,FALSE),"")</f>
        <v>3415420</v>
      </c>
      <c r="B5171" s="17">
        <v>2018</v>
      </c>
      <c r="C5171" s="17" t="s">
        <v>823</v>
      </c>
      <c r="D5171" s="17">
        <v>3041</v>
      </c>
      <c r="E5171" s="17" t="s">
        <v>1445</v>
      </c>
      <c r="F5171" s="20">
        <v>841618</v>
      </c>
    </row>
    <row r="5172" spans="1:6" ht="16" customHeight="1" x14ac:dyDescent="0.2">
      <c r="A5172">
        <f>IFERROR(VLOOKUP(C5172,'GASB Match'!$D$2:$F$6042,3,FALSE),"")</f>
        <v>3415420</v>
      </c>
      <c r="B5172" s="17">
        <v>2019</v>
      </c>
      <c r="C5172" s="17" t="s">
        <v>823</v>
      </c>
      <c r="D5172" s="17">
        <v>3041</v>
      </c>
      <c r="E5172" s="17" t="s">
        <v>1445</v>
      </c>
      <c r="F5172" s="20">
        <v>1088709</v>
      </c>
    </row>
    <row r="5173" spans="1:6" ht="16" customHeight="1" x14ac:dyDescent="0.2">
      <c r="A5173">
        <f>IFERROR(VLOOKUP(C5173,'GASB Match'!$D$2:$F$6042,3,FALSE),"")</f>
        <v>3415420</v>
      </c>
      <c r="B5173" s="17">
        <v>2020</v>
      </c>
      <c r="C5173" s="21" t="s">
        <v>823</v>
      </c>
      <c r="D5173" s="17">
        <v>3041</v>
      </c>
      <c r="E5173" s="17" t="s">
        <v>1445</v>
      </c>
      <c r="F5173" s="23">
        <v>1300295</v>
      </c>
    </row>
    <row r="5174" spans="1:6" ht="16" customHeight="1" x14ac:dyDescent="0.2">
      <c r="A5174">
        <f>IFERROR(VLOOKUP(C5174,'GASB Match'!$D$2:$F$6042,3,FALSE),"")</f>
        <v>3415420</v>
      </c>
      <c r="B5174" s="17">
        <v>2021</v>
      </c>
      <c r="C5174" s="25" t="s">
        <v>823</v>
      </c>
      <c r="D5174" s="17">
        <v>3041</v>
      </c>
      <c r="E5174" s="17" t="s">
        <v>1445</v>
      </c>
      <c r="F5174" s="23">
        <v>1610152</v>
      </c>
    </row>
    <row r="5175" spans="1:6" ht="16" customHeight="1" x14ac:dyDescent="0.2">
      <c r="A5175">
        <f>IFERROR(VLOOKUP(C5175,'GASB Match'!$D$2:$F$6042,3,FALSE),"")</f>
        <v>3415420</v>
      </c>
      <c r="B5175" s="17">
        <v>2022</v>
      </c>
      <c r="C5175" s="21" t="s">
        <v>823</v>
      </c>
      <c r="D5175" s="17">
        <v>3041</v>
      </c>
      <c r="E5175" s="17" t="s">
        <v>1445</v>
      </c>
      <c r="F5175" s="23">
        <v>2238199</v>
      </c>
    </row>
    <row r="5176" spans="1:6" ht="16" customHeight="1" x14ac:dyDescent="0.2">
      <c r="A5176">
        <f>IFERROR(VLOOKUP(C5176,'GASB Match'!$D$2:$F$6042,3,FALSE),"")</f>
        <v>3415420</v>
      </c>
      <c r="B5176" s="17">
        <v>2023</v>
      </c>
      <c r="C5176" s="21" t="s">
        <v>823</v>
      </c>
      <c r="D5176" s="17">
        <v>3041</v>
      </c>
      <c r="E5176" s="17" t="s">
        <v>1445</v>
      </c>
      <c r="F5176" s="23">
        <v>2271444</v>
      </c>
    </row>
    <row r="5177" spans="1:6" ht="16" customHeight="1" x14ac:dyDescent="0.2">
      <c r="A5177">
        <f>IFERROR(VLOOKUP(C5177,'GASB Match'!$D$2:$F$6042,3,FALSE),"")</f>
        <v>3415420</v>
      </c>
      <c r="B5177" s="28">
        <v>2017</v>
      </c>
      <c r="C5177" s="29" t="s">
        <v>142</v>
      </c>
      <c r="D5177" s="17">
        <v>3041</v>
      </c>
      <c r="E5177" s="17" t="s">
        <v>1404</v>
      </c>
      <c r="F5177" s="29">
        <v>633901</v>
      </c>
    </row>
    <row r="5178" spans="1:6" ht="16" customHeight="1" x14ac:dyDescent="0.2">
      <c r="A5178">
        <f>IFERROR(VLOOKUP(C5178,'GASB Match'!$D$2:$F$6042,3,FALSE),"")</f>
        <v>3415480</v>
      </c>
      <c r="B5178" s="17">
        <v>2015</v>
      </c>
      <c r="C5178" s="17" t="s">
        <v>519</v>
      </c>
      <c r="D5178" s="17">
        <v>546</v>
      </c>
      <c r="E5178" s="17" t="s">
        <v>1422</v>
      </c>
      <c r="F5178" s="20">
        <v>1158665</v>
      </c>
    </row>
    <row r="5179" spans="1:6" ht="16" customHeight="1" x14ac:dyDescent="0.2">
      <c r="A5179">
        <f>IFERROR(VLOOKUP(C5179,'GASB Match'!$D$2:$F$6042,3,FALSE),"")</f>
        <v>3415480</v>
      </c>
      <c r="B5179" s="17">
        <v>2016</v>
      </c>
      <c r="C5179" s="17" t="s">
        <v>519</v>
      </c>
      <c r="D5179" s="17">
        <v>546</v>
      </c>
      <c r="E5179" s="17" t="s">
        <v>1422</v>
      </c>
      <c r="F5179" s="20">
        <v>1727065</v>
      </c>
    </row>
    <row r="5180" spans="1:6" ht="16" customHeight="1" x14ac:dyDescent="0.2">
      <c r="A5180">
        <f>IFERROR(VLOOKUP(C5180,'GASB Match'!$D$2:$F$6042,3,FALSE),"")</f>
        <v>3415480</v>
      </c>
      <c r="B5180" s="17">
        <v>2018</v>
      </c>
      <c r="C5180" s="17" t="s">
        <v>1211</v>
      </c>
      <c r="D5180" s="17">
        <v>546</v>
      </c>
      <c r="E5180" s="17" t="s">
        <v>1465</v>
      </c>
      <c r="F5180" s="20">
        <v>3270171</v>
      </c>
    </row>
    <row r="5181" spans="1:6" ht="16" customHeight="1" x14ac:dyDescent="0.2">
      <c r="A5181">
        <f>IFERROR(VLOOKUP(C5181,'GASB Match'!$D$2:$F$6042,3,FALSE),"")</f>
        <v>3415480</v>
      </c>
      <c r="B5181" s="17">
        <v>2019</v>
      </c>
      <c r="C5181" s="17" t="s">
        <v>1211</v>
      </c>
      <c r="D5181" s="17">
        <v>546</v>
      </c>
      <c r="E5181" s="17" t="s">
        <v>1465</v>
      </c>
      <c r="F5181" s="20">
        <v>4276379</v>
      </c>
    </row>
    <row r="5182" spans="1:6" ht="16" customHeight="1" x14ac:dyDescent="0.2">
      <c r="A5182">
        <f>IFERROR(VLOOKUP(C5182,'GASB Match'!$D$2:$F$6042,3,FALSE),"")</f>
        <v>3415480</v>
      </c>
      <c r="B5182" s="17">
        <v>2020</v>
      </c>
      <c r="C5182" s="21" t="s">
        <v>1211</v>
      </c>
      <c r="D5182" s="17">
        <v>546</v>
      </c>
      <c r="E5182" s="17" t="s">
        <v>1465</v>
      </c>
      <c r="F5182" s="23">
        <v>4727259</v>
      </c>
    </row>
    <row r="5183" spans="1:6" ht="16" customHeight="1" x14ac:dyDescent="0.2">
      <c r="A5183">
        <f>IFERROR(VLOOKUP(C5183,'GASB Match'!$D$2:$F$6042,3,FALSE),"")</f>
        <v>3415480</v>
      </c>
      <c r="B5183" s="17">
        <v>2021</v>
      </c>
      <c r="C5183" s="25" t="s">
        <v>1211</v>
      </c>
      <c r="D5183" s="17">
        <v>546</v>
      </c>
      <c r="E5183" s="17" t="s">
        <v>1465</v>
      </c>
      <c r="F5183" s="23">
        <v>6094615</v>
      </c>
    </row>
    <row r="5184" spans="1:6" ht="16" customHeight="1" x14ac:dyDescent="0.2">
      <c r="A5184">
        <f>IFERROR(VLOOKUP(C5184,'GASB Match'!$D$2:$F$6042,3,FALSE),"")</f>
        <v>3415480</v>
      </c>
      <c r="B5184" s="17">
        <v>2022</v>
      </c>
      <c r="C5184" s="21" t="s">
        <v>1211</v>
      </c>
      <c r="D5184" s="17">
        <v>546</v>
      </c>
      <c r="E5184" s="17" t="s">
        <v>1465</v>
      </c>
      <c r="F5184" s="23">
        <v>8805896</v>
      </c>
    </row>
    <row r="5185" spans="1:6" ht="16" customHeight="1" x14ac:dyDescent="0.2">
      <c r="A5185">
        <f>IFERROR(VLOOKUP(C5185,'GASB Match'!$D$2:$F$6042,3,FALSE),"")</f>
        <v>3415480</v>
      </c>
      <c r="B5185" s="17">
        <v>2023</v>
      </c>
      <c r="C5185" s="21" t="s">
        <v>1211</v>
      </c>
      <c r="D5185" s="17">
        <v>546</v>
      </c>
      <c r="E5185" s="17" t="s">
        <v>1465</v>
      </c>
      <c r="F5185" s="23">
        <v>9046184</v>
      </c>
    </row>
    <row r="5186" spans="1:6" ht="16" customHeight="1" x14ac:dyDescent="0.2">
      <c r="A5186">
        <f>IFERROR(VLOOKUP(C5186,'GASB Match'!$D$2:$F$6042,3,FALSE),"")</f>
        <v>3415480</v>
      </c>
      <c r="B5186" s="28">
        <v>2017</v>
      </c>
      <c r="C5186" s="29" t="s">
        <v>519</v>
      </c>
      <c r="D5186" s="17">
        <v>546</v>
      </c>
      <c r="E5186" s="17" t="s">
        <v>1422</v>
      </c>
      <c r="F5186" s="29">
        <v>2395534</v>
      </c>
    </row>
    <row r="5187" spans="1:6" ht="16" customHeight="1" x14ac:dyDescent="0.2">
      <c r="A5187">
        <f>IFERROR(VLOOKUP(C5187,'GASB Match'!$D$2:$F$6042,3,FALSE),"")</f>
        <v>3415510</v>
      </c>
      <c r="B5187" s="17">
        <v>2015</v>
      </c>
      <c r="C5187" s="17" t="s">
        <v>601</v>
      </c>
      <c r="D5187" s="17">
        <v>789</v>
      </c>
      <c r="E5187" s="17" t="s">
        <v>1426</v>
      </c>
      <c r="F5187" s="20">
        <v>1350421</v>
      </c>
    </row>
    <row r="5188" spans="1:6" ht="16" customHeight="1" x14ac:dyDescent="0.2">
      <c r="A5188">
        <f>IFERROR(VLOOKUP(C5188,'GASB Match'!$D$2:$F$6042,3,FALSE),"")</f>
        <v>3415510</v>
      </c>
      <c r="B5188" s="17">
        <v>2016</v>
      </c>
      <c r="C5188" s="17" t="s">
        <v>601</v>
      </c>
      <c r="D5188" s="17">
        <v>789</v>
      </c>
      <c r="E5188" s="17" t="s">
        <v>1426</v>
      </c>
      <c r="F5188" s="20">
        <v>2032761</v>
      </c>
    </row>
    <row r="5189" spans="1:6" ht="16" customHeight="1" x14ac:dyDescent="0.2">
      <c r="A5189">
        <f>IFERROR(VLOOKUP(C5189,'GASB Match'!$D$2:$F$6042,3,FALSE),"")</f>
        <v>3415510</v>
      </c>
      <c r="B5189" s="17">
        <v>2018</v>
      </c>
      <c r="C5189" s="17" t="s">
        <v>1294</v>
      </c>
      <c r="D5189" s="17">
        <v>789</v>
      </c>
      <c r="E5189" s="17" t="s">
        <v>1469</v>
      </c>
      <c r="F5189" s="20">
        <v>3820900</v>
      </c>
    </row>
    <row r="5190" spans="1:6" ht="16" customHeight="1" x14ac:dyDescent="0.2">
      <c r="A5190">
        <f>IFERROR(VLOOKUP(C5190,'GASB Match'!$D$2:$F$6042,3,FALSE),"")</f>
        <v>3415510</v>
      </c>
      <c r="B5190" s="17">
        <v>2019</v>
      </c>
      <c r="C5190" s="17" t="s">
        <v>1294</v>
      </c>
      <c r="D5190" s="17">
        <v>789</v>
      </c>
      <c r="E5190" s="17" t="s">
        <v>1469</v>
      </c>
      <c r="F5190" s="20">
        <v>5202538</v>
      </c>
    </row>
    <row r="5191" spans="1:6" ht="16" customHeight="1" x14ac:dyDescent="0.2">
      <c r="A5191">
        <f>IFERROR(VLOOKUP(C5191,'GASB Match'!$D$2:$F$6042,3,FALSE),"")</f>
        <v>3415510</v>
      </c>
      <c r="B5191" s="17">
        <v>2020</v>
      </c>
      <c r="C5191" s="21" t="s">
        <v>1294</v>
      </c>
      <c r="D5191" s="17">
        <v>789</v>
      </c>
      <c r="E5191" s="17" t="s">
        <v>1469</v>
      </c>
      <c r="F5191" s="23">
        <v>5994991</v>
      </c>
    </row>
    <row r="5192" spans="1:6" ht="16" customHeight="1" x14ac:dyDescent="0.2">
      <c r="A5192">
        <f>IFERROR(VLOOKUP(C5192,'GASB Match'!$D$2:$F$6042,3,FALSE),"")</f>
        <v>3415510</v>
      </c>
      <c r="B5192" s="17">
        <v>2021</v>
      </c>
      <c r="C5192" s="25" t="s">
        <v>1294</v>
      </c>
      <c r="D5192" s="17">
        <v>789</v>
      </c>
      <c r="E5192" s="17" t="s">
        <v>1469</v>
      </c>
      <c r="F5192" s="23">
        <v>7682952</v>
      </c>
    </row>
    <row r="5193" spans="1:6" ht="16" customHeight="1" x14ac:dyDescent="0.2">
      <c r="A5193">
        <f>IFERROR(VLOOKUP(C5193,'GASB Match'!$D$2:$F$6042,3,FALSE),"")</f>
        <v>3415510</v>
      </c>
      <c r="B5193" s="17">
        <v>2022</v>
      </c>
      <c r="C5193" s="21" t="s">
        <v>1294</v>
      </c>
      <c r="D5193" s="17">
        <v>789</v>
      </c>
      <c r="E5193" s="17" t="s">
        <v>1469</v>
      </c>
      <c r="F5193" s="23">
        <v>11213826</v>
      </c>
    </row>
    <row r="5194" spans="1:6" ht="16" customHeight="1" x14ac:dyDescent="0.2">
      <c r="A5194">
        <f>IFERROR(VLOOKUP(C5194,'GASB Match'!$D$2:$F$6042,3,FALSE),"")</f>
        <v>3415510</v>
      </c>
      <c r="B5194" s="17">
        <v>2023</v>
      </c>
      <c r="C5194" s="21" t="s">
        <v>1294</v>
      </c>
      <c r="D5194" s="17">
        <v>789</v>
      </c>
      <c r="E5194" s="17" t="s">
        <v>1469</v>
      </c>
      <c r="F5194" s="23">
        <v>11523997</v>
      </c>
    </row>
    <row r="5195" spans="1:6" ht="16" customHeight="1" x14ac:dyDescent="0.2">
      <c r="A5195">
        <f>IFERROR(VLOOKUP(C5195,'GASB Match'!$D$2:$F$6042,3,FALSE),"")</f>
        <v>3415510</v>
      </c>
      <c r="B5195" s="28">
        <v>2017</v>
      </c>
      <c r="C5195" s="29" t="s">
        <v>601</v>
      </c>
      <c r="D5195" s="17">
        <v>789</v>
      </c>
      <c r="E5195" s="17" t="s">
        <v>1426</v>
      </c>
      <c r="F5195" s="29">
        <v>2868229</v>
      </c>
    </row>
    <row r="5196" spans="1:6" ht="16" customHeight="1" x14ac:dyDescent="0.2">
      <c r="A5196">
        <f>IFERROR(VLOOKUP(C5196,'GASB Match'!$D$2:$F$6042,3,FALSE),"")</f>
        <v>3415540</v>
      </c>
      <c r="B5196" s="17">
        <v>2015</v>
      </c>
      <c r="C5196" s="17" t="s">
        <v>398</v>
      </c>
      <c r="D5196" s="17">
        <v>254</v>
      </c>
      <c r="E5196" s="17" t="s">
        <v>1418</v>
      </c>
      <c r="F5196" s="20">
        <v>650987</v>
      </c>
    </row>
    <row r="5197" spans="1:6" ht="16" customHeight="1" x14ac:dyDescent="0.2">
      <c r="A5197">
        <f>IFERROR(VLOOKUP(C5197,'GASB Match'!$D$2:$F$6042,3,FALSE),"")</f>
        <v>3415540</v>
      </c>
      <c r="B5197" s="17">
        <v>2016</v>
      </c>
      <c r="C5197" s="17" t="s">
        <v>398</v>
      </c>
      <c r="D5197" s="17">
        <v>254</v>
      </c>
      <c r="E5197" s="17" t="s">
        <v>1418</v>
      </c>
      <c r="F5197" s="20">
        <v>936905</v>
      </c>
    </row>
    <row r="5198" spans="1:6" ht="16" customHeight="1" x14ac:dyDescent="0.2">
      <c r="A5198">
        <f>IFERROR(VLOOKUP(C5198,'GASB Match'!$D$2:$F$6042,3,FALSE),"")</f>
        <v>3415540</v>
      </c>
      <c r="B5198" s="17">
        <v>2018</v>
      </c>
      <c r="C5198" s="17" t="s">
        <v>1090</v>
      </c>
      <c r="D5198" s="17">
        <v>254</v>
      </c>
      <c r="E5198" s="17" t="s">
        <v>1461</v>
      </c>
      <c r="F5198" s="20">
        <v>1711571</v>
      </c>
    </row>
    <row r="5199" spans="1:6" ht="16" customHeight="1" x14ac:dyDescent="0.2">
      <c r="A5199">
        <f>IFERROR(VLOOKUP(C5199,'GASB Match'!$D$2:$F$6042,3,FALSE),"")</f>
        <v>3415540</v>
      </c>
      <c r="B5199" s="17">
        <v>2019</v>
      </c>
      <c r="C5199" s="17" t="s">
        <v>1090</v>
      </c>
      <c r="D5199" s="17">
        <v>254</v>
      </c>
      <c r="E5199" s="17" t="s">
        <v>1461</v>
      </c>
      <c r="F5199" s="20">
        <v>2191731</v>
      </c>
    </row>
    <row r="5200" spans="1:6" ht="16" customHeight="1" x14ac:dyDescent="0.2">
      <c r="A5200">
        <f>IFERROR(VLOOKUP(C5200,'GASB Match'!$D$2:$F$6042,3,FALSE),"")</f>
        <v>3415540</v>
      </c>
      <c r="B5200" s="17">
        <v>2020</v>
      </c>
      <c r="C5200" s="21" t="s">
        <v>1090</v>
      </c>
      <c r="D5200" s="17">
        <v>254</v>
      </c>
      <c r="E5200" s="17" t="s">
        <v>1461</v>
      </c>
      <c r="F5200" s="23">
        <v>2445215</v>
      </c>
    </row>
    <row r="5201" spans="1:6" ht="16" customHeight="1" x14ac:dyDescent="0.2">
      <c r="A5201">
        <f>IFERROR(VLOOKUP(C5201,'GASB Match'!$D$2:$F$6042,3,FALSE),"")</f>
        <v>3415540</v>
      </c>
      <c r="B5201" s="17">
        <v>2021</v>
      </c>
      <c r="C5201" s="25" t="s">
        <v>1090</v>
      </c>
      <c r="D5201" s="17">
        <v>254</v>
      </c>
      <c r="E5201" s="17" t="s">
        <v>1461</v>
      </c>
      <c r="F5201" s="23">
        <v>3183413</v>
      </c>
    </row>
    <row r="5202" spans="1:6" ht="16" customHeight="1" x14ac:dyDescent="0.2">
      <c r="A5202">
        <f>IFERROR(VLOOKUP(C5202,'GASB Match'!$D$2:$F$6042,3,FALSE),"")</f>
        <v>3415540</v>
      </c>
      <c r="B5202" s="17">
        <v>2022</v>
      </c>
      <c r="C5202" s="21" t="s">
        <v>1090</v>
      </c>
      <c r="D5202" s="17">
        <v>254</v>
      </c>
      <c r="E5202" s="17" t="s">
        <v>1461</v>
      </c>
      <c r="F5202" s="23">
        <v>4300745</v>
      </c>
    </row>
    <row r="5203" spans="1:6" ht="16" customHeight="1" x14ac:dyDescent="0.2">
      <c r="A5203">
        <f>IFERROR(VLOOKUP(C5203,'GASB Match'!$D$2:$F$6042,3,FALSE),"")</f>
        <v>3415540</v>
      </c>
      <c r="B5203" s="17">
        <v>2023</v>
      </c>
      <c r="C5203" s="21" t="s">
        <v>1090</v>
      </c>
      <c r="D5203" s="17">
        <v>254</v>
      </c>
      <c r="E5203" s="17" t="s">
        <v>1461</v>
      </c>
      <c r="F5203" s="23">
        <v>4342934</v>
      </c>
    </row>
    <row r="5204" spans="1:6" ht="16" customHeight="1" x14ac:dyDescent="0.2">
      <c r="A5204">
        <f>IFERROR(VLOOKUP(C5204,'GASB Match'!$D$2:$F$6042,3,FALSE),"")</f>
        <v>3415540</v>
      </c>
      <c r="B5204" s="28">
        <v>2017</v>
      </c>
      <c r="C5204" s="29" t="s">
        <v>398</v>
      </c>
      <c r="D5204" s="17">
        <v>254</v>
      </c>
      <c r="E5204" s="17" t="s">
        <v>1418</v>
      </c>
      <c r="F5204" s="29">
        <v>1290790</v>
      </c>
    </row>
    <row r="5205" spans="1:6" ht="16" customHeight="1" x14ac:dyDescent="0.2">
      <c r="A5205">
        <f>IFERROR(VLOOKUP(C5205,'GASB Match'!$D$2:$F$6042,3,FALSE),"")</f>
        <v>3415570</v>
      </c>
      <c r="B5205" s="17">
        <v>2015</v>
      </c>
      <c r="C5205" s="17" t="s">
        <v>447</v>
      </c>
      <c r="D5205" s="17">
        <v>358</v>
      </c>
      <c r="E5205" s="17" t="s">
        <v>1420</v>
      </c>
      <c r="F5205" s="20">
        <v>116039</v>
      </c>
    </row>
    <row r="5206" spans="1:6" ht="16" customHeight="1" x14ac:dyDescent="0.2">
      <c r="A5206">
        <f>IFERROR(VLOOKUP(C5206,'GASB Match'!$D$2:$F$6042,3,FALSE),"")</f>
        <v>3415570</v>
      </c>
      <c r="B5206" s="17">
        <v>2016</v>
      </c>
      <c r="C5206" s="17" t="s">
        <v>447</v>
      </c>
      <c r="D5206" s="17">
        <v>358</v>
      </c>
      <c r="E5206" s="17" t="s">
        <v>1420</v>
      </c>
      <c r="F5206" s="20">
        <v>201324</v>
      </c>
    </row>
    <row r="5207" spans="1:6" ht="16" customHeight="1" x14ac:dyDescent="0.2">
      <c r="A5207">
        <f>IFERROR(VLOOKUP(C5207,'GASB Match'!$D$2:$F$6042,3,FALSE),"")</f>
        <v>3415570</v>
      </c>
      <c r="B5207" s="17">
        <v>2018</v>
      </c>
      <c r="C5207" s="17" t="s">
        <v>1139</v>
      </c>
      <c r="D5207" s="17">
        <v>358</v>
      </c>
      <c r="E5207" s="17" t="s">
        <v>1463</v>
      </c>
      <c r="F5207" s="20">
        <v>350731</v>
      </c>
    </row>
    <row r="5208" spans="1:6" ht="16" customHeight="1" x14ac:dyDescent="0.2">
      <c r="A5208">
        <f>IFERROR(VLOOKUP(C5208,'GASB Match'!$D$2:$F$6042,3,FALSE),"")</f>
        <v>3415570</v>
      </c>
      <c r="B5208" s="17">
        <v>2019</v>
      </c>
      <c r="C5208" s="17" t="s">
        <v>1139</v>
      </c>
      <c r="D5208" s="17">
        <v>358</v>
      </c>
      <c r="E5208" s="17" t="s">
        <v>1463</v>
      </c>
      <c r="F5208" s="20">
        <v>398078</v>
      </c>
    </row>
    <row r="5209" spans="1:6" ht="16" customHeight="1" x14ac:dyDescent="0.2">
      <c r="A5209">
        <f>IFERROR(VLOOKUP(C5209,'GASB Match'!$D$2:$F$6042,3,FALSE),"")</f>
        <v>3415570</v>
      </c>
      <c r="B5209" s="17">
        <v>2020</v>
      </c>
      <c r="C5209" s="21" t="s">
        <v>1139</v>
      </c>
      <c r="D5209" s="17">
        <v>358</v>
      </c>
      <c r="E5209" s="17" t="s">
        <v>1463</v>
      </c>
      <c r="F5209" s="23">
        <v>499785</v>
      </c>
    </row>
    <row r="5210" spans="1:6" ht="16" customHeight="1" x14ac:dyDescent="0.2">
      <c r="A5210">
        <f>IFERROR(VLOOKUP(C5210,'GASB Match'!$D$2:$F$6042,3,FALSE),"")</f>
        <v>3415570</v>
      </c>
      <c r="B5210" s="17">
        <v>2021</v>
      </c>
      <c r="C5210" s="25" t="s">
        <v>1139</v>
      </c>
      <c r="D5210" s="17">
        <v>358</v>
      </c>
      <c r="E5210" s="17" t="s">
        <v>1463</v>
      </c>
      <c r="F5210" s="23">
        <v>702230</v>
      </c>
    </row>
    <row r="5211" spans="1:6" ht="16" customHeight="1" x14ac:dyDescent="0.2">
      <c r="A5211">
        <f>IFERROR(VLOOKUP(C5211,'GASB Match'!$D$2:$F$6042,3,FALSE),"")</f>
        <v>3415570</v>
      </c>
      <c r="B5211" s="17">
        <v>2022</v>
      </c>
      <c r="C5211" s="21" t="s">
        <v>1139</v>
      </c>
      <c r="D5211" s="17">
        <v>358</v>
      </c>
      <c r="E5211" s="17" t="s">
        <v>1463</v>
      </c>
      <c r="F5211" s="23">
        <v>770436</v>
      </c>
    </row>
    <row r="5212" spans="1:6" ht="16" customHeight="1" x14ac:dyDescent="0.2">
      <c r="A5212">
        <f>IFERROR(VLOOKUP(C5212,'GASB Match'!$D$2:$F$6042,3,FALSE),"")</f>
        <v>3415570</v>
      </c>
      <c r="B5212" s="17">
        <v>2023</v>
      </c>
      <c r="C5212" s="21" t="s">
        <v>1139</v>
      </c>
      <c r="D5212" s="17">
        <v>358</v>
      </c>
      <c r="E5212" s="17" t="s">
        <v>1463</v>
      </c>
      <c r="F5212" s="23">
        <v>789094</v>
      </c>
    </row>
    <row r="5213" spans="1:6" ht="16" customHeight="1" x14ac:dyDescent="0.2">
      <c r="A5213">
        <f>IFERROR(VLOOKUP(C5213,'GASB Match'!$D$2:$F$6042,3,FALSE),"")</f>
        <v>3415570</v>
      </c>
      <c r="B5213" s="28">
        <v>2017</v>
      </c>
      <c r="C5213" s="29" t="s">
        <v>447</v>
      </c>
      <c r="D5213" s="17">
        <v>358</v>
      </c>
      <c r="E5213" s="17" t="s">
        <v>1420</v>
      </c>
      <c r="F5213" s="29">
        <v>246756</v>
      </c>
    </row>
    <row r="5214" spans="1:6" ht="16" customHeight="1" x14ac:dyDescent="0.2">
      <c r="A5214">
        <f>IFERROR(VLOOKUP(C5214,'GASB Match'!$D$2:$F$6042,3,FALSE),"")</f>
        <v>3415600</v>
      </c>
      <c r="B5214" s="17">
        <v>2015</v>
      </c>
      <c r="C5214" s="17" t="s">
        <v>448</v>
      </c>
      <c r="D5214" s="17">
        <v>368</v>
      </c>
      <c r="E5214" s="17" t="s">
        <v>1420</v>
      </c>
      <c r="F5214" s="20">
        <v>121695</v>
      </c>
    </row>
    <row r="5215" spans="1:6" ht="16" customHeight="1" x14ac:dyDescent="0.2">
      <c r="A5215">
        <f>IFERROR(VLOOKUP(C5215,'GASB Match'!$D$2:$F$6042,3,FALSE),"")</f>
        <v>3415600</v>
      </c>
      <c r="B5215" s="17">
        <v>2016</v>
      </c>
      <c r="C5215" s="17" t="s">
        <v>448</v>
      </c>
      <c r="D5215" s="17">
        <v>368</v>
      </c>
      <c r="E5215" s="17" t="s">
        <v>1420</v>
      </c>
      <c r="F5215" s="20">
        <v>181625</v>
      </c>
    </row>
    <row r="5216" spans="1:6" ht="16" customHeight="1" x14ac:dyDescent="0.2">
      <c r="A5216">
        <f>IFERROR(VLOOKUP(C5216,'GASB Match'!$D$2:$F$6042,3,FALSE),"")</f>
        <v>3415600</v>
      </c>
      <c r="B5216" s="17">
        <v>2018</v>
      </c>
      <c r="C5216" s="17" t="s">
        <v>1140</v>
      </c>
      <c r="D5216" s="17">
        <v>368</v>
      </c>
      <c r="E5216" s="17" t="s">
        <v>1463</v>
      </c>
      <c r="F5216" s="20">
        <v>352600</v>
      </c>
    </row>
    <row r="5217" spans="1:6" ht="16" customHeight="1" x14ac:dyDescent="0.2">
      <c r="A5217">
        <f>IFERROR(VLOOKUP(C5217,'GASB Match'!$D$2:$F$6042,3,FALSE),"")</f>
        <v>3415600</v>
      </c>
      <c r="B5217" s="17">
        <v>2019</v>
      </c>
      <c r="C5217" s="17" t="s">
        <v>1140</v>
      </c>
      <c r="D5217" s="17">
        <v>368</v>
      </c>
      <c r="E5217" s="17" t="s">
        <v>1463</v>
      </c>
      <c r="F5217" s="20">
        <v>504301</v>
      </c>
    </row>
    <row r="5218" spans="1:6" ht="16" customHeight="1" x14ac:dyDescent="0.2">
      <c r="A5218">
        <f>IFERROR(VLOOKUP(C5218,'GASB Match'!$D$2:$F$6042,3,FALSE),"")</f>
        <v>3415600</v>
      </c>
      <c r="B5218" s="17">
        <v>2020</v>
      </c>
      <c r="C5218" s="21" t="s">
        <v>1140</v>
      </c>
      <c r="D5218" s="17">
        <v>368</v>
      </c>
      <c r="E5218" s="17" t="s">
        <v>1463</v>
      </c>
      <c r="F5218" s="23">
        <v>543273</v>
      </c>
    </row>
    <row r="5219" spans="1:6" ht="16" customHeight="1" x14ac:dyDescent="0.2">
      <c r="A5219">
        <f>IFERROR(VLOOKUP(C5219,'GASB Match'!$D$2:$F$6042,3,FALSE),"")</f>
        <v>3415600</v>
      </c>
      <c r="B5219" s="17">
        <v>2021</v>
      </c>
      <c r="C5219" s="25" t="s">
        <v>1140</v>
      </c>
      <c r="D5219" s="17">
        <v>368</v>
      </c>
      <c r="E5219" s="17" t="s">
        <v>1463</v>
      </c>
      <c r="F5219" s="23">
        <v>690663</v>
      </c>
    </row>
    <row r="5220" spans="1:6" ht="16" customHeight="1" x14ac:dyDescent="0.2">
      <c r="A5220">
        <f>IFERROR(VLOOKUP(C5220,'GASB Match'!$D$2:$F$6042,3,FALSE),"")</f>
        <v>3415600</v>
      </c>
      <c r="B5220" s="17">
        <v>2022</v>
      </c>
      <c r="C5220" s="21" t="s">
        <v>1140</v>
      </c>
      <c r="D5220" s="17">
        <v>368</v>
      </c>
      <c r="E5220" s="17" t="s">
        <v>1463</v>
      </c>
      <c r="F5220" s="23">
        <v>1054637</v>
      </c>
    </row>
    <row r="5221" spans="1:6" ht="16" customHeight="1" x14ac:dyDescent="0.2">
      <c r="A5221">
        <f>IFERROR(VLOOKUP(C5221,'GASB Match'!$D$2:$F$6042,3,FALSE),"")</f>
        <v>3415600</v>
      </c>
      <c r="B5221" s="17">
        <v>2023</v>
      </c>
      <c r="C5221" s="21" t="s">
        <v>1140</v>
      </c>
      <c r="D5221" s="17">
        <v>368</v>
      </c>
      <c r="E5221" s="17" t="s">
        <v>1463</v>
      </c>
      <c r="F5221" s="23">
        <v>1103588</v>
      </c>
    </row>
    <row r="5222" spans="1:6" ht="16" customHeight="1" x14ac:dyDescent="0.2">
      <c r="A5222">
        <f>IFERROR(VLOOKUP(C5222,'GASB Match'!$D$2:$F$6042,3,FALSE),"")</f>
        <v>3415600</v>
      </c>
      <c r="B5222" s="28">
        <v>2017</v>
      </c>
      <c r="C5222" s="29" t="s">
        <v>448</v>
      </c>
      <c r="D5222" s="17">
        <v>368</v>
      </c>
      <c r="E5222" s="17" t="s">
        <v>1420</v>
      </c>
      <c r="F5222" s="29">
        <v>241610</v>
      </c>
    </row>
    <row r="5223" spans="1:6" ht="16" customHeight="1" x14ac:dyDescent="0.2">
      <c r="A5223">
        <f>IFERROR(VLOOKUP(C5223,'GASB Match'!$D$2:$F$6042,3,FALSE),"")</f>
        <v>3415630</v>
      </c>
      <c r="B5223" s="17">
        <v>2015</v>
      </c>
      <c r="C5223" s="17" t="s">
        <v>629</v>
      </c>
      <c r="D5223" s="17">
        <v>844</v>
      </c>
      <c r="E5223" s="17" t="s">
        <v>1427</v>
      </c>
      <c r="F5223" s="20">
        <v>788272</v>
      </c>
    </row>
    <row r="5224" spans="1:6" ht="16" customHeight="1" x14ac:dyDescent="0.2">
      <c r="A5224">
        <f>IFERROR(VLOOKUP(C5224,'GASB Match'!$D$2:$F$6042,3,FALSE),"")</f>
        <v>3415630</v>
      </c>
      <c r="B5224" s="17">
        <v>2016</v>
      </c>
      <c r="C5224" s="17" t="s">
        <v>629</v>
      </c>
      <c r="D5224" s="17">
        <v>844</v>
      </c>
      <c r="E5224" s="17" t="s">
        <v>1427</v>
      </c>
      <c r="F5224" s="20">
        <v>1171211</v>
      </c>
    </row>
    <row r="5225" spans="1:6" ht="16" customHeight="1" x14ac:dyDescent="0.2">
      <c r="A5225">
        <f>IFERROR(VLOOKUP(C5225,'GASB Match'!$D$2:$F$6042,3,FALSE),"")</f>
        <v>3415630</v>
      </c>
      <c r="B5225" s="17">
        <v>2018</v>
      </c>
      <c r="C5225" s="17" t="s">
        <v>1322</v>
      </c>
      <c r="D5225" s="17">
        <v>844</v>
      </c>
      <c r="E5225" s="17" t="s">
        <v>1470</v>
      </c>
      <c r="F5225" s="20">
        <v>2202311</v>
      </c>
    </row>
    <row r="5226" spans="1:6" ht="16" customHeight="1" x14ac:dyDescent="0.2">
      <c r="A5226">
        <f>IFERROR(VLOOKUP(C5226,'GASB Match'!$D$2:$F$6042,3,FALSE),"")</f>
        <v>3415630</v>
      </c>
      <c r="B5226" s="17">
        <v>2019</v>
      </c>
      <c r="C5226" s="17" t="s">
        <v>1322</v>
      </c>
      <c r="D5226" s="17">
        <v>844</v>
      </c>
      <c r="E5226" s="17" t="s">
        <v>1470</v>
      </c>
      <c r="F5226" s="20">
        <v>2942607</v>
      </c>
    </row>
    <row r="5227" spans="1:6" ht="16" customHeight="1" x14ac:dyDescent="0.2">
      <c r="A5227">
        <f>IFERROR(VLOOKUP(C5227,'GASB Match'!$D$2:$F$6042,3,FALSE),"")</f>
        <v>3415630</v>
      </c>
      <c r="B5227" s="17">
        <v>2020</v>
      </c>
      <c r="C5227" s="21" t="s">
        <v>1322</v>
      </c>
      <c r="D5227" s="17">
        <v>844</v>
      </c>
      <c r="E5227" s="17" t="s">
        <v>1470</v>
      </c>
      <c r="F5227" s="23">
        <v>3409424</v>
      </c>
    </row>
    <row r="5228" spans="1:6" ht="16" customHeight="1" x14ac:dyDescent="0.2">
      <c r="A5228">
        <f>IFERROR(VLOOKUP(C5228,'GASB Match'!$D$2:$F$6042,3,FALSE),"")</f>
        <v>3415630</v>
      </c>
      <c r="B5228" s="17">
        <v>2021</v>
      </c>
      <c r="C5228" s="25" t="s">
        <v>1322</v>
      </c>
      <c r="D5228" s="17">
        <v>844</v>
      </c>
      <c r="E5228" s="17" t="s">
        <v>1470</v>
      </c>
      <c r="F5228" s="23">
        <v>4264438</v>
      </c>
    </row>
    <row r="5229" spans="1:6" ht="16" customHeight="1" x14ac:dyDescent="0.2">
      <c r="A5229">
        <f>IFERROR(VLOOKUP(C5229,'GASB Match'!$D$2:$F$6042,3,FALSE),"")</f>
        <v>3415630</v>
      </c>
      <c r="B5229" s="17">
        <v>2022</v>
      </c>
      <c r="C5229" s="21" t="s">
        <v>1322</v>
      </c>
      <c r="D5229" s="17">
        <v>844</v>
      </c>
      <c r="E5229" s="17" t="s">
        <v>1470</v>
      </c>
      <c r="F5229" s="23">
        <v>5925861</v>
      </c>
    </row>
    <row r="5230" spans="1:6" ht="16" customHeight="1" x14ac:dyDescent="0.2">
      <c r="A5230">
        <f>IFERROR(VLOOKUP(C5230,'GASB Match'!$D$2:$F$6042,3,FALSE),"")</f>
        <v>3415630</v>
      </c>
      <c r="B5230" s="17">
        <v>2023</v>
      </c>
      <c r="C5230" s="21" t="s">
        <v>1322</v>
      </c>
      <c r="D5230" s="17">
        <v>844</v>
      </c>
      <c r="E5230" s="17" t="s">
        <v>1470</v>
      </c>
      <c r="F5230" s="23">
        <v>5951270</v>
      </c>
    </row>
    <row r="5231" spans="1:6" ht="16" customHeight="1" x14ac:dyDescent="0.2">
      <c r="A5231">
        <f>IFERROR(VLOOKUP(C5231,'GASB Match'!$D$2:$F$6042,3,FALSE),"")</f>
        <v>3415630</v>
      </c>
      <c r="B5231" s="28">
        <v>2017</v>
      </c>
      <c r="C5231" s="29" t="s">
        <v>629</v>
      </c>
      <c r="D5231" s="17">
        <v>844</v>
      </c>
      <c r="E5231" s="17" t="s">
        <v>1427</v>
      </c>
      <c r="F5231" s="29">
        <v>1665245</v>
      </c>
    </row>
    <row r="5232" spans="1:6" ht="16" customHeight="1" x14ac:dyDescent="0.2">
      <c r="A5232">
        <f>IFERROR(VLOOKUP(C5232,'GASB Match'!$D$2:$F$6042,3,FALSE),"")</f>
        <v>3415660</v>
      </c>
      <c r="B5232" s="17">
        <v>2015</v>
      </c>
      <c r="C5232" s="17" t="s">
        <v>143</v>
      </c>
      <c r="D5232" s="17">
        <v>3042</v>
      </c>
      <c r="E5232" s="17" t="s">
        <v>1404</v>
      </c>
      <c r="F5232" s="20">
        <v>113933</v>
      </c>
    </row>
    <row r="5233" spans="1:6" ht="16" customHeight="1" x14ac:dyDescent="0.2">
      <c r="A5233">
        <f>IFERROR(VLOOKUP(C5233,'GASB Match'!$D$2:$F$6042,3,FALSE),"")</f>
        <v>3415660</v>
      </c>
      <c r="B5233" s="17">
        <v>2016</v>
      </c>
      <c r="C5233" s="17" t="s">
        <v>143</v>
      </c>
      <c r="D5233" s="17">
        <v>3042</v>
      </c>
      <c r="E5233" s="17" t="s">
        <v>1404</v>
      </c>
      <c r="F5233" s="20">
        <v>164429</v>
      </c>
    </row>
    <row r="5234" spans="1:6" ht="16" customHeight="1" x14ac:dyDescent="0.2">
      <c r="A5234">
        <f>IFERROR(VLOOKUP(C5234,'GASB Match'!$D$2:$F$6042,3,FALSE),"")</f>
        <v>3415660</v>
      </c>
      <c r="B5234" s="17">
        <v>2018</v>
      </c>
      <c r="C5234" s="17" t="s">
        <v>824</v>
      </c>
      <c r="D5234" s="17">
        <v>3042</v>
      </c>
      <c r="E5234" s="17" t="s">
        <v>1445</v>
      </c>
      <c r="F5234" s="20">
        <v>296752</v>
      </c>
    </row>
    <row r="5235" spans="1:6" ht="16" customHeight="1" x14ac:dyDescent="0.2">
      <c r="A5235">
        <f>IFERROR(VLOOKUP(C5235,'GASB Match'!$D$2:$F$6042,3,FALSE),"")</f>
        <v>3415660</v>
      </c>
      <c r="B5235" s="17">
        <v>2019</v>
      </c>
      <c r="C5235" s="17" t="s">
        <v>824</v>
      </c>
      <c r="D5235" s="17">
        <v>3042</v>
      </c>
      <c r="E5235" s="17" t="s">
        <v>1445</v>
      </c>
      <c r="F5235" s="20">
        <v>397971</v>
      </c>
    </row>
    <row r="5236" spans="1:6" ht="16" customHeight="1" x14ac:dyDescent="0.2">
      <c r="A5236">
        <f>IFERROR(VLOOKUP(C5236,'GASB Match'!$D$2:$F$6042,3,FALSE),"")</f>
        <v>3415660</v>
      </c>
      <c r="B5236" s="17">
        <v>2020</v>
      </c>
      <c r="C5236" s="21" t="s">
        <v>824</v>
      </c>
      <c r="D5236" s="17">
        <v>3042</v>
      </c>
      <c r="E5236" s="17" t="s">
        <v>1445</v>
      </c>
      <c r="F5236" s="23">
        <v>422097</v>
      </c>
    </row>
    <row r="5237" spans="1:6" ht="16" customHeight="1" x14ac:dyDescent="0.2">
      <c r="A5237">
        <f>IFERROR(VLOOKUP(C5237,'GASB Match'!$D$2:$F$6042,3,FALSE),"")</f>
        <v>3415660</v>
      </c>
      <c r="B5237" s="17">
        <v>2021</v>
      </c>
      <c r="C5237" s="25" t="s">
        <v>824</v>
      </c>
      <c r="D5237" s="17">
        <v>3042</v>
      </c>
      <c r="E5237" s="17" t="s">
        <v>1445</v>
      </c>
      <c r="F5237" s="23">
        <v>460095</v>
      </c>
    </row>
    <row r="5238" spans="1:6" ht="16" customHeight="1" x14ac:dyDescent="0.2">
      <c r="A5238">
        <f>IFERROR(VLOOKUP(C5238,'GASB Match'!$D$2:$F$6042,3,FALSE),"")</f>
        <v>3415660</v>
      </c>
      <c r="B5238" s="17">
        <v>2022</v>
      </c>
      <c r="C5238" s="21" t="s">
        <v>824</v>
      </c>
      <c r="D5238" s="17">
        <v>3042</v>
      </c>
      <c r="E5238" s="17" t="s">
        <v>1445</v>
      </c>
      <c r="F5238" s="23">
        <v>615966</v>
      </c>
    </row>
    <row r="5239" spans="1:6" ht="16" customHeight="1" x14ac:dyDescent="0.2">
      <c r="A5239">
        <f>IFERROR(VLOOKUP(C5239,'GASB Match'!$D$2:$F$6042,3,FALSE),"")</f>
        <v>3415660</v>
      </c>
      <c r="B5239" s="17">
        <v>2023</v>
      </c>
      <c r="C5239" s="21" t="s">
        <v>824</v>
      </c>
      <c r="D5239" s="17">
        <v>3042</v>
      </c>
      <c r="E5239" s="17" t="s">
        <v>1445</v>
      </c>
      <c r="F5239" s="23">
        <v>651410</v>
      </c>
    </row>
    <row r="5240" spans="1:6" ht="16" customHeight="1" x14ac:dyDescent="0.2">
      <c r="A5240">
        <f>IFERROR(VLOOKUP(C5240,'GASB Match'!$D$2:$F$6042,3,FALSE),"")</f>
        <v>3415660</v>
      </c>
      <c r="B5240" s="28">
        <v>2017</v>
      </c>
      <c r="C5240" s="29" t="s">
        <v>143</v>
      </c>
      <c r="D5240" s="17">
        <v>3042</v>
      </c>
      <c r="E5240" s="17" t="s">
        <v>1404</v>
      </c>
      <c r="F5240" s="29">
        <v>222832</v>
      </c>
    </row>
    <row r="5241" spans="1:6" ht="16" customHeight="1" x14ac:dyDescent="0.2">
      <c r="A5241">
        <f>IFERROR(VLOOKUP(C5241,'GASB Match'!$D$2:$F$6042,3,FALSE),"")</f>
        <v>3415690</v>
      </c>
      <c r="B5241" s="17">
        <v>2015</v>
      </c>
      <c r="C5241" s="17" t="s">
        <v>520</v>
      </c>
      <c r="D5241" s="17">
        <v>533</v>
      </c>
      <c r="E5241" s="17" t="s">
        <v>1422</v>
      </c>
      <c r="F5241" s="20">
        <v>795842</v>
      </c>
    </row>
    <row r="5242" spans="1:6" ht="16" customHeight="1" x14ac:dyDescent="0.2">
      <c r="A5242">
        <f>IFERROR(VLOOKUP(C5242,'GASB Match'!$D$2:$F$6042,3,FALSE),"")</f>
        <v>3415690</v>
      </c>
      <c r="B5242" s="17">
        <v>2016</v>
      </c>
      <c r="C5242" s="17" t="s">
        <v>520</v>
      </c>
      <c r="D5242" s="17">
        <v>533</v>
      </c>
      <c r="E5242" s="17" t="s">
        <v>1422</v>
      </c>
      <c r="F5242" s="20">
        <v>1131329</v>
      </c>
    </row>
    <row r="5243" spans="1:6" ht="16" customHeight="1" x14ac:dyDescent="0.2">
      <c r="A5243">
        <f>IFERROR(VLOOKUP(C5243,'GASB Match'!$D$2:$F$6042,3,FALSE),"")</f>
        <v>3415690</v>
      </c>
      <c r="B5243" s="17">
        <v>2018</v>
      </c>
      <c r="C5243" s="17" t="s">
        <v>1212</v>
      </c>
      <c r="D5243" s="17">
        <v>533</v>
      </c>
      <c r="E5243" s="17" t="s">
        <v>1465</v>
      </c>
      <c r="F5243" s="20">
        <v>2019229</v>
      </c>
    </row>
    <row r="5244" spans="1:6" ht="16" customHeight="1" x14ac:dyDescent="0.2">
      <c r="A5244">
        <f>IFERROR(VLOOKUP(C5244,'GASB Match'!$D$2:$F$6042,3,FALSE),"")</f>
        <v>3415690</v>
      </c>
      <c r="B5244" s="17">
        <v>2019</v>
      </c>
      <c r="C5244" s="17" t="s">
        <v>1212</v>
      </c>
      <c r="D5244" s="17">
        <v>533</v>
      </c>
      <c r="E5244" s="17" t="s">
        <v>1465</v>
      </c>
      <c r="F5244" s="20">
        <v>2628233</v>
      </c>
    </row>
    <row r="5245" spans="1:6" ht="16" customHeight="1" x14ac:dyDescent="0.2">
      <c r="A5245">
        <f>IFERROR(VLOOKUP(C5245,'GASB Match'!$D$2:$F$6042,3,FALSE),"")</f>
        <v>3415690</v>
      </c>
      <c r="B5245" s="17">
        <v>2020</v>
      </c>
      <c r="C5245" s="21" t="s">
        <v>1212</v>
      </c>
      <c r="D5245" s="17">
        <v>533</v>
      </c>
      <c r="E5245" s="17" t="s">
        <v>1465</v>
      </c>
      <c r="F5245" s="23">
        <v>2922656</v>
      </c>
    </row>
    <row r="5246" spans="1:6" ht="16" customHeight="1" x14ac:dyDescent="0.2">
      <c r="A5246">
        <f>IFERROR(VLOOKUP(C5246,'GASB Match'!$D$2:$F$6042,3,FALSE),"")</f>
        <v>3415690</v>
      </c>
      <c r="B5246" s="17">
        <v>2021</v>
      </c>
      <c r="C5246" s="25" t="s">
        <v>1212</v>
      </c>
      <c r="D5246" s="17">
        <v>533</v>
      </c>
      <c r="E5246" s="17" t="s">
        <v>1465</v>
      </c>
      <c r="F5246" s="23">
        <v>4120731</v>
      </c>
    </row>
    <row r="5247" spans="1:6" ht="16" customHeight="1" x14ac:dyDescent="0.2">
      <c r="A5247">
        <f>IFERROR(VLOOKUP(C5247,'GASB Match'!$D$2:$F$6042,3,FALSE),"")</f>
        <v>3415690</v>
      </c>
      <c r="B5247" s="17">
        <v>2022</v>
      </c>
      <c r="C5247" s="21" t="s">
        <v>1212</v>
      </c>
      <c r="D5247" s="17">
        <v>533</v>
      </c>
      <c r="E5247" s="17" t="s">
        <v>1465</v>
      </c>
      <c r="F5247" s="23">
        <v>5778104</v>
      </c>
    </row>
    <row r="5248" spans="1:6" ht="16" customHeight="1" x14ac:dyDescent="0.2">
      <c r="A5248">
        <f>IFERROR(VLOOKUP(C5248,'GASB Match'!$D$2:$F$6042,3,FALSE),"")</f>
        <v>3415690</v>
      </c>
      <c r="B5248" s="17">
        <v>2023</v>
      </c>
      <c r="C5248" s="21" t="s">
        <v>1212</v>
      </c>
      <c r="D5248" s="17">
        <v>533</v>
      </c>
      <c r="E5248" s="17" t="s">
        <v>1465</v>
      </c>
      <c r="F5248" s="23">
        <v>5390185</v>
      </c>
    </row>
    <row r="5249" spans="1:6" ht="16" customHeight="1" x14ac:dyDescent="0.2">
      <c r="A5249">
        <f>IFERROR(VLOOKUP(C5249,'GASB Match'!$D$2:$F$6042,3,FALSE),"")</f>
        <v>3415690</v>
      </c>
      <c r="B5249" s="28">
        <v>2017</v>
      </c>
      <c r="C5249" s="29" t="s">
        <v>520</v>
      </c>
      <c r="D5249" s="17">
        <v>533</v>
      </c>
      <c r="E5249" s="17" t="s">
        <v>1422</v>
      </c>
      <c r="F5249" s="29">
        <v>1527732</v>
      </c>
    </row>
    <row r="5250" spans="1:6" ht="16" customHeight="1" x14ac:dyDescent="0.2">
      <c r="A5250">
        <f>IFERROR(VLOOKUP(C5250,'GASB Match'!$D$2:$F$6042,3,FALSE),"")</f>
        <v>3415720</v>
      </c>
      <c r="B5250" s="17">
        <v>2015</v>
      </c>
      <c r="C5250" s="17" t="s">
        <v>602</v>
      </c>
      <c r="D5250" s="17">
        <v>791</v>
      </c>
      <c r="E5250" s="17" t="s">
        <v>1426</v>
      </c>
      <c r="F5250" s="20">
        <v>101171</v>
      </c>
    </row>
    <row r="5251" spans="1:6" ht="16" customHeight="1" x14ac:dyDescent="0.2">
      <c r="A5251">
        <f>IFERROR(VLOOKUP(C5251,'GASB Match'!$D$2:$F$6042,3,FALSE),"")</f>
        <v>3415720</v>
      </c>
      <c r="B5251" s="17">
        <v>2016</v>
      </c>
      <c r="C5251" s="17" t="s">
        <v>602</v>
      </c>
      <c r="D5251" s="17">
        <v>791</v>
      </c>
      <c r="E5251" s="17" t="s">
        <v>1426</v>
      </c>
      <c r="F5251" s="20">
        <v>149074</v>
      </c>
    </row>
    <row r="5252" spans="1:6" ht="16" customHeight="1" x14ac:dyDescent="0.2">
      <c r="A5252">
        <f>IFERROR(VLOOKUP(C5252,'GASB Match'!$D$2:$F$6042,3,FALSE),"")</f>
        <v>3415720</v>
      </c>
      <c r="B5252" s="17">
        <v>2018</v>
      </c>
      <c r="C5252" s="17" t="s">
        <v>1295</v>
      </c>
      <c r="D5252" s="17">
        <v>791</v>
      </c>
      <c r="E5252" s="17" t="s">
        <v>1469</v>
      </c>
      <c r="F5252" s="20">
        <v>329536</v>
      </c>
    </row>
    <row r="5253" spans="1:6" ht="16" customHeight="1" x14ac:dyDescent="0.2">
      <c r="A5253">
        <f>IFERROR(VLOOKUP(C5253,'GASB Match'!$D$2:$F$6042,3,FALSE),"")</f>
        <v>3415720</v>
      </c>
      <c r="B5253" s="17">
        <v>2019</v>
      </c>
      <c r="C5253" s="17" t="s">
        <v>1295</v>
      </c>
      <c r="D5253" s="17">
        <v>791</v>
      </c>
      <c r="E5253" s="17" t="s">
        <v>1469</v>
      </c>
      <c r="F5253" s="20">
        <v>466036</v>
      </c>
    </row>
    <row r="5254" spans="1:6" ht="16" customHeight="1" x14ac:dyDescent="0.2">
      <c r="A5254">
        <f>IFERROR(VLOOKUP(C5254,'GASB Match'!$D$2:$F$6042,3,FALSE),"")</f>
        <v>3415720</v>
      </c>
      <c r="B5254" s="17">
        <v>2020</v>
      </c>
      <c r="C5254" s="21" t="s">
        <v>1295</v>
      </c>
      <c r="D5254" s="17">
        <v>791</v>
      </c>
      <c r="E5254" s="17" t="s">
        <v>1469</v>
      </c>
      <c r="F5254" s="23">
        <v>501818</v>
      </c>
    </row>
    <row r="5255" spans="1:6" ht="16" customHeight="1" x14ac:dyDescent="0.2">
      <c r="A5255">
        <f>IFERROR(VLOOKUP(C5255,'GASB Match'!$D$2:$F$6042,3,FALSE),"")</f>
        <v>3415720</v>
      </c>
      <c r="B5255" s="17">
        <v>2021</v>
      </c>
      <c r="C5255" s="25" t="s">
        <v>1295</v>
      </c>
      <c r="D5255" s="17">
        <v>791</v>
      </c>
      <c r="E5255" s="17" t="s">
        <v>1469</v>
      </c>
      <c r="F5255" s="23">
        <v>654402</v>
      </c>
    </row>
    <row r="5256" spans="1:6" ht="16" customHeight="1" x14ac:dyDescent="0.2">
      <c r="A5256">
        <f>IFERROR(VLOOKUP(C5256,'GASB Match'!$D$2:$F$6042,3,FALSE),"")</f>
        <v>3415720</v>
      </c>
      <c r="B5256" s="17">
        <v>2022</v>
      </c>
      <c r="C5256" s="21" t="s">
        <v>1295</v>
      </c>
      <c r="D5256" s="17">
        <v>791</v>
      </c>
      <c r="E5256" s="17" t="s">
        <v>1469</v>
      </c>
      <c r="F5256" s="23">
        <v>994699</v>
      </c>
    </row>
    <row r="5257" spans="1:6" ht="16" customHeight="1" x14ac:dyDescent="0.2">
      <c r="A5257">
        <f>IFERROR(VLOOKUP(C5257,'GASB Match'!$D$2:$F$6042,3,FALSE),"")</f>
        <v>3415720</v>
      </c>
      <c r="B5257" s="17">
        <v>2023</v>
      </c>
      <c r="C5257" s="21" t="s">
        <v>1295</v>
      </c>
      <c r="D5257" s="17">
        <v>791</v>
      </c>
      <c r="E5257" s="17" t="s">
        <v>1469</v>
      </c>
      <c r="F5257" s="23">
        <v>916928</v>
      </c>
    </row>
    <row r="5258" spans="1:6" ht="16" customHeight="1" x14ac:dyDescent="0.2">
      <c r="A5258">
        <f>IFERROR(VLOOKUP(C5258,'GASB Match'!$D$2:$F$6042,3,FALSE),"")</f>
        <v>3415720</v>
      </c>
      <c r="B5258" s="28">
        <v>2017</v>
      </c>
      <c r="C5258" s="29" t="s">
        <v>602</v>
      </c>
      <c r="D5258" s="17">
        <v>791</v>
      </c>
      <c r="E5258" s="17" t="s">
        <v>1426</v>
      </c>
      <c r="F5258" s="29">
        <v>232785</v>
      </c>
    </row>
    <row r="5259" spans="1:6" ht="16" customHeight="1" x14ac:dyDescent="0.2">
      <c r="A5259">
        <f>IFERROR(VLOOKUP(C5259,'GASB Match'!$D$2:$F$6042,3,FALSE),"")</f>
        <v>3402880</v>
      </c>
      <c r="B5259" s="17">
        <v>2015</v>
      </c>
      <c r="C5259" s="17" t="s">
        <v>189</v>
      </c>
      <c r="D5259" s="17">
        <v>4070</v>
      </c>
      <c r="E5259" s="17" t="s">
        <v>1405</v>
      </c>
      <c r="F5259" s="20">
        <v>344446</v>
      </c>
    </row>
    <row r="5260" spans="1:6" ht="16" customHeight="1" x14ac:dyDescent="0.2">
      <c r="A5260">
        <f>IFERROR(VLOOKUP(C5260,'GASB Match'!$D$2:$F$6042,3,FALSE),"")</f>
        <v>3402880</v>
      </c>
      <c r="B5260" s="17">
        <v>2016</v>
      </c>
      <c r="C5260" s="17" t="s">
        <v>189</v>
      </c>
      <c r="D5260" s="17">
        <v>4070</v>
      </c>
      <c r="E5260" s="17" t="s">
        <v>1405</v>
      </c>
      <c r="F5260" s="20">
        <v>514566</v>
      </c>
    </row>
    <row r="5261" spans="1:6" ht="16" customHeight="1" x14ac:dyDescent="0.2">
      <c r="A5261">
        <f>IFERROR(VLOOKUP(C5261,'GASB Match'!$D$2:$F$6042,3,FALSE),"")</f>
        <v>3402880</v>
      </c>
      <c r="B5261" s="17">
        <v>2018</v>
      </c>
      <c r="C5261" s="17" t="s">
        <v>872</v>
      </c>
      <c r="D5261" s="17">
        <v>4070</v>
      </c>
      <c r="E5261" s="17" t="s">
        <v>1446</v>
      </c>
      <c r="F5261" s="20">
        <v>933263</v>
      </c>
    </row>
    <row r="5262" spans="1:6" ht="16" customHeight="1" x14ac:dyDescent="0.2">
      <c r="A5262">
        <f>IFERROR(VLOOKUP(C5262,'GASB Match'!$D$2:$F$6042,3,FALSE),"")</f>
        <v>3402880</v>
      </c>
      <c r="B5262" s="17">
        <v>2019</v>
      </c>
      <c r="C5262" s="17" t="s">
        <v>872</v>
      </c>
      <c r="D5262" s="17">
        <v>4070</v>
      </c>
      <c r="E5262" s="17" t="s">
        <v>1446</v>
      </c>
      <c r="F5262" s="20">
        <v>1302033</v>
      </c>
    </row>
    <row r="5263" spans="1:6" ht="16" customHeight="1" x14ac:dyDescent="0.2">
      <c r="A5263">
        <f>IFERROR(VLOOKUP(C5263,'GASB Match'!$D$2:$F$6042,3,FALSE),"")</f>
        <v>3402880</v>
      </c>
      <c r="B5263" s="17">
        <v>2020</v>
      </c>
      <c r="C5263" s="21" t="s">
        <v>872</v>
      </c>
      <c r="D5263" s="17">
        <v>4070</v>
      </c>
      <c r="E5263" s="17" t="s">
        <v>1446</v>
      </c>
      <c r="F5263" s="23">
        <v>1455773</v>
      </c>
    </row>
    <row r="5264" spans="1:6" ht="16" customHeight="1" x14ac:dyDescent="0.2">
      <c r="A5264">
        <f>IFERROR(VLOOKUP(C5264,'GASB Match'!$D$2:$F$6042,3,FALSE),"")</f>
        <v>3402880</v>
      </c>
      <c r="B5264" s="17">
        <v>2021</v>
      </c>
      <c r="C5264" s="25" t="s">
        <v>872</v>
      </c>
      <c r="D5264" s="17">
        <v>4070</v>
      </c>
      <c r="E5264" s="17" t="s">
        <v>1446</v>
      </c>
      <c r="F5264" s="23">
        <v>1836648</v>
      </c>
    </row>
    <row r="5265" spans="1:6" ht="16" customHeight="1" x14ac:dyDescent="0.2">
      <c r="A5265">
        <f>IFERROR(VLOOKUP(C5265,'GASB Match'!$D$2:$F$6042,3,FALSE),"")</f>
        <v>3402880</v>
      </c>
      <c r="B5265" s="17">
        <v>2022</v>
      </c>
      <c r="C5265" s="21" t="s">
        <v>872</v>
      </c>
      <c r="D5265" s="17">
        <v>4070</v>
      </c>
      <c r="E5265" s="17" t="s">
        <v>1446</v>
      </c>
      <c r="F5265" s="23">
        <v>2696027</v>
      </c>
    </row>
    <row r="5266" spans="1:6" ht="16" customHeight="1" x14ac:dyDescent="0.2">
      <c r="A5266">
        <f>IFERROR(VLOOKUP(C5266,'GASB Match'!$D$2:$F$6042,3,FALSE),"")</f>
        <v>3402880</v>
      </c>
      <c r="B5266" s="17">
        <v>2023</v>
      </c>
      <c r="C5266" s="21" t="s">
        <v>872</v>
      </c>
      <c r="D5266" s="17">
        <v>4070</v>
      </c>
      <c r="E5266" s="17" t="s">
        <v>1446</v>
      </c>
      <c r="F5266" s="23">
        <v>2598323</v>
      </c>
    </row>
    <row r="5267" spans="1:6" ht="16" customHeight="1" x14ac:dyDescent="0.2">
      <c r="A5267">
        <f>IFERROR(VLOOKUP(C5267,'GASB Match'!$D$2:$F$6042,3,FALSE),"")</f>
        <v>3402880</v>
      </c>
      <c r="B5267" s="28">
        <v>2017</v>
      </c>
      <c r="C5267" s="29" t="s">
        <v>189</v>
      </c>
      <c r="D5267" s="17">
        <v>4070</v>
      </c>
      <c r="E5267" s="17" t="s">
        <v>1405</v>
      </c>
      <c r="F5267" s="29">
        <v>688712</v>
      </c>
    </row>
    <row r="5268" spans="1:6" ht="16" customHeight="1" x14ac:dyDescent="0.2">
      <c r="A5268">
        <f>IFERROR(VLOOKUP(C5268,'GASB Match'!$D$2:$F$6042,3,FALSE),"")</f>
        <v>3415750</v>
      </c>
      <c r="B5268" s="17">
        <v>2015</v>
      </c>
      <c r="C5268" s="17" t="s">
        <v>603</v>
      </c>
      <c r="D5268" s="17">
        <v>792</v>
      </c>
      <c r="E5268" s="17" t="s">
        <v>1426</v>
      </c>
      <c r="F5268" s="20">
        <v>167775</v>
      </c>
    </row>
    <row r="5269" spans="1:6" ht="16" customHeight="1" x14ac:dyDescent="0.2">
      <c r="A5269">
        <f>IFERROR(VLOOKUP(C5269,'GASB Match'!$D$2:$F$6042,3,FALSE),"")</f>
        <v>3415750</v>
      </c>
      <c r="B5269" s="17">
        <v>2016</v>
      </c>
      <c r="C5269" s="17" t="s">
        <v>603</v>
      </c>
      <c r="D5269" s="17">
        <v>792</v>
      </c>
      <c r="E5269" s="17" t="s">
        <v>1426</v>
      </c>
      <c r="F5269" s="20">
        <v>242804</v>
      </c>
    </row>
    <row r="5270" spans="1:6" ht="16" customHeight="1" x14ac:dyDescent="0.2">
      <c r="A5270">
        <f>IFERROR(VLOOKUP(C5270,'GASB Match'!$D$2:$F$6042,3,FALSE),"")</f>
        <v>3415750</v>
      </c>
      <c r="B5270" s="17">
        <v>2018</v>
      </c>
      <c r="C5270" s="17" t="s">
        <v>1296</v>
      </c>
      <c r="D5270" s="17">
        <v>792</v>
      </c>
      <c r="E5270" s="17" t="s">
        <v>1469</v>
      </c>
      <c r="F5270" s="20">
        <v>427026</v>
      </c>
    </row>
    <row r="5271" spans="1:6" ht="16" customHeight="1" x14ac:dyDescent="0.2">
      <c r="A5271">
        <f>IFERROR(VLOOKUP(C5271,'GASB Match'!$D$2:$F$6042,3,FALSE),"")</f>
        <v>3415750</v>
      </c>
      <c r="B5271" s="17">
        <v>2019</v>
      </c>
      <c r="C5271" s="17" t="s">
        <v>1296</v>
      </c>
      <c r="D5271" s="17">
        <v>792</v>
      </c>
      <c r="E5271" s="17" t="s">
        <v>1469</v>
      </c>
      <c r="F5271" s="20">
        <v>553284</v>
      </c>
    </row>
    <row r="5272" spans="1:6" ht="16" customHeight="1" x14ac:dyDescent="0.2">
      <c r="A5272">
        <f>IFERROR(VLOOKUP(C5272,'GASB Match'!$D$2:$F$6042,3,FALSE),"")</f>
        <v>3415750</v>
      </c>
      <c r="B5272" s="17">
        <v>2020</v>
      </c>
      <c r="C5272" s="21" t="s">
        <v>1296</v>
      </c>
      <c r="D5272" s="17">
        <v>792</v>
      </c>
      <c r="E5272" s="17" t="s">
        <v>1469</v>
      </c>
      <c r="F5272" s="23">
        <v>606298</v>
      </c>
    </row>
    <row r="5273" spans="1:6" ht="16" customHeight="1" x14ac:dyDescent="0.2">
      <c r="A5273">
        <f>IFERROR(VLOOKUP(C5273,'GASB Match'!$D$2:$F$6042,3,FALSE),"")</f>
        <v>3415750</v>
      </c>
      <c r="B5273" s="17">
        <v>2021</v>
      </c>
      <c r="C5273" s="25" t="s">
        <v>1296</v>
      </c>
      <c r="D5273" s="17">
        <v>792</v>
      </c>
      <c r="E5273" s="17" t="s">
        <v>1469</v>
      </c>
      <c r="F5273" s="23">
        <v>759325</v>
      </c>
    </row>
    <row r="5274" spans="1:6" ht="16" customHeight="1" x14ac:dyDescent="0.2">
      <c r="A5274">
        <f>IFERROR(VLOOKUP(C5274,'GASB Match'!$D$2:$F$6042,3,FALSE),"")</f>
        <v>3415750</v>
      </c>
      <c r="B5274" s="17">
        <v>2022</v>
      </c>
      <c r="C5274" s="21" t="s">
        <v>1296</v>
      </c>
      <c r="D5274" s="17">
        <v>792</v>
      </c>
      <c r="E5274" s="17" t="s">
        <v>1469</v>
      </c>
      <c r="F5274" s="23">
        <v>1021627</v>
      </c>
    </row>
    <row r="5275" spans="1:6" ht="16" customHeight="1" x14ac:dyDescent="0.2">
      <c r="A5275">
        <f>IFERROR(VLOOKUP(C5275,'GASB Match'!$D$2:$F$6042,3,FALSE),"")</f>
        <v>3415750</v>
      </c>
      <c r="B5275" s="17">
        <v>2023</v>
      </c>
      <c r="C5275" s="21" t="s">
        <v>1296</v>
      </c>
      <c r="D5275" s="17">
        <v>792</v>
      </c>
      <c r="E5275" s="17" t="s">
        <v>1469</v>
      </c>
      <c r="F5275" s="23">
        <v>1048877</v>
      </c>
    </row>
    <row r="5276" spans="1:6" ht="16" customHeight="1" x14ac:dyDescent="0.2">
      <c r="A5276">
        <f>IFERROR(VLOOKUP(C5276,'GASB Match'!$D$2:$F$6042,3,FALSE),"")</f>
        <v>3415750</v>
      </c>
      <c r="B5276" s="28">
        <v>2017</v>
      </c>
      <c r="C5276" s="29" t="s">
        <v>603</v>
      </c>
      <c r="D5276" s="17">
        <v>792</v>
      </c>
      <c r="E5276" s="17" t="s">
        <v>1426</v>
      </c>
      <c r="F5276" s="29">
        <v>339396</v>
      </c>
    </row>
    <row r="5277" spans="1:6" ht="16" customHeight="1" x14ac:dyDescent="0.2">
      <c r="A5277">
        <f>IFERROR(VLOOKUP(C5277,'GASB Match'!$D$2:$F$6042,3,FALSE),"")</f>
        <v>3415780</v>
      </c>
      <c r="B5277" s="17">
        <v>2015</v>
      </c>
      <c r="C5277" s="17" t="s">
        <v>351</v>
      </c>
      <c r="D5277" s="17">
        <v>9034</v>
      </c>
      <c r="E5277" s="17" t="s">
        <v>1415</v>
      </c>
      <c r="F5277" s="20">
        <v>19467</v>
      </c>
    </row>
    <row r="5278" spans="1:6" ht="16" customHeight="1" x14ac:dyDescent="0.2">
      <c r="A5278">
        <f>IFERROR(VLOOKUP(C5278,'GASB Match'!$D$2:$F$6042,3,FALSE),"")</f>
        <v>3415780</v>
      </c>
      <c r="B5278" s="17">
        <v>2016</v>
      </c>
      <c r="C5278" s="17" t="s">
        <v>351</v>
      </c>
      <c r="D5278" s="17">
        <v>9034</v>
      </c>
      <c r="E5278" s="17" t="s">
        <v>1415</v>
      </c>
      <c r="F5278" s="20">
        <v>28923</v>
      </c>
    </row>
    <row r="5279" spans="1:6" ht="16" customHeight="1" x14ac:dyDescent="0.2">
      <c r="A5279">
        <f>IFERROR(VLOOKUP(C5279,'GASB Match'!$D$2:$F$6042,3,FALSE),"")</f>
        <v>3415780</v>
      </c>
      <c r="B5279" s="28">
        <v>2017</v>
      </c>
      <c r="C5279" s="29" t="s">
        <v>351</v>
      </c>
      <c r="D5279" s="17">
        <v>9034</v>
      </c>
      <c r="E5279" s="17" t="s">
        <v>1415</v>
      </c>
      <c r="F5279" s="29">
        <v>38367</v>
      </c>
    </row>
    <row r="5280" spans="1:6" ht="16" customHeight="1" x14ac:dyDescent="0.2">
      <c r="A5280">
        <f>IFERROR(VLOOKUP(C5280,'GASB Match'!$D$2:$F$6042,3,FALSE),"")</f>
        <v>3415810</v>
      </c>
      <c r="B5280" s="17">
        <v>2015</v>
      </c>
      <c r="C5280" s="17" t="s">
        <v>206</v>
      </c>
      <c r="D5280" s="17">
        <v>5019</v>
      </c>
      <c r="E5280" s="17" t="s">
        <v>1407</v>
      </c>
      <c r="F5280" s="20">
        <v>55782</v>
      </c>
    </row>
    <row r="5281" spans="1:6" ht="16" customHeight="1" x14ac:dyDescent="0.2">
      <c r="A5281">
        <f>IFERROR(VLOOKUP(C5281,'GASB Match'!$D$2:$F$6042,3,FALSE),"")</f>
        <v>3415810</v>
      </c>
      <c r="B5281" s="17">
        <v>2016</v>
      </c>
      <c r="C5281" s="17" t="s">
        <v>206</v>
      </c>
      <c r="D5281" s="17">
        <v>5019</v>
      </c>
      <c r="E5281" s="17" t="s">
        <v>1407</v>
      </c>
      <c r="F5281" s="20">
        <v>76720</v>
      </c>
    </row>
    <row r="5282" spans="1:6" ht="16" customHeight="1" x14ac:dyDescent="0.2">
      <c r="A5282">
        <f>IFERROR(VLOOKUP(C5282,'GASB Match'!$D$2:$F$6042,3,FALSE),"")</f>
        <v>3415810</v>
      </c>
      <c r="B5282" s="17">
        <v>2018</v>
      </c>
      <c r="C5282" s="17" t="s">
        <v>890</v>
      </c>
      <c r="D5282" s="17">
        <v>5019</v>
      </c>
      <c r="E5282" s="17" t="s">
        <v>1448</v>
      </c>
      <c r="F5282" s="20">
        <v>141673</v>
      </c>
    </row>
    <row r="5283" spans="1:6" ht="16" customHeight="1" x14ac:dyDescent="0.2">
      <c r="A5283">
        <f>IFERROR(VLOOKUP(C5283,'GASB Match'!$D$2:$F$6042,3,FALSE),"")</f>
        <v>3415810</v>
      </c>
      <c r="B5283" s="17">
        <v>2019</v>
      </c>
      <c r="C5283" s="17" t="s">
        <v>890</v>
      </c>
      <c r="D5283" s="17">
        <v>5019</v>
      </c>
      <c r="E5283" s="17" t="s">
        <v>1448</v>
      </c>
      <c r="F5283" s="20">
        <v>173895</v>
      </c>
    </row>
    <row r="5284" spans="1:6" ht="16" customHeight="1" x14ac:dyDescent="0.2">
      <c r="A5284">
        <f>IFERROR(VLOOKUP(C5284,'GASB Match'!$D$2:$F$6042,3,FALSE),"")</f>
        <v>3415810</v>
      </c>
      <c r="B5284" s="17">
        <v>2020</v>
      </c>
      <c r="C5284" s="21" t="s">
        <v>890</v>
      </c>
      <c r="D5284" s="17">
        <v>5019</v>
      </c>
      <c r="E5284" s="17" t="s">
        <v>1448</v>
      </c>
      <c r="F5284" s="23">
        <v>190587</v>
      </c>
    </row>
    <row r="5285" spans="1:6" ht="16" customHeight="1" x14ac:dyDescent="0.2">
      <c r="A5285">
        <f>IFERROR(VLOOKUP(C5285,'GASB Match'!$D$2:$F$6042,3,FALSE),"")</f>
        <v>3415810</v>
      </c>
      <c r="B5285" s="17">
        <v>2021</v>
      </c>
      <c r="C5285" s="25" t="s">
        <v>890</v>
      </c>
      <c r="D5285" s="17">
        <v>5019</v>
      </c>
      <c r="E5285" s="17" t="s">
        <v>1448</v>
      </c>
      <c r="F5285" s="23">
        <v>220828</v>
      </c>
    </row>
    <row r="5286" spans="1:6" ht="16" customHeight="1" x14ac:dyDescent="0.2">
      <c r="A5286">
        <f>IFERROR(VLOOKUP(C5286,'GASB Match'!$D$2:$F$6042,3,FALSE),"")</f>
        <v>3415810</v>
      </c>
      <c r="B5286" s="17">
        <v>2022</v>
      </c>
      <c r="C5286" s="21" t="s">
        <v>890</v>
      </c>
      <c r="D5286" s="17">
        <v>5019</v>
      </c>
      <c r="E5286" s="17" t="s">
        <v>1448</v>
      </c>
      <c r="F5286" s="23">
        <v>331042</v>
      </c>
    </row>
    <row r="5287" spans="1:6" ht="16" customHeight="1" x14ac:dyDescent="0.2">
      <c r="A5287">
        <f>IFERROR(VLOOKUP(C5287,'GASB Match'!$D$2:$F$6042,3,FALSE),"")</f>
        <v>3415810</v>
      </c>
      <c r="B5287" s="17">
        <v>2023</v>
      </c>
      <c r="C5287" s="21" t="s">
        <v>890</v>
      </c>
      <c r="D5287" s="17">
        <v>5019</v>
      </c>
      <c r="E5287" s="17" t="s">
        <v>1448</v>
      </c>
      <c r="F5287" s="23">
        <v>320016</v>
      </c>
    </row>
    <row r="5288" spans="1:6" ht="16" customHeight="1" x14ac:dyDescent="0.2">
      <c r="A5288">
        <f>IFERROR(VLOOKUP(C5288,'GASB Match'!$D$2:$F$6042,3,FALSE),"")</f>
        <v>3415810</v>
      </c>
      <c r="B5288" s="28">
        <v>2017</v>
      </c>
      <c r="C5288" s="29" t="s">
        <v>206</v>
      </c>
      <c r="D5288" s="17">
        <v>5019</v>
      </c>
      <c r="E5288" s="17" t="s">
        <v>1407</v>
      </c>
      <c r="F5288" s="29">
        <v>108049</v>
      </c>
    </row>
    <row r="5289" spans="1:6" ht="16" customHeight="1" x14ac:dyDescent="0.2">
      <c r="A5289">
        <f>IFERROR(VLOOKUP(C5289,'GASB Match'!$D$2:$F$6042,3,FALSE),"")</f>
        <v>3415840</v>
      </c>
      <c r="B5289" s="17">
        <v>2015</v>
      </c>
      <c r="C5289" s="17" t="s">
        <v>225</v>
      </c>
      <c r="D5289" s="17">
        <v>5091</v>
      </c>
      <c r="E5289" s="17" t="s">
        <v>1408</v>
      </c>
      <c r="F5289" s="20">
        <v>42383</v>
      </c>
    </row>
    <row r="5290" spans="1:6" ht="16" customHeight="1" x14ac:dyDescent="0.2">
      <c r="A5290">
        <f>IFERROR(VLOOKUP(C5290,'GASB Match'!$D$2:$F$6042,3,FALSE),"")</f>
        <v>3415840</v>
      </c>
      <c r="B5290" s="17">
        <v>2016</v>
      </c>
      <c r="C5290" s="17" t="s">
        <v>225</v>
      </c>
      <c r="D5290" s="17">
        <v>5091</v>
      </c>
      <c r="E5290" s="17" t="s">
        <v>1408</v>
      </c>
      <c r="F5290" s="20">
        <v>63761</v>
      </c>
    </row>
    <row r="5291" spans="1:6" ht="16" customHeight="1" x14ac:dyDescent="0.2">
      <c r="A5291">
        <f>IFERROR(VLOOKUP(C5291,'GASB Match'!$D$2:$F$6042,3,FALSE),"")</f>
        <v>3415840</v>
      </c>
      <c r="B5291" s="17">
        <v>2018</v>
      </c>
      <c r="C5291" s="17" t="s">
        <v>911</v>
      </c>
      <c r="D5291" s="17">
        <v>5091</v>
      </c>
      <c r="E5291" s="17" t="s">
        <v>1451</v>
      </c>
      <c r="F5291" s="20">
        <v>122467</v>
      </c>
    </row>
    <row r="5292" spans="1:6" ht="16" customHeight="1" x14ac:dyDescent="0.2">
      <c r="A5292">
        <f>IFERROR(VLOOKUP(C5292,'GASB Match'!$D$2:$F$6042,3,FALSE),"")</f>
        <v>3415840</v>
      </c>
      <c r="B5292" s="17">
        <v>2019</v>
      </c>
      <c r="C5292" s="17" t="s">
        <v>911</v>
      </c>
      <c r="D5292" s="17">
        <v>5091</v>
      </c>
      <c r="E5292" s="17" t="s">
        <v>1449</v>
      </c>
      <c r="F5292" s="20">
        <v>168196</v>
      </c>
    </row>
    <row r="5293" spans="1:6" ht="16" customHeight="1" x14ac:dyDescent="0.2">
      <c r="A5293">
        <f>IFERROR(VLOOKUP(C5293,'GASB Match'!$D$2:$F$6042,3,FALSE),"")</f>
        <v>3415840</v>
      </c>
      <c r="B5293" s="17">
        <v>2020</v>
      </c>
      <c r="C5293" s="21" t="s">
        <v>911</v>
      </c>
      <c r="D5293" s="17">
        <v>5091</v>
      </c>
      <c r="E5293" s="17" t="s">
        <v>1449</v>
      </c>
      <c r="F5293" s="23">
        <v>196226</v>
      </c>
    </row>
    <row r="5294" spans="1:6" ht="16" customHeight="1" x14ac:dyDescent="0.2">
      <c r="A5294">
        <f>IFERROR(VLOOKUP(C5294,'GASB Match'!$D$2:$F$6042,3,FALSE),"")</f>
        <v>3415840</v>
      </c>
      <c r="B5294" s="17">
        <v>2021</v>
      </c>
      <c r="C5294" s="25" t="s">
        <v>911</v>
      </c>
      <c r="D5294" s="17">
        <v>5091</v>
      </c>
      <c r="E5294" s="17" t="s">
        <v>1449</v>
      </c>
      <c r="F5294" s="23">
        <v>263959</v>
      </c>
    </row>
    <row r="5295" spans="1:6" ht="16" customHeight="1" x14ac:dyDescent="0.2">
      <c r="A5295">
        <f>IFERROR(VLOOKUP(C5295,'GASB Match'!$D$2:$F$6042,3,FALSE),"")</f>
        <v>3415840</v>
      </c>
      <c r="B5295" s="17">
        <v>2022</v>
      </c>
      <c r="C5295" s="21" t="s">
        <v>911</v>
      </c>
      <c r="D5295" s="17">
        <v>5091</v>
      </c>
      <c r="E5295" s="17" t="s">
        <v>1449</v>
      </c>
      <c r="F5295" s="23">
        <v>380284</v>
      </c>
    </row>
    <row r="5296" spans="1:6" ht="16" customHeight="1" x14ac:dyDescent="0.2">
      <c r="A5296">
        <f>IFERROR(VLOOKUP(C5296,'GASB Match'!$D$2:$F$6042,3,FALSE),"")</f>
        <v>3415840</v>
      </c>
      <c r="B5296" s="17">
        <v>2023</v>
      </c>
      <c r="C5296" s="21" t="s">
        <v>911</v>
      </c>
      <c r="D5296" s="17">
        <v>5091</v>
      </c>
      <c r="E5296" s="17" t="s">
        <v>1449</v>
      </c>
      <c r="F5296" s="23">
        <v>288917</v>
      </c>
    </row>
    <row r="5297" spans="1:6" ht="16" customHeight="1" x14ac:dyDescent="0.2">
      <c r="A5297">
        <f>IFERROR(VLOOKUP(C5297,'GASB Match'!$D$2:$F$6042,3,FALSE),"")</f>
        <v>3415840</v>
      </c>
      <c r="B5297" s="28">
        <v>2017</v>
      </c>
      <c r="C5297" s="29" t="s">
        <v>225</v>
      </c>
      <c r="D5297" s="17">
        <v>5091</v>
      </c>
      <c r="E5297" s="17" t="s">
        <v>1408</v>
      </c>
      <c r="F5297" s="29">
        <v>91497</v>
      </c>
    </row>
    <row r="5298" spans="1:6" ht="16" customHeight="1" x14ac:dyDescent="0.2">
      <c r="A5298">
        <f>IFERROR(VLOOKUP(C5298,'GASB Match'!$D$2:$F$6042,3,FALSE),"")</f>
        <v>3415870</v>
      </c>
      <c r="B5298" s="17">
        <v>2015</v>
      </c>
      <c r="C5298" s="17" t="s">
        <v>190</v>
      </c>
      <c r="D5298" s="17">
        <v>4062</v>
      </c>
      <c r="E5298" s="17" t="s">
        <v>1405</v>
      </c>
      <c r="F5298" s="20">
        <v>302930</v>
      </c>
    </row>
    <row r="5299" spans="1:6" ht="16" customHeight="1" x14ac:dyDescent="0.2">
      <c r="A5299">
        <f>IFERROR(VLOOKUP(C5299,'GASB Match'!$D$2:$F$6042,3,FALSE),"")</f>
        <v>3415870</v>
      </c>
      <c r="B5299" s="17">
        <v>2016</v>
      </c>
      <c r="C5299" s="17" t="s">
        <v>190</v>
      </c>
      <c r="D5299" s="17">
        <v>4062</v>
      </c>
      <c r="E5299" s="17" t="s">
        <v>1405</v>
      </c>
      <c r="F5299" s="20">
        <v>442103</v>
      </c>
    </row>
    <row r="5300" spans="1:6" ht="16" customHeight="1" x14ac:dyDescent="0.2">
      <c r="A5300">
        <f>IFERROR(VLOOKUP(C5300,'GASB Match'!$D$2:$F$6042,3,FALSE),"")</f>
        <v>3415870</v>
      </c>
      <c r="B5300" s="17">
        <v>2018</v>
      </c>
      <c r="C5300" s="17" t="s">
        <v>873</v>
      </c>
      <c r="D5300" s="17">
        <v>4062</v>
      </c>
      <c r="E5300" s="17" t="s">
        <v>1446</v>
      </c>
      <c r="F5300" s="20">
        <v>910845</v>
      </c>
    </row>
    <row r="5301" spans="1:6" ht="16" customHeight="1" x14ac:dyDescent="0.2">
      <c r="A5301">
        <f>IFERROR(VLOOKUP(C5301,'GASB Match'!$D$2:$F$6042,3,FALSE),"")</f>
        <v>3415870</v>
      </c>
      <c r="B5301" s="17">
        <v>2019</v>
      </c>
      <c r="C5301" s="17" t="s">
        <v>873</v>
      </c>
      <c r="D5301" s="17">
        <v>4062</v>
      </c>
      <c r="E5301" s="17" t="s">
        <v>1446</v>
      </c>
      <c r="F5301" s="20">
        <v>1220221</v>
      </c>
    </row>
    <row r="5302" spans="1:6" ht="16" customHeight="1" x14ac:dyDescent="0.2">
      <c r="A5302">
        <f>IFERROR(VLOOKUP(C5302,'GASB Match'!$D$2:$F$6042,3,FALSE),"")</f>
        <v>3415870</v>
      </c>
      <c r="B5302" s="17">
        <v>2020</v>
      </c>
      <c r="C5302" s="21" t="s">
        <v>873</v>
      </c>
      <c r="D5302" s="17">
        <v>4062</v>
      </c>
      <c r="E5302" s="17" t="s">
        <v>1446</v>
      </c>
      <c r="F5302" s="23">
        <v>1361533</v>
      </c>
    </row>
    <row r="5303" spans="1:6" ht="16" customHeight="1" x14ac:dyDescent="0.2">
      <c r="A5303">
        <f>IFERROR(VLOOKUP(C5303,'GASB Match'!$D$2:$F$6042,3,FALSE),"")</f>
        <v>3415870</v>
      </c>
      <c r="B5303" s="17">
        <v>2021</v>
      </c>
      <c r="C5303" s="25" t="s">
        <v>873</v>
      </c>
      <c r="D5303" s="17">
        <v>4062</v>
      </c>
      <c r="E5303" s="17" t="s">
        <v>1446</v>
      </c>
      <c r="F5303" s="23">
        <v>1673049</v>
      </c>
    </row>
    <row r="5304" spans="1:6" ht="16" customHeight="1" x14ac:dyDescent="0.2">
      <c r="A5304">
        <f>IFERROR(VLOOKUP(C5304,'GASB Match'!$D$2:$F$6042,3,FALSE),"")</f>
        <v>3415870</v>
      </c>
      <c r="B5304" s="17">
        <v>2022</v>
      </c>
      <c r="C5304" s="21" t="s">
        <v>873</v>
      </c>
      <c r="D5304" s="17">
        <v>4062</v>
      </c>
      <c r="E5304" s="17" t="s">
        <v>1446</v>
      </c>
      <c r="F5304" s="23">
        <v>2351020</v>
      </c>
    </row>
    <row r="5305" spans="1:6" ht="16" customHeight="1" x14ac:dyDescent="0.2">
      <c r="A5305">
        <f>IFERROR(VLOOKUP(C5305,'GASB Match'!$D$2:$F$6042,3,FALSE),"")</f>
        <v>3415870</v>
      </c>
      <c r="B5305" s="17">
        <v>2023</v>
      </c>
      <c r="C5305" s="21" t="s">
        <v>873</v>
      </c>
      <c r="D5305" s="17">
        <v>4062</v>
      </c>
      <c r="E5305" s="17" t="s">
        <v>1446</v>
      </c>
      <c r="F5305" s="23">
        <v>2326278</v>
      </c>
    </row>
    <row r="5306" spans="1:6" ht="16" customHeight="1" x14ac:dyDescent="0.2">
      <c r="A5306">
        <f>IFERROR(VLOOKUP(C5306,'GASB Match'!$D$2:$F$6042,3,FALSE),"")</f>
        <v>3415870</v>
      </c>
      <c r="B5306" s="28">
        <v>2017</v>
      </c>
      <c r="C5306" s="29" t="s">
        <v>190</v>
      </c>
      <c r="D5306" s="17">
        <v>4062</v>
      </c>
      <c r="E5306" s="17" t="s">
        <v>1405</v>
      </c>
      <c r="F5306" s="29">
        <v>624988</v>
      </c>
    </row>
    <row r="5307" spans="1:6" ht="16" customHeight="1" x14ac:dyDescent="0.2">
      <c r="A5307">
        <f>IFERROR(VLOOKUP(C5307,'GASB Match'!$D$2:$F$6042,3,FALSE),"")</f>
        <v>3415900</v>
      </c>
      <c r="B5307" s="17">
        <v>2015</v>
      </c>
      <c r="C5307" s="17" t="s">
        <v>630</v>
      </c>
      <c r="D5307" s="17">
        <v>845</v>
      </c>
      <c r="E5307" s="17" t="s">
        <v>1427</v>
      </c>
      <c r="F5307" s="20">
        <v>1696542</v>
      </c>
    </row>
    <row r="5308" spans="1:6" ht="16" customHeight="1" x14ac:dyDescent="0.2">
      <c r="A5308">
        <f>IFERROR(VLOOKUP(C5308,'GASB Match'!$D$2:$F$6042,3,FALSE),"")</f>
        <v>3415900</v>
      </c>
      <c r="B5308" s="17">
        <v>2016</v>
      </c>
      <c r="C5308" s="17" t="s">
        <v>630</v>
      </c>
      <c r="D5308" s="17">
        <v>845</v>
      </c>
      <c r="E5308" s="17" t="s">
        <v>1427</v>
      </c>
      <c r="F5308" s="20">
        <v>2495962</v>
      </c>
    </row>
    <row r="5309" spans="1:6" ht="16" customHeight="1" x14ac:dyDescent="0.2">
      <c r="A5309">
        <f>IFERROR(VLOOKUP(C5309,'GASB Match'!$D$2:$F$6042,3,FALSE),"")</f>
        <v>3415900</v>
      </c>
      <c r="B5309" s="17">
        <v>2018</v>
      </c>
      <c r="C5309" s="17" t="s">
        <v>1323</v>
      </c>
      <c r="D5309" s="17">
        <v>845</v>
      </c>
      <c r="E5309" s="17" t="s">
        <v>1470</v>
      </c>
      <c r="F5309" s="20">
        <v>4892809</v>
      </c>
    </row>
    <row r="5310" spans="1:6" ht="16" customHeight="1" x14ac:dyDescent="0.2">
      <c r="A5310">
        <f>IFERROR(VLOOKUP(C5310,'GASB Match'!$D$2:$F$6042,3,FALSE),"")</f>
        <v>3415900</v>
      </c>
      <c r="B5310" s="17">
        <v>2019</v>
      </c>
      <c r="C5310" s="17" t="s">
        <v>1323</v>
      </c>
      <c r="D5310" s="17">
        <v>845</v>
      </c>
      <c r="E5310" s="17" t="s">
        <v>1470</v>
      </c>
      <c r="F5310" s="20">
        <v>6374803</v>
      </c>
    </row>
    <row r="5311" spans="1:6" ht="16" customHeight="1" x14ac:dyDescent="0.2">
      <c r="A5311">
        <f>IFERROR(VLOOKUP(C5311,'GASB Match'!$D$2:$F$6042,3,FALSE),"")</f>
        <v>3415900</v>
      </c>
      <c r="B5311" s="17">
        <v>2020</v>
      </c>
      <c r="C5311" s="21" t="s">
        <v>1323</v>
      </c>
      <c r="D5311" s="17">
        <v>845</v>
      </c>
      <c r="E5311" s="17" t="s">
        <v>1470</v>
      </c>
      <c r="F5311" s="23">
        <v>7125431</v>
      </c>
    </row>
    <row r="5312" spans="1:6" ht="16" customHeight="1" x14ac:dyDescent="0.2">
      <c r="A5312">
        <f>IFERROR(VLOOKUP(C5312,'GASB Match'!$D$2:$F$6042,3,FALSE),"")</f>
        <v>3415900</v>
      </c>
      <c r="B5312" s="17">
        <v>2021</v>
      </c>
      <c r="C5312" s="25" t="s">
        <v>1323</v>
      </c>
      <c r="D5312" s="17">
        <v>845</v>
      </c>
      <c r="E5312" s="17" t="s">
        <v>1470</v>
      </c>
      <c r="F5312" s="23">
        <v>8939277</v>
      </c>
    </row>
    <row r="5313" spans="1:6" ht="16" customHeight="1" x14ac:dyDescent="0.2">
      <c r="A5313">
        <f>IFERROR(VLOOKUP(C5313,'GASB Match'!$D$2:$F$6042,3,FALSE),"")</f>
        <v>3415900</v>
      </c>
      <c r="B5313" s="17">
        <v>2022</v>
      </c>
      <c r="C5313" s="21" t="s">
        <v>1323</v>
      </c>
      <c r="D5313" s="17">
        <v>845</v>
      </c>
      <c r="E5313" s="17" t="s">
        <v>1470</v>
      </c>
      <c r="F5313" s="23">
        <v>13147594</v>
      </c>
    </row>
    <row r="5314" spans="1:6" ht="16" customHeight="1" x14ac:dyDescent="0.2">
      <c r="A5314">
        <f>IFERROR(VLOOKUP(C5314,'GASB Match'!$D$2:$F$6042,3,FALSE),"")</f>
        <v>3415900</v>
      </c>
      <c r="B5314" s="17">
        <v>2023</v>
      </c>
      <c r="C5314" s="21" t="s">
        <v>1323</v>
      </c>
      <c r="D5314" s="17">
        <v>845</v>
      </c>
      <c r="E5314" s="17" t="s">
        <v>1470</v>
      </c>
      <c r="F5314" s="23">
        <v>12739650</v>
      </c>
    </row>
    <row r="5315" spans="1:6" ht="16" customHeight="1" x14ac:dyDescent="0.2">
      <c r="A5315">
        <f>IFERROR(VLOOKUP(C5315,'GASB Match'!$D$2:$F$6042,3,FALSE),"")</f>
        <v>3415900</v>
      </c>
      <c r="B5315" s="28">
        <v>2017</v>
      </c>
      <c r="C5315" s="29" t="s">
        <v>630</v>
      </c>
      <c r="D5315" s="17">
        <v>845</v>
      </c>
      <c r="E5315" s="17" t="s">
        <v>1427</v>
      </c>
      <c r="F5315" s="29">
        <v>3515706</v>
      </c>
    </row>
    <row r="5316" spans="1:6" ht="16" customHeight="1" x14ac:dyDescent="0.2">
      <c r="A5316">
        <f>IFERROR(VLOOKUP(C5316,'GASB Match'!$D$2:$F$6042,3,FALSE),"")</f>
        <v>3480320</v>
      </c>
      <c r="B5316" s="17">
        <v>2015</v>
      </c>
      <c r="C5316" s="17" t="s">
        <v>604</v>
      </c>
      <c r="D5316" s="17">
        <v>771</v>
      </c>
      <c r="E5316" s="17" t="s">
        <v>1426</v>
      </c>
      <c r="F5316" s="20">
        <v>62394</v>
      </c>
    </row>
    <row r="5317" spans="1:6" ht="16" customHeight="1" x14ac:dyDescent="0.2">
      <c r="A5317">
        <f>IFERROR(VLOOKUP(C5317,'GASB Match'!$D$2:$F$6042,3,FALSE),"")</f>
        <v>3480320</v>
      </c>
      <c r="B5317" s="17">
        <v>2016</v>
      </c>
      <c r="C5317" s="17" t="s">
        <v>604</v>
      </c>
      <c r="D5317" s="17">
        <v>771</v>
      </c>
      <c r="E5317" s="17" t="s">
        <v>1426</v>
      </c>
      <c r="F5317" s="20">
        <v>97753</v>
      </c>
    </row>
    <row r="5318" spans="1:6" ht="16" customHeight="1" x14ac:dyDescent="0.2">
      <c r="A5318">
        <f>IFERROR(VLOOKUP(C5318,'GASB Match'!$D$2:$F$6042,3,FALSE),"")</f>
        <v>3480320</v>
      </c>
      <c r="B5318" s="17">
        <v>2018</v>
      </c>
      <c r="C5318" s="17" t="s">
        <v>1297</v>
      </c>
      <c r="D5318" s="17">
        <v>771</v>
      </c>
      <c r="E5318" s="17" t="s">
        <v>1469</v>
      </c>
      <c r="F5318" s="20">
        <v>191053</v>
      </c>
    </row>
    <row r="5319" spans="1:6" ht="16" customHeight="1" x14ac:dyDescent="0.2">
      <c r="A5319">
        <f>IFERROR(VLOOKUP(C5319,'GASB Match'!$D$2:$F$6042,3,FALSE),"")</f>
        <v>3480320</v>
      </c>
      <c r="B5319" s="17">
        <v>2019</v>
      </c>
      <c r="C5319" s="17" t="s">
        <v>1297</v>
      </c>
      <c r="D5319" s="17">
        <v>771</v>
      </c>
      <c r="E5319" s="17" t="s">
        <v>1469</v>
      </c>
      <c r="F5319" s="20">
        <v>248566</v>
      </c>
    </row>
    <row r="5320" spans="1:6" ht="16" customHeight="1" x14ac:dyDescent="0.2">
      <c r="A5320">
        <f>IFERROR(VLOOKUP(C5320,'GASB Match'!$D$2:$F$6042,3,FALSE),"")</f>
        <v>3480320</v>
      </c>
      <c r="B5320" s="17">
        <v>2020</v>
      </c>
      <c r="C5320" s="21" t="s">
        <v>1297</v>
      </c>
      <c r="D5320" s="17">
        <v>771</v>
      </c>
      <c r="E5320" s="17" t="s">
        <v>1469</v>
      </c>
      <c r="F5320" s="23">
        <v>309050</v>
      </c>
    </row>
    <row r="5321" spans="1:6" ht="16" customHeight="1" x14ac:dyDescent="0.2">
      <c r="A5321">
        <f>IFERROR(VLOOKUP(C5321,'GASB Match'!$D$2:$F$6042,3,FALSE),"")</f>
        <v>3480320</v>
      </c>
      <c r="B5321" s="17">
        <v>2021</v>
      </c>
      <c r="C5321" s="25" t="s">
        <v>1297</v>
      </c>
      <c r="D5321" s="17">
        <v>771</v>
      </c>
      <c r="E5321" s="17" t="s">
        <v>1469</v>
      </c>
      <c r="F5321" s="23">
        <v>427357</v>
      </c>
    </row>
    <row r="5322" spans="1:6" ht="16" customHeight="1" x14ac:dyDescent="0.2">
      <c r="A5322">
        <f>IFERROR(VLOOKUP(C5322,'GASB Match'!$D$2:$F$6042,3,FALSE),"")</f>
        <v>3480320</v>
      </c>
      <c r="B5322" s="17">
        <v>2022</v>
      </c>
      <c r="C5322" s="21" t="s">
        <v>1297</v>
      </c>
      <c r="D5322" s="17">
        <v>771</v>
      </c>
      <c r="E5322" s="17" t="s">
        <v>1469</v>
      </c>
      <c r="F5322" s="23">
        <v>615403</v>
      </c>
    </row>
    <row r="5323" spans="1:6" ht="16" customHeight="1" x14ac:dyDescent="0.2">
      <c r="A5323">
        <f>IFERROR(VLOOKUP(C5323,'GASB Match'!$D$2:$F$6042,3,FALSE),"")</f>
        <v>3480320</v>
      </c>
      <c r="B5323" s="17">
        <v>2023</v>
      </c>
      <c r="C5323" s="21" t="s">
        <v>1297</v>
      </c>
      <c r="D5323" s="17">
        <v>771</v>
      </c>
      <c r="E5323" s="17" t="s">
        <v>1469</v>
      </c>
      <c r="F5323" s="23">
        <v>613584</v>
      </c>
    </row>
    <row r="5324" spans="1:6" ht="16" customHeight="1" x14ac:dyDescent="0.2">
      <c r="A5324">
        <f>IFERROR(VLOOKUP(C5324,'GASB Match'!$D$2:$F$6042,3,FALSE),"")</f>
        <v>3480320</v>
      </c>
      <c r="B5324" s="28">
        <v>2017</v>
      </c>
      <c r="C5324" s="29" t="s">
        <v>604</v>
      </c>
      <c r="D5324" s="17">
        <v>771</v>
      </c>
      <c r="E5324" s="17" t="s">
        <v>1426</v>
      </c>
      <c r="F5324" s="29">
        <v>149534</v>
      </c>
    </row>
    <row r="5325" spans="1:6" ht="16" customHeight="1" x14ac:dyDescent="0.2">
      <c r="A5325">
        <f>IFERROR(VLOOKUP(C5325,'GASB Match'!$D$2:$F$6042,3,FALSE),"")</f>
        <v>3400055</v>
      </c>
      <c r="B5325" s="17">
        <v>2015</v>
      </c>
      <c r="C5325" s="17" t="s">
        <v>605</v>
      </c>
      <c r="D5325" s="17">
        <v>793</v>
      </c>
      <c r="E5325" s="17" t="s">
        <v>1426</v>
      </c>
      <c r="F5325" s="20">
        <v>1606</v>
      </c>
    </row>
    <row r="5326" spans="1:6" ht="16" customHeight="1" x14ac:dyDescent="0.2">
      <c r="A5326">
        <f>IFERROR(VLOOKUP(C5326,'GASB Match'!$D$2:$F$6042,3,FALSE),"")</f>
        <v>3400055</v>
      </c>
      <c r="B5326" s="17">
        <v>2015</v>
      </c>
      <c r="C5326" s="17" t="s">
        <v>605</v>
      </c>
      <c r="D5326" s="17">
        <v>793</v>
      </c>
      <c r="E5326" s="17" t="s">
        <v>1426</v>
      </c>
      <c r="F5326" s="20">
        <v>75432</v>
      </c>
    </row>
    <row r="5327" spans="1:6" ht="16" customHeight="1" x14ac:dyDescent="0.2">
      <c r="A5327">
        <f>IFERROR(VLOOKUP(C5327,'GASB Match'!$D$2:$F$6042,3,FALSE),"")</f>
        <v>3400055</v>
      </c>
      <c r="B5327" s="17">
        <v>2016</v>
      </c>
      <c r="C5327" s="17" t="s">
        <v>605</v>
      </c>
      <c r="D5327" s="17">
        <v>793</v>
      </c>
      <c r="E5327" s="17" t="s">
        <v>1426</v>
      </c>
      <c r="F5327" s="20">
        <v>2401</v>
      </c>
    </row>
    <row r="5328" spans="1:6" ht="16" customHeight="1" x14ac:dyDescent="0.2">
      <c r="A5328">
        <f>IFERROR(VLOOKUP(C5328,'GASB Match'!$D$2:$F$6042,3,FALSE),"")</f>
        <v>3400055</v>
      </c>
      <c r="B5328" s="17">
        <v>2016</v>
      </c>
      <c r="C5328" s="17" t="s">
        <v>605</v>
      </c>
      <c r="D5328" s="17">
        <v>793</v>
      </c>
      <c r="E5328" s="17" t="s">
        <v>1426</v>
      </c>
      <c r="F5328" s="20">
        <v>109653</v>
      </c>
    </row>
    <row r="5329" spans="1:6" ht="16" customHeight="1" x14ac:dyDescent="0.2">
      <c r="A5329">
        <f>IFERROR(VLOOKUP(C5329,'GASB Match'!$D$2:$F$6042,3,FALSE),"")</f>
        <v>3400055</v>
      </c>
      <c r="B5329" s="17">
        <v>2018</v>
      </c>
      <c r="C5329" s="17" t="s">
        <v>1298</v>
      </c>
      <c r="D5329" s="17">
        <v>793</v>
      </c>
      <c r="E5329" s="17" t="s">
        <v>1469</v>
      </c>
      <c r="F5329" s="20">
        <v>222673</v>
      </c>
    </row>
    <row r="5330" spans="1:6" ht="16" customHeight="1" x14ac:dyDescent="0.2">
      <c r="A5330">
        <f>IFERROR(VLOOKUP(C5330,'GASB Match'!$D$2:$F$6042,3,FALSE),"")</f>
        <v>3400055</v>
      </c>
      <c r="B5330" s="17">
        <v>2019</v>
      </c>
      <c r="C5330" s="17" t="s">
        <v>1298</v>
      </c>
      <c r="D5330" s="17">
        <v>793</v>
      </c>
      <c r="E5330" s="17" t="s">
        <v>1469</v>
      </c>
      <c r="F5330" s="20">
        <v>325962</v>
      </c>
    </row>
    <row r="5331" spans="1:6" ht="16" customHeight="1" x14ac:dyDescent="0.2">
      <c r="A5331">
        <f>IFERROR(VLOOKUP(C5331,'GASB Match'!$D$2:$F$6042,3,FALSE),"")</f>
        <v>3400055</v>
      </c>
      <c r="B5331" s="17">
        <v>2020</v>
      </c>
      <c r="C5331" s="21" t="s">
        <v>1298</v>
      </c>
      <c r="D5331" s="17">
        <v>793</v>
      </c>
      <c r="E5331" s="17" t="s">
        <v>1469</v>
      </c>
      <c r="F5331" s="23">
        <v>365137</v>
      </c>
    </row>
    <row r="5332" spans="1:6" ht="16" customHeight="1" x14ac:dyDescent="0.2">
      <c r="A5332">
        <f>IFERROR(VLOOKUP(C5332,'GASB Match'!$D$2:$F$6042,3,FALSE),"")</f>
        <v>3400055</v>
      </c>
      <c r="B5332" s="17">
        <v>2021</v>
      </c>
      <c r="C5332" s="25" t="s">
        <v>1298</v>
      </c>
      <c r="D5332" s="17">
        <v>793</v>
      </c>
      <c r="E5332" s="17" t="s">
        <v>1469</v>
      </c>
      <c r="F5332" s="23">
        <v>441615</v>
      </c>
    </row>
    <row r="5333" spans="1:6" ht="16" customHeight="1" x14ac:dyDescent="0.2">
      <c r="A5333">
        <f>IFERROR(VLOOKUP(C5333,'GASB Match'!$D$2:$F$6042,3,FALSE),"")</f>
        <v>3400055</v>
      </c>
      <c r="B5333" s="17">
        <v>2022</v>
      </c>
      <c r="C5333" s="21" t="s">
        <v>1298</v>
      </c>
      <c r="D5333" s="17">
        <v>793</v>
      </c>
      <c r="E5333" s="17" t="s">
        <v>1469</v>
      </c>
      <c r="F5333" s="23">
        <v>632262</v>
      </c>
    </row>
    <row r="5334" spans="1:6" ht="16" customHeight="1" x14ac:dyDescent="0.2">
      <c r="A5334">
        <f>IFERROR(VLOOKUP(C5334,'GASB Match'!$D$2:$F$6042,3,FALSE),"")</f>
        <v>3400055</v>
      </c>
      <c r="B5334" s="17">
        <v>2023</v>
      </c>
      <c r="C5334" s="21" t="s">
        <v>1298</v>
      </c>
      <c r="D5334" s="17">
        <v>793</v>
      </c>
      <c r="E5334" s="17" t="s">
        <v>1469</v>
      </c>
      <c r="F5334" s="23">
        <v>658154</v>
      </c>
    </row>
    <row r="5335" spans="1:6" ht="16" customHeight="1" x14ac:dyDescent="0.2">
      <c r="A5335">
        <f>IFERROR(VLOOKUP(C5335,'GASB Match'!$D$2:$F$6042,3,FALSE),"")</f>
        <v>3400055</v>
      </c>
      <c r="B5335" s="28">
        <v>2017</v>
      </c>
      <c r="C5335" s="29" t="s">
        <v>605</v>
      </c>
      <c r="D5335" s="17">
        <v>793</v>
      </c>
      <c r="E5335" s="17" t="s">
        <v>1426</v>
      </c>
      <c r="F5335" s="29">
        <v>167986</v>
      </c>
    </row>
    <row r="5336" spans="1:6" ht="16" customHeight="1" x14ac:dyDescent="0.2">
      <c r="A5336">
        <f>IFERROR(VLOOKUP(C5336,'GASB Match'!$D$2:$F$6042,3,FALSE),"")</f>
        <v>3415930</v>
      </c>
      <c r="B5336" s="17">
        <v>2015</v>
      </c>
      <c r="C5336" s="17" t="s">
        <v>606</v>
      </c>
      <c r="D5336" s="17">
        <v>979</v>
      </c>
      <c r="E5336" s="17" t="s">
        <v>1426</v>
      </c>
      <c r="F5336" s="20">
        <v>280062</v>
      </c>
    </row>
    <row r="5337" spans="1:6" ht="16" customHeight="1" x14ac:dyDescent="0.2">
      <c r="A5337">
        <f>IFERROR(VLOOKUP(C5337,'GASB Match'!$D$2:$F$6042,3,FALSE),"")</f>
        <v>3415930</v>
      </c>
      <c r="B5337" s="17">
        <v>2016</v>
      </c>
      <c r="C5337" s="17" t="s">
        <v>606</v>
      </c>
      <c r="D5337" s="17">
        <v>979</v>
      </c>
      <c r="E5337" s="17" t="s">
        <v>1426</v>
      </c>
      <c r="F5337" s="20">
        <v>444036</v>
      </c>
    </row>
    <row r="5338" spans="1:6" ht="16" customHeight="1" x14ac:dyDescent="0.2">
      <c r="A5338">
        <f>IFERROR(VLOOKUP(C5338,'GASB Match'!$D$2:$F$6042,3,FALSE),"")</f>
        <v>3415930</v>
      </c>
      <c r="B5338" s="17">
        <v>2018</v>
      </c>
      <c r="C5338" s="17" t="s">
        <v>1299</v>
      </c>
      <c r="D5338" s="17">
        <v>979</v>
      </c>
      <c r="E5338" s="17" t="s">
        <v>1469</v>
      </c>
      <c r="F5338" s="20">
        <v>808771</v>
      </c>
    </row>
    <row r="5339" spans="1:6" ht="16" customHeight="1" x14ac:dyDescent="0.2">
      <c r="A5339">
        <f>IFERROR(VLOOKUP(C5339,'GASB Match'!$D$2:$F$6042,3,FALSE),"")</f>
        <v>3415930</v>
      </c>
      <c r="B5339" s="17">
        <v>2019</v>
      </c>
      <c r="C5339" s="17" t="s">
        <v>1299</v>
      </c>
      <c r="D5339" s="17">
        <v>979</v>
      </c>
      <c r="E5339" s="17" t="s">
        <v>1469</v>
      </c>
      <c r="F5339" s="20">
        <v>1072798</v>
      </c>
    </row>
    <row r="5340" spans="1:6" ht="16" customHeight="1" x14ac:dyDescent="0.2">
      <c r="A5340">
        <f>IFERROR(VLOOKUP(C5340,'GASB Match'!$D$2:$F$6042,3,FALSE),"")</f>
        <v>3415930</v>
      </c>
      <c r="B5340" s="17">
        <v>2020</v>
      </c>
      <c r="C5340" s="21" t="s">
        <v>1299</v>
      </c>
      <c r="D5340" s="17">
        <v>979</v>
      </c>
      <c r="E5340" s="17" t="s">
        <v>1469</v>
      </c>
      <c r="F5340" s="23">
        <v>1206497</v>
      </c>
    </row>
    <row r="5341" spans="1:6" ht="16" customHeight="1" x14ac:dyDescent="0.2">
      <c r="A5341">
        <f>IFERROR(VLOOKUP(C5341,'GASB Match'!$D$2:$F$6042,3,FALSE),"")</f>
        <v>3415930</v>
      </c>
      <c r="B5341" s="17">
        <v>2021</v>
      </c>
      <c r="C5341" s="25" t="s">
        <v>1299</v>
      </c>
      <c r="D5341" s="17">
        <v>979</v>
      </c>
      <c r="E5341" s="17" t="s">
        <v>1469</v>
      </c>
      <c r="F5341" s="23">
        <v>1563686</v>
      </c>
    </row>
    <row r="5342" spans="1:6" ht="16" customHeight="1" x14ac:dyDescent="0.2">
      <c r="A5342">
        <f>IFERROR(VLOOKUP(C5342,'GASB Match'!$D$2:$F$6042,3,FALSE),"")</f>
        <v>3415930</v>
      </c>
      <c r="B5342" s="17">
        <v>2022</v>
      </c>
      <c r="C5342" s="21" t="s">
        <v>1299</v>
      </c>
      <c r="D5342" s="17">
        <v>979</v>
      </c>
      <c r="E5342" s="17" t="s">
        <v>1469</v>
      </c>
      <c r="F5342" s="23">
        <v>2217764</v>
      </c>
    </row>
    <row r="5343" spans="1:6" ht="16" customHeight="1" x14ac:dyDescent="0.2">
      <c r="A5343">
        <f>IFERROR(VLOOKUP(C5343,'GASB Match'!$D$2:$F$6042,3,FALSE),"")</f>
        <v>3415930</v>
      </c>
      <c r="B5343" s="17">
        <v>2023</v>
      </c>
      <c r="C5343" s="21" t="s">
        <v>1299</v>
      </c>
      <c r="D5343" s="17">
        <v>979</v>
      </c>
      <c r="E5343" s="17" t="s">
        <v>1469</v>
      </c>
      <c r="F5343" s="23">
        <v>2197942</v>
      </c>
    </row>
    <row r="5344" spans="1:6" ht="16" customHeight="1" x14ac:dyDescent="0.2">
      <c r="A5344">
        <f>IFERROR(VLOOKUP(C5344,'GASB Match'!$D$2:$F$6042,3,FALSE),"")</f>
        <v>3415930</v>
      </c>
      <c r="B5344" s="28">
        <v>2017</v>
      </c>
      <c r="C5344" s="29" t="s">
        <v>606</v>
      </c>
      <c r="D5344" s="17">
        <v>979</v>
      </c>
      <c r="E5344" s="17" t="s">
        <v>1426</v>
      </c>
      <c r="F5344" s="29">
        <v>623966</v>
      </c>
    </row>
    <row r="5345" spans="1:6" ht="16" customHeight="1" x14ac:dyDescent="0.2">
      <c r="A5345">
        <f>IFERROR(VLOOKUP(C5345,'GASB Match'!$D$2:$F$6042,3,FALSE),"")</f>
        <v>3415960</v>
      </c>
      <c r="B5345" s="17">
        <v>2015</v>
      </c>
      <c r="C5345" s="17" t="s">
        <v>607</v>
      </c>
      <c r="D5345" s="17">
        <v>796</v>
      </c>
      <c r="E5345" s="17" t="s">
        <v>1426</v>
      </c>
      <c r="F5345" s="20">
        <v>532179</v>
      </c>
    </row>
    <row r="5346" spans="1:6" ht="16" customHeight="1" x14ac:dyDescent="0.2">
      <c r="A5346">
        <f>IFERROR(VLOOKUP(C5346,'GASB Match'!$D$2:$F$6042,3,FALSE),"")</f>
        <v>3415960</v>
      </c>
      <c r="B5346" s="17">
        <v>2016</v>
      </c>
      <c r="C5346" s="17" t="s">
        <v>607</v>
      </c>
      <c r="D5346" s="17">
        <v>796</v>
      </c>
      <c r="E5346" s="17" t="s">
        <v>1426</v>
      </c>
      <c r="F5346" s="20">
        <v>770858</v>
      </c>
    </row>
    <row r="5347" spans="1:6" ht="16" customHeight="1" x14ac:dyDescent="0.2">
      <c r="A5347">
        <f>IFERROR(VLOOKUP(C5347,'GASB Match'!$D$2:$F$6042,3,FALSE),"")</f>
        <v>3415960</v>
      </c>
      <c r="B5347" s="17">
        <v>2018</v>
      </c>
      <c r="C5347" s="17" t="s">
        <v>1300</v>
      </c>
      <c r="D5347" s="17">
        <v>796</v>
      </c>
      <c r="E5347" s="17" t="s">
        <v>1469</v>
      </c>
      <c r="F5347" s="20">
        <v>1484571</v>
      </c>
    </row>
    <row r="5348" spans="1:6" ht="16" customHeight="1" x14ac:dyDescent="0.2">
      <c r="A5348">
        <f>IFERROR(VLOOKUP(C5348,'GASB Match'!$D$2:$F$6042,3,FALSE),"")</f>
        <v>3415960</v>
      </c>
      <c r="B5348" s="17">
        <v>2019</v>
      </c>
      <c r="C5348" s="17" t="s">
        <v>1300</v>
      </c>
      <c r="D5348" s="17">
        <v>796</v>
      </c>
      <c r="E5348" s="17" t="s">
        <v>1469</v>
      </c>
      <c r="F5348" s="20">
        <v>1920165</v>
      </c>
    </row>
    <row r="5349" spans="1:6" ht="16" customHeight="1" x14ac:dyDescent="0.2">
      <c r="A5349">
        <f>IFERROR(VLOOKUP(C5349,'GASB Match'!$D$2:$F$6042,3,FALSE),"")</f>
        <v>3415960</v>
      </c>
      <c r="B5349" s="17">
        <v>2020</v>
      </c>
      <c r="C5349" s="21" t="s">
        <v>1300</v>
      </c>
      <c r="D5349" s="17">
        <v>796</v>
      </c>
      <c r="E5349" s="17" t="s">
        <v>1469</v>
      </c>
      <c r="F5349" s="23">
        <v>2150972</v>
      </c>
    </row>
    <row r="5350" spans="1:6" ht="16" customHeight="1" x14ac:dyDescent="0.2">
      <c r="A5350">
        <f>IFERROR(VLOOKUP(C5350,'GASB Match'!$D$2:$F$6042,3,FALSE),"")</f>
        <v>3415960</v>
      </c>
      <c r="B5350" s="17">
        <v>2021</v>
      </c>
      <c r="C5350" s="25" t="s">
        <v>1300</v>
      </c>
      <c r="D5350" s="17">
        <v>796</v>
      </c>
      <c r="E5350" s="17" t="s">
        <v>1469</v>
      </c>
      <c r="F5350" s="23">
        <v>2814899</v>
      </c>
    </row>
    <row r="5351" spans="1:6" ht="16" customHeight="1" x14ac:dyDescent="0.2">
      <c r="A5351">
        <f>IFERROR(VLOOKUP(C5351,'GASB Match'!$D$2:$F$6042,3,FALSE),"")</f>
        <v>3415960</v>
      </c>
      <c r="B5351" s="17">
        <v>2022</v>
      </c>
      <c r="C5351" s="21" t="s">
        <v>1300</v>
      </c>
      <c r="D5351" s="17">
        <v>796</v>
      </c>
      <c r="E5351" s="17" t="s">
        <v>1469</v>
      </c>
      <c r="F5351" s="23">
        <v>3669768</v>
      </c>
    </row>
    <row r="5352" spans="1:6" ht="16" customHeight="1" x14ac:dyDescent="0.2">
      <c r="A5352">
        <f>IFERROR(VLOOKUP(C5352,'GASB Match'!$D$2:$F$6042,3,FALSE),"")</f>
        <v>3415960</v>
      </c>
      <c r="B5352" s="17">
        <v>2023</v>
      </c>
      <c r="C5352" s="21" t="s">
        <v>1300</v>
      </c>
      <c r="D5352" s="17">
        <v>796</v>
      </c>
      <c r="E5352" s="17" t="s">
        <v>1469</v>
      </c>
      <c r="F5352" s="23">
        <v>3518736</v>
      </c>
    </row>
    <row r="5353" spans="1:6" ht="16" customHeight="1" x14ac:dyDescent="0.2">
      <c r="A5353">
        <f>IFERROR(VLOOKUP(C5353,'GASB Match'!$D$2:$F$6042,3,FALSE),"")</f>
        <v>3415960</v>
      </c>
      <c r="B5353" s="28">
        <v>2017</v>
      </c>
      <c r="C5353" s="29" t="s">
        <v>607</v>
      </c>
      <c r="D5353" s="17">
        <v>796</v>
      </c>
      <c r="E5353" s="17" t="s">
        <v>1426</v>
      </c>
      <c r="F5353" s="29">
        <v>1102867</v>
      </c>
    </row>
    <row r="5354" spans="1:6" ht="16" customHeight="1" x14ac:dyDescent="0.2">
      <c r="A5354">
        <f>IFERROR(VLOOKUP(C5354,'GASB Match'!$D$2:$F$6042,3,FALSE),"")</f>
        <v>3415990</v>
      </c>
      <c r="B5354" s="17">
        <v>2015</v>
      </c>
      <c r="C5354" s="17" t="s">
        <v>294</v>
      </c>
      <c r="D5354" s="17">
        <v>7028</v>
      </c>
      <c r="E5354" s="17" t="s">
        <v>1412</v>
      </c>
      <c r="F5354" s="20">
        <v>472937</v>
      </c>
    </row>
    <row r="5355" spans="1:6" ht="16" customHeight="1" x14ac:dyDescent="0.2">
      <c r="A5355">
        <f>IFERROR(VLOOKUP(C5355,'GASB Match'!$D$2:$F$6042,3,FALSE),"")</f>
        <v>3415990</v>
      </c>
      <c r="B5355" s="17">
        <v>2016</v>
      </c>
      <c r="C5355" s="17" t="s">
        <v>294</v>
      </c>
      <c r="D5355" s="17">
        <v>7028</v>
      </c>
      <c r="E5355" s="17" t="s">
        <v>1412</v>
      </c>
      <c r="F5355" s="20">
        <v>700291</v>
      </c>
    </row>
    <row r="5356" spans="1:6" ht="16" customHeight="1" x14ac:dyDescent="0.2">
      <c r="A5356">
        <f>IFERROR(VLOOKUP(C5356,'GASB Match'!$D$2:$F$6042,3,FALSE),"")</f>
        <v>3415990</v>
      </c>
      <c r="B5356" s="17">
        <v>2018</v>
      </c>
      <c r="C5356" s="17" t="s">
        <v>984</v>
      </c>
      <c r="D5356" s="17">
        <v>7028</v>
      </c>
      <c r="E5356" s="17" t="s">
        <v>1454</v>
      </c>
      <c r="F5356" s="20">
        <v>1475625</v>
      </c>
    </row>
    <row r="5357" spans="1:6" ht="16" customHeight="1" x14ac:dyDescent="0.2">
      <c r="A5357">
        <f>IFERROR(VLOOKUP(C5357,'GASB Match'!$D$2:$F$6042,3,FALSE),"")</f>
        <v>3415990</v>
      </c>
      <c r="B5357" s="17">
        <v>2019</v>
      </c>
      <c r="C5357" s="17" t="s">
        <v>984</v>
      </c>
      <c r="D5357" s="17">
        <v>7028</v>
      </c>
      <c r="E5357" s="17" t="s">
        <v>1454</v>
      </c>
      <c r="F5357" s="20">
        <v>1939552</v>
      </c>
    </row>
    <row r="5358" spans="1:6" ht="16" customHeight="1" x14ac:dyDescent="0.2">
      <c r="A5358">
        <f>IFERROR(VLOOKUP(C5358,'GASB Match'!$D$2:$F$6042,3,FALSE),"")</f>
        <v>3415990</v>
      </c>
      <c r="B5358" s="17">
        <v>2020</v>
      </c>
      <c r="C5358" s="21" t="s">
        <v>984</v>
      </c>
      <c r="D5358" s="17">
        <v>7028</v>
      </c>
      <c r="E5358" s="17" t="s">
        <v>1454</v>
      </c>
      <c r="F5358" s="23">
        <v>2261194</v>
      </c>
    </row>
    <row r="5359" spans="1:6" ht="16" customHeight="1" x14ac:dyDescent="0.2">
      <c r="A5359">
        <f>IFERROR(VLOOKUP(C5359,'GASB Match'!$D$2:$F$6042,3,FALSE),"")</f>
        <v>3415990</v>
      </c>
      <c r="B5359" s="17">
        <v>2021</v>
      </c>
      <c r="C5359" s="25" t="s">
        <v>984</v>
      </c>
      <c r="D5359" s="17">
        <v>7028</v>
      </c>
      <c r="E5359" s="17" t="s">
        <v>1454</v>
      </c>
      <c r="F5359" s="23">
        <v>2929712</v>
      </c>
    </row>
    <row r="5360" spans="1:6" ht="16" customHeight="1" x14ac:dyDescent="0.2">
      <c r="A5360">
        <f>IFERROR(VLOOKUP(C5360,'GASB Match'!$D$2:$F$6042,3,FALSE),"")</f>
        <v>3415990</v>
      </c>
      <c r="B5360" s="17">
        <v>2022</v>
      </c>
      <c r="C5360" s="21" t="s">
        <v>984</v>
      </c>
      <c r="D5360" s="17">
        <v>7028</v>
      </c>
      <c r="E5360" s="17" t="s">
        <v>1454</v>
      </c>
      <c r="F5360" s="23">
        <v>4226631</v>
      </c>
    </row>
    <row r="5361" spans="1:6" ht="16" customHeight="1" x14ac:dyDescent="0.2">
      <c r="A5361">
        <f>IFERROR(VLOOKUP(C5361,'GASB Match'!$D$2:$F$6042,3,FALSE),"")</f>
        <v>3415990</v>
      </c>
      <c r="B5361" s="17">
        <v>2023</v>
      </c>
      <c r="C5361" s="21" t="s">
        <v>984</v>
      </c>
      <c r="D5361" s="17">
        <v>7028</v>
      </c>
      <c r="E5361" s="17" t="s">
        <v>1454</v>
      </c>
      <c r="F5361" s="23">
        <v>4310944</v>
      </c>
    </row>
    <row r="5362" spans="1:6" ht="16" customHeight="1" x14ac:dyDescent="0.2">
      <c r="A5362">
        <f>IFERROR(VLOOKUP(C5362,'GASB Match'!$D$2:$F$6042,3,FALSE),"")</f>
        <v>3415990</v>
      </c>
      <c r="B5362" s="28">
        <v>2017</v>
      </c>
      <c r="C5362" s="29" t="s">
        <v>294</v>
      </c>
      <c r="D5362" s="17">
        <v>7028</v>
      </c>
      <c r="E5362" s="17" t="s">
        <v>1412</v>
      </c>
      <c r="F5362" s="29">
        <v>1024897</v>
      </c>
    </row>
    <row r="5363" spans="1:6" ht="16" customHeight="1" x14ac:dyDescent="0.2">
      <c r="A5363">
        <f>IFERROR(VLOOKUP(C5363,'GASB Match'!$D$2:$F$6042,3,FALSE),"")</f>
        <v>3416020</v>
      </c>
      <c r="B5363" s="17">
        <v>2015</v>
      </c>
      <c r="C5363" s="17" t="s">
        <v>144</v>
      </c>
      <c r="D5363" s="17">
        <v>3043</v>
      </c>
      <c r="E5363" s="17" t="s">
        <v>1404</v>
      </c>
      <c r="F5363" s="20">
        <v>283757</v>
      </c>
    </row>
    <row r="5364" spans="1:6" ht="16" customHeight="1" x14ac:dyDescent="0.2">
      <c r="A5364">
        <f>IFERROR(VLOOKUP(C5364,'GASB Match'!$D$2:$F$6042,3,FALSE),"")</f>
        <v>3416020</v>
      </c>
      <c r="B5364" s="17">
        <v>2016</v>
      </c>
      <c r="C5364" s="17" t="s">
        <v>144</v>
      </c>
      <c r="D5364" s="17">
        <v>3043</v>
      </c>
      <c r="E5364" s="17" t="s">
        <v>1404</v>
      </c>
      <c r="F5364" s="20">
        <v>455932</v>
      </c>
    </row>
    <row r="5365" spans="1:6" ht="16" customHeight="1" x14ac:dyDescent="0.2">
      <c r="A5365">
        <f>IFERROR(VLOOKUP(C5365,'GASB Match'!$D$2:$F$6042,3,FALSE),"")</f>
        <v>3416020</v>
      </c>
      <c r="B5365" s="17">
        <v>2018</v>
      </c>
      <c r="C5365" s="17" t="s">
        <v>825</v>
      </c>
      <c r="D5365" s="17">
        <v>3043</v>
      </c>
      <c r="E5365" s="17" t="s">
        <v>1445</v>
      </c>
      <c r="F5365" s="20">
        <v>751715</v>
      </c>
    </row>
    <row r="5366" spans="1:6" ht="16" customHeight="1" x14ac:dyDescent="0.2">
      <c r="A5366">
        <f>IFERROR(VLOOKUP(C5366,'GASB Match'!$D$2:$F$6042,3,FALSE),"")</f>
        <v>3416020</v>
      </c>
      <c r="B5366" s="17">
        <v>2019</v>
      </c>
      <c r="C5366" s="17" t="s">
        <v>825</v>
      </c>
      <c r="D5366" s="17">
        <v>3043</v>
      </c>
      <c r="E5366" s="17" t="s">
        <v>1445</v>
      </c>
      <c r="F5366" s="20">
        <v>1093670</v>
      </c>
    </row>
    <row r="5367" spans="1:6" ht="16" customHeight="1" x14ac:dyDescent="0.2">
      <c r="A5367">
        <f>IFERROR(VLOOKUP(C5367,'GASB Match'!$D$2:$F$6042,3,FALSE),"")</f>
        <v>3416020</v>
      </c>
      <c r="B5367" s="17">
        <v>2020</v>
      </c>
      <c r="C5367" s="21" t="s">
        <v>825</v>
      </c>
      <c r="D5367" s="17">
        <v>3043</v>
      </c>
      <c r="E5367" s="17" t="s">
        <v>1445</v>
      </c>
      <c r="F5367" s="23">
        <v>1233833</v>
      </c>
    </row>
    <row r="5368" spans="1:6" ht="16" customHeight="1" x14ac:dyDescent="0.2">
      <c r="A5368">
        <f>IFERROR(VLOOKUP(C5368,'GASB Match'!$D$2:$F$6042,3,FALSE),"")</f>
        <v>3416020</v>
      </c>
      <c r="B5368" s="17">
        <v>2021</v>
      </c>
      <c r="C5368" s="25" t="s">
        <v>825</v>
      </c>
      <c r="D5368" s="17">
        <v>3043</v>
      </c>
      <c r="E5368" s="17" t="s">
        <v>1445</v>
      </c>
      <c r="F5368" s="23">
        <v>1541645</v>
      </c>
    </row>
    <row r="5369" spans="1:6" ht="16" customHeight="1" x14ac:dyDescent="0.2">
      <c r="A5369">
        <f>IFERROR(VLOOKUP(C5369,'GASB Match'!$D$2:$F$6042,3,FALSE),"")</f>
        <v>3416020</v>
      </c>
      <c r="B5369" s="17">
        <v>2022</v>
      </c>
      <c r="C5369" s="21" t="s">
        <v>825</v>
      </c>
      <c r="D5369" s="17">
        <v>3043</v>
      </c>
      <c r="E5369" s="17" t="s">
        <v>1445</v>
      </c>
      <c r="F5369" s="23">
        <v>2006150</v>
      </c>
    </row>
    <row r="5370" spans="1:6" ht="16" customHeight="1" x14ac:dyDescent="0.2">
      <c r="A5370">
        <f>IFERROR(VLOOKUP(C5370,'GASB Match'!$D$2:$F$6042,3,FALSE),"")</f>
        <v>3416020</v>
      </c>
      <c r="B5370" s="17">
        <v>2023</v>
      </c>
      <c r="C5370" s="21" t="s">
        <v>825</v>
      </c>
      <c r="D5370" s="17">
        <v>3043</v>
      </c>
      <c r="E5370" s="17" t="s">
        <v>1445</v>
      </c>
      <c r="F5370" s="23">
        <v>1833575</v>
      </c>
    </row>
    <row r="5371" spans="1:6" ht="16" customHeight="1" x14ac:dyDescent="0.2">
      <c r="A5371">
        <f>IFERROR(VLOOKUP(C5371,'GASB Match'!$D$2:$F$6042,3,FALSE),"")</f>
        <v>3416020</v>
      </c>
      <c r="B5371" s="28">
        <v>2017</v>
      </c>
      <c r="C5371" s="29" t="s">
        <v>144</v>
      </c>
      <c r="D5371" s="17">
        <v>3043</v>
      </c>
      <c r="E5371" s="17" t="s">
        <v>1404</v>
      </c>
      <c r="F5371" s="29">
        <v>634235</v>
      </c>
    </row>
    <row r="5372" spans="1:6" ht="16" customHeight="1" x14ac:dyDescent="0.2">
      <c r="A5372">
        <f>IFERROR(VLOOKUP(C5372,'GASB Match'!$D$2:$F$6042,3,FALSE),"")</f>
        <v>3400070</v>
      </c>
      <c r="B5372" s="17">
        <v>2015</v>
      </c>
      <c r="C5372" s="17" t="s">
        <v>266</v>
      </c>
      <c r="D5372" s="17">
        <v>6017</v>
      </c>
      <c r="E5372" s="17" t="s">
        <v>1411</v>
      </c>
      <c r="F5372" s="20">
        <v>758941</v>
      </c>
    </row>
    <row r="5373" spans="1:6" ht="16" customHeight="1" x14ac:dyDescent="0.2">
      <c r="A5373">
        <f>IFERROR(VLOOKUP(C5373,'GASB Match'!$D$2:$F$6042,3,FALSE),"")</f>
        <v>3400070</v>
      </c>
      <c r="B5373" s="17">
        <v>2016</v>
      </c>
      <c r="C5373" s="17" t="s">
        <v>266</v>
      </c>
      <c r="D5373" s="17">
        <v>6017</v>
      </c>
      <c r="E5373" s="17" t="s">
        <v>1411</v>
      </c>
      <c r="F5373" s="20">
        <v>1292370</v>
      </c>
    </row>
    <row r="5374" spans="1:6" ht="16" customHeight="1" x14ac:dyDescent="0.2">
      <c r="A5374">
        <f>IFERROR(VLOOKUP(C5374,'GASB Match'!$D$2:$F$6042,3,FALSE),"")</f>
        <v>3400070</v>
      </c>
      <c r="B5374" s="17">
        <v>2018</v>
      </c>
      <c r="C5374" s="17" t="s">
        <v>956</v>
      </c>
      <c r="D5374" s="17">
        <v>6017</v>
      </c>
      <c r="E5374" s="17" t="s">
        <v>1452</v>
      </c>
      <c r="F5374" s="20">
        <v>2705560</v>
      </c>
    </row>
    <row r="5375" spans="1:6" ht="16" customHeight="1" x14ac:dyDescent="0.2">
      <c r="A5375">
        <f>IFERROR(VLOOKUP(C5375,'GASB Match'!$D$2:$F$6042,3,FALSE),"")</f>
        <v>3400070</v>
      </c>
      <c r="B5375" s="17">
        <v>2019</v>
      </c>
      <c r="C5375" s="17" t="s">
        <v>956</v>
      </c>
      <c r="D5375" s="17">
        <v>6017</v>
      </c>
      <c r="E5375" s="17" t="s">
        <v>1452</v>
      </c>
      <c r="F5375" s="20">
        <v>4493326</v>
      </c>
    </row>
    <row r="5376" spans="1:6" ht="16" customHeight="1" x14ac:dyDescent="0.2">
      <c r="A5376">
        <f>IFERROR(VLOOKUP(C5376,'GASB Match'!$D$2:$F$6042,3,FALSE),"")</f>
        <v>3400070</v>
      </c>
      <c r="B5376" s="17">
        <v>2020</v>
      </c>
      <c r="C5376" s="21" t="s">
        <v>956</v>
      </c>
      <c r="D5376" s="17">
        <v>6017</v>
      </c>
      <c r="E5376" s="17" t="s">
        <v>1452</v>
      </c>
      <c r="F5376" s="23">
        <v>5118378</v>
      </c>
    </row>
    <row r="5377" spans="1:6" ht="16" customHeight="1" x14ac:dyDescent="0.2">
      <c r="A5377">
        <f>IFERROR(VLOOKUP(C5377,'GASB Match'!$D$2:$F$6042,3,FALSE),"")</f>
        <v>3400070</v>
      </c>
      <c r="B5377" s="17">
        <v>2021</v>
      </c>
      <c r="C5377" s="25" t="s">
        <v>956</v>
      </c>
      <c r="D5377" s="17">
        <v>6017</v>
      </c>
      <c r="E5377" s="17" t="s">
        <v>1452</v>
      </c>
      <c r="F5377" s="23">
        <v>7018241</v>
      </c>
    </row>
    <row r="5378" spans="1:6" ht="16" customHeight="1" x14ac:dyDescent="0.2">
      <c r="A5378">
        <f>IFERROR(VLOOKUP(C5378,'GASB Match'!$D$2:$F$6042,3,FALSE),"")</f>
        <v>3400070</v>
      </c>
      <c r="B5378" s="17">
        <v>2022</v>
      </c>
      <c r="C5378" s="21" t="s">
        <v>956</v>
      </c>
      <c r="D5378" s="17">
        <v>6017</v>
      </c>
      <c r="E5378" s="17" t="s">
        <v>1452</v>
      </c>
      <c r="F5378" s="23">
        <v>11425054</v>
      </c>
    </row>
    <row r="5379" spans="1:6" ht="16" customHeight="1" x14ac:dyDescent="0.2">
      <c r="A5379">
        <f>IFERROR(VLOOKUP(C5379,'GASB Match'!$D$2:$F$6042,3,FALSE),"")</f>
        <v>3400070</v>
      </c>
      <c r="B5379" s="17">
        <v>2023</v>
      </c>
      <c r="C5379" s="21" t="s">
        <v>956</v>
      </c>
      <c r="D5379" s="17">
        <v>6017</v>
      </c>
      <c r="E5379" s="17" t="s">
        <v>1452</v>
      </c>
      <c r="F5379" s="23">
        <v>11964889</v>
      </c>
    </row>
    <row r="5380" spans="1:6" ht="16" customHeight="1" x14ac:dyDescent="0.2">
      <c r="A5380">
        <f>IFERROR(VLOOKUP(C5380,'GASB Match'!$D$2:$F$6042,3,FALSE),"")</f>
        <v>3400070</v>
      </c>
      <c r="B5380" s="28">
        <v>2017</v>
      </c>
      <c r="C5380" s="29" t="s">
        <v>266</v>
      </c>
      <c r="D5380" s="17">
        <v>6017</v>
      </c>
      <c r="E5380" s="17" t="s">
        <v>1411</v>
      </c>
      <c r="F5380" s="29">
        <v>1965506</v>
      </c>
    </row>
    <row r="5381" spans="1:6" ht="16" customHeight="1" x14ac:dyDescent="0.2">
      <c r="A5381">
        <f>IFERROR(VLOOKUP(C5381,'GASB Match'!$D$2:$F$6042,3,FALSE),"")</f>
        <v>3416080</v>
      </c>
      <c r="B5381" s="17">
        <v>2015</v>
      </c>
      <c r="C5381" s="17" t="s">
        <v>96</v>
      </c>
      <c r="D5381" s="17">
        <v>2083</v>
      </c>
      <c r="E5381" s="17" t="s">
        <v>1402</v>
      </c>
      <c r="F5381" s="20">
        <v>1865318</v>
      </c>
    </row>
    <row r="5382" spans="1:6" ht="16" customHeight="1" x14ac:dyDescent="0.2">
      <c r="A5382">
        <f>IFERROR(VLOOKUP(C5382,'GASB Match'!$D$2:$F$6042,3,FALSE),"")</f>
        <v>3416080</v>
      </c>
      <c r="B5382" s="17">
        <v>2016</v>
      </c>
      <c r="C5382" s="17" t="s">
        <v>96</v>
      </c>
      <c r="D5382" s="17">
        <v>2083</v>
      </c>
      <c r="E5382" s="17" t="s">
        <v>1402</v>
      </c>
      <c r="F5382" s="20">
        <v>2603332</v>
      </c>
    </row>
    <row r="5383" spans="1:6" ht="16" customHeight="1" x14ac:dyDescent="0.2">
      <c r="A5383">
        <f>IFERROR(VLOOKUP(C5383,'GASB Match'!$D$2:$F$6042,3,FALSE),"")</f>
        <v>3416080</v>
      </c>
      <c r="B5383" s="17">
        <v>2018</v>
      </c>
      <c r="C5383" s="17" t="s">
        <v>776</v>
      </c>
      <c r="D5383" s="17">
        <v>2083</v>
      </c>
      <c r="E5383" s="17" t="s">
        <v>1443</v>
      </c>
      <c r="F5383" s="20">
        <v>5242366</v>
      </c>
    </row>
    <row r="5384" spans="1:6" ht="16" customHeight="1" x14ac:dyDescent="0.2">
      <c r="A5384">
        <f>IFERROR(VLOOKUP(C5384,'GASB Match'!$D$2:$F$6042,3,FALSE),"")</f>
        <v>3416080</v>
      </c>
      <c r="B5384" s="17">
        <v>2019</v>
      </c>
      <c r="C5384" s="17" t="s">
        <v>776</v>
      </c>
      <c r="D5384" s="17">
        <v>2083</v>
      </c>
      <c r="E5384" s="17" t="s">
        <v>1443</v>
      </c>
      <c r="F5384" s="20">
        <v>6727056</v>
      </c>
    </row>
    <row r="5385" spans="1:6" ht="16" customHeight="1" x14ac:dyDescent="0.2">
      <c r="A5385">
        <f>IFERROR(VLOOKUP(C5385,'GASB Match'!$D$2:$F$6042,3,FALSE),"")</f>
        <v>3416080</v>
      </c>
      <c r="B5385" s="17">
        <v>2020</v>
      </c>
      <c r="C5385" s="21" t="s">
        <v>776</v>
      </c>
      <c r="D5385" s="17">
        <v>2083</v>
      </c>
      <c r="E5385" s="17" t="s">
        <v>1443</v>
      </c>
      <c r="F5385" s="23">
        <v>7764806</v>
      </c>
    </row>
    <row r="5386" spans="1:6" ht="16" customHeight="1" x14ac:dyDescent="0.2">
      <c r="A5386">
        <f>IFERROR(VLOOKUP(C5386,'GASB Match'!$D$2:$F$6042,3,FALSE),"")</f>
        <v>3416080</v>
      </c>
      <c r="B5386" s="17">
        <v>2021</v>
      </c>
      <c r="C5386" s="25" t="s">
        <v>776</v>
      </c>
      <c r="D5386" s="17">
        <v>2083</v>
      </c>
      <c r="E5386" s="17" t="s">
        <v>1443</v>
      </c>
      <c r="F5386" s="23">
        <v>9895235</v>
      </c>
    </row>
    <row r="5387" spans="1:6" ht="16" customHeight="1" x14ac:dyDescent="0.2">
      <c r="A5387">
        <f>IFERROR(VLOOKUP(C5387,'GASB Match'!$D$2:$F$6042,3,FALSE),"")</f>
        <v>3416080</v>
      </c>
      <c r="B5387" s="17">
        <v>2022</v>
      </c>
      <c r="C5387" s="21" t="s">
        <v>776</v>
      </c>
      <c r="D5387" s="17">
        <v>2083</v>
      </c>
      <c r="E5387" s="17" t="s">
        <v>1443</v>
      </c>
      <c r="F5387" s="23">
        <v>14257332</v>
      </c>
    </row>
    <row r="5388" spans="1:6" ht="16" customHeight="1" x14ac:dyDescent="0.2">
      <c r="A5388">
        <f>IFERROR(VLOOKUP(C5388,'GASB Match'!$D$2:$F$6042,3,FALSE),"")</f>
        <v>3416080</v>
      </c>
      <c r="B5388" s="17">
        <v>2023</v>
      </c>
      <c r="C5388" s="21" t="s">
        <v>776</v>
      </c>
      <c r="D5388" s="17">
        <v>2083</v>
      </c>
      <c r="E5388" s="17" t="s">
        <v>1443</v>
      </c>
      <c r="F5388" s="23">
        <v>14567651</v>
      </c>
    </row>
    <row r="5389" spans="1:6" ht="16" customHeight="1" x14ac:dyDescent="0.2">
      <c r="A5389">
        <f>IFERROR(VLOOKUP(C5389,'GASB Match'!$D$2:$F$6042,3,FALSE),"")</f>
        <v>3416080</v>
      </c>
      <c r="B5389" s="28">
        <v>2017</v>
      </c>
      <c r="C5389" s="29" t="s">
        <v>96</v>
      </c>
      <c r="D5389" s="17">
        <v>2083</v>
      </c>
      <c r="E5389" s="17" t="s">
        <v>1402</v>
      </c>
      <c r="F5389" s="29">
        <v>3908952</v>
      </c>
    </row>
    <row r="5390" spans="1:6" ht="16" customHeight="1" x14ac:dyDescent="0.2">
      <c r="A5390">
        <f>IFERROR(VLOOKUP(C5390,'GASB Match'!$D$2:$F$6042,3,FALSE),"")</f>
        <v>3400015</v>
      </c>
      <c r="B5390" s="17">
        <v>2015</v>
      </c>
      <c r="C5390" s="17" t="s">
        <v>97</v>
      </c>
      <c r="D5390" s="17">
        <v>2094</v>
      </c>
      <c r="E5390" s="17" t="s">
        <v>1402</v>
      </c>
      <c r="F5390" s="20">
        <v>98738</v>
      </c>
    </row>
    <row r="5391" spans="1:6" ht="16" customHeight="1" x14ac:dyDescent="0.2">
      <c r="A5391">
        <f>IFERROR(VLOOKUP(C5391,'GASB Match'!$D$2:$F$6042,3,FALSE),"")</f>
        <v>3400015</v>
      </c>
      <c r="B5391" s="17">
        <v>2016</v>
      </c>
      <c r="C5391" s="17" t="s">
        <v>97</v>
      </c>
      <c r="D5391" s="17">
        <v>2094</v>
      </c>
      <c r="E5391" s="17" t="s">
        <v>1402</v>
      </c>
      <c r="F5391" s="20">
        <v>139506</v>
      </c>
    </row>
    <row r="5392" spans="1:6" ht="16" customHeight="1" x14ac:dyDescent="0.2">
      <c r="A5392">
        <f>IFERROR(VLOOKUP(C5392,'GASB Match'!$D$2:$F$6042,3,FALSE),"")</f>
        <v>3400015</v>
      </c>
      <c r="B5392" s="17">
        <v>2018</v>
      </c>
      <c r="C5392" s="17" t="s">
        <v>777</v>
      </c>
      <c r="D5392" s="17">
        <v>2094</v>
      </c>
      <c r="E5392" s="17" t="s">
        <v>1443</v>
      </c>
      <c r="F5392" s="20">
        <v>284542</v>
      </c>
    </row>
    <row r="5393" spans="1:6" ht="16" customHeight="1" x14ac:dyDescent="0.2">
      <c r="A5393">
        <f>IFERROR(VLOOKUP(C5393,'GASB Match'!$D$2:$F$6042,3,FALSE),"")</f>
        <v>3400015</v>
      </c>
      <c r="B5393" s="17">
        <v>2019</v>
      </c>
      <c r="C5393" s="17" t="s">
        <v>777</v>
      </c>
      <c r="D5393" s="17">
        <v>2094</v>
      </c>
      <c r="E5393" s="17" t="s">
        <v>1443</v>
      </c>
      <c r="F5393" s="20">
        <v>415415</v>
      </c>
    </row>
    <row r="5394" spans="1:6" ht="16" customHeight="1" x14ac:dyDescent="0.2">
      <c r="A5394">
        <f>IFERROR(VLOOKUP(C5394,'GASB Match'!$D$2:$F$6042,3,FALSE),"")</f>
        <v>3400015</v>
      </c>
      <c r="B5394" s="17">
        <v>2020</v>
      </c>
      <c r="C5394" s="21" t="s">
        <v>777</v>
      </c>
      <c r="D5394" s="17">
        <v>2094</v>
      </c>
      <c r="E5394" s="17" t="s">
        <v>1443</v>
      </c>
      <c r="F5394" s="23">
        <v>467044</v>
      </c>
    </row>
    <row r="5395" spans="1:6" ht="16" customHeight="1" x14ac:dyDescent="0.2">
      <c r="A5395">
        <f>IFERROR(VLOOKUP(C5395,'GASB Match'!$D$2:$F$6042,3,FALSE),"")</f>
        <v>3400015</v>
      </c>
      <c r="B5395" s="17">
        <v>2021</v>
      </c>
      <c r="C5395" s="25" t="s">
        <v>777</v>
      </c>
      <c r="D5395" s="17">
        <v>2094</v>
      </c>
      <c r="E5395" s="17" t="s">
        <v>1443</v>
      </c>
      <c r="F5395" s="23">
        <v>619779</v>
      </c>
    </row>
    <row r="5396" spans="1:6" ht="16" customHeight="1" x14ac:dyDescent="0.2">
      <c r="A5396">
        <f>IFERROR(VLOOKUP(C5396,'GASB Match'!$D$2:$F$6042,3,FALSE),"")</f>
        <v>3400015</v>
      </c>
      <c r="B5396" s="17">
        <v>2022</v>
      </c>
      <c r="C5396" s="21" t="s">
        <v>777</v>
      </c>
      <c r="D5396" s="17">
        <v>2094</v>
      </c>
      <c r="E5396" s="17" t="s">
        <v>1443</v>
      </c>
      <c r="F5396" s="23">
        <v>937153</v>
      </c>
    </row>
    <row r="5397" spans="1:6" ht="16" customHeight="1" x14ac:dyDescent="0.2">
      <c r="A5397">
        <f>IFERROR(VLOOKUP(C5397,'GASB Match'!$D$2:$F$6042,3,FALSE),"")</f>
        <v>3400015</v>
      </c>
      <c r="B5397" s="17">
        <v>2023</v>
      </c>
      <c r="C5397" s="21" t="s">
        <v>777</v>
      </c>
      <c r="D5397" s="17">
        <v>2094</v>
      </c>
      <c r="E5397" s="17" t="s">
        <v>1443</v>
      </c>
      <c r="F5397" s="23">
        <v>981542</v>
      </c>
    </row>
    <row r="5398" spans="1:6" ht="16" customHeight="1" x14ac:dyDescent="0.2">
      <c r="A5398">
        <f>IFERROR(VLOOKUP(C5398,'GASB Match'!$D$2:$F$6042,3,FALSE),"")</f>
        <v>3400015</v>
      </c>
      <c r="B5398" s="28">
        <v>2017</v>
      </c>
      <c r="C5398" s="29" t="s">
        <v>97</v>
      </c>
      <c r="D5398" s="17">
        <v>2094</v>
      </c>
      <c r="E5398" s="17" t="s">
        <v>1402</v>
      </c>
      <c r="F5398" s="29">
        <v>228867</v>
      </c>
    </row>
    <row r="5399" spans="1:6" ht="16" customHeight="1" x14ac:dyDescent="0.2">
      <c r="A5399">
        <f>IFERROR(VLOOKUP(C5399,'GASB Match'!$D$2:$F$6042,3,FALSE),"")</f>
        <v>3416110</v>
      </c>
      <c r="B5399" s="17">
        <v>2015</v>
      </c>
      <c r="C5399" s="17" t="s">
        <v>98</v>
      </c>
      <c r="D5399" s="17">
        <v>2084</v>
      </c>
      <c r="E5399" s="17" t="s">
        <v>1402</v>
      </c>
      <c r="F5399" s="20">
        <v>1502534</v>
      </c>
    </row>
    <row r="5400" spans="1:6" ht="16" customHeight="1" x14ac:dyDescent="0.2">
      <c r="A5400">
        <f>IFERROR(VLOOKUP(C5400,'GASB Match'!$D$2:$F$6042,3,FALSE),"")</f>
        <v>3416110</v>
      </c>
      <c r="B5400" s="17">
        <v>2016</v>
      </c>
      <c r="C5400" s="17" t="s">
        <v>98</v>
      </c>
      <c r="D5400" s="17">
        <v>2084</v>
      </c>
      <c r="E5400" s="17" t="s">
        <v>1402</v>
      </c>
      <c r="F5400" s="20">
        <v>2228958</v>
      </c>
    </row>
    <row r="5401" spans="1:6" ht="16" customHeight="1" x14ac:dyDescent="0.2">
      <c r="A5401">
        <f>IFERROR(VLOOKUP(C5401,'GASB Match'!$D$2:$F$6042,3,FALSE),"")</f>
        <v>3416110</v>
      </c>
      <c r="B5401" s="17">
        <v>2018</v>
      </c>
      <c r="C5401" s="17" t="s">
        <v>778</v>
      </c>
      <c r="D5401" s="17">
        <v>2084</v>
      </c>
      <c r="E5401" s="17" t="s">
        <v>1443</v>
      </c>
      <c r="F5401" s="20">
        <v>4247616</v>
      </c>
    </row>
    <row r="5402" spans="1:6" ht="16" customHeight="1" x14ac:dyDescent="0.2">
      <c r="A5402">
        <f>IFERROR(VLOOKUP(C5402,'GASB Match'!$D$2:$F$6042,3,FALSE),"")</f>
        <v>3416110</v>
      </c>
      <c r="B5402" s="17">
        <v>2019</v>
      </c>
      <c r="C5402" s="17" t="s">
        <v>778</v>
      </c>
      <c r="D5402" s="17">
        <v>2084</v>
      </c>
      <c r="E5402" s="17" t="s">
        <v>1443</v>
      </c>
      <c r="F5402" s="20">
        <v>5770487</v>
      </c>
    </row>
    <row r="5403" spans="1:6" ht="16" customHeight="1" x14ac:dyDescent="0.2">
      <c r="A5403">
        <f>IFERROR(VLOOKUP(C5403,'GASB Match'!$D$2:$F$6042,3,FALSE),"")</f>
        <v>3416110</v>
      </c>
      <c r="B5403" s="17">
        <v>2020</v>
      </c>
      <c r="C5403" s="21" t="s">
        <v>778</v>
      </c>
      <c r="D5403" s="17">
        <v>2084</v>
      </c>
      <c r="E5403" s="17" t="s">
        <v>1443</v>
      </c>
      <c r="F5403" s="23">
        <v>6310143</v>
      </c>
    </row>
    <row r="5404" spans="1:6" ht="16" customHeight="1" x14ac:dyDescent="0.2">
      <c r="A5404">
        <f>IFERROR(VLOOKUP(C5404,'GASB Match'!$D$2:$F$6042,3,FALSE),"")</f>
        <v>3416110</v>
      </c>
      <c r="B5404" s="17">
        <v>2021</v>
      </c>
      <c r="C5404" s="25" t="s">
        <v>778</v>
      </c>
      <c r="D5404" s="17">
        <v>2084</v>
      </c>
      <c r="E5404" s="17" t="s">
        <v>1443</v>
      </c>
      <c r="F5404" s="23">
        <v>8274056</v>
      </c>
    </row>
    <row r="5405" spans="1:6" ht="16" customHeight="1" x14ac:dyDescent="0.2">
      <c r="A5405">
        <f>IFERROR(VLOOKUP(C5405,'GASB Match'!$D$2:$F$6042,3,FALSE),"")</f>
        <v>3416110</v>
      </c>
      <c r="B5405" s="17">
        <v>2022</v>
      </c>
      <c r="C5405" s="21" t="s">
        <v>778</v>
      </c>
      <c r="D5405" s="17">
        <v>2084</v>
      </c>
      <c r="E5405" s="17" t="s">
        <v>1443</v>
      </c>
      <c r="F5405" s="23">
        <v>12014042</v>
      </c>
    </row>
    <row r="5406" spans="1:6" ht="16" customHeight="1" x14ac:dyDescent="0.2">
      <c r="A5406">
        <f>IFERROR(VLOOKUP(C5406,'GASB Match'!$D$2:$F$6042,3,FALSE),"")</f>
        <v>3416110</v>
      </c>
      <c r="B5406" s="17">
        <v>2023</v>
      </c>
      <c r="C5406" s="21" t="s">
        <v>778</v>
      </c>
      <c r="D5406" s="17">
        <v>2084</v>
      </c>
      <c r="E5406" s="17" t="s">
        <v>1443</v>
      </c>
      <c r="F5406" s="23">
        <v>12191321</v>
      </c>
    </row>
    <row r="5407" spans="1:6" ht="16" customHeight="1" x14ac:dyDescent="0.2">
      <c r="A5407">
        <f>IFERROR(VLOOKUP(C5407,'GASB Match'!$D$2:$F$6042,3,FALSE),"")</f>
        <v>3416110</v>
      </c>
      <c r="B5407" s="28">
        <v>2017</v>
      </c>
      <c r="C5407" s="29" t="s">
        <v>98</v>
      </c>
      <c r="D5407" s="17">
        <v>2084</v>
      </c>
      <c r="E5407" s="17" t="s">
        <v>1402</v>
      </c>
      <c r="F5407" s="29">
        <v>3100481</v>
      </c>
    </row>
    <row r="5408" spans="1:6" ht="16" customHeight="1" x14ac:dyDescent="0.2">
      <c r="A5408">
        <f>IFERROR(VLOOKUP(C5408,'GASB Match'!$D$2:$F$6042,3,FALSE),"")</f>
        <v>3416170</v>
      </c>
      <c r="B5408" s="17">
        <v>2015</v>
      </c>
      <c r="C5408" s="17" t="s">
        <v>352</v>
      </c>
      <c r="D5408" s="17">
        <v>9035</v>
      </c>
      <c r="E5408" s="17" t="s">
        <v>1415</v>
      </c>
      <c r="F5408" s="19">
        <v>304333</v>
      </c>
    </row>
    <row r="5409" spans="1:6" ht="16" customHeight="1" x14ac:dyDescent="0.2">
      <c r="A5409">
        <f>IFERROR(VLOOKUP(C5409,'GASB Match'!$D$2:$F$6042,3,FALSE),"")</f>
        <v>3416170</v>
      </c>
      <c r="B5409" s="17">
        <v>2016</v>
      </c>
      <c r="C5409" s="17" t="s">
        <v>352</v>
      </c>
      <c r="D5409" s="17">
        <v>9035</v>
      </c>
      <c r="E5409" s="17" t="s">
        <v>1415</v>
      </c>
      <c r="F5409" s="20">
        <v>444305</v>
      </c>
    </row>
    <row r="5410" spans="1:6" ht="16" customHeight="1" x14ac:dyDescent="0.2">
      <c r="A5410">
        <f>IFERROR(VLOOKUP(C5410,'GASB Match'!$D$2:$F$6042,3,FALSE),"")</f>
        <v>3416170</v>
      </c>
      <c r="B5410" s="17">
        <v>2018</v>
      </c>
      <c r="C5410" s="17" t="s">
        <v>1043</v>
      </c>
      <c r="D5410" s="17">
        <v>9035</v>
      </c>
      <c r="E5410" s="17" t="s">
        <v>1458</v>
      </c>
      <c r="F5410" s="20">
        <v>859561</v>
      </c>
    </row>
    <row r="5411" spans="1:6" ht="16" customHeight="1" x14ac:dyDescent="0.2">
      <c r="A5411">
        <f>IFERROR(VLOOKUP(C5411,'GASB Match'!$D$2:$F$6042,3,FALSE),"")</f>
        <v>3416170</v>
      </c>
      <c r="B5411" s="17">
        <v>2019</v>
      </c>
      <c r="C5411" s="17" t="s">
        <v>1043</v>
      </c>
      <c r="D5411" s="17">
        <v>9035</v>
      </c>
      <c r="E5411" s="17" t="s">
        <v>1458</v>
      </c>
      <c r="F5411" s="20">
        <v>1085723</v>
      </c>
    </row>
    <row r="5412" spans="1:6" ht="16" customHeight="1" x14ac:dyDescent="0.2">
      <c r="A5412">
        <f>IFERROR(VLOOKUP(C5412,'GASB Match'!$D$2:$F$6042,3,FALSE),"")</f>
        <v>3416170</v>
      </c>
      <c r="B5412" s="17">
        <v>2020</v>
      </c>
      <c r="C5412" s="21" t="s">
        <v>1043</v>
      </c>
      <c r="D5412" s="17">
        <v>9035</v>
      </c>
      <c r="E5412" s="17" t="s">
        <v>1458</v>
      </c>
      <c r="F5412" s="23">
        <v>1210577</v>
      </c>
    </row>
    <row r="5413" spans="1:6" ht="16" customHeight="1" x14ac:dyDescent="0.2">
      <c r="A5413">
        <f>IFERROR(VLOOKUP(C5413,'GASB Match'!$D$2:$F$6042,3,FALSE),"")</f>
        <v>3416170</v>
      </c>
      <c r="B5413" s="17">
        <v>2021</v>
      </c>
      <c r="C5413" s="25" t="s">
        <v>1043</v>
      </c>
      <c r="D5413" s="17">
        <v>9035</v>
      </c>
      <c r="E5413" s="17" t="s">
        <v>1458</v>
      </c>
      <c r="F5413" s="23">
        <v>1462202</v>
      </c>
    </row>
    <row r="5414" spans="1:6" ht="16" customHeight="1" x14ac:dyDescent="0.2">
      <c r="A5414">
        <f>IFERROR(VLOOKUP(C5414,'GASB Match'!$D$2:$F$6042,3,FALSE),"")</f>
        <v>3416170</v>
      </c>
      <c r="B5414" s="17">
        <v>2022</v>
      </c>
      <c r="C5414" s="21" t="s">
        <v>1043</v>
      </c>
      <c r="D5414" s="17">
        <v>9035</v>
      </c>
      <c r="E5414" s="17" t="s">
        <v>1458</v>
      </c>
      <c r="F5414" s="23">
        <v>2169582</v>
      </c>
    </row>
    <row r="5415" spans="1:6" ht="16" customHeight="1" x14ac:dyDescent="0.2">
      <c r="A5415">
        <f>IFERROR(VLOOKUP(C5415,'GASB Match'!$D$2:$F$6042,3,FALSE),"")</f>
        <v>3416170</v>
      </c>
      <c r="B5415" s="17">
        <v>2023</v>
      </c>
      <c r="C5415" s="21" t="s">
        <v>1043</v>
      </c>
      <c r="D5415" s="17">
        <v>9035</v>
      </c>
      <c r="E5415" s="17" t="s">
        <v>1458</v>
      </c>
      <c r="F5415" s="23">
        <v>2112853</v>
      </c>
    </row>
    <row r="5416" spans="1:6" ht="16" customHeight="1" x14ac:dyDescent="0.2">
      <c r="A5416">
        <f>IFERROR(VLOOKUP(C5416,'GASB Match'!$D$2:$F$6042,3,FALSE),"")</f>
        <v>3416170</v>
      </c>
      <c r="B5416" s="28">
        <v>2017</v>
      </c>
      <c r="C5416" s="29" t="s">
        <v>352</v>
      </c>
      <c r="D5416" s="17">
        <v>9035</v>
      </c>
      <c r="E5416" s="17" t="s">
        <v>1415</v>
      </c>
      <c r="F5416" s="29">
        <v>627669</v>
      </c>
    </row>
    <row r="5417" spans="1:6" ht="16" customHeight="1" x14ac:dyDescent="0.2">
      <c r="A5417" t="str">
        <f>IFERROR(VLOOKUP(C5417,'GASB Match'!$D$2:$F$6042,3,FALSE),"")</f>
        <v/>
      </c>
      <c r="B5417" s="17">
        <v>2015</v>
      </c>
      <c r="C5417" s="17" t="s">
        <v>1398</v>
      </c>
      <c r="D5417" s="17">
        <v>90415</v>
      </c>
      <c r="E5417" s="17" t="s">
        <v>1477</v>
      </c>
      <c r="F5417" s="20">
        <v>40383</v>
      </c>
    </row>
    <row r="5418" spans="1:6" ht="16" customHeight="1" x14ac:dyDescent="0.2">
      <c r="A5418" t="str">
        <f>IFERROR(VLOOKUP(C5418,'GASB Match'!$D$2:$F$6042,3,FALSE),"")</f>
        <v/>
      </c>
      <c r="B5418" s="17">
        <v>2016</v>
      </c>
      <c r="C5418" s="17" t="s">
        <v>1398</v>
      </c>
      <c r="D5418" s="17">
        <v>90415</v>
      </c>
      <c r="E5418" s="17" t="s">
        <v>1477</v>
      </c>
      <c r="F5418" s="20">
        <v>20492</v>
      </c>
    </row>
    <row r="5419" spans="1:6" ht="16" customHeight="1" x14ac:dyDescent="0.2">
      <c r="A5419" t="str">
        <f>IFERROR(VLOOKUP(C5419,'GASB Match'!$D$2:$F$6042,3,FALSE),"")</f>
        <v/>
      </c>
      <c r="B5419" s="17">
        <v>2018</v>
      </c>
      <c r="C5419" s="17" t="s">
        <v>1439</v>
      </c>
      <c r="D5419" s="17">
        <v>90415</v>
      </c>
      <c r="E5419" s="17" t="s">
        <v>1477</v>
      </c>
      <c r="F5419" s="20">
        <v>19522</v>
      </c>
    </row>
    <row r="5420" spans="1:6" ht="16" customHeight="1" x14ac:dyDescent="0.2">
      <c r="A5420" t="str">
        <f>IFERROR(VLOOKUP(C5420,'GASB Match'!$D$2:$F$6042,3,FALSE),"")</f>
        <v/>
      </c>
      <c r="B5420" s="17">
        <v>2019</v>
      </c>
      <c r="C5420" s="17" t="s">
        <v>1439</v>
      </c>
      <c r="D5420" s="17">
        <v>90415</v>
      </c>
      <c r="E5420" s="17" t="s">
        <v>1477</v>
      </c>
      <c r="F5420" s="20">
        <v>24772</v>
      </c>
    </row>
    <row r="5421" spans="1:6" ht="16" customHeight="1" x14ac:dyDescent="0.2">
      <c r="A5421" t="str">
        <f>IFERROR(VLOOKUP(C5421,'GASB Match'!$D$2:$F$6042,3,FALSE),"")</f>
        <v/>
      </c>
      <c r="B5421" s="17">
        <v>2020</v>
      </c>
      <c r="C5421" s="21" t="s">
        <v>1439</v>
      </c>
      <c r="D5421" s="17">
        <v>90415</v>
      </c>
      <c r="E5421" s="17" t="s">
        <v>1477</v>
      </c>
      <c r="F5421" s="23">
        <v>28340</v>
      </c>
    </row>
    <row r="5422" spans="1:6" ht="16" customHeight="1" x14ac:dyDescent="0.2">
      <c r="A5422" t="str">
        <f>IFERROR(VLOOKUP(C5422,'GASB Match'!$D$2:$F$6042,3,FALSE),"")</f>
        <v/>
      </c>
      <c r="B5422" s="17">
        <v>2021</v>
      </c>
      <c r="C5422" s="25" t="s">
        <v>1439</v>
      </c>
      <c r="D5422" s="17">
        <v>90415</v>
      </c>
      <c r="E5422" s="17" t="s">
        <v>1477</v>
      </c>
      <c r="F5422" s="23">
        <v>32128</v>
      </c>
    </row>
    <row r="5423" spans="1:6" ht="16" customHeight="1" x14ac:dyDescent="0.2">
      <c r="A5423" t="str">
        <f>IFERROR(VLOOKUP(C5423,'GASB Match'!$D$2:$F$6042,3,FALSE),"")</f>
        <v/>
      </c>
      <c r="B5423" s="17">
        <v>2022</v>
      </c>
      <c r="C5423" s="21" t="s">
        <v>1439</v>
      </c>
      <c r="D5423" s="17">
        <v>90415</v>
      </c>
      <c r="E5423" s="17" t="s">
        <v>1477</v>
      </c>
      <c r="F5423" s="23">
        <v>45209</v>
      </c>
    </row>
    <row r="5424" spans="1:6" ht="16" customHeight="1" x14ac:dyDescent="0.2">
      <c r="A5424" t="str">
        <f>IFERROR(VLOOKUP(C5424,'GASB Match'!$D$2:$F$6042,3,FALSE),"")</f>
        <v/>
      </c>
      <c r="B5424" s="17">
        <v>2023</v>
      </c>
      <c r="C5424" s="21" t="s">
        <v>1439</v>
      </c>
      <c r="D5424" s="17">
        <v>90415</v>
      </c>
      <c r="E5424" s="17" t="s">
        <v>1477</v>
      </c>
      <c r="F5424" s="23">
        <v>41925</v>
      </c>
    </row>
    <row r="5425" spans="1:6" ht="16" customHeight="1" x14ac:dyDescent="0.2">
      <c r="A5425" t="str">
        <f>IFERROR(VLOOKUP(C5425,'GASB Match'!$D$2:$F$6042,3,FALSE),"")</f>
        <v/>
      </c>
      <c r="B5425" s="28">
        <v>2017</v>
      </c>
      <c r="C5425" s="29" t="s">
        <v>1398</v>
      </c>
      <c r="D5425" s="17">
        <v>90415</v>
      </c>
      <c r="E5425" s="17" t="s">
        <v>1477</v>
      </c>
      <c r="F5425" s="29">
        <v>15453</v>
      </c>
    </row>
    <row r="5426" spans="1:6" ht="16" customHeight="1" x14ac:dyDescent="0.2">
      <c r="A5426">
        <f>IFERROR(VLOOKUP(C5426,'GASB Match'!$D$2:$F$6042,3,FALSE),"")</f>
        <v>3400752</v>
      </c>
      <c r="B5426" s="17">
        <v>2018</v>
      </c>
      <c r="C5426" s="17" t="s">
        <v>874</v>
      </c>
      <c r="D5426" s="17">
        <v>4079</v>
      </c>
      <c r="E5426" s="17" t="s">
        <v>1446</v>
      </c>
      <c r="F5426" s="20">
        <v>100129</v>
      </c>
    </row>
    <row r="5427" spans="1:6" ht="16" customHeight="1" x14ac:dyDescent="0.2">
      <c r="A5427">
        <f>IFERROR(VLOOKUP(C5427,'GASB Match'!$D$2:$F$6042,3,FALSE),"")</f>
        <v>3400752</v>
      </c>
      <c r="B5427" s="17">
        <v>2019</v>
      </c>
      <c r="C5427" s="17" t="s">
        <v>874</v>
      </c>
      <c r="D5427" s="17">
        <v>4079</v>
      </c>
      <c r="E5427" s="17" t="s">
        <v>1446</v>
      </c>
      <c r="F5427" s="20">
        <v>179188</v>
      </c>
    </row>
    <row r="5428" spans="1:6" ht="16" customHeight="1" x14ac:dyDescent="0.2">
      <c r="A5428">
        <f>IFERROR(VLOOKUP(C5428,'GASB Match'!$D$2:$F$6042,3,FALSE),"")</f>
        <v>3400752</v>
      </c>
      <c r="B5428" s="17">
        <v>2020</v>
      </c>
      <c r="C5428" s="21" t="s">
        <v>874</v>
      </c>
      <c r="D5428" s="17">
        <v>4079</v>
      </c>
      <c r="E5428" s="17" t="s">
        <v>1446</v>
      </c>
      <c r="F5428" s="23">
        <v>264013</v>
      </c>
    </row>
    <row r="5429" spans="1:6" ht="16" customHeight="1" x14ac:dyDescent="0.2">
      <c r="A5429">
        <f>IFERROR(VLOOKUP(C5429,'GASB Match'!$D$2:$F$6042,3,FALSE),"")</f>
        <v>3400752</v>
      </c>
      <c r="B5429" s="17">
        <v>2015</v>
      </c>
      <c r="C5429" s="17" t="s">
        <v>175</v>
      </c>
      <c r="D5429" s="17">
        <v>4079</v>
      </c>
      <c r="E5429" s="17" t="s">
        <v>1405</v>
      </c>
      <c r="F5429" s="20">
        <v>32865</v>
      </c>
    </row>
    <row r="5430" spans="1:6" ht="16" customHeight="1" x14ac:dyDescent="0.2">
      <c r="A5430">
        <f>IFERROR(VLOOKUP(C5430,'GASB Match'!$D$2:$F$6042,3,FALSE),"")</f>
        <v>3400752</v>
      </c>
      <c r="B5430" s="17">
        <v>2016</v>
      </c>
      <c r="C5430" s="17" t="s">
        <v>175</v>
      </c>
      <c r="D5430" s="17">
        <v>4079</v>
      </c>
      <c r="E5430" s="17" t="s">
        <v>1405</v>
      </c>
      <c r="F5430" s="20">
        <v>44305</v>
      </c>
    </row>
    <row r="5431" spans="1:6" ht="16" customHeight="1" x14ac:dyDescent="0.2">
      <c r="A5431">
        <f>IFERROR(VLOOKUP(C5431,'GASB Match'!$D$2:$F$6042,3,FALSE),"")</f>
        <v>3400752</v>
      </c>
      <c r="B5431" s="28">
        <v>2017</v>
      </c>
      <c r="C5431" s="29" t="s">
        <v>175</v>
      </c>
      <c r="D5431" s="17">
        <v>4079</v>
      </c>
      <c r="E5431" s="17" t="s">
        <v>1405</v>
      </c>
      <c r="F5431" s="29">
        <v>69036</v>
      </c>
    </row>
    <row r="5432" spans="1:6" ht="16" customHeight="1" x14ac:dyDescent="0.2">
      <c r="A5432">
        <f>IFERROR(VLOOKUP(C5432,'GASB Match'!$D$2:$F$6042,3,FALSE),"")</f>
        <v>3400746</v>
      </c>
      <c r="B5432" s="17">
        <v>2016</v>
      </c>
      <c r="C5432" s="17" t="s">
        <v>672</v>
      </c>
      <c r="D5432" s="17">
        <v>770</v>
      </c>
      <c r="E5432" s="17" t="s">
        <v>1425</v>
      </c>
      <c r="F5432" s="20">
        <v>68423</v>
      </c>
    </row>
    <row r="5433" spans="1:6" ht="16" customHeight="1" x14ac:dyDescent="0.2">
      <c r="A5433">
        <f>IFERROR(VLOOKUP(C5433,'GASB Match'!$D$2:$F$6042,3,FALSE),"")</f>
        <v>3400746</v>
      </c>
      <c r="B5433" s="28">
        <v>2017</v>
      </c>
      <c r="C5433" s="29" t="s">
        <v>672</v>
      </c>
      <c r="D5433" s="17">
        <v>770</v>
      </c>
      <c r="E5433" s="17" t="s">
        <v>1425</v>
      </c>
      <c r="F5433" s="29">
        <v>120828</v>
      </c>
    </row>
    <row r="5434" spans="1:6" ht="16" customHeight="1" x14ac:dyDescent="0.2">
      <c r="A5434">
        <f>IFERROR(VLOOKUP(C5434,'GASB Match'!$D$2:$F$6042,3,FALSE),"")</f>
        <v>3400746</v>
      </c>
      <c r="B5434" s="17">
        <v>2018</v>
      </c>
      <c r="C5434" s="17" t="s">
        <v>1272</v>
      </c>
      <c r="D5434" s="17">
        <v>770</v>
      </c>
      <c r="E5434" s="17" t="s">
        <v>1468</v>
      </c>
      <c r="F5434" s="20">
        <v>196459</v>
      </c>
    </row>
    <row r="5435" spans="1:6" ht="16" customHeight="1" x14ac:dyDescent="0.2">
      <c r="A5435">
        <f>IFERROR(VLOOKUP(C5435,'GASB Match'!$D$2:$F$6042,3,FALSE),"")</f>
        <v>3400746</v>
      </c>
      <c r="B5435" s="17">
        <v>2019</v>
      </c>
      <c r="C5435" s="17" t="s">
        <v>1272</v>
      </c>
      <c r="D5435" s="17">
        <v>770</v>
      </c>
      <c r="E5435" s="17" t="s">
        <v>1468</v>
      </c>
      <c r="F5435" s="20">
        <v>287366</v>
      </c>
    </row>
    <row r="5436" spans="1:6" ht="16" customHeight="1" x14ac:dyDescent="0.2">
      <c r="A5436">
        <f>IFERROR(VLOOKUP(C5436,'GASB Match'!$D$2:$F$6042,3,FALSE),"")</f>
        <v>3400746</v>
      </c>
      <c r="B5436" s="17">
        <v>2020</v>
      </c>
      <c r="C5436" s="21" t="s">
        <v>1272</v>
      </c>
      <c r="D5436" s="17">
        <v>770</v>
      </c>
      <c r="E5436" s="17" t="s">
        <v>1468</v>
      </c>
      <c r="F5436" s="23">
        <v>351301</v>
      </c>
    </row>
    <row r="5437" spans="1:6" ht="16" customHeight="1" x14ac:dyDescent="0.2">
      <c r="A5437">
        <f>IFERROR(VLOOKUP(C5437,'GASB Match'!$D$2:$F$6042,3,FALSE),"")</f>
        <v>3400746</v>
      </c>
      <c r="B5437" s="17">
        <v>2021</v>
      </c>
      <c r="C5437" s="25" t="s">
        <v>1272</v>
      </c>
      <c r="D5437" s="17">
        <v>770</v>
      </c>
      <c r="E5437" s="17" t="s">
        <v>1468</v>
      </c>
      <c r="F5437" s="23">
        <v>578682</v>
      </c>
    </row>
    <row r="5438" spans="1:6" ht="16" customHeight="1" x14ac:dyDescent="0.2">
      <c r="A5438">
        <f>IFERROR(VLOOKUP(C5438,'GASB Match'!$D$2:$F$6042,3,FALSE),"")</f>
        <v>3400746</v>
      </c>
      <c r="B5438" s="17">
        <v>2022</v>
      </c>
      <c r="C5438" s="21" t="s">
        <v>1272</v>
      </c>
      <c r="D5438" s="17">
        <v>770</v>
      </c>
      <c r="E5438" s="17" t="s">
        <v>1468</v>
      </c>
      <c r="F5438" s="23">
        <v>930781</v>
      </c>
    </row>
    <row r="5439" spans="1:6" ht="16" customHeight="1" x14ac:dyDescent="0.2">
      <c r="A5439">
        <f>IFERROR(VLOOKUP(C5439,'GASB Match'!$D$2:$F$6042,3,FALSE),"")</f>
        <v>3400746</v>
      </c>
      <c r="B5439" s="17">
        <v>2023</v>
      </c>
      <c r="C5439" s="21" t="s">
        <v>1272</v>
      </c>
      <c r="D5439" s="17">
        <v>770</v>
      </c>
      <c r="E5439" s="17" t="s">
        <v>1468</v>
      </c>
      <c r="F5439" s="23">
        <v>886326</v>
      </c>
    </row>
    <row r="5440" spans="1:6" ht="16" customHeight="1" x14ac:dyDescent="0.2">
      <c r="A5440">
        <f>IFERROR(VLOOKUP(C5440,'GASB Match'!$D$2:$F$6042,3,FALSE),"")</f>
        <v>3416200</v>
      </c>
      <c r="B5440" s="17">
        <v>2015</v>
      </c>
      <c r="C5440" s="17" t="s">
        <v>449</v>
      </c>
      <c r="D5440" s="17">
        <v>357</v>
      </c>
      <c r="E5440" s="17" t="s">
        <v>1420</v>
      </c>
      <c r="F5440" s="20">
        <v>575755</v>
      </c>
    </row>
    <row r="5441" spans="1:6" ht="16" customHeight="1" x14ac:dyDescent="0.2">
      <c r="A5441">
        <f>IFERROR(VLOOKUP(C5441,'GASB Match'!$D$2:$F$6042,3,FALSE),"")</f>
        <v>3416200</v>
      </c>
      <c r="B5441" s="17">
        <v>2016</v>
      </c>
      <c r="C5441" s="17" t="s">
        <v>449</v>
      </c>
      <c r="D5441" s="17">
        <v>357</v>
      </c>
      <c r="E5441" s="17" t="s">
        <v>1420</v>
      </c>
      <c r="F5441" s="20">
        <v>807588</v>
      </c>
    </row>
    <row r="5442" spans="1:6" ht="16" customHeight="1" x14ac:dyDescent="0.2">
      <c r="A5442">
        <f>IFERROR(VLOOKUP(C5442,'GASB Match'!$D$2:$F$6042,3,FALSE),"")</f>
        <v>3416200</v>
      </c>
      <c r="B5442" s="17">
        <v>2018</v>
      </c>
      <c r="C5442" s="17" t="s">
        <v>1141</v>
      </c>
      <c r="D5442" s="17">
        <v>357</v>
      </c>
      <c r="E5442" s="17" t="s">
        <v>1463</v>
      </c>
      <c r="F5442" s="20">
        <v>1462944</v>
      </c>
    </row>
    <row r="5443" spans="1:6" ht="16" customHeight="1" x14ac:dyDescent="0.2">
      <c r="A5443">
        <f>IFERROR(VLOOKUP(C5443,'GASB Match'!$D$2:$F$6042,3,FALSE),"")</f>
        <v>3416200</v>
      </c>
      <c r="B5443" s="17">
        <v>2019</v>
      </c>
      <c r="C5443" s="17" t="s">
        <v>1141</v>
      </c>
      <c r="D5443" s="17">
        <v>357</v>
      </c>
      <c r="E5443" s="17" t="s">
        <v>1463</v>
      </c>
      <c r="F5443" s="20">
        <v>2103269</v>
      </c>
    </row>
    <row r="5444" spans="1:6" ht="16" customHeight="1" x14ac:dyDescent="0.2">
      <c r="A5444">
        <f>IFERROR(VLOOKUP(C5444,'GASB Match'!$D$2:$F$6042,3,FALSE),"")</f>
        <v>3416200</v>
      </c>
      <c r="B5444" s="17">
        <v>2020</v>
      </c>
      <c r="C5444" s="21" t="s">
        <v>1141</v>
      </c>
      <c r="D5444" s="17">
        <v>357</v>
      </c>
      <c r="E5444" s="17" t="s">
        <v>1463</v>
      </c>
      <c r="F5444" s="23">
        <v>2439580</v>
      </c>
    </row>
    <row r="5445" spans="1:6" ht="16" customHeight="1" x14ac:dyDescent="0.2">
      <c r="A5445">
        <f>IFERROR(VLOOKUP(C5445,'GASB Match'!$D$2:$F$6042,3,FALSE),"")</f>
        <v>3416200</v>
      </c>
      <c r="B5445" s="17">
        <v>2021</v>
      </c>
      <c r="C5445" s="25" t="s">
        <v>1141</v>
      </c>
      <c r="D5445" s="17">
        <v>357</v>
      </c>
      <c r="E5445" s="17" t="s">
        <v>1463</v>
      </c>
      <c r="F5445" s="23">
        <v>3131816</v>
      </c>
    </row>
    <row r="5446" spans="1:6" ht="16" customHeight="1" x14ac:dyDescent="0.2">
      <c r="A5446">
        <f>IFERROR(VLOOKUP(C5446,'GASB Match'!$D$2:$F$6042,3,FALSE),"")</f>
        <v>3416200</v>
      </c>
      <c r="B5446" s="17">
        <v>2022</v>
      </c>
      <c r="C5446" s="21" t="s">
        <v>1141</v>
      </c>
      <c r="D5446" s="17">
        <v>357</v>
      </c>
      <c r="E5446" s="17" t="s">
        <v>1463</v>
      </c>
      <c r="F5446" s="23">
        <v>4476606</v>
      </c>
    </row>
    <row r="5447" spans="1:6" ht="16" customHeight="1" x14ac:dyDescent="0.2">
      <c r="A5447">
        <f>IFERROR(VLOOKUP(C5447,'GASB Match'!$D$2:$F$6042,3,FALSE),"")</f>
        <v>3416200</v>
      </c>
      <c r="B5447" s="17">
        <v>2023</v>
      </c>
      <c r="C5447" s="21" t="s">
        <v>1141</v>
      </c>
      <c r="D5447" s="17">
        <v>357</v>
      </c>
      <c r="E5447" s="17" t="s">
        <v>1463</v>
      </c>
      <c r="F5447" s="23">
        <v>4336088</v>
      </c>
    </row>
    <row r="5448" spans="1:6" ht="16" customHeight="1" x14ac:dyDescent="0.2">
      <c r="A5448">
        <f>IFERROR(VLOOKUP(C5448,'GASB Match'!$D$2:$F$6042,3,FALSE),"")</f>
        <v>3416200</v>
      </c>
      <c r="B5448" s="28">
        <v>2017</v>
      </c>
      <c r="C5448" s="29" t="s">
        <v>449</v>
      </c>
      <c r="D5448" s="17">
        <v>357</v>
      </c>
      <c r="E5448" s="17" t="s">
        <v>1420</v>
      </c>
      <c r="F5448" s="29">
        <v>1111073</v>
      </c>
    </row>
    <row r="5449" spans="1:6" ht="16" customHeight="1" x14ac:dyDescent="0.2">
      <c r="A5449">
        <f>IFERROR(VLOOKUP(C5449,'GASB Match'!$D$2:$F$6042,3,FALSE),"")</f>
        <v>3416230</v>
      </c>
      <c r="B5449" s="17">
        <v>2015</v>
      </c>
      <c r="C5449" s="17" t="s">
        <v>521</v>
      </c>
      <c r="D5449" s="17">
        <v>515</v>
      </c>
      <c r="E5449" s="17" t="s">
        <v>1422</v>
      </c>
      <c r="F5449" s="20">
        <v>4759903</v>
      </c>
    </row>
    <row r="5450" spans="1:6" ht="16" customHeight="1" x14ac:dyDescent="0.2">
      <c r="A5450">
        <f>IFERROR(VLOOKUP(C5450,'GASB Match'!$D$2:$F$6042,3,FALSE),"")</f>
        <v>3416230</v>
      </c>
      <c r="B5450" s="17">
        <v>2016</v>
      </c>
      <c r="C5450" s="17" t="s">
        <v>521</v>
      </c>
      <c r="D5450" s="17">
        <v>515</v>
      </c>
      <c r="E5450" s="17" t="s">
        <v>1422</v>
      </c>
      <c r="F5450" s="20">
        <v>7144637</v>
      </c>
    </row>
    <row r="5451" spans="1:6" ht="16" customHeight="1" x14ac:dyDescent="0.2">
      <c r="A5451">
        <f>IFERROR(VLOOKUP(C5451,'GASB Match'!$D$2:$F$6042,3,FALSE),"")</f>
        <v>3416230</v>
      </c>
      <c r="B5451" s="17">
        <v>2018</v>
      </c>
      <c r="C5451" s="17" t="s">
        <v>1213</v>
      </c>
      <c r="D5451" s="17">
        <v>515</v>
      </c>
      <c r="E5451" s="17" t="s">
        <v>1465</v>
      </c>
      <c r="F5451" s="20">
        <v>13685387</v>
      </c>
    </row>
    <row r="5452" spans="1:6" ht="16" customHeight="1" x14ac:dyDescent="0.2">
      <c r="A5452">
        <f>IFERROR(VLOOKUP(C5452,'GASB Match'!$D$2:$F$6042,3,FALSE),"")</f>
        <v>3416230</v>
      </c>
      <c r="B5452" s="17">
        <v>2019</v>
      </c>
      <c r="C5452" s="17" t="s">
        <v>1213</v>
      </c>
      <c r="D5452" s="17">
        <v>515</v>
      </c>
      <c r="E5452" s="17" t="s">
        <v>1465</v>
      </c>
      <c r="F5452" s="20">
        <v>17942364</v>
      </c>
    </row>
    <row r="5453" spans="1:6" ht="16" customHeight="1" x14ac:dyDescent="0.2">
      <c r="A5453">
        <f>IFERROR(VLOOKUP(C5453,'GASB Match'!$D$2:$F$6042,3,FALSE),"")</f>
        <v>3416230</v>
      </c>
      <c r="B5453" s="17">
        <v>2020</v>
      </c>
      <c r="C5453" s="21" t="s">
        <v>1213</v>
      </c>
      <c r="D5453" s="17">
        <v>515</v>
      </c>
      <c r="E5453" s="17" t="s">
        <v>1465</v>
      </c>
      <c r="F5453" s="23">
        <v>20081808</v>
      </c>
    </row>
    <row r="5454" spans="1:6" ht="16" customHeight="1" x14ac:dyDescent="0.2">
      <c r="A5454">
        <f>IFERROR(VLOOKUP(C5454,'GASB Match'!$D$2:$F$6042,3,FALSE),"")</f>
        <v>3416230</v>
      </c>
      <c r="B5454" s="17">
        <v>2021</v>
      </c>
      <c r="C5454" s="25" t="s">
        <v>1213</v>
      </c>
      <c r="D5454" s="17">
        <v>515</v>
      </c>
      <c r="E5454" s="17" t="s">
        <v>1465</v>
      </c>
      <c r="F5454" s="23">
        <v>25840947</v>
      </c>
    </row>
    <row r="5455" spans="1:6" ht="16" customHeight="1" x14ac:dyDescent="0.2">
      <c r="A5455">
        <f>IFERROR(VLOOKUP(C5455,'GASB Match'!$D$2:$F$6042,3,FALSE),"")</f>
        <v>3416230</v>
      </c>
      <c r="B5455" s="17">
        <v>2022</v>
      </c>
      <c r="C5455" s="21" t="s">
        <v>1213</v>
      </c>
      <c r="D5455" s="17">
        <v>515</v>
      </c>
      <c r="E5455" s="17" t="s">
        <v>1465</v>
      </c>
      <c r="F5455" s="23">
        <v>35431570</v>
      </c>
    </row>
    <row r="5456" spans="1:6" ht="16" customHeight="1" x14ac:dyDescent="0.2">
      <c r="A5456">
        <f>IFERROR(VLOOKUP(C5456,'GASB Match'!$D$2:$F$6042,3,FALSE),"")</f>
        <v>3416230</v>
      </c>
      <c r="B5456" s="17">
        <v>2023</v>
      </c>
      <c r="C5456" s="21" t="s">
        <v>1213</v>
      </c>
      <c r="D5456" s="17">
        <v>515</v>
      </c>
      <c r="E5456" s="17" t="s">
        <v>1465</v>
      </c>
      <c r="F5456" s="23">
        <v>34143265</v>
      </c>
    </row>
    <row r="5457" spans="1:6" ht="16" customHeight="1" x14ac:dyDescent="0.2">
      <c r="A5457">
        <f>IFERROR(VLOOKUP(C5457,'GASB Match'!$D$2:$F$6042,3,FALSE),"")</f>
        <v>3416230</v>
      </c>
      <c r="B5457" s="28">
        <v>2017</v>
      </c>
      <c r="C5457" s="29" t="s">
        <v>521</v>
      </c>
      <c r="D5457" s="17">
        <v>515</v>
      </c>
      <c r="E5457" s="17" t="s">
        <v>1422</v>
      </c>
      <c r="F5457" s="29">
        <v>10133368</v>
      </c>
    </row>
    <row r="5458" spans="1:6" ht="16" customHeight="1" x14ac:dyDescent="0.2">
      <c r="A5458">
        <f>IFERROR(VLOOKUP(C5458,'GASB Match'!$D$2:$F$6042,3,FALSE),"")</f>
        <v>3416260</v>
      </c>
      <c r="B5458" s="17">
        <v>2015</v>
      </c>
      <c r="C5458" s="17" t="s">
        <v>544</v>
      </c>
      <c r="D5458" s="17">
        <v>639</v>
      </c>
      <c r="E5458" s="17" t="s">
        <v>1423</v>
      </c>
      <c r="F5458" s="20">
        <v>357763</v>
      </c>
    </row>
    <row r="5459" spans="1:6" ht="16" customHeight="1" x14ac:dyDescent="0.2">
      <c r="A5459">
        <f>IFERROR(VLOOKUP(C5459,'GASB Match'!$D$2:$F$6042,3,FALSE),"")</f>
        <v>3416260</v>
      </c>
      <c r="B5459" s="17">
        <v>2016</v>
      </c>
      <c r="C5459" s="17" t="s">
        <v>544</v>
      </c>
      <c r="D5459" s="17">
        <v>639</v>
      </c>
      <c r="E5459" s="17" t="s">
        <v>1423</v>
      </c>
      <c r="F5459" s="20">
        <v>536201</v>
      </c>
    </row>
    <row r="5460" spans="1:6" ht="16" customHeight="1" x14ac:dyDescent="0.2">
      <c r="A5460">
        <f>IFERROR(VLOOKUP(C5460,'GASB Match'!$D$2:$F$6042,3,FALSE),"")</f>
        <v>3416260</v>
      </c>
      <c r="B5460" s="17">
        <v>2018</v>
      </c>
      <c r="C5460" s="17" t="s">
        <v>1236</v>
      </c>
      <c r="D5460" s="17">
        <v>639</v>
      </c>
      <c r="E5460" s="17" t="s">
        <v>1466</v>
      </c>
      <c r="F5460" s="20">
        <v>963810</v>
      </c>
    </row>
    <row r="5461" spans="1:6" ht="16" customHeight="1" x14ac:dyDescent="0.2">
      <c r="A5461">
        <f>IFERROR(VLOOKUP(C5461,'GASB Match'!$D$2:$F$6042,3,FALSE),"")</f>
        <v>3416260</v>
      </c>
      <c r="B5461" s="17">
        <v>2019</v>
      </c>
      <c r="C5461" s="17" t="s">
        <v>1236</v>
      </c>
      <c r="D5461" s="17">
        <v>639</v>
      </c>
      <c r="E5461" s="17" t="s">
        <v>1466</v>
      </c>
      <c r="F5461" s="20">
        <v>1279935</v>
      </c>
    </row>
    <row r="5462" spans="1:6" ht="16" customHeight="1" x14ac:dyDescent="0.2">
      <c r="A5462">
        <f>IFERROR(VLOOKUP(C5462,'GASB Match'!$D$2:$F$6042,3,FALSE),"")</f>
        <v>3416260</v>
      </c>
      <c r="B5462" s="17">
        <v>2020</v>
      </c>
      <c r="C5462" s="21" t="s">
        <v>1236</v>
      </c>
      <c r="D5462" s="17">
        <v>639</v>
      </c>
      <c r="E5462" s="17" t="s">
        <v>1466</v>
      </c>
      <c r="F5462" s="23">
        <v>1322266</v>
      </c>
    </row>
    <row r="5463" spans="1:6" ht="16" customHeight="1" x14ac:dyDescent="0.2">
      <c r="A5463">
        <f>IFERROR(VLOOKUP(C5463,'GASB Match'!$D$2:$F$6042,3,FALSE),"")</f>
        <v>3416260</v>
      </c>
      <c r="B5463" s="17">
        <v>2021</v>
      </c>
      <c r="C5463" s="25" t="s">
        <v>1236</v>
      </c>
      <c r="D5463" s="17">
        <v>639</v>
      </c>
      <c r="E5463" s="17" t="s">
        <v>1466</v>
      </c>
      <c r="F5463" s="23">
        <v>1704195</v>
      </c>
    </row>
    <row r="5464" spans="1:6" ht="16" customHeight="1" x14ac:dyDescent="0.2">
      <c r="A5464">
        <f>IFERROR(VLOOKUP(C5464,'GASB Match'!$D$2:$F$6042,3,FALSE),"")</f>
        <v>3416260</v>
      </c>
      <c r="B5464" s="17">
        <v>2022</v>
      </c>
      <c r="C5464" s="21" t="s">
        <v>1236</v>
      </c>
      <c r="D5464" s="17">
        <v>639</v>
      </c>
      <c r="E5464" s="17" t="s">
        <v>1466</v>
      </c>
      <c r="F5464" s="23">
        <v>2536550</v>
      </c>
    </row>
    <row r="5465" spans="1:6" ht="16" customHeight="1" x14ac:dyDescent="0.2">
      <c r="A5465">
        <f>IFERROR(VLOOKUP(C5465,'GASB Match'!$D$2:$F$6042,3,FALSE),"")</f>
        <v>3416260</v>
      </c>
      <c r="B5465" s="17">
        <v>2023</v>
      </c>
      <c r="C5465" s="21" t="s">
        <v>1236</v>
      </c>
      <c r="D5465" s="17">
        <v>639</v>
      </c>
      <c r="E5465" s="17" t="s">
        <v>1466</v>
      </c>
      <c r="F5465" s="23">
        <v>2436625</v>
      </c>
    </row>
    <row r="5466" spans="1:6" ht="16" customHeight="1" x14ac:dyDescent="0.2">
      <c r="A5466">
        <f>IFERROR(VLOOKUP(C5466,'GASB Match'!$D$2:$F$6042,3,FALSE),"")</f>
        <v>3416260</v>
      </c>
      <c r="B5466" s="28">
        <v>2017</v>
      </c>
      <c r="C5466" s="29" t="s">
        <v>544</v>
      </c>
      <c r="D5466" s="17">
        <v>639</v>
      </c>
      <c r="E5466" s="17" t="s">
        <v>1423</v>
      </c>
      <c r="F5466" s="29">
        <v>788291</v>
      </c>
    </row>
    <row r="5467" spans="1:6" ht="16" customHeight="1" x14ac:dyDescent="0.2">
      <c r="A5467">
        <f>IFERROR(VLOOKUP(C5467,'GASB Match'!$D$2:$F$6042,3,FALSE),"")</f>
        <v>3416290</v>
      </c>
      <c r="B5467" s="17">
        <v>2015</v>
      </c>
      <c r="C5467" s="17" t="s">
        <v>369</v>
      </c>
      <c r="D5467" s="17">
        <v>100</v>
      </c>
      <c r="E5467" s="17" t="s">
        <v>1416</v>
      </c>
      <c r="F5467" s="20">
        <v>4561484</v>
      </c>
    </row>
    <row r="5468" spans="1:6" ht="16" customHeight="1" x14ac:dyDescent="0.2">
      <c r="A5468">
        <f>IFERROR(VLOOKUP(C5468,'GASB Match'!$D$2:$F$6042,3,FALSE),"")</f>
        <v>3416290</v>
      </c>
      <c r="B5468" s="17">
        <v>2016</v>
      </c>
      <c r="C5468" s="17" t="s">
        <v>369</v>
      </c>
      <c r="D5468" s="17">
        <v>100</v>
      </c>
      <c r="E5468" s="17" t="s">
        <v>1416</v>
      </c>
      <c r="F5468" s="20">
        <v>7097059</v>
      </c>
    </row>
    <row r="5469" spans="1:6" ht="16" customHeight="1" x14ac:dyDescent="0.2">
      <c r="A5469">
        <f>IFERROR(VLOOKUP(C5469,'GASB Match'!$D$2:$F$6042,3,FALSE),"")</f>
        <v>3416290</v>
      </c>
      <c r="B5469" s="17">
        <v>2018</v>
      </c>
      <c r="C5469" s="17" t="s">
        <v>1060</v>
      </c>
      <c r="D5469" s="17">
        <v>100</v>
      </c>
      <c r="E5469" s="17" t="s">
        <v>1459</v>
      </c>
      <c r="F5469" s="20">
        <v>12880799</v>
      </c>
    </row>
    <row r="5470" spans="1:6" ht="16" customHeight="1" x14ac:dyDescent="0.2">
      <c r="A5470">
        <f>IFERROR(VLOOKUP(C5470,'GASB Match'!$D$2:$F$6042,3,FALSE),"")</f>
        <v>3416290</v>
      </c>
      <c r="B5470" s="17">
        <v>2019</v>
      </c>
      <c r="C5470" s="17" t="s">
        <v>1060</v>
      </c>
      <c r="D5470" s="17">
        <v>100</v>
      </c>
      <c r="E5470" s="17" t="s">
        <v>1459</v>
      </c>
      <c r="F5470" s="20">
        <v>16348615</v>
      </c>
    </row>
    <row r="5471" spans="1:6" ht="16" customHeight="1" x14ac:dyDescent="0.2">
      <c r="A5471">
        <f>IFERROR(VLOOKUP(C5471,'GASB Match'!$D$2:$F$6042,3,FALSE),"")</f>
        <v>3416290</v>
      </c>
      <c r="B5471" s="17">
        <v>2020</v>
      </c>
      <c r="C5471" s="21" t="s">
        <v>1060</v>
      </c>
      <c r="D5471" s="17">
        <v>100</v>
      </c>
      <c r="E5471" s="17" t="s">
        <v>1459</v>
      </c>
      <c r="F5471" s="23">
        <v>18426518</v>
      </c>
    </row>
    <row r="5472" spans="1:6" ht="16" customHeight="1" x14ac:dyDescent="0.2">
      <c r="A5472">
        <f>IFERROR(VLOOKUP(C5472,'GASB Match'!$D$2:$F$6042,3,FALSE),"")</f>
        <v>3416290</v>
      </c>
      <c r="B5472" s="17">
        <v>2021</v>
      </c>
      <c r="C5472" s="25" t="s">
        <v>1060</v>
      </c>
      <c r="D5472" s="17">
        <v>100</v>
      </c>
      <c r="E5472" s="17" t="s">
        <v>1459</v>
      </c>
      <c r="F5472" s="23">
        <v>23829497</v>
      </c>
    </row>
    <row r="5473" spans="1:6" ht="16" customHeight="1" x14ac:dyDescent="0.2">
      <c r="A5473">
        <f>IFERROR(VLOOKUP(C5473,'GASB Match'!$D$2:$F$6042,3,FALSE),"")</f>
        <v>3416290</v>
      </c>
      <c r="B5473" s="17">
        <v>2022</v>
      </c>
      <c r="C5473" s="21" t="s">
        <v>1060</v>
      </c>
      <c r="D5473" s="17">
        <v>100</v>
      </c>
      <c r="E5473" s="17" t="s">
        <v>1459</v>
      </c>
      <c r="F5473" s="23">
        <v>35708777</v>
      </c>
    </row>
    <row r="5474" spans="1:6" ht="16" customHeight="1" x14ac:dyDescent="0.2">
      <c r="A5474">
        <f>IFERROR(VLOOKUP(C5474,'GASB Match'!$D$2:$F$6042,3,FALSE),"")</f>
        <v>3416290</v>
      </c>
      <c r="B5474" s="17">
        <v>2023</v>
      </c>
      <c r="C5474" s="21" t="s">
        <v>1060</v>
      </c>
      <c r="D5474" s="17">
        <v>100</v>
      </c>
      <c r="E5474" s="17" t="s">
        <v>1459</v>
      </c>
      <c r="F5474" s="23">
        <v>36182105</v>
      </c>
    </row>
    <row r="5475" spans="1:6" ht="16" customHeight="1" x14ac:dyDescent="0.2">
      <c r="A5475">
        <f>IFERROR(VLOOKUP(C5475,'GASB Match'!$D$2:$F$6042,3,FALSE),"")</f>
        <v>3416290</v>
      </c>
      <c r="B5475" s="28">
        <v>2017</v>
      </c>
      <c r="C5475" s="29" t="s">
        <v>369</v>
      </c>
      <c r="D5475" s="17">
        <v>100</v>
      </c>
      <c r="E5475" s="17" t="s">
        <v>1416</v>
      </c>
      <c r="F5475" s="29">
        <v>10095393</v>
      </c>
    </row>
    <row r="5476" spans="1:6" ht="16" customHeight="1" x14ac:dyDescent="0.2">
      <c r="A5476">
        <f>IFERROR(VLOOKUP(C5476,'GASB Match'!$D$2:$F$6042,3,FALSE),"")</f>
        <v>3400770</v>
      </c>
      <c r="B5476" s="17">
        <v>2018</v>
      </c>
      <c r="C5476" s="17" t="s">
        <v>1061</v>
      </c>
      <c r="D5476" s="17">
        <v>136</v>
      </c>
      <c r="E5476" s="17" t="s">
        <v>1459</v>
      </c>
      <c r="F5476" s="20">
        <v>184396</v>
      </c>
    </row>
    <row r="5477" spans="1:6" ht="16" customHeight="1" x14ac:dyDescent="0.2">
      <c r="A5477">
        <f>IFERROR(VLOOKUP(C5477,'GASB Match'!$D$2:$F$6042,3,FALSE),"")</f>
        <v>3400770</v>
      </c>
      <c r="B5477" s="17">
        <v>2019</v>
      </c>
      <c r="C5477" s="17" t="s">
        <v>1061</v>
      </c>
      <c r="D5477" s="17">
        <v>136</v>
      </c>
      <c r="E5477" s="17" t="s">
        <v>1459</v>
      </c>
      <c r="F5477" s="20">
        <v>320901</v>
      </c>
    </row>
    <row r="5478" spans="1:6" ht="17" x14ac:dyDescent="0.2">
      <c r="A5478">
        <f>IFERROR(VLOOKUP(C5478,'GASB Match'!$D$2:$F$6042,3,FALSE),"")</f>
        <v>3400770</v>
      </c>
      <c r="B5478" s="17">
        <v>2020</v>
      </c>
      <c r="C5478" s="21" t="s">
        <v>1061</v>
      </c>
      <c r="D5478" s="17">
        <v>136</v>
      </c>
      <c r="E5478" s="17" t="s">
        <v>1459</v>
      </c>
      <c r="F5478" s="23">
        <v>512706</v>
      </c>
    </row>
    <row r="5479" spans="1:6" ht="17" x14ac:dyDescent="0.2">
      <c r="A5479">
        <f>IFERROR(VLOOKUP(C5479,'GASB Match'!$D$2:$F$6042,3,FALSE),"")</f>
        <v>3400770</v>
      </c>
      <c r="B5479" s="17">
        <v>2021</v>
      </c>
      <c r="C5479" s="25" t="s">
        <v>1061</v>
      </c>
      <c r="D5479" s="17">
        <v>136</v>
      </c>
      <c r="E5479" s="17" t="s">
        <v>1459</v>
      </c>
      <c r="F5479" s="23">
        <v>926523</v>
      </c>
    </row>
    <row r="5480" spans="1:6" ht="17" x14ac:dyDescent="0.2">
      <c r="A5480">
        <f>IFERROR(VLOOKUP(C5480,'GASB Match'!$D$2:$F$6042,3,FALSE),"")</f>
        <v>3400770</v>
      </c>
      <c r="B5480" s="17">
        <v>2022</v>
      </c>
      <c r="C5480" s="21" t="s">
        <v>1061</v>
      </c>
      <c r="D5480" s="17">
        <v>136</v>
      </c>
      <c r="E5480" s="17" t="s">
        <v>1459</v>
      </c>
      <c r="F5480" s="23">
        <v>1198392</v>
      </c>
    </row>
    <row r="5481" spans="1:6" ht="17" x14ac:dyDescent="0.2">
      <c r="A5481">
        <f>IFERROR(VLOOKUP(C5481,'GASB Match'!$D$2:$F$6042,3,FALSE),"")</f>
        <v>3400770</v>
      </c>
      <c r="B5481" s="17">
        <v>2023</v>
      </c>
      <c r="C5481" s="21" t="s">
        <v>1061</v>
      </c>
      <c r="D5481" s="17">
        <v>136</v>
      </c>
      <c r="E5481" s="17" t="s">
        <v>1459</v>
      </c>
      <c r="F5481" s="23">
        <v>1159605</v>
      </c>
    </row>
    <row r="5482" spans="1:6" x14ac:dyDescent="0.2">
      <c r="A5482">
        <f>IFERROR(VLOOKUP(C5482,'GASB Match'!$D$2:$F$6042,3,FALSE),"")</f>
        <v>3416320</v>
      </c>
      <c r="B5482" s="17">
        <v>2015</v>
      </c>
      <c r="C5482" s="17" t="s">
        <v>522</v>
      </c>
      <c r="D5482" s="17">
        <v>534</v>
      </c>
      <c r="E5482" s="17" t="s">
        <v>1422</v>
      </c>
      <c r="F5482" s="20">
        <v>106274</v>
      </c>
    </row>
    <row r="5483" spans="1:6" x14ac:dyDescent="0.2">
      <c r="A5483">
        <f>IFERROR(VLOOKUP(C5483,'GASB Match'!$D$2:$F$6042,3,FALSE),"")</f>
        <v>3416320</v>
      </c>
      <c r="B5483" s="17">
        <v>2016</v>
      </c>
      <c r="C5483" s="17" t="s">
        <v>522</v>
      </c>
      <c r="D5483" s="17">
        <v>534</v>
      </c>
      <c r="E5483" s="17" t="s">
        <v>1422</v>
      </c>
      <c r="F5483" s="20">
        <v>146466</v>
      </c>
    </row>
    <row r="5484" spans="1:6" x14ac:dyDescent="0.2">
      <c r="A5484">
        <f>IFERROR(VLOOKUP(C5484,'GASB Match'!$D$2:$F$6042,3,FALSE),"")</f>
        <v>3416320</v>
      </c>
      <c r="B5484" s="17">
        <v>2018</v>
      </c>
      <c r="C5484" s="17" t="s">
        <v>1214</v>
      </c>
      <c r="D5484" s="17">
        <v>534</v>
      </c>
      <c r="E5484" s="17" t="s">
        <v>1465</v>
      </c>
      <c r="F5484" s="20">
        <v>270930</v>
      </c>
    </row>
    <row r="5485" spans="1:6" x14ac:dyDescent="0.2">
      <c r="A5485">
        <f>IFERROR(VLOOKUP(C5485,'GASB Match'!$D$2:$F$6042,3,FALSE),"")</f>
        <v>3416320</v>
      </c>
      <c r="B5485" s="17">
        <v>2019</v>
      </c>
      <c r="C5485" s="17" t="s">
        <v>1214</v>
      </c>
      <c r="D5485" s="17">
        <v>534</v>
      </c>
      <c r="E5485" s="17" t="s">
        <v>1465</v>
      </c>
      <c r="F5485" s="20">
        <v>364166</v>
      </c>
    </row>
    <row r="5486" spans="1:6" ht="17" x14ac:dyDescent="0.2">
      <c r="A5486">
        <f>IFERROR(VLOOKUP(C5486,'GASB Match'!$D$2:$F$6042,3,FALSE),"")</f>
        <v>3416320</v>
      </c>
      <c r="B5486" s="17">
        <v>2020</v>
      </c>
      <c r="C5486" s="21" t="s">
        <v>1214</v>
      </c>
      <c r="D5486" s="17">
        <v>534</v>
      </c>
      <c r="E5486" s="17" t="s">
        <v>1465</v>
      </c>
      <c r="F5486" s="23">
        <v>458052</v>
      </c>
    </row>
    <row r="5487" spans="1:6" ht="17" x14ac:dyDescent="0.2">
      <c r="A5487">
        <f>IFERROR(VLOOKUP(C5487,'GASB Match'!$D$2:$F$6042,3,FALSE),"")</f>
        <v>3416320</v>
      </c>
      <c r="B5487" s="17">
        <v>2021</v>
      </c>
      <c r="C5487" s="25" t="s">
        <v>1214</v>
      </c>
      <c r="D5487" s="17">
        <v>534</v>
      </c>
      <c r="E5487" s="17" t="s">
        <v>1465</v>
      </c>
      <c r="F5487" s="23">
        <v>627391</v>
      </c>
    </row>
    <row r="5488" spans="1:6" ht="17" x14ac:dyDescent="0.2">
      <c r="A5488">
        <f>IFERROR(VLOOKUP(C5488,'GASB Match'!$D$2:$F$6042,3,FALSE),"")</f>
        <v>3416320</v>
      </c>
      <c r="B5488" s="17">
        <v>2022</v>
      </c>
      <c r="C5488" s="21" t="s">
        <v>1214</v>
      </c>
      <c r="D5488" s="17">
        <v>534</v>
      </c>
      <c r="E5488" s="17" t="s">
        <v>1465</v>
      </c>
      <c r="F5488" s="23">
        <v>969681</v>
      </c>
    </row>
    <row r="5489" spans="1:6" ht="17" x14ac:dyDescent="0.2">
      <c r="A5489">
        <f>IFERROR(VLOOKUP(C5489,'GASB Match'!$D$2:$F$6042,3,FALSE),"")</f>
        <v>3416320</v>
      </c>
      <c r="B5489" s="17">
        <v>2023</v>
      </c>
      <c r="C5489" s="21" t="s">
        <v>1214</v>
      </c>
      <c r="D5489" s="17">
        <v>534</v>
      </c>
      <c r="E5489" s="17" t="s">
        <v>1465</v>
      </c>
      <c r="F5489" s="23">
        <v>965313</v>
      </c>
    </row>
    <row r="5490" spans="1:6" x14ac:dyDescent="0.2">
      <c r="A5490">
        <f>IFERROR(VLOOKUP(C5490,'GASB Match'!$D$2:$F$6042,3,FALSE),"")</f>
        <v>3416320</v>
      </c>
      <c r="B5490" s="28">
        <v>2017</v>
      </c>
      <c r="C5490" s="29" t="s">
        <v>522</v>
      </c>
      <c r="D5490" s="17">
        <v>534</v>
      </c>
      <c r="E5490" s="17" t="s">
        <v>1422</v>
      </c>
      <c r="F5490" s="29">
        <v>198879</v>
      </c>
    </row>
    <row r="5491" spans="1:6" x14ac:dyDescent="0.2">
      <c r="A5491">
        <f>IFERROR(VLOOKUP(C5491,'GASB Match'!$D$2:$F$6042,3,FALSE),"")</f>
        <v>3416350</v>
      </c>
      <c r="B5491" s="17">
        <v>2015</v>
      </c>
      <c r="C5491" s="17" t="s">
        <v>450</v>
      </c>
      <c r="D5491" s="17">
        <v>359</v>
      </c>
      <c r="E5491" s="17" t="s">
        <v>1420</v>
      </c>
      <c r="F5491" s="20">
        <v>230883</v>
      </c>
    </row>
    <row r="5492" spans="1:6" x14ac:dyDescent="0.2">
      <c r="A5492">
        <f>IFERROR(VLOOKUP(C5492,'GASB Match'!$D$2:$F$6042,3,FALSE),"")</f>
        <v>3416350</v>
      </c>
      <c r="B5492" s="17">
        <v>2016</v>
      </c>
      <c r="C5492" s="17" t="s">
        <v>450</v>
      </c>
      <c r="D5492" s="17">
        <v>359</v>
      </c>
      <c r="E5492" s="17" t="s">
        <v>1420</v>
      </c>
      <c r="F5492" s="20">
        <v>318163</v>
      </c>
    </row>
    <row r="5493" spans="1:6" x14ac:dyDescent="0.2">
      <c r="A5493">
        <f>IFERROR(VLOOKUP(C5493,'GASB Match'!$D$2:$F$6042,3,FALSE),"")</f>
        <v>3416350</v>
      </c>
      <c r="B5493" s="17">
        <v>2018</v>
      </c>
      <c r="C5493" s="17" t="s">
        <v>1142</v>
      </c>
      <c r="D5493" s="17">
        <v>359</v>
      </c>
      <c r="E5493" s="17" t="s">
        <v>1463</v>
      </c>
      <c r="F5493" s="20">
        <v>592737</v>
      </c>
    </row>
    <row r="5494" spans="1:6" x14ac:dyDescent="0.2">
      <c r="A5494">
        <f>IFERROR(VLOOKUP(C5494,'GASB Match'!$D$2:$F$6042,3,FALSE),"")</f>
        <v>3416350</v>
      </c>
      <c r="B5494" s="17">
        <v>2019</v>
      </c>
      <c r="C5494" s="17" t="s">
        <v>1142</v>
      </c>
      <c r="D5494" s="17">
        <v>359</v>
      </c>
      <c r="E5494" s="17" t="s">
        <v>1463</v>
      </c>
      <c r="F5494" s="20">
        <v>793843</v>
      </c>
    </row>
    <row r="5495" spans="1:6" ht="17" x14ac:dyDescent="0.2">
      <c r="A5495">
        <f>IFERROR(VLOOKUP(C5495,'GASB Match'!$D$2:$F$6042,3,FALSE),"")</f>
        <v>3416350</v>
      </c>
      <c r="B5495" s="17">
        <v>2020</v>
      </c>
      <c r="C5495" s="21" t="s">
        <v>1142</v>
      </c>
      <c r="D5495" s="17">
        <v>359</v>
      </c>
      <c r="E5495" s="17" t="s">
        <v>1463</v>
      </c>
      <c r="F5495" s="23">
        <v>911390</v>
      </c>
    </row>
    <row r="5496" spans="1:6" ht="17" x14ac:dyDescent="0.2">
      <c r="A5496">
        <f>IFERROR(VLOOKUP(C5496,'GASB Match'!$D$2:$F$6042,3,FALSE),"")</f>
        <v>3416350</v>
      </c>
      <c r="B5496" s="17">
        <v>2021</v>
      </c>
      <c r="C5496" s="25" t="s">
        <v>1142</v>
      </c>
      <c r="D5496" s="17">
        <v>359</v>
      </c>
      <c r="E5496" s="17" t="s">
        <v>1463</v>
      </c>
      <c r="F5496" s="23">
        <v>1161691</v>
      </c>
    </row>
    <row r="5497" spans="1:6" ht="17" x14ac:dyDescent="0.2">
      <c r="A5497">
        <f>IFERROR(VLOOKUP(C5497,'GASB Match'!$D$2:$F$6042,3,FALSE),"")</f>
        <v>3416350</v>
      </c>
      <c r="B5497" s="17">
        <v>2022</v>
      </c>
      <c r="C5497" s="21" t="s">
        <v>1142</v>
      </c>
      <c r="D5497" s="17">
        <v>359</v>
      </c>
      <c r="E5497" s="17" t="s">
        <v>1463</v>
      </c>
      <c r="F5497" s="23">
        <v>1604944</v>
      </c>
    </row>
    <row r="5498" spans="1:6" ht="17" x14ac:dyDescent="0.2">
      <c r="A5498">
        <f>IFERROR(VLOOKUP(C5498,'GASB Match'!$D$2:$F$6042,3,FALSE),"")</f>
        <v>3416350</v>
      </c>
      <c r="B5498" s="17">
        <v>2023</v>
      </c>
      <c r="C5498" s="21" t="s">
        <v>1142</v>
      </c>
      <c r="D5498" s="17">
        <v>359</v>
      </c>
      <c r="E5498" s="17" t="s">
        <v>1463</v>
      </c>
      <c r="F5498" s="23">
        <v>1535408</v>
      </c>
    </row>
    <row r="5499" spans="1:6" x14ac:dyDescent="0.2">
      <c r="A5499">
        <f>IFERROR(VLOOKUP(C5499,'GASB Match'!$D$2:$F$6042,3,FALSE),"")</f>
        <v>3416350</v>
      </c>
      <c r="B5499" s="28">
        <v>2017</v>
      </c>
      <c r="C5499" s="29" t="s">
        <v>450</v>
      </c>
      <c r="D5499" s="17">
        <v>359</v>
      </c>
      <c r="E5499" s="17" t="s">
        <v>1420</v>
      </c>
      <c r="F5499" s="29">
        <v>432906</v>
      </c>
    </row>
    <row r="5500" spans="1:6" x14ac:dyDescent="0.2">
      <c r="A5500">
        <f>IFERROR(VLOOKUP(C5500,'GASB Match'!$D$2:$F$6042,3,FALSE),"")</f>
        <v>3416380</v>
      </c>
      <c r="B5500" s="17">
        <v>2015</v>
      </c>
      <c r="C5500" s="17" t="s">
        <v>321</v>
      </c>
      <c r="D5500" s="17">
        <v>8050</v>
      </c>
      <c r="E5500" s="17" t="s">
        <v>1413</v>
      </c>
      <c r="F5500" s="20">
        <v>3695612</v>
      </c>
    </row>
    <row r="5501" spans="1:6" x14ac:dyDescent="0.2">
      <c r="A5501">
        <f>IFERROR(VLOOKUP(C5501,'GASB Match'!$D$2:$F$6042,3,FALSE),"")</f>
        <v>3416380</v>
      </c>
      <c r="B5501" s="17">
        <v>2016</v>
      </c>
      <c r="C5501" s="17" t="s">
        <v>321</v>
      </c>
      <c r="D5501" s="17">
        <v>8050</v>
      </c>
      <c r="E5501" s="17" t="s">
        <v>1413</v>
      </c>
      <c r="F5501" s="20">
        <v>5580888</v>
      </c>
    </row>
    <row r="5502" spans="1:6" x14ac:dyDescent="0.2">
      <c r="A5502">
        <f>IFERROR(VLOOKUP(C5502,'GASB Match'!$D$2:$F$6042,3,FALSE),"")</f>
        <v>3416380</v>
      </c>
      <c r="B5502" s="17">
        <v>2018</v>
      </c>
      <c r="C5502" s="17" t="s">
        <v>1014</v>
      </c>
      <c r="D5502" s="17">
        <v>8050</v>
      </c>
      <c r="E5502" s="17" t="s">
        <v>1456</v>
      </c>
      <c r="F5502" s="20">
        <v>11333766</v>
      </c>
    </row>
    <row r="5503" spans="1:6" x14ac:dyDescent="0.2">
      <c r="A5503">
        <f>IFERROR(VLOOKUP(C5503,'GASB Match'!$D$2:$F$6042,3,FALSE),"")</f>
        <v>3416380</v>
      </c>
      <c r="B5503" s="17">
        <v>2019</v>
      </c>
      <c r="C5503" s="17" t="s">
        <v>1014</v>
      </c>
      <c r="D5503" s="17">
        <v>8050</v>
      </c>
      <c r="E5503" s="17" t="s">
        <v>1456</v>
      </c>
      <c r="F5503" s="20">
        <v>15487250</v>
      </c>
    </row>
    <row r="5504" spans="1:6" ht="17" x14ac:dyDescent="0.2">
      <c r="A5504">
        <f>IFERROR(VLOOKUP(C5504,'GASB Match'!$D$2:$F$6042,3,FALSE),"")</f>
        <v>3416380</v>
      </c>
      <c r="B5504" s="17">
        <v>2020</v>
      </c>
      <c r="C5504" s="21" t="s">
        <v>1014</v>
      </c>
      <c r="D5504" s="17">
        <v>8050</v>
      </c>
      <c r="E5504" s="17" t="s">
        <v>1456</v>
      </c>
      <c r="F5504" s="23">
        <v>17927846</v>
      </c>
    </row>
    <row r="5505" spans="1:6" ht="17" x14ac:dyDescent="0.2">
      <c r="A5505">
        <f>IFERROR(VLOOKUP(C5505,'GASB Match'!$D$2:$F$6042,3,FALSE),"")</f>
        <v>3416380</v>
      </c>
      <c r="B5505" s="17">
        <v>2021</v>
      </c>
      <c r="C5505" s="25" t="s">
        <v>1014</v>
      </c>
      <c r="D5505" s="17">
        <v>8050</v>
      </c>
      <c r="E5505" s="17" t="s">
        <v>1456</v>
      </c>
      <c r="F5505" s="23">
        <v>22717955</v>
      </c>
    </row>
    <row r="5506" spans="1:6" ht="17" x14ac:dyDescent="0.2">
      <c r="A5506">
        <f>IFERROR(VLOOKUP(C5506,'GASB Match'!$D$2:$F$6042,3,FALSE),"")</f>
        <v>3416380</v>
      </c>
      <c r="B5506" s="17">
        <v>2022</v>
      </c>
      <c r="C5506" s="21" t="s">
        <v>1014</v>
      </c>
      <c r="D5506" s="17">
        <v>8050</v>
      </c>
      <c r="E5506" s="17" t="s">
        <v>1456</v>
      </c>
      <c r="F5506" s="23">
        <v>34860154</v>
      </c>
    </row>
    <row r="5507" spans="1:6" ht="17" x14ac:dyDescent="0.2">
      <c r="A5507">
        <f>IFERROR(VLOOKUP(C5507,'GASB Match'!$D$2:$F$6042,3,FALSE),"")</f>
        <v>3416380</v>
      </c>
      <c r="B5507" s="17">
        <v>2023</v>
      </c>
      <c r="C5507" s="21" t="s">
        <v>1014</v>
      </c>
      <c r="D5507" s="17">
        <v>8050</v>
      </c>
      <c r="E5507" s="17" t="s">
        <v>1456</v>
      </c>
      <c r="F5507" s="23">
        <v>34973742</v>
      </c>
    </row>
    <row r="5508" spans="1:6" x14ac:dyDescent="0.2">
      <c r="A5508">
        <f>IFERROR(VLOOKUP(C5508,'GASB Match'!$D$2:$F$6042,3,FALSE),"")</f>
        <v>3416380</v>
      </c>
      <c r="B5508" s="28">
        <v>2017</v>
      </c>
      <c r="C5508" s="29" t="s">
        <v>321</v>
      </c>
      <c r="D5508" s="17">
        <v>8050</v>
      </c>
      <c r="E5508" s="17" t="s">
        <v>1413</v>
      </c>
      <c r="F5508" s="29">
        <v>7707926</v>
      </c>
    </row>
    <row r="5509" spans="1:6" x14ac:dyDescent="0.2">
      <c r="A5509">
        <f>IFERROR(VLOOKUP(C5509,'GASB Match'!$D$2:$F$6042,3,FALSE),"")</f>
        <v>3416400</v>
      </c>
      <c r="B5509" s="17">
        <v>2015</v>
      </c>
      <c r="C5509" s="17" t="s">
        <v>631</v>
      </c>
      <c r="D5509" s="17">
        <v>841</v>
      </c>
      <c r="E5509" s="17" t="s">
        <v>1427</v>
      </c>
      <c r="F5509" s="20">
        <v>483964</v>
      </c>
    </row>
    <row r="5510" spans="1:6" x14ac:dyDescent="0.2">
      <c r="A5510">
        <f>IFERROR(VLOOKUP(C5510,'GASB Match'!$D$2:$F$6042,3,FALSE),"")</f>
        <v>3416400</v>
      </c>
      <c r="B5510" s="17">
        <v>2016</v>
      </c>
      <c r="C5510" s="17" t="s">
        <v>631</v>
      </c>
      <c r="D5510" s="17">
        <v>841</v>
      </c>
      <c r="E5510" s="17" t="s">
        <v>1427</v>
      </c>
      <c r="F5510" s="20">
        <v>706169</v>
      </c>
    </row>
    <row r="5511" spans="1:6" x14ac:dyDescent="0.2">
      <c r="A5511">
        <f>IFERROR(VLOOKUP(C5511,'GASB Match'!$D$2:$F$6042,3,FALSE),"")</f>
        <v>3416400</v>
      </c>
      <c r="B5511" s="17">
        <v>2018</v>
      </c>
      <c r="C5511" s="17" t="s">
        <v>1324</v>
      </c>
      <c r="D5511" s="17">
        <v>841</v>
      </c>
      <c r="E5511" s="17" t="s">
        <v>1470</v>
      </c>
      <c r="F5511" s="20">
        <v>1278794</v>
      </c>
    </row>
    <row r="5512" spans="1:6" x14ac:dyDescent="0.2">
      <c r="A5512">
        <f>IFERROR(VLOOKUP(C5512,'GASB Match'!$D$2:$F$6042,3,FALSE),"")</f>
        <v>3416400</v>
      </c>
      <c r="B5512" s="17">
        <v>2019</v>
      </c>
      <c r="C5512" s="17" t="s">
        <v>1324</v>
      </c>
      <c r="D5512" s="17">
        <v>841</v>
      </c>
      <c r="E5512" s="17" t="s">
        <v>1470</v>
      </c>
      <c r="F5512" s="20">
        <v>1640029</v>
      </c>
    </row>
    <row r="5513" spans="1:6" ht="17" x14ac:dyDescent="0.2">
      <c r="A5513">
        <f>IFERROR(VLOOKUP(C5513,'GASB Match'!$D$2:$F$6042,3,FALSE),"")</f>
        <v>3416400</v>
      </c>
      <c r="B5513" s="17">
        <v>2020</v>
      </c>
      <c r="C5513" s="21" t="s">
        <v>1324</v>
      </c>
      <c r="D5513" s="17">
        <v>841</v>
      </c>
      <c r="E5513" s="17" t="s">
        <v>1470</v>
      </c>
      <c r="F5513" s="23">
        <v>1728281</v>
      </c>
    </row>
    <row r="5514" spans="1:6" ht="17" x14ac:dyDescent="0.2">
      <c r="A5514">
        <f>IFERROR(VLOOKUP(C5514,'GASB Match'!$D$2:$F$6042,3,FALSE),"")</f>
        <v>3416400</v>
      </c>
      <c r="B5514" s="17">
        <v>2021</v>
      </c>
      <c r="C5514" s="25" t="s">
        <v>1324</v>
      </c>
      <c r="D5514" s="17">
        <v>841</v>
      </c>
      <c r="E5514" s="17" t="s">
        <v>1470</v>
      </c>
      <c r="F5514" s="23">
        <v>2255773</v>
      </c>
    </row>
    <row r="5515" spans="1:6" ht="17" x14ac:dyDescent="0.2">
      <c r="A5515">
        <f>IFERROR(VLOOKUP(C5515,'GASB Match'!$D$2:$F$6042,3,FALSE),"")</f>
        <v>3416400</v>
      </c>
      <c r="B5515" s="17">
        <v>2022</v>
      </c>
      <c r="C5515" s="21" t="s">
        <v>1324</v>
      </c>
      <c r="D5515" s="17">
        <v>841</v>
      </c>
      <c r="E5515" s="17" t="s">
        <v>1470</v>
      </c>
      <c r="F5515" s="23">
        <v>3098938</v>
      </c>
    </row>
    <row r="5516" spans="1:6" ht="17" x14ac:dyDescent="0.2">
      <c r="A5516">
        <f>IFERROR(VLOOKUP(C5516,'GASB Match'!$D$2:$F$6042,3,FALSE),"")</f>
        <v>3416400</v>
      </c>
      <c r="B5516" s="17">
        <v>2023</v>
      </c>
      <c r="C5516" s="21" t="s">
        <v>1324</v>
      </c>
      <c r="D5516" s="17">
        <v>841</v>
      </c>
      <c r="E5516" s="17" t="s">
        <v>1470</v>
      </c>
      <c r="F5516" s="23">
        <v>2851117</v>
      </c>
    </row>
    <row r="5517" spans="1:6" x14ac:dyDescent="0.2">
      <c r="A5517">
        <f>IFERROR(VLOOKUP(C5517,'GASB Match'!$D$2:$F$6042,3,FALSE),"")</f>
        <v>3416400</v>
      </c>
      <c r="B5517" s="28">
        <v>2017</v>
      </c>
      <c r="C5517" s="29" t="s">
        <v>631</v>
      </c>
      <c r="D5517" s="17">
        <v>841</v>
      </c>
      <c r="E5517" s="17" t="s">
        <v>1427</v>
      </c>
      <c r="F5517" s="29">
        <v>932819</v>
      </c>
    </row>
    <row r="5518" spans="1:6" x14ac:dyDescent="0.2">
      <c r="A5518">
        <f>IFERROR(VLOOKUP(C5518,'GASB Match'!$D$2:$F$6042,3,FALSE),"")</f>
        <v>3418040</v>
      </c>
      <c r="B5518" s="17">
        <v>2015</v>
      </c>
      <c r="C5518" s="17" t="s">
        <v>632</v>
      </c>
      <c r="D5518" s="17">
        <v>988</v>
      </c>
      <c r="E5518" s="17" t="s">
        <v>1427</v>
      </c>
      <c r="F5518" s="20">
        <v>512772</v>
      </c>
    </row>
    <row r="5519" spans="1:6" x14ac:dyDescent="0.2">
      <c r="A5519">
        <f>IFERROR(VLOOKUP(C5519,'GASB Match'!$D$2:$F$6042,3,FALSE),"")</f>
        <v>3418040</v>
      </c>
      <c r="B5519" s="17">
        <v>2016</v>
      </c>
      <c r="C5519" s="17" t="s">
        <v>632</v>
      </c>
      <c r="D5519" s="17">
        <v>988</v>
      </c>
      <c r="E5519" s="17" t="s">
        <v>1427</v>
      </c>
      <c r="F5519" s="20">
        <v>721610</v>
      </c>
    </row>
    <row r="5520" spans="1:6" x14ac:dyDescent="0.2">
      <c r="A5520">
        <f>IFERROR(VLOOKUP(C5520,'GASB Match'!$D$2:$F$6042,3,FALSE),"")</f>
        <v>3418040</v>
      </c>
      <c r="B5520" s="17">
        <v>2018</v>
      </c>
      <c r="C5520" s="17" t="s">
        <v>1325</v>
      </c>
      <c r="D5520" s="17">
        <v>988</v>
      </c>
      <c r="E5520" s="17" t="s">
        <v>1470</v>
      </c>
      <c r="F5520" s="20">
        <v>1591339</v>
      </c>
    </row>
    <row r="5521" spans="1:6" x14ac:dyDescent="0.2">
      <c r="A5521">
        <f>IFERROR(VLOOKUP(C5521,'GASB Match'!$D$2:$F$6042,3,FALSE),"")</f>
        <v>3418040</v>
      </c>
      <c r="B5521" s="17">
        <v>2019</v>
      </c>
      <c r="C5521" s="17" t="s">
        <v>1325</v>
      </c>
      <c r="D5521" s="17">
        <v>988</v>
      </c>
      <c r="E5521" s="17" t="s">
        <v>1470</v>
      </c>
      <c r="F5521" s="20">
        <v>2071694</v>
      </c>
    </row>
    <row r="5522" spans="1:6" ht="17" x14ac:dyDescent="0.2">
      <c r="A5522">
        <f>IFERROR(VLOOKUP(C5522,'GASB Match'!$D$2:$F$6042,3,FALSE),"")</f>
        <v>3418040</v>
      </c>
      <c r="B5522" s="17">
        <v>2020</v>
      </c>
      <c r="C5522" s="21" t="s">
        <v>1325</v>
      </c>
      <c r="D5522" s="17">
        <v>988</v>
      </c>
      <c r="E5522" s="17" t="s">
        <v>1470</v>
      </c>
      <c r="F5522" s="23">
        <v>2408842</v>
      </c>
    </row>
    <row r="5523" spans="1:6" ht="17" x14ac:dyDescent="0.2">
      <c r="A5523">
        <f>IFERROR(VLOOKUP(C5523,'GASB Match'!$D$2:$F$6042,3,FALSE),"")</f>
        <v>3418040</v>
      </c>
      <c r="B5523" s="17">
        <v>2021</v>
      </c>
      <c r="C5523" s="25" t="s">
        <v>1325</v>
      </c>
      <c r="D5523" s="17">
        <v>988</v>
      </c>
      <c r="E5523" s="17" t="s">
        <v>1470</v>
      </c>
      <c r="F5523" s="23">
        <v>3045362</v>
      </c>
    </row>
    <row r="5524" spans="1:6" ht="17" x14ac:dyDescent="0.2">
      <c r="A5524">
        <f>IFERROR(VLOOKUP(C5524,'GASB Match'!$D$2:$F$6042,3,FALSE),"")</f>
        <v>3418040</v>
      </c>
      <c r="B5524" s="17">
        <v>2022</v>
      </c>
      <c r="C5524" s="21" t="s">
        <v>1325</v>
      </c>
      <c r="D5524" s="17">
        <v>988</v>
      </c>
      <c r="E5524" s="17" t="s">
        <v>1470</v>
      </c>
      <c r="F5524" s="23">
        <v>4557492</v>
      </c>
    </row>
    <row r="5525" spans="1:6" ht="17" x14ac:dyDescent="0.2">
      <c r="A5525">
        <f>IFERROR(VLOOKUP(C5525,'GASB Match'!$D$2:$F$6042,3,FALSE),"")</f>
        <v>3418040</v>
      </c>
      <c r="B5525" s="17">
        <v>2023</v>
      </c>
      <c r="C5525" s="21" t="s">
        <v>1325</v>
      </c>
      <c r="D5525" s="17">
        <v>988</v>
      </c>
      <c r="E5525" s="17" t="s">
        <v>1470</v>
      </c>
      <c r="F5525" s="23">
        <v>4397128</v>
      </c>
    </row>
    <row r="5526" spans="1:6" x14ac:dyDescent="0.2">
      <c r="A5526">
        <f>IFERROR(VLOOKUP(C5526,'GASB Match'!$D$2:$F$6042,3,FALSE),"")</f>
        <v>3418040</v>
      </c>
      <c r="B5526" s="28">
        <v>2017</v>
      </c>
      <c r="C5526" s="29" t="s">
        <v>632</v>
      </c>
      <c r="D5526" s="17">
        <v>988</v>
      </c>
      <c r="E5526" s="17" t="s">
        <v>1427</v>
      </c>
      <c r="F5526" s="29">
        <v>1091717</v>
      </c>
    </row>
    <row r="5527" spans="1:6" x14ac:dyDescent="0.2">
      <c r="A5527" t="str">
        <f>IFERROR(VLOOKUP(C5527,'GASB Match'!$D$2:$F$6042,3,FALSE),"")</f>
        <v/>
      </c>
      <c r="B5527" s="17">
        <v>2015</v>
      </c>
      <c r="C5527" s="17" t="s">
        <v>1428</v>
      </c>
      <c r="D5527" s="17">
        <v>850</v>
      </c>
      <c r="E5527" s="17" t="s">
        <v>1427</v>
      </c>
      <c r="F5527" s="20">
        <v>35096</v>
      </c>
    </row>
    <row r="5528" spans="1:6" x14ac:dyDescent="0.2">
      <c r="A5528" t="str">
        <f>IFERROR(VLOOKUP(C5528,'GASB Match'!$D$2:$F$6042,3,FALSE),"")</f>
        <v/>
      </c>
      <c r="B5528" s="17">
        <v>2016</v>
      </c>
      <c r="C5528" s="17" t="s">
        <v>1428</v>
      </c>
      <c r="D5528" s="17">
        <v>850</v>
      </c>
      <c r="E5528" s="17" t="s">
        <v>1427</v>
      </c>
      <c r="F5528" s="20">
        <v>48922</v>
      </c>
    </row>
    <row r="5529" spans="1:6" x14ac:dyDescent="0.2">
      <c r="A5529" t="str">
        <f>IFERROR(VLOOKUP(C5529,'GASB Match'!$D$2:$F$6042,3,FALSE),"")</f>
        <v/>
      </c>
      <c r="B5529" s="17">
        <v>2018</v>
      </c>
      <c r="C5529" s="17" t="s">
        <v>1471</v>
      </c>
      <c r="D5529" s="17">
        <v>850</v>
      </c>
      <c r="E5529" s="17" t="s">
        <v>1470</v>
      </c>
      <c r="F5529" s="20">
        <v>47221</v>
      </c>
    </row>
    <row r="5530" spans="1:6" x14ac:dyDescent="0.2">
      <c r="A5530" t="str">
        <f>IFERROR(VLOOKUP(C5530,'GASB Match'!$D$2:$F$6042,3,FALSE),"")</f>
        <v/>
      </c>
      <c r="B5530" s="17">
        <v>2019</v>
      </c>
      <c r="C5530" s="17" t="s">
        <v>1471</v>
      </c>
      <c r="D5530" s="17">
        <v>850</v>
      </c>
      <c r="E5530" s="17" t="s">
        <v>1470</v>
      </c>
      <c r="F5530" s="20">
        <v>19422</v>
      </c>
    </row>
    <row r="5531" spans="1:6" x14ac:dyDescent="0.2">
      <c r="A5531" t="str">
        <f>IFERROR(VLOOKUP(C5531,'GASB Match'!$D$2:$F$6042,3,FALSE),"")</f>
        <v/>
      </c>
      <c r="B5531" s="28">
        <v>2017</v>
      </c>
      <c r="C5531" s="29" t="s">
        <v>1428</v>
      </c>
      <c r="D5531" s="17">
        <v>850</v>
      </c>
      <c r="E5531" s="17" t="s">
        <v>1427</v>
      </c>
      <c r="F5531" s="29">
        <v>45683</v>
      </c>
    </row>
    <row r="5532" spans="1:6" x14ac:dyDescent="0.2">
      <c r="A5532">
        <f>IFERROR(VLOOKUP(C5532,'GASB Match'!$D$2:$F$6042,3,FALSE),"")</f>
        <v>3400083</v>
      </c>
      <c r="B5532" s="17">
        <v>2015</v>
      </c>
      <c r="C5532" s="17" t="s">
        <v>633</v>
      </c>
      <c r="D5532" s="17">
        <v>852</v>
      </c>
      <c r="E5532" s="17" t="s">
        <v>1427</v>
      </c>
      <c r="F5532" s="20">
        <v>44474</v>
      </c>
    </row>
    <row r="5533" spans="1:6" x14ac:dyDescent="0.2">
      <c r="A5533">
        <f>IFERROR(VLOOKUP(C5533,'GASB Match'!$D$2:$F$6042,3,FALSE),"")</f>
        <v>3400083</v>
      </c>
      <c r="B5533" s="17">
        <v>2016</v>
      </c>
      <c r="C5533" s="17" t="s">
        <v>633</v>
      </c>
      <c r="D5533" s="17">
        <v>852</v>
      </c>
      <c r="E5533" s="17" t="s">
        <v>1427</v>
      </c>
      <c r="F5533" s="20">
        <v>117538</v>
      </c>
    </row>
    <row r="5534" spans="1:6" x14ac:dyDescent="0.2">
      <c r="A5534">
        <f>IFERROR(VLOOKUP(C5534,'GASB Match'!$D$2:$F$6042,3,FALSE),"")</f>
        <v>3400083</v>
      </c>
      <c r="B5534" s="17">
        <v>2018</v>
      </c>
      <c r="C5534" s="17" t="s">
        <v>1326</v>
      </c>
      <c r="D5534" s="17">
        <v>852</v>
      </c>
      <c r="E5534" s="17" t="s">
        <v>1470</v>
      </c>
      <c r="F5534" s="20">
        <v>191307</v>
      </c>
    </row>
    <row r="5535" spans="1:6" x14ac:dyDescent="0.2">
      <c r="A5535">
        <f>IFERROR(VLOOKUP(C5535,'GASB Match'!$D$2:$F$6042,3,FALSE),"")</f>
        <v>3400083</v>
      </c>
      <c r="B5535" s="17">
        <v>2019</v>
      </c>
      <c r="C5535" s="17" t="s">
        <v>1326</v>
      </c>
      <c r="D5535" s="17">
        <v>852</v>
      </c>
      <c r="E5535" s="17" t="s">
        <v>1470</v>
      </c>
      <c r="F5535" s="20">
        <v>258986</v>
      </c>
    </row>
    <row r="5536" spans="1:6" ht="17" x14ac:dyDescent="0.2">
      <c r="A5536">
        <f>IFERROR(VLOOKUP(C5536,'GASB Match'!$D$2:$F$6042,3,FALSE),"")</f>
        <v>3400083</v>
      </c>
      <c r="B5536" s="17">
        <v>2020</v>
      </c>
      <c r="C5536" s="21" t="s">
        <v>1326</v>
      </c>
      <c r="D5536" s="17">
        <v>852</v>
      </c>
      <c r="E5536" s="17" t="s">
        <v>1470</v>
      </c>
      <c r="F5536" s="23">
        <v>270721</v>
      </c>
    </row>
    <row r="5537" spans="1:6" ht="17" x14ac:dyDescent="0.2">
      <c r="A5537">
        <f>IFERROR(VLOOKUP(C5537,'GASB Match'!$D$2:$F$6042,3,FALSE),"")</f>
        <v>3400083</v>
      </c>
      <c r="B5537" s="17">
        <v>2021</v>
      </c>
      <c r="C5537" s="25" t="s">
        <v>1326</v>
      </c>
      <c r="D5537" s="17">
        <v>852</v>
      </c>
      <c r="E5537" s="17" t="s">
        <v>1470</v>
      </c>
      <c r="F5537" s="23">
        <v>305163</v>
      </c>
    </row>
    <row r="5538" spans="1:6" ht="17" x14ac:dyDescent="0.2">
      <c r="A5538">
        <f>IFERROR(VLOOKUP(C5538,'GASB Match'!$D$2:$F$6042,3,FALSE),"")</f>
        <v>3400083</v>
      </c>
      <c r="B5538" s="17">
        <v>2022</v>
      </c>
      <c r="C5538" s="21" t="s">
        <v>1326</v>
      </c>
      <c r="D5538" s="17">
        <v>852</v>
      </c>
      <c r="E5538" s="17" t="s">
        <v>1470</v>
      </c>
      <c r="F5538" s="23">
        <v>291619</v>
      </c>
    </row>
    <row r="5539" spans="1:6" ht="17" x14ac:dyDescent="0.2">
      <c r="A5539">
        <f>IFERROR(VLOOKUP(C5539,'GASB Match'!$D$2:$F$6042,3,FALSE),"")</f>
        <v>3400083</v>
      </c>
      <c r="B5539" s="17">
        <v>2023</v>
      </c>
      <c r="C5539" s="21" t="s">
        <v>1326</v>
      </c>
      <c r="D5539" s="17">
        <v>852</v>
      </c>
      <c r="E5539" s="17" t="s">
        <v>1470</v>
      </c>
      <c r="F5539" s="23">
        <v>314763</v>
      </c>
    </row>
    <row r="5540" spans="1:6" x14ac:dyDescent="0.2">
      <c r="A5540">
        <f>IFERROR(VLOOKUP(C5540,'GASB Match'!$D$2:$F$6042,3,FALSE),"")</f>
        <v>3400083</v>
      </c>
      <c r="B5540" s="28">
        <v>2017</v>
      </c>
      <c r="C5540" s="29" t="s">
        <v>633</v>
      </c>
      <c r="D5540" s="17">
        <v>852</v>
      </c>
      <c r="E5540" s="17" t="s">
        <v>1427</v>
      </c>
      <c r="F5540" s="29">
        <v>144280</v>
      </c>
    </row>
    <row r="5541" spans="1:6" x14ac:dyDescent="0.2">
      <c r="A5541">
        <f>IFERROR(VLOOKUP(C5541,'GASB Match'!$D$2:$F$6042,3,FALSE),"")</f>
        <v>3416500</v>
      </c>
      <c r="B5541" s="17">
        <v>2015</v>
      </c>
      <c r="C5541" s="17" t="s">
        <v>634</v>
      </c>
      <c r="D5541" s="17">
        <v>846</v>
      </c>
      <c r="E5541" s="17" t="s">
        <v>1427</v>
      </c>
      <c r="F5541" s="20">
        <v>2752240</v>
      </c>
    </row>
    <row r="5542" spans="1:6" x14ac:dyDescent="0.2">
      <c r="A5542">
        <f>IFERROR(VLOOKUP(C5542,'GASB Match'!$D$2:$F$6042,3,FALSE),"")</f>
        <v>3416500</v>
      </c>
      <c r="B5542" s="17">
        <v>2016</v>
      </c>
      <c r="C5542" s="17" t="s">
        <v>634</v>
      </c>
      <c r="D5542" s="17">
        <v>846</v>
      </c>
      <c r="E5542" s="17" t="s">
        <v>1427</v>
      </c>
      <c r="F5542" s="20">
        <v>4199670</v>
      </c>
    </row>
    <row r="5543" spans="1:6" x14ac:dyDescent="0.2">
      <c r="A5543">
        <f>IFERROR(VLOOKUP(C5543,'GASB Match'!$D$2:$F$6042,3,FALSE),"")</f>
        <v>3416500</v>
      </c>
      <c r="B5543" s="17">
        <v>2018</v>
      </c>
      <c r="C5543" s="17" t="s">
        <v>1327</v>
      </c>
      <c r="D5543" s="17">
        <v>846</v>
      </c>
      <c r="E5543" s="17" t="s">
        <v>1470</v>
      </c>
      <c r="F5543" s="20">
        <v>8028215</v>
      </c>
    </row>
    <row r="5544" spans="1:6" x14ac:dyDescent="0.2">
      <c r="A5544">
        <f>IFERROR(VLOOKUP(C5544,'GASB Match'!$D$2:$F$6042,3,FALSE),"")</f>
        <v>3416500</v>
      </c>
      <c r="B5544" s="17">
        <v>2019</v>
      </c>
      <c r="C5544" s="17" t="s">
        <v>1327</v>
      </c>
      <c r="D5544" s="17">
        <v>846</v>
      </c>
      <c r="E5544" s="17" t="s">
        <v>1470</v>
      </c>
      <c r="F5544" s="20">
        <v>10824853</v>
      </c>
    </row>
    <row r="5545" spans="1:6" ht="17" x14ac:dyDescent="0.2">
      <c r="A5545">
        <f>IFERROR(VLOOKUP(C5545,'GASB Match'!$D$2:$F$6042,3,FALSE),"")</f>
        <v>3416500</v>
      </c>
      <c r="B5545" s="17">
        <v>2020</v>
      </c>
      <c r="C5545" s="21" t="s">
        <v>1327</v>
      </c>
      <c r="D5545" s="17">
        <v>846</v>
      </c>
      <c r="E5545" s="17" t="s">
        <v>1470</v>
      </c>
      <c r="F5545" s="23">
        <v>12309184</v>
      </c>
    </row>
    <row r="5546" spans="1:6" ht="17" x14ac:dyDescent="0.2">
      <c r="A5546">
        <f>IFERROR(VLOOKUP(C5546,'GASB Match'!$D$2:$F$6042,3,FALSE),"")</f>
        <v>3416500</v>
      </c>
      <c r="B5546" s="17">
        <v>2021</v>
      </c>
      <c r="C5546" s="25" t="s">
        <v>1327</v>
      </c>
      <c r="D5546" s="17">
        <v>846</v>
      </c>
      <c r="E5546" s="17" t="s">
        <v>1470</v>
      </c>
      <c r="F5546" s="23">
        <v>15171409</v>
      </c>
    </row>
    <row r="5547" spans="1:6" ht="17" x14ac:dyDescent="0.2">
      <c r="A5547">
        <f>IFERROR(VLOOKUP(C5547,'GASB Match'!$D$2:$F$6042,3,FALSE),"")</f>
        <v>3416500</v>
      </c>
      <c r="B5547" s="17">
        <v>2022</v>
      </c>
      <c r="C5547" s="21" t="s">
        <v>1327</v>
      </c>
      <c r="D5547" s="17">
        <v>846</v>
      </c>
      <c r="E5547" s="17" t="s">
        <v>1470</v>
      </c>
      <c r="F5547" s="23">
        <v>21895554</v>
      </c>
    </row>
    <row r="5548" spans="1:6" ht="17" x14ac:dyDescent="0.2">
      <c r="A5548">
        <f>IFERROR(VLOOKUP(C5548,'GASB Match'!$D$2:$F$6042,3,FALSE),"")</f>
        <v>3416500</v>
      </c>
      <c r="B5548" s="17">
        <v>2023</v>
      </c>
      <c r="C5548" s="21" t="s">
        <v>1327</v>
      </c>
      <c r="D5548" s="17">
        <v>846</v>
      </c>
      <c r="E5548" s="17" t="s">
        <v>1470</v>
      </c>
      <c r="F5548" s="23">
        <v>21020044</v>
      </c>
    </row>
    <row r="5549" spans="1:6" x14ac:dyDescent="0.2">
      <c r="A5549">
        <f>IFERROR(VLOOKUP(C5549,'GASB Match'!$D$2:$F$6042,3,FALSE),"")</f>
        <v>3416500</v>
      </c>
      <c r="B5549" s="28">
        <v>2017</v>
      </c>
      <c r="C5549" s="29" t="s">
        <v>634</v>
      </c>
      <c r="D5549" s="17">
        <v>846</v>
      </c>
      <c r="E5549" s="17" t="s">
        <v>1427</v>
      </c>
      <c r="F5549" s="29">
        <v>5821344</v>
      </c>
    </row>
    <row r="5550" spans="1:6" x14ac:dyDescent="0.2">
      <c r="A5550">
        <f>IFERROR(VLOOKUP(C5550,'GASB Match'!$D$2:$F$6042,3,FALSE),"")</f>
        <v>3416440</v>
      </c>
      <c r="B5550" s="17">
        <v>2015</v>
      </c>
      <c r="C5550" s="17" t="s">
        <v>353</v>
      </c>
      <c r="D5550" s="17">
        <v>9036</v>
      </c>
      <c r="E5550" s="17" t="s">
        <v>1415</v>
      </c>
      <c r="F5550" s="20">
        <v>197606</v>
      </c>
    </row>
    <row r="5551" spans="1:6" x14ac:dyDescent="0.2">
      <c r="A5551">
        <f>IFERROR(VLOOKUP(C5551,'GASB Match'!$D$2:$F$6042,3,FALSE),"")</f>
        <v>3416440</v>
      </c>
      <c r="B5551" s="17">
        <v>2016</v>
      </c>
      <c r="C5551" s="17" t="s">
        <v>353</v>
      </c>
      <c r="D5551" s="17">
        <v>9036</v>
      </c>
      <c r="E5551" s="17" t="s">
        <v>1415</v>
      </c>
      <c r="F5551" s="20">
        <v>285964</v>
      </c>
    </row>
    <row r="5552" spans="1:6" x14ac:dyDescent="0.2">
      <c r="A5552">
        <f>IFERROR(VLOOKUP(C5552,'GASB Match'!$D$2:$F$6042,3,FALSE),"")</f>
        <v>3416440</v>
      </c>
      <c r="B5552" s="17">
        <v>2018</v>
      </c>
      <c r="C5552" s="17" t="s">
        <v>1044</v>
      </c>
      <c r="D5552" s="17">
        <v>9036</v>
      </c>
      <c r="E5552" s="17" t="s">
        <v>1458</v>
      </c>
      <c r="F5552" s="20">
        <v>539622</v>
      </c>
    </row>
    <row r="5553" spans="1:6" x14ac:dyDescent="0.2">
      <c r="A5553">
        <f>IFERROR(VLOOKUP(C5553,'GASB Match'!$D$2:$F$6042,3,FALSE),"")</f>
        <v>3416440</v>
      </c>
      <c r="B5553" s="17">
        <v>2019</v>
      </c>
      <c r="C5553" s="17" t="s">
        <v>1044</v>
      </c>
      <c r="D5553" s="17">
        <v>9036</v>
      </c>
      <c r="E5553" s="17" t="s">
        <v>1458</v>
      </c>
      <c r="F5553" s="20">
        <v>755040</v>
      </c>
    </row>
    <row r="5554" spans="1:6" ht="17" x14ac:dyDescent="0.2">
      <c r="A5554">
        <f>IFERROR(VLOOKUP(C5554,'GASB Match'!$D$2:$F$6042,3,FALSE),"")</f>
        <v>3416440</v>
      </c>
      <c r="B5554" s="17">
        <v>2020</v>
      </c>
      <c r="C5554" s="21" t="s">
        <v>1044</v>
      </c>
      <c r="D5554" s="17">
        <v>9036</v>
      </c>
      <c r="E5554" s="17" t="s">
        <v>1458</v>
      </c>
      <c r="F5554" s="23">
        <v>851111</v>
      </c>
    </row>
    <row r="5555" spans="1:6" ht="17" x14ac:dyDescent="0.2">
      <c r="A5555">
        <f>IFERROR(VLOOKUP(C5555,'GASB Match'!$D$2:$F$6042,3,FALSE),"")</f>
        <v>3416440</v>
      </c>
      <c r="B5555" s="17">
        <v>2021</v>
      </c>
      <c r="C5555" s="25" t="s">
        <v>1044</v>
      </c>
      <c r="D5555" s="17">
        <v>9036</v>
      </c>
      <c r="E5555" s="17" t="s">
        <v>1458</v>
      </c>
      <c r="F5555" s="23">
        <v>1064405</v>
      </c>
    </row>
    <row r="5556" spans="1:6" ht="17" x14ac:dyDescent="0.2">
      <c r="A5556">
        <f>IFERROR(VLOOKUP(C5556,'GASB Match'!$D$2:$F$6042,3,FALSE),"")</f>
        <v>3416440</v>
      </c>
      <c r="B5556" s="17">
        <v>2022</v>
      </c>
      <c r="C5556" s="21" t="s">
        <v>1044</v>
      </c>
      <c r="D5556" s="17">
        <v>9036</v>
      </c>
      <c r="E5556" s="17" t="s">
        <v>1458</v>
      </c>
      <c r="F5556" s="23">
        <v>1445975</v>
      </c>
    </row>
    <row r="5557" spans="1:6" ht="17" x14ac:dyDescent="0.2">
      <c r="A5557">
        <f>IFERROR(VLOOKUP(C5557,'GASB Match'!$D$2:$F$6042,3,FALSE),"")</f>
        <v>3416440</v>
      </c>
      <c r="B5557" s="17">
        <v>2023</v>
      </c>
      <c r="C5557" s="21" t="s">
        <v>1044</v>
      </c>
      <c r="D5557" s="17">
        <v>9036</v>
      </c>
      <c r="E5557" s="17" t="s">
        <v>1458</v>
      </c>
      <c r="F5557" s="23">
        <v>1421539</v>
      </c>
    </row>
    <row r="5558" spans="1:6" x14ac:dyDescent="0.2">
      <c r="A5558">
        <f>IFERROR(VLOOKUP(C5558,'GASB Match'!$D$2:$F$6042,3,FALSE),"")</f>
        <v>3416440</v>
      </c>
      <c r="B5558" s="28">
        <v>2017</v>
      </c>
      <c r="C5558" s="29" t="s">
        <v>353</v>
      </c>
      <c r="D5558" s="17">
        <v>9036</v>
      </c>
      <c r="E5558" s="17" t="s">
        <v>1415</v>
      </c>
      <c r="F5558" s="29">
        <v>410341</v>
      </c>
    </row>
    <row r="5559" spans="1:6" x14ac:dyDescent="0.2">
      <c r="A5559">
        <f>IFERROR(VLOOKUP(C5559,'GASB Match'!$D$2:$F$6042,3,FALSE),"")</f>
        <v>3400051</v>
      </c>
      <c r="B5559" s="17">
        <v>2015</v>
      </c>
      <c r="C5559" s="17" t="s">
        <v>608</v>
      </c>
      <c r="D5559" s="17">
        <v>798</v>
      </c>
      <c r="E5559" s="17" t="s">
        <v>1426</v>
      </c>
      <c r="F5559" s="20">
        <v>60735</v>
      </c>
    </row>
    <row r="5560" spans="1:6" x14ac:dyDescent="0.2">
      <c r="A5560">
        <f>IFERROR(VLOOKUP(C5560,'GASB Match'!$D$2:$F$6042,3,FALSE),"")</f>
        <v>3400051</v>
      </c>
      <c r="B5560" s="17">
        <v>2016</v>
      </c>
      <c r="C5560" s="17" t="s">
        <v>608</v>
      </c>
      <c r="D5560" s="17">
        <v>798</v>
      </c>
      <c r="E5560" s="17" t="s">
        <v>1426</v>
      </c>
      <c r="F5560" s="20">
        <v>86539</v>
      </c>
    </row>
    <row r="5561" spans="1:6" x14ac:dyDescent="0.2">
      <c r="A5561">
        <f>IFERROR(VLOOKUP(C5561,'GASB Match'!$D$2:$F$6042,3,FALSE),"")</f>
        <v>3400051</v>
      </c>
      <c r="B5561" s="17">
        <v>2018</v>
      </c>
      <c r="C5561" s="17" t="s">
        <v>1301</v>
      </c>
      <c r="D5561" s="17">
        <v>798</v>
      </c>
      <c r="E5561" s="17" t="s">
        <v>1469</v>
      </c>
      <c r="F5561" s="20">
        <v>196803</v>
      </c>
    </row>
    <row r="5562" spans="1:6" x14ac:dyDescent="0.2">
      <c r="A5562">
        <f>IFERROR(VLOOKUP(C5562,'GASB Match'!$D$2:$F$6042,3,FALSE),"")</f>
        <v>3400051</v>
      </c>
      <c r="B5562" s="17">
        <v>2019</v>
      </c>
      <c r="C5562" s="17" t="s">
        <v>1301</v>
      </c>
      <c r="D5562" s="17">
        <v>798</v>
      </c>
      <c r="E5562" s="17" t="s">
        <v>1469</v>
      </c>
      <c r="F5562" s="20">
        <v>279662</v>
      </c>
    </row>
    <row r="5563" spans="1:6" ht="17" x14ac:dyDescent="0.2">
      <c r="A5563">
        <f>IFERROR(VLOOKUP(C5563,'GASB Match'!$D$2:$F$6042,3,FALSE),"")</f>
        <v>3400051</v>
      </c>
      <c r="B5563" s="17">
        <v>2020</v>
      </c>
      <c r="C5563" s="21" t="s">
        <v>1301</v>
      </c>
      <c r="D5563" s="17">
        <v>798</v>
      </c>
      <c r="E5563" s="17" t="s">
        <v>1469</v>
      </c>
      <c r="F5563" s="23">
        <v>309108</v>
      </c>
    </row>
    <row r="5564" spans="1:6" ht="17" x14ac:dyDescent="0.2">
      <c r="A5564">
        <f>IFERROR(VLOOKUP(C5564,'GASB Match'!$D$2:$F$6042,3,FALSE),"")</f>
        <v>3400051</v>
      </c>
      <c r="B5564" s="17">
        <v>2021</v>
      </c>
      <c r="C5564" s="25" t="s">
        <v>1301</v>
      </c>
      <c r="D5564" s="17">
        <v>798</v>
      </c>
      <c r="E5564" s="17" t="s">
        <v>1469</v>
      </c>
      <c r="F5564" s="23">
        <v>411018</v>
      </c>
    </row>
    <row r="5565" spans="1:6" ht="17" x14ac:dyDescent="0.2">
      <c r="A5565">
        <f>IFERROR(VLOOKUP(C5565,'GASB Match'!$D$2:$F$6042,3,FALSE),"")</f>
        <v>3400051</v>
      </c>
      <c r="B5565" s="17">
        <v>2022</v>
      </c>
      <c r="C5565" s="21" t="s">
        <v>1301</v>
      </c>
      <c r="D5565" s="17">
        <v>798</v>
      </c>
      <c r="E5565" s="17" t="s">
        <v>1469</v>
      </c>
      <c r="F5565" s="23">
        <v>592466</v>
      </c>
    </row>
    <row r="5566" spans="1:6" ht="17" x14ac:dyDescent="0.2">
      <c r="A5566">
        <f>IFERROR(VLOOKUP(C5566,'GASB Match'!$D$2:$F$6042,3,FALSE),"")</f>
        <v>3400051</v>
      </c>
      <c r="B5566" s="17">
        <v>2023</v>
      </c>
      <c r="C5566" s="21" t="s">
        <v>1301</v>
      </c>
      <c r="D5566" s="17">
        <v>798</v>
      </c>
      <c r="E5566" s="17" t="s">
        <v>1469</v>
      </c>
      <c r="F5566" s="23">
        <v>570633</v>
      </c>
    </row>
    <row r="5567" spans="1:6" x14ac:dyDescent="0.2">
      <c r="A5567">
        <f>IFERROR(VLOOKUP(C5567,'GASB Match'!$D$2:$F$6042,3,FALSE),"")</f>
        <v>3400051</v>
      </c>
      <c r="B5567" s="28">
        <v>2017</v>
      </c>
      <c r="C5567" s="29" t="s">
        <v>608</v>
      </c>
      <c r="D5567" s="17">
        <v>798</v>
      </c>
      <c r="E5567" s="17" t="s">
        <v>1426</v>
      </c>
      <c r="F5567" s="29">
        <v>121785</v>
      </c>
    </row>
    <row r="5568" spans="1:6" x14ac:dyDescent="0.2">
      <c r="A5568">
        <f>IFERROR(VLOOKUP(C5568,'GASB Match'!$D$2:$F$6042,3,FALSE),"")</f>
        <v>3400073</v>
      </c>
      <c r="B5568" s="17">
        <v>2015</v>
      </c>
      <c r="C5568" s="17" t="s">
        <v>322</v>
      </c>
      <c r="D5568" s="17">
        <v>8091</v>
      </c>
      <c r="E5568" s="17" t="s">
        <v>1413</v>
      </c>
      <c r="F5568" s="20">
        <v>146111</v>
      </c>
    </row>
    <row r="5569" spans="1:6" x14ac:dyDescent="0.2">
      <c r="A5569">
        <f>IFERROR(VLOOKUP(C5569,'GASB Match'!$D$2:$F$6042,3,FALSE),"")</f>
        <v>3400073</v>
      </c>
      <c r="B5569" s="17">
        <v>2016</v>
      </c>
      <c r="C5569" s="17" t="s">
        <v>322</v>
      </c>
      <c r="D5569" s="17">
        <v>8091</v>
      </c>
      <c r="E5569" s="17" t="s">
        <v>1413</v>
      </c>
      <c r="F5569" s="20">
        <v>196506</v>
      </c>
    </row>
    <row r="5570" spans="1:6" x14ac:dyDescent="0.2">
      <c r="A5570">
        <f>IFERROR(VLOOKUP(C5570,'GASB Match'!$D$2:$F$6042,3,FALSE),"")</f>
        <v>3400073</v>
      </c>
      <c r="B5570" s="17">
        <v>2018</v>
      </c>
      <c r="C5570" s="17" t="s">
        <v>1015</v>
      </c>
      <c r="D5570" s="17">
        <v>8091</v>
      </c>
      <c r="E5570" s="17" t="s">
        <v>1456</v>
      </c>
      <c r="F5570" s="20">
        <v>397175</v>
      </c>
    </row>
    <row r="5571" spans="1:6" x14ac:dyDescent="0.2">
      <c r="A5571">
        <f>IFERROR(VLOOKUP(C5571,'GASB Match'!$D$2:$F$6042,3,FALSE),"")</f>
        <v>3400073</v>
      </c>
      <c r="B5571" s="17">
        <v>2019</v>
      </c>
      <c r="C5571" s="17" t="s">
        <v>1015</v>
      </c>
      <c r="D5571" s="17">
        <v>8091</v>
      </c>
      <c r="E5571" s="17" t="s">
        <v>1456</v>
      </c>
      <c r="F5571" s="20">
        <v>566169</v>
      </c>
    </row>
    <row r="5572" spans="1:6" ht="17" x14ac:dyDescent="0.2">
      <c r="A5572">
        <f>IFERROR(VLOOKUP(C5572,'GASB Match'!$D$2:$F$6042,3,FALSE),"")</f>
        <v>3400073</v>
      </c>
      <c r="B5572" s="17">
        <v>2020</v>
      </c>
      <c r="C5572" s="21" t="s">
        <v>1015</v>
      </c>
      <c r="D5572" s="17">
        <v>8091</v>
      </c>
      <c r="E5572" s="17" t="s">
        <v>1456</v>
      </c>
      <c r="F5572" s="23">
        <v>580416</v>
      </c>
    </row>
    <row r="5573" spans="1:6" ht="17" x14ac:dyDescent="0.2">
      <c r="A5573">
        <f>IFERROR(VLOOKUP(C5573,'GASB Match'!$D$2:$F$6042,3,FALSE),"")</f>
        <v>3400073</v>
      </c>
      <c r="B5573" s="17">
        <v>2021</v>
      </c>
      <c r="C5573" s="25" t="s">
        <v>1015</v>
      </c>
      <c r="D5573" s="17">
        <v>8091</v>
      </c>
      <c r="E5573" s="17" t="s">
        <v>1456</v>
      </c>
      <c r="F5573" s="23">
        <v>729740</v>
      </c>
    </row>
    <row r="5574" spans="1:6" ht="17" x14ac:dyDescent="0.2">
      <c r="A5574">
        <f>IFERROR(VLOOKUP(C5574,'GASB Match'!$D$2:$F$6042,3,FALSE),"")</f>
        <v>3400073</v>
      </c>
      <c r="B5574" s="17">
        <v>2022</v>
      </c>
      <c r="C5574" s="21" t="s">
        <v>1015</v>
      </c>
      <c r="D5574" s="17">
        <v>8091</v>
      </c>
      <c r="E5574" s="17" t="s">
        <v>1456</v>
      </c>
      <c r="F5574" s="23">
        <v>880336</v>
      </c>
    </row>
    <row r="5575" spans="1:6" ht="17" x14ac:dyDescent="0.2">
      <c r="A5575">
        <f>IFERROR(VLOOKUP(C5575,'GASB Match'!$D$2:$F$6042,3,FALSE),"")</f>
        <v>3400073</v>
      </c>
      <c r="B5575" s="17">
        <v>2023</v>
      </c>
      <c r="C5575" s="21" t="s">
        <v>1015</v>
      </c>
      <c r="D5575" s="17">
        <v>8091</v>
      </c>
      <c r="E5575" s="17" t="s">
        <v>1456</v>
      </c>
      <c r="F5575" s="23">
        <v>1081659</v>
      </c>
    </row>
    <row r="5576" spans="1:6" x14ac:dyDescent="0.2">
      <c r="A5576">
        <f>IFERROR(VLOOKUP(C5576,'GASB Match'!$D$2:$F$6042,3,FALSE),"")</f>
        <v>3400073</v>
      </c>
      <c r="B5576" s="28">
        <v>2017</v>
      </c>
      <c r="C5576" s="29" t="s">
        <v>322</v>
      </c>
      <c r="D5576" s="17">
        <v>8091</v>
      </c>
      <c r="E5576" s="17" t="s">
        <v>1413</v>
      </c>
      <c r="F5576" s="29">
        <v>276818</v>
      </c>
    </row>
    <row r="5577" spans="1:6" x14ac:dyDescent="0.2">
      <c r="A5577">
        <f>IFERROR(VLOOKUP(C5577,'GASB Match'!$D$2:$F$6042,3,FALSE),"")</f>
        <v>3400084</v>
      </c>
      <c r="B5577" s="17">
        <v>2015</v>
      </c>
      <c r="C5577" s="17" t="s">
        <v>267</v>
      </c>
      <c r="D5577" s="17">
        <v>6095</v>
      </c>
      <c r="E5577" s="17" t="s">
        <v>1411</v>
      </c>
      <c r="F5577" s="20">
        <v>145528</v>
      </c>
    </row>
    <row r="5578" spans="1:6" x14ac:dyDescent="0.2">
      <c r="A5578">
        <f>IFERROR(VLOOKUP(C5578,'GASB Match'!$D$2:$F$6042,3,FALSE),"")</f>
        <v>3400084</v>
      </c>
      <c r="B5578" s="17">
        <v>2016</v>
      </c>
      <c r="C5578" s="17" t="s">
        <v>267</v>
      </c>
      <c r="D5578" s="17">
        <v>6095</v>
      </c>
      <c r="E5578" s="17" t="s">
        <v>1411</v>
      </c>
      <c r="F5578" s="20">
        <v>3615</v>
      </c>
    </row>
    <row r="5579" spans="1:6" x14ac:dyDescent="0.2">
      <c r="A5579">
        <f>IFERROR(VLOOKUP(C5579,'GASB Match'!$D$2:$F$6042,3,FALSE),"")</f>
        <v>3400084</v>
      </c>
      <c r="B5579" s="17">
        <v>2018</v>
      </c>
      <c r="C5579" s="17" t="s">
        <v>957</v>
      </c>
      <c r="D5579" s="17">
        <v>6095</v>
      </c>
      <c r="E5579" s="17" t="s">
        <v>1452</v>
      </c>
      <c r="F5579" s="20">
        <v>514288</v>
      </c>
    </row>
    <row r="5580" spans="1:6" x14ac:dyDescent="0.2">
      <c r="A5580">
        <f>IFERROR(VLOOKUP(C5580,'GASB Match'!$D$2:$F$6042,3,FALSE),"")</f>
        <v>3400084</v>
      </c>
      <c r="B5580" s="17">
        <v>2019</v>
      </c>
      <c r="C5580" s="17" t="s">
        <v>957</v>
      </c>
      <c r="D5580" s="17">
        <v>6095</v>
      </c>
      <c r="E5580" s="17" t="s">
        <v>1452</v>
      </c>
      <c r="F5580" s="20">
        <v>601601</v>
      </c>
    </row>
    <row r="5581" spans="1:6" ht="17" x14ac:dyDescent="0.2">
      <c r="A5581">
        <f>IFERROR(VLOOKUP(C5581,'GASB Match'!$D$2:$F$6042,3,FALSE),"")</f>
        <v>3400084</v>
      </c>
      <c r="B5581" s="17">
        <v>2020</v>
      </c>
      <c r="C5581" s="21" t="s">
        <v>957</v>
      </c>
      <c r="D5581" s="17">
        <v>6095</v>
      </c>
      <c r="E5581" s="17" t="s">
        <v>1452</v>
      </c>
      <c r="F5581" s="23">
        <v>852068</v>
      </c>
    </row>
    <row r="5582" spans="1:6" ht="17" x14ac:dyDescent="0.2">
      <c r="A5582">
        <f>IFERROR(VLOOKUP(C5582,'GASB Match'!$D$2:$F$6042,3,FALSE),"")</f>
        <v>3400084</v>
      </c>
      <c r="B5582" s="17">
        <v>2021</v>
      </c>
      <c r="C5582" s="25" t="s">
        <v>957</v>
      </c>
      <c r="D5582" s="17">
        <v>6095</v>
      </c>
      <c r="E5582" s="17" t="s">
        <v>1452</v>
      </c>
      <c r="F5582" s="23">
        <v>1006415</v>
      </c>
    </row>
    <row r="5583" spans="1:6" ht="17" x14ac:dyDescent="0.2">
      <c r="A5583">
        <f>IFERROR(VLOOKUP(C5583,'GASB Match'!$D$2:$F$6042,3,FALSE),"")</f>
        <v>3400084</v>
      </c>
      <c r="B5583" s="17">
        <v>2022</v>
      </c>
      <c r="C5583" s="21" t="s">
        <v>957</v>
      </c>
      <c r="D5583" s="17">
        <v>6095</v>
      </c>
      <c r="E5583" s="17" t="s">
        <v>1452</v>
      </c>
      <c r="F5583" s="23">
        <v>1007574</v>
      </c>
    </row>
    <row r="5584" spans="1:6" ht="17" x14ac:dyDescent="0.2">
      <c r="A5584">
        <f>IFERROR(VLOOKUP(C5584,'GASB Match'!$D$2:$F$6042,3,FALSE),"")</f>
        <v>3400084</v>
      </c>
      <c r="B5584" s="17">
        <v>2023</v>
      </c>
      <c r="C5584" s="21" t="s">
        <v>957</v>
      </c>
      <c r="D5584" s="17">
        <v>6095</v>
      </c>
      <c r="E5584" s="17" t="s">
        <v>1452</v>
      </c>
      <c r="F5584" s="23">
        <v>1454763</v>
      </c>
    </row>
    <row r="5585" spans="1:6" x14ac:dyDescent="0.2">
      <c r="A5585">
        <f>IFERROR(VLOOKUP(C5585,'GASB Match'!$D$2:$F$6042,3,FALSE),"")</f>
        <v>3400084</v>
      </c>
      <c r="B5585" s="28">
        <v>2017</v>
      </c>
      <c r="C5585" s="29" t="s">
        <v>267</v>
      </c>
      <c r="D5585" s="17">
        <v>6095</v>
      </c>
      <c r="E5585" s="17" t="s">
        <v>1411</v>
      </c>
      <c r="F5585" s="29">
        <v>459208</v>
      </c>
    </row>
    <row r="5586" spans="1:6" x14ac:dyDescent="0.2">
      <c r="A5586">
        <f>IFERROR(VLOOKUP(C5586,'GASB Match'!$D$2:$F$6042,3,FALSE),"")</f>
        <v>3416530</v>
      </c>
      <c r="B5586" s="17">
        <v>2015</v>
      </c>
      <c r="C5586" s="17" t="s">
        <v>226</v>
      </c>
      <c r="D5586" s="17">
        <v>5092</v>
      </c>
      <c r="E5586" s="17" t="s">
        <v>1408</v>
      </c>
      <c r="F5586" s="20">
        <v>328901</v>
      </c>
    </row>
    <row r="5587" spans="1:6" x14ac:dyDescent="0.2">
      <c r="A5587">
        <f>IFERROR(VLOOKUP(C5587,'GASB Match'!$D$2:$F$6042,3,FALSE),"")</f>
        <v>3416530</v>
      </c>
      <c r="B5587" s="17">
        <v>2016</v>
      </c>
      <c r="C5587" s="17" t="s">
        <v>226</v>
      </c>
      <c r="D5587" s="17">
        <v>5092</v>
      </c>
      <c r="E5587" s="17" t="s">
        <v>1408</v>
      </c>
      <c r="F5587" s="20">
        <v>458685</v>
      </c>
    </row>
    <row r="5588" spans="1:6" x14ac:dyDescent="0.2">
      <c r="A5588">
        <f>IFERROR(VLOOKUP(C5588,'GASB Match'!$D$2:$F$6042,3,FALSE),"")</f>
        <v>3416530</v>
      </c>
      <c r="B5588" s="17">
        <v>2018</v>
      </c>
      <c r="C5588" s="17" t="s">
        <v>912</v>
      </c>
      <c r="D5588" s="17">
        <v>5092</v>
      </c>
      <c r="E5588" s="17" t="s">
        <v>1449</v>
      </c>
      <c r="F5588" s="20">
        <v>917887</v>
      </c>
    </row>
    <row r="5589" spans="1:6" x14ac:dyDescent="0.2">
      <c r="A5589">
        <f>IFERROR(VLOOKUP(C5589,'GASB Match'!$D$2:$F$6042,3,FALSE),"")</f>
        <v>3416530</v>
      </c>
      <c r="B5589" s="17">
        <v>2019</v>
      </c>
      <c r="C5589" s="17" t="s">
        <v>912</v>
      </c>
      <c r="D5589" s="17">
        <v>5092</v>
      </c>
      <c r="E5589" s="17" t="s">
        <v>1449</v>
      </c>
      <c r="F5589" s="20">
        <v>1223175</v>
      </c>
    </row>
    <row r="5590" spans="1:6" ht="17" x14ac:dyDescent="0.2">
      <c r="A5590">
        <f>IFERROR(VLOOKUP(C5590,'GASB Match'!$D$2:$F$6042,3,FALSE),"")</f>
        <v>3416530</v>
      </c>
      <c r="B5590" s="17">
        <v>2020</v>
      </c>
      <c r="C5590" s="21" t="s">
        <v>912</v>
      </c>
      <c r="D5590" s="17">
        <v>5092</v>
      </c>
      <c r="E5590" s="17" t="s">
        <v>1449</v>
      </c>
      <c r="F5590" s="23">
        <v>1354415</v>
      </c>
    </row>
    <row r="5591" spans="1:6" ht="17" x14ac:dyDescent="0.2">
      <c r="A5591">
        <f>IFERROR(VLOOKUP(C5591,'GASB Match'!$D$2:$F$6042,3,FALSE),"")</f>
        <v>3416530</v>
      </c>
      <c r="B5591" s="17">
        <v>2021</v>
      </c>
      <c r="C5591" s="25" t="s">
        <v>912</v>
      </c>
      <c r="D5591" s="17">
        <v>5092</v>
      </c>
      <c r="E5591" s="17" t="s">
        <v>1449</v>
      </c>
      <c r="F5591" s="23">
        <v>1685110</v>
      </c>
    </row>
    <row r="5592" spans="1:6" ht="17" x14ac:dyDescent="0.2">
      <c r="A5592">
        <f>IFERROR(VLOOKUP(C5592,'GASB Match'!$D$2:$F$6042,3,FALSE),"")</f>
        <v>3416530</v>
      </c>
      <c r="B5592" s="17">
        <v>2022</v>
      </c>
      <c r="C5592" s="21" t="s">
        <v>912</v>
      </c>
      <c r="D5592" s="17">
        <v>5092</v>
      </c>
      <c r="E5592" s="17" t="s">
        <v>1449</v>
      </c>
      <c r="F5592" s="23">
        <v>2514046</v>
      </c>
    </row>
    <row r="5593" spans="1:6" ht="17" x14ac:dyDescent="0.2">
      <c r="A5593">
        <f>IFERROR(VLOOKUP(C5593,'GASB Match'!$D$2:$F$6042,3,FALSE),"")</f>
        <v>3416530</v>
      </c>
      <c r="B5593" s="17">
        <v>2023</v>
      </c>
      <c r="C5593" s="21" t="s">
        <v>912</v>
      </c>
      <c r="D5593" s="17">
        <v>5092</v>
      </c>
      <c r="E5593" s="17" t="s">
        <v>1449</v>
      </c>
      <c r="F5593" s="23">
        <v>2610153</v>
      </c>
    </row>
    <row r="5594" spans="1:6" x14ac:dyDescent="0.2">
      <c r="A5594">
        <f>IFERROR(VLOOKUP(C5594,'GASB Match'!$D$2:$F$6042,3,FALSE),"")</f>
        <v>3416530</v>
      </c>
      <c r="B5594" s="28">
        <v>2017</v>
      </c>
      <c r="C5594" s="29" t="s">
        <v>226</v>
      </c>
      <c r="D5594" s="17">
        <v>5092</v>
      </c>
      <c r="E5594" s="17" t="s">
        <v>1408</v>
      </c>
      <c r="F5594" s="29">
        <v>646876</v>
      </c>
    </row>
    <row r="5595" spans="1:6" x14ac:dyDescent="0.2">
      <c r="A5595">
        <f>IFERROR(VLOOKUP(C5595,'GASB Match'!$D$2:$F$6042,3,FALSE),"")</f>
        <v>3416560</v>
      </c>
      <c r="B5595" s="17">
        <v>2015</v>
      </c>
      <c r="C5595" s="17" t="s">
        <v>451</v>
      </c>
      <c r="D5595" s="17">
        <v>361</v>
      </c>
      <c r="E5595" s="17" t="s">
        <v>1420</v>
      </c>
      <c r="F5595" s="20">
        <v>828580</v>
      </c>
    </row>
    <row r="5596" spans="1:6" x14ac:dyDescent="0.2">
      <c r="A5596">
        <f>IFERROR(VLOOKUP(C5596,'GASB Match'!$D$2:$F$6042,3,FALSE),"")</f>
        <v>3416560</v>
      </c>
      <c r="B5596" s="17">
        <v>2016</v>
      </c>
      <c r="C5596" s="17" t="s">
        <v>451</v>
      </c>
      <c r="D5596" s="17">
        <v>361</v>
      </c>
      <c r="E5596" s="17" t="s">
        <v>1420</v>
      </c>
      <c r="F5596" s="20">
        <v>1246761</v>
      </c>
    </row>
    <row r="5597" spans="1:6" x14ac:dyDescent="0.2">
      <c r="A5597">
        <f>IFERROR(VLOOKUP(C5597,'GASB Match'!$D$2:$F$6042,3,FALSE),"")</f>
        <v>3416560</v>
      </c>
      <c r="B5597" s="17">
        <v>2018</v>
      </c>
      <c r="C5597" s="17" t="s">
        <v>1143</v>
      </c>
      <c r="D5597" s="17">
        <v>361</v>
      </c>
      <c r="E5597" s="17" t="s">
        <v>1463</v>
      </c>
      <c r="F5597" s="20">
        <v>2400981</v>
      </c>
    </row>
    <row r="5598" spans="1:6" x14ac:dyDescent="0.2">
      <c r="A5598">
        <f>IFERROR(VLOOKUP(C5598,'GASB Match'!$D$2:$F$6042,3,FALSE),"")</f>
        <v>3416560</v>
      </c>
      <c r="B5598" s="17">
        <v>2019</v>
      </c>
      <c r="C5598" s="17" t="s">
        <v>1143</v>
      </c>
      <c r="D5598" s="17">
        <v>361</v>
      </c>
      <c r="E5598" s="17" t="s">
        <v>1463</v>
      </c>
      <c r="F5598" s="20">
        <v>3166872</v>
      </c>
    </row>
    <row r="5599" spans="1:6" ht="17" x14ac:dyDescent="0.2">
      <c r="A5599">
        <f>IFERROR(VLOOKUP(C5599,'GASB Match'!$D$2:$F$6042,3,FALSE),"")</f>
        <v>3416560</v>
      </c>
      <c r="B5599" s="17">
        <v>2020</v>
      </c>
      <c r="C5599" s="21" t="s">
        <v>1143</v>
      </c>
      <c r="D5599" s="17">
        <v>361</v>
      </c>
      <c r="E5599" s="17" t="s">
        <v>1463</v>
      </c>
      <c r="F5599" s="23">
        <v>3576158</v>
      </c>
    </row>
    <row r="5600" spans="1:6" ht="17" x14ac:dyDescent="0.2">
      <c r="A5600">
        <f>IFERROR(VLOOKUP(C5600,'GASB Match'!$D$2:$F$6042,3,FALSE),"")</f>
        <v>3416560</v>
      </c>
      <c r="B5600" s="17">
        <v>2021</v>
      </c>
      <c r="C5600" s="25" t="s">
        <v>1143</v>
      </c>
      <c r="D5600" s="17">
        <v>361</v>
      </c>
      <c r="E5600" s="17" t="s">
        <v>1463</v>
      </c>
      <c r="F5600" s="23">
        <v>4480965</v>
      </c>
    </row>
    <row r="5601" spans="1:6" ht="17" x14ac:dyDescent="0.2">
      <c r="A5601">
        <f>IFERROR(VLOOKUP(C5601,'GASB Match'!$D$2:$F$6042,3,FALSE),"")</f>
        <v>3416560</v>
      </c>
      <c r="B5601" s="17">
        <v>2022</v>
      </c>
      <c r="C5601" s="21" t="s">
        <v>1143</v>
      </c>
      <c r="D5601" s="17">
        <v>361</v>
      </c>
      <c r="E5601" s="17" t="s">
        <v>1463</v>
      </c>
      <c r="F5601" s="23">
        <v>6148144</v>
      </c>
    </row>
    <row r="5602" spans="1:6" ht="17" x14ac:dyDescent="0.2">
      <c r="A5602">
        <f>IFERROR(VLOOKUP(C5602,'GASB Match'!$D$2:$F$6042,3,FALSE),"")</f>
        <v>3416560</v>
      </c>
      <c r="B5602" s="17">
        <v>2023</v>
      </c>
      <c r="C5602" s="21" t="s">
        <v>1143</v>
      </c>
      <c r="D5602" s="17">
        <v>361</v>
      </c>
      <c r="E5602" s="17" t="s">
        <v>1463</v>
      </c>
      <c r="F5602" s="23">
        <v>5899814</v>
      </c>
    </row>
    <row r="5603" spans="1:6" x14ac:dyDescent="0.2">
      <c r="A5603">
        <f>IFERROR(VLOOKUP(C5603,'GASB Match'!$D$2:$F$6042,3,FALSE),"")</f>
        <v>3416560</v>
      </c>
      <c r="B5603" s="28">
        <v>2017</v>
      </c>
      <c r="C5603" s="29" t="s">
        <v>451</v>
      </c>
      <c r="D5603" s="17">
        <v>361</v>
      </c>
      <c r="E5603" s="17" t="s">
        <v>1420</v>
      </c>
      <c r="F5603" s="29">
        <v>1811502</v>
      </c>
    </row>
    <row r="5604" spans="1:6" x14ac:dyDescent="0.2">
      <c r="A5604">
        <f>IFERROR(VLOOKUP(C5604,'GASB Match'!$D$2:$F$6042,3,FALSE),"")</f>
        <v>3416590</v>
      </c>
      <c r="B5604" s="17">
        <v>2015</v>
      </c>
      <c r="C5604" s="17" t="s">
        <v>561</v>
      </c>
      <c r="D5604" s="17">
        <v>724</v>
      </c>
      <c r="E5604" s="17" t="s">
        <v>1424</v>
      </c>
      <c r="F5604" s="20">
        <v>116301</v>
      </c>
    </row>
    <row r="5605" spans="1:6" x14ac:dyDescent="0.2">
      <c r="A5605">
        <f>IFERROR(VLOOKUP(C5605,'GASB Match'!$D$2:$F$6042,3,FALSE),"")</f>
        <v>3416590</v>
      </c>
      <c r="B5605" s="17">
        <v>2016</v>
      </c>
      <c r="C5605" s="17" t="s">
        <v>561</v>
      </c>
      <c r="D5605" s="17">
        <v>724</v>
      </c>
      <c r="E5605" s="17" t="s">
        <v>1424</v>
      </c>
      <c r="F5605" s="20">
        <v>182916</v>
      </c>
    </row>
    <row r="5606" spans="1:6" x14ac:dyDescent="0.2">
      <c r="A5606">
        <f>IFERROR(VLOOKUP(C5606,'GASB Match'!$D$2:$F$6042,3,FALSE),"")</f>
        <v>3416590</v>
      </c>
      <c r="B5606" s="17">
        <v>2018</v>
      </c>
      <c r="C5606" s="17" t="s">
        <v>1253</v>
      </c>
      <c r="D5606" s="17">
        <v>724</v>
      </c>
      <c r="E5606" s="17" t="s">
        <v>1467</v>
      </c>
      <c r="F5606" s="20">
        <v>354126</v>
      </c>
    </row>
    <row r="5607" spans="1:6" x14ac:dyDescent="0.2">
      <c r="A5607">
        <f>IFERROR(VLOOKUP(C5607,'GASB Match'!$D$2:$F$6042,3,FALSE),"")</f>
        <v>3416590</v>
      </c>
      <c r="B5607" s="17">
        <v>2019</v>
      </c>
      <c r="C5607" s="17" t="s">
        <v>1253</v>
      </c>
      <c r="D5607" s="17">
        <v>724</v>
      </c>
      <c r="E5607" s="17" t="s">
        <v>1467</v>
      </c>
      <c r="F5607" s="20">
        <v>467002</v>
      </c>
    </row>
    <row r="5608" spans="1:6" ht="17" x14ac:dyDescent="0.2">
      <c r="A5608">
        <f>IFERROR(VLOOKUP(C5608,'GASB Match'!$D$2:$F$6042,3,FALSE),"")</f>
        <v>3416590</v>
      </c>
      <c r="B5608" s="17">
        <v>2020</v>
      </c>
      <c r="C5608" s="21" t="s">
        <v>1253</v>
      </c>
      <c r="D5608" s="17">
        <v>724</v>
      </c>
      <c r="E5608" s="17" t="s">
        <v>1467</v>
      </c>
      <c r="F5608" s="23">
        <v>553671</v>
      </c>
    </row>
    <row r="5609" spans="1:6" ht="17" x14ac:dyDescent="0.2">
      <c r="A5609">
        <f>IFERROR(VLOOKUP(C5609,'GASB Match'!$D$2:$F$6042,3,FALSE),"")</f>
        <v>3416590</v>
      </c>
      <c r="B5609" s="17">
        <v>2021</v>
      </c>
      <c r="C5609" s="25" t="s">
        <v>1253</v>
      </c>
      <c r="D5609" s="17">
        <v>724</v>
      </c>
      <c r="E5609" s="17" t="s">
        <v>1467</v>
      </c>
      <c r="F5609" s="23">
        <v>694999</v>
      </c>
    </row>
    <row r="5610" spans="1:6" ht="17" x14ac:dyDescent="0.2">
      <c r="A5610">
        <f>IFERROR(VLOOKUP(C5610,'GASB Match'!$D$2:$F$6042,3,FALSE),"")</f>
        <v>3416590</v>
      </c>
      <c r="B5610" s="17">
        <v>2022</v>
      </c>
      <c r="C5610" s="21" t="s">
        <v>1253</v>
      </c>
      <c r="D5610" s="17">
        <v>724</v>
      </c>
      <c r="E5610" s="17" t="s">
        <v>1467</v>
      </c>
      <c r="F5610" s="23">
        <v>925473</v>
      </c>
    </row>
    <row r="5611" spans="1:6" ht="17" x14ac:dyDescent="0.2">
      <c r="A5611">
        <f>IFERROR(VLOOKUP(C5611,'GASB Match'!$D$2:$F$6042,3,FALSE),"")</f>
        <v>3416590</v>
      </c>
      <c r="B5611" s="17">
        <v>2023</v>
      </c>
      <c r="C5611" s="21" t="s">
        <v>1253</v>
      </c>
      <c r="D5611" s="17">
        <v>724</v>
      </c>
      <c r="E5611" s="17" t="s">
        <v>1467</v>
      </c>
      <c r="F5611" s="23">
        <v>1004081</v>
      </c>
    </row>
    <row r="5612" spans="1:6" x14ac:dyDescent="0.2">
      <c r="A5612">
        <f>IFERROR(VLOOKUP(C5612,'GASB Match'!$D$2:$F$6042,3,FALSE),"")</f>
        <v>3416590</v>
      </c>
      <c r="B5612" s="28">
        <v>2017</v>
      </c>
      <c r="C5612" s="29" t="s">
        <v>561</v>
      </c>
      <c r="D5612" s="17">
        <v>724</v>
      </c>
      <c r="E5612" s="17" t="s">
        <v>1424</v>
      </c>
      <c r="F5612" s="29">
        <v>254768</v>
      </c>
    </row>
    <row r="5613" spans="1:6" x14ac:dyDescent="0.2">
      <c r="A5613">
        <f>IFERROR(VLOOKUP(C5613,'GASB Match'!$D$2:$F$6042,3,FALSE),"")</f>
        <v>3416620</v>
      </c>
      <c r="B5613" s="17">
        <v>2015</v>
      </c>
      <c r="C5613" s="17" t="s">
        <v>99</v>
      </c>
      <c r="D5613" s="17">
        <v>2085</v>
      </c>
      <c r="E5613" s="17" t="s">
        <v>1402</v>
      </c>
      <c r="F5613" s="20">
        <v>479510</v>
      </c>
    </row>
    <row r="5614" spans="1:6" x14ac:dyDescent="0.2">
      <c r="A5614">
        <f>IFERROR(VLOOKUP(C5614,'GASB Match'!$D$2:$F$6042,3,FALSE),"")</f>
        <v>3416620</v>
      </c>
      <c r="B5614" s="17">
        <v>2016</v>
      </c>
      <c r="C5614" s="17" t="s">
        <v>99</v>
      </c>
      <c r="D5614" s="17">
        <v>2085</v>
      </c>
      <c r="E5614" s="17" t="s">
        <v>1402</v>
      </c>
      <c r="F5614" s="20">
        <v>705560</v>
      </c>
    </row>
    <row r="5615" spans="1:6" x14ac:dyDescent="0.2">
      <c r="A5615">
        <f>IFERROR(VLOOKUP(C5615,'GASB Match'!$D$2:$F$6042,3,FALSE),"")</f>
        <v>3416620</v>
      </c>
      <c r="B5615" s="17">
        <v>2018</v>
      </c>
      <c r="C5615" s="17" t="s">
        <v>779</v>
      </c>
      <c r="D5615" s="17">
        <v>2085</v>
      </c>
      <c r="E5615" s="17" t="s">
        <v>1443</v>
      </c>
      <c r="F5615" s="20">
        <v>1406464</v>
      </c>
    </row>
    <row r="5616" spans="1:6" x14ac:dyDescent="0.2">
      <c r="A5616">
        <f>IFERROR(VLOOKUP(C5616,'GASB Match'!$D$2:$F$6042,3,FALSE),"")</f>
        <v>3416620</v>
      </c>
      <c r="B5616" s="17">
        <v>2019</v>
      </c>
      <c r="C5616" s="17" t="s">
        <v>779</v>
      </c>
      <c r="D5616" s="17">
        <v>2085</v>
      </c>
      <c r="E5616" s="17" t="s">
        <v>1443</v>
      </c>
      <c r="F5616" s="20">
        <v>1847948</v>
      </c>
    </row>
    <row r="5617" spans="1:6" ht="17" x14ac:dyDescent="0.2">
      <c r="A5617">
        <f>IFERROR(VLOOKUP(C5617,'GASB Match'!$D$2:$F$6042,3,FALSE),"")</f>
        <v>3416620</v>
      </c>
      <c r="B5617" s="17">
        <v>2020</v>
      </c>
      <c r="C5617" s="21" t="s">
        <v>779</v>
      </c>
      <c r="D5617" s="17">
        <v>2085</v>
      </c>
      <c r="E5617" s="17" t="s">
        <v>1443</v>
      </c>
      <c r="F5617" s="23">
        <v>2133605</v>
      </c>
    </row>
    <row r="5618" spans="1:6" ht="17" x14ac:dyDescent="0.2">
      <c r="A5618">
        <f>IFERROR(VLOOKUP(C5618,'GASB Match'!$D$2:$F$6042,3,FALSE),"")</f>
        <v>3416620</v>
      </c>
      <c r="B5618" s="17">
        <v>2021</v>
      </c>
      <c r="C5618" s="25" t="s">
        <v>779</v>
      </c>
      <c r="D5618" s="17">
        <v>2085</v>
      </c>
      <c r="E5618" s="17" t="s">
        <v>1443</v>
      </c>
      <c r="F5618" s="23">
        <v>2723358</v>
      </c>
    </row>
    <row r="5619" spans="1:6" ht="17" x14ac:dyDescent="0.2">
      <c r="A5619">
        <f>IFERROR(VLOOKUP(C5619,'GASB Match'!$D$2:$F$6042,3,FALSE),"")</f>
        <v>3416620</v>
      </c>
      <c r="B5619" s="17">
        <v>2022</v>
      </c>
      <c r="C5619" s="21" t="s">
        <v>779</v>
      </c>
      <c r="D5619" s="17">
        <v>2085</v>
      </c>
      <c r="E5619" s="17" t="s">
        <v>1443</v>
      </c>
      <c r="F5619" s="23">
        <v>3866503</v>
      </c>
    </row>
    <row r="5620" spans="1:6" ht="17" x14ac:dyDescent="0.2">
      <c r="A5620">
        <f>IFERROR(VLOOKUP(C5620,'GASB Match'!$D$2:$F$6042,3,FALSE),"")</f>
        <v>3416620</v>
      </c>
      <c r="B5620" s="17">
        <v>2023</v>
      </c>
      <c r="C5620" s="21" t="s">
        <v>779</v>
      </c>
      <c r="D5620" s="17">
        <v>2085</v>
      </c>
      <c r="E5620" s="17" t="s">
        <v>1443</v>
      </c>
      <c r="F5620" s="23">
        <v>3978966</v>
      </c>
    </row>
    <row r="5621" spans="1:6" x14ac:dyDescent="0.2">
      <c r="A5621">
        <f>IFERROR(VLOOKUP(C5621,'GASB Match'!$D$2:$F$6042,3,FALSE),"")</f>
        <v>3416620</v>
      </c>
      <c r="B5621" s="28">
        <v>2017</v>
      </c>
      <c r="C5621" s="29" t="s">
        <v>99</v>
      </c>
      <c r="D5621" s="17">
        <v>2085</v>
      </c>
      <c r="E5621" s="17" t="s">
        <v>1402</v>
      </c>
      <c r="F5621" s="29">
        <v>1041798</v>
      </c>
    </row>
    <row r="5622" spans="1:6" x14ac:dyDescent="0.2">
      <c r="A5622">
        <f>IFERROR(VLOOKUP(C5622,'GASB Match'!$D$2:$F$6042,3,FALSE),"")</f>
        <v>3416650</v>
      </c>
      <c r="B5622" s="17">
        <v>2015</v>
      </c>
      <c r="C5622" s="17" t="s">
        <v>207</v>
      </c>
      <c r="D5622" s="17">
        <v>5021</v>
      </c>
      <c r="E5622" s="17" t="s">
        <v>1407</v>
      </c>
      <c r="F5622" s="20">
        <v>524475</v>
      </c>
    </row>
    <row r="5623" spans="1:6" x14ac:dyDescent="0.2">
      <c r="A5623">
        <f>IFERROR(VLOOKUP(C5623,'GASB Match'!$D$2:$F$6042,3,FALSE),"")</f>
        <v>3416650</v>
      </c>
      <c r="B5623" s="17">
        <v>2016</v>
      </c>
      <c r="C5623" s="17" t="s">
        <v>207</v>
      </c>
      <c r="D5623" s="17">
        <v>5021</v>
      </c>
      <c r="E5623" s="17" t="s">
        <v>1407</v>
      </c>
      <c r="F5623" s="20">
        <v>754655</v>
      </c>
    </row>
    <row r="5624" spans="1:6" x14ac:dyDescent="0.2">
      <c r="A5624">
        <f>IFERROR(VLOOKUP(C5624,'GASB Match'!$D$2:$F$6042,3,FALSE),"")</f>
        <v>3416650</v>
      </c>
      <c r="B5624" s="17">
        <v>2018</v>
      </c>
      <c r="C5624" s="17" t="s">
        <v>891</v>
      </c>
      <c r="D5624" s="17">
        <v>5021</v>
      </c>
      <c r="E5624" s="17" t="s">
        <v>1448</v>
      </c>
      <c r="F5624" s="20">
        <v>1512833</v>
      </c>
    </row>
    <row r="5625" spans="1:6" x14ac:dyDescent="0.2">
      <c r="A5625">
        <f>IFERROR(VLOOKUP(C5625,'GASB Match'!$D$2:$F$6042,3,FALSE),"")</f>
        <v>3416650</v>
      </c>
      <c r="B5625" s="17">
        <v>2019</v>
      </c>
      <c r="C5625" s="17" t="s">
        <v>891</v>
      </c>
      <c r="D5625" s="17">
        <v>5021</v>
      </c>
      <c r="E5625" s="17" t="s">
        <v>1448</v>
      </c>
      <c r="F5625" s="20">
        <v>2050317</v>
      </c>
    </row>
    <row r="5626" spans="1:6" ht="17" x14ac:dyDescent="0.2">
      <c r="A5626">
        <f>IFERROR(VLOOKUP(C5626,'GASB Match'!$D$2:$F$6042,3,FALSE),"")</f>
        <v>3416650</v>
      </c>
      <c r="B5626" s="17">
        <v>2020</v>
      </c>
      <c r="C5626" s="21" t="s">
        <v>891</v>
      </c>
      <c r="D5626" s="17">
        <v>5021</v>
      </c>
      <c r="E5626" s="17" t="s">
        <v>1448</v>
      </c>
      <c r="F5626" s="23">
        <v>2247572</v>
      </c>
    </row>
    <row r="5627" spans="1:6" ht="17" x14ac:dyDescent="0.2">
      <c r="A5627">
        <f>IFERROR(VLOOKUP(C5627,'GASB Match'!$D$2:$F$6042,3,FALSE),"")</f>
        <v>3416650</v>
      </c>
      <c r="B5627" s="17">
        <v>2021</v>
      </c>
      <c r="C5627" s="25" t="s">
        <v>891</v>
      </c>
      <c r="D5627" s="17">
        <v>5021</v>
      </c>
      <c r="E5627" s="17" t="s">
        <v>1448</v>
      </c>
      <c r="F5627" s="23">
        <v>2904126</v>
      </c>
    </row>
    <row r="5628" spans="1:6" ht="17" x14ac:dyDescent="0.2">
      <c r="A5628">
        <f>IFERROR(VLOOKUP(C5628,'GASB Match'!$D$2:$F$6042,3,FALSE),"")</f>
        <v>3416650</v>
      </c>
      <c r="B5628" s="17">
        <v>2022</v>
      </c>
      <c r="C5628" s="21" t="s">
        <v>891</v>
      </c>
      <c r="D5628" s="17">
        <v>5021</v>
      </c>
      <c r="E5628" s="17" t="s">
        <v>1448</v>
      </c>
      <c r="F5628" s="23">
        <v>3937624</v>
      </c>
    </row>
    <row r="5629" spans="1:6" ht="17" x14ac:dyDescent="0.2">
      <c r="A5629">
        <f>IFERROR(VLOOKUP(C5629,'GASB Match'!$D$2:$F$6042,3,FALSE),"")</f>
        <v>3416650</v>
      </c>
      <c r="B5629" s="17">
        <v>2023</v>
      </c>
      <c r="C5629" s="21" t="s">
        <v>891</v>
      </c>
      <c r="D5629" s="17">
        <v>5021</v>
      </c>
      <c r="E5629" s="17" t="s">
        <v>1448</v>
      </c>
      <c r="F5629" s="23">
        <v>3718442</v>
      </c>
    </row>
    <row r="5630" spans="1:6" x14ac:dyDescent="0.2">
      <c r="A5630">
        <f>IFERROR(VLOOKUP(C5630,'GASB Match'!$D$2:$F$6042,3,FALSE),"")</f>
        <v>3416650</v>
      </c>
      <c r="B5630" s="28">
        <v>2017</v>
      </c>
      <c r="C5630" s="29" t="s">
        <v>207</v>
      </c>
      <c r="D5630" s="17">
        <v>5021</v>
      </c>
      <c r="E5630" s="17" t="s">
        <v>1407</v>
      </c>
      <c r="F5630" s="29">
        <v>1115113</v>
      </c>
    </row>
    <row r="5631" spans="1:6" x14ac:dyDescent="0.2">
      <c r="A5631">
        <f>IFERROR(VLOOKUP(C5631,'GASB Match'!$D$2:$F$6042,3,FALSE),"")</f>
        <v>3416680</v>
      </c>
      <c r="B5631" s="17">
        <v>2015</v>
      </c>
      <c r="C5631" s="17" t="s">
        <v>24</v>
      </c>
      <c r="D5631" s="17">
        <v>1070</v>
      </c>
      <c r="E5631" s="17" t="s">
        <v>1400</v>
      </c>
      <c r="F5631" s="20">
        <v>363137</v>
      </c>
    </row>
    <row r="5632" spans="1:6" x14ac:dyDescent="0.2">
      <c r="A5632">
        <f>IFERROR(VLOOKUP(C5632,'GASB Match'!$D$2:$F$6042,3,FALSE),"")</f>
        <v>3416680</v>
      </c>
      <c r="B5632" s="17">
        <v>2016</v>
      </c>
      <c r="C5632" s="17" t="s">
        <v>24</v>
      </c>
      <c r="D5632" s="17">
        <v>1070</v>
      </c>
      <c r="E5632" s="17" t="s">
        <v>1400</v>
      </c>
      <c r="F5632" s="20">
        <v>528737</v>
      </c>
    </row>
    <row r="5633" spans="1:6" x14ac:dyDescent="0.2">
      <c r="A5633">
        <f>IFERROR(VLOOKUP(C5633,'GASB Match'!$D$2:$F$6042,3,FALSE),"")</f>
        <v>3416680</v>
      </c>
      <c r="B5633" s="17">
        <v>2018</v>
      </c>
      <c r="C5633" s="17" t="s">
        <v>703</v>
      </c>
      <c r="D5633" s="17">
        <v>1070</v>
      </c>
      <c r="E5633" s="17" t="s">
        <v>1441</v>
      </c>
      <c r="F5633" s="20">
        <v>981295</v>
      </c>
    </row>
    <row r="5634" spans="1:6" x14ac:dyDescent="0.2">
      <c r="A5634">
        <f>IFERROR(VLOOKUP(C5634,'GASB Match'!$D$2:$F$6042,3,FALSE),"")</f>
        <v>3416680</v>
      </c>
      <c r="B5634" s="17">
        <v>2019</v>
      </c>
      <c r="C5634" s="17" t="s">
        <v>703</v>
      </c>
      <c r="D5634" s="17">
        <v>1070</v>
      </c>
      <c r="E5634" s="17" t="s">
        <v>1441</v>
      </c>
      <c r="F5634" s="20">
        <v>1305925</v>
      </c>
    </row>
    <row r="5635" spans="1:6" ht="17" x14ac:dyDescent="0.2">
      <c r="A5635">
        <f>IFERROR(VLOOKUP(C5635,'GASB Match'!$D$2:$F$6042,3,FALSE),"")</f>
        <v>3416680</v>
      </c>
      <c r="B5635" s="17">
        <v>2020</v>
      </c>
      <c r="C5635" s="21" t="s">
        <v>703</v>
      </c>
      <c r="D5635" s="17">
        <v>1070</v>
      </c>
      <c r="E5635" s="17" t="s">
        <v>1441</v>
      </c>
      <c r="F5635" s="23">
        <v>1404390</v>
      </c>
    </row>
    <row r="5636" spans="1:6" ht="17" x14ac:dyDescent="0.2">
      <c r="A5636">
        <f>IFERROR(VLOOKUP(C5636,'GASB Match'!$D$2:$F$6042,3,FALSE),"")</f>
        <v>3416680</v>
      </c>
      <c r="B5636" s="17">
        <v>2021</v>
      </c>
      <c r="C5636" s="25" t="s">
        <v>703</v>
      </c>
      <c r="D5636" s="17">
        <v>1070</v>
      </c>
      <c r="E5636" s="17" t="s">
        <v>1441</v>
      </c>
      <c r="F5636" s="23">
        <v>1887906</v>
      </c>
    </row>
    <row r="5637" spans="1:6" ht="17" x14ac:dyDescent="0.2">
      <c r="A5637">
        <f>IFERROR(VLOOKUP(C5637,'GASB Match'!$D$2:$F$6042,3,FALSE),"")</f>
        <v>3416680</v>
      </c>
      <c r="B5637" s="17">
        <v>2022</v>
      </c>
      <c r="C5637" s="21" t="s">
        <v>703</v>
      </c>
      <c r="D5637" s="17">
        <v>1070</v>
      </c>
      <c r="E5637" s="17" t="s">
        <v>1441</v>
      </c>
      <c r="F5637" s="23">
        <v>2650558</v>
      </c>
    </row>
    <row r="5638" spans="1:6" ht="17" x14ac:dyDescent="0.2">
      <c r="A5638">
        <f>IFERROR(VLOOKUP(C5638,'GASB Match'!$D$2:$F$6042,3,FALSE),"")</f>
        <v>3416680</v>
      </c>
      <c r="B5638" s="17">
        <v>2023</v>
      </c>
      <c r="C5638" s="21" t="s">
        <v>703</v>
      </c>
      <c r="D5638" s="17">
        <v>1070</v>
      </c>
      <c r="E5638" s="17" t="s">
        <v>1441</v>
      </c>
      <c r="F5638" s="23">
        <v>2544016</v>
      </c>
    </row>
    <row r="5639" spans="1:6" x14ac:dyDescent="0.2">
      <c r="A5639">
        <f>IFERROR(VLOOKUP(C5639,'GASB Match'!$D$2:$F$6042,3,FALSE),"")</f>
        <v>3416680</v>
      </c>
      <c r="B5639" s="28">
        <v>2017</v>
      </c>
      <c r="C5639" s="29" t="s">
        <v>24</v>
      </c>
      <c r="D5639" s="17">
        <v>1070</v>
      </c>
      <c r="E5639" s="17" t="s">
        <v>1400</v>
      </c>
      <c r="F5639" s="29">
        <v>736084</v>
      </c>
    </row>
    <row r="5640" spans="1:6" x14ac:dyDescent="0.2">
      <c r="A5640">
        <f>IFERROR(VLOOKUP(C5640,'GASB Match'!$D$2:$F$6042,3,FALSE),"")</f>
        <v>3416710</v>
      </c>
      <c r="B5640" s="17">
        <v>2015</v>
      </c>
      <c r="C5640" s="17" t="s">
        <v>609</v>
      </c>
      <c r="D5640" s="17">
        <v>794</v>
      </c>
      <c r="E5640" s="17" t="s">
        <v>1426</v>
      </c>
      <c r="F5640" s="20">
        <v>1657302</v>
      </c>
    </row>
    <row r="5641" spans="1:6" x14ac:dyDescent="0.2">
      <c r="A5641">
        <f>IFERROR(VLOOKUP(C5641,'GASB Match'!$D$2:$F$6042,3,FALSE),"")</f>
        <v>3416710</v>
      </c>
      <c r="B5641" s="17">
        <v>2016</v>
      </c>
      <c r="C5641" s="17" t="s">
        <v>609</v>
      </c>
      <c r="D5641" s="17">
        <v>794</v>
      </c>
      <c r="E5641" s="17" t="s">
        <v>1426</v>
      </c>
      <c r="F5641" s="20">
        <v>2290838</v>
      </c>
    </row>
    <row r="5642" spans="1:6" x14ac:dyDescent="0.2">
      <c r="A5642">
        <f>IFERROR(VLOOKUP(C5642,'GASB Match'!$D$2:$F$6042,3,FALSE),"")</f>
        <v>3416710</v>
      </c>
      <c r="B5642" s="17">
        <v>2018</v>
      </c>
      <c r="C5642" s="17" t="s">
        <v>1302</v>
      </c>
      <c r="D5642" s="17">
        <v>794</v>
      </c>
      <c r="E5642" s="17" t="s">
        <v>1469</v>
      </c>
      <c r="F5642" s="20">
        <v>4347345</v>
      </c>
    </row>
    <row r="5643" spans="1:6" x14ac:dyDescent="0.2">
      <c r="A5643">
        <f>IFERROR(VLOOKUP(C5643,'GASB Match'!$D$2:$F$6042,3,FALSE),"")</f>
        <v>3416710</v>
      </c>
      <c r="B5643" s="17">
        <v>2019</v>
      </c>
      <c r="C5643" s="17" t="s">
        <v>1302</v>
      </c>
      <c r="D5643" s="17">
        <v>794</v>
      </c>
      <c r="E5643" s="17" t="s">
        <v>1469</v>
      </c>
      <c r="F5643" s="20">
        <v>5520215</v>
      </c>
    </row>
    <row r="5644" spans="1:6" ht="17" x14ac:dyDescent="0.2">
      <c r="A5644">
        <f>IFERROR(VLOOKUP(C5644,'GASB Match'!$D$2:$F$6042,3,FALSE),"")</f>
        <v>3416710</v>
      </c>
      <c r="B5644" s="17">
        <v>2020</v>
      </c>
      <c r="C5644" s="21" t="s">
        <v>1302</v>
      </c>
      <c r="D5644" s="17">
        <v>794</v>
      </c>
      <c r="E5644" s="17" t="s">
        <v>1469</v>
      </c>
      <c r="F5644" s="23">
        <v>6146975</v>
      </c>
    </row>
    <row r="5645" spans="1:6" ht="17" x14ac:dyDescent="0.2">
      <c r="A5645">
        <f>IFERROR(VLOOKUP(C5645,'GASB Match'!$D$2:$F$6042,3,FALSE),"")</f>
        <v>3416710</v>
      </c>
      <c r="B5645" s="17">
        <v>2021</v>
      </c>
      <c r="C5645" s="25" t="s">
        <v>1302</v>
      </c>
      <c r="D5645" s="17">
        <v>794</v>
      </c>
      <c r="E5645" s="17" t="s">
        <v>1469</v>
      </c>
      <c r="F5645" s="23">
        <v>7924325</v>
      </c>
    </row>
    <row r="5646" spans="1:6" ht="17" x14ac:dyDescent="0.2">
      <c r="A5646">
        <f>IFERROR(VLOOKUP(C5646,'GASB Match'!$D$2:$F$6042,3,FALSE),"")</f>
        <v>3416710</v>
      </c>
      <c r="B5646" s="17">
        <v>2022</v>
      </c>
      <c r="C5646" s="21" t="s">
        <v>1302</v>
      </c>
      <c r="D5646" s="17">
        <v>794</v>
      </c>
      <c r="E5646" s="17" t="s">
        <v>1469</v>
      </c>
      <c r="F5646" s="23">
        <v>10442807</v>
      </c>
    </row>
    <row r="5647" spans="1:6" ht="17" x14ac:dyDescent="0.2">
      <c r="A5647">
        <f>IFERROR(VLOOKUP(C5647,'GASB Match'!$D$2:$F$6042,3,FALSE),"")</f>
        <v>3416710</v>
      </c>
      <c r="B5647" s="17">
        <v>2023</v>
      </c>
      <c r="C5647" s="21" t="s">
        <v>1302</v>
      </c>
      <c r="D5647" s="17">
        <v>794</v>
      </c>
      <c r="E5647" s="17" t="s">
        <v>1469</v>
      </c>
      <c r="F5647" s="23">
        <v>9914638</v>
      </c>
    </row>
    <row r="5648" spans="1:6" x14ac:dyDescent="0.2">
      <c r="A5648">
        <f>IFERROR(VLOOKUP(C5648,'GASB Match'!$D$2:$F$6042,3,FALSE),"")</f>
        <v>3416710</v>
      </c>
      <c r="B5648" s="28">
        <v>2017</v>
      </c>
      <c r="C5648" s="29" t="s">
        <v>609</v>
      </c>
      <c r="D5648" s="17">
        <v>794</v>
      </c>
      <c r="E5648" s="17" t="s">
        <v>1426</v>
      </c>
      <c r="F5648" s="29">
        <v>3310735</v>
      </c>
    </row>
    <row r="5649" spans="1:6" x14ac:dyDescent="0.2">
      <c r="A5649">
        <f>IFERROR(VLOOKUP(C5649,'GASB Match'!$D$2:$F$6042,3,FALSE),"")</f>
        <v>3416740</v>
      </c>
      <c r="B5649" s="17">
        <v>2015</v>
      </c>
      <c r="C5649" s="17" t="s">
        <v>268</v>
      </c>
      <c r="D5649" s="17">
        <v>6092</v>
      </c>
      <c r="E5649" s="17" t="s">
        <v>1411</v>
      </c>
      <c r="F5649" s="20">
        <v>793169</v>
      </c>
    </row>
    <row r="5650" spans="1:6" x14ac:dyDescent="0.2">
      <c r="A5650">
        <f>IFERROR(VLOOKUP(C5650,'GASB Match'!$D$2:$F$6042,3,FALSE),"")</f>
        <v>3416740</v>
      </c>
      <c r="B5650" s="17">
        <v>2016</v>
      </c>
      <c r="C5650" s="17" t="s">
        <v>268</v>
      </c>
      <c r="D5650" s="17">
        <v>6092</v>
      </c>
      <c r="E5650" s="17" t="s">
        <v>1411</v>
      </c>
      <c r="F5650" s="20">
        <v>1255331</v>
      </c>
    </row>
    <row r="5651" spans="1:6" x14ac:dyDescent="0.2">
      <c r="A5651">
        <f>IFERROR(VLOOKUP(C5651,'GASB Match'!$D$2:$F$6042,3,FALSE),"")</f>
        <v>3416740</v>
      </c>
      <c r="B5651" s="17">
        <v>2018</v>
      </c>
      <c r="C5651" s="17" t="s">
        <v>958</v>
      </c>
      <c r="D5651" s="17">
        <v>6092</v>
      </c>
      <c r="E5651" s="17" t="s">
        <v>1452</v>
      </c>
      <c r="F5651" s="20">
        <v>2323654</v>
      </c>
    </row>
    <row r="5652" spans="1:6" x14ac:dyDescent="0.2">
      <c r="A5652">
        <f>IFERROR(VLOOKUP(C5652,'GASB Match'!$D$2:$F$6042,3,FALSE),"")</f>
        <v>3416740</v>
      </c>
      <c r="B5652" s="17">
        <v>2019</v>
      </c>
      <c r="C5652" s="17" t="s">
        <v>958</v>
      </c>
      <c r="D5652" s="17">
        <v>6092</v>
      </c>
      <c r="E5652" s="17" t="s">
        <v>1452</v>
      </c>
      <c r="F5652" s="20">
        <v>3113082</v>
      </c>
    </row>
    <row r="5653" spans="1:6" ht="17" x14ac:dyDescent="0.2">
      <c r="A5653">
        <f>IFERROR(VLOOKUP(C5653,'GASB Match'!$D$2:$F$6042,3,FALSE),"")</f>
        <v>3416740</v>
      </c>
      <c r="B5653" s="17">
        <v>2020</v>
      </c>
      <c r="C5653" s="21" t="s">
        <v>958</v>
      </c>
      <c r="D5653" s="17">
        <v>6092</v>
      </c>
      <c r="E5653" s="17" t="s">
        <v>1452</v>
      </c>
      <c r="F5653" s="23">
        <v>3408449</v>
      </c>
    </row>
    <row r="5654" spans="1:6" ht="17" x14ac:dyDescent="0.2">
      <c r="A5654">
        <f>IFERROR(VLOOKUP(C5654,'GASB Match'!$D$2:$F$6042,3,FALSE),"")</f>
        <v>3416740</v>
      </c>
      <c r="B5654" s="17">
        <v>2021</v>
      </c>
      <c r="C5654" s="25" t="s">
        <v>958</v>
      </c>
      <c r="D5654" s="17">
        <v>6092</v>
      </c>
      <c r="E5654" s="17" t="s">
        <v>1452</v>
      </c>
      <c r="F5654" s="23">
        <v>4631166</v>
      </c>
    </row>
    <row r="5655" spans="1:6" ht="17" x14ac:dyDescent="0.2">
      <c r="A5655">
        <f>IFERROR(VLOOKUP(C5655,'GASB Match'!$D$2:$F$6042,3,FALSE),"")</f>
        <v>3416740</v>
      </c>
      <c r="B5655" s="17">
        <v>2022</v>
      </c>
      <c r="C5655" s="21" t="s">
        <v>958</v>
      </c>
      <c r="D5655" s="17">
        <v>6092</v>
      </c>
      <c r="E5655" s="17" t="s">
        <v>1452</v>
      </c>
      <c r="F5655" s="23">
        <v>6725514</v>
      </c>
    </row>
    <row r="5656" spans="1:6" ht="17" x14ac:dyDescent="0.2">
      <c r="A5656">
        <f>IFERROR(VLOOKUP(C5656,'GASB Match'!$D$2:$F$6042,3,FALSE),"")</f>
        <v>3416740</v>
      </c>
      <c r="B5656" s="17">
        <v>2023</v>
      </c>
      <c r="C5656" s="21" t="s">
        <v>958</v>
      </c>
      <c r="D5656" s="17">
        <v>6092</v>
      </c>
      <c r="E5656" s="17" t="s">
        <v>1452</v>
      </c>
      <c r="F5656" s="23">
        <v>6649210</v>
      </c>
    </row>
    <row r="5657" spans="1:6" x14ac:dyDescent="0.2">
      <c r="A5657">
        <f>IFERROR(VLOOKUP(C5657,'GASB Match'!$D$2:$F$6042,3,FALSE),"")</f>
        <v>3416740</v>
      </c>
      <c r="B5657" s="28">
        <v>2017</v>
      </c>
      <c r="C5657" s="29" t="s">
        <v>268</v>
      </c>
      <c r="D5657" s="17">
        <v>6092</v>
      </c>
      <c r="E5657" s="17" t="s">
        <v>1411</v>
      </c>
      <c r="F5657" s="29">
        <v>1732463</v>
      </c>
    </row>
    <row r="5658" spans="1:6" x14ac:dyDescent="0.2">
      <c r="A5658">
        <f>IFERROR(VLOOKUP(C5658,'GASB Match'!$D$2:$F$6042,3,FALSE),"")</f>
        <v>3400046</v>
      </c>
      <c r="B5658" s="17">
        <v>2015</v>
      </c>
      <c r="C5658" s="17" t="s">
        <v>370</v>
      </c>
      <c r="D5658" s="17">
        <v>116</v>
      </c>
      <c r="E5658" s="17" t="s">
        <v>1416</v>
      </c>
      <c r="F5658" s="20">
        <v>108382</v>
      </c>
    </row>
    <row r="5659" spans="1:6" x14ac:dyDescent="0.2">
      <c r="A5659">
        <f>IFERROR(VLOOKUP(C5659,'GASB Match'!$D$2:$F$6042,3,FALSE),"")</f>
        <v>3400046</v>
      </c>
      <c r="B5659" s="17">
        <v>2016</v>
      </c>
      <c r="C5659" s="17" t="s">
        <v>370</v>
      </c>
      <c r="D5659" s="17">
        <v>116</v>
      </c>
      <c r="E5659" s="17" t="s">
        <v>1416</v>
      </c>
      <c r="F5659" s="20">
        <v>164507</v>
      </c>
    </row>
    <row r="5660" spans="1:6" x14ac:dyDescent="0.2">
      <c r="A5660">
        <f>IFERROR(VLOOKUP(C5660,'GASB Match'!$D$2:$F$6042,3,FALSE),"")</f>
        <v>3400046</v>
      </c>
      <c r="B5660" s="17">
        <v>2018</v>
      </c>
      <c r="C5660" s="17" t="s">
        <v>1062</v>
      </c>
      <c r="D5660" s="17">
        <v>116</v>
      </c>
      <c r="E5660" s="17" t="s">
        <v>1459</v>
      </c>
      <c r="F5660" s="20">
        <v>292079</v>
      </c>
    </row>
    <row r="5661" spans="1:6" x14ac:dyDescent="0.2">
      <c r="A5661">
        <f>IFERROR(VLOOKUP(C5661,'GASB Match'!$D$2:$F$6042,3,FALSE),"")</f>
        <v>3400046</v>
      </c>
      <c r="B5661" s="17">
        <v>2019</v>
      </c>
      <c r="C5661" s="17" t="s">
        <v>1062</v>
      </c>
      <c r="D5661" s="17">
        <v>116</v>
      </c>
      <c r="E5661" s="17" t="s">
        <v>1459</v>
      </c>
      <c r="F5661" s="20">
        <v>429151</v>
      </c>
    </row>
    <row r="5662" spans="1:6" ht="17" x14ac:dyDescent="0.2">
      <c r="A5662">
        <f>IFERROR(VLOOKUP(C5662,'GASB Match'!$D$2:$F$6042,3,FALSE),"")</f>
        <v>3400046</v>
      </c>
      <c r="B5662" s="17">
        <v>2020</v>
      </c>
      <c r="C5662" s="21" t="s">
        <v>1062</v>
      </c>
      <c r="D5662" s="17">
        <v>116</v>
      </c>
      <c r="E5662" s="17" t="s">
        <v>1459</v>
      </c>
      <c r="F5662" s="23">
        <v>495213</v>
      </c>
    </row>
    <row r="5663" spans="1:6" ht="17" x14ac:dyDescent="0.2">
      <c r="A5663">
        <f>IFERROR(VLOOKUP(C5663,'GASB Match'!$D$2:$F$6042,3,FALSE),"")</f>
        <v>3400046</v>
      </c>
      <c r="B5663" s="17">
        <v>2021</v>
      </c>
      <c r="C5663" s="25" t="s">
        <v>1062</v>
      </c>
      <c r="D5663" s="17">
        <v>116</v>
      </c>
      <c r="E5663" s="17" t="s">
        <v>1459</v>
      </c>
      <c r="F5663" s="23">
        <v>667488</v>
      </c>
    </row>
    <row r="5664" spans="1:6" ht="17" x14ac:dyDescent="0.2">
      <c r="A5664">
        <f>IFERROR(VLOOKUP(C5664,'GASB Match'!$D$2:$F$6042,3,FALSE),"")</f>
        <v>3400046</v>
      </c>
      <c r="B5664" s="17">
        <v>2022</v>
      </c>
      <c r="C5664" s="21" t="s">
        <v>1062</v>
      </c>
      <c r="D5664" s="17">
        <v>116</v>
      </c>
      <c r="E5664" s="17" t="s">
        <v>1459</v>
      </c>
      <c r="F5664" s="22">
        <v>886204</v>
      </c>
    </row>
    <row r="5665" spans="1:6" ht="17" x14ac:dyDescent="0.2">
      <c r="A5665">
        <f>IFERROR(VLOOKUP(C5665,'GASB Match'!$D$2:$F$6042,3,FALSE),"")</f>
        <v>3400046</v>
      </c>
      <c r="B5665" s="17">
        <v>2023</v>
      </c>
      <c r="C5665" s="21" t="s">
        <v>1062</v>
      </c>
      <c r="D5665" s="17">
        <v>116</v>
      </c>
      <c r="E5665" s="17" t="s">
        <v>1459</v>
      </c>
      <c r="F5665" s="23">
        <v>902078</v>
      </c>
    </row>
    <row r="5666" spans="1:6" x14ac:dyDescent="0.2">
      <c r="A5666">
        <f>IFERROR(VLOOKUP(C5666,'GASB Match'!$D$2:$F$6042,3,FALSE),"")</f>
        <v>3400046</v>
      </c>
      <c r="B5666" s="28">
        <v>2017</v>
      </c>
      <c r="C5666" s="29" t="s">
        <v>370</v>
      </c>
      <c r="D5666" s="17">
        <v>116</v>
      </c>
      <c r="E5666" s="17" t="s">
        <v>1416</v>
      </c>
      <c r="F5666" s="29">
        <v>226570</v>
      </c>
    </row>
    <row r="5667" spans="1:6" x14ac:dyDescent="0.2">
      <c r="A5667">
        <f>IFERROR(VLOOKUP(C5667,'GASB Match'!$D$2:$F$6042,3,FALSE),"")</f>
        <v>3416800</v>
      </c>
      <c r="B5667" s="17">
        <v>2015</v>
      </c>
      <c r="C5667" s="17" t="s">
        <v>227</v>
      </c>
      <c r="D5667" s="17">
        <v>5060</v>
      </c>
      <c r="E5667" s="17" t="s">
        <v>1408</v>
      </c>
      <c r="F5667" s="20">
        <v>3768411</v>
      </c>
    </row>
    <row r="5668" spans="1:6" x14ac:dyDescent="0.2">
      <c r="A5668">
        <f>IFERROR(VLOOKUP(C5668,'GASB Match'!$D$2:$F$6042,3,FALSE),"")</f>
        <v>3416800</v>
      </c>
      <c r="B5668" s="17">
        <v>2016</v>
      </c>
      <c r="C5668" s="17" t="s">
        <v>227</v>
      </c>
      <c r="D5668" s="17">
        <v>5060</v>
      </c>
      <c r="E5668" s="17" t="s">
        <v>1408</v>
      </c>
      <c r="F5668" s="20">
        <v>5576656</v>
      </c>
    </row>
    <row r="5669" spans="1:6" x14ac:dyDescent="0.2">
      <c r="A5669">
        <f>IFERROR(VLOOKUP(C5669,'GASB Match'!$D$2:$F$6042,3,FALSE),"")</f>
        <v>3416800</v>
      </c>
      <c r="B5669" s="17">
        <v>2018</v>
      </c>
      <c r="C5669" s="17" t="s">
        <v>913</v>
      </c>
      <c r="D5669" s="17">
        <v>5060</v>
      </c>
      <c r="E5669" s="17" t="s">
        <v>1449</v>
      </c>
      <c r="F5669" s="20">
        <v>10002854</v>
      </c>
    </row>
    <row r="5670" spans="1:6" x14ac:dyDescent="0.2">
      <c r="A5670">
        <f>IFERROR(VLOOKUP(C5670,'GASB Match'!$D$2:$F$6042,3,FALSE),"")</f>
        <v>3416800</v>
      </c>
      <c r="B5670" s="17">
        <v>2019</v>
      </c>
      <c r="C5670" s="17" t="s">
        <v>913</v>
      </c>
      <c r="D5670" s="17">
        <v>5060</v>
      </c>
      <c r="E5670" s="17" t="s">
        <v>1449</v>
      </c>
      <c r="F5670" s="20">
        <v>12980172</v>
      </c>
    </row>
    <row r="5671" spans="1:6" ht="17" x14ac:dyDescent="0.2">
      <c r="A5671">
        <f>IFERROR(VLOOKUP(C5671,'GASB Match'!$D$2:$F$6042,3,FALSE),"")</f>
        <v>3416800</v>
      </c>
      <c r="B5671" s="17">
        <v>2020</v>
      </c>
      <c r="C5671" s="21" t="s">
        <v>913</v>
      </c>
      <c r="D5671" s="17">
        <v>5060</v>
      </c>
      <c r="E5671" s="17" t="s">
        <v>1449</v>
      </c>
      <c r="F5671" s="23">
        <v>14257783</v>
      </c>
    </row>
    <row r="5672" spans="1:6" ht="17" x14ac:dyDescent="0.2">
      <c r="A5672">
        <f>IFERROR(VLOOKUP(C5672,'GASB Match'!$D$2:$F$6042,3,FALSE),"")</f>
        <v>3416800</v>
      </c>
      <c r="B5672" s="17">
        <v>2021</v>
      </c>
      <c r="C5672" s="25" t="s">
        <v>913</v>
      </c>
      <c r="D5672" s="17">
        <v>5060</v>
      </c>
      <c r="E5672" s="17" t="s">
        <v>1449</v>
      </c>
      <c r="F5672" s="23">
        <v>17235998</v>
      </c>
    </row>
    <row r="5673" spans="1:6" ht="17" x14ac:dyDescent="0.2">
      <c r="A5673">
        <f>IFERROR(VLOOKUP(C5673,'GASB Match'!$D$2:$F$6042,3,FALSE),"")</f>
        <v>3416800</v>
      </c>
      <c r="B5673" s="17">
        <v>2022</v>
      </c>
      <c r="C5673" s="21" t="s">
        <v>913</v>
      </c>
      <c r="D5673" s="17">
        <v>5060</v>
      </c>
      <c r="E5673" s="17" t="s">
        <v>1449</v>
      </c>
      <c r="F5673" s="23">
        <v>24416538</v>
      </c>
    </row>
    <row r="5674" spans="1:6" ht="17" x14ac:dyDescent="0.2">
      <c r="A5674">
        <f>IFERROR(VLOOKUP(C5674,'GASB Match'!$D$2:$F$6042,3,FALSE),"")</f>
        <v>3416800</v>
      </c>
      <c r="B5674" s="17">
        <v>2023</v>
      </c>
      <c r="C5674" s="21" t="s">
        <v>913</v>
      </c>
      <c r="D5674" s="17">
        <v>5060</v>
      </c>
      <c r="E5674" s="17" t="s">
        <v>1449</v>
      </c>
      <c r="F5674" s="23">
        <v>24492402</v>
      </c>
    </row>
    <row r="5675" spans="1:6" x14ac:dyDescent="0.2">
      <c r="A5675">
        <f>IFERROR(VLOOKUP(C5675,'GASB Match'!$D$2:$F$6042,3,FALSE),"")</f>
        <v>3416800</v>
      </c>
      <c r="B5675" s="28">
        <v>2017</v>
      </c>
      <c r="C5675" s="29" t="s">
        <v>227</v>
      </c>
      <c r="D5675" s="17">
        <v>5060</v>
      </c>
      <c r="E5675" s="17" t="s">
        <v>1408</v>
      </c>
      <c r="F5675" s="29">
        <v>7639721</v>
      </c>
    </row>
    <row r="5676" spans="1:6" x14ac:dyDescent="0.2">
      <c r="A5676">
        <f>IFERROR(VLOOKUP(C5676,'GASB Match'!$D$2:$F$6042,3,FALSE),"")</f>
        <v>3400729</v>
      </c>
      <c r="B5676" s="17">
        <v>2015</v>
      </c>
      <c r="C5676" s="17" t="s">
        <v>228</v>
      </c>
      <c r="D5676" s="17">
        <v>5093</v>
      </c>
      <c r="E5676" s="17" t="s">
        <v>1408</v>
      </c>
      <c r="F5676" s="20">
        <v>42773</v>
      </c>
    </row>
    <row r="5677" spans="1:6" x14ac:dyDescent="0.2">
      <c r="A5677">
        <f>IFERROR(VLOOKUP(C5677,'GASB Match'!$D$2:$F$6042,3,FALSE),"")</f>
        <v>3400729</v>
      </c>
      <c r="B5677" s="17">
        <v>2016</v>
      </c>
      <c r="C5677" s="17" t="s">
        <v>228</v>
      </c>
      <c r="D5677" s="17">
        <v>5093</v>
      </c>
      <c r="E5677" s="17" t="s">
        <v>1408</v>
      </c>
      <c r="F5677" s="20">
        <v>94046</v>
      </c>
    </row>
    <row r="5678" spans="1:6" x14ac:dyDescent="0.2">
      <c r="A5678">
        <f>IFERROR(VLOOKUP(C5678,'GASB Match'!$D$2:$F$6042,3,FALSE),"")</f>
        <v>3400729</v>
      </c>
      <c r="B5678" s="17">
        <v>2018</v>
      </c>
      <c r="C5678" s="17" t="s">
        <v>914</v>
      </c>
      <c r="D5678" s="17">
        <v>5093</v>
      </c>
      <c r="E5678" s="17" t="s">
        <v>1449</v>
      </c>
      <c r="F5678" s="20">
        <v>176269</v>
      </c>
    </row>
    <row r="5679" spans="1:6" x14ac:dyDescent="0.2">
      <c r="A5679">
        <f>IFERROR(VLOOKUP(C5679,'GASB Match'!$D$2:$F$6042,3,FALSE),"")</f>
        <v>3400729</v>
      </c>
      <c r="B5679" s="17">
        <v>2019</v>
      </c>
      <c r="C5679" s="17" t="s">
        <v>914</v>
      </c>
      <c r="D5679" s="17">
        <v>5093</v>
      </c>
      <c r="E5679" s="17" t="s">
        <v>1449</v>
      </c>
      <c r="F5679" s="20">
        <v>350210</v>
      </c>
    </row>
    <row r="5680" spans="1:6" ht="17" x14ac:dyDescent="0.2">
      <c r="A5680">
        <f>IFERROR(VLOOKUP(C5680,'GASB Match'!$D$2:$F$6042,3,FALSE),"")</f>
        <v>3400729</v>
      </c>
      <c r="B5680" s="17">
        <v>2020</v>
      </c>
      <c r="C5680" s="21" t="s">
        <v>914</v>
      </c>
      <c r="D5680" s="17">
        <v>5093</v>
      </c>
      <c r="E5680" s="17" t="s">
        <v>1449</v>
      </c>
      <c r="F5680" s="23">
        <v>309511</v>
      </c>
    </row>
    <row r="5681" spans="1:6" ht="17" x14ac:dyDescent="0.2">
      <c r="A5681">
        <f>IFERROR(VLOOKUP(C5681,'GASB Match'!$D$2:$F$6042,3,FALSE),"")</f>
        <v>3400729</v>
      </c>
      <c r="B5681" s="17">
        <v>2021</v>
      </c>
      <c r="C5681" s="25" t="s">
        <v>914</v>
      </c>
      <c r="D5681" s="17">
        <v>5093</v>
      </c>
      <c r="E5681" s="17" t="s">
        <v>1449</v>
      </c>
      <c r="F5681" s="23">
        <v>407227</v>
      </c>
    </row>
    <row r="5682" spans="1:6" ht="17" x14ac:dyDescent="0.2">
      <c r="A5682">
        <f>IFERROR(VLOOKUP(C5682,'GASB Match'!$D$2:$F$6042,3,FALSE),"")</f>
        <v>3400729</v>
      </c>
      <c r="B5682" s="17">
        <v>2022</v>
      </c>
      <c r="C5682" s="21" t="s">
        <v>914</v>
      </c>
      <c r="D5682" s="17">
        <v>5093</v>
      </c>
      <c r="E5682" s="17" t="s">
        <v>1449</v>
      </c>
      <c r="F5682" s="23">
        <v>518095</v>
      </c>
    </row>
    <row r="5683" spans="1:6" ht="17" x14ac:dyDescent="0.2">
      <c r="A5683">
        <f>IFERROR(VLOOKUP(C5683,'GASB Match'!$D$2:$F$6042,3,FALSE),"")</f>
        <v>3400729</v>
      </c>
      <c r="B5683" s="17">
        <v>2023</v>
      </c>
      <c r="C5683" s="21" t="s">
        <v>914</v>
      </c>
      <c r="D5683" s="17">
        <v>5093</v>
      </c>
      <c r="E5683" s="17" t="s">
        <v>1449</v>
      </c>
      <c r="F5683" s="23">
        <v>509866</v>
      </c>
    </row>
    <row r="5684" spans="1:6" x14ac:dyDescent="0.2">
      <c r="A5684">
        <f>IFERROR(VLOOKUP(C5684,'GASB Match'!$D$2:$F$6042,3,FALSE),"")</f>
        <v>3400729</v>
      </c>
      <c r="B5684" s="28">
        <v>2017</v>
      </c>
      <c r="C5684" s="29" t="s">
        <v>228</v>
      </c>
      <c r="D5684" s="17">
        <v>5093</v>
      </c>
      <c r="E5684" s="17" t="s">
        <v>1408</v>
      </c>
      <c r="F5684" s="29">
        <v>148738</v>
      </c>
    </row>
    <row r="5685" spans="1:6" x14ac:dyDescent="0.2">
      <c r="A5685">
        <f>IFERROR(VLOOKUP(C5685,'GASB Match'!$D$2:$F$6042,3,FALSE),"")</f>
        <v>3400742</v>
      </c>
      <c r="B5685" s="17">
        <v>2015</v>
      </c>
      <c r="C5685" s="17" t="s">
        <v>269</v>
      </c>
      <c r="D5685" s="17">
        <v>6104</v>
      </c>
      <c r="E5685" s="17" t="s">
        <v>1411</v>
      </c>
      <c r="F5685" s="20">
        <v>65226</v>
      </c>
    </row>
    <row r="5686" spans="1:6" x14ac:dyDescent="0.2">
      <c r="A5686">
        <f>IFERROR(VLOOKUP(C5686,'GASB Match'!$D$2:$F$6042,3,FALSE),"")</f>
        <v>3400742</v>
      </c>
      <c r="B5686" s="17">
        <v>2016</v>
      </c>
      <c r="C5686" s="17" t="s">
        <v>269</v>
      </c>
      <c r="D5686" s="17">
        <v>6104</v>
      </c>
      <c r="E5686" s="17" t="s">
        <v>1411</v>
      </c>
      <c r="F5686" s="20">
        <v>109585</v>
      </c>
    </row>
    <row r="5687" spans="1:6" x14ac:dyDescent="0.2">
      <c r="A5687">
        <f>IFERROR(VLOOKUP(C5687,'GASB Match'!$D$2:$F$6042,3,FALSE),"")</f>
        <v>3400742</v>
      </c>
      <c r="B5687" s="17">
        <v>2018</v>
      </c>
      <c r="C5687" s="17" t="s">
        <v>959</v>
      </c>
      <c r="D5687" s="17">
        <v>6104</v>
      </c>
      <c r="E5687" s="17" t="s">
        <v>1452</v>
      </c>
      <c r="F5687" s="20">
        <v>15339</v>
      </c>
    </row>
    <row r="5688" spans="1:6" x14ac:dyDescent="0.2">
      <c r="A5688">
        <f>IFERROR(VLOOKUP(C5688,'GASB Match'!$D$2:$F$6042,3,FALSE),"")</f>
        <v>3400742</v>
      </c>
      <c r="B5688" s="17">
        <v>2019</v>
      </c>
      <c r="C5688" s="17" t="s">
        <v>959</v>
      </c>
      <c r="D5688" s="17">
        <v>6104</v>
      </c>
      <c r="E5688" s="17" t="s">
        <v>1452</v>
      </c>
      <c r="F5688" s="20">
        <v>9908</v>
      </c>
    </row>
    <row r="5689" spans="1:6" x14ac:dyDescent="0.2">
      <c r="A5689">
        <f>IFERROR(VLOOKUP(C5689,'GASB Match'!$D$2:$F$6042,3,FALSE),"")</f>
        <v>3400742</v>
      </c>
      <c r="B5689" s="28">
        <v>2017</v>
      </c>
      <c r="C5689" s="29" t="s">
        <v>269</v>
      </c>
      <c r="D5689" s="17">
        <v>6104</v>
      </c>
      <c r="E5689" s="17" t="s">
        <v>1411</v>
      </c>
      <c r="F5689" s="29">
        <v>68379</v>
      </c>
    </row>
    <row r="5690" spans="1:6" x14ac:dyDescent="0.2">
      <c r="A5690">
        <f>IFERROR(VLOOKUP(C5690,'GASB Match'!$D$2:$F$6042,3,FALSE),"")</f>
        <v>3416830</v>
      </c>
      <c r="B5690" s="17">
        <v>2015</v>
      </c>
      <c r="C5690" s="17" t="s">
        <v>191</v>
      </c>
      <c r="D5690" s="17">
        <v>4063</v>
      </c>
      <c r="E5690" s="17" t="s">
        <v>1405</v>
      </c>
      <c r="F5690" s="20">
        <v>1242535</v>
      </c>
    </row>
    <row r="5691" spans="1:6" x14ac:dyDescent="0.2">
      <c r="A5691">
        <f>IFERROR(VLOOKUP(C5691,'GASB Match'!$D$2:$F$6042,3,FALSE),"")</f>
        <v>3416830</v>
      </c>
      <c r="B5691" s="17">
        <v>2016</v>
      </c>
      <c r="C5691" s="17" t="s">
        <v>191</v>
      </c>
      <c r="D5691" s="17">
        <v>4063</v>
      </c>
      <c r="E5691" s="17" t="s">
        <v>1405</v>
      </c>
      <c r="F5691" s="20">
        <v>1805215</v>
      </c>
    </row>
    <row r="5692" spans="1:6" x14ac:dyDescent="0.2">
      <c r="A5692">
        <f>IFERROR(VLOOKUP(C5692,'GASB Match'!$D$2:$F$6042,3,FALSE),"")</f>
        <v>3416830</v>
      </c>
      <c r="B5692" s="17">
        <v>2018</v>
      </c>
      <c r="C5692" s="17" t="s">
        <v>875</v>
      </c>
      <c r="D5692" s="17">
        <v>4063</v>
      </c>
      <c r="E5692" s="17" t="s">
        <v>1446</v>
      </c>
      <c r="F5692" s="20">
        <v>3181819</v>
      </c>
    </row>
    <row r="5693" spans="1:6" x14ac:dyDescent="0.2">
      <c r="A5693">
        <f>IFERROR(VLOOKUP(C5693,'GASB Match'!$D$2:$F$6042,3,FALSE),"")</f>
        <v>3416830</v>
      </c>
      <c r="B5693" s="17">
        <v>2019</v>
      </c>
      <c r="C5693" s="17" t="s">
        <v>875</v>
      </c>
      <c r="D5693" s="17">
        <v>4063</v>
      </c>
      <c r="E5693" s="17" t="s">
        <v>1446</v>
      </c>
      <c r="F5693" s="20">
        <v>4258342</v>
      </c>
    </row>
    <row r="5694" spans="1:6" ht="17" x14ac:dyDescent="0.2">
      <c r="A5694">
        <f>IFERROR(VLOOKUP(C5694,'GASB Match'!$D$2:$F$6042,3,FALSE),"")</f>
        <v>3416830</v>
      </c>
      <c r="B5694" s="17">
        <v>2020</v>
      </c>
      <c r="C5694" s="21" t="s">
        <v>875</v>
      </c>
      <c r="D5694" s="17">
        <v>4063</v>
      </c>
      <c r="E5694" s="17" t="s">
        <v>1446</v>
      </c>
      <c r="F5694" s="23">
        <v>4731188</v>
      </c>
    </row>
    <row r="5695" spans="1:6" ht="17" x14ac:dyDescent="0.2">
      <c r="A5695">
        <f>IFERROR(VLOOKUP(C5695,'GASB Match'!$D$2:$F$6042,3,FALSE),"")</f>
        <v>3416830</v>
      </c>
      <c r="B5695" s="17">
        <v>2021</v>
      </c>
      <c r="C5695" s="25" t="s">
        <v>875</v>
      </c>
      <c r="D5695" s="17">
        <v>4063</v>
      </c>
      <c r="E5695" s="17" t="s">
        <v>1446</v>
      </c>
      <c r="F5695" s="23">
        <v>6098464</v>
      </c>
    </row>
    <row r="5696" spans="1:6" ht="17" x14ac:dyDescent="0.2">
      <c r="A5696">
        <f>IFERROR(VLOOKUP(C5696,'GASB Match'!$D$2:$F$6042,3,FALSE),"")</f>
        <v>3416830</v>
      </c>
      <c r="B5696" s="17">
        <v>2022</v>
      </c>
      <c r="C5696" s="21" t="s">
        <v>875</v>
      </c>
      <c r="D5696" s="17">
        <v>4063</v>
      </c>
      <c r="E5696" s="17" t="s">
        <v>1446</v>
      </c>
      <c r="F5696" s="23">
        <v>8648582</v>
      </c>
    </row>
    <row r="5697" spans="1:6" ht="17" x14ac:dyDescent="0.2">
      <c r="A5697">
        <f>IFERROR(VLOOKUP(C5697,'GASB Match'!$D$2:$F$6042,3,FALSE),"")</f>
        <v>3416830</v>
      </c>
      <c r="B5697" s="17">
        <v>2023</v>
      </c>
      <c r="C5697" s="21" t="s">
        <v>875</v>
      </c>
      <c r="D5697" s="17">
        <v>4063</v>
      </c>
      <c r="E5697" s="17" t="s">
        <v>1446</v>
      </c>
      <c r="F5697" s="23">
        <v>8458343</v>
      </c>
    </row>
    <row r="5698" spans="1:6" x14ac:dyDescent="0.2">
      <c r="A5698">
        <f>IFERROR(VLOOKUP(C5698,'GASB Match'!$D$2:$F$6042,3,FALSE),"")</f>
        <v>3416830</v>
      </c>
      <c r="B5698" s="28">
        <v>2017</v>
      </c>
      <c r="C5698" s="29" t="s">
        <v>191</v>
      </c>
      <c r="D5698" s="17">
        <v>4063</v>
      </c>
      <c r="E5698" s="17" t="s">
        <v>1405</v>
      </c>
      <c r="F5698" s="29">
        <v>2425508</v>
      </c>
    </row>
    <row r="5699" spans="1:6" x14ac:dyDescent="0.2">
      <c r="A5699">
        <f>IFERROR(VLOOKUP(C5699,'GASB Match'!$D$2:$F$6042,3,FALSE),"")</f>
        <v>3416860</v>
      </c>
      <c r="B5699" s="17">
        <v>2015</v>
      </c>
      <c r="C5699" s="17" t="s">
        <v>100</v>
      </c>
      <c r="D5699" s="17">
        <v>2086</v>
      </c>
      <c r="E5699" s="17" t="s">
        <v>1402</v>
      </c>
      <c r="F5699" s="20">
        <v>662463</v>
      </c>
    </row>
    <row r="5700" spans="1:6" x14ac:dyDescent="0.2">
      <c r="A5700">
        <f>IFERROR(VLOOKUP(C5700,'GASB Match'!$D$2:$F$6042,3,FALSE),"")</f>
        <v>3416860</v>
      </c>
      <c r="B5700" s="17">
        <v>2016</v>
      </c>
      <c r="C5700" s="17" t="s">
        <v>100</v>
      </c>
      <c r="D5700" s="17">
        <v>2086</v>
      </c>
      <c r="E5700" s="17" t="s">
        <v>1402</v>
      </c>
      <c r="F5700" s="20">
        <v>970655</v>
      </c>
    </row>
    <row r="5701" spans="1:6" x14ac:dyDescent="0.2">
      <c r="A5701">
        <f>IFERROR(VLOOKUP(C5701,'GASB Match'!$D$2:$F$6042,3,FALSE),"")</f>
        <v>3416860</v>
      </c>
      <c r="B5701" s="17">
        <v>2018</v>
      </c>
      <c r="C5701" s="17" t="s">
        <v>780</v>
      </c>
      <c r="D5701" s="17">
        <v>2086</v>
      </c>
      <c r="E5701" s="17" t="s">
        <v>1443</v>
      </c>
      <c r="F5701" s="20">
        <v>1905580</v>
      </c>
    </row>
    <row r="5702" spans="1:6" x14ac:dyDescent="0.2">
      <c r="A5702">
        <f>IFERROR(VLOOKUP(C5702,'GASB Match'!$D$2:$F$6042,3,FALSE),"")</f>
        <v>3416860</v>
      </c>
      <c r="B5702" s="17">
        <v>2019</v>
      </c>
      <c r="C5702" s="17" t="s">
        <v>780</v>
      </c>
      <c r="D5702" s="17">
        <v>2086</v>
      </c>
      <c r="E5702" s="17" t="s">
        <v>1443</v>
      </c>
      <c r="F5702" s="20">
        <v>2524206</v>
      </c>
    </row>
    <row r="5703" spans="1:6" ht="17" x14ac:dyDescent="0.2">
      <c r="A5703">
        <f>IFERROR(VLOOKUP(C5703,'GASB Match'!$D$2:$F$6042,3,FALSE),"")</f>
        <v>3416860</v>
      </c>
      <c r="B5703" s="17">
        <v>2020</v>
      </c>
      <c r="C5703" s="21" t="s">
        <v>780</v>
      </c>
      <c r="D5703" s="17">
        <v>2086</v>
      </c>
      <c r="E5703" s="17" t="s">
        <v>1443</v>
      </c>
      <c r="F5703" s="23">
        <v>2828060</v>
      </c>
    </row>
    <row r="5704" spans="1:6" ht="17" x14ac:dyDescent="0.2">
      <c r="A5704">
        <f>IFERROR(VLOOKUP(C5704,'GASB Match'!$D$2:$F$6042,3,FALSE),"")</f>
        <v>3416860</v>
      </c>
      <c r="B5704" s="17">
        <v>2021</v>
      </c>
      <c r="C5704" s="25" t="s">
        <v>780</v>
      </c>
      <c r="D5704" s="17">
        <v>2086</v>
      </c>
      <c r="E5704" s="17" t="s">
        <v>1443</v>
      </c>
      <c r="F5704" s="23">
        <v>3739262</v>
      </c>
    </row>
    <row r="5705" spans="1:6" ht="17" x14ac:dyDescent="0.2">
      <c r="A5705">
        <f>IFERROR(VLOOKUP(C5705,'GASB Match'!$D$2:$F$6042,3,FALSE),"")</f>
        <v>3416860</v>
      </c>
      <c r="B5705" s="17">
        <v>2022</v>
      </c>
      <c r="C5705" s="21" t="s">
        <v>780</v>
      </c>
      <c r="D5705" s="17">
        <v>2086</v>
      </c>
      <c r="E5705" s="17" t="s">
        <v>1443</v>
      </c>
      <c r="F5705" s="23">
        <v>5164242</v>
      </c>
    </row>
    <row r="5706" spans="1:6" ht="17" x14ac:dyDescent="0.2">
      <c r="A5706">
        <f>IFERROR(VLOOKUP(C5706,'GASB Match'!$D$2:$F$6042,3,FALSE),"")</f>
        <v>3416860</v>
      </c>
      <c r="B5706" s="17">
        <v>2023</v>
      </c>
      <c r="C5706" s="21" t="s">
        <v>780</v>
      </c>
      <c r="D5706" s="17">
        <v>2086</v>
      </c>
      <c r="E5706" s="17" t="s">
        <v>1443</v>
      </c>
      <c r="F5706" s="23">
        <v>5285152</v>
      </c>
    </row>
    <row r="5707" spans="1:6" x14ac:dyDescent="0.2">
      <c r="A5707">
        <f>IFERROR(VLOOKUP(C5707,'GASB Match'!$D$2:$F$6042,3,FALSE),"")</f>
        <v>3416860</v>
      </c>
      <c r="B5707" s="28">
        <v>2017</v>
      </c>
      <c r="C5707" s="29" t="s">
        <v>100</v>
      </c>
      <c r="D5707" s="17">
        <v>2086</v>
      </c>
      <c r="E5707" s="17" t="s">
        <v>1402</v>
      </c>
      <c r="F5707" s="29">
        <v>1434678</v>
      </c>
    </row>
    <row r="5708" spans="1:6" x14ac:dyDescent="0.2">
      <c r="A5708">
        <f>IFERROR(VLOOKUP(C5708,'GASB Match'!$D$2:$F$6042,3,FALSE),"")</f>
        <v>3416890</v>
      </c>
      <c r="B5708" s="17">
        <v>2015</v>
      </c>
      <c r="C5708" s="17" t="s">
        <v>452</v>
      </c>
      <c r="D5708" s="17">
        <v>362</v>
      </c>
      <c r="E5708" s="17" t="s">
        <v>1420</v>
      </c>
      <c r="F5708" s="20">
        <v>1507089</v>
      </c>
    </row>
    <row r="5709" spans="1:6" x14ac:dyDescent="0.2">
      <c r="A5709">
        <f>IFERROR(VLOOKUP(C5709,'GASB Match'!$D$2:$F$6042,3,FALSE),"")</f>
        <v>3416890</v>
      </c>
      <c r="B5709" s="17">
        <v>2016</v>
      </c>
      <c r="C5709" s="17" t="s">
        <v>452</v>
      </c>
      <c r="D5709" s="17">
        <v>362</v>
      </c>
      <c r="E5709" s="17" t="s">
        <v>1420</v>
      </c>
      <c r="F5709" s="20">
        <v>2252644</v>
      </c>
    </row>
    <row r="5710" spans="1:6" x14ac:dyDescent="0.2">
      <c r="A5710">
        <f>IFERROR(VLOOKUP(C5710,'GASB Match'!$D$2:$F$6042,3,FALSE),"")</f>
        <v>3416890</v>
      </c>
      <c r="B5710" s="17">
        <v>2018</v>
      </c>
      <c r="C5710" s="17" t="s">
        <v>1144</v>
      </c>
      <c r="D5710" s="17">
        <v>362</v>
      </c>
      <c r="E5710" s="17" t="s">
        <v>1463</v>
      </c>
      <c r="F5710" s="20">
        <v>4410141</v>
      </c>
    </row>
    <row r="5711" spans="1:6" x14ac:dyDescent="0.2">
      <c r="A5711">
        <f>IFERROR(VLOOKUP(C5711,'GASB Match'!$D$2:$F$6042,3,FALSE),"")</f>
        <v>3416890</v>
      </c>
      <c r="B5711" s="17">
        <v>2019</v>
      </c>
      <c r="C5711" s="17" t="s">
        <v>1144</v>
      </c>
      <c r="D5711" s="17">
        <v>362</v>
      </c>
      <c r="E5711" s="17" t="s">
        <v>1463</v>
      </c>
      <c r="F5711" s="20">
        <v>5721103</v>
      </c>
    </row>
    <row r="5712" spans="1:6" ht="17" x14ac:dyDescent="0.2">
      <c r="A5712">
        <f>IFERROR(VLOOKUP(C5712,'GASB Match'!$D$2:$F$6042,3,FALSE),"")</f>
        <v>3416890</v>
      </c>
      <c r="B5712" s="17">
        <v>2020</v>
      </c>
      <c r="C5712" s="21" t="s">
        <v>1144</v>
      </c>
      <c r="D5712" s="17">
        <v>362</v>
      </c>
      <c r="E5712" s="17" t="s">
        <v>1463</v>
      </c>
      <c r="F5712" s="23">
        <v>6531284</v>
      </c>
    </row>
    <row r="5713" spans="1:6" ht="17" x14ac:dyDescent="0.2">
      <c r="A5713">
        <f>IFERROR(VLOOKUP(C5713,'GASB Match'!$D$2:$F$6042,3,FALSE),"")</f>
        <v>3416890</v>
      </c>
      <c r="B5713" s="17">
        <v>2021</v>
      </c>
      <c r="C5713" s="25" t="s">
        <v>1144</v>
      </c>
      <c r="D5713" s="17">
        <v>362</v>
      </c>
      <c r="E5713" s="17" t="s">
        <v>1463</v>
      </c>
      <c r="F5713" s="23">
        <v>8423224</v>
      </c>
    </row>
    <row r="5714" spans="1:6" ht="17" x14ac:dyDescent="0.2">
      <c r="A5714">
        <f>IFERROR(VLOOKUP(C5714,'GASB Match'!$D$2:$F$6042,3,FALSE),"")</f>
        <v>3416890</v>
      </c>
      <c r="B5714" s="17">
        <v>2022</v>
      </c>
      <c r="C5714" s="21" t="s">
        <v>1144</v>
      </c>
      <c r="D5714" s="17">
        <v>362</v>
      </c>
      <c r="E5714" s="17" t="s">
        <v>1463</v>
      </c>
      <c r="F5714" s="23">
        <v>12173238</v>
      </c>
    </row>
    <row r="5715" spans="1:6" ht="17" x14ac:dyDescent="0.2">
      <c r="A5715">
        <f>IFERROR(VLOOKUP(C5715,'GASB Match'!$D$2:$F$6042,3,FALSE),"")</f>
        <v>3416890</v>
      </c>
      <c r="B5715" s="17">
        <v>2023</v>
      </c>
      <c r="C5715" s="21" t="s">
        <v>1144</v>
      </c>
      <c r="D5715" s="17">
        <v>362</v>
      </c>
      <c r="E5715" s="17" t="s">
        <v>1463</v>
      </c>
      <c r="F5715" s="23">
        <v>11994541</v>
      </c>
    </row>
    <row r="5716" spans="1:6" x14ac:dyDescent="0.2">
      <c r="A5716">
        <f>IFERROR(VLOOKUP(C5716,'GASB Match'!$D$2:$F$6042,3,FALSE),"")</f>
        <v>3416890</v>
      </c>
      <c r="B5716" s="28">
        <v>2017</v>
      </c>
      <c r="C5716" s="29" t="s">
        <v>452</v>
      </c>
      <c r="D5716" s="17">
        <v>362</v>
      </c>
      <c r="E5716" s="17" t="s">
        <v>1420</v>
      </c>
      <c r="F5716" s="29">
        <v>3325652</v>
      </c>
    </row>
    <row r="5717" spans="1:6" x14ac:dyDescent="0.2">
      <c r="A5717">
        <f>IFERROR(VLOOKUP(C5717,'GASB Match'!$D$2:$F$6042,3,FALSE),"")</f>
        <v>3416920</v>
      </c>
      <c r="B5717" s="17">
        <v>2015</v>
      </c>
      <c r="C5717" s="17" t="s">
        <v>101</v>
      </c>
      <c r="D5717" s="17">
        <v>2087</v>
      </c>
      <c r="E5717" s="17" t="s">
        <v>1402</v>
      </c>
      <c r="F5717" s="20">
        <v>399292</v>
      </c>
    </row>
    <row r="5718" spans="1:6" x14ac:dyDescent="0.2">
      <c r="A5718">
        <f>IFERROR(VLOOKUP(C5718,'GASB Match'!$D$2:$F$6042,3,FALSE),"")</f>
        <v>3416920</v>
      </c>
      <c r="B5718" s="17">
        <v>2016</v>
      </c>
      <c r="C5718" s="17" t="s">
        <v>101</v>
      </c>
      <c r="D5718" s="17">
        <v>2087</v>
      </c>
      <c r="E5718" s="17" t="s">
        <v>1402</v>
      </c>
      <c r="F5718" s="20">
        <v>585120</v>
      </c>
    </row>
    <row r="5719" spans="1:6" x14ac:dyDescent="0.2">
      <c r="A5719">
        <f>IFERROR(VLOOKUP(C5719,'GASB Match'!$D$2:$F$6042,3,FALSE),"")</f>
        <v>3416920</v>
      </c>
      <c r="B5719" s="17">
        <v>2018</v>
      </c>
      <c r="C5719" s="17" t="s">
        <v>781</v>
      </c>
      <c r="D5719" s="17">
        <v>2087</v>
      </c>
      <c r="E5719" s="17" t="s">
        <v>1443</v>
      </c>
      <c r="F5719" s="20">
        <v>1099005</v>
      </c>
    </row>
    <row r="5720" spans="1:6" x14ac:dyDescent="0.2">
      <c r="A5720">
        <f>IFERROR(VLOOKUP(C5720,'GASB Match'!$D$2:$F$6042,3,FALSE),"")</f>
        <v>3416920</v>
      </c>
      <c r="B5720" s="17">
        <v>2019</v>
      </c>
      <c r="C5720" s="17" t="s">
        <v>781</v>
      </c>
      <c r="D5720" s="17">
        <v>2087</v>
      </c>
      <c r="E5720" s="17" t="s">
        <v>1443</v>
      </c>
      <c r="F5720" s="20">
        <v>1514765</v>
      </c>
    </row>
    <row r="5721" spans="1:6" ht="17" x14ac:dyDescent="0.2">
      <c r="A5721">
        <f>IFERROR(VLOOKUP(C5721,'GASB Match'!$D$2:$F$6042,3,FALSE),"")</f>
        <v>3416920</v>
      </c>
      <c r="B5721" s="17">
        <v>2020</v>
      </c>
      <c r="C5721" s="21" t="s">
        <v>781</v>
      </c>
      <c r="D5721" s="17">
        <v>2087</v>
      </c>
      <c r="E5721" s="17" t="s">
        <v>1443</v>
      </c>
      <c r="F5721" s="23">
        <v>1691099</v>
      </c>
    </row>
    <row r="5722" spans="1:6" ht="17" x14ac:dyDescent="0.2">
      <c r="A5722">
        <f>IFERROR(VLOOKUP(C5722,'GASB Match'!$D$2:$F$6042,3,FALSE),"")</f>
        <v>3416920</v>
      </c>
      <c r="B5722" s="17">
        <v>2021</v>
      </c>
      <c r="C5722" s="25" t="s">
        <v>781</v>
      </c>
      <c r="D5722" s="17">
        <v>2087</v>
      </c>
      <c r="E5722" s="17" t="s">
        <v>1443</v>
      </c>
      <c r="F5722" s="23">
        <v>2184426</v>
      </c>
    </row>
    <row r="5723" spans="1:6" ht="17" x14ac:dyDescent="0.2">
      <c r="A5723">
        <f>IFERROR(VLOOKUP(C5723,'GASB Match'!$D$2:$F$6042,3,FALSE),"")</f>
        <v>3416920</v>
      </c>
      <c r="B5723" s="17">
        <v>2022</v>
      </c>
      <c r="C5723" s="21" t="s">
        <v>781</v>
      </c>
      <c r="D5723" s="17">
        <v>2087</v>
      </c>
      <c r="E5723" s="17" t="s">
        <v>1443</v>
      </c>
      <c r="F5723" s="23">
        <v>3105115</v>
      </c>
    </row>
    <row r="5724" spans="1:6" ht="17" x14ac:dyDescent="0.2">
      <c r="A5724">
        <f>IFERROR(VLOOKUP(C5724,'GASB Match'!$D$2:$F$6042,3,FALSE),"")</f>
        <v>3416920</v>
      </c>
      <c r="B5724" s="17">
        <v>2023</v>
      </c>
      <c r="C5724" s="21" t="s">
        <v>781</v>
      </c>
      <c r="D5724" s="17">
        <v>2087</v>
      </c>
      <c r="E5724" s="17" t="s">
        <v>1443</v>
      </c>
      <c r="F5724" s="23">
        <v>3122575</v>
      </c>
    </row>
    <row r="5725" spans="1:6" x14ac:dyDescent="0.2">
      <c r="A5725">
        <f>IFERROR(VLOOKUP(C5725,'GASB Match'!$D$2:$F$6042,3,FALSE),"")</f>
        <v>3416920</v>
      </c>
      <c r="B5725" s="28">
        <v>2017</v>
      </c>
      <c r="C5725" s="29" t="s">
        <v>101</v>
      </c>
      <c r="D5725" s="17">
        <v>2087</v>
      </c>
      <c r="E5725" s="17" t="s">
        <v>1402</v>
      </c>
      <c r="F5725" s="29">
        <v>835656</v>
      </c>
    </row>
    <row r="5726" spans="1:6" x14ac:dyDescent="0.2">
      <c r="A5726">
        <f>IFERROR(VLOOKUP(C5726,'GASB Match'!$D$2:$F$6042,3,FALSE),"")</f>
        <v>3416870</v>
      </c>
      <c r="B5726" s="17">
        <v>2015</v>
      </c>
      <c r="C5726" s="17" t="s">
        <v>610</v>
      </c>
      <c r="D5726" s="17">
        <v>797</v>
      </c>
      <c r="E5726" s="17" t="s">
        <v>1426</v>
      </c>
      <c r="F5726" s="20">
        <v>337385</v>
      </c>
    </row>
    <row r="5727" spans="1:6" x14ac:dyDescent="0.2">
      <c r="A5727">
        <f>IFERROR(VLOOKUP(C5727,'GASB Match'!$D$2:$F$6042,3,FALSE),"")</f>
        <v>3416870</v>
      </c>
      <c r="B5727" s="17">
        <v>2016</v>
      </c>
      <c r="C5727" s="17" t="s">
        <v>610</v>
      </c>
      <c r="D5727" s="17">
        <v>797</v>
      </c>
      <c r="E5727" s="17" t="s">
        <v>1426</v>
      </c>
      <c r="F5727" s="20">
        <v>473519</v>
      </c>
    </row>
    <row r="5728" spans="1:6" x14ac:dyDescent="0.2">
      <c r="A5728">
        <f>IFERROR(VLOOKUP(C5728,'GASB Match'!$D$2:$F$6042,3,FALSE),"")</f>
        <v>3416870</v>
      </c>
      <c r="B5728" s="17">
        <v>2018</v>
      </c>
      <c r="C5728" s="17" t="s">
        <v>1303</v>
      </c>
      <c r="D5728" s="17">
        <v>797</v>
      </c>
      <c r="E5728" s="17" t="s">
        <v>1469</v>
      </c>
      <c r="F5728" s="20">
        <v>887168</v>
      </c>
    </row>
    <row r="5729" spans="1:6" x14ac:dyDescent="0.2">
      <c r="A5729">
        <f>IFERROR(VLOOKUP(C5729,'GASB Match'!$D$2:$F$6042,3,FALSE),"")</f>
        <v>3416870</v>
      </c>
      <c r="B5729" s="17">
        <v>2019</v>
      </c>
      <c r="C5729" s="17" t="s">
        <v>1303</v>
      </c>
      <c r="D5729" s="17">
        <v>797</v>
      </c>
      <c r="E5729" s="17" t="s">
        <v>1469</v>
      </c>
      <c r="F5729" s="20">
        <v>1184410</v>
      </c>
    </row>
    <row r="5730" spans="1:6" ht="17" x14ac:dyDescent="0.2">
      <c r="A5730">
        <f>IFERROR(VLOOKUP(C5730,'GASB Match'!$D$2:$F$6042,3,FALSE),"")</f>
        <v>3416870</v>
      </c>
      <c r="B5730" s="17">
        <v>2020</v>
      </c>
      <c r="C5730" s="21" t="s">
        <v>1303</v>
      </c>
      <c r="D5730" s="17">
        <v>797</v>
      </c>
      <c r="E5730" s="17" t="s">
        <v>1469</v>
      </c>
      <c r="F5730" s="23">
        <v>1324433</v>
      </c>
    </row>
    <row r="5731" spans="1:6" ht="17" x14ac:dyDescent="0.2">
      <c r="A5731">
        <f>IFERROR(VLOOKUP(C5731,'GASB Match'!$D$2:$F$6042,3,FALSE),"")</f>
        <v>3416870</v>
      </c>
      <c r="B5731" s="17">
        <v>2021</v>
      </c>
      <c r="C5731" s="25" t="s">
        <v>1303</v>
      </c>
      <c r="D5731" s="17">
        <v>797</v>
      </c>
      <c r="E5731" s="17" t="s">
        <v>1469</v>
      </c>
      <c r="F5731" s="23">
        <v>1728632</v>
      </c>
    </row>
    <row r="5732" spans="1:6" ht="17" x14ac:dyDescent="0.2">
      <c r="A5732">
        <f>IFERROR(VLOOKUP(C5732,'GASB Match'!$D$2:$F$6042,3,FALSE),"")</f>
        <v>3416870</v>
      </c>
      <c r="B5732" s="17">
        <v>2022</v>
      </c>
      <c r="C5732" s="21" t="s">
        <v>1303</v>
      </c>
      <c r="D5732" s="17">
        <v>797</v>
      </c>
      <c r="E5732" s="17" t="s">
        <v>1469</v>
      </c>
      <c r="F5732" s="23">
        <v>2348956</v>
      </c>
    </row>
    <row r="5733" spans="1:6" ht="17" x14ac:dyDescent="0.2">
      <c r="A5733">
        <f>IFERROR(VLOOKUP(C5733,'GASB Match'!$D$2:$F$6042,3,FALSE),"")</f>
        <v>3416870</v>
      </c>
      <c r="B5733" s="17">
        <v>2023</v>
      </c>
      <c r="C5733" s="21" t="s">
        <v>1303</v>
      </c>
      <c r="D5733" s="17">
        <v>797</v>
      </c>
      <c r="E5733" s="17" t="s">
        <v>1469</v>
      </c>
      <c r="F5733" s="23">
        <v>2290654</v>
      </c>
    </row>
    <row r="5734" spans="1:6" x14ac:dyDescent="0.2">
      <c r="A5734">
        <f>IFERROR(VLOOKUP(C5734,'GASB Match'!$D$2:$F$6042,3,FALSE),"")</f>
        <v>3416870</v>
      </c>
      <c r="B5734" s="28">
        <v>2017</v>
      </c>
      <c r="C5734" s="29" t="s">
        <v>610</v>
      </c>
      <c r="D5734" s="17">
        <v>797</v>
      </c>
      <c r="E5734" s="17" t="s">
        <v>1426</v>
      </c>
      <c r="F5734" s="29">
        <v>629793</v>
      </c>
    </row>
    <row r="5735" spans="1:6" x14ac:dyDescent="0.2">
      <c r="A5735">
        <f>IFERROR(VLOOKUP(C5735,'GASB Match'!$D$2:$F$6042,3,FALSE),"")</f>
        <v>3416950</v>
      </c>
      <c r="B5735" s="17">
        <v>2015</v>
      </c>
      <c r="C5735" s="17" t="s">
        <v>545</v>
      </c>
      <c r="D5735" s="17">
        <v>641</v>
      </c>
      <c r="E5735" s="17" t="s">
        <v>1423</v>
      </c>
      <c r="F5735" s="20">
        <v>420533</v>
      </c>
    </row>
    <row r="5736" spans="1:6" x14ac:dyDescent="0.2">
      <c r="A5736">
        <f>IFERROR(VLOOKUP(C5736,'GASB Match'!$D$2:$F$6042,3,FALSE),"")</f>
        <v>3416950</v>
      </c>
      <c r="B5736" s="17">
        <v>2016</v>
      </c>
      <c r="C5736" s="17" t="s">
        <v>545</v>
      </c>
      <c r="D5736" s="17">
        <v>641</v>
      </c>
      <c r="E5736" s="17" t="s">
        <v>1423</v>
      </c>
      <c r="F5736" s="20">
        <v>601572</v>
      </c>
    </row>
    <row r="5737" spans="1:6" x14ac:dyDescent="0.2">
      <c r="A5737">
        <f>IFERROR(VLOOKUP(C5737,'GASB Match'!$D$2:$F$6042,3,FALSE),"")</f>
        <v>3416950</v>
      </c>
      <c r="B5737" s="17">
        <v>2018</v>
      </c>
      <c r="C5737" s="17" t="s">
        <v>1237</v>
      </c>
      <c r="D5737" s="17">
        <v>641</v>
      </c>
      <c r="E5737" s="17" t="s">
        <v>1466</v>
      </c>
      <c r="F5737" s="20">
        <v>1121243</v>
      </c>
    </row>
    <row r="5738" spans="1:6" x14ac:dyDescent="0.2">
      <c r="A5738">
        <f>IFERROR(VLOOKUP(C5738,'GASB Match'!$D$2:$F$6042,3,FALSE),"")</f>
        <v>3416950</v>
      </c>
      <c r="B5738" s="17">
        <v>2019</v>
      </c>
      <c r="C5738" s="17" t="s">
        <v>1237</v>
      </c>
      <c r="D5738" s="17">
        <v>641</v>
      </c>
      <c r="E5738" s="17" t="s">
        <v>1466</v>
      </c>
      <c r="F5738" s="20">
        <v>1494262</v>
      </c>
    </row>
    <row r="5739" spans="1:6" ht="17" x14ac:dyDescent="0.2">
      <c r="A5739">
        <f>IFERROR(VLOOKUP(C5739,'GASB Match'!$D$2:$F$6042,3,FALSE),"")</f>
        <v>3416950</v>
      </c>
      <c r="B5739" s="17">
        <v>2020</v>
      </c>
      <c r="C5739" s="21" t="s">
        <v>1237</v>
      </c>
      <c r="D5739" s="17">
        <v>641</v>
      </c>
      <c r="E5739" s="17" t="s">
        <v>1466</v>
      </c>
      <c r="F5739" s="23">
        <v>1730215</v>
      </c>
    </row>
    <row r="5740" spans="1:6" ht="17" x14ac:dyDescent="0.2">
      <c r="A5740">
        <f>IFERROR(VLOOKUP(C5740,'GASB Match'!$D$2:$F$6042,3,FALSE),"")</f>
        <v>3416950</v>
      </c>
      <c r="B5740" s="17">
        <v>2021</v>
      </c>
      <c r="C5740" s="25" t="s">
        <v>1237</v>
      </c>
      <c r="D5740" s="17">
        <v>641</v>
      </c>
      <c r="E5740" s="17" t="s">
        <v>1466</v>
      </c>
      <c r="F5740" s="23">
        <v>2266449</v>
      </c>
    </row>
    <row r="5741" spans="1:6" ht="17" x14ac:dyDescent="0.2">
      <c r="A5741">
        <f>IFERROR(VLOOKUP(C5741,'GASB Match'!$D$2:$F$6042,3,FALSE),"")</f>
        <v>3416950</v>
      </c>
      <c r="B5741" s="17">
        <v>2022</v>
      </c>
      <c r="C5741" s="21" t="s">
        <v>1237</v>
      </c>
      <c r="D5741" s="17">
        <v>641</v>
      </c>
      <c r="E5741" s="17" t="s">
        <v>1466</v>
      </c>
      <c r="F5741" s="23">
        <v>2986592</v>
      </c>
    </row>
    <row r="5742" spans="1:6" ht="17" x14ac:dyDescent="0.2">
      <c r="A5742">
        <f>IFERROR(VLOOKUP(C5742,'GASB Match'!$D$2:$F$6042,3,FALSE),"")</f>
        <v>3416950</v>
      </c>
      <c r="B5742" s="17">
        <v>2023</v>
      </c>
      <c r="C5742" s="21" t="s">
        <v>1237</v>
      </c>
      <c r="D5742" s="17">
        <v>641</v>
      </c>
      <c r="E5742" s="17" t="s">
        <v>1466</v>
      </c>
      <c r="F5742" s="23">
        <v>3105593</v>
      </c>
    </row>
    <row r="5743" spans="1:6" x14ac:dyDescent="0.2">
      <c r="A5743">
        <f>IFERROR(VLOOKUP(C5743,'GASB Match'!$D$2:$F$6042,3,FALSE),"")</f>
        <v>3416950</v>
      </c>
      <c r="B5743" s="28">
        <v>2017</v>
      </c>
      <c r="C5743" s="29" t="s">
        <v>545</v>
      </c>
      <c r="D5743" s="17">
        <v>641</v>
      </c>
      <c r="E5743" s="17" t="s">
        <v>1423</v>
      </c>
      <c r="F5743" s="29">
        <v>827445</v>
      </c>
    </row>
    <row r="5744" spans="1:6" x14ac:dyDescent="0.2">
      <c r="A5744">
        <f>IFERROR(VLOOKUP(C5744,'GASB Match'!$D$2:$F$6042,3,FALSE),"")</f>
        <v>3480362</v>
      </c>
      <c r="B5744" s="17">
        <v>2015</v>
      </c>
      <c r="C5744" s="17" t="s">
        <v>656</v>
      </c>
      <c r="D5744" s="17">
        <v>936</v>
      </c>
      <c r="E5744" s="17" t="s">
        <v>1429</v>
      </c>
      <c r="F5744" s="20">
        <v>47665</v>
      </c>
    </row>
    <row r="5745" spans="1:6" x14ac:dyDescent="0.2">
      <c r="A5745">
        <f>IFERROR(VLOOKUP(C5745,'GASB Match'!$D$2:$F$6042,3,FALSE),"")</f>
        <v>3480362</v>
      </c>
      <c r="B5745" s="17">
        <v>2016</v>
      </c>
      <c r="C5745" s="17" t="s">
        <v>656</v>
      </c>
      <c r="D5745" s="17">
        <v>936</v>
      </c>
      <c r="E5745" s="17" t="s">
        <v>1429</v>
      </c>
      <c r="F5745" s="20">
        <v>94138</v>
      </c>
    </row>
    <row r="5746" spans="1:6" x14ac:dyDescent="0.2">
      <c r="A5746">
        <f>IFERROR(VLOOKUP(C5746,'GASB Match'!$D$2:$F$6042,3,FALSE),"")</f>
        <v>3480362</v>
      </c>
      <c r="B5746" s="17">
        <v>2018</v>
      </c>
      <c r="C5746" s="17" t="s">
        <v>1349</v>
      </c>
      <c r="D5746" s="17">
        <v>936</v>
      </c>
      <c r="E5746" s="17" t="s">
        <v>1472</v>
      </c>
      <c r="F5746" s="20">
        <v>193894</v>
      </c>
    </row>
    <row r="5747" spans="1:6" x14ac:dyDescent="0.2">
      <c r="A5747">
        <f>IFERROR(VLOOKUP(C5747,'GASB Match'!$D$2:$F$6042,3,FALSE),"")</f>
        <v>3480362</v>
      </c>
      <c r="B5747" s="17">
        <v>2019</v>
      </c>
      <c r="C5747" s="17" t="s">
        <v>1349</v>
      </c>
      <c r="D5747" s="17">
        <v>936</v>
      </c>
      <c r="E5747" s="17" t="s">
        <v>1472</v>
      </c>
      <c r="F5747" s="20">
        <v>206865</v>
      </c>
    </row>
    <row r="5748" spans="1:6" ht="17" x14ac:dyDescent="0.2">
      <c r="A5748">
        <f>IFERROR(VLOOKUP(C5748,'GASB Match'!$D$2:$F$6042,3,FALSE),"")</f>
        <v>3480362</v>
      </c>
      <c r="B5748" s="17">
        <v>2020</v>
      </c>
      <c r="C5748" s="21" t="s">
        <v>1349</v>
      </c>
      <c r="D5748" s="17">
        <v>936</v>
      </c>
      <c r="E5748" s="17" t="s">
        <v>1472</v>
      </c>
      <c r="F5748" s="24">
        <v>148801</v>
      </c>
    </row>
    <row r="5749" spans="1:6" ht="17" x14ac:dyDescent="0.2">
      <c r="A5749">
        <f>IFERROR(VLOOKUP(C5749,'GASB Match'!$D$2:$F$6042,3,FALSE),"")</f>
        <v>3480362</v>
      </c>
      <c r="B5749" s="17">
        <v>2021</v>
      </c>
      <c r="C5749" s="25" t="s">
        <v>1349</v>
      </c>
      <c r="D5749" s="17">
        <v>936</v>
      </c>
      <c r="E5749" s="17" t="s">
        <v>1472</v>
      </c>
      <c r="F5749" s="23">
        <v>38736</v>
      </c>
    </row>
    <row r="5750" spans="1:6" ht="17" x14ac:dyDescent="0.2">
      <c r="A5750">
        <f>IFERROR(VLOOKUP(C5750,'GASB Match'!$D$2:$F$6042,3,FALSE),"")</f>
        <v>3480362</v>
      </c>
      <c r="B5750" s="17">
        <v>2022</v>
      </c>
      <c r="C5750" s="21" t="s">
        <v>1349</v>
      </c>
      <c r="D5750" s="17">
        <v>936</v>
      </c>
      <c r="E5750" s="17" t="s">
        <v>1472</v>
      </c>
      <c r="F5750" s="23">
        <v>55420</v>
      </c>
    </row>
    <row r="5751" spans="1:6" x14ac:dyDescent="0.2">
      <c r="A5751">
        <f>IFERROR(VLOOKUP(C5751,'GASB Match'!$D$2:$F$6042,3,FALSE),"")</f>
        <v>3480362</v>
      </c>
      <c r="B5751" s="28">
        <v>2017</v>
      </c>
      <c r="C5751" s="29" t="s">
        <v>656</v>
      </c>
      <c r="D5751" s="17">
        <v>936</v>
      </c>
      <c r="E5751" s="17" t="s">
        <v>1429</v>
      </c>
      <c r="F5751" s="29">
        <v>143680</v>
      </c>
    </row>
    <row r="5752" spans="1:6" x14ac:dyDescent="0.2">
      <c r="A5752">
        <f>IFERROR(VLOOKUP(C5752,'GASB Match'!$D$2:$F$6042,3,FALSE),"")</f>
        <v>3417920</v>
      </c>
      <c r="B5752" s="17">
        <v>2015</v>
      </c>
      <c r="C5752" s="17" t="s">
        <v>657</v>
      </c>
      <c r="D5752" s="17">
        <v>989</v>
      </c>
      <c r="E5752" s="17" t="s">
        <v>1429</v>
      </c>
      <c r="F5752" s="20">
        <v>187774</v>
      </c>
    </row>
    <row r="5753" spans="1:6" x14ac:dyDescent="0.2">
      <c r="A5753">
        <f>IFERROR(VLOOKUP(C5753,'GASB Match'!$D$2:$F$6042,3,FALSE),"")</f>
        <v>3417920</v>
      </c>
      <c r="B5753" s="17">
        <v>2016</v>
      </c>
      <c r="C5753" s="17" t="s">
        <v>657</v>
      </c>
      <c r="D5753" s="17">
        <v>989</v>
      </c>
      <c r="E5753" s="17" t="s">
        <v>1429</v>
      </c>
      <c r="F5753" s="20">
        <v>279494</v>
      </c>
    </row>
    <row r="5754" spans="1:6" x14ac:dyDescent="0.2">
      <c r="A5754">
        <f>IFERROR(VLOOKUP(C5754,'GASB Match'!$D$2:$F$6042,3,FALSE),"")</f>
        <v>3417920</v>
      </c>
      <c r="B5754" s="17">
        <v>2018</v>
      </c>
      <c r="C5754" s="17" t="s">
        <v>1350</v>
      </c>
      <c r="D5754" s="17">
        <v>989</v>
      </c>
      <c r="E5754" s="17" t="s">
        <v>1472</v>
      </c>
      <c r="F5754" s="20">
        <v>508242</v>
      </c>
    </row>
    <row r="5755" spans="1:6" x14ac:dyDescent="0.2">
      <c r="A5755">
        <f>IFERROR(VLOOKUP(C5755,'GASB Match'!$D$2:$F$6042,3,FALSE),"")</f>
        <v>3417920</v>
      </c>
      <c r="B5755" s="17">
        <v>2019</v>
      </c>
      <c r="C5755" s="17" t="s">
        <v>1350</v>
      </c>
      <c r="D5755" s="17">
        <v>989</v>
      </c>
      <c r="E5755" s="17" t="s">
        <v>1472</v>
      </c>
      <c r="F5755" s="20">
        <v>708827</v>
      </c>
    </row>
    <row r="5756" spans="1:6" ht="17" x14ac:dyDescent="0.2">
      <c r="A5756">
        <f>IFERROR(VLOOKUP(C5756,'GASB Match'!$D$2:$F$6042,3,FALSE),"")</f>
        <v>3417920</v>
      </c>
      <c r="B5756" s="17">
        <v>2020</v>
      </c>
      <c r="C5756" s="21" t="s">
        <v>1350</v>
      </c>
      <c r="D5756" s="17">
        <v>989</v>
      </c>
      <c r="E5756" s="17" t="s">
        <v>1472</v>
      </c>
      <c r="F5756" s="23">
        <v>733271</v>
      </c>
    </row>
    <row r="5757" spans="1:6" ht="17" x14ac:dyDescent="0.2">
      <c r="A5757">
        <f>IFERROR(VLOOKUP(C5757,'GASB Match'!$D$2:$F$6042,3,FALSE),"")</f>
        <v>3417920</v>
      </c>
      <c r="B5757" s="17">
        <v>2021</v>
      </c>
      <c r="C5757" s="25" t="s">
        <v>1350</v>
      </c>
      <c r="D5757" s="17">
        <v>989</v>
      </c>
      <c r="E5757" s="17" t="s">
        <v>1472</v>
      </c>
      <c r="F5757" s="23">
        <v>904893</v>
      </c>
    </row>
    <row r="5758" spans="1:6" ht="17" x14ac:dyDescent="0.2">
      <c r="A5758">
        <f>IFERROR(VLOOKUP(C5758,'GASB Match'!$D$2:$F$6042,3,FALSE),"")</f>
        <v>3417920</v>
      </c>
      <c r="B5758" s="17">
        <v>2022</v>
      </c>
      <c r="C5758" s="21" t="s">
        <v>1350</v>
      </c>
      <c r="D5758" s="17">
        <v>989</v>
      </c>
      <c r="E5758" s="17" t="s">
        <v>1472</v>
      </c>
      <c r="F5758" s="23">
        <v>1334069</v>
      </c>
    </row>
    <row r="5759" spans="1:6" ht="17" x14ac:dyDescent="0.2">
      <c r="A5759">
        <f>IFERROR(VLOOKUP(C5759,'GASB Match'!$D$2:$F$6042,3,FALSE),"")</f>
        <v>3417920</v>
      </c>
      <c r="B5759" s="17">
        <v>2023</v>
      </c>
      <c r="C5759" s="21" t="s">
        <v>1350</v>
      </c>
      <c r="D5759" s="17">
        <v>989</v>
      </c>
      <c r="E5759" s="17" t="s">
        <v>1472</v>
      </c>
      <c r="F5759" s="23">
        <v>1410003</v>
      </c>
    </row>
    <row r="5760" spans="1:6" x14ac:dyDescent="0.2">
      <c r="A5760">
        <f>IFERROR(VLOOKUP(C5760,'GASB Match'!$D$2:$F$6042,3,FALSE),"")</f>
        <v>3417920</v>
      </c>
      <c r="B5760" s="28">
        <v>2017</v>
      </c>
      <c r="C5760" s="29" t="s">
        <v>657</v>
      </c>
      <c r="D5760" s="17">
        <v>989</v>
      </c>
      <c r="E5760" s="17" t="s">
        <v>1429</v>
      </c>
      <c r="F5760" s="29">
        <v>383271</v>
      </c>
    </row>
    <row r="5761" spans="1:6" x14ac:dyDescent="0.2">
      <c r="A5761">
        <f>IFERROR(VLOOKUP(C5761,'GASB Match'!$D$2:$F$6042,3,FALSE),"")</f>
        <v>3416970</v>
      </c>
      <c r="B5761" s="17">
        <v>2015</v>
      </c>
      <c r="C5761" s="17" t="s">
        <v>658</v>
      </c>
      <c r="D5761" s="17">
        <v>935</v>
      </c>
      <c r="E5761" s="17" t="s">
        <v>1429</v>
      </c>
      <c r="F5761" s="20">
        <v>695548</v>
      </c>
    </row>
    <row r="5762" spans="1:6" x14ac:dyDescent="0.2">
      <c r="A5762">
        <f>IFERROR(VLOOKUP(C5762,'GASB Match'!$D$2:$F$6042,3,FALSE),"")</f>
        <v>3416970</v>
      </c>
      <c r="B5762" s="17">
        <v>2016</v>
      </c>
      <c r="C5762" s="17" t="s">
        <v>658</v>
      </c>
      <c r="D5762" s="17">
        <v>935</v>
      </c>
      <c r="E5762" s="17" t="s">
        <v>1429</v>
      </c>
      <c r="F5762" s="20">
        <v>1054445</v>
      </c>
    </row>
    <row r="5763" spans="1:6" x14ac:dyDescent="0.2">
      <c r="A5763">
        <f>IFERROR(VLOOKUP(C5763,'GASB Match'!$D$2:$F$6042,3,FALSE),"")</f>
        <v>3416970</v>
      </c>
      <c r="B5763" s="17">
        <v>2018</v>
      </c>
      <c r="C5763" s="17" t="s">
        <v>1351</v>
      </c>
      <c r="D5763" s="17">
        <v>935</v>
      </c>
      <c r="E5763" s="17" t="s">
        <v>1472</v>
      </c>
      <c r="F5763" s="20">
        <v>2005859</v>
      </c>
    </row>
    <row r="5764" spans="1:6" x14ac:dyDescent="0.2">
      <c r="A5764">
        <f>IFERROR(VLOOKUP(C5764,'GASB Match'!$D$2:$F$6042,3,FALSE),"")</f>
        <v>3416970</v>
      </c>
      <c r="B5764" s="17">
        <v>2019</v>
      </c>
      <c r="C5764" s="17" t="s">
        <v>1351</v>
      </c>
      <c r="D5764" s="17">
        <v>935</v>
      </c>
      <c r="E5764" s="17" t="s">
        <v>1472</v>
      </c>
      <c r="F5764" s="20">
        <v>2724658</v>
      </c>
    </row>
    <row r="5765" spans="1:6" ht="17" x14ac:dyDescent="0.2">
      <c r="A5765">
        <f>IFERROR(VLOOKUP(C5765,'GASB Match'!$D$2:$F$6042,3,FALSE),"")</f>
        <v>3416970</v>
      </c>
      <c r="B5765" s="17">
        <v>2020</v>
      </c>
      <c r="C5765" s="21" t="s">
        <v>1351</v>
      </c>
      <c r="D5765" s="17">
        <v>935</v>
      </c>
      <c r="E5765" s="17" t="s">
        <v>1472</v>
      </c>
      <c r="F5765" s="23">
        <v>3026114</v>
      </c>
    </row>
    <row r="5766" spans="1:6" ht="17" x14ac:dyDescent="0.2">
      <c r="A5766">
        <f>IFERROR(VLOOKUP(C5766,'GASB Match'!$D$2:$F$6042,3,FALSE),"")</f>
        <v>3416970</v>
      </c>
      <c r="B5766" s="17">
        <v>2021</v>
      </c>
      <c r="C5766" s="25" t="s">
        <v>1351</v>
      </c>
      <c r="D5766" s="17">
        <v>935</v>
      </c>
      <c r="E5766" s="17" t="s">
        <v>1472</v>
      </c>
      <c r="F5766" s="26">
        <v>3879523</v>
      </c>
    </row>
    <row r="5767" spans="1:6" ht="17" x14ac:dyDescent="0.2">
      <c r="A5767">
        <f>IFERROR(VLOOKUP(C5767,'GASB Match'!$D$2:$F$6042,3,FALSE),"")</f>
        <v>3416970</v>
      </c>
      <c r="B5767" s="17">
        <v>2022</v>
      </c>
      <c r="C5767" s="21" t="s">
        <v>1351</v>
      </c>
      <c r="D5767" s="17">
        <v>935</v>
      </c>
      <c r="E5767" s="17" t="s">
        <v>1472</v>
      </c>
      <c r="F5767" s="23">
        <v>5628456</v>
      </c>
    </row>
    <row r="5768" spans="1:6" ht="17" x14ac:dyDescent="0.2">
      <c r="A5768">
        <f>IFERROR(VLOOKUP(C5768,'GASB Match'!$D$2:$F$6042,3,FALSE),"")</f>
        <v>3416970</v>
      </c>
      <c r="B5768" s="17">
        <v>2023</v>
      </c>
      <c r="C5768" s="21" t="s">
        <v>1351</v>
      </c>
      <c r="D5768" s="17">
        <v>935</v>
      </c>
      <c r="E5768" s="17" t="s">
        <v>1472</v>
      </c>
      <c r="F5768" s="23">
        <v>5482635</v>
      </c>
    </row>
    <row r="5769" spans="1:6" x14ac:dyDescent="0.2">
      <c r="A5769">
        <f>IFERROR(VLOOKUP(C5769,'GASB Match'!$D$2:$F$6042,3,FALSE),"")</f>
        <v>3416970</v>
      </c>
      <c r="B5769" s="28">
        <v>2017</v>
      </c>
      <c r="C5769" s="29" t="s">
        <v>658</v>
      </c>
      <c r="D5769" s="17">
        <v>935</v>
      </c>
      <c r="E5769" s="17" t="s">
        <v>1429</v>
      </c>
      <c r="F5769" s="29">
        <v>1484442</v>
      </c>
    </row>
    <row r="5770" spans="1:6" x14ac:dyDescent="0.2">
      <c r="A5770">
        <f>IFERROR(VLOOKUP(C5770,'GASB Match'!$D$2:$F$6042,3,FALSE),"")</f>
        <v>3416980</v>
      </c>
      <c r="B5770" s="17">
        <v>2015</v>
      </c>
      <c r="C5770" s="17" t="s">
        <v>580</v>
      </c>
      <c r="D5770" s="17">
        <v>757</v>
      </c>
      <c r="E5770" s="17" t="s">
        <v>1425</v>
      </c>
      <c r="F5770" s="20">
        <v>1006920</v>
      </c>
    </row>
    <row r="5771" spans="1:6" x14ac:dyDescent="0.2">
      <c r="A5771">
        <f>IFERROR(VLOOKUP(C5771,'GASB Match'!$D$2:$F$6042,3,FALSE),"")</f>
        <v>3416980</v>
      </c>
      <c r="B5771" s="17">
        <v>2016</v>
      </c>
      <c r="C5771" s="17" t="s">
        <v>580</v>
      </c>
      <c r="D5771" s="17">
        <v>757</v>
      </c>
      <c r="E5771" s="17" t="s">
        <v>1425</v>
      </c>
      <c r="F5771" s="20">
        <v>1474383</v>
      </c>
    </row>
    <row r="5772" spans="1:6" x14ac:dyDescent="0.2">
      <c r="A5772">
        <f>IFERROR(VLOOKUP(C5772,'GASB Match'!$D$2:$F$6042,3,FALSE),"")</f>
        <v>3416980</v>
      </c>
      <c r="B5772" s="17">
        <v>2018</v>
      </c>
      <c r="C5772" s="17" t="s">
        <v>1273</v>
      </c>
      <c r="D5772" s="17">
        <v>757</v>
      </c>
      <c r="E5772" s="17" t="s">
        <v>1468</v>
      </c>
      <c r="F5772" s="20">
        <v>2826384</v>
      </c>
    </row>
    <row r="5773" spans="1:6" x14ac:dyDescent="0.2">
      <c r="A5773">
        <f>IFERROR(VLOOKUP(C5773,'GASB Match'!$D$2:$F$6042,3,FALSE),"")</f>
        <v>3416980</v>
      </c>
      <c r="B5773" s="17">
        <v>2019</v>
      </c>
      <c r="C5773" s="17" t="s">
        <v>1273</v>
      </c>
      <c r="D5773" s="17">
        <v>757</v>
      </c>
      <c r="E5773" s="17" t="s">
        <v>1468</v>
      </c>
      <c r="F5773" s="20">
        <v>3814992</v>
      </c>
    </row>
    <row r="5774" spans="1:6" ht="17" x14ac:dyDescent="0.2">
      <c r="A5774">
        <f>IFERROR(VLOOKUP(C5774,'GASB Match'!$D$2:$F$6042,3,FALSE),"")</f>
        <v>3416980</v>
      </c>
      <c r="B5774" s="17">
        <v>2020</v>
      </c>
      <c r="C5774" s="21" t="s">
        <v>1273</v>
      </c>
      <c r="D5774" s="17">
        <v>757</v>
      </c>
      <c r="E5774" s="17" t="s">
        <v>1468</v>
      </c>
      <c r="F5774" s="23">
        <v>4137145</v>
      </c>
    </row>
    <row r="5775" spans="1:6" ht="17" x14ac:dyDescent="0.2">
      <c r="A5775">
        <f>IFERROR(VLOOKUP(C5775,'GASB Match'!$D$2:$F$6042,3,FALSE),"")</f>
        <v>3416980</v>
      </c>
      <c r="B5775" s="17">
        <v>2021</v>
      </c>
      <c r="C5775" s="25" t="s">
        <v>1273</v>
      </c>
      <c r="D5775" s="17">
        <v>757</v>
      </c>
      <c r="E5775" s="17" t="s">
        <v>1468</v>
      </c>
      <c r="F5775" s="23">
        <v>5340793</v>
      </c>
    </row>
    <row r="5776" spans="1:6" ht="17" x14ac:dyDescent="0.2">
      <c r="A5776">
        <f>IFERROR(VLOOKUP(C5776,'GASB Match'!$D$2:$F$6042,3,FALSE),"")</f>
        <v>3416980</v>
      </c>
      <c r="B5776" s="17">
        <v>2022</v>
      </c>
      <c r="C5776" s="21" t="s">
        <v>1273</v>
      </c>
      <c r="D5776" s="17">
        <v>757</v>
      </c>
      <c r="E5776" s="17" t="s">
        <v>1468</v>
      </c>
      <c r="F5776" s="23">
        <v>7616978</v>
      </c>
    </row>
    <row r="5777" spans="1:6" ht="17" x14ac:dyDescent="0.2">
      <c r="A5777">
        <f>IFERROR(VLOOKUP(C5777,'GASB Match'!$D$2:$F$6042,3,FALSE),"")</f>
        <v>3416980</v>
      </c>
      <c r="B5777" s="17">
        <v>2023</v>
      </c>
      <c r="C5777" s="21" t="s">
        <v>1273</v>
      </c>
      <c r="D5777" s="17">
        <v>757</v>
      </c>
      <c r="E5777" s="17" t="s">
        <v>1468</v>
      </c>
      <c r="F5777" s="23">
        <v>7493520</v>
      </c>
    </row>
    <row r="5778" spans="1:6" x14ac:dyDescent="0.2">
      <c r="A5778">
        <f>IFERROR(VLOOKUP(C5778,'GASB Match'!$D$2:$F$6042,3,FALSE),"")</f>
        <v>3416980</v>
      </c>
      <c r="B5778" s="28">
        <v>2017</v>
      </c>
      <c r="C5778" s="29" t="s">
        <v>580</v>
      </c>
      <c r="D5778" s="17">
        <v>757</v>
      </c>
      <c r="E5778" s="17" t="s">
        <v>1425</v>
      </c>
      <c r="F5778" s="29">
        <v>2072167</v>
      </c>
    </row>
    <row r="5779" spans="1:6" x14ac:dyDescent="0.2">
      <c r="A5779">
        <f>IFERROR(VLOOKUP(C5779,'GASB Match'!$D$2:$F$6042,3,FALSE),"")</f>
        <v>3417010</v>
      </c>
      <c r="B5779" s="17">
        <v>2015</v>
      </c>
      <c r="C5779" s="17" t="s">
        <v>659</v>
      </c>
      <c r="D5779" s="17">
        <v>932</v>
      </c>
      <c r="E5779" s="17" t="s">
        <v>1429</v>
      </c>
      <c r="F5779" s="20">
        <v>196864</v>
      </c>
    </row>
    <row r="5780" spans="1:6" x14ac:dyDescent="0.2">
      <c r="A5780">
        <f>IFERROR(VLOOKUP(C5780,'GASB Match'!$D$2:$F$6042,3,FALSE),"")</f>
        <v>3417010</v>
      </c>
      <c r="B5780" s="17">
        <v>2016</v>
      </c>
      <c r="C5780" s="17" t="s">
        <v>659</v>
      </c>
      <c r="D5780" s="17">
        <v>932</v>
      </c>
      <c r="E5780" s="17" t="s">
        <v>1429</v>
      </c>
      <c r="F5780" s="20">
        <v>303241</v>
      </c>
    </row>
    <row r="5781" spans="1:6" x14ac:dyDescent="0.2">
      <c r="A5781">
        <f>IFERROR(VLOOKUP(C5781,'GASB Match'!$D$2:$F$6042,3,FALSE),"")</f>
        <v>3417010</v>
      </c>
      <c r="B5781" s="17">
        <v>2018</v>
      </c>
      <c r="C5781" s="17" t="s">
        <v>1352</v>
      </c>
      <c r="D5781" s="17">
        <v>932</v>
      </c>
      <c r="E5781" s="17" t="s">
        <v>1472</v>
      </c>
      <c r="F5781" s="20">
        <v>503989</v>
      </c>
    </row>
    <row r="5782" spans="1:6" x14ac:dyDescent="0.2">
      <c r="A5782">
        <f>IFERROR(VLOOKUP(C5782,'GASB Match'!$D$2:$F$6042,3,FALSE),"")</f>
        <v>3417010</v>
      </c>
      <c r="B5782" s="17">
        <v>2019</v>
      </c>
      <c r="C5782" s="17" t="s">
        <v>1352</v>
      </c>
      <c r="D5782" s="17">
        <v>932</v>
      </c>
      <c r="E5782" s="17" t="s">
        <v>1472</v>
      </c>
      <c r="F5782" s="19">
        <v>671857</v>
      </c>
    </row>
    <row r="5783" spans="1:6" ht="17" x14ac:dyDescent="0.2">
      <c r="A5783">
        <f>IFERROR(VLOOKUP(C5783,'GASB Match'!$D$2:$F$6042,3,FALSE),"")</f>
        <v>3417010</v>
      </c>
      <c r="B5783" s="17">
        <v>2020</v>
      </c>
      <c r="C5783" s="21" t="s">
        <v>1352</v>
      </c>
      <c r="D5783" s="17">
        <v>932</v>
      </c>
      <c r="E5783" s="17" t="s">
        <v>1472</v>
      </c>
      <c r="F5783" s="23">
        <v>821539</v>
      </c>
    </row>
    <row r="5784" spans="1:6" ht="17" x14ac:dyDescent="0.2">
      <c r="A5784">
        <f>IFERROR(VLOOKUP(C5784,'GASB Match'!$D$2:$F$6042,3,FALSE),"")</f>
        <v>3417010</v>
      </c>
      <c r="B5784" s="17">
        <v>2021</v>
      </c>
      <c r="C5784" s="25" t="s">
        <v>1352</v>
      </c>
      <c r="D5784" s="17">
        <v>932</v>
      </c>
      <c r="E5784" s="17" t="s">
        <v>1472</v>
      </c>
      <c r="F5784" s="23">
        <v>1026310</v>
      </c>
    </row>
    <row r="5785" spans="1:6" ht="17" x14ac:dyDescent="0.2">
      <c r="A5785">
        <f>IFERROR(VLOOKUP(C5785,'GASB Match'!$D$2:$F$6042,3,FALSE),"")</f>
        <v>3417010</v>
      </c>
      <c r="B5785" s="17">
        <v>2022</v>
      </c>
      <c r="C5785" s="21" t="s">
        <v>1352</v>
      </c>
      <c r="D5785" s="17">
        <v>932</v>
      </c>
      <c r="E5785" s="17" t="s">
        <v>1472</v>
      </c>
      <c r="F5785" s="23">
        <v>1422539</v>
      </c>
    </row>
    <row r="5786" spans="1:6" ht="17" x14ac:dyDescent="0.2">
      <c r="A5786">
        <f>IFERROR(VLOOKUP(C5786,'GASB Match'!$D$2:$F$6042,3,FALSE),"")</f>
        <v>3417010</v>
      </c>
      <c r="B5786" s="17">
        <v>2023</v>
      </c>
      <c r="C5786" s="21" t="s">
        <v>1352</v>
      </c>
      <c r="D5786" s="17">
        <v>932</v>
      </c>
      <c r="E5786" s="17" t="s">
        <v>1472</v>
      </c>
      <c r="F5786" s="23">
        <v>1397002</v>
      </c>
    </row>
    <row r="5787" spans="1:6" x14ac:dyDescent="0.2">
      <c r="A5787">
        <f>IFERROR(VLOOKUP(C5787,'GASB Match'!$D$2:$F$6042,3,FALSE),"")</f>
        <v>3417010</v>
      </c>
      <c r="B5787" s="28">
        <v>2017</v>
      </c>
      <c r="C5787" s="29" t="s">
        <v>659</v>
      </c>
      <c r="D5787" s="17">
        <v>932</v>
      </c>
      <c r="E5787" s="17" t="s">
        <v>1429</v>
      </c>
      <c r="F5787" s="29">
        <v>407995</v>
      </c>
    </row>
    <row r="5788" spans="1:6" x14ac:dyDescent="0.2">
      <c r="A5788">
        <f>IFERROR(VLOOKUP(C5788,'GASB Match'!$D$2:$F$6042,3,FALSE),"")</f>
        <v>3417130</v>
      </c>
      <c r="B5788" s="17">
        <v>2015</v>
      </c>
      <c r="C5788" s="17" t="s">
        <v>491</v>
      </c>
      <c r="D5788" s="17">
        <v>446</v>
      </c>
      <c r="E5788" s="17" t="s">
        <v>1421</v>
      </c>
      <c r="F5788" s="20">
        <v>956553</v>
      </c>
    </row>
    <row r="5789" spans="1:6" x14ac:dyDescent="0.2">
      <c r="A5789">
        <f>IFERROR(VLOOKUP(C5789,'GASB Match'!$D$2:$F$6042,3,FALSE),"")</f>
        <v>3417130</v>
      </c>
      <c r="B5789" s="17">
        <v>2016</v>
      </c>
      <c r="C5789" s="17" t="s">
        <v>491</v>
      </c>
      <c r="D5789" s="17">
        <v>446</v>
      </c>
      <c r="E5789" s="17" t="s">
        <v>1421</v>
      </c>
      <c r="F5789" s="20">
        <v>1429272</v>
      </c>
    </row>
    <row r="5790" spans="1:6" x14ac:dyDescent="0.2">
      <c r="A5790">
        <f>IFERROR(VLOOKUP(C5790,'GASB Match'!$D$2:$F$6042,3,FALSE),"")</f>
        <v>3417130</v>
      </c>
      <c r="B5790" s="17">
        <v>2018</v>
      </c>
      <c r="C5790" s="17" t="s">
        <v>1183</v>
      </c>
      <c r="D5790" s="17">
        <v>446</v>
      </c>
      <c r="E5790" s="17" t="s">
        <v>1464</v>
      </c>
      <c r="F5790" s="20">
        <v>2727061</v>
      </c>
    </row>
    <row r="5791" spans="1:6" x14ac:dyDescent="0.2">
      <c r="A5791">
        <f>IFERROR(VLOOKUP(C5791,'GASB Match'!$D$2:$F$6042,3,FALSE),"")</f>
        <v>3417130</v>
      </c>
      <c r="B5791" s="17">
        <v>2019</v>
      </c>
      <c r="C5791" s="17" t="s">
        <v>1183</v>
      </c>
      <c r="D5791" s="17">
        <v>446</v>
      </c>
      <c r="E5791" s="17" t="s">
        <v>1464</v>
      </c>
      <c r="F5791" s="20">
        <v>3627189</v>
      </c>
    </row>
    <row r="5792" spans="1:6" ht="17" x14ac:dyDescent="0.2">
      <c r="A5792">
        <f>IFERROR(VLOOKUP(C5792,'GASB Match'!$D$2:$F$6042,3,FALSE),"")</f>
        <v>3417130</v>
      </c>
      <c r="B5792" s="17">
        <v>2020</v>
      </c>
      <c r="C5792" s="21" t="s">
        <v>1183</v>
      </c>
      <c r="D5792" s="17">
        <v>446</v>
      </c>
      <c r="E5792" s="17" t="s">
        <v>1464</v>
      </c>
      <c r="F5792" s="23">
        <v>3983989</v>
      </c>
    </row>
    <row r="5793" spans="1:6" ht="17" x14ac:dyDescent="0.2">
      <c r="A5793">
        <f>IFERROR(VLOOKUP(C5793,'GASB Match'!$D$2:$F$6042,3,FALSE),"")</f>
        <v>3417130</v>
      </c>
      <c r="B5793" s="17">
        <v>2021</v>
      </c>
      <c r="C5793" s="25" t="s">
        <v>1183</v>
      </c>
      <c r="D5793" s="17">
        <v>446</v>
      </c>
      <c r="E5793" s="17" t="s">
        <v>1464</v>
      </c>
      <c r="F5793" s="23">
        <v>5106275</v>
      </c>
    </row>
    <row r="5794" spans="1:6" ht="17" x14ac:dyDescent="0.2">
      <c r="A5794">
        <f>IFERROR(VLOOKUP(C5794,'GASB Match'!$D$2:$F$6042,3,FALSE),"")</f>
        <v>3417130</v>
      </c>
      <c r="B5794" s="17">
        <v>2022</v>
      </c>
      <c r="C5794" s="21" t="s">
        <v>1183</v>
      </c>
      <c r="D5794" s="17">
        <v>446</v>
      </c>
      <c r="E5794" s="17" t="s">
        <v>1464</v>
      </c>
      <c r="F5794" s="23">
        <v>7084835</v>
      </c>
    </row>
    <row r="5795" spans="1:6" ht="17" x14ac:dyDescent="0.2">
      <c r="A5795">
        <f>IFERROR(VLOOKUP(C5795,'GASB Match'!$D$2:$F$6042,3,FALSE),"")</f>
        <v>3417130</v>
      </c>
      <c r="B5795" s="17">
        <v>2023</v>
      </c>
      <c r="C5795" s="21" t="s">
        <v>1183</v>
      </c>
      <c r="D5795" s="17">
        <v>446</v>
      </c>
      <c r="E5795" s="17" t="s">
        <v>1464</v>
      </c>
      <c r="F5795" s="23">
        <v>7061924</v>
      </c>
    </row>
    <row r="5796" spans="1:6" x14ac:dyDescent="0.2">
      <c r="A5796">
        <f>IFERROR(VLOOKUP(C5796,'GASB Match'!$D$2:$F$6042,3,FALSE),"")</f>
        <v>3417130</v>
      </c>
      <c r="B5796" s="28">
        <v>2017</v>
      </c>
      <c r="C5796" s="29" t="s">
        <v>491</v>
      </c>
      <c r="D5796" s="17">
        <v>446</v>
      </c>
      <c r="E5796" s="17" t="s">
        <v>1421</v>
      </c>
      <c r="F5796" s="29">
        <v>1949217</v>
      </c>
    </row>
    <row r="5797" spans="1:6" x14ac:dyDescent="0.2">
      <c r="A5797">
        <f>IFERROR(VLOOKUP(C5797,'GASB Match'!$D$2:$F$6042,3,FALSE),"")</f>
        <v>3417160</v>
      </c>
      <c r="B5797" s="17">
        <v>2015</v>
      </c>
      <c r="C5797" s="17" t="s">
        <v>660</v>
      </c>
      <c r="D5797" s="17">
        <v>933</v>
      </c>
      <c r="E5797" s="17" t="s">
        <v>1429</v>
      </c>
      <c r="F5797" s="20">
        <v>227987</v>
      </c>
    </row>
    <row r="5798" spans="1:6" x14ac:dyDescent="0.2">
      <c r="A5798">
        <f>IFERROR(VLOOKUP(C5798,'GASB Match'!$D$2:$F$6042,3,FALSE),"")</f>
        <v>3417160</v>
      </c>
      <c r="B5798" s="17">
        <v>2016</v>
      </c>
      <c r="C5798" s="17" t="s">
        <v>660</v>
      </c>
      <c r="D5798" s="17">
        <v>933</v>
      </c>
      <c r="E5798" s="17" t="s">
        <v>1429</v>
      </c>
      <c r="F5798" s="20">
        <v>321121</v>
      </c>
    </row>
    <row r="5799" spans="1:6" x14ac:dyDescent="0.2">
      <c r="A5799">
        <f>IFERROR(VLOOKUP(C5799,'GASB Match'!$D$2:$F$6042,3,FALSE),"")</f>
        <v>3417160</v>
      </c>
      <c r="B5799" s="17">
        <v>2018</v>
      </c>
      <c r="C5799" s="17" t="s">
        <v>1353</v>
      </c>
      <c r="D5799" s="17">
        <v>933</v>
      </c>
      <c r="E5799" s="17" t="s">
        <v>1472</v>
      </c>
      <c r="F5799" s="20">
        <v>596720</v>
      </c>
    </row>
    <row r="5800" spans="1:6" x14ac:dyDescent="0.2">
      <c r="A5800">
        <f>IFERROR(VLOOKUP(C5800,'GASB Match'!$D$2:$F$6042,3,FALSE),"")</f>
        <v>3417160</v>
      </c>
      <c r="B5800" s="17">
        <v>2019</v>
      </c>
      <c r="C5800" s="17" t="s">
        <v>1353</v>
      </c>
      <c r="D5800" s="17">
        <v>933</v>
      </c>
      <c r="E5800" s="17" t="s">
        <v>1472</v>
      </c>
      <c r="F5800" s="20">
        <v>771598</v>
      </c>
    </row>
    <row r="5801" spans="1:6" ht="17" x14ac:dyDescent="0.2">
      <c r="A5801">
        <f>IFERROR(VLOOKUP(C5801,'GASB Match'!$D$2:$F$6042,3,FALSE),"")</f>
        <v>3417160</v>
      </c>
      <c r="B5801" s="17">
        <v>2020</v>
      </c>
      <c r="C5801" s="21" t="s">
        <v>1353</v>
      </c>
      <c r="D5801" s="17">
        <v>933</v>
      </c>
      <c r="E5801" s="17" t="s">
        <v>1472</v>
      </c>
      <c r="F5801" s="23">
        <v>838518</v>
      </c>
    </row>
    <row r="5802" spans="1:6" ht="17" x14ac:dyDescent="0.2">
      <c r="A5802">
        <f>IFERROR(VLOOKUP(C5802,'GASB Match'!$D$2:$F$6042,3,FALSE),"")</f>
        <v>3417160</v>
      </c>
      <c r="B5802" s="17">
        <v>2021</v>
      </c>
      <c r="C5802" s="25" t="s">
        <v>1353</v>
      </c>
      <c r="D5802" s="17">
        <v>933</v>
      </c>
      <c r="E5802" s="17" t="s">
        <v>1472</v>
      </c>
      <c r="F5802" s="23">
        <v>1101753</v>
      </c>
    </row>
    <row r="5803" spans="1:6" ht="17" x14ac:dyDescent="0.2">
      <c r="A5803">
        <f>IFERROR(VLOOKUP(C5803,'GASB Match'!$D$2:$F$6042,3,FALSE),"")</f>
        <v>3417160</v>
      </c>
      <c r="B5803" s="17">
        <v>2022</v>
      </c>
      <c r="C5803" s="21" t="s">
        <v>1353</v>
      </c>
      <c r="D5803" s="17">
        <v>933</v>
      </c>
      <c r="E5803" s="17" t="s">
        <v>1472</v>
      </c>
      <c r="F5803" s="23">
        <v>1535932</v>
      </c>
    </row>
    <row r="5804" spans="1:6" ht="17" x14ac:dyDescent="0.2">
      <c r="A5804">
        <f>IFERROR(VLOOKUP(C5804,'GASB Match'!$D$2:$F$6042,3,FALSE),"")</f>
        <v>3417160</v>
      </c>
      <c r="B5804" s="17">
        <v>2023</v>
      </c>
      <c r="C5804" s="21" t="s">
        <v>1353</v>
      </c>
      <c r="D5804" s="17">
        <v>933</v>
      </c>
      <c r="E5804" s="17" t="s">
        <v>1472</v>
      </c>
      <c r="F5804" s="23">
        <v>1518652</v>
      </c>
    </row>
    <row r="5805" spans="1:6" x14ac:dyDescent="0.2">
      <c r="A5805">
        <f>IFERROR(VLOOKUP(C5805,'GASB Match'!$D$2:$F$6042,3,FALSE),"")</f>
        <v>3417160</v>
      </c>
      <c r="B5805" s="28">
        <v>2017</v>
      </c>
      <c r="C5805" s="29" t="s">
        <v>660</v>
      </c>
      <c r="D5805" s="17">
        <v>933</v>
      </c>
      <c r="E5805" s="17" t="s">
        <v>1429</v>
      </c>
      <c r="F5805" s="29">
        <v>471037</v>
      </c>
    </row>
    <row r="5806" spans="1:6" x14ac:dyDescent="0.2">
      <c r="A5806">
        <f>IFERROR(VLOOKUP(C5806,'GASB Match'!$D$2:$F$6042,3,FALSE),"")</f>
        <v>3417040</v>
      </c>
      <c r="B5806" s="17">
        <v>2015</v>
      </c>
      <c r="C5806" s="17" t="s">
        <v>145</v>
      </c>
      <c r="D5806" s="17">
        <v>3044</v>
      </c>
      <c r="E5806" s="17" t="s">
        <v>1404</v>
      </c>
      <c r="F5806" s="20">
        <v>13821</v>
      </c>
    </row>
    <row r="5807" spans="1:6" x14ac:dyDescent="0.2">
      <c r="A5807">
        <f>IFERROR(VLOOKUP(C5807,'GASB Match'!$D$2:$F$6042,3,FALSE),"")</f>
        <v>3417040</v>
      </c>
      <c r="B5807" s="17">
        <v>2016</v>
      </c>
      <c r="C5807" s="17" t="s">
        <v>145</v>
      </c>
      <c r="D5807" s="17">
        <v>3044</v>
      </c>
      <c r="E5807" s="17" t="s">
        <v>1404</v>
      </c>
      <c r="F5807" s="20">
        <v>20732</v>
      </c>
    </row>
    <row r="5808" spans="1:6" x14ac:dyDescent="0.2">
      <c r="A5808">
        <f>IFERROR(VLOOKUP(C5808,'GASB Match'!$D$2:$F$6042,3,FALSE),"")</f>
        <v>3417040</v>
      </c>
      <c r="B5808" s="17">
        <v>2018</v>
      </c>
      <c r="C5808" s="17" t="s">
        <v>826</v>
      </c>
      <c r="D5808" s="17">
        <v>3044</v>
      </c>
      <c r="E5808" s="17" t="s">
        <v>1445</v>
      </c>
      <c r="F5808" s="20">
        <v>12376</v>
      </c>
    </row>
    <row r="5809" spans="1:6" x14ac:dyDescent="0.2">
      <c r="A5809">
        <f>IFERROR(VLOOKUP(C5809,'GASB Match'!$D$2:$F$6042,3,FALSE),"")</f>
        <v>3417040</v>
      </c>
      <c r="B5809" s="28">
        <v>2017</v>
      </c>
      <c r="C5809" s="29" t="s">
        <v>145</v>
      </c>
      <c r="D5809" s="17">
        <v>3044</v>
      </c>
      <c r="E5809" s="17" t="s">
        <v>1404</v>
      </c>
      <c r="F5809" s="29">
        <v>33684</v>
      </c>
    </row>
    <row r="5810" spans="1:6" x14ac:dyDescent="0.2">
      <c r="A5810">
        <f>IFERROR(VLOOKUP(C5810,'GASB Match'!$D$2:$F$6042,3,FALSE),"")</f>
        <v>3417070</v>
      </c>
      <c r="B5810" s="17">
        <v>2015</v>
      </c>
      <c r="C5810" s="17" t="s">
        <v>295</v>
      </c>
      <c r="D5810" s="17">
        <v>7029</v>
      </c>
      <c r="E5810" s="17" t="s">
        <v>1412</v>
      </c>
      <c r="F5810" s="20">
        <v>2851748</v>
      </c>
    </row>
    <row r="5811" spans="1:6" x14ac:dyDescent="0.2">
      <c r="A5811">
        <f>IFERROR(VLOOKUP(C5811,'GASB Match'!$D$2:$F$6042,3,FALSE),"")</f>
        <v>3417070</v>
      </c>
      <c r="B5811" s="17">
        <v>2016</v>
      </c>
      <c r="C5811" s="17" t="s">
        <v>295</v>
      </c>
      <c r="D5811" s="17">
        <v>7029</v>
      </c>
      <c r="E5811" s="17" t="s">
        <v>1412</v>
      </c>
      <c r="F5811" s="20">
        <v>4578742</v>
      </c>
    </row>
    <row r="5812" spans="1:6" x14ac:dyDescent="0.2">
      <c r="A5812">
        <f>IFERROR(VLOOKUP(C5812,'GASB Match'!$D$2:$F$6042,3,FALSE),"")</f>
        <v>3417070</v>
      </c>
      <c r="B5812" s="17">
        <v>2018</v>
      </c>
      <c r="C5812" s="17" t="s">
        <v>985</v>
      </c>
      <c r="D5812" s="17">
        <v>7029</v>
      </c>
      <c r="E5812" s="17" t="s">
        <v>1454</v>
      </c>
      <c r="F5812" s="20">
        <v>8427199</v>
      </c>
    </row>
    <row r="5813" spans="1:6" ht="17" x14ac:dyDescent="0.2">
      <c r="A5813">
        <f>IFERROR(VLOOKUP(C5813,'GASB Match'!$D$2:$F$6042,3,FALSE),"")</f>
        <v>3417070</v>
      </c>
      <c r="B5813" s="17">
        <v>2020</v>
      </c>
      <c r="C5813" s="21" t="s">
        <v>985</v>
      </c>
      <c r="D5813" s="17">
        <v>7029</v>
      </c>
      <c r="E5813" s="17" t="s">
        <v>1454</v>
      </c>
      <c r="F5813" s="23">
        <v>12392928</v>
      </c>
    </row>
    <row r="5814" spans="1:6" ht="17" x14ac:dyDescent="0.2">
      <c r="A5814">
        <f>IFERROR(VLOOKUP(C5814,'GASB Match'!$D$2:$F$6042,3,FALSE),"")</f>
        <v>3417070</v>
      </c>
      <c r="B5814" s="17">
        <v>2021</v>
      </c>
      <c r="C5814" s="25" t="s">
        <v>985</v>
      </c>
      <c r="D5814" s="17">
        <v>7029</v>
      </c>
      <c r="E5814" s="17" t="s">
        <v>1454</v>
      </c>
      <c r="F5814" s="23">
        <v>15977680</v>
      </c>
    </row>
    <row r="5815" spans="1:6" ht="17" x14ac:dyDescent="0.2">
      <c r="A5815">
        <f>IFERROR(VLOOKUP(C5815,'GASB Match'!$D$2:$F$6042,3,FALSE),"")</f>
        <v>3417070</v>
      </c>
      <c r="B5815" s="17">
        <v>2022</v>
      </c>
      <c r="C5815" s="21" t="s">
        <v>985</v>
      </c>
      <c r="D5815" s="17">
        <v>7029</v>
      </c>
      <c r="E5815" s="17" t="s">
        <v>1454</v>
      </c>
      <c r="F5815" s="23">
        <v>22324223</v>
      </c>
    </row>
    <row r="5816" spans="1:6" ht="17" x14ac:dyDescent="0.2">
      <c r="A5816">
        <f>IFERROR(VLOOKUP(C5816,'GASB Match'!$D$2:$F$6042,3,FALSE),"")</f>
        <v>3417070</v>
      </c>
      <c r="B5816" s="17">
        <v>2023</v>
      </c>
      <c r="C5816" s="21" t="s">
        <v>985</v>
      </c>
      <c r="D5816" s="17">
        <v>7029</v>
      </c>
      <c r="E5816" s="17" t="s">
        <v>1454</v>
      </c>
      <c r="F5816" s="23">
        <v>21955842</v>
      </c>
    </row>
    <row r="5817" spans="1:6" x14ac:dyDescent="0.2">
      <c r="A5817">
        <f>IFERROR(VLOOKUP(C5817,'GASB Match'!$D$2:$F$6042,3,FALSE),"")</f>
        <v>3417070</v>
      </c>
      <c r="B5817" s="28">
        <v>2017</v>
      </c>
      <c r="C5817" s="29" t="s">
        <v>295</v>
      </c>
      <c r="D5817" s="17">
        <v>7029</v>
      </c>
      <c r="E5817" s="17" t="s">
        <v>1412</v>
      </c>
      <c r="F5817" s="29">
        <v>6392918</v>
      </c>
    </row>
    <row r="5818" spans="1:6" x14ac:dyDescent="0.2">
      <c r="A5818">
        <f>IFERROR(VLOOKUP(C5818,'GASB Match'!$D$2:$F$6042,3,FALSE),"")</f>
        <v>3417070</v>
      </c>
      <c r="B5818" s="17">
        <v>2019</v>
      </c>
      <c r="C5818" s="17" t="s">
        <v>1364</v>
      </c>
      <c r="D5818" s="17">
        <v>7029</v>
      </c>
      <c r="E5818" s="17" t="s">
        <v>1454</v>
      </c>
      <c r="F5818" s="20">
        <v>11007524</v>
      </c>
    </row>
    <row r="5819" spans="1:6" x14ac:dyDescent="0.2">
      <c r="A5819">
        <f>IFERROR(VLOOKUP(C5819,'GASB Match'!$D$2:$F$6042,3,FALSE),"")</f>
        <v>3417190</v>
      </c>
      <c r="B5819" s="17">
        <v>2015</v>
      </c>
      <c r="C5819" s="17" t="s">
        <v>581</v>
      </c>
      <c r="D5819" s="17">
        <v>758</v>
      </c>
      <c r="E5819" s="17" t="s">
        <v>1425</v>
      </c>
      <c r="F5819" s="20">
        <v>243398</v>
      </c>
    </row>
    <row r="5820" spans="1:6" x14ac:dyDescent="0.2">
      <c r="A5820">
        <f>IFERROR(VLOOKUP(C5820,'GASB Match'!$D$2:$F$6042,3,FALSE),"")</f>
        <v>3417190</v>
      </c>
      <c r="B5820" s="17">
        <v>2016</v>
      </c>
      <c r="C5820" s="17" t="s">
        <v>581</v>
      </c>
      <c r="D5820" s="17">
        <v>758</v>
      </c>
      <c r="E5820" s="17" t="s">
        <v>1425</v>
      </c>
      <c r="F5820" s="20">
        <v>366181</v>
      </c>
    </row>
    <row r="5821" spans="1:6" x14ac:dyDescent="0.2">
      <c r="A5821">
        <f>IFERROR(VLOOKUP(C5821,'GASB Match'!$D$2:$F$6042,3,FALSE),"")</f>
        <v>3417190</v>
      </c>
      <c r="B5821" s="17">
        <v>2018</v>
      </c>
      <c r="C5821" s="17" t="s">
        <v>1274</v>
      </c>
      <c r="D5821" s="17">
        <v>758</v>
      </c>
      <c r="E5821" s="17" t="s">
        <v>1468</v>
      </c>
      <c r="F5821" s="20">
        <v>734670</v>
      </c>
    </row>
    <row r="5822" spans="1:6" x14ac:dyDescent="0.2">
      <c r="A5822">
        <f>IFERROR(VLOOKUP(C5822,'GASB Match'!$D$2:$F$6042,3,FALSE),"")</f>
        <v>3417190</v>
      </c>
      <c r="B5822" s="17">
        <v>2019</v>
      </c>
      <c r="C5822" s="17" t="s">
        <v>1274</v>
      </c>
      <c r="D5822" s="17">
        <v>758</v>
      </c>
      <c r="E5822" s="17" t="s">
        <v>1468</v>
      </c>
      <c r="F5822" s="20">
        <v>952208</v>
      </c>
    </row>
    <row r="5823" spans="1:6" ht="17" x14ac:dyDescent="0.2">
      <c r="A5823">
        <f>IFERROR(VLOOKUP(C5823,'GASB Match'!$D$2:$F$6042,3,FALSE),"")</f>
        <v>3417190</v>
      </c>
      <c r="B5823" s="17">
        <v>2020</v>
      </c>
      <c r="C5823" s="21" t="s">
        <v>1274</v>
      </c>
      <c r="D5823" s="17">
        <v>758</v>
      </c>
      <c r="E5823" s="17" t="s">
        <v>1468</v>
      </c>
      <c r="F5823" s="23">
        <v>1046342</v>
      </c>
    </row>
    <row r="5824" spans="1:6" ht="17" x14ac:dyDescent="0.2">
      <c r="A5824">
        <f>IFERROR(VLOOKUP(C5824,'GASB Match'!$D$2:$F$6042,3,FALSE),"")</f>
        <v>3417190</v>
      </c>
      <c r="B5824" s="17">
        <v>2021</v>
      </c>
      <c r="C5824" s="25" t="s">
        <v>1274</v>
      </c>
      <c r="D5824" s="17">
        <v>758</v>
      </c>
      <c r="E5824" s="17" t="s">
        <v>1468</v>
      </c>
      <c r="F5824" s="23">
        <v>1284331</v>
      </c>
    </row>
    <row r="5825" spans="1:6" ht="17" x14ac:dyDescent="0.2">
      <c r="A5825">
        <f>IFERROR(VLOOKUP(C5825,'GASB Match'!$D$2:$F$6042,3,FALSE),"")</f>
        <v>3417190</v>
      </c>
      <c r="B5825" s="17">
        <v>2022</v>
      </c>
      <c r="C5825" s="21" t="s">
        <v>1274</v>
      </c>
      <c r="D5825" s="17">
        <v>758</v>
      </c>
      <c r="E5825" s="17" t="s">
        <v>1468</v>
      </c>
      <c r="F5825" s="23">
        <v>2022960</v>
      </c>
    </row>
    <row r="5826" spans="1:6" ht="17" x14ac:dyDescent="0.2">
      <c r="A5826">
        <f>IFERROR(VLOOKUP(C5826,'GASB Match'!$D$2:$F$6042,3,FALSE),"")</f>
        <v>3417190</v>
      </c>
      <c r="B5826" s="17">
        <v>2023</v>
      </c>
      <c r="C5826" s="21" t="s">
        <v>1274</v>
      </c>
      <c r="D5826" s="17">
        <v>758</v>
      </c>
      <c r="E5826" s="17" t="s">
        <v>1468</v>
      </c>
      <c r="F5826" s="23">
        <v>2104470</v>
      </c>
    </row>
    <row r="5827" spans="1:6" x14ac:dyDescent="0.2">
      <c r="A5827">
        <f>IFERROR(VLOOKUP(C5827,'GASB Match'!$D$2:$F$6042,3,FALSE),"")</f>
        <v>3417190</v>
      </c>
      <c r="B5827" s="28">
        <v>2017</v>
      </c>
      <c r="C5827" s="29" t="s">
        <v>581</v>
      </c>
      <c r="D5827" s="17">
        <v>758</v>
      </c>
      <c r="E5827" s="17" t="s">
        <v>1425</v>
      </c>
      <c r="F5827" s="29">
        <v>537167</v>
      </c>
    </row>
    <row r="5828" spans="1:6" x14ac:dyDescent="0.2">
      <c r="A5828">
        <f>IFERROR(VLOOKUP(C5828,'GASB Match'!$D$2:$F$6042,3,FALSE),"")</f>
        <v>3417220</v>
      </c>
      <c r="B5828" s="17">
        <v>2015</v>
      </c>
      <c r="C5828" s="17" t="s">
        <v>582</v>
      </c>
      <c r="D5828" s="17">
        <v>762</v>
      </c>
      <c r="E5828" s="17" t="s">
        <v>1425</v>
      </c>
      <c r="F5828" s="20">
        <v>870296</v>
      </c>
    </row>
    <row r="5829" spans="1:6" x14ac:dyDescent="0.2">
      <c r="A5829">
        <f>IFERROR(VLOOKUP(C5829,'GASB Match'!$D$2:$F$6042,3,FALSE),"")</f>
        <v>3417220</v>
      </c>
      <c r="B5829" s="17">
        <v>2016</v>
      </c>
      <c r="C5829" s="17" t="s">
        <v>582</v>
      </c>
      <c r="D5829" s="17">
        <v>762</v>
      </c>
      <c r="E5829" s="17" t="s">
        <v>1425</v>
      </c>
      <c r="F5829" s="20">
        <v>1294465</v>
      </c>
    </row>
    <row r="5830" spans="1:6" x14ac:dyDescent="0.2">
      <c r="A5830">
        <f>IFERROR(VLOOKUP(C5830,'GASB Match'!$D$2:$F$6042,3,FALSE),"")</f>
        <v>3417220</v>
      </c>
      <c r="B5830" s="17">
        <v>2018</v>
      </c>
      <c r="C5830" s="17" t="s">
        <v>1275</v>
      </c>
      <c r="D5830" s="17">
        <v>762</v>
      </c>
      <c r="E5830" s="17" t="s">
        <v>1468</v>
      </c>
      <c r="F5830" s="20">
        <v>2459580</v>
      </c>
    </row>
    <row r="5831" spans="1:6" x14ac:dyDescent="0.2">
      <c r="A5831">
        <f>IFERROR(VLOOKUP(C5831,'GASB Match'!$D$2:$F$6042,3,FALSE),"")</f>
        <v>3417220</v>
      </c>
      <c r="B5831" s="17">
        <v>2019</v>
      </c>
      <c r="C5831" s="17" t="s">
        <v>1275</v>
      </c>
      <c r="D5831" s="17">
        <v>762</v>
      </c>
      <c r="E5831" s="17" t="s">
        <v>1468</v>
      </c>
      <c r="F5831" s="20">
        <v>3176291</v>
      </c>
    </row>
    <row r="5832" spans="1:6" ht="17" x14ac:dyDescent="0.2">
      <c r="A5832">
        <f>IFERROR(VLOOKUP(C5832,'GASB Match'!$D$2:$F$6042,3,FALSE),"")</f>
        <v>3417220</v>
      </c>
      <c r="B5832" s="17">
        <v>2020</v>
      </c>
      <c r="C5832" s="21" t="s">
        <v>1275</v>
      </c>
      <c r="D5832" s="17">
        <v>762</v>
      </c>
      <c r="E5832" s="17" t="s">
        <v>1468</v>
      </c>
      <c r="F5832" s="23">
        <v>3549082</v>
      </c>
    </row>
    <row r="5833" spans="1:6" ht="17" x14ac:dyDescent="0.2">
      <c r="A5833">
        <f>IFERROR(VLOOKUP(C5833,'GASB Match'!$D$2:$F$6042,3,FALSE),"")</f>
        <v>3417220</v>
      </c>
      <c r="B5833" s="17">
        <v>2021</v>
      </c>
      <c r="C5833" s="25" t="s">
        <v>1275</v>
      </c>
      <c r="D5833" s="17">
        <v>762</v>
      </c>
      <c r="E5833" s="17" t="s">
        <v>1468</v>
      </c>
      <c r="F5833" s="23">
        <v>4499303</v>
      </c>
    </row>
    <row r="5834" spans="1:6" ht="17" x14ac:dyDescent="0.2">
      <c r="A5834">
        <f>IFERROR(VLOOKUP(C5834,'GASB Match'!$D$2:$F$6042,3,FALSE),"")</f>
        <v>3417220</v>
      </c>
      <c r="B5834" s="17">
        <v>2022</v>
      </c>
      <c r="C5834" s="21" t="s">
        <v>1275</v>
      </c>
      <c r="D5834" s="17">
        <v>762</v>
      </c>
      <c r="E5834" s="17" t="s">
        <v>1468</v>
      </c>
      <c r="F5834" s="23">
        <v>6464335</v>
      </c>
    </row>
    <row r="5835" spans="1:6" ht="17" x14ac:dyDescent="0.2">
      <c r="A5835">
        <f>IFERROR(VLOOKUP(C5835,'GASB Match'!$D$2:$F$6042,3,FALSE),"")</f>
        <v>3417220</v>
      </c>
      <c r="B5835" s="17">
        <v>2023</v>
      </c>
      <c r="C5835" s="21" t="s">
        <v>1275</v>
      </c>
      <c r="D5835" s="17">
        <v>762</v>
      </c>
      <c r="E5835" s="17" t="s">
        <v>1468</v>
      </c>
      <c r="F5835" s="23">
        <v>6445978</v>
      </c>
    </row>
    <row r="5836" spans="1:6" x14ac:dyDescent="0.2">
      <c r="A5836">
        <f>IFERROR(VLOOKUP(C5836,'GASB Match'!$D$2:$F$6042,3,FALSE),"")</f>
        <v>3417220</v>
      </c>
      <c r="B5836" s="28">
        <v>2017</v>
      </c>
      <c r="C5836" s="29" t="s">
        <v>582</v>
      </c>
      <c r="D5836" s="17">
        <v>762</v>
      </c>
      <c r="E5836" s="17" t="s">
        <v>1425</v>
      </c>
      <c r="F5836" s="29">
        <v>1784205</v>
      </c>
    </row>
    <row r="5837" spans="1:6" x14ac:dyDescent="0.2">
      <c r="A5837">
        <f>IFERROR(VLOOKUP(C5837,'GASB Match'!$D$2:$F$6042,3,FALSE),"")</f>
        <v>3417250</v>
      </c>
      <c r="B5837" s="17">
        <v>2015</v>
      </c>
      <c r="C5837" s="17" t="s">
        <v>192</v>
      </c>
      <c r="D5837" s="17">
        <v>4064</v>
      </c>
      <c r="E5837" s="17" t="s">
        <v>1405</v>
      </c>
      <c r="F5837" s="20">
        <v>316292</v>
      </c>
    </row>
    <row r="5838" spans="1:6" x14ac:dyDescent="0.2">
      <c r="A5838">
        <f>IFERROR(VLOOKUP(C5838,'GASB Match'!$D$2:$F$6042,3,FALSE),"")</f>
        <v>3417250</v>
      </c>
      <c r="B5838" s="17">
        <v>2016</v>
      </c>
      <c r="C5838" s="17" t="s">
        <v>192</v>
      </c>
      <c r="D5838" s="17">
        <v>4064</v>
      </c>
      <c r="E5838" s="17" t="s">
        <v>1405</v>
      </c>
      <c r="F5838" s="20">
        <v>507960</v>
      </c>
    </row>
    <row r="5839" spans="1:6" x14ac:dyDescent="0.2">
      <c r="A5839">
        <f>IFERROR(VLOOKUP(C5839,'GASB Match'!$D$2:$F$6042,3,FALSE),"")</f>
        <v>3417250</v>
      </c>
      <c r="B5839" s="17">
        <v>2018</v>
      </c>
      <c r="C5839" s="17" t="s">
        <v>876</v>
      </c>
      <c r="D5839" s="17">
        <v>4064</v>
      </c>
      <c r="E5839" s="17" t="s">
        <v>1446</v>
      </c>
      <c r="F5839" s="20">
        <v>1009784</v>
      </c>
    </row>
    <row r="5840" spans="1:6" x14ac:dyDescent="0.2">
      <c r="A5840">
        <f>IFERROR(VLOOKUP(C5840,'GASB Match'!$D$2:$F$6042,3,FALSE),"")</f>
        <v>3417250</v>
      </c>
      <c r="B5840" s="17">
        <v>2019</v>
      </c>
      <c r="C5840" s="17" t="s">
        <v>876</v>
      </c>
      <c r="D5840" s="17">
        <v>4064</v>
      </c>
      <c r="E5840" s="17" t="s">
        <v>1446</v>
      </c>
      <c r="F5840" s="20">
        <v>1320067</v>
      </c>
    </row>
    <row r="5841" spans="1:6" ht="17" x14ac:dyDescent="0.2">
      <c r="A5841">
        <f>IFERROR(VLOOKUP(C5841,'GASB Match'!$D$2:$F$6042,3,FALSE),"")</f>
        <v>3417250</v>
      </c>
      <c r="B5841" s="17">
        <v>2020</v>
      </c>
      <c r="C5841" s="21" t="s">
        <v>876</v>
      </c>
      <c r="D5841" s="17">
        <v>4064</v>
      </c>
      <c r="E5841" s="17" t="s">
        <v>1446</v>
      </c>
      <c r="F5841" s="23">
        <v>1352884</v>
      </c>
    </row>
    <row r="5842" spans="1:6" ht="17" x14ac:dyDescent="0.2">
      <c r="A5842">
        <f>IFERROR(VLOOKUP(C5842,'GASB Match'!$D$2:$F$6042,3,FALSE),"")</f>
        <v>3417250</v>
      </c>
      <c r="B5842" s="17">
        <v>2021</v>
      </c>
      <c r="C5842" s="25" t="s">
        <v>876</v>
      </c>
      <c r="D5842" s="17">
        <v>4064</v>
      </c>
      <c r="E5842" s="17" t="s">
        <v>1446</v>
      </c>
      <c r="F5842" s="23">
        <v>1915646</v>
      </c>
    </row>
    <row r="5843" spans="1:6" ht="17" x14ac:dyDescent="0.2">
      <c r="A5843">
        <f>IFERROR(VLOOKUP(C5843,'GASB Match'!$D$2:$F$6042,3,FALSE),"")</f>
        <v>3417250</v>
      </c>
      <c r="B5843" s="17">
        <v>2022</v>
      </c>
      <c r="C5843" s="21" t="s">
        <v>876</v>
      </c>
      <c r="D5843" s="17">
        <v>4064</v>
      </c>
      <c r="E5843" s="17" t="s">
        <v>1446</v>
      </c>
      <c r="F5843" s="23">
        <v>2800103</v>
      </c>
    </row>
    <row r="5844" spans="1:6" ht="17" x14ac:dyDescent="0.2">
      <c r="A5844">
        <f>IFERROR(VLOOKUP(C5844,'GASB Match'!$D$2:$F$6042,3,FALSE),"")</f>
        <v>3417250</v>
      </c>
      <c r="B5844" s="17">
        <v>2023</v>
      </c>
      <c r="C5844" s="21" t="s">
        <v>876</v>
      </c>
      <c r="D5844" s="17">
        <v>4064</v>
      </c>
      <c r="E5844" s="17" t="s">
        <v>1446</v>
      </c>
      <c r="F5844" s="23">
        <v>2760496</v>
      </c>
    </row>
    <row r="5845" spans="1:6" x14ac:dyDescent="0.2">
      <c r="A5845">
        <f>IFERROR(VLOOKUP(C5845,'GASB Match'!$D$2:$F$6042,3,FALSE),"")</f>
        <v>3417250</v>
      </c>
      <c r="B5845" s="28">
        <v>2017</v>
      </c>
      <c r="C5845" s="29" t="s">
        <v>192</v>
      </c>
      <c r="D5845" s="17">
        <v>4064</v>
      </c>
      <c r="E5845" s="17" t="s">
        <v>1405</v>
      </c>
      <c r="F5845" s="29">
        <v>712587</v>
      </c>
    </row>
    <row r="5846" spans="1:6" x14ac:dyDescent="0.2">
      <c r="A5846">
        <f>IFERROR(VLOOKUP(C5846,'GASB Match'!$D$2:$F$6042,3,FALSE),"")</f>
        <v>3417280</v>
      </c>
      <c r="B5846" s="17">
        <v>2015</v>
      </c>
      <c r="C5846" s="17" t="s">
        <v>546</v>
      </c>
      <c r="D5846" s="17">
        <v>642</v>
      </c>
      <c r="E5846" s="17" t="s">
        <v>1423</v>
      </c>
      <c r="F5846" s="20">
        <v>3423773</v>
      </c>
    </row>
    <row r="5847" spans="1:6" x14ac:dyDescent="0.2">
      <c r="A5847">
        <f>IFERROR(VLOOKUP(C5847,'GASB Match'!$D$2:$F$6042,3,FALSE),"")</f>
        <v>3417280</v>
      </c>
      <c r="B5847" s="17">
        <v>2016</v>
      </c>
      <c r="C5847" s="17" t="s">
        <v>546</v>
      </c>
      <c r="D5847" s="17">
        <v>642</v>
      </c>
      <c r="E5847" s="17" t="s">
        <v>1423</v>
      </c>
      <c r="F5847" s="20">
        <v>5048383</v>
      </c>
    </row>
    <row r="5848" spans="1:6" x14ac:dyDescent="0.2">
      <c r="A5848">
        <f>IFERROR(VLOOKUP(C5848,'GASB Match'!$D$2:$F$6042,3,FALSE),"")</f>
        <v>3417280</v>
      </c>
      <c r="B5848" s="17">
        <v>2018</v>
      </c>
      <c r="C5848" s="17" t="s">
        <v>1238</v>
      </c>
      <c r="D5848" s="17">
        <v>642</v>
      </c>
      <c r="E5848" s="17" t="s">
        <v>1466</v>
      </c>
      <c r="F5848" s="20">
        <v>9744094</v>
      </c>
    </row>
    <row r="5849" spans="1:6" x14ac:dyDescent="0.2">
      <c r="A5849">
        <f>IFERROR(VLOOKUP(C5849,'GASB Match'!$D$2:$F$6042,3,FALSE),"")</f>
        <v>3417280</v>
      </c>
      <c r="B5849" s="17">
        <v>2019</v>
      </c>
      <c r="C5849" s="17" t="s">
        <v>1238</v>
      </c>
      <c r="D5849" s="17">
        <v>642</v>
      </c>
      <c r="E5849" s="17" t="s">
        <v>1466</v>
      </c>
      <c r="F5849" s="20">
        <v>12598684</v>
      </c>
    </row>
    <row r="5850" spans="1:6" ht="17" x14ac:dyDescent="0.2">
      <c r="A5850">
        <f>IFERROR(VLOOKUP(C5850,'GASB Match'!$D$2:$F$6042,3,FALSE),"")</f>
        <v>3417280</v>
      </c>
      <c r="B5850" s="17">
        <v>2020</v>
      </c>
      <c r="C5850" s="21" t="s">
        <v>1238</v>
      </c>
      <c r="D5850" s="17">
        <v>642</v>
      </c>
      <c r="E5850" s="17" t="s">
        <v>1466</v>
      </c>
      <c r="F5850" s="23">
        <v>14375331</v>
      </c>
    </row>
    <row r="5851" spans="1:6" ht="17" x14ac:dyDescent="0.2">
      <c r="A5851">
        <f>IFERROR(VLOOKUP(C5851,'GASB Match'!$D$2:$F$6042,3,FALSE),"")</f>
        <v>3417280</v>
      </c>
      <c r="B5851" s="17">
        <v>2021</v>
      </c>
      <c r="C5851" s="25" t="s">
        <v>1238</v>
      </c>
      <c r="D5851" s="17">
        <v>642</v>
      </c>
      <c r="E5851" s="17" t="s">
        <v>1466</v>
      </c>
      <c r="F5851" s="23">
        <v>18667538</v>
      </c>
    </row>
    <row r="5852" spans="1:6" ht="17" x14ac:dyDescent="0.2">
      <c r="A5852">
        <f>IFERROR(VLOOKUP(C5852,'GASB Match'!$D$2:$F$6042,3,FALSE),"")</f>
        <v>3417280</v>
      </c>
      <c r="B5852" s="17">
        <v>2022</v>
      </c>
      <c r="C5852" s="21" t="s">
        <v>1238</v>
      </c>
      <c r="D5852" s="17">
        <v>642</v>
      </c>
      <c r="E5852" s="17" t="s">
        <v>1466</v>
      </c>
      <c r="F5852" s="23">
        <v>27005565</v>
      </c>
    </row>
    <row r="5853" spans="1:6" ht="17" x14ac:dyDescent="0.2">
      <c r="A5853">
        <f>IFERROR(VLOOKUP(C5853,'GASB Match'!$D$2:$F$6042,3,FALSE),"")</f>
        <v>3417280</v>
      </c>
      <c r="B5853" s="17">
        <v>2023</v>
      </c>
      <c r="C5853" s="21" t="s">
        <v>1238</v>
      </c>
      <c r="D5853" s="17">
        <v>642</v>
      </c>
      <c r="E5853" s="17" t="s">
        <v>1466</v>
      </c>
      <c r="F5853" s="23">
        <v>27195793</v>
      </c>
    </row>
    <row r="5854" spans="1:6" x14ac:dyDescent="0.2">
      <c r="A5854">
        <f>IFERROR(VLOOKUP(C5854,'GASB Match'!$D$2:$F$6042,3,FALSE),"")</f>
        <v>3417280</v>
      </c>
      <c r="B5854" s="28">
        <v>2017</v>
      </c>
      <c r="C5854" s="29" t="s">
        <v>546</v>
      </c>
      <c r="D5854" s="17">
        <v>642</v>
      </c>
      <c r="E5854" s="17" t="s">
        <v>1423</v>
      </c>
      <c r="F5854" s="29">
        <v>7099931</v>
      </c>
    </row>
    <row r="5855" spans="1:6" x14ac:dyDescent="0.2">
      <c r="A5855">
        <f>IFERROR(VLOOKUP(C5855,'GASB Match'!$D$2:$F$6042,3,FALSE),"")</f>
        <v>3417310</v>
      </c>
      <c r="B5855" s="17">
        <v>2015</v>
      </c>
      <c r="C5855" s="17" t="s">
        <v>323</v>
      </c>
      <c r="D5855" s="17">
        <v>8060</v>
      </c>
      <c r="E5855" s="17" t="s">
        <v>1413</v>
      </c>
      <c r="F5855" s="20">
        <v>480867</v>
      </c>
    </row>
    <row r="5856" spans="1:6" x14ac:dyDescent="0.2">
      <c r="A5856">
        <f>IFERROR(VLOOKUP(C5856,'GASB Match'!$D$2:$F$6042,3,FALSE),"")</f>
        <v>3417310</v>
      </c>
      <c r="B5856" s="17">
        <v>2016</v>
      </c>
      <c r="C5856" s="17" t="s">
        <v>323</v>
      </c>
      <c r="D5856" s="17">
        <v>8060</v>
      </c>
      <c r="E5856" s="17" t="s">
        <v>1413</v>
      </c>
      <c r="F5856" s="20">
        <v>713337</v>
      </c>
    </row>
    <row r="5857" spans="1:6" x14ac:dyDescent="0.2">
      <c r="A5857">
        <f>IFERROR(VLOOKUP(C5857,'GASB Match'!$D$2:$F$6042,3,FALSE),"")</f>
        <v>3417310</v>
      </c>
      <c r="B5857" s="17">
        <v>2018</v>
      </c>
      <c r="C5857" s="17" t="s">
        <v>1016</v>
      </c>
      <c r="D5857" s="17">
        <v>8060</v>
      </c>
      <c r="E5857" s="17" t="s">
        <v>1456</v>
      </c>
      <c r="F5857" s="20">
        <v>1359100</v>
      </c>
    </row>
    <row r="5858" spans="1:6" x14ac:dyDescent="0.2">
      <c r="A5858">
        <f>IFERROR(VLOOKUP(C5858,'GASB Match'!$D$2:$F$6042,3,FALSE),"")</f>
        <v>3417310</v>
      </c>
      <c r="B5858" s="17">
        <v>2019</v>
      </c>
      <c r="C5858" s="17" t="s">
        <v>1016</v>
      </c>
      <c r="D5858" s="17">
        <v>8060</v>
      </c>
      <c r="E5858" s="17" t="s">
        <v>1456</v>
      </c>
      <c r="F5858" s="20">
        <v>1826845</v>
      </c>
    </row>
    <row r="5859" spans="1:6" ht="17" x14ac:dyDescent="0.2">
      <c r="A5859">
        <f>IFERROR(VLOOKUP(C5859,'GASB Match'!$D$2:$F$6042,3,FALSE),"")</f>
        <v>3417310</v>
      </c>
      <c r="B5859" s="17">
        <v>2020</v>
      </c>
      <c r="C5859" s="21" t="s">
        <v>1016</v>
      </c>
      <c r="D5859" s="17">
        <v>8060</v>
      </c>
      <c r="E5859" s="17" t="s">
        <v>1456</v>
      </c>
      <c r="F5859" s="23">
        <v>2024529</v>
      </c>
    </row>
    <row r="5860" spans="1:6" ht="17" x14ac:dyDescent="0.2">
      <c r="A5860">
        <f>IFERROR(VLOOKUP(C5860,'GASB Match'!$D$2:$F$6042,3,FALSE),"")</f>
        <v>3417310</v>
      </c>
      <c r="B5860" s="17">
        <v>2021</v>
      </c>
      <c r="C5860" s="25" t="s">
        <v>1016</v>
      </c>
      <c r="D5860" s="17">
        <v>8060</v>
      </c>
      <c r="E5860" s="17" t="s">
        <v>1456</v>
      </c>
      <c r="F5860" s="23">
        <v>2752851</v>
      </c>
    </row>
    <row r="5861" spans="1:6" ht="17" x14ac:dyDescent="0.2">
      <c r="A5861">
        <f>IFERROR(VLOOKUP(C5861,'GASB Match'!$D$2:$F$6042,3,FALSE),"")</f>
        <v>3417310</v>
      </c>
      <c r="B5861" s="17">
        <v>2022</v>
      </c>
      <c r="C5861" s="21" t="s">
        <v>1016</v>
      </c>
      <c r="D5861" s="17">
        <v>8060</v>
      </c>
      <c r="E5861" s="17" t="s">
        <v>1456</v>
      </c>
      <c r="F5861" s="23">
        <v>3913249</v>
      </c>
    </row>
    <row r="5862" spans="1:6" ht="17" x14ac:dyDescent="0.2">
      <c r="A5862">
        <f>IFERROR(VLOOKUP(C5862,'GASB Match'!$D$2:$F$6042,3,FALSE),"")</f>
        <v>3417310</v>
      </c>
      <c r="B5862" s="17">
        <v>2023</v>
      </c>
      <c r="C5862" s="21" t="s">
        <v>1016</v>
      </c>
      <c r="D5862" s="17">
        <v>8060</v>
      </c>
      <c r="E5862" s="17" t="s">
        <v>1456</v>
      </c>
      <c r="F5862" s="23">
        <v>3746281</v>
      </c>
    </row>
    <row r="5863" spans="1:6" x14ac:dyDescent="0.2">
      <c r="A5863">
        <f>IFERROR(VLOOKUP(C5863,'GASB Match'!$D$2:$F$6042,3,FALSE),"")</f>
        <v>3417310</v>
      </c>
      <c r="B5863" s="28">
        <v>2017</v>
      </c>
      <c r="C5863" s="29" t="s">
        <v>323</v>
      </c>
      <c r="D5863" s="17">
        <v>8060</v>
      </c>
      <c r="E5863" s="17" t="s">
        <v>1413</v>
      </c>
      <c r="F5863" s="29">
        <v>950648</v>
      </c>
    </row>
    <row r="5864" spans="1:6" x14ac:dyDescent="0.2">
      <c r="A5864">
        <f>IFERROR(VLOOKUP(C5864,'GASB Match'!$D$2:$F$6042,3,FALSE),"")</f>
        <v>3417340</v>
      </c>
      <c r="B5864" s="17">
        <v>2015</v>
      </c>
      <c r="C5864" s="17" t="s">
        <v>296</v>
      </c>
      <c r="D5864" s="17">
        <v>7031</v>
      </c>
      <c r="E5864" s="17" t="s">
        <v>1412</v>
      </c>
      <c r="F5864" s="20">
        <v>74574</v>
      </c>
    </row>
    <row r="5865" spans="1:6" x14ac:dyDescent="0.2">
      <c r="A5865">
        <f>IFERROR(VLOOKUP(C5865,'GASB Match'!$D$2:$F$6042,3,FALSE),"")</f>
        <v>3417340</v>
      </c>
      <c r="B5865" s="17">
        <v>2016</v>
      </c>
      <c r="C5865" s="17" t="s">
        <v>296</v>
      </c>
      <c r="D5865" s="17">
        <v>7031</v>
      </c>
      <c r="E5865" s="17" t="s">
        <v>1412</v>
      </c>
      <c r="F5865" s="20">
        <v>106351</v>
      </c>
    </row>
    <row r="5866" spans="1:6" x14ac:dyDescent="0.2">
      <c r="A5866">
        <f>IFERROR(VLOOKUP(C5866,'GASB Match'!$D$2:$F$6042,3,FALSE),"")</f>
        <v>3417340</v>
      </c>
      <c r="B5866" s="17">
        <v>2018</v>
      </c>
      <c r="C5866" s="17" t="s">
        <v>986</v>
      </c>
      <c r="D5866" s="17">
        <v>7031</v>
      </c>
      <c r="E5866" s="17" t="s">
        <v>1454</v>
      </c>
      <c r="F5866" s="20">
        <v>212043</v>
      </c>
    </row>
    <row r="5867" spans="1:6" x14ac:dyDescent="0.2">
      <c r="A5867">
        <f>IFERROR(VLOOKUP(C5867,'GASB Match'!$D$2:$F$6042,3,FALSE),"")</f>
        <v>3417340</v>
      </c>
      <c r="B5867" s="17">
        <v>2019</v>
      </c>
      <c r="C5867" s="17" t="s">
        <v>986</v>
      </c>
      <c r="D5867" s="17">
        <v>7031</v>
      </c>
      <c r="E5867" s="17" t="s">
        <v>1454</v>
      </c>
      <c r="F5867" s="20">
        <v>276387</v>
      </c>
    </row>
    <row r="5868" spans="1:6" ht="17" x14ac:dyDescent="0.2">
      <c r="A5868">
        <f>IFERROR(VLOOKUP(C5868,'GASB Match'!$D$2:$F$6042,3,FALSE),"")</f>
        <v>3417340</v>
      </c>
      <c r="B5868" s="17">
        <v>2020</v>
      </c>
      <c r="C5868" s="21" t="s">
        <v>986</v>
      </c>
      <c r="D5868" s="17">
        <v>7031</v>
      </c>
      <c r="E5868" s="17" t="s">
        <v>1454</v>
      </c>
      <c r="F5868" s="23">
        <v>289808</v>
      </c>
    </row>
    <row r="5869" spans="1:6" ht="17" x14ac:dyDescent="0.2">
      <c r="A5869">
        <f>IFERROR(VLOOKUP(C5869,'GASB Match'!$D$2:$F$6042,3,FALSE),"")</f>
        <v>3417340</v>
      </c>
      <c r="B5869" s="17">
        <v>2021</v>
      </c>
      <c r="C5869" s="25" t="s">
        <v>986</v>
      </c>
      <c r="D5869" s="17">
        <v>7031</v>
      </c>
      <c r="E5869" s="17" t="s">
        <v>1454</v>
      </c>
      <c r="F5869" s="23">
        <v>377639</v>
      </c>
    </row>
    <row r="5870" spans="1:6" ht="17" x14ac:dyDescent="0.2">
      <c r="A5870">
        <f>IFERROR(VLOOKUP(C5870,'GASB Match'!$D$2:$F$6042,3,FALSE),"")</f>
        <v>3417340</v>
      </c>
      <c r="B5870" s="17">
        <v>2022</v>
      </c>
      <c r="C5870" s="21" t="s">
        <v>986</v>
      </c>
      <c r="D5870" s="17">
        <v>7031</v>
      </c>
      <c r="E5870" s="17" t="s">
        <v>1454</v>
      </c>
      <c r="F5870" s="23">
        <v>535195</v>
      </c>
    </row>
    <row r="5871" spans="1:6" ht="17" x14ac:dyDescent="0.2">
      <c r="A5871">
        <f>IFERROR(VLOOKUP(C5871,'GASB Match'!$D$2:$F$6042,3,FALSE),"")</f>
        <v>3417340</v>
      </c>
      <c r="B5871" s="17">
        <v>2023</v>
      </c>
      <c r="C5871" s="21" t="s">
        <v>986</v>
      </c>
      <c r="D5871" s="17">
        <v>7031</v>
      </c>
      <c r="E5871" s="17" t="s">
        <v>1454</v>
      </c>
      <c r="F5871" s="23">
        <v>536443</v>
      </c>
    </row>
    <row r="5872" spans="1:6" x14ac:dyDescent="0.2">
      <c r="A5872">
        <f>IFERROR(VLOOKUP(C5872,'GASB Match'!$D$2:$F$6042,3,FALSE),"")</f>
        <v>3417340</v>
      </c>
      <c r="B5872" s="28">
        <v>2017</v>
      </c>
      <c r="C5872" s="29" t="s">
        <v>296</v>
      </c>
      <c r="D5872" s="17">
        <v>7031</v>
      </c>
      <c r="E5872" s="17" t="s">
        <v>1412</v>
      </c>
      <c r="F5872" s="29">
        <v>158939</v>
      </c>
    </row>
    <row r="5873" spans="1:6" x14ac:dyDescent="0.2">
      <c r="A5873">
        <f>IFERROR(VLOOKUP(C5873,'GASB Match'!$D$2:$F$6042,3,FALSE),"")</f>
        <v>3417370</v>
      </c>
      <c r="B5873" s="17">
        <v>2015</v>
      </c>
      <c r="C5873" s="17" t="s">
        <v>354</v>
      </c>
      <c r="D5873" s="17">
        <v>9037</v>
      </c>
      <c r="E5873" s="17" t="s">
        <v>1415</v>
      </c>
      <c r="F5873" s="20">
        <v>100197</v>
      </c>
    </row>
    <row r="5874" spans="1:6" x14ac:dyDescent="0.2">
      <c r="A5874">
        <f>IFERROR(VLOOKUP(C5874,'GASB Match'!$D$2:$F$6042,3,FALSE),"")</f>
        <v>3417370</v>
      </c>
      <c r="B5874" s="17">
        <v>2016</v>
      </c>
      <c r="C5874" s="17" t="s">
        <v>354</v>
      </c>
      <c r="D5874" s="17">
        <v>9037</v>
      </c>
      <c r="E5874" s="17" t="s">
        <v>1415</v>
      </c>
      <c r="F5874" s="20">
        <v>141422</v>
      </c>
    </row>
    <row r="5875" spans="1:6" x14ac:dyDescent="0.2">
      <c r="A5875">
        <f>IFERROR(VLOOKUP(C5875,'GASB Match'!$D$2:$F$6042,3,FALSE),"")</f>
        <v>3417370</v>
      </c>
      <c r="B5875" s="28">
        <v>2017</v>
      </c>
      <c r="C5875" s="29" t="s">
        <v>354</v>
      </c>
      <c r="D5875" s="17">
        <v>9037</v>
      </c>
      <c r="E5875" s="17" t="s">
        <v>1415</v>
      </c>
      <c r="F5875" s="29">
        <v>182535</v>
      </c>
    </row>
    <row r="5876" spans="1:6" x14ac:dyDescent="0.2">
      <c r="A5876">
        <f>IFERROR(VLOOKUP(C5876,'GASB Match'!$D$2:$F$6042,3,FALSE),"")</f>
        <v>3417400</v>
      </c>
      <c r="B5876" s="17">
        <v>2015</v>
      </c>
      <c r="C5876" s="17" t="s">
        <v>208</v>
      </c>
      <c r="D5876" s="17">
        <v>5022</v>
      </c>
      <c r="E5876" s="17" t="s">
        <v>1407</v>
      </c>
      <c r="F5876" s="20">
        <v>26732</v>
      </c>
    </row>
    <row r="5877" spans="1:6" x14ac:dyDescent="0.2">
      <c r="A5877">
        <f>IFERROR(VLOOKUP(C5877,'GASB Match'!$D$2:$F$6042,3,FALSE),"")</f>
        <v>3417400</v>
      </c>
      <c r="B5877" s="17">
        <v>2016</v>
      </c>
      <c r="C5877" s="17" t="s">
        <v>208</v>
      </c>
      <c r="D5877" s="17">
        <v>5022</v>
      </c>
      <c r="E5877" s="17" t="s">
        <v>1407</v>
      </c>
      <c r="F5877" s="20">
        <v>45241</v>
      </c>
    </row>
    <row r="5878" spans="1:6" x14ac:dyDescent="0.2">
      <c r="A5878">
        <f>IFERROR(VLOOKUP(C5878,'GASB Match'!$D$2:$F$6042,3,FALSE),"")</f>
        <v>3417400</v>
      </c>
      <c r="B5878" s="17">
        <v>2018</v>
      </c>
      <c r="C5878" s="17" t="s">
        <v>892</v>
      </c>
      <c r="D5878" s="17">
        <v>5022</v>
      </c>
      <c r="E5878" s="17" t="s">
        <v>1448</v>
      </c>
      <c r="F5878" s="20">
        <v>86937</v>
      </c>
    </row>
    <row r="5879" spans="1:6" x14ac:dyDescent="0.2">
      <c r="A5879">
        <f>IFERROR(VLOOKUP(C5879,'GASB Match'!$D$2:$F$6042,3,FALSE),"")</f>
        <v>3417400</v>
      </c>
      <c r="B5879" s="17">
        <v>2019</v>
      </c>
      <c r="C5879" s="17" t="s">
        <v>892</v>
      </c>
      <c r="D5879" s="17">
        <v>5022</v>
      </c>
      <c r="E5879" s="17" t="s">
        <v>1448</v>
      </c>
      <c r="F5879" s="20">
        <v>128650</v>
      </c>
    </row>
    <row r="5880" spans="1:6" ht="17" x14ac:dyDescent="0.2">
      <c r="A5880">
        <f>IFERROR(VLOOKUP(C5880,'GASB Match'!$D$2:$F$6042,3,FALSE),"")</f>
        <v>3417400</v>
      </c>
      <c r="B5880" s="17">
        <v>2020</v>
      </c>
      <c r="C5880" s="21" t="s">
        <v>892</v>
      </c>
      <c r="D5880" s="17">
        <v>5022</v>
      </c>
      <c r="E5880" s="17" t="s">
        <v>1448</v>
      </c>
      <c r="F5880" s="23">
        <v>128758</v>
      </c>
    </row>
    <row r="5881" spans="1:6" ht="17" x14ac:dyDescent="0.2">
      <c r="A5881">
        <f>IFERROR(VLOOKUP(C5881,'GASB Match'!$D$2:$F$6042,3,FALSE),"")</f>
        <v>3417400</v>
      </c>
      <c r="B5881" s="17">
        <v>2021</v>
      </c>
      <c r="C5881" s="25" t="s">
        <v>892</v>
      </c>
      <c r="D5881" s="17">
        <v>5022</v>
      </c>
      <c r="E5881" s="17" t="s">
        <v>1448</v>
      </c>
      <c r="F5881" s="23">
        <v>175129</v>
      </c>
    </row>
    <row r="5882" spans="1:6" ht="17" x14ac:dyDescent="0.2">
      <c r="A5882">
        <f>IFERROR(VLOOKUP(C5882,'GASB Match'!$D$2:$F$6042,3,FALSE),"")</f>
        <v>3417400</v>
      </c>
      <c r="B5882" s="17">
        <v>2022</v>
      </c>
      <c r="C5882" s="21" t="s">
        <v>892</v>
      </c>
      <c r="D5882" s="17">
        <v>5022</v>
      </c>
      <c r="E5882" s="17" t="s">
        <v>1448</v>
      </c>
      <c r="F5882" s="23">
        <v>248760</v>
      </c>
    </row>
    <row r="5883" spans="1:6" ht="17" x14ac:dyDescent="0.2">
      <c r="A5883">
        <f>IFERROR(VLOOKUP(C5883,'GASB Match'!$D$2:$F$6042,3,FALSE),"")</f>
        <v>3417400</v>
      </c>
      <c r="B5883" s="17">
        <v>2023</v>
      </c>
      <c r="C5883" s="21" t="s">
        <v>892</v>
      </c>
      <c r="D5883" s="17">
        <v>5022</v>
      </c>
      <c r="E5883" s="17" t="s">
        <v>1448</v>
      </c>
      <c r="F5883" s="23">
        <v>271395</v>
      </c>
    </row>
    <row r="5884" spans="1:6" x14ac:dyDescent="0.2">
      <c r="A5884">
        <f>IFERROR(VLOOKUP(C5884,'GASB Match'!$D$2:$F$6042,3,FALSE),"")</f>
        <v>3417400</v>
      </c>
      <c r="B5884" s="28">
        <v>2017</v>
      </c>
      <c r="C5884" s="29" t="s">
        <v>208</v>
      </c>
      <c r="D5884" s="17">
        <v>5022</v>
      </c>
      <c r="E5884" s="17" t="s">
        <v>1407</v>
      </c>
      <c r="F5884" s="29">
        <v>65382</v>
      </c>
    </row>
    <row r="5885" spans="1:6" x14ac:dyDescent="0.2">
      <c r="A5885">
        <f>IFERROR(VLOOKUP(C5885,'GASB Match'!$D$2:$F$6042,3,FALSE),"")</f>
        <v>3417430</v>
      </c>
      <c r="B5885" s="17">
        <v>2015</v>
      </c>
      <c r="C5885" s="17" t="s">
        <v>297</v>
      </c>
      <c r="D5885" s="17">
        <v>7032</v>
      </c>
      <c r="E5885" s="17" t="s">
        <v>1412</v>
      </c>
      <c r="F5885" s="20">
        <v>962706</v>
      </c>
    </row>
    <row r="5886" spans="1:6" x14ac:dyDescent="0.2">
      <c r="A5886">
        <f>IFERROR(VLOOKUP(C5886,'GASB Match'!$D$2:$F$6042,3,FALSE),"")</f>
        <v>3417430</v>
      </c>
      <c r="B5886" s="17">
        <v>2016</v>
      </c>
      <c r="C5886" s="17" t="s">
        <v>297</v>
      </c>
      <c r="D5886" s="17">
        <v>7032</v>
      </c>
      <c r="E5886" s="17" t="s">
        <v>1412</v>
      </c>
      <c r="F5886" s="20">
        <v>1442758</v>
      </c>
    </row>
    <row r="5887" spans="1:6" x14ac:dyDescent="0.2">
      <c r="A5887">
        <f>IFERROR(VLOOKUP(C5887,'GASB Match'!$D$2:$F$6042,3,FALSE),"")</f>
        <v>3417430</v>
      </c>
      <c r="B5887" s="17">
        <v>2018</v>
      </c>
      <c r="C5887" s="17" t="s">
        <v>987</v>
      </c>
      <c r="D5887" s="17">
        <v>7032</v>
      </c>
      <c r="E5887" s="17" t="s">
        <v>1454</v>
      </c>
      <c r="F5887" s="20">
        <v>2794573</v>
      </c>
    </row>
    <row r="5888" spans="1:6" x14ac:dyDescent="0.2">
      <c r="A5888">
        <f>IFERROR(VLOOKUP(C5888,'GASB Match'!$D$2:$F$6042,3,FALSE),"")</f>
        <v>3417430</v>
      </c>
      <c r="B5888" s="17">
        <v>2019</v>
      </c>
      <c r="C5888" s="17" t="s">
        <v>987</v>
      </c>
      <c r="D5888" s="17">
        <v>7032</v>
      </c>
      <c r="E5888" s="17" t="s">
        <v>1455</v>
      </c>
      <c r="F5888" s="20">
        <v>3843925</v>
      </c>
    </row>
    <row r="5889" spans="1:6" ht="17" x14ac:dyDescent="0.2">
      <c r="A5889">
        <f>IFERROR(VLOOKUP(C5889,'GASB Match'!$D$2:$F$6042,3,FALSE),"")</f>
        <v>3417430</v>
      </c>
      <c r="B5889" s="17">
        <v>2020</v>
      </c>
      <c r="C5889" s="21" t="s">
        <v>987</v>
      </c>
      <c r="D5889" s="17">
        <v>7032</v>
      </c>
      <c r="E5889" s="17" t="s">
        <v>1454</v>
      </c>
      <c r="F5889" s="23">
        <v>4300228</v>
      </c>
    </row>
    <row r="5890" spans="1:6" ht="17" x14ac:dyDescent="0.2">
      <c r="A5890">
        <f>IFERROR(VLOOKUP(C5890,'GASB Match'!$D$2:$F$6042,3,FALSE),"")</f>
        <v>3417430</v>
      </c>
      <c r="B5890" s="17">
        <v>2021</v>
      </c>
      <c r="C5890" s="25" t="s">
        <v>987</v>
      </c>
      <c r="D5890" s="17">
        <v>7032</v>
      </c>
      <c r="E5890" s="17" t="s">
        <v>1454</v>
      </c>
      <c r="F5890" s="23">
        <v>5645692</v>
      </c>
    </row>
    <row r="5891" spans="1:6" ht="17" x14ac:dyDescent="0.2">
      <c r="A5891">
        <f>IFERROR(VLOOKUP(C5891,'GASB Match'!$D$2:$F$6042,3,FALSE),"")</f>
        <v>3417430</v>
      </c>
      <c r="B5891" s="17">
        <v>2022</v>
      </c>
      <c r="C5891" s="21" t="s">
        <v>987</v>
      </c>
      <c r="D5891" s="17">
        <v>7032</v>
      </c>
      <c r="E5891" s="17" t="s">
        <v>1454</v>
      </c>
      <c r="F5891" s="23">
        <v>8145802</v>
      </c>
    </row>
    <row r="5892" spans="1:6" ht="17" x14ac:dyDescent="0.2">
      <c r="A5892">
        <f>IFERROR(VLOOKUP(C5892,'GASB Match'!$D$2:$F$6042,3,FALSE),"")</f>
        <v>3417430</v>
      </c>
      <c r="B5892" s="17">
        <v>2023</v>
      </c>
      <c r="C5892" s="21" t="s">
        <v>987</v>
      </c>
      <c r="D5892" s="17">
        <v>7032</v>
      </c>
      <c r="E5892" s="17" t="s">
        <v>1454</v>
      </c>
      <c r="F5892" s="23">
        <v>8179024</v>
      </c>
    </row>
    <row r="5893" spans="1:6" x14ac:dyDescent="0.2">
      <c r="A5893">
        <f>IFERROR(VLOOKUP(C5893,'GASB Match'!$D$2:$F$6042,3,FALSE),"")</f>
        <v>3417430</v>
      </c>
      <c r="B5893" s="28">
        <v>2017</v>
      </c>
      <c r="C5893" s="29" t="s">
        <v>297</v>
      </c>
      <c r="D5893" s="17">
        <v>7032</v>
      </c>
      <c r="E5893" s="17" t="s">
        <v>1412</v>
      </c>
      <c r="F5893" s="29">
        <v>2084366</v>
      </c>
    </row>
    <row r="5894" spans="1:6" x14ac:dyDescent="0.2">
      <c r="A5894">
        <f>IFERROR(VLOOKUP(C5894,'GASB Match'!$D$2:$F$6042,3,FALSE),"")</f>
        <v>3417460</v>
      </c>
      <c r="B5894" s="17">
        <v>2015</v>
      </c>
      <c r="C5894" s="17" t="s">
        <v>270</v>
      </c>
      <c r="D5894" s="17">
        <v>6094</v>
      </c>
      <c r="E5894" s="17" t="s">
        <v>1411</v>
      </c>
      <c r="F5894" s="20">
        <v>730692</v>
      </c>
    </row>
    <row r="5895" spans="1:6" x14ac:dyDescent="0.2">
      <c r="A5895">
        <f>IFERROR(VLOOKUP(C5895,'GASB Match'!$D$2:$F$6042,3,FALSE),"")</f>
        <v>3417460</v>
      </c>
      <c r="B5895" s="17">
        <v>2016</v>
      </c>
      <c r="C5895" s="17" t="s">
        <v>270</v>
      </c>
      <c r="D5895" s="17">
        <v>6094</v>
      </c>
      <c r="E5895" s="17" t="s">
        <v>1411</v>
      </c>
      <c r="F5895" s="20">
        <v>1138121</v>
      </c>
    </row>
    <row r="5896" spans="1:6" x14ac:dyDescent="0.2">
      <c r="A5896">
        <f>IFERROR(VLOOKUP(C5896,'GASB Match'!$D$2:$F$6042,3,FALSE),"")</f>
        <v>3417460</v>
      </c>
      <c r="B5896" s="17">
        <v>2018</v>
      </c>
      <c r="C5896" s="17" t="s">
        <v>960</v>
      </c>
      <c r="D5896" s="17">
        <v>6094</v>
      </c>
      <c r="E5896" s="17" t="s">
        <v>1452</v>
      </c>
      <c r="F5896" s="20">
        <v>2132268</v>
      </c>
    </row>
    <row r="5897" spans="1:6" x14ac:dyDescent="0.2">
      <c r="A5897">
        <f>IFERROR(VLOOKUP(C5897,'GASB Match'!$D$2:$F$6042,3,FALSE),"")</f>
        <v>3417460</v>
      </c>
      <c r="B5897" s="17">
        <v>2019</v>
      </c>
      <c r="C5897" s="17" t="s">
        <v>960</v>
      </c>
      <c r="D5897" s="17">
        <v>6094</v>
      </c>
      <c r="E5897" s="17" t="s">
        <v>1452</v>
      </c>
      <c r="F5897" s="20">
        <v>2855509</v>
      </c>
    </row>
    <row r="5898" spans="1:6" ht="17" x14ac:dyDescent="0.2">
      <c r="A5898">
        <f>IFERROR(VLOOKUP(C5898,'GASB Match'!$D$2:$F$6042,3,FALSE),"")</f>
        <v>3417460</v>
      </c>
      <c r="B5898" s="17">
        <v>2020</v>
      </c>
      <c r="C5898" s="21" t="s">
        <v>960</v>
      </c>
      <c r="D5898" s="17">
        <v>6094</v>
      </c>
      <c r="E5898" s="17" t="s">
        <v>1452</v>
      </c>
      <c r="F5898" s="23">
        <v>3190154</v>
      </c>
    </row>
    <row r="5899" spans="1:6" ht="17" x14ac:dyDescent="0.2">
      <c r="A5899">
        <f>IFERROR(VLOOKUP(C5899,'GASB Match'!$D$2:$F$6042,3,FALSE),"")</f>
        <v>3417460</v>
      </c>
      <c r="B5899" s="17">
        <v>2021</v>
      </c>
      <c r="C5899" s="25" t="s">
        <v>960</v>
      </c>
      <c r="D5899" s="17">
        <v>6094</v>
      </c>
      <c r="E5899" s="17" t="s">
        <v>1452</v>
      </c>
      <c r="F5899" s="23">
        <v>4205139</v>
      </c>
    </row>
    <row r="5900" spans="1:6" ht="17" x14ac:dyDescent="0.2">
      <c r="A5900">
        <f>IFERROR(VLOOKUP(C5900,'GASB Match'!$D$2:$F$6042,3,FALSE),"")</f>
        <v>3417460</v>
      </c>
      <c r="B5900" s="17">
        <v>2022</v>
      </c>
      <c r="C5900" s="21" t="s">
        <v>960</v>
      </c>
      <c r="D5900" s="17">
        <v>6094</v>
      </c>
      <c r="E5900" s="17" t="s">
        <v>1452</v>
      </c>
      <c r="F5900" s="23">
        <v>5990638</v>
      </c>
    </row>
    <row r="5901" spans="1:6" ht="17" x14ac:dyDescent="0.2">
      <c r="A5901">
        <f>IFERROR(VLOOKUP(C5901,'GASB Match'!$D$2:$F$6042,3,FALSE),"")</f>
        <v>3417460</v>
      </c>
      <c r="B5901" s="17">
        <v>2023</v>
      </c>
      <c r="C5901" s="21" t="s">
        <v>960</v>
      </c>
      <c r="D5901" s="17">
        <v>6094</v>
      </c>
      <c r="E5901" s="17" t="s">
        <v>1452</v>
      </c>
      <c r="F5901" s="23">
        <v>6071876</v>
      </c>
    </row>
    <row r="5902" spans="1:6" x14ac:dyDescent="0.2">
      <c r="A5902">
        <f>IFERROR(VLOOKUP(C5902,'GASB Match'!$D$2:$F$6042,3,FALSE),"")</f>
        <v>3417460</v>
      </c>
      <c r="B5902" s="28">
        <v>2017</v>
      </c>
      <c r="C5902" s="29" t="s">
        <v>270</v>
      </c>
      <c r="D5902" s="17">
        <v>6094</v>
      </c>
      <c r="E5902" s="17" t="s">
        <v>1411</v>
      </c>
      <c r="F5902" s="29">
        <v>1501247</v>
      </c>
    </row>
    <row r="5903" spans="1:6" x14ac:dyDescent="0.2">
      <c r="A5903">
        <f>IFERROR(VLOOKUP(C5903,'GASB Match'!$D$2:$F$6042,3,FALSE),"")</f>
        <v>3417490</v>
      </c>
      <c r="B5903" s="17">
        <v>2015</v>
      </c>
      <c r="C5903" s="17" t="s">
        <v>453</v>
      </c>
      <c r="D5903" s="17">
        <v>363</v>
      </c>
      <c r="E5903" s="17" t="s">
        <v>1420</v>
      </c>
      <c r="F5903" s="20">
        <v>220749</v>
      </c>
    </row>
    <row r="5904" spans="1:6" x14ac:dyDescent="0.2">
      <c r="A5904">
        <f>IFERROR(VLOOKUP(C5904,'GASB Match'!$D$2:$F$6042,3,FALSE),"")</f>
        <v>3417490</v>
      </c>
      <c r="B5904" s="17">
        <v>2016</v>
      </c>
      <c r="C5904" s="17" t="s">
        <v>453</v>
      </c>
      <c r="D5904" s="17">
        <v>363</v>
      </c>
      <c r="E5904" s="17" t="s">
        <v>1420</v>
      </c>
      <c r="F5904" s="20">
        <v>337408</v>
      </c>
    </row>
    <row r="5905" spans="1:6" x14ac:dyDescent="0.2">
      <c r="A5905">
        <f>IFERROR(VLOOKUP(C5905,'GASB Match'!$D$2:$F$6042,3,FALSE),"")</f>
        <v>3417490</v>
      </c>
      <c r="B5905" s="17">
        <v>2018</v>
      </c>
      <c r="C5905" s="17" t="s">
        <v>1145</v>
      </c>
      <c r="D5905" s="17">
        <v>363</v>
      </c>
      <c r="E5905" s="17" t="s">
        <v>1463</v>
      </c>
      <c r="F5905" s="20">
        <v>639468</v>
      </c>
    </row>
    <row r="5906" spans="1:6" x14ac:dyDescent="0.2">
      <c r="A5906">
        <f>IFERROR(VLOOKUP(C5906,'GASB Match'!$D$2:$F$6042,3,FALSE),"")</f>
        <v>3417490</v>
      </c>
      <c r="B5906" s="17">
        <v>2019</v>
      </c>
      <c r="C5906" s="17" t="s">
        <v>1145</v>
      </c>
      <c r="D5906" s="17">
        <v>363</v>
      </c>
      <c r="E5906" s="17" t="s">
        <v>1463</v>
      </c>
      <c r="F5906" s="20">
        <v>877208</v>
      </c>
    </row>
    <row r="5907" spans="1:6" ht="17" x14ac:dyDescent="0.2">
      <c r="A5907">
        <f>IFERROR(VLOOKUP(C5907,'GASB Match'!$D$2:$F$6042,3,FALSE),"")</f>
        <v>3417490</v>
      </c>
      <c r="B5907" s="17">
        <v>2020</v>
      </c>
      <c r="C5907" s="21" t="s">
        <v>1145</v>
      </c>
      <c r="D5907" s="17">
        <v>363</v>
      </c>
      <c r="E5907" s="17" t="s">
        <v>1463</v>
      </c>
      <c r="F5907" s="23">
        <v>969767</v>
      </c>
    </row>
    <row r="5908" spans="1:6" ht="17" x14ac:dyDescent="0.2">
      <c r="A5908">
        <f>IFERROR(VLOOKUP(C5908,'GASB Match'!$D$2:$F$6042,3,FALSE),"")</f>
        <v>3417490</v>
      </c>
      <c r="B5908" s="17">
        <v>2021</v>
      </c>
      <c r="C5908" s="25" t="s">
        <v>1145</v>
      </c>
      <c r="D5908" s="17">
        <v>363</v>
      </c>
      <c r="E5908" s="17" t="s">
        <v>1463</v>
      </c>
      <c r="F5908" s="23">
        <v>1220180</v>
      </c>
    </row>
    <row r="5909" spans="1:6" ht="17" x14ac:dyDescent="0.2">
      <c r="A5909">
        <f>IFERROR(VLOOKUP(C5909,'GASB Match'!$D$2:$F$6042,3,FALSE),"")</f>
        <v>3417490</v>
      </c>
      <c r="B5909" s="17">
        <v>2022</v>
      </c>
      <c r="C5909" s="21" t="s">
        <v>1145</v>
      </c>
      <c r="D5909" s="17">
        <v>363</v>
      </c>
      <c r="E5909" s="17" t="s">
        <v>1463</v>
      </c>
      <c r="F5909" s="23">
        <v>1677955</v>
      </c>
    </row>
    <row r="5910" spans="1:6" ht="17" x14ac:dyDescent="0.2">
      <c r="A5910">
        <f>IFERROR(VLOOKUP(C5910,'GASB Match'!$D$2:$F$6042,3,FALSE),"")</f>
        <v>3417490</v>
      </c>
      <c r="B5910" s="17">
        <v>2023</v>
      </c>
      <c r="C5910" s="21" t="s">
        <v>1145</v>
      </c>
      <c r="D5910" s="17">
        <v>363</v>
      </c>
      <c r="E5910" s="17" t="s">
        <v>1463</v>
      </c>
      <c r="F5910" s="23">
        <v>1739853</v>
      </c>
    </row>
    <row r="5911" spans="1:6" x14ac:dyDescent="0.2">
      <c r="A5911">
        <f>IFERROR(VLOOKUP(C5911,'GASB Match'!$D$2:$F$6042,3,FALSE),"")</f>
        <v>3417490</v>
      </c>
      <c r="B5911" s="28">
        <v>2017</v>
      </c>
      <c r="C5911" s="29" t="s">
        <v>453</v>
      </c>
      <c r="D5911" s="17">
        <v>363</v>
      </c>
      <c r="E5911" s="17" t="s">
        <v>1420</v>
      </c>
      <c r="F5911" s="29">
        <v>480332</v>
      </c>
    </row>
    <row r="5912" spans="1:6" x14ac:dyDescent="0.2">
      <c r="A5912">
        <f>IFERROR(VLOOKUP(C5912,'GASB Match'!$D$2:$F$6042,3,FALSE),"")</f>
        <v>3417520</v>
      </c>
      <c r="B5912" s="17">
        <v>2015</v>
      </c>
      <c r="C5912" s="17" t="s">
        <v>547</v>
      </c>
      <c r="D5912" s="17">
        <v>643</v>
      </c>
      <c r="E5912" s="17" t="s">
        <v>1423</v>
      </c>
      <c r="F5912" s="20">
        <v>1533902</v>
      </c>
    </row>
    <row r="5913" spans="1:6" x14ac:dyDescent="0.2">
      <c r="A5913">
        <f>IFERROR(VLOOKUP(C5913,'GASB Match'!$D$2:$F$6042,3,FALSE),"")</f>
        <v>3417520</v>
      </c>
      <c r="B5913" s="17">
        <v>2016</v>
      </c>
      <c r="C5913" s="17" t="s">
        <v>547</v>
      </c>
      <c r="D5913" s="17">
        <v>643</v>
      </c>
      <c r="E5913" s="17" t="s">
        <v>1423</v>
      </c>
      <c r="F5913" s="20">
        <v>2294139</v>
      </c>
    </row>
    <row r="5914" spans="1:6" x14ac:dyDescent="0.2">
      <c r="A5914">
        <f>IFERROR(VLOOKUP(C5914,'GASB Match'!$D$2:$F$6042,3,FALSE),"")</f>
        <v>3417520</v>
      </c>
      <c r="B5914" s="17">
        <v>2018</v>
      </c>
      <c r="C5914" s="17" t="s">
        <v>1239</v>
      </c>
      <c r="D5914" s="17">
        <v>643</v>
      </c>
      <c r="E5914" s="17" t="s">
        <v>1466</v>
      </c>
      <c r="F5914" s="20">
        <v>4405383</v>
      </c>
    </row>
    <row r="5915" spans="1:6" x14ac:dyDescent="0.2">
      <c r="A5915">
        <f>IFERROR(VLOOKUP(C5915,'GASB Match'!$D$2:$F$6042,3,FALSE),"")</f>
        <v>3417520</v>
      </c>
      <c r="B5915" s="17">
        <v>2019</v>
      </c>
      <c r="C5915" s="17" t="s">
        <v>1239</v>
      </c>
      <c r="D5915" s="17">
        <v>643</v>
      </c>
      <c r="E5915" s="17" t="s">
        <v>1466</v>
      </c>
      <c r="F5915" s="20">
        <v>5846263</v>
      </c>
    </row>
    <row r="5916" spans="1:6" ht="17" x14ac:dyDescent="0.2">
      <c r="A5916">
        <f>IFERROR(VLOOKUP(C5916,'GASB Match'!$D$2:$F$6042,3,FALSE),"")</f>
        <v>3417520</v>
      </c>
      <c r="B5916" s="17">
        <v>2020</v>
      </c>
      <c r="C5916" s="21" t="s">
        <v>1239</v>
      </c>
      <c r="D5916" s="17">
        <v>643</v>
      </c>
      <c r="E5916" s="17" t="s">
        <v>1466</v>
      </c>
      <c r="F5916" s="23">
        <v>6628217</v>
      </c>
    </row>
    <row r="5917" spans="1:6" ht="17" x14ac:dyDescent="0.2">
      <c r="A5917">
        <f>IFERROR(VLOOKUP(C5917,'GASB Match'!$D$2:$F$6042,3,FALSE),"")</f>
        <v>3417520</v>
      </c>
      <c r="B5917" s="17">
        <v>2021</v>
      </c>
      <c r="C5917" s="25" t="s">
        <v>1239</v>
      </c>
      <c r="D5917" s="17">
        <v>643</v>
      </c>
      <c r="E5917" s="17" t="s">
        <v>1466</v>
      </c>
      <c r="F5917" s="23">
        <v>8392855</v>
      </c>
    </row>
    <row r="5918" spans="1:6" ht="17" x14ac:dyDescent="0.2">
      <c r="A5918">
        <f>IFERROR(VLOOKUP(C5918,'GASB Match'!$D$2:$F$6042,3,FALSE),"")</f>
        <v>3417520</v>
      </c>
      <c r="B5918" s="17">
        <v>2022</v>
      </c>
      <c r="C5918" s="21" t="s">
        <v>1239</v>
      </c>
      <c r="D5918" s="17">
        <v>643</v>
      </c>
      <c r="E5918" s="17" t="s">
        <v>1466</v>
      </c>
      <c r="F5918" s="23">
        <v>11590556</v>
      </c>
    </row>
    <row r="5919" spans="1:6" ht="17" x14ac:dyDescent="0.2">
      <c r="A5919">
        <f>IFERROR(VLOOKUP(C5919,'GASB Match'!$D$2:$F$6042,3,FALSE),"")</f>
        <v>3417520</v>
      </c>
      <c r="B5919" s="17">
        <v>2023</v>
      </c>
      <c r="C5919" s="21" t="s">
        <v>1239</v>
      </c>
      <c r="D5919" s="17">
        <v>643</v>
      </c>
      <c r="E5919" s="17" t="s">
        <v>1466</v>
      </c>
      <c r="F5919" s="23">
        <v>10932426</v>
      </c>
    </row>
    <row r="5920" spans="1:6" x14ac:dyDescent="0.2">
      <c r="A5920">
        <f>IFERROR(VLOOKUP(C5920,'GASB Match'!$D$2:$F$6042,3,FALSE),"")</f>
        <v>3417520</v>
      </c>
      <c r="B5920" s="28">
        <v>2017</v>
      </c>
      <c r="C5920" s="29" t="s">
        <v>547</v>
      </c>
      <c r="D5920" s="17">
        <v>643</v>
      </c>
      <c r="E5920" s="17" t="s">
        <v>1423</v>
      </c>
      <c r="F5920" s="29">
        <v>3192100</v>
      </c>
    </row>
    <row r="5921" spans="1:6" x14ac:dyDescent="0.2">
      <c r="A5921">
        <f>IFERROR(VLOOKUP(C5921,'GASB Match'!$D$2:$F$6042,3,FALSE),"")</f>
        <v>3417550</v>
      </c>
      <c r="B5921" s="17">
        <v>2015</v>
      </c>
      <c r="C5921" s="17" t="s">
        <v>492</v>
      </c>
      <c r="D5921" s="17">
        <v>451</v>
      </c>
      <c r="E5921" s="17" t="s">
        <v>1421</v>
      </c>
      <c r="F5921" s="20">
        <v>1146415</v>
      </c>
    </row>
    <row r="5922" spans="1:6" x14ac:dyDescent="0.2">
      <c r="A5922">
        <f>IFERROR(VLOOKUP(C5922,'GASB Match'!$D$2:$F$6042,3,FALSE),"")</f>
        <v>3417550</v>
      </c>
      <c r="B5922" s="17">
        <v>2016</v>
      </c>
      <c r="C5922" s="17" t="s">
        <v>492</v>
      </c>
      <c r="D5922" s="17">
        <v>451</v>
      </c>
      <c r="E5922" s="17" t="s">
        <v>1421</v>
      </c>
      <c r="F5922" s="20">
        <v>1648372</v>
      </c>
    </row>
    <row r="5923" spans="1:6" x14ac:dyDescent="0.2">
      <c r="A5923">
        <f>IFERROR(VLOOKUP(C5923,'GASB Match'!$D$2:$F$6042,3,FALSE),"")</f>
        <v>3417550</v>
      </c>
      <c r="B5923" s="17">
        <v>2018</v>
      </c>
      <c r="C5923" s="17" t="s">
        <v>1184</v>
      </c>
      <c r="D5923" s="17">
        <v>451</v>
      </c>
      <c r="E5923" s="17" t="s">
        <v>1464</v>
      </c>
      <c r="F5923" s="20">
        <v>3044540</v>
      </c>
    </row>
    <row r="5924" spans="1:6" x14ac:dyDescent="0.2">
      <c r="A5924">
        <f>IFERROR(VLOOKUP(C5924,'GASB Match'!$D$2:$F$6042,3,FALSE),"")</f>
        <v>3417550</v>
      </c>
      <c r="B5924" s="17">
        <v>2019</v>
      </c>
      <c r="C5924" s="17" t="s">
        <v>1184</v>
      </c>
      <c r="D5924" s="17">
        <v>451</v>
      </c>
      <c r="E5924" s="17" t="s">
        <v>1464</v>
      </c>
      <c r="F5924" s="20">
        <v>3915622</v>
      </c>
    </row>
    <row r="5925" spans="1:6" ht="17" x14ac:dyDescent="0.2">
      <c r="A5925">
        <f>IFERROR(VLOOKUP(C5925,'GASB Match'!$D$2:$F$6042,3,FALSE),"")</f>
        <v>3417550</v>
      </c>
      <c r="B5925" s="17">
        <v>2020</v>
      </c>
      <c r="C5925" s="21" t="s">
        <v>1184</v>
      </c>
      <c r="D5925" s="17">
        <v>451</v>
      </c>
      <c r="E5925" s="17" t="s">
        <v>1464</v>
      </c>
      <c r="F5925" s="23">
        <v>4246984</v>
      </c>
    </row>
    <row r="5926" spans="1:6" ht="17" x14ac:dyDescent="0.2">
      <c r="A5926">
        <f>IFERROR(VLOOKUP(C5926,'GASB Match'!$D$2:$F$6042,3,FALSE),"")</f>
        <v>3417550</v>
      </c>
      <c r="B5926" s="17">
        <v>2021</v>
      </c>
      <c r="C5926" s="25" t="s">
        <v>1184</v>
      </c>
      <c r="D5926" s="17">
        <v>451</v>
      </c>
      <c r="E5926" s="17" t="s">
        <v>1464</v>
      </c>
      <c r="F5926" s="23">
        <v>5274115</v>
      </c>
    </row>
    <row r="5927" spans="1:6" ht="17" x14ac:dyDescent="0.2">
      <c r="A5927">
        <f>IFERROR(VLOOKUP(C5927,'GASB Match'!$D$2:$F$6042,3,FALSE),"")</f>
        <v>3417550</v>
      </c>
      <c r="B5927" s="17">
        <v>2022</v>
      </c>
      <c r="C5927" s="21" t="s">
        <v>1184</v>
      </c>
      <c r="D5927" s="17">
        <v>451</v>
      </c>
      <c r="E5927" s="17" t="s">
        <v>1464</v>
      </c>
      <c r="F5927" s="23">
        <v>7693224</v>
      </c>
    </row>
    <row r="5928" spans="1:6" ht="17" x14ac:dyDescent="0.2">
      <c r="A5928">
        <f>IFERROR(VLOOKUP(C5928,'GASB Match'!$D$2:$F$6042,3,FALSE),"")</f>
        <v>3417550</v>
      </c>
      <c r="B5928" s="17">
        <v>2023</v>
      </c>
      <c r="C5928" s="21" t="s">
        <v>1184</v>
      </c>
      <c r="D5928" s="17">
        <v>451</v>
      </c>
      <c r="E5928" s="17" t="s">
        <v>1464</v>
      </c>
      <c r="F5928" s="23">
        <v>7397794</v>
      </c>
    </row>
    <row r="5929" spans="1:6" x14ac:dyDescent="0.2">
      <c r="A5929">
        <f>IFERROR(VLOOKUP(C5929,'GASB Match'!$D$2:$F$6042,3,FALSE),"")</f>
        <v>3417550</v>
      </c>
      <c r="B5929" s="28">
        <v>2017</v>
      </c>
      <c r="C5929" s="29" t="s">
        <v>492</v>
      </c>
      <c r="D5929" s="17">
        <v>451</v>
      </c>
      <c r="E5929" s="17" t="s">
        <v>1421</v>
      </c>
      <c r="F5929" s="29">
        <v>2197158</v>
      </c>
    </row>
    <row r="5930" spans="1:6" x14ac:dyDescent="0.2">
      <c r="A5930">
        <f>IFERROR(VLOOKUP(C5930,'GASB Match'!$D$2:$F$6042,3,FALSE),"")</f>
        <v>3417580</v>
      </c>
      <c r="B5930" s="17">
        <v>2015</v>
      </c>
      <c r="C5930" s="17" t="s">
        <v>324</v>
      </c>
      <c r="D5930" s="17">
        <v>8070</v>
      </c>
      <c r="E5930" s="17" t="s">
        <v>1413</v>
      </c>
      <c r="F5930" s="20">
        <v>2964228</v>
      </c>
    </row>
    <row r="5931" spans="1:6" x14ac:dyDescent="0.2">
      <c r="A5931">
        <f>IFERROR(VLOOKUP(C5931,'GASB Match'!$D$2:$F$6042,3,FALSE),"")</f>
        <v>3417580</v>
      </c>
      <c r="B5931" s="17">
        <v>2016</v>
      </c>
      <c r="C5931" s="17" t="s">
        <v>324</v>
      </c>
      <c r="D5931" s="17">
        <v>8070</v>
      </c>
      <c r="E5931" s="17" t="s">
        <v>1413</v>
      </c>
      <c r="F5931" s="20">
        <v>4492249</v>
      </c>
    </row>
    <row r="5932" spans="1:6" x14ac:dyDescent="0.2">
      <c r="A5932">
        <f>IFERROR(VLOOKUP(C5932,'GASB Match'!$D$2:$F$6042,3,FALSE),"")</f>
        <v>3417580</v>
      </c>
      <c r="B5932" s="17">
        <v>2018</v>
      </c>
      <c r="C5932" s="17" t="s">
        <v>1017</v>
      </c>
      <c r="D5932" s="17">
        <v>8070</v>
      </c>
      <c r="E5932" s="17" t="s">
        <v>1456</v>
      </c>
      <c r="F5932" s="20">
        <v>7993947</v>
      </c>
    </row>
    <row r="5933" spans="1:6" x14ac:dyDescent="0.2">
      <c r="A5933">
        <f>IFERROR(VLOOKUP(C5933,'GASB Match'!$D$2:$F$6042,3,FALSE),"")</f>
        <v>3417580</v>
      </c>
      <c r="B5933" s="17">
        <v>2019</v>
      </c>
      <c r="C5933" s="17" t="s">
        <v>1017</v>
      </c>
      <c r="D5933" s="17">
        <v>8070</v>
      </c>
      <c r="E5933" s="17" t="s">
        <v>1456</v>
      </c>
      <c r="F5933" s="20">
        <v>10675756</v>
      </c>
    </row>
    <row r="5934" spans="1:6" ht="17" x14ac:dyDescent="0.2">
      <c r="A5934">
        <f>IFERROR(VLOOKUP(C5934,'GASB Match'!$D$2:$F$6042,3,FALSE),"")</f>
        <v>3417580</v>
      </c>
      <c r="B5934" s="17">
        <v>2020</v>
      </c>
      <c r="C5934" s="21" t="s">
        <v>1017</v>
      </c>
      <c r="D5934" s="17">
        <v>8070</v>
      </c>
      <c r="E5934" s="17" t="s">
        <v>1456</v>
      </c>
      <c r="F5934" s="23">
        <v>12036470</v>
      </c>
    </row>
    <row r="5935" spans="1:6" ht="17" x14ac:dyDescent="0.2">
      <c r="A5935">
        <f>IFERROR(VLOOKUP(C5935,'GASB Match'!$D$2:$F$6042,3,FALSE),"")</f>
        <v>3417580</v>
      </c>
      <c r="B5935" s="17">
        <v>2021</v>
      </c>
      <c r="C5935" s="25" t="s">
        <v>1017</v>
      </c>
      <c r="D5935" s="17">
        <v>8070</v>
      </c>
      <c r="E5935" s="17" t="s">
        <v>1456</v>
      </c>
      <c r="F5935" s="23">
        <v>15386277</v>
      </c>
    </row>
    <row r="5936" spans="1:6" ht="17" x14ac:dyDescent="0.2">
      <c r="A5936">
        <f>IFERROR(VLOOKUP(C5936,'GASB Match'!$D$2:$F$6042,3,FALSE),"")</f>
        <v>3417580</v>
      </c>
      <c r="B5936" s="17">
        <v>2022</v>
      </c>
      <c r="C5936" s="21" t="s">
        <v>1017</v>
      </c>
      <c r="D5936" s="17">
        <v>8070</v>
      </c>
      <c r="E5936" s="17" t="s">
        <v>1456</v>
      </c>
      <c r="F5936" s="23">
        <v>21646147</v>
      </c>
    </row>
    <row r="5937" spans="1:6" ht="17" x14ac:dyDescent="0.2">
      <c r="A5937">
        <f>IFERROR(VLOOKUP(C5937,'GASB Match'!$D$2:$F$6042,3,FALSE),"")</f>
        <v>3417580</v>
      </c>
      <c r="B5937" s="17">
        <v>2023</v>
      </c>
      <c r="C5937" s="21" t="s">
        <v>1017</v>
      </c>
      <c r="D5937" s="17">
        <v>8070</v>
      </c>
      <c r="E5937" s="17" t="s">
        <v>1456</v>
      </c>
      <c r="F5937" s="23">
        <v>21326310</v>
      </c>
    </row>
    <row r="5938" spans="1:6" x14ac:dyDescent="0.2">
      <c r="A5938">
        <f>IFERROR(VLOOKUP(C5938,'GASB Match'!$D$2:$F$6042,3,FALSE),"")</f>
        <v>3417580</v>
      </c>
      <c r="B5938" s="28">
        <v>2017</v>
      </c>
      <c r="C5938" s="29" t="s">
        <v>324</v>
      </c>
      <c r="D5938" s="17">
        <v>8070</v>
      </c>
      <c r="E5938" s="17" t="s">
        <v>1413</v>
      </c>
      <c r="F5938" s="29">
        <v>6333807</v>
      </c>
    </row>
    <row r="5939" spans="1:6" x14ac:dyDescent="0.2">
      <c r="A5939">
        <f>IFERROR(VLOOKUP(C5939,'GASB Match'!$D$2:$F$6042,3,FALSE),"")</f>
        <v>3417610</v>
      </c>
      <c r="B5939" s="17">
        <v>2015</v>
      </c>
      <c r="C5939" s="17" t="s">
        <v>271</v>
      </c>
      <c r="D5939" s="17">
        <v>6093</v>
      </c>
      <c r="E5939" s="17" t="s">
        <v>1411</v>
      </c>
      <c r="F5939" s="20">
        <v>3214637</v>
      </c>
    </row>
    <row r="5940" spans="1:6" x14ac:dyDescent="0.2">
      <c r="A5940">
        <f>IFERROR(VLOOKUP(C5940,'GASB Match'!$D$2:$F$6042,3,FALSE),"")</f>
        <v>3417610</v>
      </c>
      <c r="B5940" s="17">
        <v>2016</v>
      </c>
      <c r="C5940" s="17" t="s">
        <v>271</v>
      </c>
      <c r="D5940" s="17">
        <v>6093</v>
      </c>
      <c r="E5940" s="17" t="s">
        <v>1411</v>
      </c>
      <c r="F5940" s="20">
        <v>4874075</v>
      </c>
    </row>
    <row r="5941" spans="1:6" x14ac:dyDescent="0.2">
      <c r="A5941">
        <f>IFERROR(VLOOKUP(C5941,'GASB Match'!$D$2:$F$6042,3,FALSE),"")</f>
        <v>3417610</v>
      </c>
      <c r="B5941" s="17">
        <v>2018</v>
      </c>
      <c r="C5941" s="17" t="s">
        <v>961</v>
      </c>
      <c r="D5941" s="17">
        <v>6093</v>
      </c>
      <c r="E5941" s="17" t="s">
        <v>1452</v>
      </c>
      <c r="F5941" s="20">
        <v>9428819</v>
      </c>
    </row>
    <row r="5942" spans="1:6" x14ac:dyDescent="0.2">
      <c r="A5942">
        <f>IFERROR(VLOOKUP(C5942,'GASB Match'!$D$2:$F$6042,3,FALSE),"")</f>
        <v>3417610</v>
      </c>
      <c r="B5942" s="17">
        <v>2019</v>
      </c>
      <c r="C5942" s="17" t="s">
        <v>961</v>
      </c>
      <c r="D5942" s="17">
        <v>6093</v>
      </c>
      <c r="E5942" s="17" t="s">
        <v>1452</v>
      </c>
      <c r="F5942" s="20">
        <v>12018320</v>
      </c>
    </row>
    <row r="5943" spans="1:6" ht="17" x14ac:dyDescent="0.2">
      <c r="A5943">
        <f>IFERROR(VLOOKUP(C5943,'GASB Match'!$D$2:$F$6042,3,FALSE),"")</f>
        <v>3417610</v>
      </c>
      <c r="B5943" s="17">
        <v>2020</v>
      </c>
      <c r="C5943" s="21" t="s">
        <v>961</v>
      </c>
      <c r="D5943" s="17">
        <v>6093</v>
      </c>
      <c r="E5943" s="17" t="s">
        <v>1452</v>
      </c>
      <c r="F5943" s="23">
        <v>14654342</v>
      </c>
    </row>
    <row r="5944" spans="1:6" ht="17" x14ac:dyDescent="0.2">
      <c r="A5944">
        <f>IFERROR(VLOOKUP(C5944,'GASB Match'!$D$2:$F$6042,3,FALSE),"")</f>
        <v>3417610</v>
      </c>
      <c r="B5944" s="17">
        <v>2021</v>
      </c>
      <c r="C5944" s="25" t="s">
        <v>961</v>
      </c>
      <c r="D5944" s="17">
        <v>6093</v>
      </c>
      <c r="E5944" s="17" t="s">
        <v>1452</v>
      </c>
      <c r="F5944" s="23">
        <v>18960828</v>
      </c>
    </row>
    <row r="5945" spans="1:6" ht="17" x14ac:dyDescent="0.2">
      <c r="A5945">
        <f>IFERROR(VLOOKUP(C5945,'GASB Match'!$D$2:$F$6042,3,FALSE),"")</f>
        <v>3417610</v>
      </c>
      <c r="B5945" s="17">
        <v>2022</v>
      </c>
      <c r="C5945" s="21" t="s">
        <v>961</v>
      </c>
      <c r="D5945" s="17">
        <v>6093</v>
      </c>
      <c r="E5945" s="17" t="s">
        <v>1452</v>
      </c>
      <c r="F5945" s="23">
        <v>27313204</v>
      </c>
    </row>
    <row r="5946" spans="1:6" ht="17" x14ac:dyDescent="0.2">
      <c r="A5946">
        <f>IFERROR(VLOOKUP(C5946,'GASB Match'!$D$2:$F$6042,3,FALSE),"")</f>
        <v>3417610</v>
      </c>
      <c r="B5946" s="17">
        <v>2023</v>
      </c>
      <c r="C5946" s="21" t="s">
        <v>961</v>
      </c>
      <c r="D5946" s="17">
        <v>6093</v>
      </c>
      <c r="E5946" s="17" t="s">
        <v>1452</v>
      </c>
      <c r="F5946" s="23">
        <v>25971468</v>
      </c>
    </row>
    <row r="5947" spans="1:6" x14ac:dyDescent="0.2">
      <c r="A5947">
        <f>IFERROR(VLOOKUP(C5947,'GASB Match'!$D$2:$F$6042,3,FALSE),"")</f>
        <v>3417610</v>
      </c>
      <c r="B5947" s="28">
        <v>2017</v>
      </c>
      <c r="C5947" s="29" t="s">
        <v>271</v>
      </c>
      <c r="D5947" s="17">
        <v>6093</v>
      </c>
      <c r="E5947" s="17" t="s">
        <v>1411</v>
      </c>
      <c r="F5947" s="29">
        <v>7170939</v>
      </c>
    </row>
    <row r="5948" spans="1:6" x14ac:dyDescent="0.2">
      <c r="A5948">
        <f>IFERROR(VLOOKUP(C5948,'GASB Match'!$D$2:$F$6042,3,FALSE),"")</f>
        <v>3417700</v>
      </c>
      <c r="B5948" s="17">
        <v>2015</v>
      </c>
      <c r="C5948" s="17" t="s">
        <v>371</v>
      </c>
      <c r="D5948" s="17">
        <v>118</v>
      </c>
      <c r="E5948" s="17" t="s">
        <v>1416</v>
      </c>
      <c r="F5948" s="20">
        <v>3704521</v>
      </c>
    </row>
    <row r="5949" spans="1:6" x14ac:dyDescent="0.2">
      <c r="A5949">
        <f>IFERROR(VLOOKUP(C5949,'GASB Match'!$D$2:$F$6042,3,FALSE),"")</f>
        <v>3417700</v>
      </c>
      <c r="B5949" s="17">
        <v>2016</v>
      </c>
      <c r="C5949" s="17" t="s">
        <v>371</v>
      </c>
      <c r="D5949" s="17">
        <v>118</v>
      </c>
      <c r="E5949" s="17" t="s">
        <v>1416</v>
      </c>
      <c r="F5949" s="20">
        <v>5476146</v>
      </c>
    </row>
    <row r="5950" spans="1:6" x14ac:dyDescent="0.2">
      <c r="A5950">
        <f>IFERROR(VLOOKUP(C5950,'GASB Match'!$D$2:$F$6042,3,FALSE),"")</f>
        <v>3417700</v>
      </c>
      <c r="B5950" s="17">
        <v>2018</v>
      </c>
      <c r="C5950" s="17" t="s">
        <v>1063</v>
      </c>
      <c r="D5950" s="17">
        <v>118</v>
      </c>
      <c r="E5950" s="17" t="s">
        <v>1459</v>
      </c>
      <c r="F5950" s="20">
        <v>10178908</v>
      </c>
    </row>
    <row r="5951" spans="1:6" x14ac:dyDescent="0.2">
      <c r="A5951">
        <f>IFERROR(VLOOKUP(C5951,'GASB Match'!$D$2:$F$6042,3,FALSE),"")</f>
        <v>3417700</v>
      </c>
      <c r="B5951" s="17">
        <v>2019</v>
      </c>
      <c r="C5951" s="17" t="s">
        <v>1063</v>
      </c>
      <c r="D5951" s="17">
        <v>118</v>
      </c>
      <c r="E5951" s="17" t="s">
        <v>1459</v>
      </c>
      <c r="F5951" s="20">
        <v>13533191</v>
      </c>
    </row>
    <row r="5952" spans="1:6" ht="17" x14ac:dyDescent="0.2">
      <c r="A5952">
        <f>IFERROR(VLOOKUP(C5952,'GASB Match'!$D$2:$F$6042,3,FALSE),"")</f>
        <v>3417700</v>
      </c>
      <c r="B5952" s="17">
        <v>2020</v>
      </c>
      <c r="C5952" s="21" t="s">
        <v>1063</v>
      </c>
      <c r="D5952" s="17">
        <v>118</v>
      </c>
      <c r="E5952" s="17" t="s">
        <v>1459</v>
      </c>
      <c r="F5952" s="23">
        <v>15531593</v>
      </c>
    </row>
    <row r="5953" spans="1:6" ht="17" x14ac:dyDescent="0.2">
      <c r="A5953">
        <f>IFERROR(VLOOKUP(C5953,'GASB Match'!$D$2:$F$6042,3,FALSE),"")</f>
        <v>3417700</v>
      </c>
      <c r="B5953" s="17">
        <v>2021</v>
      </c>
      <c r="C5953" s="25" t="s">
        <v>1063</v>
      </c>
      <c r="D5953" s="17">
        <v>118</v>
      </c>
      <c r="E5953" s="17" t="s">
        <v>1459</v>
      </c>
      <c r="F5953" s="23">
        <v>20330088</v>
      </c>
    </row>
    <row r="5954" spans="1:6" ht="17" x14ac:dyDescent="0.2">
      <c r="A5954">
        <f>IFERROR(VLOOKUP(C5954,'GASB Match'!$D$2:$F$6042,3,FALSE),"")</f>
        <v>3417700</v>
      </c>
      <c r="B5954" s="17">
        <v>2022</v>
      </c>
      <c r="C5954" s="21" t="s">
        <v>1063</v>
      </c>
      <c r="D5954" s="17">
        <v>118</v>
      </c>
      <c r="E5954" s="17" t="s">
        <v>1459</v>
      </c>
      <c r="F5954" s="23">
        <v>28568400</v>
      </c>
    </row>
    <row r="5955" spans="1:6" ht="17" x14ac:dyDescent="0.2">
      <c r="A5955">
        <f>IFERROR(VLOOKUP(C5955,'GASB Match'!$D$2:$F$6042,3,FALSE),"")</f>
        <v>3417700</v>
      </c>
      <c r="B5955" s="17">
        <v>2023</v>
      </c>
      <c r="C5955" s="21" t="s">
        <v>1063</v>
      </c>
      <c r="D5955" s="17">
        <v>118</v>
      </c>
      <c r="E5955" s="17" t="s">
        <v>1459</v>
      </c>
      <c r="F5955" s="23">
        <v>28025402</v>
      </c>
    </row>
    <row r="5956" spans="1:6" x14ac:dyDescent="0.2">
      <c r="A5956">
        <f>IFERROR(VLOOKUP(C5956,'GASB Match'!$D$2:$F$6042,3,FALSE),"")</f>
        <v>3417700</v>
      </c>
      <c r="B5956" s="28">
        <v>2017</v>
      </c>
      <c r="C5956" s="29" t="s">
        <v>371</v>
      </c>
      <c r="D5956" s="17">
        <v>118</v>
      </c>
      <c r="E5956" s="17" t="s">
        <v>1416</v>
      </c>
      <c r="F5956" s="29">
        <v>7626195</v>
      </c>
    </row>
    <row r="5957" spans="1:6" x14ac:dyDescent="0.2">
      <c r="A5957">
        <f>IFERROR(VLOOKUP(C5957,'GASB Match'!$D$2:$F$6042,3,FALSE),"")</f>
        <v>3417730</v>
      </c>
      <c r="B5957" s="17">
        <v>2015</v>
      </c>
      <c r="C5957" s="17" t="s">
        <v>146</v>
      </c>
      <c r="D5957" s="17">
        <v>3055</v>
      </c>
      <c r="E5957" s="17" t="s">
        <v>1404</v>
      </c>
      <c r="F5957" s="20">
        <v>303051</v>
      </c>
    </row>
    <row r="5958" spans="1:6" x14ac:dyDescent="0.2">
      <c r="A5958">
        <f>IFERROR(VLOOKUP(C5958,'GASB Match'!$D$2:$F$6042,3,FALSE),"")</f>
        <v>3417730</v>
      </c>
      <c r="B5958" s="17">
        <v>2016</v>
      </c>
      <c r="C5958" s="17" t="s">
        <v>146</v>
      </c>
      <c r="D5958" s="17">
        <v>3055</v>
      </c>
      <c r="E5958" s="17" t="s">
        <v>1404</v>
      </c>
      <c r="F5958" s="20">
        <v>459678</v>
      </c>
    </row>
    <row r="5959" spans="1:6" x14ac:dyDescent="0.2">
      <c r="A5959">
        <f>IFERROR(VLOOKUP(C5959,'GASB Match'!$D$2:$F$6042,3,FALSE),"")</f>
        <v>3417730</v>
      </c>
      <c r="B5959" s="17">
        <v>2018</v>
      </c>
      <c r="C5959" s="17" t="s">
        <v>827</v>
      </c>
      <c r="D5959" s="17">
        <v>3055</v>
      </c>
      <c r="E5959" s="17" t="s">
        <v>1445</v>
      </c>
      <c r="F5959" s="20">
        <v>831099</v>
      </c>
    </row>
    <row r="5960" spans="1:6" x14ac:dyDescent="0.2">
      <c r="A5960">
        <f>IFERROR(VLOOKUP(C5960,'GASB Match'!$D$2:$F$6042,3,FALSE),"")</f>
        <v>3417730</v>
      </c>
      <c r="B5960" s="17">
        <v>2019</v>
      </c>
      <c r="C5960" s="17" t="s">
        <v>827</v>
      </c>
      <c r="D5960" s="17">
        <v>3055</v>
      </c>
      <c r="E5960" s="17" t="s">
        <v>1445</v>
      </c>
      <c r="F5960" s="20">
        <v>1158109</v>
      </c>
    </row>
    <row r="5961" spans="1:6" ht="17" x14ac:dyDescent="0.2">
      <c r="A5961">
        <f>IFERROR(VLOOKUP(C5961,'GASB Match'!$D$2:$F$6042,3,FALSE),"")</f>
        <v>3417730</v>
      </c>
      <c r="B5961" s="17">
        <v>2020</v>
      </c>
      <c r="C5961" s="21" t="s">
        <v>827</v>
      </c>
      <c r="D5961" s="17">
        <v>3055</v>
      </c>
      <c r="E5961" s="17" t="s">
        <v>1445</v>
      </c>
      <c r="F5961" s="23">
        <v>1285484</v>
      </c>
    </row>
    <row r="5962" spans="1:6" ht="17" x14ac:dyDescent="0.2">
      <c r="A5962">
        <f>IFERROR(VLOOKUP(C5962,'GASB Match'!$D$2:$F$6042,3,FALSE),"")</f>
        <v>3417730</v>
      </c>
      <c r="B5962" s="17">
        <v>2021</v>
      </c>
      <c r="C5962" s="25" t="s">
        <v>827</v>
      </c>
      <c r="D5962" s="17">
        <v>3055</v>
      </c>
      <c r="E5962" s="17" t="s">
        <v>1445</v>
      </c>
      <c r="F5962" s="23">
        <v>1662342</v>
      </c>
    </row>
    <row r="5963" spans="1:6" ht="17" x14ac:dyDescent="0.2">
      <c r="A5963">
        <f>IFERROR(VLOOKUP(C5963,'GASB Match'!$D$2:$F$6042,3,FALSE),"")</f>
        <v>3417730</v>
      </c>
      <c r="B5963" s="17">
        <v>2022</v>
      </c>
      <c r="C5963" s="21" t="s">
        <v>827</v>
      </c>
      <c r="D5963" s="17">
        <v>3055</v>
      </c>
      <c r="E5963" s="17" t="s">
        <v>1445</v>
      </c>
      <c r="F5963" s="23">
        <v>2570368</v>
      </c>
    </row>
    <row r="5964" spans="1:6" ht="17" x14ac:dyDescent="0.2">
      <c r="A5964">
        <f>IFERROR(VLOOKUP(C5964,'GASB Match'!$D$2:$F$6042,3,FALSE),"")</f>
        <v>3417730</v>
      </c>
      <c r="B5964" s="17">
        <v>2023</v>
      </c>
      <c r="C5964" s="21" t="s">
        <v>827</v>
      </c>
      <c r="D5964" s="17">
        <v>3055</v>
      </c>
      <c r="E5964" s="17" t="s">
        <v>1445</v>
      </c>
      <c r="F5964" s="23">
        <v>2530342</v>
      </c>
    </row>
    <row r="5965" spans="1:6" x14ac:dyDescent="0.2">
      <c r="A5965">
        <f>IFERROR(VLOOKUP(C5965,'GASB Match'!$D$2:$F$6042,3,FALSE),"")</f>
        <v>3417730</v>
      </c>
      <c r="B5965" s="28">
        <v>2017</v>
      </c>
      <c r="C5965" s="29" t="s">
        <v>146</v>
      </c>
      <c r="D5965" s="17">
        <v>3055</v>
      </c>
      <c r="E5965" s="17" t="s">
        <v>1404</v>
      </c>
      <c r="F5965" s="29">
        <v>605327</v>
      </c>
    </row>
    <row r="5966" spans="1:6" x14ac:dyDescent="0.2">
      <c r="A5966">
        <f>IFERROR(VLOOKUP(C5966,'GASB Match'!$D$2:$F$6042,3,FALSE),"")</f>
        <v>3417760</v>
      </c>
      <c r="B5966" s="17">
        <v>2015</v>
      </c>
      <c r="C5966" s="17" t="s">
        <v>635</v>
      </c>
      <c r="D5966" s="17">
        <v>847</v>
      </c>
      <c r="E5966" s="17" t="s">
        <v>1427</v>
      </c>
      <c r="F5966" s="20">
        <v>2455822</v>
      </c>
    </row>
    <row r="5967" spans="1:6" x14ac:dyDescent="0.2">
      <c r="A5967">
        <f>IFERROR(VLOOKUP(C5967,'GASB Match'!$D$2:$F$6042,3,FALSE),"")</f>
        <v>3417760</v>
      </c>
      <c r="B5967" s="17">
        <v>2016</v>
      </c>
      <c r="C5967" s="17" t="s">
        <v>635</v>
      </c>
      <c r="D5967" s="17">
        <v>847</v>
      </c>
      <c r="E5967" s="17" t="s">
        <v>1427</v>
      </c>
      <c r="F5967" s="20">
        <v>3576626</v>
      </c>
    </row>
    <row r="5968" spans="1:6" x14ac:dyDescent="0.2">
      <c r="A5968">
        <f>IFERROR(VLOOKUP(C5968,'GASB Match'!$D$2:$F$6042,3,FALSE),"")</f>
        <v>3417760</v>
      </c>
      <c r="B5968" s="17">
        <v>2018</v>
      </c>
      <c r="C5968" s="17" t="s">
        <v>1328</v>
      </c>
      <c r="D5968" s="17">
        <v>847</v>
      </c>
      <c r="E5968" s="17" t="s">
        <v>1470</v>
      </c>
      <c r="F5968" s="20">
        <v>6749888</v>
      </c>
    </row>
    <row r="5969" spans="1:6" x14ac:dyDescent="0.2">
      <c r="A5969">
        <f>IFERROR(VLOOKUP(C5969,'GASB Match'!$D$2:$F$6042,3,FALSE),"")</f>
        <v>3417760</v>
      </c>
      <c r="B5969" s="17">
        <v>2019</v>
      </c>
      <c r="C5969" s="17" t="s">
        <v>1328</v>
      </c>
      <c r="D5969" s="17">
        <v>847</v>
      </c>
      <c r="E5969" s="17" t="s">
        <v>1470</v>
      </c>
      <c r="F5969" s="20">
        <v>9193677</v>
      </c>
    </row>
    <row r="5970" spans="1:6" ht="17" x14ac:dyDescent="0.2">
      <c r="A5970">
        <f>IFERROR(VLOOKUP(C5970,'GASB Match'!$D$2:$F$6042,3,FALSE),"")</f>
        <v>3417760</v>
      </c>
      <c r="B5970" s="17">
        <v>2020</v>
      </c>
      <c r="C5970" s="21" t="s">
        <v>1328</v>
      </c>
      <c r="D5970" s="17">
        <v>847</v>
      </c>
      <c r="E5970" s="17" t="s">
        <v>1470</v>
      </c>
      <c r="F5970" s="23">
        <v>10117795</v>
      </c>
    </row>
    <row r="5971" spans="1:6" ht="17" x14ac:dyDescent="0.2">
      <c r="A5971">
        <f>IFERROR(VLOOKUP(C5971,'GASB Match'!$D$2:$F$6042,3,FALSE),"")</f>
        <v>3417760</v>
      </c>
      <c r="B5971" s="17">
        <v>2021</v>
      </c>
      <c r="C5971" s="25" t="s">
        <v>1328</v>
      </c>
      <c r="D5971" s="17">
        <v>847</v>
      </c>
      <c r="E5971" s="17" t="s">
        <v>1470</v>
      </c>
      <c r="F5971" s="23">
        <v>13034422</v>
      </c>
    </row>
    <row r="5972" spans="1:6" ht="17" x14ac:dyDescent="0.2">
      <c r="A5972">
        <f>IFERROR(VLOOKUP(C5972,'GASB Match'!$D$2:$F$6042,3,FALSE),"")</f>
        <v>3417760</v>
      </c>
      <c r="B5972" s="17">
        <v>2022</v>
      </c>
      <c r="C5972" s="21" t="s">
        <v>1328</v>
      </c>
      <c r="D5972" s="17">
        <v>847</v>
      </c>
      <c r="E5972" s="17" t="s">
        <v>1470</v>
      </c>
      <c r="F5972" s="23">
        <v>18634089</v>
      </c>
    </row>
    <row r="5973" spans="1:6" ht="17" x14ac:dyDescent="0.2">
      <c r="A5973">
        <f>IFERROR(VLOOKUP(C5973,'GASB Match'!$D$2:$F$6042,3,FALSE),"")</f>
        <v>3417760</v>
      </c>
      <c r="B5973" s="17">
        <v>2023</v>
      </c>
      <c r="C5973" s="21" t="s">
        <v>1328</v>
      </c>
      <c r="D5973" s="17">
        <v>847</v>
      </c>
      <c r="E5973" s="17" t="s">
        <v>1470</v>
      </c>
      <c r="F5973" s="23">
        <v>18638577</v>
      </c>
    </row>
    <row r="5974" spans="1:6" x14ac:dyDescent="0.2">
      <c r="A5974">
        <f>IFERROR(VLOOKUP(C5974,'GASB Match'!$D$2:$F$6042,3,FALSE),"")</f>
        <v>3417760</v>
      </c>
      <c r="B5974" s="28">
        <v>2017</v>
      </c>
      <c r="C5974" s="29" t="s">
        <v>635</v>
      </c>
      <c r="D5974" s="17">
        <v>847</v>
      </c>
      <c r="E5974" s="17" t="s">
        <v>1427</v>
      </c>
      <c r="F5974" s="29">
        <v>5057161</v>
      </c>
    </row>
    <row r="5975" spans="1:6" x14ac:dyDescent="0.2">
      <c r="A5975">
        <f>IFERROR(VLOOKUP(C5975,'GASB Match'!$D$2:$F$6042,3,FALSE),"")</f>
        <v>3417790</v>
      </c>
      <c r="B5975" s="17">
        <v>2015</v>
      </c>
      <c r="C5975" s="17" t="s">
        <v>298</v>
      </c>
      <c r="D5975" s="17">
        <v>7033</v>
      </c>
      <c r="E5975" s="17" t="s">
        <v>1412</v>
      </c>
      <c r="F5975" s="20">
        <v>139024</v>
      </c>
    </row>
    <row r="5976" spans="1:6" x14ac:dyDescent="0.2">
      <c r="A5976">
        <f>IFERROR(VLOOKUP(C5976,'GASB Match'!$D$2:$F$6042,3,FALSE),"")</f>
        <v>3417790</v>
      </c>
      <c r="B5976" s="17">
        <v>2016</v>
      </c>
      <c r="C5976" s="17" t="s">
        <v>298</v>
      </c>
      <c r="D5976" s="17">
        <v>7033</v>
      </c>
      <c r="E5976" s="17" t="s">
        <v>1412</v>
      </c>
      <c r="F5976" s="20">
        <v>204918</v>
      </c>
    </row>
    <row r="5977" spans="1:6" x14ac:dyDescent="0.2">
      <c r="A5977">
        <f>IFERROR(VLOOKUP(C5977,'GASB Match'!$D$2:$F$6042,3,FALSE),"")</f>
        <v>3417790</v>
      </c>
      <c r="B5977" s="17">
        <v>2018</v>
      </c>
      <c r="C5977" s="17" t="s">
        <v>988</v>
      </c>
      <c r="D5977" s="17">
        <v>7033</v>
      </c>
      <c r="E5977" s="17" t="s">
        <v>1454</v>
      </c>
      <c r="F5977" s="20">
        <v>372929</v>
      </c>
    </row>
    <row r="5978" spans="1:6" x14ac:dyDescent="0.2">
      <c r="A5978">
        <f>IFERROR(VLOOKUP(C5978,'GASB Match'!$D$2:$F$6042,3,FALSE),"")</f>
        <v>3417790</v>
      </c>
      <c r="B5978" s="17">
        <v>2019</v>
      </c>
      <c r="C5978" s="17" t="s">
        <v>988</v>
      </c>
      <c r="D5978" s="17">
        <v>7033</v>
      </c>
      <c r="E5978" s="17" t="s">
        <v>1454</v>
      </c>
      <c r="F5978" s="20">
        <v>491666</v>
      </c>
    </row>
    <row r="5979" spans="1:6" ht="17" x14ac:dyDescent="0.2">
      <c r="A5979">
        <f>IFERROR(VLOOKUP(C5979,'GASB Match'!$D$2:$F$6042,3,FALSE),"")</f>
        <v>3417790</v>
      </c>
      <c r="B5979" s="17">
        <v>2020</v>
      </c>
      <c r="C5979" s="21" t="s">
        <v>988</v>
      </c>
      <c r="D5979" s="17">
        <v>7033</v>
      </c>
      <c r="E5979" s="17" t="s">
        <v>1454</v>
      </c>
      <c r="F5979" s="23">
        <v>545081</v>
      </c>
    </row>
    <row r="5980" spans="1:6" ht="17" x14ac:dyDescent="0.2">
      <c r="A5980">
        <f>IFERROR(VLOOKUP(C5980,'GASB Match'!$D$2:$F$6042,3,FALSE),"")</f>
        <v>3417790</v>
      </c>
      <c r="B5980" s="17">
        <v>2021</v>
      </c>
      <c r="C5980" s="25" t="s">
        <v>988</v>
      </c>
      <c r="D5980" s="17">
        <v>7033</v>
      </c>
      <c r="E5980" s="17" t="s">
        <v>1454</v>
      </c>
      <c r="F5980" s="23">
        <v>739525</v>
      </c>
    </row>
    <row r="5981" spans="1:6" ht="17" x14ac:dyDescent="0.2">
      <c r="A5981">
        <f>IFERROR(VLOOKUP(C5981,'GASB Match'!$D$2:$F$6042,3,FALSE),"")</f>
        <v>3417790</v>
      </c>
      <c r="B5981" s="17">
        <v>2022</v>
      </c>
      <c r="C5981" s="21" t="s">
        <v>988</v>
      </c>
      <c r="D5981" s="17">
        <v>7033</v>
      </c>
      <c r="E5981" s="17" t="s">
        <v>1454</v>
      </c>
      <c r="F5981" s="23">
        <v>1047110</v>
      </c>
    </row>
    <row r="5982" spans="1:6" ht="17" x14ac:dyDescent="0.2">
      <c r="A5982">
        <f>IFERROR(VLOOKUP(C5982,'GASB Match'!$D$2:$F$6042,3,FALSE),"")</f>
        <v>3417790</v>
      </c>
      <c r="B5982" s="17">
        <v>2023</v>
      </c>
      <c r="C5982" s="21" t="s">
        <v>988</v>
      </c>
      <c r="D5982" s="17">
        <v>7033</v>
      </c>
      <c r="E5982" s="17" t="s">
        <v>1454</v>
      </c>
      <c r="F5982" s="23">
        <v>1054911</v>
      </c>
    </row>
    <row r="5983" spans="1:6" x14ac:dyDescent="0.2">
      <c r="A5983">
        <f>IFERROR(VLOOKUP(C5983,'GASB Match'!$D$2:$F$6042,3,FALSE),"")</f>
        <v>3417790</v>
      </c>
      <c r="B5983" s="28">
        <v>2017</v>
      </c>
      <c r="C5983" s="29" t="s">
        <v>298</v>
      </c>
      <c r="D5983" s="17">
        <v>7033</v>
      </c>
      <c r="E5983" s="17" t="s">
        <v>1412</v>
      </c>
      <c r="F5983" s="29">
        <v>291322</v>
      </c>
    </row>
    <row r="5984" spans="1:6" x14ac:dyDescent="0.2">
      <c r="A5984">
        <f>IFERROR(VLOOKUP(C5984,'GASB Match'!$D$2:$F$6042,3,FALSE),"")</f>
        <v>3417820</v>
      </c>
      <c r="B5984" s="17">
        <v>2015</v>
      </c>
      <c r="C5984" s="17" t="s">
        <v>102</v>
      </c>
      <c r="D5984" s="17">
        <v>2088</v>
      </c>
      <c r="E5984" s="17" t="s">
        <v>1402</v>
      </c>
      <c r="F5984" s="20">
        <v>1060928</v>
      </c>
    </row>
    <row r="5985" spans="1:6" x14ac:dyDescent="0.2">
      <c r="A5985">
        <f>IFERROR(VLOOKUP(C5985,'GASB Match'!$D$2:$F$6042,3,FALSE),"")</f>
        <v>3417820</v>
      </c>
      <c r="B5985" s="17">
        <v>2016</v>
      </c>
      <c r="C5985" s="17" t="s">
        <v>102</v>
      </c>
      <c r="D5985" s="17">
        <v>2088</v>
      </c>
      <c r="E5985" s="17" t="s">
        <v>1402</v>
      </c>
      <c r="F5985" s="20">
        <v>1628429</v>
      </c>
    </row>
    <row r="5986" spans="1:6" x14ac:dyDescent="0.2">
      <c r="A5986">
        <f>IFERROR(VLOOKUP(C5986,'GASB Match'!$D$2:$F$6042,3,FALSE),"")</f>
        <v>3417820</v>
      </c>
      <c r="B5986" s="17">
        <v>2018</v>
      </c>
      <c r="C5986" s="17" t="s">
        <v>782</v>
      </c>
      <c r="D5986" s="17">
        <v>2088</v>
      </c>
      <c r="E5986" s="17" t="s">
        <v>1443</v>
      </c>
      <c r="F5986" s="20">
        <v>3212426</v>
      </c>
    </row>
    <row r="5987" spans="1:6" x14ac:dyDescent="0.2">
      <c r="A5987">
        <f>IFERROR(VLOOKUP(C5987,'GASB Match'!$D$2:$F$6042,3,FALSE),"")</f>
        <v>3417820</v>
      </c>
      <c r="B5987" s="17">
        <v>2019</v>
      </c>
      <c r="C5987" s="17" t="s">
        <v>782</v>
      </c>
      <c r="D5987" s="17">
        <v>2088</v>
      </c>
      <c r="E5987" s="17" t="s">
        <v>1443</v>
      </c>
      <c r="F5987" s="20">
        <v>4405544</v>
      </c>
    </row>
    <row r="5988" spans="1:6" ht="17" x14ac:dyDescent="0.2">
      <c r="A5988">
        <f>IFERROR(VLOOKUP(C5988,'GASB Match'!$D$2:$F$6042,3,FALSE),"")</f>
        <v>3417820</v>
      </c>
      <c r="B5988" s="17">
        <v>2020</v>
      </c>
      <c r="C5988" s="21" t="s">
        <v>782</v>
      </c>
      <c r="D5988" s="17">
        <v>2088</v>
      </c>
      <c r="E5988" s="17" t="s">
        <v>1443</v>
      </c>
      <c r="F5988" s="23">
        <v>5190774</v>
      </c>
    </row>
    <row r="5989" spans="1:6" ht="17" x14ac:dyDescent="0.2">
      <c r="A5989">
        <f>IFERROR(VLOOKUP(C5989,'GASB Match'!$D$2:$F$6042,3,FALSE),"")</f>
        <v>3417820</v>
      </c>
      <c r="B5989" s="17">
        <v>2021</v>
      </c>
      <c r="C5989" s="25" t="s">
        <v>782</v>
      </c>
      <c r="D5989" s="17">
        <v>2088</v>
      </c>
      <c r="E5989" s="17" t="s">
        <v>1443</v>
      </c>
      <c r="F5989" s="23">
        <v>6627529</v>
      </c>
    </row>
    <row r="5990" spans="1:6" ht="17" x14ac:dyDescent="0.2">
      <c r="A5990">
        <f>IFERROR(VLOOKUP(C5990,'GASB Match'!$D$2:$F$6042,3,FALSE),"")</f>
        <v>3417820</v>
      </c>
      <c r="B5990" s="17">
        <v>2022</v>
      </c>
      <c r="C5990" s="21" t="s">
        <v>782</v>
      </c>
      <c r="D5990" s="17">
        <v>2088</v>
      </c>
      <c r="E5990" s="17" t="s">
        <v>1443</v>
      </c>
      <c r="F5990" s="23">
        <v>9403534</v>
      </c>
    </row>
    <row r="5991" spans="1:6" ht="17" x14ac:dyDescent="0.2">
      <c r="A5991">
        <f>IFERROR(VLOOKUP(C5991,'GASB Match'!$D$2:$F$6042,3,FALSE),"")</f>
        <v>3417820</v>
      </c>
      <c r="B5991" s="17">
        <v>2023</v>
      </c>
      <c r="C5991" s="21" t="s">
        <v>782</v>
      </c>
      <c r="D5991" s="17">
        <v>2088</v>
      </c>
      <c r="E5991" s="17" t="s">
        <v>1443</v>
      </c>
      <c r="F5991" s="23">
        <v>9407654</v>
      </c>
    </row>
    <row r="5992" spans="1:6" x14ac:dyDescent="0.2">
      <c r="A5992">
        <f>IFERROR(VLOOKUP(C5992,'GASB Match'!$D$2:$F$6042,3,FALSE),"")</f>
        <v>3417820</v>
      </c>
      <c r="B5992" s="28">
        <v>2017</v>
      </c>
      <c r="C5992" s="29" t="s">
        <v>102</v>
      </c>
      <c r="D5992" s="17">
        <v>2088</v>
      </c>
      <c r="E5992" s="17" t="s">
        <v>1402</v>
      </c>
      <c r="F5992" s="29">
        <v>2227782</v>
      </c>
    </row>
    <row r="5993" spans="1:6" x14ac:dyDescent="0.2">
      <c r="A5993">
        <f>IFERROR(VLOOKUP(C5993,'GASB Match'!$D$2:$F$6042,3,FALSE),"")</f>
        <v>3417850</v>
      </c>
      <c r="B5993" s="17">
        <v>2015</v>
      </c>
      <c r="C5993" s="17" t="s">
        <v>25</v>
      </c>
      <c r="D5993" s="17">
        <v>1093</v>
      </c>
      <c r="E5993" s="17" t="s">
        <v>1400</v>
      </c>
      <c r="F5993" s="20">
        <v>81881</v>
      </c>
    </row>
    <row r="5994" spans="1:6" x14ac:dyDescent="0.2">
      <c r="A5994">
        <f>IFERROR(VLOOKUP(C5994,'GASB Match'!$D$2:$F$6042,3,FALSE),"")</f>
        <v>3417850</v>
      </c>
      <c r="B5994" s="17">
        <v>2016</v>
      </c>
      <c r="C5994" s="17" t="s">
        <v>25</v>
      </c>
      <c r="D5994" s="17">
        <v>1093</v>
      </c>
      <c r="E5994" s="17" t="s">
        <v>1400</v>
      </c>
      <c r="F5994" s="20">
        <v>120927</v>
      </c>
    </row>
    <row r="5995" spans="1:6" x14ac:dyDescent="0.2">
      <c r="A5995">
        <f>IFERROR(VLOOKUP(C5995,'GASB Match'!$D$2:$F$6042,3,FALSE),"")</f>
        <v>3417850</v>
      </c>
      <c r="B5995" s="17">
        <v>2018</v>
      </c>
      <c r="C5995" s="17" t="s">
        <v>704</v>
      </c>
      <c r="D5995" s="17">
        <v>1093</v>
      </c>
      <c r="E5995" s="17" t="s">
        <v>1441</v>
      </c>
      <c r="F5995" s="20">
        <v>193516</v>
      </c>
    </row>
    <row r="5996" spans="1:6" x14ac:dyDescent="0.2">
      <c r="A5996">
        <f>IFERROR(VLOOKUP(C5996,'GASB Match'!$D$2:$F$6042,3,FALSE),"")</f>
        <v>3417850</v>
      </c>
      <c r="B5996" s="17">
        <v>2019</v>
      </c>
      <c r="C5996" s="17" t="s">
        <v>704</v>
      </c>
      <c r="D5996" s="17">
        <v>1093</v>
      </c>
      <c r="E5996" s="17" t="s">
        <v>1441</v>
      </c>
      <c r="F5996" s="20">
        <v>233048</v>
      </c>
    </row>
    <row r="5997" spans="1:6" ht="17" x14ac:dyDescent="0.2">
      <c r="A5997">
        <f>IFERROR(VLOOKUP(C5997,'GASB Match'!$D$2:$F$6042,3,FALSE),"")</f>
        <v>3417850</v>
      </c>
      <c r="B5997" s="17">
        <v>2020</v>
      </c>
      <c r="C5997" s="21" t="s">
        <v>704</v>
      </c>
      <c r="D5997" s="17">
        <v>1093</v>
      </c>
      <c r="E5997" s="17" t="s">
        <v>1441</v>
      </c>
      <c r="F5997" s="23">
        <v>261302</v>
      </c>
    </row>
    <row r="5998" spans="1:6" ht="17" x14ac:dyDescent="0.2">
      <c r="A5998">
        <f>IFERROR(VLOOKUP(C5998,'GASB Match'!$D$2:$F$6042,3,FALSE),"")</f>
        <v>3417850</v>
      </c>
      <c r="B5998" s="17">
        <v>2021</v>
      </c>
      <c r="C5998" s="25" t="s">
        <v>704</v>
      </c>
      <c r="D5998" s="17">
        <v>1093</v>
      </c>
      <c r="E5998" s="17" t="s">
        <v>1441</v>
      </c>
      <c r="F5998" s="23">
        <v>344182</v>
      </c>
    </row>
    <row r="5999" spans="1:6" ht="17" x14ac:dyDescent="0.2">
      <c r="A5999">
        <f>IFERROR(VLOOKUP(C5999,'GASB Match'!$D$2:$F$6042,3,FALSE),"")</f>
        <v>3417850</v>
      </c>
      <c r="B5999" s="17">
        <v>2022</v>
      </c>
      <c r="C5999" s="21" t="s">
        <v>704</v>
      </c>
      <c r="D5999" s="17">
        <v>1093</v>
      </c>
      <c r="E5999" s="17" t="s">
        <v>1441</v>
      </c>
      <c r="F5999" s="23">
        <v>484619</v>
      </c>
    </row>
    <row r="6000" spans="1:6" ht="17" x14ac:dyDescent="0.2">
      <c r="A6000">
        <f>IFERROR(VLOOKUP(C6000,'GASB Match'!$D$2:$F$6042,3,FALSE),"")</f>
        <v>3417850</v>
      </c>
      <c r="B6000" s="17">
        <v>2023</v>
      </c>
      <c r="C6000" s="21" t="s">
        <v>704</v>
      </c>
      <c r="D6000" s="17">
        <v>1093</v>
      </c>
      <c r="E6000" s="17" t="s">
        <v>1441</v>
      </c>
      <c r="F6000" s="23">
        <v>457714</v>
      </c>
    </row>
    <row r="6001" spans="1:6" x14ac:dyDescent="0.2">
      <c r="A6001">
        <f>IFERROR(VLOOKUP(C6001,'GASB Match'!$D$2:$F$6042,3,FALSE),"")</f>
        <v>3417850</v>
      </c>
      <c r="B6001" s="28">
        <v>2017</v>
      </c>
      <c r="C6001" s="29" t="s">
        <v>25</v>
      </c>
      <c r="D6001" s="17">
        <v>1093</v>
      </c>
      <c r="E6001" s="17" t="s">
        <v>1400</v>
      </c>
      <c r="F6001" s="29">
        <v>142986</v>
      </c>
    </row>
    <row r="6002" spans="1:6" x14ac:dyDescent="0.2">
      <c r="A6002">
        <f>IFERROR(VLOOKUP(C6002,'GASB Match'!$D$2:$F$6042,3,FALSE),"")</f>
        <v>3417880</v>
      </c>
      <c r="B6002" s="17">
        <v>2015</v>
      </c>
      <c r="C6002" s="17" t="s">
        <v>493</v>
      </c>
      <c r="D6002" s="17">
        <v>447</v>
      </c>
      <c r="E6002" s="17" t="s">
        <v>1421</v>
      </c>
      <c r="F6002" s="20">
        <v>266641</v>
      </c>
    </row>
    <row r="6003" spans="1:6" x14ac:dyDescent="0.2">
      <c r="A6003">
        <f>IFERROR(VLOOKUP(C6003,'GASB Match'!$D$2:$F$6042,3,FALSE),"")</f>
        <v>3417880</v>
      </c>
      <c r="B6003" s="17">
        <v>2016</v>
      </c>
      <c r="C6003" s="17" t="s">
        <v>493</v>
      </c>
      <c r="D6003" s="17">
        <v>447</v>
      </c>
      <c r="E6003" s="17" t="s">
        <v>1421</v>
      </c>
      <c r="F6003" s="20">
        <v>426953</v>
      </c>
    </row>
    <row r="6004" spans="1:6" x14ac:dyDescent="0.2">
      <c r="A6004">
        <f>IFERROR(VLOOKUP(C6004,'GASB Match'!$D$2:$F$6042,3,FALSE),"")</f>
        <v>3417880</v>
      </c>
      <c r="B6004" s="17">
        <v>2018</v>
      </c>
      <c r="C6004" s="17" t="s">
        <v>1185</v>
      </c>
      <c r="D6004" s="17">
        <v>447</v>
      </c>
      <c r="E6004" s="17" t="s">
        <v>1464</v>
      </c>
      <c r="F6004" s="20">
        <v>841210</v>
      </c>
    </row>
    <row r="6005" spans="1:6" x14ac:dyDescent="0.2">
      <c r="A6005">
        <f>IFERROR(VLOOKUP(C6005,'GASB Match'!$D$2:$F$6042,3,FALSE),"")</f>
        <v>3417880</v>
      </c>
      <c r="B6005" s="17">
        <v>2019</v>
      </c>
      <c r="C6005" s="17" t="s">
        <v>1185</v>
      </c>
      <c r="D6005" s="17">
        <v>447</v>
      </c>
      <c r="E6005" s="17" t="s">
        <v>1464</v>
      </c>
      <c r="F6005" s="20">
        <v>1135020</v>
      </c>
    </row>
    <row r="6006" spans="1:6" ht="17" x14ac:dyDescent="0.2">
      <c r="A6006">
        <f>IFERROR(VLOOKUP(C6006,'GASB Match'!$D$2:$F$6042,3,FALSE),"")</f>
        <v>3417880</v>
      </c>
      <c r="B6006" s="17">
        <v>2020</v>
      </c>
      <c r="C6006" s="21" t="s">
        <v>1185</v>
      </c>
      <c r="D6006" s="17">
        <v>447</v>
      </c>
      <c r="E6006" s="17" t="s">
        <v>1464</v>
      </c>
      <c r="F6006" s="23">
        <v>1262488</v>
      </c>
    </row>
    <row r="6007" spans="1:6" ht="17" x14ac:dyDescent="0.2">
      <c r="A6007">
        <f>IFERROR(VLOOKUP(C6007,'GASB Match'!$D$2:$F$6042,3,FALSE),"")</f>
        <v>3417880</v>
      </c>
      <c r="B6007" s="17">
        <v>2021</v>
      </c>
      <c r="C6007" s="25" t="s">
        <v>1185</v>
      </c>
      <c r="D6007" s="17">
        <v>447</v>
      </c>
      <c r="E6007" s="17" t="s">
        <v>1464</v>
      </c>
      <c r="F6007" s="23">
        <v>1571618</v>
      </c>
    </row>
    <row r="6008" spans="1:6" ht="17" x14ac:dyDescent="0.2">
      <c r="A6008">
        <f>IFERROR(VLOOKUP(C6008,'GASB Match'!$D$2:$F$6042,3,FALSE),"")</f>
        <v>3417880</v>
      </c>
      <c r="B6008" s="17">
        <v>2022</v>
      </c>
      <c r="C6008" s="21" t="s">
        <v>1185</v>
      </c>
      <c r="D6008" s="17">
        <v>447</v>
      </c>
      <c r="E6008" s="17" t="s">
        <v>1464</v>
      </c>
      <c r="F6008" s="23">
        <v>2249600</v>
      </c>
    </row>
    <row r="6009" spans="1:6" ht="17" x14ac:dyDescent="0.2">
      <c r="A6009">
        <f>IFERROR(VLOOKUP(C6009,'GASB Match'!$D$2:$F$6042,3,FALSE),"")</f>
        <v>3417880</v>
      </c>
      <c r="B6009" s="17">
        <v>2023</v>
      </c>
      <c r="C6009" s="21" t="s">
        <v>1185</v>
      </c>
      <c r="D6009" s="17">
        <v>447</v>
      </c>
      <c r="E6009" s="17" t="s">
        <v>1464</v>
      </c>
      <c r="F6009" s="23">
        <v>2188860</v>
      </c>
    </row>
    <row r="6010" spans="1:6" x14ac:dyDescent="0.2">
      <c r="A6010">
        <f>IFERROR(VLOOKUP(C6010,'GASB Match'!$D$2:$F$6042,3,FALSE),"")</f>
        <v>3417880</v>
      </c>
      <c r="B6010" s="28">
        <v>2017</v>
      </c>
      <c r="C6010" s="29" t="s">
        <v>493</v>
      </c>
      <c r="D6010" s="17">
        <v>447</v>
      </c>
      <c r="E6010" s="17" t="s">
        <v>1421</v>
      </c>
      <c r="F6010" s="29">
        <v>627380</v>
      </c>
    </row>
    <row r="6011" spans="1:6" x14ac:dyDescent="0.2">
      <c r="A6011">
        <f>IFERROR(VLOOKUP(C6011,'GASB Match'!$D$2:$F$6042,3,FALSE),"")</f>
        <v>3417910</v>
      </c>
      <c r="B6011" s="17">
        <v>2015</v>
      </c>
      <c r="C6011" s="17" t="s">
        <v>661</v>
      </c>
      <c r="D6011" s="17">
        <v>934</v>
      </c>
      <c r="E6011" s="17" t="s">
        <v>1429</v>
      </c>
      <c r="F6011" s="20">
        <v>132076</v>
      </c>
    </row>
    <row r="6012" spans="1:6" x14ac:dyDescent="0.2">
      <c r="A6012">
        <f>IFERROR(VLOOKUP(C6012,'GASB Match'!$D$2:$F$6042,3,FALSE),"")</f>
        <v>3417910</v>
      </c>
      <c r="B6012" s="17">
        <v>2016</v>
      </c>
      <c r="C6012" s="17" t="s">
        <v>661</v>
      </c>
      <c r="D6012" s="17">
        <v>934</v>
      </c>
      <c r="E6012" s="17" t="s">
        <v>1429</v>
      </c>
      <c r="F6012" s="20">
        <v>210370</v>
      </c>
    </row>
    <row r="6013" spans="1:6" x14ac:dyDescent="0.2">
      <c r="A6013">
        <f>IFERROR(VLOOKUP(C6013,'GASB Match'!$D$2:$F$6042,3,FALSE),"")</f>
        <v>3417910</v>
      </c>
      <c r="B6013" s="17">
        <v>2018</v>
      </c>
      <c r="C6013" s="17" t="s">
        <v>1354</v>
      </c>
      <c r="D6013" s="17">
        <v>934</v>
      </c>
      <c r="E6013" s="17" t="s">
        <v>1472</v>
      </c>
      <c r="F6013" s="20">
        <v>391001</v>
      </c>
    </row>
    <row r="6014" spans="1:6" x14ac:dyDescent="0.2">
      <c r="A6014">
        <f>IFERROR(VLOOKUP(C6014,'GASB Match'!$D$2:$F$6042,3,FALSE),"")</f>
        <v>3417910</v>
      </c>
      <c r="B6014" s="17">
        <v>2019</v>
      </c>
      <c r="C6014" s="17" t="s">
        <v>1354</v>
      </c>
      <c r="D6014" s="17">
        <v>934</v>
      </c>
      <c r="E6014" s="17" t="s">
        <v>1472</v>
      </c>
      <c r="F6014" s="20">
        <v>526179</v>
      </c>
    </row>
    <row r="6015" spans="1:6" ht="17" x14ac:dyDescent="0.2">
      <c r="A6015">
        <f>IFERROR(VLOOKUP(C6015,'GASB Match'!$D$2:$F$6042,3,FALSE),"")</f>
        <v>3417910</v>
      </c>
      <c r="B6015" s="17">
        <v>2020</v>
      </c>
      <c r="C6015" s="21" t="s">
        <v>1354</v>
      </c>
      <c r="D6015" s="17">
        <v>934</v>
      </c>
      <c r="E6015" s="17" t="s">
        <v>1472</v>
      </c>
      <c r="F6015" s="23">
        <v>609838</v>
      </c>
    </row>
    <row r="6016" spans="1:6" ht="17" x14ac:dyDescent="0.2">
      <c r="A6016">
        <f>IFERROR(VLOOKUP(C6016,'GASB Match'!$D$2:$F$6042,3,FALSE),"")</f>
        <v>3417910</v>
      </c>
      <c r="B6016" s="17">
        <v>2021</v>
      </c>
      <c r="C6016" s="25" t="s">
        <v>1354</v>
      </c>
      <c r="D6016" s="17">
        <v>934</v>
      </c>
      <c r="E6016" s="17" t="s">
        <v>1472</v>
      </c>
      <c r="F6016" s="23">
        <v>750842</v>
      </c>
    </row>
    <row r="6017" spans="1:6" ht="17" x14ac:dyDescent="0.2">
      <c r="A6017">
        <f>IFERROR(VLOOKUP(C6017,'GASB Match'!$D$2:$F$6042,3,FALSE),"")</f>
        <v>3417910</v>
      </c>
      <c r="B6017" s="17">
        <v>2022</v>
      </c>
      <c r="C6017" s="21" t="s">
        <v>1354</v>
      </c>
      <c r="D6017" s="17">
        <v>934</v>
      </c>
      <c r="E6017" s="17" t="s">
        <v>1472</v>
      </c>
      <c r="F6017" s="23">
        <v>928972</v>
      </c>
    </row>
    <row r="6018" spans="1:6" ht="17" x14ac:dyDescent="0.2">
      <c r="A6018">
        <f>IFERROR(VLOOKUP(C6018,'GASB Match'!$D$2:$F$6042,3,FALSE),"")</f>
        <v>3417910</v>
      </c>
      <c r="B6018" s="17">
        <v>2023</v>
      </c>
      <c r="C6018" s="21" t="s">
        <v>1354</v>
      </c>
      <c r="D6018" s="17">
        <v>934</v>
      </c>
      <c r="E6018" s="17" t="s">
        <v>1472</v>
      </c>
      <c r="F6018" s="23">
        <v>971859</v>
      </c>
    </row>
    <row r="6019" spans="1:6" x14ac:dyDescent="0.2">
      <c r="A6019">
        <f>IFERROR(VLOOKUP(C6019,'GASB Match'!$D$2:$F$6042,3,FALSE),"")</f>
        <v>3417910</v>
      </c>
      <c r="B6019" s="28">
        <v>2017</v>
      </c>
      <c r="C6019" s="29" t="s">
        <v>661</v>
      </c>
      <c r="D6019" s="17">
        <v>934</v>
      </c>
      <c r="E6019" s="17" t="s">
        <v>1429</v>
      </c>
      <c r="F6019" s="29">
        <v>292588</v>
      </c>
    </row>
    <row r="6020" spans="1:6" x14ac:dyDescent="0.2">
      <c r="A6020">
        <f>IFERROR(VLOOKUP(C6020,'GASB Match'!$D$2:$F$6042,3,FALSE),"")</f>
        <v>3417940</v>
      </c>
      <c r="B6020" s="17">
        <v>2015</v>
      </c>
      <c r="C6020" s="17" t="s">
        <v>209</v>
      </c>
      <c r="D6020" s="17">
        <v>5023</v>
      </c>
      <c r="E6020" s="17" t="s">
        <v>1407</v>
      </c>
      <c r="F6020" s="20">
        <v>443031</v>
      </c>
    </row>
    <row r="6021" spans="1:6" x14ac:dyDescent="0.2">
      <c r="A6021">
        <f>IFERROR(VLOOKUP(C6021,'GASB Match'!$D$2:$F$6042,3,FALSE),"")</f>
        <v>3417940</v>
      </c>
      <c r="B6021" s="17">
        <v>2016</v>
      </c>
      <c r="C6021" s="17" t="s">
        <v>209</v>
      </c>
      <c r="D6021" s="17">
        <v>5023</v>
      </c>
      <c r="E6021" s="17" t="s">
        <v>1407</v>
      </c>
      <c r="F6021" s="20">
        <v>634925</v>
      </c>
    </row>
    <row r="6022" spans="1:6" x14ac:dyDescent="0.2">
      <c r="A6022">
        <f>IFERROR(VLOOKUP(C6022,'GASB Match'!$D$2:$F$6042,3,FALSE),"")</f>
        <v>3417940</v>
      </c>
      <c r="B6022" s="17">
        <v>2018</v>
      </c>
      <c r="C6022" s="17" t="s">
        <v>893</v>
      </c>
      <c r="D6022" s="17">
        <v>5023</v>
      </c>
      <c r="E6022" s="17" t="s">
        <v>1448</v>
      </c>
      <c r="F6022" s="20">
        <v>1228098</v>
      </c>
    </row>
    <row r="6023" spans="1:6" x14ac:dyDescent="0.2">
      <c r="A6023">
        <f>IFERROR(VLOOKUP(C6023,'GASB Match'!$D$2:$F$6042,3,FALSE),"")</f>
        <v>3417940</v>
      </c>
      <c r="B6023" s="17">
        <v>2019</v>
      </c>
      <c r="C6023" s="17" t="s">
        <v>893</v>
      </c>
      <c r="D6023" s="17">
        <v>5023</v>
      </c>
      <c r="E6023" s="17" t="s">
        <v>1448</v>
      </c>
      <c r="F6023" s="20">
        <v>1617195</v>
      </c>
    </row>
    <row r="6024" spans="1:6" ht="17" x14ac:dyDescent="0.2">
      <c r="A6024">
        <f>IFERROR(VLOOKUP(C6024,'GASB Match'!$D$2:$F$6042,3,FALSE),"")</f>
        <v>3417940</v>
      </c>
      <c r="B6024" s="17">
        <v>2020</v>
      </c>
      <c r="C6024" s="21" t="s">
        <v>893</v>
      </c>
      <c r="D6024" s="17">
        <v>5023</v>
      </c>
      <c r="E6024" s="17" t="s">
        <v>1448</v>
      </c>
      <c r="F6024" s="23">
        <v>1766640</v>
      </c>
    </row>
    <row r="6025" spans="1:6" ht="17" x14ac:dyDescent="0.2">
      <c r="A6025">
        <f>IFERROR(VLOOKUP(C6025,'GASB Match'!$D$2:$F$6042,3,FALSE),"")</f>
        <v>3417940</v>
      </c>
      <c r="B6025" s="17">
        <v>2021</v>
      </c>
      <c r="C6025" s="25" t="s">
        <v>893</v>
      </c>
      <c r="D6025" s="17">
        <v>5023</v>
      </c>
      <c r="E6025" s="17" t="s">
        <v>1448</v>
      </c>
      <c r="F6025" s="23">
        <v>2159072</v>
      </c>
    </row>
    <row r="6026" spans="1:6" ht="17" x14ac:dyDescent="0.2">
      <c r="A6026">
        <f>IFERROR(VLOOKUP(C6026,'GASB Match'!$D$2:$F$6042,3,FALSE),"")</f>
        <v>3417940</v>
      </c>
      <c r="B6026" s="17">
        <v>2022</v>
      </c>
      <c r="C6026" s="21" t="s">
        <v>893</v>
      </c>
      <c r="D6026" s="17">
        <v>5023</v>
      </c>
      <c r="E6026" s="17" t="s">
        <v>1448</v>
      </c>
      <c r="F6026" s="23">
        <v>3258223</v>
      </c>
    </row>
    <row r="6027" spans="1:6" ht="17" x14ac:dyDescent="0.2">
      <c r="A6027">
        <f>IFERROR(VLOOKUP(C6027,'GASB Match'!$D$2:$F$6042,3,FALSE),"")</f>
        <v>3417940</v>
      </c>
      <c r="B6027" s="17">
        <v>2023</v>
      </c>
      <c r="C6027" s="21" t="s">
        <v>893</v>
      </c>
      <c r="D6027" s="17">
        <v>5023</v>
      </c>
      <c r="E6027" s="17" t="s">
        <v>1448</v>
      </c>
      <c r="F6027" s="23">
        <v>3009610</v>
      </c>
    </row>
    <row r="6028" spans="1:6" x14ac:dyDescent="0.2">
      <c r="A6028">
        <f>IFERROR(VLOOKUP(C6028,'GASB Match'!$D$2:$F$6042,3,FALSE),"")</f>
        <v>3417940</v>
      </c>
      <c r="B6028" s="28">
        <v>2017</v>
      </c>
      <c r="C6028" s="29" t="s">
        <v>209</v>
      </c>
      <c r="D6028" s="17">
        <v>5023</v>
      </c>
      <c r="E6028" s="17" t="s">
        <v>1407</v>
      </c>
      <c r="F6028" s="29">
        <v>904430</v>
      </c>
    </row>
    <row r="6029" spans="1:6" x14ac:dyDescent="0.2">
      <c r="A6029">
        <f>IFERROR(VLOOKUP(C6029,'GASB Match'!$D$2:$F$6042,3,FALSE),"")</f>
        <v>3417970</v>
      </c>
      <c r="B6029" s="17">
        <v>2015</v>
      </c>
      <c r="C6029" s="17" t="s">
        <v>210</v>
      </c>
      <c r="D6029" s="17">
        <v>5025</v>
      </c>
      <c r="E6029" s="17" t="s">
        <v>1407</v>
      </c>
      <c r="F6029" s="20">
        <v>136882</v>
      </c>
    </row>
    <row r="6030" spans="1:6" x14ac:dyDescent="0.2">
      <c r="A6030">
        <f>IFERROR(VLOOKUP(C6030,'GASB Match'!$D$2:$F$6042,3,FALSE),"")</f>
        <v>3417970</v>
      </c>
      <c r="B6030" s="17">
        <v>2016</v>
      </c>
      <c r="C6030" s="17" t="s">
        <v>210</v>
      </c>
      <c r="D6030" s="17">
        <v>5025</v>
      </c>
      <c r="E6030" s="17" t="s">
        <v>1407</v>
      </c>
      <c r="F6030" s="20">
        <v>203657</v>
      </c>
    </row>
    <row r="6031" spans="1:6" x14ac:dyDescent="0.2">
      <c r="A6031">
        <f>IFERROR(VLOOKUP(C6031,'GASB Match'!$D$2:$F$6042,3,FALSE),"")</f>
        <v>3417970</v>
      </c>
      <c r="B6031" s="17">
        <v>2018</v>
      </c>
      <c r="C6031" s="17" t="s">
        <v>894</v>
      </c>
      <c r="D6031" s="17">
        <v>5025</v>
      </c>
      <c r="E6031" s="17" t="s">
        <v>1448</v>
      </c>
      <c r="F6031" s="20">
        <v>382511</v>
      </c>
    </row>
    <row r="6032" spans="1:6" x14ac:dyDescent="0.2">
      <c r="A6032">
        <f>IFERROR(VLOOKUP(C6032,'GASB Match'!$D$2:$F$6042,3,FALSE),"")</f>
        <v>3417970</v>
      </c>
      <c r="B6032" s="17">
        <v>2019</v>
      </c>
      <c r="C6032" s="17" t="s">
        <v>894</v>
      </c>
      <c r="D6032" s="17">
        <v>5025</v>
      </c>
      <c r="E6032" s="17" t="s">
        <v>1448</v>
      </c>
      <c r="F6032" s="20">
        <v>497918</v>
      </c>
    </row>
    <row r="6033" spans="1:6" ht="17" x14ac:dyDescent="0.2">
      <c r="A6033">
        <f>IFERROR(VLOOKUP(C6033,'GASB Match'!$D$2:$F$6042,3,FALSE),"")</f>
        <v>3417970</v>
      </c>
      <c r="B6033" s="17">
        <v>2020</v>
      </c>
      <c r="C6033" s="21" t="s">
        <v>894</v>
      </c>
      <c r="D6033" s="17">
        <v>5025</v>
      </c>
      <c r="E6033" s="17" t="s">
        <v>1448</v>
      </c>
      <c r="F6033" s="23">
        <v>618775</v>
      </c>
    </row>
    <row r="6034" spans="1:6" ht="17" x14ac:dyDescent="0.2">
      <c r="A6034">
        <f>IFERROR(VLOOKUP(C6034,'GASB Match'!$D$2:$F$6042,3,FALSE),"")</f>
        <v>3417970</v>
      </c>
      <c r="B6034" s="17">
        <v>2021</v>
      </c>
      <c r="C6034" s="25" t="s">
        <v>894</v>
      </c>
      <c r="D6034" s="17">
        <v>5025</v>
      </c>
      <c r="E6034" s="17" t="s">
        <v>1448</v>
      </c>
      <c r="F6034" s="23">
        <v>820234</v>
      </c>
    </row>
    <row r="6035" spans="1:6" ht="17" x14ac:dyDescent="0.2">
      <c r="A6035">
        <f>IFERROR(VLOOKUP(C6035,'GASB Match'!$D$2:$F$6042,3,FALSE),"")</f>
        <v>3417970</v>
      </c>
      <c r="B6035" s="17">
        <v>2022</v>
      </c>
      <c r="C6035" s="21" t="s">
        <v>894</v>
      </c>
      <c r="D6035" s="17">
        <v>5025</v>
      </c>
      <c r="E6035" s="17" t="s">
        <v>1448</v>
      </c>
      <c r="F6035" s="23">
        <v>1174285</v>
      </c>
    </row>
    <row r="6036" spans="1:6" ht="17" x14ac:dyDescent="0.2">
      <c r="A6036">
        <f>IFERROR(VLOOKUP(C6036,'GASB Match'!$D$2:$F$6042,3,FALSE),"")</f>
        <v>3417970</v>
      </c>
      <c r="B6036" s="17">
        <v>2023</v>
      </c>
      <c r="C6036" s="21" t="s">
        <v>894</v>
      </c>
      <c r="D6036" s="17">
        <v>5025</v>
      </c>
      <c r="E6036" s="17" t="s">
        <v>1448</v>
      </c>
      <c r="F6036" s="22">
        <v>1288593</v>
      </c>
    </row>
    <row r="6037" spans="1:6" x14ac:dyDescent="0.2">
      <c r="A6037">
        <f>IFERROR(VLOOKUP(C6037,'GASB Match'!$D$2:$F$6042,3,FALSE),"")</f>
        <v>3417970</v>
      </c>
      <c r="B6037" s="28">
        <v>2017</v>
      </c>
      <c r="C6037" s="29" t="s">
        <v>210</v>
      </c>
      <c r="D6037" s="17">
        <v>5025</v>
      </c>
      <c r="E6037" s="17" t="s">
        <v>1407</v>
      </c>
      <c r="F6037" s="29">
        <v>289416</v>
      </c>
    </row>
    <row r="6038" spans="1:6" x14ac:dyDescent="0.2">
      <c r="A6038" t="str">
        <f>IFERROR(VLOOKUP(C6038,'GASB Match'!$D$2:$F$6042,3,FALSE),"")</f>
        <v/>
      </c>
      <c r="B6038" s="17">
        <v>2018</v>
      </c>
      <c r="C6038" s="17" t="s">
        <v>1440</v>
      </c>
      <c r="D6038" s="17">
        <v>90413</v>
      </c>
      <c r="E6038" s="17" t="s">
        <v>1477</v>
      </c>
      <c r="F6038" s="20">
        <v>89570</v>
      </c>
    </row>
    <row r="6039" spans="1:6" x14ac:dyDescent="0.2">
      <c r="A6039" t="str">
        <f>IFERROR(VLOOKUP(C6039,'GASB Match'!$D$2:$F$6042,3,FALSE),"")</f>
        <v/>
      </c>
      <c r="B6039" s="17">
        <v>2019</v>
      </c>
      <c r="C6039" s="17" t="s">
        <v>1440</v>
      </c>
      <c r="D6039" s="17">
        <v>90413</v>
      </c>
      <c r="E6039" s="17" t="s">
        <v>1477</v>
      </c>
      <c r="F6039" s="20">
        <v>115933</v>
      </c>
    </row>
    <row r="6040" spans="1:6" ht="17" x14ac:dyDescent="0.2">
      <c r="A6040" t="str">
        <f>IFERROR(VLOOKUP(C6040,'GASB Match'!$D$2:$F$6042,3,FALSE),"")</f>
        <v/>
      </c>
      <c r="B6040" s="17">
        <v>2020</v>
      </c>
      <c r="C6040" s="21" t="s">
        <v>1440</v>
      </c>
      <c r="D6040" s="17">
        <v>90413</v>
      </c>
      <c r="E6040" s="17" t="s">
        <v>1477</v>
      </c>
      <c r="F6040" s="23">
        <v>133234</v>
      </c>
    </row>
    <row r="6041" spans="1:6" ht="17" x14ac:dyDescent="0.2">
      <c r="A6041" t="str">
        <f>IFERROR(VLOOKUP(C6041,'GASB Match'!$D$2:$F$6042,3,FALSE),"")</f>
        <v/>
      </c>
      <c r="B6041" s="17">
        <v>2021</v>
      </c>
      <c r="C6041" s="25" t="s">
        <v>1440</v>
      </c>
      <c r="D6041" s="17">
        <v>90413</v>
      </c>
      <c r="E6041" s="17" t="s">
        <v>1477</v>
      </c>
      <c r="F6041" s="23">
        <v>135343</v>
      </c>
    </row>
    <row r="6042" spans="1:6" ht="17" x14ac:dyDescent="0.2">
      <c r="A6042" t="str">
        <f>IFERROR(VLOOKUP(C6042,'GASB Match'!$D$2:$F$6042,3,FALSE),"")</f>
        <v/>
      </c>
      <c r="B6042" s="17">
        <v>2022</v>
      </c>
      <c r="C6042" s="21" t="s">
        <v>1440</v>
      </c>
      <c r="D6042" s="17">
        <v>90413</v>
      </c>
      <c r="E6042" s="17" t="s">
        <v>1477</v>
      </c>
      <c r="F6042" s="23">
        <v>137875</v>
      </c>
    </row>
    <row r="6043" spans="1:6" ht="17" x14ac:dyDescent="0.2">
      <c r="A6043" t="str">
        <f>IFERROR(VLOOKUP(C6043,'GASB Match'!$D$2:$F$6042,3,FALSE),"")</f>
        <v/>
      </c>
      <c r="B6043" s="17">
        <v>2023</v>
      </c>
      <c r="C6043" s="21" t="s">
        <v>1440</v>
      </c>
      <c r="D6043" s="17">
        <v>90413</v>
      </c>
      <c r="E6043" s="17" t="s">
        <v>1477</v>
      </c>
      <c r="F6043" s="23">
        <v>130840</v>
      </c>
    </row>
    <row r="6044" spans="1:6" x14ac:dyDescent="0.2">
      <c r="A6044" t="str">
        <f>IFERROR(VLOOKUP(C6044,'GASB Match'!$D$2:$F$6042,3,FALSE),"")</f>
        <v/>
      </c>
      <c r="B6044" s="17">
        <v>2015</v>
      </c>
      <c r="C6044" s="17" t="s">
        <v>1399</v>
      </c>
      <c r="D6044" s="17">
        <v>90413</v>
      </c>
      <c r="E6044" s="17" t="s">
        <v>1477</v>
      </c>
      <c r="F6044" s="20">
        <v>81419</v>
      </c>
    </row>
    <row r="6045" spans="1:6" x14ac:dyDescent="0.2">
      <c r="A6045" t="str">
        <f>IFERROR(VLOOKUP(C6045,'GASB Match'!$D$2:$F$6042,3,FALSE),"")</f>
        <v/>
      </c>
      <c r="B6045" s="17">
        <v>2016</v>
      </c>
      <c r="C6045" s="17" t="s">
        <v>1399</v>
      </c>
      <c r="D6045" s="17">
        <v>90413</v>
      </c>
      <c r="E6045" s="17" t="s">
        <v>1477</v>
      </c>
      <c r="F6045" s="20">
        <v>49156</v>
      </c>
    </row>
    <row r="6046" spans="1:6" x14ac:dyDescent="0.2">
      <c r="A6046" t="str">
        <f>IFERROR(VLOOKUP(C6046,'GASB Match'!$D$2:$F$6042,3,FALSE),"")</f>
        <v/>
      </c>
      <c r="B6046" s="28">
        <v>2017</v>
      </c>
      <c r="C6046" s="29" t="s">
        <v>1399</v>
      </c>
      <c r="D6046" s="17">
        <v>90413</v>
      </c>
      <c r="E6046" s="17" t="s">
        <v>1477</v>
      </c>
      <c r="F6046" s="29">
        <v>68775</v>
      </c>
    </row>
    <row r="6047" spans="1:6" x14ac:dyDescent="0.2">
      <c r="A6047">
        <f>IFERROR(VLOOKUP(C6047,'GASB Match'!$D$2:$F$6042,3,FALSE),"")</f>
        <v>3418000</v>
      </c>
      <c r="B6047" s="17">
        <v>2015</v>
      </c>
      <c r="C6047" s="17" t="s">
        <v>147</v>
      </c>
      <c r="D6047" s="17">
        <v>3046</v>
      </c>
      <c r="E6047" s="17" t="s">
        <v>1404</v>
      </c>
      <c r="F6047" s="20">
        <v>1424549</v>
      </c>
    </row>
    <row r="6048" spans="1:6" x14ac:dyDescent="0.2">
      <c r="A6048">
        <f>IFERROR(VLOOKUP(C6048,'GASB Match'!$D$2:$F$6042,3,FALSE),"")</f>
        <v>3418000</v>
      </c>
      <c r="B6048" s="17">
        <v>2016</v>
      </c>
      <c r="C6048" s="17" t="s">
        <v>147</v>
      </c>
      <c r="D6048" s="17">
        <v>3046</v>
      </c>
      <c r="E6048" s="17" t="s">
        <v>1404</v>
      </c>
      <c r="F6048" s="20">
        <v>2074616</v>
      </c>
    </row>
    <row r="6049" spans="1:6" x14ac:dyDescent="0.2">
      <c r="A6049">
        <f>IFERROR(VLOOKUP(C6049,'GASB Match'!$D$2:$F$6042,3,FALSE),"")</f>
        <v>3418000</v>
      </c>
      <c r="B6049" s="17">
        <v>2018</v>
      </c>
      <c r="C6049" s="17" t="s">
        <v>828</v>
      </c>
      <c r="D6049" s="17">
        <v>3046</v>
      </c>
      <c r="E6049" s="17" t="s">
        <v>1445</v>
      </c>
      <c r="F6049" s="20">
        <v>3564037</v>
      </c>
    </row>
    <row r="6050" spans="1:6" x14ac:dyDescent="0.2">
      <c r="A6050">
        <f>IFERROR(VLOOKUP(C6050,'GASB Match'!$D$2:$F$6042,3,FALSE),"")</f>
        <v>3418000</v>
      </c>
      <c r="B6050" s="17">
        <v>2019</v>
      </c>
      <c r="C6050" s="17" t="s">
        <v>828</v>
      </c>
      <c r="D6050" s="17">
        <v>3046</v>
      </c>
      <c r="E6050" s="17" t="s">
        <v>1445</v>
      </c>
      <c r="F6050" s="20">
        <v>4565652</v>
      </c>
    </row>
    <row r="6051" spans="1:6" ht="17" x14ac:dyDescent="0.2">
      <c r="A6051">
        <f>IFERROR(VLOOKUP(C6051,'GASB Match'!$D$2:$F$6042,3,FALSE),"")</f>
        <v>3418000</v>
      </c>
      <c r="B6051" s="17">
        <v>2020</v>
      </c>
      <c r="C6051" s="21" t="s">
        <v>828</v>
      </c>
      <c r="D6051" s="17">
        <v>3046</v>
      </c>
      <c r="E6051" s="17" t="s">
        <v>1445</v>
      </c>
      <c r="F6051" s="23">
        <v>5340043</v>
      </c>
    </row>
    <row r="6052" spans="1:6" ht="17" x14ac:dyDescent="0.2">
      <c r="A6052">
        <f>IFERROR(VLOOKUP(C6052,'GASB Match'!$D$2:$F$6042,3,FALSE),"")</f>
        <v>3418000</v>
      </c>
      <c r="B6052" s="17">
        <v>2021</v>
      </c>
      <c r="C6052" s="25" t="s">
        <v>828</v>
      </c>
      <c r="D6052" s="17">
        <v>3046</v>
      </c>
      <c r="E6052" s="17" t="s">
        <v>1445</v>
      </c>
      <c r="F6052" s="23">
        <v>6470197</v>
      </c>
    </row>
    <row r="6053" spans="1:6" ht="17" x14ac:dyDescent="0.2">
      <c r="A6053">
        <f>IFERROR(VLOOKUP(C6053,'GASB Match'!$D$2:$F$6042,3,FALSE),"")</f>
        <v>3418000</v>
      </c>
      <c r="B6053" s="17">
        <v>2022</v>
      </c>
      <c r="C6053" s="21" t="s">
        <v>828</v>
      </c>
      <c r="D6053" s="17">
        <v>3046</v>
      </c>
      <c r="E6053" s="17" t="s">
        <v>1445</v>
      </c>
      <c r="F6053" s="23">
        <v>9184527</v>
      </c>
    </row>
    <row r="6054" spans="1:6" ht="17" x14ac:dyDescent="0.2">
      <c r="A6054">
        <f>IFERROR(VLOOKUP(C6054,'GASB Match'!$D$2:$F$6042,3,FALSE),"")</f>
        <v>3418000</v>
      </c>
      <c r="B6054" s="17">
        <v>2023</v>
      </c>
      <c r="C6054" s="21" t="s">
        <v>828</v>
      </c>
      <c r="D6054" s="17">
        <v>3046</v>
      </c>
      <c r="E6054" s="17" t="s">
        <v>1445</v>
      </c>
      <c r="F6054" s="23">
        <v>8736260</v>
      </c>
    </row>
    <row r="6055" spans="1:6" x14ac:dyDescent="0.2">
      <c r="A6055">
        <f>IFERROR(VLOOKUP(C6055,'GASB Match'!$D$2:$F$6042,3,FALSE),"")</f>
        <v>3418000</v>
      </c>
      <c r="B6055" s="28">
        <v>2017</v>
      </c>
      <c r="C6055" s="29" t="s">
        <v>147</v>
      </c>
      <c r="D6055" s="17">
        <v>3046</v>
      </c>
      <c r="E6055" s="17" t="s">
        <v>1404</v>
      </c>
      <c r="F6055" s="29">
        <v>2824880</v>
      </c>
    </row>
    <row r="6056" spans="1:6" x14ac:dyDescent="0.2">
      <c r="A6056">
        <f>IFERROR(VLOOKUP(C6056,'GASB Match'!$D$2:$F$6042,3,FALSE),"")</f>
        <v>3418030</v>
      </c>
      <c r="B6056" s="17">
        <v>2015</v>
      </c>
      <c r="C6056" s="17" t="s">
        <v>636</v>
      </c>
      <c r="D6056" s="17">
        <v>849</v>
      </c>
      <c r="E6056" s="17" t="s">
        <v>1427</v>
      </c>
      <c r="F6056" s="20">
        <v>68183</v>
      </c>
    </row>
    <row r="6057" spans="1:6" x14ac:dyDescent="0.2">
      <c r="A6057">
        <f>IFERROR(VLOOKUP(C6057,'GASB Match'!$D$2:$F$6042,3,FALSE),"")</f>
        <v>3418030</v>
      </c>
      <c r="B6057" s="17">
        <v>2016</v>
      </c>
      <c r="C6057" s="17" t="s">
        <v>636</v>
      </c>
      <c r="D6057" s="17">
        <v>849</v>
      </c>
      <c r="E6057" s="17" t="s">
        <v>1427</v>
      </c>
      <c r="F6057" s="20">
        <v>98028</v>
      </c>
    </row>
    <row r="6058" spans="1:6" x14ac:dyDescent="0.2">
      <c r="A6058">
        <f>IFERROR(VLOOKUP(C6058,'GASB Match'!$D$2:$F$6042,3,FALSE),"")</f>
        <v>3418030</v>
      </c>
      <c r="B6058" s="17">
        <v>2018</v>
      </c>
      <c r="C6058" s="17" t="s">
        <v>1329</v>
      </c>
      <c r="D6058" s="17">
        <v>849</v>
      </c>
      <c r="E6058" s="17" t="s">
        <v>1470</v>
      </c>
      <c r="F6058" s="20">
        <v>169805</v>
      </c>
    </row>
    <row r="6059" spans="1:6" x14ac:dyDescent="0.2">
      <c r="A6059">
        <f>IFERROR(VLOOKUP(C6059,'GASB Match'!$D$2:$F$6042,3,FALSE),"")</f>
        <v>3418030</v>
      </c>
      <c r="B6059" s="17">
        <v>2019</v>
      </c>
      <c r="C6059" s="17" t="s">
        <v>1329</v>
      </c>
      <c r="D6059" s="17">
        <v>849</v>
      </c>
      <c r="E6059" s="17" t="s">
        <v>1470</v>
      </c>
      <c r="F6059" s="20">
        <v>230360</v>
      </c>
    </row>
    <row r="6060" spans="1:6" ht="17" x14ac:dyDescent="0.2">
      <c r="A6060">
        <f>IFERROR(VLOOKUP(C6060,'GASB Match'!$D$2:$F$6042,3,FALSE),"")</f>
        <v>3418030</v>
      </c>
      <c r="B6060" s="17">
        <v>2020</v>
      </c>
      <c r="C6060" s="21" t="s">
        <v>1329</v>
      </c>
      <c r="D6060" s="17">
        <v>849</v>
      </c>
      <c r="E6060" s="17" t="s">
        <v>1470</v>
      </c>
      <c r="F6060" s="23">
        <v>237334</v>
      </c>
    </row>
    <row r="6061" spans="1:6" ht="17" x14ac:dyDescent="0.2">
      <c r="A6061">
        <f>IFERROR(VLOOKUP(C6061,'GASB Match'!$D$2:$F$6042,3,FALSE),"")</f>
        <v>3418030</v>
      </c>
      <c r="B6061" s="17">
        <v>2021</v>
      </c>
      <c r="C6061" s="25" t="s">
        <v>1329</v>
      </c>
      <c r="D6061" s="17">
        <v>849</v>
      </c>
      <c r="E6061" s="17" t="s">
        <v>1470</v>
      </c>
      <c r="F6061" s="23">
        <v>360512</v>
      </c>
    </row>
    <row r="6062" spans="1:6" ht="17" x14ac:dyDescent="0.2">
      <c r="A6062">
        <f>IFERROR(VLOOKUP(C6062,'GASB Match'!$D$2:$F$6042,3,FALSE),"")</f>
        <v>3418030</v>
      </c>
      <c r="B6062" s="17">
        <v>2022</v>
      </c>
      <c r="C6062" s="21" t="s">
        <v>1329</v>
      </c>
      <c r="D6062" s="17">
        <v>849</v>
      </c>
      <c r="E6062" s="17" t="s">
        <v>1470</v>
      </c>
      <c r="F6062" s="23">
        <v>546523</v>
      </c>
    </row>
    <row r="6063" spans="1:6" ht="17" x14ac:dyDescent="0.2">
      <c r="A6063">
        <f>IFERROR(VLOOKUP(C6063,'GASB Match'!$D$2:$F$6042,3,FALSE),"")</f>
        <v>3418030</v>
      </c>
      <c r="B6063" s="17">
        <v>2023</v>
      </c>
      <c r="C6063" s="21" t="s">
        <v>1329</v>
      </c>
      <c r="D6063" s="17">
        <v>849</v>
      </c>
      <c r="E6063" s="17" t="s">
        <v>1470</v>
      </c>
      <c r="F6063" s="23">
        <v>559670</v>
      </c>
    </row>
    <row r="6064" spans="1:6" x14ac:dyDescent="0.2">
      <c r="A6064">
        <f>IFERROR(VLOOKUP(C6064,'GASB Match'!$D$2:$F$6042,3,FALSE),"")</f>
        <v>3418030</v>
      </c>
      <c r="B6064" s="28">
        <v>2017</v>
      </c>
      <c r="C6064" s="29" t="s">
        <v>636</v>
      </c>
      <c r="D6064" s="17">
        <v>849</v>
      </c>
      <c r="E6064" s="17" t="s">
        <v>1427</v>
      </c>
      <c r="F6064" s="29">
        <v>114649</v>
      </c>
    </row>
    <row r="6065" spans="1:6" x14ac:dyDescent="0.2">
      <c r="A6065">
        <f>IFERROR(VLOOKUP(C6065,'GASB Match'!$D$2:$F$6042,3,FALSE),"")</f>
        <v>3418060</v>
      </c>
      <c r="B6065" s="17">
        <v>2015</v>
      </c>
      <c r="C6065" s="17" t="s">
        <v>193</v>
      </c>
      <c r="D6065" s="17">
        <v>4065</v>
      </c>
      <c r="E6065" s="17" t="s">
        <v>1405</v>
      </c>
      <c r="F6065" s="20">
        <v>1987987</v>
      </c>
    </row>
    <row r="6066" spans="1:6" x14ac:dyDescent="0.2">
      <c r="A6066">
        <f>IFERROR(VLOOKUP(C6066,'GASB Match'!$D$2:$F$6042,3,FALSE),"")</f>
        <v>3418060</v>
      </c>
      <c r="B6066" s="17">
        <v>2016</v>
      </c>
      <c r="C6066" s="17" t="s">
        <v>193</v>
      </c>
      <c r="D6066" s="17">
        <v>4065</v>
      </c>
      <c r="E6066" s="17" t="s">
        <v>1405</v>
      </c>
      <c r="F6066" s="20">
        <v>2942541</v>
      </c>
    </row>
    <row r="6067" spans="1:6" x14ac:dyDescent="0.2">
      <c r="A6067">
        <f>IFERROR(VLOOKUP(C6067,'GASB Match'!$D$2:$F$6042,3,FALSE),"")</f>
        <v>3418060</v>
      </c>
      <c r="B6067" s="17">
        <v>2018</v>
      </c>
      <c r="C6067" s="17" t="s">
        <v>877</v>
      </c>
      <c r="D6067" s="17">
        <v>4065</v>
      </c>
      <c r="E6067" s="17" t="s">
        <v>1446</v>
      </c>
      <c r="F6067" s="20">
        <v>5924662</v>
      </c>
    </row>
    <row r="6068" spans="1:6" x14ac:dyDescent="0.2">
      <c r="A6068">
        <f>IFERROR(VLOOKUP(C6068,'GASB Match'!$D$2:$F$6042,3,FALSE),"")</f>
        <v>3418060</v>
      </c>
      <c r="B6068" s="17">
        <v>2019</v>
      </c>
      <c r="C6068" s="17" t="s">
        <v>877</v>
      </c>
      <c r="D6068" s="17">
        <v>4065</v>
      </c>
      <c r="E6068" s="17" t="s">
        <v>1446</v>
      </c>
      <c r="F6068" s="20">
        <v>7618523</v>
      </c>
    </row>
    <row r="6069" spans="1:6" ht="17" x14ac:dyDescent="0.2">
      <c r="A6069">
        <f>IFERROR(VLOOKUP(C6069,'GASB Match'!$D$2:$F$6042,3,FALSE),"")</f>
        <v>3418060</v>
      </c>
      <c r="B6069" s="17">
        <v>2020</v>
      </c>
      <c r="C6069" s="21" t="s">
        <v>877</v>
      </c>
      <c r="D6069" s="17">
        <v>4065</v>
      </c>
      <c r="E6069" s="17" t="s">
        <v>1446</v>
      </c>
      <c r="F6069" s="23">
        <v>8769750</v>
      </c>
    </row>
    <row r="6070" spans="1:6" ht="17" x14ac:dyDescent="0.2">
      <c r="A6070">
        <f>IFERROR(VLOOKUP(C6070,'GASB Match'!$D$2:$F$6042,3,FALSE),"")</f>
        <v>3418060</v>
      </c>
      <c r="B6070" s="17">
        <v>2021</v>
      </c>
      <c r="C6070" s="25" t="s">
        <v>877</v>
      </c>
      <c r="D6070" s="17">
        <v>4065</v>
      </c>
      <c r="E6070" s="17" t="s">
        <v>1446</v>
      </c>
      <c r="F6070" s="23">
        <v>10879916</v>
      </c>
    </row>
    <row r="6071" spans="1:6" ht="17" x14ac:dyDescent="0.2">
      <c r="A6071">
        <f>IFERROR(VLOOKUP(C6071,'GASB Match'!$D$2:$F$6042,3,FALSE),"")</f>
        <v>3418060</v>
      </c>
      <c r="B6071" s="17">
        <v>2022</v>
      </c>
      <c r="C6071" s="21" t="s">
        <v>877</v>
      </c>
      <c r="D6071" s="17">
        <v>4065</v>
      </c>
      <c r="E6071" s="17" t="s">
        <v>1446</v>
      </c>
      <c r="F6071" s="23">
        <v>15293302</v>
      </c>
    </row>
    <row r="6072" spans="1:6" ht="17" x14ac:dyDescent="0.2">
      <c r="A6072">
        <f>IFERROR(VLOOKUP(C6072,'GASB Match'!$D$2:$F$6042,3,FALSE),"")</f>
        <v>3418060</v>
      </c>
      <c r="B6072" s="17">
        <v>2023</v>
      </c>
      <c r="C6072" s="21" t="s">
        <v>877</v>
      </c>
      <c r="D6072" s="17">
        <v>4065</v>
      </c>
      <c r="E6072" s="17" t="s">
        <v>1446</v>
      </c>
      <c r="F6072" s="23">
        <v>14686451</v>
      </c>
    </row>
    <row r="6073" spans="1:6" x14ac:dyDescent="0.2">
      <c r="A6073">
        <f>IFERROR(VLOOKUP(C6073,'GASB Match'!$D$2:$F$6042,3,FALSE),"")</f>
        <v>3418060</v>
      </c>
      <c r="B6073" s="28">
        <v>2017</v>
      </c>
      <c r="C6073" s="29" t="s">
        <v>193</v>
      </c>
      <c r="D6073" s="17">
        <v>4065</v>
      </c>
      <c r="E6073" s="17" t="s">
        <v>1405</v>
      </c>
      <c r="F6073" s="29">
        <v>4462405</v>
      </c>
    </row>
    <row r="6074" spans="1:6" x14ac:dyDescent="0.2">
      <c r="A6074">
        <f>IFERROR(VLOOKUP(C6074,'GASB Match'!$D$2:$F$6042,3,FALSE),"")</f>
        <v>3418300</v>
      </c>
      <c r="B6074" s="17">
        <v>2015</v>
      </c>
      <c r="C6074" s="17" t="s">
        <v>104</v>
      </c>
      <c r="D6074" s="17">
        <v>2091</v>
      </c>
      <c r="E6074" s="17" t="s">
        <v>1402</v>
      </c>
      <c r="F6074" s="20">
        <v>347325</v>
      </c>
    </row>
    <row r="6075" spans="1:6" x14ac:dyDescent="0.2">
      <c r="A6075">
        <f>IFERROR(VLOOKUP(C6075,'GASB Match'!$D$2:$F$6042,3,FALSE),"")</f>
        <v>3418300</v>
      </c>
      <c r="B6075" s="17">
        <v>2016</v>
      </c>
      <c r="C6075" s="17" t="s">
        <v>104</v>
      </c>
      <c r="D6075" s="17">
        <v>2091</v>
      </c>
      <c r="E6075" s="17" t="s">
        <v>1402</v>
      </c>
      <c r="F6075" s="20">
        <v>519879</v>
      </c>
    </row>
    <row r="6076" spans="1:6" x14ac:dyDescent="0.2">
      <c r="A6076">
        <f>IFERROR(VLOOKUP(C6076,'GASB Match'!$D$2:$F$6042,3,FALSE),"")</f>
        <v>3418300</v>
      </c>
      <c r="B6076" s="17">
        <v>2018</v>
      </c>
      <c r="C6076" s="17" t="s">
        <v>784</v>
      </c>
      <c r="D6076" s="17">
        <v>2091</v>
      </c>
      <c r="E6076" s="17" t="s">
        <v>1443</v>
      </c>
      <c r="F6076" s="20">
        <v>1051940</v>
      </c>
    </row>
    <row r="6077" spans="1:6" x14ac:dyDescent="0.2">
      <c r="A6077">
        <f>IFERROR(VLOOKUP(C6077,'GASB Match'!$D$2:$F$6042,3,FALSE),"")</f>
        <v>3418300</v>
      </c>
      <c r="B6077" s="17">
        <v>2019</v>
      </c>
      <c r="C6077" s="17" t="s">
        <v>784</v>
      </c>
      <c r="D6077" s="17">
        <v>2091</v>
      </c>
      <c r="E6077" s="17" t="s">
        <v>1443</v>
      </c>
      <c r="F6077" s="20">
        <v>1422779</v>
      </c>
    </row>
    <row r="6078" spans="1:6" ht="17" x14ac:dyDescent="0.2">
      <c r="A6078">
        <f>IFERROR(VLOOKUP(C6078,'GASB Match'!$D$2:$F$6042,3,FALSE),"")</f>
        <v>3418300</v>
      </c>
      <c r="B6078" s="17">
        <v>2020</v>
      </c>
      <c r="C6078" s="21" t="s">
        <v>784</v>
      </c>
      <c r="D6078" s="17">
        <v>2091</v>
      </c>
      <c r="E6078" s="17" t="s">
        <v>1443</v>
      </c>
      <c r="F6078" s="23">
        <v>1686500</v>
      </c>
    </row>
    <row r="6079" spans="1:6" ht="17" x14ac:dyDescent="0.2">
      <c r="A6079">
        <f>IFERROR(VLOOKUP(C6079,'GASB Match'!$D$2:$F$6042,3,FALSE),"")</f>
        <v>3418300</v>
      </c>
      <c r="B6079" s="17">
        <v>2021</v>
      </c>
      <c r="C6079" s="25" t="s">
        <v>784</v>
      </c>
      <c r="D6079" s="17">
        <v>2091</v>
      </c>
      <c r="E6079" s="17" t="s">
        <v>1443</v>
      </c>
      <c r="F6079" s="23">
        <v>2256722</v>
      </c>
    </row>
    <row r="6080" spans="1:6" ht="17" x14ac:dyDescent="0.2">
      <c r="A6080">
        <f>IFERROR(VLOOKUP(C6080,'GASB Match'!$D$2:$F$6042,3,FALSE),"")</f>
        <v>3418300</v>
      </c>
      <c r="B6080" s="17">
        <v>2022</v>
      </c>
      <c r="C6080" s="21" t="s">
        <v>784</v>
      </c>
      <c r="D6080" s="17">
        <v>2091</v>
      </c>
      <c r="E6080" s="17" t="s">
        <v>1443</v>
      </c>
      <c r="F6080" s="23">
        <v>3162436</v>
      </c>
    </row>
    <row r="6081" spans="1:6" ht="17" x14ac:dyDescent="0.2">
      <c r="A6081">
        <f>IFERROR(VLOOKUP(C6081,'GASB Match'!$D$2:$F$6042,3,FALSE),"")</f>
        <v>3418300</v>
      </c>
      <c r="B6081" s="17">
        <v>2023</v>
      </c>
      <c r="C6081" s="21" t="s">
        <v>784</v>
      </c>
      <c r="D6081" s="17">
        <v>2091</v>
      </c>
      <c r="E6081" s="17" t="s">
        <v>1443</v>
      </c>
      <c r="F6081" s="23">
        <v>3172222</v>
      </c>
    </row>
    <row r="6082" spans="1:6" x14ac:dyDescent="0.2">
      <c r="A6082">
        <f>IFERROR(VLOOKUP(C6082,'GASB Match'!$D$2:$F$6042,3,FALSE),"")</f>
        <v>3418300</v>
      </c>
      <c r="B6082" s="28">
        <v>2017</v>
      </c>
      <c r="C6082" s="29" t="s">
        <v>104</v>
      </c>
      <c r="D6082" s="17">
        <v>2091</v>
      </c>
      <c r="E6082" s="17" t="s">
        <v>1402</v>
      </c>
      <c r="F6082" s="29">
        <v>707907</v>
      </c>
    </row>
    <row r="6083" spans="1:6" x14ac:dyDescent="0.2">
      <c r="A6083">
        <f>IFERROR(VLOOKUP(C6083,'GASB Match'!$D$2:$F$6042,3,FALSE),"")</f>
        <v>3418090</v>
      </c>
      <c r="B6083" s="17">
        <v>2015</v>
      </c>
      <c r="C6083" s="17" t="s">
        <v>211</v>
      </c>
      <c r="D6083" s="17">
        <v>5024</v>
      </c>
      <c r="E6083" s="17" t="s">
        <v>1407</v>
      </c>
      <c r="F6083" s="20">
        <v>93915</v>
      </c>
    </row>
    <row r="6084" spans="1:6" x14ac:dyDescent="0.2">
      <c r="A6084">
        <f>IFERROR(VLOOKUP(C6084,'GASB Match'!$D$2:$F$6042,3,FALSE),"")</f>
        <v>3418090</v>
      </c>
      <c r="B6084" s="17">
        <v>2016</v>
      </c>
      <c r="C6084" s="17" t="s">
        <v>211</v>
      </c>
      <c r="D6084" s="17">
        <v>5024</v>
      </c>
      <c r="E6084" s="17" t="s">
        <v>1407</v>
      </c>
      <c r="F6084" s="20">
        <v>136361</v>
      </c>
    </row>
    <row r="6085" spans="1:6" x14ac:dyDescent="0.2">
      <c r="A6085">
        <f>IFERROR(VLOOKUP(C6085,'GASB Match'!$D$2:$F$6042,3,FALSE),"")</f>
        <v>3418090</v>
      </c>
      <c r="B6085" s="17">
        <v>2018</v>
      </c>
      <c r="C6085" s="17" t="s">
        <v>895</v>
      </c>
      <c r="D6085" s="17">
        <v>5024</v>
      </c>
      <c r="E6085" s="17" t="s">
        <v>1448</v>
      </c>
      <c r="F6085" s="20">
        <v>223769</v>
      </c>
    </row>
    <row r="6086" spans="1:6" x14ac:dyDescent="0.2">
      <c r="A6086">
        <f>IFERROR(VLOOKUP(C6086,'GASB Match'!$D$2:$F$6042,3,FALSE),"")</f>
        <v>3418090</v>
      </c>
      <c r="B6086" s="17">
        <v>2019</v>
      </c>
      <c r="C6086" s="17" t="s">
        <v>895</v>
      </c>
      <c r="D6086" s="17">
        <v>5024</v>
      </c>
      <c r="E6086" s="17" t="s">
        <v>1448</v>
      </c>
      <c r="F6086" s="20">
        <v>302062</v>
      </c>
    </row>
    <row r="6087" spans="1:6" ht="17" x14ac:dyDescent="0.2">
      <c r="A6087">
        <f>IFERROR(VLOOKUP(C6087,'GASB Match'!$D$2:$F$6042,3,FALSE),"")</f>
        <v>3418090</v>
      </c>
      <c r="B6087" s="17">
        <v>2020</v>
      </c>
      <c r="C6087" s="21" t="s">
        <v>895</v>
      </c>
      <c r="D6087" s="17">
        <v>5024</v>
      </c>
      <c r="E6087" s="17" t="s">
        <v>1448</v>
      </c>
      <c r="F6087" s="23">
        <v>354650</v>
      </c>
    </row>
    <row r="6088" spans="1:6" ht="17" x14ac:dyDescent="0.2">
      <c r="A6088">
        <f>IFERROR(VLOOKUP(C6088,'GASB Match'!$D$2:$F$6042,3,FALSE),"")</f>
        <v>3418090</v>
      </c>
      <c r="B6088" s="17">
        <v>2021</v>
      </c>
      <c r="C6088" s="25" t="s">
        <v>895</v>
      </c>
      <c r="D6088" s="17">
        <v>5024</v>
      </c>
      <c r="E6088" s="17" t="s">
        <v>1448</v>
      </c>
      <c r="F6088" s="23">
        <v>515495</v>
      </c>
    </row>
    <row r="6089" spans="1:6" ht="17" x14ac:dyDescent="0.2">
      <c r="A6089">
        <f>IFERROR(VLOOKUP(C6089,'GASB Match'!$D$2:$F$6042,3,FALSE),"")</f>
        <v>3418090</v>
      </c>
      <c r="B6089" s="17">
        <v>2022</v>
      </c>
      <c r="C6089" s="21" t="s">
        <v>895</v>
      </c>
      <c r="D6089" s="17">
        <v>5024</v>
      </c>
      <c r="E6089" s="17" t="s">
        <v>1448</v>
      </c>
      <c r="F6089" s="23">
        <v>709417</v>
      </c>
    </row>
    <row r="6090" spans="1:6" ht="17" x14ac:dyDescent="0.2">
      <c r="A6090">
        <f>IFERROR(VLOOKUP(C6090,'GASB Match'!$D$2:$F$6042,3,FALSE),"")</f>
        <v>3418090</v>
      </c>
      <c r="B6090" s="17">
        <v>2023</v>
      </c>
      <c r="C6090" s="21" t="s">
        <v>895</v>
      </c>
      <c r="D6090" s="17">
        <v>5024</v>
      </c>
      <c r="E6090" s="17" t="s">
        <v>1448</v>
      </c>
      <c r="F6090" s="23">
        <v>715473</v>
      </c>
    </row>
    <row r="6091" spans="1:6" x14ac:dyDescent="0.2">
      <c r="A6091">
        <f>IFERROR(VLOOKUP(C6091,'GASB Match'!$D$2:$F$6042,3,FALSE),"")</f>
        <v>3418090</v>
      </c>
      <c r="B6091" s="28">
        <v>2017</v>
      </c>
      <c r="C6091" s="29" t="s">
        <v>211</v>
      </c>
      <c r="D6091" s="17">
        <v>5024</v>
      </c>
      <c r="E6091" s="17" t="s">
        <v>1407</v>
      </c>
      <c r="F6091" s="29">
        <v>182093</v>
      </c>
    </row>
    <row r="6092" spans="1:6" x14ac:dyDescent="0.2">
      <c r="A6092">
        <f>IFERROR(VLOOKUP(C6092,'GASB Match'!$D$2:$F$6042,3,FALSE),"")</f>
        <v>3418120</v>
      </c>
      <c r="B6092" s="17">
        <v>2015</v>
      </c>
      <c r="C6092" s="17" t="s">
        <v>399</v>
      </c>
      <c r="D6092" s="17">
        <v>220</v>
      </c>
      <c r="E6092" s="17" t="s">
        <v>1418</v>
      </c>
      <c r="F6092" s="20">
        <v>5137942</v>
      </c>
    </row>
    <row r="6093" spans="1:6" x14ac:dyDescent="0.2">
      <c r="A6093">
        <f>IFERROR(VLOOKUP(C6093,'GASB Match'!$D$2:$F$6042,3,FALSE),"")</f>
        <v>3418120</v>
      </c>
      <c r="B6093" s="17">
        <v>2016</v>
      </c>
      <c r="C6093" s="17" t="s">
        <v>399</v>
      </c>
      <c r="D6093" s="17">
        <v>220</v>
      </c>
      <c r="E6093" s="17" t="s">
        <v>1418</v>
      </c>
      <c r="F6093" s="20">
        <v>7828307</v>
      </c>
    </row>
    <row r="6094" spans="1:6" x14ac:dyDescent="0.2">
      <c r="A6094">
        <f>IFERROR(VLOOKUP(C6094,'GASB Match'!$D$2:$F$6042,3,FALSE),"")</f>
        <v>3418120</v>
      </c>
      <c r="B6094" s="17">
        <v>2018</v>
      </c>
      <c r="C6094" s="17" t="s">
        <v>1091</v>
      </c>
      <c r="D6094" s="17">
        <v>220</v>
      </c>
      <c r="E6094" s="17" t="s">
        <v>1461</v>
      </c>
      <c r="F6094" s="20">
        <v>15058073</v>
      </c>
    </row>
    <row r="6095" spans="1:6" x14ac:dyDescent="0.2">
      <c r="A6095">
        <f>IFERROR(VLOOKUP(C6095,'GASB Match'!$D$2:$F$6042,3,FALSE),"")</f>
        <v>3418120</v>
      </c>
      <c r="B6095" s="17">
        <v>2019</v>
      </c>
      <c r="C6095" s="17" t="s">
        <v>1091</v>
      </c>
      <c r="D6095" s="17">
        <v>220</v>
      </c>
      <c r="E6095" s="17" t="s">
        <v>1461</v>
      </c>
      <c r="F6095" s="20">
        <v>20008619</v>
      </c>
    </row>
    <row r="6096" spans="1:6" ht="17" x14ac:dyDescent="0.2">
      <c r="A6096">
        <f>IFERROR(VLOOKUP(C6096,'GASB Match'!$D$2:$F$6042,3,FALSE),"")</f>
        <v>3418120</v>
      </c>
      <c r="B6096" s="17">
        <v>2020</v>
      </c>
      <c r="C6096" s="21" t="s">
        <v>1091</v>
      </c>
      <c r="D6096" s="17">
        <v>220</v>
      </c>
      <c r="E6096" s="17" t="s">
        <v>1461</v>
      </c>
      <c r="F6096" s="23">
        <v>22611983</v>
      </c>
    </row>
    <row r="6097" spans="1:6" ht="17" x14ac:dyDescent="0.2">
      <c r="A6097">
        <f>IFERROR(VLOOKUP(C6097,'GASB Match'!$D$2:$F$6042,3,FALSE),"")</f>
        <v>3418120</v>
      </c>
      <c r="B6097" s="17">
        <v>2021</v>
      </c>
      <c r="C6097" s="25" t="s">
        <v>1091</v>
      </c>
      <c r="D6097" s="17">
        <v>220</v>
      </c>
      <c r="E6097" s="17" t="s">
        <v>1461</v>
      </c>
      <c r="F6097" s="23">
        <v>29788820</v>
      </c>
    </row>
    <row r="6098" spans="1:6" ht="17" x14ac:dyDescent="0.2">
      <c r="A6098">
        <f>IFERROR(VLOOKUP(C6098,'GASB Match'!$D$2:$F$6042,3,FALSE),"")</f>
        <v>3418120</v>
      </c>
      <c r="B6098" s="17">
        <v>2022</v>
      </c>
      <c r="C6098" s="21" t="s">
        <v>1091</v>
      </c>
      <c r="D6098" s="17">
        <v>220</v>
      </c>
      <c r="E6098" s="17" t="s">
        <v>1461</v>
      </c>
      <c r="F6098" s="23">
        <v>43127618</v>
      </c>
    </row>
    <row r="6099" spans="1:6" ht="17" x14ac:dyDescent="0.2">
      <c r="A6099">
        <f>IFERROR(VLOOKUP(C6099,'GASB Match'!$D$2:$F$6042,3,FALSE),"")</f>
        <v>3418120</v>
      </c>
      <c r="B6099" s="17">
        <v>2023</v>
      </c>
      <c r="C6099" s="21" t="s">
        <v>1091</v>
      </c>
      <c r="D6099" s="17">
        <v>220</v>
      </c>
      <c r="E6099" s="17" t="s">
        <v>1461</v>
      </c>
      <c r="F6099" s="23">
        <v>43396292</v>
      </c>
    </row>
    <row r="6100" spans="1:6" x14ac:dyDescent="0.2">
      <c r="A6100">
        <f>IFERROR(VLOOKUP(C6100,'GASB Match'!$D$2:$F$6042,3,FALSE),"")</f>
        <v>3418120</v>
      </c>
      <c r="B6100" s="28">
        <v>2017</v>
      </c>
      <c r="C6100" s="29" t="s">
        <v>399</v>
      </c>
      <c r="D6100" s="17">
        <v>220</v>
      </c>
      <c r="E6100" s="17" t="s">
        <v>1418</v>
      </c>
      <c r="F6100" s="29">
        <v>11105300</v>
      </c>
    </row>
    <row r="6101" spans="1:6" x14ac:dyDescent="0.2">
      <c r="A6101">
        <f>IFERROR(VLOOKUP(C6101,'GASB Match'!$D$2:$F$6042,3,FALSE),"")</f>
        <v>3418150</v>
      </c>
      <c r="B6101" s="17">
        <v>2015</v>
      </c>
      <c r="C6101" s="17" t="s">
        <v>299</v>
      </c>
      <c r="D6101" s="17">
        <v>7000</v>
      </c>
      <c r="E6101" s="17" t="s">
        <v>1412</v>
      </c>
      <c r="F6101" s="20">
        <v>572946</v>
      </c>
    </row>
    <row r="6102" spans="1:6" x14ac:dyDescent="0.2">
      <c r="A6102">
        <f>IFERROR(VLOOKUP(C6102,'GASB Match'!$D$2:$F$6042,3,FALSE),"")</f>
        <v>3418150</v>
      </c>
      <c r="B6102" s="17">
        <v>2016</v>
      </c>
      <c r="C6102" s="17" t="s">
        <v>299</v>
      </c>
      <c r="D6102" s="17">
        <v>7000</v>
      </c>
      <c r="E6102" s="17" t="s">
        <v>1412</v>
      </c>
      <c r="F6102" s="20">
        <v>859360</v>
      </c>
    </row>
    <row r="6103" spans="1:6" x14ac:dyDescent="0.2">
      <c r="A6103">
        <f>IFERROR(VLOOKUP(C6103,'GASB Match'!$D$2:$F$6042,3,FALSE),"")</f>
        <v>3418150</v>
      </c>
      <c r="B6103" s="17">
        <v>2018</v>
      </c>
      <c r="C6103" s="17" t="s">
        <v>989</v>
      </c>
      <c r="D6103" s="17">
        <v>7000</v>
      </c>
      <c r="E6103" s="17" t="s">
        <v>1454</v>
      </c>
      <c r="F6103" s="20">
        <v>1582167</v>
      </c>
    </row>
    <row r="6104" spans="1:6" x14ac:dyDescent="0.2">
      <c r="A6104">
        <f>IFERROR(VLOOKUP(C6104,'GASB Match'!$D$2:$F$6042,3,FALSE),"")</f>
        <v>3418150</v>
      </c>
      <c r="B6104" s="17">
        <v>2019</v>
      </c>
      <c r="C6104" s="17" t="s">
        <v>989</v>
      </c>
      <c r="D6104" s="17">
        <v>7000</v>
      </c>
      <c r="E6104" s="17" t="s">
        <v>1454</v>
      </c>
      <c r="F6104" s="20">
        <v>2099086</v>
      </c>
    </row>
    <row r="6105" spans="1:6" ht="17" x14ac:dyDescent="0.2">
      <c r="A6105">
        <f>IFERROR(VLOOKUP(C6105,'GASB Match'!$D$2:$F$6042,3,FALSE),"")</f>
        <v>3418150</v>
      </c>
      <c r="B6105" s="17">
        <v>2020</v>
      </c>
      <c r="C6105" s="21" t="s">
        <v>989</v>
      </c>
      <c r="D6105" s="17">
        <v>7000</v>
      </c>
      <c r="E6105" s="17" t="s">
        <v>1455</v>
      </c>
      <c r="F6105" s="23">
        <v>2401189</v>
      </c>
    </row>
    <row r="6106" spans="1:6" ht="17" x14ac:dyDescent="0.2">
      <c r="A6106">
        <f>IFERROR(VLOOKUP(C6106,'GASB Match'!$D$2:$F$6042,3,FALSE),"")</f>
        <v>3418150</v>
      </c>
      <c r="B6106" s="17">
        <v>2021</v>
      </c>
      <c r="C6106" s="25" t="s">
        <v>989</v>
      </c>
      <c r="D6106" s="17">
        <v>7000</v>
      </c>
      <c r="E6106" s="17" t="s">
        <v>1454</v>
      </c>
      <c r="F6106" s="23">
        <v>2990169</v>
      </c>
    </row>
    <row r="6107" spans="1:6" ht="17" x14ac:dyDescent="0.2">
      <c r="A6107">
        <f>IFERROR(VLOOKUP(C6107,'GASB Match'!$D$2:$F$6042,3,FALSE),"")</f>
        <v>3418150</v>
      </c>
      <c r="B6107" s="17">
        <v>2022</v>
      </c>
      <c r="C6107" s="21" t="s">
        <v>989</v>
      </c>
      <c r="D6107" s="17">
        <v>7000</v>
      </c>
      <c r="E6107" s="17" t="s">
        <v>1454</v>
      </c>
      <c r="F6107" s="23">
        <v>4282255</v>
      </c>
    </row>
    <row r="6108" spans="1:6" ht="17" x14ac:dyDescent="0.2">
      <c r="A6108">
        <f>IFERROR(VLOOKUP(C6108,'GASB Match'!$D$2:$F$6042,3,FALSE),"")</f>
        <v>3418150</v>
      </c>
      <c r="B6108" s="17">
        <v>2023</v>
      </c>
      <c r="C6108" s="21" t="s">
        <v>989</v>
      </c>
      <c r="D6108" s="17">
        <v>7000</v>
      </c>
      <c r="E6108" s="17" t="s">
        <v>1454</v>
      </c>
      <c r="F6108" s="23">
        <v>4706520</v>
      </c>
    </row>
    <row r="6109" spans="1:6" x14ac:dyDescent="0.2">
      <c r="A6109">
        <f>IFERROR(VLOOKUP(C6109,'GASB Match'!$D$2:$F$6042,3,FALSE),"")</f>
        <v>3418150</v>
      </c>
      <c r="B6109" s="28">
        <v>2017</v>
      </c>
      <c r="C6109" s="29" t="s">
        <v>299</v>
      </c>
      <c r="D6109" s="17">
        <v>7000</v>
      </c>
      <c r="E6109" s="17" t="s">
        <v>1412</v>
      </c>
      <c r="F6109" s="29">
        <v>1178825</v>
      </c>
    </row>
    <row r="6110" spans="1:6" x14ac:dyDescent="0.2">
      <c r="A6110">
        <f>IFERROR(VLOOKUP(C6110,'GASB Match'!$D$2:$F$6042,3,FALSE),"")</f>
        <v>3418180</v>
      </c>
      <c r="B6110" s="17">
        <v>2015</v>
      </c>
      <c r="C6110" s="17" t="s">
        <v>300</v>
      </c>
      <c r="D6110" s="17">
        <v>7034</v>
      </c>
      <c r="E6110" s="17" t="s">
        <v>1412</v>
      </c>
      <c r="F6110" s="20">
        <v>88326</v>
      </c>
    </row>
    <row r="6111" spans="1:6" x14ac:dyDescent="0.2">
      <c r="A6111">
        <f>IFERROR(VLOOKUP(C6111,'GASB Match'!$D$2:$F$6042,3,FALSE),"")</f>
        <v>3418180</v>
      </c>
      <c r="B6111" s="17">
        <v>2016</v>
      </c>
      <c r="C6111" s="17" t="s">
        <v>300</v>
      </c>
      <c r="D6111" s="17">
        <v>7034</v>
      </c>
      <c r="E6111" s="17" t="s">
        <v>1412</v>
      </c>
      <c r="F6111" s="20">
        <v>130141</v>
      </c>
    </row>
    <row r="6112" spans="1:6" x14ac:dyDescent="0.2">
      <c r="A6112">
        <f>IFERROR(VLOOKUP(C6112,'GASB Match'!$D$2:$F$6042,3,FALSE),"")</f>
        <v>3418180</v>
      </c>
      <c r="B6112" s="17">
        <v>2018</v>
      </c>
      <c r="C6112" s="17" t="s">
        <v>990</v>
      </c>
      <c r="D6112" s="17">
        <v>7034</v>
      </c>
      <c r="E6112" s="17" t="s">
        <v>1454</v>
      </c>
      <c r="F6112" s="20">
        <v>247071</v>
      </c>
    </row>
    <row r="6113" spans="1:6" x14ac:dyDescent="0.2">
      <c r="A6113">
        <f>IFERROR(VLOOKUP(C6113,'GASB Match'!$D$2:$F$6042,3,FALSE),"")</f>
        <v>3418180</v>
      </c>
      <c r="B6113" s="17">
        <v>2019</v>
      </c>
      <c r="C6113" s="17" t="s">
        <v>990</v>
      </c>
      <c r="D6113" s="17">
        <v>7034</v>
      </c>
      <c r="E6113" s="17" t="s">
        <v>1454</v>
      </c>
      <c r="F6113" s="20">
        <v>341818</v>
      </c>
    </row>
    <row r="6114" spans="1:6" ht="17" x14ac:dyDescent="0.2">
      <c r="A6114">
        <f>IFERROR(VLOOKUP(C6114,'GASB Match'!$D$2:$F$6042,3,FALSE),"")</f>
        <v>3418180</v>
      </c>
      <c r="B6114" s="17">
        <v>2020</v>
      </c>
      <c r="C6114" s="21" t="s">
        <v>990</v>
      </c>
      <c r="D6114" s="17">
        <v>7034</v>
      </c>
      <c r="E6114" s="17" t="s">
        <v>1454</v>
      </c>
      <c r="F6114" s="23">
        <v>381684</v>
      </c>
    </row>
    <row r="6115" spans="1:6" ht="17" x14ac:dyDescent="0.2">
      <c r="A6115">
        <f>IFERROR(VLOOKUP(C6115,'GASB Match'!$D$2:$F$6042,3,FALSE),"")</f>
        <v>3418180</v>
      </c>
      <c r="B6115" s="17">
        <v>2021</v>
      </c>
      <c r="C6115" s="25" t="s">
        <v>990</v>
      </c>
      <c r="D6115" s="17">
        <v>7034</v>
      </c>
      <c r="E6115" s="17" t="s">
        <v>1454</v>
      </c>
      <c r="F6115" s="23">
        <v>464092</v>
      </c>
    </row>
    <row r="6116" spans="1:6" ht="17" x14ac:dyDescent="0.2">
      <c r="A6116">
        <f>IFERROR(VLOOKUP(C6116,'GASB Match'!$D$2:$F$6042,3,FALSE),"")</f>
        <v>3418180</v>
      </c>
      <c r="B6116" s="17">
        <v>2022</v>
      </c>
      <c r="C6116" s="21" t="s">
        <v>990</v>
      </c>
      <c r="D6116" s="17">
        <v>7034</v>
      </c>
      <c r="E6116" s="17" t="s">
        <v>1454</v>
      </c>
      <c r="F6116" s="23">
        <v>672196</v>
      </c>
    </row>
    <row r="6117" spans="1:6" ht="17" x14ac:dyDescent="0.2">
      <c r="A6117">
        <f>IFERROR(VLOOKUP(C6117,'GASB Match'!$D$2:$F$6042,3,FALSE),"")</f>
        <v>3418180</v>
      </c>
      <c r="B6117" s="17">
        <v>2023</v>
      </c>
      <c r="C6117" s="21" t="s">
        <v>990</v>
      </c>
      <c r="D6117" s="17">
        <v>7034</v>
      </c>
      <c r="E6117" s="17" t="s">
        <v>1454</v>
      </c>
      <c r="F6117" s="23">
        <v>681390</v>
      </c>
    </row>
    <row r="6118" spans="1:6" x14ac:dyDescent="0.2">
      <c r="A6118">
        <f>IFERROR(VLOOKUP(C6118,'GASB Match'!$D$2:$F$6042,3,FALSE),"")</f>
        <v>3418180</v>
      </c>
      <c r="B6118" s="28">
        <v>2017</v>
      </c>
      <c r="C6118" s="29" t="s">
        <v>300</v>
      </c>
      <c r="D6118" s="17">
        <v>7034</v>
      </c>
      <c r="E6118" s="17" t="s">
        <v>1412</v>
      </c>
      <c r="F6118" s="29">
        <v>184212</v>
      </c>
    </row>
    <row r="6119" spans="1:6" x14ac:dyDescent="0.2">
      <c r="A6119">
        <f>IFERROR(VLOOKUP(C6119,'GASB Match'!$D$2:$F$6042,3,FALSE),"")</f>
        <v>3418210</v>
      </c>
      <c r="B6119" s="17">
        <v>2015</v>
      </c>
      <c r="C6119" s="17" t="s">
        <v>103</v>
      </c>
      <c r="D6119" s="17">
        <v>2089</v>
      </c>
      <c r="E6119" s="17" t="s">
        <v>1402</v>
      </c>
      <c r="F6119" s="20">
        <v>312913</v>
      </c>
    </row>
    <row r="6120" spans="1:6" x14ac:dyDescent="0.2">
      <c r="A6120">
        <f>IFERROR(VLOOKUP(C6120,'GASB Match'!$D$2:$F$6042,3,FALSE),"")</f>
        <v>3418210</v>
      </c>
      <c r="B6120" s="17">
        <v>2016</v>
      </c>
      <c r="C6120" s="17" t="s">
        <v>103</v>
      </c>
      <c r="D6120" s="17">
        <v>2089</v>
      </c>
      <c r="E6120" s="17" t="s">
        <v>1402</v>
      </c>
      <c r="F6120" s="20">
        <v>496166</v>
      </c>
    </row>
    <row r="6121" spans="1:6" x14ac:dyDescent="0.2">
      <c r="A6121">
        <f>IFERROR(VLOOKUP(C6121,'GASB Match'!$D$2:$F$6042,3,FALSE),"")</f>
        <v>3418210</v>
      </c>
      <c r="B6121" s="17">
        <v>2018</v>
      </c>
      <c r="C6121" s="17" t="s">
        <v>783</v>
      </c>
      <c r="D6121" s="17">
        <v>2089</v>
      </c>
      <c r="E6121" s="17" t="s">
        <v>1443</v>
      </c>
      <c r="F6121" s="20">
        <v>922015</v>
      </c>
    </row>
    <row r="6122" spans="1:6" x14ac:dyDescent="0.2">
      <c r="A6122">
        <f>IFERROR(VLOOKUP(C6122,'GASB Match'!$D$2:$F$6042,3,FALSE),"")</f>
        <v>3418210</v>
      </c>
      <c r="B6122" s="17">
        <v>2019</v>
      </c>
      <c r="C6122" s="17" t="s">
        <v>783</v>
      </c>
      <c r="D6122" s="17">
        <v>2089</v>
      </c>
      <c r="E6122" s="17" t="s">
        <v>1443</v>
      </c>
      <c r="F6122" s="20">
        <v>1244016</v>
      </c>
    </row>
    <row r="6123" spans="1:6" ht="17" x14ac:dyDescent="0.2">
      <c r="A6123">
        <f>IFERROR(VLOOKUP(C6123,'GASB Match'!$D$2:$F$6042,3,FALSE),"")</f>
        <v>3418210</v>
      </c>
      <c r="B6123" s="17">
        <v>2020</v>
      </c>
      <c r="C6123" s="21" t="s">
        <v>783</v>
      </c>
      <c r="D6123" s="17">
        <v>2089</v>
      </c>
      <c r="E6123" s="17" t="s">
        <v>1443</v>
      </c>
      <c r="F6123" s="23">
        <v>1367053</v>
      </c>
    </row>
    <row r="6124" spans="1:6" ht="17" x14ac:dyDescent="0.2">
      <c r="A6124">
        <f>IFERROR(VLOOKUP(C6124,'GASB Match'!$D$2:$F$6042,3,FALSE),"")</f>
        <v>3418210</v>
      </c>
      <c r="B6124" s="17">
        <v>2021</v>
      </c>
      <c r="C6124" s="25" t="s">
        <v>783</v>
      </c>
      <c r="D6124" s="17">
        <v>2089</v>
      </c>
      <c r="E6124" s="17" t="s">
        <v>1443</v>
      </c>
      <c r="F6124" s="23">
        <v>1796542</v>
      </c>
    </row>
    <row r="6125" spans="1:6" ht="17" x14ac:dyDescent="0.2">
      <c r="A6125">
        <f>IFERROR(VLOOKUP(C6125,'GASB Match'!$D$2:$F$6042,3,FALSE),"")</f>
        <v>3418210</v>
      </c>
      <c r="B6125" s="17">
        <v>2022</v>
      </c>
      <c r="C6125" s="21" t="s">
        <v>783</v>
      </c>
      <c r="D6125" s="17">
        <v>2089</v>
      </c>
      <c r="E6125" s="17" t="s">
        <v>1443</v>
      </c>
      <c r="F6125" s="23">
        <v>2619421</v>
      </c>
    </row>
    <row r="6126" spans="1:6" ht="17" x14ac:dyDescent="0.2">
      <c r="A6126">
        <f>IFERROR(VLOOKUP(C6126,'GASB Match'!$D$2:$F$6042,3,FALSE),"")</f>
        <v>3418210</v>
      </c>
      <c r="B6126" s="17">
        <v>2023</v>
      </c>
      <c r="C6126" s="21" t="s">
        <v>783</v>
      </c>
      <c r="D6126" s="17">
        <v>2089</v>
      </c>
      <c r="E6126" s="17" t="s">
        <v>1443</v>
      </c>
      <c r="F6126" s="23">
        <v>2572823</v>
      </c>
    </row>
    <row r="6127" spans="1:6" x14ac:dyDescent="0.2">
      <c r="A6127">
        <f>IFERROR(VLOOKUP(C6127,'GASB Match'!$D$2:$F$6042,3,FALSE),"")</f>
        <v>3418210</v>
      </c>
      <c r="B6127" s="28">
        <v>2017</v>
      </c>
      <c r="C6127" s="29" t="s">
        <v>103</v>
      </c>
      <c r="D6127" s="17">
        <v>2089</v>
      </c>
      <c r="E6127" s="17" t="s">
        <v>1402</v>
      </c>
      <c r="F6127" s="29">
        <v>675294</v>
      </c>
    </row>
    <row r="6128" spans="1:6" x14ac:dyDescent="0.2">
      <c r="A6128">
        <f>IFERROR(VLOOKUP(C6128,'GASB Match'!$D$2:$F$6042,3,FALSE),"")</f>
        <v>3417640</v>
      </c>
      <c r="B6128" s="17">
        <v>2015</v>
      </c>
      <c r="C6128" s="17" t="s">
        <v>548</v>
      </c>
      <c r="D6128" s="17">
        <v>644</v>
      </c>
      <c r="E6128" s="17" t="s">
        <v>1423</v>
      </c>
      <c r="F6128" s="20">
        <v>371904</v>
      </c>
    </row>
    <row r="6129" spans="1:6" x14ac:dyDescent="0.2">
      <c r="A6129">
        <f>IFERROR(VLOOKUP(C6129,'GASB Match'!$D$2:$F$6042,3,FALSE),"")</f>
        <v>3417640</v>
      </c>
      <c r="B6129" s="17">
        <v>2016</v>
      </c>
      <c r="C6129" s="17" t="s">
        <v>548</v>
      </c>
      <c r="D6129" s="17">
        <v>644</v>
      </c>
      <c r="E6129" s="17" t="s">
        <v>1423</v>
      </c>
      <c r="F6129" s="20">
        <v>555524</v>
      </c>
    </row>
    <row r="6130" spans="1:6" x14ac:dyDescent="0.2">
      <c r="A6130">
        <f>IFERROR(VLOOKUP(C6130,'GASB Match'!$D$2:$F$6042,3,FALSE),"")</f>
        <v>3417640</v>
      </c>
      <c r="B6130" s="17">
        <v>2018</v>
      </c>
      <c r="C6130" s="17" t="s">
        <v>1240</v>
      </c>
      <c r="D6130" s="17">
        <v>644</v>
      </c>
      <c r="E6130" s="17" t="s">
        <v>1466</v>
      </c>
      <c r="F6130" s="20">
        <v>1074252</v>
      </c>
    </row>
    <row r="6131" spans="1:6" x14ac:dyDescent="0.2">
      <c r="A6131">
        <f>IFERROR(VLOOKUP(C6131,'GASB Match'!$D$2:$F$6042,3,FALSE),"")</f>
        <v>3417640</v>
      </c>
      <c r="B6131" s="17">
        <v>2019</v>
      </c>
      <c r="C6131" s="17" t="s">
        <v>1240</v>
      </c>
      <c r="D6131" s="17">
        <v>644</v>
      </c>
      <c r="E6131" s="17" t="s">
        <v>1466</v>
      </c>
      <c r="F6131" s="20">
        <v>1478648</v>
      </c>
    </row>
    <row r="6132" spans="1:6" ht="17" x14ac:dyDescent="0.2">
      <c r="A6132">
        <f>IFERROR(VLOOKUP(C6132,'GASB Match'!$D$2:$F$6042,3,FALSE),"")</f>
        <v>3417640</v>
      </c>
      <c r="B6132" s="17">
        <v>2020</v>
      </c>
      <c r="C6132" s="21" t="s">
        <v>1240</v>
      </c>
      <c r="D6132" s="17">
        <v>644</v>
      </c>
      <c r="E6132" s="17" t="s">
        <v>1466</v>
      </c>
      <c r="F6132" s="23">
        <v>1701574</v>
      </c>
    </row>
    <row r="6133" spans="1:6" ht="17" x14ac:dyDescent="0.2">
      <c r="A6133">
        <f>IFERROR(VLOOKUP(C6133,'GASB Match'!$D$2:$F$6042,3,FALSE),"")</f>
        <v>3417640</v>
      </c>
      <c r="B6133" s="17">
        <v>2021</v>
      </c>
      <c r="C6133" s="25" t="s">
        <v>1240</v>
      </c>
      <c r="D6133" s="17">
        <v>644</v>
      </c>
      <c r="E6133" s="17" t="s">
        <v>1466</v>
      </c>
      <c r="F6133" s="23">
        <v>2240605</v>
      </c>
    </row>
    <row r="6134" spans="1:6" ht="17" x14ac:dyDescent="0.2">
      <c r="A6134">
        <f>IFERROR(VLOOKUP(C6134,'GASB Match'!$D$2:$F$6042,3,FALSE),"")</f>
        <v>3417640</v>
      </c>
      <c r="B6134" s="17">
        <v>2022</v>
      </c>
      <c r="C6134" s="21" t="s">
        <v>1240</v>
      </c>
      <c r="D6134" s="17">
        <v>644</v>
      </c>
      <c r="E6134" s="17" t="s">
        <v>1466</v>
      </c>
      <c r="F6134" s="23">
        <v>3346525</v>
      </c>
    </row>
    <row r="6135" spans="1:6" ht="17" x14ac:dyDescent="0.2">
      <c r="A6135">
        <f>IFERROR(VLOOKUP(C6135,'GASB Match'!$D$2:$F$6042,3,FALSE),"")</f>
        <v>3417640</v>
      </c>
      <c r="B6135" s="17">
        <v>2023</v>
      </c>
      <c r="C6135" s="21" t="s">
        <v>1240</v>
      </c>
      <c r="D6135" s="17">
        <v>644</v>
      </c>
      <c r="E6135" s="17" t="s">
        <v>1466</v>
      </c>
      <c r="F6135" s="23">
        <v>3391312</v>
      </c>
    </row>
    <row r="6136" spans="1:6" x14ac:dyDescent="0.2">
      <c r="A6136">
        <f>IFERROR(VLOOKUP(C6136,'GASB Match'!$D$2:$F$6042,3,FALSE),"")</f>
        <v>3417640</v>
      </c>
      <c r="B6136" s="28">
        <v>2017</v>
      </c>
      <c r="C6136" s="29" t="s">
        <v>548</v>
      </c>
      <c r="D6136" s="17">
        <v>644</v>
      </c>
      <c r="E6136" s="17" t="s">
        <v>1423</v>
      </c>
      <c r="F6136" s="29">
        <v>753765</v>
      </c>
    </row>
    <row r="6137" spans="1:6" x14ac:dyDescent="0.2">
      <c r="A6137">
        <f>IFERROR(VLOOKUP(C6137,'GASB Match'!$D$2:$F$6042,3,FALSE),"")</f>
        <v>3418240</v>
      </c>
      <c r="B6137" s="17">
        <v>2015</v>
      </c>
      <c r="C6137" s="17" t="s">
        <v>148</v>
      </c>
      <c r="D6137" s="17">
        <v>3047</v>
      </c>
      <c r="E6137" s="17" t="s">
        <v>1404</v>
      </c>
      <c r="F6137" s="20">
        <v>41643</v>
      </c>
    </row>
    <row r="6138" spans="1:6" x14ac:dyDescent="0.2">
      <c r="A6138">
        <f>IFERROR(VLOOKUP(C6138,'GASB Match'!$D$2:$F$6042,3,FALSE),"")</f>
        <v>3418240</v>
      </c>
      <c r="B6138" s="17">
        <v>2016</v>
      </c>
      <c r="C6138" s="17" t="s">
        <v>148</v>
      </c>
      <c r="D6138" s="17">
        <v>3047</v>
      </c>
      <c r="E6138" s="17" t="s">
        <v>1404</v>
      </c>
      <c r="F6138" s="20">
        <v>67145</v>
      </c>
    </row>
    <row r="6139" spans="1:6" x14ac:dyDescent="0.2">
      <c r="A6139">
        <f>IFERROR(VLOOKUP(C6139,'GASB Match'!$D$2:$F$6042,3,FALSE),"")</f>
        <v>3418240</v>
      </c>
      <c r="B6139" s="17">
        <v>2018</v>
      </c>
      <c r="C6139" s="17" t="s">
        <v>829</v>
      </c>
      <c r="D6139" s="17">
        <v>3047</v>
      </c>
      <c r="E6139" s="17" t="s">
        <v>1445</v>
      </c>
      <c r="F6139" s="20">
        <v>136659</v>
      </c>
    </row>
    <row r="6140" spans="1:6" x14ac:dyDescent="0.2">
      <c r="A6140">
        <f>IFERROR(VLOOKUP(C6140,'GASB Match'!$D$2:$F$6042,3,FALSE),"")</f>
        <v>3418240</v>
      </c>
      <c r="B6140" s="17">
        <v>2019</v>
      </c>
      <c r="C6140" s="17" t="s">
        <v>829</v>
      </c>
      <c r="D6140" s="17">
        <v>3047</v>
      </c>
      <c r="E6140" s="17" t="s">
        <v>1445</v>
      </c>
      <c r="F6140" s="20">
        <v>190453</v>
      </c>
    </row>
    <row r="6141" spans="1:6" ht="17" x14ac:dyDescent="0.2">
      <c r="A6141">
        <f>IFERROR(VLOOKUP(C6141,'GASB Match'!$D$2:$F$6042,3,FALSE),"")</f>
        <v>3418240</v>
      </c>
      <c r="B6141" s="17">
        <v>2020</v>
      </c>
      <c r="C6141" s="21" t="s">
        <v>829</v>
      </c>
      <c r="D6141" s="17">
        <v>3047</v>
      </c>
      <c r="E6141" s="17" t="s">
        <v>1445</v>
      </c>
      <c r="F6141" s="23">
        <v>241442</v>
      </c>
    </row>
    <row r="6142" spans="1:6" ht="17" x14ac:dyDescent="0.2">
      <c r="A6142">
        <f>IFERROR(VLOOKUP(C6142,'GASB Match'!$D$2:$F$6042,3,FALSE),"")</f>
        <v>3418240</v>
      </c>
      <c r="B6142" s="17">
        <v>2021</v>
      </c>
      <c r="C6142" s="25" t="s">
        <v>829</v>
      </c>
      <c r="D6142" s="17">
        <v>3047</v>
      </c>
      <c r="E6142" s="17" t="s">
        <v>1445</v>
      </c>
      <c r="F6142" s="23">
        <v>307626</v>
      </c>
    </row>
    <row r="6143" spans="1:6" ht="17" x14ac:dyDescent="0.2">
      <c r="A6143">
        <f>IFERROR(VLOOKUP(C6143,'GASB Match'!$D$2:$F$6042,3,FALSE),"")</f>
        <v>3418240</v>
      </c>
      <c r="B6143" s="17">
        <v>2022</v>
      </c>
      <c r="C6143" s="21" t="s">
        <v>829</v>
      </c>
      <c r="D6143" s="17">
        <v>3047</v>
      </c>
      <c r="E6143" s="17" t="s">
        <v>1445</v>
      </c>
      <c r="F6143" s="23">
        <v>473810</v>
      </c>
    </row>
    <row r="6144" spans="1:6" ht="17" x14ac:dyDescent="0.2">
      <c r="A6144">
        <f>IFERROR(VLOOKUP(C6144,'GASB Match'!$D$2:$F$6042,3,FALSE),"")</f>
        <v>3418240</v>
      </c>
      <c r="B6144" s="17">
        <v>2023</v>
      </c>
      <c r="C6144" s="21" t="s">
        <v>829</v>
      </c>
      <c r="D6144" s="17">
        <v>3047</v>
      </c>
      <c r="E6144" s="17" t="s">
        <v>1445</v>
      </c>
      <c r="F6144" s="23">
        <v>465585</v>
      </c>
    </row>
    <row r="6145" spans="1:6" x14ac:dyDescent="0.2">
      <c r="A6145">
        <f>IFERROR(VLOOKUP(C6145,'GASB Match'!$D$2:$F$6042,3,FALSE),"")</f>
        <v>3418240</v>
      </c>
      <c r="B6145" s="28">
        <v>2017</v>
      </c>
      <c r="C6145" s="29" t="s">
        <v>148</v>
      </c>
      <c r="D6145" s="17">
        <v>3047</v>
      </c>
      <c r="E6145" s="17" t="s">
        <v>1404</v>
      </c>
      <c r="F6145" s="29">
        <v>100516</v>
      </c>
    </row>
    <row r="6146" spans="1:6" x14ac:dyDescent="0.2">
      <c r="A6146">
        <f>IFERROR(VLOOKUP(C6146,'GASB Match'!$D$2:$F$6042,3,FALSE),"")</f>
        <v>3418270</v>
      </c>
      <c r="B6146" s="17">
        <v>2015</v>
      </c>
      <c r="C6146" s="17" t="s">
        <v>194</v>
      </c>
      <c r="D6146" s="17">
        <v>4066</v>
      </c>
      <c r="E6146" s="17" t="s">
        <v>1405</v>
      </c>
      <c r="F6146" s="20">
        <v>115620</v>
      </c>
    </row>
    <row r="6147" spans="1:6" x14ac:dyDescent="0.2">
      <c r="A6147">
        <f>IFERROR(VLOOKUP(C6147,'GASB Match'!$D$2:$F$6042,3,FALSE),"")</f>
        <v>3418270</v>
      </c>
      <c r="B6147" s="17">
        <v>2016</v>
      </c>
      <c r="C6147" s="17" t="s">
        <v>194</v>
      </c>
      <c r="D6147" s="17">
        <v>4066</v>
      </c>
      <c r="E6147" s="17" t="s">
        <v>1405</v>
      </c>
      <c r="F6147" s="20">
        <v>139767</v>
      </c>
    </row>
    <row r="6148" spans="1:6" x14ac:dyDescent="0.2">
      <c r="A6148">
        <f>IFERROR(VLOOKUP(C6148,'GASB Match'!$D$2:$F$6042,3,FALSE),"")</f>
        <v>3418270</v>
      </c>
      <c r="B6148" s="17">
        <v>2018</v>
      </c>
      <c r="C6148" s="17" t="s">
        <v>878</v>
      </c>
      <c r="D6148" s="17">
        <v>4066</v>
      </c>
      <c r="E6148" s="17" t="s">
        <v>1446</v>
      </c>
      <c r="F6148" s="20">
        <v>311571</v>
      </c>
    </row>
    <row r="6149" spans="1:6" x14ac:dyDescent="0.2">
      <c r="A6149">
        <f>IFERROR(VLOOKUP(C6149,'GASB Match'!$D$2:$F$6042,3,FALSE),"")</f>
        <v>3418270</v>
      </c>
      <c r="B6149" s="17">
        <v>2019</v>
      </c>
      <c r="C6149" s="17" t="s">
        <v>878</v>
      </c>
      <c r="D6149" s="17">
        <v>4066</v>
      </c>
      <c r="E6149" s="17" t="s">
        <v>1446</v>
      </c>
      <c r="F6149" s="20">
        <v>415580</v>
      </c>
    </row>
    <row r="6150" spans="1:6" ht="17" x14ac:dyDescent="0.2">
      <c r="A6150">
        <f>IFERROR(VLOOKUP(C6150,'GASB Match'!$D$2:$F$6042,3,FALSE),"")</f>
        <v>3418270</v>
      </c>
      <c r="B6150" s="17">
        <v>2020</v>
      </c>
      <c r="C6150" s="21" t="s">
        <v>878</v>
      </c>
      <c r="D6150" s="17">
        <v>4066</v>
      </c>
      <c r="E6150" s="17" t="s">
        <v>1446</v>
      </c>
      <c r="F6150" s="23">
        <v>527686</v>
      </c>
    </row>
    <row r="6151" spans="1:6" ht="17" x14ac:dyDescent="0.2">
      <c r="A6151">
        <f>IFERROR(VLOOKUP(C6151,'GASB Match'!$D$2:$F$6042,3,FALSE),"")</f>
        <v>3418270</v>
      </c>
      <c r="B6151" s="17">
        <v>2021</v>
      </c>
      <c r="C6151" s="25" t="s">
        <v>878</v>
      </c>
      <c r="D6151" s="17">
        <v>4066</v>
      </c>
      <c r="E6151" s="17" t="s">
        <v>1446</v>
      </c>
      <c r="F6151" s="23">
        <v>701876</v>
      </c>
    </row>
    <row r="6152" spans="1:6" ht="17" x14ac:dyDescent="0.2">
      <c r="A6152">
        <f>IFERROR(VLOOKUP(C6152,'GASB Match'!$D$2:$F$6042,3,FALSE),"")</f>
        <v>3418270</v>
      </c>
      <c r="B6152" s="17">
        <v>2022</v>
      </c>
      <c r="C6152" s="21" t="s">
        <v>878</v>
      </c>
      <c r="D6152" s="17">
        <v>4066</v>
      </c>
      <c r="E6152" s="17" t="s">
        <v>1446</v>
      </c>
      <c r="F6152" s="23">
        <v>979355</v>
      </c>
    </row>
    <row r="6153" spans="1:6" ht="17" x14ac:dyDescent="0.2">
      <c r="A6153">
        <f>IFERROR(VLOOKUP(C6153,'GASB Match'!$D$2:$F$6042,3,FALSE),"")</f>
        <v>3418270</v>
      </c>
      <c r="B6153" s="17">
        <v>2023</v>
      </c>
      <c r="C6153" s="21" t="s">
        <v>878</v>
      </c>
      <c r="D6153" s="17">
        <v>4066</v>
      </c>
      <c r="E6153" s="17" t="s">
        <v>1446</v>
      </c>
      <c r="F6153" s="23">
        <v>1028900</v>
      </c>
    </row>
    <row r="6154" spans="1:6" x14ac:dyDescent="0.2">
      <c r="A6154">
        <f>IFERROR(VLOOKUP(C6154,'GASB Match'!$D$2:$F$6042,3,FALSE),"")</f>
        <v>3418270</v>
      </c>
      <c r="B6154" s="28">
        <v>2017</v>
      </c>
      <c r="C6154" s="29" t="s">
        <v>194</v>
      </c>
      <c r="D6154" s="17">
        <v>4066</v>
      </c>
      <c r="E6154" s="17" t="s">
        <v>1405</v>
      </c>
      <c r="F6154" s="29">
        <v>217040</v>
      </c>
    </row>
    <row r="6155" spans="1:6" x14ac:dyDescent="0.2">
      <c r="A6155">
        <f>IFERROR(VLOOKUP(C6155,'GASB Match'!$D$2:$F$6042,3,FALSE),"")</f>
        <v>3418330</v>
      </c>
      <c r="B6155" s="17">
        <v>2015</v>
      </c>
      <c r="C6155" s="17" t="s">
        <v>562</v>
      </c>
      <c r="D6155" s="17">
        <v>719</v>
      </c>
      <c r="E6155" s="17" t="s">
        <v>1424</v>
      </c>
      <c r="F6155" s="20">
        <v>560501</v>
      </c>
    </row>
    <row r="6156" spans="1:6" x14ac:dyDescent="0.2">
      <c r="A6156">
        <f>IFERROR(VLOOKUP(C6156,'GASB Match'!$D$2:$F$6042,3,FALSE),"")</f>
        <v>3418330</v>
      </c>
      <c r="B6156" s="17">
        <v>2016</v>
      </c>
      <c r="C6156" s="17" t="s">
        <v>562</v>
      </c>
      <c r="D6156" s="17">
        <v>719</v>
      </c>
      <c r="E6156" s="17" t="s">
        <v>1424</v>
      </c>
      <c r="F6156" s="20">
        <v>824470</v>
      </c>
    </row>
    <row r="6157" spans="1:6" x14ac:dyDescent="0.2">
      <c r="A6157">
        <f>IFERROR(VLOOKUP(C6157,'GASB Match'!$D$2:$F$6042,3,FALSE),"")</f>
        <v>3418330</v>
      </c>
      <c r="B6157" s="17">
        <v>2018</v>
      </c>
      <c r="C6157" s="17" t="s">
        <v>1254</v>
      </c>
      <c r="D6157" s="17">
        <v>719</v>
      </c>
      <c r="E6157" s="17" t="s">
        <v>1467</v>
      </c>
      <c r="F6157" s="20">
        <v>1547610</v>
      </c>
    </row>
    <row r="6158" spans="1:6" x14ac:dyDescent="0.2">
      <c r="A6158">
        <f>IFERROR(VLOOKUP(C6158,'GASB Match'!$D$2:$F$6042,3,FALSE),"")</f>
        <v>3418330</v>
      </c>
      <c r="B6158" s="17">
        <v>2019</v>
      </c>
      <c r="C6158" s="17" t="s">
        <v>1254</v>
      </c>
      <c r="D6158" s="17">
        <v>719</v>
      </c>
      <c r="E6158" s="17" t="s">
        <v>1467</v>
      </c>
      <c r="F6158" s="20">
        <v>1950322</v>
      </c>
    </row>
    <row r="6159" spans="1:6" ht="17" x14ac:dyDescent="0.2">
      <c r="A6159">
        <f>IFERROR(VLOOKUP(C6159,'GASB Match'!$D$2:$F$6042,3,FALSE),"")</f>
        <v>3418330</v>
      </c>
      <c r="B6159" s="17">
        <v>2020</v>
      </c>
      <c r="C6159" s="21" t="s">
        <v>1254</v>
      </c>
      <c r="D6159" s="17">
        <v>719</v>
      </c>
      <c r="E6159" s="17" t="s">
        <v>1467</v>
      </c>
      <c r="F6159" s="23">
        <v>2102553</v>
      </c>
    </row>
    <row r="6160" spans="1:6" ht="17" x14ac:dyDescent="0.2">
      <c r="A6160">
        <f>IFERROR(VLOOKUP(C6160,'GASB Match'!$D$2:$F$6042,3,FALSE),"")</f>
        <v>3418330</v>
      </c>
      <c r="B6160" s="17">
        <v>2021</v>
      </c>
      <c r="C6160" s="25" t="s">
        <v>1254</v>
      </c>
      <c r="D6160" s="17">
        <v>719</v>
      </c>
      <c r="E6160" s="17" t="s">
        <v>1467</v>
      </c>
      <c r="F6160" s="23">
        <v>2605770</v>
      </c>
    </row>
    <row r="6161" spans="1:6" ht="17" x14ac:dyDescent="0.2">
      <c r="A6161">
        <f>IFERROR(VLOOKUP(C6161,'GASB Match'!$D$2:$F$6042,3,FALSE),"")</f>
        <v>3418330</v>
      </c>
      <c r="B6161" s="17">
        <v>2022</v>
      </c>
      <c r="C6161" s="21" t="s">
        <v>1254</v>
      </c>
      <c r="D6161" s="17">
        <v>719</v>
      </c>
      <c r="E6161" s="17" t="s">
        <v>1467</v>
      </c>
      <c r="F6161" s="23">
        <v>3765244</v>
      </c>
    </row>
    <row r="6162" spans="1:6" ht="17" x14ac:dyDescent="0.2">
      <c r="A6162">
        <f>IFERROR(VLOOKUP(C6162,'GASB Match'!$D$2:$F$6042,3,FALSE),"")</f>
        <v>3418330</v>
      </c>
      <c r="B6162" s="17">
        <v>2023</v>
      </c>
      <c r="C6162" s="21" t="s">
        <v>1254</v>
      </c>
      <c r="D6162" s="17">
        <v>719</v>
      </c>
      <c r="E6162" s="17" t="s">
        <v>1467</v>
      </c>
      <c r="F6162" s="23">
        <v>3694644</v>
      </c>
    </row>
    <row r="6163" spans="1:6" x14ac:dyDescent="0.2">
      <c r="A6163">
        <f>IFERROR(VLOOKUP(C6163,'GASB Match'!$D$2:$F$6042,3,FALSE),"")</f>
        <v>3418330</v>
      </c>
      <c r="B6163" s="28">
        <v>2017</v>
      </c>
      <c r="C6163" s="29" t="s">
        <v>562</v>
      </c>
      <c r="D6163" s="17">
        <v>719</v>
      </c>
      <c r="E6163" s="17" t="s">
        <v>1424</v>
      </c>
      <c r="F6163" s="29">
        <v>1179808</v>
      </c>
    </row>
    <row r="6164" spans="1:6" x14ac:dyDescent="0.2">
      <c r="A6164">
        <f>IFERROR(VLOOKUP(C6164,'GASB Match'!$D$2:$F$6042,3,FALSE),"")</f>
        <v>3418360</v>
      </c>
      <c r="B6164" s="17">
        <v>2015</v>
      </c>
      <c r="C6164" s="17" t="s">
        <v>105</v>
      </c>
      <c r="D6164" s="17">
        <v>2092</v>
      </c>
      <c r="E6164" s="17" t="s">
        <v>1402</v>
      </c>
      <c r="F6164" s="20">
        <v>935324</v>
      </c>
    </row>
    <row r="6165" spans="1:6" x14ac:dyDescent="0.2">
      <c r="A6165">
        <f>IFERROR(VLOOKUP(C6165,'GASB Match'!$D$2:$F$6042,3,FALSE),"")</f>
        <v>3418360</v>
      </c>
      <c r="B6165" s="17">
        <v>2016</v>
      </c>
      <c r="C6165" s="17" t="s">
        <v>105</v>
      </c>
      <c r="D6165" s="17">
        <v>2092</v>
      </c>
      <c r="E6165" s="17" t="s">
        <v>1402</v>
      </c>
      <c r="F6165" s="20">
        <v>1390774</v>
      </c>
    </row>
    <row r="6166" spans="1:6" x14ac:dyDescent="0.2">
      <c r="A6166">
        <f>IFERROR(VLOOKUP(C6166,'GASB Match'!$D$2:$F$6042,3,FALSE),"")</f>
        <v>3418360</v>
      </c>
      <c r="B6166" s="17">
        <v>2018</v>
      </c>
      <c r="C6166" s="17" t="s">
        <v>785</v>
      </c>
      <c r="D6166" s="17">
        <v>2092</v>
      </c>
      <c r="E6166" s="17" t="s">
        <v>1443</v>
      </c>
      <c r="F6166" s="20">
        <v>2578551</v>
      </c>
    </row>
    <row r="6167" spans="1:6" x14ac:dyDescent="0.2">
      <c r="A6167">
        <f>IFERROR(VLOOKUP(C6167,'GASB Match'!$D$2:$F$6042,3,FALSE),"")</f>
        <v>3418360</v>
      </c>
      <c r="B6167" s="17">
        <v>2019</v>
      </c>
      <c r="C6167" s="17" t="s">
        <v>785</v>
      </c>
      <c r="D6167" s="17">
        <v>2092</v>
      </c>
      <c r="E6167" s="17" t="s">
        <v>1443</v>
      </c>
      <c r="F6167" s="20">
        <v>3361879</v>
      </c>
    </row>
    <row r="6168" spans="1:6" ht="17" x14ac:dyDescent="0.2">
      <c r="A6168">
        <f>IFERROR(VLOOKUP(C6168,'GASB Match'!$D$2:$F$6042,3,FALSE),"")</f>
        <v>3418360</v>
      </c>
      <c r="B6168" s="17">
        <v>2020</v>
      </c>
      <c r="C6168" s="21" t="s">
        <v>785</v>
      </c>
      <c r="D6168" s="17">
        <v>2092</v>
      </c>
      <c r="E6168" s="17" t="s">
        <v>1443</v>
      </c>
      <c r="F6168" s="23">
        <v>3802074</v>
      </c>
    </row>
    <row r="6169" spans="1:6" ht="17" x14ac:dyDescent="0.2">
      <c r="A6169">
        <f>IFERROR(VLOOKUP(C6169,'GASB Match'!$D$2:$F$6042,3,FALSE),"")</f>
        <v>3418360</v>
      </c>
      <c r="B6169" s="17">
        <v>2021</v>
      </c>
      <c r="C6169" s="25" t="s">
        <v>785</v>
      </c>
      <c r="D6169" s="17">
        <v>2092</v>
      </c>
      <c r="E6169" s="17" t="s">
        <v>1443</v>
      </c>
      <c r="F6169" s="23">
        <v>4811746</v>
      </c>
    </row>
    <row r="6170" spans="1:6" ht="17" x14ac:dyDescent="0.2">
      <c r="A6170">
        <f>IFERROR(VLOOKUP(C6170,'GASB Match'!$D$2:$F$6042,3,FALSE),"")</f>
        <v>3418360</v>
      </c>
      <c r="B6170" s="17">
        <v>2022</v>
      </c>
      <c r="C6170" s="21" t="s">
        <v>785</v>
      </c>
      <c r="D6170" s="17">
        <v>2092</v>
      </c>
      <c r="E6170" s="17" t="s">
        <v>1443</v>
      </c>
      <c r="F6170" s="23">
        <v>6787862</v>
      </c>
    </row>
    <row r="6171" spans="1:6" ht="17" x14ac:dyDescent="0.2">
      <c r="A6171">
        <f>IFERROR(VLOOKUP(C6171,'GASB Match'!$D$2:$F$6042,3,FALSE),"")</f>
        <v>3418360</v>
      </c>
      <c r="B6171" s="17">
        <v>2023</v>
      </c>
      <c r="C6171" s="21" t="s">
        <v>785</v>
      </c>
      <c r="D6171" s="17">
        <v>2092</v>
      </c>
      <c r="E6171" s="17" t="s">
        <v>1443</v>
      </c>
      <c r="F6171" s="23">
        <v>6815361</v>
      </c>
    </row>
    <row r="6172" spans="1:6" x14ac:dyDescent="0.2">
      <c r="A6172">
        <f>IFERROR(VLOOKUP(C6172,'GASB Match'!$D$2:$F$6042,3,FALSE),"")</f>
        <v>3418360</v>
      </c>
      <c r="B6172" s="28">
        <v>2017</v>
      </c>
      <c r="C6172" s="29" t="s">
        <v>105</v>
      </c>
      <c r="D6172" s="17">
        <v>2092</v>
      </c>
      <c r="E6172" s="17" t="s">
        <v>1402</v>
      </c>
      <c r="F6172" s="29">
        <v>1928442</v>
      </c>
    </row>
    <row r="6175" spans="1:6" x14ac:dyDescent="0.2">
      <c r="E6175" t="s">
        <v>1476</v>
      </c>
    </row>
    <row r="6176" spans="1:6" x14ac:dyDescent="0.2">
      <c r="D6176" s="14">
        <v>2015</v>
      </c>
      <c r="E6176" s="11">
        <f>SUMIF($B$2:$B$6172,D6176,$F$2:$F$6172)</f>
        <v>537426858</v>
      </c>
    </row>
    <row r="6177" spans="4:5" x14ac:dyDescent="0.2">
      <c r="D6177" s="14">
        <v>2016</v>
      </c>
      <c r="E6177" s="11">
        <f t="shared" ref="E6177:E6183" si="0">SUMIF($B$2:$B$6172,D6177,$F$2:$F$6172)</f>
        <v>796399011</v>
      </c>
    </row>
    <row r="6178" spans="4:5" x14ac:dyDescent="0.2">
      <c r="D6178" s="14">
        <v>2017</v>
      </c>
      <c r="E6178" s="11">
        <f t="shared" si="0"/>
        <v>1122911407</v>
      </c>
    </row>
    <row r="6179" spans="4:5" x14ac:dyDescent="0.2">
      <c r="D6179" s="14">
        <v>2018</v>
      </c>
      <c r="E6179" s="11">
        <f t="shared" si="0"/>
        <v>1511652452</v>
      </c>
    </row>
    <row r="6180" spans="4:5" x14ac:dyDescent="0.2">
      <c r="D6180" s="14">
        <v>2019</v>
      </c>
      <c r="E6180" s="11">
        <f t="shared" si="0"/>
        <v>2010642331</v>
      </c>
    </row>
    <row r="6181" spans="4:5" x14ac:dyDescent="0.2">
      <c r="D6181" s="14">
        <v>2020</v>
      </c>
      <c r="E6181" s="11">
        <f t="shared" si="0"/>
        <v>2266028159</v>
      </c>
    </row>
    <row r="6182" spans="4:5" x14ac:dyDescent="0.2">
      <c r="D6182" s="14">
        <v>2021</v>
      </c>
      <c r="E6182" s="11">
        <f t="shared" si="0"/>
        <v>2930512924</v>
      </c>
    </row>
    <row r="6183" spans="4:5" x14ac:dyDescent="0.2">
      <c r="D6183" s="14">
        <v>2022</v>
      </c>
      <c r="E6183" s="11">
        <f t="shared" si="0"/>
        <v>4185251197</v>
      </c>
    </row>
    <row r="6186" spans="4:5" x14ac:dyDescent="0.2">
      <c r="D6186" s="15"/>
      <c r="E6186" t="s">
        <v>1475</v>
      </c>
    </row>
    <row r="6187" spans="4:5" x14ac:dyDescent="0.2">
      <c r="D6187" s="14">
        <v>2015</v>
      </c>
      <c r="E6187" s="13">
        <v>537426858</v>
      </c>
    </row>
    <row r="6188" spans="4:5" x14ac:dyDescent="0.2">
      <c r="D6188" s="14">
        <v>2016</v>
      </c>
      <c r="E6188" s="13">
        <v>796399011</v>
      </c>
    </row>
    <row r="6189" spans="4:5" x14ac:dyDescent="0.2">
      <c r="D6189" s="14">
        <v>2017</v>
      </c>
      <c r="E6189" s="13">
        <v>1122911407</v>
      </c>
    </row>
    <row r="6190" spans="4:5" x14ac:dyDescent="0.2">
      <c r="D6190" s="14">
        <v>2018</v>
      </c>
      <c r="E6190" s="13">
        <v>1511652454</v>
      </c>
    </row>
    <row r="6191" spans="4:5" x14ac:dyDescent="0.2">
      <c r="D6191" s="14">
        <v>2019</v>
      </c>
      <c r="E6191" s="13">
        <v>2010642331</v>
      </c>
    </row>
    <row r="6192" spans="4:5" x14ac:dyDescent="0.2">
      <c r="D6192" s="14">
        <v>2020</v>
      </c>
      <c r="E6192" s="13">
        <v>2266028159</v>
      </c>
    </row>
    <row r="6193" spans="4:5" x14ac:dyDescent="0.2">
      <c r="D6193" s="14">
        <v>2021</v>
      </c>
      <c r="E6193" s="13">
        <v>2930512922</v>
      </c>
    </row>
    <row r="6194" spans="4:5" x14ac:dyDescent="0.2">
      <c r="D6194" s="14">
        <v>2022</v>
      </c>
      <c r="E6194" s="13">
        <v>4185251200</v>
      </c>
    </row>
    <row r="6197" spans="4:5" x14ac:dyDescent="0.2">
      <c r="D6197" s="14">
        <v>2015</v>
      </c>
      <c r="E6197" s="30">
        <f>E6187-E6176</f>
        <v>0</v>
      </c>
    </row>
    <row r="6198" spans="4:5" x14ac:dyDescent="0.2">
      <c r="D6198" s="14">
        <v>2016</v>
      </c>
      <c r="E6198" s="30">
        <f t="shared" ref="E6198:E6204" si="1">E6188-E6177</f>
        <v>0</v>
      </c>
    </row>
    <row r="6199" spans="4:5" x14ac:dyDescent="0.2">
      <c r="D6199" s="14">
        <v>2017</v>
      </c>
      <c r="E6199" s="30">
        <f t="shared" si="1"/>
        <v>0</v>
      </c>
    </row>
    <row r="6200" spans="4:5" x14ac:dyDescent="0.2">
      <c r="D6200" s="14">
        <v>2018</v>
      </c>
      <c r="E6200" s="30">
        <f t="shared" si="1"/>
        <v>2</v>
      </c>
    </row>
    <row r="6201" spans="4:5" x14ac:dyDescent="0.2">
      <c r="D6201" s="14">
        <v>2019</v>
      </c>
      <c r="E6201" s="30">
        <f t="shared" si="1"/>
        <v>0</v>
      </c>
    </row>
    <row r="6202" spans="4:5" x14ac:dyDescent="0.2">
      <c r="D6202" s="14">
        <v>2020</v>
      </c>
      <c r="E6202" s="30">
        <f t="shared" si="1"/>
        <v>0</v>
      </c>
    </row>
    <row r="6203" spans="4:5" x14ac:dyDescent="0.2">
      <c r="D6203" s="14">
        <v>2021</v>
      </c>
      <c r="E6203" s="30">
        <f t="shared" si="1"/>
        <v>-2</v>
      </c>
    </row>
    <row r="6204" spans="4:5" x14ac:dyDescent="0.2">
      <c r="D6204" s="14">
        <v>2022</v>
      </c>
      <c r="E6204" s="30">
        <f t="shared" si="1"/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AEAB3-35A6-244A-B96E-D492942A03A4}">
  <sheetPr>
    <tabColor rgb="FFFF0000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81CB4-D69C-4547-BAA3-26B1C59EC5E0}">
  <sheetPr>
    <tabColor rgb="FFFFFF00"/>
  </sheetPr>
  <dimension ref="A1:F12084"/>
  <sheetViews>
    <sheetView topLeftCell="A5946" workbookViewId="0">
      <selection activeCell="C5988" sqref="C5988"/>
    </sheetView>
  </sheetViews>
  <sheetFormatPr baseColWidth="10" defaultRowHeight="19" x14ac:dyDescent="0.25"/>
  <cols>
    <col min="1" max="1" width="15" style="5" bestFit="1" customWidth="1"/>
    <col min="2" max="3" width="10.83203125" style="4"/>
    <col min="4" max="4" width="54.33203125" style="4" bestFit="1" customWidth="1"/>
    <col min="5" max="5" width="19.33203125" style="10" bestFit="1" customWidth="1"/>
    <col min="6" max="6" width="15" style="5" bestFit="1" customWidth="1"/>
  </cols>
  <sheetData>
    <row r="1" spans="1:6" x14ac:dyDescent="0.25">
      <c r="A1" s="5" t="s">
        <v>1384</v>
      </c>
      <c r="B1" s="1" t="s">
        <v>0</v>
      </c>
      <c r="C1" s="1" t="s">
        <v>1388</v>
      </c>
      <c r="D1" s="1" t="s">
        <v>1386</v>
      </c>
      <c r="E1" s="8" t="s">
        <v>1385</v>
      </c>
      <c r="F1" s="5" t="s">
        <v>1384</v>
      </c>
    </row>
    <row r="2" spans="1:6" x14ac:dyDescent="0.25">
      <c r="A2" s="5">
        <v>3400004</v>
      </c>
      <c r="B2" s="1">
        <v>2015</v>
      </c>
      <c r="C2" s="1" t="s">
        <v>1387</v>
      </c>
      <c r="D2" s="1" t="s">
        <v>457</v>
      </c>
      <c r="E2" s="8">
        <v>1450464</v>
      </c>
      <c r="F2" s="5">
        <v>3400004</v>
      </c>
    </row>
    <row r="3" spans="1:6" x14ac:dyDescent="0.25">
      <c r="A3" s="5">
        <v>3400004</v>
      </c>
      <c r="B3" s="1">
        <v>2016</v>
      </c>
      <c r="C3" s="1" t="s">
        <v>1387</v>
      </c>
      <c r="D3" s="1" t="s">
        <v>457</v>
      </c>
      <c r="E3" s="8">
        <v>2229758</v>
      </c>
      <c r="F3" s="5">
        <v>3400004</v>
      </c>
    </row>
    <row r="4" spans="1:6" x14ac:dyDescent="0.25">
      <c r="A4" s="5">
        <v>3400004</v>
      </c>
      <c r="B4" s="1">
        <v>2017</v>
      </c>
      <c r="C4" s="1" t="s">
        <v>1387</v>
      </c>
      <c r="D4" s="1" t="s">
        <v>457</v>
      </c>
      <c r="E4" s="8">
        <v>3144601</v>
      </c>
      <c r="F4" s="5">
        <v>3400004</v>
      </c>
    </row>
    <row r="5" spans="1:6" x14ac:dyDescent="0.25">
      <c r="A5" s="5">
        <v>3400004</v>
      </c>
      <c r="B5" s="1">
        <v>2018</v>
      </c>
      <c r="C5" s="1" t="s">
        <v>1387</v>
      </c>
      <c r="D5" s="1" t="s">
        <v>1149</v>
      </c>
      <c r="E5" s="8">
        <v>4235574</v>
      </c>
      <c r="F5" s="5">
        <v>3400004</v>
      </c>
    </row>
    <row r="6" spans="1:6" x14ac:dyDescent="0.25">
      <c r="A6" s="5">
        <v>3400004</v>
      </c>
      <c r="B6" s="1">
        <v>2019</v>
      </c>
      <c r="C6" s="1" t="s">
        <v>1387</v>
      </c>
      <c r="D6" s="1" t="s">
        <v>1149</v>
      </c>
      <c r="E6" s="8">
        <v>5770794</v>
      </c>
      <c r="F6" s="5">
        <v>3400004</v>
      </c>
    </row>
    <row r="7" spans="1:6" ht="20" x14ac:dyDescent="0.25">
      <c r="A7" s="5">
        <v>3400004</v>
      </c>
      <c r="B7" s="1">
        <v>2020</v>
      </c>
      <c r="C7" s="1" t="s">
        <v>1387</v>
      </c>
      <c r="D7" s="2" t="s">
        <v>1149</v>
      </c>
      <c r="E7" s="7">
        <v>6507034</v>
      </c>
      <c r="F7" s="5">
        <v>3400004</v>
      </c>
    </row>
    <row r="8" spans="1:6" ht="20" x14ac:dyDescent="0.25">
      <c r="A8" s="5">
        <v>3400004</v>
      </c>
      <c r="B8" s="1">
        <v>2021</v>
      </c>
      <c r="C8" s="1" t="s">
        <v>1387</v>
      </c>
      <c r="D8" s="3" t="s">
        <v>1149</v>
      </c>
      <c r="E8" s="7">
        <v>8568430</v>
      </c>
      <c r="F8" s="5">
        <v>3400004</v>
      </c>
    </row>
    <row r="9" spans="1:6" ht="20" x14ac:dyDescent="0.25">
      <c r="A9" s="5">
        <v>3400004</v>
      </c>
      <c r="B9" s="1">
        <v>2022</v>
      </c>
      <c r="C9" s="1" t="s">
        <v>1387</v>
      </c>
      <c r="D9" s="2" t="s">
        <v>1149</v>
      </c>
      <c r="E9" s="7">
        <v>12411774</v>
      </c>
      <c r="F9" s="5">
        <v>3400004</v>
      </c>
    </row>
    <row r="10" spans="1:6" ht="20" x14ac:dyDescent="0.25">
      <c r="A10" s="5">
        <v>3400004</v>
      </c>
      <c r="B10" s="1">
        <v>2023</v>
      </c>
      <c r="C10" s="1" t="s">
        <v>1387</v>
      </c>
      <c r="D10" s="2" t="s">
        <v>1149</v>
      </c>
      <c r="E10" s="7">
        <v>12250414</v>
      </c>
      <c r="F10" s="5">
        <v>3400004</v>
      </c>
    </row>
    <row r="11" spans="1:6" x14ac:dyDescent="0.25">
      <c r="A11" s="5">
        <v>3400005</v>
      </c>
      <c r="B11" s="1">
        <v>2015</v>
      </c>
      <c r="C11" s="1" t="s">
        <v>1387</v>
      </c>
      <c r="D11" s="1" t="s">
        <v>664</v>
      </c>
      <c r="E11" s="8">
        <v>486545</v>
      </c>
      <c r="F11" s="5">
        <v>3400005</v>
      </c>
    </row>
    <row r="12" spans="1:6" x14ac:dyDescent="0.25">
      <c r="A12" s="5">
        <v>3400005</v>
      </c>
      <c r="B12" s="1">
        <v>2016</v>
      </c>
      <c r="C12" s="1" t="s">
        <v>1387</v>
      </c>
      <c r="D12" s="1" t="s">
        <v>664</v>
      </c>
      <c r="E12" s="8">
        <v>605834</v>
      </c>
      <c r="F12" s="5">
        <v>3400005</v>
      </c>
    </row>
    <row r="13" spans="1:6" x14ac:dyDescent="0.25">
      <c r="A13" s="5">
        <v>3400005</v>
      </c>
      <c r="B13" s="1">
        <v>2017</v>
      </c>
      <c r="C13" s="1" t="s">
        <v>1387</v>
      </c>
      <c r="D13" s="1" t="s">
        <v>664</v>
      </c>
      <c r="E13" s="8">
        <v>806220</v>
      </c>
      <c r="F13" s="5">
        <v>3400005</v>
      </c>
    </row>
    <row r="14" spans="1:6" x14ac:dyDescent="0.25">
      <c r="A14" s="5">
        <v>3400005</v>
      </c>
      <c r="B14" s="1">
        <v>2018</v>
      </c>
      <c r="C14" s="1" t="s">
        <v>1387</v>
      </c>
      <c r="D14" s="1" t="s">
        <v>1357</v>
      </c>
      <c r="E14" s="8">
        <v>1071068</v>
      </c>
      <c r="F14" s="5">
        <v>3400005</v>
      </c>
    </row>
    <row r="15" spans="1:6" x14ac:dyDescent="0.25">
      <c r="A15" s="5">
        <v>3400005</v>
      </c>
      <c r="B15" s="1">
        <v>2019</v>
      </c>
      <c r="C15" s="1" t="s">
        <v>1387</v>
      </c>
      <c r="D15" s="1" t="s">
        <v>1357</v>
      </c>
      <c r="E15" s="8">
        <v>1438343</v>
      </c>
      <c r="F15" s="5">
        <v>3400005</v>
      </c>
    </row>
    <row r="16" spans="1:6" ht="20" x14ac:dyDescent="0.25">
      <c r="A16" s="5">
        <v>3400005</v>
      </c>
      <c r="B16" s="1">
        <v>2020</v>
      </c>
      <c r="C16" s="1" t="s">
        <v>1387</v>
      </c>
      <c r="D16" s="2" t="s">
        <v>1357</v>
      </c>
      <c r="E16" s="7">
        <v>1384381</v>
      </c>
      <c r="F16" s="5">
        <v>3400005</v>
      </c>
    </row>
    <row r="17" spans="1:6" ht="20" x14ac:dyDescent="0.25">
      <c r="A17" s="5">
        <v>3400005</v>
      </c>
      <c r="B17" s="1">
        <v>2021</v>
      </c>
      <c r="C17" s="1" t="s">
        <v>1387</v>
      </c>
      <c r="D17" s="3" t="s">
        <v>1357</v>
      </c>
      <c r="E17" s="7">
        <v>1761279</v>
      </c>
      <c r="F17" s="5">
        <v>3400005</v>
      </c>
    </row>
    <row r="18" spans="1:6" ht="20" x14ac:dyDescent="0.25">
      <c r="A18" s="5">
        <v>3400005</v>
      </c>
      <c r="B18" s="1">
        <v>2022</v>
      </c>
      <c r="C18" s="1" t="s">
        <v>1387</v>
      </c>
      <c r="D18" s="2" t="s">
        <v>1357</v>
      </c>
      <c r="E18" s="7">
        <v>2498411</v>
      </c>
      <c r="F18" s="5">
        <v>3400005</v>
      </c>
    </row>
    <row r="19" spans="1:6" ht="20" x14ac:dyDescent="0.25">
      <c r="A19" s="5">
        <v>3400005</v>
      </c>
      <c r="B19" s="1">
        <v>2023</v>
      </c>
      <c r="C19" s="1" t="s">
        <v>1387</v>
      </c>
      <c r="D19" s="2" t="s">
        <v>1357</v>
      </c>
      <c r="E19" s="7">
        <v>2423617</v>
      </c>
      <c r="F19" s="5">
        <v>3400005</v>
      </c>
    </row>
    <row r="20" spans="1:6" x14ac:dyDescent="0.25">
      <c r="A20" s="5">
        <v>3400006</v>
      </c>
      <c r="B20" s="1">
        <v>2015</v>
      </c>
      <c r="C20" s="1" t="s">
        <v>1387</v>
      </c>
      <c r="D20" s="1" t="s">
        <v>3</v>
      </c>
      <c r="E20" s="8">
        <v>421691</v>
      </c>
      <c r="F20" s="5">
        <v>3400006</v>
      </c>
    </row>
    <row r="21" spans="1:6" x14ac:dyDescent="0.25">
      <c r="A21" s="5">
        <v>3400006</v>
      </c>
      <c r="B21" s="1">
        <v>2016</v>
      </c>
      <c r="C21" s="1" t="s">
        <v>1387</v>
      </c>
      <c r="D21" s="1" t="s">
        <v>3</v>
      </c>
      <c r="E21" s="8">
        <v>610676</v>
      </c>
      <c r="F21" s="5">
        <v>3400006</v>
      </c>
    </row>
    <row r="22" spans="1:6" x14ac:dyDescent="0.25">
      <c r="A22" s="5">
        <v>3400006</v>
      </c>
      <c r="B22" s="1">
        <v>2017</v>
      </c>
      <c r="C22" s="1" t="s">
        <v>1387</v>
      </c>
      <c r="D22" s="1" t="s">
        <v>3</v>
      </c>
      <c r="E22" s="8">
        <v>836431</v>
      </c>
      <c r="F22" s="5">
        <v>3400006</v>
      </c>
    </row>
    <row r="23" spans="1:6" x14ac:dyDescent="0.25">
      <c r="A23" s="5">
        <v>3400006</v>
      </c>
      <c r="B23" s="1">
        <v>2018</v>
      </c>
      <c r="C23" s="1" t="s">
        <v>1387</v>
      </c>
      <c r="D23" s="1" t="s">
        <v>682</v>
      </c>
      <c r="E23" s="8">
        <v>1041921</v>
      </c>
      <c r="F23" s="5">
        <v>3400006</v>
      </c>
    </row>
    <row r="24" spans="1:6" x14ac:dyDescent="0.25">
      <c r="A24" s="5">
        <v>3400006</v>
      </c>
      <c r="B24" s="1">
        <v>2019</v>
      </c>
      <c r="C24" s="1" t="s">
        <v>1387</v>
      </c>
      <c r="D24" s="1" t="s">
        <v>682</v>
      </c>
      <c r="E24" s="8">
        <v>1421850</v>
      </c>
      <c r="F24" s="5">
        <v>3400006</v>
      </c>
    </row>
    <row r="25" spans="1:6" ht="20" x14ac:dyDescent="0.25">
      <c r="A25" s="5">
        <v>3400006</v>
      </c>
      <c r="B25" s="1">
        <v>2020</v>
      </c>
      <c r="C25" s="1" t="s">
        <v>1387</v>
      </c>
      <c r="D25" s="2" t="s">
        <v>682</v>
      </c>
      <c r="E25" s="7">
        <v>1562685</v>
      </c>
      <c r="F25" s="5">
        <v>3400006</v>
      </c>
    </row>
    <row r="26" spans="1:6" ht="20" x14ac:dyDescent="0.25">
      <c r="A26" s="5">
        <v>3400006</v>
      </c>
      <c r="B26" s="1">
        <v>2021</v>
      </c>
      <c r="C26" s="1" t="s">
        <v>1387</v>
      </c>
      <c r="D26" s="3" t="s">
        <v>682</v>
      </c>
      <c r="E26" s="7">
        <v>1899855</v>
      </c>
      <c r="F26" s="5">
        <v>3400006</v>
      </c>
    </row>
    <row r="27" spans="1:6" ht="20" x14ac:dyDescent="0.25">
      <c r="A27" s="5">
        <v>3400006</v>
      </c>
      <c r="B27" s="1">
        <v>2022</v>
      </c>
      <c r="C27" s="1" t="s">
        <v>1387</v>
      </c>
      <c r="D27" s="2" t="s">
        <v>682</v>
      </c>
      <c r="E27" s="7">
        <v>2630566</v>
      </c>
      <c r="F27" s="5">
        <v>3400006</v>
      </c>
    </row>
    <row r="28" spans="1:6" ht="20" x14ac:dyDescent="0.25">
      <c r="A28" s="5">
        <v>3400006</v>
      </c>
      <c r="B28" s="1">
        <v>2023</v>
      </c>
      <c r="C28" s="1" t="s">
        <v>1387</v>
      </c>
      <c r="D28" s="2" t="s">
        <v>682</v>
      </c>
      <c r="E28" s="7">
        <v>2510687</v>
      </c>
      <c r="F28" s="5">
        <v>3400006</v>
      </c>
    </row>
    <row r="29" spans="1:6" x14ac:dyDescent="0.25">
      <c r="A29" s="5">
        <v>3400007</v>
      </c>
      <c r="B29" s="1">
        <v>2015</v>
      </c>
      <c r="C29" s="1" t="s">
        <v>1387</v>
      </c>
      <c r="D29" s="1" t="s">
        <v>26</v>
      </c>
      <c r="E29" s="8">
        <v>441087</v>
      </c>
      <c r="F29" s="5">
        <v>3400007</v>
      </c>
    </row>
    <row r="30" spans="1:6" x14ac:dyDescent="0.25">
      <c r="A30" s="5">
        <v>3400007</v>
      </c>
      <c r="B30" s="1">
        <v>2016</v>
      </c>
      <c r="C30" s="1" t="s">
        <v>1387</v>
      </c>
      <c r="D30" s="1" t="s">
        <v>26</v>
      </c>
      <c r="E30" s="8">
        <v>649047</v>
      </c>
      <c r="F30" s="5">
        <v>3400007</v>
      </c>
    </row>
    <row r="31" spans="1:6" x14ac:dyDescent="0.25">
      <c r="A31" s="5">
        <v>3400007</v>
      </c>
      <c r="B31" s="1">
        <v>2017</v>
      </c>
      <c r="C31" s="1" t="s">
        <v>1387</v>
      </c>
      <c r="D31" s="1" t="s">
        <v>26</v>
      </c>
      <c r="E31" s="8">
        <v>997443</v>
      </c>
      <c r="F31" s="5">
        <v>3400007</v>
      </c>
    </row>
    <row r="32" spans="1:6" x14ac:dyDescent="0.25">
      <c r="A32" s="5">
        <v>3400007</v>
      </c>
      <c r="B32" s="1">
        <v>2018</v>
      </c>
      <c r="C32" s="1" t="s">
        <v>1387</v>
      </c>
      <c r="D32" s="1" t="s">
        <v>774</v>
      </c>
      <c r="E32" s="8">
        <v>1464537</v>
      </c>
      <c r="F32" s="5">
        <v>3400007</v>
      </c>
    </row>
    <row r="33" spans="1:6" x14ac:dyDescent="0.25">
      <c r="A33" s="5">
        <v>3400007</v>
      </c>
      <c r="B33" s="1">
        <v>2019</v>
      </c>
      <c r="C33" s="1" t="s">
        <v>1387</v>
      </c>
      <c r="D33" s="1" t="s">
        <v>774</v>
      </c>
      <c r="E33" s="8">
        <v>1964628</v>
      </c>
      <c r="F33" s="5">
        <v>3400007</v>
      </c>
    </row>
    <row r="34" spans="1:6" ht="20" x14ac:dyDescent="0.25">
      <c r="A34" s="5">
        <v>3400007</v>
      </c>
      <c r="B34" s="1">
        <v>2020</v>
      </c>
      <c r="C34" s="1" t="s">
        <v>1387</v>
      </c>
      <c r="D34" s="2" t="s">
        <v>774</v>
      </c>
      <c r="E34" s="7">
        <v>2199240</v>
      </c>
      <c r="F34" s="5">
        <v>3400007</v>
      </c>
    </row>
    <row r="35" spans="1:6" ht="20" x14ac:dyDescent="0.25">
      <c r="A35" s="5">
        <v>3400007</v>
      </c>
      <c r="B35" s="1">
        <v>2021</v>
      </c>
      <c r="C35" s="1" t="s">
        <v>1387</v>
      </c>
      <c r="D35" s="3" t="s">
        <v>774</v>
      </c>
      <c r="E35" s="7">
        <v>2881195</v>
      </c>
      <c r="F35" s="5">
        <v>3400007</v>
      </c>
    </row>
    <row r="36" spans="1:6" ht="20" x14ac:dyDescent="0.25">
      <c r="A36" s="5">
        <v>3400007</v>
      </c>
      <c r="B36" s="1">
        <v>2022</v>
      </c>
      <c r="C36" s="1" t="s">
        <v>1387</v>
      </c>
      <c r="D36" s="2" t="s">
        <v>774</v>
      </c>
      <c r="E36" s="7">
        <v>4334604</v>
      </c>
      <c r="F36" s="5">
        <v>3400007</v>
      </c>
    </row>
    <row r="37" spans="1:6" ht="20" x14ac:dyDescent="0.25">
      <c r="A37" s="5">
        <v>3400007</v>
      </c>
      <c r="B37" s="1">
        <v>2023</v>
      </c>
      <c r="C37" s="1" t="s">
        <v>1387</v>
      </c>
      <c r="D37" s="2" t="s">
        <v>774</v>
      </c>
      <c r="E37" s="7">
        <v>4327162</v>
      </c>
      <c r="F37" s="5">
        <v>3400007</v>
      </c>
    </row>
    <row r="38" spans="1:6" x14ac:dyDescent="0.25">
      <c r="A38" s="5">
        <v>3400008</v>
      </c>
      <c r="B38" s="1">
        <v>2015</v>
      </c>
      <c r="C38" s="1" t="s">
        <v>1387</v>
      </c>
      <c r="D38" s="1" t="s">
        <v>643</v>
      </c>
      <c r="E38" s="8">
        <v>314772</v>
      </c>
      <c r="F38" s="5">
        <v>3400008</v>
      </c>
    </row>
    <row r="39" spans="1:6" x14ac:dyDescent="0.25">
      <c r="A39" s="5">
        <v>3400008</v>
      </c>
      <c r="B39" s="1">
        <v>2016</v>
      </c>
      <c r="C39" s="1" t="s">
        <v>1387</v>
      </c>
      <c r="D39" s="1" t="s">
        <v>643</v>
      </c>
      <c r="E39" s="8">
        <v>447049</v>
      </c>
      <c r="F39" s="5">
        <v>3400008</v>
      </c>
    </row>
    <row r="40" spans="1:6" x14ac:dyDescent="0.25">
      <c r="A40" s="5">
        <v>3400008</v>
      </c>
      <c r="B40" s="1">
        <v>2017</v>
      </c>
      <c r="C40" s="1" t="s">
        <v>1387</v>
      </c>
      <c r="D40" s="1" t="s">
        <v>643</v>
      </c>
      <c r="E40" s="8">
        <v>597858</v>
      </c>
      <c r="F40" s="5">
        <v>3400008</v>
      </c>
    </row>
    <row r="41" spans="1:6" x14ac:dyDescent="0.25">
      <c r="A41" s="5">
        <v>3400008</v>
      </c>
      <c r="B41" s="1">
        <v>2018</v>
      </c>
      <c r="C41" s="1" t="s">
        <v>1387</v>
      </c>
      <c r="D41" s="1" t="s">
        <v>1336</v>
      </c>
      <c r="E41" s="8">
        <v>821527</v>
      </c>
      <c r="F41" s="5">
        <v>3400008</v>
      </c>
    </row>
    <row r="42" spans="1:6" x14ac:dyDescent="0.25">
      <c r="A42" s="5">
        <v>3400008</v>
      </c>
      <c r="B42" s="1">
        <v>2019</v>
      </c>
      <c r="C42" s="1" t="s">
        <v>1387</v>
      </c>
      <c r="D42" s="1" t="s">
        <v>1336</v>
      </c>
      <c r="E42" s="8">
        <v>1116234</v>
      </c>
      <c r="F42" s="5">
        <v>3400008</v>
      </c>
    </row>
    <row r="43" spans="1:6" ht="20" x14ac:dyDescent="0.25">
      <c r="A43" s="5">
        <v>3400008</v>
      </c>
      <c r="B43" s="1">
        <v>2020</v>
      </c>
      <c r="C43" s="1" t="s">
        <v>1387</v>
      </c>
      <c r="D43" s="2" t="s">
        <v>1336</v>
      </c>
      <c r="E43" s="7">
        <v>1235659</v>
      </c>
      <c r="F43" s="5">
        <v>3400008</v>
      </c>
    </row>
    <row r="44" spans="1:6" ht="20" x14ac:dyDescent="0.25">
      <c r="A44" s="5">
        <v>3400008</v>
      </c>
      <c r="B44" s="1">
        <v>2021</v>
      </c>
      <c r="C44" s="1" t="s">
        <v>1387</v>
      </c>
      <c r="D44" s="3" t="s">
        <v>1336</v>
      </c>
      <c r="E44" s="7">
        <v>1500515</v>
      </c>
      <c r="F44" s="5">
        <v>3400008</v>
      </c>
    </row>
    <row r="45" spans="1:6" ht="20" x14ac:dyDescent="0.25">
      <c r="A45" s="5">
        <v>3400008</v>
      </c>
      <c r="B45" s="1">
        <v>2022</v>
      </c>
      <c r="C45" s="1" t="s">
        <v>1387</v>
      </c>
      <c r="D45" s="2" t="s">
        <v>1336</v>
      </c>
      <c r="E45" s="7">
        <v>2011240</v>
      </c>
      <c r="F45" s="5">
        <v>3400008</v>
      </c>
    </row>
    <row r="46" spans="1:6" ht="20" x14ac:dyDescent="0.25">
      <c r="A46" s="5">
        <v>3400008</v>
      </c>
      <c r="B46" s="1">
        <v>2023</v>
      </c>
      <c r="C46" s="1" t="s">
        <v>1387</v>
      </c>
      <c r="D46" s="2" t="s">
        <v>1336</v>
      </c>
      <c r="E46" s="7">
        <v>1777108</v>
      </c>
      <c r="F46" s="5">
        <v>3400008</v>
      </c>
    </row>
    <row r="47" spans="1:6" x14ac:dyDescent="0.25">
      <c r="A47" s="5">
        <v>3400009</v>
      </c>
      <c r="B47" s="1">
        <v>2015</v>
      </c>
      <c r="C47" s="1" t="s">
        <v>1387</v>
      </c>
      <c r="D47" s="1" t="s">
        <v>577</v>
      </c>
      <c r="E47" s="8">
        <v>834949</v>
      </c>
      <c r="F47" s="5">
        <v>3400009</v>
      </c>
    </row>
    <row r="48" spans="1:6" x14ac:dyDescent="0.25">
      <c r="A48" s="5">
        <v>3400009</v>
      </c>
      <c r="B48" s="1">
        <v>2016</v>
      </c>
      <c r="C48" s="1" t="s">
        <v>1387</v>
      </c>
      <c r="D48" s="1" t="s">
        <v>577</v>
      </c>
      <c r="E48" s="8">
        <v>1213563</v>
      </c>
      <c r="F48" s="5">
        <v>3400009</v>
      </c>
    </row>
    <row r="49" spans="1:6" x14ac:dyDescent="0.25">
      <c r="A49" s="5">
        <v>3400009</v>
      </c>
      <c r="B49" s="1">
        <v>2017</v>
      </c>
      <c r="C49" s="1" t="s">
        <v>1387</v>
      </c>
      <c r="D49" s="1" t="s">
        <v>577</v>
      </c>
      <c r="E49" s="8">
        <v>1686637</v>
      </c>
      <c r="F49" s="5">
        <v>3400009</v>
      </c>
    </row>
    <row r="50" spans="1:6" x14ac:dyDescent="0.25">
      <c r="A50" s="5">
        <v>3400009</v>
      </c>
      <c r="B50" s="1">
        <v>2018</v>
      </c>
      <c r="C50" s="1" t="s">
        <v>1387</v>
      </c>
      <c r="D50" s="1" t="s">
        <v>1269</v>
      </c>
      <c r="E50" s="8">
        <v>2273621</v>
      </c>
      <c r="F50" s="5">
        <v>3400009</v>
      </c>
    </row>
    <row r="51" spans="1:6" x14ac:dyDescent="0.25">
      <c r="A51" s="5">
        <v>3400009</v>
      </c>
      <c r="B51" s="1">
        <v>2019</v>
      </c>
      <c r="C51" s="1" t="s">
        <v>1387</v>
      </c>
      <c r="D51" s="1" t="s">
        <v>1269</v>
      </c>
      <c r="E51" s="8">
        <v>3028444</v>
      </c>
      <c r="F51" s="5">
        <v>3400009</v>
      </c>
    </row>
    <row r="52" spans="1:6" ht="20" x14ac:dyDescent="0.25">
      <c r="A52" s="5">
        <v>3400009</v>
      </c>
      <c r="B52" s="1">
        <v>2020</v>
      </c>
      <c r="C52" s="1" t="s">
        <v>1387</v>
      </c>
      <c r="D52" s="2" t="s">
        <v>1269</v>
      </c>
      <c r="E52" s="7">
        <v>3476476</v>
      </c>
      <c r="F52" s="5">
        <v>3400009</v>
      </c>
    </row>
    <row r="53" spans="1:6" ht="20" x14ac:dyDescent="0.25">
      <c r="A53" s="5">
        <v>3400009</v>
      </c>
      <c r="B53" s="1">
        <v>2021</v>
      </c>
      <c r="C53" s="1" t="s">
        <v>1387</v>
      </c>
      <c r="D53" s="3" t="s">
        <v>1269</v>
      </c>
      <c r="E53" s="7">
        <v>4328495</v>
      </c>
      <c r="F53" s="5">
        <v>3400009</v>
      </c>
    </row>
    <row r="54" spans="1:6" ht="20" x14ac:dyDescent="0.25">
      <c r="A54" s="5">
        <v>3400009</v>
      </c>
      <c r="B54" s="1">
        <v>2022</v>
      </c>
      <c r="C54" s="1" t="s">
        <v>1387</v>
      </c>
      <c r="D54" s="2" t="s">
        <v>1269</v>
      </c>
      <c r="E54" s="7">
        <v>6361661</v>
      </c>
      <c r="F54" s="5">
        <v>3400009</v>
      </c>
    </row>
    <row r="55" spans="1:6" ht="20" x14ac:dyDescent="0.25">
      <c r="A55" s="5">
        <v>3400009</v>
      </c>
      <c r="B55" s="1">
        <v>2023</v>
      </c>
      <c r="C55" s="1" t="s">
        <v>1387</v>
      </c>
      <c r="D55" s="2" t="s">
        <v>1269</v>
      </c>
      <c r="E55" s="7">
        <v>6205942</v>
      </c>
      <c r="F55" s="5">
        <v>3400009</v>
      </c>
    </row>
    <row r="56" spans="1:6" x14ac:dyDescent="0.25">
      <c r="A56" s="5">
        <v>3400014</v>
      </c>
      <c r="B56" s="1">
        <v>2015</v>
      </c>
      <c r="C56" s="1" t="s">
        <v>1387</v>
      </c>
      <c r="D56" s="1" t="s">
        <v>47</v>
      </c>
      <c r="E56" s="8">
        <v>79221</v>
      </c>
      <c r="F56" s="5">
        <v>3400014</v>
      </c>
    </row>
    <row r="57" spans="1:6" x14ac:dyDescent="0.25">
      <c r="A57" s="5">
        <v>3400014</v>
      </c>
      <c r="B57" s="1">
        <v>2016</v>
      </c>
      <c r="C57" s="1" t="s">
        <v>1387</v>
      </c>
      <c r="D57" s="1" t="s">
        <v>47</v>
      </c>
      <c r="E57" s="8">
        <v>59959</v>
      </c>
      <c r="F57" s="5">
        <v>3400014</v>
      </c>
    </row>
    <row r="58" spans="1:6" x14ac:dyDescent="0.25">
      <c r="A58" s="5">
        <v>3400014</v>
      </c>
      <c r="B58" s="1">
        <v>2017</v>
      </c>
      <c r="C58" s="1" t="s">
        <v>1387</v>
      </c>
      <c r="D58" s="1" t="s">
        <v>47</v>
      </c>
      <c r="E58" s="8">
        <v>183606</v>
      </c>
      <c r="F58" s="5">
        <v>3400014</v>
      </c>
    </row>
    <row r="59" spans="1:6" x14ac:dyDescent="0.25">
      <c r="A59" s="5">
        <v>3400014</v>
      </c>
      <c r="B59" s="1">
        <v>2018</v>
      </c>
      <c r="C59" s="1" t="s">
        <v>1387</v>
      </c>
      <c r="D59" s="1" t="s">
        <v>725</v>
      </c>
      <c r="E59" s="8">
        <v>256545</v>
      </c>
      <c r="F59" s="5">
        <v>3400014</v>
      </c>
    </row>
    <row r="60" spans="1:6" x14ac:dyDescent="0.25">
      <c r="A60" s="5">
        <v>3400014</v>
      </c>
      <c r="B60" s="1">
        <v>2019</v>
      </c>
      <c r="C60" s="1" t="s">
        <v>1387</v>
      </c>
      <c r="D60" s="1" t="s">
        <v>725</v>
      </c>
      <c r="E60" s="8">
        <v>357040</v>
      </c>
      <c r="F60" s="5">
        <v>3400014</v>
      </c>
    </row>
    <row r="61" spans="1:6" ht="20" x14ac:dyDescent="0.25">
      <c r="A61" s="5">
        <v>3400014</v>
      </c>
      <c r="B61" s="1">
        <v>2020</v>
      </c>
      <c r="C61" s="1" t="s">
        <v>1387</v>
      </c>
      <c r="D61" s="2" t="s">
        <v>725</v>
      </c>
      <c r="E61" s="7">
        <v>432371</v>
      </c>
      <c r="F61" s="5">
        <v>3400014</v>
      </c>
    </row>
    <row r="62" spans="1:6" ht="20" x14ac:dyDescent="0.25">
      <c r="A62" s="5">
        <v>3400014</v>
      </c>
      <c r="B62" s="1">
        <v>2021</v>
      </c>
      <c r="C62" s="1" t="s">
        <v>1387</v>
      </c>
      <c r="D62" s="3" t="s">
        <v>725</v>
      </c>
      <c r="E62" s="7">
        <v>619484</v>
      </c>
      <c r="F62" s="5">
        <v>3400014</v>
      </c>
    </row>
    <row r="63" spans="1:6" ht="20" x14ac:dyDescent="0.25">
      <c r="A63" s="5">
        <v>3400014</v>
      </c>
      <c r="B63" s="1">
        <v>2022</v>
      </c>
      <c r="C63" s="1" t="s">
        <v>1387</v>
      </c>
      <c r="D63" s="2" t="s">
        <v>725</v>
      </c>
      <c r="E63" s="7">
        <v>846945</v>
      </c>
      <c r="F63" s="5">
        <v>3400014</v>
      </c>
    </row>
    <row r="64" spans="1:6" ht="20" x14ac:dyDescent="0.25">
      <c r="A64" s="5">
        <v>3400014</v>
      </c>
      <c r="B64" s="1">
        <v>2023</v>
      </c>
      <c r="C64" s="1" t="s">
        <v>1387</v>
      </c>
      <c r="D64" s="2" t="s">
        <v>725</v>
      </c>
      <c r="E64" s="7">
        <v>828132</v>
      </c>
      <c r="F64" s="5">
        <v>3400014</v>
      </c>
    </row>
    <row r="65" spans="1:6" x14ac:dyDescent="0.25">
      <c r="A65" s="5">
        <v>3400015</v>
      </c>
      <c r="B65" s="1">
        <v>2015</v>
      </c>
      <c r="C65" s="1" t="s">
        <v>1387</v>
      </c>
      <c r="D65" s="1" t="s">
        <v>97</v>
      </c>
      <c r="E65" s="8">
        <v>98738</v>
      </c>
      <c r="F65" s="5">
        <v>3400015</v>
      </c>
    </row>
    <row r="66" spans="1:6" x14ac:dyDescent="0.25">
      <c r="A66" s="5">
        <v>3400015</v>
      </c>
      <c r="B66" s="1">
        <v>2016</v>
      </c>
      <c r="C66" s="1" t="s">
        <v>1387</v>
      </c>
      <c r="D66" s="1" t="s">
        <v>97</v>
      </c>
      <c r="E66" s="8">
        <v>139506</v>
      </c>
      <c r="F66" s="5">
        <v>3400015</v>
      </c>
    </row>
    <row r="67" spans="1:6" x14ac:dyDescent="0.25">
      <c r="A67" s="5">
        <v>3400015</v>
      </c>
      <c r="B67" s="1">
        <v>2017</v>
      </c>
      <c r="C67" s="1" t="s">
        <v>1387</v>
      </c>
      <c r="D67" s="1" t="s">
        <v>97</v>
      </c>
      <c r="E67" s="8">
        <v>228867</v>
      </c>
      <c r="F67" s="5">
        <v>3400015</v>
      </c>
    </row>
    <row r="68" spans="1:6" x14ac:dyDescent="0.25">
      <c r="A68" s="5">
        <v>3400015</v>
      </c>
      <c r="B68" s="1">
        <v>2018</v>
      </c>
      <c r="C68" s="1" t="s">
        <v>1387</v>
      </c>
      <c r="D68" s="1" t="s">
        <v>777</v>
      </c>
      <c r="E68" s="8">
        <v>284542</v>
      </c>
      <c r="F68" s="5">
        <v>3400015</v>
      </c>
    </row>
    <row r="69" spans="1:6" x14ac:dyDescent="0.25">
      <c r="A69" s="5">
        <v>3400015</v>
      </c>
      <c r="B69" s="1">
        <v>2019</v>
      </c>
      <c r="C69" s="1" t="s">
        <v>1387</v>
      </c>
      <c r="D69" s="1" t="s">
        <v>777</v>
      </c>
      <c r="E69" s="8">
        <v>415415</v>
      </c>
      <c r="F69" s="5">
        <v>3400015</v>
      </c>
    </row>
    <row r="70" spans="1:6" ht="20" x14ac:dyDescent="0.25">
      <c r="A70" s="5">
        <v>3400015</v>
      </c>
      <c r="B70" s="1">
        <v>2020</v>
      </c>
      <c r="C70" s="1" t="s">
        <v>1387</v>
      </c>
      <c r="D70" s="2" t="s">
        <v>777</v>
      </c>
      <c r="E70" s="7">
        <v>467044</v>
      </c>
      <c r="F70" s="5">
        <v>3400015</v>
      </c>
    </row>
    <row r="71" spans="1:6" ht="20" x14ac:dyDescent="0.25">
      <c r="A71" s="5">
        <v>3400015</v>
      </c>
      <c r="B71" s="1">
        <v>2021</v>
      </c>
      <c r="C71" s="1" t="s">
        <v>1387</v>
      </c>
      <c r="D71" s="3" t="s">
        <v>777</v>
      </c>
      <c r="E71" s="7">
        <v>619779</v>
      </c>
      <c r="F71" s="5">
        <v>3400015</v>
      </c>
    </row>
    <row r="72" spans="1:6" ht="20" x14ac:dyDescent="0.25">
      <c r="A72" s="5">
        <v>3400015</v>
      </c>
      <c r="B72" s="1">
        <v>2022</v>
      </c>
      <c r="C72" s="1" t="s">
        <v>1387</v>
      </c>
      <c r="D72" s="2" t="s">
        <v>777</v>
      </c>
      <c r="E72" s="7">
        <v>937153</v>
      </c>
      <c r="F72" s="5">
        <v>3400015</v>
      </c>
    </row>
    <row r="73" spans="1:6" ht="20" x14ac:dyDescent="0.25">
      <c r="A73" s="5">
        <v>3400015</v>
      </c>
      <c r="B73" s="1">
        <v>2023</v>
      </c>
      <c r="C73" s="1" t="s">
        <v>1387</v>
      </c>
      <c r="D73" s="2" t="s">
        <v>777</v>
      </c>
      <c r="E73" s="7">
        <v>981542</v>
      </c>
      <c r="F73" s="5">
        <v>3400015</v>
      </c>
    </row>
    <row r="74" spans="1:6" x14ac:dyDescent="0.25">
      <c r="A74" s="5">
        <v>3400019</v>
      </c>
      <c r="B74" s="1">
        <v>2015</v>
      </c>
      <c r="C74" s="1" t="s">
        <v>1387</v>
      </c>
      <c r="D74" s="1" t="s">
        <v>199</v>
      </c>
      <c r="E74" s="8">
        <v>101183</v>
      </c>
      <c r="F74" s="5">
        <v>3400019</v>
      </c>
    </row>
    <row r="75" spans="1:6" x14ac:dyDescent="0.25">
      <c r="A75" s="5">
        <v>3400019</v>
      </c>
      <c r="B75" s="1">
        <v>2016</v>
      </c>
      <c r="C75" s="1" t="s">
        <v>1387</v>
      </c>
      <c r="D75" s="1" t="s">
        <v>199</v>
      </c>
      <c r="E75" s="8">
        <v>166547</v>
      </c>
      <c r="F75" s="5">
        <v>3400019</v>
      </c>
    </row>
    <row r="76" spans="1:6" x14ac:dyDescent="0.25">
      <c r="A76" s="5">
        <v>3400019</v>
      </c>
      <c r="B76" s="1">
        <v>2017</v>
      </c>
      <c r="C76" s="1" t="s">
        <v>1387</v>
      </c>
      <c r="D76" s="1" t="s">
        <v>199</v>
      </c>
      <c r="E76" s="8">
        <v>272662</v>
      </c>
      <c r="F76" s="5">
        <v>3400019</v>
      </c>
    </row>
    <row r="77" spans="1:6" x14ac:dyDescent="0.25">
      <c r="A77" s="5">
        <v>3400019</v>
      </c>
      <c r="B77" s="1">
        <v>2018</v>
      </c>
      <c r="C77" s="1" t="s">
        <v>1387</v>
      </c>
      <c r="D77" s="1" t="s">
        <v>883</v>
      </c>
      <c r="E77" s="8">
        <v>400678</v>
      </c>
      <c r="F77" s="5">
        <v>3400019</v>
      </c>
    </row>
    <row r="78" spans="1:6" x14ac:dyDescent="0.25">
      <c r="A78" s="5">
        <v>3400019</v>
      </c>
      <c r="B78" s="1">
        <v>2019</v>
      </c>
      <c r="C78" s="1" t="s">
        <v>1387</v>
      </c>
      <c r="D78" s="1" t="s">
        <v>883</v>
      </c>
      <c r="E78" s="8">
        <v>519466</v>
      </c>
      <c r="F78" s="5">
        <v>3400019</v>
      </c>
    </row>
    <row r="79" spans="1:6" ht="20" x14ac:dyDescent="0.25">
      <c r="A79" s="5">
        <v>3400019</v>
      </c>
      <c r="B79" s="1">
        <v>2020</v>
      </c>
      <c r="C79" s="1" t="s">
        <v>1387</v>
      </c>
      <c r="D79" s="2" t="s">
        <v>883</v>
      </c>
      <c r="E79" s="7">
        <v>614093</v>
      </c>
      <c r="F79" s="5">
        <v>3400019</v>
      </c>
    </row>
    <row r="80" spans="1:6" ht="20" x14ac:dyDescent="0.25">
      <c r="A80" s="5">
        <v>3400019</v>
      </c>
      <c r="B80" s="1">
        <v>2021</v>
      </c>
      <c r="C80" s="1" t="s">
        <v>1387</v>
      </c>
      <c r="D80" s="3" t="s">
        <v>883</v>
      </c>
      <c r="E80" s="7">
        <v>783084</v>
      </c>
      <c r="F80" s="5">
        <v>3400019</v>
      </c>
    </row>
    <row r="81" spans="1:6" ht="20" x14ac:dyDescent="0.25">
      <c r="A81" s="5">
        <v>3400019</v>
      </c>
      <c r="B81" s="1">
        <v>2022</v>
      </c>
      <c r="C81" s="1" t="s">
        <v>1387</v>
      </c>
      <c r="D81" s="2" t="s">
        <v>883</v>
      </c>
      <c r="E81" s="7">
        <v>1208472</v>
      </c>
      <c r="F81" s="5">
        <v>3400019</v>
      </c>
    </row>
    <row r="82" spans="1:6" ht="20" x14ac:dyDescent="0.25">
      <c r="A82" s="5">
        <v>3400019</v>
      </c>
      <c r="B82" s="1">
        <v>2023</v>
      </c>
      <c r="C82" s="1" t="s">
        <v>1387</v>
      </c>
      <c r="D82" s="2" t="s">
        <v>883</v>
      </c>
      <c r="E82" s="7">
        <v>1167257</v>
      </c>
      <c r="F82" s="5">
        <v>3400019</v>
      </c>
    </row>
    <row r="83" spans="1:6" x14ac:dyDescent="0.25">
      <c r="A83" s="5">
        <v>3400020</v>
      </c>
      <c r="B83" s="1">
        <v>2015</v>
      </c>
      <c r="C83" s="1" t="s">
        <v>1387</v>
      </c>
      <c r="D83" s="1" t="s">
        <v>234</v>
      </c>
      <c r="E83" s="8">
        <v>15363</v>
      </c>
      <c r="F83" s="5">
        <v>3400020</v>
      </c>
    </row>
    <row r="84" spans="1:6" x14ac:dyDescent="0.25">
      <c r="A84" s="5">
        <v>3400020</v>
      </c>
      <c r="B84" s="1">
        <v>2016</v>
      </c>
      <c r="C84" s="1" t="s">
        <v>1387</v>
      </c>
      <c r="D84" s="1" t="s">
        <v>234</v>
      </c>
      <c r="E84" s="8">
        <v>37656</v>
      </c>
      <c r="F84" s="5">
        <v>3400020</v>
      </c>
    </row>
    <row r="85" spans="1:6" x14ac:dyDescent="0.25">
      <c r="A85" s="5">
        <v>3400020</v>
      </c>
      <c r="B85" s="1">
        <v>2017</v>
      </c>
      <c r="C85" s="1" t="s">
        <v>1387</v>
      </c>
      <c r="D85" s="1" t="s">
        <v>234</v>
      </c>
      <c r="E85" s="8">
        <v>36281</v>
      </c>
      <c r="F85" s="5">
        <v>3400020</v>
      </c>
    </row>
    <row r="86" spans="1:6" x14ac:dyDescent="0.25">
      <c r="A86" s="5">
        <v>3400020</v>
      </c>
      <c r="B86" s="1">
        <v>2018</v>
      </c>
      <c r="C86" s="1" t="s">
        <v>1387</v>
      </c>
      <c r="D86" s="1" t="s">
        <v>920</v>
      </c>
      <c r="E86" s="8">
        <v>59750</v>
      </c>
      <c r="F86" s="5">
        <v>3400020</v>
      </c>
    </row>
    <row r="87" spans="1:6" x14ac:dyDescent="0.25">
      <c r="A87" s="5">
        <v>3400020</v>
      </c>
      <c r="B87" s="1">
        <v>2019</v>
      </c>
      <c r="C87" s="1" t="s">
        <v>1387</v>
      </c>
      <c r="D87" s="1" t="s">
        <v>920</v>
      </c>
      <c r="E87" s="8">
        <v>98403</v>
      </c>
      <c r="F87" s="5">
        <v>3400020</v>
      </c>
    </row>
    <row r="88" spans="1:6" ht="20" x14ac:dyDescent="0.25">
      <c r="A88" s="5">
        <v>3400020</v>
      </c>
      <c r="B88" s="1">
        <v>2020</v>
      </c>
      <c r="C88" s="1" t="s">
        <v>1387</v>
      </c>
      <c r="D88" s="2" t="s">
        <v>920</v>
      </c>
      <c r="E88" s="7">
        <v>125528</v>
      </c>
      <c r="F88" s="5">
        <v>3400020</v>
      </c>
    </row>
    <row r="89" spans="1:6" ht="20" x14ac:dyDescent="0.25">
      <c r="A89" s="5">
        <v>3400020</v>
      </c>
      <c r="B89" s="1">
        <v>2021</v>
      </c>
      <c r="C89" s="1" t="s">
        <v>1387</v>
      </c>
      <c r="D89" s="3" t="s">
        <v>920</v>
      </c>
      <c r="E89" s="7">
        <v>160588</v>
      </c>
      <c r="F89" s="5">
        <v>3400020</v>
      </c>
    </row>
    <row r="90" spans="1:6" ht="20" x14ac:dyDescent="0.25">
      <c r="A90" s="5">
        <v>3400020</v>
      </c>
      <c r="B90" s="1">
        <v>2022</v>
      </c>
      <c r="C90" s="1" t="s">
        <v>1387</v>
      </c>
      <c r="D90" s="2" t="s">
        <v>920</v>
      </c>
      <c r="E90" s="7">
        <v>155937</v>
      </c>
      <c r="F90" s="5">
        <v>3400020</v>
      </c>
    </row>
    <row r="91" spans="1:6" ht="20" x14ac:dyDescent="0.25">
      <c r="A91" s="5">
        <v>3400020</v>
      </c>
      <c r="B91" s="1">
        <v>2023</v>
      </c>
      <c r="C91" s="1" t="s">
        <v>1387</v>
      </c>
      <c r="D91" s="2" t="s">
        <v>920</v>
      </c>
      <c r="E91" s="7">
        <v>160276</v>
      </c>
      <c r="F91" s="5">
        <v>3400020</v>
      </c>
    </row>
    <row r="92" spans="1:6" x14ac:dyDescent="0.25">
      <c r="A92" s="5">
        <v>3400021</v>
      </c>
      <c r="B92" s="1">
        <v>2015</v>
      </c>
      <c r="C92" s="1" t="s">
        <v>1387</v>
      </c>
      <c r="D92" s="1" t="s">
        <v>235</v>
      </c>
      <c r="E92" s="8">
        <v>128697</v>
      </c>
      <c r="F92" s="5">
        <v>3400021</v>
      </c>
    </row>
    <row r="93" spans="1:6" x14ac:dyDescent="0.25">
      <c r="A93" s="5">
        <v>3400021</v>
      </c>
      <c r="B93" s="1">
        <v>2016</v>
      </c>
      <c r="C93" s="1" t="s">
        <v>1387</v>
      </c>
      <c r="D93" s="1" t="s">
        <v>235</v>
      </c>
      <c r="E93" s="8">
        <v>216759</v>
      </c>
      <c r="F93" s="5">
        <v>3400021</v>
      </c>
    </row>
    <row r="94" spans="1:6" x14ac:dyDescent="0.25">
      <c r="A94" s="5">
        <v>3400021</v>
      </c>
      <c r="B94" s="1">
        <v>2017</v>
      </c>
      <c r="C94" s="1" t="s">
        <v>1387</v>
      </c>
      <c r="D94" s="1" t="s">
        <v>235</v>
      </c>
      <c r="E94" s="8">
        <v>310138</v>
      </c>
      <c r="F94" s="5">
        <v>3400021</v>
      </c>
    </row>
    <row r="95" spans="1:6" x14ac:dyDescent="0.25">
      <c r="A95" s="5">
        <v>3400021</v>
      </c>
      <c r="B95" s="1">
        <v>2018</v>
      </c>
      <c r="C95" s="1" t="s">
        <v>1387</v>
      </c>
      <c r="D95" s="1" t="s">
        <v>921</v>
      </c>
      <c r="E95" s="8">
        <v>397456</v>
      </c>
      <c r="F95" s="5">
        <v>3400021</v>
      </c>
    </row>
    <row r="96" spans="1:6" x14ac:dyDescent="0.25">
      <c r="A96" s="5">
        <v>3400021</v>
      </c>
      <c r="B96" s="1">
        <v>2019</v>
      </c>
      <c r="C96" s="1" t="s">
        <v>1387</v>
      </c>
      <c r="D96" s="1" t="s">
        <v>921</v>
      </c>
      <c r="E96" s="8">
        <v>433741</v>
      </c>
      <c r="F96" s="5">
        <v>3400021</v>
      </c>
    </row>
    <row r="97" spans="1:6" ht="20" x14ac:dyDescent="0.25">
      <c r="A97" s="5">
        <v>3400021</v>
      </c>
      <c r="B97" s="1">
        <v>2020</v>
      </c>
      <c r="C97" s="1" t="s">
        <v>1387</v>
      </c>
      <c r="D97" s="2" t="s">
        <v>921</v>
      </c>
      <c r="E97" s="7">
        <v>500347</v>
      </c>
      <c r="F97" s="5">
        <v>3400021</v>
      </c>
    </row>
    <row r="98" spans="1:6" ht="20" x14ac:dyDescent="0.25">
      <c r="A98" s="5">
        <v>3400021</v>
      </c>
      <c r="B98" s="1">
        <v>2021</v>
      </c>
      <c r="C98" s="1" t="s">
        <v>1387</v>
      </c>
      <c r="D98" s="3" t="s">
        <v>921</v>
      </c>
      <c r="E98" s="7">
        <v>530882</v>
      </c>
      <c r="F98" s="5">
        <v>3400021</v>
      </c>
    </row>
    <row r="99" spans="1:6" ht="20" x14ac:dyDescent="0.25">
      <c r="A99" s="5">
        <v>3400021</v>
      </c>
      <c r="B99" s="1">
        <v>2022</v>
      </c>
      <c r="C99" s="1" t="s">
        <v>1387</v>
      </c>
      <c r="D99" s="2" t="s">
        <v>921</v>
      </c>
      <c r="E99" s="7">
        <v>731990</v>
      </c>
      <c r="F99" s="5">
        <v>3400021</v>
      </c>
    </row>
    <row r="100" spans="1:6" ht="20" x14ac:dyDescent="0.25">
      <c r="A100" s="5">
        <v>3400021</v>
      </c>
      <c r="B100" s="1">
        <v>2023</v>
      </c>
      <c r="C100" s="1" t="s">
        <v>1387</v>
      </c>
      <c r="D100" s="2" t="s">
        <v>921</v>
      </c>
      <c r="E100" s="7">
        <v>843628</v>
      </c>
      <c r="F100" s="5">
        <v>3400021</v>
      </c>
    </row>
    <row r="101" spans="1:6" x14ac:dyDescent="0.25">
      <c r="A101" s="5">
        <v>3400022</v>
      </c>
      <c r="B101" s="1">
        <v>2015</v>
      </c>
      <c r="C101" s="1" t="s">
        <v>1387</v>
      </c>
      <c r="D101" s="1" t="s">
        <v>248</v>
      </c>
      <c r="E101" s="8">
        <v>171674</v>
      </c>
      <c r="F101" s="5">
        <v>3400022</v>
      </c>
    </row>
    <row r="102" spans="1:6" x14ac:dyDescent="0.25">
      <c r="A102" s="5">
        <v>3400022</v>
      </c>
      <c r="B102" s="1">
        <v>2016</v>
      </c>
      <c r="C102" s="1" t="s">
        <v>1387</v>
      </c>
      <c r="D102" s="1" t="s">
        <v>248</v>
      </c>
      <c r="E102" s="8">
        <v>256725</v>
      </c>
      <c r="F102" s="5">
        <v>3400022</v>
      </c>
    </row>
    <row r="103" spans="1:6" x14ac:dyDescent="0.25">
      <c r="A103" s="5">
        <v>3400022</v>
      </c>
      <c r="B103" s="1">
        <v>2017</v>
      </c>
      <c r="C103" s="1" t="s">
        <v>1387</v>
      </c>
      <c r="D103" s="1" t="s">
        <v>248</v>
      </c>
      <c r="E103" s="8">
        <v>496439</v>
      </c>
      <c r="F103" s="5">
        <v>3400022</v>
      </c>
    </row>
    <row r="104" spans="1:6" x14ac:dyDescent="0.25">
      <c r="A104" s="5">
        <v>3400022</v>
      </c>
      <c r="B104" s="1">
        <v>2018</v>
      </c>
      <c r="C104" s="1" t="s">
        <v>1387</v>
      </c>
      <c r="D104" s="1" t="s">
        <v>935</v>
      </c>
      <c r="E104" s="8">
        <v>859352</v>
      </c>
      <c r="F104" s="5">
        <v>3400022</v>
      </c>
    </row>
    <row r="105" spans="1:6" x14ac:dyDescent="0.25">
      <c r="A105" s="5">
        <v>3400022</v>
      </c>
      <c r="B105" s="1">
        <v>2019</v>
      </c>
      <c r="C105" s="1" t="s">
        <v>1387</v>
      </c>
      <c r="D105" s="1" t="s">
        <v>935</v>
      </c>
      <c r="E105" s="8">
        <v>1447234</v>
      </c>
      <c r="F105" s="5">
        <v>3400022</v>
      </c>
    </row>
    <row r="106" spans="1:6" ht="20" x14ac:dyDescent="0.25">
      <c r="A106" s="5">
        <v>3400022</v>
      </c>
      <c r="B106" s="1">
        <v>2020</v>
      </c>
      <c r="C106" s="1" t="s">
        <v>1387</v>
      </c>
      <c r="D106" s="2" t="s">
        <v>935</v>
      </c>
      <c r="E106" s="7">
        <v>1970522</v>
      </c>
      <c r="F106" s="5">
        <v>3400022</v>
      </c>
    </row>
    <row r="107" spans="1:6" ht="20" x14ac:dyDescent="0.25">
      <c r="A107" s="5">
        <v>3400022</v>
      </c>
      <c r="B107" s="1">
        <v>2021</v>
      </c>
      <c r="C107" s="1" t="s">
        <v>1387</v>
      </c>
      <c r="D107" s="3" t="s">
        <v>935</v>
      </c>
      <c r="E107" s="7">
        <v>2201874</v>
      </c>
      <c r="F107" s="5">
        <v>3400022</v>
      </c>
    </row>
    <row r="108" spans="1:6" ht="20" x14ac:dyDescent="0.25">
      <c r="A108" s="5">
        <v>3400022</v>
      </c>
      <c r="B108" s="1">
        <v>2022</v>
      </c>
      <c r="C108" s="1" t="s">
        <v>1387</v>
      </c>
      <c r="D108" s="2" t="s">
        <v>935</v>
      </c>
      <c r="E108" s="7">
        <v>3203008</v>
      </c>
      <c r="F108" s="5">
        <v>3400022</v>
      </c>
    </row>
    <row r="109" spans="1:6" ht="20" x14ac:dyDescent="0.25">
      <c r="A109" s="5">
        <v>3400022</v>
      </c>
      <c r="B109" s="1">
        <v>2023</v>
      </c>
      <c r="C109" s="1" t="s">
        <v>1387</v>
      </c>
      <c r="D109" s="2" t="s">
        <v>935</v>
      </c>
      <c r="E109" s="7">
        <v>3376140</v>
      </c>
      <c r="F109" s="5">
        <v>3400022</v>
      </c>
    </row>
    <row r="110" spans="1:6" x14ac:dyDescent="0.25">
      <c r="A110" s="5">
        <v>3400023</v>
      </c>
      <c r="B110" s="1">
        <v>2015</v>
      </c>
      <c r="C110" s="1" t="s">
        <v>1387</v>
      </c>
      <c r="D110" s="1" t="s">
        <v>251</v>
      </c>
      <c r="E110" s="8">
        <v>131566</v>
      </c>
      <c r="F110" s="5">
        <v>3400023</v>
      </c>
    </row>
    <row r="111" spans="1:6" x14ac:dyDescent="0.25">
      <c r="A111" s="5">
        <v>3400023</v>
      </c>
      <c r="B111" s="1">
        <v>2016</v>
      </c>
      <c r="C111" s="1" t="s">
        <v>1387</v>
      </c>
      <c r="D111" s="1" t="s">
        <v>251</v>
      </c>
      <c r="E111" s="8">
        <v>184610</v>
      </c>
      <c r="F111" s="5">
        <v>3400023</v>
      </c>
    </row>
    <row r="112" spans="1:6" x14ac:dyDescent="0.25">
      <c r="A112" s="5">
        <v>3400023</v>
      </c>
      <c r="B112" s="1">
        <v>2017</v>
      </c>
      <c r="C112" s="1" t="s">
        <v>1387</v>
      </c>
      <c r="D112" s="1" t="s">
        <v>251</v>
      </c>
      <c r="E112" s="8">
        <v>310060</v>
      </c>
      <c r="F112" s="5">
        <v>3400023</v>
      </c>
    </row>
    <row r="113" spans="1:6" x14ac:dyDescent="0.25">
      <c r="A113" s="5">
        <v>3400023</v>
      </c>
      <c r="B113" s="1">
        <v>2018</v>
      </c>
      <c r="C113" s="1" t="s">
        <v>1387</v>
      </c>
      <c r="D113" s="1" t="s">
        <v>939</v>
      </c>
      <c r="E113" s="8">
        <v>368698</v>
      </c>
      <c r="F113" s="5">
        <v>3400023</v>
      </c>
    </row>
    <row r="114" spans="1:6" x14ac:dyDescent="0.25">
      <c r="A114" s="5">
        <v>3400023</v>
      </c>
      <c r="B114" s="1">
        <v>2019</v>
      </c>
      <c r="C114" s="1" t="s">
        <v>1387</v>
      </c>
      <c r="D114" s="1" t="s">
        <v>939</v>
      </c>
      <c r="E114" s="8">
        <v>544145</v>
      </c>
      <c r="F114" s="5">
        <v>3400023</v>
      </c>
    </row>
    <row r="115" spans="1:6" ht="20" x14ac:dyDescent="0.25">
      <c r="A115" s="5">
        <v>3400023</v>
      </c>
      <c r="B115" s="1">
        <v>2020</v>
      </c>
      <c r="C115" s="1" t="s">
        <v>1387</v>
      </c>
      <c r="D115" s="2" t="s">
        <v>939</v>
      </c>
      <c r="E115" s="7">
        <v>711261</v>
      </c>
      <c r="F115" s="5">
        <v>3400023</v>
      </c>
    </row>
    <row r="116" spans="1:6" ht="20" x14ac:dyDescent="0.25">
      <c r="A116" s="5">
        <v>3400023</v>
      </c>
      <c r="B116" s="1">
        <v>2021</v>
      </c>
      <c r="C116" s="1" t="s">
        <v>1387</v>
      </c>
      <c r="D116" s="3" t="s">
        <v>939</v>
      </c>
      <c r="E116" s="7">
        <v>1089578</v>
      </c>
      <c r="F116" s="5">
        <v>3400023</v>
      </c>
    </row>
    <row r="117" spans="1:6" ht="20" x14ac:dyDescent="0.25">
      <c r="A117" s="5">
        <v>3400023</v>
      </c>
      <c r="B117" s="1">
        <v>2022</v>
      </c>
      <c r="C117" s="1" t="s">
        <v>1387</v>
      </c>
      <c r="D117" s="2" t="s">
        <v>939</v>
      </c>
      <c r="E117" s="7">
        <v>1193605</v>
      </c>
      <c r="F117" s="5">
        <v>3400023</v>
      </c>
    </row>
    <row r="118" spans="1:6" ht="20" x14ac:dyDescent="0.25">
      <c r="A118" s="5">
        <v>3400023</v>
      </c>
      <c r="B118" s="1">
        <v>2023</v>
      </c>
      <c r="C118" s="1" t="s">
        <v>1387</v>
      </c>
      <c r="D118" s="2" t="s">
        <v>939</v>
      </c>
      <c r="E118" s="7">
        <v>1077452</v>
      </c>
      <c r="F118" s="5">
        <v>3400023</v>
      </c>
    </row>
    <row r="119" spans="1:6" x14ac:dyDescent="0.25">
      <c r="A119" s="5">
        <v>3400024</v>
      </c>
      <c r="B119" s="1">
        <v>2015</v>
      </c>
      <c r="C119" s="1" t="s">
        <v>1387</v>
      </c>
      <c r="D119" s="1" t="s">
        <v>257</v>
      </c>
      <c r="E119" s="8">
        <v>735543</v>
      </c>
      <c r="F119" s="5">
        <v>3400024</v>
      </c>
    </row>
    <row r="120" spans="1:6" x14ac:dyDescent="0.25">
      <c r="A120" s="5">
        <v>3400024</v>
      </c>
      <c r="B120" s="1">
        <v>2016</v>
      </c>
      <c r="C120" s="1" t="s">
        <v>1387</v>
      </c>
      <c r="D120" s="1" t="s">
        <v>257</v>
      </c>
      <c r="E120" s="8">
        <v>1133836</v>
      </c>
      <c r="F120" s="5">
        <v>3400024</v>
      </c>
    </row>
    <row r="121" spans="1:6" x14ac:dyDescent="0.25">
      <c r="A121" s="5">
        <v>3400024</v>
      </c>
      <c r="B121" s="1">
        <v>2017</v>
      </c>
      <c r="C121" s="1" t="s">
        <v>1387</v>
      </c>
      <c r="D121" s="1" t="s">
        <v>257</v>
      </c>
      <c r="E121" s="8">
        <v>2012517</v>
      </c>
      <c r="F121" s="5">
        <v>3400024</v>
      </c>
    </row>
    <row r="122" spans="1:6" x14ac:dyDescent="0.25">
      <c r="A122" s="5">
        <v>3400024</v>
      </c>
      <c r="B122" s="1">
        <v>2018</v>
      </c>
      <c r="C122" s="1" t="s">
        <v>1387</v>
      </c>
      <c r="D122" s="1" t="s">
        <v>946</v>
      </c>
      <c r="E122" s="8">
        <v>2903363</v>
      </c>
      <c r="F122" s="5">
        <v>3400024</v>
      </c>
    </row>
    <row r="123" spans="1:6" x14ac:dyDescent="0.25">
      <c r="A123" s="5">
        <v>3400024</v>
      </c>
      <c r="B123" s="1">
        <v>2019</v>
      </c>
      <c r="C123" s="1" t="s">
        <v>1387</v>
      </c>
      <c r="D123" s="1" t="s">
        <v>946</v>
      </c>
      <c r="E123" s="8">
        <v>3771876</v>
      </c>
      <c r="F123" s="5">
        <v>3400024</v>
      </c>
    </row>
    <row r="124" spans="1:6" ht="20" x14ac:dyDescent="0.25">
      <c r="A124" s="5">
        <v>3400024</v>
      </c>
      <c r="B124" s="1">
        <v>2020</v>
      </c>
      <c r="C124" s="1" t="s">
        <v>1387</v>
      </c>
      <c r="D124" s="2" t="s">
        <v>946</v>
      </c>
      <c r="E124" s="7">
        <v>4797067</v>
      </c>
      <c r="F124" s="5">
        <v>3400024</v>
      </c>
    </row>
    <row r="125" spans="1:6" ht="20" x14ac:dyDescent="0.25">
      <c r="A125" s="5">
        <v>3400024</v>
      </c>
      <c r="B125" s="1">
        <v>2021</v>
      </c>
      <c r="C125" s="1" t="s">
        <v>1387</v>
      </c>
      <c r="D125" s="3" t="s">
        <v>946</v>
      </c>
      <c r="E125" s="7">
        <v>5526863</v>
      </c>
      <c r="F125" s="5">
        <v>3400024</v>
      </c>
    </row>
    <row r="126" spans="1:6" ht="20" x14ac:dyDescent="0.25">
      <c r="A126" s="5">
        <v>3400024</v>
      </c>
      <c r="B126" s="1">
        <v>2022</v>
      </c>
      <c r="C126" s="1" t="s">
        <v>1387</v>
      </c>
      <c r="D126" s="2" t="s">
        <v>946</v>
      </c>
      <c r="E126" s="7">
        <v>6979293</v>
      </c>
      <c r="F126" s="5">
        <v>3400024</v>
      </c>
    </row>
    <row r="127" spans="1:6" ht="20" x14ac:dyDescent="0.25">
      <c r="A127" s="5">
        <v>3400024</v>
      </c>
      <c r="B127" s="1">
        <v>2023</v>
      </c>
      <c r="C127" s="1" t="s">
        <v>1387</v>
      </c>
      <c r="D127" s="2" t="s">
        <v>946</v>
      </c>
      <c r="E127" s="7">
        <v>6741094</v>
      </c>
      <c r="F127" s="5">
        <v>3400024</v>
      </c>
    </row>
    <row r="128" spans="1:6" x14ac:dyDescent="0.25">
      <c r="A128" s="5">
        <v>3400025</v>
      </c>
      <c r="B128" s="1">
        <v>2015</v>
      </c>
      <c r="C128" s="1" t="s">
        <v>1387</v>
      </c>
      <c r="D128" s="1" t="s">
        <v>262</v>
      </c>
      <c r="E128" s="8">
        <v>146560</v>
      </c>
      <c r="F128" s="5">
        <v>3400025</v>
      </c>
    </row>
    <row r="129" spans="1:6" x14ac:dyDescent="0.25">
      <c r="A129" s="5">
        <v>3400025</v>
      </c>
      <c r="B129" s="1">
        <v>2016</v>
      </c>
      <c r="C129" s="1" t="s">
        <v>1387</v>
      </c>
      <c r="D129" s="1" t="s">
        <v>262</v>
      </c>
      <c r="E129" s="8">
        <v>244952</v>
      </c>
      <c r="F129" s="5">
        <v>3400025</v>
      </c>
    </row>
    <row r="130" spans="1:6" x14ac:dyDescent="0.25">
      <c r="A130" s="5">
        <v>3400025</v>
      </c>
      <c r="B130" s="1">
        <v>2017</v>
      </c>
      <c r="C130" s="1" t="s">
        <v>1387</v>
      </c>
      <c r="D130" s="1" t="s">
        <v>262</v>
      </c>
      <c r="E130" s="8">
        <v>354675</v>
      </c>
      <c r="F130" s="5">
        <v>3400025</v>
      </c>
    </row>
    <row r="131" spans="1:6" x14ac:dyDescent="0.25">
      <c r="A131" s="5">
        <v>3400025</v>
      </c>
      <c r="B131" s="1">
        <v>2018</v>
      </c>
      <c r="C131" s="1" t="s">
        <v>1387</v>
      </c>
      <c r="D131" s="1" t="s">
        <v>952</v>
      </c>
      <c r="E131" s="8">
        <v>442073</v>
      </c>
      <c r="F131" s="5">
        <v>3400025</v>
      </c>
    </row>
    <row r="132" spans="1:6" x14ac:dyDescent="0.25">
      <c r="A132" s="5">
        <v>3400025</v>
      </c>
      <c r="B132" s="1">
        <v>2019</v>
      </c>
      <c r="C132" s="1" t="s">
        <v>1387</v>
      </c>
      <c r="D132" s="1" t="s">
        <v>952</v>
      </c>
      <c r="E132" s="8">
        <v>609390</v>
      </c>
      <c r="F132" s="5">
        <v>3400025</v>
      </c>
    </row>
    <row r="133" spans="1:6" ht="20" x14ac:dyDescent="0.25">
      <c r="A133" s="5">
        <v>3400025</v>
      </c>
      <c r="B133" s="1">
        <v>2020</v>
      </c>
      <c r="C133" s="1" t="s">
        <v>1387</v>
      </c>
      <c r="D133" s="2" t="s">
        <v>952</v>
      </c>
      <c r="E133" s="7">
        <v>665730</v>
      </c>
      <c r="F133" s="5">
        <v>3400025</v>
      </c>
    </row>
    <row r="134" spans="1:6" ht="20" x14ac:dyDescent="0.25">
      <c r="A134" s="5">
        <v>3400025</v>
      </c>
      <c r="B134" s="1">
        <v>2021</v>
      </c>
      <c r="C134" s="1" t="s">
        <v>1387</v>
      </c>
      <c r="D134" s="3" t="s">
        <v>952</v>
      </c>
      <c r="E134" s="7">
        <v>897896</v>
      </c>
      <c r="F134" s="5">
        <v>3400025</v>
      </c>
    </row>
    <row r="135" spans="1:6" ht="20" x14ac:dyDescent="0.25">
      <c r="A135" s="5">
        <v>3400025</v>
      </c>
      <c r="B135" s="1">
        <v>2022</v>
      </c>
      <c r="C135" s="1" t="s">
        <v>1387</v>
      </c>
      <c r="D135" s="2" t="s">
        <v>952</v>
      </c>
      <c r="E135" s="7">
        <v>1273799</v>
      </c>
      <c r="F135" s="5">
        <v>3400025</v>
      </c>
    </row>
    <row r="136" spans="1:6" ht="20" x14ac:dyDescent="0.25">
      <c r="A136" s="5">
        <v>3400025</v>
      </c>
      <c r="B136" s="1">
        <v>2023</v>
      </c>
      <c r="C136" s="1" t="s">
        <v>1387</v>
      </c>
      <c r="D136" s="2" t="s">
        <v>952</v>
      </c>
      <c r="E136" s="7">
        <v>1255859</v>
      </c>
      <c r="F136" s="5">
        <v>3400025</v>
      </c>
    </row>
    <row r="137" spans="1:6" x14ac:dyDescent="0.25">
      <c r="A137" s="5">
        <v>3400026</v>
      </c>
      <c r="B137" s="1">
        <v>2015</v>
      </c>
      <c r="C137" s="1" t="s">
        <v>1387</v>
      </c>
      <c r="D137" s="1" t="s">
        <v>247</v>
      </c>
      <c r="E137" s="8">
        <v>161611</v>
      </c>
      <c r="F137" s="5">
        <v>3400026</v>
      </c>
    </row>
    <row r="138" spans="1:6" x14ac:dyDescent="0.25">
      <c r="A138" s="5">
        <v>3400026</v>
      </c>
      <c r="B138" s="1">
        <v>2016</v>
      </c>
      <c r="C138" s="1" t="s">
        <v>1387</v>
      </c>
      <c r="D138" s="1" t="s">
        <v>247</v>
      </c>
      <c r="E138" s="8">
        <v>247428</v>
      </c>
      <c r="F138" s="5">
        <v>3400026</v>
      </c>
    </row>
    <row r="139" spans="1:6" x14ac:dyDescent="0.25">
      <c r="A139" s="5">
        <v>3400026</v>
      </c>
      <c r="B139" s="1">
        <v>2017</v>
      </c>
      <c r="C139" s="1" t="s">
        <v>1387</v>
      </c>
      <c r="D139" s="1" t="s">
        <v>247</v>
      </c>
      <c r="E139" s="8">
        <v>380038</v>
      </c>
      <c r="F139" s="5">
        <v>3400026</v>
      </c>
    </row>
    <row r="140" spans="1:6" x14ac:dyDescent="0.25">
      <c r="A140" s="5">
        <v>3400026</v>
      </c>
      <c r="B140" s="1">
        <v>2018</v>
      </c>
      <c r="C140" s="1" t="s">
        <v>1387</v>
      </c>
      <c r="D140" s="1" t="s">
        <v>934</v>
      </c>
      <c r="E140" s="8">
        <v>579373</v>
      </c>
      <c r="F140" s="5">
        <v>3400026</v>
      </c>
    </row>
    <row r="141" spans="1:6" x14ac:dyDescent="0.25">
      <c r="A141" s="5">
        <v>3400026</v>
      </c>
      <c r="B141" s="1">
        <v>2019</v>
      </c>
      <c r="C141" s="1" t="s">
        <v>1387</v>
      </c>
      <c r="D141" s="1" t="s">
        <v>934</v>
      </c>
      <c r="E141" s="8">
        <v>739507</v>
      </c>
      <c r="F141" s="5">
        <v>3400026</v>
      </c>
    </row>
    <row r="142" spans="1:6" ht="20" x14ac:dyDescent="0.25">
      <c r="A142" s="5">
        <v>3400026</v>
      </c>
      <c r="B142" s="1">
        <v>2020</v>
      </c>
      <c r="C142" s="1" t="s">
        <v>1387</v>
      </c>
      <c r="D142" s="2" t="s">
        <v>934</v>
      </c>
      <c r="E142" s="7">
        <v>844147</v>
      </c>
      <c r="F142" s="5">
        <v>3400026</v>
      </c>
    </row>
    <row r="143" spans="1:6" ht="20" x14ac:dyDescent="0.25">
      <c r="A143" s="5">
        <v>3400026</v>
      </c>
      <c r="B143" s="1">
        <v>2021</v>
      </c>
      <c r="C143" s="1" t="s">
        <v>1387</v>
      </c>
      <c r="D143" s="3" t="s">
        <v>934</v>
      </c>
      <c r="E143" s="7">
        <v>1091797</v>
      </c>
      <c r="F143" s="5">
        <v>3400026</v>
      </c>
    </row>
    <row r="144" spans="1:6" ht="20" x14ac:dyDescent="0.25">
      <c r="A144" s="5">
        <v>3400026</v>
      </c>
      <c r="B144" s="1">
        <v>2022</v>
      </c>
      <c r="C144" s="1" t="s">
        <v>1387</v>
      </c>
      <c r="D144" s="2" t="s">
        <v>934</v>
      </c>
      <c r="E144" s="7">
        <v>1585103</v>
      </c>
      <c r="F144" s="5">
        <v>3400026</v>
      </c>
    </row>
    <row r="145" spans="1:6" ht="20" x14ac:dyDescent="0.25">
      <c r="A145" s="5">
        <v>3400026</v>
      </c>
      <c r="B145" s="1">
        <v>2023</v>
      </c>
      <c r="C145" s="1" t="s">
        <v>1387</v>
      </c>
      <c r="D145" s="2" t="s">
        <v>934</v>
      </c>
      <c r="E145" s="7">
        <v>1403596</v>
      </c>
      <c r="F145" s="5">
        <v>3400026</v>
      </c>
    </row>
    <row r="146" spans="1:6" x14ac:dyDescent="0.25">
      <c r="A146" s="5">
        <v>3400029</v>
      </c>
      <c r="B146" s="1">
        <v>2015</v>
      </c>
      <c r="C146" s="1" t="s">
        <v>1387</v>
      </c>
      <c r="D146" s="1" t="s">
        <v>304</v>
      </c>
      <c r="E146" s="8">
        <v>114560</v>
      </c>
      <c r="F146" s="5">
        <v>3400029</v>
      </c>
    </row>
    <row r="147" spans="1:6" x14ac:dyDescent="0.25">
      <c r="A147" s="5">
        <v>3400029</v>
      </c>
      <c r="B147" s="1">
        <v>2016</v>
      </c>
      <c r="C147" s="1" t="s">
        <v>1387</v>
      </c>
      <c r="D147" s="1" t="s">
        <v>304</v>
      </c>
      <c r="E147" s="8">
        <v>161007</v>
      </c>
      <c r="F147" s="5">
        <v>3400029</v>
      </c>
    </row>
    <row r="148" spans="1:6" x14ac:dyDescent="0.25">
      <c r="A148" s="5">
        <v>3400029</v>
      </c>
      <c r="B148" s="1">
        <v>2017</v>
      </c>
      <c r="C148" s="1" t="s">
        <v>1387</v>
      </c>
      <c r="D148" s="1" t="s">
        <v>304</v>
      </c>
      <c r="E148" s="8">
        <v>204417</v>
      </c>
      <c r="F148" s="5">
        <v>3400029</v>
      </c>
    </row>
    <row r="149" spans="1:6" x14ac:dyDescent="0.25">
      <c r="A149" s="5">
        <v>3400029</v>
      </c>
      <c r="B149" s="1">
        <v>2018</v>
      </c>
      <c r="C149" s="1" t="s">
        <v>1387</v>
      </c>
      <c r="D149" s="1" t="s">
        <v>995</v>
      </c>
      <c r="E149" s="8">
        <v>276203</v>
      </c>
      <c r="F149" s="5">
        <v>3400029</v>
      </c>
    </row>
    <row r="150" spans="1:6" x14ac:dyDescent="0.25">
      <c r="A150" s="5">
        <v>3400029</v>
      </c>
      <c r="B150" s="1">
        <v>2019</v>
      </c>
      <c r="C150" s="1" t="s">
        <v>1387</v>
      </c>
      <c r="D150" s="1" t="s">
        <v>995</v>
      </c>
      <c r="E150" s="8">
        <v>361212</v>
      </c>
      <c r="F150" s="5">
        <v>3400029</v>
      </c>
    </row>
    <row r="151" spans="1:6" ht="20" x14ac:dyDescent="0.25">
      <c r="A151" s="5">
        <v>3400029</v>
      </c>
      <c r="B151" s="1">
        <v>2020</v>
      </c>
      <c r="C151" s="1" t="s">
        <v>1387</v>
      </c>
      <c r="D151" s="2" t="s">
        <v>995</v>
      </c>
      <c r="E151" s="7">
        <v>422236</v>
      </c>
      <c r="F151" s="5">
        <v>3400029</v>
      </c>
    </row>
    <row r="152" spans="1:6" ht="20" x14ac:dyDescent="0.25">
      <c r="A152" s="5">
        <v>3400029</v>
      </c>
      <c r="B152" s="1">
        <v>2021</v>
      </c>
      <c r="C152" s="1" t="s">
        <v>1387</v>
      </c>
      <c r="D152" s="3" t="s">
        <v>995</v>
      </c>
      <c r="E152" s="7">
        <v>539017</v>
      </c>
      <c r="F152" s="5">
        <v>3400029</v>
      </c>
    </row>
    <row r="153" spans="1:6" ht="20" x14ac:dyDescent="0.25">
      <c r="A153" s="5">
        <v>3400029</v>
      </c>
      <c r="B153" s="1">
        <v>2022</v>
      </c>
      <c r="C153" s="1" t="s">
        <v>1387</v>
      </c>
      <c r="D153" s="2" t="s">
        <v>995</v>
      </c>
      <c r="E153" s="7">
        <v>708199</v>
      </c>
      <c r="F153" s="5">
        <v>3400029</v>
      </c>
    </row>
    <row r="154" spans="1:6" ht="20" x14ac:dyDescent="0.25">
      <c r="A154" s="5">
        <v>3400029</v>
      </c>
      <c r="B154" s="1">
        <v>2023</v>
      </c>
      <c r="C154" s="1" t="s">
        <v>1387</v>
      </c>
      <c r="D154" s="2" t="s">
        <v>995</v>
      </c>
      <c r="E154" s="7">
        <v>660356</v>
      </c>
      <c r="F154" s="5">
        <v>3400029</v>
      </c>
    </row>
    <row r="155" spans="1:6" x14ac:dyDescent="0.25">
      <c r="A155" s="5">
        <v>3400032</v>
      </c>
      <c r="B155" s="1">
        <v>2015</v>
      </c>
      <c r="C155" s="1" t="s">
        <v>1387</v>
      </c>
      <c r="D155" s="1" t="s">
        <v>309</v>
      </c>
      <c r="E155" s="8">
        <v>95451</v>
      </c>
      <c r="F155" s="5">
        <v>3400032</v>
      </c>
    </row>
    <row r="156" spans="1:6" x14ac:dyDescent="0.25">
      <c r="A156" s="5">
        <v>3400032</v>
      </c>
      <c r="B156" s="1">
        <v>2016</v>
      </c>
      <c r="C156" s="1" t="s">
        <v>1387</v>
      </c>
      <c r="D156" s="1" t="s">
        <v>309</v>
      </c>
      <c r="E156" s="8">
        <v>129669</v>
      </c>
      <c r="F156" s="5">
        <v>3400032</v>
      </c>
    </row>
    <row r="157" spans="1:6" x14ac:dyDescent="0.25">
      <c r="A157" s="5">
        <v>3400032</v>
      </c>
      <c r="B157" s="1">
        <v>2017</v>
      </c>
      <c r="C157" s="1" t="s">
        <v>1387</v>
      </c>
      <c r="D157" s="1" t="s">
        <v>309</v>
      </c>
      <c r="E157" s="8">
        <v>223296</v>
      </c>
      <c r="F157" s="5">
        <v>3400032</v>
      </c>
    </row>
    <row r="158" spans="1:6" x14ac:dyDescent="0.25">
      <c r="A158" s="5">
        <v>3400032</v>
      </c>
      <c r="B158" s="1">
        <v>2018</v>
      </c>
      <c r="C158" s="1" t="s">
        <v>1387</v>
      </c>
      <c r="D158" s="1" t="s">
        <v>1001</v>
      </c>
      <c r="E158" s="8">
        <v>331097</v>
      </c>
      <c r="F158" s="5">
        <v>3400032</v>
      </c>
    </row>
    <row r="159" spans="1:6" x14ac:dyDescent="0.25">
      <c r="A159" s="5">
        <v>3400032</v>
      </c>
      <c r="B159" s="1">
        <v>2019</v>
      </c>
      <c r="C159" s="1" t="s">
        <v>1387</v>
      </c>
      <c r="D159" s="1" t="s">
        <v>1001</v>
      </c>
      <c r="E159" s="8">
        <v>450708</v>
      </c>
      <c r="F159" s="5">
        <v>3400032</v>
      </c>
    </row>
    <row r="160" spans="1:6" ht="20" x14ac:dyDescent="0.25">
      <c r="A160" s="5">
        <v>3400032</v>
      </c>
      <c r="B160" s="1">
        <v>2020</v>
      </c>
      <c r="C160" s="1" t="s">
        <v>1387</v>
      </c>
      <c r="D160" s="2" t="s">
        <v>1001</v>
      </c>
      <c r="E160" s="7">
        <v>517847</v>
      </c>
      <c r="F160" s="5">
        <v>3400032</v>
      </c>
    </row>
    <row r="161" spans="1:6" ht="20" x14ac:dyDescent="0.25">
      <c r="A161" s="5">
        <v>3400032</v>
      </c>
      <c r="B161" s="1">
        <v>2021</v>
      </c>
      <c r="C161" s="1" t="s">
        <v>1387</v>
      </c>
      <c r="D161" s="3" t="s">
        <v>1001</v>
      </c>
      <c r="E161" s="7">
        <v>594179</v>
      </c>
      <c r="F161" s="5">
        <v>3400032</v>
      </c>
    </row>
    <row r="162" spans="1:6" ht="20" x14ac:dyDescent="0.25">
      <c r="A162" s="5">
        <v>3400032</v>
      </c>
      <c r="B162" s="1">
        <v>2022</v>
      </c>
      <c r="C162" s="1" t="s">
        <v>1387</v>
      </c>
      <c r="D162" s="2" t="s">
        <v>1001</v>
      </c>
      <c r="E162" s="7">
        <v>795838</v>
      </c>
      <c r="F162" s="5">
        <v>3400032</v>
      </c>
    </row>
    <row r="163" spans="1:6" ht="20" x14ac:dyDescent="0.25">
      <c r="A163" s="5">
        <v>3400032</v>
      </c>
      <c r="B163" s="1">
        <v>2023</v>
      </c>
      <c r="C163" s="1" t="s">
        <v>1387</v>
      </c>
      <c r="D163" s="2" t="s">
        <v>1001</v>
      </c>
      <c r="E163" s="7">
        <v>814408</v>
      </c>
      <c r="F163" s="5">
        <v>3400032</v>
      </c>
    </row>
    <row r="164" spans="1:6" x14ac:dyDescent="0.25">
      <c r="A164" s="5">
        <v>3400033</v>
      </c>
      <c r="B164" s="1">
        <v>2015</v>
      </c>
      <c r="C164" s="1" t="s">
        <v>1387</v>
      </c>
      <c r="D164" s="1" t="s">
        <v>312</v>
      </c>
      <c r="E164" s="8">
        <v>126762</v>
      </c>
      <c r="F164" s="5">
        <v>3400033</v>
      </c>
    </row>
    <row r="165" spans="1:6" x14ac:dyDescent="0.25">
      <c r="A165" s="5">
        <v>3400033</v>
      </c>
      <c r="B165" s="1">
        <v>2016</v>
      </c>
      <c r="C165" s="1" t="s">
        <v>1387</v>
      </c>
      <c r="D165" s="1" t="s">
        <v>312</v>
      </c>
      <c r="E165" s="8">
        <v>192044</v>
      </c>
      <c r="F165" s="5">
        <v>3400033</v>
      </c>
    </row>
    <row r="166" spans="1:6" x14ac:dyDescent="0.25">
      <c r="A166" s="5">
        <v>3400033</v>
      </c>
      <c r="B166" s="1">
        <v>2017</v>
      </c>
      <c r="C166" s="1" t="s">
        <v>1387</v>
      </c>
      <c r="D166" s="1" t="s">
        <v>312</v>
      </c>
      <c r="E166" s="8">
        <v>280348</v>
      </c>
      <c r="F166" s="5">
        <v>3400033</v>
      </c>
    </row>
    <row r="167" spans="1:6" x14ac:dyDescent="0.25">
      <c r="A167" s="5">
        <v>3400033</v>
      </c>
      <c r="B167" s="1">
        <v>2018</v>
      </c>
      <c r="C167" s="1" t="s">
        <v>1387</v>
      </c>
      <c r="D167" s="1" t="s">
        <v>1004</v>
      </c>
      <c r="E167" s="8">
        <v>320973</v>
      </c>
      <c r="F167" s="5">
        <v>3400033</v>
      </c>
    </row>
    <row r="168" spans="1:6" x14ac:dyDescent="0.25">
      <c r="A168" s="5">
        <v>3400033</v>
      </c>
      <c r="B168" s="1">
        <v>2019</v>
      </c>
      <c r="C168" s="1" t="s">
        <v>1387</v>
      </c>
      <c r="D168" s="1" t="s">
        <v>1004</v>
      </c>
      <c r="E168" s="8">
        <v>465807</v>
      </c>
      <c r="F168" s="5">
        <v>3400033</v>
      </c>
    </row>
    <row r="169" spans="1:6" ht="20" x14ac:dyDescent="0.25">
      <c r="A169" s="5">
        <v>3400033</v>
      </c>
      <c r="B169" s="1">
        <v>2020</v>
      </c>
      <c r="C169" s="1" t="s">
        <v>1387</v>
      </c>
      <c r="D169" s="2" t="s">
        <v>1004</v>
      </c>
      <c r="E169" s="7">
        <v>500519</v>
      </c>
      <c r="F169" s="5">
        <v>3400033</v>
      </c>
    </row>
    <row r="170" spans="1:6" ht="20" x14ac:dyDescent="0.25">
      <c r="A170" s="5">
        <v>3400033</v>
      </c>
      <c r="B170" s="1">
        <v>2021</v>
      </c>
      <c r="C170" s="1" t="s">
        <v>1387</v>
      </c>
      <c r="D170" s="3" t="s">
        <v>1004</v>
      </c>
      <c r="E170" s="7">
        <v>659633</v>
      </c>
      <c r="F170" s="5">
        <v>3400033</v>
      </c>
    </row>
    <row r="171" spans="1:6" ht="20" x14ac:dyDescent="0.25">
      <c r="A171" s="5">
        <v>3400033</v>
      </c>
      <c r="B171" s="1">
        <v>2022</v>
      </c>
      <c r="C171" s="1" t="s">
        <v>1387</v>
      </c>
      <c r="D171" s="2" t="s">
        <v>1004</v>
      </c>
      <c r="E171" s="7">
        <v>858827</v>
      </c>
      <c r="F171" s="5">
        <v>3400033</v>
      </c>
    </row>
    <row r="172" spans="1:6" ht="20" x14ac:dyDescent="0.25">
      <c r="A172" s="5">
        <v>3400033</v>
      </c>
      <c r="B172" s="1">
        <v>2023</v>
      </c>
      <c r="C172" s="1" t="s">
        <v>1387</v>
      </c>
      <c r="D172" s="2" t="s">
        <v>1004</v>
      </c>
      <c r="E172" s="7">
        <v>925610</v>
      </c>
      <c r="F172" s="5">
        <v>3400033</v>
      </c>
    </row>
    <row r="173" spans="1:6" x14ac:dyDescent="0.25">
      <c r="A173" s="5">
        <v>3400034</v>
      </c>
      <c r="B173" s="1">
        <v>2015</v>
      </c>
      <c r="C173" s="1" t="s">
        <v>1387</v>
      </c>
      <c r="D173" s="1" t="s">
        <v>313</v>
      </c>
      <c r="E173" s="8">
        <v>148094</v>
      </c>
      <c r="F173" s="5">
        <v>3400034</v>
      </c>
    </row>
    <row r="174" spans="1:6" x14ac:dyDescent="0.25">
      <c r="A174" s="5">
        <v>3400034</v>
      </c>
      <c r="B174" s="1">
        <v>2016</v>
      </c>
      <c r="C174" s="1" t="s">
        <v>1387</v>
      </c>
      <c r="D174" s="1" t="s">
        <v>313</v>
      </c>
      <c r="E174" s="8">
        <v>222053</v>
      </c>
      <c r="F174" s="5">
        <v>3400034</v>
      </c>
    </row>
    <row r="175" spans="1:6" x14ac:dyDescent="0.25">
      <c r="A175" s="5">
        <v>3400034</v>
      </c>
      <c r="B175" s="1">
        <v>2017</v>
      </c>
      <c r="C175" s="1" t="s">
        <v>1387</v>
      </c>
      <c r="D175" s="1" t="s">
        <v>313</v>
      </c>
      <c r="E175" s="8">
        <v>305797</v>
      </c>
      <c r="F175" s="5">
        <v>3400034</v>
      </c>
    </row>
    <row r="176" spans="1:6" x14ac:dyDescent="0.25">
      <c r="A176" s="5">
        <v>3400034</v>
      </c>
      <c r="B176" s="1">
        <v>2018</v>
      </c>
      <c r="C176" s="1" t="s">
        <v>1387</v>
      </c>
      <c r="D176" s="1" t="s">
        <v>1006</v>
      </c>
      <c r="E176" s="8">
        <v>402973</v>
      </c>
      <c r="F176" s="5">
        <v>3400034</v>
      </c>
    </row>
    <row r="177" spans="1:6" x14ac:dyDescent="0.25">
      <c r="A177" s="5">
        <v>3400034</v>
      </c>
      <c r="B177" s="1">
        <v>2019</v>
      </c>
      <c r="C177" s="1" t="s">
        <v>1387</v>
      </c>
      <c r="D177" s="1" t="s">
        <v>1006</v>
      </c>
      <c r="E177" s="8">
        <v>532959</v>
      </c>
      <c r="F177" s="5">
        <v>3400034</v>
      </c>
    </row>
    <row r="178" spans="1:6" ht="20" x14ac:dyDescent="0.25">
      <c r="A178" s="5">
        <v>3400034</v>
      </c>
      <c r="B178" s="1">
        <v>2020</v>
      </c>
      <c r="C178" s="1" t="s">
        <v>1387</v>
      </c>
      <c r="D178" s="2" t="s">
        <v>1006</v>
      </c>
      <c r="E178" s="7">
        <v>605401</v>
      </c>
      <c r="F178" s="5">
        <v>3400034</v>
      </c>
    </row>
    <row r="179" spans="1:6" ht="20" x14ac:dyDescent="0.25">
      <c r="A179" s="5">
        <v>3400034</v>
      </c>
      <c r="B179" s="1">
        <v>2021</v>
      </c>
      <c r="C179" s="1" t="s">
        <v>1387</v>
      </c>
      <c r="D179" s="3" t="s">
        <v>1006</v>
      </c>
      <c r="E179" s="7">
        <v>825137</v>
      </c>
      <c r="F179" s="5">
        <v>3400034</v>
      </c>
    </row>
    <row r="180" spans="1:6" ht="20" x14ac:dyDescent="0.25">
      <c r="A180" s="5">
        <v>3400034</v>
      </c>
      <c r="B180" s="1">
        <v>2022</v>
      </c>
      <c r="C180" s="1" t="s">
        <v>1387</v>
      </c>
      <c r="D180" s="2" t="s">
        <v>1006</v>
      </c>
      <c r="E180" s="7">
        <v>1158172</v>
      </c>
      <c r="F180" s="5">
        <v>3400034</v>
      </c>
    </row>
    <row r="181" spans="1:6" ht="20" x14ac:dyDescent="0.25">
      <c r="A181" s="5">
        <v>3400034</v>
      </c>
      <c r="B181" s="1">
        <v>2023</v>
      </c>
      <c r="C181" s="1" t="s">
        <v>1387</v>
      </c>
      <c r="D181" s="2" t="s">
        <v>1006</v>
      </c>
      <c r="E181" s="7">
        <v>1056997</v>
      </c>
      <c r="F181" s="5">
        <v>3400034</v>
      </c>
    </row>
    <row r="182" spans="1:6" x14ac:dyDescent="0.25">
      <c r="A182" s="5">
        <v>3400035</v>
      </c>
      <c r="B182" s="1">
        <v>2015</v>
      </c>
      <c r="C182" s="1" t="s">
        <v>1387</v>
      </c>
      <c r="D182" s="1" t="s">
        <v>316</v>
      </c>
      <c r="E182" s="8">
        <v>136414</v>
      </c>
      <c r="F182" s="5">
        <v>3400035</v>
      </c>
    </row>
    <row r="183" spans="1:6" x14ac:dyDescent="0.25">
      <c r="A183" s="5">
        <v>3400035</v>
      </c>
      <c r="B183" s="1">
        <v>2016</v>
      </c>
      <c r="C183" s="1" t="s">
        <v>1387</v>
      </c>
      <c r="D183" s="1" t="s">
        <v>316</v>
      </c>
      <c r="E183" s="8">
        <v>193694</v>
      </c>
      <c r="F183" s="5">
        <v>3400035</v>
      </c>
    </row>
    <row r="184" spans="1:6" x14ac:dyDescent="0.25">
      <c r="A184" s="5">
        <v>3400035</v>
      </c>
      <c r="B184" s="1">
        <v>2017</v>
      </c>
      <c r="C184" s="1" t="s">
        <v>1387</v>
      </c>
      <c r="D184" s="1" t="s">
        <v>316</v>
      </c>
      <c r="E184" s="8">
        <v>288930</v>
      </c>
      <c r="F184" s="5">
        <v>3400035</v>
      </c>
    </row>
    <row r="185" spans="1:6" x14ac:dyDescent="0.25">
      <c r="A185" s="5">
        <v>3400035</v>
      </c>
      <c r="B185" s="1">
        <v>2018</v>
      </c>
      <c r="C185" s="1" t="s">
        <v>1387</v>
      </c>
      <c r="D185" s="1" t="s">
        <v>1009</v>
      </c>
      <c r="E185" s="8">
        <v>385540</v>
      </c>
      <c r="F185" s="5">
        <v>3400035</v>
      </c>
    </row>
    <row r="186" spans="1:6" x14ac:dyDescent="0.25">
      <c r="A186" s="5">
        <v>3400035</v>
      </c>
      <c r="B186" s="1">
        <v>2019</v>
      </c>
      <c r="C186" s="1" t="s">
        <v>1387</v>
      </c>
      <c r="D186" s="1" t="s">
        <v>1009</v>
      </c>
      <c r="E186" s="8">
        <v>499665</v>
      </c>
      <c r="F186" s="5">
        <v>3400035</v>
      </c>
    </row>
    <row r="187" spans="1:6" ht="20" x14ac:dyDescent="0.25">
      <c r="A187" s="5">
        <v>3400035</v>
      </c>
      <c r="B187" s="1">
        <v>2020</v>
      </c>
      <c r="C187" s="1" t="s">
        <v>1387</v>
      </c>
      <c r="D187" s="2" t="s">
        <v>1009</v>
      </c>
      <c r="E187" s="7">
        <v>575560</v>
      </c>
      <c r="F187" s="5">
        <v>3400035</v>
      </c>
    </row>
    <row r="188" spans="1:6" ht="20" x14ac:dyDescent="0.25">
      <c r="A188" s="5">
        <v>3400035</v>
      </c>
      <c r="B188" s="1">
        <v>2021</v>
      </c>
      <c r="C188" s="1" t="s">
        <v>1387</v>
      </c>
      <c r="D188" s="3" t="s">
        <v>1009</v>
      </c>
      <c r="E188" s="7">
        <v>683131</v>
      </c>
      <c r="F188" s="5">
        <v>3400035</v>
      </c>
    </row>
    <row r="189" spans="1:6" ht="20" x14ac:dyDescent="0.25">
      <c r="A189" s="5">
        <v>3400035</v>
      </c>
      <c r="B189" s="1">
        <v>2022</v>
      </c>
      <c r="C189" s="1" t="s">
        <v>1387</v>
      </c>
      <c r="D189" s="2" t="s">
        <v>1009</v>
      </c>
      <c r="E189" s="7">
        <v>1051431</v>
      </c>
      <c r="F189" s="5">
        <v>3400035</v>
      </c>
    </row>
    <row r="190" spans="1:6" ht="20" x14ac:dyDescent="0.25">
      <c r="A190" s="5">
        <v>3400035</v>
      </c>
      <c r="B190" s="1">
        <v>2023</v>
      </c>
      <c r="C190" s="1" t="s">
        <v>1387</v>
      </c>
      <c r="D190" s="2" t="s">
        <v>1009</v>
      </c>
      <c r="E190" s="7">
        <v>1081261</v>
      </c>
      <c r="F190" s="5">
        <v>3400035</v>
      </c>
    </row>
    <row r="191" spans="1:6" x14ac:dyDescent="0.25">
      <c r="A191" s="5">
        <v>3400036</v>
      </c>
      <c r="B191" s="1">
        <v>2015</v>
      </c>
      <c r="C191" s="1" t="s">
        <v>1387</v>
      </c>
      <c r="D191" s="1" t="s">
        <v>320</v>
      </c>
      <c r="E191" s="8">
        <v>56075</v>
      </c>
      <c r="F191" s="5">
        <v>3400036</v>
      </c>
    </row>
    <row r="192" spans="1:6" x14ac:dyDescent="0.25">
      <c r="A192" s="5">
        <v>3400036</v>
      </c>
      <c r="B192" s="1">
        <v>2016</v>
      </c>
      <c r="C192" s="1" t="s">
        <v>1387</v>
      </c>
      <c r="D192" s="1" t="s">
        <v>320</v>
      </c>
      <c r="E192" s="8">
        <v>84313</v>
      </c>
      <c r="F192" s="5">
        <v>3400036</v>
      </c>
    </row>
    <row r="193" spans="1:6" x14ac:dyDescent="0.25">
      <c r="A193" s="5">
        <v>3400036</v>
      </c>
      <c r="B193" s="1">
        <v>2017</v>
      </c>
      <c r="C193" s="1" t="s">
        <v>1387</v>
      </c>
      <c r="D193" s="1" t="s">
        <v>320</v>
      </c>
      <c r="E193" s="8">
        <v>115387</v>
      </c>
      <c r="F193" s="5">
        <v>3400036</v>
      </c>
    </row>
    <row r="194" spans="1:6" x14ac:dyDescent="0.25">
      <c r="A194" s="5">
        <v>3400036</v>
      </c>
      <c r="B194" s="1">
        <v>2018</v>
      </c>
      <c r="C194" s="1" t="s">
        <v>1387</v>
      </c>
      <c r="D194" s="1" t="s">
        <v>1013</v>
      </c>
      <c r="E194" s="8">
        <v>166121</v>
      </c>
      <c r="F194" s="5">
        <v>3400036</v>
      </c>
    </row>
    <row r="195" spans="1:6" x14ac:dyDescent="0.25">
      <c r="A195" s="5">
        <v>3400036</v>
      </c>
      <c r="B195" s="1">
        <v>2019</v>
      </c>
      <c r="C195" s="1" t="s">
        <v>1387</v>
      </c>
      <c r="D195" s="1" t="s">
        <v>1013</v>
      </c>
      <c r="E195" s="8">
        <v>232252</v>
      </c>
      <c r="F195" s="5">
        <v>3400036</v>
      </c>
    </row>
    <row r="196" spans="1:6" ht="20" x14ac:dyDescent="0.25">
      <c r="A196" s="5">
        <v>3400036</v>
      </c>
      <c r="B196" s="1">
        <v>2020</v>
      </c>
      <c r="C196" s="1" t="s">
        <v>1387</v>
      </c>
      <c r="D196" s="2" t="s">
        <v>1013</v>
      </c>
      <c r="E196" s="7">
        <v>272529</v>
      </c>
      <c r="F196" s="5">
        <v>3400036</v>
      </c>
    </row>
    <row r="197" spans="1:6" ht="20" x14ac:dyDescent="0.25">
      <c r="A197" s="5">
        <v>3400036</v>
      </c>
      <c r="B197" s="1">
        <v>2021</v>
      </c>
      <c r="C197" s="1" t="s">
        <v>1387</v>
      </c>
      <c r="D197" s="3" t="s">
        <v>1013</v>
      </c>
      <c r="E197" s="7">
        <v>362554</v>
      </c>
      <c r="F197" s="5">
        <v>3400036</v>
      </c>
    </row>
    <row r="198" spans="1:6" ht="20" x14ac:dyDescent="0.25">
      <c r="A198" s="5">
        <v>3400036</v>
      </c>
      <c r="B198" s="1">
        <v>2022</v>
      </c>
      <c r="C198" s="1" t="s">
        <v>1387</v>
      </c>
      <c r="D198" s="2" t="s">
        <v>1013</v>
      </c>
      <c r="E198" s="7">
        <v>514306</v>
      </c>
      <c r="F198" s="5">
        <v>3400036</v>
      </c>
    </row>
    <row r="199" spans="1:6" ht="20" x14ac:dyDescent="0.25">
      <c r="A199" s="5">
        <v>3400036</v>
      </c>
      <c r="B199" s="1">
        <v>2023</v>
      </c>
      <c r="C199" s="1" t="s">
        <v>1387</v>
      </c>
      <c r="D199" s="2" t="s">
        <v>1013</v>
      </c>
      <c r="E199" s="7">
        <v>469369</v>
      </c>
      <c r="F199" s="5">
        <v>3400036</v>
      </c>
    </row>
    <row r="200" spans="1:6" x14ac:dyDescent="0.25">
      <c r="A200" s="5">
        <v>3400041</v>
      </c>
      <c r="B200" s="1">
        <v>2015</v>
      </c>
      <c r="C200" s="1" t="s">
        <v>1387</v>
      </c>
      <c r="D200" s="1" t="s">
        <v>360</v>
      </c>
      <c r="E200" s="8">
        <v>30280</v>
      </c>
      <c r="F200" s="5">
        <v>3400041</v>
      </c>
    </row>
    <row r="201" spans="1:6" x14ac:dyDescent="0.25">
      <c r="A201" s="5">
        <v>3400041</v>
      </c>
      <c r="B201" s="1">
        <v>2016</v>
      </c>
      <c r="C201" s="1" t="s">
        <v>1387</v>
      </c>
      <c r="D201" s="1" t="s">
        <v>360</v>
      </c>
      <c r="E201" s="8">
        <v>49520</v>
      </c>
      <c r="F201" s="5">
        <v>3400041</v>
      </c>
    </row>
    <row r="202" spans="1:6" x14ac:dyDescent="0.25">
      <c r="A202" s="5">
        <v>3400041</v>
      </c>
      <c r="B202" s="1">
        <v>2017</v>
      </c>
      <c r="C202" s="1" t="s">
        <v>1387</v>
      </c>
      <c r="D202" s="1" t="s">
        <v>360</v>
      </c>
      <c r="E202" s="8">
        <v>68928</v>
      </c>
      <c r="F202" s="5">
        <v>3400041</v>
      </c>
    </row>
    <row r="203" spans="1:6" x14ac:dyDescent="0.25">
      <c r="A203" s="5">
        <v>3400041</v>
      </c>
      <c r="B203" s="1">
        <v>2018</v>
      </c>
      <c r="C203" s="1" t="s">
        <v>1387</v>
      </c>
      <c r="D203" s="1" t="s">
        <v>1051</v>
      </c>
      <c r="E203" s="8">
        <v>82139</v>
      </c>
      <c r="F203" s="5">
        <v>3400041</v>
      </c>
    </row>
    <row r="204" spans="1:6" x14ac:dyDescent="0.25">
      <c r="A204" s="5">
        <v>3400041</v>
      </c>
      <c r="B204" s="1">
        <v>2019</v>
      </c>
      <c r="C204" s="1" t="s">
        <v>1387</v>
      </c>
      <c r="D204" s="1" t="s">
        <v>1051</v>
      </c>
      <c r="E204" s="8">
        <v>109115</v>
      </c>
      <c r="F204" s="5">
        <v>3400041</v>
      </c>
    </row>
    <row r="205" spans="1:6" ht="20" x14ac:dyDescent="0.25">
      <c r="A205" s="5">
        <v>3400041</v>
      </c>
      <c r="B205" s="1">
        <v>2020</v>
      </c>
      <c r="C205" s="1" t="s">
        <v>1387</v>
      </c>
      <c r="D205" s="2" t="s">
        <v>1051</v>
      </c>
      <c r="E205" s="7">
        <v>124789</v>
      </c>
      <c r="F205" s="5">
        <v>3400041</v>
      </c>
    </row>
    <row r="206" spans="1:6" ht="20" x14ac:dyDescent="0.25">
      <c r="A206" s="5">
        <v>3400041</v>
      </c>
      <c r="B206" s="1">
        <v>2021</v>
      </c>
      <c r="C206" s="1" t="s">
        <v>1387</v>
      </c>
      <c r="D206" s="3" t="s">
        <v>1051</v>
      </c>
      <c r="E206" s="7">
        <v>162867</v>
      </c>
      <c r="F206" s="5">
        <v>3400041</v>
      </c>
    </row>
    <row r="207" spans="1:6" ht="20" x14ac:dyDescent="0.25">
      <c r="A207" s="5">
        <v>3400041</v>
      </c>
      <c r="B207" s="1">
        <v>2022</v>
      </c>
      <c r="C207" s="1" t="s">
        <v>1387</v>
      </c>
      <c r="D207" s="2" t="s">
        <v>1051</v>
      </c>
      <c r="E207" s="7">
        <v>229716</v>
      </c>
      <c r="F207" s="5">
        <v>3400041</v>
      </c>
    </row>
    <row r="208" spans="1:6" ht="20" x14ac:dyDescent="0.25">
      <c r="A208" s="5">
        <v>3400041</v>
      </c>
      <c r="B208" s="1">
        <v>2023</v>
      </c>
      <c r="C208" s="1" t="s">
        <v>1387</v>
      </c>
      <c r="D208" s="2" t="s">
        <v>1051</v>
      </c>
      <c r="E208" s="7">
        <v>234647</v>
      </c>
      <c r="F208" s="5">
        <v>3400041</v>
      </c>
    </row>
    <row r="209" spans="1:6" x14ac:dyDescent="0.25">
      <c r="A209" s="5">
        <v>3400042</v>
      </c>
      <c r="B209" s="1">
        <v>2015</v>
      </c>
      <c r="C209" s="1" t="s">
        <v>1387</v>
      </c>
      <c r="D209" s="1" t="s">
        <v>364</v>
      </c>
      <c r="E209" s="8">
        <v>31891</v>
      </c>
      <c r="F209" s="5">
        <v>3400042</v>
      </c>
    </row>
    <row r="210" spans="1:6" x14ac:dyDescent="0.25">
      <c r="A210" s="5">
        <v>3400042</v>
      </c>
      <c r="B210" s="1">
        <v>2016</v>
      </c>
      <c r="C210" s="1" t="s">
        <v>1387</v>
      </c>
      <c r="D210" s="1" t="s">
        <v>364</v>
      </c>
      <c r="E210" s="8">
        <v>67055</v>
      </c>
      <c r="F210" s="5">
        <v>3400042</v>
      </c>
    </row>
    <row r="211" spans="1:6" x14ac:dyDescent="0.25">
      <c r="A211" s="5">
        <v>3400042</v>
      </c>
      <c r="B211" s="1">
        <v>2017</v>
      </c>
      <c r="C211" s="1" t="s">
        <v>1387</v>
      </c>
      <c r="D211" s="1" t="s">
        <v>364</v>
      </c>
      <c r="E211" s="8">
        <v>136559</v>
      </c>
      <c r="F211" s="5">
        <v>3400042</v>
      </c>
    </row>
    <row r="212" spans="1:6" x14ac:dyDescent="0.25">
      <c r="A212" s="5">
        <v>3400042</v>
      </c>
      <c r="B212" s="1">
        <v>2018</v>
      </c>
      <c r="C212" s="1" t="s">
        <v>1387</v>
      </c>
      <c r="D212" s="1" t="s">
        <v>1055</v>
      </c>
      <c r="E212" s="8">
        <v>196947</v>
      </c>
      <c r="F212" s="5">
        <v>3400042</v>
      </c>
    </row>
    <row r="213" spans="1:6" x14ac:dyDescent="0.25">
      <c r="A213" s="5">
        <v>3400042</v>
      </c>
      <c r="B213" s="1">
        <v>2019</v>
      </c>
      <c r="C213" s="1" t="s">
        <v>1387</v>
      </c>
      <c r="D213" s="1" t="s">
        <v>1055</v>
      </c>
      <c r="E213" s="8">
        <v>285264</v>
      </c>
      <c r="F213" s="5">
        <v>3400042</v>
      </c>
    </row>
    <row r="214" spans="1:6" ht="20" x14ac:dyDescent="0.25">
      <c r="A214" s="5">
        <v>3400042</v>
      </c>
      <c r="B214" s="1">
        <v>2020</v>
      </c>
      <c r="C214" s="1" t="s">
        <v>1387</v>
      </c>
      <c r="D214" s="2" t="s">
        <v>1055</v>
      </c>
      <c r="E214" s="7">
        <v>327979</v>
      </c>
      <c r="F214" s="5">
        <v>3400042</v>
      </c>
    </row>
    <row r="215" spans="1:6" ht="20" x14ac:dyDescent="0.25">
      <c r="A215" s="5">
        <v>3400042</v>
      </c>
      <c r="B215" s="1">
        <v>2021</v>
      </c>
      <c r="C215" s="1" t="s">
        <v>1387</v>
      </c>
      <c r="D215" s="3" t="s">
        <v>1055</v>
      </c>
      <c r="E215" s="7">
        <v>491230</v>
      </c>
      <c r="F215" s="5">
        <v>3400042</v>
      </c>
    </row>
    <row r="216" spans="1:6" ht="20" x14ac:dyDescent="0.25">
      <c r="A216" s="5">
        <v>3400042</v>
      </c>
      <c r="B216" s="1">
        <v>2022</v>
      </c>
      <c r="C216" s="1" t="s">
        <v>1387</v>
      </c>
      <c r="D216" s="2" t="s">
        <v>1055</v>
      </c>
      <c r="E216" s="7">
        <v>719385</v>
      </c>
      <c r="F216" s="5">
        <v>3400042</v>
      </c>
    </row>
    <row r="217" spans="1:6" ht="20" x14ac:dyDescent="0.25">
      <c r="A217" s="5">
        <v>3400042</v>
      </c>
      <c r="B217" s="1">
        <v>2023</v>
      </c>
      <c r="C217" s="1" t="s">
        <v>1387</v>
      </c>
      <c r="D217" s="2" t="s">
        <v>1055</v>
      </c>
      <c r="E217" s="7">
        <v>837714</v>
      </c>
      <c r="F217" s="5">
        <v>3400042</v>
      </c>
    </row>
    <row r="218" spans="1:6" x14ac:dyDescent="0.25">
      <c r="A218" s="5">
        <v>3400043</v>
      </c>
      <c r="B218" s="1">
        <v>2015</v>
      </c>
      <c r="C218" s="1" t="s">
        <v>1387</v>
      </c>
      <c r="D218" s="1" t="s">
        <v>366</v>
      </c>
      <c r="E218" s="8">
        <v>140050</v>
      </c>
      <c r="F218" s="5">
        <v>3400043</v>
      </c>
    </row>
    <row r="219" spans="1:6" x14ac:dyDescent="0.25">
      <c r="A219" s="5">
        <v>3400043</v>
      </c>
      <c r="B219" s="1">
        <v>2016</v>
      </c>
      <c r="C219" s="1" t="s">
        <v>1387</v>
      </c>
      <c r="D219" s="1" t="s">
        <v>366</v>
      </c>
      <c r="E219" s="8">
        <v>196521</v>
      </c>
      <c r="F219" s="5">
        <v>3400043</v>
      </c>
    </row>
    <row r="220" spans="1:6" x14ac:dyDescent="0.25">
      <c r="A220" s="5">
        <v>3400043</v>
      </c>
      <c r="B220" s="1">
        <v>2017</v>
      </c>
      <c r="C220" s="1" t="s">
        <v>1387</v>
      </c>
      <c r="D220" s="1" t="s">
        <v>366</v>
      </c>
      <c r="E220" s="8">
        <v>288286</v>
      </c>
      <c r="F220" s="5">
        <v>3400043</v>
      </c>
    </row>
    <row r="221" spans="1:6" x14ac:dyDescent="0.25">
      <c r="A221" s="5">
        <v>3400043</v>
      </c>
      <c r="B221" s="1">
        <v>2018</v>
      </c>
      <c r="C221" s="1" t="s">
        <v>1387</v>
      </c>
      <c r="D221" s="1" t="s">
        <v>1058</v>
      </c>
      <c r="E221" s="8">
        <v>375176</v>
      </c>
      <c r="F221" s="5">
        <v>3400043</v>
      </c>
    </row>
    <row r="222" spans="1:6" x14ac:dyDescent="0.25">
      <c r="A222" s="5">
        <v>3400043</v>
      </c>
      <c r="B222" s="1">
        <v>2019</v>
      </c>
      <c r="C222" s="1" t="s">
        <v>1387</v>
      </c>
      <c r="D222" s="1" t="s">
        <v>1058</v>
      </c>
      <c r="E222" s="8">
        <v>484811</v>
      </c>
      <c r="F222" s="5">
        <v>3400043</v>
      </c>
    </row>
    <row r="223" spans="1:6" ht="20" x14ac:dyDescent="0.25">
      <c r="A223" s="5">
        <v>3400043</v>
      </c>
      <c r="B223" s="1">
        <v>2020</v>
      </c>
      <c r="C223" s="1" t="s">
        <v>1387</v>
      </c>
      <c r="D223" s="2" t="s">
        <v>1058</v>
      </c>
      <c r="E223" s="7">
        <v>660804</v>
      </c>
      <c r="F223" s="5">
        <v>3400043</v>
      </c>
    </row>
    <row r="224" spans="1:6" ht="20" x14ac:dyDescent="0.25">
      <c r="A224" s="5">
        <v>3400043</v>
      </c>
      <c r="B224" s="1">
        <v>2021</v>
      </c>
      <c r="C224" s="1" t="s">
        <v>1387</v>
      </c>
      <c r="D224" s="3" t="s">
        <v>1058</v>
      </c>
      <c r="E224" s="7">
        <v>829825</v>
      </c>
      <c r="F224" s="5">
        <v>3400043</v>
      </c>
    </row>
    <row r="225" spans="1:6" ht="20" x14ac:dyDescent="0.25">
      <c r="A225" s="5">
        <v>3400043</v>
      </c>
      <c r="B225" s="1">
        <v>2022</v>
      </c>
      <c r="C225" s="1" t="s">
        <v>1387</v>
      </c>
      <c r="D225" s="2" t="s">
        <v>1058</v>
      </c>
      <c r="E225" s="7">
        <v>1200266</v>
      </c>
      <c r="F225" s="5">
        <v>3400043</v>
      </c>
    </row>
    <row r="226" spans="1:6" ht="20" x14ac:dyDescent="0.25">
      <c r="A226" s="5">
        <v>3400043</v>
      </c>
      <c r="B226" s="1">
        <v>2023</v>
      </c>
      <c r="C226" s="1" t="s">
        <v>1387</v>
      </c>
      <c r="D226" s="2" t="s">
        <v>1058</v>
      </c>
      <c r="E226" s="7">
        <v>1219347</v>
      </c>
      <c r="F226" s="5">
        <v>3400043</v>
      </c>
    </row>
    <row r="227" spans="1:6" x14ac:dyDescent="0.25">
      <c r="A227" s="5">
        <v>3400046</v>
      </c>
      <c r="B227" s="1">
        <v>2015</v>
      </c>
      <c r="C227" s="1" t="s">
        <v>1387</v>
      </c>
      <c r="D227" s="1" t="s">
        <v>370</v>
      </c>
      <c r="E227" s="8">
        <v>108382</v>
      </c>
      <c r="F227" s="5">
        <v>3400046</v>
      </c>
    </row>
    <row r="228" spans="1:6" x14ac:dyDescent="0.25">
      <c r="A228" s="5">
        <v>3400046</v>
      </c>
      <c r="B228" s="1">
        <v>2016</v>
      </c>
      <c r="C228" s="1" t="s">
        <v>1387</v>
      </c>
      <c r="D228" s="1" t="s">
        <v>370</v>
      </c>
      <c r="E228" s="8">
        <v>164507</v>
      </c>
      <c r="F228" s="5">
        <v>3400046</v>
      </c>
    </row>
    <row r="229" spans="1:6" x14ac:dyDescent="0.25">
      <c r="A229" s="5">
        <v>3400046</v>
      </c>
      <c r="B229" s="1">
        <v>2017</v>
      </c>
      <c r="C229" s="1" t="s">
        <v>1387</v>
      </c>
      <c r="D229" s="1" t="s">
        <v>370</v>
      </c>
      <c r="E229" s="8">
        <v>226570</v>
      </c>
      <c r="F229" s="5">
        <v>3400046</v>
      </c>
    </row>
    <row r="230" spans="1:6" x14ac:dyDescent="0.25">
      <c r="A230" s="5">
        <v>3400046</v>
      </c>
      <c r="B230" s="1">
        <v>2018</v>
      </c>
      <c r="C230" s="1" t="s">
        <v>1387</v>
      </c>
      <c r="D230" s="1" t="s">
        <v>1062</v>
      </c>
      <c r="E230" s="8">
        <v>292079</v>
      </c>
      <c r="F230" s="5">
        <v>3400046</v>
      </c>
    </row>
    <row r="231" spans="1:6" x14ac:dyDescent="0.25">
      <c r="A231" s="5">
        <v>3400046</v>
      </c>
      <c r="B231" s="1">
        <v>2019</v>
      </c>
      <c r="C231" s="1" t="s">
        <v>1387</v>
      </c>
      <c r="D231" s="1" t="s">
        <v>1062</v>
      </c>
      <c r="E231" s="8">
        <v>429151</v>
      </c>
      <c r="F231" s="5">
        <v>3400046</v>
      </c>
    </row>
    <row r="232" spans="1:6" ht="20" x14ac:dyDescent="0.25">
      <c r="A232" s="5">
        <v>3400046</v>
      </c>
      <c r="B232" s="1">
        <v>2020</v>
      </c>
      <c r="C232" s="1" t="s">
        <v>1387</v>
      </c>
      <c r="D232" s="2" t="s">
        <v>1062</v>
      </c>
      <c r="E232" s="7">
        <v>495213</v>
      </c>
      <c r="F232" s="5">
        <v>3400046</v>
      </c>
    </row>
    <row r="233" spans="1:6" ht="20" x14ac:dyDescent="0.25">
      <c r="A233" s="5">
        <v>3400046</v>
      </c>
      <c r="B233" s="1">
        <v>2021</v>
      </c>
      <c r="C233" s="1" t="s">
        <v>1387</v>
      </c>
      <c r="D233" s="3" t="s">
        <v>1062</v>
      </c>
      <c r="E233" s="7">
        <v>667488</v>
      </c>
      <c r="F233" s="5">
        <v>3400046</v>
      </c>
    </row>
    <row r="234" spans="1:6" ht="20" x14ac:dyDescent="0.25">
      <c r="A234" s="5">
        <v>3400046</v>
      </c>
      <c r="B234" s="1">
        <v>2022</v>
      </c>
      <c r="C234" s="1" t="s">
        <v>1387</v>
      </c>
      <c r="D234" s="2" t="s">
        <v>1062</v>
      </c>
      <c r="E234" s="7">
        <v>886204</v>
      </c>
      <c r="F234" s="5">
        <v>3400046</v>
      </c>
    </row>
    <row r="235" spans="1:6" ht="20" x14ac:dyDescent="0.25">
      <c r="A235" s="5">
        <v>3400046</v>
      </c>
      <c r="B235" s="1">
        <v>2023</v>
      </c>
      <c r="C235" s="1" t="s">
        <v>1387</v>
      </c>
      <c r="D235" s="2" t="s">
        <v>1062</v>
      </c>
      <c r="E235" s="7">
        <v>902078</v>
      </c>
      <c r="F235" s="5">
        <v>3400046</v>
      </c>
    </row>
    <row r="236" spans="1:6" x14ac:dyDescent="0.25">
      <c r="A236" s="5">
        <v>3400047</v>
      </c>
      <c r="B236" s="1">
        <v>2015</v>
      </c>
      <c r="C236" s="1" t="s">
        <v>1387</v>
      </c>
      <c r="D236" s="1" t="s">
        <v>378</v>
      </c>
      <c r="E236" s="8">
        <v>101861</v>
      </c>
      <c r="F236" s="5">
        <v>3400047</v>
      </c>
    </row>
    <row r="237" spans="1:6" x14ac:dyDescent="0.25">
      <c r="A237" s="5">
        <v>3400047</v>
      </c>
      <c r="B237" s="1">
        <v>2016</v>
      </c>
      <c r="C237" s="1" t="s">
        <v>1387</v>
      </c>
      <c r="D237" s="1" t="s">
        <v>378</v>
      </c>
      <c r="E237" s="8">
        <v>162652</v>
      </c>
      <c r="F237" s="5">
        <v>3400047</v>
      </c>
    </row>
    <row r="238" spans="1:6" x14ac:dyDescent="0.25">
      <c r="A238" s="5">
        <v>3400047</v>
      </c>
      <c r="B238" s="1">
        <v>2017</v>
      </c>
      <c r="C238" s="1" t="s">
        <v>1387</v>
      </c>
      <c r="D238" s="1" t="s">
        <v>378</v>
      </c>
      <c r="E238" s="8">
        <v>250897</v>
      </c>
      <c r="F238" s="5">
        <v>3400047</v>
      </c>
    </row>
    <row r="239" spans="1:6" x14ac:dyDescent="0.25">
      <c r="A239" s="5">
        <v>3400047</v>
      </c>
      <c r="B239" s="1">
        <v>2018</v>
      </c>
      <c r="C239" s="1" t="s">
        <v>1387</v>
      </c>
      <c r="D239" s="1" t="s">
        <v>1071</v>
      </c>
      <c r="E239" s="8">
        <v>297174</v>
      </c>
      <c r="F239" s="5">
        <v>3400047</v>
      </c>
    </row>
    <row r="240" spans="1:6" x14ac:dyDescent="0.25">
      <c r="A240" s="5">
        <v>3400047</v>
      </c>
      <c r="B240" s="1">
        <v>2019</v>
      </c>
      <c r="C240" s="1" t="s">
        <v>1387</v>
      </c>
      <c r="D240" s="1" t="s">
        <v>1071</v>
      </c>
      <c r="E240" s="8">
        <v>442165</v>
      </c>
      <c r="F240" s="5">
        <v>3400047</v>
      </c>
    </row>
    <row r="241" spans="1:6" ht="20" x14ac:dyDescent="0.25">
      <c r="A241" s="5">
        <v>3400047</v>
      </c>
      <c r="B241" s="1">
        <v>2020</v>
      </c>
      <c r="C241" s="1" t="s">
        <v>1387</v>
      </c>
      <c r="D241" s="2" t="s">
        <v>1071</v>
      </c>
      <c r="E241" s="7">
        <v>495895</v>
      </c>
      <c r="F241" s="5">
        <v>3400047</v>
      </c>
    </row>
    <row r="242" spans="1:6" ht="20" x14ac:dyDescent="0.25">
      <c r="A242" s="5">
        <v>3400047</v>
      </c>
      <c r="B242" s="1">
        <v>2021</v>
      </c>
      <c r="C242" s="1" t="s">
        <v>1387</v>
      </c>
      <c r="D242" s="3" t="s">
        <v>1071</v>
      </c>
      <c r="E242" s="7">
        <v>624302</v>
      </c>
      <c r="F242" s="5">
        <v>3400047</v>
      </c>
    </row>
    <row r="243" spans="1:6" ht="20" x14ac:dyDescent="0.25">
      <c r="A243" s="5">
        <v>3400047</v>
      </c>
      <c r="B243" s="1">
        <v>2022</v>
      </c>
      <c r="C243" s="1" t="s">
        <v>1387</v>
      </c>
      <c r="D243" s="2" t="s">
        <v>1071</v>
      </c>
      <c r="E243" s="7">
        <v>694428</v>
      </c>
      <c r="F243" s="5">
        <v>3400047</v>
      </c>
    </row>
    <row r="244" spans="1:6" ht="20" x14ac:dyDescent="0.25">
      <c r="A244" s="5">
        <v>3400047</v>
      </c>
      <c r="B244" s="1">
        <v>2023</v>
      </c>
      <c r="C244" s="1" t="s">
        <v>1387</v>
      </c>
      <c r="D244" s="2" t="s">
        <v>1071</v>
      </c>
      <c r="E244" s="7">
        <v>835232</v>
      </c>
      <c r="F244" s="5">
        <v>3400047</v>
      </c>
    </row>
    <row r="245" spans="1:6" x14ac:dyDescent="0.25">
      <c r="A245" s="5">
        <v>3400048</v>
      </c>
      <c r="B245" s="1">
        <v>2015</v>
      </c>
      <c r="C245" s="1" t="s">
        <v>1387</v>
      </c>
      <c r="D245" s="1" t="s">
        <v>400</v>
      </c>
      <c r="E245" s="8">
        <v>73554</v>
      </c>
      <c r="F245" s="5">
        <v>3400048</v>
      </c>
    </row>
    <row r="246" spans="1:6" x14ac:dyDescent="0.25">
      <c r="A246" s="5">
        <v>3400048</v>
      </c>
      <c r="B246" s="1">
        <v>2016</v>
      </c>
      <c r="C246" s="1" t="s">
        <v>1387</v>
      </c>
      <c r="D246" s="1" t="s">
        <v>400</v>
      </c>
      <c r="E246" s="8">
        <v>107688</v>
      </c>
      <c r="F246" s="5">
        <v>3400048</v>
      </c>
    </row>
    <row r="247" spans="1:6" x14ac:dyDescent="0.25">
      <c r="A247" s="5">
        <v>3400048</v>
      </c>
      <c r="B247" s="1">
        <v>2017</v>
      </c>
      <c r="C247" s="1" t="s">
        <v>1387</v>
      </c>
      <c r="D247" s="1" t="s">
        <v>400</v>
      </c>
      <c r="E247" s="8" t="e">
        <f>VLOOKUP(A247,#REF!,6,FALSE)</f>
        <v>#REF!</v>
      </c>
      <c r="F247" s="5">
        <v>3400048</v>
      </c>
    </row>
    <row r="248" spans="1:6" x14ac:dyDescent="0.25">
      <c r="A248" s="5">
        <v>3400048</v>
      </c>
      <c r="B248" s="1">
        <v>2018</v>
      </c>
      <c r="C248" s="1" t="s">
        <v>1387</v>
      </c>
      <c r="D248" s="1" t="s">
        <v>1092</v>
      </c>
      <c r="E248" s="8">
        <v>225408</v>
      </c>
      <c r="F248" s="5">
        <v>3400048</v>
      </c>
    </row>
    <row r="249" spans="1:6" x14ac:dyDescent="0.25">
      <c r="A249" s="5">
        <v>3400048</v>
      </c>
      <c r="B249" s="1">
        <v>2019</v>
      </c>
      <c r="C249" s="1" t="s">
        <v>1387</v>
      </c>
      <c r="D249" s="1" t="s">
        <v>1092</v>
      </c>
      <c r="E249" s="8">
        <v>287048</v>
      </c>
      <c r="F249" s="5">
        <v>3400048</v>
      </c>
    </row>
    <row r="250" spans="1:6" ht="20" x14ac:dyDescent="0.25">
      <c r="A250" s="5">
        <v>3400048</v>
      </c>
      <c r="B250" s="1">
        <v>2020</v>
      </c>
      <c r="C250" s="1" t="s">
        <v>1387</v>
      </c>
      <c r="D250" s="2" t="s">
        <v>1092</v>
      </c>
      <c r="E250" s="7">
        <v>336652</v>
      </c>
      <c r="F250" s="5">
        <v>3400048</v>
      </c>
    </row>
    <row r="251" spans="1:6" ht="20" x14ac:dyDescent="0.25">
      <c r="A251" s="5">
        <v>3400048</v>
      </c>
      <c r="B251" s="1">
        <v>2021</v>
      </c>
      <c r="C251" s="1" t="s">
        <v>1387</v>
      </c>
      <c r="D251" s="3" t="s">
        <v>1092</v>
      </c>
      <c r="E251" s="7">
        <v>360807</v>
      </c>
      <c r="F251" s="5">
        <v>3400048</v>
      </c>
    </row>
    <row r="252" spans="1:6" ht="20" x14ac:dyDescent="0.25">
      <c r="A252" s="5">
        <v>3400048</v>
      </c>
      <c r="B252" s="1">
        <v>2022</v>
      </c>
      <c r="C252" s="1" t="s">
        <v>1387</v>
      </c>
      <c r="D252" s="2" t="s">
        <v>1092</v>
      </c>
      <c r="E252" s="7">
        <v>573976</v>
      </c>
      <c r="F252" s="5">
        <v>3400048</v>
      </c>
    </row>
    <row r="253" spans="1:6" ht="20" x14ac:dyDescent="0.25">
      <c r="A253" s="5">
        <v>3400048</v>
      </c>
      <c r="B253" s="1">
        <v>2023</v>
      </c>
      <c r="C253" s="1" t="s">
        <v>1387</v>
      </c>
      <c r="D253" s="2" t="s">
        <v>1092</v>
      </c>
      <c r="E253" s="7">
        <v>553871</v>
      </c>
      <c r="F253" s="5">
        <v>3400048</v>
      </c>
    </row>
    <row r="254" spans="1:6" x14ac:dyDescent="0.25">
      <c r="A254" s="5">
        <v>3400049</v>
      </c>
      <c r="B254" s="1">
        <v>2015</v>
      </c>
      <c r="C254" s="1" t="s">
        <v>1387</v>
      </c>
      <c r="D254" s="1" t="s">
        <v>439</v>
      </c>
      <c r="E254" s="8">
        <v>64385</v>
      </c>
      <c r="F254" s="5">
        <v>3400049</v>
      </c>
    </row>
    <row r="255" spans="1:6" x14ac:dyDescent="0.25">
      <c r="A255" s="5">
        <v>3400049</v>
      </c>
      <c r="B255" s="1">
        <v>2016</v>
      </c>
      <c r="C255" s="1" t="s">
        <v>1387</v>
      </c>
      <c r="D255" s="1" t="s">
        <v>439</v>
      </c>
      <c r="E255" s="8">
        <v>110793</v>
      </c>
      <c r="F255" s="5">
        <v>3400049</v>
      </c>
    </row>
    <row r="256" spans="1:6" x14ac:dyDescent="0.25">
      <c r="A256" s="5">
        <v>3400049</v>
      </c>
      <c r="B256" s="1">
        <v>2017</v>
      </c>
      <c r="C256" s="1" t="s">
        <v>1387</v>
      </c>
      <c r="D256" s="1" t="s">
        <v>439</v>
      </c>
      <c r="E256" s="8">
        <v>141420</v>
      </c>
      <c r="F256" s="5">
        <v>3400049</v>
      </c>
    </row>
    <row r="257" spans="1:6" x14ac:dyDescent="0.25">
      <c r="A257" s="5">
        <v>3400049</v>
      </c>
      <c r="B257" s="1">
        <v>2018</v>
      </c>
      <c r="C257" s="1" t="s">
        <v>1387</v>
      </c>
      <c r="D257" s="1" t="s">
        <v>1131</v>
      </c>
      <c r="E257" s="8">
        <v>212628</v>
      </c>
      <c r="F257" s="5">
        <v>3400049</v>
      </c>
    </row>
    <row r="258" spans="1:6" x14ac:dyDescent="0.25">
      <c r="A258" s="5">
        <v>3400049</v>
      </c>
      <c r="B258" s="1">
        <v>2019</v>
      </c>
      <c r="C258" s="1" t="s">
        <v>1387</v>
      </c>
      <c r="D258" s="1" t="s">
        <v>1131</v>
      </c>
      <c r="E258" s="8">
        <v>295732</v>
      </c>
      <c r="F258" s="5">
        <v>3400049</v>
      </c>
    </row>
    <row r="259" spans="1:6" ht="20" x14ac:dyDescent="0.25">
      <c r="A259" s="5">
        <v>3400049</v>
      </c>
      <c r="B259" s="1">
        <v>2020</v>
      </c>
      <c r="C259" s="1" t="s">
        <v>1387</v>
      </c>
      <c r="D259" s="2" t="s">
        <v>1131</v>
      </c>
      <c r="E259" s="7">
        <v>321814</v>
      </c>
      <c r="F259" s="5">
        <v>3400049</v>
      </c>
    </row>
    <row r="260" spans="1:6" ht="20" x14ac:dyDescent="0.25">
      <c r="A260" s="5">
        <v>3400049</v>
      </c>
      <c r="B260" s="1">
        <v>2021</v>
      </c>
      <c r="C260" s="1" t="s">
        <v>1387</v>
      </c>
      <c r="D260" s="3" t="s">
        <v>1131</v>
      </c>
      <c r="E260" s="7">
        <v>427859</v>
      </c>
      <c r="F260" s="5">
        <v>3400049</v>
      </c>
    </row>
    <row r="261" spans="1:6" ht="20" x14ac:dyDescent="0.25">
      <c r="A261" s="5">
        <v>3400049</v>
      </c>
      <c r="B261" s="1">
        <v>2022</v>
      </c>
      <c r="C261" s="1" t="s">
        <v>1387</v>
      </c>
      <c r="D261" s="2" t="s">
        <v>1131</v>
      </c>
      <c r="E261" s="7">
        <v>594928</v>
      </c>
      <c r="F261" s="5">
        <v>3400049</v>
      </c>
    </row>
    <row r="262" spans="1:6" ht="20" x14ac:dyDescent="0.25">
      <c r="A262" s="5">
        <v>3400049</v>
      </c>
      <c r="B262" s="1">
        <v>2023</v>
      </c>
      <c r="C262" s="1" t="s">
        <v>1387</v>
      </c>
      <c r="D262" s="2" t="s">
        <v>1131</v>
      </c>
      <c r="E262" s="7">
        <v>609822</v>
      </c>
      <c r="F262" s="5">
        <v>3400049</v>
      </c>
    </row>
    <row r="263" spans="1:6" x14ac:dyDescent="0.25">
      <c r="A263" s="5">
        <v>3400050</v>
      </c>
      <c r="B263" s="1">
        <v>2015</v>
      </c>
      <c r="C263" s="1" t="s">
        <v>1387</v>
      </c>
      <c r="D263" s="1" t="s">
        <v>342</v>
      </c>
      <c r="E263" s="8">
        <v>71599</v>
      </c>
      <c r="F263" s="5">
        <v>3400050</v>
      </c>
    </row>
    <row r="264" spans="1:6" x14ac:dyDescent="0.25">
      <c r="A264" s="5">
        <v>3400050</v>
      </c>
      <c r="B264" s="1">
        <v>2016</v>
      </c>
      <c r="C264" s="1" t="s">
        <v>1387</v>
      </c>
      <c r="D264" s="1" t="s">
        <v>342</v>
      </c>
      <c r="E264" s="8">
        <v>110200</v>
      </c>
      <c r="F264" s="5">
        <v>3400050</v>
      </c>
    </row>
    <row r="265" spans="1:6" x14ac:dyDescent="0.25">
      <c r="A265" s="5">
        <v>3400050</v>
      </c>
      <c r="B265" s="1">
        <v>2017</v>
      </c>
      <c r="C265" s="1" t="s">
        <v>1387</v>
      </c>
      <c r="D265" s="1" t="s">
        <v>342</v>
      </c>
      <c r="E265" s="8">
        <v>147391</v>
      </c>
      <c r="F265" s="5">
        <v>3400050</v>
      </c>
    </row>
    <row r="266" spans="1:6" x14ac:dyDescent="0.25">
      <c r="A266" s="5">
        <v>3400050</v>
      </c>
      <c r="B266" s="1">
        <v>2018</v>
      </c>
      <c r="C266" s="1" t="s">
        <v>1387</v>
      </c>
      <c r="D266" s="1" t="s">
        <v>1035</v>
      </c>
      <c r="E266" s="8">
        <v>214832</v>
      </c>
      <c r="F266" s="5">
        <v>3400050</v>
      </c>
    </row>
    <row r="267" spans="1:6" x14ac:dyDescent="0.25">
      <c r="A267" s="5">
        <v>3400050</v>
      </c>
      <c r="B267" s="1">
        <v>2019</v>
      </c>
      <c r="C267" s="1" t="s">
        <v>1387</v>
      </c>
      <c r="D267" s="1" t="s">
        <v>1035</v>
      </c>
      <c r="E267" s="8">
        <v>248183</v>
      </c>
      <c r="F267" s="5">
        <v>3400050</v>
      </c>
    </row>
    <row r="268" spans="1:6" ht="20" x14ac:dyDescent="0.25">
      <c r="A268" s="5">
        <v>3400050</v>
      </c>
      <c r="B268" s="1">
        <v>2020</v>
      </c>
      <c r="C268" s="1" t="s">
        <v>1387</v>
      </c>
      <c r="D268" s="2" t="s">
        <v>1035</v>
      </c>
      <c r="E268" s="7">
        <v>319547</v>
      </c>
      <c r="F268" s="5">
        <v>3400050</v>
      </c>
    </row>
    <row r="269" spans="1:6" ht="20" x14ac:dyDescent="0.25">
      <c r="A269" s="5">
        <v>3400050</v>
      </c>
      <c r="B269" s="1">
        <v>2021</v>
      </c>
      <c r="C269" s="1" t="s">
        <v>1387</v>
      </c>
      <c r="D269" s="3" t="s">
        <v>1035</v>
      </c>
      <c r="E269" s="7">
        <v>448732</v>
      </c>
      <c r="F269" s="5">
        <v>3400050</v>
      </c>
    </row>
    <row r="270" spans="1:6" ht="20" x14ac:dyDescent="0.25">
      <c r="A270" s="5">
        <v>3400050</v>
      </c>
      <c r="B270" s="1">
        <v>2022</v>
      </c>
      <c r="C270" s="1" t="s">
        <v>1387</v>
      </c>
      <c r="D270" s="2" t="s">
        <v>1035</v>
      </c>
      <c r="E270" s="7">
        <v>618585</v>
      </c>
      <c r="F270" s="5">
        <v>3400050</v>
      </c>
    </row>
    <row r="271" spans="1:6" ht="20" x14ac:dyDescent="0.25">
      <c r="A271" s="5">
        <v>3400050</v>
      </c>
      <c r="B271" s="1">
        <v>2023</v>
      </c>
      <c r="C271" s="1" t="s">
        <v>1387</v>
      </c>
      <c r="D271" s="2" t="s">
        <v>1035</v>
      </c>
      <c r="E271" s="7">
        <v>777024</v>
      </c>
      <c r="F271" s="5">
        <v>3400050</v>
      </c>
    </row>
    <row r="272" spans="1:6" x14ac:dyDescent="0.25">
      <c r="A272" s="5">
        <v>3400051</v>
      </c>
      <c r="B272" s="1">
        <v>2015</v>
      </c>
      <c r="C272" s="1" t="s">
        <v>1387</v>
      </c>
      <c r="D272" s="1" t="s">
        <v>608</v>
      </c>
      <c r="E272" s="8">
        <v>60735</v>
      </c>
      <c r="F272" s="5">
        <v>3400051</v>
      </c>
    </row>
    <row r="273" spans="1:6" x14ac:dyDescent="0.25">
      <c r="A273" s="5">
        <v>3400051</v>
      </c>
      <c r="B273" s="1">
        <v>2016</v>
      </c>
      <c r="C273" s="1" t="s">
        <v>1387</v>
      </c>
      <c r="D273" s="1" t="s">
        <v>608</v>
      </c>
      <c r="E273" s="8">
        <v>86539</v>
      </c>
      <c r="F273" s="5">
        <v>3400051</v>
      </c>
    </row>
    <row r="274" spans="1:6" x14ac:dyDescent="0.25">
      <c r="A274" s="5">
        <v>3400051</v>
      </c>
      <c r="B274" s="1">
        <v>2017</v>
      </c>
      <c r="C274" s="1" t="s">
        <v>1387</v>
      </c>
      <c r="D274" s="1" t="s">
        <v>608</v>
      </c>
      <c r="E274" s="8">
        <v>121785</v>
      </c>
      <c r="F274" s="5">
        <v>3400051</v>
      </c>
    </row>
    <row r="275" spans="1:6" x14ac:dyDescent="0.25">
      <c r="A275" s="5">
        <v>3400051</v>
      </c>
      <c r="B275" s="1">
        <v>2018</v>
      </c>
      <c r="C275" s="1" t="s">
        <v>1387</v>
      </c>
      <c r="D275" s="1" t="s">
        <v>1301</v>
      </c>
      <c r="E275" s="8">
        <v>196803</v>
      </c>
      <c r="F275" s="5">
        <v>3400051</v>
      </c>
    </row>
    <row r="276" spans="1:6" x14ac:dyDescent="0.25">
      <c r="A276" s="5">
        <v>3400051</v>
      </c>
      <c r="B276" s="1">
        <v>2019</v>
      </c>
      <c r="C276" s="1" t="s">
        <v>1387</v>
      </c>
      <c r="D276" s="1" t="s">
        <v>1301</v>
      </c>
      <c r="E276" s="8">
        <v>279662</v>
      </c>
      <c r="F276" s="5">
        <v>3400051</v>
      </c>
    </row>
    <row r="277" spans="1:6" ht="20" x14ac:dyDescent="0.25">
      <c r="A277" s="5">
        <v>3400051</v>
      </c>
      <c r="B277" s="1">
        <v>2020</v>
      </c>
      <c r="C277" s="1" t="s">
        <v>1387</v>
      </c>
      <c r="D277" s="2" t="s">
        <v>1301</v>
      </c>
      <c r="E277" s="7">
        <v>309108</v>
      </c>
      <c r="F277" s="5">
        <v>3400051</v>
      </c>
    </row>
    <row r="278" spans="1:6" ht="20" x14ac:dyDescent="0.25">
      <c r="A278" s="5">
        <v>3400051</v>
      </c>
      <c r="B278" s="1">
        <v>2021</v>
      </c>
      <c r="C278" s="1" t="s">
        <v>1387</v>
      </c>
      <c r="D278" s="3" t="s">
        <v>1301</v>
      </c>
      <c r="E278" s="7">
        <v>411018</v>
      </c>
      <c r="F278" s="5">
        <v>3400051</v>
      </c>
    </row>
    <row r="279" spans="1:6" ht="20" x14ac:dyDescent="0.25">
      <c r="A279" s="5">
        <v>3400051</v>
      </c>
      <c r="B279" s="1">
        <v>2022</v>
      </c>
      <c r="C279" s="1" t="s">
        <v>1387</v>
      </c>
      <c r="D279" s="2" t="s">
        <v>1301</v>
      </c>
      <c r="E279" s="7">
        <v>592466</v>
      </c>
      <c r="F279" s="5">
        <v>3400051</v>
      </c>
    </row>
    <row r="280" spans="1:6" ht="20" x14ac:dyDescent="0.25">
      <c r="A280" s="5">
        <v>3400051</v>
      </c>
      <c r="B280" s="1">
        <v>2023</v>
      </c>
      <c r="C280" s="1" t="s">
        <v>1387</v>
      </c>
      <c r="D280" s="2" t="s">
        <v>1301</v>
      </c>
      <c r="E280" s="7">
        <v>570633</v>
      </c>
      <c r="F280" s="5">
        <v>3400051</v>
      </c>
    </row>
    <row r="281" spans="1:6" x14ac:dyDescent="0.25">
      <c r="A281" s="5">
        <v>3400052</v>
      </c>
      <c r="B281" s="1">
        <v>2015</v>
      </c>
      <c r="C281" s="1" t="s">
        <v>1387</v>
      </c>
      <c r="D281" s="1" t="s">
        <v>524</v>
      </c>
      <c r="E281" s="8">
        <v>25736</v>
      </c>
      <c r="F281" s="5">
        <v>3400052</v>
      </c>
    </row>
    <row r="282" spans="1:6" x14ac:dyDescent="0.25">
      <c r="A282" s="5">
        <v>3400052</v>
      </c>
      <c r="B282" s="1">
        <v>2016</v>
      </c>
      <c r="C282" s="1" t="s">
        <v>1387</v>
      </c>
      <c r="D282" s="1" t="s">
        <v>524</v>
      </c>
      <c r="E282" s="8">
        <v>40264</v>
      </c>
      <c r="F282" s="5">
        <v>3400052</v>
      </c>
    </row>
    <row r="283" spans="1:6" x14ac:dyDescent="0.25">
      <c r="A283" s="5">
        <v>3400052</v>
      </c>
      <c r="B283" s="1">
        <v>2017</v>
      </c>
      <c r="C283" s="1" t="s">
        <v>1387</v>
      </c>
      <c r="D283" s="1" t="s">
        <v>524</v>
      </c>
      <c r="E283" s="8">
        <v>65487</v>
      </c>
      <c r="F283" s="5">
        <v>3400052</v>
      </c>
    </row>
    <row r="284" spans="1:6" x14ac:dyDescent="0.25">
      <c r="A284" s="5">
        <v>3400052</v>
      </c>
      <c r="B284" s="1">
        <v>2018</v>
      </c>
      <c r="C284" s="1" t="s">
        <v>1387</v>
      </c>
      <c r="D284" s="1" t="s">
        <v>1216</v>
      </c>
      <c r="E284" s="8">
        <v>92751</v>
      </c>
      <c r="F284" s="5">
        <v>3400052</v>
      </c>
    </row>
    <row r="285" spans="1:6" x14ac:dyDescent="0.25">
      <c r="A285" s="5">
        <v>3400052</v>
      </c>
      <c r="B285" s="1">
        <v>2019</v>
      </c>
      <c r="C285" s="1" t="s">
        <v>1387</v>
      </c>
      <c r="D285" s="1" t="s">
        <v>1216</v>
      </c>
      <c r="E285" s="8">
        <v>114579</v>
      </c>
      <c r="F285" s="5">
        <v>3400052</v>
      </c>
    </row>
    <row r="286" spans="1:6" ht="20" x14ac:dyDescent="0.25">
      <c r="A286" s="5">
        <v>3400052</v>
      </c>
      <c r="B286" s="1">
        <v>2020</v>
      </c>
      <c r="C286" s="1" t="s">
        <v>1387</v>
      </c>
      <c r="D286" s="2" t="s">
        <v>1216</v>
      </c>
      <c r="E286" s="7">
        <v>126882</v>
      </c>
      <c r="F286" s="5">
        <v>3400052</v>
      </c>
    </row>
    <row r="287" spans="1:6" ht="20" x14ac:dyDescent="0.25">
      <c r="A287" s="5">
        <v>3400052</v>
      </c>
      <c r="B287" s="1">
        <v>2021</v>
      </c>
      <c r="C287" s="1" t="s">
        <v>1387</v>
      </c>
      <c r="D287" s="3" t="s">
        <v>1216</v>
      </c>
      <c r="E287" s="7">
        <v>141535</v>
      </c>
      <c r="F287" s="5">
        <v>3400052</v>
      </c>
    </row>
    <row r="288" spans="1:6" ht="20" x14ac:dyDescent="0.25">
      <c r="A288" s="5">
        <v>3400052</v>
      </c>
      <c r="B288" s="1">
        <v>2022</v>
      </c>
      <c r="C288" s="1" t="s">
        <v>1387</v>
      </c>
      <c r="D288" s="2" t="s">
        <v>1216</v>
      </c>
      <c r="E288" s="7">
        <v>316781</v>
      </c>
      <c r="F288" s="5">
        <v>3400052</v>
      </c>
    </row>
    <row r="289" spans="1:6" ht="20" x14ac:dyDescent="0.25">
      <c r="A289" s="5">
        <v>3400052</v>
      </c>
      <c r="B289" s="1">
        <v>2023</v>
      </c>
      <c r="C289" s="1" t="s">
        <v>1387</v>
      </c>
      <c r="D289" s="2" t="s">
        <v>1216</v>
      </c>
      <c r="E289" s="7">
        <v>303056</v>
      </c>
      <c r="F289" s="5">
        <v>3400052</v>
      </c>
    </row>
    <row r="290" spans="1:6" x14ac:dyDescent="0.25">
      <c r="A290" s="5">
        <v>3400055</v>
      </c>
      <c r="B290" s="1">
        <v>2015</v>
      </c>
      <c r="C290" s="1" t="s">
        <v>1387</v>
      </c>
      <c r="D290" s="1" t="s">
        <v>605</v>
      </c>
      <c r="E290" s="8">
        <v>77038</v>
      </c>
      <c r="F290" s="5">
        <v>3400055</v>
      </c>
    </row>
    <row r="291" spans="1:6" x14ac:dyDescent="0.25">
      <c r="A291" s="5">
        <v>3400055</v>
      </c>
      <c r="B291" s="1">
        <v>2016</v>
      </c>
      <c r="C291" s="1" t="s">
        <v>1387</v>
      </c>
      <c r="D291" s="1" t="s">
        <v>605</v>
      </c>
      <c r="E291" s="8">
        <v>112054</v>
      </c>
      <c r="F291" s="5">
        <v>3400055</v>
      </c>
    </row>
    <row r="292" spans="1:6" x14ac:dyDescent="0.25">
      <c r="A292" s="5">
        <v>3400055</v>
      </c>
      <c r="B292" s="1">
        <v>2017</v>
      </c>
      <c r="C292" s="1" t="s">
        <v>1387</v>
      </c>
      <c r="D292" s="1" t="s">
        <v>605</v>
      </c>
      <c r="E292" s="8">
        <v>167986</v>
      </c>
      <c r="F292" s="5">
        <v>3400055</v>
      </c>
    </row>
    <row r="293" spans="1:6" x14ac:dyDescent="0.25">
      <c r="A293" s="5">
        <v>3400055</v>
      </c>
      <c r="B293" s="1">
        <v>2018</v>
      </c>
      <c r="C293" s="1" t="s">
        <v>1387</v>
      </c>
      <c r="D293" s="1" t="s">
        <v>1298</v>
      </c>
      <c r="E293" s="8">
        <v>222673</v>
      </c>
      <c r="F293" s="5">
        <v>3400055</v>
      </c>
    </row>
    <row r="294" spans="1:6" x14ac:dyDescent="0.25">
      <c r="A294" s="5">
        <v>3400055</v>
      </c>
      <c r="B294" s="1">
        <v>2019</v>
      </c>
      <c r="C294" s="1" t="s">
        <v>1387</v>
      </c>
      <c r="D294" s="1" t="s">
        <v>1298</v>
      </c>
      <c r="E294" s="8">
        <v>325962</v>
      </c>
      <c r="F294" s="5">
        <v>3400055</v>
      </c>
    </row>
    <row r="295" spans="1:6" ht="20" x14ac:dyDescent="0.25">
      <c r="A295" s="5">
        <v>3400055</v>
      </c>
      <c r="B295" s="1">
        <v>2020</v>
      </c>
      <c r="C295" s="1" t="s">
        <v>1387</v>
      </c>
      <c r="D295" s="2" t="s">
        <v>1298</v>
      </c>
      <c r="E295" s="7">
        <v>365137</v>
      </c>
      <c r="F295" s="5">
        <v>3400055</v>
      </c>
    </row>
    <row r="296" spans="1:6" ht="20" x14ac:dyDescent="0.25">
      <c r="A296" s="5">
        <v>3400055</v>
      </c>
      <c r="B296" s="1">
        <v>2021</v>
      </c>
      <c r="C296" s="1" t="s">
        <v>1387</v>
      </c>
      <c r="D296" s="3" t="s">
        <v>1298</v>
      </c>
      <c r="E296" s="7">
        <v>441615</v>
      </c>
      <c r="F296" s="5">
        <v>3400055</v>
      </c>
    </row>
    <row r="297" spans="1:6" ht="20" x14ac:dyDescent="0.25">
      <c r="A297" s="5">
        <v>3400055</v>
      </c>
      <c r="B297" s="1">
        <v>2022</v>
      </c>
      <c r="C297" s="1" t="s">
        <v>1387</v>
      </c>
      <c r="D297" s="2" t="s">
        <v>1298</v>
      </c>
      <c r="E297" s="7">
        <v>632262</v>
      </c>
      <c r="F297" s="5">
        <v>3400055</v>
      </c>
    </row>
    <row r="298" spans="1:6" ht="20" x14ac:dyDescent="0.25">
      <c r="A298" s="5">
        <v>3400055</v>
      </c>
      <c r="B298" s="1">
        <v>2023</v>
      </c>
      <c r="C298" s="1" t="s">
        <v>1387</v>
      </c>
      <c r="D298" s="2" t="s">
        <v>1298</v>
      </c>
      <c r="E298" s="7">
        <v>658154</v>
      </c>
      <c r="F298" s="5">
        <v>3400055</v>
      </c>
    </row>
    <row r="299" spans="1:6" x14ac:dyDescent="0.25">
      <c r="A299" s="5">
        <v>3400059</v>
      </c>
      <c r="B299" s="1">
        <v>2015</v>
      </c>
      <c r="C299" s="1" t="s">
        <v>1387</v>
      </c>
      <c r="D299" s="1" t="s">
        <v>11</v>
      </c>
      <c r="E299" s="8">
        <v>77314</v>
      </c>
      <c r="F299" s="5">
        <v>3400059</v>
      </c>
    </row>
    <row r="300" spans="1:6" x14ac:dyDescent="0.25">
      <c r="A300" s="5">
        <v>3400059</v>
      </c>
      <c r="B300" s="1">
        <v>2016</v>
      </c>
      <c r="C300" s="1" t="s">
        <v>1387</v>
      </c>
      <c r="D300" s="1" t="s">
        <v>11</v>
      </c>
      <c r="E300" s="8">
        <v>128495</v>
      </c>
      <c r="F300" s="5">
        <v>3400059</v>
      </c>
    </row>
    <row r="301" spans="1:6" x14ac:dyDescent="0.25">
      <c r="A301" s="5">
        <v>3400059</v>
      </c>
      <c r="B301" s="1">
        <v>2017</v>
      </c>
      <c r="C301" s="1" t="s">
        <v>1387</v>
      </c>
      <c r="D301" s="1" t="s">
        <v>11</v>
      </c>
      <c r="E301" s="8">
        <v>157991</v>
      </c>
      <c r="F301" s="5">
        <v>3400059</v>
      </c>
    </row>
    <row r="302" spans="1:6" x14ac:dyDescent="0.25">
      <c r="A302" s="5">
        <v>3400059</v>
      </c>
      <c r="B302" s="1">
        <v>2018</v>
      </c>
      <c r="C302" s="1" t="s">
        <v>1387</v>
      </c>
      <c r="D302" s="1" t="s">
        <v>690</v>
      </c>
      <c r="E302" s="8">
        <v>130214</v>
      </c>
      <c r="F302" s="5">
        <v>3400059</v>
      </c>
    </row>
    <row r="303" spans="1:6" x14ac:dyDescent="0.25">
      <c r="A303" s="5">
        <v>3400061</v>
      </c>
      <c r="B303" s="1">
        <v>2015</v>
      </c>
      <c r="C303" s="1" t="s">
        <v>1387</v>
      </c>
      <c r="D303" s="1" t="s">
        <v>624</v>
      </c>
      <c r="E303" s="8">
        <v>78384</v>
      </c>
      <c r="F303" s="5">
        <v>3400061</v>
      </c>
    </row>
    <row r="304" spans="1:6" x14ac:dyDescent="0.25">
      <c r="A304" s="5">
        <v>3400061</v>
      </c>
      <c r="B304" s="1">
        <v>2016</v>
      </c>
      <c r="C304" s="1" t="s">
        <v>1387</v>
      </c>
      <c r="D304" s="1" t="s">
        <v>624</v>
      </c>
      <c r="E304" s="8">
        <v>124444</v>
      </c>
      <c r="F304" s="5">
        <v>3400061</v>
      </c>
    </row>
    <row r="305" spans="1:6" x14ac:dyDescent="0.25">
      <c r="A305" s="5">
        <v>3400061</v>
      </c>
      <c r="B305" s="1">
        <v>2017</v>
      </c>
      <c r="C305" s="1" t="s">
        <v>1387</v>
      </c>
      <c r="D305" s="1" t="s">
        <v>624</v>
      </c>
      <c r="E305" s="8">
        <v>179537</v>
      </c>
      <c r="F305" s="5">
        <v>3400061</v>
      </c>
    </row>
    <row r="306" spans="1:6" x14ac:dyDescent="0.25">
      <c r="A306" s="5">
        <v>3400061</v>
      </c>
      <c r="B306" s="1">
        <v>2018</v>
      </c>
      <c r="C306" s="1" t="s">
        <v>1387</v>
      </c>
      <c r="D306" s="1" t="s">
        <v>1317</v>
      </c>
      <c r="E306" s="8">
        <v>302633</v>
      </c>
      <c r="F306" s="5">
        <v>3400061</v>
      </c>
    </row>
    <row r="307" spans="1:6" x14ac:dyDescent="0.25">
      <c r="A307" s="5">
        <v>3400061</v>
      </c>
      <c r="B307" s="1">
        <v>2019</v>
      </c>
      <c r="C307" s="1" t="s">
        <v>1387</v>
      </c>
      <c r="D307" s="1" t="s">
        <v>1317</v>
      </c>
      <c r="E307" s="8">
        <v>351589</v>
      </c>
      <c r="F307" s="5">
        <v>3400061</v>
      </c>
    </row>
    <row r="308" spans="1:6" ht="20" x14ac:dyDescent="0.25">
      <c r="A308" s="5">
        <v>3400061</v>
      </c>
      <c r="B308" s="1">
        <v>2020</v>
      </c>
      <c r="C308" s="1" t="s">
        <v>1387</v>
      </c>
      <c r="D308" s="2" t="s">
        <v>1317</v>
      </c>
      <c r="E308" s="7">
        <v>389011</v>
      </c>
      <c r="F308" s="5">
        <v>3400061</v>
      </c>
    </row>
    <row r="309" spans="1:6" ht="20" x14ac:dyDescent="0.25">
      <c r="A309" s="5">
        <v>3400061</v>
      </c>
      <c r="B309" s="1">
        <v>2021</v>
      </c>
      <c r="C309" s="1" t="s">
        <v>1387</v>
      </c>
      <c r="D309" s="3" t="s">
        <v>1317</v>
      </c>
      <c r="E309" s="7">
        <v>537754</v>
      </c>
      <c r="F309" s="5">
        <v>3400061</v>
      </c>
    </row>
    <row r="310" spans="1:6" ht="20" x14ac:dyDescent="0.25">
      <c r="A310" s="5">
        <v>3400061</v>
      </c>
      <c r="B310" s="1">
        <v>2022</v>
      </c>
      <c r="C310" s="1" t="s">
        <v>1387</v>
      </c>
      <c r="D310" s="2" t="s">
        <v>1317</v>
      </c>
      <c r="E310" s="8">
        <v>695942</v>
      </c>
      <c r="F310" s="5">
        <v>3400061</v>
      </c>
    </row>
    <row r="311" spans="1:6" ht="20" x14ac:dyDescent="0.25">
      <c r="A311" s="5">
        <v>3400061</v>
      </c>
      <c r="B311" s="1">
        <v>2023</v>
      </c>
      <c r="C311" s="1" t="s">
        <v>1387</v>
      </c>
      <c r="D311" s="2" t="s">
        <v>1317</v>
      </c>
      <c r="E311" s="9">
        <v>648391</v>
      </c>
      <c r="F311" s="5">
        <v>3400061</v>
      </c>
    </row>
    <row r="312" spans="1:6" x14ac:dyDescent="0.25">
      <c r="A312" s="5">
        <v>3400062</v>
      </c>
      <c r="B312" s="1">
        <v>2015</v>
      </c>
      <c r="C312" s="1" t="s">
        <v>1387</v>
      </c>
      <c r="D312" s="1" t="s">
        <v>277</v>
      </c>
      <c r="E312" s="8">
        <v>17464</v>
      </c>
      <c r="F312" s="5">
        <v>3400062</v>
      </c>
    </row>
    <row r="313" spans="1:6" x14ac:dyDescent="0.25">
      <c r="A313" s="5">
        <v>3400062</v>
      </c>
      <c r="B313" s="1">
        <v>2016</v>
      </c>
      <c r="C313" s="1" t="s">
        <v>1387</v>
      </c>
      <c r="D313" s="1" t="s">
        <v>277</v>
      </c>
      <c r="E313" s="8">
        <v>26466</v>
      </c>
      <c r="F313" s="5">
        <v>3400062</v>
      </c>
    </row>
    <row r="314" spans="1:6" x14ac:dyDescent="0.25">
      <c r="A314" s="5">
        <v>3400062</v>
      </c>
      <c r="B314" s="1">
        <v>2017</v>
      </c>
      <c r="C314" s="1" t="s">
        <v>1387</v>
      </c>
      <c r="D314" s="1" t="s">
        <v>277</v>
      </c>
      <c r="E314" s="8">
        <v>28230</v>
      </c>
      <c r="F314" s="5">
        <v>3400062</v>
      </c>
    </row>
    <row r="315" spans="1:6" x14ac:dyDescent="0.25">
      <c r="A315" s="5">
        <v>3400062</v>
      </c>
      <c r="B315" s="1">
        <v>2018</v>
      </c>
      <c r="C315" s="1" t="s">
        <v>1387</v>
      </c>
      <c r="D315" s="1" t="s">
        <v>967</v>
      </c>
      <c r="E315" s="8">
        <v>70157</v>
      </c>
      <c r="F315" s="5">
        <v>3400062</v>
      </c>
    </row>
    <row r="316" spans="1:6" x14ac:dyDescent="0.25">
      <c r="A316" s="5">
        <v>3400062</v>
      </c>
      <c r="B316" s="1">
        <v>2019</v>
      </c>
      <c r="C316" s="1" t="s">
        <v>1387</v>
      </c>
      <c r="D316" s="1" t="s">
        <v>967</v>
      </c>
      <c r="E316" s="8">
        <v>92876</v>
      </c>
      <c r="F316" s="5">
        <v>3400062</v>
      </c>
    </row>
    <row r="317" spans="1:6" x14ac:dyDescent="0.25">
      <c r="A317" s="5">
        <v>3400064</v>
      </c>
      <c r="B317" s="1">
        <v>2015</v>
      </c>
      <c r="C317" s="1" t="s">
        <v>1387</v>
      </c>
      <c r="D317" s="1" t="s">
        <v>242</v>
      </c>
      <c r="E317" s="8">
        <v>77722</v>
      </c>
      <c r="F317" s="5">
        <v>3400064</v>
      </c>
    </row>
    <row r="318" spans="1:6" x14ac:dyDescent="0.25">
      <c r="A318" s="5">
        <v>3400064</v>
      </c>
      <c r="B318" s="1">
        <v>2017</v>
      </c>
      <c r="C318" s="1" t="s">
        <v>1387</v>
      </c>
      <c r="D318" s="1" t="s">
        <v>242</v>
      </c>
      <c r="E318" s="8">
        <v>147982</v>
      </c>
      <c r="F318" s="5">
        <v>3400064</v>
      </c>
    </row>
    <row r="319" spans="1:6" x14ac:dyDescent="0.25">
      <c r="A319" s="5">
        <v>3400064</v>
      </c>
      <c r="B319" s="1">
        <v>2018</v>
      </c>
      <c r="C319" s="1" t="s">
        <v>1387</v>
      </c>
      <c r="D319" s="1" t="s">
        <v>928</v>
      </c>
      <c r="E319" s="8">
        <v>243265</v>
      </c>
      <c r="F319" s="5">
        <v>3400064</v>
      </c>
    </row>
    <row r="320" spans="1:6" x14ac:dyDescent="0.25">
      <c r="A320" s="5">
        <v>3400064</v>
      </c>
      <c r="B320" s="1">
        <v>2019</v>
      </c>
      <c r="C320" s="1" t="s">
        <v>1387</v>
      </c>
      <c r="D320" s="1" t="s">
        <v>928</v>
      </c>
      <c r="E320" s="8">
        <v>319312</v>
      </c>
      <c r="F320" s="5">
        <v>3400064</v>
      </c>
    </row>
    <row r="321" spans="1:6" ht="20" x14ac:dyDescent="0.25">
      <c r="A321" s="5">
        <v>3400064</v>
      </c>
      <c r="B321" s="1">
        <v>2020</v>
      </c>
      <c r="C321" s="1" t="s">
        <v>1387</v>
      </c>
      <c r="D321" s="2" t="s">
        <v>928</v>
      </c>
      <c r="E321" s="7">
        <v>366633</v>
      </c>
      <c r="F321" s="5">
        <v>3400064</v>
      </c>
    </row>
    <row r="322" spans="1:6" ht="20" x14ac:dyDescent="0.25">
      <c r="A322" s="5">
        <v>3400064</v>
      </c>
      <c r="B322" s="1">
        <v>2021</v>
      </c>
      <c r="C322" s="1" t="s">
        <v>1387</v>
      </c>
      <c r="D322" s="3" t="s">
        <v>928</v>
      </c>
      <c r="E322" s="7">
        <v>480304</v>
      </c>
      <c r="F322" s="5">
        <v>3400064</v>
      </c>
    </row>
    <row r="323" spans="1:6" ht="20" x14ac:dyDescent="0.25">
      <c r="A323" s="5">
        <v>3400064</v>
      </c>
      <c r="B323" s="1">
        <v>2022</v>
      </c>
      <c r="C323" s="1" t="s">
        <v>1387</v>
      </c>
      <c r="D323" s="2" t="s">
        <v>928</v>
      </c>
      <c r="E323" s="7">
        <v>710365</v>
      </c>
      <c r="F323" s="5">
        <v>3400064</v>
      </c>
    </row>
    <row r="324" spans="1:6" ht="20" x14ac:dyDescent="0.25">
      <c r="A324" s="5">
        <v>3400064</v>
      </c>
      <c r="B324" s="1">
        <v>2023</v>
      </c>
      <c r="C324" s="1" t="s">
        <v>1387</v>
      </c>
      <c r="D324" s="2" t="s">
        <v>928</v>
      </c>
      <c r="E324" s="7">
        <v>693477</v>
      </c>
      <c r="F324" s="5">
        <v>3400064</v>
      </c>
    </row>
    <row r="325" spans="1:6" x14ac:dyDescent="0.25">
      <c r="A325" s="5">
        <v>3400065</v>
      </c>
      <c r="B325" s="1">
        <v>2015</v>
      </c>
      <c r="C325" s="1" t="s">
        <v>1387</v>
      </c>
      <c r="D325" s="1" t="s">
        <v>252</v>
      </c>
      <c r="E325" s="8">
        <v>62876</v>
      </c>
      <c r="F325" s="5">
        <v>3400065</v>
      </c>
    </row>
    <row r="326" spans="1:6" x14ac:dyDescent="0.25">
      <c r="A326" s="5">
        <v>3400065</v>
      </c>
      <c r="B326" s="1">
        <v>2016</v>
      </c>
      <c r="C326" s="1" t="s">
        <v>1387</v>
      </c>
      <c r="D326" s="1" t="s">
        <v>252</v>
      </c>
      <c r="E326" s="8">
        <v>106155</v>
      </c>
      <c r="F326" s="5">
        <v>3400065</v>
      </c>
    </row>
    <row r="327" spans="1:6" x14ac:dyDescent="0.25">
      <c r="A327" s="5">
        <v>3400065</v>
      </c>
      <c r="B327" s="1">
        <v>2017</v>
      </c>
      <c r="C327" s="1" t="s">
        <v>1387</v>
      </c>
      <c r="D327" s="1" t="s">
        <v>252</v>
      </c>
      <c r="E327" s="8">
        <v>59217</v>
      </c>
      <c r="F327" s="5">
        <v>3400065</v>
      </c>
    </row>
    <row r="328" spans="1:6" x14ac:dyDescent="0.25">
      <c r="A328" s="5">
        <v>3400065</v>
      </c>
      <c r="B328" s="1">
        <v>2018</v>
      </c>
      <c r="C328" s="1" t="s">
        <v>1387</v>
      </c>
      <c r="D328" s="1" t="s">
        <v>940</v>
      </c>
      <c r="E328" s="8">
        <v>23510</v>
      </c>
      <c r="F328" s="5">
        <v>3400065</v>
      </c>
    </row>
    <row r="329" spans="1:6" x14ac:dyDescent="0.25">
      <c r="A329" s="5">
        <v>3400069</v>
      </c>
      <c r="B329" s="1">
        <v>2015</v>
      </c>
      <c r="C329" s="1" t="s">
        <v>1387</v>
      </c>
      <c r="D329" s="1" t="s">
        <v>662</v>
      </c>
      <c r="E329" s="8">
        <v>33683</v>
      </c>
      <c r="F329" s="5">
        <v>3400069</v>
      </c>
    </row>
    <row r="330" spans="1:6" x14ac:dyDescent="0.25">
      <c r="A330" s="5">
        <v>3400069</v>
      </c>
      <c r="B330" s="1">
        <v>2016</v>
      </c>
      <c r="C330" s="1" t="s">
        <v>1387</v>
      </c>
      <c r="D330" s="1" t="s">
        <v>662</v>
      </c>
      <c r="E330" s="8">
        <v>70459</v>
      </c>
      <c r="F330" s="5">
        <v>3400069</v>
      </c>
    </row>
    <row r="331" spans="1:6" x14ac:dyDescent="0.25">
      <c r="A331" s="5">
        <v>3400069</v>
      </c>
      <c r="B331" s="1">
        <v>2017</v>
      </c>
      <c r="C331" s="1" t="s">
        <v>1387</v>
      </c>
      <c r="D331" s="1" t="s">
        <v>662</v>
      </c>
      <c r="E331" s="8">
        <v>114433</v>
      </c>
      <c r="F331" s="5">
        <v>3400069</v>
      </c>
    </row>
    <row r="332" spans="1:6" x14ac:dyDescent="0.25">
      <c r="A332" s="5">
        <v>3400069</v>
      </c>
      <c r="B332" s="1">
        <v>2018</v>
      </c>
      <c r="C332" s="1" t="s">
        <v>1387</v>
      </c>
      <c r="D332" s="1" t="s">
        <v>1355</v>
      </c>
      <c r="E332" s="8">
        <v>158599</v>
      </c>
      <c r="F332" s="5">
        <v>3400069</v>
      </c>
    </row>
    <row r="333" spans="1:6" x14ac:dyDescent="0.25">
      <c r="A333" s="5">
        <v>3400069</v>
      </c>
      <c r="B333" s="1">
        <v>2019</v>
      </c>
      <c r="C333" s="1" t="s">
        <v>1387</v>
      </c>
      <c r="D333" s="1" t="s">
        <v>1355</v>
      </c>
      <c r="E333" s="8">
        <v>196352</v>
      </c>
      <c r="F333" s="5">
        <v>3400069</v>
      </c>
    </row>
    <row r="334" spans="1:6" ht="20" x14ac:dyDescent="0.25">
      <c r="A334" s="5">
        <v>3400069</v>
      </c>
      <c r="B334" s="1">
        <v>2020</v>
      </c>
      <c r="C334" s="1" t="s">
        <v>1387</v>
      </c>
      <c r="D334" s="2" t="s">
        <v>1355</v>
      </c>
      <c r="E334" s="7">
        <v>228252</v>
      </c>
      <c r="F334" s="5">
        <v>3400069</v>
      </c>
    </row>
    <row r="335" spans="1:6" ht="20" x14ac:dyDescent="0.25">
      <c r="A335" s="5">
        <v>3400069</v>
      </c>
      <c r="B335" s="1">
        <v>2021</v>
      </c>
      <c r="C335" s="1" t="s">
        <v>1387</v>
      </c>
      <c r="D335" s="3" t="s">
        <v>1355</v>
      </c>
      <c r="E335" s="7">
        <v>329734</v>
      </c>
      <c r="F335" s="5">
        <v>3400069</v>
      </c>
    </row>
    <row r="336" spans="1:6" ht="20" x14ac:dyDescent="0.25">
      <c r="A336" s="5">
        <v>3400069</v>
      </c>
      <c r="B336" s="1">
        <v>2022</v>
      </c>
      <c r="C336" s="1" t="s">
        <v>1387</v>
      </c>
      <c r="D336" s="2" t="s">
        <v>1355</v>
      </c>
      <c r="E336" s="7">
        <v>480076</v>
      </c>
      <c r="F336" s="5">
        <v>3400069</v>
      </c>
    </row>
    <row r="337" spans="1:6" ht="20" x14ac:dyDescent="0.25">
      <c r="A337" s="5">
        <v>3400069</v>
      </c>
      <c r="B337" s="1">
        <v>2023</v>
      </c>
      <c r="C337" s="1" t="s">
        <v>1387</v>
      </c>
      <c r="D337" s="2" t="s">
        <v>1355</v>
      </c>
      <c r="E337" s="7">
        <v>500617</v>
      </c>
      <c r="F337" s="5">
        <v>3400069</v>
      </c>
    </row>
    <row r="338" spans="1:6" x14ac:dyDescent="0.25">
      <c r="A338" s="5">
        <v>3400070</v>
      </c>
      <c r="B338" s="1">
        <v>2015</v>
      </c>
      <c r="C338" s="1" t="s">
        <v>1387</v>
      </c>
      <c r="D338" s="1" t="s">
        <v>266</v>
      </c>
      <c r="E338" s="8">
        <v>758941</v>
      </c>
      <c r="F338" s="5">
        <v>3400070</v>
      </c>
    </row>
    <row r="339" spans="1:6" x14ac:dyDescent="0.25">
      <c r="A339" s="5">
        <v>3400070</v>
      </c>
      <c r="B339" s="1">
        <v>2016</v>
      </c>
      <c r="C339" s="1" t="s">
        <v>1387</v>
      </c>
      <c r="D339" s="1" t="s">
        <v>266</v>
      </c>
      <c r="E339" s="8">
        <v>1292370</v>
      </c>
      <c r="F339" s="5">
        <v>3400070</v>
      </c>
    </row>
    <row r="340" spans="1:6" x14ac:dyDescent="0.25">
      <c r="A340" s="5">
        <v>3400070</v>
      </c>
      <c r="B340" s="1">
        <v>2017</v>
      </c>
      <c r="C340" s="1" t="s">
        <v>1387</v>
      </c>
      <c r="D340" s="1" t="s">
        <v>266</v>
      </c>
      <c r="E340" s="8">
        <v>1965506</v>
      </c>
      <c r="F340" s="5">
        <v>3400070</v>
      </c>
    </row>
    <row r="341" spans="1:6" x14ac:dyDescent="0.25">
      <c r="A341" s="5">
        <v>3400070</v>
      </c>
      <c r="B341" s="1">
        <v>2018</v>
      </c>
      <c r="C341" s="1" t="s">
        <v>1387</v>
      </c>
      <c r="D341" s="1" t="s">
        <v>956</v>
      </c>
      <c r="E341" s="8">
        <v>2705560</v>
      </c>
      <c r="F341" s="5">
        <v>3400070</v>
      </c>
    </row>
    <row r="342" spans="1:6" x14ac:dyDescent="0.25">
      <c r="A342" s="5">
        <v>3400070</v>
      </c>
      <c r="B342" s="1">
        <v>2019</v>
      </c>
      <c r="C342" s="1" t="s">
        <v>1387</v>
      </c>
      <c r="D342" s="1" t="s">
        <v>956</v>
      </c>
      <c r="E342" s="8">
        <v>4493326</v>
      </c>
      <c r="F342" s="5">
        <v>3400070</v>
      </c>
    </row>
    <row r="343" spans="1:6" ht="20" x14ac:dyDescent="0.25">
      <c r="A343" s="5">
        <v>3400070</v>
      </c>
      <c r="B343" s="1">
        <v>2020</v>
      </c>
      <c r="C343" s="1" t="s">
        <v>1387</v>
      </c>
      <c r="D343" s="2" t="s">
        <v>956</v>
      </c>
      <c r="E343" s="7">
        <v>5118378</v>
      </c>
      <c r="F343" s="5">
        <v>3400070</v>
      </c>
    </row>
    <row r="344" spans="1:6" ht="20" x14ac:dyDescent="0.25">
      <c r="A344" s="5">
        <v>3400070</v>
      </c>
      <c r="B344" s="1">
        <v>2021</v>
      </c>
      <c r="C344" s="1" t="s">
        <v>1387</v>
      </c>
      <c r="D344" s="3" t="s">
        <v>956</v>
      </c>
      <c r="E344" s="7">
        <v>7018241</v>
      </c>
      <c r="F344" s="5">
        <v>3400070</v>
      </c>
    </row>
    <row r="345" spans="1:6" ht="20" x14ac:dyDescent="0.25">
      <c r="A345" s="5">
        <v>3400070</v>
      </c>
      <c r="B345" s="1">
        <v>2022</v>
      </c>
      <c r="C345" s="1" t="s">
        <v>1387</v>
      </c>
      <c r="D345" s="2" t="s">
        <v>956</v>
      </c>
      <c r="E345" s="7">
        <v>11425054</v>
      </c>
      <c r="F345" s="5">
        <v>3400070</v>
      </c>
    </row>
    <row r="346" spans="1:6" ht="20" x14ac:dyDescent="0.25">
      <c r="A346" s="5">
        <v>3400070</v>
      </c>
      <c r="B346" s="1">
        <v>2023</v>
      </c>
      <c r="C346" s="1" t="s">
        <v>1387</v>
      </c>
      <c r="D346" s="2" t="s">
        <v>956</v>
      </c>
      <c r="E346" s="7">
        <v>11964889</v>
      </c>
      <c r="F346" s="5">
        <v>3400070</v>
      </c>
    </row>
    <row r="347" spans="1:6" x14ac:dyDescent="0.25">
      <c r="A347" s="5">
        <v>3400071</v>
      </c>
      <c r="B347" s="1">
        <v>2015</v>
      </c>
      <c r="C347" s="1" t="s">
        <v>1387</v>
      </c>
      <c r="D347" s="1" t="s">
        <v>156</v>
      </c>
      <c r="E347" s="7">
        <v>147203</v>
      </c>
      <c r="F347" s="5">
        <v>3400071</v>
      </c>
    </row>
    <row r="348" spans="1:6" x14ac:dyDescent="0.25">
      <c r="A348" s="5">
        <v>3400071</v>
      </c>
      <c r="B348" s="1">
        <v>2016</v>
      </c>
      <c r="C348" s="1" t="s">
        <v>1387</v>
      </c>
      <c r="D348" s="1" t="s">
        <v>156</v>
      </c>
      <c r="E348" s="7">
        <v>209344</v>
      </c>
      <c r="F348" s="5">
        <v>3400071</v>
      </c>
    </row>
    <row r="349" spans="1:6" x14ac:dyDescent="0.25">
      <c r="A349" s="5">
        <v>3400071</v>
      </c>
      <c r="B349" s="1">
        <v>2017</v>
      </c>
      <c r="C349" s="1" t="s">
        <v>1387</v>
      </c>
      <c r="D349" s="1" t="s">
        <v>156</v>
      </c>
      <c r="E349" s="7">
        <v>347119</v>
      </c>
      <c r="F349" s="5">
        <v>3400071</v>
      </c>
    </row>
    <row r="350" spans="1:6" x14ac:dyDescent="0.25">
      <c r="A350" s="5">
        <v>3400071</v>
      </c>
      <c r="B350" s="1">
        <v>2018</v>
      </c>
      <c r="C350" s="1" t="s">
        <v>1387</v>
      </c>
      <c r="D350" s="1" t="s">
        <v>837</v>
      </c>
      <c r="E350" s="8">
        <v>94287</v>
      </c>
      <c r="F350" s="5">
        <v>3400071</v>
      </c>
    </row>
    <row r="351" spans="1:6" x14ac:dyDescent="0.25">
      <c r="A351" s="5">
        <v>3400073</v>
      </c>
      <c r="B351" s="1">
        <v>2015</v>
      </c>
      <c r="C351" s="1" t="s">
        <v>1387</v>
      </c>
      <c r="D351" s="1" t="s">
        <v>322</v>
      </c>
      <c r="E351" s="8">
        <v>146111</v>
      </c>
      <c r="F351" s="5">
        <v>3400073</v>
      </c>
    </row>
    <row r="352" spans="1:6" x14ac:dyDescent="0.25">
      <c r="A352" s="5">
        <v>3400073</v>
      </c>
      <c r="B352" s="1">
        <v>2016</v>
      </c>
      <c r="C352" s="1" t="s">
        <v>1387</v>
      </c>
      <c r="D352" s="1" t="s">
        <v>322</v>
      </c>
      <c r="E352" s="8">
        <v>196506</v>
      </c>
      <c r="F352" s="5">
        <v>3400073</v>
      </c>
    </row>
    <row r="353" spans="1:6" x14ac:dyDescent="0.25">
      <c r="A353" s="5">
        <v>3400073</v>
      </c>
      <c r="B353" s="1">
        <v>2017</v>
      </c>
      <c r="C353" s="1" t="s">
        <v>1387</v>
      </c>
      <c r="D353" s="1" t="s">
        <v>322</v>
      </c>
      <c r="E353" s="8">
        <v>276818</v>
      </c>
      <c r="F353" s="5">
        <v>3400073</v>
      </c>
    </row>
    <row r="354" spans="1:6" x14ac:dyDescent="0.25">
      <c r="A354" s="5">
        <v>3400073</v>
      </c>
      <c r="B354" s="1">
        <v>2018</v>
      </c>
      <c r="C354" s="1" t="s">
        <v>1387</v>
      </c>
      <c r="D354" s="1" t="s">
        <v>1015</v>
      </c>
      <c r="E354" s="8">
        <v>397175</v>
      </c>
      <c r="F354" s="5">
        <v>3400073</v>
      </c>
    </row>
    <row r="355" spans="1:6" x14ac:dyDescent="0.25">
      <c r="A355" s="5">
        <v>3400073</v>
      </c>
      <c r="B355" s="1">
        <v>2019</v>
      </c>
      <c r="C355" s="1" t="s">
        <v>1387</v>
      </c>
      <c r="D355" s="1" t="s">
        <v>1015</v>
      </c>
      <c r="E355" s="8">
        <v>566169</v>
      </c>
      <c r="F355" s="5">
        <v>3400073</v>
      </c>
    </row>
    <row r="356" spans="1:6" ht="20" x14ac:dyDescent="0.25">
      <c r="A356" s="5">
        <v>3400073</v>
      </c>
      <c r="B356" s="1">
        <v>2020</v>
      </c>
      <c r="C356" s="1" t="s">
        <v>1387</v>
      </c>
      <c r="D356" s="2" t="s">
        <v>1015</v>
      </c>
      <c r="E356" s="7">
        <v>580416</v>
      </c>
      <c r="F356" s="5">
        <v>3400073</v>
      </c>
    </row>
    <row r="357" spans="1:6" ht="20" x14ac:dyDescent="0.25">
      <c r="A357" s="5">
        <v>3400073</v>
      </c>
      <c r="B357" s="1">
        <v>2021</v>
      </c>
      <c r="C357" s="1" t="s">
        <v>1387</v>
      </c>
      <c r="D357" s="3" t="s">
        <v>1015</v>
      </c>
      <c r="E357" s="7">
        <v>729740</v>
      </c>
      <c r="F357" s="5">
        <v>3400073</v>
      </c>
    </row>
    <row r="358" spans="1:6" ht="20" x14ac:dyDescent="0.25">
      <c r="A358" s="5">
        <v>3400073</v>
      </c>
      <c r="B358" s="1">
        <v>2022</v>
      </c>
      <c r="C358" s="1" t="s">
        <v>1387</v>
      </c>
      <c r="D358" s="2" t="s">
        <v>1015</v>
      </c>
      <c r="E358" s="7">
        <v>880336</v>
      </c>
      <c r="F358" s="5">
        <v>3400073</v>
      </c>
    </row>
    <row r="359" spans="1:6" ht="20" x14ac:dyDescent="0.25">
      <c r="A359" s="5">
        <v>3400073</v>
      </c>
      <c r="B359" s="1">
        <v>2023</v>
      </c>
      <c r="C359" s="1" t="s">
        <v>1387</v>
      </c>
      <c r="D359" s="2" t="s">
        <v>1015</v>
      </c>
      <c r="E359" s="7">
        <v>1081659</v>
      </c>
      <c r="F359" s="5">
        <v>3400073</v>
      </c>
    </row>
    <row r="360" spans="1:6" x14ac:dyDescent="0.25">
      <c r="A360" s="5">
        <v>3400075</v>
      </c>
      <c r="B360" s="1">
        <v>2015</v>
      </c>
      <c r="C360" s="1" t="s">
        <v>1387</v>
      </c>
      <c r="D360" s="1" t="s">
        <v>613</v>
      </c>
      <c r="E360" s="8">
        <v>70944</v>
      </c>
      <c r="F360" s="5">
        <v>3400075</v>
      </c>
    </row>
    <row r="361" spans="1:6" x14ac:dyDescent="0.25">
      <c r="A361" s="5">
        <v>3400075</v>
      </c>
      <c r="B361" s="1">
        <v>2016</v>
      </c>
      <c r="C361" s="1" t="s">
        <v>1387</v>
      </c>
      <c r="D361" s="1" t="s">
        <v>613</v>
      </c>
      <c r="E361" s="8">
        <v>155383</v>
      </c>
      <c r="F361" s="5">
        <v>3400075</v>
      </c>
    </row>
    <row r="362" spans="1:6" x14ac:dyDescent="0.25">
      <c r="A362" s="5">
        <v>3400075</v>
      </c>
      <c r="B362" s="1">
        <v>2017</v>
      </c>
      <c r="C362" s="1" t="s">
        <v>1387</v>
      </c>
      <c r="D362" s="1" t="s">
        <v>613</v>
      </c>
      <c r="E362" s="8">
        <v>172015</v>
      </c>
      <c r="F362" s="5">
        <v>3400075</v>
      </c>
    </row>
    <row r="363" spans="1:6" x14ac:dyDescent="0.25">
      <c r="A363" s="5">
        <v>3400075</v>
      </c>
      <c r="B363" s="1">
        <v>2018</v>
      </c>
      <c r="C363" s="1" t="s">
        <v>1387</v>
      </c>
      <c r="D363" s="1" t="s">
        <v>1306</v>
      </c>
      <c r="E363" s="8">
        <v>75470</v>
      </c>
      <c r="F363" s="5">
        <v>3400075</v>
      </c>
    </row>
    <row r="364" spans="1:6" x14ac:dyDescent="0.25">
      <c r="A364" s="5">
        <v>3400076</v>
      </c>
      <c r="B364" s="1">
        <v>2015</v>
      </c>
      <c r="C364" s="1" t="s">
        <v>1387</v>
      </c>
      <c r="D364" s="1" t="s">
        <v>419</v>
      </c>
      <c r="E364" s="8">
        <v>70185</v>
      </c>
      <c r="F364" s="5">
        <v>3400076</v>
      </c>
    </row>
    <row r="365" spans="1:6" x14ac:dyDescent="0.25">
      <c r="A365" s="5">
        <v>3400076</v>
      </c>
      <c r="B365" s="1">
        <v>2016</v>
      </c>
      <c r="C365" s="1" t="s">
        <v>1387</v>
      </c>
      <c r="D365" s="1" t="s">
        <v>419</v>
      </c>
      <c r="E365" s="8">
        <v>114914</v>
      </c>
      <c r="F365" s="5">
        <v>3400076</v>
      </c>
    </row>
    <row r="366" spans="1:6" x14ac:dyDescent="0.25">
      <c r="A366" s="5">
        <v>3400076</v>
      </c>
      <c r="B366" s="1">
        <v>2017</v>
      </c>
      <c r="C366" s="1" t="s">
        <v>1387</v>
      </c>
      <c r="D366" s="1" t="s">
        <v>419</v>
      </c>
      <c r="E366" s="8">
        <v>114914</v>
      </c>
      <c r="F366" s="5">
        <v>3400076</v>
      </c>
    </row>
    <row r="367" spans="1:6" x14ac:dyDescent="0.25">
      <c r="A367" s="5">
        <v>3400076</v>
      </c>
      <c r="B367" s="1">
        <v>2018</v>
      </c>
      <c r="C367" s="1" t="s">
        <v>1387</v>
      </c>
      <c r="D367" s="1" t="s">
        <v>1111</v>
      </c>
      <c r="E367" s="8">
        <v>202848</v>
      </c>
      <c r="F367" s="5">
        <v>3400076</v>
      </c>
    </row>
    <row r="368" spans="1:6" x14ac:dyDescent="0.25">
      <c r="A368" s="5">
        <v>3400076</v>
      </c>
      <c r="B368" s="1">
        <v>2019</v>
      </c>
      <c r="C368" s="1" t="s">
        <v>1387</v>
      </c>
      <c r="D368" s="1" t="s">
        <v>1111</v>
      </c>
      <c r="E368" s="8">
        <v>267589</v>
      </c>
      <c r="F368" s="5">
        <v>3400076</v>
      </c>
    </row>
    <row r="369" spans="1:6" ht="20" x14ac:dyDescent="0.25">
      <c r="A369" s="5">
        <v>3400076</v>
      </c>
      <c r="B369" s="1">
        <v>2020</v>
      </c>
      <c r="C369" s="1" t="s">
        <v>1387</v>
      </c>
      <c r="D369" s="2" t="s">
        <v>1111</v>
      </c>
      <c r="E369" s="7">
        <v>339989</v>
      </c>
      <c r="F369" s="5">
        <v>3400076</v>
      </c>
    </row>
    <row r="370" spans="1:6" ht="20" x14ac:dyDescent="0.25">
      <c r="A370" s="5">
        <v>3400076</v>
      </c>
      <c r="B370" s="1">
        <v>2021</v>
      </c>
      <c r="C370" s="1" t="s">
        <v>1387</v>
      </c>
      <c r="D370" s="3" t="s">
        <v>1111</v>
      </c>
      <c r="E370" s="7">
        <v>431443</v>
      </c>
      <c r="F370" s="5">
        <v>3400076</v>
      </c>
    </row>
    <row r="371" spans="1:6" ht="20" x14ac:dyDescent="0.25">
      <c r="A371" s="5">
        <v>3400076</v>
      </c>
      <c r="B371" s="1">
        <v>2022</v>
      </c>
      <c r="C371" s="1" t="s">
        <v>1387</v>
      </c>
      <c r="D371" s="2" t="s">
        <v>1111</v>
      </c>
      <c r="E371" s="7">
        <v>700333</v>
      </c>
      <c r="F371" s="5">
        <v>3400076</v>
      </c>
    </row>
    <row r="372" spans="1:6" ht="20" x14ac:dyDescent="0.25">
      <c r="A372" s="5">
        <v>3400076</v>
      </c>
      <c r="B372" s="1">
        <v>2023</v>
      </c>
      <c r="C372" s="1" t="s">
        <v>1387</v>
      </c>
      <c r="D372" s="2" t="s">
        <v>1111</v>
      </c>
      <c r="E372" s="7">
        <v>599279</v>
      </c>
      <c r="F372" s="5">
        <v>3400076</v>
      </c>
    </row>
    <row r="373" spans="1:6" x14ac:dyDescent="0.25">
      <c r="A373" s="5">
        <v>3400077</v>
      </c>
      <c r="B373" s="1">
        <v>2015</v>
      </c>
      <c r="C373" s="1" t="s">
        <v>1387</v>
      </c>
      <c r="D373" s="1" t="s">
        <v>245</v>
      </c>
      <c r="E373" s="8">
        <v>161754</v>
      </c>
      <c r="F373" s="5">
        <v>3400077</v>
      </c>
    </row>
    <row r="374" spans="1:6" x14ac:dyDescent="0.25">
      <c r="A374" s="5">
        <v>3400077</v>
      </c>
      <c r="B374" s="1">
        <v>2016</v>
      </c>
      <c r="C374" s="1" t="s">
        <v>1387</v>
      </c>
      <c r="D374" s="1" t="s">
        <v>245</v>
      </c>
      <c r="E374" s="8">
        <v>216532</v>
      </c>
      <c r="F374" s="5">
        <v>3400077</v>
      </c>
    </row>
    <row r="375" spans="1:6" x14ac:dyDescent="0.25">
      <c r="A375" s="5">
        <v>3400077</v>
      </c>
      <c r="B375" s="1">
        <v>2017</v>
      </c>
      <c r="C375" s="1" t="s">
        <v>1387</v>
      </c>
      <c r="D375" s="1" t="s">
        <v>245</v>
      </c>
      <c r="E375" s="8">
        <v>288091</v>
      </c>
      <c r="F375" s="5">
        <v>3400077</v>
      </c>
    </row>
    <row r="376" spans="1:6" x14ac:dyDescent="0.25">
      <c r="A376" s="5">
        <v>3400077</v>
      </c>
      <c r="B376" s="1">
        <v>2018</v>
      </c>
      <c r="C376" s="1" t="s">
        <v>1387</v>
      </c>
      <c r="D376" s="1" t="s">
        <v>931</v>
      </c>
      <c r="E376" s="8">
        <v>299330</v>
      </c>
      <c r="F376" s="5">
        <v>3400077</v>
      </c>
    </row>
    <row r="377" spans="1:6" x14ac:dyDescent="0.25">
      <c r="A377" s="5">
        <v>3400077</v>
      </c>
      <c r="B377" s="1">
        <v>2019</v>
      </c>
      <c r="C377" s="1" t="s">
        <v>1387</v>
      </c>
      <c r="D377" s="1" t="s">
        <v>931</v>
      </c>
      <c r="E377" s="8">
        <v>465535</v>
      </c>
      <c r="F377" s="5">
        <v>3400077</v>
      </c>
    </row>
    <row r="378" spans="1:6" ht="20" x14ac:dyDescent="0.25">
      <c r="A378" s="5">
        <v>3400077</v>
      </c>
      <c r="B378" s="1">
        <v>2020</v>
      </c>
      <c r="C378" s="1" t="s">
        <v>1387</v>
      </c>
      <c r="D378" s="2" t="s">
        <v>931</v>
      </c>
      <c r="E378" s="7">
        <v>421876</v>
      </c>
      <c r="F378" s="5">
        <v>3400077</v>
      </c>
    </row>
    <row r="379" spans="1:6" x14ac:dyDescent="0.25">
      <c r="A379" s="5">
        <v>3400078</v>
      </c>
      <c r="B379" s="1">
        <v>2015</v>
      </c>
      <c r="C379" s="1" t="s">
        <v>1387</v>
      </c>
      <c r="D379" s="1" t="s">
        <v>179</v>
      </c>
      <c r="E379" s="8">
        <v>292806</v>
      </c>
      <c r="F379" s="5">
        <v>3400078</v>
      </c>
    </row>
    <row r="380" spans="1:6" x14ac:dyDescent="0.25">
      <c r="A380" s="5">
        <v>3400078</v>
      </c>
      <c r="B380" s="1">
        <v>2016</v>
      </c>
      <c r="C380" s="1" t="s">
        <v>1387</v>
      </c>
      <c r="D380" s="1" t="s">
        <v>179</v>
      </c>
      <c r="E380" s="8">
        <v>508754</v>
      </c>
      <c r="F380" s="5">
        <v>3400078</v>
      </c>
    </row>
    <row r="381" spans="1:6" x14ac:dyDescent="0.25">
      <c r="A381" s="5">
        <v>3400078</v>
      </c>
      <c r="B381" s="1">
        <v>2017</v>
      </c>
      <c r="C381" s="1" t="s">
        <v>1387</v>
      </c>
      <c r="D381" s="1" t="s">
        <v>179</v>
      </c>
      <c r="E381" s="8">
        <v>775248</v>
      </c>
      <c r="F381" s="5">
        <v>3400078</v>
      </c>
    </row>
    <row r="382" spans="1:6" x14ac:dyDescent="0.25">
      <c r="A382" s="5">
        <v>3400078</v>
      </c>
      <c r="B382" s="1">
        <v>2018</v>
      </c>
      <c r="C382" s="1" t="s">
        <v>1387</v>
      </c>
      <c r="D382" s="1" t="s">
        <v>862</v>
      </c>
      <c r="E382" s="8">
        <v>1105647</v>
      </c>
      <c r="F382" s="5">
        <v>3400078</v>
      </c>
    </row>
    <row r="383" spans="1:6" x14ac:dyDescent="0.25">
      <c r="A383" s="5">
        <v>3400078</v>
      </c>
      <c r="B383" s="1">
        <v>2019</v>
      </c>
      <c r="C383" s="1" t="s">
        <v>1387</v>
      </c>
      <c r="D383" s="1" t="s">
        <v>862</v>
      </c>
      <c r="E383" s="8">
        <v>1407024</v>
      </c>
      <c r="F383" s="5">
        <v>3400078</v>
      </c>
    </row>
    <row r="384" spans="1:6" ht="20" x14ac:dyDescent="0.25">
      <c r="A384" s="5">
        <v>3400078</v>
      </c>
      <c r="B384" s="1">
        <v>2020</v>
      </c>
      <c r="C384" s="1" t="s">
        <v>1387</v>
      </c>
      <c r="D384" s="2" t="s">
        <v>862</v>
      </c>
      <c r="E384" s="7">
        <v>1580009</v>
      </c>
      <c r="F384" s="5">
        <v>3400078</v>
      </c>
    </row>
    <row r="385" spans="1:6" ht="20" x14ac:dyDescent="0.25">
      <c r="A385" s="5">
        <v>3400078</v>
      </c>
      <c r="B385" s="1">
        <v>2021</v>
      </c>
      <c r="C385" s="1" t="s">
        <v>1387</v>
      </c>
      <c r="D385" s="3" t="s">
        <v>862</v>
      </c>
      <c r="E385" s="7">
        <v>1888017</v>
      </c>
      <c r="F385" s="5">
        <v>3400078</v>
      </c>
    </row>
    <row r="386" spans="1:6" ht="20" x14ac:dyDescent="0.25">
      <c r="A386" s="5">
        <v>3400078</v>
      </c>
      <c r="B386" s="1">
        <v>2022</v>
      </c>
      <c r="C386" s="1" t="s">
        <v>1387</v>
      </c>
      <c r="D386" s="2" t="s">
        <v>862</v>
      </c>
      <c r="E386" s="7">
        <v>2928736</v>
      </c>
      <c r="F386" s="5">
        <v>3400078</v>
      </c>
    </row>
    <row r="387" spans="1:6" ht="20" x14ac:dyDescent="0.25">
      <c r="A387" s="5">
        <v>3400078</v>
      </c>
      <c r="B387" s="1">
        <v>2023</v>
      </c>
      <c r="C387" s="1" t="s">
        <v>1387</v>
      </c>
      <c r="D387" s="2" t="s">
        <v>862</v>
      </c>
      <c r="E387" s="7">
        <v>2718087</v>
      </c>
      <c r="F387" s="5">
        <v>3400078</v>
      </c>
    </row>
    <row r="388" spans="1:6" x14ac:dyDescent="0.25">
      <c r="A388" s="5">
        <v>3400079</v>
      </c>
      <c r="B388" s="1">
        <v>2015</v>
      </c>
      <c r="C388" s="1" t="s">
        <v>1387</v>
      </c>
      <c r="D388" s="1" t="s">
        <v>167</v>
      </c>
      <c r="E388" s="8">
        <v>67464</v>
      </c>
      <c r="F388" s="5">
        <v>3400079</v>
      </c>
    </row>
    <row r="389" spans="1:6" x14ac:dyDescent="0.25">
      <c r="A389" s="5">
        <v>3400079</v>
      </c>
      <c r="B389" s="1">
        <v>2016</v>
      </c>
      <c r="C389" s="1" t="s">
        <v>1387</v>
      </c>
      <c r="D389" s="1" t="s">
        <v>167</v>
      </c>
      <c r="E389" s="8">
        <v>103332</v>
      </c>
      <c r="F389" s="5">
        <v>3400079</v>
      </c>
    </row>
    <row r="390" spans="1:6" x14ac:dyDescent="0.25">
      <c r="A390" s="5">
        <v>3400079</v>
      </c>
      <c r="B390" s="1">
        <v>2017</v>
      </c>
      <c r="C390" s="1" t="s">
        <v>1387</v>
      </c>
      <c r="D390" s="1" t="s">
        <v>167</v>
      </c>
      <c r="E390" s="8">
        <v>146074</v>
      </c>
      <c r="F390" s="5">
        <v>3400079</v>
      </c>
    </row>
    <row r="391" spans="1:6" x14ac:dyDescent="0.25">
      <c r="A391" s="5">
        <v>3400079</v>
      </c>
      <c r="B391" s="1">
        <v>2018</v>
      </c>
      <c r="C391" s="1" t="s">
        <v>1387</v>
      </c>
      <c r="D391" s="1" t="s">
        <v>850</v>
      </c>
      <c r="E391" s="8">
        <v>164352</v>
      </c>
      <c r="F391" s="5">
        <v>3400079</v>
      </c>
    </row>
    <row r="392" spans="1:6" x14ac:dyDescent="0.25">
      <c r="A392" s="5">
        <v>3400079</v>
      </c>
      <c r="B392" s="1">
        <v>2019</v>
      </c>
      <c r="C392" s="1" t="s">
        <v>1387</v>
      </c>
      <c r="D392" s="1" t="s">
        <v>850</v>
      </c>
      <c r="E392" s="8">
        <v>207463</v>
      </c>
      <c r="F392" s="5">
        <v>3400079</v>
      </c>
    </row>
    <row r="393" spans="1:6" ht="20" x14ac:dyDescent="0.25">
      <c r="A393" s="5">
        <v>3400079</v>
      </c>
      <c r="B393" s="1">
        <v>2020</v>
      </c>
      <c r="C393" s="1" t="s">
        <v>1387</v>
      </c>
      <c r="D393" s="2" t="s">
        <v>850</v>
      </c>
      <c r="E393" s="7">
        <v>253737</v>
      </c>
      <c r="F393" s="5">
        <v>3400079</v>
      </c>
    </row>
    <row r="394" spans="1:6" ht="20" x14ac:dyDescent="0.25">
      <c r="A394" s="5">
        <v>3400079</v>
      </c>
      <c r="B394" s="1">
        <v>2021</v>
      </c>
      <c r="C394" s="1" t="s">
        <v>1387</v>
      </c>
      <c r="D394" s="3" t="s">
        <v>850</v>
      </c>
      <c r="E394" s="7">
        <v>326587</v>
      </c>
      <c r="F394" s="5">
        <v>3400079</v>
      </c>
    </row>
    <row r="395" spans="1:6" ht="20" x14ac:dyDescent="0.25">
      <c r="A395" s="5">
        <v>3400079</v>
      </c>
      <c r="B395" s="1">
        <v>2022</v>
      </c>
      <c r="C395" s="1" t="s">
        <v>1387</v>
      </c>
      <c r="D395" s="2" t="s">
        <v>850</v>
      </c>
      <c r="E395" s="7">
        <v>439590</v>
      </c>
      <c r="F395" s="5">
        <v>3400079</v>
      </c>
    </row>
    <row r="396" spans="1:6" ht="20" x14ac:dyDescent="0.25">
      <c r="A396" s="5">
        <v>3400079</v>
      </c>
      <c r="B396" s="1">
        <v>2023</v>
      </c>
      <c r="C396" s="1" t="s">
        <v>1387</v>
      </c>
      <c r="D396" s="2" t="s">
        <v>850</v>
      </c>
      <c r="E396" s="7">
        <v>552849</v>
      </c>
      <c r="F396" s="5">
        <v>3400079</v>
      </c>
    </row>
    <row r="397" spans="1:6" x14ac:dyDescent="0.25">
      <c r="A397" s="5">
        <v>3400080</v>
      </c>
      <c r="B397" s="1">
        <v>2015</v>
      </c>
      <c r="C397" s="1" t="s">
        <v>1387</v>
      </c>
      <c r="D397" s="1" t="s">
        <v>168</v>
      </c>
      <c r="E397" s="8">
        <v>74323</v>
      </c>
      <c r="F397" s="5">
        <v>3400080</v>
      </c>
    </row>
    <row r="398" spans="1:6" x14ac:dyDescent="0.25">
      <c r="A398" s="5">
        <v>3400080</v>
      </c>
      <c r="B398" s="1">
        <v>2016</v>
      </c>
      <c r="C398" s="1" t="s">
        <v>1387</v>
      </c>
      <c r="D398" s="1" t="s">
        <v>168</v>
      </c>
      <c r="E398" s="8">
        <v>124246</v>
      </c>
      <c r="F398" s="5">
        <v>3400080</v>
      </c>
    </row>
    <row r="399" spans="1:6" x14ac:dyDescent="0.25">
      <c r="A399" s="5">
        <v>3400080</v>
      </c>
      <c r="B399" s="1">
        <v>2017</v>
      </c>
      <c r="C399" s="1" t="s">
        <v>1387</v>
      </c>
      <c r="D399" s="1" t="s">
        <v>168</v>
      </c>
      <c r="E399" s="8">
        <v>340743</v>
      </c>
      <c r="F399" s="5">
        <v>3400080</v>
      </c>
    </row>
    <row r="400" spans="1:6" x14ac:dyDescent="0.25">
      <c r="A400" s="5">
        <v>3400080</v>
      </c>
      <c r="B400" s="1">
        <v>2018</v>
      </c>
      <c r="C400" s="1" t="s">
        <v>1387</v>
      </c>
      <c r="D400" s="1" t="s">
        <v>851</v>
      </c>
      <c r="E400" s="8">
        <v>617153</v>
      </c>
      <c r="F400" s="5">
        <v>3400080</v>
      </c>
    </row>
    <row r="401" spans="1:6" x14ac:dyDescent="0.25">
      <c r="A401" s="5">
        <v>3400080</v>
      </c>
      <c r="B401" s="1">
        <v>2019</v>
      </c>
      <c r="C401" s="1" t="s">
        <v>1387</v>
      </c>
      <c r="D401" s="1" t="s">
        <v>851</v>
      </c>
      <c r="E401" s="8">
        <v>791721</v>
      </c>
      <c r="F401" s="5">
        <v>3400080</v>
      </c>
    </row>
    <row r="402" spans="1:6" ht="20" x14ac:dyDescent="0.25">
      <c r="A402" s="5">
        <v>3400080</v>
      </c>
      <c r="B402" s="1">
        <v>2020</v>
      </c>
      <c r="C402" s="1" t="s">
        <v>1387</v>
      </c>
      <c r="D402" s="2" t="s">
        <v>851</v>
      </c>
      <c r="E402" s="7">
        <v>982676</v>
      </c>
      <c r="F402" s="5">
        <v>3400080</v>
      </c>
    </row>
    <row r="403" spans="1:6" ht="20" x14ac:dyDescent="0.25">
      <c r="A403" s="5">
        <v>3400080</v>
      </c>
      <c r="B403" s="1">
        <v>2021</v>
      </c>
      <c r="C403" s="1" t="s">
        <v>1387</v>
      </c>
      <c r="D403" s="3" t="s">
        <v>851</v>
      </c>
      <c r="E403" s="7">
        <v>1197389</v>
      </c>
      <c r="F403" s="5">
        <v>3400080</v>
      </c>
    </row>
    <row r="404" spans="1:6" ht="20" x14ac:dyDescent="0.25">
      <c r="A404" s="5">
        <v>3400080</v>
      </c>
      <c r="B404" s="1">
        <v>2022</v>
      </c>
      <c r="C404" s="1" t="s">
        <v>1387</v>
      </c>
      <c r="D404" s="2" t="s">
        <v>851</v>
      </c>
      <c r="E404" s="7">
        <v>1488209</v>
      </c>
      <c r="F404" s="5">
        <v>3400080</v>
      </c>
    </row>
    <row r="405" spans="1:6" ht="20" x14ac:dyDescent="0.25">
      <c r="A405" s="5">
        <v>3400080</v>
      </c>
      <c r="B405" s="1">
        <v>2023</v>
      </c>
      <c r="C405" s="1" t="s">
        <v>1387</v>
      </c>
      <c r="D405" s="2" t="s">
        <v>851</v>
      </c>
      <c r="E405" s="7">
        <v>1448445</v>
      </c>
      <c r="F405" s="5">
        <v>3400080</v>
      </c>
    </row>
    <row r="406" spans="1:6" x14ac:dyDescent="0.25">
      <c r="A406" s="5">
        <v>3400081</v>
      </c>
      <c r="B406" s="1">
        <v>2015</v>
      </c>
      <c r="C406" s="1" t="s">
        <v>1387</v>
      </c>
      <c r="D406" s="1" t="s">
        <v>165</v>
      </c>
      <c r="E406" s="8">
        <v>171630</v>
      </c>
      <c r="F406" s="5">
        <v>3400081</v>
      </c>
    </row>
    <row r="407" spans="1:6" x14ac:dyDescent="0.25">
      <c r="A407" s="5">
        <v>3400081</v>
      </c>
      <c r="B407" s="1">
        <v>2016</v>
      </c>
      <c r="C407" s="1" t="s">
        <v>1387</v>
      </c>
      <c r="D407" s="1" t="s">
        <v>165</v>
      </c>
      <c r="E407" s="8">
        <v>275038</v>
      </c>
      <c r="F407" s="5">
        <v>3400081</v>
      </c>
    </row>
    <row r="408" spans="1:6" x14ac:dyDescent="0.25">
      <c r="A408" s="5">
        <v>3400081</v>
      </c>
      <c r="B408" s="1">
        <v>2017</v>
      </c>
      <c r="C408" s="1" t="s">
        <v>1387</v>
      </c>
      <c r="D408" s="1" t="s">
        <v>165</v>
      </c>
      <c r="E408" s="8">
        <v>189814</v>
      </c>
      <c r="F408" s="5">
        <v>3400081</v>
      </c>
    </row>
    <row r="409" spans="1:6" x14ac:dyDescent="0.25">
      <c r="A409" s="5">
        <v>3400081</v>
      </c>
      <c r="B409" s="1">
        <v>2018</v>
      </c>
      <c r="C409" s="1" t="s">
        <v>1387</v>
      </c>
      <c r="D409" s="1" t="s">
        <v>848</v>
      </c>
      <c r="E409" s="8">
        <v>123199</v>
      </c>
      <c r="F409" s="5">
        <v>3400081</v>
      </c>
    </row>
    <row r="410" spans="1:6" x14ac:dyDescent="0.25">
      <c r="A410" s="5">
        <v>3400082</v>
      </c>
      <c r="B410" s="1">
        <v>2015</v>
      </c>
      <c r="C410" s="1" t="s">
        <v>1387</v>
      </c>
      <c r="D410" s="1" t="s">
        <v>655</v>
      </c>
      <c r="E410" s="8">
        <v>40111</v>
      </c>
      <c r="F410" s="5">
        <v>3400082</v>
      </c>
    </row>
    <row r="411" spans="1:6" x14ac:dyDescent="0.25">
      <c r="A411" s="5">
        <v>3400082</v>
      </c>
      <c r="B411" s="1">
        <v>2016</v>
      </c>
      <c r="C411" s="1" t="s">
        <v>1387</v>
      </c>
      <c r="D411" s="1" t="s">
        <v>655</v>
      </c>
      <c r="E411" s="8">
        <v>48614</v>
      </c>
      <c r="F411" s="5">
        <v>3400082</v>
      </c>
    </row>
    <row r="412" spans="1:6" x14ac:dyDescent="0.25">
      <c r="A412" s="5">
        <v>3400082</v>
      </c>
      <c r="B412" s="1">
        <v>2017</v>
      </c>
      <c r="C412" s="1" t="s">
        <v>1387</v>
      </c>
      <c r="D412" s="1" t="s">
        <v>655</v>
      </c>
      <c r="E412" s="8">
        <v>80251</v>
      </c>
      <c r="F412" s="5">
        <v>3400082</v>
      </c>
    </row>
    <row r="413" spans="1:6" x14ac:dyDescent="0.25">
      <c r="A413" s="5">
        <v>3400082</v>
      </c>
      <c r="B413" s="1">
        <v>2018</v>
      </c>
      <c r="C413" s="1" t="s">
        <v>1387</v>
      </c>
      <c r="D413" s="1" t="s">
        <v>1348</v>
      </c>
      <c r="E413" s="8">
        <v>94252</v>
      </c>
      <c r="F413" s="5">
        <v>3400082</v>
      </c>
    </row>
    <row r="414" spans="1:6" x14ac:dyDescent="0.25">
      <c r="A414" s="5">
        <v>3400082</v>
      </c>
      <c r="B414" s="1">
        <v>2019</v>
      </c>
      <c r="C414" s="1" t="s">
        <v>1387</v>
      </c>
      <c r="D414" s="1" t="s">
        <v>1348</v>
      </c>
      <c r="E414" s="8">
        <v>172952</v>
      </c>
      <c r="F414" s="5">
        <v>3400082</v>
      </c>
    </row>
    <row r="415" spans="1:6" ht="20" x14ac:dyDescent="0.25">
      <c r="A415" s="5">
        <v>3400082</v>
      </c>
      <c r="B415" s="1">
        <v>2020</v>
      </c>
      <c r="C415" s="1" t="s">
        <v>1387</v>
      </c>
      <c r="D415" s="2" t="s">
        <v>1348</v>
      </c>
      <c r="E415" s="7">
        <v>211435</v>
      </c>
      <c r="F415" s="5">
        <v>3400082</v>
      </c>
    </row>
    <row r="416" spans="1:6" ht="20" x14ac:dyDescent="0.25">
      <c r="A416" s="5">
        <v>3400082</v>
      </c>
      <c r="B416" s="1">
        <v>2021</v>
      </c>
      <c r="C416" s="1" t="s">
        <v>1387</v>
      </c>
      <c r="D416" s="3" t="s">
        <v>1348</v>
      </c>
      <c r="E416" s="7">
        <v>292273</v>
      </c>
      <c r="F416" s="5">
        <v>3400082</v>
      </c>
    </row>
    <row r="417" spans="1:6" ht="20" x14ac:dyDescent="0.25">
      <c r="A417" s="5">
        <v>3400082</v>
      </c>
      <c r="B417" s="1">
        <v>2022</v>
      </c>
      <c r="C417" s="1" t="s">
        <v>1387</v>
      </c>
      <c r="D417" s="2" t="s">
        <v>1348</v>
      </c>
      <c r="E417" s="7">
        <v>434304</v>
      </c>
      <c r="F417" s="5">
        <v>3400082</v>
      </c>
    </row>
    <row r="418" spans="1:6" ht="20" x14ac:dyDescent="0.25">
      <c r="A418" s="5">
        <v>3400082</v>
      </c>
      <c r="B418" s="1">
        <v>2023</v>
      </c>
      <c r="C418" s="1" t="s">
        <v>1387</v>
      </c>
      <c r="D418" s="2" t="s">
        <v>1348</v>
      </c>
      <c r="E418" s="7">
        <v>359276</v>
      </c>
      <c r="F418" s="5">
        <v>3400082</v>
      </c>
    </row>
    <row r="419" spans="1:6" x14ac:dyDescent="0.25">
      <c r="A419" s="5">
        <v>3400083</v>
      </c>
      <c r="B419" s="1">
        <v>2015</v>
      </c>
      <c r="C419" s="1" t="s">
        <v>1387</v>
      </c>
      <c r="D419" s="1" t="s">
        <v>633</v>
      </c>
      <c r="E419" s="8">
        <v>44474</v>
      </c>
      <c r="F419" s="5">
        <v>3400083</v>
      </c>
    </row>
    <row r="420" spans="1:6" x14ac:dyDescent="0.25">
      <c r="A420" s="5">
        <v>3400083</v>
      </c>
      <c r="B420" s="1">
        <v>2016</v>
      </c>
      <c r="C420" s="1" t="s">
        <v>1387</v>
      </c>
      <c r="D420" s="1" t="s">
        <v>633</v>
      </c>
      <c r="E420" s="8">
        <v>117538</v>
      </c>
      <c r="F420" s="5">
        <v>3400083</v>
      </c>
    </row>
    <row r="421" spans="1:6" x14ac:dyDescent="0.25">
      <c r="A421" s="5">
        <v>3400083</v>
      </c>
      <c r="B421" s="1">
        <v>2017</v>
      </c>
      <c r="C421" s="1" t="s">
        <v>1387</v>
      </c>
      <c r="D421" s="1" t="s">
        <v>633</v>
      </c>
      <c r="E421" s="8">
        <v>144280</v>
      </c>
      <c r="F421" s="5">
        <v>3400083</v>
      </c>
    </row>
    <row r="422" spans="1:6" x14ac:dyDescent="0.25">
      <c r="A422" s="5">
        <v>3400083</v>
      </c>
      <c r="B422" s="1">
        <v>2018</v>
      </c>
      <c r="C422" s="1" t="s">
        <v>1387</v>
      </c>
      <c r="D422" s="1" t="s">
        <v>1326</v>
      </c>
      <c r="E422" s="8">
        <v>191307</v>
      </c>
      <c r="F422" s="5">
        <v>3400083</v>
      </c>
    </row>
    <row r="423" spans="1:6" x14ac:dyDescent="0.25">
      <c r="A423" s="5">
        <v>3400083</v>
      </c>
      <c r="B423" s="1">
        <v>2019</v>
      </c>
      <c r="C423" s="1" t="s">
        <v>1387</v>
      </c>
      <c r="D423" s="1" t="s">
        <v>1326</v>
      </c>
      <c r="E423" s="8">
        <v>258986</v>
      </c>
      <c r="F423" s="5">
        <v>3400083</v>
      </c>
    </row>
    <row r="424" spans="1:6" ht="20" x14ac:dyDescent="0.25">
      <c r="A424" s="5">
        <v>3400083</v>
      </c>
      <c r="B424" s="1">
        <v>2020</v>
      </c>
      <c r="C424" s="1" t="s">
        <v>1387</v>
      </c>
      <c r="D424" s="2" t="s">
        <v>1326</v>
      </c>
      <c r="E424" s="7">
        <v>270721</v>
      </c>
      <c r="F424" s="5">
        <v>3400083</v>
      </c>
    </row>
    <row r="425" spans="1:6" ht="20" x14ac:dyDescent="0.25">
      <c r="A425" s="5">
        <v>3400083</v>
      </c>
      <c r="B425" s="1">
        <v>2021</v>
      </c>
      <c r="C425" s="1" t="s">
        <v>1387</v>
      </c>
      <c r="D425" s="3" t="s">
        <v>1326</v>
      </c>
      <c r="E425" s="7">
        <v>305163</v>
      </c>
      <c r="F425" s="5">
        <v>3400083</v>
      </c>
    </row>
    <row r="426" spans="1:6" ht="20" x14ac:dyDescent="0.25">
      <c r="A426" s="5">
        <v>3400083</v>
      </c>
      <c r="B426" s="1">
        <v>2022</v>
      </c>
      <c r="C426" s="1" t="s">
        <v>1387</v>
      </c>
      <c r="D426" s="2" t="s">
        <v>1326</v>
      </c>
      <c r="E426" s="7">
        <v>291619</v>
      </c>
      <c r="F426" s="5">
        <v>3400083</v>
      </c>
    </row>
    <row r="427" spans="1:6" ht="20" x14ac:dyDescent="0.25">
      <c r="A427" s="5">
        <v>3400083</v>
      </c>
      <c r="B427" s="1">
        <v>2023</v>
      </c>
      <c r="C427" s="1" t="s">
        <v>1387</v>
      </c>
      <c r="D427" s="2" t="s">
        <v>1326</v>
      </c>
      <c r="E427" s="7">
        <v>314763</v>
      </c>
      <c r="F427" s="5">
        <v>3400083</v>
      </c>
    </row>
    <row r="428" spans="1:6" x14ac:dyDescent="0.25">
      <c r="A428" s="5">
        <v>3400084</v>
      </c>
      <c r="B428" s="1">
        <v>2015</v>
      </c>
      <c r="C428" s="1" t="s">
        <v>1387</v>
      </c>
      <c r="D428" s="1" t="s">
        <v>267</v>
      </c>
      <c r="E428" s="8">
        <v>145528</v>
      </c>
      <c r="F428" s="5">
        <v>3400084</v>
      </c>
    </row>
    <row r="429" spans="1:6" x14ac:dyDescent="0.25">
      <c r="A429" s="5">
        <v>3400084</v>
      </c>
      <c r="B429" s="1">
        <v>2016</v>
      </c>
      <c r="C429" s="1" t="s">
        <v>1387</v>
      </c>
      <c r="D429" s="1" t="s">
        <v>267</v>
      </c>
      <c r="E429" s="8">
        <v>3615</v>
      </c>
      <c r="F429" s="5">
        <v>3400084</v>
      </c>
    </row>
    <row r="430" spans="1:6" x14ac:dyDescent="0.25">
      <c r="A430" s="5">
        <v>3400084</v>
      </c>
      <c r="B430" s="1">
        <v>2017</v>
      </c>
      <c r="C430" s="1" t="s">
        <v>1387</v>
      </c>
      <c r="D430" s="1" t="s">
        <v>267</v>
      </c>
      <c r="E430" s="8">
        <v>459208</v>
      </c>
      <c r="F430" s="5">
        <v>3400084</v>
      </c>
    </row>
    <row r="431" spans="1:6" x14ac:dyDescent="0.25">
      <c r="A431" s="5">
        <v>3400084</v>
      </c>
      <c r="B431" s="1">
        <v>2018</v>
      </c>
      <c r="C431" s="1" t="s">
        <v>1387</v>
      </c>
      <c r="D431" s="1" t="s">
        <v>957</v>
      </c>
      <c r="E431" s="8">
        <v>514288</v>
      </c>
      <c r="F431" s="5">
        <v>3400084</v>
      </c>
    </row>
    <row r="432" spans="1:6" x14ac:dyDescent="0.25">
      <c r="A432" s="5">
        <v>3400084</v>
      </c>
      <c r="B432" s="1">
        <v>2019</v>
      </c>
      <c r="C432" s="1" t="s">
        <v>1387</v>
      </c>
      <c r="D432" s="1" t="s">
        <v>957</v>
      </c>
      <c r="E432" s="8">
        <v>601601</v>
      </c>
      <c r="F432" s="5">
        <v>3400084</v>
      </c>
    </row>
    <row r="433" spans="1:6" ht="20" x14ac:dyDescent="0.25">
      <c r="A433" s="5">
        <v>3400084</v>
      </c>
      <c r="B433" s="1">
        <v>2020</v>
      </c>
      <c r="C433" s="1" t="s">
        <v>1387</v>
      </c>
      <c r="D433" s="2" t="s">
        <v>957</v>
      </c>
      <c r="E433" s="7">
        <v>852068</v>
      </c>
      <c r="F433" s="5">
        <v>3400084</v>
      </c>
    </row>
    <row r="434" spans="1:6" ht="20" x14ac:dyDescent="0.25">
      <c r="A434" s="5">
        <v>3400084</v>
      </c>
      <c r="B434" s="1">
        <v>2021</v>
      </c>
      <c r="C434" s="1" t="s">
        <v>1387</v>
      </c>
      <c r="D434" s="3" t="s">
        <v>957</v>
      </c>
      <c r="E434" s="7">
        <v>1006415</v>
      </c>
      <c r="F434" s="5">
        <v>3400084</v>
      </c>
    </row>
    <row r="435" spans="1:6" ht="20" x14ac:dyDescent="0.25">
      <c r="A435" s="5">
        <v>3400084</v>
      </c>
      <c r="B435" s="1">
        <v>2022</v>
      </c>
      <c r="C435" s="1" t="s">
        <v>1387</v>
      </c>
      <c r="D435" s="2" t="s">
        <v>957</v>
      </c>
      <c r="E435" s="7">
        <v>1007574</v>
      </c>
      <c r="F435" s="5">
        <v>3400084</v>
      </c>
    </row>
    <row r="436" spans="1:6" ht="20" x14ac:dyDescent="0.25">
      <c r="A436" s="5">
        <v>3400084</v>
      </c>
      <c r="B436" s="1">
        <v>2023</v>
      </c>
      <c r="C436" s="1" t="s">
        <v>1387</v>
      </c>
      <c r="D436" s="2" t="s">
        <v>957</v>
      </c>
      <c r="E436" s="7">
        <v>1454763</v>
      </c>
      <c r="F436" s="5">
        <v>3400084</v>
      </c>
    </row>
    <row r="437" spans="1:6" x14ac:dyDescent="0.25">
      <c r="A437" s="5">
        <v>3400087</v>
      </c>
      <c r="B437" s="1">
        <v>2015</v>
      </c>
      <c r="C437" s="1" t="s">
        <v>1387</v>
      </c>
      <c r="D437" s="1" t="s">
        <v>540</v>
      </c>
      <c r="E437" s="8">
        <v>272412</v>
      </c>
      <c r="F437" s="5">
        <v>3400087</v>
      </c>
    </row>
    <row r="438" spans="1:6" x14ac:dyDescent="0.25">
      <c r="A438" s="5">
        <v>3400087</v>
      </c>
      <c r="B438" s="1">
        <v>2016</v>
      </c>
      <c r="C438" s="1" t="s">
        <v>1387</v>
      </c>
      <c r="D438" s="1" t="s">
        <v>540</v>
      </c>
      <c r="E438" s="8">
        <v>478517</v>
      </c>
      <c r="F438" s="5">
        <v>3400087</v>
      </c>
    </row>
    <row r="439" spans="1:6" x14ac:dyDescent="0.25">
      <c r="A439" s="5">
        <v>3400087</v>
      </c>
      <c r="B439" s="1">
        <v>2017</v>
      </c>
      <c r="C439" s="1" t="s">
        <v>1387</v>
      </c>
      <c r="D439" s="1" t="s">
        <v>540</v>
      </c>
      <c r="E439" s="8">
        <v>715102</v>
      </c>
      <c r="F439" s="5">
        <v>3400087</v>
      </c>
    </row>
    <row r="440" spans="1:6" x14ac:dyDescent="0.25">
      <c r="A440" s="5">
        <v>3400087</v>
      </c>
      <c r="B440" s="1">
        <v>2018</v>
      </c>
      <c r="C440" s="1" t="s">
        <v>1387</v>
      </c>
      <c r="D440" s="1" t="s">
        <v>1232</v>
      </c>
      <c r="E440" s="8">
        <v>943953</v>
      </c>
      <c r="F440" s="5">
        <v>3400087</v>
      </c>
    </row>
    <row r="441" spans="1:6" x14ac:dyDescent="0.25">
      <c r="A441" s="5">
        <v>3400087</v>
      </c>
      <c r="B441" s="1">
        <v>2019</v>
      </c>
      <c r="C441" s="1" t="s">
        <v>1387</v>
      </c>
      <c r="D441" s="1" t="s">
        <v>1232</v>
      </c>
      <c r="E441" s="8">
        <v>1132021</v>
      </c>
      <c r="F441" s="5">
        <v>3400087</v>
      </c>
    </row>
    <row r="442" spans="1:6" ht="20" x14ac:dyDescent="0.25">
      <c r="A442" s="5">
        <v>3400087</v>
      </c>
      <c r="B442" s="1">
        <v>2020</v>
      </c>
      <c r="C442" s="1" t="s">
        <v>1387</v>
      </c>
      <c r="D442" s="2" t="s">
        <v>1232</v>
      </c>
      <c r="E442" s="7">
        <v>1562578</v>
      </c>
      <c r="F442" s="5">
        <v>3400087</v>
      </c>
    </row>
    <row r="443" spans="1:6" ht="20" x14ac:dyDescent="0.25">
      <c r="A443" s="5">
        <v>3400087</v>
      </c>
      <c r="B443" s="1">
        <v>2021</v>
      </c>
      <c r="C443" s="1" t="s">
        <v>1387</v>
      </c>
      <c r="D443" s="3" t="s">
        <v>1232</v>
      </c>
      <c r="E443" s="7">
        <v>2005915</v>
      </c>
      <c r="F443" s="5">
        <v>3400087</v>
      </c>
    </row>
    <row r="444" spans="1:6" ht="20" x14ac:dyDescent="0.25">
      <c r="A444" s="5">
        <v>3400087</v>
      </c>
      <c r="B444" s="1">
        <v>2022</v>
      </c>
      <c r="C444" s="1" t="s">
        <v>1387</v>
      </c>
      <c r="D444" s="2" t="s">
        <v>1232</v>
      </c>
      <c r="E444" s="7">
        <v>2992211</v>
      </c>
      <c r="F444" s="5">
        <v>3400087</v>
      </c>
    </row>
    <row r="445" spans="1:6" ht="20" x14ac:dyDescent="0.25">
      <c r="A445" s="5">
        <v>3400087</v>
      </c>
      <c r="B445" s="1">
        <v>2023</v>
      </c>
      <c r="C445" s="1" t="s">
        <v>1387</v>
      </c>
      <c r="D445" s="2" t="s">
        <v>1232</v>
      </c>
      <c r="E445" s="7">
        <v>3130573</v>
      </c>
      <c r="F445" s="5">
        <v>3400087</v>
      </c>
    </row>
    <row r="446" spans="1:6" x14ac:dyDescent="0.25">
      <c r="A446" s="5">
        <v>3400090</v>
      </c>
      <c r="B446" s="1">
        <v>2015</v>
      </c>
      <c r="C446" s="1" t="s">
        <v>1387</v>
      </c>
      <c r="D446" s="1" t="s">
        <v>568</v>
      </c>
      <c r="E446" s="8">
        <v>66454</v>
      </c>
      <c r="F446" s="5">
        <v>3400090</v>
      </c>
    </row>
    <row r="447" spans="1:6" x14ac:dyDescent="0.25">
      <c r="A447" s="5">
        <v>3400090</v>
      </c>
      <c r="B447" s="1">
        <v>2016</v>
      </c>
      <c r="C447" s="1" t="s">
        <v>1387</v>
      </c>
      <c r="D447" s="1" t="s">
        <v>568</v>
      </c>
      <c r="E447" s="8">
        <v>118225</v>
      </c>
      <c r="F447" s="5">
        <v>3400090</v>
      </c>
    </row>
    <row r="448" spans="1:6" x14ac:dyDescent="0.25">
      <c r="A448" s="5">
        <v>3400090</v>
      </c>
      <c r="B448" s="1">
        <v>2017</v>
      </c>
      <c r="C448" s="1" t="s">
        <v>1387</v>
      </c>
      <c r="D448" s="1" t="s">
        <v>568</v>
      </c>
      <c r="E448" s="8">
        <v>195440</v>
      </c>
      <c r="F448" s="5">
        <v>3400090</v>
      </c>
    </row>
    <row r="449" spans="1:6" x14ac:dyDescent="0.25">
      <c r="A449" s="5">
        <v>3400090</v>
      </c>
      <c r="B449" s="1">
        <v>2018</v>
      </c>
      <c r="C449" s="1" t="s">
        <v>1387</v>
      </c>
      <c r="D449" s="1" t="s">
        <v>1260</v>
      </c>
      <c r="E449" s="8">
        <v>332935</v>
      </c>
      <c r="F449" s="5">
        <v>3400090</v>
      </c>
    </row>
    <row r="450" spans="1:6" x14ac:dyDescent="0.25">
      <c r="A450" s="5">
        <v>3400090</v>
      </c>
      <c r="B450" s="1">
        <v>2019</v>
      </c>
      <c r="C450" s="1" t="s">
        <v>1387</v>
      </c>
      <c r="D450" s="1" t="s">
        <v>1260</v>
      </c>
      <c r="E450" s="8">
        <v>442797</v>
      </c>
      <c r="F450" s="5">
        <v>3400090</v>
      </c>
    </row>
    <row r="451" spans="1:6" ht="20" x14ac:dyDescent="0.25">
      <c r="A451" s="5">
        <v>3400090</v>
      </c>
      <c r="B451" s="1">
        <v>2020</v>
      </c>
      <c r="C451" s="1" t="s">
        <v>1387</v>
      </c>
      <c r="D451" s="2" t="s">
        <v>1260</v>
      </c>
      <c r="E451" s="7">
        <v>553586</v>
      </c>
      <c r="F451" s="5">
        <v>3400090</v>
      </c>
    </row>
    <row r="452" spans="1:6" ht="20" x14ac:dyDescent="0.25">
      <c r="A452" s="5">
        <v>3400090</v>
      </c>
      <c r="B452" s="1">
        <v>2021</v>
      </c>
      <c r="C452" s="1" t="s">
        <v>1387</v>
      </c>
      <c r="D452" s="3" t="s">
        <v>1260</v>
      </c>
      <c r="E452" s="7">
        <v>919693</v>
      </c>
      <c r="F452" s="5">
        <v>3400090</v>
      </c>
    </row>
    <row r="453" spans="1:6" ht="20" x14ac:dyDescent="0.25">
      <c r="A453" s="5">
        <v>3400090</v>
      </c>
      <c r="B453" s="1">
        <v>2022</v>
      </c>
      <c r="C453" s="1" t="s">
        <v>1387</v>
      </c>
      <c r="D453" s="2" t="s">
        <v>1260</v>
      </c>
      <c r="E453" s="7">
        <v>1936544</v>
      </c>
      <c r="F453" s="5">
        <v>3400090</v>
      </c>
    </row>
    <row r="454" spans="1:6" ht="20" x14ac:dyDescent="0.25">
      <c r="A454" s="5">
        <v>3400090</v>
      </c>
      <c r="B454" s="1">
        <v>2023</v>
      </c>
      <c r="C454" s="1" t="s">
        <v>1387</v>
      </c>
      <c r="D454" s="2" t="s">
        <v>1260</v>
      </c>
      <c r="E454" s="7">
        <v>1829191</v>
      </c>
      <c r="F454" s="5">
        <v>3400090</v>
      </c>
    </row>
    <row r="455" spans="1:6" x14ac:dyDescent="0.25">
      <c r="A455" s="5">
        <v>3400660</v>
      </c>
      <c r="B455" s="1">
        <v>2015</v>
      </c>
      <c r="C455" s="1" t="s">
        <v>1387</v>
      </c>
      <c r="D455" s="1" t="s">
        <v>1</v>
      </c>
      <c r="E455" s="8">
        <v>282904</v>
      </c>
      <c r="F455" s="5">
        <v>3400660</v>
      </c>
    </row>
    <row r="456" spans="1:6" x14ac:dyDescent="0.25">
      <c r="A456" s="5">
        <v>3400660</v>
      </c>
      <c r="B456" s="1">
        <v>2016</v>
      </c>
      <c r="C456" s="1" t="s">
        <v>1387</v>
      </c>
      <c r="D456" s="1" t="s">
        <v>1</v>
      </c>
      <c r="E456" s="8">
        <v>418086</v>
      </c>
      <c r="F456" s="5">
        <v>3400660</v>
      </c>
    </row>
    <row r="457" spans="1:6" x14ac:dyDescent="0.25">
      <c r="A457" s="5">
        <v>3400660</v>
      </c>
      <c r="B457" s="1">
        <v>2017</v>
      </c>
      <c r="C457" s="1" t="s">
        <v>1387</v>
      </c>
      <c r="D457" s="1" t="s">
        <v>1</v>
      </c>
      <c r="E457" s="8">
        <v>606121</v>
      </c>
      <c r="F457" s="5">
        <v>3400660</v>
      </c>
    </row>
    <row r="458" spans="1:6" x14ac:dyDescent="0.25">
      <c r="A458" s="5">
        <v>3400660</v>
      </c>
      <c r="B458" s="1">
        <v>2018</v>
      </c>
      <c r="C458" s="1" t="s">
        <v>1387</v>
      </c>
      <c r="D458" s="1" t="s">
        <v>679</v>
      </c>
      <c r="E458" s="8">
        <v>791517</v>
      </c>
      <c r="F458" s="5">
        <v>3400660</v>
      </c>
    </row>
    <row r="459" spans="1:6" x14ac:dyDescent="0.25">
      <c r="A459" s="5">
        <v>3400660</v>
      </c>
      <c r="B459" s="1">
        <v>2019</v>
      </c>
      <c r="C459" s="1" t="s">
        <v>1387</v>
      </c>
      <c r="D459" s="1" t="s">
        <v>679</v>
      </c>
      <c r="E459" s="8">
        <v>1113713</v>
      </c>
      <c r="F459" s="5">
        <v>3400660</v>
      </c>
    </row>
    <row r="460" spans="1:6" ht="20" x14ac:dyDescent="0.25">
      <c r="A460" s="5">
        <v>3400660</v>
      </c>
      <c r="B460" s="1">
        <v>2020</v>
      </c>
      <c r="C460" s="1" t="s">
        <v>1387</v>
      </c>
      <c r="D460" s="2" t="s">
        <v>679</v>
      </c>
      <c r="E460" s="7">
        <v>1228260</v>
      </c>
      <c r="F460" s="5">
        <v>3400660</v>
      </c>
    </row>
    <row r="461" spans="1:6" ht="20" x14ac:dyDescent="0.25">
      <c r="A461" s="5">
        <v>3400660</v>
      </c>
      <c r="B461" s="1">
        <v>2021</v>
      </c>
      <c r="C461" s="1" t="s">
        <v>1387</v>
      </c>
      <c r="D461" s="3" t="s">
        <v>679</v>
      </c>
      <c r="E461" s="7">
        <v>1670181</v>
      </c>
      <c r="F461" s="5">
        <v>3400660</v>
      </c>
    </row>
    <row r="462" spans="1:6" ht="20" x14ac:dyDescent="0.25">
      <c r="A462" s="5">
        <v>3400660</v>
      </c>
      <c r="B462" s="1">
        <v>2022</v>
      </c>
      <c r="C462" s="1" t="s">
        <v>1387</v>
      </c>
      <c r="D462" s="2" t="s">
        <v>679</v>
      </c>
      <c r="E462" s="7">
        <v>2498460</v>
      </c>
      <c r="F462" s="5">
        <v>3400660</v>
      </c>
    </row>
    <row r="463" spans="1:6" ht="20" x14ac:dyDescent="0.25">
      <c r="A463" s="5">
        <v>3400660</v>
      </c>
      <c r="B463" s="1">
        <v>2023</v>
      </c>
      <c r="C463" s="1" t="s">
        <v>1387</v>
      </c>
      <c r="D463" s="2" t="s">
        <v>679</v>
      </c>
      <c r="E463" s="7">
        <v>2580589</v>
      </c>
      <c r="F463" s="5">
        <v>3400660</v>
      </c>
    </row>
    <row r="464" spans="1:6" x14ac:dyDescent="0.25">
      <c r="A464" s="5">
        <v>3400690</v>
      </c>
      <c r="B464" s="1">
        <v>2015</v>
      </c>
      <c r="C464" s="1" t="s">
        <v>1387</v>
      </c>
      <c r="D464" s="1" t="s">
        <v>325</v>
      </c>
      <c r="E464" s="8">
        <v>273753</v>
      </c>
      <c r="F464" s="5">
        <v>3400690</v>
      </c>
    </row>
    <row r="465" spans="1:6" x14ac:dyDescent="0.25">
      <c r="A465" s="5">
        <v>3400690</v>
      </c>
      <c r="B465" s="1">
        <v>2016</v>
      </c>
      <c r="C465" s="1" t="s">
        <v>1387</v>
      </c>
      <c r="D465" s="1" t="s">
        <v>325</v>
      </c>
      <c r="E465" s="8">
        <v>398902</v>
      </c>
      <c r="F465" s="5">
        <v>3400690</v>
      </c>
    </row>
    <row r="466" spans="1:6" x14ac:dyDescent="0.25">
      <c r="A466" s="5">
        <v>3400690</v>
      </c>
      <c r="B466" s="1">
        <v>2017</v>
      </c>
      <c r="C466" s="1" t="s">
        <v>1387</v>
      </c>
      <c r="D466" s="1" t="s">
        <v>325</v>
      </c>
      <c r="E466" s="8">
        <v>561733</v>
      </c>
      <c r="F466" s="5">
        <v>3400690</v>
      </c>
    </row>
    <row r="467" spans="1:6" x14ac:dyDescent="0.25">
      <c r="A467" s="5">
        <v>3400690</v>
      </c>
      <c r="B467" s="1">
        <v>2018</v>
      </c>
      <c r="C467" s="1" t="s">
        <v>1387</v>
      </c>
      <c r="D467" s="1" t="s">
        <v>1018</v>
      </c>
      <c r="E467" s="8">
        <v>725244</v>
      </c>
      <c r="F467" s="5">
        <v>3400690</v>
      </c>
    </row>
    <row r="468" spans="1:6" x14ac:dyDescent="0.25">
      <c r="A468" s="5">
        <v>3400690</v>
      </c>
      <c r="B468" s="1">
        <v>2019</v>
      </c>
      <c r="C468" s="1" t="s">
        <v>1387</v>
      </c>
      <c r="D468" s="1" t="s">
        <v>1018</v>
      </c>
      <c r="E468" s="8">
        <v>940500</v>
      </c>
      <c r="F468" s="5">
        <v>3400690</v>
      </c>
    </row>
    <row r="469" spans="1:6" ht="20" x14ac:dyDescent="0.25">
      <c r="A469" s="5">
        <v>3400690</v>
      </c>
      <c r="B469" s="1">
        <v>2020</v>
      </c>
      <c r="C469" s="1" t="s">
        <v>1387</v>
      </c>
      <c r="D469" s="2" t="s">
        <v>1018</v>
      </c>
      <c r="E469" s="7">
        <v>1010248</v>
      </c>
      <c r="F469" s="5">
        <v>3400690</v>
      </c>
    </row>
    <row r="470" spans="1:6" ht="20" x14ac:dyDescent="0.25">
      <c r="A470" s="5">
        <v>3400690</v>
      </c>
      <c r="B470" s="1">
        <v>2021</v>
      </c>
      <c r="C470" s="1" t="s">
        <v>1387</v>
      </c>
      <c r="D470" s="3" t="s">
        <v>1018</v>
      </c>
      <c r="E470" s="7">
        <v>1370715</v>
      </c>
      <c r="F470" s="5">
        <v>3400690</v>
      </c>
    </row>
    <row r="471" spans="1:6" ht="20" x14ac:dyDescent="0.25">
      <c r="A471" s="5">
        <v>3400690</v>
      </c>
      <c r="B471" s="1">
        <v>2022</v>
      </c>
      <c r="C471" s="1" t="s">
        <v>1387</v>
      </c>
      <c r="D471" s="2" t="s">
        <v>1018</v>
      </c>
      <c r="E471" s="7">
        <v>1787890</v>
      </c>
      <c r="F471" s="5">
        <v>3400690</v>
      </c>
    </row>
    <row r="472" spans="1:6" ht="20" x14ac:dyDescent="0.25">
      <c r="A472" s="5">
        <v>3400690</v>
      </c>
      <c r="B472" s="1">
        <v>2023</v>
      </c>
      <c r="C472" s="1" t="s">
        <v>1387</v>
      </c>
      <c r="D472" s="2" t="s">
        <v>1018</v>
      </c>
      <c r="E472" s="7">
        <v>1730320</v>
      </c>
      <c r="F472" s="5">
        <v>3400690</v>
      </c>
    </row>
    <row r="473" spans="1:6" x14ac:dyDescent="0.25">
      <c r="A473" s="5">
        <v>3400715</v>
      </c>
      <c r="B473" s="1">
        <v>2015</v>
      </c>
      <c r="C473" s="1" t="s">
        <v>1387</v>
      </c>
      <c r="D473" s="1" t="s">
        <v>29</v>
      </c>
      <c r="E473" s="8">
        <v>150231</v>
      </c>
      <c r="F473" s="5">
        <v>3400715</v>
      </c>
    </row>
    <row r="474" spans="1:6" x14ac:dyDescent="0.25">
      <c r="A474" s="5">
        <v>3400715</v>
      </c>
      <c r="B474" s="1">
        <v>2016</v>
      </c>
      <c r="C474" s="1" t="s">
        <v>1387</v>
      </c>
      <c r="D474" s="1" t="s">
        <v>29</v>
      </c>
      <c r="E474" s="8">
        <v>283741</v>
      </c>
      <c r="F474" s="5">
        <v>3400715</v>
      </c>
    </row>
    <row r="475" spans="1:6" x14ac:dyDescent="0.25">
      <c r="A475" s="5">
        <v>3400715</v>
      </c>
      <c r="B475" s="1">
        <v>2017</v>
      </c>
      <c r="C475" s="1" t="s">
        <v>1387</v>
      </c>
      <c r="D475" s="1" t="s">
        <v>29</v>
      </c>
      <c r="E475" s="8">
        <v>482826</v>
      </c>
      <c r="F475" s="5">
        <v>3400715</v>
      </c>
    </row>
    <row r="476" spans="1:6" x14ac:dyDescent="0.25">
      <c r="A476" s="5">
        <v>3400715</v>
      </c>
      <c r="B476" s="1">
        <v>2018</v>
      </c>
      <c r="C476" s="1" t="s">
        <v>1387</v>
      </c>
      <c r="D476" s="1" t="s">
        <v>707</v>
      </c>
      <c r="E476" s="8">
        <v>686594</v>
      </c>
      <c r="F476" s="5">
        <v>3400715</v>
      </c>
    </row>
    <row r="477" spans="1:6" x14ac:dyDescent="0.25">
      <c r="A477" s="5">
        <v>3400715</v>
      </c>
      <c r="B477" s="1">
        <v>2019</v>
      </c>
      <c r="C477" s="1" t="s">
        <v>1387</v>
      </c>
      <c r="D477" s="1" t="s">
        <v>707</v>
      </c>
      <c r="E477" s="8">
        <v>878450</v>
      </c>
      <c r="F477" s="5">
        <v>3400715</v>
      </c>
    </row>
    <row r="478" spans="1:6" ht="20" x14ac:dyDescent="0.25">
      <c r="A478" s="5">
        <v>3400715</v>
      </c>
      <c r="B478" s="1">
        <v>2020</v>
      </c>
      <c r="C478" s="1" t="s">
        <v>1387</v>
      </c>
      <c r="D478" s="2" t="s">
        <v>707</v>
      </c>
      <c r="E478" s="7">
        <v>1072642</v>
      </c>
      <c r="F478" s="5">
        <v>3400715</v>
      </c>
    </row>
    <row r="479" spans="1:6" ht="20" x14ac:dyDescent="0.25">
      <c r="A479" s="5">
        <v>3400715</v>
      </c>
      <c r="B479" s="1">
        <v>2021</v>
      </c>
      <c r="C479" s="1" t="s">
        <v>1387</v>
      </c>
      <c r="D479" s="3" t="s">
        <v>707</v>
      </c>
      <c r="E479" s="7">
        <v>1373826</v>
      </c>
      <c r="F479" s="5">
        <v>3400715</v>
      </c>
    </row>
    <row r="480" spans="1:6" ht="20" x14ac:dyDescent="0.25">
      <c r="A480" s="5">
        <v>3400715</v>
      </c>
      <c r="B480" s="1">
        <v>2022</v>
      </c>
      <c r="C480" s="1" t="s">
        <v>1387</v>
      </c>
      <c r="D480" s="2" t="s">
        <v>707</v>
      </c>
      <c r="E480" s="7">
        <v>2060052</v>
      </c>
      <c r="F480" s="5">
        <v>3400715</v>
      </c>
    </row>
    <row r="481" spans="1:6" ht="20" x14ac:dyDescent="0.25">
      <c r="A481" s="5">
        <v>3400715</v>
      </c>
      <c r="B481" s="1">
        <v>2023</v>
      </c>
      <c r="C481" s="1" t="s">
        <v>1387</v>
      </c>
      <c r="D481" s="2" t="s">
        <v>707</v>
      </c>
      <c r="E481" s="7">
        <v>2088658</v>
      </c>
      <c r="F481" s="5">
        <v>3400715</v>
      </c>
    </row>
    <row r="482" spans="1:6" x14ac:dyDescent="0.25">
      <c r="A482" s="5">
        <v>3400717</v>
      </c>
      <c r="B482" s="1">
        <v>2015</v>
      </c>
      <c r="C482" s="1" t="s">
        <v>1387</v>
      </c>
      <c r="D482" s="1" t="s">
        <v>357</v>
      </c>
      <c r="E482" s="9">
        <v>114183</v>
      </c>
      <c r="F482" s="5">
        <v>3400717</v>
      </c>
    </row>
    <row r="483" spans="1:6" x14ac:dyDescent="0.25">
      <c r="A483" s="5">
        <v>3400717</v>
      </c>
      <c r="B483" s="1">
        <v>2016</v>
      </c>
      <c r="C483" s="1" t="s">
        <v>1387</v>
      </c>
      <c r="D483" s="1" t="s">
        <v>357</v>
      </c>
      <c r="E483" s="9">
        <v>241617</v>
      </c>
      <c r="F483" s="5">
        <v>3400717</v>
      </c>
    </row>
    <row r="484" spans="1:6" x14ac:dyDescent="0.25">
      <c r="A484" s="5">
        <v>3400717</v>
      </c>
      <c r="B484" s="1">
        <v>2017</v>
      </c>
      <c r="C484" s="1" t="s">
        <v>1387</v>
      </c>
      <c r="D484" s="1" t="s">
        <v>357</v>
      </c>
      <c r="E484" s="9">
        <v>494334</v>
      </c>
      <c r="F484" s="5">
        <v>3400717</v>
      </c>
    </row>
    <row r="485" spans="1:6" x14ac:dyDescent="0.25">
      <c r="A485" s="5">
        <v>3400717</v>
      </c>
      <c r="B485" s="1">
        <v>2018</v>
      </c>
      <c r="C485" s="1" t="s">
        <v>1387</v>
      </c>
      <c r="D485" s="1" t="s">
        <v>1047</v>
      </c>
      <c r="E485" s="9">
        <v>834890</v>
      </c>
      <c r="F485" s="5">
        <v>3400717</v>
      </c>
    </row>
    <row r="486" spans="1:6" x14ac:dyDescent="0.25">
      <c r="A486" s="5">
        <v>3400717</v>
      </c>
      <c r="B486" s="1">
        <v>2019</v>
      </c>
      <c r="C486" s="1" t="s">
        <v>1387</v>
      </c>
      <c r="D486" s="1" t="s">
        <v>1047</v>
      </c>
      <c r="E486" s="9">
        <v>1099989</v>
      </c>
      <c r="F486" s="5">
        <v>3400717</v>
      </c>
    </row>
    <row r="487" spans="1:6" ht="20" x14ac:dyDescent="0.25">
      <c r="A487" s="5">
        <v>3400717</v>
      </c>
      <c r="B487" s="1">
        <v>2020</v>
      </c>
      <c r="C487" s="1" t="s">
        <v>1387</v>
      </c>
      <c r="D487" s="2" t="s">
        <v>1047</v>
      </c>
      <c r="E487" s="9">
        <v>1197460</v>
      </c>
      <c r="F487" s="5">
        <v>3400717</v>
      </c>
    </row>
    <row r="488" spans="1:6" ht="20" x14ac:dyDescent="0.25">
      <c r="A488" s="5">
        <v>3400717</v>
      </c>
      <c r="B488" s="1">
        <v>2021</v>
      </c>
      <c r="C488" s="1" t="s">
        <v>1387</v>
      </c>
      <c r="D488" s="3" t="s">
        <v>1047</v>
      </c>
      <c r="E488" s="9">
        <v>1526223</v>
      </c>
      <c r="F488" s="5">
        <v>3400717</v>
      </c>
    </row>
    <row r="489" spans="1:6" ht="20" x14ac:dyDescent="0.25">
      <c r="A489" s="5">
        <v>3400717</v>
      </c>
      <c r="B489" s="1">
        <v>2022</v>
      </c>
      <c r="C489" s="1" t="s">
        <v>1387</v>
      </c>
      <c r="D489" s="2" t="s">
        <v>1047</v>
      </c>
      <c r="E489" s="9">
        <v>2093745</v>
      </c>
      <c r="F489" s="5">
        <v>3400717</v>
      </c>
    </row>
    <row r="490" spans="1:6" ht="20" x14ac:dyDescent="0.25">
      <c r="A490" s="5">
        <v>3400717</v>
      </c>
      <c r="B490" s="1">
        <v>2023</v>
      </c>
      <c r="C490" s="1" t="s">
        <v>1387</v>
      </c>
      <c r="D490" s="2" t="s">
        <v>1047</v>
      </c>
      <c r="E490" s="9">
        <v>2119549</v>
      </c>
      <c r="F490" s="5">
        <v>3400717</v>
      </c>
    </row>
    <row r="491" spans="1:6" x14ac:dyDescent="0.25">
      <c r="A491" s="5">
        <v>3400718</v>
      </c>
      <c r="B491" s="1">
        <v>2015</v>
      </c>
      <c r="C491" s="1" t="s">
        <v>1387</v>
      </c>
      <c r="D491" s="1" t="s">
        <v>526</v>
      </c>
      <c r="E491" s="8">
        <v>159371</v>
      </c>
      <c r="F491" s="5">
        <v>3400718</v>
      </c>
    </row>
    <row r="492" spans="1:6" x14ac:dyDescent="0.25">
      <c r="A492" s="5">
        <v>3400718</v>
      </c>
      <c r="B492" s="1">
        <v>2016</v>
      </c>
      <c r="C492" s="1" t="s">
        <v>1387</v>
      </c>
      <c r="D492" s="1" t="s">
        <v>526</v>
      </c>
      <c r="E492" s="8">
        <v>234427</v>
      </c>
      <c r="F492" s="5">
        <v>3400718</v>
      </c>
    </row>
    <row r="493" spans="1:6" x14ac:dyDescent="0.25">
      <c r="A493" s="5">
        <v>3400718</v>
      </c>
      <c r="B493" s="1">
        <v>2017</v>
      </c>
      <c r="C493" s="1" t="s">
        <v>1387</v>
      </c>
      <c r="D493" s="1" t="s">
        <v>526</v>
      </c>
      <c r="E493" s="8">
        <v>244144</v>
      </c>
      <c r="F493" s="5">
        <v>3400718</v>
      </c>
    </row>
    <row r="494" spans="1:6" x14ac:dyDescent="0.25">
      <c r="A494" s="5">
        <v>3400718</v>
      </c>
      <c r="B494" s="1">
        <v>2018</v>
      </c>
      <c r="C494" s="1" t="s">
        <v>1387</v>
      </c>
      <c r="D494" s="1" t="s">
        <v>1218</v>
      </c>
      <c r="E494" s="8">
        <v>490506</v>
      </c>
      <c r="F494" s="5">
        <v>3400718</v>
      </c>
    </row>
    <row r="495" spans="1:6" x14ac:dyDescent="0.25">
      <c r="A495" s="5">
        <v>3400718</v>
      </c>
      <c r="B495" s="1">
        <v>2019</v>
      </c>
      <c r="C495" s="1" t="s">
        <v>1387</v>
      </c>
      <c r="D495" s="1" t="s">
        <v>1218</v>
      </c>
      <c r="E495" s="8">
        <v>830636</v>
      </c>
      <c r="F495" s="5">
        <v>3400718</v>
      </c>
    </row>
    <row r="496" spans="1:6" ht="20" x14ac:dyDescent="0.25">
      <c r="A496" s="5">
        <v>3400718</v>
      </c>
      <c r="B496" s="1">
        <v>2020</v>
      </c>
      <c r="C496" s="1" t="s">
        <v>1387</v>
      </c>
      <c r="D496" s="2" t="s">
        <v>1218</v>
      </c>
      <c r="E496" s="7">
        <v>909943</v>
      </c>
      <c r="F496" s="5">
        <v>3400718</v>
      </c>
    </row>
    <row r="497" spans="1:6" ht="20" x14ac:dyDescent="0.25">
      <c r="A497" s="5">
        <v>3400718</v>
      </c>
      <c r="B497" s="1">
        <v>2021</v>
      </c>
      <c r="C497" s="1" t="s">
        <v>1387</v>
      </c>
      <c r="D497" s="3" t="s">
        <v>1218</v>
      </c>
      <c r="E497" s="7">
        <v>1186344</v>
      </c>
      <c r="F497" s="5">
        <v>3400718</v>
      </c>
    </row>
    <row r="498" spans="1:6" ht="20" x14ac:dyDescent="0.25">
      <c r="A498" s="5">
        <v>3400718</v>
      </c>
      <c r="B498" s="1">
        <v>2022</v>
      </c>
      <c r="C498" s="1" t="s">
        <v>1387</v>
      </c>
      <c r="D498" s="2" t="s">
        <v>1218</v>
      </c>
      <c r="E498" s="7">
        <v>1894210</v>
      </c>
      <c r="F498" s="5">
        <v>3400718</v>
      </c>
    </row>
    <row r="499" spans="1:6" ht="20" x14ac:dyDescent="0.25">
      <c r="A499" s="5">
        <v>3400718</v>
      </c>
      <c r="B499" s="1">
        <v>2023</v>
      </c>
      <c r="C499" s="1" t="s">
        <v>1387</v>
      </c>
      <c r="D499" s="2" t="s">
        <v>1218</v>
      </c>
      <c r="E499" s="7">
        <v>1726193</v>
      </c>
      <c r="F499" s="5">
        <v>3400718</v>
      </c>
    </row>
    <row r="500" spans="1:6" x14ac:dyDescent="0.25">
      <c r="A500" s="5">
        <v>3400719</v>
      </c>
      <c r="B500" s="1">
        <v>2015</v>
      </c>
      <c r="C500" s="1" t="s">
        <v>1387</v>
      </c>
      <c r="D500" s="1" t="s">
        <v>261</v>
      </c>
      <c r="E500" s="8">
        <v>113177</v>
      </c>
      <c r="F500" s="5">
        <v>3400719</v>
      </c>
    </row>
    <row r="501" spans="1:6" x14ac:dyDescent="0.25">
      <c r="A501" s="5">
        <v>3400719</v>
      </c>
      <c r="B501" s="1">
        <v>2016</v>
      </c>
      <c r="C501" s="1" t="s">
        <v>1387</v>
      </c>
      <c r="D501" s="1" t="s">
        <v>261</v>
      </c>
      <c r="E501" s="8">
        <v>164610</v>
      </c>
      <c r="F501" s="5">
        <v>3400719</v>
      </c>
    </row>
    <row r="502" spans="1:6" x14ac:dyDescent="0.25">
      <c r="A502" s="5">
        <v>3400719</v>
      </c>
      <c r="B502" s="1">
        <v>2017</v>
      </c>
      <c r="C502" s="1" t="s">
        <v>1387</v>
      </c>
      <c r="D502" s="1" t="s">
        <v>261</v>
      </c>
      <c r="E502" s="8">
        <v>253838</v>
      </c>
      <c r="F502" s="5">
        <v>3400719</v>
      </c>
    </row>
    <row r="503" spans="1:6" x14ac:dyDescent="0.25">
      <c r="A503" s="5">
        <v>3400719</v>
      </c>
      <c r="B503" s="1">
        <v>2018</v>
      </c>
      <c r="C503" s="1" t="s">
        <v>1387</v>
      </c>
      <c r="D503" s="1" t="s">
        <v>951</v>
      </c>
      <c r="E503" s="8">
        <v>337894</v>
      </c>
      <c r="F503" s="5">
        <v>3400719</v>
      </c>
    </row>
    <row r="504" spans="1:6" x14ac:dyDescent="0.25">
      <c r="A504" s="5">
        <v>3400719</v>
      </c>
      <c r="B504" s="1">
        <v>2019</v>
      </c>
      <c r="C504" s="1" t="s">
        <v>1387</v>
      </c>
      <c r="D504" s="1" t="s">
        <v>951</v>
      </c>
      <c r="E504" s="8">
        <v>442364</v>
      </c>
      <c r="F504" s="5">
        <v>3400719</v>
      </c>
    </row>
    <row r="505" spans="1:6" ht="20" x14ac:dyDescent="0.25">
      <c r="A505" s="5">
        <v>3400719</v>
      </c>
      <c r="B505" s="1">
        <v>2020</v>
      </c>
      <c r="C505" s="1" t="s">
        <v>1387</v>
      </c>
      <c r="D505" s="2" t="s">
        <v>951</v>
      </c>
      <c r="E505" s="7">
        <v>441725</v>
      </c>
      <c r="F505" s="5">
        <v>3400719</v>
      </c>
    </row>
    <row r="506" spans="1:6" ht="20" x14ac:dyDescent="0.25">
      <c r="A506" s="5">
        <v>3400719</v>
      </c>
      <c r="B506" s="1">
        <v>2021</v>
      </c>
      <c r="C506" s="1" t="s">
        <v>1387</v>
      </c>
      <c r="D506" s="3" t="s">
        <v>951</v>
      </c>
      <c r="E506" s="7">
        <v>571307</v>
      </c>
      <c r="F506" s="5">
        <v>3400719</v>
      </c>
    </row>
    <row r="507" spans="1:6" ht="20" x14ac:dyDescent="0.25">
      <c r="A507" s="5">
        <v>3400719</v>
      </c>
      <c r="B507" s="1">
        <v>2022</v>
      </c>
      <c r="C507" s="1" t="s">
        <v>1387</v>
      </c>
      <c r="D507" s="2" t="s">
        <v>951</v>
      </c>
      <c r="E507" s="7">
        <v>764512</v>
      </c>
      <c r="F507" s="5">
        <v>3400719</v>
      </c>
    </row>
    <row r="508" spans="1:6" ht="20" x14ac:dyDescent="0.25">
      <c r="A508" s="5">
        <v>3400719</v>
      </c>
      <c r="B508" s="1">
        <v>2023</v>
      </c>
      <c r="C508" s="1" t="s">
        <v>1387</v>
      </c>
      <c r="D508" s="2" t="s">
        <v>951</v>
      </c>
      <c r="E508" s="7">
        <v>777728</v>
      </c>
      <c r="F508" s="5">
        <v>3400719</v>
      </c>
    </row>
    <row r="509" spans="1:6" x14ac:dyDescent="0.25">
      <c r="A509" s="5">
        <v>3400720</v>
      </c>
      <c r="B509" s="1">
        <v>2015</v>
      </c>
      <c r="C509" s="1" t="s">
        <v>1387</v>
      </c>
      <c r="D509" s="1" t="s">
        <v>637</v>
      </c>
      <c r="E509" s="8">
        <v>119052</v>
      </c>
      <c r="F509" s="5">
        <v>3400720</v>
      </c>
    </row>
    <row r="510" spans="1:6" x14ac:dyDescent="0.25">
      <c r="A510" s="5">
        <v>3400720</v>
      </c>
      <c r="B510" s="1">
        <v>2016</v>
      </c>
      <c r="C510" s="1" t="s">
        <v>1387</v>
      </c>
      <c r="D510" s="1" t="s">
        <v>637</v>
      </c>
      <c r="E510" s="8">
        <v>187473</v>
      </c>
      <c r="F510" s="5">
        <v>3400720</v>
      </c>
    </row>
    <row r="511" spans="1:6" x14ac:dyDescent="0.25">
      <c r="A511" s="5">
        <v>3400720</v>
      </c>
      <c r="B511" s="1">
        <v>2017</v>
      </c>
      <c r="C511" s="1" t="s">
        <v>1387</v>
      </c>
      <c r="D511" s="1" t="s">
        <v>637</v>
      </c>
      <c r="E511" s="8">
        <v>257288</v>
      </c>
      <c r="F511" s="5">
        <v>3400720</v>
      </c>
    </row>
    <row r="512" spans="1:6" x14ac:dyDescent="0.25">
      <c r="A512" s="5">
        <v>3400720</v>
      </c>
      <c r="B512" s="1">
        <v>2018</v>
      </c>
      <c r="C512" s="1" t="s">
        <v>1387</v>
      </c>
      <c r="D512" s="1" t="s">
        <v>1330</v>
      </c>
      <c r="E512" s="8">
        <v>329535</v>
      </c>
      <c r="F512" s="5">
        <v>3400720</v>
      </c>
    </row>
    <row r="513" spans="1:6" x14ac:dyDescent="0.25">
      <c r="A513" s="5">
        <v>3400720</v>
      </c>
      <c r="B513" s="1">
        <v>2019</v>
      </c>
      <c r="C513" s="1" t="s">
        <v>1387</v>
      </c>
      <c r="D513" s="1" t="s">
        <v>1330</v>
      </c>
      <c r="E513" s="8">
        <v>423417</v>
      </c>
      <c r="F513" s="5">
        <v>3400720</v>
      </c>
    </row>
    <row r="514" spans="1:6" ht="20" x14ac:dyDescent="0.25">
      <c r="A514" s="5">
        <v>3400720</v>
      </c>
      <c r="B514" s="1">
        <v>2020</v>
      </c>
      <c r="C514" s="1" t="s">
        <v>1387</v>
      </c>
      <c r="D514" s="2" t="s">
        <v>1330</v>
      </c>
      <c r="E514" s="7">
        <v>530522</v>
      </c>
      <c r="F514" s="5">
        <v>3400720</v>
      </c>
    </row>
    <row r="515" spans="1:6" ht="20" x14ac:dyDescent="0.25">
      <c r="A515" s="5">
        <v>3400720</v>
      </c>
      <c r="B515" s="1">
        <v>2021</v>
      </c>
      <c r="C515" s="1" t="s">
        <v>1387</v>
      </c>
      <c r="D515" s="3" t="s">
        <v>1330</v>
      </c>
      <c r="E515" s="7">
        <v>717187</v>
      </c>
      <c r="F515" s="5">
        <v>3400720</v>
      </c>
    </row>
    <row r="516" spans="1:6" ht="20" x14ac:dyDescent="0.25">
      <c r="A516" s="5">
        <v>3400720</v>
      </c>
      <c r="B516" s="1">
        <v>2022</v>
      </c>
      <c r="C516" s="1" t="s">
        <v>1387</v>
      </c>
      <c r="D516" s="2" t="s">
        <v>1330</v>
      </c>
      <c r="E516" s="7">
        <v>1042307</v>
      </c>
      <c r="F516" s="5">
        <v>3400720</v>
      </c>
    </row>
    <row r="517" spans="1:6" ht="20" x14ac:dyDescent="0.25">
      <c r="A517" s="5">
        <v>3400720</v>
      </c>
      <c r="B517" s="1">
        <v>2023</v>
      </c>
      <c r="C517" s="1" t="s">
        <v>1387</v>
      </c>
      <c r="D517" s="2" t="s">
        <v>1330</v>
      </c>
      <c r="E517" s="7">
        <v>1109427</v>
      </c>
      <c r="F517" s="5">
        <v>3400720</v>
      </c>
    </row>
    <row r="518" spans="1:6" x14ac:dyDescent="0.25">
      <c r="A518" s="5">
        <v>3400721</v>
      </c>
      <c r="B518" s="1">
        <v>2015</v>
      </c>
      <c r="C518" s="1" t="s">
        <v>1387</v>
      </c>
      <c r="D518" s="1" t="s">
        <v>160</v>
      </c>
      <c r="E518" s="8">
        <v>75453</v>
      </c>
      <c r="F518" s="5">
        <v>3400721</v>
      </c>
    </row>
    <row r="519" spans="1:6" x14ac:dyDescent="0.25">
      <c r="A519" s="5">
        <v>3400721</v>
      </c>
      <c r="B519" s="1">
        <v>2016</v>
      </c>
      <c r="C519" s="1" t="s">
        <v>1387</v>
      </c>
      <c r="D519" s="1" t="s">
        <v>160</v>
      </c>
      <c r="E519" s="8">
        <v>115636</v>
      </c>
      <c r="F519" s="5">
        <v>3400721</v>
      </c>
    </row>
    <row r="520" spans="1:6" x14ac:dyDescent="0.25">
      <c r="A520" s="5">
        <v>3400721</v>
      </c>
      <c r="B520" s="1">
        <v>2017</v>
      </c>
      <c r="C520" s="1" t="s">
        <v>1387</v>
      </c>
      <c r="D520" s="1" t="s">
        <v>160</v>
      </c>
      <c r="E520" s="8">
        <v>177334</v>
      </c>
      <c r="F520" s="5">
        <v>3400721</v>
      </c>
    </row>
    <row r="521" spans="1:6" x14ac:dyDescent="0.25">
      <c r="A521" s="5">
        <v>3400721</v>
      </c>
      <c r="B521" s="1">
        <v>2018</v>
      </c>
      <c r="C521" s="1" t="s">
        <v>1387</v>
      </c>
      <c r="D521" s="1" t="s">
        <v>842</v>
      </c>
      <c r="E521" s="8">
        <v>33923</v>
      </c>
      <c r="F521" s="5">
        <v>3400721</v>
      </c>
    </row>
    <row r="522" spans="1:6" x14ac:dyDescent="0.25">
      <c r="A522" s="5">
        <v>3400723</v>
      </c>
      <c r="B522" s="1">
        <v>2015</v>
      </c>
      <c r="C522" s="1" t="s">
        <v>1387</v>
      </c>
      <c r="D522" s="1" t="s">
        <v>365</v>
      </c>
      <c r="E522" s="8">
        <v>75156</v>
      </c>
      <c r="F522" s="5">
        <v>3400723</v>
      </c>
    </row>
    <row r="523" spans="1:6" x14ac:dyDescent="0.25">
      <c r="A523" s="5">
        <v>3400723</v>
      </c>
      <c r="B523" s="1">
        <v>2016</v>
      </c>
      <c r="C523" s="1" t="s">
        <v>1387</v>
      </c>
      <c r="D523" s="1" t="s">
        <v>365</v>
      </c>
      <c r="E523" s="8">
        <v>93603</v>
      </c>
      <c r="F523" s="5">
        <v>3400723</v>
      </c>
    </row>
    <row r="524" spans="1:6" x14ac:dyDescent="0.25">
      <c r="A524" s="5">
        <v>3400723</v>
      </c>
      <c r="B524" s="1">
        <v>2017</v>
      </c>
      <c r="C524" s="1" t="s">
        <v>1387</v>
      </c>
      <c r="D524" s="1" t="s">
        <v>365</v>
      </c>
      <c r="E524" s="8">
        <v>164765</v>
      </c>
      <c r="F524" s="5">
        <v>3400723</v>
      </c>
    </row>
    <row r="525" spans="1:6" x14ac:dyDescent="0.25">
      <c r="A525" s="5">
        <v>3400723</v>
      </c>
      <c r="B525" s="1">
        <v>2018</v>
      </c>
      <c r="C525" s="1" t="s">
        <v>1387</v>
      </c>
      <c r="D525" s="1" t="s">
        <v>1056</v>
      </c>
      <c r="E525" s="8">
        <v>225381</v>
      </c>
      <c r="F525" s="5">
        <v>3400723</v>
      </c>
    </row>
    <row r="526" spans="1:6" x14ac:dyDescent="0.25">
      <c r="A526" s="5">
        <v>3400723</v>
      </c>
      <c r="B526" s="1">
        <v>2019</v>
      </c>
      <c r="C526" s="1" t="s">
        <v>1387</v>
      </c>
      <c r="D526" s="1" t="s">
        <v>1056</v>
      </c>
      <c r="E526" s="8">
        <v>285648</v>
      </c>
      <c r="F526" s="5">
        <v>3400723</v>
      </c>
    </row>
    <row r="527" spans="1:6" ht="20" x14ac:dyDescent="0.25">
      <c r="A527" s="5">
        <v>3400723</v>
      </c>
      <c r="B527" s="1">
        <v>2020</v>
      </c>
      <c r="C527" s="1" t="s">
        <v>1387</v>
      </c>
      <c r="D527" s="2" t="s">
        <v>1056</v>
      </c>
      <c r="E527" s="7">
        <v>403327</v>
      </c>
      <c r="F527" s="5">
        <v>3400723</v>
      </c>
    </row>
    <row r="528" spans="1:6" ht="20" x14ac:dyDescent="0.25">
      <c r="A528" s="5">
        <v>3400723</v>
      </c>
      <c r="B528" s="1">
        <v>2021</v>
      </c>
      <c r="C528" s="1" t="s">
        <v>1387</v>
      </c>
      <c r="D528" s="3" t="s">
        <v>1056</v>
      </c>
      <c r="E528" s="7">
        <v>512514</v>
      </c>
      <c r="F528" s="5">
        <v>3400723</v>
      </c>
    </row>
    <row r="529" spans="1:6" ht="20" x14ac:dyDescent="0.25">
      <c r="A529" s="5">
        <v>3400723</v>
      </c>
      <c r="B529" s="1">
        <v>2022</v>
      </c>
      <c r="C529" s="1" t="s">
        <v>1387</v>
      </c>
      <c r="D529" s="2" t="s">
        <v>1056</v>
      </c>
      <c r="E529" s="7">
        <v>856279</v>
      </c>
      <c r="F529" s="5">
        <v>3400723</v>
      </c>
    </row>
    <row r="530" spans="1:6" ht="20" x14ac:dyDescent="0.25">
      <c r="A530" s="5">
        <v>3400723</v>
      </c>
      <c r="B530" s="1">
        <v>2023</v>
      </c>
      <c r="C530" s="1" t="s">
        <v>1387</v>
      </c>
      <c r="D530" s="2" t="s">
        <v>1056</v>
      </c>
      <c r="E530" s="7">
        <v>879704</v>
      </c>
      <c r="F530" s="5">
        <v>3400723</v>
      </c>
    </row>
    <row r="531" spans="1:6" x14ac:dyDescent="0.25">
      <c r="A531" s="5">
        <v>3400724</v>
      </c>
      <c r="B531" s="1">
        <v>2015</v>
      </c>
      <c r="C531" s="1" t="s">
        <v>1387</v>
      </c>
      <c r="D531" s="1" t="s">
        <v>231</v>
      </c>
      <c r="E531" s="8">
        <v>64974</v>
      </c>
      <c r="F531" s="5">
        <v>3400724</v>
      </c>
    </row>
    <row r="532" spans="1:6" x14ac:dyDescent="0.25">
      <c r="A532" s="5">
        <v>3400724</v>
      </c>
      <c r="B532" s="1">
        <v>2016</v>
      </c>
      <c r="C532" s="1" t="s">
        <v>1387</v>
      </c>
      <c r="D532" s="1" t="s">
        <v>231</v>
      </c>
      <c r="E532" s="8">
        <v>134503</v>
      </c>
      <c r="F532" s="5">
        <v>3400724</v>
      </c>
    </row>
    <row r="533" spans="1:6" x14ac:dyDescent="0.25">
      <c r="A533" s="5">
        <v>3400724</v>
      </c>
      <c r="B533" s="1">
        <v>2017</v>
      </c>
      <c r="C533" s="1" t="s">
        <v>1387</v>
      </c>
      <c r="D533" s="1" t="s">
        <v>231</v>
      </c>
      <c r="E533" s="8">
        <v>189272</v>
      </c>
      <c r="F533" s="5">
        <v>3400724</v>
      </c>
    </row>
    <row r="534" spans="1:6" x14ac:dyDescent="0.25">
      <c r="A534" s="5">
        <v>3400724</v>
      </c>
      <c r="B534" s="1">
        <v>2018</v>
      </c>
      <c r="C534" s="1" t="s">
        <v>1387</v>
      </c>
      <c r="D534" s="1" t="s">
        <v>917</v>
      </c>
      <c r="E534" s="8">
        <v>274736</v>
      </c>
      <c r="F534" s="5">
        <v>3400724</v>
      </c>
    </row>
    <row r="535" spans="1:6" x14ac:dyDescent="0.25">
      <c r="A535" s="5">
        <v>3400724</v>
      </c>
      <c r="B535" s="1">
        <v>2019</v>
      </c>
      <c r="C535" s="1" t="s">
        <v>1387</v>
      </c>
      <c r="D535" s="1" t="s">
        <v>917</v>
      </c>
      <c r="E535" s="8">
        <v>311588</v>
      </c>
      <c r="F535" s="5">
        <v>3400724</v>
      </c>
    </row>
    <row r="536" spans="1:6" ht="20" x14ac:dyDescent="0.25">
      <c r="A536" s="5">
        <v>3400724</v>
      </c>
      <c r="B536" s="1">
        <v>2020</v>
      </c>
      <c r="C536" s="1" t="s">
        <v>1387</v>
      </c>
      <c r="D536" s="2" t="s">
        <v>917</v>
      </c>
      <c r="E536" s="7">
        <v>338112</v>
      </c>
      <c r="F536" s="5">
        <v>3400724</v>
      </c>
    </row>
    <row r="537" spans="1:6" ht="20" x14ac:dyDescent="0.25">
      <c r="A537" s="5">
        <v>3400724</v>
      </c>
      <c r="B537" s="1">
        <v>2021</v>
      </c>
      <c r="C537" s="1" t="s">
        <v>1387</v>
      </c>
      <c r="D537" s="3" t="s">
        <v>917</v>
      </c>
      <c r="E537" s="7">
        <v>460786</v>
      </c>
      <c r="F537" s="5">
        <v>3400724</v>
      </c>
    </row>
    <row r="538" spans="1:6" ht="20" x14ac:dyDescent="0.25">
      <c r="A538" s="5">
        <v>3400724</v>
      </c>
      <c r="B538" s="1">
        <v>2022</v>
      </c>
      <c r="C538" s="1" t="s">
        <v>1387</v>
      </c>
      <c r="D538" s="2" t="s">
        <v>917</v>
      </c>
      <c r="E538" s="7">
        <v>570398</v>
      </c>
      <c r="F538" s="5">
        <v>3400724</v>
      </c>
    </row>
    <row r="539" spans="1:6" ht="20" x14ac:dyDescent="0.25">
      <c r="A539" s="5">
        <v>3400724</v>
      </c>
      <c r="B539" s="1">
        <v>2023</v>
      </c>
      <c r="C539" s="1" t="s">
        <v>1387</v>
      </c>
      <c r="D539" s="2" t="s">
        <v>917</v>
      </c>
      <c r="E539" s="7">
        <v>485209</v>
      </c>
      <c r="F539" s="5">
        <v>3400724</v>
      </c>
    </row>
    <row r="540" spans="1:6" x14ac:dyDescent="0.25">
      <c r="A540" s="5">
        <v>3400727</v>
      </c>
      <c r="B540" s="1">
        <v>2015</v>
      </c>
      <c r="C540" s="1" t="s">
        <v>1387</v>
      </c>
      <c r="D540" s="1" t="s">
        <v>305</v>
      </c>
      <c r="E540" s="8">
        <v>40769</v>
      </c>
      <c r="F540" s="5">
        <v>3400727</v>
      </c>
    </row>
    <row r="541" spans="1:6" x14ac:dyDescent="0.25">
      <c r="A541" s="5">
        <v>3400727</v>
      </c>
      <c r="B541" s="1">
        <v>2016</v>
      </c>
      <c r="C541" s="1" t="s">
        <v>1387</v>
      </c>
      <c r="D541" s="1" t="s">
        <v>305</v>
      </c>
      <c r="E541" s="8">
        <v>83816</v>
      </c>
      <c r="F541" s="5">
        <v>3400727</v>
      </c>
    </row>
    <row r="542" spans="1:6" x14ac:dyDescent="0.25">
      <c r="A542" s="5">
        <v>3400727</v>
      </c>
      <c r="B542" s="1">
        <v>2017</v>
      </c>
      <c r="C542" s="1" t="s">
        <v>1387</v>
      </c>
      <c r="D542" s="1" t="s">
        <v>305</v>
      </c>
      <c r="E542" s="8">
        <v>148145</v>
      </c>
      <c r="F542" s="5">
        <v>3400727</v>
      </c>
    </row>
    <row r="543" spans="1:6" x14ac:dyDescent="0.25">
      <c r="A543" s="5">
        <v>3400727</v>
      </c>
      <c r="B543" s="1">
        <v>2018</v>
      </c>
      <c r="C543" s="1" t="s">
        <v>1387</v>
      </c>
      <c r="D543" s="1" t="s">
        <v>996</v>
      </c>
      <c r="E543" s="8">
        <v>216241</v>
      </c>
      <c r="F543" s="5">
        <v>3400727</v>
      </c>
    </row>
    <row r="544" spans="1:6" x14ac:dyDescent="0.25">
      <c r="A544" s="5">
        <v>3400727</v>
      </c>
      <c r="B544" s="1">
        <v>2019</v>
      </c>
      <c r="C544" s="1" t="s">
        <v>1387</v>
      </c>
      <c r="D544" s="1" t="s">
        <v>996</v>
      </c>
      <c r="E544" s="8">
        <v>320391</v>
      </c>
      <c r="F544" s="5">
        <v>3400727</v>
      </c>
    </row>
    <row r="545" spans="1:6" ht="20" x14ac:dyDescent="0.25">
      <c r="A545" s="5">
        <v>3400727</v>
      </c>
      <c r="B545" s="1">
        <v>2020</v>
      </c>
      <c r="C545" s="1" t="s">
        <v>1387</v>
      </c>
      <c r="D545" s="2" t="s">
        <v>996</v>
      </c>
      <c r="E545" s="7">
        <v>367814</v>
      </c>
      <c r="F545" s="5">
        <v>3400727</v>
      </c>
    </row>
    <row r="546" spans="1:6" ht="20" x14ac:dyDescent="0.25">
      <c r="A546" s="5">
        <v>3400727</v>
      </c>
      <c r="B546" s="1">
        <v>2021</v>
      </c>
      <c r="C546" s="1" t="s">
        <v>1387</v>
      </c>
      <c r="D546" s="3" t="s">
        <v>996</v>
      </c>
      <c r="E546" s="7">
        <v>502822</v>
      </c>
      <c r="F546" s="5">
        <v>3400727</v>
      </c>
    </row>
    <row r="547" spans="1:6" ht="20" x14ac:dyDescent="0.25">
      <c r="A547" s="5">
        <v>3400727</v>
      </c>
      <c r="B547" s="1">
        <v>2022</v>
      </c>
      <c r="C547" s="1" t="s">
        <v>1387</v>
      </c>
      <c r="D547" s="2" t="s">
        <v>996</v>
      </c>
      <c r="E547" s="7">
        <v>495658</v>
      </c>
      <c r="F547" s="5">
        <v>3400727</v>
      </c>
    </row>
    <row r="548" spans="1:6" ht="20" x14ac:dyDescent="0.25">
      <c r="A548" s="5">
        <v>3400727</v>
      </c>
      <c r="B548" s="1">
        <v>2023</v>
      </c>
      <c r="C548" s="1" t="s">
        <v>1387</v>
      </c>
      <c r="D548" s="2" t="s">
        <v>1383</v>
      </c>
      <c r="E548" s="7">
        <v>694340</v>
      </c>
      <c r="F548" s="5">
        <v>3400727</v>
      </c>
    </row>
    <row r="549" spans="1:6" x14ac:dyDescent="0.25">
      <c r="A549" s="5">
        <v>3400729</v>
      </c>
      <c r="B549" s="1">
        <v>2015</v>
      </c>
      <c r="C549" s="1" t="s">
        <v>1387</v>
      </c>
      <c r="D549" s="1" t="s">
        <v>228</v>
      </c>
      <c r="E549" s="8">
        <v>42773</v>
      </c>
      <c r="F549" s="5">
        <v>3400729</v>
      </c>
    </row>
    <row r="550" spans="1:6" x14ac:dyDescent="0.25">
      <c r="A550" s="5">
        <v>3400729</v>
      </c>
      <c r="B550" s="1">
        <v>2016</v>
      </c>
      <c r="C550" s="1" t="s">
        <v>1387</v>
      </c>
      <c r="D550" s="1" t="s">
        <v>228</v>
      </c>
      <c r="E550" s="8">
        <v>94046</v>
      </c>
      <c r="F550" s="5">
        <v>3400729</v>
      </c>
    </row>
    <row r="551" spans="1:6" x14ac:dyDescent="0.25">
      <c r="A551" s="5">
        <v>3400729</v>
      </c>
      <c r="B551" s="1">
        <v>2017</v>
      </c>
      <c r="C551" s="1" t="s">
        <v>1387</v>
      </c>
      <c r="D551" s="1" t="s">
        <v>228</v>
      </c>
      <c r="E551" s="8">
        <v>148738</v>
      </c>
      <c r="F551" s="5">
        <v>3400729</v>
      </c>
    </row>
    <row r="552" spans="1:6" x14ac:dyDescent="0.25">
      <c r="A552" s="5">
        <v>3400729</v>
      </c>
      <c r="B552" s="1">
        <v>2018</v>
      </c>
      <c r="C552" s="1" t="s">
        <v>1387</v>
      </c>
      <c r="D552" s="1" t="s">
        <v>914</v>
      </c>
      <c r="E552" s="8">
        <v>176269</v>
      </c>
      <c r="F552" s="5">
        <v>3400729</v>
      </c>
    </row>
    <row r="553" spans="1:6" x14ac:dyDescent="0.25">
      <c r="A553" s="5">
        <v>3400729</v>
      </c>
      <c r="B553" s="1">
        <v>2019</v>
      </c>
      <c r="C553" s="1" t="s">
        <v>1387</v>
      </c>
      <c r="D553" s="1" t="s">
        <v>914</v>
      </c>
      <c r="E553" s="8">
        <v>350210</v>
      </c>
      <c r="F553" s="5">
        <v>3400729</v>
      </c>
    </row>
    <row r="554" spans="1:6" ht="20" x14ac:dyDescent="0.25">
      <c r="A554" s="5">
        <v>3400729</v>
      </c>
      <c r="B554" s="1">
        <v>2020</v>
      </c>
      <c r="C554" s="1" t="s">
        <v>1387</v>
      </c>
      <c r="D554" s="2" t="s">
        <v>914</v>
      </c>
      <c r="E554" s="7">
        <v>309511</v>
      </c>
      <c r="F554" s="5">
        <v>3400729</v>
      </c>
    </row>
    <row r="555" spans="1:6" ht="20" x14ac:dyDescent="0.25">
      <c r="A555" s="5">
        <v>3400729</v>
      </c>
      <c r="B555" s="1">
        <v>2021</v>
      </c>
      <c r="C555" s="1" t="s">
        <v>1387</v>
      </c>
      <c r="D555" s="3" t="s">
        <v>914</v>
      </c>
      <c r="E555" s="7">
        <v>407227</v>
      </c>
      <c r="F555" s="5">
        <v>3400729</v>
      </c>
    </row>
    <row r="556" spans="1:6" ht="20" x14ac:dyDescent="0.25">
      <c r="A556" s="5">
        <v>3400729</v>
      </c>
      <c r="B556" s="1">
        <v>2022</v>
      </c>
      <c r="C556" s="1" t="s">
        <v>1387</v>
      </c>
      <c r="D556" s="2" t="s">
        <v>914</v>
      </c>
      <c r="E556" s="7">
        <v>518095</v>
      </c>
      <c r="F556" s="5">
        <v>3400729</v>
      </c>
    </row>
    <row r="557" spans="1:6" ht="20" x14ac:dyDescent="0.25">
      <c r="A557" s="5">
        <v>3400729</v>
      </c>
      <c r="B557" s="1">
        <v>2023</v>
      </c>
      <c r="C557" s="1" t="s">
        <v>1387</v>
      </c>
      <c r="D557" s="2" t="s">
        <v>914</v>
      </c>
      <c r="E557" s="7">
        <v>509866</v>
      </c>
      <c r="F557" s="5">
        <v>3400729</v>
      </c>
    </row>
    <row r="558" spans="1:6" x14ac:dyDescent="0.25">
      <c r="A558" s="5">
        <v>3400730</v>
      </c>
      <c r="B558" s="1">
        <v>2015</v>
      </c>
      <c r="C558" s="1" t="s">
        <v>1387</v>
      </c>
      <c r="D558" s="1" t="s">
        <v>253</v>
      </c>
      <c r="E558" s="8">
        <v>99288</v>
      </c>
      <c r="F558" s="5">
        <v>3400730</v>
      </c>
    </row>
    <row r="559" spans="1:6" x14ac:dyDescent="0.25">
      <c r="A559" s="5">
        <v>3400730</v>
      </c>
      <c r="B559" s="1">
        <v>2016</v>
      </c>
      <c r="C559" s="1" t="s">
        <v>1387</v>
      </c>
      <c r="D559" s="1" t="s">
        <v>253</v>
      </c>
      <c r="E559" s="8">
        <v>157490</v>
      </c>
      <c r="F559" s="5">
        <v>3400730</v>
      </c>
    </row>
    <row r="560" spans="1:6" x14ac:dyDescent="0.25">
      <c r="A560" s="5">
        <v>3400730</v>
      </c>
      <c r="B560" s="1">
        <v>2017</v>
      </c>
      <c r="C560" s="1" t="s">
        <v>1387</v>
      </c>
      <c r="D560" s="1" t="s">
        <v>253</v>
      </c>
      <c r="E560" s="8">
        <v>209330</v>
      </c>
      <c r="F560" s="5">
        <v>3400730</v>
      </c>
    </row>
    <row r="561" spans="1:6" x14ac:dyDescent="0.25">
      <c r="A561" s="5">
        <v>3400730</v>
      </c>
      <c r="B561" s="1">
        <v>2018</v>
      </c>
      <c r="C561" s="1" t="s">
        <v>1387</v>
      </c>
      <c r="D561" s="1" t="s">
        <v>941</v>
      </c>
      <c r="E561" s="8">
        <v>250942</v>
      </c>
      <c r="F561" s="5">
        <v>3400730</v>
      </c>
    </row>
    <row r="562" spans="1:6" x14ac:dyDescent="0.25">
      <c r="A562" s="5">
        <v>3400730</v>
      </c>
      <c r="B562" s="1">
        <v>2019</v>
      </c>
      <c r="C562" s="1" t="s">
        <v>1387</v>
      </c>
      <c r="D562" s="1" t="s">
        <v>941</v>
      </c>
      <c r="E562" s="8">
        <v>212603</v>
      </c>
      <c r="F562" s="5">
        <v>3400730</v>
      </c>
    </row>
    <row r="563" spans="1:6" ht="20" x14ac:dyDescent="0.25">
      <c r="A563" s="5">
        <v>3400730</v>
      </c>
      <c r="B563" s="1">
        <v>2020</v>
      </c>
      <c r="C563" s="1" t="s">
        <v>1387</v>
      </c>
      <c r="D563" s="2" t="s">
        <v>941</v>
      </c>
      <c r="E563" s="7">
        <v>217790</v>
      </c>
      <c r="F563" s="5">
        <v>3400730</v>
      </c>
    </row>
    <row r="564" spans="1:6" ht="20" x14ac:dyDescent="0.25">
      <c r="A564" s="5">
        <v>3400730</v>
      </c>
      <c r="B564" s="1">
        <v>2021</v>
      </c>
      <c r="C564" s="1" t="s">
        <v>1387</v>
      </c>
      <c r="D564" s="3" t="s">
        <v>941</v>
      </c>
      <c r="E564" s="7">
        <v>235042</v>
      </c>
      <c r="F564" s="5">
        <v>3400730</v>
      </c>
    </row>
    <row r="565" spans="1:6" ht="20" x14ac:dyDescent="0.25">
      <c r="A565" s="5">
        <v>3400730</v>
      </c>
      <c r="B565" s="1">
        <v>2022</v>
      </c>
      <c r="C565" s="1" t="s">
        <v>1387</v>
      </c>
      <c r="D565" s="2" t="s">
        <v>941</v>
      </c>
      <c r="E565" s="7">
        <v>362739</v>
      </c>
      <c r="F565" s="5">
        <v>3400730</v>
      </c>
    </row>
    <row r="566" spans="1:6" ht="20" x14ac:dyDescent="0.25">
      <c r="A566" s="5">
        <v>3400730</v>
      </c>
      <c r="B566" s="1">
        <v>2023</v>
      </c>
      <c r="C566" s="1" t="s">
        <v>1387</v>
      </c>
      <c r="D566" s="2" t="s">
        <v>941</v>
      </c>
      <c r="E566" s="7">
        <v>456801</v>
      </c>
      <c r="F566" s="5">
        <v>3400730</v>
      </c>
    </row>
    <row r="567" spans="1:6" x14ac:dyDescent="0.25">
      <c r="A567" s="5">
        <v>3400731</v>
      </c>
      <c r="B567" s="1">
        <v>2015</v>
      </c>
      <c r="C567" s="1" t="s">
        <v>1387</v>
      </c>
      <c r="D567" s="1" t="s">
        <v>138</v>
      </c>
      <c r="E567" s="8">
        <v>35543</v>
      </c>
      <c r="F567" s="5">
        <v>3400731</v>
      </c>
    </row>
    <row r="568" spans="1:6" x14ac:dyDescent="0.25">
      <c r="A568" s="5">
        <v>3400731</v>
      </c>
      <c r="B568" s="1">
        <v>2016</v>
      </c>
      <c r="C568" s="1" t="s">
        <v>1387</v>
      </c>
      <c r="D568" s="1" t="s">
        <v>138</v>
      </c>
      <c r="E568" s="8">
        <v>58289</v>
      </c>
      <c r="F568" s="5">
        <v>3400731</v>
      </c>
    </row>
    <row r="569" spans="1:6" x14ac:dyDescent="0.25">
      <c r="A569" s="5">
        <v>3400731</v>
      </c>
      <c r="B569" s="1">
        <v>2017</v>
      </c>
      <c r="C569" s="1" t="s">
        <v>1387</v>
      </c>
      <c r="D569" s="1" t="s">
        <v>138</v>
      </c>
      <c r="E569" s="8">
        <v>97540</v>
      </c>
      <c r="F569" s="5">
        <v>3400731</v>
      </c>
    </row>
    <row r="570" spans="1:6" x14ac:dyDescent="0.25">
      <c r="A570" s="5">
        <v>3400731</v>
      </c>
      <c r="B570" s="1">
        <v>2018</v>
      </c>
      <c r="C570" s="1" t="s">
        <v>1387</v>
      </c>
      <c r="D570" s="1" t="s">
        <v>819</v>
      </c>
      <c r="E570" s="8">
        <v>124346</v>
      </c>
      <c r="F570" s="5">
        <v>3400731</v>
      </c>
    </row>
    <row r="571" spans="1:6" x14ac:dyDescent="0.25">
      <c r="A571" s="5">
        <v>3400731</v>
      </c>
      <c r="B571" s="1">
        <v>2019</v>
      </c>
      <c r="C571" s="1" t="s">
        <v>1387</v>
      </c>
      <c r="D571" s="1" t="s">
        <v>819</v>
      </c>
      <c r="E571" s="8">
        <v>144860</v>
      </c>
      <c r="F571" s="5">
        <v>3400731</v>
      </c>
    </row>
    <row r="572" spans="1:6" ht="20" x14ac:dyDescent="0.25">
      <c r="A572" s="5">
        <v>3400731</v>
      </c>
      <c r="B572" s="1">
        <v>2020</v>
      </c>
      <c r="C572" s="1" t="s">
        <v>1387</v>
      </c>
      <c r="D572" s="2" t="s">
        <v>819</v>
      </c>
      <c r="E572" s="7">
        <v>172386</v>
      </c>
      <c r="F572" s="5">
        <v>3400731</v>
      </c>
    </row>
    <row r="573" spans="1:6" ht="20" x14ac:dyDescent="0.25">
      <c r="A573" s="5">
        <v>3400731</v>
      </c>
      <c r="B573" s="1">
        <v>2021</v>
      </c>
      <c r="C573" s="1" t="s">
        <v>1387</v>
      </c>
      <c r="D573" s="3" t="s">
        <v>819</v>
      </c>
      <c r="E573" s="7">
        <v>223990</v>
      </c>
      <c r="F573" s="5">
        <v>3400731</v>
      </c>
    </row>
    <row r="574" spans="1:6" ht="20" x14ac:dyDescent="0.25">
      <c r="A574" s="5">
        <v>3400731</v>
      </c>
      <c r="B574" s="1">
        <v>2022</v>
      </c>
      <c r="C574" s="1" t="s">
        <v>1387</v>
      </c>
      <c r="D574" s="2" t="s">
        <v>819</v>
      </c>
      <c r="E574" s="7">
        <v>313159</v>
      </c>
      <c r="F574" s="5">
        <v>3400731</v>
      </c>
    </row>
    <row r="575" spans="1:6" ht="20" x14ac:dyDescent="0.25">
      <c r="A575" s="5">
        <v>3400731</v>
      </c>
      <c r="B575" s="1">
        <v>2023</v>
      </c>
      <c r="C575" s="1" t="s">
        <v>1387</v>
      </c>
      <c r="D575" s="2" t="s">
        <v>819</v>
      </c>
      <c r="E575" s="7">
        <v>301866</v>
      </c>
      <c r="F575" s="5">
        <v>3400731</v>
      </c>
    </row>
    <row r="576" spans="1:6" x14ac:dyDescent="0.25">
      <c r="A576" s="5">
        <v>3400734</v>
      </c>
      <c r="B576" s="1">
        <v>2015</v>
      </c>
      <c r="C576" s="1" t="s">
        <v>1387</v>
      </c>
      <c r="D576" s="1" t="s">
        <v>310</v>
      </c>
      <c r="E576" s="8">
        <v>40499</v>
      </c>
      <c r="F576" s="5">
        <v>3400734</v>
      </c>
    </row>
    <row r="577" spans="1:6" x14ac:dyDescent="0.25">
      <c r="A577" s="5">
        <v>3400734</v>
      </c>
      <c r="B577" s="1">
        <v>2016</v>
      </c>
      <c r="C577" s="1" t="s">
        <v>1387</v>
      </c>
      <c r="D577" s="1" t="s">
        <v>310</v>
      </c>
      <c r="E577" s="8">
        <v>58505</v>
      </c>
      <c r="F577" s="5">
        <v>3400734</v>
      </c>
    </row>
    <row r="578" spans="1:6" x14ac:dyDescent="0.25">
      <c r="A578" s="5">
        <v>3400734</v>
      </c>
      <c r="B578" s="1">
        <v>2017</v>
      </c>
      <c r="C578" s="1" t="s">
        <v>1387</v>
      </c>
      <c r="D578" s="1" t="s">
        <v>310</v>
      </c>
      <c r="E578" s="8">
        <v>90258</v>
      </c>
      <c r="F578" s="5">
        <v>3400734</v>
      </c>
    </row>
    <row r="579" spans="1:6" x14ac:dyDescent="0.25">
      <c r="A579" s="5">
        <v>3400734</v>
      </c>
      <c r="B579" s="1">
        <v>2018</v>
      </c>
      <c r="C579" s="1" t="s">
        <v>1387</v>
      </c>
      <c r="D579" s="1" t="s">
        <v>1002</v>
      </c>
      <c r="E579" s="8">
        <v>126519</v>
      </c>
      <c r="F579" s="5">
        <v>3400734</v>
      </c>
    </row>
    <row r="580" spans="1:6" x14ac:dyDescent="0.25">
      <c r="A580" s="5">
        <v>3400734</v>
      </c>
      <c r="B580" s="1">
        <v>2019</v>
      </c>
      <c r="C580" s="1" t="s">
        <v>1387</v>
      </c>
      <c r="D580" s="1" t="s">
        <v>1002</v>
      </c>
      <c r="E580" s="8">
        <v>221752</v>
      </c>
      <c r="F580" s="5">
        <v>3400734</v>
      </c>
    </row>
    <row r="581" spans="1:6" ht="20" x14ac:dyDescent="0.25">
      <c r="A581" s="5">
        <v>3400734</v>
      </c>
      <c r="B581" s="1">
        <v>2020</v>
      </c>
      <c r="C581" s="1" t="s">
        <v>1387</v>
      </c>
      <c r="D581" s="2" t="s">
        <v>1002</v>
      </c>
      <c r="E581" s="7">
        <v>271373</v>
      </c>
      <c r="F581" s="5">
        <v>3400734</v>
      </c>
    </row>
    <row r="582" spans="1:6" ht="20" x14ac:dyDescent="0.25">
      <c r="A582" s="5">
        <v>3400734</v>
      </c>
      <c r="B582" s="1">
        <v>2021</v>
      </c>
      <c r="C582" s="1" t="s">
        <v>1387</v>
      </c>
      <c r="D582" s="3" t="s">
        <v>1002</v>
      </c>
      <c r="E582" s="7">
        <v>345142</v>
      </c>
      <c r="F582" s="5">
        <v>3400734</v>
      </c>
    </row>
    <row r="583" spans="1:6" ht="20" x14ac:dyDescent="0.25">
      <c r="A583" s="5">
        <v>3400734</v>
      </c>
      <c r="B583" s="1">
        <v>2022</v>
      </c>
      <c r="C583" s="1" t="s">
        <v>1387</v>
      </c>
      <c r="D583" s="2" t="s">
        <v>1002</v>
      </c>
      <c r="E583" s="7">
        <v>508445</v>
      </c>
      <c r="F583" s="5">
        <v>3400734</v>
      </c>
    </row>
    <row r="584" spans="1:6" ht="20" x14ac:dyDescent="0.25">
      <c r="A584" s="5">
        <v>3400734</v>
      </c>
      <c r="B584" s="1">
        <v>2023</v>
      </c>
      <c r="C584" s="1" t="s">
        <v>1387</v>
      </c>
      <c r="D584" s="2" t="s">
        <v>1002</v>
      </c>
      <c r="E584" s="7">
        <v>409211</v>
      </c>
      <c r="F584" s="5">
        <v>3400734</v>
      </c>
    </row>
    <row r="585" spans="1:6" x14ac:dyDescent="0.25">
      <c r="A585" s="5">
        <v>3400735</v>
      </c>
      <c r="B585" s="1">
        <v>2015</v>
      </c>
      <c r="C585" s="1" t="s">
        <v>1387</v>
      </c>
      <c r="D585" s="1" t="s">
        <v>379</v>
      </c>
      <c r="E585" s="8">
        <v>44698</v>
      </c>
      <c r="F585" s="5">
        <v>3400735</v>
      </c>
    </row>
    <row r="586" spans="1:6" x14ac:dyDescent="0.25">
      <c r="A586" s="5">
        <v>3400735</v>
      </c>
      <c r="B586" s="1">
        <v>2016</v>
      </c>
      <c r="C586" s="1" t="s">
        <v>1387</v>
      </c>
      <c r="D586" s="1" t="s">
        <v>379</v>
      </c>
      <c r="E586" s="8">
        <v>89818</v>
      </c>
      <c r="F586" s="5">
        <v>3400735</v>
      </c>
    </row>
    <row r="587" spans="1:6" x14ac:dyDescent="0.25">
      <c r="A587" s="5">
        <v>3400735</v>
      </c>
      <c r="B587" s="1">
        <v>2017</v>
      </c>
      <c r="C587" s="1" t="s">
        <v>1387</v>
      </c>
      <c r="D587" s="1" t="s">
        <v>379</v>
      </c>
      <c r="E587" s="8">
        <v>141480</v>
      </c>
      <c r="F587" s="5">
        <v>3400735</v>
      </c>
    </row>
    <row r="588" spans="1:6" x14ac:dyDescent="0.25">
      <c r="A588" s="5">
        <v>3400735</v>
      </c>
      <c r="B588" s="1">
        <v>2018</v>
      </c>
      <c r="C588" s="1" t="s">
        <v>1387</v>
      </c>
      <c r="D588" s="1" t="s">
        <v>1072</v>
      </c>
      <c r="E588" s="8">
        <v>229156</v>
      </c>
      <c r="F588" s="5">
        <v>3400735</v>
      </c>
    </row>
    <row r="589" spans="1:6" x14ac:dyDescent="0.25">
      <c r="A589" s="5">
        <v>3400735</v>
      </c>
      <c r="B589" s="1">
        <v>2019</v>
      </c>
      <c r="C589" s="1" t="s">
        <v>1387</v>
      </c>
      <c r="D589" s="1" t="s">
        <v>1072</v>
      </c>
      <c r="E589" s="8">
        <v>368458</v>
      </c>
      <c r="F589" s="5">
        <v>3400735</v>
      </c>
    </row>
    <row r="590" spans="1:6" ht="20" x14ac:dyDescent="0.25">
      <c r="A590" s="5">
        <v>3400735</v>
      </c>
      <c r="B590" s="1">
        <v>2020</v>
      </c>
      <c r="C590" s="1" t="s">
        <v>1387</v>
      </c>
      <c r="D590" s="2" t="s">
        <v>1072</v>
      </c>
      <c r="E590" s="7">
        <v>499805</v>
      </c>
      <c r="F590" s="5">
        <v>3400735</v>
      </c>
    </row>
    <row r="591" spans="1:6" ht="20" x14ac:dyDescent="0.25">
      <c r="A591" s="5">
        <v>3400735</v>
      </c>
      <c r="B591" s="1">
        <v>2021</v>
      </c>
      <c r="C591" s="1" t="s">
        <v>1387</v>
      </c>
      <c r="D591" s="3" t="s">
        <v>1072</v>
      </c>
      <c r="E591" s="7">
        <v>620780</v>
      </c>
      <c r="F591" s="5">
        <v>3400735</v>
      </c>
    </row>
    <row r="592" spans="1:6" ht="20" x14ac:dyDescent="0.25">
      <c r="A592" s="5">
        <v>3400735</v>
      </c>
      <c r="B592" s="1">
        <v>2022</v>
      </c>
      <c r="C592" s="1" t="s">
        <v>1387</v>
      </c>
      <c r="D592" s="2" t="s">
        <v>1072</v>
      </c>
      <c r="E592" s="7">
        <v>1025827</v>
      </c>
      <c r="F592" s="5">
        <v>3400735</v>
      </c>
    </row>
    <row r="593" spans="1:6" ht="20" x14ac:dyDescent="0.25">
      <c r="A593" s="5">
        <v>3400735</v>
      </c>
      <c r="B593" s="1">
        <v>2023</v>
      </c>
      <c r="C593" s="1" t="s">
        <v>1387</v>
      </c>
      <c r="D593" s="2" t="s">
        <v>1072</v>
      </c>
      <c r="E593" s="7">
        <v>1009719</v>
      </c>
      <c r="F593" s="5">
        <v>3400735</v>
      </c>
    </row>
    <row r="594" spans="1:6" x14ac:dyDescent="0.25">
      <c r="A594" s="5">
        <v>3400736</v>
      </c>
      <c r="B594" s="1">
        <v>2015</v>
      </c>
      <c r="C594" s="1" t="s">
        <v>1387</v>
      </c>
      <c r="D594" s="1" t="s">
        <v>254</v>
      </c>
      <c r="E594" s="8">
        <v>80725</v>
      </c>
      <c r="F594" s="5">
        <v>3400736</v>
      </c>
    </row>
    <row r="595" spans="1:6" x14ac:dyDescent="0.25">
      <c r="A595" s="5">
        <v>3400736</v>
      </c>
      <c r="B595" s="1">
        <v>2016</v>
      </c>
      <c r="C595" s="1" t="s">
        <v>1387</v>
      </c>
      <c r="D595" s="1" t="s">
        <v>254</v>
      </c>
      <c r="E595" s="8">
        <v>131561</v>
      </c>
      <c r="F595" s="5">
        <v>3400736</v>
      </c>
    </row>
    <row r="596" spans="1:6" x14ac:dyDescent="0.25">
      <c r="A596" s="5">
        <v>3400736</v>
      </c>
      <c r="B596" s="1">
        <v>2017</v>
      </c>
      <c r="C596" s="1" t="s">
        <v>1387</v>
      </c>
      <c r="D596" s="1" t="s">
        <v>254</v>
      </c>
      <c r="E596" s="8">
        <v>347197</v>
      </c>
      <c r="F596" s="5">
        <v>3400736</v>
      </c>
    </row>
    <row r="597" spans="1:6" x14ac:dyDescent="0.25">
      <c r="A597" s="5">
        <v>3400736</v>
      </c>
      <c r="B597" s="1">
        <v>2018</v>
      </c>
      <c r="C597" s="1" t="s">
        <v>1387</v>
      </c>
      <c r="D597" s="1" t="s">
        <v>942</v>
      </c>
      <c r="E597" s="8">
        <v>561398</v>
      </c>
      <c r="F597" s="5">
        <v>3400736</v>
      </c>
    </row>
    <row r="598" spans="1:6" x14ac:dyDescent="0.25">
      <c r="A598" s="5">
        <v>3400736</v>
      </c>
      <c r="B598" s="1">
        <v>2019</v>
      </c>
      <c r="C598" s="1" t="s">
        <v>1387</v>
      </c>
      <c r="D598" s="1" t="s">
        <v>942</v>
      </c>
      <c r="E598" s="8">
        <v>9281</v>
      </c>
      <c r="F598" s="5">
        <v>3400736</v>
      </c>
    </row>
    <row r="599" spans="1:6" x14ac:dyDescent="0.25">
      <c r="A599" s="5">
        <v>3400737</v>
      </c>
      <c r="B599" s="1">
        <v>2015</v>
      </c>
      <c r="C599" s="1" t="s">
        <v>1387</v>
      </c>
      <c r="D599" s="1" t="s">
        <v>137</v>
      </c>
      <c r="E599" s="8">
        <v>28658</v>
      </c>
      <c r="F599" s="5">
        <v>3400737</v>
      </c>
    </row>
    <row r="600" spans="1:6" x14ac:dyDescent="0.25">
      <c r="A600" s="5">
        <v>3400737</v>
      </c>
      <c r="B600" s="1">
        <v>2016</v>
      </c>
      <c r="C600" s="1" t="s">
        <v>1387</v>
      </c>
      <c r="D600" s="1" t="s">
        <v>137</v>
      </c>
      <c r="E600" s="8">
        <v>39557</v>
      </c>
      <c r="F600" s="5">
        <v>3400737</v>
      </c>
    </row>
    <row r="601" spans="1:6" x14ac:dyDescent="0.25">
      <c r="A601" s="5">
        <v>3400737</v>
      </c>
      <c r="B601" s="1">
        <v>2017</v>
      </c>
      <c r="C601" s="1" t="s">
        <v>1387</v>
      </c>
      <c r="D601" s="1" t="s">
        <v>137</v>
      </c>
      <c r="E601" s="8">
        <v>37742</v>
      </c>
      <c r="F601" s="5">
        <v>3400737</v>
      </c>
    </row>
    <row r="602" spans="1:6" x14ac:dyDescent="0.25">
      <c r="A602" s="5">
        <v>3400737</v>
      </c>
      <c r="B602" s="1">
        <v>2018</v>
      </c>
      <c r="C602" s="1" t="s">
        <v>1387</v>
      </c>
      <c r="D602" s="1" t="s">
        <v>818</v>
      </c>
      <c r="E602" s="8">
        <v>50168</v>
      </c>
      <c r="F602" s="5">
        <v>3400737</v>
      </c>
    </row>
    <row r="603" spans="1:6" x14ac:dyDescent="0.25">
      <c r="A603" s="5">
        <v>3400740</v>
      </c>
      <c r="B603" s="1">
        <v>2015</v>
      </c>
      <c r="C603" s="1" t="s">
        <v>1387</v>
      </c>
      <c r="D603" s="1" t="s">
        <v>611</v>
      </c>
      <c r="E603" s="8">
        <v>57362</v>
      </c>
      <c r="F603" s="5">
        <v>3400740</v>
      </c>
    </row>
    <row r="604" spans="1:6" x14ac:dyDescent="0.25">
      <c r="A604" s="5">
        <v>3400740</v>
      </c>
      <c r="B604" s="1">
        <v>2016</v>
      </c>
      <c r="C604" s="1" t="s">
        <v>1387</v>
      </c>
      <c r="D604" s="1" t="s">
        <v>611</v>
      </c>
      <c r="E604" s="8">
        <v>79731</v>
      </c>
      <c r="F604" s="5">
        <v>3400740</v>
      </c>
    </row>
    <row r="605" spans="1:6" x14ac:dyDescent="0.25">
      <c r="A605" s="5">
        <v>3400740</v>
      </c>
      <c r="B605" s="1">
        <v>2017</v>
      </c>
      <c r="C605" s="1" t="s">
        <v>1387</v>
      </c>
      <c r="D605" s="1" t="s">
        <v>611</v>
      </c>
      <c r="E605" s="8">
        <v>126144</v>
      </c>
      <c r="F605" s="5">
        <v>3400740</v>
      </c>
    </row>
    <row r="606" spans="1:6" x14ac:dyDescent="0.25">
      <c r="A606" s="5">
        <v>3400740</v>
      </c>
      <c r="B606" s="1">
        <v>2018</v>
      </c>
      <c r="C606" s="1" t="s">
        <v>1387</v>
      </c>
      <c r="D606" s="1" t="s">
        <v>1304</v>
      </c>
      <c r="E606" s="8">
        <v>197574</v>
      </c>
      <c r="F606" s="5">
        <v>3400740</v>
      </c>
    </row>
    <row r="607" spans="1:6" x14ac:dyDescent="0.25">
      <c r="A607" s="5">
        <v>3400740</v>
      </c>
      <c r="B607" s="1">
        <v>2019</v>
      </c>
      <c r="C607" s="1" t="s">
        <v>1387</v>
      </c>
      <c r="D607" s="1" t="s">
        <v>1304</v>
      </c>
      <c r="E607" s="8">
        <v>201978</v>
      </c>
      <c r="F607" s="5">
        <v>3400740</v>
      </c>
    </row>
    <row r="608" spans="1:6" ht="20" x14ac:dyDescent="0.25">
      <c r="A608" s="5">
        <v>3400740</v>
      </c>
      <c r="B608" s="1">
        <v>2020</v>
      </c>
      <c r="C608" s="1" t="s">
        <v>1387</v>
      </c>
      <c r="D608" s="2" t="s">
        <v>1304</v>
      </c>
      <c r="E608" s="7">
        <v>271892</v>
      </c>
      <c r="F608" s="5">
        <v>3400740</v>
      </c>
    </row>
    <row r="609" spans="1:6" ht="20" x14ac:dyDescent="0.25">
      <c r="A609" s="5">
        <v>3400740</v>
      </c>
      <c r="B609" s="1">
        <v>2021</v>
      </c>
      <c r="C609" s="1" t="s">
        <v>1387</v>
      </c>
      <c r="D609" s="3" t="s">
        <v>1304</v>
      </c>
      <c r="E609" s="7">
        <v>355085</v>
      </c>
      <c r="F609" s="5">
        <v>3400740</v>
      </c>
    </row>
    <row r="610" spans="1:6" ht="20" x14ac:dyDescent="0.25">
      <c r="A610" s="5">
        <v>3400740</v>
      </c>
      <c r="B610" s="1">
        <v>2022</v>
      </c>
      <c r="C610" s="1" t="s">
        <v>1387</v>
      </c>
      <c r="D610" s="2" t="s">
        <v>1304</v>
      </c>
      <c r="E610" s="7">
        <v>560224</v>
      </c>
      <c r="F610" s="5">
        <v>3400740</v>
      </c>
    </row>
    <row r="611" spans="1:6" ht="20" x14ac:dyDescent="0.25">
      <c r="A611" s="5">
        <v>3400740</v>
      </c>
      <c r="B611" s="1">
        <v>2023</v>
      </c>
      <c r="C611" s="1" t="s">
        <v>1387</v>
      </c>
      <c r="D611" s="2" t="s">
        <v>1304</v>
      </c>
      <c r="E611" s="7">
        <v>551085</v>
      </c>
      <c r="F611" s="5">
        <v>3400740</v>
      </c>
    </row>
    <row r="612" spans="1:6" x14ac:dyDescent="0.25">
      <c r="A612" s="5">
        <v>3400741</v>
      </c>
      <c r="B612" s="1">
        <v>2015</v>
      </c>
      <c r="C612" s="1" t="s">
        <v>1387</v>
      </c>
      <c r="D612" s="1" t="s">
        <v>372</v>
      </c>
      <c r="E612" s="8">
        <v>63067</v>
      </c>
      <c r="F612" s="5">
        <v>3400741</v>
      </c>
    </row>
    <row r="613" spans="1:6" x14ac:dyDescent="0.25">
      <c r="A613" s="5">
        <v>3400741</v>
      </c>
      <c r="B613" s="1">
        <v>2016</v>
      </c>
      <c r="C613" s="1" t="s">
        <v>1387</v>
      </c>
      <c r="D613" s="1" t="s">
        <v>372</v>
      </c>
      <c r="E613" s="8">
        <v>176922</v>
      </c>
      <c r="F613" s="5">
        <v>3400741</v>
      </c>
    </row>
    <row r="614" spans="1:6" x14ac:dyDescent="0.25">
      <c r="A614" s="5">
        <v>3400741</v>
      </c>
      <c r="B614" s="1">
        <v>2017</v>
      </c>
      <c r="C614" s="1" t="s">
        <v>1387</v>
      </c>
      <c r="D614" s="1" t="s">
        <v>372</v>
      </c>
      <c r="E614" s="8">
        <v>202398</v>
      </c>
      <c r="F614" s="5">
        <v>3400741</v>
      </c>
    </row>
    <row r="615" spans="1:6" x14ac:dyDescent="0.25">
      <c r="A615" s="5">
        <v>3400741</v>
      </c>
      <c r="B615" s="1">
        <v>2018</v>
      </c>
      <c r="C615" s="1" t="s">
        <v>1387</v>
      </c>
      <c r="D615" s="1" t="s">
        <v>1064</v>
      </c>
      <c r="E615" s="8">
        <v>349154</v>
      </c>
      <c r="F615" s="5">
        <v>3400741</v>
      </c>
    </row>
    <row r="616" spans="1:6" x14ac:dyDescent="0.25">
      <c r="A616" s="5">
        <v>3400741</v>
      </c>
      <c r="B616" s="1">
        <v>2019</v>
      </c>
      <c r="C616" s="1" t="s">
        <v>1387</v>
      </c>
      <c r="D616" s="1" t="s">
        <v>1064</v>
      </c>
      <c r="E616" s="8">
        <v>501826</v>
      </c>
      <c r="F616" s="5">
        <v>3400741</v>
      </c>
    </row>
    <row r="617" spans="1:6" ht="20" x14ac:dyDescent="0.25">
      <c r="A617" s="5">
        <v>3400741</v>
      </c>
      <c r="B617" s="1">
        <v>2020</v>
      </c>
      <c r="C617" s="1" t="s">
        <v>1387</v>
      </c>
      <c r="D617" s="2" t="s">
        <v>1064</v>
      </c>
      <c r="E617" s="7">
        <v>746166</v>
      </c>
      <c r="F617" s="5">
        <v>3400741</v>
      </c>
    </row>
    <row r="618" spans="1:6" ht="20" x14ac:dyDescent="0.25">
      <c r="A618" s="5">
        <v>3400741</v>
      </c>
      <c r="B618" s="1">
        <v>2021</v>
      </c>
      <c r="C618" s="1" t="s">
        <v>1387</v>
      </c>
      <c r="D618" s="3" t="s">
        <v>1064</v>
      </c>
      <c r="E618" s="7">
        <v>1039200</v>
      </c>
      <c r="F618" s="5">
        <v>3400741</v>
      </c>
    </row>
    <row r="619" spans="1:6" ht="20" x14ac:dyDescent="0.25">
      <c r="A619" s="5">
        <v>3400741</v>
      </c>
      <c r="B619" s="1">
        <v>2022</v>
      </c>
      <c r="C619" s="1" t="s">
        <v>1387</v>
      </c>
      <c r="D619" s="2" t="s">
        <v>1064</v>
      </c>
      <c r="E619" s="7">
        <v>1339016</v>
      </c>
      <c r="F619" s="5">
        <v>3400741</v>
      </c>
    </row>
    <row r="620" spans="1:6" ht="20" x14ac:dyDescent="0.25">
      <c r="A620" s="5">
        <v>3400741</v>
      </c>
      <c r="B620" s="1">
        <v>2023</v>
      </c>
      <c r="C620" s="1" t="s">
        <v>1387</v>
      </c>
      <c r="D620" s="2" t="s">
        <v>1064</v>
      </c>
      <c r="E620" s="7">
        <v>1286828</v>
      </c>
      <c r="F620" s="5">
        <v>3400741</v>
      </c>
    </row>
    <row r="621" spans="1:6" x14ac:dyDescent="0.25">
      <c r="A621" s="5">
        <v>3400742</v>
      </c>
      <c r="B621" s="1">
        <v>2015</v>
      </c>
      <c r="C621" s="1" t="s">
        <v>1387</v>
      </c>
      <c r="D621" s="1" t="s">
        <v>269</v>
      </c>
      <c r="E621" s="8">
        <v>65226</v>
      </c>
      <c r="F621" s="5">
        <v>3400742</v>
      </c>
    </row>
    <row r="622" spans="1:6" x14ac:dyDescent="0.25">
      <c r="A622" s="5">
        <v>3400742</v>
      </c>
      <c r="B622" s="1">
        <v>2016</v>
      </c>
      <c r="C622" s="1" t="s">
        <v>1387</v>
      </c>
      <c r="D622" s="1" t="s">
        <v>269</v>
      </c>
      <c r="E622" s="8">
        <v>109585</v>
      </c>
      <c r="F622" s="5">
        <v>3400742</v>
      </c>
    </row>
    <row r="623" spans="1:6" x14ac:dyDescent="0.25">
      <c r="A623" s="5">
        <v>3400742</v>
      </c>
      <c r="B623" s="1">
        <v>2017</v>
      </c>
      <c r="C623" s="1" t="s">
        <v>1387</v>
      </c>
      <c r="D623" s="1" t="s">
        <v>269</v>
      </c>
      <c r="E623" s="8">
        <v>68379</v>
      </c>
      <c r="F623" s="5">
        <v>3400742</v>
      </c>
    </row>
    <row r="624" spans="1:6" x14ac:dyDescent="0.25">
      <c r="A624" s="5">
        <v>3400742</v>
      </c>
      <c r="B624" s="1">
        <v>2018</v>
      </c>
      <c r="C624" s="1" t="s">
        <v>1387</v>
      </c>
      <c r="D624" s="1" t="s">
        <v>959</v>
      </c>
      <c r="E624" s="8">
        <v>15339</v>
      </c>
      <c r="F624" s="5">
        <v>3400742</v>
      </c>
    </row>
    <row r="625" spans="1:6" x14ac:dyDescent="0.25">
      <c r="A625" s="5">
        <v>3400742</v>
      </c>
      <c r="B625" s="1">
        <v>2019</v>
      </c>
      <c r="C625" s="1" t="s">
        <v>1387</v>
      </c>
      <c r="D625" s="1" t="s">
        <v>959</v>
      </c>
      <c r="E625" s="8">
        <v>9908</v>
      </c>
      <c r="F625" s="5">
        <v>3400742</v>
      </c>
    </row>
    <row r="626" spans="1:6" x14ac:dyDescent="0.25">
      <c r="A626" s="5">
        <v>3400744</v>
      </c>
      <c r="B626" s="1">
        <v>2016</v>
      </c>
      <c r="C626" s="1" t="s">
        <v>1387</v>
      </c>
      <c r="D626" s="1" t="s">
        <v>666</v>
      </c>
      <c r="E626" s="8">
        <v>52482</v>
      </c>
      <c r="F626" s="5">
        <v>3400744</v>
      </c>
    </row>
    <row r="627" spans="1:6" x14ac:dyDescent="0.25">
      <c r="A627" s="5">
        <v>3400744</v>
      </c>
      <c r="B627" s="1">
        <v>2017</v>
      </c>
      <c r="C627" s="1" t="s">
        <v>1387</v>
      </c>
      <c r="D627" s="1" t="s">
        <v>666</v>
      </c>
      <c r="E627" s="8">
        <v>101583</v>
      </c>
      <c r="F627" s="5">
        <v>3400744</v>
      </c>
    </row>
    <row r="628" spans="1:6" x14ac:dyDescent="0.25">
      <c r="A628" s="5">
        <v>3400744</v>
      </c>
      <c r="B628" s="1">
        <v>2018</v>
      </c>
      <c r="C628" s="1" t="s">
        <v>1387</v>
      </c>
      <c r="D628" s="1" t="s">
        <v>787</v>
      </c>
      <c r="E628" s="8">
        <v>134452</v>
      </c>
      <c r="F628" s="5">
        <v>3400744</v>
      </c>
    </row>
    <row r="629" spans="1:6" x14ac:dyDescent="0.25">
      <c r="A629" s="5">
        <v>3400744</v>
      </c>
      <c r="B629" s="1">
        <v>2019</v>
      </c>
      <c r="C629" s="1" t="s">
        <v>1387</v>
      </c>
      <c r="D629" s="1" t="s">
        <v>787</v>
      </c>
      <c r="E629" s="8">
        <v>206120</v>
      </c>
      <c r="F629" s="5">
        <v>3400744</v>
      </c>
    </row>
    <row r="630" spans="1:6" ht="20" x14ac:dyDescent="0.25">
      <c r="A630" s="5">
        <v>3400744</v>
      </c>
      <c r="B630" s="1">
        <v>2020</v>
      </c>
      <c r="C630" s="1" t="s">
        <v>1387</v>
      </c>
      <c r="D630" s="2" t="s">
        <v>787</v>
      </c>
      <c r="E630" s="7">
        <v>267661</v>
      </c>
      <c r="F630" s="5">
        <v>3400744</v>
      </c>
    </row>
    <row r="631" spans="1:6" ht="20" x14ac:dyDescent="0.25">
      <c r="A631" s="5">
        <v>3400744</v>
      </c>
      <c r="B631" s="1">
        <v>2021</v>
      </c>
      <c r="C631" s="1" t="s">
        <v>1387</v>
      </c>
      <c r="D631" s="3" t="s">
        <v>787</v>
      </c>
      <c r="E631" s="7">
        <v>545782</v>
      </c>
      <c r="F631" s="5">
        <v>3400744</v>
      </c>
    </row>
    <row r="632" spans="1:6" ht="20" x14ac:dyDescent="0.25">
      <c r="A632" s="5">
        <v>3400744</v>
      </c>
      <c r="B632" s="1">
        <v>2022</v>
      </c>
      <c r="C632" s="1" t="s">
        <v>1387</v>
      </c>
      <c r="D632" s="2" t="s">
        <v>787</v>
      </c>
      <c r="E632" s="7">
        <v>866463</v>
      </c>
      <c r="F632" s="5">
        <v>3400744</v>
      </c>
    </row>
    <row r="633" spans="1:6" ht="20" x14ac:dyDescent="0.25">
      <c r="A633" s="5">
        <v>3400744</v>
      </c>
      <c r="B633" s="1">
        <v>2023</v>
      </c>
      <c r="C633" s="1" t="s">
        <v>1387</v>
      </c>
      <c r="D633" s="2" t="s">
        <v>787</v>
      </c>
      <c r="E633" s="7">
        <v>750303</v>
      </c>
      <c r="F633" s="5">
        <v>3400744</v>
      </c>
    </row>
    <row r="634" spans="1:6" x14ac:dyDescent="0.25">
      <c r="A634" s="5">
        <v>3400745</v>
      </c>
      <c r="B634" s="1">
        <v>2015</v>
      </c>
      <c r="C634" s="1" t="s">
        <v>1387</v>
      </c>
      <c r="D634" s="1" t="s">
        <v>533</v>
      </c>
      <c r="E634" s="8">
        <v>86754</v>
      </c>
      <c r="F634" s="5">
        <v>3400745</v>
      </c>
    </row>
    <row r="635" spans="1:6" x14ac:dyDescent="0.25">
      <c r="A635" s="5">
        <v>3400745</v>
      </c>
      <c r="B635" s="1">
        <v>2016</v>
      </c>
      <c r="C635" s="1" t="s">
        <v>1387</v>
      </c>
      <c r="D635" s="1" t="s">
        <v>533</v>
      </c>
      <c r="E635" s="8">
        <v>155731</v>
      </c>
      <c r="F635" s="5">
        <v>3400745</v>
      </c>
    </row>
    <row r="636" spans="1:6" x14ac:dyDescent="0.25">
      <c r="A636" s="5">
        <v>3400745</v>
      </c>
      <c r="B636" s="1">
        <v>2017</v>
      </c>
      <c r="C636" s="1" t="s">
        <v>1387</v>
      </c>
      <c r="D636" s="1" t="s">
        <v>533</v>
      </c>
      <c r="E636" s="8">
        <v>295137</v>
      </c>
      <c r="F636" s="5">
        <v>3400745</v>
      </c>
    </row>
    <row r="637" spans="1:6" x14ac:dyDescent="0.25">
      <c r="A637" s="5">
        <v>3400745</v>
      </c>
      <c r="B637" s="1">
        <v>2018</v>
      </c>
      <c r="C637" s="1" t="s">
        <v>1387</v>
      </c>
      <c r="D637" s="1" t="s">
        <v>1225</v>
      </c>
      <c r="E637" s="8">
        <v>540299</v>
      </c>
      <c r="F637" s="5">
        <v>3400745</v>
      </c>
    </row>
    <row r="638" spans="1:6" x14ac:dyDescent="0.25">
      <c r="A638" s="5">
        <v>3400745</v>
      </c>
      <c r="B638" s="1">
        <v>2019</v>
      </c>
      <c r="C638" s="1" t="s">
        <v>1387</v>
      </c>
      <c r="D638" s="1" t="s">
        <v>1225</v>
      </c>
      <c r="E638" s="8">
        <v>688411</v>
      </c>
      <c r="F638" s="5">
        <v>3400745</v>
      </c>
    </row>
    <row r="639" spans="1:6" ht="20" x14ac:dyDescent="0.25">
      <c r="A639" s="5">
        <v>3400745</v>
      </c>
      <c r="B639" s="1">
        <v>2020</v>
      </c>
      <c r="C639" s="1" t="s">
        <v>1387</v>
      </c>
      <c r="D639" s="2" t="s">
        <v>1225</v>
      </c>
      <c r="E639" s="7">
        <v>1128573</v>
      </c>
      <c r="F639" s="5">
        <v>3400745</v>
      </c>
    </row>
    <row r="640" spans="1:6" ht="20" x14ac:dyDescent="0.25">
      <c r="A640" s="5">
        <v>3400745</v>
      </c>
      <c r="B640" s="1">
        <v>2021</v>
      </c>
      <c r="C640" s="1" t="s">
        <v>1387</v>
      </c>
      <c r="D640" s="3" t="s">
        <v>1225</v>
      </c>
      <c r="E640" s="7">
        <v>1700388</v>
      </c>
      <c r="F640" s="5">
        <v>3400745</v>
      </c>
    </row>
    <row r="641" spans="1:6" ht="20" x14ac:dyDescent="0.25">
      <c r="A641" s="5">
        <v>3400745</v>
      </c>
      <c r="B641" s="1">
        <v>2022</v>
      </c>
      <c r="C641" s="1" t="s">
        <v>1387</v>
      </c>
      <c r="D641" s="2" t="s">
        <v>1225</v>
      </c>
      <c r="E641" s="7">
        <v>2495631</v>
      </c>
      <c r="F641" s="5">
        <v>3400745</v>
      </c>
    </row>
    <row r="642" spans="1:6" ht="20" x14ac:dyDescent="0.25">
      <c r="A642" s="5">
        <v>3400745</v>
      </c>
      <c r="B642" s="1">
        <v>2023</v>
      </c>
      <c r="C642" s="1" t="s">
        <v>1387</v>
      </c>
      <c r="D642" s="2" t="s">
        <v>1225</v>
      </c>
      <c r="E642" s="7">
        <v>2672646</v>
      </c>
      <c r="F642" s="5">
        <v>3400745</v>
      </c>
    </row>
    <row r="643" spans="1:6" x14ac:dyDescent="0.25">
      <c r="A643" s="5">
        <v>3400746</v>
      </c>
      <c r="B643" s="1">
        <v>2016</v>
      </c>
      <c r="C643" s="1" t="s">
        <v>1387</v>
      </c>
      <c r="D643" s="1" t="s">
        <v>672</v>
      </c>
      <c r="E643" s="8">
        <v>68423</v>
      </c>
      <c r="F643" s="5">
        <v>3400746</v>
      </c>
    </row>
    <row r="644" spans="1:6" x14ac:dyDescent="0.25">
      <c r="A644" s="5">
        <v>3400746</v>
      </c>
      <c r="B644" s="1">
        <v>2017</v>
      </c>
      <c r="C644" s="1" t="s">
        <v>1387</v>
      </c>
      <c r="D644" s="1" t="s">
        <v>672</v>
      </c>
      <c r="E644" s="8">
        <v>120828</v>
      </c>
      <c r="F644" s="5">
        <v>3400746</v>
      </c>
    </row>
    <row r="645" spans="1:6" x14ac:dyDescent="0.25">
      <c r="A645" s="5">
        <v>3400746</v>
      </c>
      <c r="B645" s="1">
        <v>2018</v>
      </c>
      <c r="C645" s="1" t="s">
        <v>1387</v>
      </c>
      <c r="D645" s="1" t="s">
        <v>1272</v>
      </c>
      <c r="E645" s="8">
        <v>196459</v>
      </c>
      <c r="F645" s="5">
        <v>3400746</v>
      </c>
    </row>
    <row r="646" spans="1:6" x14ac:dyDescent="0.25">
      <c r="A646" s="5">
        <v>3400746</v>
      </c>
      <c r="B646" s="1">
        <v>2019</v>
      </c>
      <c r="C646" s="1" t="s">
        <v>1387</v>
      </c>
      <c r="D646" s="1" t="s">
        <v>1272</v>
      </c>
      <c r="E646" s="8">
        <v>287366</v>
      </c>
      <c r="F646" s="5">
        <v>3400746</v>
      </c>
    </row>
    <row r="647" spans="1:6" ht="20" x14ac:dyDescent="0.25">
      <c r="A647" s="5">
        <v>3400746</v>
      </c>
      <c r="B647" s="1">
        <v>2020</v>
      </c>
      <c r="C647" s="1" t="s">
        <v>1387</v>
      </c>
      <c r="D647" s="2" t="s">
        <v>1272</v>
      </c>
      <c r="E647" s="7">
        <v>351301</v>
      </c>
      <c r="F647" s="5">
        <v>3400746</v>
      </c>
    </row>
    <row r="648" spans="1:6" ht="20" x14ac:dyDescent="0.25">
      <c r="A648" s="5">
        <v>3400746</v>
      </c>
      <c r="B648" s="1">
        <v>2021</v>
      </c>
      <c r="C648" s="1" t="s">
        <v>1387</v>
      </c>
      <c r="D648" s="3" t="s">
        <v>1272</v>
      </c>
      <c r="E648" s="7">
        <v>578682</v>
      </c>
      <c r="F648" s="5">
        <v>3400746</v>
      </c>
    </row>
    <row r="649" spans="1:6" ht="20" x14ac:dyDescent="0.25">
      <c r="A649" s="5">
        <v>3400746</v>
      </c>
      <c r="B649" s="1">
        <v>2022</v>
      </c>
      <c r="C649" s="1" t="s">
        <v>1387</v>
      </c>
      <c r="D649" s="2" t="s">
        <v>1272</v>
      </c>
      <c r="E649" s="7">
        <v>930781</v>
      </c>
      <c r="F649" s="5">
        <v>3400746</v>
      </c>
    </row>
    <row r="650" spans="1:6" ht="20" x14ac:dyDescent="0.25">
      <c r="A650" s="5">
        <v>3400746</v>
      </c>
      <c r="B650" s="1">
        <v>2023</v>
      </c>
      <c r="C650" s="1" t="s">
        <v>1387</v>
      </c>
      <c r="D650" s="2" t="s">
        <v>1272</v>
      </c>
      <c r="E650" s="7">
        <v>886326</v>
      </c>
      <c r="F650" s="5">
        <v>3400746</v>
      </c>
    </row>
    <row r="651" spans="1:6" x14ac:dyDescent="0.25">
      <c r="A651" s="5">
        <v>3400748</v>
      </c>
      <c r="B651" s="1">
        <v>2015</v>
      </c>
      <c r="C651" s="1" t="s">
        <v>1387</v>
      </c>
      <c r="D651" s="1" t="s">
        <v>529</v>
      </c>
      <c r="E651" s="8">
        <v>37830</v>
      </c>
      <c r="F651" s="5">
        <v>3400748</v>
      </c>
    </row>
    <row r="652" spans="1:6" x14ac:dyDescent="0.25">
      <c r="A652" s="5">
        <v>3400748</v>
      </c>
      <c r="B652" s="1">
        <v>2016</v>
      </c>
      <c r="C652" s="1" t="s">
        <v>1387</v>
      </c>
      <c r="D652" s="1" t="s">
        <v>529</v>
      </c>
      <c r="E652" s="8">
        <v>88867</v>
      </c>
      <c r="F652" s="5">
        <v>3400748</v>
      </c>
    </row>
    <row r="653" spans="1:6" x14ac:dyDescent="0.25">
      <c r="A653" s="5">
        <v>3400748</v>
      </c>
      <c r="B653" s="1">
        <v>2017</v>
      </c>
      <c r="C653" s="1" t="s">
        <v>1387</v>
      </c>
      <c r="D653" s="1" t="s">
        <v>529</v>
      </c>
      <c r="E653" s="8">
        <v>108886</v>
      </c>
      <c r="F653" s="5">
        <v>3400748</v>
      </c>
    </row>
    <row r="654" spans="1:6" x14ac:dyDescent="0.25">
      <c r="A654" s="5">
        <v>3400748</v>
      </c>
      <c r="B654" s="1">
        <v>2018</v>
      </c>
      <c r="C654" s="1" t="s">
        <v>1387</v>
      </c>
      <c r="D654" s="1" t="s">
        <v>1221</v>
      </c>
      <c r="E654" s="8">
        <v>178029</v>
      </c>
      <c r="F654" s="5">
        <v>3400748</v>
      </c>
    </row>
    <row r="655" spans="1:6" x14ac:dyDescent="0.25">
      <c r="A655" s="5">
        <v>3400748</v>
      </c>
      <c r="B655" s="1">
        <v>2019</v>
      </c>
      <c r="C655" s="1" t="s">
        <v>1387</v>
      </c>
      <c r="D655" s="1" t="s">
        <v>1221</v>
      </c>
      <c r="E655" s="8">
        <v>229881</v>
      </c>
      <c r="F655" s="5">
        <v>3400748</v>
      </c>
    </row>
    <row r="656" spans="1:6" ht="20" x14ac:dyDescent="0.25">
      <c r="A656" s="5">
        <v>3400748</v>
      </c>
      <c r="B656" s="1">
        <v>2020</v>
      </c>
      <c r="C656" s="1" t="s">
        <v>1387</v>
      </c>
      <c r="D656" s="2" t="s">
        <v>1221</v>
      </c>
      <c r="E656" s="7">
        <v>333072</v>
      </c>
      <c r="F656" s="5">
        <v>3400748</v>
      </c>
    </row>
    <row r="657" spans="1:6" ht="20" x14ac:dyDescent="0.25">
      <c r="A657" s="5">
        <v>3400748</v>
      </c>
      <c r="B657" s="1">
        <v>2021</v>
      </c>
      <c r="C657" s="1" t="s">
        <v>1387</v>
      </c>
      <c r="D657" s="3" t="s">
        <v>1221</v>
      </c>
      <c r="E657" s="7">
        <v>498175</v>
      </c>
      <c r="F657" s="5">
        <v>3400748</v>
      </c>
    </row>
    <row r="658" spans="1:6" ht="20" x14ac:dyDescent="0.25">
      <c r="A658" s="5">
        <v>3400748</v>
      </c>
      <c r="B658" s="1">
        <v>2022</v>
      </c>
      <c r="C658" s="1" t="s">
        <v>1387</v>
      </c>
      <c r="D658" s="2" t="s">
        <v>1221</v>
      </c>
      <c r="E658" s="7">
        <v>792932</v>
      </c>
      <c r="F658" s="5">
        <v>3400748</v>
      </c>
    </row>
    <row r="659" spans="1:6" ht="20" x14ac:dyDescent="0.25">
      <c r="A659" s="5">
        <v>3400748</v>
      </c>
      <c r="B659" s="1">
        <v>2023</v>
      </c>
      <c r="C659" s="1" t="s">
        <v>1387</v>
      </c>
      <c r="D659" s="2" t="s">
        <v>1221</v>
      </c>
      <c r="E659" s="7">
        <v>827215</v>
      </c>
      <c r="F659" s="5">
        <v>3400748</v>
      </c>
    </row>
    <row r="660" spans="1:6" x14ac:dyDescent="0.25">
      <c r="A660" s="5">
        <v>3400749</v>
      </c>
      <c r="B660" s="1">
        <v>2015</v>
      </c>
      <c r="C660" s="1" t="s">
        <v>1387</v>
      </c>
      <c r="D660" s="1" t="s">
        <v>224</v>
      </c>
      <c r="E660" s="8">
        <v>28032</v>
      </c>
      <c r="F660" s="5">
        <v>3400749</v>
      </c>
    </row>
    <row r="661" spans="1:6" x14ac:dyDescent="0.25">
      <c r="A661" s="5">
        <v>3400749</v>
      </c>
      <c r="B661" s="1">
        <v>2016</v>
      </c>
      <c r="C661" s="1" t="s">
        <v>1387</v>
      </c>
      <c r="D661" s="1" t="s">
        <v>224</v>
      </c>
      <c r="E661" s="8">
        <v>65282</v>
      </c>
      <c r="F661" s="5">
        <v>3400749</v>
      </c>
    </row>
    <row r="662" spans="1:6" x14ac:dyDescent="0.25">
      <c r="A662" s="5">
        <v>3400749</v>
      </c>
      <c r="B662" s="1">
        <v>2017</v>
      </c>
      <c r="C662" s="1" t="s">
        <v>1387</v>
      </c>
      <c r="D662" s="1" t="s">
        <v>224</v>
      </c>
      <c r="E662" s="8">
        <v>109826</v>
      </c>
      <c r="F662" s="5">
        <v>3400749</v>
      </c>
    </row>
    <row r="663" spans="1:6" x14ac:dyDescent="0.25">
      <c r="A663" s="5">
        <v>3400749</v>
      </c>
      <c r="B663" s="1">
        <v>2018</v>
      </c>
      <c r="C663" s="1" t="s">
        <v>1387</v>
      </c>
      <c r="D663" s="1" t="s">
        <v>910</v>
      </c>
      <c r="E663" s="8">
        <v>131291</v>
      </c>
      <c r="F663" s="5">
        <v>3400749</v>
      </c>
    </row>
    <row r="664" spans="1:6" x14ac:dyDescent="0.25">
      <c r="A664" s="5">
        <v>3400749</v>
      </c>
      <c r="B664" s="1">
        <v>2019</v>
      </c>
      <c r="C664" s="1" t="s">
        <v>1387</v>
      </c>
      <c r="D664" s="1" t="s">
        <v>910</v>
      </c>
      <c r="E664" s="8">
        <v>304477</v>
      </c>
      <c r="F664" s="5">
        <v>3400749</v>
      </c>
    </row>
    <row r="665" spans="1:6" ht="20" x14ac:dyDescent="0.25">
      <c r="A665" s="5">
        <v>3400749</v>
      </c>
      <c r="B665" s="1">
        <v>2020</v>
      </c>
      <c r="C665" s="1" t="s">
        <v>1387</v>
      </c>
      <c r="D665" s="2" t="s">
        <v>910</v>
      </c>
      <c r="E665" s="7">
        <v>245133</v>
      </c>
      <c r="F665" s="5">
        <v>3400749</v>
      </c>
    </row>
    <row r="666" spans="1:6" ht="20" x14ac:dyDescent="0.25">
      <c r="A666" s="5">
        <v>3400749</v>
      </c>
      <c r="B666" s="1">
        <v>2021</v>
      </c>
      <c r="C666" s="1" t="s">
        <v>1387</v>
      </c>
      <c r="D666" s="3" t="s">
        <v>910</v>
      </c>
      <c r="E666" s="7">
        <v>273599</v>
      </c>
      <c r="F666" s="5">
        <v>3400749</v>
      </c>
    </row>
    <row r="667" spans="1:6" ht="20" x14ac:dyDescent="0.25">
      <c r="A667" s="5">
        <v>3400749</v>
      </c>
      <c r="B667" s="1">
        <v>2022</v>
      </c>
      <c r="C667" s="1" t="s">
        <v>1387</v>
      </c>
      <c r="D667" s="2" t="s">
        <v>910</v>
      </c>
      <c r="E667" s="7">
        <v>337998</v>
      </c>
      <c r="F667" s="5">
        <v>3400749</v>
      </c>
    </row>
    <row r="668" spans="1:6" ht="20" x14ac:dyDescent="0.25">
      <c r="A668" s="5">
        <v>3400749</v>
      </c>
      <c r="B668" s="1">
        <v>2023</v>
      </c>
      <c r="C668" s="1" t="s">
        <v>1387</v>
      </c>
      <c r="D668" s="2" t="s">
        <v>910</v>
      </c>
      <c r="E668" s="7">
        <v>424371</v>
      </c>
      <c r="F668" s="5">
        <v>3400749</v>
      </c>
    </row>
    <row r="669" spans="1:6" x14ac:dyDescent="0.25">
      <c r="A669" s="5">
        <v>3400750</v>
      </c>
      <c r="B669" s="1">
        <v>2015</v>
      </c>
      <c r="C669" s="1" t="s">
        <v>1387</v>
      </c>
      <c r="D669" s="1" t="s">
        <v>27</v>
      </c>
      <c r="E669" s="8">
        <v>336605</v>
      </c>
      <c r="F669" s="5">
        <v>3400750</v>
      </c>
    </row>
    <row r="670" spans="1:6" x14ac:dyDescent="0.25">
      <c r="A670" s="5">
        <v>3400750</v>
      </c>
      <c r="B670" s="1">
        <v>2016</v>
      </c>
      <c r="C670" s="1" t="s">
        <v>1387</v>
      </c>
      <c r="D670" s="1" t="s">
        <v>27</v>
      </c>
      <c r="E670" s="8">
        <v>506654</v>
      </c>
      <c r="F670" s="5">
        <v>3400750</v>
      </c>
    </row>
    <row r="671" spans="1:6" x14ac:dyDescent="0.25">
      <c r="A671" s="5">
        <v>3400750</v>
      </c>
      <c r="B671" s="1">
        <v>2017</v>
      </c>
      <c r="C671" s="1" t="s">
        <v>1387</v>
      </c>
      <c r="D671" s="1" t="s">
        <v>27</v>
      </c>
      <c r="E671" s="8">
        <v>713649</v>
      </c>
      <c r="F671" s="5">
        <v>3400750</v>
      </c>
    </row>
    <row r="672" spans="1:6" x14ac:dyDescent="0.25">
      <c r="A672" s="5">
        <v>3400750</v>
      </c>
      <c r="B672" s="1">
        <v>2018</v>
      </c>
      <c r="C672" s="1" t="s">
        <v>1387</v>
      </c>
      <c r="D672" s="1" t="s">
        <v>705</v>
      </c>
      <c r="E672" s="8">
        <v>991860</v>
      </c>
      <c r="F672" s="5">
        <v>3400750</v>
      </c>
    </row>
    <row r="673" spans="1:6" x14ac:dyDescent="0.25">
      <c r="A673" s="5">
        <v>3400750</v>
      </c>
      <c r="B673" s="1">
        <v>2019</v>
      </c>
      <c r="C673" s="1" t="s">
        <v>1387</v>
      </c>
      <c r="D673" s="1" t="s">
        <v>705</v>
      </c>
      <c r="E673" s="8">
        <v>1342155</v>
      </c>
      <c r="F673" s="5">
        <v>3400750</v>
      </c>
    </row>
    <row r="674" spans="1:6" ht="20" x14ac:dyDescent="0.25">
      <c r="A674" s="5">
        <v>3400750</v>
      </c>
      <c r="B674" s="1">
        <v>2020</v>
      </c>
      <c r="C674" s="1" t="s">
        <v>1387</v>
      </c>
      <c r="D674" s="2" t="s">
        <v>705</v>
      </c>
      <c r="E674" s="7">
        <v>1480695</v>
      </c>
      <c r="F674" s="5">
        <v>3400750</v>
      </c>
    </row>
    <row r="675" spans="1:6" ht="20" x14ac:dyDescent="0.25">
      <c r="A675" s="5">
        <v>3400750</v>
      </c>
      <c r="B675" s="1">
        <v>2021</v>
      </c>
      <c r="C675" s="1" t="s">
        <v>1387</v>
      </c>
      <c r="D675" s="3" t="s">
        <v>705</v>
      </c>
      <c r="E675" s="7">
        <v>1956029</v>
      </c>
      <c r="F675" s="5">
        <v>3400750</v>
      </c>
    </row>
    <row r="676" spans="1:6" ht="20" x14ac:dyDescent="0.25">
      <c r="A676" s="5">
        <v>3400750</v>
      </c>
      <c r="B676" s="1">
        <v>2022</v>
      </c>
      <c r="C676" s="1" t="s">
        <v>1387</v>
      </c>
      <c r="D676" s="2" t="s">
        <v>705</v>
      </c>
      <c r="E676" s="7">
        <v>2731490</v>
      </c>
      <c r="F676" s="5">
        <v>3400750</v>
      </c>
    </row>
    <row r="677" spans="1:6" ht="20" x14ac:dyDescent="0.25">
      <c r="A677" s="5">
        <v>3400750</v>
      </c>
      <c r="B677" s="1">
        <v>2023</v>
      </c>
      <c r="C677" s="1" t="s">
        <v>1387</v>
      </c>
      <c r="D677" s="2" t="s">
        <v>705</v>
      </c>
      <c r="E677" s="7">
        <v>2617739</v>
      </c>
      <c r="F677" s="5">
        <v>3400750</v>
      </c>
    </row>
    <row r="678" spans="1:6" x14ac:dyDescent="0.25">
      <c r="A678" s="5">
        <v>3400751</v>
      </c>
      <c r="B678" s="1">
        <v>2015</v>
      </c>
      <c r="C678" s="1" t="s">
        <v>1387</v>
      </c>
      <c r="D678" s="1" t="s">
        <v>243</v>
      </c>
      <c r="E678" s="8">
        <v>29159</v>
      </c>
      <c r="F678" s="5">
        <v>3400751</v>
      </c>
    </row>
    <row r="679" spans="1:6" x14ac:dyDescent="0.25">
      <c r="A679" s="5">
        <v>3400751</v>
      </c>
      <c r="B679" s="1">
        <v>2016</v>
      </c>
      <c r="C679" s="1" t="s">
        <v>1387</v>
      </c>
      <c r="D679" s="1" t="s">
        <v>243</v>
      </c>
      <c r="E679" s="8">
        <v>76399</v>
      </c>
      <c r="F679" s="5">
        <v>3400751</v>
      </c>
    </row>
    <row r="680" spans="1:6" x14ac:dyDescent="0.25">
      <c r="A680" s="5">
        <v>3400751</v>
      </c>
      <c r="B680" s="1">
        <v>2017</v>
      </c>
      <c r="C680" s="1" t="s">
        <v>1387</v>
      </c>
      <c r="D680" s="1" t="s">
        <v>243</v>
      </c>
      <c r="E680" s="8">
        <v>144448</v>
      </c>
      <c r="F680" s="5">
        <v>3400751</v>
      </c>
    </row>
    <row r="681" spans="1:6" x14ac:dyDescent="0.25">
      <c r="A681" s="5">
        <v>3400751</v>
      </c>
      <c r="B681" s="1">
        <v>2018</v>
      </c>
      <c r="C681" s="1" t="s">
        <v>1387</v>
      </c>
      <c r="D681" s="1" t="s">
        <v>929</v>
      </c>
      <c r="E681" s="8">
        <v>184942</v>
      </c>
      <c r="F681" s="5">
        <v>3400751</v>
      </c>
    </row>
    <row r="682" spans="1:6" x14ac:dyDescent="0.25">
      <c r="A682" s="5">
        <v>3400751</v>
      </c>
      <c r="B682" s="1">
        <v>2019</v>
      </c>
      <c r="C682" s="1" t="s">
        <v>1387</v>
      </c>
      <c r="D682" s="1" t="s">
        <v>929</v>
      </c>
      <c r="E682" s="8">
        <v>980286</v>
      </c>
      <c r="F682" s="5">
        <v>3400751</v>
      </c>
    </row>
    <row r="683" spans="1:6" ht="20" x14ac:dyDescent="0.25">
      <c r="A683" s="5">
        <v>3400751</v>
      </c>
      <c r="B683" s="1">
        <v>2020</v>
      </c>
      <c r="C683" s="1" t="s">
        <v>1387</v>
      </c>
      <c r="D683" s="2" t="s">
        <v>929</v>
      </c>
      <c r="E683" s="7">
        <v>1163419</v>
      </c>
      <c r="F683" s="5">
        <v>3400751</v>
      </c>
    </row>
    <row r="684" spans="1:6" ht="20" x14ac:dyDescent="0.25">
      <c r="A684" s="5">
        <v>3400751</v>
      </c>
      <c r="B684" s="1">
        <v>2021</v>
      </c>
      <c r="C684" s="1" t="s">
        <v>1387</v>
      </c>
      <c r="D684" s="3" t="s">
        <v>929</v>
      </c>
      <c r="E684" s="7">
        <v>2131763</v>
      </c>
      <c r="F684" s="5">
        <v>3400751</v>
      </c>
    </row>
    <row r="685" spans="1:6" ht="20" x14ac:dyDescent="0.25">
      <c r="A685" s="5">
        <v>3400751</v>
      </c>
      <c r="B685" s="1">
        <v>2022</v>
      </c>
      <c r="C685" s="1" t="s">
        <v>1387</v>
      </c>
      <c r="D685" s="2" t="s">
        <v>929</v>
      </c>
      <c r="E685" s="7">
        <v>3324499</v>
      </c>
      <c r="F685" s="5">
        <v>3400751</v>
      </c>
    </row>
    <row r="686" spans="1:6" ht="20" x14ac:dyDescent="0.25">
      <c r="A686" s="5">
        <v>3400751</v>
      </c>
      <c r="B686" s="1">
        <v>2023</v>
      </c>
      <c r="C686" s="1" t="s">
        <v>1387</v>
      </c>
      <c r="D686" s="2" t="s">
        <v>929</v>
      </c>
      <c r="E686" s="7">
        <v>3416039</v>
      </c>
      <c r="F686" s="5">
        <v>3400751</v>
      </c>
    </row>
    <row r="687" spans="1:6" x14ac:dyDescent="0.25">
      <c r="A687" s="5">
        <v>3400752</v>
      </c>
      <c r="B687" s="1">
        <v>2015</v>
      </c>
      <c r="C687" s="1" t="s">
        <v>1387</v>
      </c>
      <c r="D687" s="1" t="s">
        <v>175</v>
      </c>
      <c r="E687" s="8">
        <v>32865</v>
      </c>
      <c r="F687" s="5">
        <v>3400752</v>
      </c>
    </row>
    <row r="688" spans="1:6" x14ac:dyDescent="0.25">
      <c r="A688" s="5">
        <v>3400752</v>
      </c>
      <c r="B688" s="1">
        <v>2016</v>
      </c>
      <c r="C688" s="1" t="s">
        <v>1387</v>
      </c>
      <c r="D688" s="1" t="s">
        <v>175</v>
      </c>
      <c r="E688" s="8">
        <v>44305</v>
      </c>
      <c r="F688" s="5">
        <v>3400752</v>
      </c>
    </row>
    <row r="689" spans="1:6" x14ac:dyDescent="0.25">
      <c r="A689" s="5">
        <v>3400752</v>
      </c>
      <c r="B689" s="1">
        <v>2017</v>
      </c>
      <c r="C689" s="1" t="s">
        <v>1387</v>
      </c>
      <c r="D689" s="1" t="s">
        <v>175</v>
      </c>
      <c r="E689" s="8">
        <v>69036</v>
      </c>
      <c r="F689" s="5">
        <v>3400752</v>
      </c>
    </row>
    <row r="690" spans="1:6" x14ac:dyDescent="0.25">
      <c r="A690" s="5">
        <v>3400752</v>
      </c>
      <c r="B690" s="1">
        <v>2018</v>
      </c>
      <c r="C690" s="1" t="s">
        <v>1387</v>
      </c>
      <c r="D690" s="1" t="s">
        <v>874</v>
      </c>
      <c r="E690" s="8">
        <v>100129</v>
      </c>
      <c r="F690" s="5">
        <v>3400752</v>
      </c>
    </row>
    <row r="691" spans="1:6" x14ac:dyDescent="0.25">
      <c r="A691" s="5">
        <v>3400752</v>
      </c>
      <c r="B691" s="1">
        <v>2019</v>
      </c>
      <c r="C691" s="1" t="s">
        <v>1387</v>
      </c>
      <c r="D691" s="1" t="s">
        <v>874</v>
      </c>
      <c r="E691" s="8">
        <v>179188</v>
      </c>
      <c r="F691" s="5">
        <v>3400752</v>
      </c>
    </row>
    <row r="692" spans="1:6" ht="20" x14ac:dyDescent="0.25">
      <c r="A692" s="5">
        <v>3400752</v>
      </c>
      <c r="B692" s="1">
        <v>2020</v>
      </c>
      <c r="C692" s="1" t="s">
        <v>1387</v>
      </c>
      <c r="D692" s="2" t="s">
        <v>874</v>
      </c>
      <c r="E692" s="7">
        <v>264013</v>
      </c>
      <c r="F692" s="5">
        <v>3400752</v>
      </c>
    </row>
    <row r="693" spans="1:6" x14ac:dyDescent="0.25">
      <c r="A693" s="5">
        <v>3400753</v>
      </c>
      <c r="B693" s="1">
        <v>2015</v>
      </c>
      <c r="C693" s="1" t="s">
        <v>1387</v>
      </c>
      <c r="D693" s="1" t="s">
        <v>317</v>
      </c>
      <c r="E693" s="8">
        <v>71334</v>
      </c>
      <c r="F693" s="5">
        <v>3400753</v>
      </c>
    </row>
    <row r="694" spans="1:6" x14ac:dyDescent="0.25">
      <c r="A694" s="5">
        <v>3400753</v>
      </c>
      <c r="B694" s="1">
        <v>2016</v>
      </c>
      <c r="C694" s="1" t="s">
        <v>1387</v>
      </c>
      <c r="D694" s="1" t="s">
        <v>317</v>
      </c>
      <c r="E694" s="8">
        <v>154409</v>
      </c>
      <c r="F694" s="5">
        <v>3400753</v>
      </c>
    </row>
    <row r="695" spans="1:6" x14ac:dyDescent="0.25">
      <c r="A695" s="5">
        <v>3400753</v>
      </c>
      <c r="B695" s="1">
        <v>2017</v>
      </c>
      <c r="C695" s="1" t="s">
        <v>1387</v>
      </c>
      <c r="D695" s="1" t="s">
        <v>317</v>
      </c>
      <c r="E695" s="8">
        <v>298939</v>
      </c>
      <c r="F695" s="5">
        <v>3400753</v>
      </c>
    </row>
    <row r="696" spans="1:6" x14ac:dyDescent="0.25">
      <c r="A696" s="5">
        <v>3400753</v>
      </c>
      <c r="B696" s="1">
        <v>2018</v>
      </c>
      <c r="C696" s="1" t="s">
        <v>1387</v>
      </c>
      <c r="D696" s="1" t="s">
        <v>1010</v>
      </c>
      <c r="E696" s="8">
        <v>496573</v>
      </c>
      <c r="F696" s="5">
        <v>3400753</v>
      </c>
    </row>
    <row r="697" spans="1:6" x14ac:dyDescent="0.25">
      <c r="A697" s="5">
        <v>3400753</v>
      </c>
      <c r="B697" s="1">
        <v>2019</v>
      </c>
      <c r="C697" s="1" t="s">
        <v>1387</v>
      </c>
      <c r="D697" s="1" t="s">
        <v>1010</v>
      </c>
      <c r="E697" s="8">
        <v>537652</v>
      </c>
      <c r="F697" s="5">
        <v>3400753</v>
      </c>
    </row>
    <row r="698" spans="1:6" ht="20" x14ac:dyDescent="0.25">
      <c r="A698" s="5">
        <v>3400753</v>
      </c>
      <c r="B698" s="1">
        <v>2020</v>
      </c>
      <c r="C698" s="1" t="s">
        <v>1387</v>
      </c>
      <c r="D698" s="2" t="s">
        <v>1010</v>
      </c>
      <c r="E698" s="7">
        <v>721439</v>
      </c>
      <c r="F698" s="5">
        <v>3400753</v>
      </c>
    </row>
    <row r="699" spans="1:6" ht="20" x14ac:dyDescent="0.25">
      <c r="A699" s="5">
        <v>3400753</v>
      </c>
      <c r="B699" s="1">
        <v>2021</v>
      </c>
      <c r="C699" s="1" t="s">
        <v>1387</v>
      </c>
      <c r="D699" s="3" t="s">
        <v>1010</v>
      </c>
      <c r="E699" s="7">
        <v>1094322</v>
      </c>
      <c r="F699" s="5">
        <v>3400753</v>
      </c>
    </row>
    <row r="700" spans="1:6" ht="20" x14ac:dyDescent="0.25">
      <c r="A700" s="5">
        <v>3400753</v>
      </c>
      <c r="B700" s="1">
        <v>2022</v>
      </c>
      <c r="C700" s="1" t="s">
        <v>1387</v>
      </c>
      <c r="D700" s="2" t="s">
        <v>1010</v>
      </c>
      <c r="E700" s="7">
        <v>1170801</v>
      </c>
      <c r="F700" s="5">
        <v>3400753</v>
      </c>
    </row>
    <row r="701" spans="1:6" x14ac:dyDescent="0.25">
      <c r="A701" s="5">
        <v>3400754</v>
      </c>
      <c r="B701" s="1">
        <v>2015</v>
      </c>
      <c r="C701" s="1" t="s">
        <v>1387</v>
      </c>
      <c r="D701" s="1" t="s">
        <v>260</v>
      </c>
      <c r="E701" s="8">
        <v>74559</v>
      </c>
      <c r="F701" s="5">
        <v>3400754</v>
      </c>
    </row>
    <row r="702" spans="1:6" x14ac:dyDescent="0.25">
      <c r="A702" s="5">
        <v>3400754</v>
      </c>
      <c r="B702" s="1">
        <v>2016</v>
      </c>
      <c r="C702" s="1" t="s">
        <v>1387</v>
      </c>
      <c r="D702" s="1" t="s">
        <v>260</v>
      </c>
      <c r="E702" s="8">
        <v>140450</v>
      </c>
      <c r="F702" s="5">
        <v>3400754</v>
      </c>
    </row>
    <row r="703" spans="1:6" x14ac:dyDescent="0.25">
      <c r="A703" s="5">
        <v>3400754</v>
      </c>
      <c r="B703" s="1">
        <v>2017</v>
      </c>
      <c r="C703" s="1" t="s">
        <v>1387</v>
      </c>
      <c r="D703" s="1" t="s">
        <v>260</v>
      </c>
      <c r="E703" s="8">
        <v>270933</v>
      </c>
      <c r="F703" s="5">
        <v>3400754</v>
      </c>
    </row>
    <row r="704" spans="1:6" x14ac:dyDescent="0.25">
      <c r="A704" s="5">
        <v>3400754</v>
      </c>
      <c r="B704" s="1">
        <v>2018</v>
      </c>
      <c r="C704" s="1" t="s">
        <v>1387</v>
      </c>
      <c r="D704" s="1" t="s">
        <v>950</v>
      </c>
      <c r="E704" s="8">
        <v>325601</v>
      </c>
      <c r="F704" s="5">
        <v>3400754</v>
      </c>
    </row>
    <row r="705" spans="1:6" x14ac:dyDescent="0.25">
      <c r="A705" s="5">
        <v>3400754</v>
      </c>
      <c r="B705" s="1">
        <v>2019</v>
      </c>
      <c r="C705" s="1" t="s">
        <v>1387</v>
      </c>
      <c r="D705" s="1" t="s">
        <v>950</v>
      </c>
      <c r="E705" s="8">
        <v>434444</v>
      </c>
      <c r="F705" s="5">
        <v>3400754</v>
      </c>
    </row>
    <row r="706" spans="1:6" ht="20" x14ac:dyDescent="0.25">
      <c r="A706" s="5">
        <v>3400754</v>
      </c>
      <c r="B706" s="1">
        <v>2020</v>
      </c>
      <c r="C706" s="1" t="s">
        <v>1387</v>
      </c>
      <c r="D706" s="2" t="s">
        <v>950</v>
      </c>
      <c r="E706" s="7">
        <v>385576</v>
      </c>
      <c r="F706" s="5">
        <v>3400754</v>
      </c>
    </row>
    <row r="707" spans="1:6" ht="20" x14ac:dyDescent="0.25">
      <c r="A707" s="5">
        <v>3400754</v>
      </c>
      <c r="B707" s="1">
        <v>2021</v>
      </c>
      <c r="C707" s="1" t="s">
        <v>1387</v>
      </c>
      <c r="D707" s="3" t="s">
        <v>950</v>
      </c>
      <c r="E707" s="7">
        <v>475913</v>
      </c>
      <c r="F707" s="5">
        <v>3400754</v>
      </c>
    </row>
    <row r="708" spans="1:6" ht="20" x14ac:dyDescent="0.25">
      <c r="A708" s="5">
        <v>3400754</v>
      </c>
      <c r="B708" s="1">
        <v>2022</v>
      </c>
      <c r="C708" s="1" t="s">
        <v>1387</v>
      </c>
      <c r="D708" s="2" t="s">
        <v>950</v>
      </c>
      <c r="E708" s="7">
        <v>677486</v>
      </c>
      <c r="F708" s="5">
        <v>3400754</v>
      </c>
    </row>
    <row r="709" spans="1:6" ht="20" x14ac:dyDescent="0.25">
      <c r="A709" s="5">
        <v>3400754</v>
      </c>
      <c r="B709" s="1">
        <v>2023</v>
      </c>
      <c r="C709" s="1" t="s">
        <v>1387</v>
      </c>
      <c r="D709" s="2" t="s">
        <v>950</v>
      </c>
      <c r="E709" s="7">
        <v>662033</v>
      </c>
      <c r="F709" s="5">
        <v>3400754</v>
      </c>
    </row>
    <row r="710" spans="1:6" x14ac:dyDescent="0.25">
      <c r="A710" s="5">
        <v>3400755</v>
      </c>
      <c r="B710" s="1">
        <v>2015</v>
      </c>
      <c r="C710" s="1" t="s">
        <v>1387</v>
      </c>
      <c r="D710" s="1" t="s">
        <v>264</v>
      </c>
      <c r="E710" s="8">
        <v>74574</v>
      </c>
      <c r="F710" s="5">
        <v>3400755</v>
      </c>
    </row>
    <row r="711" spans="1:6" x14ac:dyDescent="0.25">
      <c r="A711" s="5">
        <v>3400755</v>
      </c>
      <c r="B711" s="1">
        <v>2016</v>
      </c>
      <c r="C711" s="1" t="s">
        <v>1387</v>
      </c>
      <c r="D711" s="1" t="s">
        <v>264</v>
      </c>
      <c r="E711" s="8">
        <v>114211</v>
      </c>
      <c r="F711" s="5">
        <v>3400755</v>
      </c>
    </row>
    <row r="712" spans="1:6" x14ac:dyDescent="0.25">
      <c r="A712" s="5">
        <v>3400755</v>
      </c>
      <c r="B712" s="1">
        <v>2017</v>
      </c>
      <c r="C712" s="1" t="s">
        <v>1387</v>
      </c>
      <c r="D712" s="1" t="s">
        <v>264</v>
      </c>
      <c r="E712" s="8">
        <v>190666</v>
      </c>
      <c r="F712" s="5">
        <v>3400755</v>
      </c>
    </row>
    <row r="713" spans="1:6" x14ac:dyDescent="0.25">
      <c r="A713" s="5">
        <v>3400755</v>
      </c>
      <c r="B713" s="1">
        <v>2018</v>
      </c>
      <c r="C713" s="1" t="s">
        <v>1387</v>
      </c>
      <c r="D713" s="1" t="s">
        <v>954</v>
      </c>
      <c r="E713" s="8">
        <v>309595</v>
      </c>
      <c r="F713" s="5">
        <v>3400755</v>
      </c>
    </row>
    <row r="714" spans="1:6" x14ac:dyDescent="0.25">
      <c r="A714" s="5">
        <v>3400755</v>
      </c>
      <c r="B714" s="1">
        <v>2019</v>
      </c>
      <c r="C714" s="1" t="s">
        <v>1387</v>
      </c>
      <c r="D714" s="1" t="s">
        <v>954</v>
      </c>
      <c r="E714" s="8">
        <v>295082</v>
      </c>
      <c r="F714" s="5">
        <v>3400755</v>
      </c>
    </row>
    <row r="715" spans="1:6" ht="20" x14ac:dyDescent="0.25">
      <c r="A715" s="5">
        <v>3400755</v>
      </c>
      <c r="B715" s="1">
        <v>2020</v>
      </c>
      <c r="C715" s="1" t="s">
        <v>1387</v>
      </c>
      <c r="D715" s="2" t="s">
        <v>954</v>
      </c>
      <c r="E715" s="7">
        <v>377595</v>
      </c>
      <c r="F715" s="5">
        <v>3400755</v>
      </c>
    </row>
    <row r="716" spans="1:6" ht="20" x14ac:dyDescent="0.25">
      <c r="A716" s="5">
        <v>3400755</v>
      </c>
      <c r="B716" s="1">
        <v>2021</v>
      </c>
      <c r="C716" s="1" t="s">
        <v>1387</v>
      </c>
      <c r="D716" s="3" t="s">
        <v>954</v>
      </c>
      <c r="E716" s="7">
        <v>445111</v>
      </c>
      <c r="F716" s="5">
        <v>3400755</v>
      </c>
    </row>
    <row r="717" spans="1:6" ht="20" x14ac:dyDescent="0.25">
      <c r="A717" s="5">
        <v>3400755</v>
      </c>
      <c r="B717" s="1">
        <v>2022</v>
      </c>
      <c r="C717" s="1" t="s">
        <v>1387</v>
      </c>
      <c r="D717" s="2" t="s">
        <v>954</v>
      </c>
      <c r="E717" s="7">
        <v>691136</v>
      </c>
      <c r="F717" s="5">
        <v>3400755</v>
      </c>
    </row>
    <row r="718" spans="1:6" ht="20" x14ac:dyDescent="0.25">
      <c r="A718" s="5">
        <v>3400755</v>
      </c>
      <c r="B718" s="1">
        <v>2023</v>
      </c>
      <c r="C718" s="1" t="s">
        <v>1387</v>
      </c>
      <c r="D718" s="2" t="s">
        <v>954</v>
      </c>
      <c r="E718" s="7">
        <v>732580</v>
      </c>
      <c r="F718" s="5">
        <v>3400755</v>
      </c>
    </row>
    <row r="719" spans="1:6" x14ac:dyDescent="0.25">
      <c r="A719" s="5">
        <v>3400756</v>
      </c>
      <c r="B719" s="1">
        <v>2015</v>
      </c>
      <c r="C719" s="1" t="s">
        <v>1387</v>
      </c>
      <c r="D719" s="1" t="s">
        <v>302</v>
      </c>
      <c r="E719" s="8">
        <v>82681</v>
      </c>
      <c r="F719" s="5">
        <v>3400756</v>
      </c>
    </row>
    <row r="720" spans="1:6" x14ac:dyDescent="0.25">
      <c r="A720" s="5">
        <v>3400756</v>
      </c>
      <c r="B720" s="1">
        <v>2016</v>
      </c>
      <c r="C720" s="1" t="s">
        <v>1387</v>
      </c>
      <c r="D720" s="1" t="s">
        <v>302</v>
      </c>
      <c r="E720" s="8">
        <v>142079</v>
      </c>
      <c r="F720" s="5">
        <v>3400756</v>
      </c>
    </row>
    <row r="721" spans="1:6" x14ac:dyDescent="0.25">
      <c r="A721" s="5">
        <v>3400756</v>
      </c>
      <c r="B721" s="1">
        <v>2017</v>
      </c>
      <c r="C721" s="1" t="s">
        <v>1387</v>
      </c>
      <c r="D721" s="1" t="s">
        <v>302</v>
      </c>
      <c r="E721" s="8">
        <v>200949</v>
      </c>
      <c r="F721" s="5">
        <v>3400756</v>
      </c>
    </row>
    <row r="722" spans="1:6" x14ac:dyDescent="0.25">
      <c r="A722" s="5">
        <v>3400756</v>
      </c>
      <c r="B722" s="1">
        <v>2018</v>
      </c>
      <c r="C722" s="1" t="s">
        <v>1387</v>
      </c>
      <c r="D722" s="1" t="s">
        <v>993</v>
      </c>
      <c r="E722" s="8">
        <v>266089</v>
      </c>
      <c r="F722" s="5">
        <v>3400756</v>
      </c>
    </row>
    <row r="723" spans="1:6" x14ac:dyDescent="0.25">
      <c r="A723" s="5">
        <v>3400756</v>
      </c>
      <c r="B723" s="1">
        <v>2019</v>
      </c>
      <c r="C723" s="1" t="s">
        <v>1387</v>
      </c>
      <c r="D723" s="1" t="s">
        <v>993</v>
      </c>
      <c r="E723" s="8">
        <v>389557</v>
      </c>
      <c r="F723" s="5">
        <v>3400756</v>
      </c>
    </row>
    <row r="724" spans="1:6" ht="20" x14ac:dyDescent="0.25">
      <c r="A724" s="5">
        <v>3400756</v>
      </c>
      <c r="B724" s="1">
        <v>2020</v>
      </c>
      <c r="C724" s="1" t="s">
        <v>1387</v>
      </c>
      <c r="D724" s="2" t="s">
        <v>993</v>
      </c>
      <c r="E724" s="7">
        <v>423519</v>
      </c>
      <c r="F724" s="5">
        <v>3400756</v>
      </c>
    </row>
    <row r="725" spans="1:6" ht="20" x14ac:dyDescent="0.25">
      <c r="A725" s="5">
        <v>3400756</v>
      </c>
      <c r="B725" s="1">
        <v>2021</v>
      </c>
      <c r="C725" s="1" t="s">
        <v>1387</v>
      </c>
      <c r="D725" s="3" t="s">
        <v>993</v>
      </c>
      <c r="E725" s="7">
        <v>564173</v>
      </c>
      <c r="F725" s="5">
        <v>3400756</v>
      </c>
    </row>
    <row r="726" spans="1:6" ht="20" x14ac:dyDescent="0.25">
      <c r="A726" s="5">
        <v>3400756</v>
      </c>
      <c r="B726" s="1">
        <v>2022</v>
      </c>
      <c r="C726" s="1" t="s">
        <v>1387</v>
      </c>
      <c r="D726" s="2" t="s">
        <v>993</v>
      </c>
      <c r="E726" s="7">
        <v>709480</v>
      </c>
      <c r="F726" s="5">
        <v>3400756</v>
      </c>
    </row>
    <row r="727" spans="1:6" ht="20" x14ac:dyDescent="0.25">
      <c r="A727" s="5">
        <v>3400756</v>
      </c>
      <c r="B727" s="1">
        <v>2023</v>
      </c>
      <c r="C727" s="1" t="s">
        <v>1387</v>
      </c>
      <c r="D727" s="2" t="s">
        <v>993</v>
      </c>
      <c r="E727" s="7">
        <v>729443</v>
      </c>
      <c r="F727" s="5">
        <v>3400756</v>
      </c>
    </row>
    <row r="728" spans="1:6" x14ac:dyDescent="0.25">
      <c r="A728" s="5">
        <v>3400757</v>
      </c>
      <c r="B728" s="1">
        <v>2016</v>
      </c>
      <c r="C728" s="1" t="s">
        <v>1387</v>
      </c>
      <c r="D728" s="1" t="s">
        <v>670</v>
      </c>
      <c r="E728" s="8">
        <v>72405</v>
      </c>
      <c r="F728" s="5">
        <v>3400757</v>
      </c>
    </row>
    <row r="729" spans="1:6" x14ac:dyDescent="0.25">
      <c r="A729" s="5">
        <v>3400757</v>
      </c>
      <c r="B729" s="1">
        <v>2017</v>
      </c>
      <c r="C729" s="1" t="s">
        <v>1387</v>
      </c>
      <c r="D729" s="1" t="s">
        <v>670</v>
      </c>
      <c r="E729" s="8">
        <v>88765</v>
      </c>
      <c r="F729" s="5">
        <v>3400757</v>
      </c>
    </row>
    <row r="730" spans="1:6" x14ac:dyDescent="0.25">
      <c r="A730" s="5">
        <v>3400757</v>
      </c>
      <c r="B730" s="1">
        <v>2018</v>
      </c>
      <c r="C730" s="1" t="s">
        <v>1387</v>
      </c>
      <c r="D730" s="1" t="s">
        <v>949</v>
      </c>
      <c r="E730" s="8">
        <v>186068</v>
      </c>
      <c r="F730" s="5">
        <v>3400757</v>
      </c>
    </row>
    <row r="731" spans="1:6" x14ac:dyDescent="0.25">
      <c r="A731" s="5">
        <v>3400757</v>
      </c>
      <c r="B731" s="1">
        <v>2019</v>
      </c>
      <c r="C731" s="1" t="s">
        <v>1387</v>
      </c>
      <c r="D731" s="1" t="s">
        <v>949</v>
      </c>
      <c r="E731" s="8">
        <v>136863</v>
      </c>
      <c r="F731" s="5">
        <v>3400757</v>
      </c>
    </row>
    <row r="732" spans="1:6" x14ac:dyDescent="0.25">
      <c r="A732" s="5">
        <v>3400758</v>
      </c>
      <c r="B732" s="1">
        <v>2016</v>
      </c>
      <c r="C732" s="1" t="s">
        <v>1387</v>
      </c>
      <c r="D732" s="1" t="s">
        <v>669</v>
      </c>
      <c r="E732" s="8">
        <v>64225</v>
      </c>
      <c r="F732" s="5">
        <v>3400758</v>
      </c>
    </row>
    <row r="733" spans="1:6" x14ac:dyDescent="0.25">
      <c r="A733" s="5">
        <v>3400758</v>
      </c>
      <c r="B733" s="1">
        <v>2017</v>
      </c>
      <c r="C733" s="1" t="s">
        <v>1387</v>
      </c>
      <c r="D733" s="1" t="s">
        <v>669</v>
      </c>
      <c r="E733" s="8">
        <v>141880</v>
      </c>
      <c r="F733" s="5">
        <v>3400758</v>
      </c>
    </row>
    <row r="734" spans="1:6" x14ac:dyDescent="0.25">
      <c r="A734" s="5">
        <v>3400758</v>
      </c>
      <c r="B734" s="1">
        <v>2018</v>
      </c>
      <c r="C734" s="1" t="s">
        <v>1387</v>
      </c>
      <c r="D734" s="1" t="s">
        <v>943</v>
      </c>
      <c r="E734" s="8">
        <v>242815</v>
      </c>
      <c r="F734" s="5">
        <v>3400758</v>
      </c>
    </row>
    <row r="735" spans="1:6" x14ac:dyDescent="0.25">
      <c r="A735" s="5">
        <v>3400758</v>
      </c>
      <c r="B735" s="1">
        <v>2019</v>
      </c>
      <c r="C735" s="1" t="s">
        <v>1387</v>
      </c>
      <c r="D735" s="1" t="s">
        <v>943</v>
      </c>
      <c r="E735" s="8">
        <v>288538</v>
      </c>
      <c r="F735" s="5">
        <v>3400758</v>
      </c>
    </row>
    <row r="736" spans="1:6" x14ac:dyDescent="0.25">
      <c r="A736" s="5">
        <v>3400759</v>
      </c>
      <c r="B736" s="1">
        <v>2016</v>
      </c>
      <c r="C736" s="1" t="s">
        <v>1387</v>
      </c>
      <c r="D736" s="1" t="s">
        <v>671</v>
      </c>
      <c r="E736" s="8">
        <v>148240</v>
      </c>
      <c r="F736" s="5">
        <v>3400759</v>
      </c>
    </row>
    <row r="737" spans="1:6" x14ac:dyDescent="0.25">
      <c r="A737" s="5">
        <v>3400759</v>
      </c>
      <c r="B737" s="1">
        <v>2017</v>
      </c>
      <c r="C737" s="1" t="s">
        <v>1387</v>
      </c>
      <c r="D737" s="1" t="s">
        <v>671</v>
      </c>
      <c r="E737" s="8">
        <v>251092</v>
      </c>
      <c r="F737" s="5">
        <v>3400759</v>
      </c>
    </row>
    <row r="738" spans="1:6" x14ac:dyDescent="0.25">
      <c r="A738" s="5">
        <v>3400759</v>
      </c>
      <c r="B738" s="1">
        <v>2018</v>
      </c>
      <c r="C738" s="1" t="s">
        <v>1387</v>
      </c>
      <c r="D738" s="1" t="s">
        <v>992</v>
      </c>
      <c r="E738" s="8">
        <v>307561</v>
      </c>
      <c r="F738" s="5">
        <v>3400759</v>
      </c>
    </row>
    <row r="739" spans="1:6" x14ac:dyDescent="0.25">
      <c r="A739" s="5">
        <v>3400759</v>
      </c>
      <c r="B739" s="1">
        <v>2019</v>
      </c>
      <c r="C739" s="1" t="s">
        <v>1387</v>
      </c>
      <c r="D739" s="1" t="s">
        <v>992</v>
      </c>
      <c r="E739" s="8">
        <v>534632</v>
      </c>
      <c r="F739" s="5">
        <v>3400759</v>
      </c>
    </row>
    <row r="740" spans="1:6" ht="20" x14ac:dyDescent="0.25">
      <c r="A740" s="5">
        <v>3400759</v>
      </c>
      <c r="B740" s="1">
        <v>2020</v>
      </c>
      <c r="C740" s="1" t="s">
        <v>1387</v>
      </c>
      <c r="D740" s="2" t="s">
        <v>992</v>
      </c>
      <c r="E740" s="7">
        <v>748118</v>
      </c>
      <c r="F740" s="5">
        <v>3400759</v>
      </c>
    </row>
    <row r="741" spans="1:6" ht="20" x14ac:dyDescent="0.25">
      <c r="A741" s="5">
        <v>3400759</v>
      </c>
      <c r="B741" s="1">
        <v>2021</v>
      </c>
      <c r="C741" s="1" t="s">
        <v>1387</v>
      </c>
      <c r="D741" s="3" t="s">
        <v>992</v>
      </c>
      <c r="E741" s="7">
        <v>1227705</v>
      </c>
      <c r="F741" s="5">
        <v>3400759</v>
      </c>
    </row>
    <row r="742" spans="1:6" ht="20" x14ac:dyDescent="0.25">
      <c r="A742" s="5">
        <v>3400759</v>
      </c>
      <c r="B742" s="1">
        <v>2022</v>
      </c>
      <c r="C742" s="1" t="s">
        <v>1387</v>
      </c>
      <c r="D742" s="2" t="s">
        <v>992</v>
      </c>
      <c r="E742" s="7">
        <v>2184718</v>
      </c>
      <c r="F742" s="5">
        <v>3400759</v>
      </c>
    </row>
    <row r="743" spans="1:6" ht="20" x14ac:dyDescent="0.25">
      <c r="A743" s="5">
        <v>3400759</v>
      </c>
      <c r="B743" s="1">
        <v>2023</v>
      </c>
      <c r="C743" s="1" t="s">
        <v>1387</v>
      </c>
      <c r="D743" s="2" t="s">
        <v>992</v>
      </c>
      <c r="E743" s="7">
        <v>2696563</v>
      </c>
      <c r="F743" s="5">
        <v>3400759</v>
      </c>
    </row>
    <row r="744" spans="1:6" x14ac:dyDescent="0.25">
      <c r="A744" s="5">
        <v>3400760</v>
      </c>
      <c r="B744" s="1">
        <v>2016</v>
      </c>
      <c r="C744" s="1" t="s">
        <v>1387</v>
      </c>
      <c r="D744" s="1" t="s">
        <v>668</v>
      </c>
      <c r="E744" s="8">
        <v>24189</v>
      </c>
      <c r="F744" s="5">
        <v>3400760</v>
      </c>
    </row>
    <row r="745" spans="1:6" x14ac:dyDescent="0.25">
      <c r="A745" s="5">
        <v>3400760</v>
      </c>
      <c r="B745" s="1">
        <v>2017</v>
      </c>
      <c r="C745" s="1" t="s">
        <v>1387</v>
      </c>
      <c r="D745" s="1" t="s">
        <v>668</v>
      </c>
      <c r="E745" s="8">
        <v>93162</v>
      </c>
      <c r="F745" s="5">
        <v>3400760</v>
      </c>
    </row>
    <row r="746" spans="1:6" x14ac:dyDescent="0.25">
      <c r="A746" s="5">
        <v>3400760</v>
      </c>
      <c r="B746" s="1">
        <v>2018</v>
      </c>
      <c r="C746" s="1" t="s">
        <v>1387</v>
      </c>
      <c r="D746" s="1" t="s">
        <v>936</v>
      </c>
      <c r="E746" s="8">
        <v>148176</v>
      </c>
      <c r="F746" s="5">
        <v>3400760</v>
      </c>
    </row>
    <row r="747" spans="1:6" x14ac:dyDescent="0.25">
      <c r="A747" s="5">
        <v>3400760</v>
      </c>
      <c r="B747" s="1">
        <v>2019</v>
      </c>
      <c r="C747" s="1" t="s">
        <v>1387</v>
      </c>
      <c r="D747" s="1" t="s">
        <v>936</v>
      </c>
      <c r="E747" s="8">
        <v>314029</v>
      </c>
      <c r="F747" s="5">
        <v>3400760</v>
      </c>
    </row>
    <row r="748" spans="1:6" x14ac:dyDescent="0.25">
      <c r="A748" s="5">
        <v>3400761</v>
      </c>
      <c r="B748" s="1">
        <v>2016</v>
      </c>
      <c r="C748" s="1" t="s">
        <v>1387</v>
      </c>
      <c r="D748" s="1" t="s">
        <v>667</v>
      </c>
      <c r="E748" s="8">
        <v>125046</v>
      </c>
      <c r="F748" s="5">
        <v>3400761</v>
      </c>
    </row>
    <row r="749" spans="1:6" x14ac:dyDescent="0.25">
      <c r="A749" s="5">
        <v>3400761</v>
      </c>
      <c r="B749" s="1">
        <v>2017</v>
      </c>
      <c r="C749" s="1" t="s">
        <v>1387</v>
      </c>
      <c r="D749" s="1" t="s">
        <v>667</v>
      </c>
      <c r="E749" s="8">
        <v>80344</v>
      </c>
      <c r="F749" s="5">
        <v>3400761</v>
      </c>
    </row>
    <row r="750" spans="1:6" x14ac:dyDescent="0.25">
      <c r="A750" s="5">
        <v>3400761</v>
      </c>
      <c r="B750" s="1">
        <v>2018</v>
      </c>
      <c r="C750" s="1" t="s">
        <v>1387</v>
      </c>
      <c r="D750" s="1" t="s">
        <v>845</v>
      </c>
      <c r="E750" s="8">
        <v>64474</v>
      </c>
      <c r="F750" s="5">
        <v>3400761</v>
      </c>
    </row>
    <row r="751" spans="1:6" x14ac:dyDescent="0.25">
      <c r="A751" s="5">
        <v>3400762</v>
      </c>
      <c r="B751" s="1">
        <v>2015</v>
      </c>
      <c r="C751" s="1" t="s">
        <v>1387</v>
      </c>
      <c r="D751" s="1" t="s">
        <v>176</v>
      </c>
      <c r="E751" s="8">
        <v>8206</v>
      </c>
      <c r="F751" s="5">
        <v>3400762</v>
      </c>
    </row>
    <row r="752" spans="1:6" x14ac:dyDescent="0.25">
      <c r="A752" s="5">
        <v>3400762</v>
      </c>
      <c r="B752" s="1">
        <v>2016</v>
      </c>
      <c r="C752" s="1" t="s">
        <v>1387</v>
      </c>
      <c r="D752" s="1" t="s">
        <v>176</v>
      </c>
      <c r="E752" s="8">
        <v>119346</v>
      </c>
      <c r="F752" s="5">
        <v>3400762</v>
      </c>
    </row>
    <row r="753" spans="1:6" x14ac:dyDescent="0.25">
      <c r="A753" s="5">
        <v>3400762</v>
      </c>
      <c r="B753" s="1">
        <v>2017</v>
      </c>
      <c r="C753" s="1" t="s">
        <v>1387</v>
      </c>
      <c r="D753" s="1" t="s">
        <v>176</v>
      </c>
      <c r="E753" s="8">
        <v>183441</v>
      </c>
      <c r="F753" s="5">
        <v>3400762</v>
      </c>
    </row>
    <row r="754" spans="1:6" x14ac:dyDescent="0.25">
      <c r="A754" s="5">
        <v>3400762</v>
      </c>
      <c r="B754" s="1">
        <v>2018</v>
      </c>
      <c r="C754" s="1" t="s">
        <v>1387</v>
      </c>
      <c r="D754" s="1" t="s">
        <v>859</v>
      </c>
      <c r="E754" s="8">
        <v>259487</v>
      </c>
      <c r="F754" s="5">
        <v>3400762</v>
      </c>
    </row>
    <row r="755" spans="1:6" x14ac:dyDescent="0.25">
      <c r="A755" s="5">
        <v>3400763</v>
      </c>
      <c r="B755" s="1">
        <v>2017</v>
      </c>
      <c r="C755" s="1" t="s">
        <v>1387</v>
      </c>
      <c r="D755" s="1" t="s">
        <v>675</v>
      </c>
      <c r="E755" s="8">
        <v>72776</v>
      </c>
      <c r="F755" s="5">
        <v>3400763</v>
      </c>
    </row>
    <row r="756" spans="1:6" x14ac:dyDescent="0.25">
      <c r="A756" s="5">
        <v>3400763</v>
      </c>
      <c r="B756" s="1">
        <v>2018</v>
      </c>
      <c r="C756" s="1" t="s">
        <v>1387</v>
      </c>
      <c r="D756" s="1" t="s">
        <v>858</v>
      </c>
      <c r="E756" s="8">
        <v>169369</v>
      </c>
      <c r="F756" s="5">
        <v>3400763</v>
      </c>
    </row>
    <row r="757" spans="1:6" x14ac:dyDescent="0.25">
      <c r="A757" s="5">
        <v>3400763</v>
      </c>
      <c r="B757" s="1">
        <v>2019</v>
      </c>
      <c r="C757" s="1" t="s">
        <v>1387</v>
      </c>
      <c r="D757" s="1" t="s">
        <v>858</v>
      </c>
      <c r="E757" s="8">
        <v>207587</v>
      </c>
      <c r="F757" s="5">
        <v>3400763</v>
      </c>
    </row>
    <row r="758" spans="1:6" ht="20" x14ac:dyDescent="0.25">
      <c r="A758" s="5">
        <v>3400763</v>
      </c>
      <c r="B758" s="1">
        <v>2020</v>
      </c>
      <c r="C758" s="1" t="s">
        <v>1387</v>
      </c>
      <c r="D758" s="2" t="s">
        <v>858</v>
      </c>
      <c r="E758" s="7">
        <v>229556</v>
      </c>
      <c r="F758" s="5">
        <v>3400763</v>
      </c>
    </row>
    <row r="759" spans="1:6" ht="20" x14ac:dyDescent="0.25">
      <c r="A759" s="5">
        <v>3400763</v>
      </c>
      <c r="B759" s="1">
        <v>2021</v>
      </c>
      <c r="C759" s="1" t="s">
        <v>1387</v>
      </c>
      <c r="D759" s="3" t="s">
        <v>858</v>
      </c>
      <c r="E759" s="7">
        <v>271044</v>
      </c>
      <c r="F759" s="5">
        <v>3400763</v>
      </c>
    </row>
    <row r="760" spans="1:6" ht="20" x14ac:dyDescent="0.25">
      <c r="A760" s="5">
        <v>3400763</v>
      </c>
      <c r="B760" s="1">
        <v>2022</v>
      </c>
      <c r="C760" s="1" t="s">
        <v>1387</v>
      </c>
      <c r="D760" s="2" t="s">
        <v>858</v>
      </c>
      <c r="E760" s="7">
        <v>360372</v>
      </c>
      <c r="F760" s="5">
        <v>3400763</v>
      </c>
    </row>
    <row r="761" spans="1:6" ht="20" x14ac:dyDescent="0.25">
      <c r="A761" s="5">
        <v>3400763</v>
      </c>
      <c r="B761" s="1">
        <v>2023</v>
      </c>
      <c r="C761" s="1" t="s">
        <v>1387</v>
      </c>
      <c r="D761" s="2" t="s">
        <v>858</v>
      </c>
      <c r="E761" s="7">
        <v>352713</v>
      </c>
      <c r="F761" s="5">
        <v>3400763</v>
      </c>
    </row>
    <row r="762" spans="1:6" x14ac:dyDescent="0.25">
      <c r="A762" s="5">
        <v>3400765</v>
      </c>
      <c r="B762" s="1">
        <v>2016</v>
      </c>
      <c r="C762" s="1" t="s">
        <v>1387</v>
      </c>
      <c r="D762" s="1" t="s">
        <v>665</v>
      </c>
      <c r="E762" s="8">
        <v>78828</v>
      </c>
      <c r="F762" s="5">
        <v>3400765</v>
      </c>
    </row>
    <row r="763" spans="1:6" x14ac:dyDescent="0.25">
      <c r="A763" s="5">
        <v>3400765</v>
      </c>
      <c r="B763" s="1">
        <v>2017</v>
      </c>
      <c r="C763" s="1" t="s">
        <v>1387</v>
      </c>
      <c r="D763" s="1" t="s">
        <v>665</v>
      </c>
      <c r="E763" s="8">
        <v>210518</v>
      </c>
      <c r="F763" s="5">
        <v>3400765</v>
      </c>
    </row>
    <row r="764" spans="1:6" x14ac:dyDescent="0.25">
      <c r="A764" s="5">
        <v>3400765</v>
      </c>
      <c r="B764" s="1">
        <v>2018</v>
      </c>
      <c r="C764" s="1" t="s">
        <v>1387</v>
      </c>
      <c r="D764" s="1" t="s">
        <v>760</v>
      </c>
      <c r="E764" s="8">
        <v>312872</v>
      </c>
      <c r="F764" s="5">
        <v>3400765</v>
      </c>
    </row>
    <row r="765" spans="1:6" x14ac:dyDescent="0.25">
      <c r="A765" s="5">
        <v>3400765</v>
      </c>
      <c r="B765" s="1">
        <v>2019</v>
      </c>
      <c r="C765" s="1" t="s">
        <v>1387</v>
      </c>
      <c r="D765" s="1" t="s">
        <v>760</v>
      </c>
      <c r="E765" s="8">
        <v>453133</v>
      </c>
      <c r="F765" s="5">
        <v>3400765</v>
      </c>
    </row>
    <row r="766" spans="1:6" ht="20" x14ac:dyDescent="0.25">
      <c r="A766" s="5">
        <v>3400765</v>
      </c>
      <c r="B766" s="1">
        <v>2020</v>
      </c>
      <c r="C766" s="1" t="s">
        <v>1387</v>
      </c>
      <c r="D766" s="2" t="s">
        <v>760</v>
      </c>
      <c r="E766" s="7">
        <v>565698</v>
      </c>
      <c r="F766" s="5">
        <v>3400765</v>
      </c>
    </row>
    <row r="767" spans="1:6" ht="20" x14ac:dyDescent="0.25">
      <c r="A767" s="5">
        <v>3400765</v>
      </c>
      <c r="B767" s="1">
        <v>2021</v>
      </c>
      <c r="C767" s="1" t="s">
        <v>1387</v>
      </c>
      <c r="D767" s="3" t="s">
        <v>760</v>
      </c>
      <c r="E767" s="7">
        <v>828936</v>
      </c>
      <c r="F767" s="5">
        <v>3400765</v>
      </c>
    </row>
    <row r="768" spans="1:6" ht="20" x14ac:dyDescent="0.25">
      <c r="A768" s="5">
        <v>3400765</v>
      </c>
      <c r="B768" s="1">
        <v>2022</v>
      </c>
      <c r="C768" s="1" t="s">
        <v>1387</v>
      </c>
      <c r="D768" s="2" t="s">
        <v>760</v>
      </c>
      <c r="E768" s="7">
        <v>1538964</v>
      </c>
      <c r="F768" s="5">
        <v>3400765</v>
      </c>
    </row>
    <row r="769" spans="1:6" ht="20" x14ac:dyDescent="0.25">
      <c r="A769" s="5">
        <v>3400765</v>
      </c>
      <c r="B769" s="1">
        <v>2023</v>
      </c>
      <c r="C769" s="1" t="s">
        <v>1387</v>
      </c>
      <c r="D769" s="2" t="s">
        <v>760</v>
      </c>
      <c r="E769" s="7">
        <v>1604537</v>
      </c>
      <c r="F769" s="5">
        <v>3400765</v>
      </c>
    </row>
    <row r="770" spans="1:6" x14ac:dyDescent="0.25">
      <c r="A770" s="5">
        <v>3400766</v>
      </c>
      <c r="B770" s="1">
        <v>2017</v>
      </c>
      <c r="C770" s="1" t="s">
        <v>1387</v>
      </c>
      <c r="D770" s="1" t="s">
        <v>676</v>
      </c>
      <c r="E770" s="8">
        <v>59191</v>
      </c>
      <c r="F770" s="5">
        <v>3400766</v>
      </c>
    </row>
    <row r="771" spans="1:6" x14ac:dyDescent="0.25">
      <c r="A771" s="5">
        <v>3400766</v>
      </c>
      <c r="B771" s="1">
        <v>2018</v>
      </c>
      <c r="C771" s="1" t="s">
        <v>1387</v>
      </c>
      <c r="D771" s="1" t="s">
        <v>899</v>
      </c>
      <c r="E771" s="8">
        <v>102559</v>
      </c>
      <c r="F771" s="5">
        <v>3400766</v>
      </c>
    </row>
    <row r="772" spans="1:6" x14ac:dyDescent="0.25">
      <c r="A772" s="5">
        <v>3400766</v>
      </c>
      <c r="B772" s="1">
        <v>2019</v>
      </c>
      <c r="C772" s="1" t="s">
        <v>1387</v>
      </c>
      <c r="D772" s="1" t="s">
        <v>899</v>
      </c>
      <c r="E772" s="8">
        <v>150584</v>
      </c>
      <c r="F772" s="5">
        <v>3400766</v>
      </c>
    </row>
    <row r="773" spans="1:6" ht="20" x14ac:dyDescent="0.25">
      <c r="A773" s="5">
        <v>3400766</v>
      </c>
      <c r="B773" s="1">
        <v>2020</v>
      </c>
      <c r="C773" s="1" t="s">
        <v>1387</v>
      </c>
      <c r="D773" s="2" t="s">
        <v>899</v>
      </c>
      <c r="E773" s="7">
        <v>179396</v>
      </c>
      <c r="F773" s="5">
        <v>3400766</v>
      </c>
    </row>
    <row r="774" spans="1:6" ht="20" x14ac:dyDescent="0.25">
      <c r="A774" s="5">
        <v>3400766</v>
      </c>
      <c r="B774" s="1">
        <v>2021</v>
      </c>
      <c r="C774" s="1" t="s">
        <v>1387</v>
      </c>
      <c r="D774" s="3" t="s">
        <v>899</v>
      </c>
      <c r="E774" s="7">
        <v>257239</v>
      </c>
      <c r="F774" s="5">
        <v>3400766</v>
      </c>
    </row>
    <row r="775" spans="1:6" ht="20" x14ac:dyDescent="0.25">
      <c r="A775" s="5">
        <v>3400766</v>
      </c>
      <c r="B775" s="1">
        <v>2022</v>
      </c>
      <c r="C775" s="1" t="s">
        <v>1387</v>
      </c>
      <c r="D775" s="2" t="s">
        <v>899</v>
      </c>
      <c r="E775" s="7">
        <v>403912</v>
      </c>
      <c r="F775" s="5">
        <v>3400766</v>
      </c>
    </row>
    <row r="776" spans="1:6" ht="20" x14ac:dyDescent="0.25">
      <c r="A776" s="5">
        <v>3400766</v>
      </c>
      <c r="B776" s="1">
        <v>2023</v>
      </c>
      <c r="C776" s="1" t="s">
        <v>1387</v>
      </c>
      <c r="D776" s="2" t="s">
        <v>899</v>
      </c>
      <c r="E776" s="7">
        <v>310222</v>
      </c>
      <c r="F776" s="5">
        <v>3400766</v>
      </c>
    </row>
    <row r="777" spans="1:6" x14ac:dyDescent="0.25">
      <c r="A777" s="5">
        <v>3400767</v>
      </c>
      <c r="B777" s="1">
        <v>2017</v>
      </c>
      <c r="C777" s="1" t="s">
        <v>1387</v>
      </c>
      <c r="D777" s="1" t="s">
        <v>677</v>
      </c>
      <c r="E777" s="8">
        <v>24650</v>
      </c>
      <c r="F777" s="5">
        <v>3400767</v>
      </c>
    </row>
    <row r="778" spans="1:6" x14ac:dyDescent="0.25">
      <c r="A778" s="5">
        <v>3400767</v>
      </c>
      <c r="B778" s="1">
        <v>2018</v>
      </c>
      <c r="C778" s="1" t="s">
        <v>1387</v>
      </c>
      <c r="D778" s="1" t="s">
        <v>1005</v>
      </c>
      <c r="E778" s="8">
        <v>153544</v>
      </c>
      <c r="F778" s="5">
        <v>3400767</v>
      </c>
    </row>
    <row r="779" spans="1:6" x14ac:dyDescent="0.25">
      <c r="A779" s="5">
        <v>3400767</v>
      </c>
      <c r="B779" s="1">
        <v>2019</v>
      </c>
      <c r="C779" s="1" t="s">
        <v>1387</v>
      </c>
      <c r="D779" s="1" t="s">
        <v>1005</v>
      </c>
      <c r="E779" s="8">
        <v>264578</v>
      </c>
      <c r="F779" s="5">
        <v>3400767</v>
      </c>
    </row>
    <row r="780" spans="1:6" ht="20" x14ac:dyDescent="0.25">
      <c r="A780" s="5">
        <v>3400767</v>
      </c>
      <c r="B780" s="1">
        <v>2020</v>
      </c>
      <c r="C780" s="1" t="s">
        <v>1387</v>
      </c>
      <c r="D780" s="2" t="s">
        <v>1005</v>
      </c>
      <c r="E780" s="7">
        <v>340320</v>
      </c>
      <c r="F780" s="5">
        <v>3400767</v>
      </c>
    </row>
    <row r="781" spans="1:6" ht="20" x14ac:dyDescent="0.25">
      <c r="A781" s="5">
        <v>3400767</v>
      </c>
      <c r="B781" s="1">
        <v>2021</v>
      </c>
      <c r="C781" s="1" t="s">
        <v>1387</v>
      </c>
      <c r="D781" s="3" t="s">
        <v>1005</v>
      </c>
      <c r="E781" s="7">
        <v>435378</v>
      </c>
      <c r="F781" s="5">
        <v>3400767</v>
      </c>
    </row>
    <row r="782" spans="1:6" ht="20" x14ac:dyDescent="0.25">
      <c r="A782" s="5">
        <v>3400767</v>
      </c>
      <c r="B782" s="1">
        <v>2022</v>
      </c>
      <c r="C782" s="1" t="s">
        <v>1387</v>
      </c>
      <c r="D782" s="2" t="s">
        <v>1005</v>
      </c>
      <c r="E782" s="7">
        <v>635685</v>
      </c>
      <c r="F782" s="5">
        <v>3400767</v>
      </c>
    </row>
    <row r="783" spans="1:6" ht="20" x14ac:dyDescent="0.25">
      <c r="A783" s="5">
        <v>3400767</v>
      </c>
      <c r="B783" s="1">
        <v>2023</v>
      </c>
      <c r="C783" s="1" t="s">
        <v>1387</v>
      </c>
      <c r="D783" s="2" t="s">
        <v>1005</v>
      </c>
      <c r="E783" s="7">
        <v>658816</v>
      </c>
      <c r="F783" s="5">
        <v>3400767</v>
      </c>
    </row>
    <row r="784" spans="1:6" x14ac:dyDescent="0.25">
      <c r="A784" s="5">
        <v>3400768</v>
      </c>
      <c r="B784" s="1">
        <v>2017</v>
      </c>
      <c r="C784" s="1" t="s">
        <v>1387</v>
      </c>
      <c r="D784" s="1" t="s">
        <v>674</v>
      </c>
      <c r="E784" s="8">
        <v>177016</v>
      </c>
      <c r="F784" s="5">
        <v>3400768</v>
      </c>
    </row>
    <row r="785" spans="1:6" x14ac:dyDescent="0.25">
      <c r="A785" s="5">
        <v>3400768</v>
      </c>
      <c r="B785" s="1">
        <v>2018</v>
      </c>
      <c r="C785" s="1" t="s">
        <v>1387</v>
      </c>
      <c r="D785" s="1" t="s">
        <v>840</v>
      </c>
      <c r="E785" s="8">
        <v>466814</v>
      </c>
      <c r="F785" s="5">
        <v>3400768</v>
      </c>
    </row>
    <row r="786" spans="1:6" x14ac:dyDescent="0.25">
      <c r="A786" s="5">
        <v>3400768</v>
      </c>
      <c r="B786" s="1">
        <v>2019</v>
      </c>
      <c r="C786" s="1" t="s">
        <v>1387</v>
      </c>
      <c r="D786" s="1" t="s">
        <v>840</v>
      </c>
      <c r="E786" s="8">
        <v>642718</v>
      </c>
      <c r="F786" s="5">
        <v>3400768</v>
      </c>
    </row>
    <row r="787" spans="1:6" x14ac:dyDescent="0.25">
      <c r="A787" s="5">
        <v>3400769</v>
      </c>
      <c r="B787" s="1">
        <v>2015</v>
      </c>
      <c r="C787" s="1" t="s">
        <v>1387</v>
      </c>
      <c r="D787" s="1" t="s">
        <v>350</v>
      </c>
      <c r="E787" s="8">
        <v>202579</v>
      </c>
      <c r="F787" s="5">
        <v>3400769</v>
      </c>
    </row>
    <row r="788" spans="1:6" x14ac:dyDescent="0.25">
      <c r="A788" s="5">
        <v>3400769</v>
      </c>
      <c r="B788" s="1">
        <v>2016</v>
      </c>
      <c r="C788" s="1" t="s">
        <v>1387</v>
      </c>
      <c r="D788" s="1" t="s">
        <v>350</v>
      </c>
      <c r="E788" s="8">
        <v>304932</v>
      </c>
      <c r="F788" s="5">
        <v>3400769</v>
      </c>
    </row>
    <row r="789" spans="1:6" x14ac:dyDescent="0.25">
      <c r="A789" s="5">
        <v>3400769</v>
      </c>
      <c r="B789" s="1">
        <v>2017</v>
      </c>
      <c r="C789" s="1" t="s">
        <v>1387</v>
      </c>
      <c r="D789" s="1" t="s">
        <v>350</v>
      </c>
      <c r="E789" s="8">
        <v>476005</v>
      </c>
      <c r="F789" s="5">
        <v>3400769</v>
      </c>
    </row>
    <row r="790" spans="1:6" x14ac:dyDescent="0.25">
      <c r="A790" s="5">
        <v>3400769</v>
      </c>
      <c r="B790" s="1">
        <v>2018</v>
      </c>
      <c r="C790" s="1" t="s">
        <v>1387</v>
      </c>
      <c r="D790" s="1" t="s">
        <v>1042</v>
      </c>
      <c r="E790" s="8">
        <v>1233155</v>
      </c>
      <c r="F790" s="5">
        <v>3400769</v>
      </c>
    </row>
    <row r="791" spans="1:6" x14ac:dyDescent="0.25">
      <c r="A791" s="5">
        <v>3400769</v>
      </c>
      <c r="B791" s="1">
        <v>2019</v>
      </c>
      <c r="C791" s="1" t="s">
        <v>1387</v>
      </c>
      <c r="D791" s="1" t="s">
        <v>1042</v>
      </c>
      <c r="E791" s="8">
        <v>1688479</v>
      </c>
      <c r="F791" s="5">
        <v>3400769</v>
      </c>
    </row>
    <row r="792" spans="1:6" ht="20" x14ac:dyDescent="0.25">
      <c r="A792" s="5">
        <v>3400769</v>
      </c>
      <c r="B792" s="1">
        <v>2020</v>
      </c>
      <c r="C792" s="1" t="s">
        <v>1387</v>
      </c>
      <c r="D792" s="2" t="s">
        <v>1042</v>
      </c>
      <c r="E792" s="7">
        <v>1903190</v>
      </c>
      <c r="F792" s="5">
        <v>3400769</v>
      </c>
    </row>
    <row r="793" spans="1:6" ht="20" x14ac:dyDescent="0.25">
      <c r="A793" s="5">
        <v>3400769</v>
      </c>
      <c r="B793" s="1">
        <v>2021</v>
      </c>
      <c r="C793" s="1" t="s">
        <v>1387</v>
      </c>
      <c r="D793" s="3" t="s">
        <v>1042</v>
      </c>
      <c r="E793" s="7">
        <v>2494361</v>
      </c>
      <c r="F793" s="5">
        <v>3400769</v>
      </c>
    </row>
    <row r="794" spans="1:6" ht="20" x14ac:dyDescent="0.25">
      <c r="A794" s="5">
        <v>3400769</v>
      </c>
      <c r="B794" s="1">
        <v>2022</v>
      </c>
      <c r="C794" s="1" t="s">
        <v>1387</v>
      </c>
      <c r="D794" s="2" t="s">
        <v>1042</v>
      </c>
      <c r="E794" s="7">
        <v>3579568</v>
      </c>
      <c r="F794" s="5">
        <v>3400769</v>
      </c>
    </row>
    <row r="795" spans="1:6" ht="20" x14ac:dyDescent="0.25">
      <c r="A795" s="5">
        <v>3400769</v>
      </c>
      <c r="B795" s="1">
        <v>2023</v>
      </c>
      <c r="C795" s="1" t="s">
        <v>1387</v>
      </c>
      <c r="D795" s="2" t="s">
        <v>1042</v>
      </c>
      <c r="E795" s="7">
        <v>3777593</v>
      </c>
      <c r="F795" s="5">
        <v>3400769</v>
      </c>
    </row>
    <row r="796" spans="1:6" x14ac:dyDescent="0.25">
      <c r="A796" s="5">
        <v>3400770</v>
      </c>
      <c r="B796" s="1">
        <v>2018</v>
      </c>
      <c r="C796" s="1" t="s">
        <v>1387</v>
      </c>
      <c r="D796" s="1" t="s">
        <v>1061</v>
      </c>
      <c r="E796" s="8">
        <v>184396</v>
      </c>
      <c r="F796" s="5">
        <v>3400770</v>
      </c>
    </row>
    <row r="797" spans="1:6" x14ac:dyDescent="0.25">
      <c r="A797" s="5">
        <v>3400770</v>
      </c>
      <c r="B797" s="1">
        <v>2019</v>
      </c>
      <c r="C797" s="1" t="s">
        <v>1387</v>
      </c>
      <c r="D797" s="1" t="s">
        <v>1061</v>
      </c>
      <c r="E797" s="8">
        <v>320901</v>
      </c>
      <c r="F797" s="5">
        <v>3400770</v>
      </c>
    </row>
    <row r="798" spans="1:6" ht="20" x14ac:dyDescent="0.25">
      <c r="A798" s="5">
        <v>3400770</v>
      </c>
      <c r="B798" s="1">
        <v>2020</v>
      </c>
      <c r="C798" s="1" t="s">
        <v>1387</v>
      </c>
      <c r="D798" s="2" t="s">
        <v>1061</v>
      </c>
      <c r="E798" s="7">
        <v>512706</v>
      </c>
      <c r="F798" s="5">
        <v>3400770</v>
      </c>
    </row>
    <row r="799" spans="1:6" ht="20" x14ac:dyDescent="0.25">
      <c r="A799" s="5">
        <v>3400770</v>
      </c>
      <c r="B799" s="1">
        <v>2021</v>
      </c>
      <c r="C799" s="1" t="s">
        <v>1387</v>
      </c>
      <c r="D799" s="3" t="s">
        <v>1061</v>
      </c>
      <c r="E799" s="7">
        <v>926523</v>
      </c>
      <c r="F799" s="5">
        <v>3400770</v>
      </c>
    </row>
    <row r="800" spans="1:6" ht="20" x14ac:dyDescent="0.25">
      <c r="A800" s="5">
        <v>3400770</v>
      </c>
      <c r="B800" s="1">
        <v>2022</v>
      </c>
      <c r="C800" s="1" t="s">
        <v>1387</v>
      </c>
      <c r="D800" s="2" t="s">
        <v>1061</v>
      </c>
      <c r="E800" s="7">
        <v>1198392</v>
      </c>
      <c r="F800" s="5">
        <v>3400770</v>
      </c>
    </row>
    <row r="801" spans="1:6" ht="20" x14ac:dyDescent="0.25">
      <c r="A801" s="5">
        <v>3400770</v>
      </c>
      <c r="B801" s="1">
        <v>2023</v>
      </c>
      <c r="C801" s="1" t="s">
        <v>1387</v>
      </c>
      <c r="D801" s="2" t="s">
        <v>1061</v>
      </c>
      <c r="E801" s="7">
        <v>1159605</v>
      </c>
      <c r="F801" s="5">
        <v>3400770</v>
      </c>
    </row>
    <row r="802" spans="1:6" x14ac:dyDescent="0.25">
      <c r="A802" s="5">
        <v>3400771</v>
      </c>
      <c r="B802" s="1">
        <v>2018</v>
      </c>
      <c r="C802" s="1" t="s">
        <v>1387</v>
      </c>
      <c r="D802" s="1" t="s">
        <v>681</v>
      </c>
      <c r="E802" s="8">
        <v>123744</v>
      </c>
      <c r="F802" s="5">
        <v>3400771</v>
      </c>
    </row>
    <row r="803" spans="1:6" x14ac:dyDescent="0.25">
      <c r="A803" s="5">
        <v>3400771</v>
      </c>
      <c r="B803" s="1">
        <v>2019</v>
      </c>
      <c r="C803" s="1" t="s">
        <v>1387</v>
      </c>
      <c r="D803" s="1" t="s">
        <v>681</v>
      </c>
      <c r="E803" s="8">
        <v>289634</v>
      </c>
      <c r="F803" s="5">
        <v>3400771</v>
      </c>
    </row>
    <row r="804" spans="1:6" ht="20" x14ac:dyDescent="0.25">
      <c r="A804" s="5">
        <v>3400771</v>
      </c>
      <c r="B804" s="1">
        <v>2020</v>
      </c>
      <c r="C804" s="1" t="s">
        <v>1387</v>
      </c>
      <c r="D804" s="2" t="s">
        <v>681</v>
      </c>
      <c r="E804" s="7">
        <v>422465</v>
      </c>
      <c r="F804" s="5">
        <v>3400771</v>
      </c>
    </row>
    <row r="805" spans="1:6" ht="20" x14ac:dyDescent="0.25">
      <c r="A805" s="5">
        <v>3400771</v>
      </c>
      <c r="B805" s="1">
        <v>2021</v>
      </c>
      <c r="C805" s="1" t="s">
        <v>1387</v>
      </c>
      <c r="D805" s="3" t="s">
        <v>681</v>
      </c>
      <c r="E805" s="7">
        <v>564419</v>
      </c>
      <c r="F805" s="5">
        <v>3400771</v>
      </c>
    </row>
    <row r="806" spans="1:6" ht="20" x14ac:dyDescent="0.25">
      <c r="A806" s="5">
        <v>3400771</v>
      </c>
      <c r="B806" s="1">
        <v>2022</v>
      </c>
      <c r="C806" s="1" t="s">
        <v>1387</v>
      </c>
      <c r="D806" s="2" t="s">
        <v>681</v>
      </c>
      <c r="E806" s="7">
        <v>730510</v>
      </c>
      <c r="F806" s="5">
        <v>3400771</v>
      </c>
    </row>
    <row r="807" spans="1:6" ht="20" x14ac:dyDescent="0.25">
      <c r="A807" s="5">
        <v>3400771</v>
      </c>
      <c r="B807" s="1">
        <v>2023</v>
      </c>
      <c r="C807" s="1" t="s">
        <v>1387</v>
      </c>
      <c r="D807" s="2" t="s">
        <v>681</v>
      </c>
      <c r="E807" s="7">
        <v>942950</v>
      </c>
      <c r="F807" s="5">
        <v>3400771</v>
      </c>
    </row>
    <row r="808" spans="1:6" ht="20" x14ac:dyDescent="0.25">
      <c r="A808" s="5">
        <v>3400772</v>
      </c>
      <c r="B808" s="1">
        <v>2023</v>
      </c>
      <c r="C808" s="1" t="s">
        <v>1387</v>
      </c>
      <c r="D808" s="2" t="s">
        <v>1381</v>
      </c>
      <c r="E808" s="7">
        <v>4946318</v>
      </c>
      <c r="F808" s="5">
        <v>3400772</v>
      </c>
    </row>
    <row r="809" spans="1:6" x14ac:dyDescent="0.25">
      <c r="A809" s="5">
        <v>3400773</v>
      </c>
      <c r="B809" s="1">
        <v>2018</v>
      </c>
      <c r="C809" s="1" t="s">
        <v>1387</v>
      </c>
      <c r="D809" s="1" t="s">
        <v>932</v>
      </c>
      <c r="E809" s="8">
        <v>252808</v>
      </c>
      <c r="F809" s="5">
        <v>3400773</v>
      </c>
    </row>
    <row r="810" spans="1:6" x14ac:dyDescent="0.25">
      <c r="A810" s="5">
        <v>3400773</v>
      </c>
      <c r="B810" s="1">
        <v>2019</v>
      </c>
      <c r="C810" s="1" t="s">
        <v>1387</v>
      </c>
      <c r="D810" s="1" t="s">
        <v>932</v>
      </c>
      <c r="E810" s="8">
        <v>308711</v>
      </c>
      <c r="F810" s="5">
        <v>3400773</v>
      </c>
    </row>
    <row r="811" spans="1:6" ht="20" x14ac:dyDescent="0.25">
      <c r="A811" s="5">
        <v>3400773</v>
      </c>
      <c r="B811" s="1">
        <v>2020</v>
      </c>
      <c r="C811" s="1" t="s">
        <v>1387</v>
      </c>
      <c r="D811" s="2" t="s">
        <v>932</v>
      </c>
      <c r="E811" s="7">
        <v>384764</v>
      </c>
      <c r="F811" s="5">
        <v>3400773</v>
      </c>
    </row>
    <row r="812" spans="1:6" ht="20" x14ac:dyDescent="0.25">
      <c r="A812" s="5">
        <v>3400773</v>
      </c>
      <c r="B812" s="1">
        <v>2021</v>
      </c>
      <c r="C812" s="1" t="s">
        <v>1387</v>
      </c>
      <c r="D812" s="3" t="s">
        <v>932</v>
      </c>
      <c r="E812" s="7">
        <v>577468</v>
      </c>
      <c r="F812" s="5">
        <v>3400773</v>
      </c>
    </row>
    <row r="813" spans="1:6" ht="20" x14ac:dyDescent="0.25">
      <c r="A813" s="5">
        <v>3400773</v>
      </c>
      <c r="B813" s="1">
        <v>2022</v>
      </c>
      <c r="C813" s="1" t="s">
        <v>1387</v>
      </c>
      <c r="D813" s="2" t="s">
        <v>932</v>
      </c>
      <c r="E813" s="7">
        <v>754127</v>
      </c>
      <c r="F813" s="5">
        <v>3400773</v>
      </c>
    </row>
    <row r="814" spans="1:6" ht="20" x14ac:dyDescent="0.25">
      <c r="A814" s="5">
        <v>3400773</v>
      </c>
      <c r="B814" s="1">
        <v>2023</v>
      </c>
      <c r="C814" s="1" t="s">
        <v>1387</v>
      </c>
      <c r="D814" s="2" t="s">
        <v>932</v>
      </c>
      <c r="E814" s="7">
        <v>682479</v>
      </c>
      <c r="F814" s="5">
        <v>3400773</v>
      </c>
    </row>
    <row r="815" spans="1:6" x14ac:dyDescent="0.25">
      <c r="A815" s="5">
        <v>3400774</v>
      </c>
      <c r="B815" s="1">
        <v>2018</v>
      </c>
      <c r="C815" s="1" t="s">
        <v>1387</v>
      </c>
      <c r="D815" s="1" t="s">
        <v>997</v>
      </c>
      <c r="E815" s="8">
        <v>198610</v>
      </c>
      <c r="F815" s="5">
        <v>3400774</v>
      </c>
    </row>
    <row r="816" spans="1:6" x14ac:dyDescent="0.25">
      <c r="A816" s="5">
        <v>3400774</v>
      </c>
      <c r="B816" s="1">
        <v>2019</v>
      </c>
      <c r="C816" s="1" t="s">
        <v>1387</v>
      </c>
      <c r="D816" s="1" t="s">
        <v>997</v>
      </c>
      <c r="E816" s="8">
        <v>264509</v>
      </c>
      <c r="F816" s="5">
        <v>3400774</v>
      </c>
    </row>
    <row r="817" spans="1:6" ht="20" x14ac:dyDescent="0.25">
      <c r="A817" s="5">
        <v>3400774</v>
      </c>
      <c r="B817" s="1">
        <v>2020</v>
      </c>
      <c r="C817" s="1" t="s">
        <v>1387</v>
      </c>
      <c r="D817" s="2" t="s">
        <v>997</v>
      </c>
      <c r="E817" s="7">
        <v>223756</v>
      </c>
      <c r="F817" s="5">
        <v>3400774</v>
      </c>
    </row>
    <row r="818" spans="1:6" x14ac:dyDescent="0.25">
      <c r="A818" s="5">
        <v>3400775</v>
      </c>
      <c r="B818" s="1">
        <v>2018</v>
      </c>
      <c r="C818" s="1" t="s">
        <v>1387</v>
      </c>
      <c r="D818" s="1" t="s">
        <v>1050</v>
      </c>
      <c r="E818" s="8">
        <v>204294</v>
      </c>
      <c r="F818" s="5">
        <v>3400775</v>
      </c>
    </row>
    <row r="819" spans="1:6" x14ac:dyDescent="0.25">
      <c r="A819" s="5">
        <v>3400775</v>
      </c>
      <c r="B819" s="1">
        <v>2019</v>
      </c>
      <c r="C819" s="1" t="s">
        <v>1387</v>
      </c>
      <c r="D819" s="1" t="s">
        <v>1050</v>
      </c>
      <c r="E819" s="8">
        <v>364167</v>
      </c>
      <c r="F819" s="5">
        <v>3400775</v>
      </c>
    </row>
    <row r="820" spans="1:6" ht="20" x14ac:dyDescent="0.25">
      <c r="A820" s="5">
        <v>3400775</v>
      </c>
      <c r="B820" s="1">
        <v>2020</v>
      </c>
      <c r="C820" s="1" t="s">
        <v>1387</v>
      </c>
      <c r="D820" s="2" t="s">
        <v>1050</v>
      </c>
      <c r="E820" s="7">
        <v>402412</v>
      </c>
      <c r="F820" s="5">
        <v>3400775</v>
      </c>
    </row>
    <row r="821" spans="1:6" ht="20" x14ac:dyDescent="0.25">
      <c r="A821" s="5">
        <v>3400776</v>
      </c>
      <c r="B821" s="1">
        <v>2023</v>
      </c>
      <c r="C821" s="1" t="s">
        <v>1387</v>
      </c>
      <c r="D821" s="2" t="s">
        <v>1382</v>
      </c>
      <c r="E821" s="7">
        <v>921194</v>
      </c>
      <c r="F821" s="5">
        <v>3400776</v>
      </c>
    </row>
    <row r="822" spans="1:6" ht="20" x14ac:dyDescent="0.25">
      <c r="A822" s="5">
        <v>3400777</v>
      </c>
      <c r="B822" s="1">
        <v>2023</v>
      </c>
      <c r="C822" s="1" t="s">
        <v>1387</v>
      </c>
      <c r="D822" s="2" t="s">
        <v>1380</v>
      </c>
      <c r="E822" s="7">
        <v>1797961</v>
      </c>
      <c r="F822" s="5">
        <v>3400777</v>
      </c>
    </row>
    <row r="823" spans="1:6" x14ac:dyDescent="0.25">
      <c r="A823" s="5">
        <v>3400779</v>
      </c>
      <c r="B823" s="1">
        <v>2019</v>
      </c>
      <c r="C823" s="1" t="s">
        <v>1387</v>
      </c>
      <c r="D823" s="1" t="s">
        <v>1370</v>
      </c>
      <c r="E823" s="8">
        <v>356219</v>
      </c>
      <c r="F823" s="5">
        <v>3400779</v>
      </c>
    </row>
    <row r="824" spans="1:6" ht="20" x14ac:dyDescent="0.25">
      <c r="A824" s="5">
        <v>3400779</v>
      </c>
      <c r="B824" s="1">
        <v>2020</v>
      </c>
      <c r="C824" s="1" t="s">
        <v>1387</v>
      </c>
      <c r="D824" s="2" t="s">
        <v>1370</v>
      </c>
      <c r="E824" s="7">
        <v>580177</v>
      </c>
      <c r="F824" s="5">
        <v>3400779</v>
      </c>
    </row>
    <row r="825" spans="1:6" ht="20" x14ac:dyDescent="0.25">
      <c r="A825" s="5">
        <v>3400779</v>
      </c>
      <c r="B825" s="1">
        <v>2021</v>
      </c>
      <c r="C825" s="1" t="s">
        <v>1387</v>
      </c>
      <c r="D825" s="3" t="s">
        <v>1370</v>
      </c>
      <c r="E825" s="7">
        <v>980654</v>
      </c>
      <c r="F825" s="5">
        <v>3400779</v>
      </c>
    </row>
    <row r="826" spans="1:6" ht="20" x14ac:dyDescent="0.25">
      <c r="A826" s="5">
        <v>3400779</v>
      </c>
      <c r="B826" s="1">
        <v>2022</v>
      </c>
      <c r="C826" s="1" t="s">
        <v>1387</v>
      </c>
      <c r="D826" s="2" t="s">
        <v>1370</v>
      </c>
      <c r="E826" s="7">
        <v>1739315</v>
      </c>
      <c r="F826" s="5">
        <v>3400779</v>
      </c>
    </row>
    <row r="827" spans="1:6" ht="20" x14ac:dyDescent="0.25">
      <c r="A827" s="5">
        <v>3400779</v>
      </c>
      <c r="B827" s="1">
        <v>2023</v>
      </c>
      <c r="C827" s="1" t="s">
        <v>1387</v>
      </c>
      <c r="D827" s="2" t="s">
        <v>1370</v>
      </c>
      <c r="E827" s="7">
        <v>1882783</v>
      </c>
      <c r="F827" s="5">
        <v>3400779</v>
      </c>
    </row>
    <row r="828" spans="1:6" x14ac:dyDescent="0.25">
      <c r="A828" s="5">
        <v>3400781</v>
      </c>
      <c r="B828" s="1">
        <v>2019</v>
      </c>
      <c r="C828" s="1" t="s">
        <v>1387</v>
      </c>
      <c r="D828" s="1" t="s">
        <v>1365</v>
      </c>
      <c r="E828" s="8">
        <v>219789</v>
      </c>
      <c r="F828" s="5">
        <v>3400781</v>
      </c>
    </row>
    <row r="829" spans="1:6" ht="20" x14ac:dyDescent="0.25">
      <c r="A829" s="5">
        <v>3400781</v>
      </c>
      <c r="B829" s="1">
        <v>2020</v>
      </c>
      <c r="C829" s="1" t="s">
        <v>1387</v>
      </c>
      <c r="D829" s="2" t="s">
        <v>1365</v>
      </c>
      <c r="E829" s="7">
        <v>390076</v>
      </c>
      <c r="F829" s="5">
        <v>3400781</v>
      </c>
    </row>
    <row r="830" spans="1:6" ht="20" x14ac:dyDescent="0.25">
      <c r="A830" s="5">
        <v>3400781</v>
      </c>
      <c r="B830" s="1">
        <v>2021</v>
      </c>
      <c r="C830" s="1" t="s">
        <v>1387</v>
      </c>
      <c r="D830" s="3" t="s">
        <v>1365</v>
      </c>
      <c r="E830" s="7">
        <v>674150</v>
      </c>
      <c r="F830" s="5">
        <v>3400781</v>
      </c>
    </row>
    <row r="831" spans="1:6" ht="20" x14ac:dyDescent="0.25">
      <c r="A831" s="5">
        <v>3400781</v>
      </c>
      <c r="B831" s="1">
        <v>2022</v>
      </c>
      <c r="C831" s="1" t="s">
        <v>1387</v>
      </c>
      <c r="D831" s="2" t="s">
        <v>1365</v>
      </c>
      <c r="E831" s="7">
        <v>1456459</v>
      </c>
      <c r="F831" s="5">
        <v>3400781</v>
      </c>
    </row>
    <row r="832" spans="1:6" ht="20" x14ac:dyDescent="0.25">
      <c r="A832" s="5">
        <v>3400781</v>
      </c>
      <c r="B832" s="1">
        <v>2023</v>
      </c>
      <c r="C832" s="1" t="s">
        <v>1387</v>
      </c>
      <c r="D832" s="2" t="s">
        <v>1365</v>
      </c>
      <c r="E832" s="7">
        <v>1821692</v>
      </c>
      <c r="F832" s="5">
        <v>3400781</v>
      </c>
    </row>
    <row r="833" spans="1:6" x14ac:dyDescent="0.25">
      <c r="A833" s="5">
        <v>3400782</v>
      </c>
      <c r="B833" s="1">
        <v>2018</v>
      </c>
      <c r="C833" s="1" t="s">
        <v>1387</v>
      </c>
      <c r="D833" s="1" t="s">
        <v>897</v>
      </c>
      <c r="E833" s="8">
        <v>28884</v>
      </c>
      <c r="F833" s="5">
        <v>3400782</v>
      </c>
    </row>
    <row r="834" spans="1:6" x14ac:dyDescent="0.25">
      <c r="A834" s="5">
        <v>3400782</v>
      </c>
      <c r="B834" s="1">
        <v>2019</v>
      </c>
      <c r="C834" s="1" t="s">
        <v>1387</v>
      </c>
      <c r="D834" s="1" t="s">
        <v>897</v>
      </c>
      <c r="E834" s="8">
        <v>117025</v>
      </c>
      <c r="F834" s="5">
        <v>3400782</v>
      </c>
    </row>
    <row r="835" spans="1:6" ht="20" x14ac:dyDescent="0.25">
      <c r="A835" s="5">
        <v>3400782</v>
      </c>
      <c r="B835" s="1">
        <v>2020</v>
      </c>
      <c r="C835" s="1" t="s">
        <v>1387</v>
      </c>
      <c r="D835" s="2" t="s">
        <v>897</v>
      </c>
      <c r="E835" s="7">
        <v>121766</v>
      </c>
      <c r="F835" s="5">
        <v>3400782</v>
      </c>
    </row>
    <row r="836" spans="1:6" ht="20" x14ac:dyDescent="0.25">
      <c r="A836" s="5">
        <v>3400782</v>
      </c>
      <c r="B836" s="1">
        <v>2021</v>
      </c>
      <c r="C836" s="1" t="s">
        <v>1387</v>
      </c>
      <c r="D836" s="3" t="s">
        <v>897</v>
      </c>
      <c r="E836" s="7">
        <v>131993</v>
      </c>
      <c r="F836" s="5">
        <v>3400782</v>
      </c>
    </row>
    <row r="837" spans="1:6" ht="20" x14ac:dyDescent="0.25">
      <c r="A837" s="5">
        <v>3400782</v>
      </c>
      <c r="B837" s="1">
        <v>2022</v>
      </c>
      <c r="C837" s="1" t="s">
        <v>1387</v>
      </c>
      <c r="D837" s="2" t="s">
        <v>897</v>
      </c>
      <c r="E837" s="7">
        <v>193173</v>
      </c>
      <c r="F837" s="5">
        <v>3400782</v>
      </c>
    </row>
    <row r="838" spans="1:6" ht="20" x14ac:dyDescent="0.25">
      <c r="A838" s="5">
        <v>3400782</v>
      </c>
      <c r="B838" s="1">
        <v>2023</v>
      </c>
      <c r="C838" s="1" t="s">
        <v>1387</v>
      </c>
      <c r="D838" s="2" t="s">
        <v>897</v>
      </c>
      <c r="E838" s="7">
        <v>212672</v>
      </c>
      <c r="F838" s="5">
        <v>3400782</v>
      </c>
    </row>
    <row r="839" spans="1:6" x14ac:dyDescent="0.25">
      <c r="A839" s="5">
        <v>3400783</v>
      </c>
      <c r="B839" s="1">
        <v>2019</v>
      </c>
      <c r="C839" s="1" t="s">
        <v>1387</v>
      </c>
      <c r="D839" s="1" t="s">
        <v>1358</v>
      </c>
      <c r="E839" s="8">
        <v>224766</v>
      </c>
      <c r="F839" s="5">
        <v>3400783</v>
      </c>
    </row>
    <row r="840" spans="1:6" ht="20" x14ac:dyDescent="0.25">
      <c r="A840" s="5">
        <v>3400783</v>
      </c>
      <c r="B840" s="1">
        <v>2020</v>
      </c>
      <c r="C840" s="1" t="s">
        <v>1387</v>
      </c>
      <c r="D840" s="2" t="s">
        <v>1358</v>
      </c>
      <c r="E840" s="7">
        <v>222183</v>
      </c>
      <c r="F840" s="5">
        <v>3400783</v>
      </c>
    </row>
    <row r="841" spans="1:6" ht="20" x14ac:dyDescent="0.25">
      <c r="A841" s="5">
        <v>3400783</v>
      </c>
      <c r="B841" s="1">
        <v>2021</v>
      </c>
      <c r="C841" s="1" t="s">
        <v>1387</v>
      </c>
      <c r="D841" s="3" t="s">
        <v>1358</v>
      </c>
      <c r="E841" s="7">
        <v>405521</v>
      </c>
      <c r="F841" s="5">
        <v>3400783</v>
      </c>
    </row>
    <row r="842" spans="1:6" ht="20" x14ac:dyDescent="0.25">
      <c r="A842" s="5">
        <v>3400783</v>
      </c>
      <c r="B842" s="1">
        <v>2022</v>
      </c>
      <c r="C842" s="1" t="s">
        <v>1387</v>
      </c>
      <c r="D842" s="2" t="s">
        <v>1358</v>
      </c>
      <c r="E842" s="7">
        <v>730298</v>
      </c>
      <c r="F842" s="5">
        <v>3400783</v>
      </c>
    </row>
    <row r="843" spans="1:6" ht="20" x14ac:dyDescent="0.25">
      <c r="A843" s="5">
        <v>3400783</v>
      </c>
      <c r="B843" s="1">
        <v>2023</v>
      </c>
      <c r="C843" s="1" t="s">
        <v>1387</v>
      </c>
      <c r="D843" s="2" t="s">
        <v>1358</v>
      </c>
      <c r="E843" s="7">
        <v>814712</v>
      </c>
      <c r="F843" s="5">
        <v>3400783</v>
      </c>
    </row>
    <row r="844" spans="1:6" ht="20" x14ac:dyDescent="0.25">
      <c r="A844" s="5">
        <v>3400784</v>
      </c>
      <c r="B844" s="1">
        <v>2020</v>
      </c>
      <c r="C844" s="1" t="s">
        <v>1387</v>
      </c>
      <c r="D844" s="2" t="s">
        <v>1373</v>
      </c>
      <c r="E844" s="7">
        <v>195072</v>
      </c>
      <c r="F844" s="5">
        <v>3400784</v>
      </c>
    </row>
    <row r="845" spans="1:6" ht="20" x14ac:dyDescent="0.25">
      <c r="A845" s="5">
        <v>3400784</v>
      </c>
      <c r="B845" s="1">
        <v>2021</v>
      </c>
      <c r="C845" s="1" t="s">
        <v>1387</v>
      </c>
      <c r="D845" s="3" t="s">
        <v>1373</v>
      </c>
      <c r="E845" s="7">
        <v>360901</v>
      </c>
      <c r="F845" s="5">
        <v>3400784</v>
      </c>
    </row>
    <row r="846" spans="1:6" ht="20" x14ac:dyDescent="0.25">
      <c r="A846" s="5">
        <v>3400784</v>
      </c>
      <c r="B846" s="1">
        <v>2022</v>
      </c>
      <c r="C846" s="1" t="s">
        <v>1387</v>
      </c>
      <c r="D846" s="2" t="s">
        <v>1373</v>
      </c>
      <c r="E846" s="7">
        <v>647475</v>
      </c>
      <c r="F846" s="5">
        <v>3400784</v>
      </c>
    </row>
    <row r="847" spans="1:6" ht="20" x14ac:dyDescent="0.25">
      <c r="A847" s="5">
        <v>3400784</v>
      </c>
      <c r="B847" s="1">
        <v>2023</v>
      </c>
      <c r="C847" s="1" t="s">
        <v>1387</v>
      </c>
      <c r="D847" s="2" t="s">
        <v>1373</v>
      </c>
      <c r="E847" s="7">
        <v>651437</v>
      </c>
      <c r="F847" s="5">
        <v>3400784</v>
      </c>
    </row>
    <row r="848" spans="1:6" x14ac:dyDescent="0.25">
      <c r="A848" s="5">
        <v>3400785</v>
      </c>
      <c r="B848" s="1">
        <v>2015</v>
      </c>
      <c r="C848" s="1" t="s">
        <v>1387</v>
      </c>
      <c r="D848" s="1" t="s">
        <v>161</v>
      </c>
      <c r="E848" s="7">
        <v>159481</v>
      </c>
      <c r="F848" s="5">
        <v>3400785</v>
      </c>
    </row>
    <row r="849" spans="1:6" x14ac:dyDescent="0.25">
      <c r="A849" s="5">
        <v>3400785</v>
      </c>
      <c r="B849" s="1">
        <v>2016</v>
      </c>
      <c r="C849" s="1" t="s">
        <v>1387</v>
      </c>
      <c r="D849" s="1" t="s">
        <v>161</v>
      </c>
      <c r="E849" s="7">
        <v>228283</v>
      </c>
      <c r="F849" s="5">
        <v>3400785</v>
      </c>
    </row>
    <row r="850" spans="1:6" x14ac:dyDescent="0.25">
      <c r="A850" s="5">
        <v>3400785</v>
      </c>
      <c r="B850" s="1">
        <v>2017</v>
      </c>
      <c r="C850" s="1" t="s">
        <v>1387</v>
      </c>
      <c r="D850" s="1" t="s">
        <v>161</v>
      </c>
      <c r="E850" s="7">
        <v>356982</v>
      </c>
      <c r="F850" s="5">
        <v>3400785</v>
      </c>
    </row>
    <row r="851" spans="1:6" x14ac:dyDescent="0.25">
      <c r="A851" s="5">
        <v>3400785</v>
      </c>
      <c r="B851" s="1">
        <v>2018</v>
      </c>
      <c r="C851" s="1" t="s">
        <v>1387</v>
      </c>
      <c r="D851" s="1" t="s">
        <v>843</v>
      </c>
      <c r="E851" s="7">
        <v>1155237</v>
      </c>
      <c r="F851" s="5">
        <v>3400785</v>
      </c>
    </row>
    <row r="852" spans="1:6" x14ac:dyDescent="0.25">
      <c r="A852" s="5">
        <v>3400785</v>
      </c>
      <c r="B852" s="1">
        <v>2019</v>
      </c>
      <c r="C852" s="1" t="s">
        <v>1387</v>
      </c>
      <c r="D852" s="1" t="s">
        <v>843</v>
      </c>
      <c r="E852" s="7">
        <v>2441573</v>
      </c>
      <c r="F852" s="5">
        <v>3400785</v>
      </c>
    </row>
    <row r="853" spans="1:6" ht="20" x14ac:dyDescent="0.25">
      <c r="A853" s="5">
        <v>3400785</v>
      </c>
      <c r="B853" s="1">
        <v>2020</v>
      </c>
      <c r="C853" s="1" t="s">
        <v>1387</v>
      </c>
      <c r="D853" s="2" t="s">
        <v>843</v>
      </c>
      <c r="E853" s="7">
        <v>2800927</v>
      </c>
      <c r="F853" s="5">
        <v>3400785</v>
      </c>
    </row>
    <row r="854" spans="1:6" ht="20" x14ac:dyDescent="0.25">
      <c r="A854" s="5">
        <v>3400785</v>
      </c>
      <c r="B854" s="1">
        <v>2021</v>
      </c>
      <c r="C854" s="1" t="s">
        <v>1387</v>
      </c>
      <c r="D854" s="3" t="s">
        <v>843</v>
      </c>
      <c r="E854" s="7">
        <v>3696085</v>
      </c>
      <c r="F854" s="5">
        <v>3400785</v>
      </c>
    </row>
    <row r="855" spans="1:6" ht="20" x14ac:dyDescent="0.25">
      <c r="A855" s="5">
        <v>3400785</v>
      </c>
      <c r="B855" s="1">
        <v>2022</v>
      </c>
      <c r="C855" s="1" t="s">
        <v>1387</v>
      </c>
      <c r="D855" s="2" t="s">
        <v>843</v>
      </c>
      <c r="E855" s="7">
        <v>5289398</v>
      </c>
      <c r="F855" s="5">
        <v>3400785</v>
      </c>
    </row>
    <row r="856" spans="1:6" ht="20" x14ac:dyDescent="0.25">
      <c r="A856" s="5">
        <v>3400785</v>
      </c>
      <c r="B856" s="1">
        <v>2023</v>
      </c>
      <c r="C856" s="1" t="s">
        <v>1387</v>
      </c>
      <c r="D856" s="2" t="s">
        <v>843</v>
      </c>
      <c r="E856" s="7">
        <v>5418559</v>
      </c>
      <c r="F856" s="5">
        <v>3400785</v>
      </c>
    </row>
    <row r="857" spans="1:6" x14ac:dyDescent="0.25">
      <c r="A857" s="5">
        <v>3400786</v>
      </c>
      <c r="B857" s="1">
        <v>2019</v>
      </c>
      <c r="C857" s="1" t="s">
        <v>1387</v>
      </c>
      <c r="D857" s="1" t="s">
        <v>1371</v>
      </c>
      <c r="E857" s="8">
        <v>143487</v>
      </c>
      <c r="F857" s="5">
        <v>3400786</v>
      </c>
    </row>
    <row r="858" spans="1:6" ht="20" x14ac:dyDescent="0.25">
      <c r="A858" s="5">
        <v>3400786</v>
      </c>
      <c r="B858" s="1">
        <v>2020</v>
      </c>
      <c r="C858" s="1" t="s">
        <v>1387</v>
      </c>
      <c r="D858" s="2" t="s">
        <v>1371</v>
      </c>
      <c r="E858" s="7">
        <v>273661</v>
      </c>
      <c r="F858" s="5">
        <v>3400786</v>
      </c>
    </row>
    <row r="859" spans="1:6" ht="20" x14ac:dyDescent="0.25">
      <c r="A859" s="5">
        <v>3400786</v>
      </c>
      <c r="B859" s="1">
        <v>2021</v>
      </c>
      <c r="C859" s="1" t="s">
        <v>1387</v>
      </c>
      <c r="D859" s="3" t="s">
        <v>1371</v>
      </c>
      <c r="E859" s="7">
        <v>377970</v>
      </c>
      <c r="F859" s="5">
        <v>3400786</v>
      </c>
    </row>
    <row r="860" spans="1:6" ht="20" x14ac:dyDescent="0.25">
      <c r="A860" s="5">
        <v>3400786</v>
      </c>
      <c r="B860" s="1">
        <v>2022</v>
      </c>
      <c r="C860" s="1" t="s">
        <v>1387</v>
      </c>
      <c r="D860" s="2" t="s">
        <v>1371</v>
      </c>
      <c r="E860" s="7">
        <v>665503</v>
      </c>
      <c r="F860" s="5">
        <v>3400786</v>
      </c>
    </row>
    <row r="861" spans="1:6" ht="20" x14ac:dyDescent="0.25">
      <c r="A861" s="5">
        <v>3400786</v>
      </c>
      <c r="B861" s="1">
        <v>2023</v>
      </c>
      <c r="C861" s="1" t="s">
        <v>1387</v>
      </c>
      <c r="D861" s="2" t="s">
        <v>1371</v>
      </c>
      <c r="E861" s="7">
        <v>788955</v>
      </c>
      <c r="F861" s="5">
        <v>3400786</v>
      </c>
    </row>
    <row r="862" spans="1:6" x14ac:dyDescent="0.25">
      <c r="A862" s="5">
        <v>3400787</v>
      </c>
      <c r="B862" s="1">
        <v>2019</v>
      </c>
      <c r="C862" s="1" t="s">
        <v>1387</v>
      </c>
      <c r="D862" s="1" t="s">
        <v>1367</v>
      </c>
      <c r="E862" s="8">
        <v>261121</v>
      </c>
      <c r="F862" s="5">
        <v>3400787</v>
      </c>
    </row>
    <row r="863" spans="1:6" ht="20" x14ac:dyDescent="0.25">
      <c r="A863" s="5">
        <v>3400787</v>
      </c>
      <c r="B863" s="1">
        <v>2020</v>
      </c>
      <c r="C863" s="1" t="s">
        <v>1387</v>
      </c>
      <c r="D863" s="2" t="s">
        <v>1367</v>
      </c>
      <c r="E863" s="7">
        <v>366574</v>
      </c>
      <c r="F863" s="5">
        <v>3400787</v>
      </c>
    </row>
    <row r="864" spans="1:6" ht="20" x14ac:dyDescent="0.25">
      <c r="A864" s="5">
        <v>3400787</v>
      </c>
      <c r="B864" s="1">
        <v>2021</v>
      </c>
      <c r="C864" s="1" t="s">
        <v>1387</v>
      </c>
      <c r="D864" s="3" t="s">
        <v>1367</v>
      </c>
      <c r="E864" s="7">
        <v>650533</v>
      </c>
      <c r="F864" s="5">
        <v>3400787</v>
      </c>
    </row>
    <row r="865" spans="1:6" ht="20" x14ac:dyDescent="0.25">
      <c r="A865" s="5">
        <v>3400787</v>
      </c>
      <c r="B865" s="1">
        <v>2022</v>
      </c>
      <c r="C865" s="1" t="s">
        <v>1387</v>
      </c>
      <c r="D865" s="2" t="s">
        <v>1367</v>
      </c>
      <c r="E865" s="7">
        <v>1180106</v>
      </c>
      <c r="F865" s="5">
        <v>3400787</v>
      </c>
    </row>
    <row r="866" spans="1:6" ht="20" x14ac:dyDescent="0.25">
      <c r="A866" s="5">
        <v>3400787</v>
      </c>
      <c r="B866" s="1">
        <v>2023</v>
      </c>
      <c r="C866" s="1" t="s">
        <v>1387</v>
      </c>
      <c r="D866" s="2" t="s">
        <v>1367</v>
      </c>
      <c r="E866" s="7">
        <v>1035770</v>
      </c>
      <c r="F866" s="5">
        <v>3400787</v>
      </c>
    </row>
    <row r="867" spans="1:6" ht="20" x14ac:dyDescent="0.25">
      <c r="A867" s="5">
        <v>3400788</v>
      </c>
      <c r="B867" s="1">
        <v>2021</v>
      </c>
      <c r="C867" s="1" t="s">
        <v>1387</v>
      </c>
      <c r="D867" s="3" t="s">
        <v>1374</v>
      </c>
      <c r="E867" s="7">
        <v>191654</v>
      </c>
      <c r="F867" s="5">
        <v>3400788</v>
      </c>
    </row>
    <row r="868" spans="1:6" ht="20" x14ac:dyDescent="0.25">
      <c r="A868" s="5">
        <v>3400788</v>
      </c>
      <c r="B868" s="1">
        <v>2022</v>
      </c>
      <c r="C868" s="1" t="s">
        <v>1387</v>
      </c>
      <c r="D868" s="2" t="s">
        <v>1374</v>
      </c>
      <c r="E868" s="7">
        <v>249203</v>
      </c>
      <c r="F868" s="5">
        <v>3400788</v>
      </c>
    </row>
    <row r="869" spans="1:6" ht="20" x14ac:dyDescent="0.25">
      <c r="A869" s="5">
        <v>3400788</v>
      </c>
      <c r="B869" s="1">
        <v>2023</v>
      </c>
      <c r="C869" s="1" t="s">
        <v>1387</v>
      </c>
      <c r="D869" s="2" t="s">
        <v>1374</v>
      </c>
      <c r="E869" s="7">
        <v>398408</v>
      </c>
      <c r="F869" s="5">
        <v>3400788</v>
      </c>
    </row>
    <row r="870" spans="1:6" ht="20" x14ac:dyDescent="0.25">
      <c r="A870" s="5">
        <v>3400789</v>
      </c>
      <c r="B870" s="1">
        <v>2021</v>
      </c>
      <c r="C870" s="1" t="s">
        <v>1387</v>
      </c>
      <c r="D870" s="3" t="s">
        <v>1376</v>
      </c>
      <c r="E870" s="7">
        <v>184218</v>
      </c>
      <c r="F870" s="5">
        <v>3400789</v>
      </c>
    </row>
    <row r="871" spans="1:6" ht="20" x14ac:dyDescent="0.25">
      <c r="A871" s="5">
        <v>3400789</v>
      </c>
      <c r="B871" s="1">
        <v>2022</v>
      </c>
      <c r="C871" s="1" t="s">
        <v>1387</v>
      </c>
      <c r="D871" s="2" t="s">
        <v>1376</v>
      </c>
      <c r="E871" s="7">
        <v>351279</v>
      </c>
      <c r="F871" s="5">
        <v>3400789</v>
      </c>
    </row>
    <row r="872" spans="1:6" ht="20" x14ac:dyDescent="0.25">
      <c r="A872" s="5">
        <v>3400789</v>
      </c>
      <c r="B872" s="1">
        <v>2023</v>
      </c>
      <c r="C872" s="1" t="s">
        <v>1387</v>
      </c>
      <c r="D872" s="2" t="s">
        <v>1376</v>
      </c>
      <c r="E872" s="7">
        <v>430894</v>
      </c>
      <c r="F872" s="5">
        <v>3400789</v>
      </c>
    </row>
    <row r="873" spans="1:6" ht="20" x14ac:dyDescent="0.25">
      <c r="A873" s="5">
        <v>3400791</v>
      </c>
      <c r="B873" s="1">
        <v>2021</v>
      </c>
      <c r="C873" s="1" t="s">
        <v>1387</v>
      </c>
      <c r="D873" s="3" t="s">
        <v>1375</v>
      </c>
      <c r="E873" s="7">
        <v>300222</v>
      </c>
      <c r="F873" s="5">
        <v>3400791</v>
      </c>
    </row>
    <row r="874" spans="1:6" ht="20" x14ac:dyDescent="0.25">
      <c r="A874" s="5">
        <v>3400791</v>
      </c>
      <c r="B874" s="1">
        <v>2022</v>
      </c>
      <c r="C874" s="1" t="s">
        <v>1387</v>
      </c>
      <c r="D874" s="2" t="s">
        <v>1375</v>
      </c>
      <c r="E874" s="7">
        <v>514118</v>
      </c>
      <c r="F874" s="5">
        <v>3400791</v>
      </c>
    </row>
    <row r="875" spans="1:6" ht="20" x14ac:dyDescent="0.25">
      <c r="A875" s="5">
        <v>3400791</v>
      </c>
      <c r="B875" s="1">
        <v>2023</v>
      </c>
      <c r="C875" s="1" t="s">
        <v>1387</v>
      </c>
      <c r="D875" s="2" t="s">
        <v>1375</v>
      </c>
      <c r="E875" s="7">
        <v>564893</v>
      </c>
      <c r="F875" s="5">
        <v>3400791</v>
      </c>
    </row>
    <row r="876" spans="1:6" ht="20" x14ac:dyDescent="0.25">
      <c r="A876" s="5">
        <v>3400792</v>
      </c>
      <c r="B876" s="1">
        <v>2022</v>
      </c>
      <c r="C876" s="1" t="s">
        <v>1387</v>
      </c>
      <c r="D876" s="2" t="s">
        <v>1377</v>
      </c>
      <c r="E876" s="7">
        <v>629171</v>
      </c>
      <c r="F876" s="5">
        <v>3400792</v>
      </c>
    </row>
    <row r="877" spans="1:6" ht="20" x14ac:dyDescent="0.25">
      <c r="A877" s="5">
        <v>3400792</v>
      </c>
      <c r="B877" s="1">
        <v>2023</v>
      </c>
      <c r="C877" s="1" t="s">
        <v>1387</v>
      </c>
      <c r="D877" s="2" t="s">
        <v>1377</v>
      </c>
      <c r="E877" s="7">
        <v>571400</v>
      </c>
      <c r="F877" s="5">
        <v>3400792</v>
      </c>
    </row>
    <row r="878" spans="1:6" ht="20" x14ac:dyDescent="0.25">
      <c r="A878" s="5">
        <v>3400793</v>
      </c>
      <c r="B878" s="1">
        <v>2020</v>
      </c>
      <c r="C878" s="1" t="s">
        <v>1387</v>
      </c>
      <c r="D878" s="2" t="s">
        <v>1372</v>
      </c>
      <c r="E878" s="7">
        <v>205825</v>
      </c>
      <c r="F878" s="5">
        <v>3400793</v>
      </c>
    </row>
    <row r="879" spans="1:6" ht="20" x14ac:dyDescent="0.25">
      <c r="A879" s="5">
        <v>3400793</v>
      </c>
      <c r="B879" s="1">
        <v>2021</v>
      </c>
      <c r="C879" s="1" t="s">
        <v>1387</v>
      </c>
      <c r="D879" s="3" t="s">
        <v>1372</v>
      </c>
      <c r="E879" s="7">
        <v>464536</v>
      </c>
      <c r="F879" s="5">
        <v>3400793</v>
      </c>
    </row>
    <row r="880" spans="1:6" ht="20" x14ac:dyDescent="0.25">
      <c r="A880" s="5">
        <v>3400793</v>
      </c>
      <c r="B880" s="1">
        <v>2022</v>
      </c>
      <c r="C880" s="1" t="s">
        <v>1387</v>
      </c>
      <c r="D880" s="2" t="s">
        <v>1372</v>
      </c>
      <c r="E880" s="7">
        <v>1109455</v>
      </c>
      <c r="F880" s="5">
        <v>3400793</v>
      </c>
    </row>
    <row r="881" spans="1:6" ht="20" x14ac:dyDescent="0.25">
      <c r="A881" s="5">
        <v>3400793</v>
      </c>
      <c r="B881" s="1">
        <v>2023</v>
      </c>
      <c r="C881" s="1" t="s">
        <v>1387</v>
      </c>
      <c r="D881" s="2" t="s">
        <v>1372</v>
      </c>
      <c r="E881" s="7">
        <v>1346832</v>
      </c>
      <c r="F881" s="5">
        <v>3400793</v>
      </c>
    </row>
    <row r="882" spans="1:6" ht="20" x14ac:dyDescent="0.25">
      <c r="A882" s="5">
        <v>3400794</v>
      </c>
      <c r="B882" s="1">
        <v>2022</v>
      </c>
      <c r="C882" s="1" t="s">
        <v>1387</v>
      </c>
      <c r="D882" s="2" t="s">
        <v>1378</v>
      </c>
      <c r="E882" s="7">
        <v>154876</v>
      </c>
      <c r="F882" s="5">
        <v>3400794</v>
      </c>
    </row>
    <row r="883" spans="1:6" ht="20" x14ac:dyDescent="0.25">
      <c r="A883" s="5">
        <v>3400794</v>
      </c>
      <c r="B883" s="1">
        <v>2023</v>
      </c>
      <c r="C883" s="1" t="s">
        <v>1387</v>
      </c>
      <c r="D883" s="2" t="s">
        <v>1378</v>
      </c>
      <c r="E883" s="7">
        <v>218085</v>
      </c>
      <c r="F883" s="5">
        <v>3400794</v>
      </c>
    </row>
    <row r="884" spans="1:6" ht="20" x14ac:dyDescent="0.25">
      <c r="A884" s="5">
        <v>3400805</v>
      </c>
      <c r="B884" s="1">
        <v>2022</v>
      </c>
      <c r="C884" s="1" t="s">
        <v>1387</v>
      </c>
      <c r="D884" s="2" t="s">
        <v>1379</v>
      </c>
      <c r="E884" s="7">
        <v>182822</v>
      </c>
      <c r="F884" s="5">
        <v>3400805</v>
      </c>
    </row>
    <row r="885" spans="1:6" ht="20" x14ac:dyDescent="0.25">
      <c r="A885" s="5">
        <v>3400805</v>
      </c>
      <c r="B885" s="1">
        <v>2023</v>
      </c>
      <c r="C885" s="1" t="s">
        <v>1387</v>
      </c>
      <c r="D885" s="2" t="s">
        <v>1379</v>
      </c>
      <c r="E885" s="7">
        <v>282538</v>
      </c>
      <c r="F885" s="5">
        <v>3400805</v>
      </c>
    </row>
    <row r="886" spans="1:6" x14ac:dyDescent="0.25">
      <c r="A886" s="5">
        <v>3400810</v>
      </c>
      <c r="B886" s="1">
        <v>2015</v>
      </c>
      <c r="C886" s="1" t="s">
        <v>1387</v>
      </c>
      <c r="D886" s="1" t="s">
        <v>549</v>
      </c>
      <c r="E886" s="8">
        <v>162229</v>
      </c>
      <c r="F886" s="5">
        <v>3400810</v>
      </c>
    </row>
    <row r="887" spans="1:6" x14ac:dyDescent="0.25">
      <c r="A887" s="5">
        <v>3400810</v>
      </c>
      <c r="B887" s="1">
        <v>2016</v>
      </c>
      <c r="C887" s="1" t="s">
        <v>1387</v>
      </c>
      <c r="D887" s="1" t="s">
        <v>549</v>
      </c>
      <c r="E887" s="8">
        <v>228644</v>
      </c>
      <c r="F887" s="5">
        <v>3400810</v>
      </c>
    </row>
    <row r="888" spans="1:6" x14ac:dyDescent="0.25">
      <c r="A888" s="5">
        <v>3400810</v>
      </c>
      <c r="B888" s="1">
        <v>2017</v>
      </c>
      <c r="C888" s="1" t="s">
        <v>1387</v>
      </c>
      <c r="D888" s="1" t="s">
        <v>549</v>
      </c>
      <c r="E888" s="8">
        <v>316317</v>
      </c>
      <c r="F888" s="5">
        <v>3400810</v>
      </c>
    </row>
    <row r="889" spans="1:6" x14ac:dyDescent="0.25">
      <c r="A889" s="5">
        <v>3400810</v>
      </c>
      <c r="B889" s="1">
        <v>2018</v>
      </c>
      <c r="C889" s="1" t="s">
        <v>1387</v>
      </c>
      <c r="D889" s="1" t="s">
        <v>1241</v>
      </c>
      <c r="E889" s="8">
        <v>385424</v>
      </c>
      <c r="F889" s="5">
        <v>3400810</v>
      </c>
    </row>
    <row r="890" spans="1:6" x14ac:dyDescent="0.25">
      <c r="A890" s="5">
        <v>3400810</v>
      </c>
      <c r="B890" s="1">
        <v>2019</v>
      </c>
      <c r="C890" s="1" t="s">
        <v>1387</v>
      </c>
      <c r="D890" s="1" t="s">
        <v>1241</v>
      </c>
      <c r="E890" s="8">
        <v>490049</v>
      </c>
      <c r="F890" s="5">
        <v>3400810</v>
      </c>
    </row>
    <row r="891" spans="1:6" ht="20" x14ac:dyDescent="0.25">
      <c r="A891" s="5">
        <v>3400810</v>
      </c>
      <c r="B891" s="1">
        <v>2020</v>
      </c>
      <c r="C891" s="1" t="s">
        <v>1387</v>
      </c>
      <c r="D891" s="2" t="s">
        <v>1241</v>
      </c>
      <c r="E891" s="7">
        <v>555965</v>
      </c>
      <c r="F891" s="5">
        <v>3400810</v>
      </c>
    </row>
    <row r="892" spans="1:6" ht="20" x14ac:dyDescent="0.25">
      <c r="A892" s="5">
        <v>3400810</v>
      </c>
      <c r="B892" s="1">
        <v>2021</v>
      </c>
      <c r="C892" s="1" t="s">
        <v>1387</v>
      </c>
      <c r="D892" s="3" t="s">
        <v>1241</v>
      </c>
      <c r="E892" s="7">
        <v>699462</v>
      </c>
      <c r="F892" s="5">
        <v>3400810</v>
      </c>
    </row>
    <row r="893" spans="1:6" ht="20" x14ac:dyDescent="0.25">
      <c r="A893" s="5">
        <v>3400810</v>
      </c>
      <c r="B893" s="1">
        <v>2022</v>
      </c>
      <c r="C893" s="1" t="s">
        <v>1387</v>
      </c>
      <c r="D893" s="2" t="s">
        <v>1241</v>
      </c>
      <c r="E893" s="7">
        <v>894777</v>
      </c>
      <c r="F893" s="5">
        <v>3400810</v>
      </c>
    </row>
    <row r="894" spans="1:6" ht="20" x14ac:dyDescent="0.25">
      <c r="A894" s="5">
        <v>3400810</v>
      </c>
      <c r="B894" s="1">
        <v>2023</v>
      </c>
      <c r="C894" s="1" t="s">
        <v>1387</v>
      </c>
      <c r="D894" s="2" t="s">
        <v>1241</v>
      </c>
      <c r="E894" s="7">
        <v>717951</v>
      </c>
      <c r="F894" s="5">
        <v>3400810</v>
      </c>
    </row>
    <row r="895" spans="1:6" x14ac:dyDescent="0.25">
      <c r="A895" s="5">
        <v>3400840</v>
      </c>
      <c r="B895" s="1">
        <v>2015</v>
      </c>
      <c r="C895" s="1" t="s">
        <v>1387</v>
      </c>
      <c r="D895" s="1" t="s">
        <v>638</v>
      </c>
      <c r="E895" s="8">
        <v>101854</v>
      </c>
      <c r="F895" s="5">
        <v>3400840</v>
      </c>
    </row>
    <row r="896" spans="1:6" x14ac:dyDescent="0.25">
      <c r="A896" s="5">
        <v>3400840</v>
      </c>
      <c r="B896" s="1">
        <v>2016</v>
      </c>
      <c r="C896" s="1" t="s">
        <v>1387</v>
      </c>
      <c r="D896" s="1" t="s">
        <v>638</v>
      </c>
      <c r="E896" s="8">
        <v>134172</v>
      </c>
      <c r="F896" s="5">
        <v>3400840</v>
      </c>
    </row>
    <row r="897" spans="1:6" x14ac:dyDescent="0.25">
      <c r="A897" s="5">
        <v>3400840</v>
      </c>
      <c r="B897" s="1">
        <v>2017</v>
      </c>
      <c r="C897" s="1" t="s">
        <v>1387</v>
      </c>
      <c r="D897" s="1" t="s">
        <v>638</v>
      </c>
      <c r="E897" s="8">
        <v>191312</v>
      </c>
      <c r="F897" s="5">
        <v>3400840</v>
      </c>
    </row>
    <row r="898" spans="1:6" x14ac:dyDescent="0.25">
      <c r="A898" s="5">
        <v>3400840</v>
      </c>
      <c r="B898" s="1">
        <v>2018</v>
      </c>
      <c r="C898" s="1" t="s">
        <v>1387</v>
      </c>
      <c r="D898" s="1" t="s">
        <v>1331</v>
      </c>
      <c r="E898" s="8">
        <v>224419</v>
      </c>
      <c r="F898" s="5">
        <v>3400840</v>
      </c>
    </row>
    <row r="899" spans="1:6" x14ac:dyDescent="0.25">
      <c r="A899" s="5">
        <v>3400840</v>
      </c>
      <c r="B899" s="1">
        <v>2019</v>
      </c>
      <c r="C899" s="1" t="s">
        <v>1387</v>
      </c>
      <c r="D899" s="1" t="s">
        <v>1331</v>
      </c>
      <c r="E899" s="8">
        <v>300846</v>
      </c>
      <c r="F899" s="5">
        <v>3400840</v>
      </c>
    </row>
    <row r="900" spans="1:6" ht="20" x14ac:dyDescent="0.25">
      <c r="A900" s="5">
        <v>3400840</v>
      </c>
      <c r="B900" s="1">
        <v>2020</v>
      </c>
      <c r="C900" s="1" t="s">
        <v>1387</v>
      </c>
      <c r="D900" s="2" t="s">
        <v>1331</v>
      </c>
      <c r="E900" s="7">
        <v>332488</v>
      </c>
      <c r="F900" s="5">
        <v>3400840</v>
      </c>
    </row>
    <row r="901" spans="1:6" ht="20" x14ac:dyDescent="0.25">
      <c r="A901" s="5">
        <v>3400840</v>
      </c>
      <c r="B901" s="1">
        <v>2021</v>
      </c>
      <c r="C901" s="1" t="s">
        <v>1387</v>
      </c>
      <c r="D901" s="3" t="s">
        <v>1331</v>
      </c>
      <c r="E901" s="7">
        <v>410813</v>
      </c>
      <c r="F901" s="5">
        <v>3400840</v>
      </c>
    </row>
    <row r="902" spans="1:6" ht="20" x14ac:dyDescent="0.25">
      <c r="A902" s="5">
        <v>3400840</v>
      </c>
      <c r="B902" s="1">
        <v>2022</v>
      </c>
      <c r="C902" s="1" t="s">
        <v>1387</v>
      </c>
      <c r="D902" s="2" t="s">
        <v>1331</v>
      </c>
      <c r="E902" s="7">
        <v>667734</v>
      </c>
      <c r="F902" s="5">
        <v>3400840</v>
      </c>
    </row>
    <row r="903" spans="1:6" ht="20" x14ac:dyDescent="0.25">
      <c r="A903" s="5">
        <v>3400840</v>
      </c>
      <c r="B903" s="1">
        <v>2023</v>
      </c>
      <c r="C903" s="1" t="s">
        <v>1387</v>
      </c>
      <c r="D903" s="2" t="s">
        <v>1331</v>
      </c>
      <c r="E903" s="7">
        <v>684582</v>
      </c>
      <c r="F903" s="5">
        <v>3400840</v>
      </c>
    </row>
    <row r="904" spans="1:6" x14ac:dyDescent="0.25">
      <c r="A904" s="5">
        <v>3400870</v>
      </c>
      <c r="B904" s="1">
        <v>2015</v>
      </c>
      <c r="C904" s="1" t="s">
        <v>1387</v>
      </c>
      <c r="D904" s="1" t="s">
        <v>28</v>
      </c>
      <c r="E904" s="8">
        <v>108392</v>
      </c>
      <c r="F904" s="5">
        <v>3400870</v>
      </c>
    </row>
    <row r="905" spans="1:6" x14ac:dyDescent="0.25">
      <c r="A905" s="5">
        <v>3400870</v>
      </c>
      <c r="B905" s="1">
        <v>2016</v>
      </c>
      <c r="C905" s="1" t="s">
        <v>1387</v>
      </c>
      <c r="D905" s="1" t="s">
        <v>28</v>
      </c>
      <c r="E905" s="8">
        <v>136955</v>
      </c>
      <c r="F905" s="5">
        <v>3400870</v>
      </c>
    </row>
    <row r="906" spans="1:6" x14ac:dyDescent="0.25">
      <c r="A906" s="5">
        <v>3400870</v>
      </c>
      <c r="B906" s="1">
        <v>2017</v>
      </c>
      <c r="C906" s="1" t="s">
        <v>1387</v>
      </c>
      <c r="D906" s="1" t="s">
        <v>28</v>
      </c>
      <c r="E906" s="8">
        <v>219102</v>
      </c>
      <c r="F906" s="5">
        <v>3400870</v>
      </c>
    </row>
    <row r="907" spans="1:6" x14ac:dyDescent="0.25">
      <c r="A907" s="5">
        <v>3400870</v>
      </c>
      <c r="B907" s="1">
        <v>2018</v>
      </c>
      <c r="C907" s="1" t="s">
        <v>1387</v>
      </c>
      <c r="D907" s="1" t="s">
        <v>706</v>
      </c>
      <c r="E907" s="8">
        <v>307972</v>
      </c>
      <c r="F907" s="5">
        <v>3400870</v>
      </c>
    </row>
    <row r="908" spans="1:6" x14ac:dyDescent="0.25">
      <c r="A908" s="5">
        <v>3400870</v>
      </c>
      <c r="B908" s="1">
        <v>2019</v>
      </c>
      <c r="C908" s="1" t="s">
        <v>1387</v>
      </c>
      <c r="D908" s="1" t="s">
        <v>706</v>
      </c>
      <c r="E908" s="8">
        <v>397486</v>
      </c>
      <c r="F908" s="5">
        <v>3400870</v>
      </c>
    </row>
    <row r="909" spans="1:6" ht="20" x14ac:dyDescent="0.25">
      <c r="A909" s="5">
        <v>3400870</v>
      </c>
      <c r="B909" s="1">
        <v>2020</v>
      </c>
      <c r="C909" s="1" t="s">
        <v>1387</v>
      </c>
      <c r="D909" s="2" t="s">
        <v>706</v>
      </c>
      <c r="E909" s="7">
        <v>467026</v>
      </c>
      <c r="F909" s="5">
        <v>3400870</v>
      </c>
    </row>
    <row r="910" spans="1:6" ht="20" x14ac:dyDescent="0.25">
      <c r="A910" s="5">
        <v>3400870</v>
      </c>
      <c r="B910" s="1">
        <v>2021</v>
      </c>
      <c r="C910" s="1" t="s">
        <v>1387</v>
      </c>
      <c r="D910" s="3" t="s">
        <v>706</v>
      </c>
      <c r="E910" s="7">
        <v>551640</v>
      </c>
      <c r="F910" s="5">
        <v>3400870</v>
      </c>
    </row>
    <row r="911" spans="1:6" ht="20" x14ac:dyDescent="0.25">
      <c r="A911" s="5">
        <v>3400870</v>
      </c>
      <c r="B911" s="1">
        <v>2022</v>
      </c>
      <c r="C911" s="1" t="s">
        <v>1387</v>
      </c>
      <c r="D911" s="2" t="s">
        <v>706</v>
      </c>
      <c r="E911" s="7">
        <v>809112</v>
      </c>
      <c r="F911" s="5">
        <v>3400870</v>
      </c>
    </row>
    <row r="912" spans="1:6" ht="20" x14ac:dyDescent="0.25">
      <c r="A912" s="5">
        <v>3400870</v>
      </c>
      <c r="B912" s="1">
        <v>2023</v>
      </c>
      <c r="C912" s="1" t="s">
        <v>1387</v>
      </c>
      <c r="D912" s="2" t="s">
        <v>706</v>
      </c>
      <c r="E912" s="7">
        <v>733519</v>
      </c>
      <c r="F912" s="5">
        <v>3400870</v>
      </c>
    </row>
    <row r="913" spans="1:6" x14ac:dyDescent="0.25">
      <c r="A913" s="5">
        <v>3400900</v>
      </c>
      <c r="B913" s="1">
        <v>2015</v>
      </c>
      <c r="C913" s="1" t="s">
        <v>1387</v>
      </c>
      <c r="D913" s="1" t="s">
        <v>583</v>
      </c>
      <c r="E913" s="8">
        <v>252173</v>
      </c>
      <c r="F913" s="5">
        <v>3400900</v>
      </c>
    </row>
    <row r="914" spans="1:6" x14ac:dyDescent="0.25">
      <c r="A914" s="5">
        <v>3400900</v>
      </c>
      <c r="B914" s="1">
        <v>2016</v>
      </c>
      <c r="C914" s="1" t="s">
        <v>1387</v>
      </c>
      <c r="D914" s="1" t="s">
        <v>583</v>
      </c>
      <c r="E914" s="8">
        <v>355314</v>
      </c>
      <c r="F914" s="5">
        <v>3400900</v>
      </c>
    </row>
    <row r="915" spans="1:6" x14ac:dyDescent="0.25">
      <c r="A915" s="5">
        <v>3400900</v>
      </c>
      <c r="B915" s="1">
        <v>2017</v>
      </c>
      <c r="C915" s="1" t="s">
        <v>1387</v>
      </c>
      <c r="D915" s="1" t="s">
        <v>583</v>
      </c>
      <c r="E915" s="8">
        <v>484737</v>
      </c>
      <c r="F915" s="5">
        <v>3400900</v>
      </c>
    </row>
    <row r="916" spans="1:6" x14ac:dyDescent="0.25">
      <c r="A916" s="5">
        <v>3400900</v>
      </c>
      <c r="B916" s="1">
        <v>2018</v>
      </c>
      <c r="C916" s="1" t="s">
        <v>1387</v>
      </c>
      <c r="D916" s="1" t="s">
        <v>1276</v>
      </c>
      <c r="E916" s="8">
        <v>687470</v>
      </c>
      <c r="F916" s="5">
        <v>3400900</v>
      </c>
    </row>
    <row r="917" spans="1:6" x14ac:dyDescent="0.25">
      <c r="A917" s="5">
        <v>3400900</v>
      </c>
      <c r="B917" s="1">
        <v>2019</v>
      </c>
      <c r="C917" s="1" t="s">
        <v>1387</v>
      </c>
      <c r="D917" s="1" t="s">
        <v>1276</v>
      </c>
      <c r="E917" s="8">
        <v>893743</v>
      </c>
      <c r="F917" s="5">
        <v>3400900</v>
      </c>
    </row>
    <row r="918" spans="1:6" ht="20" x14ac:dyDescent="0.25">
      <c r="A918" s="5">
        <v>3400900</v>
      </c>
      <c r="B918" s="1">
        <v>2020</v>
      </c>
      <c r="C918" s="1" t="s">
        <v>1387</v>
      </c>
      <c r="D918" s="2" t="s">
        <v>1276</v>
      </c>
      <c r="E918" s="7">
        <v>845966</v>
      </c>
      <c r="F918" s="5">
        <v>3400900</v>
      </c>
    </row>
    <row r="919" spans="1:6" ht="20" x14ac:dyDescent="0.25">
      <c r="A919" s="5">
        <v>3400900</v>
      </c>
      <c r="B919" s="1">
        <v>2021</v>
      </c>
      <c r="C919" s="1" t="s">
        <v>1387</v>
      </c>
      <c r="D919" s="3" t="s">
        <v>1276</v>
      </c>
      <c r="E919" s="7">
        <v>1012971</v>
      </c>
      <c r="F919" s="5">
        <v>3400900</v>
      </c>
    </row>
    <row r="920" spans="1:6" ht="20" x14ac:dyDescent="0.25">
      <c r="A920" s="5">
        <v>3400900</v>
      </c>
      <c r="B920" s="1">
        <v>2022</v>
      </c>
      <c r="C920" s="1" t="s">
        <v>1387</v>
      </c>
      <c r="D920" s="2" t="s">
        <v>1276</v>
      </c>
      <c r="E920" s="7">
        <v>1471708</v>
      </c>
      <c r="F920" s="5">
        <v>3400900</v>
      </c>
    </row>
    <row r="921" spans="1:6" ht="20" x14ac:dyDescent="0.25">
      <c r="A921" s="5">
        <v>3400900</v>
      </c>
      <c r="B921" s="1">
        <v>2023</v>
      </c>
      <c r="C921" s="1" t="s">
        <v>1387</v>
      </c>
      <c r="D921" s="2" t="s">
        <v>1276</v>
      </c>
      <c r="E921" s="7">
        <v>1586995</v>
      </c>
      <c r="F921" s="5">
        <v>3400900</v>
      </c>
    </row>
    <row r="922" spans="1:6" x14ac:dyDescent="0.25">
      <c r="A922" s="5">
        <v>3400930</v>
      </c>
      <c r="B922" s="1">
        <v>2015</v>
      </c>
      <c r="C922" s="1" t="s">
        <v>1387</v>
      </c>
      <c r="D922" s="1" t="s">
        <v>401</v>
      </c>
      <c r="E922" s="8">
        <v>1254884</v>
      </c>
      <c r="F922" s="5">
        <v>3400930</v>
      </c>
    </row>
    <row r="923" spans="1:6" x14ac:dyDescent="0.25">
      <c r="A923" s="5">
        <v>3400930</v>
      </c>
      <c r="B923" s="1">
        <v>2016</v>
      </c>
      <c r="C923" s="1" t="s">
        <v>1387</v>
      </c>
      <c r="D923" s="1" t="s">
        <v>401</v>
      </c>
      <c r="E923" s="8">
        <v>1877311</v>
      </c>
      <c r="F923" s="5">
        <v>3400930</v>
      </c>
    </row>
    <row r="924" spans="1:6" x14ac:dyDescent="0.25">
      <c r="A924" s="5">
        <v>3400930</v>
      </c>
      <c r="B924" s="1">
        <v>2017</v>
      </c>
      <c r="C924" s="1" t="s">
        <v>1387</v>
      </c>
      <c r="D924" s="1" t="s">
        <v>401</v>
      </c>
      <c r="E924" s="8">
        <v>2721224</v>
      </c>
      <c r="F924" s="5">
        <v>3400930</v>
      </c>
    </row>
    <row r="925" spans="1:6" x14ac:dyDescent="0.25">
      <c r="A925" s="5">
        <v>3400930</v>
      </c>
      <c r="B925" s="1">
        <v>2018</v>
      </c>
      <c r="C925" s="1" t="s">
        <v>1387</v>
      </c>
      <c r="D925" s="1" t="s">
        <v>1093</v>
      </c>
      <c r="E925" s="8">
        <v>3685469</v>
      </c>
      <c r="F925" s="5">
        <v>3400930</v>
      </c>
    </row>
    <row r="926" spans="1:6" x14ac:dyDescent="0.25">
      <c r="A926" s="5">
        <v>3400930</v>
      </c>
      <c r="B926" s="1">
        <v>2019</v>
      </c>
      <c r="C926" s="1" t="s">
        <v>1387</v>
      </c>
      <c r="D926" s="1" t="s">
        <v>1093</v>
      </c>
      <c r="E926" s="8">
        <v>4707382</v>
      </c>
      <c r="F926" s="5">
        <v>3400930</v>
      </c>
    </row>
    <row r="927" spans="1:6" ht="20" x14ac:dyDescent="0.25">
      <c r="A927" s="5">
        <v>3400930</v>
      </c>
      <c r="B927" s="1">
        <v>2020</v>
      </c>
      <c r="C927" s="1" t="s">
        <v>1387</v>
      </c>
      <c r="D927" s="2" t="s">
        <v>1093</v>
      </c>
      <c r="E927" s="7">
        <v>5029927</v>
      </c>
      <c r="F927" s="5">
        <v>3400930</v>
      </c>
    </row>
    <row r="928" spans="1:6" ht="20" x14ac:dyDescent="0.25">
      <c r="A928" s="5">
        <v>3400930</v>
      </c>
      <c r="B928" s="1">
        <v>2021</v>
      </c>
      <c r="C928" s="1" t="s">
        <v>1387</v>
      </c>
      <c r="D928" s="3" t="s">
        <v>1093</v>
      </c>
      <c r="E928" s="7">
        <v>6211978</v>
      </c>
      <c r="F928" s="5">
        <v>3400930</v>
      </c>
    </row>
    <row r="929" spans="1:6" ht="20" x14ac:dyDescent="0.25">
      <c r="A929" s="5">
        <v>3400930</v>
      </c>
      <c r="B929" s="1">
        <v>2022</v>
      </c>
      <c r="C929" s="1" t="s">
        <v>1387</v>
      </c>
      <c r="D929" s="2" t="s">
        <v>1093</v>
      </c>
      <c r="E929" s="7">
        <v>8560590</v>
      </c>
      <c r="F929" s="5">
        <v>3400930</v>
      </c>
    </row>
    <row r="930" spans="1:6" ht="20" x14ac:dyDescent="0.25">
      <c r="A930" s="5">
        <v>3400930</v>
      </c>
      <c r="B930" s="1">
        <v>2023</v>
      </c>
      <c r="C930" s="1" t="s">
        <v>1387</v>
      </c>
      <c r="D930" s="2" t="s">
        <v>1093</v>
      </c>
      <c r="E930" s="7">
        <v>7707421</v>
      </c>
      <c r="F930" s="5">
        <v>3400930</v>
      </c>
    </row>
    <row r="931" spans="1:6" x14ac:dyDescent="0.25">
      <c r="A931" s="5">
        <v>3400960</v>
      </c>
      <c r="B931" s="1">
        <v>2015</v>
      </c>
      <c r="C931" s="1" t="s">
        <v>1387</v>
      </c>
      <c r="D931" s="1" t="s">
        <v>2</v>
      </c>
      <c r="E931" s="8">
        <v>3532554</v>
      </c>
      <c r="F931" s="5">
        <v>3400960</v>
      </c>
    </row>
    <row r="932" spans="1:6" x14ac:dyDescent="0.25">
      <c r="A932" s="5">
        <v>3400960</v>
      </c>
      <c r="B932" s="1">
        <v>2016</v>
      </c>
      <c r="C932" s="1" t="s">
        <v>1387</v>
      </c>
      <c r="D932" s="1" t="s">
        <v>2</v>
      </c>
      <c r="E932" s="8">
        <v>5455655</v>
      </c>
      <c r="F932" s="5">
        <v>3400960</v>
      </c>
    </row>
    <row r="933" spans="1:6" x14ac:dyDescent="0.25">
      <c r="A933" s="5">
        <v>3400960</v>
      </c>
      <c r="B933" s="1">
        <v>2017</v>
      </c>
      <c r="C933" s="1" t="s">
        <v>1387</v>
      </c>
      <c r="D933" s="1" t="s">
        <v>2</v>
      </c>
      <c r="E933" s="8">
        <v>7713311</v>
      </c>
      <c r="F933" s="5">
        <v>3400960</v>
      </c>
    </row>
    <row r="934" spans="1:6" x14ac:dyDescent="0.25">
      <c r="A934" s="5">
        <v>3400960</v>
      </c>
      <c r="B934" s="1">
        <v>2018</v>
      </c>
      <c r="C934" s="1" t="s">
        <v>1387</v>
      </c>
      <c r="D934" s="1" t="s">
        <v>680</v>
      </c>
      <c r="E934" s="8">
        <v>9251405</v>
      </c>
      <c r="F934" s="5">
        <v>3400960</v>
      </c>
    </row>
    <row r="935" spans="1:6" x14ac:dyDescent="0.25">
      <c r="A935" s="5">
        <v>3400960</v>
      </c>
      <c r="B935" s="1">
        <v>2019</v>
      </c>
      <c r="C935" s="1" t="s">
        <v>1387</v>
      </c>
      <c r="D935" s="1" t="s">
        <v>680</v>
      </c>
      <c r="E935" s="8">
        <v>11664506</v>
      </c>
      <c r="F935" s="5">
        <v>3400960</v>
      </c>
    </row>
    <row r="936" spans="1:6" ht="20" x14ac:dyDescent="0.25">
      <c r="A936" s="5">
        <v>3400960</v>
      </c>
      <c r="B936" s="1">
        <v>2020</v>
      </c>
      <c r="C936" s="1" t="s">
        <v>1387</v>
      </c>
      <c r="D936" s="2" t="s">
        <v>680</v>
      </c>
      <c r="E936" s="7">
        <v>13606126</v>
      </c>
      <c r="F936" s="5">
        <v>3400960</v>
      </c>
    </row>
    <row r="937" spans="1:6" ht="20" x14ac:dyDescent="0.25">
      <c r="A937" s="5">
        <v>3400960</v>
      </c>
      <c r="B937" s="1">
        <v>2021</v>
      </c>
      <c r="C937" s="1" t="s">
        <v>1387</v>
      </c>
      <c r="D937" s="3" t="s">
        <v>680</v>
      </c>
      <c r="E937" s="7">
        <v>17474609</v>
      </c>
      <c r="F937" s="5">
        <v>3400960</v>
      </c>
    </row>
    <row r="938" spans="1:6" ht="20" x14ac:dyDescent="0.25">
      <c r="A938" s="5">
        <v>3400960</v>
      </c>
      <c r="B938" s="1">
        <v>2022</v>
      </c>
      <c r="C938" s="1" t="s">
        <v>1387</v>
      </c>
      <c r="D938" s="2" t="s">
        <v>680</v>
      </c>
      <c r="E938" s="7">
        <v>24156121</v>
      </c>
      <c r="F938" s="5">
        <v>3400960</v>
      </c>
    </row>
    <row r="939" spans="1:6" ht="20" x14ac:dyDescent="0.25">
      <c r="A939" s="5">
        <v>3400960</v>
      </c>
      <c r="B939" s="1">
        <v>2023</v>
      </c>
      <c r="C939" s="1" t="s">
        <v>1387</v>
      </c>
      <c r="D939" s="2" t="s">
        <v>680</v>
      </c>
      <c r="E939" s="7">
        <v>22962785</v>
      </c>
      <c r="F939" s="5">
        <v>3400960</v>
      </c>
    </row>
    <row r="940" spans="1:6" x14ac:dyDescent="0.25">
      <c r="A940" s="5">
        <v>3400990</v>
      </c>
      <c r="B940" s="1">
        <v>2015</v>
      </c>
      <c r="C940" s="1" t="s">
        <v>1387</v>
      </c>
      <c r="D940" s="1" t="s">
        <v>4</v>
      </c>
      <c r="E940" s="8">
        <v>295880</v>
      </c>
      <c r="F940" s="5">
        <v>3400990</v>
      </c>
    </row>
    <row r="941" spans="1:6" x14ac:dyDescent="0.25">
      <c r="A941" s="5">
        <v>3400990</v>
      </c>
      <c r="B941" s="1">
        <v>2016</v>
      </c>
      <c r="C941" s="1" t="s">
        <v>1387</v>
      </c>
      <c r="D941" s="1" t="s">
        <v>4</v>
      </c>
      <c r="E941" s="8">
        <v>527844</v>
      </c>
      <c r="F941" s="5">
        <v>3400990</v>
      </c>
    </row>
    <row r="942" spans="1:6" x14ac:dyDescent="0.25">
      <c r="A942" s="5">
        <v>3400990</v>
      </c>
      <c r="B942" s="1">
        <v>2017</v>
      </c>
      <c r="C942" s="1" t="s">
        <v>1387</v>
      </c>
      <c r="D942" s="1" t="s">
        <v>4</v>
      </c>
      <c r="E942" s="8">
        <v>867285</v>
      </c>
      <c r="F942" s="5">
        <v>3400990</v>
      </c>
    </row>
    <row r="943" spans="1:6" x14ac:dyDescent="0.25">
      <c r="A943" s="5">
        <v>3400990</v>
      </c>
      <c r="B943" s="1">
        <v>2018</v>
      </c>
      <c r="C943" s="1" t="s">
        <v>1387</v>
      </c>
      <c r="D943" s="1" t="s">
        <v>683</v>
      </c>
      <c r="E943" s="8">
        <v>1300077</v>
      </c>
      <c r="F943" s="5">
        <v>3400990</v>
      </c>
    </row>
    <row r="944" spans="1:6" x14ac:dyDescent="0.25">
      <c r="A944" s="5">
        <v>3400990</v>
      </c>
      <c r="B944" s="1">
        <v>2019</v>
      </c>
      <c r="C944" s="1" t="s">
        <v>1387</v>
      </c>
      <c r="D944" s="1" t="s">
        <v>683</v>
      </c>
      <c r="E944" s="8">
        <v>1724848</v>
      </c>
      <c r="F944" s="5">
        <v>3400990</v>
      </c>
    </row>
    <row r="945" spans="1:6" ht="20" x14ac:dyDescent="0.25">
      <c r="A945" s="5">
        <v>3400990</v>
      </c>
      <c r="B945" s="1">
        <v>2020</v>
      </c>
      <c r="C945" s="1" t="s">
        <v>1387</v>
      </c>
      <c r="D945" s="2" t="s">
        <v>683</v>
      </c>
      <c r="E945" s="7">
        <v>1993900</v>
      </c>
      <c r="F945" s="5">
        <v>3400990</v>
      </c>
    </row>
    <row r="946" spans="1:6" ht="20" x14ac:dyDescent="0.25">
      <c r="A946" s="5">
        <v>3400990</v>
      </c>
      <c r="B946" s="1">
        <v>2021</v>
      </c>
      <c r="C946" s="1" t="s">
        <v>1387</v>
      </c>
      <c r="D946" s="3" t="s">
        <v>683</v>
      </c>
      <c r="E946" s="7">
        <v>2668882</v>
      </c>
      <c r="F946" s="5">
        <v>3400990</v>
      </c>
    </row>
    <row r="947" spans="1:6" ht="20" x14ac:dyDescent="0.25">
      <c r="A947" s="5">
        <v>3400990</v>
      </c>
      <c r="B947" s="1">
        <v>2022</v>
      </c>
      <c r="C947" s="1" t="s">
        <v>1387</v>
      </c>
      <c r="D947" s="2" t="s">
        <v>683</v>
      </c>
      <c r="E947" s="7">
        <v>3989640</v>
      </c>
      <c r="F947" s="5">
        <v>3400990</v>
      </c>
    </row>
    <row r="948" spans="1:6" ht="20" x14ac:dyDescent="0.25">
      <c r="A948" s="5">
        <v>3400990</v>
      </c>
      <c r="B948" s="1">
        <v>2023</v>
      </c>
      <c r="C948" s="1" t="s">
        <v>1387</v>
      </c>
      <c r="D948" s="2" t="s">
        <v>683</v>
      </c>
      <c r="E948" s="7">
        <v>3990911</v>
      </c>
      <c r="F948" s="5">
        <v>3400990</v>
      </c>
    </row>
    <row r="949" spans="1:6" x14ac:dyDescent="0.25">
      <c r="A949" s="5">
        <v>3401020</v>
      </c>
      <c r="B949" s="1">
        <v>2015</v>
      </c>
      <c r="C949" s="1" t="s">
        <v>1387</v>
      </c>
      <c r="D949" s="1" t="s">
        <v>402</v>
      </c>
      <c r="E949" s="8">
        <v>139783</v>
      </c>
      <c r="F949" s="5">
        <v>3401020</v>
      </c>
    </row>
    <row r="950" spans="1:6" x14ac:dyDescent="0.25">
      <c r="A950" s="5">
        <v>3401020</v>
      </c>
      <c r="B950" s="1">
        <v>2016</v>
      </c>
      <c r="C950" s="1" t="s">
        <v>1387</v>
      </c>
      <c r="D950" s="1" t="s">
        <v>402</v>
      </c>
      <c r="E950" s="8">
        <v>212822</v>
      </c>
      <c r="F950" s="5">
        <v>3401020</v>
      </c>
    </row>
    <row r="951" spans="1:6" x14ac:dyDescent="0.25">
      <c r="A951" s="5">
        <v>3401020</v>
      </c>
      <c r="B951" s="1">
        <v>2017</v>
      </c>
      <c r="C951" s="1" t="s">
        <v>1387</v>
      </c>
      <c r="D951" s="1" t="s">
        <v>402</v>
      </c>
      <c r="E951" s="8">
        <v>300604</v>
      </c>
      <c r="F951" s="5">
        <v>3401020</v>
      </c>
    </row>
    <row r="952" spans="1:6" x14ac:dyDescent="0.25">
      <c r="A952" s="5">
        <v>3401020</v>
      </c>
      <c r="B952" s="1">
        <v>2018</v>
      </c>
      <c r="C952" s="1" t="s">
        <v>1387</v>
      </c>
      <c r="D952" s="1" t="s">
        <v>1094</v>
      </c>
      <c r="E952" s="8">
        <v>390759</v>
      </c>
      <c r="F952" s="5">
        <v>3401020</v>
      </c>
    </row>
    <row r="953" spans="1:6" x14ac:dyDescent="0.25">
      <c r="A953" s="5">
        <v>3401020</v>
      </c>
      <c r="B953" s="1">
        <v>2019</v>
      </c>
      <c r="C953" s="1" t="s">
        <v>1387</v>
      </c>
      <c r="D953" s="1" t="s">
        <v>1094</v>
      </c>
      <c r="E953" s="8">
        <v>530919</v>
      </c>
      <c r="F953" s="5">
        <v>3401020</v>
      </c>
    </row>
    <row r="954" spans="1:6" ht="20" x14ac:dyDescent="0.25">
      <c r="A954" s="5">
        <v>3401020</v>
      </c>
      <c r="B954" s="1">
        <v>2020</v>
      </c>
      <c r="C954" s="1" t="s">
        <v>1387</v>
      </c>
      <c r="D954" s="2" t="s">
        <v>1094</v>
      </c>
      <c r="E954" s="7">
        <v>599558</v>
      </c>
      <c r="F954" s="5">
        <v>3401020</v>
      </c>
    </row>
    <row r="955" spans="1:6" ht="20" x14ac:dyDescent="0.25">
      <c r="A955" s="5">
        <v>3401020</v>
      </c>
      <c r="B955" s="1">
        <v>2021</v>
      </c>
      <c r="C955" s="1" t="s">
        <v>1387</v>
      </c>
      <c r="D955" s="3" t="s">
        <v>1094</v>
      </c>
      <c r="E955" s="7">
        <v>725933</v>
      </c>
      <c r="F955" s="5">
        <v>3401020</v>
      </c>
    </row>
    <row r="956" spans="1:6" ht="20" x14ac:dyDescent="0.25">
      <c r="A956" s="5">
        <v>3401020</v>
      </c>
      <c r="B956" s="1">
        <v>2022</v>
      </c>
      <c r="C956" s="1" t="s">
        <v>1387</v>
      </c>
      <c r="D956" s="2" t="s">
        <v>1094</v>
      </c>
      <c r="E956" s="7">
        <v>1158782</v>
      </c>
      <c r="F956" s="5">
        <v>3401020</v>
      </c>
    </row>
    <row r="957" spans="1:6" ht="20" x14ac:dyDescent="0.25">
      <c r="A957" s="5">
        <v>3401020</v>
      </c>
      <c r="B957" s="1">
        <v>2023</v>
      </c>
      <c r="C957" s="1" t="s">
        <v>1387</v>
      </c>
      <c r="D957" s="2" t="s">
        <v>1094</v>
      </c>
      <c r="E957" s="7">
        <v>1031566</v>
      </c>
      <c r="F957" s="5">
        <v>3401020</v>
      </c>
    </row>
    <row r="958" spans="1:6" x14ac:dyDescent="0.25">
      <c r="A958" s="5">
        <v>3401050</v>
      </c>
      <c r="B958" s="1">
        <v>2015</v>
      </c>
      <c r="C958" s="1" t="s">
        <v>1387</v>
      </c>
      <c r="D958" s="1" t="s">
        <v>149</v>
      </c>
      <c r="E958" s="8">
        <v>559594</v>
      </c>
      <c r="F958" s="5">
        <v>3401050</v>
      </c>
    </row>
    <row r="959" spans="1:6" x14ac:dyDescent="0.25">
      <c r="A959" s="5">
        <v>3401050</v>
      </c>
      <c r="B959" s="1">
        <v>2016</v>
      </c>
      <c r="C959" s="1" t="s">
        <v>1387</v>
      </c>
      <c r="D959" s="1" t="s">
        <v>149</v>
      </c>
      <c r="E959" s="8">
        <v>848379</v>
      </c>
      <c r="F959" s="5">
        <v>3401050</v>
      </c>
    </row>
    <row r="960" spans="1:6" x14ac:dyDescent="0.25">
      <c r="A960" s="5">
        <v>3401050</v>
      </c>
      <c r="B960" s="1">
        <v>2017</v>
      </c>
      <c r="C960" s="1" t="s">
        <v>1387</v>
      </c>
      <c r="D960" s="1" t="s">
        <v>149</v>
      </c>
      <c r="E960" s="8">
        <v>1205797</v>
      </c>
      <c r="F960" s="5">
        <v>3401050</v>
      </c>
    </row>
    <row r="961" spans="1:6" x14ac:dyDescent="0.25">
      <c r="A961" s="5">
        <v>3401050</v>
      </c>
      <c r="B961" s="1">
        <v>2018</v>
      </c>
      <c r="C961" s="1" t="s">
        <v>1387</v>
      </c>
      <c r="D961" s="1" t="s">
        <v>830</v>
      </c>
      <c r="E961" s="8">
        <v>1624754</v>
      </c>
      <c r="F961" s="5">
        <v>3401050</v>
      </c>
    </row>
    <row r="962" spans="1:6" x14ac:dyDescent="0.25">
      <c r="A962" s="5">
        <v>3401050</v>
      </c>
      <c r="B962" s="1">
        <v>2019</v>
      </c>
      <c r="C962" s="1" t="s">
        <v>1387</v>
      </c>
      <c r="D962" s="1" t="s">
        <v>830</v>
      </c>
      <c r="E962" s="8">
        <v>2118860</v>
      </c>
      <c r="F962" s="5">
        <v>3401050</v>
      </c>
    </row>
    <row r="963" spans="1:6" ht="20" x14ac:dyDescent="0.25">
      <c r="A963" s="5">
        <v>3401050</v>
      </c>
      <c r="B963" s="1">
        <v>2020</v>
      </c>
      <c r="C963" s="1" t="s">
        <v>1387</v>
      </c>
      <c r="D963" s="2" t="s">
        <v>830</v>
      </c>
      <c r="E963" s="7">
        <v>2435906</v>
      </c>
      <c r="F963" s="5">
        <v>3401050</v>
      </c>
    </row>
    <row r="964" spans="1:6" ht="20" x14ac:dyDescent="0.25">
      <c r="A964" s="5">
        <v>3401050</v>
      </c>
      <c r="B964" s="1">
        <v>2021</v>
      </c>
      <c r="C964" s="1" t="s">
        <v>1387</v>
      </c>
      <c r="D964" s="3" t="s">
        <v>830</v>
      </c>
      <c r="E964" s="7">
        <v>3135381</v>
      </c>
      <c r="F964" s="5">
        <v>3401050</v>
      </c>
    </row>
    <row r="965" spans="1:6" ht="20" x14ac:dyDescent="0.25">
      <c r="A965" s="5">
        <v>3401050</v>
      </c>
      <c r="B965" s="1">
        <v>2022</v>
      </c>
      <c r="C965" s="1" t="s">
        <v>1387</v>
      </c>
      <c r="D965" s="2" t="s">
        <v>830</v>
      </c>
      <c r="E965" s="7">
        <v>4354923</v>
      </c>
      <c r="F965" s="5">
        <v>3401050</v>
      </c>
    </row>
    <row r="966" spans="1:6" ht="20" x14ac:dyDescent="0.25">
      <c r="A966" s="5">
        <v>3401050</v>
      </c>
      <c r="B966" s="1">
        <v>2023</v>
      </c>
      <c r="C966" s="1" t="s">
        <v>1387</v>
      </c>
      <c r="D966" s="2" t="s">
        <v>830</v>
      </c>
      <c r="E966" s="7">
        <v>4220069</v>
      </c>
      <c r="F966" s="5">
        <v>3401050</v>
      </c>
    </row>
    <row r="967" spans="1:6" x14ac:dyDescent="0.25">
      <c r="A967" s="5">
        <v>3401110</v>
      </c>
      <c r="B967" s="1">
        <v>2015</v>
      </c>
      <c r="C967" s="1" t="s">
        <v>1387</v>
      </c>
      <c r="D967" s="1" t="s">
        <v>195</v>
      </c>
      <c r="E967" s="8">
        <v>74244</v>
      </c>
      <c r="F967" s="5">
        <v>3401110</v>
      </c>
    </row>
    <row r="968" spans="1:6" x14ac:dyDescent="0.25">
      <c r="A968" s="5">
        <v>3401110</v>
      </c>
      <c r="B968" s="1">
        <v>2016</v>
      </c>
      <c r="C968" s="1" t="s">
        <v>1387</v>
      </c>
      <c r="D968" s="1" t="s">
        <v>195</v>
      </c>
      <c r="E968" s="8">
        <v>112406</v>
      </c>
      <c r="F968" s="5">
        <v>3401110</v>
      </c>
    </row>
    <row r="969" spans="1:6" x14ac:dyDescent="0.25">
      <c r="A969" s="5">
        <v>3401110</v>
      </c>
      <c r="B969" s="1">
        <v>2017</v>
      </c>
      <c r="C969" s="1" t="s">
        <v>1387</v>
      </c>
      <c r="D969" s="1" t="s">
        <v>195</v>
      </c>
      <c r="E969" s="8">
        <v>155907</v>
      </c>
      <c r="F969" s="5">
        <v>3401110</v>
      </c>
    </row>
    <row r="970" spans="1:6" x14ac:dyDescent="0.25">
      <c r="A970" s="5">
        <v>3401110</v>
      </c>
      <c r="B970" s="1">
        <v>2018</v>
      </c>
      <c r="C970" s="1" t="s">
        <v>1387</v>
      </c>
      <c r="D970" s="1" t="s">
        <v>879</v>
      </c>
      <c r="E970" s="8">
        <v>182939</v>
      </c>
      <c r="F970" s="5">
        <v>3401110</v>
      </c>
    </row>
    <row r="971" spans="1:6" x14ac:dyDescent="0.25">
      <c r="A971" s="5">
        <v>3401110</v>
      </c>
      <c r="B971" s="1">
        <v>2019</v>
      </c>
      <c r="C971" s="1" t="s">
        <v>1387</v>
      </c>
      <c r="D971" s="1" t="s">
        <v>879</v>
      </c>
      <c r="E971" s="8">
        <v>232666</v>
      </c>
      <c r="F971" s="5">
        <v>3401110</v>
      </c>
    </row>
    <row r="972" spans="1:6" ht="20" x14ac:dyDescent="0.25">
      <c r="A972" s="5">
        <v>3401110</v>
      </c>
      <c r="B972" s="1">
        <v>2020</v>
      </c>
      <c r="C972" s="1" t="s">
        <v>1387</v>
      </c>
      <c r="D972" s="2" t="s">
        <v>879</v>
      </c>
      <c r="E972" s="7">
        <v>335592</v>
      </c>
      <c r="F972" s="5">
        <v>3401110</v>
      </c>
    </row>
    <row r="973" spans="1:6" ht="20" x14ac:dyDescent="0.25">
      <c r="A973" s="5">
        <v>3401110</v>
      </c>
      <c r="B973" s="1">
        <v>2021</v>
      </c>
      <c r="C973" s="1" t="s">
        <v>1387</v>
      </c>
      <c r="D973" s="3" t="s">
        <v>879</v>
      </c>
      <c r="E973" s="7">
        <v>426468</v>
      </c>
      <c r="F973" s="5">
        <v>3401110</v>
      </c>
    </row>
    <row r="974" spans="1:6" ht="20" x14ac:dyDescent="0.25">
      <c r="A974" s="5">
        <v>3401110</v>
      </c>
      <c r="B974" s="1">
        <v>2022</v>
      </c>
      <c r="C974" s="1" t="s">
        <v>1387</v>
      </c>
      <c r="D974" s="2" t="s">
        <v>879</v>
      </c>
      <c r="E974" s="7">
        <v>621076</v>
      </c>
      <c r="F974" s="5">
        <v>3401110</v>
      </c>
    </row>
    <row r="975" spans="1:6" ht="20" x14ac:dyDescent="0.25">
      <c r="A975" s="5">
        <v>3401110</v>
      </c>
      <c r="B975" s="1">
        <v>2023</v>
      </c>
      <c r="C975" s="1" t="s">
        <v>1387</v>
      </c>
      <c r="D975" s="2" t="s">
        <v>879</v>
      </c>
      <c r="E975" s="7">
        <v>694479</v>
      </c>
      <c r="F975" s="5">
        <v>3401110</v>
      </c>
    </row>
    <row r="976" spans="1:6" x14ac:dyDescent="0.25">
      <c r="A976" s="5">
        <v>3401140</v>
      </c>
      <c r="B976" s="1">
        <v>2015</v>
      </c>
      <c r="C976" s="1" t="s">
        <v>1387</v>
      </c>
      <c r="D976" s="1" t="s">
        <v>403</v>
      </c>
      <c r="E976" s="8">
        <v>64941</v>
      </c>
      <c r="F976" s="5">
        <v>3401140</v>
      </c>
    </row>
    <row r="977" spans="1:6" x14ac:dyDescent="0.25">
      <c r="A977" s="5">
        <v>3401140</v>
      </c>
      <c r="B977" s="1">
        <v>2016</v>
      </c>
      <c r="C977" s="1" t="s">
        <v>1387</v>
      </c>
      <c r="D977" s="1" t="s">
        <v>403</v>
      </c>
      <c r="E977" s="8">
        <v>91946</v>
      </c>
      <c r="F977" s="5">
        <v>3401140</v>
      </c>
    </row>
    <row r="978" spans="1:6" x14ac:dyDescent="0.25">
      <c r="A978" s="5">
        <v>3401140</v>
      </c>
      <c r="B978" s="1">
        <v>2017</v>
      </c>
      <c r="C978" s="1" t="s">
        <v>1387</v>
      </c>
      <c r="D978" s="1" t="s">
        <v>403</v>
      </c>
      <c r="E978" s="8">
        <v>111687</v>
      </c>
      <c r="F978" s="5">
        <v>3401140</v>
      </c>
    </row>
    <row r="979" spans="1:6" x14ac:dyDescent="0.25">
      <c r="A979" s="5">
        <v>3401140</v>
      </c>
      <c r="B979" s="1">
        <v>2018</v>
      </c>
      <c r="C979" s="1" t="s">
        <v>1387</v>
      </c>
      <c r="D979" s="1" t="s">
        <v>1095</v>
      </c>
      <c r="E979" s="8">
        <v>178319</v>
      </c>
      <c r="F979" s="5">
        <v>3401140</v>
      </c>
    </row>
    <row r="980" spans="1:6" x14ac:dyDescent="0.25">
      <c r="A980" s="5">
        <v>3401140</v>
      </c>
      <c r="B980" s="1">
        <v>2019</v>
      </c>
      <c r="C980" s="1" t="s">
        <v>1387</v>
      </c>
      <c r="D980" s="1" t="s">
        <v>1095</v>
      </c>
      <c r="E980" s="8">
        <v>250646</v>
      </c>
      <c r="F980" s="5">
        <v>3401140</v>
      </c>
    </row>
    <row r="981" spans="1:6" ht="20" x14ac:dyDescent="0.25">
      <c r="A981" s="5">
        <v>3401140</v>
      </c>
      <c r="B981" s="1">
        <v>2020</v>
      </c>
      <c r="C981" s="1" t="s">
        <v>1387</v>
      </c>
      <c r="D981" s="2" t="s">
        <v>1095</v>
      </c>
      <c r="E981" s="7">
        <v>302832</v>
      </c>
      <c r="F981" s="5">
        <v>3401140</v>
      </c>
    </row>
    <row r="982" spans="1:6" ht="20" x14ac:dyDescent="0.25">
      <c r="A982" s="5">
        <v>3401140</v>
      </c>
      <c r="B982" s="1">
        <v>2021</v>
      </c>
      <c r="C982" s="1" t="s">
        <v>1387</v>
      </c>
      <c r="D982" s="3" t="s">
        <v>1095</v>
      </c>
      <c r="E982" s="7">
        <v>371872</v>
      </c>
      <c r="F982" s="5">
        <v>3401140</v>
      </c>
    </row>
    <row r="983" spans="1:6" ht="20" x14ac:dyDescent="0.25">
      <c r="A983" s="5">
        <v>3401140</v>
      </c>
      <c r="B983" s="1">
        <v>2022</v>
      </c>
      <c r="C983" s="1" t="s">
        <v>1387</v>
      </c>
      <c r="D983" s="2" t="s">
        <v>1095</v>
      </c>
      <c r="E983" s="7">
        <v>529108</v>
      </c>
      <c r="F983" s="5">
        <v>3401140</v>
      </c>
    </row>
    <row r="984" spans="1:6" ht="20" x14ac:dyDescent="0.25">
      <c r="A984" s="5">
        <v>3401140</v>
      </c>
      <c r="B984" s="1">
        <v>2023</v>
      </c>
      <c r="C984" s="1" t="s">
        <v>1387</v>
      </c>
      <c r="D984" s="2" t="s">
        <v>1095</v>
      </c>
      <c r="E984" s="7">
        <v>533761</v>
      </c>
      <c r="F984" s="5">
        <v>3401140</v>
      </c>
    </row>
    <row r="985" spans="1:6" x14ac:dyDescent="0.25">
      <c r="A985" s="5">
        <v>3401170</v>
      </c>
      <c r="B985" s="1">
        <v>2015</v>
      </c>
      <c r="C985" s="1" t="s">
        <v>1387</v>
      </c>
      <c r="D985" s="1" t="s">
        <v>150</v>
      </c>
      <c r="E985" s="8">
        <v>214414</v>
      </c>
      <c r="F985" s="5">
        <v>3401170</v>
      </c>
    </row>
    <row r="986" spans="1:6" x14ac:dyDescent="0.25">
      <c r="A986" s="5">
        <v>3401170</v>
      </c>
      <c r="B986" s="1">
        <v>2016</v>
      </c>
      <c r="C986" s="1" t="s">
        <v>1387</v>
      </c>
      <c r="D986" s="1" t="s">
        <v>150</v>
      </c>
      <c r="E986" s="8">
        <v>342733</v>
      </c>
      <c r="F986" s="5">
        <v>3401170</v>
      </c>
    </row>
    <row r="987" spans="1:6" x14ac:dyDescent="0.25">
      <c r="A987" s="5">
        <v>3401170</v>
      </c>
      <c r="B987" s="1">
        <v>2017</v>
      </c>
      <c r="C987" s="1" t="s">
        <v>1387</v>
      </c>
      <c r="D987" s="1" t="s">
        <v>150</v>
      </c>
      <c r="E987" s="8">
        <v>504559</v>
      </c>
      <c r="F987" s="5">
        <v>3401170</v>
      </c>
    </row>
    <row r="988" spans="1:6" x14ac:dyDescent="0.25">
      <c r="A988" s="5">
        <v>3401170</v>
      </c>
      <c r="B988" s="1">
        <v>2018</v>
      </c>
      <c r="C988" s="1" t="s">
        <v>1387</v>
      </c>
      <c r="D988" s="1" t="s">
        <v>831</v>
      </c>
      <c r="E988" s="8">
        <v>677729</v>
      </c>
      <c r="F988" s="5">
        <v>3401170</v>
      </c>
    </row>
    <row r="989" spans="1:6" x14ac:dyDescent="0.25">
      <c r="A989" s="5">
        <v>3401170</v>
      </c>
      <c r="B989" s="1">
        <v>2019</v>
      </c>
      <c r="C989" s="1" t="s">
        <v>1387</v>
      </c>
      <c r="D989" s="1" t="s">
        <v>831</v>
      </c>
      <c r="E989" s="8">
        <v>916869</v>
      </c>
      <c r="F989" s="5">
        <v>3401170</v>
      </c>
    </row>
    <row r="990" spans="1:6" ht="20" x14ac:dyDescent="0.25">
      <c r="A990" s="5">
        <v>3401170</v>
      </c>
      <c r="B990" s="1">
        <v>2020</v>
      </c>
      <c r="C990" s="1" t="s">
        <v>1387</v>
      </c>
      <c r="D990" s="2" t="s">
        <v>831</v>
      </c>
      <c r="E990" s="7">
        <v>1095330</v>
      </c>
      <c r="F990" s="5">
        <v>3401170</v>
      </c>
    </row>
    <row r="991" spans="1:6" ht="20" x14ac:dyDescent="0.25">
      <c r="A991" s="5">
        <v>3401170</v>
      </c>
      <c r="B991" s="1">
        <v>2021</v>
      </c>
      <c r="C991" s="1" t="s">
        <v>1387</v>
      </c>
      <c r="D991" s="3" t="s">
        <v>831</v>
      </c>
      <c r="E991" s="7">
        <v>1351489</v>
      </c>
      <c r="F991" s="5">
        <v>3401170</v>
      </c>
    </row>
    <row r="992" spans="1:6" ht="20" x14ac:dyDescent="0.25">
      <c r="A992" s="5">
        <v>3401170</v>
      </c>
      <c r="B992" s="1">
        <v>2022</v>
      </c>
      <c r="C992" s="1" t="s">
        <v>1387</v>
      </c>
      <c r="D992" s="2" t="s">
        <v>831</v>
      </c>
      <c r="E992" s="7">
        <v>1889859</v>
      </c>
      <c r="F992" s="5">
        <v>3401170</v>
      </c>
    </row>
    <row r="993" spans="1:6" ht="20" x14ac:dyDescent="0.25">
      <c r="A993" s="5">
        <v>3401170</v>
      </c>
      <c r="B993" s="1">
        <v>2023</v>
      </c>
      <c r="C993" s="1" t="s">
        <v>1387</v>
      </c>
      <c r="D993" s="2" t="s">
        <v>831</v>
      </c>
      <c r="E993" s="7">
        <v>1860668</v>
      </c>
      <c r="F993" s="5">
        <v>3401170</v>
      </c>
    </row>
    <row r="994" spans="1:6" x14ac:dyDescent="0.25">
      <c r="A994" s="5">
        <v>3401200</v>
      </c>
      <c r="B994" s="1">
        <v>2015</v>
      </c>
      <c r="C994" s="1" t="s">
        <v>1387</v>
      </c>
      <c r="D994" s="1" t="s">
        <v>106</v>
      </c>
      <c r="E994" s="8">
        <v>53896</v>
      </c>
      <c r="F994" s="5">
        <v>3401200</v>
      </c>
    </row>
    <row r="995" spans="1:6" x14ac:dyDescent="0.25">
      <c r="A995" s="5">
        <v>3401200</v>
      </c>
      <c r="B995" s="1">
        <v>2016</v>
      </c>
      <c r="C995" s="1" t="s">
        <v>1387</v>
      </c>
      <c r="D995" s="1" t="s">
        <v>106</v>
      </c>
      <c r="E995" s="8">
        <v>91854</v>
      </c>
      <c r="F995" s="5">
        <v>3401200</v>
      </c>
    </row>
    <row r="996" spans="1:6" x14ac:dyDescent="0.25">
      <c r="A996" s="5">
        <v>3401200</v>
      </c>
      <c r="B996" s="1">
        <v>2017</v>
      </c>
      <c r="C996" s="1" t="s">
        <v>1387</v>
      </c>
      <c r="D996" s="1" t="s">
        <v>106</v>
      </c>
      <c r="E996" s="8">
        <v>124036</v>
      </c>
      <c r="F996" s="5">
        <v>3401200</v>
      </c>
    </row>
    <row r="997" spans="1:6" x14ac:dyDescent="0.25">
      <c r="A997" s="5">
        <v>3401200</v>
      </c>
      <c r="B997" s="1">
        <v>2018</v>
      </c>
      <c r="C997" s="1" t="s">
        <v>1387</v>
      </c>
      <c r="D997" s="1" t="s">
        <v>786</v>
      </c>
      <c r="E997" s="8">
        <v>169172</v>
      </c>
      <c r="F997" s="5">
        <v>3401200</v>
      </c>
    </row>
    <row r="998" spans="1:6" x14ac:dyDescent="0.25">
      <c r="A998" s="5">
        <v>3401200</v>
      </c>
      <c r="B998" s="1">
        <v>2019</v>
      </c>
      <c r="C998" s="1" t="s">
        <v>1387</v>
      </c>
      <c r="D998" s="1" t="s">
        <v>786</v>
      </c>
      <c r="E998" s="8">
        <v>195343</v>
      </c>
      <c r="F998" s="5">
        <v>3401200</v>
      </c>
    </row>
    <row r="999" spans="1:6" ht="20" x14ac:dyDescent="0.25">
      <c r="A999" s="5">
        <v>3401200</v>
      </c>
      <c r="B999" s="1">
        <v>2020</v>
      </c>
      <c r="C999" s="1" t="s">
        <v>1387</v>
      </c>
      <c r="D999" s="2" t="s">
        <v>786</v>
      </c>
      <c r="E999" s="7">
        <v>194240</v>
      </c>
      <c r="F999" s="5">
        <v>3401200</v>
      </c>
    </row>
    <row r="1000" spans="1:6" ht="20" x14ac:dyDescent="0.25">
      <c r="A1000" s="5">
        <v>3401200</v>
      </c>
      <c r="B1000" s="1">
        <v>2021</v>
      </c>
      <c r="C1000" s="1" t="s">
        <v>1387</v>
      </c>
      <c r="D1000" s="3" t="s">
        <v>786</v>
      </c>
      <c r="E1000" s="7">
        <v>269381</v>
      </c>
      <c r="F1000" s="5">
        <v>3401200</v>
      </c>
    </row>
    <row r="1001" spans="1:6" ht="20" x14ac:dyDescent="0.25">
      <c r="A1001" s="5">
        <v>3401200</v>
      </c>
      <c r="B1001" s="1">
        <v>2022</v>
      </c>
      <c r="C1001" s="1" t="s">
        <v>1387</v>
      </c>
      <c r="D1001" s="2" t="s">
        <v>786</v>
      </c>
      <c r="E1001" s="7">
        <v>348951</v>
      </c>
      <c r="F1001" s="5">
        <v>3401200</v>
      </c>
    </row>
    <row r="1002" spans="1:6" x14ac:dyDescent="0.25">
      <c r="A1002" s="5">
        <v>3401230</v>
      </c>
      <c r="B1002" s="1">
        <v>2015</v>
      </c>
      <c r="C1002" s="1" t="s">
        <v>1387</v>
      </c>
      <c r="D1002" s="1" t="s">
        <v>495</v>
      </c>
      <c r="E1002" s="8">
        <v>48437</v>
      </c>
      <c r="F1002" s="5">
        <v>3401230</v>
      </c>
    </row>
    <row r="1003" spans="1:6" x14ac:dyDescent="0.25">
      <c r="A1003" s="5">
        <v>3401230</v>
      </c>
      <c r="B1003" s="1">
        <v>2016</v>
      </c>
      <c r="C1003" s="1" t="s">
        <v>1387</v>
      </c>
      <c r="D1003" s="1" t="s">
        <v>495</v>
      </c>
      <c r="E1003" s="8">
        <v>72935</v>
      </c>
      <c r="F1003" s="5">
        <v>3401230</v>
      </c>
    </row>
    <row r="1004" spans="1:6" x14ac:dyDescent="0.25">
      <c r="A1004" s="5">
        <v>3401230</v>
      </c>
      <c r="B1004" s="1">
        <v>2017</v>
      </c>
      <c r="C1004" s="1" t="s">
        <v>1387</v>
      </c>
      <c r="D1004" s="1" t="s">
        <v>495</v>
      </c>
      <c r="E1004" s="8">
        <v>95023</v>
      </c>
      <c r="F1004" s="5">
        <v>3401230</v>
      </c>
    </row>
    <row r="1005" spans="1:6" x14ac:dyDescent="0.25">
      <c r="A1005" s="5">
        <v>3401230</v>
      </c>
      <c r="B1005" s="1">
        <v>2018</v>
      </c>
      <c r="C1005" s="1" t="s">
        <v>1387</v>
      </c>
      <c r="D1005" s="1" t="s">
        <v>1187</v>
      </c>
      <c r="E1005" s="8">
        <v>150891</v>
      </c>
      <c r="F1005" s="5">
        <v>3401230</v>
      </c>
    </row>
    <row r="1006" spans="1:6" x14ac:dyDescent="0.25">
      <c r="A1006" s="5">
        <v>3401230</v>
      </c>
      <c r="B1006" s="1">
        <v>2019</v>
      </c>
      <c r="C1006" s="1" t="s">
        <v>1387</v>
      </c>
      <c r="D1006" s="1" t="s">
        <v>1187</v>
      </c>
      <c r="E1006" s="8">
        <v>200491</v>
      </c>
      <c r="F1006" s="5">
        <v>3401230</v>
      </c>
    </row>
    <row r="1007" spans="1:6" ht="20" x14ac:dyDescent="0.25">
      <c r="A1007" s="5">
        <v>3401230</v>
      </c>
      <c r="B1007" s="1">
        <v>2020</v>
      </c>
      <c r="C1007" s="1" t="s">
        <v>1387</v>
      </c>
      <c r="D1007" s="2" t="s">
        <v>1187</v>
      </c>
      <c r="E1007" s="7">
        <v>240861</v>
      </c>
      <c r="F1007" s="5">
        <v>3401230</v>
      </c>
    </row>
    <row r="1008" spans="1:6" ht="20" x14ac:dyDescent="0.25">
      <c r="A1008" s="5">
        <v>3401230</v>
      </c>
      <c r="B1008" s="1">
        <v>2021</v>
      </c>
      <c r="C1008" s="1" t="s">
        <v>1387</v>
      </c>
      <c r="D1008" s="3" t="s">
        <v>1187</v>
      </c>
      <c r="E1008" s="7">
        <v>323580</v>
      </c>
      <c r="F1008" s="5">
        <v>3401230</v>
      </c>
    </row>
    <row r="1009" spans="1:6" ht="20" x14ac:dyDescent="0.25">
      <c r="A1009" s="5">
        <v>3401230</v>
      </c>
      <c r="B1009" s="1">
        <v>2022</v>
      </c>
      <c r="C1009" s="1" t="s">
        <v>1387</v>
      </c>
      <c r="D1009" s="2" t="s">
        <v>1187</v>
      </c>
      <c r="E1009" s="7">
        <v>423425</v>
      </c>
      <c r="F1009" s="5">
        <v>3401230</v>
      </c>
    </row>
    <row r="1010" spans="1:6" ht="20" x14ac:dyDescent="0.25">
      <c r="A1010" s="5">
        <v>3401230</v>
      </c>
      <c r="B1010" s="1">
        <v>2023</v>
      </c>
      <c r="C1010" s="1" t="s">
        <v>1387</v>
      </c>
      <c r="D1010" s="2" t="s">
        <v>1187</v>
      </c>
      <c r="E1010" s="7">
        <v>448383</v>
      </c>
      <c r="F1010" s="5">
        <v>3401230</v>
      </c>
    </row>
    <row r="1011" spans="1:6" x14ac:dyDescent="0.25">
      <c r="A1011" s="5">
        <v>3401260</v>
      </c>
      <c r="B1011" s="1">
        <v>2015</v>
      </c>
      <c r="C1011" s="1" t="s">
        <v>1387</v>
      </c>
      <c r="D1011" s="1" t="s">
        <v>301</v>
      </c>
      <c r="E1011" s="8">
        <v>3023507</v>
      </c>
      <c r="F1011" s="5">
        <v>3401260</v>
      </c>
    </row>
    <row r="1012" spans="1:6" x14ac:dyDescent="0.25">
      <c r="A1012" s="5">
        <v>3401260</v>
      </c>
      <c r="B1012" s="1">
        <v>2016</v>
      </c>
      <c r="C1012" s="1" t="s">
        <v>1387</v>
      </c>
      <c r="D1012" s="1" t="s">
        <v>301</v>
      </c>
      <c r="E1012" s="8">
        <v>4285310</v>
      </c>
      <c r="F1012" s="5">
        <v>3401260</v>
      </c>
    </row>
    <row r="1013" spans="1:6" x14ac:dyDescent="0.25">
      <c r="A1013" s="5">
        <v>3401260</v>
      </c>
      <c r="B1013" s="1">
        <v>2017</v>
      </c>
      <c r="C1013" s="1" t="s">
        <v>1387</v>
      </c>
      <c r="D1013" s="1" t="s">
        <v>301</v>
      </c>
      <c r="E1013" s="8">
        <v>6743390</v>
      </c>
      <c r="F1013" s="5">
        <v>3401260</v>
      </c>
    </row>
    <row r="1014" spans="1:6" x14ac:dyDescent="0.25">
      <c r="A1014" s="5">
        <v>3401260</v>
      </c>
      <c r="B1014" s="1">
        <v>2018</v>
      </c>
      <c r="C1014" s="1" t="s">
        <v>1387</v>
      </c>
      <c r="D1014" s="1" t="s">
        <v>991</v>
      </c>
      <c r="E1014" s="8">
        <v>8960982</v>
      </c>
      <c r="F1014" s="5">
        <v>3401260</v>
      </c>
    </row>
    <row r="1015" spans="1:6" x14ac:dyDescent="0.25">
      <c r="A1015" s="5">
        <v>3401260</v>
      </c>
      <c r="B1015" s="1">
        <v>2019</v>
      </c>
      <c r="C1015" s="1" t="s">
        <v>1387</v>
      </c>
      <c r="D1015" s="1" t="s">
        <v>991</v>
      </c>
      <c r="E1015" s="8">
        <v>12059485</v>
      </c>
      <c r="F1015" s="5">
        <v>3401260</v>
      </c>
    </row>
    <row r="1016" spans="1:6" ht="20" x14ac:dyDescent="0.25">
      <c r="A1016" s="5">
        <v>3401260</v>
      </c>
      <c r="B1016" s="1">
        <v>2020</v>
      </c>
      <c r="C1016" s="1" t="s">
        <v>1387</v>
      </c>
      <c r="D1016" s="2" t="s">
        <v>991</v>
      </c>
      <c r="E1016" s="7">
        <v>12557076</v>
      </c>
      <c r="F1016" s="5">
        <v>3401260</v>
      </c>
    </row>
    <row r="1017" spans="1:6" ht="20" x14ac:dyDescent="0.25">
      <c r="A1017" s="5">
        <v>3401260</v>
      </c>
      <c r="B1017" s="1">
        <v>2021</v>
      </c>
      <c r="C1017" s="1" t="s">
        <v>1387</v>
      </c>
      <c r="D1017" s="3" t="s">
        <v>991</v>
      </c>
      <c r="E1017" s="7">
        <v>16734106</v>
      </c>
      <c r="F1017" s="5">
        <v>3401260</v>
      </c>
    </row>
    <row r="1018" spans="1:6" ht="20" x14ac:dyDescent="0.25">
      <c r="A1018" s="5">
        <v>3401260</v>
      </c>
      <c r="B1018" s="1">
        <v>2022</v>
      </c>
      <c r="C1018" s="1" t="s">
        <v>1387</v>
      </c>
      <c r="D1018" s="2" t="s">
        <v>991</v>
      </c>
      <c r="E1018" s="7">
        <v>25097051</v>
      </c>
      <c r="F1018" s="5">
        <v>3401260</v>
      </c>
    </row>
    <row r="1019" spans="1:6" ht="20" x14ac:dyDescent="0.25">
      <c r="A1019" s="5">
        <v>3401260</v>
      </c>
      <c r="B1019" s="1">
        <v>2023</v>
      </c>
      <c r="C1019" s="1" t="s">
        <v>1387</v>
      </c>
      <c r="D1019" s="2" t="s">
        <v>991</v>
      </c>
      <c r="E1019" s="7">
        <v>26028803</v>
      </c>
      <c r="F1019" s="5">
        <v>3401260</v>
      </c>
    </row>
    <row r="1020" spans="1:6" x14ac:dyDescent="0.25">
      <c r="A1020" s="5">
        <v>3401290</v>
      </c>
      <c r="B1020" s="1">
        <v>2015</v>
      </c>
      <c r="C1020" s="1" t="s">
        <v>1387</v>
      </c>
      <c r="D1020" s="1" t="s">
        <v>496</v>
      </c>
      <c r="E1020" s="8">
        <v>42475</v>
      </c>
      <c r="F1020" s="5">
        <v>3401290</v>
      </c>
    </row>
    <row r="1021" spans="1:6" x14ac:dyDescent="0.25">
      <c r="A1021" s="5">
        <v>3401290</v>
      </c>
      <c r="B1021" s="1">
        <v>2016</v>
      </c>
      <c r="C1021" s="1" t="s">
        <v>1387</v>
      </c>
      <c r="D1021" s="1" t="s">
        <v>496</v>
      </c>
      <c r="E1021" s="8">
        <v>51270</v>
      </c>
      <c r="F1021" s="5">
        <v>3401290</v>
      </c>
    </row>
    <row r="1022" spans="1:6" x14ac:dyDescent="0.25">
      <c r="A1022" s="5">
        <v>3401290</v>
      </c>
      <c r="B1022" s="1">
        <v>2017</v>
      </c>
      <c r="C1022" s="1" t="s">
        <v>1387</v>
      </c>
      <c r="D1022" s="1" t="s">
        <v>496</v>
      </c>
      <c r="E1022" s="8">
        <v>62147</v>
      </c>
      <c r="F1022" s="5">
        <v>3401290</v>
      </c>
    </row>
    <row r="1023" spans="1:6" x14ac:dyDescent="0.25">
      <c r="A1023" s="5">
        <v>3401290</v>
      </c>
      <c r="B1023" s="1">
        <v>2018</v>
      </c>
      <c r="C1023" s="1" t="s">
        <v>1387</v>
      </c>
      <c r="D1023" s="1" t="s">
        <v>1188</v>
      </c>
      <c r="E1023" s="8">
        <v>119684</v>
      </c>
      <c r="F1023" s="5">
        <v>3401290</v>
      </c>
    </row>
    <row r="1024" spans="1:6" x14ac:dyDescent="0.25">
      <c r="A1024" s="5">
        <v>3401290</v>
      </c>
      <c r="B1024" s="1">
        <v>2019</v>
      </c>
      <c r="C1024" s="1" t="s">
        <v>1387</v>
      </c>
      <c r="D1024" s="1" t="s">
        <v>1188</v>
      </c>
      <c r="E1024" s="8">
        <v>122471</v>
      </c>
      <c r="F1024" s="5">
        <v>3401290</v>
      </c>
    </row>
    <row r="1025" spans="1:6" ht="20" x14ac:dyDescent="0.25">
      <c r="A1025" s="5">
        <v>3401290</v>
      </c>
      <c r="B1025" s="1">
        <v>2020</v>
      </c>
      <c r="C1025" s="1" t="s">
        <v>1387</v>
      </c>
      <c r="D1025" s="2" t="s">
        <v>1188</v>
      </c>
      <c r="E1025" s="7">
        <v>160655</v>
      </c>
      <c r="F1025" s="5">
        <v>3401290</v>
      </c>
    </row>
    <row r="1026" spans="1:6" ht="20" x14ac:dyDescent="0.25">
      <c r="A1026" s="5">
        <v>3401290</v>
      </c>
      <c r="B1026" s="1">
        <v>2021</v>
      </c>
      <c r="C1026" s="1" t="s">
        <v>1387</v>
      </c>
      <c r="D1026" s="3" t="s">
        <v>1188</v>
      </c>
      <c r="E1026" s="7">
        <v>165264</v>
      </c>
      <c r="F1026" s="5">
        <v>3401290</v>
      </c>
    </row>
    <row r="1027" spans="1:6" ht="20" x14ac:dyDescent="0.25">
      <c r="A1027" s="5">
        <v>3401290</v>
      </c>
      <c r="B1027" s="1">
        <v>2022</v>
      </c>
      <c r="C1027" s="1" t="s">
        <v>1387</v>
      </c>
      <c r="D1027" s="2" t="s">
        <v>1188</v>
      </c>
      <c r="E1027" s="7">
        <v>299941</v>
      </c>
      <c r="F1027" s="5">
        <v>3401290</v>
      </c>
    </row>
    <row r="1028" spans="1:6" ht="20" x14ac:dyDescent="0.25">
      <c r="A1028" s="5">
        <v>3401290</v>
      </c>
      <c r="B1028" s="1">
        <v>2023</v>
      </c>
      <c r="C1028" s="1" t="s">
        <v>1387</v>
      </c>
      <c r="D1028" s="2" t="s">
        <v>1188</v>
      </c>
      <c r="E1028" s="7">
        <v>293885</v>
      </c>
      <c r="F1028" s="5">
        <v>3401290</v>
      </c>
    </row>
    <row r="1029" spans="1:6" x14ac:dyDescent="0.25">
      <c r="A1029" s="5">
        <v>3401320</v>
      </c>
      <c r="B1029" s="1">
        <v>2015</v>
      </c>
      <c r="C1029" s="1" t="s">
        <v>1387</v>
      </c>
      <c r="D1029" s="1" t="s">
        <v>563</v>
      </c>
      <c r="E1029" s="8">
        <v>253036</v>
      </c>
      <c r="F1029" s="5">
        <v>3401320</v>
      </c>
    </row>
    <row r="1030" spans="1:6" x14ac:dyDescent="0.25">
      <c r="A1030" s="5">
        <v>3401320</v>
      </c>
      <c r="B1030" s="1">
        <v>2016</v>
      </c>
      <c r="C1030" s="1" t="s">
        <v>1387</v>
      </c>
      <c r="D1030" s="1" t="s">
        <v>563</v>
      </c>
      <c r="E1030" s="8">
        <v>342337</v>
      </c>
      <c r="F1030" s="5">
        <v>3401320</v>
      </c>
    </row>
    <row r="1031" spans="1:6" x14ac:dyDescent="0.25">
      <c r="A1031" s="5">
        <v>3401320</v>
      </c>
      <c r="B1031" s="1">
        <v>2017</v>
      </c>
      <c r="C1031" s="1" t="s">
        <v>1387</v>
      </c>
      <c r="D1031" s="1" t="s">
        <v>563</v>
      </c>
      <c r="E1031" s="8">
        <v>536824</v>
      </c>
      <c r="F1031" s="5">
        <v>3401320</v>
      </c>
    </row>
    <row r="1032" spans="1:6" x14ac:dyDescent="0.25">
      <c r="A1032" s="5">
        <v>3401320</v>
      </c>
      <c r="B1032" s="1">
        <v>2018</v>
      </c>
      <c r="C1032" s="1" t="s">
        <v>1387</v>
      </c>
      <c r="D1032" s="1" t="s">
        <v>1255</v>
      </c>
      <c r="E1032" s="8">
        <v>665123</v>
      </c>
      <c r="F1032" s="5">
        <v>3401320</v>
      </c>
    </row>
    <row r="1033" spans="1:6" x14ac:dyDescent="0.25">
      <c r="A1033" s="5">
        <v>3401320</v>
      </c>
      <c r="B1033" s="1">
        <v>2019</v>
      </c>
      <c r="C1033" s="1" t="s">
        <v>1387</v>
      </c>
      <c r="D1033" s="1" t="s">
        <v>1255</v>
      </c>
      <c r="E1033" s="8">
        <v>895119</v>
      </c>
      <c r="F1033" s="5">
        <v>3401320</v>
      </c>
    </row>
    <row r="1034" spans="1:6" ht="20" x14ac:dyDescent="0.25">
      <c r="A1034" s="5">
        <v>3401320</v>
      </c>
      <c r="B1034" s="1">
        <v>2020</v>
      </c>
      <c r="C1034" s="1" t="s">
        <v>1387</v>
      </c>
      <c r="D1034" s="2" t="s">
        <v>1255</v>
      </c>
      <c r="E1034" s="7">
        <v>1058258</v>
      </c>
      <c r="F1034" s="5">
        <v>3401320</v>
      </c>
    </row>
    <row r="1035" spans="1:6" ht="20" x14ac:dyDescent="0.25">
      <c r="A1035" s="5">
        <v>3401320</v>
      </c>
      <c r="B1035" s="1">
        <v>2021</v>
      </c>
      <c r="C1035" s="1" t="s">
        <v>1387</v>
      </c>
      <c r="D1035" s="3" t="s">
        <v>1255</v>
      </c>
      <c r="E1035" s="7">
        <v>1388074</v>
      </c>
      <c r="F1035" s="5">
        <v>3401320</v>
      </c>
    </row>
    <row r="1036" spans="1:6" ht="20" x14ac:dyDescent="0.25">
      <c r="A1036" s="5">
        <v>3401320</v>
      </c>
      <c r="B1036" s="1">
        <v>2022</v>
      </c>
      <c r="C1036" s="1" t="s">
        <v>1387</v>
      </c>
      <c r="D1036" s="2" t="s">
        <v>1255</v>
      </c>
      <c r="E1036" s="7">
        <v>1848507</v>
      </c>
      <c r="F1036" s="5">
        <v>3401320</v>
      </c>
    </row>
    <row r="1037" spans="1:6" ht="20" x14ac:dyDescent="0.25">
      <c r="A1037" s="5">
        <v>3401320</v>
      </c>
      <c r="B1037" s="1">
        <v>2023</v>
      </c>
      <c r="C1037" s="1" t="s">
        <v>1387</v>
      </c>
      <c r="D1037" s="2" t="s">
        <v>1255</v>
      </c>
      <c r="E1037" s="7">
        <v>1896374</v>
      </c>
      <c r="F1037" s="5">
        <v>3401320</v>
      </c>
    </row>
    <row r="1038" spans="1:6" x14ac:dyDescent="0.25">
      <c r="A1038" s="5">
        <v>3401350</v>
      </c>
      <c r="B1038" s="1">
        <v>2015</v>
      </c>
      <c r="C1038" s="1" t="s">
        <v>1387</v>
      </c>
      <c r="D1038" s="1" t="s">
        <v>229</v>
      </c>
      <c r="E1038" s="8">
        <v>1589444</v>
      </c>
      <c r="F1038" s="5">
        <v>3401350</v>
      </c>
    </row>
    <row r="1039" spans="1:6" x14ac:dyDescent="0.25">
      <c r="A1039" s="5">
        <v>3401350</v>
      </c>
      <c r="B1039" s="1">
        <v>2016</v>
      </c>
      <c r="C1039" s="1" t="s">
        <v>1387</v>
      </c>
      <c r="D1039" s="1" t="s">
        <v>229</v>
      </c>
      <c r="E1039" s="8">
        <v>2376276</v>
      </c>
      <c r="F1039" s="5">
        <v>3401350</v>
      </c>
    </row>
    <row r="1040" spans="1:6" x14ac:dyDescent="0.25">
      <c r="A1040" s="5">
        <v>3401350</v>
      </c>
      <c r="B1040" s="1">
        <v>2017</v>
      </c>
      <c r="C1040" s="1" t="s">
        <v>1387</v>
      </c>
      <c r="D1040" s="1" t="s">
        <v>229</v>
      </c>
      <c r="E1040" s="8">
        <v>3206864</v>
      </c>
      <c r="F1040" s="5">
        <v>3401350</v>
      </c>
    </row>
    <row r="1041" spans="1:6" x14ac:dyDescent="0.25">
      <c r="A1041" s="5">
        <v>3401350</v>
      </c>
      <c r="B1041" s="1">
        <v>2018</v>
      </c>
      <c r="C1041" s="1" t="s">
        <v>1387</v>
      </c>
      <c r="D1041" s="1" t="s">
        <v>915</v>
      </c>
      <c r="E1041" s="8">
        <v>4245950</v>
      </c>
      <c r="F1041" s="5">
        <v>3401350</v>
      </c>
    </row>
    <row r="1042" spans="1:6" x14ac:dyDescent="0.25">
      <c r="A1042" s="5">
        <v>3401350</v>
      </c>
      <c r="B1042" s="1">
        <v>2019</v>
      </c>
      <c r="C1042" s="1" t="s">
        <v>1387</v>
      </c>
      <c r="D1042" s="1" t="s">
        <v>915</v>
      </c>
      <c r="E1042" s="8">
        <v>5867414</v>
      </c>
      <c r="F1042" s="5">
        <v>3401350</v>
      </c>
    </row>
    <row r="1043" spans="1:6" ht="20" x14ac:dyDescent="0.25">
      <c r="A1043" s="5">
        <v>3401350</v>
      </c>
      <c r="B1043" s="1">
        <v>2020</v>
      </c>
      <c r="C1043" s="1" t="s">
        <v>1387</v>
      </c>
      <c r="D1043" s="2" t="s">
        <v>915</v>
      </c>
      <c r="E1043" s="7">
        <v>6472373</v>
      </c>
      <c r="F1043" s="5">
        <v>3401350</v>
      </c>
    </row>
    <row r="1044" spans="1:6" ht="20" x14ac:dyDescent="0.25">
      <c r="A1044" s="5">
        <v>3401350</v>
      </c>
      <c r="B1044" s="1">
        <v>2021</v>
      </c>
      <c r="C1044" s="1" t="s">
        <v>1387</v>
      </c>
      <c r="D1044" s="3" t="s">
        <v>915</v>
      </c>
      <c r="E1044" s="7">
        <v>8751109</v>
      </c>
      <c r="F1044" s="5">
        <v>3401350</v>
      </c>
    </row>
    <row r="1045" spans="1:6" ht="20" x14ac:dyDescent="0.25">
      <c r="A1045" s="5">
        <v>3401350</v>
      </c>
      <c r="B1045" s="1">
        <v>2022</v>
      </c>
      <c r="C1045" s="1" t="s">
        <v>1387</v>
      </c>
      <c r="D1045" s="2" t="s">
        <v>915</v>
      </c>
      <c r="E1045" s="7">
        <v>12825811</v>
      </c>
      <c r="F1045" s="5">
        <v>3401350</v>
      </c>
    </row>
    <row r="1046" spans="1:6" ht="20" x14ac:dyDescent="0.25">
      <c r="A1046" s="5">
        <v>3401350</v>
      </c>
      <c r="B1046" s="1">
        <v>2023</v>
      </c>
      <c r="C1046" s="1" t="s">
        <v>1387</v>
      </c>
      <c r="D1046" s="2" t="s">
        <v>915</v>
      </c>
      <c r="E1046" s="7">
        <v>13026961</v>
      </c>
      <c r="F1046" s="5">
        <v>3401350</v>
      </c>
    </row>
    <row r="1047" spans="1:6" x14ac:dyDescent="0.25">
      <c r="A1047" s="5">
        <v>3401380</v>
      </c>
      <c r="B1047" s="1">
        <v>2015</v>
      </c>
      <c r="C1047" s="1" t="s">
        <v>1387</v>
      </c>
      <c r="D1047" s="1" t="s">
        <v>151</v>
      </c>
      <c r="E1047" s="8">
        <v>342604</v>
      </c>
      <c r="F1047" s="5">
        <v>3401380</v>
      </c>
    </row>
    <row r="1048" spans="1:6" x14ac:dyDescent="0.25">
      <c r="A1048" s="5">
        <v>3401380</v>
      </c>
      <c r="B1048" s="1">
        <v>2016</v>
      </c>
      <c r="C1048" s="1" t="s">
        <v>1387</v>
      </c>
      <c r="D1048" s="1" t="s">
        <v>151</v>
      </c>
      <c r="E1048" s="8">
        <v>517548</v>
      </c>
      <c r="F1048" s="5">
        <v>3401380</v>
      </c>
    </row>
    <row r="1049" spans="1:6" x14ac:dyDescent="0.25">
      <c r="A1049" s="5">
        <v>3401380</v>
      </c>
      <c r="B1049" s="1">
        <v>2017</v>
      </c>
      <c r="C1049" s="1" t="s">
        <v>1387</v>
      </c>
      <c r="D1049" s="1" t="s">
        <v>151</v>
      </c>
      <c r="E1049" s="8">
        <v>756568</v>
      </c>
      <c r="F1049" s="5">
        <v>3401380</v>
      </c>
    </row>
    <row r="1050" spans="1:6" x14ac:dyDescent="0.25">
      <c r="A1050" s="5">
        <v>3401380</v>
      </c>
      <c r="B1050" s="1">
        <v>2018</v>
      </c>
      <c r="C1050" s="1" t="s">
        <v>1387</v>
      </c>
      <c r="D1050" s="1" t="s">
        <v>832</v>
      </c>
      <c r="E1050" s="8">
        <v>1064027</v>
      </c>
      <c r="F1050" s="5">
        <v>3401380</v>
      </c>
    </row>
    <row r="1051" spans="1:6" x14ac:dyDescent="0.25">
      <c r="A1051" s="5">
        <v>3401380</v>
      </c>
      <c r="B1051" s="1">
        <v>2019</v>
      </c>
      <c r="C1051" s="1" t="s">
        <v>1387</v>
      </c>
      <c r="D1051" s="1" t="s">
        <v>832</v>
      </c>
      <c r="E1051" s="8">
        <v>1419109</v>
      </c>
      <c r="F1051" s="5">
        <v>3401380</v>
      </c>
    </row>
    <row r="1052" spans="1:6" ht="20" x14ac:dyDescent="0.25">
      <c r="A1052" s="5">
        <v>3401380</v>
      </c>
      <c r="B1052" s="1">
        <v>2020</v>
      </c>
      <c r="C1052" s="1" t="s">
        <v>1387</v>
      </c>
      <c r="D1052" s="2" t="s">
        <v>832</v>
      </c>
      <c r="E1052" s="7">
        <v>1621350</v>
      </c>
      <c r="F1052" s="5">
        <v>3401380</v>
      </c>
    </row>
    <row r="1053" spans="1:6" ht="20" x14ac:dyDescent="0.25">
      <c r="A1053" s="5">
        <v>3401380</v>
      </c>
      <c r="B1053" s="1">
        <v>2021</v>
      </c>
      <c r="C1053" s="1" t="s">
        <v>1387</v>
      </c>
      <c r="D1053" s="3" t="s">
        <v>832</v>
      </c>
      <c r="E1053" s="7">
        <v>2147054</v>
      </c>
      <c r="F1053" s="5">
        <v>3401380</v>
      </c>
    </row>
    <row r="1054" spans="1:6" ht="20" x14ac:dyDescent="0.25">
      <c r="A1054" s="5">
        <v>3401380</v>
      </c>
      <c r="B1054" s="1">
        <v>2022</v>
      </c>
      <c r="C1054" s="1" t="s">
        <v>1387</v>
      </c>
      <c r="D1054" s="2" t="s">
        <v>832</v>
      </c>
      <c r="E1054" s="7">
        <v>3290848</v>
      </c>
      <c r="F1054" s="5">
        <v>3401380</v>
      </c>
    </row>
    <row r="1055" spans="1:6" ht="20" x14ac:dyDescent="0.25">
      <c r="A1055" s="5">
        <v>3401380</v>
      </c>
      <c r="B1055" s="1">
        <v>2023</v>
      </c>
      <c r="C1055" s="1" t="s">
        <v>1387</v>
      </c>
      <c r="D1055" s="2" t="s">
        <v>832</v>
      </c>
      <c r="E1055" s="7">
        <v>3539695</v>
      </c>
      <c r="F1055" s="5">
        <v>3401380</v>
      </c>
    </row>
    <row r="1056" spans="1:6" x14ac:dyDescent="0.25">
      <c r="A1056" s="5">
        <v>3401410</v>
      </c>
      <c r="B1056" s="1">
        <v>2015</v>
      </c>
      <c r="C1056" s="1" t="s">
        <v>1387</v>
      </c>
      <c r="D1056" s="1" t="s">
        <v>404</v>
      </c>
      <c r="E1056" s="8">
        <v>212681</v>
      </c>
      <c r="F1056" s="5">
        <v>3401410</v>
      </c>
    </row>
    <row r="1057" spans="1:6" x14ac:dyDescent="0.25">
      <c r="A1057" s="5">
        <v>3401410</v>
      </c>
      <c r="B1057" s="1">
        <v>2016</v>
      </c>
      <c r="C1057" s="1" t="s">
        <v>1387</v>
      </c>
      <c r="D1057" s="1" t="s">
        <v>404</v>
      </c>
      <c r="E1057" s="8">
        <v>311265</v>
      </c>
      <c r="F1057" s="5">
        <v>3401410</v>
      </c>
    </row>
    <row r="1058" spans="1:6" x14ac:dyDescent="0.25">
      <c r="A1058" s="5">
        <v>3401410</v>
      </c>
      <c r="B1058" s="1">
        <v>2017</v>
      </c>
      <c r="C1058" s="1" t="s">
        <v>1387</v>
      </c>
      <c r="D1058" s="1" t="s">
        <v>404</v>
      </c>
      <c r="E1058" s="8">
        <v>446000</v>
      </c>
      <c r="F1058" s="5">
        <v>3401410</v>
      </c>
    </row>
    <row r="1059" spans="1:6" x14ac:dyDescent="0.25">
      <c r="A1059" s="5">
        <v>3401410</v>
      </c>
      <c r="B1059" s="1">
        <v>2018</v>
      </c>
      <c r="C1059" s="1" t="s">
        <v>1387</v>
      </c>
      <c r="D1059" s="1" t="s">
        <v>1096</v>
      </c>
      <c r="E1059" s="8">
        <v>566811</v>
      </c>
      <c r="F1059" s="5">
        <v>3401410</v>
      </c>
    </row>
    <row r="1060" spans="1:6" x14ac:dyDescent="0.25">
      <c r="A1060" s="5">
        <v>3401410</v>
      </c>
      <c r="B1060" s="1">
        <v>2019</v>
      </c>
      <c r="C1060" s="1" t="s">
        <v>1387</v>
      </c>
      <c r="D1060" s="1" t="s">
        <v>1096</v>
      </c>
      <c r="E1060" s="8">
        <v>777636</v>
      </c>
      <c r="F1060" s="5">
        <v>3401410</v>
      </c>
    </row>
    <row r="1061" spans="1:6" ht="20" x14ac:dyDescent="0.25">
      <c r="A1061" s="5">
        <v>3401410</v>
      </c>
      <c r="B1061" s="1">
        <v>2020</v>
      </c>
      <c r="C1061" s="1" t="s">
        <v>1387</v>
      </c>
      <c r="D1061" s="2" t="s">
        <v>1096</v>
      </c>
      <c r="E1061" s="7">
        <v>870831</v>
      </c>
      <c r="F1061" s="5">
        <v>3401410</v>
      </c>
    </row>
    <row r="1062" spans="1:6" ht="20" x14ac:dyDescent="0.25">
      <c r="A1062" s="5">
        <v>3401410</v>
      </c>
      <c r="B1062" s="1">
        <v>2021</v>
      </c>
      <c r="C1062" s="1" t="s">
        <v>1387</v>
      </c>
      <c r="D1062" s="3" t="s">
        <v>1096</v>
      </c>
      <c r="E1062" s="7">
        <v>1122874</v>
      </c>
      <c r="F1062" s="5">
        <v>3401410</v>
      </c>
    </row>
    <row r="1063" spans="1:6" ht="20" x14ac:dyDescent="0.25">
      <c r="A1063" s="5">
        <v>3401410</v>
      </c>
      <c r="B1063" s="1">
        <v>2022</v>
      </c>
      <c r="C1063" s="1" t="s">
        <v>1387</v>
      </c>
      <c r="D1063" s="2" t="s">
        <v>1096</v>
      </c>
      <c r="E1063" s="7">
        <v>1541965</v>
      </c>
      <c r="F1063" s="5">
        <v>3401410</v>
      </c>
    </row>
    <row r="1064" spans="1:6" ht="20" x14ac:dyDescent="0.25">
      <c r="A1064" s="5">
        <v>3401410</v>
      </c>
      <c r="B1064" s="1">
        <v>2023</v>
      </c>
      <c r="C1064" s="1" t="s">
        <v>1387</v>
      </c>
      <c r="D1064" s="2" t="s">
        <v>1096</v>
      </c>
      <c r="E1064" s="7">
        <v>1525290</v>
      </c>
      <c r="F1064" s="5">
        <v>3401410</v>
      </c>
    </row>
    <row r="1065" spans="1:6" x14ac:dyDescent="0.25">
      <c r="A1065" s="5">
        <v>3401440</v>
      </c>
      <c r="B1065" s="1">
        <v>2015</v>
      </c>
      <c r="C1065" s="1" t="s">
        <v>1387</v>
      </c>
      <c r="D1065" s="1" t="s">
        <v>639</v>
      </c>
      <c r="E1065" s="8">
        <v>309817</v>
      </c>
      <c r="F1065" s="5">
        <v>3401440</v>
      </c>
    </row>
    <row r="1066" spans="1:6" x14ac:dyDescent="0.25">
      <c r="A1066" s="5">
        <v>3401440</v>
      </c>
      <c r="B1066" s="1">
        <v>2016</v>
      </c>
      <c r="C1066" s="1" t="s">
        <v>1387</v>
      </c>
      <c r="D1066" s="1" t="s">
        <v>639</v>
      </c>
      <c r="E1066" s="8">
        <v>419308</v>
      </c>
      <c r="F1066" s="5">
        <v>3401440</v>
      </c>
    </row>
    <row r="1067" spans="1:6" x14ac:dyDescent="0.25">
      <c r="A1067" s="5">
        <v>3401440</v>
      </c>
      <c r="B1067" s="1">
        <v>2017</v>
      </c>
      <c r="C1067" s="1" t="s">
        <v>1387</v>
      </c>
      <c r="D1067" s="1" t="s">
        <v>639</v>
      </c>
      <c r="E1067" s="8">
        <v>607567</v>
      </c>
      <c r="F1067" s="5">
        <v>3401440</v>
      </c>
    </row>
    <row r="1068" spans="1:6" x14ac:dyDescent="0.25">
      <c r="A1068" s="5">
        <v>3401440</v>
      </c>
      <c r="B1068" s="1">
        <v>2018</v>
      </c>
      <c r="C1068" s="1" t="s">
        <v>1387</v>
      </c>
      <c r="D1068" s="1" t="s">
        <v>1332</v>
      </c>
      <c r="E1068" s="8">
        <v>826127</v>
      </c>
      <c r="F1068" s="5">
        <v>3401440</v>
      </c>
    </row>
    <row r="1069" spans="1:6" x14ac:dyDescent="0.25">
      <c r="A1069" s="5">
        <v>3401440</v>
      </c>
      <c r="B1069" s="1">
        <v>2019</v>
      </c>
      <c r="C1069" s="1" t="s">
        <v>1387</v>
      </c>
      <c r="D1069" s="1" t="s">
        <v>1332</v>
      </c>
      <c r="E1069" s="8">
        <v>1054228</v>
      </c>
      <c r="F1069" s="5">
        <v>3401440</v>
      </c>
    </row>
    <row r="1070" spans="1:6" ht="20" x14ac:dyDescent="0.25">
      <c r="A1070" s="5">
        <v>3401440</v>
      </c>
      <c r="B1070" s="1">
        <v>2020</v>
      </c>
      <c r="C1070" s="1" t="s">
        <v>1387</v>
      </c>
      <c r="D1070" s="2" t="s">
        <v>1332</v>
      </c>
      <c r="E1070" s="7">
        <v>1183569</v>
      </c>
      <c r="F1070" s="5">
        <v>3401440</v>
      </c>
    </row>
    <row r="1071" spans="1:6" ht="20" x14ac:dyDescent="0.25">
      <c r="A1071" s="5">
        <v>3401440</v>
      </c>
      <c r="B1071" s="1">
        <v>2021</v>
      </c>
      <c r="C1071" s="1" t="s">
        <v>1387</v>
      </c>
      <c r="D1071" s="3" t="s">
        <v>1332</v>
      </c>
      <c r="E1071" s="7">
        <v>1426810</v>
      </c>
      <c r="F1071" s="5">
        <v>3401440</v>
      </c>
    </row>
    <row r="1072" spans="1:6" ht="20" x14ac:dyDescent="0.25">
      <c r="A1072" s="5">
        <v>3401440</v>
      </c>
      <c r="B1072" s="1">
        <v>2022</v>
      </c>
      <c r="C1072" s="1" t="s">
        <v>1387</v>
      </c>
      <c r="D1072" s="2" t="s">
        <v>1332</v>
      </c>
      <c r="E1072" s="7">
        <v>2247874</v>
      </c>
      <c r="F1072" s="5">
        <v>3401440</v>
      </c>
    </row>
    <row r="1073" spans="1:6" ht="20" x14ac:dyDescent="0.25">
      <c r="A1073" s="5">
        <v>3401440</v>
      </c>
      <c r="B1073" s="1">
        <v>2023</v>
      </c>
      <c r="C1073" s="1" t="s">
        <v>1387</v>
      </c>
      <c r="D1073" s="2" t="s">
        <v>1332</v>
      </c>
      <c r="E1073" s="7">
        <v>2281673</v>
      </c>
      <c r="F1073" s="5">
        <v>3401440</v>
      </c>
    </row>
    <row r="1074" spans="1:6" x14ac:dyDescent="0.25">
      <c r="A1074" s="5">
        <v>3401450</v>
      </c>
      <c r="B1074" s="1">
        <v>2015</v>
      </c>
      <c r="C1074" s="1" t="s">
        <v>1387</v>
      </c>
      <c r="D1074" s="1" t="s">
        <v>30</v>
      </c>
      <c r="E1074" s="8">
        <v>1587581</v>
      </c>
      <c r="F1074" s="5">
        <v>3401450</v>
      </c>
    </row>
    <row r="1075" spans="1:6" x14ac:dyDescent="0.25">
      <c r="A1075" s="5">
        <v>3401450</v>
      </c>
      <c r="B1075" s="1">
        <v>2016</v>
      </c>
      <c r="C1075" s="1" t="s">
        <v>1387</v>
      </c>
      <c r="D1075" s="1" t="s">
        <v>30</v>
      </c>
      <c r="E1075" s="8">
        <v>2322338</v>
      </c>
      <c r="F1075" s="5">
        <v>3401450</v>
      </c>
    </row>
    <row r="1076" spans="1:6" x14ac:dyDescent="0.25">
      <c r="A1076" s="5">
        <v>3401450</v>
      </c>
      <c r="B1076" s="1">
        <v>2017</v>
      </c>
      <c r="C1076" s="1" t="s">
        <v>1387</v>
      </c>
      <c r="D1076" s="1" t="s">
        <v>30</v>
      </c>
      <c r="E1076" s="8">
        <v>3079160</v>
      </c>
      <c r="F1076" s="5">
        <v>3401450</v>
      </c>
    </row>
    <row r="1077" spans="1:6" x14ac:dyDescent="0.25">
      <c r="A1077" s="5">
        <v>3401450</v>
      </c>
      <c r="B1077" s="1">
        <v>2018</v>
      </c>
      <c r="C1077" s="1" t="s">
        <v>1387</v>
      </c>
      <c r="D1077" s="1" t="s">
        <v>708</v>
      </c>
      <c r="E1077" s="8">
        <v>4623337</v>
      </c>
      <c r="F1077" s="5">
        <v>3401450</v>
      </c>
    </row>
    <row r="1078" spans="1:6" x14ac:dyDescent="0.25">
      <c r="A1078" s="5">
        <v>3401450</v>
      </c>
      <c r="B1078" s="1">
        <v>2019</v>
      </c>
      <c r="C1078" s="1" t="s">
        <v>1387</v>
      </c>
      <c r="D1078" s="1" t="s">
        <v>708</v>
      </c>
      <c r="E1078" s="8">
        <v>5874091</v>
      </c>
      <c r="F1078" s="5">
        <v>3401450</v>
      </c>
    </row>
    <row r="1079" spans="1:6" ht="20" x14ac:dyDescent="0.25">
      <c r="A1079" s="5">
        <v>3401450</v>
      </c>
      <c r="B1079" s="1">
        <v>2020</v>
      </c>
      <c r="C1079" s="1" t="s">
        <v>1387</v>
      </c>
      <c r="D1079" s="2" t="s">
        <v>708</v>
      </c>
      <c r="E1079" s="7">
        <v>6256532</v>
      </c>
      <c r="F1079" s="5">
        <v>3401450</v>
      </c>
    </row>
    <row r="1080" spans="1:6" ht="20" x14ac:dyDescent="0.25">
      <c r="A1080" s="5">
        <v>3401450</v>
      </c>
      <c r="B1080" s="1">
        <v>2021</v>
      </c>
      <c r="C1080" s="1" t="s">
        <v>1387</v>
      </c>
      <c r="D1080" s="3" t="s">
        <v>708</v>
      </c>
      <c r="E1080" s="7">
        <v>8067087</v>
      </c>
      <c r="F1080" s="5">
        <v>3401450</v>
      </c>
    </row>
    <row r="1081" spans="1:6" ht="20" x14ac:dyDescent="0.25">
      <c r="A1081" s="5">
        <v>3401450</v>
      </c>
      <c r="B1081" s="1">
        <v>2022</v>
      </c>
      <c r="C1081" s="1" t="s">
        <v>1387</v>
      </c>
      <c r="D1081" s="2" t="s">
        <v>708</v>
      </c>
      <c r="E1081" s="7">
        <v>11297478</v>
      </c>
      <c r="F1081" s="5">
        <v>3401450</v>
      </c>
    </row>
    <row r="1082" spans="1:6" ht="20" x14ac:dyDescent="0.25">
      <c r="A1082" s="5">
        <v>3401450</v>
      </c>
      <c r="B1082" s="1">
        <v>2023</v>
      </c>
      <c r="C1082" s="1" t="s">
        <v>1387</v>
      </c>
      <c r="D1082" s="2" t="s">
        <v>708</v>
      </c>
      <c r="E1082" s="7">
        <v>10854219</v>
      </c>
      <c r="F1082" s="5">
        <v>3401450</v>
      </c>
    </row>
    <row r="1083" spans="1:6" x14ac:dyDescent="0.25">
      <c r="A1083" s="5">
        <v>3401470</v>
      </c>
      <c r="B1083" s="1">
        <v>2015</v>
      </c>
      <c r="C1083" s="1" t="s">
        <v>1387</v>
      </c>
      <c r="D1083" s="1" t="s">
        <v>31</v>
      </c>
      <c r="E1083" s="8">
        <v>1270073</v>
      </c>
      <c r="F1083" s="5">
        <v>3401470</v>
      </c>
    </row>
    <row r="1084" spans="1:6" x14ac:dyDescent="0.25">
      <c r="A1084" s="5">
        <v>3401470</v>
      </c>
      <c r="B1084" s="1">
        <v>2016</v>
      </c>
      <c r="C1084" s="1" t="s">
        <v>1387</v>
      </c>
      <c r="D1084" s="1" t="s">
        <v>31</v>
      </c>
      <c r="E1084" s="8">
        <v>1896233</v>
      </c>
      <c r="F1084" s="5">
        <v>3401470</v>
      </c>
    </row>
    <row r="1085" spans="1:6" x14ac:dyDescent="0.25">
      <c r="A1085" s="5">
        <v>3401470</v>
      </c>
      <c r="B1085" s="1">
        <v>2017</v>
      </c>
      <c r="C1085" s="1" t="s">
        <v>1387</v>
      </c>
      <c r="D1085" s="1" t="s">
        <v>31</v>
      </c>
      <c r="E1085" s="8">
        <v>2692647</v>
      </c>
      <c r="F1085" s="5">
        <v>3401470</v>
      </c>
    </row>
    <row r="1086" spans="1:6" x14ac:dyDescent="0.25">
      <c r="A1086" s="5">
        <v>3401470</v>
      </c>
      <c r="B1086" s="1">
        <v>2018</v>
      </c>
      <c r="C1086" s="1" t="s">
        <v>1387</v>
      </c>
      <c r="D1086" s="1" t="s">
        <v>709</v>
      </c>
      <c r="E1086" s="8">
        <v>3635335</v>
      </c>
      <c r="F1086" s="5">
        <v>3401470</v>
      </c>
    </row>
    <row r="1087" spans="1:6" x14ac:dyDescent="0.25">
      <c r="A1087" s="5">
        <v>3401470</v>
      </c>
      <c r="B1087" s="1">
        <v>2019</v>
      </c>
      <c r="C1087" s="1" t="s">
        <v>1387</v>
      </c>
      <c r="D1087" s="1" t="s">
        <v>709</v>
      </c>
      <c r="E1087" s="8">
        <v>4714323</v>
      </c>
      <c r="F1087" s="5">
        <v>3401470</v>
      </c>
    </row>
    <row r="1088" spans="1:6" ht="20" x14ac:dyDescent="0.25">
      <c r="A1088" s="5">
        <v>3401470</v>
      </c>
      <c r="B1088" s="1">
        <v>2020</v>
      </c>
      <c r="C1088" s="1" t="s">
        <v>1387</v>
      </c>
      <c r="D1088" s="2" t="s">
        <v>709</v>
      </c>
      <c r="E1088" s="7">
        <v>5506044</v>
      </c>
      <c r="F1088" s="5">
        <v>3401470</v>
      </c>
    </row>
    <row r="1089" spans="1:6" ht="20" x14ac:dyDescent="0.25">
      <c r="A1089" s="5">
        <v>3401470</v>
      </c>
      <c r="B1089" s="1">
        <v>2021</v>
      </c>
      <c r="C1089" s="1" t="s">
        <v>1387</v>
      </c>
      <c r="D1089" s="3" t="s">
        <v>709</v>
      </c>
      <c r="E1089" s="7">
        <v>7183325</v>
      </c>
      <c r="F1089" s="5">
        <v>3401470</v>
      </c>
    </row>
    <row r="1090" spans="1:6" ht="20" x14ac:dyDescent="0.25">
      <c r="A1090" s="5">
        <v>3401470</v>
      </c>
      <c r="B1090" s="1">
        <v>2022</v>
      </c>
      <c r="C1090" s="1" t="s">
        <v>1387</v>
      </c>
      <c r="D1090" s="2" t="s">
        <v>709</v>
      </c>
      <c r="E1090" s="7">
        <v>10498385</v>
      </c>
      <c r="F1090" s="5">
        <v>3401470</v>
      </c>
    </row>
    <row r="1091" spans="1:6" ht="20" x14ac:dyDescent="0.25">
      <c r="A1091" s="5">
        <v>3401470</v>
      </c>
      <c r="B1091" s="1">
        <v>2023</v>
      </c>
      <c r="C1091" s="1" t="s">
        <v>1387</v>
      </c>
      <c r="D1091" s="2" t="s">
        <v>709</v>
      </c>
      <c r="E1091" s="7">
        <v>10712892</v>
      </c>
      <c r="F1091" s="5">
        <v>3401470</v>
      </c>
    </row>
    <row r="1092" spans="1:6" x14ac:dyDescent="0.25">
      <c r="A1092" s="5">
        <v>3401500</v>
      </c>
      <c r="B1092" s="1">
        <v>2015</v>
      </c>
      <c r="C1092" s="1" t="s">
        <v>1387</v>
      </c>
      <c r="D1092" s="1" t="s">
        <v>32</v>
      </c>
      <c r="E1092" s="8">
        <v>1261573</v>
      </c>
      <c r="F1092" s="5">
        <v>3401500</v>
      </c>
    </row>
    <row r="1093" spans="1:6" x14ac:dyDescent="0.25">
      <c r="A1093" s="5">
        <v>3401500</v>
      </c>
      <c r="B1093" s="1">
        <v>2016</v>
      </c>
      <c r="C1093" s="1" t="s">
        <v>1387</v>
      </c>
      <c r="D1093" s="1" t="s">
        <v>32</v>
      </c>
      <c r="E1093" s="8">
        <v>1804336</v>
      </c>
      <c r="F1093" s="5">
        <v>3401500</v>
      </c>
    </row>
    <row r="1094" spans="1:6" x14ac:dyDescent="0.25">
      <c r="A1094" s="5">
        <v>3401500</v>
      </c>
      <c r="B1094" s="1">
        <v>2017</v>
      </c>
      <c r="C1094" s="1" t="s">
        <v>1387</v>
      </c>
      <c r="D1094" s="1" t="s">
        <v>32</v>
      </c>
      <c r="E1094" s="8">
        <v>2708886</v>
      </c>
      <c r="F1094" s="5">
        <v>3401500</v>
      </c>
    </row>
    <row r="1095" spans="1:6" x14ac:dyDescent="0.25">
      <c r="A1095" s="5">
        <v>3401500</v>
      </c>
      <c r="B1095" s="1">
        <v>2018</v>
      </c>
      <c r="C1095" s="1" t="s">
        <v>1387</v>
      </c>
      <c r="D1095" s="1" t="s">
        <v>710</v>
      </c>
      <c r="E1095" s="8">
        <v>3617716</v>
      </c>
      <c r="F1095" s="5">
        <v>3401500</v>
      </c>
    </row>
    <row r="1096" spans="1:6" x14ac:dyDescent="0.25">
      <c r="A1096" s="5">
        <v>3401500</v>
      </c>
      <c r="B1096" s="1">
        <v>2019</v>
      </c>
      <c r="C1096" s="1" t="s">
        <v>1387</v>
      </c>
      <c r="D1096" s="1" t="s">
        <v>710</v>
      </c>
      <c r="E1096" s="8">
        <v>4832166</v>
      </c>
      <c r="F1096" s="5">
        <v>3401500</v>
      </c>
    </row>
    <row r="1097" spans="1:6" ht="20" x14ac:dyDescent="0.25">
      <c r="A1097" s="5">
        <v>3401500</v>
      </c>
      <c r="B1097" s="1">
        <v>2020</v>
      </c>
      <c r="C1097" s="1" t="s">
        <v>1387</v>
      </c>
      <c r="D1097" s="2" t="s">
        <v>710</v>
      </c>
      <c r="E1097" s="7">
        <v>5386755</v>
      </c>
      <c r="F1097" s="5">
        <v>3401500</v>
      </c>
    </row>
    <row r="1098" spans="1:6" ht="20" x14ac:dyDescent="0.25">
      <c r="A1098" s="5">
        <v>3401500</v>
      </c>
      <c r="B1098" s="1">
        <v>2021</v>
      </c>
      <c r="C1098" s="1" t="s">
        <v>1387</v>
      </c>
      <c r="D1098" s="3" t="s">
        <v>710</v>
      </c>
      <c r="E1098" s="7">
        <v>6844375</v>
      </c>
      <c r="F1098" s="5">
        <v>3401500</v>
      </c>
    </row>
    <row r="1099" spans="1:6" ht="20" x14ac:dyDescent="0.25">
      <c r="A1099" s="5">
        <v>3401500</v>
      </c>
      <c r="B1099" s="1">
        <v>2022</v>
      </c>
      <c r="C1099" s="1" t="s">
        <v>1387</v>
      </c>
      <c r="D1099" s="2" t="s">
        <v>710</v>
      </c>
      <c r="E1099" s="7">
        <v>10162551</v>
      </c>
      <c r="F1099" s="5">
        <v>3401500</v>
      </c>
    </row>
    <row r="1100" spans="1:6" ht="20" x14ac:dyDescent="0.25">
      <c r="A1100" s="5">
        <v>3401500</v>
      </c>
      <c r="B1100" s="1">
        <v>2023</v>
      </c>
      <c r="C1100" s="1" t="s">
        <v>1387</v>
      </c>
      <c r="D1100" s="2" t="s">
        <v>710</v>
      </c>
      <c r="E1100" s="7">
        <v>10130081</v>
      </c>
      <c r="F1100" s="5">
        <v>3401500</v>
      </c>
    </row>
    <row r="1101" spans="1:6" x14ac:dyDescent="0.25">
      <c r="A1101" s="5">
        <v>3401530</v>
      </c>
      <c r="B1101" s="1">
        <v>2015</v>
      </c>
      <c r="C1101" s="1" t="s">
        <v>1387</v>
      </c>
      <c r="D1101" s="1" t="s">
        <v>612</v>
      </c>
      <c r="E1101" s="8">
        <v>1171087</v>
      </c>
      <c r="F1101" s="5">
        <v>3401530</v>
      </c>
    </row>
    <row r="1102" spans="1:6" x14ac:dyDescent="0.25">
      <c r="A1102" s="5">
        <v>3401530</v>
      </c>
      <c r="B1102" s="1">
        <v>2016</v>
      </c>
      <c r="C1102" s="1" t="s">
        <v>1387</v>
      </c>
      <c r="D1102" s="1" t="s">
        <v>612</v>
      </c>
      <c r="E1102" s="8">
        <v>1782485</v>
      </c>
      <c r="F1102" s="5">
        <v>3401530</v>
      </c>
    </row>
    <row r="1103" spans="1:6" x14ac:dyDescent="0.25">
      <c r="A1103" s="5">
        <v>3401530</v>
      </c>
      <c r="B1103" s="1">
        <v>2017</v>
      </c>
      <c r="C1103" s="1" t="s">
        <v>1387</v>
      </c>
      <c r="D1103" s="1" t="s">
        <v>612</v>
      </c>
      <c r="E1103" s="8">
        <v>2478013</v>
      </c>
      <c r="F1103" s="5">
        <v>3401530</v>
      </c>
    </row>
    <row r="1104" spans="1:6" x14ac:dyDescent="0.25">
      <c r="A1104" s="5">
        <v>3401530</v>
      </c>
      <c r="B1104" s="1">
        <v>2018</v>
      </c>
      <c r="C1104" s="1" t="s">
        <v>1387</v>
      </c>
      <c r="D1104" s="1" t="s">
        <v>1305</v>
      </c>
      <c r="E1104" s="8">
        <v>3407168</v>
      </c>
      <c r="F1104" s="5">
        <v>3401530</v>
      </c>
    </row>
    <row r="1105" spans="1:6" x14ac:dyDescent="0.25">
      <c r="A1105" s="5">
        <v>3401530</v>
      </c>
      <c r="B1105" s="1">
        <v>2019</v>
      </c>
      <c r="C1105" s="1" t="s">
        <v>1387</v>
      </c>
      <c r="D1105" s="1" t="s">
        <v>1305</v>
      </c>
      <c r="E1105" s="8">
        <v>4525390</v>
      </c>
      <c r="F1105" s="5">
        <v>3401530</v>
      </c>
    </row>
    <row r="1106" spans="1:6" ht="20" x14ac:dyDescent="0.25">
      <c r="A1106" s="5">
        <v>3401530</v>
      </c>
      <c r="B1106" s="1">
        <v>2020</v>
      </c>
      <c r="C1106" s="1" t="s">
        <v>1387</v>
      </c>
      <c r="D1106" s="2" t="s">
        <v>1305</v>
      </c>
      <c r="E1106" s="7">
        <v>5148809</v>
      </c>
      <c r="F1106" s="5">
        <v>3401530</v>
      </c>
    </row>
    <row r="1107" spans="1:6" ht="20" x14ac:dyDescent="0.25">
      <c r="A1107" s="5">
        <v>3401530</v>
      </c>
      <c r="B1107" s="1">
        <v>2021</v>
      </c>
      <c r="C1107" s="1" t="s">
        <v>1387</v>
      </c>
      <c r="D1107" s="3" t="s">
        <v>1305</v>
      </c>
      <c r="E1107" s="7">
        <v>6396887</v>
      </c>
      <c r="F1107" s="5">
        <v>3401530</v>
      </c>
    </row>
    <row r="1108" spans="1:6" ht="20" x14ac:dyDescent="0.25">
      <c r="A1108" s="5">
        <v>3401530</v>
      </c>
      <c r="B1108" s="1">
        <v>2022</v>
      </c>
      <c r="C1108" s="1" t="s">
        <v>1387</v>
      </c>
      <c r="D1108" s="2" t="s">
        <v>1305</v>
      </c>
      <c r="E1108" s="7">
        <v>9413820</v>
      </c>
      <c r="F1108" s="5">
        <v>3401530</v>
      </c>
    </row>
    <row r="1109" spans="1:6" ht="20" x14ac:dyDescent="0.25">
      <c r="A1109" s="5">
        <v>3401530</v>
      </c>
      <c r="B1109" s="1">
        <v>2023</v>
      </c>
      <c r="C1109" s="1" t="s">
        <v>1387</v>
      </c>
      <c r="D1109" s="2" t="s">
        <v>1305</v>
      </c>
      <c r="E1109" s="7">
        <v>9516028</v>
      </c>
      <c r="F1109" s="5">
        <v>3401530</v>
      </c>
    </row>
    <row r="1110" spans="1:6" x14ac:dyDescent="0.25">
      <c r="A1110" s="5">
        <v>3401560</v>
      </c>
      <c r="B1110" s="1">
        <v>2015</v>
      </c>
      <c r="C1110" s="1" t="s">
        <v>1387</v>
      </c>
      <c r="D1110" s="1" t="s">
        <v>497</v>
      </c>
      <c r="E1110" s="8">
        <v>676638</v>
      </c>
      <c r="F1110" s="5">
        <v>3401560</v>
      </c>
    </row>
    <row r="1111" spans="1:6" x14ac:dyDescent="0.25">
      <c r="A1111" s="5">
        <v>3401560</v>
      </c>
      <c r="B1111" s="1">
        <v>2016</v>
      </c>
      <c r="C1111" s="1" t="s">
        <v>1387</v>
      </c>
      <c r="D1111" s="1" t="s">
        <v>497</v>
      </c>
      <c r="E1111" s="8">
        <v>1032560</v>
      </c>
      <c r="F1111" s="5">
        <v>3401560</v>
      </c>
    </row>
    <row r="1112" spans="1:6" x14ac:dyDescent="0.25">
      <c r="A1112" s="5">
        <v>3401560</v>
      </c>
      <c r="B1112" s="1">
        <v>2017</v>
      </c>
      <c r="C1112" s="1" t="s">
        <v>1387</v>
      </c>
      <c r="D1112" s="1" t="s">
        <v>497</v>
      </c>
      <c r="E1112" s="8">
        <v>1448382</v>
      </c>
      <c r="F1112" s="5">
        <v>3401560</v>
      </c>
    </row>
    <row r="1113" spans="1:6" x14ac:dyDescent="0.25">
      <c r="A1113" s="5">
        <v>3401560</v>
      </c>
      <c r="B1113" s="1">
        <v>2018</v>
      </c>
      <c r="C1113" s="1" t="s">
        <v>1387</v>
      </c>
      <c r="D1113" s="1" t="s">
        <v>1189</v>
      </c>
      <c r="E1113" s="8">
        <v>1959435</v>
      </c>
      <c r="F1113" s="5">
        <v>3401560</v>
      </c>
    </row>
    <row r="1114" spans="1:6" x14ac:dyDescent="0.25">
      <c r="A1114" s="5">
        <v>3401560</v>
      </c>
      <c r="B1114" s="1">
        <v>2019</v>
      </c>
      <c r="C1114" s="1" t="s">
        <v>1387</v>
      </c>
      <c r="D1114" s="1" t="s">
        <v>1189</v>
      </c>
      <c r="E1114" s="8">
        <v>2620819</v>
      </c>
      <c r="F1114" s="5">
        <v>3401560</v>
      </c>
    </row>
    <row r="1115" spans="1:6" ht="20" x14ac:dyDescent="0.25">
      <c r="A1115" s="5">
        <v>3401560</v>
      </c>
      <c r="B1115" s="1">
        <v>2020</v>
      </c>
      <c r="C1115" s="1" t="s">
        <v>1387</v>
      </c>
      <c r="D1115" s="2" t="s">
        <v>1189</v>
      </c>
      <c r="E1115" s="7">
        <v>3050701</v>
      </c>
      <c r="F1115" s="5">
        <v>3401560</v>
      </c>
    </row>
    <row r="1116" spans="1:6" ht="20" x14ac:dyDescent="0.25">
      <c r="A1116" s="5">
        <v>3401560</v>
      </c>
      <c r="B1116" s="1">
        <v>2021</v>
      </c>
      <c r="C1116" s="1" t="s">
        <v>1387</v>
      </c>
      <c r="D1116" s="3" t="s">
        <v>1189</v>
      </c>
      <c r="E1116" s="7">
        <v>4254179</v>
      </c>
      <c r="F1116" s="5">
        <v>3401560</v>
      </c>
    </row>
    <row r="1117" spans="1:6" ht="20" x14ac:dyDescent="0.25">
      <c r="A1117" s="5">
        <v>3401560</v>
      </c>
      <c r="B1117" s="1">
        <v>2022</v>
      </c>
      <c r="C1117" s="1" t="s">
        <v>1387</v>
      </c>
      <c r="D1117" s="2" t="s">
        <v>1189</v>
      </c>
      <c r="E1117" s="7">
        <v>6261788</v>
      </c>
      <c r="F1117" s="5">
        <v>3401560</v>
      </c>
    </row>
    <row r="1118" spans="1:6" ht="20" x14ac:dyDescent="0.25">
      <c r="A1118" s="5">
        <v>3401560</v>
      </c>
      <c r="B1118" s="1">
        <v>2023</v>
      </c>
      <c r="C1118" s="1" t="s">
        <v>1387</v>
      </c>
      <c r="D1118" s="2" t="s">
        <v>1189</v>
      </c>
      <c r="E1118" s="7">
        <v>6385037</v>
      </c>
      <c r="F1118" s="5">
        <v>3401560</v>
      </c>
    </row>
    <row r="1119" spans="1:6" x14ac:dyDescent="0.25">
      <c r="A1119" s="5">
        <v>3401590</v>
      </c>
      <c r="B1119" s="1">
        <v>2015</v>
      </c>
      <c r="C1119" s="1" t="s">
        <v>1387</v>
      </c>
      <c r="D1119" s="1" t="s">
        <v>152</v>
      </c>
      <c r="E1119" s="8">
        <v>290462</v>
      </c>
      <c r="F1119" s="5">
        <v>3401590</v>
      </c>
    </row>
    <row r="1120" spans="1:6" x14ac:dyDescent="0.25">
      <c r="A1120" s="5">
        <v>3401590</v>
      </c>
      <c r="B1120" s="1">
        <v>2016</v>
      </c>
      <c r="C1120" s="1" t="s">
        <v>1387</v>
      </c>
      <c r="D1120" s="1" t="s">
        <v>152</v>
      </c>
      <c r="E1120" s="8">
        <v>425758</v>
      </c>
      <c r="F1120" s="5">
        <v>3401590</v>
      </c>
    </row>
    <row r="1121" spans="1:6" x14ac:dyDescent="0.25">
      <c r="A1121" s="5">
        <v>3401590</v>
      </c>
      <c r="B1121" s="1">
        <v>2017</v>
      </c>
      <c r="C1121" s="1" t="s">
        <v>1387</v>
      </c>
      <c r="D1121" s="1" t="s">
        <v>152</v>
      </c>
      <c r="E1121" s="8">
        <v>568834</v>
      </c>
      <c r="F1121" s="5">
        <v>3401590</v>
      </c>
    </row>
    <row r="1122" spans="1:6" x14ac:dyDescent="0.25">
      <c r="A1122" s="5">
        <v>3401590</v>
      </c>
      <c r="B1122" s="1">
        <v>2018</v>
      </c>
      <c r="C1122" s="1" t="s">
        <v>1387</v>
      </c>
      <c r="D1122" s="1" t="s">
        <v>833</v>
      </c>
      <c r="E1122" s="8">
        <v>783696</v>
      </c>
      <c r="F1122" s="5">
        <v>3401590</v>
      </c>
    </row>
    <row r="1123" spans="1:6" x14ac:dyDescent="0.25">
      <c r="A1123" s="5">
        <v>3401590</v>
      </c>
      <c r="B1123" s="1">
        <v>2019</v>
      </c>
      <c r="C1123" s="1" t="s">
        <v>1387</v>
      </c>
      <c r="D1123" s="1" t="s">
        <v>833</v>
      </c>
      <c r="E1123" s="8">
        <v>1079056</v>
      </c>
      <c r="F1123" s="5">
        <v>3401590</v>
      </c>
    </row>
    <row r="1124" spans="1:6" ht="20" x14ac:dyDescent="0.25">
      <c r="A1124" s="5">
        <v>3401590</v>
      </c>
      <c r="B1124" s="1">
        <v>2020</v>
      </c>
      <c r="C1124" s="1" t="s">
        <v>1387</v>
      </c>
      <c r="D1124" s="2" t="s">
        <v>833</v>
      </c>
      <c r="E1124" s="7">
        <v>1164798</v>
      </c>
      <c r="F1124" s="5">
        <v>3401590</v>
      </c>
    </row>
    <row r="1125" spans="1:6" ht="20" x14ac:dyDescent="0.25">
      <c r="A1125" s="5">
        <v>3401590</v>
      </c>
      <c r="B1125" s="1">
        <v>2021</v>
      </c>
      <c r="C1125" s="1" t="s">
        <v>1387</v>
      </c>
      <c r="D1125" s="3" t="s">
        <v>833</v>
      </c>
      <c r="E1125" s="7">
        <v>1438248</v>
      </c>
      <c r="F1125" s="5">
        <v>3401590</v>
      </c>
    </row>
    <row r="1126" spans="1:6" ht="20" x14ac:dyDescent="0.25">
      <c r="A1126" s="5">
        <v>3401590</v>
      </c>
      <c r="B1126" s="1">
        <v>2022</v>
      </c>
      <c r="C1126" s="1" t="s">
        <v>1387</v>
      </c>
      <c r="D1126" s="2" t="s">
        <v>833</v>
      </c>
      <c r="E1126" s="7">
        <v>2030203</v>
      </c>
      <c r="F1126" s="5">
        <v>3401590</v>
      </c>
    </row>
    <row r="1127" spans="1:6" ht="20" x14ac:dyDescent="0.25">
      <c r="A1127" s="5">
        <v>3401590</v>
      </c>
      <c r="B1127" s="1">
        <v>2023</v>
      </c>
      <c r="C1127" s="1" t="s">
        <v>1387</v>
      </c>
      <c r="D1127" s="2" t="s">
        <v>833</v>
      </c>
      <c r="E1127" s="7">
        <v>2063216</v>
      </c>
      <c r="F1127" s="5">
        <v>3401590</v>
      </c>
    </row>
    <row r="1128" spans="1:6" x14ac:dyDescent="0.25">
      <c r="A1128" s="5">
        <v>3401620</v>
      </c>
      <c r="B1128" s="1">
        <v>2015</v>
      </c>
      <c r="C1128" s="1" t="s">
        <v>1387</v>
      </c>
      <c r="D1128" s="1" t="s">
        <v>153</v>
      </c>
      <c r="E1128" s="8">
        <v>265858</v>
      </c>
      <c r="F1128" s="5">
        <v>3401620</v>
      </c>
    </row>
    <row r="1129" spans="1:6" x14ac:dyDescent="0.25">
      <c r="A1129" s="5">
        <v>3401620</v>
      </c>
      <c r="B1129" s="1">
        <v>2016</v>
      </c>
      <c r="C1129" s="1" t="s">
        <v>1387</v>
      </c>
      <c r="D1129" s="1" t="s">
        <v>153</v>
      </c>
      <c r="E1129" s="8">
        <v>399888</v>
      </c>
      <c r="F1129" s="5">
        <v>3401620</v>
      </c>
    </row>
    <row r="1130" spans="1:6" x14ac:dyDescent="0.25">
      <c r="A1130" s="5">
        <v>3401620</v>
      </c>
      <c r="B1130" s="1">
        <v>2017</v>
      </c>
      <c r="C1130" s="1" t="s">
        <v>1387</v>
      </c>
      <c r="D1130" s="1" t="s">
        <v>153</v>
      </c>
      <c r="E1130" s="8">
        <v>574961</v>
      </c>
      <c r="F1130" s="5">
        <v>3401620</v>
      </c>
    </row>
    <row r="1131" spans="1:6" x14ac:dyDescent="0.25">
      <c r="A1131" s="5">
        <v>3401620</v>
      </c>
      <c r="B1131" s="1">
        <v>2018</v>
      </c>
      <c r="C1131" s="1" t="s">
        <v>1387</v>
      </c>
      <c r="D1131" s="1" t="s">
        <v>834</v>
      </c>
      <c r="E1131" s="8">
        <v>842173</v>
      </c>
      <c r="F1131" s="5">
        <v>3401620</v>
      </c>
    </row>
    <row r="1132" spans="1:6" x14ac:dyDescent="0.25">
      <c r="A1132" s="5">
        <v>3401620</v>
      </c>
      <c r="B1132" s="1">
        <v>2019</v>
      </c>
      <c r="C1132" s="1" t="s">
        <v>1387</v>
      </c>
      <c r="D1132" s="1" t="s">
        <v>834</v>
      </c>
      <c r="E1132" s="8">
        <v>1063162</v>
      </c>
      <c r="F1132" s="5">
        <v>3401620</v>
      </c>
    </row>
    <row r="1133" spans="1:6" ht="20" x14ac:dyDescent="0.25">
      <c r="A1133" s="5">
        <v>3401620</v>
      </c>
      <c r="B1133" s="1">
        <v>2020</v>
      </c>
      <c r="C1133" s="1" t="s">
        <v>1387</v>
      </c>
      <c r="D1133" s="2" t="s">
        <v>834</v>
      </c>
      <c r="E1133" s="7">
        <v>1170768</v>
      </c>
      <c r="F1133" s="5">
        <v>3401620</v>
      </c>
    </row>
    <row r="1134" spans="1:6" ht="20" x14ac:dyDescent="0.25">
      <c r="A1134" s="5">
        <v>3401620</v>
      </c>
      <c r="B1134" s="1">
        <v>2021</v>
      </c>
      <c r="C1134" s="1" t="s">
        <v>1387</v>
      </c>
      <c r="D1134" s="3" t="s">
        <v>834</v>
      </c>
      <c r="E1134" s="7">
        <v>1581580</v>
      </c>
      <c r="F1134" s="5">
        <v>3401620</v>
      </c>
    </row>
    <row r="1135" spans="1:6" ht="20" x14ac:dyDescent="0.25">
      <c r="A1135" s="5">
        <v>3401620</v>
      </c>
      <c r="B1135" s="1">
        <v>2022</v>
      </c>
      <c r="C1135" s="1" t="s">
        <v>1387</v>
      </c>
      <c r="D1135" s="2" t="s">
        <v>834</v>
      </c>
      <c r="E1135" s="7">
        <v>2123265</v>
      </c>
      <c r="F1135" s="5">
        <v>3401620</v>
      </c>
    </row>
    <row r="1136" spans="1:6" ht="20" x14ac:dyDescent="0.25">
      <c r="A1136" s="5">
        <v>3401620</v>
      </c>
      <c r="B1136" s="1">
        <v>2023</v>
      </c>
      <c r="C1136" s="1" t="s">
        <v>1387</v>
      </c>
      <c r="D1136" s="2" t="s">
        <v>834</v>
      </c>
      <c r="E1136" s="7">
        <v>1926217</v>
      </c>
      <c r="F1136" s="5">
        <v>3401620</v>
      </c>
    </row>
    <row r="1137" spans="1:6" x14ac:dyDescent="0.25">
      <c r="A1137" s="5">
        <v>3401650</v>
      </c>
      <c r="B1137" s="1">
        <v>2015</v>
      </c>
      <c r="C1137" s="1" t="s">
        <v>1387</v>
      </c>
      <c r="D1137" s="1" t="s">
        <v>564</v>
      </c>
      <c r="E1137" s="8">
        <v>2034277</v>
      </c>
      <c r="F1137" s="5">
        <v>3401650</v>
      </c>
    </row>
    <row r="1138" spans="1:6" x14ac:dyDescent="0.25">
      <c r="A1138" s="5">
        <v>3401650</v>
      </c>
      <c r="B1138" s="1">
        <v>2016</v>
      </c>
      <c r="C1138" s="1" t="s">
        <v>1387</v>
      </c>
      <c r="D1138" s="1" t="s">
        <v>564</v>
      </c>
      <c r="E1138" s="8">
        <v>3041126</v>
      </c>
      <c r="F1138" s="5">
        <v>3401650</v>
      </c>
    </row>
    <row r="1139" spans="1:6" x14ac:dyDescent="0.25">
      <c r="A1139" s="5">
        <v>3401650</v>
      </c>
      <c r="B1139" s="1">
        <v>2017</v>
      </c>
      <c r="C1139" s="1" t="s">
        <v>1387</v>
      </c>
      <c r="D1139" s="1" t="s">
        <v>564</v>
      </c>
      <c r="E1139" s="8">
        <v>4288992</v>
      </c>
      <c r="F1139" s="5">
        <v>3401650</v>
      </c>
    </row>
    <row r="1140" spans="1:6" x14ac:dyDescent="0.25">
      <c r="A1140" s="5">
        <v>3401650</v>
      </c>
      <c r="B1140" s="1">
        <v>2018</v>
      </c>
      <c r="C1140" s="1" t="s">
        <v>1387</v>
      </c>
      <c r="D1140" s="1" t="s">
        <v>1256</v>
      </c>
      <c r="E1140" s="8">
        <v>5954624</v>
      </c>
      <c r="F1140" s="5">
        <v>3401650</v>
      </c>
    </row>
    <row r="1141" spans="1:6" x14ac:dyDescent="0.25">
      <c r="A1141" s="5">
        <v>3401650</v>
      </c>
      <c r="B1141" s="1">
        <v>2019</v>
      </c>
      <c r="C1141" s="1" t="s">
        <v>1387</v>
      </c>
      <c r="D1141" s="1" t="s">
        <v>1256</v>
      </c>
      <c r="E1141" s="8">
        <v>7914707</v>
      </c>
      <c r="F1141" s="5">
        <v>3401650</v>
      </c>
    </row>
    <row r="1142" spans="1:6" ht="20" x14ac:dyDescent="0.25">
      <c r="A1142" s="5">
        <v>3401650</v>
      </c>
      <c r="B1142" s="1">
        <v>2020</v>
      </c>
      <c r="C1142" s="1" t="s">
        <v>1387</v>
      </c>
      <c r="D1142" s="2" t="s">
        <v>1256</v>
      </c>
      <c r="E1142" s="7">
        <v>9100441</v>
      </c>
      <c r="F1142" s="5">
        <v>3401650</v>
      </c>
    </row>
    <row r="1143" spans="1:6" ht="20" x14ac:dyDescent="0.25">
      <c r="A1143" s="5">
        <v>3401650</v>
      </c>
      <c r="B1143" s="1">
        <v>2021</v>
      </c>
      <c r="C1143" s="1" t="s">
        <v>1387</v>
      </c>
      <c r="D1143" s="3" t="s">
        <v>1256</v>
      </c>
      <c r="E1143" s="7">
        <v>11676418</v>
      </c>
      <c r="F1143" s="5">
        <v>3401650</v>
      </c>
    </row>
    <row r="1144" spans="1:6" ht="20" x14ac:dyDescent="0.25">
      <c r="A1144" s="5">
        <v>3401650</v>
      </c>
      <c r="B1144" s="1">
        <v>2022</v>
      </c>
      <c r="C1144" s="1" t="s">
        <v>1387</v>
      </c>
      <c r="D1144" s="2" t="s">
        <v>1256</v>
      </c>
      <c r="E1144" s="7">
        <v>16926305</v>
      </c>
      <c r="F1144" s="5">
        <v>3401650</v>
      </c>
    </row>
    <row r="1145" spans="1:6" ht="20" x14ac:dyDescent="0.25">
      <c r="A1145" s="5">
        <v>3401650</v>
      </c>
      <c r="B1145" s="1">
        <v>2023</v>
      </c>
      <c r="C1145" s="1" t="s">
        <v>1387</v>
      </c>
      <c r="D1145" s="2" t="s">
        <v>1256</v>
      </c>
      <c r="E1145" s="7">
        <v>17046259</v>
      </c>
      <c r="F1145" s="5">
        <v>3401650</v>
      </c>
    </row>
    <row r="1146" spans="1:6" x14ac:dyDescent="0.25">
      <c r="A1146" s="5">
        <v>3401710</v>
      </c>
      <c r="B1146" s="1">
        <v>2015</v>
      </c>
      <c r="C1146" s="1" t="s">
        <v>1387</v>
      </c>
      <c r="D1146" s="1" t="s">
        <v>326</v>
      </c>
      <c r="E1146" s="8">
        <v>201875</v>
      </c>
      <c r="F1146" s="5">
        <v>3401710</v>
      </c>
    </row>
    <row r="1147" spans="1:6" x14ac:dyDescent="0.25">
      <c r="A1147" s="5">
        <v>3401710</v>
      </c>
      <c r="B1147" s="1">
        <v>2016</v>
      </c>
      <c r="C1147" s="1" t="s">
        <v>1387</v>
      </c>
      <c r="D1147" s="1" t="s">
        <v>326</v>
      </c>
      <c r="E1147" s="8">
        <v>305152</v>
      </c>
      <c r="F1147" s="5">
        <v>3401710</v>
      </c>
    </row>
    <row r="1148" spans="1:6" x14ac:dyDescent="0.25">
      <c r="A1148" s="5">
        <v>3401710</v>
      </c>
      <c r="B1148" s="1">
        <v>2017</v>
      </c>
      <c r="C1148" s="1" t="s">
        <v>1387</v>
      </c>
      <c r="D1148" s="1" t="s">
        <v>326</v>
      </c>
      <c r="E1148" s="8">
        <v>416199</v>
      </c>
      <c r="F1148" s="5">
        <v>3401710</v>
      </c>
    </row>
    <row r="1149" spans="1:6" x14ac:dyDescent="0.25">
      <c r="A1149" s="5">
        <v>3401710</v>
      </c>
      <c r="B1149" s="1">
        <v>2018</v>
      </c>
      <c r="C1149" s="1" t="s">
        <v>1387</v>
      </c>
      <c r="D1149" s="1" t="s">
        <v>1019</v>
      </c>
      <c r="E1149" s="8">
        <v>562237</v>
      </c>
      <c r="F1149" s="5">
        <v>3401710</v>
      </c>
    </row>
    <row r="1150" spans="1:6" x14ac:dyDescent="0.25">
      <c r="A1150" s="5">
        <v>3401710</v>
      </c>
      <c r="B1150" s="1">
        <v>2019</v>
      </c>
      <c r="C1150" s="1" t="s">
        <v>1387</v>
      </c>
      <c r="D1150" s="1" t="s">
        <v>1019</v>
      </c>
      <c r="E1150" s="8">
        <v>716771</v>
      </c>
      <c r="F1150" s="5">
        <v>3401710</v>
      </c>
    </row>
    <row r="1151" spans="1:6" ht="20" x14ac:dyDescent="0.25">
      <c r="A1151" s="5">
        <v>3401710</v>
      </c>
      <c r="B1151" s="1">
        <v>2020</v>
      </c>
      <c r="C1151" s="1" t="s">
        <v>1387</v>
      </c>
      <c r="D1151" s="2" t="s">
        <v>1019</v>
      </c>
      <c r="E1151" s="7">
        <v>770620</v>
      </c>
      <c r="F1151" s="5">
        <v>3401710</v>
      </c>
    </row>
    <row r="1152" spans="1:6" ht="20" x14ac:dyDescent="0.25">
      <c r="A1152" s="5">
        <v>3401710</v>
      </c>
      <c r="B1152" s="1">
        <v>2021</v>
      </c>
      <c r="C1152" s="1" t="s">
        <v>1387</v>
      </c>
      <c r="D1152" s="3" t="s">
        <v>1019</v>
      </c>
      <c r="E1152" s="7">
        <v>1003593</v>
      </c>
      <c r="F1152" s="5">
        <v>3401710</v>
      </c>
    </row>
    <row r="1153" spans="1:6" ht="20" x14ac:dyDescent="0.25">
      <c r="A1153" s="5">
        <v>3401710</v>
      </c>
      <c r="B1153" s="1">
        <v>2022</v>
      </c>
      <c r="C1153" s="1" t="s">
        <v>1387</v>
      </c>
      <c r="D1153" s="2" t="s">
        <v>1019</v>
      </c>
      <c r="E1153" s="7">
        <v>1295007</v>
      </c>
      <c r="F1153" s="5">
        <v>3401710</v>
      </c>
    </row>
    <row r="1154" spans="1:6" ht="20" x14ac:dyDescent="0.25">
      <c r="A1154" s="5">
        <v>3401710</v>
      </c>
      <c r="B1154" s="1">
        <v>2023</v>
      </c>
      <c r="C1154" s="1" t="s">
        <v>1387</v>
      </c>
      <c r="D1154" s="2" t="s">
        <v>1019</v>
      </c>
      <c r="E1154" s="7">
        <v>1175923</v>
      </c>
      <c r="F1154" s="5">
        <v>3401710</v>
      </c>
    </row>
    <row r="1155" spans="1:6" x14ac:dyDescent="0.25">
      <c r="A1155" s="5">
        <v>3401740</v>
      </c>
      <c r="B1155" s="1">
        <v>2015</v>
      </c>
      <c r="C1155" s="1" t="s">
        <v>1387</v>
      </c>
      <c r="D1155" s="1" t="s">
        <v>107</v>
      </c>
      <c r="E1155" s="8">
        <v>106417</v>
      </c>
      <c r="F1155" s="5">
        <v>3401740</v>
      </c>
    </row>
    <row r="1156" spans="1:6" x14ac:dyDescent="0.25">
      <c r="A1156" s="5">
        <v>3401740</v>
      </c>
      <c r="B1156" s="1">
        <v>2016</v>
      </c>
      <c r="C1156" s="1" t="s">
        <v>1387</v>
      </c>
      <c r="D1156" s="1" t="s">
        <v>107</v>
      </c>
      <c r="E1156" s="8">
        <v>139005</v>
      </c>
      <c r="F1156" s="5">
        <v>3401740</v>
      </c>
    </row>
    <row r="1157" spans="1:6" x14ac:dyDescent="0.25">
      <c r="A1157" s="5">
        <v>3401740</v>
      </c>
      <c r="B1157" s="1">
        <v>2017</v>
      </c>
      <c r="C1157" s="1" t="s">
        <v>1387</v>
      </c>
      <c r="D1157" s="1" t="s">
        <v>107</v>
      </c>
      <c r="E1157" s="8">
        <v>225513</v>
      </c>
      <c r="F1157" s="5">
        <v>3401740</v>
      </c>
    </row>
    <row r="1158" spans="1:6" x14ac:dyDescent="0.25">
      <c r="A1158" s="5">
        <v>3401740</v>
      </c>
      <c r="B1158" s="1">
        <v>2018</v>
      </c>
      <c r="C1158" s="1" t="s">
        <v>1387</v>
      </c>
      <c r="D1158" s="1" t="s">
        <v>788</v>
      </c>
      <c r="E1158" s="8">
        <v>324727</v>
      </c>
      <c r="F1158" s="5">
        <v>3401740</v>
      </c>
    </row>
    <row r="1159" spans="1:6" x14ac:dyDescent="0.25">
      <c r="A1159" s="5">
        <v>3401740</v>
      </c>
      <c r="B1159" s="1">
        <v>2019</v>
      </c>
      <c r="C1159" s="1" t="s">
        <v>1387</v>
      </c>
      <c r="D1159" s="1" t="s">
        <v>788</v>
      </c>
      <c r="E1159" s="8">
        <v>427401</v>
      </c>
      <c r="F1159" s="5">
        <v>3401740</v>
      </c>
    </row>
    <row r="1160" spans="1:6" ht="20" x14ac:dyDescent="0.25">
      <c r="A1160" s="5">
        <v>3401740</v>
      </c>
      <c r="B1160" s="1">
        <v>2020</v>
      </c>
      <c r="C1160" s="1" t="s">
        <v>1387</v>
      </c>
      <c r="D1160" s="2" t="s">
        <v>788</v>
      </c>
      <c r="E1160" s="7">
        <v>494046</v>
      </c>
      <c r="F1160" s="5">
        <v>3401740</v>
      </c>
    </row>
    <row r="1161" spans="1:6" ht="20" x14ac:dyDescent="0.25">
      <c r="A1161" s="5">
        <v>3401740</v>
      </c>
      <c r="B1161" s="1">
        <v>2021</v>
      </c>
      <c r="C1161" s="1" t="s">
        <v>1387</v>
      </c>
      <c r="D1161" s="3" t="s">
        <v>788</v>
      </c>
      <c r="E1161" s="7">
        <v>632742</v>
      </c>
      <c r="F1161" s="5">
        <v>3401740</v>
      </c>
    </row>
    <row r="1162" spans="1:6" ht="20" x14ac:dyDescent="0.25">
      <c r="A1162" s="5">
        <v>3401740</v>
      </c>
      <c r="B1162" s="1">
        <v>2022</v>
      </c>
      <c r="C1162" s="1" t="s">
        <v>1387</v>
      </c>
      <c r="D1162" s="2" t="s">
        <v>788</v>
      </c>
      <c r="E1162" s="7">
        <v>934928</v>
      </c>
      <c r="F1162" s="5">
        <v>3401740</v>
      </c>
    </row>
    <row r="1163" spans="1:6" ht="20" x14ac:dyDescent="0.25">
      <c r="A1163" s="5">
        <v>3401740</v>
      </c>
      <c r="B1163" s="1">
        <v>2023</v>
      </c>
      <c r="C1163" s="1" t="s">
        <v>1387</v>
      </c>
      <c r="D1163" s="2" t="s">
        <v>788</v>
      </c>
      <c r="E1163" s="7">
        <v>991945</v>
      </c>
      <c r="F1163" s="5">
        <v>3401740</v>
      </c>
    </row>
    <row r="1164" spans="1:6" x14ac:dyDescent="0.25">
      <c r="A1164" s="5">
        <v>3401770</v>
      </c>
      <c r="B1164" s="1">
        <v>2015</v>
      </c>
      <c r="C1164" s="1" t="s">
        <v>1387</v>
      </c>
      <c r="D1164" s="1" t="s">
        <v>154</v>
      </c>
      <c r="E1164" s="8">
        <v>1231885</v>
      </c>
      <c r="F1164" s="5">
        <v>3401770</v>
      </c>
    </row>
    <row r="1165" spans="1:6" x14ac:dyDescent="0.25">
      <c r="A1165" s="5">
        <v>3401770</v>
      </c>
      <c r="B1165" s="1">
        <v>2016</v>
      </c>
      <c r="C1165" s="1" t="s">
        <v>1387</v>
      </c>
      <c r="D1165" s="1" t="s">
        <v>154</v>
      </c>
      <c r="E1165" s="8">
        <v>1871321</v>
      </c>
      <c r="F1165" s="5">
        <v>3401770</v>
      </c>
    </row>
    <row r="1166" spans="1:6" x14ac:dyDescent="0.25">
      <c r="A1166" s="5">
        <v>3401770</v>
      </c>
      <c r="B1166" s="1">
        <v>2017</v>
      </c>
      <c r="C1166" s="1" t="s">
        <v>1387</v>
      </c>
      <c r="D1166" s="1" t="s">
        <v>154</v>
      </c>
      <c r="E1166" s="8">
        <v>2614055</v>
      </c>
      <c r="F1166" s="5">
        <v>3401770</v>
      </c>
    </row>
    <row r="1167" spans="1:6" x14ac:dyDescent="0.25">
      <c r="A1167" s="5">
        <v>3401770</v>
      </c>
      <c r="B1167" s="1">
        <v>2018</v>
      </c>
      <c r="C1167" s="1" t="s">
        <v>1387</v>
      </c>
      <c r="D1167" s="1" t="s">
        <v>835</v>
      </c>
      <c r="E1167" s="8">
        <v>3581177</v>
      </c>
      <c r="F1167" s="5">
        <v>3401770</v>
      </c>
    </row>
    <row r="1168" spans="1:6" x14ac:dyDescent="0.25">
      <c r="A1168" s="5">
        <v>3401770</v>
      </c>
      <c r="B1168" s="1">
        <v>2019</v>
      </c>
      <c r="C1168" s="1" t="s">
        <v>1387</v>
      </c>
      <c r="D1168" s="1" t="s">
        <v>835</v>
      </c>
      <c r="E1168" s="8">
        <v>4905839</v>
      </c>
      <c r="F1168" s="5">
        <v>3401770</v>
      </c>
    </row>
    <row r="1169" spans="1:6" ht="20" x14ac:dyDescent="0.25">
      <c r="A1169" s="5">
        <v>3401770</v>
      </c>
      <c r="B1169" s="1">
        <v>2020</v>
      </c>
      <c r="C1169" s="1" t="s">
        <v>1387</v>
      </c>
      <c r="D1169" s="2" t="s">
        <v>835</v>
      </c>
      <c r="E1169" s="7">
        <v>5479228</v>
      </c>
      <c r="F1169" s="5">
        <v>3401770</v>
      </c>
    </row>
    <row r="1170" spans="1:6" ht="20" x14ac:dyDescent="0.25">
      <c r="A1170" s="5">
        <v>3401770</v>
      </c>
      <c r="B1170" s="1">
        <v>2021</v>
      </c>
      <c r="C1170" s="1" t="s">
        <v>1387</v>
      </c>
      <c r="D1170" s="3" t="s">
        <v>835</v>
      </c>
      <c r="E1170" s="7">
        <v>7289898</v>
      </c>
      <c r="F1170" s="5">
        <v>3401770</v>
      </c>
    </row>
    <row r="1171" spans="1:6" ht="20" x14ac:dyDescent="0.25">
      <c r="A1171" s="5">
        <v>3401770</v>
      </c>
      <c r="B1171" s="1">
        <v>2022</v>
      </c>
      <c r="C1171" s="1" t="s">
        <v>1387</v>
      </c>
      <c r="D1171" s="2" t="s">
        <v>835</v>
      </c>
      <c r="E1171" s="7">
        <v>10302980</v>
      </c>
      <c r="F1171" s="5">
        <v>3401770</v>
      </c>
    </row>
    <row r="1172" spans="1:6" ht="20" x14ac:dyDescent="0.25">
      <c r="A1172" s="5">
        <v>3401770</v>
      </c>
      <c r="B1172" s="1">
        <v>2023</v>
      </c>
      <c r="C1172" s="1" t="s">
        <v>1387</v>
      </c>
      <c r="D1172" s="2" t="s">
        <v>835</v>
      </c>
      <c r="E1172" s="7">
        <v>10253414</v>
      </c>
      <c r="F1172" s="5">
        <v>3401770</v>
      </c>
    </row>
    <row r="1173" spans="1:6" x14ac:dyDescent="0.25">
      <c r="A1173" s="5">
        <v>3401800</v>
      </c>
      <c r="B1173" s="1">
        <v>2015</v>
      </c>
      <c r="C1173" s="1" t="s">
        <v>1387</v>
      </c>
      <c r="D1173" s="1" t="s">
        <v>640</v>
      </c>
      <c r="E1173" s="8">
        <v>219076</v>
      </c>
      <c r="F1173" s="5">
        <v>3401800</v>
      </c>
    </row>
    <row r="1174" spans="1:6" x14ac:dyDescent="0.25">
      <c r="A1174" s="5">
        <v>3401800</v>
      </c>
      <c r="B1174" s="1">
        <v>2016</v>
      </c>
      <c r="C1174" s="1" t="s">
        <v>1387</v>
      </c>
      <c r="D1174" s="1" t="s">
        <v>640</v>
      </c>
      <c r="E1174" s="8">
        <v>306653</v>
      </c>
      <c r="F1174" s="5">
        <v>3401800</v>
      </c>
    </row>
    <row r="1175" spans="1:6" x14ac:dyDescent="0.25">
      <c r="A1175" s="5">
        <v>3401800</v>
      </c>
      <c r="B1175" s="1">
        <v>2017</v>
      </c>
      <c r="C1175" s="1" t="s">
        <v>1387</v>
      </c>
      <c r="D1175" s="1" t="s">
        <v>640</v>
      </c>
      <c r="E1175" s="8">
        <v>423766</v>
      </c>
      <c r="F1175" s="5">
        <v>3401800</v>
      </c>
    </row>
    <row r="1176" spans="1:6" x14ac:dyDescent="0.25">
      <c r="A1176" s="5">
        <v>3401800</v>
      </c>
      <c r="B1176" s="1">
        <v>2018</v>
      </c>
      <c r="C1176" s="1" t="s">
        <v>1387</v>
      </c>
      <c r="D1176" s="1" t="s">
        <v>1333</v>
      </c>
      <c r="E1176" s="8">
        <v>554182</v>
      </c>
      <c r="F1176" s="5">
        <v>3401800</v>
      </c>
    </row>
    <row r="1177" spans="1:6" x14ac:dyDescent="0.25">
      <c r="A1177" s="5">
        <v>3401800</v>
      </c>
      <c r="B1177" s="1">
        <v>2019</v>
      </c>
      <c r="C1177" s="1" t="s">
        <v>1387</v>
      </c>
      <c r="D1177" s="1" t="s">
        <v>1333</v>
      </c>
      <c r="E1177" s="8">
        <v>757299</v>
      </c>
      <c r="F1177" s="5">
        <v>3401800</v>
      </c>
    </row>
    <row r="1178" spans="1:6" ht="20" x14ac:dyDescent="0.25">
      <c r="A1178" s="5">
        <v>3401800</v>
      </c>
      <c r="B1178" s="1">
        <v>2020</v>
      </c>
      <c r="C1178" s="1" t="s">
        <v>1387</v>
      </c>
      <c r="D1178" s="2" t="s">
        <v>1333</v>
      </c>
      <c r="E1178" s="7">
        <v>863553</v>
      </c>
      <c r="F1178" s="5">
        <v>3401800</v>
      </c>
    </row>
    <row r="1179" spans="1:6" ht="20" x14ac:dyDescent="0.25">
      <c r="A1179" s="5">
        <v>3401800</v>
      </c>
      <c r="B1179" s="1">
        <v>2021</v>
      </c>
      <c r="C1179" s="1" t="s">
        <v>1387</v>
      </c>
      <c r="D1179" s="3" t="s">
        <v>1333</v>
      </c>
      <c r="E1179" s="7">
        <v>1066848</v>
      </c>
      <c r="F1179" s="5">
        <v>3401800</v>
      </c>
    </row>
    <row r="1180" spans="1:6" ht="20" x14ac:dyDescent="0.25">
      <c r="A1180" s="5">
        <v>3401800</v>
      </c>
      <c r="B1180" s="1">
        <v>2022</v>
      </c>
      <c r="C1180" s="1" t="s">
        <v>1387</v>
      </c>
      <c r="D1180" s="2" t="s">
        <v>1333</v>
      </c>
      <c r="E1180" s="7">
        <v>1330892</v>
      </c>
      <c r="F1180" s="5">
        <v>3401800</v>
      </c>
    </row>
    <row r="1181" spans="1:6" ht="20" x14ac:dyDescent="0.25">
      <c r="A1181" s="5">
        <v>3401800</v>
      </c>
      <c r="B1181" s="1">
        <v>2023</v>
      </c>
      <c r="C1181" s="1" t="s">
        <v>1387</v>
      </c>
      <c r="D1181" s="2" t="s">
        <v>1333</v>
      </c>
      <c r="E1181" s="7">
        <v>1438927</v>
      </c>
      <c r="F1181" s="5">
        <v>3401800</v>
      </c>
    </row>
    <row r="1182" spans="1:6" x14ac:dyDescent="0.25">
      <c r="A1182" s="5">
        <v>3401830</v>
      </c>
      <c r="B1182" s="1">
        <v>2015</v>
      </c>
      <c r="C1182" s="1" t="s">
        <v>1387</v>
      </c>
      <c r="D1182" s="1" t="s">
        <v>230</v>
      </c>
      <c r="E1182" s="8">
        <v>2022014</v>
      </c>
      <c r="F1182" s="5">
        <v>3401830</v>
      </c>
    </row>
    <row r="1183" spans="1:6" x14ac:dyDescent="0.25">
      <c r="A1183" s="5">
        <v>3401830</v>
      </c>
      <c r="B1183" s="1">
        <v>2016</v>
      </c>
      <c r="C1183" s="1" t="s">
        <v>1387</v>
      </c>
      <c r="D1183" s="1" t="s">
        <v>230</v>
      </c>
      <c r="E1183" s="8">
        <v>2814471</v>
      </c>
      <c r="F1183" s="5">
        <v>3401830</v>
      </c>
    </row>
    <row r="1184" spans="1:6" x14ac:dyDescent="0.25">
      <c r="A1184" s="5">
        <v>3401830</v>
      </c>
      <c r="B1184" s="1">
        <v>2017</v>
      </c>
      <c r="C1184" s="1" t="s">
        <v>1387</v>
      </c>
      <c r="D1184" s="1" t="s">
        <v>230</v>
      </c>
      <c r="E1184" s="8">
        <v>4282608</v>
      </c>
      <c r="F1184" s="5">
        <v>3401830</v>
      </c>
    </row>
    <row r="1185" spans="1:6" x14ac:dyDescent="0.25">
      <c r="A1185" s="5">
        <v>3401830</v>
      </c>
      <c r="B1185" s="1">
        <v>2018</v>
      </c>
      <c r="C1185" s="1" t="s">
        <v>1387</v>
      </c>
      <c r="D1185" s="1" t="s">
        <v>916</v>
      </c>
      <c r="E1185" s="8">
        <v>5904066</v>
      </c>
      <c r="F1185" s="5">
        <v>3401830</v>
      </c>
    </row>
    <row r="1186" spans="1:6" x14ac:dyDescent="0.25">
      <c r="A1186" s="5">
        <v>3401830</v>
      </c>
      <c r="B1186" s="1">
        <v>2019</v>
      </c>
      <c r="C1186" s="1" t="s">
        <v>1387</v>
      </c>
      <c r="D1186" s="1" t="s">
        <v>916</v>
      </c>
      <c r="E1186" s="8">
        <v>7940300</v>
      </c>
      <c r="F1186" s="5">
        <v>3401830</v>
      </c>
    </row>
    <row r="1187" spans="1:6" ht="20" x14ac:dyDescent="0.25">
      <c r="A1187" s="5">
        <v>3401830</v>
      </c>
      <c r="B1187" s="1">
        <v>2020</v>
      </c>
      <c r="C1187" s="1" t="s">
        <v>1387</v>
      </c>
      <c r="D1187" s="2" t="s">
        <v>916</v>
      </c>
      <c r="E1187" s="7">
        <v>9277258</v>
      </c>
      <c r="F1187" s="5">
        <v>3401830</v>
      </c>
    </row>
    <row r="1188" spans="1:6" ht="20" x14ac:dyDescent="0.25">
      <c r="A1188" s="5">
        <v>3401830</v>
      </c>
      <c r="B1188" s="1">
        <v>2021</v>
      </c>
      <c r="C1188" s="1" t="s">
        <v>1387</v>
      </c>
      <c r="D1188" s="3" t="s">
        <v>916</v>
      </c>
      <c r="E1188" s="7">
        <v>12222990</v>
      </c>
      <c r="F1188" s="5">
        <v>3401830</v>
      </c>
    </row>
    <row r="1189" spans="1:6" ht="20" x14ac:dyDescent="0.25">
      <c r="A1189" s="5">
        <v>3401830</v>
      </c>
      <c r="B1189" s="1">
        <v>2022</v>
      </c>
      <c r="C1189" s="1" t="s">
        <v>1387</v>
      </c>
      <c r="D1189" s="2" t="s">
        <v>916</v>
      </c>
      <c r="E1189" s="7">
        <v>17882412</v>
      </c>
      <c r="F1189" s="5">
        <v>3401830</v>
      </c>
    </row>
    <row r="1190" spans="1:6" ht="20" x14ac:dyDescent="0.25">
      <c r="A1190" s="5">
        <v>3401830</v>
      </c>
      <c r="B1190" s="1">
        <v>2023</v>
      </c>
      <c r="C1190" s="1" t="s">
        <v>1387</v>
      </c>
      <c r="D1190" s="2" t="s">
        <v>916</v>
      </c>
      <c r="E1190" s="7">
        <v>18335605</v>
      </c>
      <c r="F1190" s="5">
        <v>3401830</v>
      </c>
    </row>
    <row r="1191" spans="1:6" x14ac:dyDescent="0.25">
      <c r="A1191" s="5">
        <v>3401860</v>
      </c>
      <c r="B1191" s="1">
        <v>2015</v>
      </c>
      <c r="C1191" s="1" t="s">
        <v>1387</v>
      </c>
      <c r="D1191" s="1" t="s">
        <v>523</v>
      </c>
      <c r="E1191" s="8">
        <v>233736</v>
      </c>
      <c r="F1191" s="5">
        <v>3401860</v>
      </c>
    </row>
    <row r="1192" spans="1:6" x14ac:dyDescent="0.25">
      <c r="A1192" s="5">
        <v>3401860</v>
      </c>
      <c r="B1192" s="1">
        <v>2016</v>
      </c>
      <c r="C1192" s="1" t="s">
        <v>1387</v>
      </c>
      <c r="D1192" s="1" t="s">
        <v>523</v>
      </c>
      <c r="E1192" s="8">
        <v>366250</v>
      </c>
      <c r="F1192" s="5">
        <v>3401860</v>
      </c>
    </row>
    <row r="1193" spans="1:6" x14ac:dyDescent="0.25">
      <c r="A1193" s="5">
        <v>3401860</v>
      </c>
      <c r="B1193" s="1">
        <v>2017</v>
      </c>
      <c r="C1193" s="1" t="s">
        <v>1387</v>
      </c>
      <c r="D1193" s="1" t="s">
        <v>523</v>
      </c>
      <c r="E1193" s="8">
        <v>488639</v>
      </c>
      <c r="F1193" s="5">
        <v>3401860</v>
      </c>
    </row>
    <row r="1194" spans="1:6" x14ac:dyDescent="0.25">
      <c r="A1194" s="5">
        <v>3401860</v>
      </c>
      <c r="B1194" s="1">
        <v>2018</v>
      </c>
      <c r="C1194" s="1" t="s">
        <v>1387</v>
      </c>
      <c r="D1194" s="1" t="s">
        <v>1215</v>
      </c>
      <c r="E1194" s="8">
        <v>633859</v>
      </c>
      <c r="F1194" s="5">
        <v>3401860</v>
      </c>
    </row>
    <row r="1195" spans="1:6" x14ac:dyDescent="0.25">
      <c r="A1195" s="5">
        <v>3401860</v>
      </c>
      <c r="B1195" s="1">
        <v>2019</v>
      </c>
      <c r="C1195" s="1" t="s">
        <v>1387</v>
      </c>
      <c r="D1195" s="1" t="s">
        <v>1215</v>
      </c>
      <c r="E1195" s="8">
        <v>856449</v>
      </c>
      <c r="F1195" s="5">
        <v>3401860</v>
      </c>
    </row>
    <row r="1196" spans="1:6" ht="20" x14ac:dyDescent="0.25">
      <c r="A1196" s="5">
        <v>3401860</v>
      </c>
      <c r="B1196" s="1">
        <v>2020</v>
      </c>
      <c r="C1196" s="1" t="s">
        <v>1387</v>
      </c>
      <c r="D1196" s="2" t="s">
        <v>1215</v>
      </c>
      <c r="E1196" s="7">
        <v>960281</v>
      </c>
      <c r="F1196" s="5">
        <v>3401860</v>
      </c>
    </row>
    <row r="1197" spans="1:6" ht="20" x14ac:dyDescent="0.25">
      <c r="A1197" s="5">
        <v>3401860</v>
      </c>
      <c r="B1197" s="1">
        <v>2021</v>
      </c>
      <c r="C1197" s="1" t="s">
        <v>1387</v>
      </c>
      <c r="D1197" s="3" t="s">
        <v>1215</v>
      </c>
      <c r="E1197" s="7">
        <v>1188264</v>
      </c>
      <c r="F1197" s="5">
        <v>3401860</v>
      </c>
    </row>
    <row r="1198" spans="1:6" ht="20" x14ac:dyDescent="0.25">
      <c r="A1198" s="5">
        <v>3401860</v>
      </c>
      <c r="B1198" s="1">
        <v>2022</v>
      </c>
      <c r="C1198" s="1" t="s">
        <v>1387</v>
      </c>
      <c r="D1198" s="2" t="s">
        <v>1215</v>
      </c>
      <c r="E1198" s="7">
        <v>1747681</v>
      </c>
      <c r="F1198" s="5">
        <v>3401860</v>
      </c>
    </row>
    <row r="1199" spans="1:6" ht="20" x14ac:dyDescent="0.25">
      <c r="A1199" s="5">
        <v>3401860</v>
      </c>
      <c r="B1199" s="1">
        <v>2023</v>
      </c>
      <c r="C1199" s="1" t="s">
        <v>1387</v>
      </c>
      <c r="D1199" s="2" t="s">
        <v>1215</v>
      </c>
      <c r="E1199" s="7">
        <v>1869488</v>
      </c>
      <c r="F1199" s="5">
        <v>3401860</v>
      </c>
    </row>
    <row r="1200" spans="1:6" x14ac:dyDescent="0.25">
      <c r="A1200" s="5">
        <v>3401890</v>
      </c>
      <c r="B1200" s="1">
        <v>2015</v>
      </c>
      <c r="C1200" s="1" t="s">
        <v>1387</v>
      </c>
      <c r="D1200" s="1" t="s">
        <v>327</v>
      </c>
      <c r="E1200" s="8">
        <v>53948</v>
      </c>
      <c r="F1200" s="5">
        <v>3401890</v>
      </c>
    </row>
    <row r="1201" spans="1:6" x14ac:dyDescent="0.25">
      <c r="A1201" s="5">
        <v>3401890</v>
      </c>
      <c r="B1201" s="1">
        <v>2016</v>
      </c>
      <c r="C1201" s="1" t="s">
        <v>1387</v>
      </c>
      <c r="D1201" s="1" t="s">
        <v>327</v>
      </c>
      <c r="E1201" s="8">
        <v>85072</v>
      </c>
      <c r="F1201" s="5">
        <v>3401890</v>
      </c>
    </row>
    <row r="1202" spans="1:6" x14ac:dyDescent="0.25">
      <c r="A1202" s="5">
        <v>3401890</v>
      </c>
      <c r="B1202" s="1">
        <v>2017</v>
      </c>
      <c r="C1202" s="1" t="s">
        <v>1387</v>
      </c>
      <c r="D1202" s="1" t="s">
        <v>327</v>
      </c>
      <c r="E1202" s="8">
        <v>129897</v>
      </c>
      <c r="F1202" s="5">
        <v>3401890</v>
      </c>
    </row>
    <row r="1203" spans="1:6" x14ac:dyDescent="0.25">
      <c r="A1203" s="5">
        <v>3401890</v>
      </c>
      <c r="B1203" s="1">
        <v>2018</v>
      </c>
      <c r="C1203" s="1" t="s">
        <v>1387</v>
      </c>
      <c r="D1203" s="1" t="s">
        <v>1020</v>
      </c>
      <c r="E1203" s="8">
        <v>172758</v>
      </c>
      <c r="F1203" s="5">
        <v>3401890</v>
      </c>
    </row>
    <row r="1204" spans="1:6" x14ac:dyDescent="0.25">
      <c r="A1204" s="5">
        <v>3401890</v>
      </c>
      <c r="B1204" s="1">
        <v>2019</v>
      </c>
      <c r="C1204" s="1" t="s">
        <v>1387</v>
      </c>
      <c r="D1204" s="1" t="s">
        <v>1020</v>
      </c>
      <c r="E1204" s="8">
        <v>202048</v>
      </c>
      <c r="F1204" s="5">
        <v>3401890</v>
      </c>
    </row>
    <row r="1205" spans="1:6" ht="20" x14ac:dyDescent="0.25">
      <c r="A1205" s="5">
        <v>3401890</v>
      </c>
      <c r="B1205" s="1">
        <v>2020</v>
      </c>
      <c r="C1205" s="1" t="s">
        <v>1387</v>
      </c>
      <c r="D1205" s="2" t="s">
        <v>1020</v>
      </c>
      <c r="E1205" s="7">
        <v>202327</v>
      </c>
      <c r="F1205" s="5">
        <v>3401890</v>
      </c>
    </row>
    <row r="1206" spans="1:6" ht="20" x14ac:dyDescent="0.25">
      <c r="A1206" s="5">
        <v>3401890</v>
      </c>
      <c r="B1206" s="1">
        <v>2021</v>
      </c>
      <c r="C1206" s="1" t="s">
        <v>1387</v>
      </c>
      <c r="D1206" s="3" t="s">
        <v>1020</v>
      </c>
      <c r="E1206" s="7">
        <v>252996</v>
      </c>
      <c r="F1206" s="5">
        <v>3401890</v>
      </c>
    </row>
    <row r="1207" spans="1:6" ht="20" x14ac:dyDescent="0.25">
      <c r="A1207" s="5">
        <v>3401890</v>
      </c>
      <c r="B1207" s="1">
        <v>2022</v>
      </c>
      <c r="C1207" s="1" t="s">
        <v>1387</v>
      </c>
      <c r="D1207" s="2" t="s">
        <v>1020</v>
      </c>
      <c r="E1207" s="7">
        <v>425889</v>
      </c>
      <c r="F1207" s="5">
        <v>3401890</v>
      </c>
    </row>
    <row r="1208" spans="1:6" ht="20" x14ac:dyDescent="0.25">
      <c r="A1208" s="5">
        <v>3401890</v>
      </c>
      <c r="B1208" s="1">
        <v>2023</v>
      </c>
      <c r="C1208" s="1" t="s">
        <v>1387</v>
      </c>
      <c r="D1208" s="2" t="s">
        <v>1020</v>
      </c>
      <c r="E1208" s="7">
        <v>429251</v>
      </c>
      <c r="F1208" s="5">
        <v>3401890</v>
      </c>
    </row>
    <row r="1209" spans="1:6" x14ac:dyDescent="0.25">
      <c r="A1209" s="5">
        <v>3401920</v>
      </c>
      <c r="B1209" s="1">
        <v>2015</v>
      </c>
      <c r="C1209" s="1" t="s">
        <v>1387</v>
      </c>
      <c r="D1209" s="1" t="s">
        <v>33</v>
      </c>
      <c r="E1209" s="8">
        <v>388144</v>
      </c>
      <c r="F1209" s="5">
        <v>3401920</v>
      </c>
    </row>
    <row r="1210" spans="1:6" x14ac:dyDescent="0.25">
      <c r="A1210" s="5">
        <v>3401920</v>
      </c>
      <c r="B1210" s="1">
        <v>2016</v>
      </c>
      <c r="C1210" s="1" t="s">
        <v>1387</v>
      </c>
      <c r="D1210" s="1" t="s">
        <v>33</v>
      </c>
      <c r="E1210" s="8">
        <v>607999</v>
      </c>
      <c r="F1210" s="5">
        <v>3401920</v>
      </c>
    </row>
    <row r="1211" spans="1:6" x14ac:dyDescent="0.25">
      <c r="A1211" s="5">
        <v>3401920</v>
      </c>
      <c r="B1211" s="1">
        <v>2017</v>
      </c>
      <c r="C1211" s="1" t="s">
        <v>1387</v>
      </c>
      <c r="D1211" s="1" t="s">
        <v>33</v>
      </c>
      <c r="E1211" s="8">
        <v>822050</v>
      </c>
      <c r="F1211" s="5">
        <v>3401920</v>
      </c>
    </row>
    <row r="1212" spans="1:6" x14ac:dyDescent="0.25">
      <c r="A1212" s="5">
        <v>3401920</v>
      </c>
      <c r="B1212" s="1">
        <v>2018</v>
      </c>
      <c r="C1212" s="1" t="s">
        <v>1387</v>
      </c>
      <c r="D1212" s="1" t="s">
        <v>711</v>
      </c>
      <c r="E1212" s="8">
        <v>1145979</v>
      </c>
      <c r="F1212" s="5">
        <v>3401920</v>
      </c>
    </row>
    <row r="1213" spans="1:6" x14ac:dyDescent="0.25">
      <c r="A1213" s="5">
        <v>3401920</v>
      </c>
      <c r="B1213" s="1">
        <v>2019</v>
      </c>
      <c r="C1213" s="1" t="s">
        <v>1387</v>
      </c>
      <c r="D1213" s="1" t="s">
        <v>711</v>
      </c>
      <c r="E1213" s="8">
        <v>1562913</v>
      </c>
      <c r="F1213" s="5">
        <v>3401920</v>
      </c>
    </row>
    <row r="1214" spans="1:6" ht="20" x14ac:dyDescent="0.25">
      <c r="A1214" s="5">
        <v>3401920</v>
      </c>
      <c r="B1214" s="1">
        <v>2020</v>
      </c>
      <c r="C1214" s="1" t="s">
        <v>1387</v>
      </c>
      <c r="D1214" s="2" t="s">
        <v>711</v>
      </c>
      <c r="E1214" s="7">
        <v>1739095</v>
      </c>
      <c r="F1214" s="5">
        <v>3401920</v>
      </c>
    </row>
    <row r="1215" spans="1:6" ht="20" x14ac:dyDescent="0.25">
      <c r="A1215" s="5">
        <v>3401920</v>
      </c>
      <c r="B1215" s="1">
        <v>2021</v>
      </c>
      <c r="C1215" s="1" t="s">
        <v>1387</v>
      </c>
      <c r="D1215" s="3" t="s">
        <v>711</v>
      </c>
      <c r="E1215" s="7">
        <v>2366599</v>
      </c>
      <c r="F1215" s="5">
        <v>3401920</v>
      </c>
    </row>
    <row r="1216" spans="1:6" ht="20" x14ac:dyDescent="0.25">
      <c r="A1216" s="5">
        <v>3401920</v>
      </c>
      <c r="B1216" s="1">
        <v>2022</v>
      </c>
      <c r="C1216" s="1" t="s">
        <v>1387</v>
      </c>
      <c r="D1216" s="2" t="s">
        <v>711</v>
      </c>
      <c r="E1216" s="7">
        <v>3448659</v>
      </c>
      <c r="F1216" s="5">
        <v>3401920</v>
      </c>
    </row>
    <row r="1217" spans="1:6" ht="20" x14ac:dyDescent="0.25">
      <c r="A1217" s="5">
        <v>3401920</v>
      </c>
      <c r="B1217" s="1">
        <v>2023</v>
      </c>
      <c r="C1217" s="1" t="s">
        <v>1387</v>
      </c>
      <c r="D1217" s="2" t="s">
        <v>711</v>
      </c>
      <c r="E1217" s="7">
        <v>3596571</v>
      </c>
      <c r="F1217" s="5">
        <v>3401920</v>
      </c>
    </row>
    <row r="1218" spans="1:6" x14ac:dyDescent="0.25">
      <c r="A1218" s="5">
        <v>3401950</v>
      </c>
      <c r="B1218" s="1">
        <v>2015</v>
      </c>
      <c r="C1218" s="1" t="s">
        <v>1387</v>
      </c>
      <c r="D1218" s="1" t="s">
        <v>454</v>
      </c>
      <c r="E1218" s="8">
        <v>543740</v>
      </c>
      <c r="F1218" s="5">
        <v>3401950</v>
      </c>
    </row>
    <row r="1219" spans="1:6" x14ac:dyDescent="0.25">
      <c r="A1219" s="5">
        <v>3401950</v>
      </c>
      <c r="B1219" s="1">
        <v>2016</v>
      </c>
      <c r="C1219" s="1" t="s">
        <v>1387</v>
      </c>
      <c r="D1219" s="1" t="s">
        <v>454</v>
      </c>
      <c r="E1219" s="8">
        <v>832832</v>
      </c>
      <c r="F1219" s="5">
        <v>3401950</v>
      </c>
    </row>
    <row r="1220" spans="1:6" x14ac:dyDescent="0.25">
      <c r="A1220" s="5">
        <v>3401950</v>
      </c>
      <c r="B1220" s="1">
        <v>2017</v>
      </c>
      <c r="C1220" s="1" t="s">
        <v>1387</v>
      </c>
      <c r="D1220" s="1" t="s">
        <v>454</v>
      </c>
      <c r="E1220" s="8">
        <v>1217455</v>
      </c>
      <c r="F1220" s="5">
        <v>3401950</v>
      </c>
    </row>
    <row r="1221" spans="1:6" x14ac:dyDescent="0.25">
      <c r="A1221" s="5">
        <v>3401950</v>
      </c>
      <c r="B1221" s="1">
        <v>2018</v>
      </c>
      <c r="C1221" s="1" t="s">
        <v>1387</v>
      </c>
      <c r="D1221" s="1" t="s">
        <v>1146</v>
      </c>
      <c r="E1221" s="8">
        <v>1692388</v>
      </c>
      <c r="F1221" s="5">
        <v>3401950</v>
      </c>
    </row>
    <row r="1222" spans="1:6" x14ac:dyDescent="0.25">
      <c r="A1222" s="5">
        <v>3401950</v>
      </c>
      <c r="B1222" s="1">
        <v>2019</v>
      </c>
      <c r="C1222" s="1" t="s">
        <v>1387</v>
      </c>
      <c r="D1222" s="1" t="s">
        <v>1146</v>
      </c>
      <c r="E1222" s="8">
        <v>2287223</v>
      </c>
      <c r="F1222" s="5">
        <v>3401950</v>
      </c>
    </row>
    <row r="1223" spans="1:6" ht="20" x14ac:dyDescent="0.25">
      <c r="A1223" s="5">
        <v>3401950</v>
      </c>
      <c r="B1223" s="1">
        <v>2020</v>
      </c>
      <c r="C1223" s="1" t="s">
        <v>1387</v>
      </c>
      <c r="D1223" s="2" t="s">
        <v>1146</v>
      </c>
      <c r="E1223" s="7">
        <v>2585802</v>
      </c>
      <c r="F1223" s="5">
        <v>3401950</v>
      </c>
    </row>
    <row r="1224" spans="1:6" ht="20" x14ac:dyDescent="0.25">
      <c r="A1224" s="5">
        <v>3401950</v>
      </c>
      <c r="B1224" s="1">
        <v>2021</v>
      </c>
      <c r="C1224" s="1" t="s">
        <v>1387</v>
      </c>
      <c r="D1224" s="3" t="s">
        <v>1146</v>
      </c>
      <c r="E1224" s="7">
        <v>3427163</v>
      </c>
      <c r="F1224" s="5">
        <v>3401950</v>
      </c>
    </row>
    <row r="1225" spans="1:6" ht="20" x14ac:dyDescent="0.25">
      <c r="A1225" s="5">
        <v>3401950</v>
      </c>
      <c r="B1225" s="1">
        <v>2022</v>
      </c>
      <c r="C1225" s="1" t="s">
        <v>1387</v>
      </c>
      <c r="D1225" s="2" t="s">
        <v>1146</v>
      </c>
      <c r="E1225" s="7">
        <v>4964118</v>
      </c>
      <c r="F1225" s="5">
        <v>3401950</v>
      </c>
    </row>
    <row r="1226" spans="1:6" ht="20" x14ac:dyDescent="0.25">
      <c r="A1226" s="5">
        <v>3401950</v>
      </c>
      <c r="B1226" s="1">
        <v>2023</v>
      </c>
      <c r="C1226" s="1" t="s">
        <v>1387</v>
      </c>
      <c r="D1226" s="2" t="s">
        <v>1146</v>
      </c>
      <c r="E1226" s="7">
        <v>5041761</v>
      </c>
      <c r="F1226" s="5">
        <v>3401950</v>
      </c>
    </row>
    <row r="1227" spans="1:6" x14ac:dyDescent="0.25">
      <c r="A1227" s="5">
        <v>3401980</v>
      </c>
      <c r="B1227" s="1">
        <v>2015</v>
      </c>
      <c r="C1227" s="1" t="s">
        <v>1387</v>
      </c>
      <c r="D1227" s="1" t="s">
        <v>455</v>
      </c>
      <c r="E1227" s="8">
        <v>194548</v>
      </c>
      <c r="F1227" s="5">
        <v>3401980</v>
      </c>
    </row>
    <row r="1228" spans="1:6" x14ac:dyDescent="0.25">
      <c r="A1228" s="5">
        <v>3401980</v>
      </c>
      <c r="B1228" s="1">
        <v>2016</v>
      </c>
      <c r="C1228" s="1" t="s">
        <v>1387</v>
      </c>
      <c r="D1228" s="1" t="s">
        <v>455</v>
      </c>
      <c r="E1228" s="8">
        <v>283932</v>
      </c>
      <c r="F1228" s="5">
        <v>3401980</v>
      </c>
    </row>
    <row r="1229" spans="1:6" x14ac:dyDescent="0.25">
      <c r="A1229" s="5">
        <v>3401980</v>
      </c>
      <c r="B1229" s="1">
        <v>2017</v>
      </c>
      <c r="C1229" s="1" t="s">
        <v>1387</v>
      </c>
      <c r="D1229" s="1" t="s">
        <v>455</v>
      </c>
      <c r="E1229" s="8">
        <v>375760</v>
      </c>
      <c r="F1229" s="5">
        <v>3401980</v>
      </c>
    </row>
    <row r="1230" spans="1:6" x14ac:dyDescent="0.25">
      <c r="A1230" s="5">
        <v>3401980</v>
      </c>
      <c r="B1230" s="1">
        <v>2018</v>
      </c>
      <c r="C1230" s="1" t="s">
        <v>1387</v>
      </c>
      <c r="D1230" s="1" t="s">
        <v>1147</v>
      </c>
      <c r="E1230" s="8">
        <v>555962</v>
      </c>
      <c r="F1230" s="5">
        <v>3401980</v>
      </c>
    </row>
    <row r="1231" spans="1:6" x14ac:dyDescent="0.25">
      <c r="A1231" s="5">
        <v>3401980</v>
      </c>
      <c r="B1231" s="1">
        <v>2019</v>
      </c>
      <c r="C1231" s="1" t="s">
        <v>1387</v>
      </c>
      <c r="D1231" s="1" t="s">
        <v>1147</v>
      </c>
      <c r="E1231" s="8">
        <v>697333</v>
      </c>
      <c r="F1231" s="5">
        <v>3401980</v>
      </c>
    </row>
    <row r="1232" spans="1:6" ht="20" x14ac:dyDescent="0.25">
      <c r="A1232" s="5">
        <v>3401980</v>
      </c>
      <c r="B1232" s="1">
        <v>2020</v>
      </c>
      <c r="C1232" s="1" t="s">
        <v>1387</v>
      </c>
      <c r="D1232" s="2" t="s">
        <v>1147</v>
      </c>
      <c r="E1232" s="7">
        <v>783772</v>
      </c>
      <c r="F1232" s="5">
        <v>3401980</v>
      </c>
    </row>
    <row r="1233" spans="1:6" ht="20" x14ac:dyDescent="0.25">
      <c r="A1233" s="5">
        <v>3401980</v>
      </c>
      <c r="B1233" s="1">
        <v>2021</v>
      </c>
      <c r="C1233" s="1" t="s">
        <v>1387</v>
      </c>
      <c r="D1233" s="3" t="s">
        <v>1147</v>
      </c>
      <c r="E1233" s="7">
        <v>1001182</v>
      </c>
      <c r="F1233" s="5">
        <v>3401980</v>
      </c>
    </row>
    <row r="1234" spans="1:6" ht="20" x14ac:dyDescent="0.25">
      <c r="A1234" s="5">
        <v>3401980</v>
      </c>
      <c r="B1234" s="1">
        <v>2022</v>
      </c>
      <c r="C1234" s="1" t="s">
        <v>1387</v>
      </c>
      <c r="D1234" s="2" t="s">
        <v>1147</v>
      </c>
      <c r="E1234" s="7">
        <v>1404689</v>
      </c>
      <c r="F1234" s="5">
        <v>3401980</v>
      </c>
    </row>
    <row r="1235" spans="1:6" ht="20" x14ac:dyDescent="0.25">
      <c r="A1235" s="5">
        <v>3401980</v>
      </c>
      <c r="B1235" s="1">
        <v>2023</v>
      </c>
      <c r="C1235" s="1" t="s">
        <v>1387</v>
      </c>
      <c r="D1235" s="2" t="s">
        <v>1147</v>
      </c>
      <c r="E1235" s="7">
        <v>1429698</v>
      </c>
      <c r="F1235" s="5">
        <v>3401980</v>
      </c>
    </row>
    <row r="1236" spans="1:6" x14ac:dyDescent="0.25">
      <c r="A1236" s="5">
        <v>3402030</v>
      </c>
      <c r="B1236" s="1">
        <v>2015</v>
      </c>
      <c r="C1236" s="1" t="s">
        <v>1387</v>
      </c>
      <c r="D1236" s="1" t="s">
        <v>108</v>
      </c>
      <c r="E1236" s="8">
        <v>790930</v>
      </c>
      <c r="F1236" s="5">
        <v>3402030</v>
      </c>
    </row>
    <row r="1237" spans="1:6" x14ac:dyDescent="0.25">
      <c r="A1237" s="5">
        <v>3402030</v>
      </c>
      <c r="B1237" s="1">
        <v>2016</v>
      </c>
      <c r="C1237" s="1" t="s">
        <v>1387</v>
      </c>
      <c r="D1237" s="1" t="s">
        <v>108</v>
      </c>
      <c r="E1237" s="8">
        <v>1212474</v>
      </c>
      <c r="F1237" s="5">
        <v>3402030</v>
      </c>
    </row>
    <row r="1238" spans="1:6" x14ac:dyDescent="0.25">
      <c r="A1238" s="5">
        <v>3402030</v>
      </c>
      <c r="B1238" s="1">
        <v>2017</v>
      </c>
      <c r="C1238" s="1" t="s">
        <v>1387</v>
      </c>
      <c r="D1238" s="1" t="s">
        <v>108</v>
      </c>
      <c r="E1238" s="8">
        <v>1788301</v>
      </c>
      <c r="F1238" s="5">
        <v>3402030</v>
      </c>
    </row>
    <row r="1239" spans="1:6" x14ac:dyDescent="0.25">
      <c r="A1239" s="5">
        <v>3402030</v>
      </c>
      <c r="B1239" s="1">
        <v>2018</v>
      </c>
      <c r="C1239" s="1" t="s">
        <v>1387</v>
      </c>
      <c r="D1239" s="1" t="s">
        <v>789</v>
      </c>
      <c r="E1239" s="8">
        <v>2288095</v>
      </c>
      <c r="F1239" s="5">
        <v>3402030</v>
      </c>
    </row>
    <row r="1240" spans="1:6" x14ac:dyDescent="0.25">
      <c r="A1240" s="5">
        <v>3402030</v>
      </c>
      <c r="B1240" s="1">
        <v>2019</v>
      </c>
      <c r="C1240" s="1" t="s">
        <v>1387</v>
      </c>
      <c r="D1240" s="1" t="s">
        <v>789</v>
      </c>
      <c r="E1240" s="8">
        <v>3055062</v>
      </c>
      <c r="F1240" s="5">
        <v>3402030</v>
      </c>
    </row>
    <row r="1241" spans="1:6" ht="20" x14ac:dyDescent="0.25">
      <c r="A1241" s="5">
        <v>3402030</v>
      </c>
      <c r="B1241" s="1">
        <v>2020</v>
      </c>
      <c r="C1241" s="1" t="s">
        <v>1387</v>
      </c>
      <c r="D1241" s="2" t="s">
        <v>789</v>
      </c>
      <c r="E1241" s="7">
        <v>3504980</v>
      </c>
      <c r="F1241" s="5">
        <v>3402030</v>
      </c>
    </row>
    <row r="1242" spans="1:6" ht="20" x14ac:dyDescent="0.25">
      <c r="A1242" s="5">
        <v>3402030</v>
      </c>
      <c r="B1242" s="1">
        <v>2021</v>
      </c>
      <c r="C1242" s="1" t="s">
        <v>1387</v>
      </c>
      <c r="D1242" s="3" t="s">
        <v>789</v>
      </c>
      <c r="E1242" s="7">
        <v>4419255</v>
      </c>
      <c r="F1242" s="5">
        <v>3402030</v>
      </c>
    </row>
    <row r="1243" spans="1:6" ht="20" x14ac:dyDescent="0.25">
      <c r="A1243" s="5">
        <v>3402030</v>
      </c>
      <c r="B1243" s="1">
        <v>2022</v>
      </c>
      <c r="C1243" s="1" t="s">
        <v>1387</v>
      </c>
      <c r="D1243" s="2" t="s">
        <v>789</v>
      </c>
      <c r="E1243" s="7">
        <v>6645162</v>
      </c>
      <c r="F1243" s="5">
        <v>3402030</v>
      </c>
    </row>
    <row r="1244" spans="1:6" ht="20" x14ac:dyDescent="0.25">
      <c r="A1244" s="5">
        <v>3402030</v>
      </c>
      <c r="B1244" s="1">
        <v>2023</v>
      </c>
      <c r="C1244" s="1" t="s">
        <v>1387</v>
      </c>
      <c r="D1244" s="2" t="s">
        <v>789</v>
      </c>
      <c r="E1244" s="7">
        <v>6735815</v>
      </c>
      <c r="F1244" s="5">
        <v>3402030</v>
      </c>
    </row>
    <row r="1245" spans="1:6" x14ac:dyDescent="0.25">
      <c r="A1245" s="5">
        <v>3402100</v>
      </c>
      <c r="B1245" s="1">
        <v>2015</v>
      </c>
      <c r="C1245" s="1" t="s">
        <v>1387</v>
      </c>
      <c r="D1245" s="1" t="s">
        <v>565</v>
      </c>
      <c r="E1245" s="8">
        <v>504491</v>
      </c>
      <c r="F1245" s="5">
        <v>3402100</v>
      </c>
    </row>
    <row r="1246" spans="1:6" x14ac:dyDescent="0.25">
      <c r="A1246" s="5">
        <v>3402100</v>
      </c>
      <c r="B1246" s="1">
        <v>2016</v>
      </c>
      <c r="C1246" s="1" t="s">
        <v>1387</v>
      </c>
      <c r="D1246" s="1" t="s">
        <v>565</v>
      </c>
      <c r="E1246" s="8">
        <v>827534</v>
      </c>
      <c r="F1246" s="5">
        <v>3402100</v>
      </c>
    </row>
    <row r="1247" spans="1:6" x14ac:dyDescent="0.25">
      <c r="A1247" s="5">
        <v>3402100</v>
      </c>
      <c r="B1247" s="1">
        <v>2017</v>
      </c>
      <c r="C1247" s="1" t="s">
        <v>1387</v>
      </c>
      <c r="D1247" s="1" t="s">
        <v>565</v>
      </c>
      <c r="E1247" s="8">
        <v>1178083</v>
      </c>
      <c r="F1247" s="5">
        <v>3402100</v>
      </c>
    </row>
    <row r="1248" spans="1:6" x14ac:dyDescent="0.25">
      <c r="A1248" s="5">
        <v>3402100</v>
      </c>
      <c r="B1248" s="1">
        <v>2018</v>
      </c>
      <c r="C1248" s="1" t="s">
        <v>1387</v>
      </c>
      <c r="D1248" s="1" t="s">
        <v>1257</v>
      </c>
      <c r="E1248" s="8">
        <v>1693848</v>
      </c>
      <c r="F1248" s="5">
        <v>3402100</v>
      </c>
    </row>
    <row r="1249" spans="1:6" x14ac:dyDescent="0.25">
      <c r="A1249" s="5">
        <v>3402100</v>
      </c>
      <c r="B1249" s="1">
        <v>2019</v>
      </c>
      <c r="C1249" s="1" t="s">
        <v>1387</v>
      </c>
      <c r="D1249" s="1" t="s">
        <v>1257</v>
      </c>
      <c r="E1249" s="8">
        <v>2307724</v>
      </c>
      <c r="F1249" s="5">
        <v>3402100</v>
      </c>
    </row>
    <row r="1250" spans="1:6" ht="20" x14ac:dyDescent="0.25">
      <c r="A1250" s="5">
        <v>3402100</v>
      </c>
      <c r="B1250" s="1">
        <v>2020</v>
      </c>
      <c r="C1250" s="1" t="s">
        <v>1387</v>
      </c>
      <c r="D1250" s="2" t="s">
        <v>1257</v>
      </c>
      <c r="E1250" s="7">
        <v>2504422</v>
      </c>
      <c r="F1250" s="5">
        <v>3402100</v>
      </c>
    </row>
    <row r="1251" spans="1:6" ht="20" x14ac:dyDescent="0.25">
      <c r="A1251" s="5">
        <v>3402100</v>
      </c>
      <c r="B1251" s="1">
        <v>2021</v>
      </c>
      <c r="C1251" s="1" t="s">
        <v>1387</v>
      </c>
      <c r="D1251" s="3" t="s">
        <v>1257</v>
      </c>
      <c r="E1251" s="7">
        <v>3607932</v>
      </c>
      <c r="F1251" s="5">
        <v>3402100</v>
      </c>
    </row>
    <row r="1252" spans="1:6" ht="20" x14ac:dyDescent="0.25">
      <c r="A1252" s="5">
        <v>3402100</v>
      </c>
      <c r="B1252" s="1">
        <v>2022</v>
      </c>
      <c r="C1252" s="1" t="s">
        <v>1387</v>
      </c>
      <c r="D1252" s="2" t="s">
        <v>1257</v>
      </c>
      <c r="E1252" s="7">
        <v>5532114</v>
      </c>
      <c r="F1252" s="5">
        <v>3402100</v>
      </c>
    </row>
    <row r="1253" spans="1:6" ht="20" x14ac:dyDescent="0.25">
      <c r="A1253" s="5">
        <v>3402100</v>
      </c>
      <c r="B1253" s="1">
        <v>2023</v>
      </c>
      <c r="C1253" s="1" t="s">
        <v>1387</v>
      </c>
      <c r="D1253" s="2" t="s">
        <v>1257</v>
      </c>
      <c r="E1253" s="7">
        <v>5567619</v>
      </c>
      <c r="F1253" s="5">
        <v>3402100</v>
      </c>
    </row>
    <row r="1254" spans="1:6" x14ac:dyDescent="0.25">
      <c r="A1254" s="5">
        <v>3402130</v>
      </c>
      <c r="B1254" s="1">
        <v>2015</v>
      </c>
      <c r="C1254" s="1" t="s">
        <v>1387</v>
      </c>
      <c r="D1254" s="1" t="s">
        <v>405</v>
      </c>
      <c r="E1254" s="8">
        <v>130376</v>
      </c>
      <c r="F1254" s="5">
        <v>3402130</v>
      </c>
    </row>
    <row r="1255" spans="1:6" x14ac:dyDescent="0.25">
      <c r="A1255" s="5">
        <v>3402130</v>
      </c>
      <c r="B1255" s="1">
        <v>2016</v>
      </c>
      <c r="C1255" s="1" t="s">
        <v>1387</v>
      </c>
      <c r="D1255" s="1" t="s">
        <v>405</v>
      </c>
      <c r="E1255" s="8">
        <v>204263</v>
      </c>
      <c r="F1255" s="5">
        <v>3402130</v>
      </c>
    </row>
    <row r="1256" spans="1:6" x14ac:dyDescent="0.25">
      <c r="A1256" s="5">
        <v>3402130</v>
      </c>
      <c r="B1256" s="1">
        <v>2017</v>
      </c>
      <c r="C1256" s="1" t="s">
        <v>1387</v>
      </c>
      <c r="D1256" s="1" t="s">
        <v>405</v>
      </c>
      <c r="E1256" s="8">
        <v>266840</v>
      </c>
      <c r="F1256" s="5">
        <v>3402130</v>
      </c>
    </row>
    <row r="1257" spans="1:6" x14ac:dyDescent="0.25">
      <c r="A1257" s="5">
        <v>3402130</v>
      </c>
      <c r="B1257" s="1">
        <v>2018</v>
      </c>
      <c r="C1257" s="1" t="s">
        <v>1387</v>
      </c>
      <c r="D1257" s="1" t="s">
        <v>1097</v>
      </c>
      <c r="E1257" s="8">
        <v>372423</v>
      </c>
      <c r="F1257" s="5">
        <v>3402130</v>
      </c>
    </row>
    <row r="1258" spans="1:6" x14ac:dyDescent="0.25">
      <c r="A1258" s="5">
        <v>3402130</v>
      </c>
      <c r="B1258" s="1">
        <v>2019</v>
      </c>
      <c r="C1258" s="1" t="s">
        <v>1387</v>
      </c>
      <c r="D1258" s="1" t="s">
        <v>1097</v>
      </c>
      <c r="E1258" s="8">
        <v>558342</v>
      </c>
      <c r="F1258" s="5">
        <v>3402130</v>
      </c>
    </row>
    <row r="1259" spans="1:6" ht="20" x14ac:dyDescent="0.25">
      <c r="A1259" s="5">
        <v>3402130</v>
      </c>
      <c r="B1259" s="1">
        <v>2020</v>
      </c>
      <c r="C1259" s="1" t="s">
        <v>1387</v>
      </c>
      <c r="D1259" s="2" t="s">
        <v>1097</v>
      </c>
      <c r="E1259" s="7">
        <v>599144</v>
      </c>
      <c r="F1259" s="5">
        <v>3402130</v>
      </c>
    </row>
    <row r="1260" spans="1:6" ht="20" x14ac:dyDescent="0.25">
      <c r="A1260" s="5">
        <v>3402130</v>
      </c>
      <c r="B1260" s="1">
        <v>2021</v>
      </c>
      <c r="C1260" s="1" t="s">
        <v>1387</v>
      </c>
      <c r="D1260" s="3" t="s">
        <v>1097</v>
      </c>
      <c r="E1260" s="7">
        <v>738825</v>
      </c>
      <c r="F1260" s="5">
        <v>3402130</v>
      </c>
    </row>
    <row r="1261" spans="1:6" ht="20" x14ac:dyDescent="0.25">
      <c r="A1261" s="5">
        <v>3402130</v>
      </c>
      <c r="B1261" s="1">
        <v>2022</v>
      </c>
      <c r="C1261" s="1" t="s">
        <v>1387</v>
      </c>
      <c r="D1261" s="2" t="s">
        <v>1097</v>
      </c>
      <c r="E1261" s="7">
        <v>1063526</v>
      </c>
      <c r="F1261" s="5">
        <v>3402130</v>
      </c>
    </row>
    <row r="1262" spans="1:6" ht="20" x14ac:dyDescent="0.25">
      <c r="A1262" s="5">
        <v>3402130</v>
      </c>
      <c r="B1262" s="1">
        <v>2023</v>
      </c>
      <c r="C1262" s="1" t="s">
        <v>1387</v>
      </c>
      <c r="D1262" s="2" t="s">
        <v>1097</v>
      </c>
      <c r="E1262" s="7">
        <v>1023013</v>
      </c>
      <c r="F1262" s="5">
        <v>3402130</v>
      </c>
    </row>
    <row r="1263" spans="1:6" x14ac:dyDescent="0.25">
      <c r="A1263" s="5">
        <v>3402160</v>
      </c>
      <c r="B1263" s="1">
        <v>2015</v>
      </c>
      <c r="C1263" s="1" t="s">
        <v>1387</v>
      </c>
      <c r="D1263" s="1" t="s">
        <v>566</v>
      </c>
      <c r="E1263" s="8">
        <v>703280</v>
      </c>
      <c r="F1263" s="5">
        <v>3402160</v>
      </c>
    </row>
    <row r="1264" spans="1:6" x14ac:dyDescent="0.25">
      <c r="A1264" s="5">
        <v>3402160</v>
      </c>
      <c r="B1264" s="1">
        <v>2016</v>
      </c>
      <c r="C1264" s="1" t="s">
        <v>1387</v>
      </c>
      <c r="D1264" s="1" t="s">
        <v>566</v>
      </c>
      <c r="E1264" s="8">
        <v>1021048</v>
      </c>
      <c r="F1264" s="5">
        <v>3402160</v>
      </c>
    </row>
    <row r="1265" spans="1:6" x14ac:dyDescent="0.25">
      <c r="A1265" s="5">
        <v>3402160</v>
      </c>
      <c r="B1265" s="1">
        <v>2017</v>
      </c>
      <c r="C1265" s="1" t="s">
        <v>1387</v>
      </c>
      <c r="D1265" s="1" t="s">
        <v>566</v>
      </c>
      <c r="E1265" s="8">
        <v>1464956</v>
      </c>
      <c r="F1265" s="5">
        <v>3402160</v>
      </c>
    </row>
    <row r="1266" spans="1:6" x14ac:dyDescent="0.25">
      <c r="A1266" s="5">
        <v>3402160</v>
      </c>
      <c r="B1266" s="1">
        <v>2018</v>
      </c>
      <c r="C1266" s="1" t="s">
        <v>1387</v>
      </c>
      <c r="D1266" s="1" t="s">
        <v>1258</v>
      </c>
      <c r="E1266" s="8">
        <v>1899426</v>
      </c>
      <c r="F1266" s="5">
        <v>3402160</v>
      </c>
    </row>
    <row r="1267" spans="1:6" x14ac:dyDescent="0.25">
      <c r="A1267" s="5">
        <v>3402160</v>
      </c>
      <c r="B1267" s="1">
        <v>2019</v>
      </c>
      <c r="C1267" s="1" t="s">
        <v>1387</v>
      </c>
      <c r="D1267" s="1" t="s">
        <v>1258</v>
      </c>
      <c r="E1267" s="8">
        <v>2490664</v>
      </c>
      <c r="F1267" s="5">
        <v>3402160</v>
      </c>
    </row>
    <row r="1268" spans="1:6" ht="20" x14ac:dyDescent="0.25">
      <c r="A1268" s="5">
        <v>3402160</v>
      </c>
      <c r="B1268" s="1">
        <v>2020</v>
      </c>
      <c r="C1268" s="1" t="s">
        <v>1387</v>
      </c>
      <c r="D1268" s="2" t="s">
        <v>1258</v>
      </c>
      <c r="E1268" s="7">
        <v>2790482</v>
      </c>
      <c r="F1268" s="5">
        <v>3402160</v>
      </c>
    </row>
    <row r="1269" spans="1:6" ht="20" x14ac:dyDescent="0.25">
      <c r="A1269" s="5">
        <v>3402160</v>
      </c>
      <c r="B1269" s="1">
        <v>2021</v>
      </c>
      <c r="C1269" s="1" t="s">
        <v>1387</v>
      </c>
      <c r="D1269" s="3" t="s">
        <v>1258</v>
      </c>
      <c r="E1269" s="7">
        <v>3593205</v>
      </c>
      <c r="F1269" s="5">
        <v>3402160</v>
      </c>
    </row>
    <row r="1270" spans="1:6" ht="20" x14ac:dyDescent="0.25">
      <c r="A1270" s="5">
        <v>3402160</v>
      </c>
      <c r="B1270" s="1">
        <v>2022</v>
      </c>
      <c r="C1270" s="1" t="s">
        <v>1387</v>
      </c>
      <c r="D1270" s="2" t="s">
        <v>1258</v>
      </c>
      <c r="E1270" s="7">
        <v>5064353</v>
      </c>
      <c r="F1270" s="5">
        <v>3402160</v>
      </c>
    </row>
    <row r="1271" spans="1:6" ht="20" x14ac:dyDescent="0.25">
      <c r="A1271" s="5">
        <v>3402160</v>
      </c>
      <c r="B1271" s="1">
        <v>2023</v>
      </c>
      <c r="C1271" s="1" t="s">
        <v>1387</v>
      </c>
      <c r="D1271" s="2" t="s">
        <v>1258</v>
      </c>
      <c r="E1271" s="7">
        <v>4936884</v>
      </c>
      <c r="F1271" s="5">
        <v>3402160</v>
      </c>
    </row>
    <row r="1272" spans="1:6" x14ac:dyDescent="0.25">
      <c r="A1272" s="5">
        <v>3402220</v>
      </c>
      <c r="B1272" s="1">
        <v>2015</v>
      </c>
      <c r="C1272" s="1" t="s">
        <v>1387</v>
      </c>
      <c r="D1272" s="1" t="s">
        <v>498</v>
      </c>
      <c r="E1272" s="8">
        <v>3261094</v>
      </c>
      <c r="F1272" s="5">
        <v>3402220</v>
      </c>
    </row>
    <row r="1273" spans="1:6" x14ac:dyDescent="0.25">
      <c r="A1273" s="5">
        <v>3402220</v>
      </c>
      <c r="B1273" s="1">
        <v>2016</v>
      </c>
      <c r="C1273" s="1" t="s">
        <v>1387</v>
      </c>
      <c r="D1273" s="1" t="s">
        <v>498</v>
      </c>
      <c r="E1273" s="8">
        <v>4894333</v>
      </c>
      <c r="F1273" s="5">
        <v>3402220</v>
      </c>
    </row>
    <row r="1274" spans="1:6" x14ac:dyDescent="0.25">
      <c r="A1274" s="5">
        <v>3402220</v>
      </c>
      <c r="B1274" s="1">
        <v>2017</v>
      </c>
      <c r="C1274" s="1" t="s">
        <v>1387</v>
      </c>
      <c r="D1274" s="1" t="s">
        <v>498</v>
      </c>
      <c r="E1274" s="8">
        <v>6934613</v>
      </c>
      <c r="F1274" s="5">
        <v>3402220</v>
      </c>
    </row>
    <row r="1275" spans="1:6" x14ac:dyDescent="0.25">
      <c r="A1275" s="5">
        <v>3402220</v>
      </c>
      <c r="B1275" s="1">
        <v>2018</v>
      </c>
      <c r="C1275" s="1" t="s">
        <v>1387</v>
      </c>
      <c r="D1275" s="1" t="s">
        <v>1190</v>
      </c>
      <c r="E1275" s="8">
        <v>9215178</v>
      </c>
      <c r="F1275" s="5">
        <v>3402220</v>
      </c>
    </row>
    <row r="1276" spans="1:6" x14ac:dyDescent="0.25">
      <c r="A1276" s="5">
        <v>3402220</v>
      </c>
      <c r="B1276" s="1">
        <v>2019</v>
      </c>
      <c r="C1276" s="1" t="s">
        <v>1387</v>
      </c>
      <c r="D1276" s="1" t="s">
        <v>1190</v>
      </c>
      <c r="E1276" s="8">
        <v>12247713</v>
      </c>
      <c r="F1276" s="5">
        <v>3402220</v>
      </c>
    </row>
    <row r="1277" spans="1:6" ht="20" x14ac:dyDescent="0.25">
      <c r="A1277" s="5">
        <v>3402220</v>
      </c>
      <c r="B1277" s="1">
        <v>2020</v>
      </c>
      <c r="C1277" s="1" t="s">
        <v>1387</v>
      </c>
      <c r="D1277" s="2" t="s">
        <v>1190</v>
      </c>
      <c r="E1277" s="7">
        <v>13943940</v>
      </c>
      <c r="F1277" s="5">
        <v>3402220</v>
      </c>
    </row>
    <row r="1278" spans="1:6" ht="20" x14ac:dyDescent="0.25">
      <c r="A1278" s="5">
        <v>3402220</v>
      </c>
      <c r="B1278" s="1">
        <v>2021</v>
      </c>
      <c r="C1278" s="1" t="s">
        <v>1387</v>
      </c>
      <c r="D1278" s="3" t="s">
        <v>1190</v>
      </c>
      <c r="E1278" s="7">
        <v>16940414</v>
      </c>
      <c r="F1278" s="5">
        <v>3402220</v>
      </c>
    </row>
    <row r="1279" spans="1:6" ht="20" x14ac:dyDescent="0.25">
      <c r="A1279" s="5">
        <v>3402220</v>
      </c>
      <c r="B1279" s="1">
        <v>2022</v>
      </c>
      <c r="C1279" s="1" t="s">
        <v>1387</v>
      </c>
      <c r="D1279" s="2" t="s">
        <v>1190</v>
      </c>
      <c r="E1279" s="7">
        <v>24384644</v>
      </c>
      <c r="F1279" s="5">
        <v>3402220</v>
      </c>
    </row>
    <row r="1280" spans="1:6" ht="20" x14ac:dyDescent="0.25">
      <c r="A1280" s="5">
        <v>3402220</v>
      </c>
      <c r="B1280" s="1">
        <v>2023</v>
      </c>
      <c r="C1280" s="1" t="s">
        <v>1387</v>
      </c>
      <c r="D1280" s="2" t="s">
        <v>1190</v>
      </c>
      <c r="E1280" s="7">
        <v>23592463</v>
      </c>
      <c r="F1280" s="5">
        <v>3402220</v>
      </c>
    </row>
    <row r="1281" spans="1:6" x14ac:dyDescent="0.25">
      <c r="A1281" s="5">
        <v>3402250</v>
      </c>
      <c r="B1281" s="1">
        <v>2015</v>
      </c>
      <c r="C1281" s="1" t="s">
        <v>1387</v>
      </c>
      <c r="D1281" s="1" t="s">
        <v>212</v>
      </c>
      <c r="E1281" s="8">
        <v>1974034</v>
      </c>
      <c r="F1281" s="5">
        <v>3402250</v>
      </c>
    </row>
    <row r="1282" spans="1:6" x14ac:dyDescent="0.25">
      <c r="A1282" s="5">
        <v>3402250</v>
      </c>
      <c r="B1282" s="1">
        <v>2016</v>
      </c>
      <c r="C1282" s="1" t="s">
        <v>1387</v>
      </c>
      <c r="D1282" s="1" t="s">
        <v>212</v>
      </c>
      <c r="E1282" s="8">
        <v>3016820</v>
      </c>
      <c r="F1282" s="5">
        <v>3402250</v>
      </c>
    </row>
    <row r="1283" spans="1:6" x14ac:dyDescent="0.25">
      <c r="A1283" s="5">
        <v>3402250</v>
      </c>
      <c r="B1283" s="1">
        <v>2017</v>
      </c>
      <c r="C1283" s="1" t="s">
        <v>1387</v>
      </c>
      <c r="D1283" s="1" t="s">
        <v>212</v>
      </c>
      <c r="E1283" s="8">
        <v>4251364</v>
      </c>
      <c r="F1283" s="5">
        <v>3402250</v>
      </c>
    </row>
    <row r="1284" spans="1:6" x14ac:dyDescent="0.25">
      <c r="A1284" s="5">
        <v>3402250</v>
      </c>
      <c r="B1284" s="1">
        <v>2018</v>
      </c>
      <c r="C1284" s="1" t="s">
        <v>1387</v>
      </c>
      <c r="D1284" s="1" t="s">
        <v>896</v>
      </c>
      <c r="E1284" s="8">
        <v>5741377</v>
      </c>
      <c r="F1284" s="5">
        <v>3402250</v>
      </c>
    </row>
    <row r="1285" spans="1:6" x14ac:dyDescent="0.25">
      <c r="A1285" s="5">
        <v>3402250</v>
      </c>
      <c r="B1285" s="1">
        <v>2019</v>
      </c>
      <c r="C1285" s="1" t="s">
        <v>1387</v>
      </c>
      <c r="D1285" s="1" t="s">
        <v>896</v>
      </c>
      <c r="E1285" s="8">
        <v>7198142</v>
      </c>
      <c r="F1285" s="5">
        <v>3402250</v>
      </c>
    </row>
    <row r="1286" spans="1:6" ht="20" x14ac:dyDescent="0.25">
      <c r="A1286" s="5">
        <v>3402250</v>
      </c>
      <c r="B1286" s="1">
        <v>2020</v>
      </c>
      <c r="C1286" s="1" t="s">
        <v>1387</v>
      </c>
      <c r="D1286" s="2" t="s">
        <v>896</v>
      </c>
      <c r="E1286" s="7">
        <v>8482974</v>
      </c>
      <c r="F1286" s="5">
        <v>3402250</v>
      </c>
    </row>
    <row r="1287" spans="1:6" ht="20" x14ac:dyDescent="0.25">
      <c r="A1287" s="5">
        <v>3402250</v>
      </c>
      <c r="B1287" s="1">
        <v>2021</v>
      </c>
      <c r="C1287" s="1" t="s">
        <v>1387</v>
      </c>
      <c r="D1287" s="3" t="s">
        <v>896</v>
      </c>
      <c r="E1287" s="7">
        <v>10526174</v>
      </c>
      <c r="F1287" s="5">
        <v>3402250</v>
      </c>
    </row>
    <row r="1288" spans="1:6" ht="20" x14ac:dyDescent="0.25">
      <c r="A1288" s="5">
        <v>3402250</v>
      </c>
      <c r="B1288" s="1">
        <v>2022</v>
      </c>
      <c r="C1288" s="1" t="s">
        <v>1387</v>
      </c>
      <c r="D1288" s="2" t="s">
        <v>896</v>
      </c>
      <c r="E1288" s="7">
        <v>15924533</v>
      </c>
      <c r="F1288" s="5">
        <v>3402250</v>
      </c>
    </row>
    <row r="1289" spans="1:6" ht="20" x14ac:dyDescent="0.25">
      <c r="A1289" s="5">
        <v>3402250</v>
      </c>
      <c r="B1289" s="1">
        <v>2023</v>
      </c>
      <c r="C1289" s="1" t="s">
        <v>1387</v>
      </c>
      <c r="D1289" s="2" t="s">
        <v>896</v>
      </c>
      <c r="E1289" s="7">
        <v>15724161</v>
      </c>
      <c r="F1289" s="5">
        <v>3402250</v>
      </c>
    </row>
    <row r="1290" spans="1:6" x14ac:dyDescent="0.25">
      <c r="A1290" s="5">
        <v>3402280</v>
      </c>
      <c r="B1290" s="1">
        <v>2015</v>
      </c>
      <c r="C1290" s="1" t="s">
        <v>1387</v>
      </c>
      <c r="D1290" s="1" t="s">
        <v>567</v>
      </c>
      <c r="E1290" s="8">
        <v>3500442</v>
      </c>
      <c r="F1290" s="5">
        <v>3402280</v>
      </c>
    </row>
    <row r="1291" spans="1:6" x14ac:dyDescent="0.25">
      <c r="A1291" s="5">
        <v>3402280</v>
      </c>
      <c r="B1291" s="1">
        <v>2016</v>
      </c>
      <c r="C1291" s="1" t="s">
        <v>1387</v>
      </c>
      <c r="D1291" s="1" t="s">
        <v>567</v>
      </c>
      <c r="E1291" s="8">
        <v>5265095</v>
      </c>
      <c r="F1291" s="5">
        <v>3402280</v>
      </c>
    </row>
    <row r="1292" spans="1:6" x14ac:dyDescent="0.25">
      <c r="A1292" s="5">
        <v>3402280</v>
      </c>
      <c r="B1292" s="1">
        <v>2017</v>
      </c>
      <c r="C1292" s="1" t="s">
        <v>1387</v>
      </c>
      <c r="D1292" s="1" t="s">
        <v>567</v>
      </c>
      <c r="E1292" s="8">
        <v>7418533</v>
      </c>
      <c r="F1292" s="5">
        <v>3402280</v>
      </c>
    </row>
    <row r="1293" spans="1:6" x14ac:dyDescent="0.25">
      <c r="A1293" s="5">
        <v>3402280</v>
      </c>
      <c r="B1293" s="1">
        <v>2018</v>
      </c>
      <c r="C1293" s="1" t="s">
        <v>1387</v>
      </c>
      <c r="D1293" s="1" t="s">
        <v>1259</v>
      </c>
      <c r="E1293" s="8">
        <v>10047797</v>
      </c>
      <c r="F1293" s="5">
        <v>3402280</v>
      </c>
    </row>
    <row r="1294" spans="1:6" x14ac:dyDescent="0.25">
      <c r="A1294" s="5">
        <v>3402280</v>
      </c>
      <c r="B1294" s="1">
        <v>2019</v>
      </c>
      <c r="C1294" s="1" t="s">
        <v>1387</v>
      </c>
      <c r="D1294" s="1" t="s">
        <v>1259</v>
      </c>
      <c r="E1294" s="8">
        <v>13580031</v>
      </c>
      <c r="F1294" s="5">
        <v>3402280</v>
      </c>
    </row>
    <row r="1295" spans="1:6" ht="20" x14ac:dyDescent="0.25">
      <c r="A1295" s="5">
        <v>3402280</v>
      </c>
      <c r="B1295" s="1">
        <v>2020</v>
      </c>
      <c r="C1295" s="1" t="s">
        <v>1387</v>
      </c>
      <c r="D1295" s="2" t="s">
        <v>1259</v>
      </c>
      <c r="E1295" s="7">
        <v>15459889</v>
      </c>
      <c r="F1295" s="5">
        <v>3402280</v>
      </c>
    </row>
    <row r="1296" spans="1:6" ht="20" x14ac:dyDescent="0.25">
      <c r="A1296" s="5">
        <v>3402280</v>
      </c>
      <c r="B1296" s="1">
        <v>2021</v>
      </c>
      <c r="C1296" s="1" t="s">
        <v>1387</v>
      </c>
      <c r="D1296" s="3" t="s">
        <v>1259</v>
      </c>
      <c r="E1296" s="7">
        <v>19610768</v>
      </c>
      <c r="F1296" s="5">
        <v>3402280</v>
      </c>
    </row>
    <row r="1297" spans="1:6" ht="20" x14ac:dyDescent="0.25">
      <c r="A1297" s="5">
        <v>3402280</v>
      </c>
      <c r="B1297" s="1">
        <v>2022</v>
      </c>
      <c r="C1297" s="1" t="s">
        <v>1387</v>
      </c>
      <c r="D1297" s="2" t="s">
        <v>1259</v>
      </c>
      <c r="E1297" s="7">
        <v>28045601</v>
      </c>
      <c r="F1297" s="5">
        <v>3402280</v>
      </c>
    </row>
    <row r="1298" spans="1:6" ht="20" x14ac:dyDescent="0.25">
      <c r="A1298" s="5">
        <v>3402280</v>
      </c>
      <c r="B1298" s="1">
        <v>2023</v>
      </c>
      <c r="C1298" s="1" t="s">
        <v>1387</v>
      </c>
      <c r="D1298" s="2" t="s">
        <v>1259</v>
      </c>
      <c r="E1298" s="7">
        <v>27686282</v>
      </c>
      <c r="F1298" s="5">
        <v>3402280</v>
      </c>
    </row>
    <row r="1299" spans="1:6" x14ac:dyDescent="0.25">
      <c r="A1299" s="5">
        <v>3402310</v>
      </c>
      <c r="B1299" s="1">
        <v>2015</v>
      </c>
      <c r="C1299" s="1" t="s">
        <v>1387</v>
      </c>
      <c r="D1299" s="1" t="s">
        <v>406</v>
      </c>
      <c r="E1299" s="8">
        <v>197298</v>
      </c>
      <c r="F1299" s="5">
        <v>3402310</v>
      </c>
    </row>
    <row r="1300" spans="1:6" x14ac:dyDescent="0.25">
      <c r="A1300" s="5">
        <v>3402310</v>
      </c>
      <c r="B1300" s="1">
        <v>2016</v>
      </c>
      <c r="C1300" s="1" t="s">
        <v>1387</v>
      </c>
      <c r="D1300" s="1" t="s">
        <v>406</v>
      </c>
      <c r="E1300" s="8">
        <v>296484</v>
      </c>
      <c r="F1300" s="5">
        <v>3402310</v>
      </c>
    </row>
    <row r="1301" spans="1:6" x14ac:dyDescent="0.25">
      <c r="A1301" s="5">
        <v>3402310</v>
      </c>
      <c r="B1301" s="1">
        <v>2017</v>
      </c>
      <c r="C1301" s="1" t="s">
        <v>1387</v>
      </c>
      <c r="D1301" s="1" t="s">
        <v>406</v>
      </c>
      <c r="E1301" s="8">
        <v>407846</v>
      </c>
      <c r="F1301" s="5">
        <v>3402310</v>
      </c>
    </row>
    <row r="1302" spans="1:6" x14ac:dyDescent="0.25">
      <c r="A1302" s="5">
        <v>3402310</v>
      </c>
      <c r="B1302" s="1">
        <v>2018</v>
      </c>
      <c r="C1302" s="1" t="s">
        <v>1387</v>
      </c>
      <c r="D1302" s="1" t="s">
        <v>1098</v>
      </c>
      <c r="E1302" s="8">
        <v>561698</v>
      </c>
      <c r="F1302" s="5">
        <v>3402310</v>
      </c>
    </row>
    <row r="1303" spans="1:6" x14ac:dyDescent="0.25">
      <c r="A1303" s="5">
        <v>3402310</v>
      </c>
      <c r="B1303" s="1">
        <v>2019</v>
      </c>
      <c r="C1303" s="1" t="s">
        <v>1387</v>
      </c>
      <c r="D1303" s="1" t="s">
        <v>1098</v>
      </c>
      <c r="E1303" s="8">
        <v>734737</v>
      </c>
      <c r="F1303" s="5">
        <v>3402310</v>
      </c>
    </row>
    <row r="1304" spans="1:6" ht="20" x14ac:dyDescent="0.25">
      <c r="A1304" s="5">
        <v>3402310</v>
      </c>
      <c r="B1304" s="1">
        <v>2020</v>
      </c>
      <c r="C1304" s="1" t="s">
        <v>1387</v>
      </c>
      <c r="D1304" s="2" t="s">
        <v>1098</v>
      </c>
      <c r="E1304" s="7">
        <v>840856</v>
      </c>
      <c r="F1304" s="5">
        <v>3402310</v>
      </c>
    </row>
    <row r="1305" spans="1:6" ht="20" x14ac:dyDescent="0.25">
      <c r="A1305" s="5">
        <v>3402310</v>
      </c>
      <c r="B1305" s="1">
        <v>2021</v>
      </c>
      <c r="C1305" s="1" t="s">
        <v>1387</v>
      </c>
      <c r="D1305" s="3" t="s">
        <v>1098</v>
      </c>
      <c r="E1305" s="7">
        <v>1100559</v>
      </c>
      <c r="F1305" s="5">
        <v>3402310</v>
      </c>
    </row>
    <row r="1306" spans="1:6" ht="20" x14ac:dyDescent="0.25">
      <c r="A1306" s="5">
        <v>3402310</v>
      </c>
      <c r="B1306" s="1">
        <v>2022</v>
      </c>
      <c r="C1306" s="1" t="s">
        <v>1387</v>
      </c>
      <c r="D1306" s="2" t="s">
        <v>1098</v>
      </c>
      <c r="E1306" s="7">
        <v>1561856</v>
      </c>
      <c r="F1306" s="5">
        <v>3402310</v>
      </c>
    </row>
    <row r="1307" spans="1:6" ht="20" x14ac:dyDescent="0.25">
      <c r="A1307" s="5">
        <v>3402310</v>
      </c>
      <c r="B1307" s="1">
        <v>2023</v>
      </c>
      <c r="C1307" s="1" t="s">
        <v>1387</v>
      </c>
      <c r="D1307" s="2" t="s">
        <v>1098</v>
      </c>
      <c r="E1307" s="7">
        <v>1623190</v>
      </c>
      <c r="F1307" s="5">
        <v>3402310</v>
      </c>
    </row>
    <row r="1308" spans="1:6" x14ac:dyDescent="0.25">
      <c r="A1308" s="5">
        <v>3402340</v>
      </c>
      <c r="B1308" s="1">
        <v>2015</v>
      </c>
      <c r="C1308" s="1" t="s">
        <v>1387</v>
      </c>
      <c r="D1308" s="1" t="s">
        <v>5</v>
      </c>
      <c r="E1308" s="8">
        <v>352032</v>
      </c>
      <c r="F1308" s="5">
        <v>3402340</v>
      </c>
    </row>
    <row r="1309" spans="1:6" x14ac:dyDescent="0.25">
      <c r="A1309" s="5">
        <v>3402340</v>
      </c>
      <c r="B1309" s="1">
        <v>2016</v>
      </c>
      <c r="C1309" s="1" t="s">
        <v>1387</v>
      </c>
      <c r="D1309" s="1" t="s">
        <v>5</v>
      </c>
      <c r="E1309" s="8">
        <v>552100</v>
      </c>
      <c r="F1309" s="5">
        <v>3402340</v>
      </c>
    </row>
    <row r="1310" spans="1:6" x14ac:dyDescent="0.25">
      <c r="A1310" s="5">
        <v>3402340</v>
      </c>
      <c r="B1310" s="1">
        <v>2017</v>
      </c>
      <c r="C1310" s="1" t="s">
        <v>1387</v>
      </c>
      <c r="D1310" s="1" t="s">
        <v>5</v>
      </c>
      <c r="E1310" s="8">
        <v>727436</v>
      </c>
      <c r="F1310" s="5">
        <v>3402340</v>
      </c>
    </row>
    <row r="1311" spans="1:6" x14ac:dyDescent="0.25">
      <c r="A1311" s="5">
        <v>3402340</v>
      </c>
      <c r="B1311" s="1">
        <v>2018</v>
      </c>
      <c r="C1311" s="1" t="s">
        <v>1387</v>
      </c>
      <c r="D1311" s="1" t="s">
        <v>684</v>
      </c>
      <c r="E1311" s="8">
        <v>1021788</v>
      </c>
      <c r="F1311" s="5">
        <v>3402340</v>
      </c>
    </row>
    <row r="1312" spans="1:6" x14ac:dyDescent="0.25">
      <c r="A1312" s="5">
        <v>3402340</v>
      </c>
      <c r="B1312" s="1">
        <v>2019</v>
      </c>
      <c r="C1312" s="1" t="s">
        <v>1387</v>
      </c>
      <c r="D1312" s="1" t="s">
        <v>684</v>
      </c>
      <c r="E1312" s="8">
        <v>1328627</v>
      </c>
      <c r="F1312" s="5">
        <v>3402340</v>
      </c>
    </row>
    <row r="1313" spans="1:6" ht="20" x14ac:dyDescent="0.25">
      <c r="A1313" s="5">
        <v>3402340</v>
      </c>
      <c r="B1313" s="1">
        <v>2020</v>
      </c>
      <c r="C1313" s="1" t="s">
        <v>1387</v>
      </c>
      <c r="D1313" s="2" t="s">
        <v>684</v>
      </c>
      <c r="E1313" s="7">
        <v>1424363</v>
      </c>
      <c r="F1313" s="5">
        <v>3402340</v>
      </c>
    </row>
    <row r="1314" spans="1:6" ht="20" x14ac:dyDescent="0.25">
      <c r="A1314" s="5">
        <v>3402340</v>
      </c>
      <c r="B1314" s="1">
        <v>2021</v>
      </c>
      <c r="C1314" s="1" t="s">
        <v>1387</v>
      </c>
      <c r="D1314" s="3" t="s">
        <v>684</v>
      </c>
      <c r="E1314" s="7">
        <v>1806740</v>
      </c>
      <c r="F1314" s="5">
        <v>3402340</v>
      </c>
    </row>
    <row r="1315" spans="1:6" ht="20" x14ac:dyDescent="0.25">
      <c r="A1315" s="5">
        <v>3402340</v>
      </c>
      <c r="B1315" s="1">
        <v>2022</v>
      </c>
      <c r="C1315" s="1" t="s">
        <v>1387</v>
      </c>
      <c r="D1315" s="2" t="s">
        <v>684</v>
      </c>
      <c r="E1315" s="7">
        <v>2513531</v>
      </c>
      <c r="F1315" s="5">
        <v>3402340</v>
      </c>
    </row>
    <row r="1316" spans="1:6" ht="20" x14ac:dyDescent="0.25">
      <c r="A1316" s="5">
        <v>3402340</v>
      </c>
      <c r="B1316" s="1">
        <v>2023</v>
      </c>
      <c r="C1316" s="1" t="s">
        <v>1387</v>
      </c>
      <c r="D1316" s="2" t="s">
        <v>684</v>
      </c>
      <c r="E1316" s="7">
        <v>2313626</v>
      </c>
      <c r="F1316" s="5">
        <v>3402340</v>
      </c>
    </row>
    <row r="1317" spans="1:6" x14ac:dyDescent="0.25">
      <c r="A1317" s="5">
        <v>3402370</v>
      </c>
      <c r="B1317" s="1">
        <v>2015</v>
      </c>
      <c r="C1317" s="1" t="s">
        <v>1387</v>
      </c>
      <c r="D1317" s="1" t="s">
        <v>155</v>
      </c>
      <c r="E1317" s="8">
        <v>100347</v>
      </c>
      <c r="F1317" s="5">
        <v>3402370</v>
      </c>
    </row>
    <row r="1318" spans="1:6" x14ac:dyDescent="0.25">
      <c r="A1318" s="5">
        <v>3402370</v>
      </c>
      <c r="B1318" s="1">
        <v>2016</v>
      </c>
      <c r="C1318" s="1" t="s">
        <v>1387</v>
      </c>
      <c r="D1318" s="1" t="s">
        <v>155</v>
      </c>
      <c r="E1318" s="8">
        <v>153798</v>
      </c>
      <c r="F1318" s="5">
        <v>3402370</v>
      </c>
    </row>
    <row r="1319" spans="1:6" x14ac:dyDescent="0.25">
      <c r="A1319" s="5">
        <v>3402370</v>
      </c>
      <c r="B1319" s="1">
        <v>2017</v>
      </c>
      <c r="C1319" s="1" t="s">
        <v>1387</v>
      </c>
      <c r="D1319" s="1" t="s">
        <v>155</v>
      </c>
      <c r="E1319" s="8">
        <v>220796</v>
      </c>
      <c r="F1319" s="5">
        <v>3402370</v>
      </c>
    </row>
    <row r="1320" spans="1:6" x14ac:dyDescent="0.25">
      <c r="A1320" s="5">
        <v>3402370</v>
      </c>
      <c r="B1320" s="1">
        <v>2018</v>
      </c>
      <c r="C1320" s="1" t="s">
        <v>1387</v>
      </c>
      <c r="D1320" s="1" t="s">
        <v>836</v>
      </c>
      <c r="E1320" s="8">
        <v>316002</v>
      </c>
      <c r="F1320" s="5">
        <v>3402370</v>
      </c>
    </row>
    <row r="1321" spans="1:6" x14ac:dyDescent="0.25">
      <c r="A1321" s="5">
        <v>3402370</v>
      </c>
      <c r="B1321" s="1">
        <v>2019</v>
      </c>
      <c r="C1321" s="1" t="s">
        <v>1387</v>
      </c>
      <c r="D1321" s="1" t="s">
        <v>836</v>
      </c>
      <c r="E1321" s="8">
        <v>398769</v>
      </c>
      <c r="F1321" s="5">
        <v>3402370</v>
      </c>
    </row>
    <row r="1322" spans="1:6" ht="20" x14ac:dyDescent="0.25">
      <c r="A1322" s="5">
        <v>3402370</v>
      </c>
      <c r="B1322" s="1">
        <v>2020</v>
      </c>
      <c r="C1322" s="1" t="s">
        <v>1387</v>
      </c>
      <c r="D1322" s="2" t="s">
        <v>836</v>
      </c>
      <c r="E1322" s="7">
        <v>437121</v>
      </c>
      <c r="F1322" s="5">
        <v>3402370</v>
      </c>
    </row>
    <row r="1323" spans="1:6" ht="20" x14ac:dyDescent="0.25">
      <c r="A1323" s="5">
        <v>3402370</v>
      </c>
      <c r="B1323" s="1">
        <v>2021</v>
      </c>
      <c r="C1323" s="1" t="s">
        <v>1387</v>
      </c>
      <c r="D1323" s="3" t="s">
        <v>836</v>
      </c>
      <c r="E1323" s="7">
        <v>590527</v>
      </c>
      <c r="F1323" s="5">
        <v>3402370</v>
      </c>
    </row>
    <row r="1324" spans="1:6" ht="20" x14ac:dyDescent="0.25">
      <c r="A1324" s="5">
        <v>3402370</v>
      </c>
      <c r="B1324" s="1">
        <v>2022</v>
      </c>
      <c r="C1324" s="1" t="s">
        <v>1387</v>
      </c>
      <c r="D1324" s="2" t="s">
        <v>836</v>
      </c>
      <c r="E1324" s="7">
        <v>829074</v>
      </c>
      <c r="F1324" s="5">
        <v>3402370</v>
      </c>
    </row>
    <row r="1325" spans="1:6" ht="20" x14ac:dyDescent="0.25">
      <c r="A1325" s="5">
        <v>3402370</v>
      </c>
      <c r="B1325" s="1">
        <v>2023</v>
      </c>
      <c r="C1325" s="1" t="s">
        <v>1387</v>
      </c>
      <c r="D1325" s="2" t="s">
        <v>836</v>
      </c>
      <c r="E1325" s="7">
        <v>830272</v>
      </c>
      <c r="F1325" s="5">
        <v>3402370</v>
      </c>
    </row>
    <row r="1326" spans="1:6" x14ac:dyDescent="0.25">
      <c r="A1326" s="5">
        <v>3402400</v>
      </c>
      <c r="B1326" s="1">
        <v>2015</v>
      </c>
      <c r="C1326" s="1" t="s">
        <v>1387</v>
      </c>
      <c r="D1326" s="1" t="s">
        <v>6</v>
      </c>
      <c r="E1326" s="8">
        <v>835489</v>
      </c>
      <c r="F1326" s="5">
        <v>3402400</v>
      </c>
    </row>
    <row r="1327" spans="1:6" x14ac:dyDescent="0.25">
      <c r="A1327" s="5">
        <v>3402400</v>
      </c>
      <c r="B1327" s="1">
        <v>2016</v>
      </c>
      <c r="C1327" s="1" t="s">
        <v>1387</v>
      </c>
      <c r="D1327" s="1" t="s">
        <v>6</v>
      </c>
      <c r="E1327" s="8">
        <v>1148920</v>
      </c>
      <c r="F1327" s="5">
        <v>3402400</v>
      </c>
    </row>
    <row r="1328" spans="1:6" x14ac:dyDescent="0.25">
      <c r="A1328" s="5">
        <v>3402400</v>
      </c>
      <c r="B1328" s="1">
        <v>2017</v>
      </c>
      <c r="C1328" s="1" t="s">
        <v>1387</v>
      </c>
      <c r="D1328" s="1" t="s">
        <v>6</v>
      </c>
      <c r="E1328" s="8">
        <v>1668280</v>
      </c>
      <c r="F1328" s="5">
        <v>3402400</v>
      </c>
    </row>
    <row r="1329" spans="1:6" x14ac:dyDescent="0.25">
      <c r="A1329" s="5">
        <v>3402400</v>
      </c>
      <c r="B1329" s="1">
        <v>2018</v>
      </c>
      <c r="C1329" s="1" t="s">
        <v>1387</v>
      </c>
      <c r="D1329" s="1" t="s">
        <v>685</v>
      </c>
      <c r="E1329" s="8">
        <v>2195285</v>
      </c>
      <c r="F1329" s="5">
        <v>3402400</v>
      </c>
    </row>
    <row r="1330" spans="1:6" x14ac:dyDescent="0.25">
      <c r="A1330" s="5">
        <v>3402400</v>
      </c>
      <c r="B1330" s="1">
        <v>2019</v>
      </c>
      <c r="C1330" s="1" t="s">
        <v>1387</v>
      </c>
      <c r="D1330" s="1" t="s">
        <v>685</v>
      </c>
      <c r="E1330" s="8">
        <v>2867178</v>
      </c>
      <c r="F1330" s="5">
        <v>3402400</v>
      </c>
    </row>
    <row r="1331" spans="1:6" ht="20" x14ac:dyDescent="0.25">
      <c r="A1331" s="5">
        <v>3402400</v>
      </c>
      <c r="B1331" s="1">
        <v>2020</v>
      </c>
      <c r="C1331" s="1" t="s">
        <v>1387</v>
      </c>
      <c r="D1331" s="2" t="s">
        <v>685</v>
      </c>
      <c r="E1331" s="7">
        <v>3112789</v>
      </c>
      <c r="F1331" s="5">
        <v>3402400</v>
      </c>
    </row>
    <row r="1332" spans="1:6" ht="20" x14ac:dyDescent="0.25">
      <c r="A1332" s="5">
        <v>3402400</v>
      </c>
      <c r="B1332" s="1">
        <v>2021</v>
      </c>
      <c r="C1332" s="1" t="s">
        <v>1387</v>
      </c>
      <c r="D1332" s="3" t="s">
        <v>685</v>
      </c>
      <c r="E1332" s="7">
        <v>4051428</v>
      </c>
      <c r="F1332" s="5">
        <v>3402400</v>
      </c>
    </row>
    <row r="1333" spans="1:6" ht="20" x14ac:dyDescent="0.25">
      <c r="A1333" s="5">
        <v>3402400</v>
      </c>
      <c r="B1333" s="1">
        <v>2022</v>
      </c>
      <c r="C1333" s="1" t="s">
        <v>1387</v>
      </c>
      <c r="D1333" s="2" t="s">
        <v>685</v>
      </c>
      <c r="E1333" s="7">
        <v>5651159</v>
      </c>
      <c r="F1333" s="5">
        <v>3402400</v>
      </c>
    </row>
    <row r="1334" spans="1:6" ht="20" x14ac:dyDescent="0.25">
      <c r="A1334" s="5">
        <v>3402400</v>
      </c>
      <c r="B1334" s="1">
        <v>2023</v>
      </c>
      <c r="C1334" s="1" t="s">
        <v>1387</v>
      </c>
      <c r="D1334" s="2" t="s">
        <v>685</v>
      </c>
      <c r="E1334" s="7">
        <v>5681613</v>
      </c>
      <c r="F1334" s="5">
        <v>3402400</v>
      </c>
    </row>
    <row r="1335" spans="1:6" x14ac:dyDescent="0.25">
      <c r="A1335" s="5">
        <v>3402430</v>
      </c>
      <c r="B1335" s="1">
        <v>2015</v>
      </c>
      <c r="C1335" s="1" t="s">
        <v>1387</v>
      </c>
      <c r="D1335" s="1" t="s">
        <v>109</v>
      </c>
      <c r="E1335" s="8">
        <v>832985</v>
      </c>
      <c r="F1335" s="5">
        <v>3402430</v>
      </c>
    </row>
    <row r="1336" spans="1:6" x14ac:dyDescent="0.25">
      <c r="A1336" s="5">
        <v>3402430</v>
      </c>
      <c r="B1336" s="1">
        <v>2016</v>
      </c>
      <c r="C1336" s="1" t="s">
        <v>1387</v>
      </c>
      <c r="D1336" s="1" t="s">
        <v>109</v>
      </c>
      <c r="E1336" s="8">
        <v>1227211</v>
      </c>
      <c r="F1336" s="5">
        <v>3402430</v>
      </c>
    </row>
    <row r="1337" spans="1:6" x14ac:dyDescent="0.25">
      <c r="A1337" s="5">
        <v>3402430</v>
      </c>
      <c r="B1337" s="1">
        <v>2017</v>
      </c>
      <c r="C1337" s="1" t="s">
        <v>1387</v>
      </c>
      <c r="D1337" s="1" t="s">
        <v>109</v>
      </c>
      <c r="E1337" s="8">
        <v>1683868</v>
      </c>
      <c r="F1337" s="5">
        <v>3402430</v>
      </c>
    </row>
    <row r="1338" spans="1:6" x14ac:dyDescent="0.25">
      <c r="A1338" s="5">
        <v>3402430</v>
      </c>
      <c r="B1338" s="1">
        <v>2018</v>
      </c>
      <c r="C1338" s="1" t="s">
        <v>1387</v>
      </c>
      <c r="D1338" s="1" t="s">
        <v>790</v>
      </c>
      <c r="E1338" s="8">
        <v>2348150</v>
      </c>
      <c r="F1338" s="5">
        <v>3402430</v>
      </c>
    </row>
    <row r="1339" spans="1:6" x14ac:dyDescent="0.25">
      <c r="A1339" s="5">
        <v>3402430</v>
      </c>
      <c r="B1339" s="1">
        <v>2019</v>
      </c>
      <c r="C1339" s="1" t="s">
        <v>1387</v>
      </c>
      <c r="D1339" s="1" t="s">
        <v>790</v>
      </c>
      <c r="E1339" s="8">
        <v>2969161</v>
      </c>
      <c r="F1339" s="5">
        <v>3402430</v>
      </c>
    </row>
    <row r="1340" spans="1:6" ht="20" x14ac:dyDescent="0.25">
      <c r="A1340" s="5">
        <v>3402430</v>
      </c>
      <c r="B1340" s="1">
        <v>2020</v>
      </c>
      <c r="C1340" s="1" t="s">
        <v>1387</v>
      </c>
      <c r="D1340" s="2" t="s">
        <v>790</v>
      </c>
      <c r="E1340" s="7">
        <v>3346695</v>
      </c>
      <c r="F1340" s="5">
        <v>3402430</v>
      </c>
    </row>
    <row r="1341" spans="1:6" ht="20" x14ac:dyDescent="0.25">
      <c r="A1341" s="5">
        <v>3402430</v>
      </c>
      <c r="B1341" s="1">
        <v>2021</v>
      </c>
      <c r="C1341" s="1" t="s">
        <v>1387</v>
      </c>
      <c r="D1341" s="3" t="s">
        <v>790</v>
      </c>
      <c r="E1341" s="7">
        <v>4080119</v>
      </c>
      <c r="F1341" s="5">
        <v>3402430</v>
      </c>
    </row>
    <row r="1342" spans="1:6" ht="20" x14ac:dyDescent="0.25">
      <c r="A1342" s="5">
        <v>3402430</v>
      </c>
      <c r="B1342" s="1">
        <v>2022</v>
      </c>
      <c r="C1342" s="1" t="s">
        <v>1387</v>
      </c>
      <c r="D1342" s="2" t="s">
        <v>790</v>
      </c>
      <c r="E1342" s="7">
        <v>5751585</v>
      </c>
      <c r="F1342" s="5">
        <v>3402430</v>
      </c>
    </row>
    <row r="1343" spans="1:6" ht="20" x14ac:dyDescent="0.25">
      <c r="A1343" s="5">
        <v>3402430</v>
      </c>
      <c r="B1343" s="1">
        <v>2023</v>
      </c>
      <c r="C1343" s="1" t="s">
        <v>1387</v>
      </c>
      <c r="D1343" s="2" t="s">
        <v>790</v>
      </c>
      <c r="E1343" s="7">
        <v>5968288</v>
      </c>
      <c r="F1343" s="5">
        <v>3402430</v>
      </c>
    </row>
    <row r="1344" spans="1:6" x14ac:dyDescent="0.25">
      <c r="A1344" s="5">
        <v>3402440</v>
      </c>
      <c r="B1344" s="1">
        <v>2015</v>
      </c>
      <c r="C1344" s="1" t="s">
        <v>1387</v>
      </c>
      <c r="D1344" s="1" t="s">
        <v>110</v>
      </c>
      <c r="E1344" s="8">
        <v>1009528</v>
      </c>
      <c r="F1344" s="5">
        <v>3402440</v>
      </c>
    </row>
    <row r="1345" spans="1:6" x14ac:dyDescent="0.25">
      <c r="A1345" s="5">
        <v>3402440</v>
      </c>
      <c r="B1345" s="1">
        <v>2016</v>
      </c>
      <c r="C1345" s="1" t="s">
        <v>1387</v>
      </c>
      <c r="D1345" s="1" t="s">
        <v>110</v>
      </c>
      <c r="E1345" s="8">
        <v>1350186</v>
      </c>
      <c r="F1345" s="5">
        <v>3402440</v>
      </c>
    </row>
    <row r="1346" spans="1:6" x14ac:dyDescent="0.25">
      <c r="A1346" s="5">
        <v>3402440</v>
      </c>
      <c r="B1346" s="1">
        <v>2017</v>
      </c>
      <c r="C1346" s="1" t="s">
        <v>1387</v>
      </c>
      <c r="D1346" s="1" t="s">
        <v>110</v>
      </c>
      <c r="E1346" s="8">
        <v>1865723</v>
      </c>
      <c r="F1346" s="5">
        <v>3402440</v>
      </c>
    </row>
    <row r="1347" spans="1:6" x14ac:dyDescent="0.25">
      <c r="A1347" s="5">
        <v>3402440</v>
      </c>
      <c r="B1347" s="1">
        <v>2018</v>
      </c>
      <c r="C1347" s="1" t="s">
        <v>1387</v>
      </c>
      <c r="D1347" s="1" t="s">
        <v>791</v>
      </c>
      <c r="E1347" s="8">
        <v>2513292</v>
      </c>
      <c r="F1347" s="5">
        <v>3402440</v>
      </c>
    </row>
    <row r="1348" spans="1:6" x14ac:dyDescent="0.25">
      <c r="A1348" s="5">
        <v>3402440</v>
      </c>
      <c r="B1348" s="1">
        <v>2019</v>
      </c>
      <c r="C1348" s="1" t="s">
        <v>1387</v>
      </c>
      <c r="D1348" s="1" t="s">
        <v>791</v>
      </c>
      <c r="E1348" s="8">
        <v>3320384</v>
      </c>
      <c r="F1348" s="5">
        <v>3402440</v>
      </c>
    </row>
    <row r="1349" spans="1:6" ht="20" x14ac:dyDescent="0.25">
      <c r="A1349" s="5">
        <v>3402440</v>
      </c>
      <c r="B1349" s="1">
        <v>2020</v>
      </c>
      <c r="C1349" s="1" t="s">
        <v>1387</v>
      </c>
      <c r="D1349" s="2" t="s">
        <v>791</v>
      </c>
      <c r="E1349" s="7">
        <v>3724125</v>
      </c>
      <c r="F1349" s="5">
        <v>3402440</v>
      </c>
    </row>
    <row r="1350" spans="1:6" ht="20" x14ac:dyDescent="0.25">
      <c r="A1350" s="5">
        <v>3402440</v>
      </c>
      <c r="B1350" s="1">
        <v>2021</v>
      </c>
      <c r="C1350" s="1" t="s">
        <v>1387</v>
      </c>
      <c r="D1350" s="3" t="s">
        <v>791</v>
      </c>
      <c r="E1350" s="7">
        <v>4605279</v>
      </c>
      <c r="F1350" s="5">
        <v>3402440</v>
      </c>
    </row>
    <row r="1351" spans="1:6" ht="20" x14ac:dyDescent="0.25">
      <c r="A1351" s="5">
        <v>3402440</v>
      </c>
      <c r="B1351" s="1">
        <v>2022</v>
      </c>
      <c r="C1351" s="1" t="s">
        <v>1387</v>
      </c>
      <c r="D1351" s="2" t="s">
        <v>791</v>
      </c>
      <c r="E1351" s="7">
        <v>6509657</v>
      </c>
      <c r="F1351" s="5">
        <v>3402440</v>
      </c>
    </row>
    <row r="1352" spans="1:6" ht="20" x14ac:dyDescent="0.25">
      <c r="A1352" s="5">
        <v>3402440</v>
      </c>
      <c r="B1352" s="1">
        <v>2023</v>
      </c>
      <c r="C1352" s="1" t="s">
        <v>1387</v>
      </c>
      <c r="D1352" s="2" t="s">
        <v>791</v>
      </c>
      <c r="E1352" s="7">
        <v>6253866</v>
      </c>
      <c r="F1352" s="5">
        <v>3402440</v>
      </c>
    </row>
    <row r="1353" spans="1:6" x14ac:dyDescent="0.25">
      <c r="A1353" s="5">
        <v>3402460</v>
      </c>
      <c r="B1353" s="1">
        <v>2015</v>
      </c>
      <c r="C1353" s="1" t="s">
        <v>1387</v>
      </c>
      <c r="D1353" s="1" t="s">
        <v>112</v>
      </c>
      <c r="E1353" s="8">
        <v>1317468</v>
      </c>
      <c r="F1353" s="5">
        <v>3402460</v>
      </c>
    </row>
    <row r="1354" spans="1:6" x14ac:dyDescent="0.25">
      <c r="A1354" s="5">
        <v>3402460</v>
      </c>
      <c r="B1354" s="1">
        <v>2016</v>
      </c>
      <c r="C1354" s="1" t="s">
        <v>1387</v>
      </c>
      <c r="D1354" s="1" t="s">
        <v>112</v>
      </c>
      <c r="E1354" s="8">
        <v>1925068</v>
      </c>
      <c r="F1354" s="5">
        <v>3402460</v>
      </c>
    </row>
    <row r="1355" spans="1:6" x14ac:dyDescent="0.25">
      <c r="A1355" s="5">
        <v>3402460</v>
      </c>
      <c r="B1355" s="1">
        <v>2017</v>
      </c>
      <c r="C1355" s="1" t="s">
        <v>1387</v>
      </c>
      <c r="D1355" s="1" t="s">
        <v>112</v>
      </c>
      <c r="E1355" s="8">
        <v>2742541</v>
      </c>
      <c r="F1355" s="5">
        <v>3402460</v>
      </c>
    </row>
    <row r="1356" spans="1:6" x14ac:dyDescent="0.25">
      <c r="A1356" s="5">
        <v>3402460</v>
      </c>
      <c r="B1356" s="1">
        <v>2018</v>
      </c>
      <c r="C1356" s="1" t="s">
        <v>1387</v>
      </c>
      <c r="D1356" s="1" t="s">
        <v>793</v>
      </c>
      <c r="E1356" s="8">
        <v>3687920</v>
      </c>
      <c r="F1356" s="5">
        <v>3402460</v>
      </c>
    </row>
    <row r="1357" spans="1:6" x14ac:dyDescent="0.25">
      <c r="A1357" s="5">
        <v>3402460</v>
      </c>
      <c r="B1357" s="1">
        <v>2019</v>
      </c>
      <c r="C1357" s="1" t="s">
        <v>1387</v>
      </c>
      <c r="D1357" s="1" t="s">
        <v>793</v>
      </c>
      <c r="E1357" s="8">
        <v>5034253</v>
      </c>
      <c r="F1357" s="5">
        <v>3402460</v>
      </c>
    </row>
    <row r="1358" spans="1:6" ht="20" x14ac:dyDescent="0.25">
      <c r="A1358" s="5">
        <v>3402460</v>
      </c>
      <c r="B1358" s="1">
        <v>2020</v>
      </c>
      <c r="C1358" s="1" t="s">
        <v>1387</v>
      </c>
      <c r="D1358" s="2" t="s">
        <v>793</v>
      </c>
      <c r="E1358" s="7">
        <v>5677499</v>
      </c>
      <c r="F1358" s="5">
        <v>3402460</v>
      </c>
    </row>
    <row r="1359" spans="1:6" ht="20" x14ac:dyDescent="0.25">
      <c r="A1359" s="5">
        <v>3402460</v>
      </c>
      <c r="B1359" s="1">
        <v>2021</v>
      </c>
      <c r="C1359" s="1" t="s">
        <v>1387</v>
      </c>
      <c r="D1359" s="3" t="s">
        <v>793</v>
      </c>
      <c r="E1359" s="7">
        <v>7504910</v>
      </c>
      <c r="F1359" s="5">
        <v>3402460</v>
      </c>
    </row>
    <row r="1360" spans="1:6" ht="20" x14ac:dyDescent="0.25">
      <c r="A1360" s="5">
        <v>3402460</v>
      </c>
      <c r="B1360" s="1">
        <v>2022</v>
      </c>
      <c r="C1360" s="1" t="s">
        <v>1387</v>
      </c>
      <c r="D1360" s="2" t="s">
        <v>793</v>
      </c>
      <c r="E1360" s="7">
        <v>10592977</v>
      </c>
      <c r="F1360" s="5">
        <v>3402460</v>
      </c>
    </row>
    <row r="1361" spans="1:6" ht="20" x14ac:dyDescent="0.25">
      <c r="A1361" s="5">
        <v>3402460</v>
      </c>
      <c r="B1361" s="1">
        <v>2023</v>
      </c>
      <c r="C1361" s="1" t="s">
        <v>1387</v>
      </c>
      <c r="D1361" s="2" t="s">
        <v>793</v>
      </c>
      <c r="E1361" s="7">
        <v>10415205</v>
      </c>
      <c r="F1361" s="5">
        <v>3402460</v>
      </c>
    </row>
    <row r="1362" spans="1:6" x14ac:dyDescent="0.25">
      <c r="A1362" s="5">
        <v>3402490</v>
      </c>
      <c r="B1362" s="1">
        <v>2015</v>
      </c>
      <c r="C1362" s="1" t="s">
        <v>1387</v>
      </c>
      <c r="D1362" s="1" t="s">
        <v>111</v>
      </c>
      <c r="E1362" s="8">
        <v>704986</v>
      </c>
      <c r="F1362" s="5">
        <v>3402490</v>
      </c>
    </row>
    <row r="1363" spans="1:6" x14ac:dyDescent="0.25">
      <c r="A1363" s="5">
        <v>3402490</v>
      </c>
      <c r="B1363" s="1">
        <v>2016</v>
      </c>
      <c r="C1363" s="1" t="s">
        <v>1387</v>
      </c>
      <c r="D1363" s="1" t="s">
        <v>111</v>
      </c>
      <c r="E1363" s="8">
        <v>1050600</v>
      </c>
      <c r="F1363" s="5">
        <v>3402490</v>
      </c>
    </row>
    <row r="1364" spans="1:6" x14ac:dyDescent="0.25">
      <c r="A1364" s="5">
        <v>3402490</v>
      </c>
      <c r="B1364" s="1">
        <v>2017</v>
      </c>
      <c r="C1364" s="1" t="s">
        <v>1387</v>
      </c>
      <c r="D1364" s="1" t="s">
        <v>111</v>
      </c>
      <c r="E1364" s="8">
        <v>1499461</v>
      </c>
      <c r="F1364" s="5">
        <v>3402490</v>
      </c>
    </row>
    <row r="1365" spans="1:6" x14ac:dyDescent="0.25">
      <c r="A1365" s="5">
        <v>3402490</v>
      </c>
      <c r="B1365" s="1">
        <v>2018</v>
      </c>
      <c r="C1365" s="1" t="s">
        <v>1387</v>
      </c>
      <c r="D1365" s="1" t="s">
        <v>792</v>
      </c>
      <c r="E1365" s="8">
        <v>1910458</v>
      </c>
      <c r="F1365" s="5">
        <v>3402490</v>
      </c>
    </row>
    <row r="1366" spans="1:6" x14ac:dyDescent="0.25">
      <c r="A1366" s="5">
        <v>3402490</v>
      </c>
      <c r="B1366" s="1">
        <v>2019</v>
      </c>
      <c r="C1366" s="1" t="s">
        <v>1387</v>
      </c>
      <c r="D1366" s="1" t="s">
        <v>792</v>
      </c>
      <c r="E1366" s="8">
        <v>2468585</v>
      </c>
      <c r="F1366" s="5">
        <v>3402490</v>
      </c>
    </row>
    <row r="1367" spans="1:6" ht="20" x14ac:dyDescent="0.25">
      <c r="A1367" s="5">
        <v>3402490</v>
      </c>
      <c r="B1367" s="1">
        <v>2020</v>
      </c>
      <c r="C1367" s="1" t="s">
        <v>1387</v>
      </c>
      <c r="D1367" s="2" t="s">
        <v>792</v>
      </c>
      <c r="E1367" s="7">
        <v>2716001</v>
      </c>
      <c r="F1367" s="5">
        <v>3402490</v>
      </c>
    </row>
    <row r="1368" spans="1:6" ht="20" x14ac:dyDescent="0.25">
      <c r="A1368" s="5">
        <v>3402490</v>
      </c>
      <c r="B1368" s="1">
        <v>2021</v>
      </c>
      <c r="C1368" s="1" t="s">
        <v>1387</v>
      </c>
      <c r="D1368" s="3" t="s">
        <v>792</v>
      </c>
      <c r="E1368" s="7">
        <v>3463347</v>
      </c>
      <c r="F1368" s="5">
        <v>3402490</v>
      </c>
    </row>
    <row r="1369" spans="1:6" ht="20" x14ac:dyDescent="0.25">
      <c r="A1369" s="5">
        <v>3402490</v>
      </c>
      <c r="B1369" s="1">
        <v>2022</v>
      </c>
      <c r="C1369" s="1" t="s">
        <v>1387</v>
      </c>
      <c r="D1369" s="2" t="s">
        <v>792</v>
      </c>
      <c r="E1369" s="7">
        <v>5094131</v>
      </c>
      <c r="F1369" s="5">
        <v>3402490</v>
      </c>
    </row>
    <row r="1370" spans="1:6" ht="20" x14ac:dyDescent="0.25">
      <c r="A1370" s="5">
        <v>3402490</v>
      </c>
      <c r="B1370" s="1">
        <v>2023</v>
      </c>
      <c r="C1370" s="1" t="s">
        <v>1387</v>
      </c>
      <c r="D1370" s="2" t="s">
        <v>792</v>
      </c>
      <c r="E1370" s="7">
        <v>5358604</v>
      </c>
      <c r="F1370" s="5">
        <v>3402490</v>
      </c>
    </row>
    <row r="1371" spans="1:6" x14ac:dyDescent="0.25">
      <c r="A1371" s="5">
        <v>3402520</v>
      </c>
      <c r="B1371" s="1">
        <v>2015</v>
      </c>
      <c r="C1371" s="1" t="s">
        <v>1387</v>
      </c>
      <c r="D1371" s="1" t="s">
        <v>456</v>
      </c>
      <c r="E1371" s="8">
        <v>474914</v>
      </c>
      <c r="F1371" s="5">
        <v>3402520</v>
      </c>
    </row>
    <row r="1372" spans="1:6" x14ac:dyDescent="0.25">
      <c r="A1372" s="5">
        <v>3402520</v>
      </c>
      <c r="B1372" s="1">
        <v>2016</v>
      </c>
      <c r="C1372" s="1" t="s">
        <v>1387</v>
      </c>
      <c r="D1372" s="1" t="s">
        <v>456</v>
      </c>
      <c r="E1372" s="8">
        <v>695449</v>
      </c>
      <c r="F1372" s="5">
        <v>3402520</v>
      </c>
    </row>
    <row r="1373" spans="1:6" x14ac:dyDescent="0.25">
      <c r="A1373" s="5">
        <v>3402520</v>
      </c>
      <c r="B1373" s="1">
        <v>2017</v>
      </c>
      <c r="C1373" s="1" t="s">
        <v>1387</v>
      </c>
      <c r="D1373" s="1" t="s">
        <v>456</v>
      </c>
      <c r="E1373" s="8">
        <v>1001177</v>
      </c>
      <c r="F1373" s="5">
        <v>3402520</v>
      </c>
    </row>
    <row r="1374" spans="1:6" x14ac:dyDescent="0.25">
      <c r="A1374" s="5">
        <v>3402520</v>
      </c>
      <c r="B1374" s="1">
        <v>2018</v>
      </c>
      <c r="C1374" s="1" t="s">
        <v>1387</v>
      </c>
      <c r="D1374" s="1" t="s">
        <v>1148</v>
      </c>
      <c r="E1374" s="8">
        <v>1289521</v>
      </c>
      <c r="F1374" s="5">
        <v>3402520</v>
      </c>
    </row>
    <row r="1375" spans="1:6" x14ac:dyDescent="0.25">
      <c r="A1375" s="5">
        <v>3402520</v>
      </c>
      <c r="B1375" s="1">
        <v>2019</v>
      </c>
      <c r="C1375" s="1" t="s">
        <v>1387</v>
      </c>
      <c r="D1375" s="1" t="s">
        <v>1148</v>
      </c>
      <c r="E1375" s="8">
        <v>1771168</v>
      </c>
      <c r="F1375" s="5">
        <v>3402520</v>
      </c>
    </row>
    <row r="1376" spans="1:6" ht="20" x14ac:dyDescent="0.25">
      <c r="A1376" s="5">
        <v>3402520</v>
      </c>
      <c r="B1376" s="1">
        <v>2020</v>
      </c>
      <c r="C1376" s="1" t="s">
        <v>1387</v>
      </c>
      <c r="D1376" s="2" t="s">
        <v>1148</v>
      </c>
      <c r="E1376" s="7">
        <v>2034421</v>
      </c>
      <c r="F1376" s="5">
        <v>3402520</v>
      </c>
    </row>
    <row r="1377" spans="1:6" ht="20" x14ac:dyDescent="0.25">
      <c r="A1377" s="5">
        <v>3402520</v>
      </c>
      <c r="B1377" s="1">
        <v>2021</v>
      </c>
      <c r="C1377" s="1" t="s">
        <v>1387</v>
      </c>
      <c r="D1377" s="3" t="s">
        <v>1148</v>
      </c>
      <c r="E1377" s="7">
        <v>2734293</v>
      </c>
      <c r="F1377" s="5">
        <v>3402520</v>
      </c>
    </row>
    <row r="1378" spans="1:6" ht="20" x14ac:dyDescent="0.25">
      <c r="A1378" s="5">
        <v>3402520</v>
      </c>
      <c r="B1378" s="1">
        <v>2022</v>
      </c>
      <c r="C1378" s="1" t="s">
        <v>1387</v>
      </c>
      <c r="D1378" s="2" t="s">
        <v>1148</v>
      </c>
      <c r="E1378" s="7">
        <v>3825844</v>
      </c>
      <c r="F1378" s="5">
        <v>3402520</v>
      </c>
    </row>
    <row r="1379" spans="1:6" ht="20" x14ac:dyDescent="0.25">
      <c r="A1379" s="5">
        <v>3402520</v>
      </c>
      <c r="B1379" s="1">
        <v>2023</v>
      </c>
      <c r="C1379" s="1" t="s">
        <v>1387</v>
      </c>
      <c r="D1379" s="2" t="s">
        <v>1148</v>
      </c>
      <c r="E1379" s="7">
        <v>3849227</v>
      </c>
      <c r="F1379" s="5">
        <v>3402520</v>
      </c>
    </row>
    <row r="1380" spans="1:6" x14ac:dyDescent="0.25">
      <c r="A1380" s="5">
        <v>3402550</v>
      </c>
      <c r="B1380" s="1">
        <v>2015</v>
      </c>
      <c r="C1380" s="1" t="s">
        <v>1387</v>
      </c>
      <c r="D1380" s="1" t="s">
        <v>584</v>
      </c>
      <c r="E1380" s="8">
        <v>347593</v>
      </c>
      <c r="F1380" s="5">
        <v>3402550</v>
      </c>
    </row>
    <row r="1381" spans="1:6" x14ac:dyDescent="0.25">
      <c r="A1381" s="5">
        <v>3402550</v>
      </c>
      <c r="B1381" s="1">
        <v>2016</v>
      </c>
      <c r="C1381" s="1" t="s">
        <v>1387</v>
      </c>
      <c r="D1381" s="1" t="s">
        <v>584</v>
      </c>
      <c r="E1381" s="8">
        <v>512257</v>
      </c>
      <c r="F1381" s="5">
        <v>3402550</v>
      </c>
    </row>
    <row r="1382" spans="1:6" x14ac:dyDescent="0.25">
      <c r="A1382" s="5">
        <v>3402550</v>
      </c>
      <c r="B1382" s="1">
        <v>2017</v>
      </c>
      <c r="C1382" s="1" t="s">
        <v>1387</v>
      </c>
      <c r="D1382" s="1" t="s">
        <v>584</v>
      </c>
      <c r="E1382" s="8">
        <v>713715</v>
      </c>
      <c r="F1382" s="5">
        <v>3402550</v>
      </c>
    </row>
    <row r="1383" spans="1:6" x14ac:dyDescent="0.25">
      <c r="A1383" s="5">
        <v>3402550</v>
      </c>
      <c r="B1383" s="1">
        <v>2018</v>
      </c>
      <c r="C1383" s="1" t="s">
        <v>1387</v>
      </c>
      <c r="D1383" s="1" t="s">
        <v>1277</v>
      </c>
      <c r="E1383" s="8">
        <v>1000849</v>
      </c>
      <c r="F1383" s="5">
        <v>3402550</v>
      </c>
    </row>
    <row r="1384" spans="1:6" x14ac:dyDescent="0.25">
      <c r="A1384" s="5">
        <v>3402550</v>
      </c>
      <c r="B1384" s="1">
        <v>2019</v>
      </c>
      <c r="C1384" s="1" t="s">
        <v>1387</v>
      </c>
      <c r="D1384" s="1" t="s">
        <v>1277</v>
      </c>
      <c r="E1384" s="8">
        <v>1338165</v>
      </c>
      <c r="F1384" s="5">
        <v>3402550</v>
      </c>
    </row>
    <row r="1385" spans="1:6" ht="20" x14ac:dyDescent="0.25">
      <c r="A1385" s="5">
        <v>3402550</v>
      </c>
      <c r="B1385" s="1">
        <v>2020</v>
      </c>
      <c r="C1385" s="1" t="s">
        <v>1387</v>
      </c>
      <c r="D1385" s="2" t="s">
        <v>1277</v>
      </c>
      <c r="E1385" s="7">
        <v>1527273</v>
      </c>
      <c r="F1385" s="5">
        <v>3402550</v>
      </c>
    </row>
    <row r="1386" spans="1:6" ht="20" x14ac:dyDescent="0.25">
      <c r="A1386" s="5">
        <v>3402550</v>
      </c>
      <c r="B1386" s="1">
        <v>2021</v>
      </c>
      <c r="C1386" s="1" t="s">
        <v>1387</v>
      </c>
      <c r="D1386" s="3" t="s">
        <v>1277</v>
      </c>
      <c r="E1386" s="7">
        <v>1925027</v>
      </c>
      <c r="F1386" s="5">
        <v>3402550</v>
      </c>
    </row>
    <row r="1387" spans="1:6" ht="20" x14ac:dyDescent="0.25">
      <c r="A1387" s="5">
        <v>3402550</v>
      </c>
      <c r="B1387" s="1">
        <v>2022</v>
      </c>
      <c r="C1387" s="1" t="s">
        <v>1387</v>
      </c>
      <c r="D1387" s="2" t="s">
        <v>1277</v>
      </c>
      <c r="E1387" s="7">
        <v>2588580</v>
      </c>
      <c r="F1387" s="5">
        <v>3402550</v>
      </c>
    </row>
    <row r="1388" spans="1:6" ht="20" x14ac:dyDescent="0.25">
      <c r="A1388" s="5">
        <v>3402550</v>
      </c>
      <c r="B1388" s="1">
        <v>2023</v>
      </c>
      <c r="C1388" s="1" t="s">
        <v>1387</v>
      </c>
      <c r="D1388" s="2" t="s">
        <v>1277</v>
      </c>
      <c r="E1388" s="7">
        <v>2427525</v>
      </c>
      <c r="F1388" s="5">
        <v>3402550</v>
      </c>
    </row>
    <row r="1389" spans="1:6" x14ac:dyDescent="0.25">
      <c r="A1389" s="5">
        <v>3402580</v>
      </c>
      <c r="B1389" s="1">
        <v>2015</v>
      </c>
      <c r="C1389" s="1" t="s">
        <v>1387</v>
      </c>
      <c r="D1389" s="1" t="s">
        <v>232</v>
      </c>
      <c r="E1389" s="8">
        <v>927360</v>
      </c>
      <c r="F1389" s="5">
        <v>3402580</v>
      </c>
    </row>
    <row r="1390" spans="1:6" x14ac:dyDescent="0.25">
      <c r="A1390" s="5">
        <v>3402580</v>
      </c>
      <c r="B1390" s="1">
        <v>2016</v>
      </c>
      <c r="C1390" s="1" t="s">
        <v>1387</v>
      </c>
      <c r="D1390" s="1" t="s">
        <v>232</v>
      </c>
      <c r="E1390" s="8">
        <v>1336278</v>
      </c>
      <c r="F1390" s="5">
        <v>3402580</v>
      </c>
    </row>
    <row r="1391" spans="1:6" x14ac:dyDescent="0.25">
      <c r="A1391" s="5">
        <v>3402580</v>
      </c>
      <c r="B1391" s="1">
        <v>2017</v>
      </c>
      <c r="C1391" s="1" t="s">
        <v>1387</v>
      </c>
      <c r="D1391" s="1" t="s">
        <v>232</v>
      </c>
      <c r="E1391" s="8">
        <v>1995707</v>
      </c>
      <c r="F1391" s="5">
        <v>3402580</v>
      </c>
    </row>
    <row r="1392" spans="1:6" x14ac:dyDescent="0.25">
      <c r="A1392" s="5">
        <v>3402580</v>
      </c>
      <c r="B1392" s="1">
        <v>2018</v>
      </c>
      <c r="C1392" s="1" t="s">
        <v>1387</v>
      </c>
      <c r="D1392" s="1" t="s">
        <v>918</v>
      </c>
      <c r="E1392" s="8">
        <v>2688240</v>
      </c>
      <c r="F1392" s="5">
        <v>3402580</v>
      </c>
    </row>
    <row r="1393" spans="1:6" x14ac:dyDescent="0.25">
      <c r="A1393" s="5">
        <v>3402580</v>
      </c>
      <c r="B1393" s="1">
        <v>2019</v>
      </c>
      <c r="C1393" s="1" t="s">
        <v>1387</v>
      </c>
      <c r="D1393" s="1" t="s">
        <v>918</v>
      </c>
      <c r="E1393" s="8">
        <v>3649460</v>
      </c>
      <c r="F1393" s="5">
        <v>3402580</v>
      </c>
    </row>
    <row r="1394" spans="1:6" ht="20" x14ac:dyDescent="0.25">
      <c r="A1394" s="5">
        <v>3402580</v>
      </c>
      <c r="B1394" s="1">
        <v>2020</v>
      </c>
      <c r="C1394" s="1" t="s">
        <v>1387</v>
      </c>
      <c r="D1394" s="2" t="s">
        <v>918</v>
      </c>
      <c r="E1394" s="7">
        <v>4031830</v>
      </c>
      <c r="F1394" s="5">
        <v>3402580</v>
      </c>
    </row>
    <row r="1395" spans="1:6" ht="20" x14ac:dyDescent="0.25">
      <c r="A1395" s="5">
        <v>3402580</v>
      </c>
      <c r="B1395" s="1">
        <v>2021</v>
      </c>
      <c r="C1395" s="1" t="s">
        <v>1387</v>
      </c>
      <c r="D1395" s="3" t="s">
        <v>918</v>
      </c>
      <c r="E1395" s="7">
        <v>5323906</v>
      </c>
      <c r="F1395" s="5">
        <v>3402580</v>
      </c>
    </row>
    <row r="1396" spans="1:6" ht="20" x14ac:dyDescent="0.25">
      <c r="A1396" s="5">
        <v>3402580</v>
      </c>
      <c r="B1396" s="1">
        <v>2022</v>
      </c>
      <c r="C1396" s="1" t="s">
        <v>1387</v>
      </c>
      <c r="D1396" s="2" t="s">
        <v>918</v>
      </c>
      <c r="E1396" s="7">
        <v>7860959</v>
      </c>
      <c r="F1396" s="5">
        <v>3402580</v>
      </c>
    </row>
    <row r="1397" spans="1:6" ht="20" x14ac:dyDescent="0.25">
      <c r="A1397" s="5">
        <v>3402580</v>
      </c>
      <c r="B1397" s="1">
        <v>2023</v>
      </c>
      <c r="C1397" s="1" t="s">
        <v>1387</v>
      </c>
      <c r="D1397" s="2" t="s">
        <v>918</v>
      </c>
      <c r="E1397" s="7">
        <v>7885666</v>
      </c>
      <c r="F1397" s="5">
        <v>3402580</v>
      </c>
    </row>
    <row r="1398" spans="1:6" x14ac:dyDescent="0.25">
      <c r="A1398" s="5">
        <v>3402610</v>
      </c>
      <c r="B1398" s="1">
        <v>2015</v>
      </c>
      <c r="C1398" s="1" t="s">
        <v>1387</v>
      </c>
      <c r="D1398" s="1" t="s">
        <v>328</v>
      </c>
      <c r="E1398" s="8">
        <v>39132</v>
      </c>
      <c r="F1398" s="5">
        <v>3402610</v>
      </c>
    </row>
    <row r="1399" spans="1:6" x14ac:dyDescent="0.25">
      <c r="A1399" s="5">
        <v>3402610</v>
      </c>
      <c r="B1399" s="1">
        <v>2016</v>
      </c>
      <c r="C1399" s="1" t="s">
        <v>1387</v>
      </c>
      <c r="D1399" s="1" t="s">
        <v>328</v>
      </c>
      <c r="E1399" s="8">
        <v>66440</v>
      </c>
      <c r="F1399" s="5">
        <v>3402610</v>
      </c>
    </row>
    <row r="1400" spans="1:6" x14ac:dyDescent="0.25">
      <c r="A1400" s="5">
        <v>3402610</v>
      </c>
      <c r="B1400" s="1">
        <v>2017</v>
      </c>
      <c r="C1400" s="1" t="s">
        <v>1387</v>
      </c>
      <c r="D1400" s="1" t="s">
        <v>328</v>
      </c>
      <c r="E1400" s="8">
        <v>108156</v>
      </c>
      <c r="F1400" s="5">
        <v>3402610</v>
      </c>
    </row>
    <row r="1401" spans="1:6" x14ac:dyDescent="0.25">
      <c r="A1401" s="5">
        <v>3402610</v>
      </c>
      <c r="B1401" s="1">
        <v>2018</v>
      </c>
      <c r="C1401" s="1" t="s">
        <v>1387</v>
      </c>
      <c r="D1401" s="1" t="s">
        <v>1021</v>
      </c>
      <c r="E1401" s="8">
        <v>145429</v>
      </c>
      <c r="F1401" s="5">
        <v>3402610</v>
      </c>
    </row>
    <row r="1402" spans="1:6" x14ac:dyDescent="0.25">
      <c r="A1402" s="5">
        <v>3402610</v>
      </c>
      <c r="B1402" s="1">
        <v>2019</v>
      </c>
      <c r="C1402" s="1" t="s">
        <v>1387</v>
      </c>
      <c r="D1402" s="1" t="s">
        <v>1021</v>
      </c>
      <c r="E1402" s="8">
        <v>205874</v>
      </c>
      <c r="F1402" s="5">
        <v>3402610</v>
      </c>
    </row>
    <row r="1403" spans="1:6" ht="20" x14ac:dyDescent="0.25">
      <c r="A1403" s="5">
        <v>3402610</v>
      </c>
      <c r="B1403" s="1">
        <v>2020</v>
      </c>
      <c r="C1403" s="1" t="s">
        <v>1387</v>
      </c>
      <c r="D1403" s="2" t="s">
        <v>1021</v>
      </c>
      <c r="E1403" s="7">
        <v>246014</v>
      </c>
      <c r="F1403" s="5">
        <v>3402610</v>
      </c>
    </row>
    <row r="1404" spans="1:6" ht="20" x14ac:dyDescent="0.25">
      <c r="A1404" s="5">
        <v>3402610</v>
      </c>
      <c r="B1404" s="1">
        <v>2021</v>
      </c>
      <c r="C1404" s="1" t="s">
        <v>1387</v>
      </c>
      <c r="D1404" s="3" t="s">
        <v>1021</v>
      </c>
      <c r="E1404" s="7">
        <v>306970</v>
      </c>
      <c r="F1404" s="5">
        <v>3402610</v>
      </c>
    </row>
    <row r="1405" spans="1:6" ht="20" x14ac:dyDescent="0.25">
      <c r="A1405" s="5">
        <v>3402610</v>
      </c>
      <c r="B1405" s="1">
        <v>2022</v>
      </c>
      <c r="C1405" s="1" t="s">
        <v>1387</v>
      </c>
      <c r="D1405" s="2" t="s">
        <v>1021</v>
      </c>
      <c r="E1405" s="7">
        <v>428879</v>
      </c>
      <c r="F1405" s="5">
        <v>3402610</v>
      </c>
    </row>
    <row r="1406" spans="1:6" ht="20" x14ac:dyDescent="0.25">
      <c r="A1406" s="5">
        <v>3402610</v>
      </c>
      <c r="B1406" s="1">
        <v>2023</v>
      </c>
      <c r="C1406" s="1" t="s">
        <v>1387</v>
      </c>
      <c r="D1406" s="2" t="s">
        <v>1021</v>
      </c>
      <c r="E1406" s="7">
        <v>403543</v>
      </c>
      <c r="F1406" s="5">
        <v>3402610</v>
      </c>
    </row>
    <row r="1407" spans="1:6" x14ac:dyDescent="0.25">
      <c r="A1407" s="5">
        <v>3402640</v>
      </c>
      <c r="B1407" s="1">
        <v>2015</v>
      </c>
      <c r="C1407" s="1" t="s">
        <v>1387</v>
      </c>
      <c r="D1407" s="1" t="s">
        <v>157</v>
      </c>
      <c r="E1407" s="8">
        <v>6104990</v>
      </c>
      <c r="F1407" s="5">
        <v>3402640</v>
      </c>
    </row>
    <row r="1408" spans="1:6" x14ac:dyDescent="0.25">
      <c r="A1408" s="5">
        <v>3402640</v>
      </c>
      <c r="B1408" s="1">
        <v>2016</v>
      </c>
      <c r="C1408" s="1" t="s">
        <v>1387</v>
      </c>
      <c r="D1408" s="1" t="s">
        <v>157</v>
      </c>
      <c r="E1408" s="8">
        <v>8171207</v>
      </c>
      <c r="F1408" s="5">
        <v>3402640</v>
      </c>
    </row>
    <row r="1409" spans="1:6" x14ac:dyDescent="0.25">
      <c r="A1409" s="5">
        <v>3402640</v>
      </c>
      <c r="B1409" s="1">
        <v>2017</v>
      </c>
      <c r="C1409" s="1" t="s">
        <v>1387</v>
      </c>
      <c r="D1409" s="1" t="s">
        <v>157</v>
      </c>
      <c r="E1409" s="8">
        <v>9491562</v>
      </c>
      <c r="F1409" s="5">
        <v>3402640</v>
      </c>
    </row>
    <row r="1410" spans="1:6" x14ac:dyDescent="0.25">
      <c r="A1410" s="5">
        <v>3402640</v>
      </c>
      <c r="B1410" s="1">
        <v>2018</v>
      </c>
      <c r="C1410" s="1" t="s">
        <v>1387</v>
      </c>
      <c r="D1410" s="1" t="s">
        <v>838</v>
      </c>
      <c r="E1410" s="8">
        <v>11466462</v>
      </c>
      <c r="F1410" s="5">
        <v>3402640</v>
      </c>
    </row>
    <row r="1411" spans="1:6" x14ac:dyDescent="0.25">
      <c r="A1411" s="5">
        <v>3402640</v>
      </c>
      <c r="B1411" s="1">
        <v>2019</v>
      </c>
      <c r="C1411" s="1" t="s">
        <v>1387</v>
      </c>
      <c r="D1411" s="1" t="s">
        <v>838</v>
      </c>
      <c r="E1411" s="8">
        <v>14287367</v>
      </c>
      <c r="F1411" s="5">
        <v>3402640</v>
      </c>
    </row>
    <row r="1412" spans="1:6" ht="20" x14ac:dyDescent="0.25">
      <c r="A1412" s="5">
        <v>3402640</v>
      </c>
      <c r="B1412" s="1">
        <v>2020</v>
      </c>
      <c r="C1412" s="1" t="s">
        <v>1387</v>
      </c>
      <c r="D1412" s="2" t="s">
        <v>838</v>
      </c>
      <c r="E1412" s="7">
        <v>14584583</v>
      </c>
      <c r="F1412" s="5">
        <v>3402640</v>
      </c>
    </row>
    <row r="1413" spans="1:6" ht="20" x14ac:dyDescent="0.25">
      <c r="A1413" s="5">
        <v>3402640</v>
      </c>
      <c r="B1413" s="1">
        <v>2021</v>
      </c>
      <c r="C1413" s="1" t="s">
        <v>1387</v>
      </c>
      <c r="D1413" s="3" t="s">
        <v>838</v>
      </c>
      <c r="E1413" s="7">
        <v>18016487</v>
      </c>
      <c r="F1413" s="5">
        <v>3402640</v>
      </c>
    </row>
    <row r="1414" spans="1:6" ht="20" x14ac:dyDescent="0.25">
      <c r="A1414" s="5">
        <v>3402640</v>
      </c>
      <c r="B1414" s="1">
        <v>2022</v>
      </c>
      <c r="C1414" s="1" t="s">
        <v>1387</v>
      </c>
      <c r="D1414" s="2" t="s">
        <v>838</v>
      </c>
      <c r="E1414" s="7">
        <v>24011948</v>
      </c>
      <c r="F1414" s="5">
        <v>3402640</v>
      </c>
    </row>
    <row r="1415" spans="1:6" ht="20" x14ac:dyDescent="0.25">
      <c r="A1415" s="5">
        <v>3402640</v>
      </c>
      <c r="B1415" s="1">
        <v>2023</v>
      </c>
      <c r="C1415" s="1" t="s">
        <v>1387</v>
      </c>
      <c r="D1415" s="2" t="s">
        <v>838</v>
      </c>
      <c r="E1415" s="7">
        <v>23226970</v>
      </c>
      <c r="F1415" s="5">
        <v>3402640</v>
      </c>
    </row>
    <row r="1416" spans="1:6" x14ac:dyDescent="0.25">
      <c r="A1416" s="5">
        <v>3402670</v>
      </c>
      <c r="B1416" s="1">
        <v>2015</v>
      </c>
      <c r="C1416" s="1" t="s">
        <v>1387</v>
      </c>
      <c r="D1416" s="1" t="s">
        <v>159</v>
      </c>
      <c r="E1416" s="8">
        <v>877328</v>
      </c>
      <c r="F1416" s="5">
        <v>3402670</v>
      </c>
    </row>
    <row r="1417" spans="1:6" x14ac:dyDescent="0.25">
      <c r="A1417" s="5">
        <v>3402670</v>
      </c>
      <c r="B1417" s="1">
        <v>2016</v>
      </c>
      <c r="C1417" s="1" t="s">
        <v>1387</v>
      </c>
      <c r="D1417" s="1" t="s">
        <v>159</v>
      </c>
      <c r="E1417" s="8">
        <v>1303700</v>
      </c>
      <c r="F1417" s="5">
        <v>3402670</v>
      </c>
    </row>
    <row r="1418" spans="1:6" x14ac:dyDescent="0.25">
      <c r="A1418" s="5">
        <v>3402670</v>
      </c>
      <c r="B1418" s="1">
        <v>2017</v>
      </c>
      <c r="C1418" s="1" t="s">
        <v>1387</v>
      </c>
      <c r="D1418" s="1" t="s">
        <v>159</v>
      </c>
      <c r="E1418" s="8">
        <v>1809116</v>
      </c>
      <c r="F1418" s="5">
        <v>3402670</v>
      </c>
    </row>
    <row r="1419" spans="1:6" x14ac:dyDescent="0.25">
      <c r="A1419" s="5">
        <v>3402670</v>
      </c>
      <c r="B1419" s="1">
        <v>2018</v>
      </c>
      <c r="C1419" s="1" t="s">
        <v>1387</v>
      </c>
      <c r="D1419" s="1" t="s">
        <v>841</v>
      </c>
      <c r="E1419" s="8">
        <v>2388134</v>
      </c>
      <c r="F1419" s="5">
        <v>3402670</v>
      </c>
    </row>
    <row r="1420" spans="1:6" x14ac:dyDescent="0.25">
      <c r="A1420" s="5">
        <v>3402670</v>
      </c>
      <c r="B1420" s="1">
        <v>2019</v>
      </c>
      <c r="C1420" s="1" t="s">
        <v>1387</v>
      </c>
      <c r="D1420" s="1" t="s">
        <v>841</v>
      </c>
      <c r="E1420" s="8">
        <v>3166292</v>
      </c>
      <c r="F1420" s="5">
        <v>3402670</v>
      </c>
    </row>
    <row r="1421" spans="1:6" ht="20" x14ac:dyDescent="0.25">
      <c r="A1421" s="5">
        <v>3402670</v>
      </c>
      <c r="B1421" s="1">
        <v>2020</v>
      </c>
      <c r="C1421" s="1" t="s">
        <v>1387</v>
      </c>
      <c r="D1421" s="2" t="s">
        <v>841</v>
      </c>
      <c r="E1421" s="7">
        <v>3479719</v>
      </c>
      <c r="F1421" s="5">
        <v>3402670</v>
      </c>
    </row>
    <row r="1422" spans="1:6" ht="20" x14ac:dyDescent="0.25">
      <c r="A1422" s="5">
        <v>3402670</v>
      </c>
      <c r="B1422" s="1">
        <v>2021</v>
      </c>
      <c r="C1422" s="1" t="s">
        <v>1387</v>
      </c>
      <c r="D1422" s="3" t="s">
        <v>841</v>
      </c>
      <c r="E1422" s="7">
        <v>4365229</v>
      </c>
      <c r="F1422" s="5">
        <v>3402670</v>
      </c>
    </row>
    <row r="1423" spans="1:6" ht="20" x14ac:dyDescent="0.25">
      <c r="A1423" s="5">
        <v>3402670</v>
      </c>
      <c r="B1423" s="1">
        <v>2022</v>
      </c>
      <c r="C1423" s="1" t="s">
        <v>1387</v>
      </c>
      <c r="D1423" s="2" t="s">
        <v>841</v>
      </c>
      <c r="E1423" s="7">
        <v>6303513</v>
      </c>
      <c r="F1423" s="5">
        <v>3402670</v>
      </c>
    </row>
    <row r="1424" spans="1:6" ht="20" x14ac:dyDescent="0.25">
      <c r="A1424" s="5">
        <v>3402670</v>
      </c>
      <c r="B1424" s="1">
        <v>2023</v>
      </c>
      <c r="C1424" s="1" t="s">
        <v>1387</v>
      </c>
      <c r="D1424" s="2" t="s">
        <v>841</v>
      </c>
      <c r="E1424" s="7">
        <v>6185405</v>
      </c>
      <c r="F1424" s="5">
        <v>3402670</v>
      </c>
    </row>
    <row r="1425" spans="1:6" x14ac:dyDescent="0.25">
      <c r="A1425" s="5">
        <v>3402700</v>
      </c>
      <c r="B1425" s="1">
        <v>2015</v>
      </c>
      <c r="C1425" s="1" t="s">
        <v>1387</v>
      </c>
      <c r="D1425" s="1" t="s">
        <v>196</v>
      </c>
      <c r="E1425" s="8">
        <v>81913</v>
      </c>
      <c r="F1425" s="5">
        <v>3402700</v>
      </c>
    </row>
    <row r="1426" spans="1:6" x14ac:dyDescent="0.25">
      <c r="A1426" s="5">
        <v>3402700</v>
      </c>
      <c r="B1426" s="1">
        <v>2016</v>
      </c>
      <c r="C1426" s="1" t="s">
        <v>1387</v>
      </c>
      <c r="D1426" s="1" t="s">
        <v>196</v>
      </c>
      <c r="E1426" s="8">
        <v>115031</v>
      </c>
      <c r="F1426" s="5">
        <v>3402700</v>
      </c>
    </row>
    <row r="1427" spans="1:6" x14ac:dyDescent="0.25">
      <c r="A1427" s="5">
        <v>3402700</v>
      </c>
      <c r="B1427" s="1">
        <v>2017</v>
      </c>
      <c r="C1427" s="1" t="s">
        <v>1387</v>
      </c>
      <c r="D1427" s="1" t="s">
        <v>196</v>
      </c>
      <c r="E1427" s="8">
        <v>158991</v>
      </c>
      <c r="F1427" s="5">
        <v>3402700</v>
      </c>
    </row>
    <row r="1428" spans="1:6" x14ac:dyDescent="0.25">
      <c r="A1428" s="5">
        <v>3402700</v>
      </c>
      <c r="B1428" s="1">
        <v>2018</v>
      </c>
      <c r="C1428" s="1" t="s">
        <v>1387</v>
      </c>
      <c r="D1428" s="1" t="s">
        <v>880</v>
      </c>
      <c r="E1428" s="8">
        <v>219120</v>
      </c>
      <c r="F1428" s="5">
        <v>3402700</v>
      </c>
    </row>
    <row r="1429" spans="1:6" x14ac:dyDescent="0.25">
      <c r="A1429" s="5">
        <v>3402700</v>
      </c>
      <c r="B1429" s="1">
        <v>2019</v>
      </c>
      <c r="C1429" s="1" t="s">
        <v>1387</v>
      </c>
      <c r="D1429" s="1" t="s">
        <v>880</v>
      </c>
      <c r="E1429" s="8">
        <v>299017</v>
      </c>
      <c r="F1429" s="5">
        <v>3402700</v>
      </c>
    </row>
    <row r="1430" spans="1:6" ht="20" x14ac:dyDescent="0.25">
      <c r="A1430" s="5">
        <v>3402700</v>
      </c>
      <c r="B1430" s="1">
        <v>2020</v>
      </c>
      <c r="C1430" s="1" t="s">
        <v>1387</v>
      </c>
      <c r="D1430" s="2" t="s">
        <v>880</v>
      </c>
      <c r="E1430" s="7">
        <v>352216</v>
      </c>
      <c r="F1430" s="5">
        <v>3402700</v>
      </c>
    </row>
    <row r="1431" spans="1:6" ht="20" x14ac:dyDescent="0.25">
      <c r="A1431" s="5">
        <v>3402700</v>
      </c>
      <c r="B1431" s="1">
        <v>2021</v>
      </c>
      <c r="C1431" s="1" t="s">
        <v>1387</v>
      </c>
      <c r="D1431" s="3" t="s">
        <v>880</v>
      </c>
      <c r="E1431" s="7">
        <v>442267</v>
      </c>
      <c r="F1431" s="5">
        <v>3402700</v>
      </c>
    </row>
    <row r="1432" spans="1:6" ht="20" x14ac:dyDescent="0.25">
      <c r="A1432" s="5">
        <v>3402700</v>
      </c>
      <c r="B1432" s="1">
        <v>2022</v>
      </c>
      <c r="C1432" s="1" t="s">
        <v>1387</v>
      </c>
      <c r="D1432" s="2" t="s">
        <v>880</v>
      </c>
      <c r="E1432" s="7">
        <v>602608</v>
      </c>
      <c r="F1432" s="5">
        <v>3402700</v>
      </c>
    </row>
    <row r="1433" spans="1:6" ht="20" x14ac:dyDescent="0.25">
      <c r="A1433" s="5">
        <v>3402700</v>
      </c>
      <c r="B1433" s="1">
        <v>2023</v>
      </c>
      <c r="C1433" s="1" t="s">
        <v>1387</v>
      </c>
      <c r="D1433" s="2" t="s">
        <v>880</v>
      </c>
      <c r="E1433" s="7">
        <v>545964</v>
      </c>
      <c r="F1433" s="5">
        <v>3402700</v>
      </c>
    </row>
    <row r="1434" spans="1:6" x14ac:dyDescent="0.25">
      <c r="A1434" s="5">
        <v>3402730</v>
      </c>
      <c r="B1434" s="1">
        <v>2015</v>
      </c>
      <c r="C1434" s="1" t="s">
        <v>1387</v>
      </c>
      <c r="D1434" s="1" t="s">
        <v>198</v>
      </c>
      <c r="E1434" s="8">
        <v>320160</v>
      </c>
      <c r="F1434" s="5">
        <v>3402730</v>
      </c>
    </row>
    <row r="1435" spans="1:6" x14ac:dyDescent="0.25">
      <c r="A1435" s="5">
        <v>3402730</v>
      </c>
      <c r="B1435" s="1">
        <v>2016</v>
      </c>
      <c r="C1435" s="1" t="s">
        <v>1387</v>
      </c>
      <c r="D1435" s="1" t="s">
        <v>198</v>
      </c>
      <c r="E1435" s="8">
        <v>449789</v>
      </c>
      <c r="F1435" s="5">
        <v>3402730</v>
      </c>
    </row>
    <row r="1436" spans="1:6" x14ac:dyDescent="0.25">
      <c r="A1436" s="5">
        <v>3402730</v>
      </c>
      <c r="B1436" s="1">
        <v>2017</v>
      </c>
      <c r="C1436" s="1" t="s">
        <v>1387</v>
      </c>
      <c r="D1436" s="1" t="s">
        <v>198</v>
      </c>
      <c r="E1436" s="8">
        <v>630227</v>
      </c>
      <c r="F1436" s="5">
        <v>3402730</v>
      </c>
    </row>
    <row r="1437" spans="1:6" x14ac:dyDescent="0.25">
      <c r="A1437" s="5">
        <v>3402730</v>
      </c>
      <c r="B1437" s="1">
        <v>2018</v>
      </c>
      <c r="C1437" s="1" t="s">
        <v>1387</v>
      </c>
      <c r="D1437" s="1" t="s">
        <v>882</v>
      </c>
      <c r="E1437" s="8">
        <v>878050</v>
      </c>
      <c r="F1437" s="5">
        <v>3402730</v>
      </c>
    </row>
    <row r="1438" spans="1:6" x14ac:dyDescent="0.25">
      <c r="A1438" s="5">
        <v>3402730</v>
      </c>
      <c r="B1438" s="1">
        <v>2019</v>
      </c>
      <c r="C1438" s="1" t="s">
        <v>1387</v>
      </c>
      <c r="D1438" s="1" t="s">
        <v>882</v>
      </c>
      <c r="E1438" s="8">
        <v>1145510</v>
      </c>
      <c r="F1438" s="5">
        <v>3402730</v>
      </c>
    </row>
    <row r="1439" spans="1:6" ht="20" x14ac:dyDescent="0.25">
      <c r="A1439" s="5">
        <v>3402730</v>
      </c>
      <c r="B1439" s="1">
        <v>2020</v>
      </c>
      <c r="C1439" s="1" t="s">
        <v>1387</v>
      </c>
      <c r="D1439" s="2" t="s">
        <v>882</v>
      </c>
      <c r="E1439" s="7">
        <v>1295176</v>
      </c>
      <c r="F1439" s="5">
        <v>3402730</v>
      </c>
    </row>
    <row r="1440" spans="1:6" ht="20" x14ac:dyDescent="0.25">
      <c r="A1440" s="5">
        <v>3402730</v>
      </c>
      <c r="B1440" s="1">
        <v>2021</v>
      </c>
      <c r="C1440" s="1" t="s">
        <v>1387</v>
      </c>
      <c r="D1440" s="3" t="s">
        <v>882</v>
      </c>
      <c r="E1440" s="7">
        <v>1658977</v>
      </c>
      <c r="F1440" s="5">
        <v>3402730</v>
      </c>
    </row>
    <row r="1441" spans="1:6" ht="20" x14ac:dyDescent="0.25">
      <c r="A1441" s="5">
        <v>3402730</v>
      </c>
      <c r="B1441" s="1">
        <v>2022</v>
      </c>
      <c r="C1441" s="1" t="s">
        <v>1387</v>
      </c>
      <c r="D1441" s="2" t="s">
        <v>882</v>
      </c>
      <c r="E1441" s="7">
        <v>2246163</v>
      </c>
      <c r="F1441" s="5">
        <v>3402730</v>
      </c>
    </row>
    <row r="1442" spans="1:6" ht="20" x14ac:dyDescent="0.25">
      <c r="A1442" s="5">
        <v>3402730</v>
      </c>
      <c r="B1442" s="1">
        <v>2023</v>
      </c>
      <c r="C1442" s="1" t="s">
        <v>1387</v>
      </c>
      <c r="D1442" s="2" t="s">
        <v>882</v>
      </c>
      <c r="E1442" s="7">
        <v>2257697</v>
      </c>
      <c r="F1442" s="5">
        <v>3402730</v>
      </c>
    </row>
    <row r="1443" spans="1:6" x14ac:dyDescent="0.25">
      <c r="A1443" s="5">
        <v>3402740</v>
      </c>
      <c r="B1443" s="1">
        <v>2015</v>
      </c>
      <c r="C1443" s="1" t="s">
        <v>1387</v>
      </c>
      <c r="D1443" s="1" t="s">
        <v>197</v>
      </c>
      <c r="E1443" s="8">
        <v>321738</v>
      </c>
      <c r="F1443" s="5">
        <v>3402740</v>
      </c>
    </row>
    <row r="1444" spans="1:6" x14ac:dyDescent="0.25">
      <c r="A1444" s="5">
        <v>3402740</v>
      </c>
      <c r="B1444" s="1">
        <v>2016</v>
      </c>
      <c r="C1444" s="1" t="s">
        <v>1387</v>
      </c>
      <c r="D1444" s="1" t="s">
        <v>197</v>
      </c>
      <c r="E1444" s="8">
        <v>471890</v>
      </c>
      <c r="F1444" s="5">
        <v>3402740</v>
      </c>
    </row>
    <row r="1445" spans="1:6" x14ac:dyDescent="0.25">
      <c r="A1445" s="5">
        <v>3402740</v>
      </c>
      <c r="B1445" s="1">
        <v>2017</v>
      </c>
      <c r="C1445" s="1" t="s">
        <v>1387</v>
      </c>
      <c r="D1445" s="1" t="s">
        <v>197</v>
      </c>
      <c r="E1445" s="8">
        <v>623321</v>
      </c>
      <c r="F1445" s="5">
        <v>3402740</v>
      </c>
    </row>
    <row r="1446" spans="1:6" x14ac:dyDescent="0.25">
      <c r="A1446" s="5">
        <v>3402740</v>
      </c>
      <c r="B1446" s="1">
        <v>2018</v>
      </c>
      <c r="C1446" s="1" t="s">
        <v>1387</v>
      </c>
      <c r="D1446" s="1" t="s">
        <v>881</v>
      </c>
      <c r="E1446" s="8">
        <v>782732</v>
      </c>
      <c r="F1446" s="5">
        <v>3402740</v>
      </c>
    </row>
    <row r="1447" spans="1:6" x14ac:dyDescent="0.25">
      <c r="A1447" s="5">
        <v>3402740</v>
      </c>
      <c r="B1447" s="1">
        <v>2019</v>
      </c>
      <c r="C1447" s="1" t="s">
        <v>1387</v>
      </c>
      <c r="D1447" s="1" t="s">
        <v>881</v>
      </c>
      <c r="E1447" s="8">
        <v>1018258</v>
      </c>
      <c r="F1447" s="5">
        <v>3402740</v>
      </c>
    </row>
    <row r="1448" spans="1:6" ht="20" x14ac:dyDescent="0.25">
      <c r="A1448" s="5">
        <v>3402740</v>
      </c>
      <c r="B1448" s="1">
        <v>2020</v>
      </c>
      <c r="C1448" s="1" t="s">
        <v>1387</v>
      </c>
      <c r="D1448" s="2" t="s">
        <v>881</v>
      </c>
      <c r="E1448" s="7">
        <v>1102400</v>
      </c>
      <c r="F1448" s="5">
        <v>3402740</v>
      </c>
    </row>
    <row r="1449" spans="1:6" ht="20" x14ac:dyDescent="0.25">
      <c r="A1449" s="5">
        <v>3402740</v>
      </c>
      <c r="B1449" s="1">
        <v>2021</v>
      </c>
      <c r="C1449" s="1" t="s">
        <v>1387</v>
      </c>
      <c r="D1449" s="3" t="s">
        <v>881</v>
      </c>
      <c r="E1449" s="7">
        <v>1453703</v>
      </c>
      <c r="F1449" s="5">
        <v>3402740</v>
      </c>
    </row>
    <row r="1450" spans="1:6" ht="20" x14ac:dyDescent="0.25">
      <c r="A1450" s="5">
        <v>3402740</v>
      </c>
      <c r="B1450" s="1">
        <v>2022</v>
      </c>
      <c r="C1450" s="1" t="s">
        <v>1387</v>
      </c>
      <c r="D1450" s="2" t="s">
        <v>881</v>
      </c>
      <c r="E1450" s="7">
        <v>2074729</v>
      </c>
      <c r="F1450" s="5">
        <v>3402740</v>
      </c>
    </row>
    <row r="1451" spans="1:6" ht="20" x14ac:dyDescent="0.25">
      <c r="A1451" s="5">
        <v>3402740</v>
      </c>
      <c r="B1451" s="1">
        <v>2023</v>
      </c>
      <c r="C1451" s="1" t="s">
        <v>1387</v>
      </c>
      <c r="D1451" s="2" t="s">
        <v>881</v>
      </c>
      <c r="E1451" s="7">
        <v>1903601</v>
      </c>
      <c r="F1451" s="5">
        <v>3402740</v>
      </c>
    </row>
    <row r="1452" spans="1:6" x14ac:dyDescent="0.25">
      <c r="A1452" s="5">
        <v>3402790</v>
      </c>
      <c r="B1452" s="1">
        <v>2015</v>
      </c>
      <c r="C1452" s="1" t="s">
        <v>1387</v>
      </c>
      <c r="D1452" s="1" t="s">
        <v>34</v>
      </c>
      <c r="E1452" s="8">
        <v>235119</v>
      </c>
      <c r="F1452" s="5">
        <v>3402790</v>
      </c>
    </row>
    <row r="1453" spans="1:6" x14ac:dyDescent="0.25">
      <c r="A1453" s="5">
        <v>3402790</v>
      </c>
      <c r="B1453" s="1">
        <v>2016</v>
      </c>
      <c r="C1453" s="1" t="s">
        <v>1387</v>
      </c>
      <c r="D1453" s="1" t="s">
        <v>34</v>
      </c>
      <c r="E1453" s="8">
        <v>340076</v>
      </c>
      <c r="F1453" s="5">
        <v>3402790</v>
      </c>
    </row>
    <row r="1454" spans="1:6" x14ac:dyDescent="0.25">
      <c r="A1454" s="5">
        <v>3402790</v>
      </c>
      <c r="B1454" s="1">
        <v>2017</v>
      </c>
      <c r="C1454" s="1" t="s">
        <v>1387</v>
      </c>
      <c r="D1454" s="1" t="s">
        <v>34</v>
      </c>
      <c r="E1454" s="8">
        <v>483870</v>
      </c>
      <c r="F1454" s="5">
        <v>3402790</v>
      </c>
    </row>
    <row r="1455" spans="1:6" x14ac:dyDescent="0.25">
      <c r="A1455" s="5">
        <v>3402790</v>
      </c>
      <c r="B1455" s="1">
        <v>2018</v>
      </c>
      <c r="C1455" s="1" t="s">
        <v>1387</v>
      </c>
      <c r="D1455" s="1" t="s">
        <v>712</v>
      </c>
      <c r="E1455" s="8">
        <v>647229</v>
      </c>
      <c r="F1455" s="5">
        <v>3402790</v>
      </c>
    </row>
    <row r="1456" spans="1:6" x14ac:dyDescent="0.25">
      <c r="A1456" s="5">
        <v>3402790</v>
      </c>
      <c r="B1456" s="1">
        <v>2019</v>
      </c>
      <c r="C1456" s="1" t="s">
        <v>1387</v>
      </c>
      <c r="D1456" s="1" t="s">
        <v>712</v>
      </c>
      <c r="E1456" s="8">
        <v>820371</v>
      </c>
      <c r="F1456" s="5">
        <v>3402790</v>
      </c>
    </row>
    <row r="1457" spans="1:6" ht="20" x14ac:dyDescent="0.25">
      <c r="A1457" s="5">
        <v>3402790</v>
      </c>
      <c r="B1457" s="1">
        <v>2020</v>
      </c>
      <c r="C1457" s="1" t="s">
        <v>1387</v>
      </c>
      <c r="D1457" s="2" t="s">
        <v>712</v>
      </c>
      <c r="E1457" s="7">
        <v>984864</v>
      </c>
      <c r="F1457" s="5">
        <v>3402790</v>
      </c>
    </row>
    <row r="1458" spans="1:6" ht="20" x14ac:dyDescent="0.25">
      <c r="A1458" s="5">
        <v>3402790</v>
      </c>
      <c r="B1458" s="1">
        <v>2021</v>
      </c>
      <c r="C1458" s="1" t="s">
        <v>1387</v>
      </c>
      <c r="D1458" s="3" t="s">
        <v>712</v>
      </c>
      <c r="E1458" s="7">
        <v>1230888</v>
      </c>
      <c r="F1458" s="5">
        <v>3402790</v>
      </c>
    </row>
    <row r="1459" spans="1:6" ht="20" x14ac:dyDescent="0.25">
      <c r="A1459" s="5">
        <v>3402790</v>
      </c>
      <c r="B1459" s="1">
        <v>2022</v>
      </c>
      <c r="C1459" s="1" t="s">
        <v>1387</v>
      </c>
      <c r="D1459" s="2" t="s">
        <v>712</v>
      </c>
      <c r="E1459" s="7">
        <v>1785464</v>
      </c>
      <c r="F1459" s="5">
        <v>3402790</v>
      </c>
    </row>
    <row r="1460" spans="1:6" ht="20" x14ac:dyDescent="0.25">
      <c r="A1460" s="5">
        <v>3402790</v>
      </c>
      <c r="B1460" s="1">
        <v>2023</v>
      </c>
      <c r="C1460" s="1" t="s">
        <v>1387</v>
      </c>
      <c r="D1460" s="2" t="s">
        <v>712</v>
      </c>
      <c r="E1460" s="7">
        <v>1891788</v>
      </c>
      <c r="F1460" s="5">
        <v>3402790</v>
      </c>
    </row>
    <row r="1461" spans="1:6" x14ac:dyDescent="0.25">
      <c r="A1461" s="5">
        <v>3402800</v>
      </c>
      <c r="B1461" s="1">
        <v>2015</v>
      </c>
      <c r="C1461" s="1" t="s">
        <v>1387</v>
      </c>
      <c r="D1461" s="1" t="s">
        <v>35</v>
      </c>
      <c r="E1461" s="8">
        <v>225652</v>
      </c>
      <c r="F1461" s="5">
        <v>3402800</v>
      </c>
    </row>
    <row r="1462" spans="1:6" x14ac:dyDescent="0.25">
      <c r="A1462" s="5">
        <v>3402800</v>
      </c>
      <c r="B1462" s="1">
        <v>2016</v>
      </c>
      <c r="C1462" s="1" t="s">
        <v>1387</v>
      </c>
      <c r="D1462" s="1" t="s">
        <v>35</v>
      </c>
      <c r="E1462" s="8">
        <v>344214</v>
      </c>
      <c r="F1462" s="5">
        <v>3402800</v>
      </c>
    </row>
    <row r="1463" spans="1:6" x14ac:dyDescent="0.25">
      <c r="A1463" s="5">
        <v>3402800</v>
      </c>
      <c r="B1463" s="1">
        <v>2017</v>
      </c>
      <c r="C1463" s="1" t="s">
        <v>1387</v>
      </c>
      <c r="D1463" s="1" t="s">
        <v>35</v>
      </c>
      <c r="E1463" s="8">
        <v>478626</v>
      </c>
      <c r="F1463" s="5">
        <v>3402800</v>
      </c>
    </row>
    <row r="1464" spans="1:6" x14ac:dyDescent="0.25">
      <c r="A1464" s="5">
        <v>3402800</v>
      </c>
      <c r="B1464" s="1">
        <v>2018</v>
      </c>
      <c r="C1464" s="1" t="s">
        <v>1387</v>
      </c>
      <c r="D1464" s="1" t="s">
        <v>713</v>
      </c>
      <c r="E1464" s="8">
        <v>632892</v>
      </c>
      <c r="F1464" s="5">
        <v>3402800</v>
      </c>
    </row>
    <row r="1465" spans="1:6" x14ac:dyDescent="0.25">
      <c r="A1465" s="5">
        <v>3402800</v>
      </c>
      <c r="B1465" s="1">
        <v>2019</v>
      </c>
      <c r="C1465" s="1" t="s">
        <v>1387</v>
      </c>
      <c r="D1465" s="1" t="s">
        <v>713</v>
      </c>
      <c r="E1465" s="8">
        <v>828811</v>
      </c>
      <c r="F1465" s="5">
        <v>3402800</v>
      </c>
    </row>
    <row r="1466" spans="1:6" ht="20" x14ac:dyDescent="0.25">
      <c r="A1466" s="5">
        <v>3402800</v>
      </c>
      <c r="B1466" s="1">
        <v>2020</v>
      </c>
      <c r="C1466" s="1" t="s">
        <v>1387</v>
      </c>
      <c r="D1466" s="2" t="s">
        <v>713</v>
      </c>
      <c r="E1466" s="7">
        <v>950480</v>
      </c>
      <c r="F1466" s="5">
        <v>3402800</v>
      </c>
    </row>
    <row r="1467" spans="1:6" ht="20" x14ac:dyDescent="0.25">
      <c r="A1467" s="5">
        <v>3402800</v>
      </c>
      <c r="B1467" s="1">
        <v>2021</v>
      </c>
      <c r="C1467" s="1" t="s">
        <v>1387</v>
      </c>
      <c r="D1467" s="3" t="s">
        <v>713</v>
      </c>
      <c r="E1467" s="7">
        <v>1243254</v>
      </c>
      <c r="F1467" s="5">
        <v>3402800</v>
      </c>
    </row>
    <row r="1468" spans="1:6" ht="20" x14ac:dyDescent="0.25">
      <c r="A1468" s="5">
        <v>3402800</v>
      </c>
      <c r="B1468" s="1">
        <v>2022</v>
      </c>
      <c r="C1468" s="1" t="s">
        <v>1387</v>
      </c>
      <c r="D1468" s="2" t="s">
        <v>713</v>
      </c>
      <c r="E1468" s="7">
        <v>1806070</v>
      </c>
      <c r="F1468" s="5">
        <v>3402800</v>
      </c>
    </row>
    <row r="1469" spans="1:6" ht="20" x14ac:dyDescent="0.25">
      <c r="A1469" s="5">
        <v>3402800</v>
      </c>
      <c r="B1469" s="1">
        <v>2023</v>
      </c>
      <c r="C1469" s="1" t="s">
        <v>1387</v>
      </c>
      <c r="D1469" s="2" t="s">
        <v>713</v>
      </c>
      <c r="E1469" s="7">
        <v>2141120</v>
      </c>
      <c r="F1469" s="5">
        <v>3402800</v>
      </c>
    </row>
    <row r="1470" spans="1:6" x14ac:dyDescent="0.25">
      <c r="A1470" s="5">
        <v>3402820</v>
      </c>
      <c r="B1470" s="1">
        <v>2015</v>
      </c>
      <c r="C1470" s="1" t="s">
        <v>1387</v>
      </c>
      <c r="D1470" s="1" t="s">
        <v>373</v>
      </c>
      <c r="E1470" s="8">
        <v>1198152</v>
      </c>
      <c r="F1470" s="5">
        <v>3402820</v>
      </c>
    </row>
    <row r="1471" spans="1:6" x14ac:dyDescent="0.25">
      <c r="A1471" s="5">
        <v>3402820</v>
      </c>
      <c r="B1471" s="1">
        <v>2016</v>
      </c>
      <c r="C1471" s="1" t="s">
        <v>1387</v>
      </c>
      <c r="D1471" s="1" t="s">
        <v>373</v>
      </c>
      <c r="E1471" s="8">
        <v>1763564</v>
      </c>
      <c r="F1471" s="5">
        <v>3402820</v>
      </c>
    </row>
    <row r="1472" spans="1:6" x14ac:dyDescent="0.25">
      <c r="A1472" s="5">
        <v>3402820</v>
      </c>
      <c r="B1472" s="1">
        <v>2017</v>
      </c>
      <c r="C1472" s="1" t="s">
        <v>1387</v>
      </c>
      <c r="D1472" s="1" t="s">
        <v>373</v>
      </c>
      <c r="E1472" s="8">
        <v>2782107</v>
      </c>
      <c r="F1472" s="5">
        <v>3402820</v>
      </c>
    </row>
    <row r="1473" spans="1:6" x14ac:dyDescent="0.25">
      <c r="A1473" s="5">
        <v>3402820</v>
      </c>
      <c r="B1473" s="1">
        <v>2018</v>
      </c>
      <c r="C1473" s="1" t="s">
        <v>1387</v>
      </c>
      <c r="D1473" s="1" t="s">
        <v>1065</v>
      </c>
      <c r="E1473" s="8">
        <v>3813567</v>
      </c>
      <c r="F1473" s="5">
        <v>3402820</v>
      </c>
    </row>
    <row r="1474" spans="1:6" x14ac:dyDescent="0.25">
      <c r="A1474" s="5">
        <v>3402820</v>
      </c>
      <c r="B1474" s="1">
        <v>2019</v>
      </c>
      <c r="C1474" s="1" t="s">
        <v>1387</v>
      </c>
      <c r="D1474" s="1" t="s">
        <v>1065</v>
      </c>
      <c r="E1474" s="8">
        <v>5213253</v>
      </c>
      <c r="F1474" s="5">
        <v>3402820</v>
      </c>
    </row>
    <row r="1475" spans="1:6" ht="20" x14ac:dyDescent="0.25">
      <c r="A1475" s="5">
        <v>3402820</v>
      </c>
      <c r="B1475" s="1">
        <v>2020</v>
      </c>
      <c r="C1475" s="1" t="s">
        <v>1387</v>
      </c>
      <c r="D1475" s="2" t="s">
        <v>1065</v>
      </c>
      <c r="E1475" s="7">
        <v>5766026</v>
      </c>
      <c r="F1475" s="5">
        <v>3402820</v>
      </c>
    </row>
    <row r="1476" spans="1:6" ht="20" x14ac:dyDescent="0.25">
      <c r="A1476" s="5">
        <v>3402820</v>
      </c>
      <c r="B1476" s="1">
        <v>2021</v>
      </c>
      <c r="C1476" s="1" t="s">
        <v>1387</v>
      </c>
      <c r="D1476" s="3" t="s">
        <v>1065</v>
      </c>
      <c r="E1476" s="7">
        <v>7720320</v>
      </c>
      <c r="F1476" s="5">
        <v>3402820</v>
      </c>
    </row>
    <row r="1477" spans="1:6" ht="20" x14ac:dyDescent="0.25">
      <c r="A1477" s="5">
        <v>3402820</v>
      </c>
      <c r="B1477" s="1">
        <v>2022</v>
      </c>
      <c r="C1477" s="1" t="s">
        <v>1387</v>
      </c>
      <c r="D1477" s="2" t="s">
        <v>1065</v>
      </c>
      <c r="E1477" s="7">
        <v>11086803</v>
      </c>
      <c r="F1477" s="5">
        <v>3402820</v>
      </c>
    </row>
    <row r="1478" spans="1:6" ht="20" x14ac:dyDescent="0.25">
      <c r="A1478" s="5">
        <v>3402820</v>
      </c>
      <c r="B1478" s="1">
        <v>2023</v>
      </c>
      <c r="C1478" s="1" t="s">
        <v>1387</v>
      </c>
      <c r="D1478" s="2" t="s">
        <v>1065</v>
      </c>
      <c r="E1478" s="7">
        <v>10911080</v>
      </c>
      <c r="F1478" s="5">
        <v>3402820</v>
      </c>
    </row>
    <row r="1479" spans="1:6" x14ac:dyDescent="0.25">
      <c r="A1479" s="5">
        <v>3402850</v>
      </c>
      <c r="B1479" s="1">
        <v>2015</v>
      </c>
      <c r="C1479" s="1" t="s">
        <v>1387</v>
      </c>
      <c r="D1479" s="1" t="s">
        <v>233</v>
      </c>
      <c r="E1479" s="8">
        <v>552978</v>
      </c>
      <c r="F1479" s="5">
        <v>3402850</v>
      </c>
    </row>
    <row r="1480" spans="1:6" x14ac:dyDescent="0.25">
      <c r="A1480" s="5">
        <v>3402850</v>
      </c>
      <c r="B1480" s="1">
        <v>2016</v>
      </c>
      <c r="C1480" s="1" t="s">
        <v>1387</v>
      </c>
      <c r="D1480" s="1" t="s">
        <v>233</v>
      </c>
      <c r="E1480" s="8">
        <v>852137</v>
      </c>
      <c r="F1480" s="5">
        <v>3402850</v>
      </c>
    </row>
    <row r="1481" spans="1:6" x14ac:dyDescent="0.25">
      <c r="A1481" s="5">
        <v>3402850</v>
      </c>
      <c r="B1481" s="1">
        <v>2017</v>
      </c>
      <c r="C1481" s="1" t="s">
        <v>1387</v>
      </c>
      <c r="D1481" s="1" t="s">
        <v>233</v>
      </c>
      <c r="E1481" s="8">
        <v>1183760</v>
      </c>
      <c r="F1481" s="5">
        <v>3402850</v>
      </c>
    </row>
    <row r="1482" spans="1:6" x14ac:dyDescent="0.25">
      <c r="A1482" s="5">
        <v>3402850</v>
      </c>
      <c r="B1482" s="1">
        <v>2018</v>
      </c>
      <c r="C1482" s="1" t="s">
        <v>1387</v>
      </c>
      <c r="D1482" s="1" t="s">
        <v>919</v>
      </c>
      <c r="E1482" s="8">
        <v>1670346</v>
      </c>
      <c r="F1482" s="5">
        <v>3402850</v>
      </c>
    </row>
    <row r="1483" spans="1:6" x14ac:dyDescent="0.25">
      <c r="A1483" s="5">
        <v>3402850</v>
      </c>
      <c r="B1483" s="1">
        <v>2019</v>
      </c>
      <c r="C1483" s="1" t="s">
        <v>1387</v>
      </c>
      <c r="D1483" s="1" t="s">
        <v>919</v>
      </c>
      <c r="E1483" s="8">
        <v>2203221</v>
      </c>
      <c r="F1483" s="5">
        <v>3402850</v>
      </c>
    </row>
    <row r="1484" spans="1:6" ht="20" x14ac:dyDescent="0.25">
      <c r="A1484" s="5">
        <v>3402850</v>
      </c>
      <c r="B1484" s="1">
        <v>2020</v>
      </c>
      <c r="C1484" s="1" t="s">
        <v>1387</v>
      </c>
      <c r="D1484" s="2" t="s">
        <v>919</v>
      </c>
      <c r="E1484" s="7">
        <v>2552910</v>
      </c>
      <c r="F1484" s="5">
        <v>3402850</v>
      </c>
    </row>
    <row r="1485" spans="1:6" ht="20" x14ac:dyDescent="0.25">
      <c r="A1485" s="5">
        <v>3402850</v>
      </c>
      <c r="B1485" s="1">
        <v>2021</v>
      </c>
      <c r="C1485" s="1" t="s">
        <v>1387</v>
      </c>
      <c r="D1485" s="3" t="s">
        <v>919</v>
      </c>
      <c r="E1485" s="7">
        <v>3432390</v>
      </c>
      <c r="F1485" s="5">
        <v>3402850</v>
      </c>
    </row>
    <row r="1486" spans="1:6" ht="20" x14ac:dyDescent="0.25">
      <c r="A1486" s="5">
        <v>3402850</v>
      </c>
      <c r="B1486" s="1">
        <v>2022</v>
      </c>
      <c r="C1486" s="1" t="s">
        <v>1387</v>
      </c>
      <c r="D1486" s="2" t="s">
        <v>919</v>
      </c>
      <c r="E1486" s="7">
        <v>4875787</v>
      </c>
      <c r="F1486" s="5">
        <v>3402850</v>
      </c>
    </row>
    <row r="1487" spans="1:6" ht="20" x14ac:dyDescent="0.25">
      <c r="A1487" s="5">
        <v>3402850</v>
      </c>
      <c r="B1487" s="1">
        <v>2023</v>
      </c>
      <c r="C1487" s="1" t="s">
        <v>1387</v>
      </c>
      <c r="D1487" s="2" t="s">
        <v>919</v>
      </c>
      <c r="E1487" s="7">
        <v>4851814</v>
      </c>
      <c r="F1487" s="5">
        <v>3402850</v>
      </c>
    </row>
    <row r="1488" spans="1:6" x14ac:dyDescent="0.25">
      <c r="A1488" s="5">
        <v>3402880</v>
      </c>
      <c r="B1488" s="1">
        <v>2015</v>
      </c>
      <c r="C1488" s="1" t="s">
        <v>1387</v>
      </c>
      <c r="D1488" s="1" t="s">
        <v>189</v>
      </c>
      <c r="E1488" s="8">
        <v>344446</v>
      </c>
      <c r="F1488" s="5">
        <v>3402880</v>
      </c>
    </row>
    <row r="1489" spans="1:6" x14ac:dyDescent="0.25">
      <c r="A1489" s="5">
        <v>3402880</v>
      </c>
      <c r="B1489" s="1">
        <v>2016</v>
      </c>
      <c r="C1489" s="1" t="s">
        <v>1387</v>
      </c>
      <c r="D1489" s="1" t="s">
        <v>189</v>
      </c>
      <c r="E1489" s="8">
        <v>514566</v>
      </c>
      <c r="F1489" s="5">
        <v>3402880</v>
      </c>
    </row>
    <row r="1490" spans="1:6" x14ac:dyDescent="0.25">
      <c r="A1490" s="5">
        <v>3402880</v>
      </c>
      <c r="B1490" s="1">
        <v>2017</v>
      </c>
      <c r="C1490" s="1" t="s">
        <v>1387</v>
      </c>
      <c r="D1490" s="1" t="s">
        <v>189</v>
      </c>
      <c r="E1490" s="8">
        <v>688712</v>
      </c>
      <c r="F1490" s="5">
        <v>3402880</v>
      </c>
    </row>
    <row r="1491" spans="1:6" x14ac:dyDescent="0.25">
      <c r="A1491" s="5">
        <v>3402880</v>
      </c>
      <c r="B1491" s="1">
        <v>2018</v>
      </c>
      <c r="C1491" s="1" t="s">
        <v>1387</v>
      </c>
      <c r="D1491" s="1" t="s">
        <v>872</v>
      </c>
      <c r="E1491" s="8">
        <v>933263</v>
      </c>
      <c r="F1491" s="5">
        <v>3402880</v>
      </c>
    </row>
    <row r="1492" spans="1:6" x14ac:dyDescent="0.25">
      <c r="A1492" s="5">
        <v>3402880</v>
      </c>
      <c r="B1492" s="1">
        <v>2019</v>
      </c>
      <c r="C1492" s="1" t="s">
        <v>1387</v>
      </c>
      <c r="D1492" s="1" t="s">
        <v>872</v>
      </c>
      <c r="E1492" s="8">
        <v>1302033</v>
      </c>
      <c r="F1492" s="5">
        <v>3402880</v>
      </c>
    </row>
    <row r="1493" spans="1:6" ht="20" x14ac:dyDescent="0.25">
      <c r="A1493" s="5">
        <v>3402880</v>
      </c>
      <c r="B1493" s="1">
        <v>2020</v>
      </c>
      <c r="C1493" s="1" t="s">
        <v>1387</v>
      </c>
      <c r="D1493" s="2" t="s">
        <v>872</v>
      </c>
      <c r="E1493" s="7">
        <v>1455773</v>
      </c>
      <c r="F1493" s="5">
        <v>3402880</v>
      </c>
    </row>
    <row r="1494" spans="1:6" ht="20" x14ac:dyDescent="0.25">
      <c r="A1494" s="5">
        <v>3402880</v>
      </c>
      <c r="B1494" s="1">
        <v>2021</v>
      </c>
      <c r="C1494" s="1" t="s">
        <v>1387</v>
      </c>
      <c r="D1494" s="3" t="s">
        <v>872</v>
      </c>
      <c r="E1494" s="7">
        <v>1836648</v>
      </c>
      <c r="F1494" s="5">
        <v>3402880</v>
      </c>
    </row>
    <row r="1495" spans="1:6" ht="20" x14ac:dyDescent="0.25">
      <c r="A1495" s="5">
        <v>3402880</v>
      </c>
      <c r="B1495" s="1">
        <v>2022</v>
      </c>
      <c r="C1495" s="1" t="s">
        <v>1387</v>
      </c>
      <c r="D1495" s="2" t="s">
        <v>872</v>
      </c>
      <c r="E1495" s="7">
        <v>2696027</v>
      </c>
      <c r="F1495" s="5">
        <v>3402880</v>
      </c>
    </row>
    <row r="1496" spans="1:6" ht="20" x14ac:dyDescent="0.25">
      <c r="A1496" s="5">
        <v>3402880</v>
      </c>
      <c r="B1496" s="1">
        <v>2023</v>
      </c>
      <c r="C1496" s="1" t="s">
        <v>1387</v>
      </c>
      <c r="D1496" s="2" t="s">
        <v>872</v>
      </c>
      <c r="E1496" s="7">
        <v>2598323</v>
      </c>
      <c r="F1496" s="5">
        <v>3402880</v>
      </c>
    </row>
    <row r="1497" spans="1:6" x14ac:dyDescent="0.25">
      <c r="A1497" s="5">
        <v>3402910</v>
      </c>
      <c r="B1497" s="1">
        <v>2015</v>
      </c>
      <c r="C1497" s="1" t="s">
        <v>1387</v>
      </c>
      <c r="D1497" s="1" t="s">
        <v>499</v>
      </c>
      <c r="E1497" s="8">
        <v>698858</v>
      </c>
      <c r="F1497" s="5">
        <v>3402910</v>
      </c>
    </row>
    <row r="1498" spans="1:6" x14ac:dyDescent="0.25">
      <c r="A1498" s="5">
        <v>3402910</v>
      </c>
      <c r="B1498" s="1">
        <v>2016</v>
      </c>
      <c r="C1498" s="1" t="s">
        <v>1387</v>
      </c>
      <c r="D1498" s="1" t="s">
        <v>499</v>
      </c>
      <c r="E1498" s="8">
        <v>1053694</v>
      </c>
      <c r="F1498" s="5">
        <v>3402910</v>
      </c>
    </row>
    <row r="1499" spans="1:6" x14ac:dyDescent="0.25">
      <c r="A1499" s="5">
        <v>3402910</v>
      </c>
      <c r="B1499" s="1">
        <v>2017</v>
      </c>
      <c r="C1499" s="1" t="s">
        <v>1387</v>
      </c>
      <c r="D1499" s="1" t="s">
        <v>499</v>
      </c>
      <c r="E1499" s="8">
        <v>1486686</v>
      </c>
      <c r="F1499" s="5">
        <v>3402910</v>
      </c>
    </row>
    <row r="1500" spans="1:6" x14ac:dyDescent="0.25">
      <c r="A1500" s="5">
        <v>3402910</v>
      </c>
      <c r="B1500" s="1">
        <v>2018</v>
      </c>
      <c r="C1500" s="1" t="s">
        <v>1387</v>
      </c>
      <c r="D1500" s="1" t="s">
        <v>1191</v>
      </c>
      <c r="E1500" s="8">
        <v>1992308</v>
      </c>
      <c r="F1500" s="5">
        <v>3402910</v>
      </c>
    </row>
    <row r="1501" spans="1:6" x14ac:dyDescent="0.25">
      <c r="A1501" s="5">
        <v>3402910</v>
      </c>
      <c r="B1501" s="1">
        <v>2019</v>
      </c>
      <c r="C1501" s="1" t="s">
        <v>1387</v>
      </c>
      <c r="D1501" s="1" t="s">
        <v>1191</v>
      </c>
      <c r="E1501" s="8">
        <v>2705760</v>
      </c>
      <c r="F1501" s="5">
        <v>3402910</v>
      </c>
    </row>
    <row r="1502" spans="1:6" ht="20" x14ac:dyDescent="0.25">
      <c r="A1502" s="5">
        <v>3402910</v>
      </c>
      <c r="B1502" s="1">
        <v>2020</v>
      </c>
      <c r="C1502" s="1" t="s">
        <v>1387</v>
      </c>
      <c r="D1502" s="2" t="s">
        <v>1191</v>
      </c>
      <c r="E1502" s="7">
        <v>3121731</v>
      </c>
      <c r="F1502" s="5">
        <v>3402910</v>
      </c>
    </row>
    <row r="1503" spans="1:6" ht="20" x14ac:dyDescent="0.25">
      <c r="A1503" s="5">
        <v>3402910</v>
      </c>
      <c r="B1503" s="1">
        <v>2021</v>
      </c>
      <c r="C1503" s="1" t="s">
        <v>1387</v>
      </c>
      <c r="D1503" s="3" t="s">
        <v>1191</v>
      </c>
      <c r="E1503" s="7">
        <v>4069105</v>
      </c>
      <c r="F1503" s="5">
        <v>3402910</v>
      </c>
    </row>
    <row r="1504" spans="1:6" ht="20" x14ac:dyDescent="0.25">
      <c r="A1504" s="5">
        <v>3402910</v>
      </c>
      <c r="B1504" s="1">
        <v>2022</v>
      </c>
      <c r="C1504" s="1" t="s">
        <v>1387</v>
      </c>
      <c r="D1504" s="2" t="s">
        <v>1191</v>
      </c>
      <c r="E1504" s="7">
        <v>5842793</v>
      </c>
      <c r="F1504" s="5">
        <v>3402910</v>
      </c>
    </row>
    <row r="1505" spans="1:6" ht="20" x14ac:dyDescent="0.25">
      <c r="A1505" s="5">
        <v>3402910</v>
      </c>
      <c r="B1505" s="1">
        <v>2023</v>
      </c>
      <c r="C1505" s="1" t="s">
        <v>1387</v>
      </c>
      <c r="D1505" s="2" t="s">
        <v>1191</v>
      </c>
      <c r="E1505" s="7">
        <v>5888768</v>
      </c>
      <c r="F1505" s="5">
        <v>3402910</v>
      </c>
    </row>
    <row r="1506" spans="1:6" x14ac:dyDescent="0.25">
      <c r="A1506" s="5">
        <v>3403000</v>
      </c>
      <c r="B1506" s="1">
        <v>2015</v>
      </c>
      <c r="C1506" s="1" t="s">
        <v>1387</v>
      </c>
      <c r="D1506" s="1" t="s">
        <v>162</v>
      </c>
      <c r="E1506" s="8">
        <v>4029708</v>
      </c>
      <c r="F1506" s="5">
        <v>3403000</v>
      </c>
    </row>
    <row r="1507" spans="1:6" x14ac:dyDescent="0.25">
      <c r="A1507" s="5">
        <v>3403000</v>
      </c>
      <c r="B1507" s="1">
        <v>2016</v>
      </c>
      <c r="C1507" s="1" t="s">
        <v>1387</v>
      </c>
      <c r="D1507" s="1" t="s">
        <v>162</v>
      </c>
      <c r="E1507" s="8">
        <v>5899462</v>
      </c>
      <c r="F1507" s="5">
        <v>3403000</v>
      </c>
    </row>
    <row r="1508" spans="1:6" x14ac:dyDescent="0.25">
      <c r="A1508" s="5">
        <v>3403000</v>
      </c>
      <c r="B1508" s="1">
        <v>2017</v>
      </c>
      <c r="C1508" s="1" t="s">
        <v>1387</v>
      </c>
      <c r="D1508" s="1" t="s">
        <v>162</v>
      </c>
      <c r="E1508" s="8">
        <v>8186933</v>
      </c>
      <c r="F1508" s="5">
        <v>3403000</v>
      </c>
    </row>
    <row r="1509" spans="1:6" x14ac:dyDescent="0.25">
      <c r="A1509" s="5">
        <v>3403000</v>
      </c>
      <c r="B1509" s="1">
        <v>2018</v>
      </c>
      <c r="C1509" s="1" t="s">
        <v>1387</v>
      </c>
      <c r="D1509" s="1" t="s">
        <v>844</v>
      </c>
      <c r="E1509" s="8">
        <v>11385609</v>
      </c>
      <c r="F1509" s="5">
        <v>3403000</v>
      </c>
    </row>
    <row r="1510" spans="1:6" x14ac:dyDescent="0.25">
      <c r="A1510" s="5">
        <v>3403000</v>
      </c>
      <c r="B1510" s="1">
        <v>2019</v>
      </c>
      <c r="C1510" s="1" t="s">
        <v>1387</v>
      </c>
      <c r="D1510" s="1" t="s">
        <v>844</v>
      </c>
      <c r="E1510" s="8">
        <v>15342625</v>
      </c>
      <c r="F1510" s="5">
        <v>3403000</v>
      </c>
    </row>
    <row r="1511" spans="1:6" ht="20" x14ac:dyDescent="0.25">
      <c r="A1511" s="5">
        <v>3403000</v>
      </c>
      <c r="B1511" s="1">
        <v>2020</v>
      </c>
      <c r="C1511" s="1" t="s">
        <v>1387</v>
      </c>
      <c r="D1511" s="2" t="s">
        <v>844</v>
      </c>
      <c r="E1511" s="7">
        <v>17273355</v>
      </c>
      <c r="F1511" s="5">
        <v>3403000</v>
      </c>
    </row>
    <row r="1512" spans="1:6" ht="20" x14ac:dyDescent="0.25">
      <c r="A1512" s="5">
        <v>3403000</v>
      </c>
      <c r="B1512" s="1">
        <v>2021</v>
      </c>
      <c r="C1512" s="1" t="s">
        <v>1387</v>
      </c>
      <c r="D1512" s="3" t="s">
        <v>844</v>
      </c>
      <c r="E1512" s="7">
        <v>22516088</v>
      </c>
      <c r="F1512" s="5">
        <v>3403000</v>
      </c>
    </row>
    <row r="1513" spans="1:6" ht="20" x14ac:dyDescent="0.25">
      <c r="A1513" s="5">
        <v>3403000</v>
      </c>
      <c r="B1513" s="1">
        <v>2022</v>
      </c>
      <c r="C1513" s="1" t="s">
        <v>1387</v>
      </c>
      <c r="D1513" s="2" t="s">
        <v>844</v>
      </c>
      <c r="E1513" s="7">
        <v>32159918</v>
      </c>
      <c r="F1513" s="5">
        <v>3403000</v>
      </c>
    </row>
    <row r="1514" spans="1:6" ht="20" x14ac:dyDescent="0.25">
      <c r="A1514" s="5">
        <v>3403000</v>
      </c>
      <c r="B1514" s="1">
        <v>2023</v>
      </c>
      <c r="C1514" s="1" t="s">
        <v>1387</v>
      </c>
      <c r="D1514" s="2" t="s">
        <v>844</v>
      </c>
      <c r="E1514" s="7">
        <v>32432915</v>
      </c>
      <c r="F1514" s="5">
        <v>3403000</v>
      </c>
    </row>
    <row r="1515" spans="1:6" x14ac:dyDescent="0.25">
      <c r="A1515" s="5">
        <v>3403060</v>
      </c>
      <c r="B1515" s="1">
        <v>2015</v>
      </c>
      <c r="C1515" s="1" t="s">
        <v>1387</v>
      </c>
      <c r="D1515" s="1" t="s">
        <v>458</v>
      </c>
      <c r="E1515" s="8">
        <v>466927</v>
      </c>
      <c r="F1515" s="5">
        <v>3403060</v>
      </c>
    </row>
    <row r="1516" spans="1:6" x14ac:dyDescent="0.25">
      <c r="A1516" s="5">
        <v>3403060</v>
      </c>
      <c r="B1516" s="1">
        <v>2016</v>
      </c>
      <c r="C1516" s="1" t="s">
        <v>1387</v>
      </c>
      <c r="D1516" s="1" t="s">
        <v>458</v>
      </c>
      <c r="E1516" s="8">
        <v>702207</v>
      </c>
      <c r="F1516" s="5">
        <v>3403060</v>
      </c>
    </row>
    <row r="1517" spans="1:6" x14ac:dyDescent="0.25">
      <c r="A1517" s="5">
        <v>3403060</v>
      </c>
      <c r="B1517" s="1">
        <v>2017</v>
      </c>
      <c r="C1517" s="1" t="s">
        <v>1387</v>
      </c>
      <c r="D1517" s="1" t="s">
        <v>458</v>
      </c>
      <c r="E1517" s="8">
        <v>1001177</v>
      </c>
      <c r="F1517" s="5">
        <v>3403060</v>
      </c>
    </row>
    <row r="1518" spans="1:6" x14ac:dyDescent="0.25">
      <c r="A1518" s="5">
        <v>3403060</v>
      </c>
      <c r="B1518" s="1">
        <v>2018</v>
      </c>
      <c r="C1518" s="1" t="s">
        <v>1387</v>
      </c>
      <c r="D1518" s="1" t="s">
        <v>1150</v>
      </c>
      <c r="E1518" s="8">
        <v>1353164</v>
      </c>
      <c r="F1518" s="5">
        <v>3403060</v>
      </c>
    </row>
    <row r="1519" spans="1:6" x14ac:dyDescent="0.25">
      <c r="A1519" s="5">
        <v>3403060</v>
      </c>
      <c r="B1519" s="1">
        <v>2019</v>
      </c>
      <c r="C1519" s="1" t="s">
        <v>1387</v>
      </c>
      <c r="D1519" s="1" t="s">
        <v>1150</v>
      </c>
      <c r="E1519" s="8">
        <v>1793446</v>
      </c>
      <c r="F1519" s="5">
        <v>3403060</v>
      </c>
    </row>
    <row r="1520" spans="1:6" ht="20" x14ac:dyDescent="0.25">
      <c r="A1520" s="5">
        <v>3403060</v>
      </c>
      <c r="B1520" s="1">
        <v>2020</v>
      </c>
      <c r="C1520" s="1" t="s">
        <v>1387</v>
      </c>
      <c r="D1520" s="2" t="s">
        <v>1150</v>
      </c>
      <c r="E1520" s="7">
        <v>2021741</v>
      </c>
      <c r="F1520" s="5">
        <v>3403060</v>
      </c>
    </row>
    <row r="1521" spans="1:6" ht="20" x14ac:dyDescent="0.25">
      <c r="A1521" s="5">
        <v>3403060</v>
      </c>
      <c r="B1521" s="1">
        <v>2021</v>
      </c>
      <c r="C1521" s="1" t="s">
        <v>1387</v>
      </c>
      <c r="D1521" s="3" t="s">
        <v>1150</v>
      </c>
      <c r="E1521" s="7">
        <v>2555560</v>
      </c>
      <c r="F1521" s="5">
        <v>3403060</v>
      </c>
    </row>
    <row r="1522" spans="1:6" ht="20" x14ac:dyDescent="0.25">
      <c r="A1522" s="5">
        <v>3403060</v>
      </c>
      <c r="B1522" s="1">
        <v>2022</v>
      </c>
      <c r="C1522" s="1" t="s">
        <v>1387</v>
      </c>
      <c r="D1522" s="2" t="s">
        <v>1150</v>
      </c>
      <c r="E1522" s="7">
        <v>3605222</v>
      </c>
      <c r="F1522" s="5">
        <v>3403060</v>
      </c>
    </row>
    <row r="1523" spans="1:6" ht="20" x14ac:dyDescent="0.25">
      <c r="A1523" s="5">
        <v>3403060</v>
      </c>
      <c r="B1523" s="1">
        <v>2023</v>
      </c>
      <c r="C1523" s="1" t="s">
        <v>1387</v>
      </c>
      <c r="D1523" s="2" t="s">
        <v>1150</v>
      </c>
      <c r="E1523" s="7">
        <v>3528025</v>
      </c>
      <c r="F1523" s="5">
        <v>3403060</v>
      </c>
    </row>
    <row r="1524" spans="1:6" x14ac:dyDescent="0.25">
      <c r="A1524" s="5">
        <v>3403090</v>
      </c>
      <c r="B1524" s="1">
        <v>2015</v>
      </c>
      <c r="C1524" s="1" t="s">
        <v>1387</v>
      </c>
      <c r="D1524" s="1" t="s">
        <v>113</v>
      </c>
      <c r="E1524" s="8">
        <v>202848</v>
      </c>
      <c r="F1524" s="5">
        <v>3403090</v>
      </c>
    </row>
    <row r="1525" spans="1:6" x14ac:dyDescent="0.25">
      <c r="A1525" s="5">
        <v>3403090</v>
      </c>
      <c r="B1525" s="1">
        <v>2016</v>
      </c>
      <c r="C1525" s="1" t="s">
        <v>1387</v>
      </c>
      <c r="D1525" s="1" t="s">
        <v>113</v>
      </c>
      <c r="E1525" s="8">
        <v>294355</v>
      </c>
      <c r="F1525" s="5">
        <v>3403090</v>
      </c>
    </row>
    <row r="1526" spans="1:6" x14ac:dyDescent="0.25">
      <c r="A1526" s="5">
        <v>3403090</v>
      </c>
      <c r="B1526" s="1">
        <v>2017</v>
      </c>
      <c r="C1526" s="1" t="s">
        <v>1387</v>
      </c>
      <c r="D1526" s="1" t="s">
        <v>113</v>
      </c>
      <c r="E1526" s="8">
        <v>449584</v>
      </c>
      <c r="F1526" s="5">
        <v>3403090</v>
      </c>
    </row>
    <row r="1527" spans="1:6" x14ac:dyDescent="0.25">
      <c r="A1527" s="5">
        <v>3403090</v>
      </c>
      <c r="B1527" s="1">
        <v>2018</v>
      </c>
      <c r="C1527" s="1" t="s">
        <v>1387</v>
      </c>
      <c r="D1527" s="1" t="s">
        <v>794</v>
      </c>
      <c r="E1527" s="8">
        <v>571504</v>
      </c>
      <c r="F1527" s="5">
        <v>3403090</v>
      </c>
    </row>
    <row r="1528" spans="1:6" x14ac:dyDescent="0.25">
      <c r="A1528" s="5">
        <v>3403090</v>
      </c>
      <c r="B1528" s="1">
        <v>2019</v>
      </c>
      <c r="C1528" s="1" t="s">
        <v>1387</v>
      </c>
      <c r="D1528" s="1" t="s">
        <v>794</v>
      </c>
      <c r="E1528" s="8">
        <v>814464</v>
      </c>
      <c r="F1528" s="5">
        <v>3403090</v>
      </c>
    </row>
    <row r="1529" spans="1:6" ht="20" x14ac:dyDescent="0.25">
      <c r="A1529" s="5">
        <v>3403090</v>
      </c>
      <c r="B1529" s="1">
        <v>2020</v>
      </c>
      <c r="C1529" s="1" t="s">
        <v>1387</v>
      </c>
      <c r="D1529" s="2" t="s">
        <v>794</v>
      </c>
      <c r="E1529" s="7">
        <v>969888</v>
      </c>
      <c r="F1529" s="5">
        <v>3403090</v>
      </c>
    </row>
    <row r="1530" spans="1:6" ht="20" x14ac:dyDescent="0.25">
      <c r="A1530" s="5">
        <v>3403090</v>
      </c>
      <c r="B1530" s="1">
        <v>2021</v>
      </c>
      <c r="C1530" s="1" t="s">
        <v>1387</v>
      </c>
      <c r="D1530" s="3" t="s">
        <v>794</v>
      </c>
      <c r="E1530" s="7">
        <v>1249162</v>
      </c>
      <c r="F1530" s="5">
        <v>3403090</v>
      </c>
    </row>
    <row r="1531" spans="1:6" ht="20" x14ac:dyDescent="0.25">
      <c r="A1531" s="5">
        <v>3403090</v>
      </c>
      <c r="B1531" s="1">
        <v>2022</v>
      </c>
      <c r="C1531" s="1" t="s">
        <v>1387</v>
      </c>
      <c r="D1531" s="2" t="s">
        <v>794</v>
      </c>
      <c r="E1531" s="7">
        <v>2070985</v>
      </c>
      <c r="F1531" s="5">
        <v>3403090</v>
      </c>
    </row>
    <row r="1532" spans="1:6" ht="20" x14ac:dyDescent="0.25">
      <c r="A1532" s="5">
        <v>3403090</v>
      </c>
      <c r="B1532" s="1">
        <v>2023</v>
      </c>
      <c r="C1532" s="1" t="s">
        <v>1387</v>
      </c>
      <c r="D1532" s="2" t="s">
        <v>794</v>
      </c>
      <c r="E1532" s="7">
        <v>2093232</v>
      </c>
      <c r="F1532" s="5">
        <v>3403090</v>
      </c>
    </row>
    <row r="1533" spans="1:6" x14ac:dyDescent="0.25">
      <c r="A1533" s="5">
        <v>3403120</v>
      </c>
      <c r="B1533" s="1">
        <v>2015</v>
      </c>
      <c r="C1533" s="1" t="s">
        <v>1387</v>
      </c>
      <c r="D1533" s="1" t="s">
        <v>114</v>
      </c>
      <c r="E1533" s="8">
        <v>909364</v>
      </c>
      <c r="F1533" s="5">
        <v>3403120</v>
      </c>
    </row>
    <row r="1534" spans="1:6" x14ac:dyDescent="0.25">
      <c r="A1534" s="5">
        <v>3403120</v>
      </c>
      <c r="B1534" s="1">
        <v>2016</v>
      </c>
      <c r="C1534" s="1" t="s">
        <v>1387</v>
      </c>
      <c r="D1534" s="1" t="s">
        <v>114</v>
      </c>
      <c r="E1534" s="8">
        <v>1373602</v>
      </c>
      <c r="F1534" s="5">
        <v>3403120</v>
      </c>
    </row>
    <row r="1535" spans="1:6" x14ac:dyDescent="0.25">
      <c r="A1535" s="5">
        <v>3403120</v>
      </c>
      <c r="B1535" s="1">
        <v>2017</v>
      </c>
      <c r="C1535" s="1" t="s">
        <v>1387</v>
      </c>
      <c r="D1535" s="1" t="s">
        <v>114</v>
      </c>
      <c r="E1535" s="8">
        <v>1921416</v>
      </c>
      <c r="F1535" s="5">
        <v>3403120</v>
      </c>
    </row>
    <row r="1536" spans="1:6" x14ac:dyDescent="0.25">
      <c r="A1536" s="5">
        <v>3403120</v>
      </c>
      <c r="B1536" s="1">
        <v>2018</v>
      </c>
      <c r="C1536" s="1" t="s">
        <v>1387</v>
      </c>
      <c r="D1536" s="1" t="s">
        <v>795</v>
      </c>
      <c r="E1536" s="8">
        <v>2678213</v>
      </c>
      <c r="F1536" s="5">
        <v>3403120</v>
      </c>
    </row>
    <row r="1537" spans="1:6" x14ac:dyDescent="0.25">
      <c r="A1537" s="5">
        <v>3403120</v>
      </c>
      <c r="B1537" s="1">
        <v>2019</v>
      </c>
      <c r="C1537" s="1" t="s">
        <v>1387</v>
      </c>
      <c r="D1537" s="1" t="s">
        <v>795</v>
      </c>
      <c r="E1537" s="8">
        <v>3672526</v>
      </c>
      <c r="F1537" s="5">
        <v>3403120</v>
      </c>
    </row>
    <row r="1538" spans="1:6" ht="20" x14ac:dyDescent="0.25">
      <c r="A1538" s="5">
        <v>3403120</v>
      </c>
      <c r="B1538" s="1">
        <v>2020</v>
      </c>
      <c r="C1538" s="1" t="s">
        <v>1387</v>
      </c>
      <c r="D1538" s="2" t="s">
        <v>795</v>
      </c>
      <c r="E1538" s="7">
        <v>4159158</v>
      </c>
      <c r="F1538" s="5">
        <v>3403120</v>
      </c>
    </row>
    <row r="1539" spans="1:6" ht="20" x14ac:dyDescent="0.25">
      <c r="A1539" s="5">
        <v>3403120</v>
      </c>
      <c r="B1539" s="1">
        <v>2021</v>
      </c>
      <c r="C1539" s="1" t="s">
        <v>1387</v>
      </c>
      <c r="D1539" s="3" t="s">
        <v>795</v>
      </c>
      <c r="E1539" s="7">
        <v>5347322</v>
      </c>
      <c r="F1539" s="5">
        <v>3403120</v>
      </c>
    </row>
    <row r="1540" spans="1:6" ht="20" x14ac:dyDescent="0.25">
      <c r="A1540" s="5">
        <v>3403120</v>
      </c>
      <c r="B1540" s="1">
        <v>2022</v>
      </c>
      <c r="C1540" s="1" t="s">
        <v>1387</v>
      </c>
      <c r="D1540" s="2" t="s">
        <v>795</v>
      </c>
      <c r="E1540" s="7">
        <v>7805373</v>
      </c>
      <c r="F1540" s="5">
        <v>3403120</v>
      </c>
    </row>
    <row r="1541" spans="1:6" ht="20" x14ac:dyDescent="0.25">
      <c r="A1541" s="5">
        <v>3403120</v>
      </c>
      <c r="B1541" s="1">
        <v>2023</v>
      </c>
      <c r="C1541" s="1" t="s">
        <v>1387</v>
      </c>
      <c r="D1541" s="2" t="s">
        <v>795</v>
      </c>
      <c r="E1541" s="7">
        <v>7924761</v>
      </c>
      <c r="F1541" s="5">
        <v>3403120</v>
      </c>
    </row>
    <row r="1542" spans="1:6" x14ac:dyDescent="0.25">
      <c r="A1542" s="5">
        <v>3403150</v>
      </c>
      <c r="B1542" s="1">
        <v>2015</v>
      </c>
      <c r="C1542" s="1" t="s">
        <v>1387</v>
      </c>
      <c r="D1542" s="1" t="s">
        <v>614</v>
      </c>
      <c r="E1542" s="8">
        <v>823098</v>
      </c>
      <c r="F1542" s="5">
        <v>3403150</v>
      </c>
    </row>
    <row r="1543" spans="1:6" x14ac:dyDescent="0.25">
      <c r="A1543" s="5">
        <v>3403150</v>
      </c>
      <c r="B1543" s="1">
        <v>2016</v>
      </c>
      <c r="C1543" s="1" t="s">
        <v>1387</v>
      </c>
      <c r="D1543" s="1" t="s">
        <v>614</v>
      </c>
      <c r="E1543" s="8">
        <v>1203991</v>
      </c>
      <c r="F1543" s="5">
        <v>3403150</v>
      </c>
    </row>
    <row r="1544" spans="1:6" x14ac:dyDescent="0.25">
      <c r="A1544" s="5">
        <v>3403150</v>
      </c>
      <c r="B1544" s="1">
        <v>2017</v>
      </c>
      <c r="C1544" s="1" t="s">
        <v>1387</v>
      </c>
      <c r="D1544" s="1" t="s">
        <v>614</v>
      </c>
      <c r="E1544" s="8">
        <v>1605551</v>
      </c>
      <c r="F1544" s="5">
        <v>3403150</v>
      </c>
    </row>
    <row r="1545" spans="1:6" x14ac:dyDescent="0.25">
      <c r="A1545" s="5">
        <v>3403150</v>
      </c>
      <c r="B1545" s="1">
        <v>2018</v>
      </c>
      <c r="C1545" s="1" t="s">
        <v>1387</v>
      </c>
      <c r="D1545" s="1" t="s">
        <v>1307</v>
      </c>
      <c r="E1545" s="8">
        <v>2167039</v>
      </c>
      <c r="F1545" s="5">
        <v>3403150</v>
      </c>
    </row>
    <row r="1546" spans="1:6" x14ac:dyDescent="0.25">
      <c r="A1546" s="5">
        <v>3403150</v>
      </c>
      <c r="B1546" s="1">
        <v>2019</v>
      </c>
      <c r="C1546" s="1" t="s">
        <v>1387</v>
      </c>
      <c r="D1546" s="1" t="s">
        <v>1307</v>
      </c>
      <c r="E1546" s="8">
        <v>2913646</v>
      </c>
      <c r="F1546" s="5">
        <v>3403150</v>
      </c>
    </row>
    <row r="1547" spans="1:6" ht="20" x14ac:dyDescent="0.25">
      <c r="A1547" s="5">
        <v>3403150</v>
      </c>
      <c r="B1547" s="1">
        <v>2020</v>
      </c>
      <c r="C1547" s="1" t="s">
        <v>1387</v>
      </c>
      <c r="D1547" s="2" t="s">
        <v>1307</v>
      </c>
      <c r="E1547" s="7">
        <v>3355323</v>
      </c>
      <c r="F1547" s="5">
        <v>3403150</v>
      </c>
    </row>
    <row r="1548" spans="1:6" ht="20" x14ac:dyDescent="0.25">
      <c r="A1548" s="5">
        <v>3403150</v>
      </c>
      <c r="B1548" s="1">
        <v>2021</v>
      </c>
      <c r="C1548" s="1" t="s">
        <v>1387</v>
      </c>
      <c r="D1548" s="3" t="s">
        <v>1307</v>
      </c>
      <c r="E1548" s="7">
        <v>4242059</v>
      </c>
      <c r="F1548" s="5">
        <v>3403150</v>
      </c>
    </row>
    <row r="1549" spans="1:6" ht="20" x14ac:dyDescent="0.25">
      <c r="A1549" s="5">
        <v>3403150</v>
      </c>
      <c r="B1549" s="1">
        <v>2022</v>
      </c>
      <c r="C1549" s="1" t="s">
        <v>1387</v>
      </c>
      <c r="D1549" s="2" t="s">
        <v>1307</v>
      </c>
      <c r="E1549" s="7">
        <v>5946629</v>
      </c>
      <c r="F1549" s="5">
        <v>3403150</v>
      </c>
    </row>
    <row r="1550" spans="1:6" ht="20" x14ac:dyDescent="0.25">
      <c r="A1550" s="5">
        <v>3403150</v>
      </c>
      <c r="B1550" s="1">
        <v>2023</v>
      </c>
      <c r="C1550" s="1" t="s">
        <v>1387</v>
      </c>
      <c r="D1550" s="2" t="s">
        <v>1307</v>
      </c>
      <c r="E1550" s="7">
        <v>5833027</v>
      </c>
      <c r="F1550" s="5">
        <v>3403150</v>
      </c>
    </row>
    <row r="1551" spans="1:6" x14ac:dyDescent="0.25">
      <c r="A1551" s="5">
        <v>3403180</v>
      </c>
      <c r="B1551" s="1">
        <v>2015</v>
      </c>
      <c r="C1551" s="1" t="s">
        <v>1387</v>
      </c>
      <c r="D1551" s="1" t="s">
        <v>272</v>
      </c>
      <c r="E1551" s="8">
        <v>434622</v>
      </c>
      <c r="F1551" s="5">
        <v>3403180</v>
      </c>
    </row>
    <row r="1552" spans="1:6" x14ac:dyDescent="0.25">
      <c r="A1552" s="5">
        <v>3403180</v>
      </c>
      <c r="B1552" s="1">
        <v>2016</v>
      </c>
      <c r="C1552" s="1" t="s">
        <v>1387</v>
      </c>
      <c r="D1552" s="1" t="s">
        <v>272</v>
      </c>
      <c r="E1552" s="8">
        <v>642775</v>
      </c>
      <c r="F1552" s="5">
        <v>3403180</v>
      </c>
    </row>
    <row r="1553" spans="1:6" x14ac:dyDescent="0.25">
      <c r="A1553" s="5">
        <v>3403180</v>
      </c>
      <c r="B1553" s="1">
        <v>2017</v>
      </c>
      <c r="C1553" s="1" t="s">
        <v>1387</v>
      </c>
      <c r="D1553" s="1" t="s">
        <v>272</v>
      </c>
      <c r="E1553" s="8">
        <v>921350</v>
      </c>
      <c r="F1553" s="5">
        <v>3403180</v>
      </c>
    </row>
    <row r="1554" spans="1:6" x14ac:dyDescent="0.25">
      <c r="A1554" s="5">
        <v>3403180</v>
      </c>
      <c r="B1554" s="1">
        <v>2018</v>
      </c>
      <c r="C1554" s="1" t="s">
        <v>1387</v>
      </c>
      <c r="D1554" s="1" t="s">
        <v>962</v>
      </c>
      <c r="E1554" s="8">
        <v>1250851</v>
      </c>
      <c r="F1554" s="5">
        <v>3403180</v>
      </c>
    </row>
    <row r="1555" spans="1:6" x14ac:dyDescent="0.25">
      <c r="A1555" s="5">
        <v>3403180</v>
      </c>
      <c r="B1555" s="1">
        <v>2019</v>
      </c>
      <c r="C1555" s="1" t="s">
        <v>1387</v>
      </c>
      <c r="D1555" s="1" t="s">
        <v>962</v>
      </c>
      <c r="E1555" s="8">
        <v>1585808</v>
      </c>
      <c r="F1555" s="5">
        <v>3403180</v>
      </c>
    </row>
    <row r="1556" spans="1:6" ht="20" x14ac:dyDescent="0.25">
      <c r="A1556" s="5">
        <v>3403180</v>
      </c>
      <c r="B1556" s="1">
        <v>2020</v>
      </c>
      <c r="C1556" s="1" t="s">
        <v>1387</v>
      </c>
      <c r="D1556" s="2" t="s">
        <v>962</v>
      </c>
      <c r="E1556" s="7">
        <v>1867709</v>
      </c>
      <c r="F1556" s="5">
        <v>3403180</v>
      </c>
    </row>
    <row r="1557" spans="1:6" ht="20" x14ac:dyDescent="0.25">
      <c r="A1557" s="5">
        <v>3403180</v>
      </c>
      <c r="B1557" s="1">
        <v>2021</v>
      </c>
      <c r="C1557" s="1" t="s">
        <v>1387</v>
      </c>
      <c r="D1557" s="3" t="s">
        <v>962</v>
      </c>
      <c r="E1557" s="7">
        <v>2535861</v>
      </c>
      <c r="F1557" s="5">
        <v>3403180</v>
      </c>
    </row>
    <row r="1558" spans="1:6" ht="20" x14ac:dyDescent="0.25">
      <c r="A1558" s="5">
        <v>3403180</v>
      </c>
      <c r="B1558" s="1">
        <v>2022</v>
      </c>
      <c r="C1558" s="1" t="s">
        <v>1387</v>
      </c>
      <c r="D1558" s="2" t="s">
        <v>962</v>
      </c>
      <c r="E1558" s="7">
        <v>3720400</v>
      </c>
      <c r="F1558" s="5">
        <v>3403180</v>
      </c>
    </row>
    <row r="1559" spans="1:6" ht="20" x14ac:dyDescent="0.25">
      <c r="A1559" s="5">
        <v>3403180</v>
      </c>
      <c r="B1559" s="1">
        <v>2023</v>
      </c>
      <c r="C1559" s="1" t="s">
        <v>1387</v>
      </c>
      <c r="D1559" s="2" t="s">
        <v>962</v>
      </c>
      <c r="E1559" s="7">
        <v>3582183</v>
      </c>
      <c r="F1559" s="5">
        <v>3403180</v>
      </c>
    </row>
    <row r="1560" spans="1:6" x14ac:dyDescent="0.25">
      <c r="A1560" s="5">
        <v>3403210</v>
      </c>
      <c r="B1560" s="1">
        <v>2015</v>
      </c>
      <c r="C1560" s="1" t="s">
        <v>1387</v>
      </c>
      <c r="D1560" s="1" t="s">
        <v>273</v>
      </c>
      <c r="E1560" s="8">
        <v>719232</v>
      </c>
      <c r="F1560" s="5">
        <v>3403210</v>
      </c>
    </row>
    <row r="1561" spans="1:6" x14ac:dyDescent="0.25">
      <c r="A1561" s="5">
        <v>3403210</v>
      </c>
      <c r="B1561" s="1">
        <v>2016</v>
      </c>
      <c r="C1561" s="1" t="s">
        <v>1387</v>
      </c>
      <c r="D1561" s="1" t="s">
        <v>273</v>
      </c>
      <c r="E1561" s="8">
        <v>1108781</v>
      </c>
      <c r="F1561" s="5">
        <v>3403210</v>
      </c>
    </row>
    <row r="1562" spans="1:6" x14ac:dyDescent="0.25">
      <c r="A1562" s="5">
        <v>3403210</v>
      </c>
      <c r="B1562" s="1">
        <v>2017</v>
      </c>
      <c r="C1562" s="1" t="s">
        <v>1387</v>
      </c>
      <c r="D1562" s="1" t="s">
        <v>273</v>
      </c>
      <c r="E1562" s="8">
        <v>1542464</v>
      </c>
      <c r="F1562" s="5">
        <v>3403210</v>
      </c>
    </row>
    <row r="1563" spans="1:6" x14ac:dyDescent="0.25">
      <c r="A1563" s="5">
        <v>3403210</v>
      </c>
      <c r="B1563" s="1">
        <v>2018</v>
      </c>
      <c r="C1563" s="1" t="s">
        <v>1387</v>
      </c>
      <c r="D1563" s="1" t="s">
        <v>963</v>
      </c>
      <c r="E1563" s="8">
        <v>2100540</v>
      </c>
      <c r="F1563" s="5">
        <v>3403210</v>
      </c>
    </row>
    <row r="1564" spans="1:6" x14ac:dyDescent="0.25">
      <c r="A1564" s="5">
        <v>3403210</v>
      </c>
      <c r="B1564" s="1">
        <v>2019</v>
      </c>
      <c r="C1564" s="1" t="s">
        <v>1387</v>
      </c>
      <c r="D1564" s="1" t="s">
        <v>963</v>
      </c>
      <c r="E1564" s="8">
        <v>2753752</v>
      </c>
      <c r="F1564" s="5">
        <v>3403210</v>
      </c>
    </row>
    <row r="1565" spans="1:6" ht="20" x14ac:dyDescent="0.25">
      <c r="A1565" s="5">
        <v>3403210</v>
      </c>
      <c r="B1565" s="1">
        <v>2020</v>
      </c>
      <c r="C1565" s="1" t="s">
        <v>1387</v>
      </c>
      <c r="D1565" s="2" t="s">
        <v>963</v>
      </c>
      <c r="E1565" s="7">
        <v>3147145</v>
      </c>
      <c r="F1565" s="5">
        <v>3403210</v>
      </c>
    </row>
    <row r="1566" spans="1:6" ht="20" x14ac:dyDescent="0.25">
      <c r="A1566" s="5">
        <v>3403210</v>
      </c>
      <c r="B1566" s="1">
        <v>2021</v>
      </c>
      <c r="C1566" s="1" t="s">
        <v>1387</v>
      </c>
      <c r="D1566" s="3" t="s">
        <v>963</v>
      </c>
      <c r="E1566" s="7">
        <v>4049229</v>
      </c>
      <c r="F1566" s="5">
        <v>3403210</v>
      </c>
    </row>
    <row r="1567" spans="1:6" ht="20" x14ac:dyDescent="0.25">
      <c r="A1567" s="5">
        <v>3403210</v>
      </c>
      <c r="B1567" s="1">
        <v>2022</v>
      </c>
      <c r="C1567" s="1" t="s">
        <v>1387</v>
      </c>
      <c r="D1567" s="2" t="s">
        <v>963</v>
      </c>
      <c r="E1567" s="7">
        <v>5709783</v>
      </c>
      <c r="F1567" s="5">
        <v>3403210</v>
      </c>
    </row>
    <row r="1568" spans="1:6" ht="20" x14ac:dyDescent="0.25">
      <c r="A1568" s="5">
        <v>3403210</v>
      </c>
      <c r="B1568" s="1">
        <v>2023</v>
      </c>
      <c r="C1568" s="1" t="s">
        <v>1387</v>
      </c>
      <c r="D1568" s="2" t="s">
        <v>963</v>
      </c>
      <c r="E1568" s="7">
        <v>5748392</v>
      </c>
      <c r="F1568" s="5">
        <v>3403210</v>
      </c>
    </row>
    <row r="1569" spans="1:6" x14ac:dyDescent="0.25">
      <c r="A1569" s="5">
        <v>3403240</v>
      </c>
      <c r="B1569" s="1">
        <v>2015</v>
      </c>
      <c r="C1569" s="1" t="s">
        <v>1387</v>
      </c>
      <c r="D1569" s="1" t="s">
        <v>163</v>
      </c>
      <c r="E1569" s="8">
        <v>183530</v>
      </c>
      <c r="F1569" s="5">
        <v>3403240</v>
      </c>
    </row>
    <row r="1570" spans="1:6" x14ac:dyDescent="0.25">
      <c r="A1570" s="5">
        <v>3403240</v>
      </c>
      <c r="B1570" s="1">
        <v>2016</v>
      </c>
      <c r="C1570" s="1" t="s">
        <v>1387</v>
      </c>
      <c r="D1570" s="1" t="s">
        <v>163</v>
      </c>
      <c r="E1570" s="8">
        <v>256313</v>
      </c>
      <c r="F1570" s="5">
        <v>3403240</v>
      </c>
    </row>
    <row r="1571" spans="1:6" x14ac:dyDescent="0.25">
      <c r="A1571" s="5">
        <v>3403240</v>
      </c>
      <c r="B1571" s="1">
        <v>2017</v>
      </c>
      <c r="C1571" s="1" t="s">
        <v>1387</v>
      </c>
      <c r="D1571" s="1" t="s">
        <v>163</v>
      </c>
      <c r="E1571" s="8">
        <v>339453</v>
      </c>
      <c r="F1571" s="5">
        <v>3403240</v>
      </c>
    </row>
    <row r="1572" spans="1:6" x14ac:dyDescent="0.25">
      <c r="A1572" s="5">
        <v>3403240</v>
      </c>
      <c r="B1572" s="1">
        <v>2018</v>
      </c>
      <c r="C1572" s="1" t="s">
        <v>1387</v>
      </c>
      <c r="D1572" s="1" t="s">
        <v>846</v>
      </c>
      <c r="E1572" s="8">
        <v>508474</v>
      </c>
      <c r="F1572" s="5">
        <v>3403240</v>
      </c>
    </row>
    <row r="1573" spans="1:6" x14ac:dyDescent="0.25">
      <c r="A1573" s="5">
        <v>3403240</v>
      </c>
      <c r="B1573" s="1">
        <v>2019</v>
      </c>
      <c r="C1573" s="1" t="s">
        <v>1387</v>
      </c>
      <c r="D1573" s="1" t="s">
        <v>846</v>
      </c>
      <c r="E1573" s="8">
        <v>678583</v>
      </c>
      <c r="F1573" s="5">
        <v>3403240</v>
      </c>
    </row>
    <row r="1574" spans="1:6" ht="20" x14ac:dyDescent="0.25">
      <c r="A1574" s="5">
        <v>3403240</v>
      </c>
      <c r="B1574" s="1">
        <v>2020</v>
      </c>
      <c r="C1574" s="1" t="s">
        <v>1387</v>
      </c>
      <c r="D1574" s="2" t="s">
        <v>846</v>
      </c>
      <c r="E1574" s="7">
        <v>721910</v>
      </c>
      <c r="F1574" s="5">
        <v>3403240</v>
      </c>
    </row>
    <row r="1575" spans="1:6" ht="20" x14ac:dyDescent="0.25">
      <c r="A1575" s="5">
        <v>3403240</v>
      </c>
      <c r="B1575" s="1">
        <v>2021</v>
      </c>
      <c r="C1575" s="1" t="s">
        <v>1387</v>
      </c>
      <c r="D1575" s="3" t="s">
        <v>846</v>
      </c>
      <c r="E1575" s="7">
        <v>931050</v>
      </c>
      <c r="F1575" s="5">
        <v>3403240</v>
      </c>
    </row>
    <row r="1576" spans="1:6" ht="20" x14ac:dyDescent="0.25">
      <c r="A1576" s="5">
        <v>3403240</v>
      </c>
      <c r="B1576" s="1">
        <v>2022</v>
      </c>
      <c r="C1576" s="1" t="s">
        <v>1387</v>
      </c>
      <c r="D1576" s="2" t="s">
        <v>846</v>
      </c>
      <c r="E1576" s="7">
        <v>1322704</v>
      </c>
      <c r="F1576" s="5">
        <v>3403240</v>
      </c>
    </row>
    <row r="1577" spans="1:6" ht="20" x14ac:dyDescent="0.25">
      <c r="A1577" s="5">
        <v>3403240</v>
      </c>
      <c r="B1577" s="1">
        <v>2023</v>
      </c>
      <c r="C1577" s="1" t="s">
        <v>1387</v>
      </c>
      <c r="D1577" s="2" t="s">
        <v>846</v>
      </c>
      <c r="E1577" s="7">
        <v>1479060</v>
      </c>
      <c r="F1577" s="5">
        <v>3403240</v>
      </c>
    </row>
    <row r="1578" spans="1:6" x14ac:dyDescent="0.25">
      <c r="A1578" s="5">
        <v>3403270</v>
      </c>
      <c r="B1578" s="1">
        <v>2015</v>
      </c>
      <c r="C1578" s="1" t="s">
        <v>1387</v>
      </c>
      <c r="D1578" s="1" t="s">
        <v>36</v>
      </c>
      <c r="E1578" s="8">
        <v>959045</v>
      </c>
      <c r="F1578" s="5">
        <v>3403270</v>
      </c>
    </row>
    <row r="1579" spans="1:6" x14ac:dyDescent="0.25">
      <c r="A1579" s="5">
        <v>3403270</v>
      </c>
      <c r="B1579" s="1">
        <v>2016</v>
      </c>
      <c r="C1579" s="1" t="s">
        <v>1387</v>
      </c>
      <c r="D1579" s="1" t="s">
        <v>36</v>
      </c>
      <c r="E1579" s="8">
        <v>1467986</v>
      </c>
      <c r="F1579" s="5">
        <v>3403270</v>
      </c>
    </row>
    <row r="1580" spans="1:6" x14ac:dyDescent="0.25">
      <c r="A1580" s="5">
        <v>3403270</v>
      </c>
      <c r="B1580" s="1">
        <v>2017</v>
      </c>
      <c r="C1580" s="1" t="s">
        <v>1387</v>
      </c>
      <c r="D1580" s="1" t="s">
        <v>36</v>
      </c>
      <c r="E1580" s="8">
        <v>2097324</v>
      </c>
      <c r="F1580" s="5">
        <v>3403270</v>
      </c>
    </row>
    <row r="1581" spans="1:6" x14ac:dyDescent="0.25">
      <c r="A1581" s="5">
        <v>3403270</v>
      </c>
      <c r="B1581" s="1">
        <v>2018</v>
      </c>
      <c r="C1581" s="1" t="s">
        <v>1387</v>
      </c>
      <c r="D1581" s="1" t="s">
        <v>714</v>
      </c>
      <c r="E1581" s="8">
        <v>2781331</v>
      </c>
      <c r="F1581" s="5">
        <v>3403270</v>
      </c>
    </row>
    <row r="1582" spans="1:6" x14ac:dyDescent="0.25">
      <c r="A1582" s="5">
        <v>3403270</v>
      </c>
      <c r="B1582" s="1">
        <v>2019</v>
      </c>
      <c r="C1582" s="1" t="s">
        <v>1387</v>
      </c>
      <c r="D1582" s="1" t="s">
        <v>714</v>
      </c>
      <c r="E1582" s="8">
        <v>3930610</v>
      </c>
      <c r="F1582" s="5">
        <v>3403270</v>
      </c>
    </row>
    <row r="1583" spans="1:6" ht="20" x14ac:dyDescent="0.25">
      <c r="A1583" s="5">
        <v>3403270</v>
      </c>
      <c r="B1583" s="1">
        <v>2020</v>
      </c>
      <c r="C1583" s="1" t="s">
        <v>1387</v>
      </c>
      <c r="D1583" s="2" t="s">
        <v>714</v>
      </c>
      <c r="E1583" s="7">
        <v>4463984</v>
      </c>
      <c r="F1583" s="5">
        <v>3403270</v>
      </c>
    </row>
    <row r="1584" spans="1:6" ht="20" x14ac:dyDescent="0.25">
      <c r="A1584" s="5">
        <v>3403270</v>
      </c>
      <c r="B1584" s="1">
        <v>2021</v>
      </c>
      <c r="C1584" s="1" t="s">
        <v>1387</v>
      </c>
      <c r="D1584" s="3" t="s">
        <v>714</v>
      </c>
      <c r="E1584" s="7">
        <v>5521244</v>
      </c>
      <c r="F1584" s="5">
        <v>3403270</v>
      </c>
    </row>
    <row r="1585" spans="1:6" ht="20" x14ac:dyDescent="0.25">
      <c r="A1585" s="5">
        <v>3403270</v>
      </c>
      <c r="B1585" s="1">
        <v>2022</v>
      </c>
      <c r="C1585" s="1" t="s">
        <v>1387</v>
      </c>
      <c r="D1585" s="2" t="s">
        <v>714</v>
      </c>
      <c r="E1585" s="7">
        <v>8201904</v>
      </c>
      <c r="F1585" s="5">
        <v>3403270</v>
      </c>
    </row>
    <row r="1586" spans="1:6" ht="20" x14ac:dyDescent="0.25">
      <c r="A1586" s="5">
        <v>3403270</v>
      </c>
      <c r="B1586" s="1">
        <v>2023</v>
      </c>
      <c r="C1586" s="1" t="s">
        <v>1387</v>
      </c>
      <c r="D1586" s="2" t="s">
        <v>714</v>
      </c>
      <c r="E1586" s="7">
        <v>8664822</v>
      </c>
      <c r="F1586" s="5">
        <v>3403270</v>
      </c>
    </row>
    <row r="1587" spans="1:6" x14ac:dyDescent="0.25">
      <c r="A1587" s="5">
        <v>3403300</v>
      </c>
      <c r="B1587" s="1">
        <v>2015</v>
      </c>
      <c r="C1587" s="1" t="s">
        <v>1387</v>
      </c>
      <c r="D1587" s="1" t="s">
        <v>525</v>
      </c>
      <c r="E1587" s="8">
        <v>3652017</v>
      </c>
      <c r="F1587" s="5">
        <v>3403300</v>
      </c>
    </row>
    <row r="1588" spans="1:6" x14ac:dyDescent="0.25">
      <c r="A1588" s="5">
        <v>3403300</v>
      </c>
      <c r="B1588" s="1">
        <v>2016</v>
      </c>
      <c r="C1588" s="1" t="s">
        <v>1387</v>
      </c>
      <c r="D1588" s="1" t="s">
        <v>525</v>
      </c>
      <c r="E1588" s="8">
        <v>5560198</v>
      </c>
      <c r="F1588" s="5">
        <v>3403300</v>
      </c>
    </row>
    <row r="1589" spans="1:6" x14ac:dyDescent="0.25">
      <c r="A1589" s="5">
        <v>3403300</v>
      </c>
      <c r="B1589" s="1">
        <v>2017</v>
      </c>
      <c r="C1589" s="1" t="s">
        <v>1387</v>
      </c>
      <c r="D1589" s="1" t="s">
        <v>525</v>
      </c>
      <c r="E1589" s="8">
        <v>7829695</v>
      </c>
      <c r="F1589" s="5">
        <v>3403300</v>
      </c>
    </row>
    <row r="1590" spans="1:6" x14ac:dyDescent="0.25">
      <c r="A1590" s="5">
        <v>3403300</v>
      </c>
      <c r="B1590" s="1">
        <v>2018</v>
      </c>
      <c r="C1590" s="1" t="s">
        <v>1387</v>
      </c>
      <c r="D1590" s="1" t="s">
        <v>1217</v>
      </c>
      <c r="E1590" s="8">
        <v>10274017</v>
      </c>
      <c r="F1590" s="5">
        <v>3403300</v>
      </c>
    </row>
    <row r="1591" spans="1:6" x14ac:dyDescent="0.25">
      <c r="A1591" s="5">
        <v>3403300</v>
      </c>
      <c r="B1591" s="1">
        <v>2019</v>
      </c>
      <c r="C1591" s="1" t="s">
        <v>1387</v>
      </c>
      <c r="D1591" s="1" t="s">
        <v>1217</v>
      </c>
      <c r="E1591" s="8">
        <v>13794803</v>
      </c>
      <c r="F1591" s="5">
        <v>3403300</v>
      </c>
    </row>
    <row r="1592" spans="1:6" ht="20" x14ac:dyDescent="0.25">
      <c r="A1592" s="5">
        <v>3403300</v>
      </c>
      <c r="B1592" s="1">
        <v>2020</v>
      </c>
      <c r="C1592" s="1" t="s">
        <v>1387</v>
      </c>
      <c r="D1592" s="2" t="s">
        <v>1217</v>
      </c>
      <c r="E1592" s="7">
        <v>15707467</v>
      </c>
      <c r="F1592" s="5">
        <v>3403300</v>
      </c>
    </row>
    <row r="1593" spans="1:6" ht="20" x14ac:dyDescent="0.25">
      <c r="A1593" s="5">
        <v>3403300</v>
      </c>
      <c r="B1593" s="1">
        <v>2021</v>
      </c>
      <c r="C1593" s="1" t="s">
        <v>1387</v>
      </c>
      <c r="D1593" s="3" t="s">
        <v>1217</v>
      </c>
      <c r="E1593" s="7">
        <v>20482816</v>
      </c>
      <c r="F1593" s="5">
        <v>3403300</v>
      </c>
    </row>
    <row r="1594" spans="1:6" ht="20" x14ac:dyDescent="0.25">
      <c r="A1594" s="5">
        <v>3403300</v>
      </c>
      <c r="B1594" s="1">
        <v>2022</v>
      </c>
      <c r="C1594" s="1" t="s">
        <v>1387</v>
      </c>
      <c r="D1594" s="2" t="s">
        <v>1217</v>
      </c>
      <c r="E1594" s="7">
        <v>29629683</v>
      </c>
      <c r="F1594" s="5">
        <v>3403300</v>
      </c>
    </row>
    <row r="1595" spans="1:6" ht="20" x14ac:dyDescent="0.25">
      <c r="A1595" s="5">
        <v>3403300</v>
      </c>
      <c r="B1595" s="1">
        <v>2023</v>
      </c>
      <c r="C1595" s="1" t="s">
        <v>1387</v>
      </c>
      <c r="D1595" s="2" t="s">
        <v>1217</v>
      </c>
      <c r="E1595" s="7">
        <v>28752084</v>
      </c>
      <c r="F1595" s="5">
        <v>3403300</v>
      </c>
    </row>
    <row r="1596" spans="1:6" x14ac:dyDescent="0.25">
      <c r="A1596" s="5">
        <v>3403330</v>
      </c>
      <c r="B1596" s="1">
        <v>2015</v>
      </c>
      <c r="C1596" s="1" t="s">
        <v>1387</v>
      </c>
      <c r="D1596" s="1" t="s">
        <v>329</v>
      </c>
      <c r="E1596" s="8">
        <v>184024</v>
      </c>
      <c r="F1596" s="5">
        <v>3403330</v>
      </c>
    </row>
    <row r="1597" spans="1:6" x14ac:dyDescent="0.25">
      <c r="A1597" s="5">
        <v>3403330</v>
      </c>
      <c r="B1597" s="1">
        <v>2016</v>
      </c>
      <c r="C1597" s="1" t="s">
        <v>1387</v>
      </c>
      <c r="D1597" s="1" t="s">
        <v>329</v>
      </c>
      <c r="E1597" s="8">
        <v>277236</v>
      </c>
      <c r="F1597" s="5">
        <v>3403330</v>
      </c>
    </row>
    <row r="1598" spans="1:6" x14ac:dyDescent="0.25">
      <c r="A1598" s="5">
        <v>3403330</v>
      </c>
      <c r="B1598" s="1">
        <v>2017</v>
      </c>
      <c r="C1598" s="1" t="s">
        <v>1387</v>
      </c>
      <c r="D1598" s="1" t="s">
        <v>329</v>
      </c>
      <c r="E1598" s="8">
        <v>400794</v>
      </c>
      <c r="F1598" s="5">
        <v>3403330</v>
      </c>
    </row>
    <row r="1599" spans="1:6" x14ac:dyDescent="0.25">
      <c r="A1599" s="5">
        <v>3403330</v>
      </c>
      <c r="B1599" s="1">
        <v>2018</v>
      </c>
      <c r="C1599" s="1" t="s">
        <v>1387</v>
      </c>
      <c r="D1599" s="1" t="s">
        <v>1022</v>
      </c>
      <c r="E1599" s="8">
        <v>568560</v>
      </c>
      <c r="F1599" s="5">
        <v>3403330</v>
      </c>
    </row>
    <row r="1600" spans="1:6" x14ac:dyDescent="0.25">
      <c r="A1600" s="5">
        <v>3403330</v>
      </c>
      <c r="B1600" s="1">
        <v>2019</v>
      </c>
      <c r="C1600" s="1" t="s">
        <v>1387</v>
      </c>
      <c r="D1600" s="1" t="s">
        <v>1022</v>
      </c>
      <c r="E1600" s="8">
        <v>728313</v>
      </c>
      <c r="F1600" s="5">
        <v>3403330</v>
      </c>
    </row>
    <row r="1601" spans="1:6" ht="20" x14ac:dyDescent="0.25">
      <c r="A1601" s="5">
        <v>3403330</v>
      </c>
      <c r="B1601" s="1">
        <v>2020</v>
      </c>
      <c r="C1601" s="1" t="s">
        <v>1387</v>
      </c>
      <c r="D1601" s="2" t="s">
        <v>1022</v>
      </c>
      <c r="E1601" s="7">
        <v>826668</v>
      </c>
      <c r="F1601" s="5">
        <v>3403330</v>
      </c>
    </row>
    <row r="1602" spans="1:6" ht="20" x14ac:dyDescent="0.25">
      <c r="A1602" s="5">
        <v>3403330</v>
      </c>
      <c r="B1602" s="1">
        <v>2021</v>
      </c>
      <c r="C1602" s="1" t="s">
        <v>1387</v>
      </c>
      <c r="D1602" s="3" t="s">
        <v>1022</v>
      </c>
      <c r="E1602" s="7">
        <v>1059932</v>
      </c>
      <c r="F1602" s="5">
        <v>3403330</v>
      </c>
    </row>
    <row r="1603" spans="1:6" ht="20" x14ac:dyDescent="0.25">
      <c r="A1603" s="5">
        <v>3403330</v>
      </c>
      <c r="B1603" s="1">
        <v>2022</v>
      </c>
      <c r="C1603" s="1" t="s">
        <v>1387</v>
      </c>
      <c r="D1603" s="2" t="s">
        <v>1022</v>
      </c>
      <c r="E1603" s="7">
        <v>1473318</v>
      </c>
      <c r="F1603" s="5">
        <v>3403330</v>
      </c>
    </row>
    <row r="1604" spans="1:6" ht="20" x14ac:dyDescent="0.25">
      <c r="A1604" s="5">
        <v>3403330</v>
      </c>
      <c r="B1604" s="1">
        <v>2023</v>
      </c>
      <c r="C1604" s="1" t="s">
        <v>1387</v>
      </c>
      <c r="D1604" s="2" t="s">
        <v>1022</v>
      </c>
      <c r="E1604" s="7">
        <v>1505761</v>
      </c>
      <c r="F1604" s="5">
        <v>3403330</v>
      </c>
    </row>
    <row r="1605" spans="1:6" x14ac:dyDescent="0.25">
      <c r="A1605" s="5">
        <v>3403360</v>
      </c>
      <c r="B1605" s="1">
        <v>2015</v>
      </c>
      <c r="C1605" s="1" t="s">
        <v>1387</v>
      </c>
      <c r="D1605" s="1" t="s">
        <v>330</v>
      </c>
      <c r="E1605" s="8">
        <v>630896</v>
      </c>
      <c r="F1605" s="5">
        <v>3403360</v>
      </c>
    </row>
    <row r="1606" spans="1:6" x14ac:dyDescent="0.25">
      <c r="A1606" s="5">
        <v>3403360</v>
      </c>
      <c r="B1606" s="1">
        <v>2016</v>
      </c>
      <c r="C1606" s="1" t="s">
        <v>1387</v>
      </c>
      <c r="D1606" s="1" t="s">
        <v>330</v>
      </c>
      <c r="E1606" s="8">
        <v>954617</v>
      </c>
      <c r="F1606" s="5">
        <v>3403360</v>
      </c>
    </row>
    <row r="1607" spans="1:6" x14ac:dyDescent="0.25">
      <c r="A1607" s="5">
        <v>3403360</v>
      </c>
      <c r="B1607" s="1">
        <v>2017</v>
      </c>
      <c r="C1607" s="1" t="s">
        <v>1387</v>
      </c>
      <c r="D1607" s="1" t="s">
        <v>330</v>
      </c>
      <c r="E1607" s="8">
        <v>1247967</v>
      </c>
      <c r="F1607" s="5">
        <v>3403360</v>
      </c>
    </row>
    <row r="1608" spans="1:6" x14ac:dyDescent="0.25">
      <c r="A1608" s="5">
        <v>3403360</v>
      </c>
      <c r="B1608" s="1">
        <v>2018</v>
      </c>
      <c r="C1608" s="1" t="s">
        <v>1387</v>
      </c>
      <c r="D1608" s="1" t="s">
        <v>1023</v>
      </c>
      <c r="E1608" s="8">
        <v>1641107</v>
      </c>
      <c r="F1608" s="5">
        <v>3403360</v>
      </c>
    </row>
    <row r="1609" spans="1:6" x14ac:dyDescent="0.25">
      <c r="A1609" s="5">
        <v>3403360</v>
      </c>
      <c r="B1609" s="1">
        <v>2019</v>
      </c>
      <c r="C1609" s="1" t="s">
        <v>1387</v>
      </c>
      <c r="D1609" s="1" t="s">
        <v>1023</v>
      </c>
      <c r="E1609" s="8">
        <v>2242759</v>
      </c>
      <c r="F1609" s="5">
        <v>3403360</v>
      </c>
    </row>
    <row r="1610" spans="1:6" ht="20" x14ac:dyDescent="0.25">
      <c r="A1610" s="5">
        <v>3403360</v>
      </c>
      <c r="B1610" s="1">
        <v>2020</v>
      </c>
      <c r="C1610" s="1" t="s">
        <v>1387</v>
      </c>
      <c r="D1610" s="2" t="s">
        <v>1023</v>
      </c>
      <c r="E1610" s="7">
        <v>2421798</v>
      </c>
      <c r="F1610" s="5">
        <v>3403360</v>
      </c>
    </row>
    <row r="1611" spans="1:6" ht="20" x14ac:dyDescent="0.25">
      <c r="A1611" s="5">
        <v>3403360</v>
      </c>
      <c r="B1611" s="1">
        <v>2021</v>
      </c>
      <c r="C1611" s="1" t="s">
        <v>1387</v>
      </c>
      <c r="D1611" s="3" t="s">
        <v>1023</v>
      </c>
      <c r="E1611" s="7">
        <v>2895219</v>
      </c>
      <c r="F1611" s="5">
        <v>3403360</v>
      </c>
    </row>
    <row r="1612" spans="1:6" ht="20" x14ac:dyDescent="0.25">
      <c r="A1612" s="5">
        <v>3403360</v>
      </c>
      <c r="B1612" s="1">
        <v>2022</v>
      </c>
      <c r="C1612" s="1" t="s">
        <v>1387</v>
      </c>
      <c r="D1612" s="2" t="s">
        <v>1023</v>
      </c>
      <c r="E1612" s="7">
        <v>3940020</v>
      </c>
      <c r="F1612" s="5">
        <v>3403360</v>
      </c>
    </row>
    <row r="1613" spans="1:6" ht="20" x14ac:dyDescent="0.25">
      <c r="A1613" s="5">
        <v>3403360</v>
      </c>
      <c r="B1613" s="1">
        <v>2023</v>
      </c>
      <c r="C1613" s="1" t="s">
        <v>1387</v>
      </c>
      <c r="D1613" s="2" t="s">
        <v>1023</v>
      </c>
      <c r="E1613" s="7">
        <v>4445601</v>
      </c>
      <c r="F1613" s="5">
        <v>3403360</v>
      </c>
    </row>
    <row r="1614" spans="1:6" x14ac:dyDescent="0.25">
      <c r="A1614" s="5">
        <v>3403390</v>
      </c>
      <c r="B1614" s="1">
        <v>2015</v>
      </c>
      <c r="C1614" s="1" t="s">
        <v>1387</v>
      </c>
      <c r="D1614" s="1" t="s">
        <v>37</v>
      </c>
      <c r="E1614" s="8">
        <v>489882</v>
      </c>
      <c r="F1614" s="5">
        <v>3403390</v>
      </c>
    </row>
    <row r="1615" spans="1:6" x14ac:dyDescent="0.25">
      <c r="A1615" s="5">
        <v>3403390</v>
      </c>
      <c r="B1615" s="1">
        <v>2016</v>
      </c>
      <c r="C1615" s="1" t="s">
        <v>1387</v>
      </c>
      <c r="D1615" s="1" t="s">
        <v>37</v>
      </c>
      <c r="E1615" s="8">
        <v>741910</v>
      </c>
      <c r="F1615" s="5">
        <v>3403390</v>
      </c>
    </row>
    <row r="1616" spans="1:6" x14ac:dyDescent="0.25">
      <c r="A1616" s="5">
        <v>3403390</v>
      </c>
      <c r="B1616" s="1">
        <v>2017</v>
      </c>
      <c r="C1616" s="1" t="s">
        <v>1387</v>
      </c>
      <c r="D1616" s="1" t="s">
        <v>37</v>
      </c>
      <c r="E1616" s="8">
        <v>1042826</v>
      </c>
      <c r="F1616" s="5">
        <v>3403390</v>
      </c>
    </row>
    <row r="1617" spans="1:6" x14ac:dyDescent="0.25">
      <c r="A1617" s="5">
        <v>3403390</v>
      </c>
      <c r="B1617" s="1">
        <v>2018</v>
      </c>
      <c r="C1617" s="1" t="s">
        <v>1387</v>
      </c>
      <c r="D1617" s="1" t="s">
        <v>715</v>
      </c>
      <c r="E1617" s="8">
        <v>1408182</v>
      </c>
      <c r="F1617" s="5">
        <v>3403390</v>
      </c>
    </row>
    <row r="1618" spans="1:6" x14ac:dyDescent="0.25">
      <c r="A1618" s="5">
        <v>3403390</v>
      </c>
      <c r="B1618" s="1">
        <v>2019</v>
      </c>
      <c r="C1618" s="1" t="s">
        <v>1387</v>
      </c>
      <c r="D1618" s="1" t="s">
        <v>715</v>
      </c>
      <c r="E1618" s="8">
        <v>1825202</v>
      </c>
      <c r="F1618" s="5">
        <v>3403390</v>
      </c>
    </row>
    <row r="1619" spans="1:6" ht="20" x14ac:dyDescent="0.25">
      <c r="A1619" s="5">
        <v>3403390</v>
      </c>
      <c r="B1619" s="1">
        <v>2020</v>
      </c>
      <c r="C1619" s="1" t="s">
        <v>1387</v>
      </c>
      <c r="D1619" s="2" t="s">
        <v>715</v>
      </c>
      <c r="E1619" s="7">
        <v>2181413</v>
      </c>
      <c r="F1619" s="5">
        <v>3403390</v>
      </c>
    </row>
    <row r="1620" spans="1:6" ht="20" x14ac:dyDescent="0.25">
      <c r="A1620" s="5">
        <v>3403390</v>
      </c>
      <c r="B1620" s="1">
        <v>2021</v>
      </c>
      <c r="C1620" s="1" t="s">
        <v>1387</v>
      </c>
      <c r="D1620" s="3" t="s">
        <v>715</v>
      </c>
      <c r="E1620" s="7">
        <v>2866180</v>
      </c>
      <c r="F1620" s="5">
        <v>3403390</v>
      </c>
    </row>
    <row r="1621" spans="1:6" ht="20" x14ac:dyDescent="0.25">
      <c r="A1621" s="5">
        <v>3403390</v>
      </c>
      <c r="B1621" s="1">
        <v>2022</v>
      </c>
      <c r="C1621" s="1" t="s">
        <v>1387</v>
      </c>
      <c r="D1621" s="2" t="s">
        <v>715</v>
      </c>
      <c r="E1621" s="7">
        <v>3813500</v>
      </c>
      <c r="F1621" s="5">
        <v>3403390</v>
      </c>
    </row>
    <row r="1622" spans="1:6" ht="20" x14ac:dyDescent="0.25">
      <c r="A1622" s="5">
        <v>3403390</v>
      </c>
      <c r="B1622" s="1">
        <v>2023</v>
      </c>
      <c r="C1622" s="1" t="s">
        <v>1387</v>
      </c>
      <c r="D1622" s="2" t="s">
        <v>715</v>
      </c>
      <c r="E1622" s="7">
        <v>3680805</v>
      </c>
      <c r="F1622" s="5">
        <v>3403390</v>
      </c>
    </row>
    <row r="1623" spans="1:6" x14ac:dyDescent="0.25">
      <c r="A1623" s="5">
        <v>3403420</v>
      </c>
      <c r="B1623" s="1">
        <v>2015</v>
      </c>
      <c r="C1623" s="1" t="s">
        <v>1387</v>
      </c>
      <c r="D1623" s="1" t="s">
        <v>164</v>
      </c>
      <c r="E1623" s="8">
        <v>767039</v>
      </c>
      <c r="F1623" s="5">
        <v>3403420</v>
      </c>
    </row>
    <row r="1624" spans="1:6" x14ac:dyDescent="0.25">
      <c r="A1624" s="5">
        <v>3403420</v>
      </c>
      <c r="B1624" s="1">
        <v>2016</v>
      </c>
      <c r="C1624" s="1" t="s">
        <v>1387</v>
      </c>
      <c r="D1624" s="1" t="s">
        <v>164</v>
      </c>
      <c r="E1624" s="8">
        <v>1170270</v>
      </c>
      <c r="F1624" s="5">
        <v>3403420</v>
      </c>
    </row>
    <row r="1625" spans="1:6" x14ac:dyDescent="0.25">
      <c r="A1625" s="5">
        <v>3403420</v>
      </c>
      <c r="B1625" s="1">
        <v>2017</v>
      </c>
      <c r="C1625" s="1" t="s">
        <v>1387</v>
      </c>
      <c r="D1625" s="1" t="s">
        <v>164</v>
      </c>
      <c r="E1625" s="8">
        <v>1673718</v>
      </c>
      <c r="F1625" s="5">
        <v>3403420</v>
      </c>
    </row>
    <row r="1626" spans="1:6" x14ac:dyDescent="0.25">
      <c r="A1626" s="5">
        <v>3403420</v>
      </c>
      <c r="B1626" s="1">
        <v>2018</v>
      </c>
      <c r="C1626" s="1" t="s">
        <v>1387</v>
      </c>
      <c r="D1626" s="1" t="s">
        <v>847</v>
      </c>
      <c r="E1626" s="8">
        <v>2282547</v>
      </c>
      <c r="F1626" s="5">
        <v>3403420</v>
      </c>
    </row>
    <row r="1627" spans="1:6" x14ac:dyDescent="0.25">
      <c r="A1627" s="5">
        <v>3403420</v>
      </c>
      <c r="B1627" s="1">
        <v>2019</v>
      </c>
      <c r="C1627" s="1" t="s">
        <v>1387</v>
      </c>
      <c r="D1627" s="1" t="s">
        <v>847</v>
      </c>
      <c r="E1627" s="8">
        <v>3074660</v>
      </c>
      <c r="F1627" s="5">
        <v>3403420</v>
      </c>
    </row>
    <row r="1628" spans="1:6" ht="20" x14ac:dyDescent="0.25">
      <c r="A1628" s="5">
        <v>3403420</v>
      </c>
      <c r="B1628" s="1">
        <v>2020</v>
      </c>
      <c r="C1628" s="1" t="s">
        <v>1387</v>
      </c>
      <c r="D1628" s="2" t="s">
        <v>847</v>
      </c>
      <c r="E1628" s="7">
        <v>3571909</v>
      </c>
      <c r="F1628" s="5">
        <v>3403420</v>
      </c>
    </row>
    <row r="1629" spans="1:6" ht="20" x14ac:dyDescent="0.25">
      <c r="A1629" s="5">
        <v>3403420</v>
      </c>
      <c r="B1629" s="1">
        <v>2021</v>
      </c>
      <c r="C1629" s="1" t="s">
        <v>1387</v>
      </c>
      <c r="D1629" s="3" t="s">
        <v>847</v>
      </c>
      <c r="E1629" s="7">
        <v>4828309</v>
      </c>
      <c r="F1629" s="5">
        <v>3403420</v>
      </c>
    </row>
    <row r="1630" spans="1:6" ht="20" x14ac:dyDescent="0.25">
      <c r="A1630" s="5">
        <v>3403420</v>
      </c>
      <c r="B1630" s="1">
        <v>2022</v>
      </c>
      <c r="C1630" s="1" t="s">
        <v>1387</v>
      </c>
      <c r="D1630" s="2" t="s">
        <v>847</v>
      </c>
      <c r="E1630" s="7">
        <v>6881076</v>
      </c>
      <c r="F1630" s="5">
        <v>3403420</v>
      </c>
    </row>
    <row r="1631" spans="1:6" ht="20" x14ac:dyDescent="0.25">
      <c r="A1631" s="5">
        <v>3403420</v>
      </c>
      <c r="B1631" s="1">
        <v>2023</v>
      </c>
      <c r="C1631" s="1" t="s">
        <v>1387</v>
      </c>
      <c r="D1631" s="2" t="s">
        <v>847</v>
      </c>
      <c r="E1631" s="7">
        <v>6874160</v>
      </c>
      <c r="F1631" s="5">
        <v>3403420</v>
      </c>
    </row>
    <row r="1632" spans="1:6" x14ac:dyDescent="0.25">
      <c r="A1632" s="5">
        <v>3403450</v>
      </c>
      <c r="B1632" s="1">
        <v>2015</v>
      </c>
      <c r="C1632" s="1" t="s">
        <v>1387</v>
      </c>
      <c r="D1632" s="1" t="s">
        <v>407</v>
      </c>
      <c r="E1632" s="8">
        <v>514840</v>
      </c>
      <c r="F1632" s="5">
        <v>3403450</v>
      </c>
    </row>
    <row r="1633" spans="1:6" x14ac:dyDescent="0.25">
      <c r="A1633" s="5">
        <v>3403450</v>
      </c>
      <c r="B1633" s="1">
        <v>2016</v>
      </c>
      <c r="C1633" s="1" t="s">
        <v>1387</v>
      </c>
      <c r="D1633" s="1" t="s">
        <v>407</v>
      </c>
      <c r="E1633" s="8">
        <v>794872</v>
      </c>
      <c r="F1633" s="5">
        <v>3403450</v>
      </c>
    </row>
    <row r="1634" spans="1:6" x14ac:dyDescent="0.25">
      <c r="A1634" s="5">
        <v>3403450</v>
      </c>
      <c r="B1634" s="1">
        <v>2017</v>
      </c>
      <c r="C1634" s="1" t="s">
        <v>1387</v>
      </c>
      <c r="D1634" s="1" t="s">
        <v>407</v>
      </c>
      <c r="E1634" s="8">
        <v>1119848</v>
      </c>
      <c r="F1634" s="5">
        <v>3403450</v>
      </c>
    </row>
    <row r="1635" spans="1:6" x14ac:dyDescent="0.25">
      <c r="A1635" s="5">
        <v>3403450</v>
      </c>
      <c r="B1635" s="1">
        <v>2018</v>
      </c>
      <c r="C1635" s="1" t="s">
        <v>1387</v>
      </c>
      <c r="D1635" s="1" t="s">
        <v>1099</v>
      </c>
      <c r="E1635" s="8">
        <v>1516273</v>
      </c>
      <c r="F1635" s="5">
        <v>3403450</v>
      </c>
    </row>
    <row r="1636" spans="1:6" x14ac:dyDescent="0.25">
      <c r="A1636" s="5">
        <v>3403450</v>
      </c>
      <c r="B1636" s="1">
        <v>2019</v>
      </c>
      <c r="C1636" s="1" t="s">
        <v>1387</v>
      </c>
      <c r="D1636" s="1" t="s">
        <v>1099</v>
      </c>
      <c r="E1636" s="8">
        <v>2034875</v>
      </c>
      <c r="F1636" s="5">
        <v>3403450</v>
      </c>
    </row>
    <row r="1637" spans="1:6" ht="20" x14ac:dyDescent="0.25">
      <c r="A1637" s="5">
        <v>3403450</v>
      </c>
      <c r="B1637" s="1">
        <v>2020</v>
      </c>
      <c r="C1637" s="1" t="s">
        <v>1387</v>
      </c>
      <c r="D1637" s="2" t="s">
        <v>1099</v>
      </c>
      <c r="E1637" s="7">
        <v>2302106</v>
      </c>
      <c r="F1637" s="5">
        <v>3403450</v>
      </c>
    </row>
    <row r="1638" spans="1:6" ht="20" x14ac:dyDescent="0.25">
      <c r="A1638" s="5">
        <v>3403450</v>
      </c>
      <c r="B1638" s="1">
        <v>2021</v>
      </c>
      <c r="C1638" s="1" t="s">
        <v>1387</v>
      </c>
      <c r="D1638" s="3" t="s">
        <v>1099</v>
      </c>
      <c r="E1638" s="7">
        <v>3083825</v>
      </c>
      <c r="F1638" s="5">
        <v>3403450</v>
      </c>
    </row>
    <row r="1639" spans="1:6" ht="20" x14ac:dyDescent="0.25">
      <c r="A1639" s="5">
        <v>3403450</v>
      </c>
      <c r="B1639" s="1">
        <v>2022</v>
      </c>
      <c r="C1639" s="1" t="s">
        <v>1387</v>
      </c>
      <c r="D1639" s="2" t="s">
        <v>1099</v>
      </c>
      <c r="E1639" s="7">
        <v>4310401</v>
      </c>
      <c r="F1639" s="5">
        <v>3403450</v>
      </c>
    </row>
    <row r="1640" spans="1:6" ht="20" x14ac:dyDescent="0.25">
      <c r="A1640" s="5">
        <v>3403450</v>
      </c>
      <c r="B1640" s="1">
        <v>2023</v>
      </c>
      <c r="C1640" s="1" t="s">
        <v>1387</v>
      </c>
      <c r="D1640" s="2" t="s">
        <v>1099</v>
      </c>
      <c r="E1640" s="7">
        <v>4313054</v>
      </c>
      <c r="F1640" s="5">
        <v>3403450</v>
      </c>
    </row>
    <row r="1641" spans="1:6" x14ac:dyDescent="0.25">
      <c r="A1641" s="5">
        <v>3403480</v>
      </c>
      <c r="B1641" s="1">
        <v>2015</v>
      </c>
      <c r="C1641" s="1" t="s">
        <v>1387</v>
      </c>
      <c r="D1641" s="1" t="s">
        <v>213</v>
      </c>
      <c r="E1641" s="8">
        <v>181863</v>
      </c>
      <c r="F1641" s="5">
        <v>3403480</v>
      </c>
    </row>
    <row r="1642" spans="1:6" x14ac:dyDescent="0.25">
      <c r="A1642" s="5">
        <v>3403480</v>
      </c>
      <c r="B1642" s="1">
        <v>2016</v>
      </c>
      <c r="C1642" s="1" t="s">
        <v>1387</v>
      </c>
      <c r="D1642" s="1" t="s">
        <v>213</v>
      </c>
      <c r="E1642" s="8">
        <v>263653</v>
      </c>
      <c r="F1642" s="5">
        <v>3403480</v>
      </c>
    </row>
    <row r="1643" spans="1:6" x14ac:dyDescent="0.25">
      <c r="A1643" s="5">
        <v>3403480</v>
      </c>
      <c r="B1643" s="1">
        <v>2017</v>
      </c>
      <c r="C1643" s="1" t="s">
        <v>1387</v>
      </c>
      <c r="D1643" s="1" t="s">
        <v>213</v>
      </c>
      <c r="E1643" s="8">
        <v>408560</v>
      </c>
      <c r="F1643" s="5">
        <v>3403480</v>
      </c>
    </row>
    <row r="1644" spans="1:6" x14ac:dyDescent="0.25">
      <c r="A1644" s="5">
        <v>3403480</v>
      </c>
      <c r="B1644" s="1">
        <v>2018</v>
      </c>
      <c r="C1644" s="1" t="s">
        <v>1387</v>
      </c>
      <c r="D1644" s="1" t="s">
        <v>898</v>
      </c>
      <c r="E1644" s="8">
        <v>522553</v>
      </c>
      <c r="F1644" s="5">
        <v>3403480</v>
      </c>
    </row>
    <row r="1645" spans="1:6" x14ac:dyDescent="0.25">
      <c r="A1645" s="5">
        <v>3403480</v>
      </c>
      <c r="B1645" s="1">
        <v>2019</v>
      </c>
      <c r="C1645" s="1" t="s">
        <v>1387</v>
      </c>
      <c r="D1645" s="1" t="s">
        <v>898</v>
      </c>
      <c r="E1645" s="8">
        <v>735225</v>
      </c>
      <c r="F1645" s="5">
        <v>3403480</v>
      </c>
    </row>
    <row r="1646" spans="1:6" ht="20" x14ac:dyDescent="0.25">
      <c r="A1646" s="5">
        <v>3403480</v>
      </c>
      <c r="B1646" s="1">
        <v>2020</v>
      </c>
      <c r="C1646" s="1" t="s">
        <v>1387</v>
      </c>
      <c r="D1646" s="2" t="s">
        <v>898</v>
      </c>
      <c r="E1646" s="7">
        <v>895871</v>
      </c>
      <c r="F1646" s="5">
        <v>3403480</v>
      </c>
    </row>
    <row r="1647" spans="1:6" ht="20" x14ac:dyDescent="0.25">
      <c r="A1647" s="5">
        <v>3403480</v>
      </c>
      <c r="B1647" s="1">
        <v>2021</v>
      </c>
      <c r="C1647" s="1" t="s">
        <v>1387</v>
      </c>
      <c r="D1647" s="3" t="s">
        <v>898</v>
      </c>
      <c r="E1647" s="7">
        <v>996227</v>
      </c>
      <c r="F1647" s="5">
        <v>3403480</v>
      </c>
    </row>
    <row r="1648" spans="1:6" ht="20" x14ac:dyDescent="0.25">
      <c r="A1648" s="5">
        <v>3403480</v>
      </c>
      <c r="B1648" s="1">
        <v>2022</v>
      </c>
      <c r="C1648" s="1" t="s">
        <v>1387</v>
      </c>
      <c r="D1648" s="2" t="s">
        <v>898</v>
      </c>
      <c r="E1648" s="7">
        <v>1402283</v>
      </c>
      <c r="F1648" s="5">
        <v>3403480</v>
      </c>
    </row>
    <row r="1649" spans="1:6" ht="20" x14ac:dyDescent="0.25">
      <c r="A1649" s="5">
        <v>3403480</v>
      </c>
      <c r="B1649" s="1">
        <v>2023</v>
      </c>
      <c r="C1649" s="1" t="s">
        <v>1387</v>
      </c>
      <c r="D1649" s="2" t="s">
        <v>898</v>
      </c>
      <c r="E1649" s="7">
        <v>1251598</v>
      </c>
      <c r="F1649" s="5">
        <v>3403480</v>
      </c>
    </row>
    <row r="1650" spans="1:6" x14ac:dyDescent="0.25">
      <c r="A1650" s="5">
        <v>3403540</v>
      </c>
      <c r="B1650" s="1">
        <v>2015</v>
      </c>
      <c r="C1650" s="1" t="s">
        <v>1387</v>
      </c>
      <c r="D1650" s="1" t="s">
        <v>374</v>
      </c>
      <c r="E1650" s="8">
        <v>246751</v>
      </c>
      <c r="F1650" s="5">
        <v>3403540</v>
      </c>
    </row>
    <row r="1651" spans="1:6" x14ac:dyDescent="0.25">
      <c r="A1651" s="5">
        <v>3403540</v>
      </c>
      <c r="B1651" s="1">
        <v>2016</v>
      </c>
      <c r="C1651" s="1" t="s">
        <v>1387</v>
      </c>
      <c r="D1651" s="1" t="s">
        <v>374</v>
      </c>
      <c r="E1651" s="8">
        <v>344579</v>
      </c>
      <c r="F1651" s="5">
        <v>3403540</v>
      </c>
    </row>
    <row r="1652" spans="1:6" x14ac:dyDescent="0.25">
      <c r="A1652" s="5">
        <v>3403540</v>
      </c>
      <c r="B1652" s="1">
        <v>2017</v>
      </c>
      <c r="C1652" s="1" t="s">
        <v>1387</v>
      </c>
      <c r="D1652" s="1" t="s">
        <v>374</v>
      </c>
      <c r="E1652" s="8">
        <v>504502</v>
      </c>
      <c r="F1652" s="5">
        <v>3403540</v>
      </c>
    </row>
    <row r="1653" spans="1:6" x14ac:dyDescent="0.25">
      <c r="A1653" s="5">
        <v>3403540</v>
      </c>
      <c r="B1653" s="1">
        <v>2018</v>
      </c>
      <c r="C1653" s="1" t="s">
        <v>1387</v>
      </c>
      <c r="D1653" s="1" t="s">
        <v>1066</v>
      </c>
      <c r="E1653" s="8">
        <v>648117</v>
      </c>
      <c r="F1653" s="5">
        <v>3403540</v>
      </c>
    </row>
    <row r="1654" spans="1:6" x14ac:dyDescent="0.25">
      <c r="A1654" s="5">
        <v>3403540</v>
      </c>
      <c r="B1654" s="1">
        <v>2019</v>
      </c>
      <c r="C1654" s="1" t="s">
        <v>1387</v>
      </c>
      <c r="D1654" s="1" t="s">
        <v>1066</v>
      </c>
      <c r="E1654" s="8">
        <v>917972</v>
      </c>
      <c r="F1654" s="5">
        <v>3403540</v>
      </c>
    </row>
    <row r="1655" spans="1:6" ht="20" x14ac:dyDescent="0.25">
      <c r="A1655" s="5">
        <v>3403540</v>
      </c>
      <c r="B1655" s="1">
        <v>2020</v>
      </c>
      <c r="C1655" s="1" t="s">
        <v>1387</v>
      </c>
      <c r="D1655" s="2" t="s">
        <v>1066</v>
      </c>
      <c r="E1655" s="7">
        <v>1021233</v>
      </c>
      <c r="F1655" s="5">
        <v>3403540</v>
      </c>
    </row>
    <row r="1656" spans="1:6" ht="20" x14ac:dyDescent="0.25">
      <c r="A1656" s="5">
        <v>3403540</v>
      </c>
      <c r="B1656" s="1">
        <v>2021</v>
      </c>
      <c r="C1656" s="1" t="s">
        <v>1387</v>
      </c>
      <c r="D1656" s="3" t="s">
        <v>1066</v>
      </c>
      <c r="E1656" s="7">
        <v>1321841</v>
      </c>
      <c r="F1656" s="5">
        <v>3403540</v>
      </c>
    </row>
    <row r="1657" spans="1:6" ht="20" x14ac:dyDescent="0.25">
      <c r="A1657" s="5">
        <v>3403540</v>
      </c>
      <c r="B1657" s="1">
        <v>2022</v>
      </c>
      <c r="C1657" s="1" t="s">
        <v>1387</v>
      </c>
      <c r="D1657" s="2" t="s">
        <v>1066</v>
      </c>
      <c r="E1657" s="7">
        <v>1925325</v>
      </c>
      <c r="F1657" s="5">
        <v>3403540</v>
      </c>
    </row>
    <row r="1658" spans="1:6" ht="20" x14ac:dyDescent="0.25">
      <c r="A1658" s="5">
        <v>3403540</v>
      </c>
      <c r="B1658" s="1">
        <v>2023</v>
      </c>
      <c r="C1658" s="1" t="s">
        <v>1387</v>
      </c>
      <c r="D1658" s="2" t="s">
        <v>1066</v>
      </c>
      <c r="E1658" s="7">
        <v>1758538</v>
      </c>
      <c r="F1658" s="5">
        <v>3403540</v>
      </c>
    </row>
    <row r="1659" spans="1:6" x14ac:dyDescent="0.25">
      <c r="A1659" s="5">
        <v>3403570</v>
      </c>
      <c r="B1659" s="1">
        <v>2015</v>
      </c>
      <c r="C1659" s="1" t="s">
        <v>1387</v>
      </c>
      <c r="D1659" s="1" t="s">
        <v>615</v>
      </c>
      <c r="E1659" s="8">
        <v>1479818</v>
      </c>
      <c r="F1659" s="5">
        <v>3403570</v>
      </c>
    </row>
    <row r="1660" spans="1:6" x14ac:dyDescent="0.25">
      <c r="A1660" s="5">
        <v>3403570</v>
      </c>
      <c r="B1660" s="1">
        <v>2016</v>
      </c>
      <c r="C1660" s="1" t="s">
        <v>1387</v>
      </c>
      <c r="D1660" s="1" t="s">
        <v>615</v>
      </c>
      <c r="E1660" s="8">
        <v>2137881</v>
      </c>
      <c r="F1660" s="5">
        <v>3403570</v>
      </c>
    </row>
    <row r="1661" spans="1:6" x14ac:dyDescent="0.25">
      <c r="A1661" s="5">
        <v>3403570</v>
      </c>
      <c r="B1661" s="1">
        <v>2017</v>
      </c>
      <c r="C1661" s="1" t="s">
        <v>1387</v>
      </c>
      <c r="D1661" s="1" t="s">
        <v>615</v>
      </c>
      <c r="E1661" s="8">
        <v>2960994</v>
      </c>
      <c r="F1661" s="5">
        <v>3403570</v>
      </c>
    </row>
    <row r="1662" spans="1:6" x14ac:dyDescent="0.25">
      <c r="A1662" s="5">
        <v>3403570</v>
      </c>
      <c r="B1662" s="1">
        <v>2018</v>
      </c>
      <c r="C1662" s="1" t="s">
        <v>1387</v>
      </c>
      <c r="D1662" s="1" t="s">
        <v>1308</v>
      </c>
      <c r="E1662" s="8">
        <v>4179515</v>
      </c>
      <c r="F1662" s="5">
        <v>3403570</v>
      </c>
    </row>
    <row r="1663" spans="1:6" x14ac:dyDescent="0.25">
      <c r="A1663" s="5">
        <v>3403570</v>
      </c>
      <c r="B1663" s="1">
        <v>2019</v>
      </c>
      <c r="C1663" s="1" t="s">
        <v>1387</v>
      </c>
      <c r="D1663" s="1" t="s">
        <v>1308</v>
      </c>
      <c r="E1663" s="8">
        <v>5510928</v>
      </c>
      <c r="F1663" s="5">
        <v>3403570</v>
      </c>
    </row>
    <row r="1664" spans="1:6" ht="20" x14ac:dyDescent="0.25">
      <c r="A1664" s="5">
        <v>3403570</v>
      </c>
      <c r="B1664" s="1">
        <v>2020</v>
      </c>
      <c r="C1664" s="1" t="s">
        <v>1387</v>
      </c>
      <c r="D1664" s="2" t="s">
        <v>1308</v>
      </c>
      <c r="E1664" s="7">
        <v>6152459</v>
      </c>
      <c r="F1664" s="5">
        <v>3403570</v>
      </c>
    </row>
    <row r="1665" spans="1:6" ht="20" x14ac:dyDescent="0.25">
      <c r="A1665" s="5">
        <v>3403570</v>
      </c>
      <c r="B1665" s="1">
        <v>2021</v>
      </c>
      <c r="C1665" s="1" t="s">
        <v>1387</v>
      </c>
      <c r="D1665" s="3" t="s">
        <v>1308</v>
      </c>
      <c r="E1665" s="7">
        <v>8059506</v>
      </c>
      <c r="F1665" s="5">
        <v>3403570</v>
      </c>
    </row>
    <row r="1666" spans="1:6" ht="20" x14ac:dyDescent="0.25">
      <c r="A1666" s="5">
        <v>3403570</v>
      </c>
      <c r="B1666" s="1">
        <v>2022</v>
      </c>
      <c r="C1666" s="1" t="s">
        <v>1387</v>
      </c>
      <c r="D1666" s="2" t="s">
        <v>1308</v>
      </c>
      <c r="E1666" s="7">
        <v>11301263</v>
      </c>
      <c r="F1666" s="5">
        <v>3403570</v>
      </c>
    </row>
    <row r="1667" spans="1:6" ht="20" x14ac:dyDescent="0.25">
      <c r="A1667" s="5">
        <v>3403570</v>
      </c>
      <c r="B1667" s="1">
        <v>2023</v>
      </c>
      <c r="C1667" s="1" t="s">
        <v>1387</v>
      </c>
      <c r="D1667" s="2" t="s">
        <v>1308</v>
      </c>
      <c r="E1667" s="7">
        <v>11412465</v>
      </c>
      <c r="F1667" s="5">
        <v>3403570</v>
      </c>
    </row>
    <row r="1668" spans="1:6" x14ac:dyDescent="0.25">
      <c r="A1668" s="5">
        <v>3403600</v>
      </c>
      <c r="B1668" s="1">
        <v>2015</v>
      </c>
      <c r="C1668" s="1" t="s">
        <v>1387</v>
      </c>
      <c r="D1668" s="1" t="s">
        <v>38</v>
      </c>
      <c r="E1668" s="8">
        <v>694274</v>
      </c>
      <c r="F1668" s="5">
        <v>3403600</v>
      </c>
    </row>
    <row r="1669" spans="1:6" x14ac:dyDescent="0.25">
      <c r="A1669" s="5">
        <v>3403600</v>
      </c>
      <c r="B1669" s="1">
        <v>2016</v>
      </c>
      <c r="C1669" s="1" t="s">
        <v>1387</v>
      </c>
      <c r="D1669" s="1" t="s">
        <v>38</v>
      </c>
      <c r="E1669" s="8">
        <v>1027308</v>
      </c>
      <c r="F1669" s="5">
        <v>3403600</v>
      </c>
    </row>
    <row r="1670" spans="1:6" x14ac:dyDescent="0.25">
      <c r="A1670" s="5">
        <v>3403600</v>
      </c>
      <c r="B1670" s="1">
        <v>2017</v>
      </c>
      <c r="C1670" s="1" t="s">
        <v>1387</v>
      </c>
      <c r="D1670" s="1" t="s">
        <v>38</v>
      </c>
      <c r="E1670" s="8">
        <v>1501757</v>
      </c>
      <c r="F1670" s="5">
        <v>3403600</v>
      </c>
    </row>
    <row r="1671" spans="1:6" x14ac:dyDescent="0.25">
      <c r="A1671" s="5">
        <v>3403600</v>
      </c>
      <c r="B1671" s="1">
        <v>2018</v>
      </c>
      <c r="C1671" s="1" t="s">
        <v>1387</v>
      </c>
      <c r="D1671" s="1" t="s">
        <v>716</v>
      </c>
      <c r="E1671" s="8">
        <v>2082024</v>
      </c>
      <c r="F1671" s="5">
        <v>3403600</v>
      </c>
    </row>
    <row r="1672" spans="1:6" x14ac:dyDescent="0.25">
      <c r="A1672" s="5">
        <v>3403600</v>
      </c>
      <c r="B1672" s="1">
        <v>2019</v>
      </c>
      <c r="C1672" s="1" t="s">
        <v>1387</v>
      </c>
      <c r="D1672" s="1" t="s">
        <v>716</v>
      </c>
      <c r="E1672" s="8">
        <v>2763741</v>
      </c>
      <c r="F1672" s="5">
        <v>3403600</v>
      </c>
    </row>
    <row r="1673" spans="1:6" ht="20" x14ac:dyDescent="0.25">
      <c r="A1673" s="5">
        <v>3403600</v>
      </c>
      <c r="B1673" s="1">
        <v>2020</v>
      </c>
      <c r="C1673" s="1" t="s">
        <v>1387</v>
      </c>
      <c r="D1673" s="2" t="s">
        <v>716</v>
      </c>
      <c r="E1673" s="7">
        <v>3109631</v>
      </c>
      <c r="F1673" s="5">
        <v>3403600</v>
      </c>
    </row>
    <row r="1674" spans="1:6" ht="20" x14ac:dyDescent="0.25">
      <c r="A1674" s="5">
        <v>3403600</v>
      </c>
      <c r="B1674" s="1">
        <v>2021</v>
      </c>
      <c r="C1674" s="1" t="s">
        <v>1387</v>
      </c>
      <c r="D1674" s="3" t="s">
        <v>716</v>
      </c>
      <c r="E1674" s="7">
        <v>4113682</v>
      </c>
      <c r="F1674" s="5">
        <v>3403600</v>
      </c>
    </row>
    <row r="1675" spans="1:6" ht="20" x14ac:dyDescent="0.25">
      <c r="A1675" s="5">
        <v>3403600</v>
      </c>
      <c r="B1675" s="1">
        <v>2022</v>
      </c>
      <c r="C1675" s="1" t="s">
        <v>1387</v>
      </c>
      <c r="D1675" s="2" t="s">
        <v>716</v>
      </c>
      <c r="E1675" s="7">
        <v>5894960</v>
      </c>
      <c r="F1675" s="5">
        <v>3403600</v>
      </c>
    </row>
    <row r="1676" spans="1:6" ht="20" x14ac:dyDescent="0.25">
      <c r="A1676" s="5">
        <v>3403600</v>
      </c>
      <c r="B1676" s="1">
        <v>2023</v>
      </c>
      <c r="C1676" s="1" t="s">
        <v>1387</v>
      </c>
      <c r="D1676" s="2" t="s">
        <v>716</v>
      </c>
      <c r="E1676" s="7">
        <v>5966893</v>
      </c>
      <c r="F1676" s="5">
        <v>3403600</v>
      </c>
    </row>
    <row r="1677" spans="1:6" x14ac:dyDescent="0.25">
      <c r="A1677" s="5">
        <v>3403610</v>
      </c>
      <c r="B1677" s="1">
        <v>2015</v>
      </c>
      <c r="C1677" s="1" t="s">
        <v>1387</v>
      </c>
      <c r="D1677" s="1" t="s">
        <v>214</v>
      </c>
      <c r="E1677" s="8">
        <v>153584</v>
      </c>
      <c r="F1677" s="5">
        <v>3403610</v>
      </c>
    </row>
    <row r="1678" spans="1:6" x14ac:dyDescent="0.25">
      <c r="A1678" s="5">
        <v>3403610</v>
      </c>
      <c r="B1678" s="1">
        <v>2016</v>
      </c>
      <c r="C1678" s="1" t="s">
        <v>1387</v>
      </c>
      <c r="D1678" s="1" t="s">
        <v>214</v>
      </c>
      <c r="E1678" s="8">
        <v>233925</v>
      </c>
      <c r="F1678" s="5">
        <v>3403610</v>
      </c>
    </row>
    <row r="1679" spans="1:6" x14ac:dyDescent="0.25">
      <c r="A1679" s="5">
        <v>3403610</v>
      </c>
      <c r="B1679" s="1">
        <v>2017</v>
      </c>
      <c r="C1679" s="1" t="s">
        <v>1387</v>
      </c>
      <c r="D1679" s="1" t="s">
        <v>214</v>
      </c>
      <c r="E1679" s="8">
        <v>324056</v>
      </c>
      <c r="F1679" s="5">
        <v>3403610</v>
      </c>
    </row>
    <row r="1680" spans="1:6" x14ac:dyDescent="0.25">
      <c r="A1680" s="5">
        <v>3403610</v>
      </c>
      <c r="B1680" s="1">
        <v>2018</v>
      </c>
      <c r="C1680" s="1" t="s">
        <v>1387</v>
      </c>
      <c r="D1680" s="1" t="s">
        <v>900</v>
      </c>
      <c r="E1680" s="8">
        <v>461156</v>
      </c>
      <c r="F1680" s="5">
        <v>3403610</v>
      </c>
    </row>
    <row r="1681" spans="1:6" x14ac:dyDescent="0.25">
      <c r="A1681" s="5">
        <v>3403610</v>
      </c>
      <c r="B1681" s="1">
        <v>2019</v>
      </c>
      <c r="C1681" s="1" t="s">
        <v>1387</v>
      </c>
      <c r="D1681" s="1" t="s">
        <v>900</v>
      </c>
      <c r="E1681" s="8">
        <v>763966</v>
      </c>
      <c r="F1681" s="5">
        <v>3403610</v>
      </c>
    </row>
    <row r="1682" spans="1:6" ht="20" x14ac:dyDescent="0.25">
      <c r="A1682" s="5">
        <v>3403610</v>
      </c>
      <c r="B1682" s="1">
        <v>2020</v>
      </c>
      <c r="C1682" s="1" t="s">
        <v>1387</v>
      </c>
      <c r="D1682" s="2" t="s">
        <v>900</v>
      </c>
      <c r="E1682" s="7">
        <v>978953</v>
      </c>
      <c r="F1682" s="5">
        <v>3403610</v>
      </c>
    </row>
    <row r="1683" spans="1:6" ht="20" x14ac:dyDescent="0.25">
      <c r="A1683" s="5">
        <v>3403610</v>
      </c>
      <c r="B1683" s="1">
        <v>2021</v>
      </c>
      <c r="C1683" s="1" t="s">
        <v>1387</v>
      </c>
      <c r="D1683" s="3" t="s">
        <v>900</v>
      </c>
      <c r="E1683" s="7">
        <v>1626583</v>
      </c>
      <c r="F1683" s="5">
        <v>3403610</v>
      </c>
    </row>
    <row r="1684" spans="1:6" ht="20" x14ac:dyDescent="0.25">
      <c r="A1684" s="5">
        <v>3403610</v>
      </c>
      <c r="B1684" s="1">
        <v>2022</v>
      </c>
      <c r="C1684" s="1" t="s">
        <v>1387</v>
      </c>
      <c r="D1684" s="2" t="s">
        <v>900</v>
      </c>
      <c r="E1684" s="7">
        <v>2474314</v>
      </c>
      <c r="F1684" s="5">
        <v>3403610</v>
      </c>
    </row>
    <row r="1685" spans="1:6" ht="20" x14ac:dyDescent="0.25">
      <c r="A1685" s="5">
        <v>3403610</v>
      </c>
      <c r="B1685" s="1">
        <v>2023</v>
      </c>
      <c r="C1685" s="1" t="s">
        <v>1387</v>
      </c>
      <c r="D1685" s="2" t="s">
        <v>900</v>
      </c>
      <c r="E1685" s="7">
        <v>2655798</v>
      </c>
      <c r="F1685" s="5">
        <v>3403610</v>
      </c>
    </row>
    <row r="1686" spans="1:6" x14ac:dyDescent="0.25">
      <c r="A1686" s="5">
        <v>3403620</v>
      </c>
      <c r="B1686" s="1">
        <v>2015</v>
      </c>
      <c r="C1686" s="1" t="s">
        <v>1387</v>
      </c>
      <c r="D1686" s="1" t="s">
        <v>215</v>
      </c>
      <c r="E1686" s="8">
        <v>408410</v>
      </c>
      <c r="F1686" s="5">
        <v>3403620</v>
      </c>
    </row>
    <row r="1687" spans="1:6" x14ac:dyDescent="0.25">
      <c r="A1687" s="5">
        <v>3403620</v>
      </c>
      <c r="B1687" s="1">
        <v>2016</v>
      </c>
      <c r="C1687" s="1" t="s">
        <v>1387</v>
      </c>
      <c r="D1687" s="1" t="s">
        <v>215</v>
      </c>
      <c r="E1687" s="8">
        <v>632819</v>
      </c>
      <c r="F1687" s="5">
        <v>3403620</v>
      </c>
    </row>
    <row r="1688" spans="1:6" x14ac:dyDescent="0.25">
      <c r="A1688" s="5">
        <v>3403620</v>
      </c>
      <c r="B1688" s="1">
        <v>2017</v>
      </c>
      <c r="C1688" s="1" t="s">
        <v>1387</v>
      </c>
      <c r="D1688" s="1" t="s">
        <v>215</v>
      </c>
      <c r="E1688" s="8">
        <v>860242</v>
      </c>
      <c r="F1688" s="5">
        <v>3403620</v>
      </c>
    </row>
    <row r="1689" spans="1:6" x14ac:dyDescent="0.25">
      <c r="A1689" s="5">
        <v>3403620</v>
      </c>
      <c r="B1689" s="1">
        <v>2018</v>
      </c>
      <c r="C1689" s="1" t="s">
        <v>1387</v>
      </c>
      <c r="D1689" s="1" t="s">
        <v>901</v>
      </c>
      <c r="E1689" s="8">
        <v>1083195</v>
      </c>
      <c r="F1689" s="5">
        <v>3403620</v>
      </c>
    </row>
    <row r="1690" spans="1:6" x14ac:dyDescent="0.25">
      <c r="A1690" s="5">
        <v>3403620</v>
      </c>
      <c r="B1690" s="1">
        <v>2019</v>
      </c>
      <c r="C1690" s="1" t="s">
        <v>1387</v>
      </c>
      <c r="D1690" s="1" t="s">
        <v>901</v>
      </c>
      <c r="E1690" s="8">
        <v>1420350</v>
      </c>
      <c r="F1690" s="5">
        <v>3403620</v>
      </c>
    </row>
    <row r="1691" spans="1:6" ht="20" x14ac:dyDescent="0.25">
      <c r="A1691" s="5">
        <v>3403620</v>
      </c>
      <c r="B1691" s="1">
        <v>2020</v>
      </c>
      <c r="C1691" s="1" t="s">
        <v>1387</v>
      </c>
      <c r="D1691" s="2" t="s">
        <v>901</v>
      </c>
      <c r="E1691" s="7">
        <v>1555987</v>
      </c>
      <c r="F1691" s="5">
        <v>3403620</v>
      </c>
    </row>
    <row r="1692" spans="1:6" ht="20" x14ac:dyDescent="0.25">
      <c r="A1692" s="5">
        <v>3403620</v>
      </c>
      <c r="B1692" s="1">
        <v>2021</v>
      </c>
      <c r="C1692" s="1" t="s">
        <v>1387</v>
      </c>
      <c r="D1692" s="3" t="s">
        <v>901</v>
      </c>
      <c r="E1692" s="7">
        <v>1960769</v>
      </c>
      <c r="F1692" s="5">
        <v>3403620</v>
      </c>
    </row>
    <row r="1693" spans="1:6" ht="20" x14ac:dyDescent="0.25">
      <c r="A1693" s="5">
        <v>3403620</v>
      </c>
      <c r="B1693" s="1">
        <v>2022</v>
      </c>
      <c r="C1693" s="1" t="s">
        <v>1387</v>
      </c>
      <c r="D1693" s="2" t="s">
        <v>901</v>
      </c>
      <c r="E1693" s="7">
        <v>2727194</v>
      </c>
      <c r="F1693" s="5">
        <v>3403620</v>
      </c>
    </row>
    <row r="1694" spans="1:6" ht="20" x14ac:dyDescent="0.25">
      <c r="A1694" s="5">
        <v>3403620</v>
      </c>
      <c r="B1694" s="1">
        <v>2023</v>
      </c>
      <c r="C1694" s="1" t="s">
        <v>1387</v>
      </c>
      <c r="D1694" s="2" t="s">
        <v>901</v>
      </c>
      <c r="E1694" s="7">
        <v>2806260</v>
      </c>
      <c r="F1694" s="5">
        <v>3403620</v>
      </c>
    </row>
    <row r="1695" spans="1:6" x14ac:dyDescent="0.25">
      <c r="A1695" s="5">
        <v>3403630</v>
      </c>
      <c r="B1695" s="1">
        <v>2015</v>
      </c>
      <c r="C1695" s="1" t="s">
        <v>1387</v>
      </c>
      <c r="D1695" s="1" t="s">
        <v>408</v>
      </c>
      <c r="E1695" s="8">
        <v>63719</v>
      </c>
      <c r="F1695" s="5">
        <v>3403630</v>
      </c>
    </row>
    <row r="1696" spans="1:6" x14ac:dyDescent="0.25">
      <c r="A1696" s="5">
        <v>3403630</v>
      </c>
      <c r="B1696" s="1">
        <v>2016</v>
      </c>
      <c r="C1696" s="1" t="s">
        <v>1387</v>
      </c>
      <c r="D1696" s="1" t="s">
        <v>408</v>
      </c>
      <c r="E1696" s="8">
        <v>114725</v>
      </c>
      <c r="F1696" s="5">
        <v>3403630</v>
      </c>
    </row>
    <row r="1697" spans="1:6" x14ac:dyDescent="0.25">
      <c r="A1697" s="5">
        <v>3403630</v>
      </c>
      <c r="B1697" s="1">
        <v>2017</v>
      </c>
      <c r="C1697" s="1" t="s">
        <v>1387</v>
      </c>
      <c r="D1697" s="1" t="s">
        <v>408</v>
      </c>
      <c r="E1697" s="8">
        <v>142814</v>
      </c>
      <c r="F1697" s="5">
        <v>3403630</v>
      </c>
    </row>
    <row r="1698" spans="1:6" x14ac:dyDescent="0.25">
      <c r="A1698" s="5">
        <v>3403630</v>
      </c>
      <c r="B1698" s="1">
        <v>2018</v>
      </c>
      <c r="C1698" s="1" t="s">
        <v>1387</v>
      </c>
      <c r="D1698" s="1" t="s">
        <v>1100</v>
      </c>
      <c r="E1698" s="8">
        <v>204359</v>
      </c>
      <c r="F1698" s="5">
        <v>3403630</v>
      </c>
    </row>
    <row r="1699" spans="1:6" x14ac:dyDescent="0.25">
      <c r="A1699" s="5">
        <v>3403630</v>
      </c>
      <c r="B1699" s="1">
        <v>2019</v>
      </c>
      <c r="C1699" s="1" t="s">
        <v>1387</v>
      </c>
      <c r="D1699" s="1" t="s">
        <v>1100</v>
      </c>
      <c r="E1699" s="8">
        <v>264276</v>
      </c>
      <c r="F1699" s="5">
        <v>3403630</v>
      </c>
    </row>
    <row r="1700" spans="1:6" ht="20" x14ac:dyDescent="0.25">
      <c r="A1700" s="5">
        <v>3403630</v>
      </c>
      <c r="B1700" s="1">
        <v>2020</v>
      </c>
      <c r="C1700" s="1" t="s">
        <v>1387</v>
      </c>
      <c r="D1700" s="2" t="s">
        <v>1100</v>
      </c>
      <c r="E1700" s="7">
        <v>322492</v>
      </c>
      <c r="F1700" s="5">
        <v>3403630</v>
      </c>
    </row>
    <row r="1701" spans="1:6" ht="20" x14ac:dyDescent="0.25">
      <c r="A1701" s="5">
        <v>3403630</v>
      </c>
      <c r="B1701" s="1">
        <v>2021</v>
      </c>
      <c r="C1701" s="1" t="s">
        <v>1387</v>
      </c>
      <c r="D1701" s="3" t="s">
        <v>1100</v>
      </c>
      <c r="E1701" s="7">
        <v>415010</v>
      </c>
      <c r="F1701" s="5">
        <v>3403630</v>
      </c>
    </row>
    <row r="1702" spans="1:6" ht="20" x14ac:dyDescent="0.25">
      <c r="A1702" s="5">
        <v>3403630</v>
      </c>
      <c r="B1702" s="1">
        <v>2022</v>
      </c>
      <c r="C1702" s="1" t="s">
        <v>1387</v>
      </c>
      <c r="D1702" s="2" t="s">
        <v>1100</v>
      </c>
      <c r="E1702" s="7">
        <v>593616</v>
      </c>
      <c r="F1702" s="5">
        <v>3403630</v>
      </c>
    </row>
    <row r="1703" spans="1:6" ht="20" x14ac:dyDescent="0.25">
      <c r="A1703" s="5">
        <v>3403630</v>
      </c>
      <c r="B1703" s="1">
        <v>2023</v>
      </c>
      <c r="C1703" s="1" t="s">
        <v>1387</v>
      </c>
      <c r="D1703" s="2" t="s">
        <v>1100</v>
      </c>
      <c r="E1703" s="7">
        <v>591363</v>
      </c>
      <c r="F1703" s="5">
        <v>3403630</v>
      </c>
    </row>
    <row r="1704" spans="1:6" x14ac:dyDescent="0.25">
      <c r="A1704" s="5">
        <v>3403660</v>
      </c>
      <c r="B1704" s="1">
        <v>2015</v>
      </c>
      <c r="C1704" s="1" t="s">
        <v>1387</v>
      </c>
      <c r="D1704" s="1" t="s">
        <v>216</v>
      </c>
      <c r="E1704" s="8">
        <v>113543</v>
      </c>
      <c r="F1704" s="5">
        <v>3403660</v>
      </c>
    </row>
    <row r="1705" spans="1:6" x14ac:dyDescent="0.25">
      <c r="A1705" s="5">
        <v>3403660</v>
      </c>
      <c r="B1705" s="1">
        <v>2016</v>
      </c>
      <c r="C1705" s="1" t="s">
        <v>1387</v>
      </c>
      <c r="D1705" s="1" t="s">
        <v>216</v>
      </c>
      <c r="E1705" s="8">
        <v>162216</v>
      </c>
      <c r="F1705" s="5">
        <v>3403660</v>
      </c>
    </row>
    <row r="1706" spans="1:6" x14ac:dyDescent="0.25">
      <c r="A1706" s="5">
        <v>3403660</v>
      </c>
      <c r="B1706" s="1">
        <v>2017</v>
      </c>
      <c r="C1706" s="1" t="s">
        <v>1387</v>
      </c>
      <c r="D1706" s="1" t="s">
        <v>216</v>
      </c>
      <c r="E1706" s="8">
        <v>252972</v>
      </c>
      <c r="F1706" s="5">
        <v>3403660</v>
      </c>
    </row>
    <row r="1707" spans="1:6" x14ac:dyDescent="0.25">
      <c r="A1707" s="5">
        <v>3403660</v>
      </c>
      <c r="B1707" s="1">
        <v>2018</v>
      </c>
      <c r="C1707" s="1" t="s">
        <v>1387</v>
      </c>
      <c r="D1707" s="1" t="s">
        <v>902</v>
      </c>
      <c r="E1707" s="8">
        <v>350696</v>
      </c>
      <c r="F1707" s="5">
        <v>3403660</v>
      </c>
    </row>
    <row r="1708" spans="1:6" x14ac:dyDescent="0.25">
      <c r="A1708" s="5">
        <v>3403660</v>
      </c>
      <c r="B1708" s="1">
        <v>2019</v>
      </c>
      <c r="C1708" s="1" t="s">
        <v>1387</v>
      </c>
      <c r="D1708" s="1" t="s">
        <v>902</v>
      </c>
      <c r="E1708" s="8">
        <v>457477</v>
      </c>
      <c r="F1708" s="5">
        <v>3403660</v>
      </c>
    </row>
    <row r="1709" spans="1:6" ht="20" x14ac:dyDescent="0.25">
      <c r="A1709" s="5">
        <v>3403660</v>
      </c>
      <c r="B1709" s="1">
        <v>2020</v>
      </c>
      <c r="C1709" s="1" t="s">
        <v>1387</v>
      </c>
      <c r="D1709" s="2" t="s">
        <v>902</v>
      </c>
      <c r="E1709" s="7">
        <v>536328</v>
      </c>
      <c r="F1709" s="5">
        <v>3403660</v>
      </c>
    </row>
    <row r="1710" spans="1:6" ht="20" x14ac:dyDescent="0.25">
      <c r="A1710" s="5">
        <v>3403660</v>
      </c>
      <c r="B1710" s="1">
        <v>2021</v>
      </c>
      <c r="C1710" s="1" t="s">
        <v>1387</v>
      </c>
      <c r="D1710" s="3" t="s">
        <v>902</v>
      </c>
      <c r="E1710" s="7">
        <v>678407</v>
      </c>
      <c r="F1710" s="5">
        <v>3403660</v>
      </c>
    </row>
    <row r="1711" spans="1:6" ht="20" x14ac:dyDescent="0.25">
      <c r="A1711" s="5">
        <v>3403660</v>
      </c>
      <c r="B1711" s="1">
        <v>2022</v>
      </c>
      <c r="C1711" s="1" t="s">
        <v>1387</v>
      </c>
      <c r="D1711" s="2" t="s">
        <v>902</v>
      </c>
      <c r="E1711" s="7">
        <v>826456</v>
      </c>
      <c r="F1711" s="5">
        <v>3403660</v>
      </c>
    </row>
    <row r="1712" spans="1:6" ht="20" x14ac:dyDescent="0.25">
      <c r="A1712" s="5">
        <v>3403660</v>
      </c>
      <c r="B1712" s="1">
        <v>2023</v>
      </c>
      <c r="C1712" s="1" t="s">
        <v>1387</v>
      </c>
      <c r="D1712" s="2" t="s">
        <v>902</v>
      </c>
      <c r="E1712" s="7">
        <v>755451</v>
      </c>
      <c r="F1712" s="5">
        <v>3403660</v>
      </c>
    </row>
    <row r="1713" spans="1:6" x14ac:dyDescent="0.25">
      <c r="A1713" s="5">
        <v>3403690</v>
      </c>
      <c r="B1713" s="1">
        <v>2015</v>
      </c>
      <c r="C1713" s="1" t="s">
        <v>1387</v>
      </c>
      <c r="D1713" s="1" t="s">
        <v>115</v>
      </c>
      <c r="E1713" s="8">
        <v>133409</v>
      </c>
      <c r="F1713" s="5">
        <v>3403690</v>
      </c>
    </row>
    <row r="1714" spans="1:6" x14ac:dyDescent="0.25">
      <c r="A1714" s="5">
        <v>3403690</v>
      </c>
      <c r="B1714" s="1">
        <v>2016</v>
      </c>
      <c r="C1714" s="1" t="s">
        <v>1387</v>
      </c>
      <c r="D1714" s="1" t="s">
        <v>115</v>
      </c>
      <c r="E1714" s="8">
        <v>184083</v>
      </c>
      <c r="F1714" s="5">
        <v>3403690</v>
      </c>
    </row>
    <row r="1715" spans="1:6" x14ac:dyDescent="0.25">
      <c r="A1715" s="5">
        <v>3403690</v>
      </c>
      <c r="B1715" s="1">
        <v>2017</v>
      </c>
      <c r="C1715" s="1" t="s">
        <v>1387</v>
      </c>
      <c r="D1715" s="1" t="s">
        <v>115</v>
      </c>
      <c r="E1715" s="8">
        <v>264208</v>
      </c>
      <c r="F1715" s="5">
        <v>3403690</v>
      </c>
    </row>
    <row r="1716" spans="1:6" x14ac:dyDescent="0.25">
      <c r="A1716" s="5">
        <v>3403690</v>
      </c>
      <c r="B1716" s="1">
        <v>2018</v>
      </c>
      <c r="C1716" s="1" t="s">
        <v>1387</v>
      </c>
      <c r="D1716" s="1" t="s">
        <v>796</v>
      </c>
      <c r="E1716" s="8">
        <v>379736</v>
      </c>
      <c r="F1716" s="5">
        <v>3403690</v>
      </c>
    </row>
    <row r="1717" spans="1:6" x14ac:dyDescent="0.25">
      <c r="A1717" s="5">
        <v>3403690</v>
      </c>
      <c r="B1717" s="1">
        <v>2019</v>
      </c>
      <c r="C1717" s="1" t="s">
        <v>1387</v>
      </c>
      <c r="D1717" s="1" t="s">
        <v>796</v>
      </c>
      <c r="E1717" s="8">
        <v>494431</v>
      </c>
      <c r="F1717" s="5">
        <v>3403690</v>
      </c>
    </row>
    <row r="1718" spans="1:6" ht="20" x14ac:dyDescent="0.25">
      <c r="A1718" s="5">
        <v>3403690</v>
      </c>
      <c r="B1718" s="1">
        <v>2020</v>
      </c>
      <c r="C1718" s="1" t="s">
        <v>1387</v>
      </c>
      <c r="D1718" s="2" t="s">
        <v>796</v>
      </c>
      <c r="E1718" s="7">
        <v>575671</v>
      </c>
      <c r="F1718" s="5">
        <v>3403690</v>
      </c>
    </row>
    <row r="1719" spans="1:6" ht="20" x14ac:dyDescent="0.25">
      <c r="A1719" s="5">
        <v>3403690</v>
      </c>
      <c r="B1719" s="1">
        <v>2021</v>
      </c>
      <c r="C1719" s="1" t="s">
        <v>1387</v>
      </c>
      <c r="D1719" s="3" t="s">
        <v>796</v>
      </c>
      <c r="E1719" s="7">
        <v>742594</v>
      </c>
      <c r="F1719" s="5">
        <v>3403690</v>
      </c>
    </row>
    <row r="1720" spans="1:6" ht="20" x14ac:dyDescent="0.25">
      <c r="A1720" s="5">
        <v>3403690</v>
      </c>
      <c r="B1720" s="1">
        <v>2022</v>
      </c>
      <c r="C1720" s="1" t="s">
        <v>1387</v>
      </c>
      <c r="D1720" s="2" t="s">
        <v>796</v>
      </c>
      <c r="E1720" s="7">
        <v>965886</v>
      </c>
      <c r="F1720" s="5">
        <v>3403690</v>
      </c>
    </row>
    <row r="1721" spans="1:6" ht="20" x14ac:dyDescent="0.25">
      <c r="A1721" s="5">
        <v>3403690</v>
      </c>
      <c r="B1721" s="1">
        <v>2023</v>
      </c>
      <c r="C1721" s="1" t="s">
        <v>1387</v>
      </c>
      <c r="D1721" s="2" t="s">
        <v>796</v>
      </c>
      <c r="E1721" s="7">
        <v>844331</v>
      </c>
      <c r="F1721" s="5">
        <v>3403690</v>
      </c>
    </row>
    <row r="1722" spans="1:6" x14ac:dyDescent="0.25">
      <c r="A1722" s="5">
        <v>3403720</v>
      </c>
      <c r="B1722" s="1">
        <v>2015</v>
      </c>
      <c r="C1722" s="1" t="s">
        <v>1387</v>
      </c>
      <c r="D1722" s="1" t="s">
        <v>331</v>
      </c>
      <c r="E1722" s="8">
        <v>202697</v>
      </c>
      <c r="F1722" s="5">
        <v>3403720</v>
      </c>
    </row>
    <row r="1723" spans="1:6" x14ac:dyDescent="0.25">
      <c r="A1723" s="5">
        <v>3403720</v>
      </c>
      <c r="B1723" s="1">
        <v>2016</v>
      </c>
      <c r="C1723" s="1" t="s">
        <v>1387</v>
      </c>
      <c r="D1723" s="1" t="s">
        <v>331</v>
      </c>
      <c r="E1723" s="8">
        <v>298048</v>
      </c>
      <c r="F1723" s="5">
        <v>3403720</v>
      </c>
    </row>
    <row r="1724" spans="1:6" x14ac:dyDescent="0.25">
      <c r="A1724" s="5">
        <v>3403720</v>
      </c>
      <c r="B1724" s="1">
        <v>2017</v>
      </c>
      <c r="C1724" s="1" t="s">
        <v>1387</v>
      </c>
      <c r="D1724" s="1" t="s">
        <v>331</v>
      </c>
      <c r="E1724" s="8">
        <v>410250</v>
      </c>
      <c r="F1724" s="5">
        <v>3403720</v>
      </c>
    </row>
    <row r="1725" spans="1:6" x14ac:dyDescent="0.25">
      <c r="A1725" s="5">
        <v>3403720</v>
      </c>
      <c r="B1725" s="1">
        <v>2018</v>
      </c>
      <c r="C1725" s="1" t="s">
        <v>1387</v>
      </c>
      <c r="D1725" s="1" t="s">
        <v>1024</v>
      </c>
      <c r="E1725" s="8">
        <v>521941</v>
      </c>
      <c r="F1725" s="5">
        <v>3403720</v>
      </c>
    </row>
    <row r="1726" spans="1:6" x14ac:dyDescent="0.25">
      <c r="A1726" s="5">
        <v>3403720</v>
      </c>
      <c r="B1726" s="1">
        <v>2019</v>
      </c>
      <c r="C1726" s="1" t="s">
        <v>1387</v>
      </c>
      <c r="D1726" s="1" t="s">
        <v>1024</v>
      </c>
      <c r="E1726" s="8">
        <v>664946</v>
      </c>
      <c r="F1726" s="5">
        <v>3403720</v>
      </c>
    </row>
    <row r="1727" spans="1:6" ht="20" x14ac:dyDescent="0.25">
      <c r="A1727" s="5">
        <v>3403720</v>
      </c>
      <c r="B1727" s="1">
        <v>2020</v>
      </c>
      <c r="C1727" s="1" t="s">
        <v>1387</v>
      </c>
      <c r="D1727" s="2" t="s">
        <v>1024</v>
      </c>
      <c r="E1727" s="7">
        <v>755331</v>
      </c>
      <c r="F1727" s="5">
        <v>3403720</v>
      </c>
    </row>
    <row r="1728" spans="1:6" ht="20" x14ac:dyDescent="0.25">
      <c r="A1728" s="5">
        <v>3403720</v>
      </c>
      <c r="B1728" s="1">
        <v>2021</v>
      </c>
      <c r="C1728" s="1" t="s">
        <v>1387</v>
      </c>
      <c r="D1728" s="3" t="s">
        <v>1024</v>
      </c>
      <c r="E1728" s="7">
        <v>1008632</v>
      </c>
      <c r="F1728" s="5">
        <v>3403720</v>
      </c>
    </row>
    <row r="1729" spans="1:6" ht="20" x14ac:dyDescent="0.25">
      <c r="A1729" s="5">
        <v>3403720</v>
      </c>
      <c r="B1729" s="1">
        <v>2022</v>
      </c>
      <c r="C1729" s="1" t="s">
        <v>1387</v>
      </c>
      <c r="D1729" s="2" t="s">
        <v>1024</v>
      </c>
      <c r="E1729" s="7">
        <v>1437064</v>
      </c>
      <c r="F1729" s="5">
        <v>3403720</v>
      </c>
    </row>
    <row r="1730" spans="1:6" ht="20" x14ac:dyDescent="0.25">
      <c r="A1730" s="5">
        <v>3403720</v>
      </c>
      <c r="B1730" s="1">
        <v>2023</v>
      </c>
      <c r="C1730" s="1" t="s">
        <v>1387</v>
      </c>
      <c r="D1730" s="2" t="s">
        <v>1024</v>
      </c>
      <c r="E1730" s="7">
        <v>1541465</v>
      </c>
      <c r="F1730" s="5">
        <v>3403720</v>
      </c>
    </row>
    <row r="1731" spans="1:6" x14ac:dyDescent="0.25">
      <c r="A1731" s="5">
        <v>3403750</v>
      </c>
      <c r="B1731" s="1">
        <v>2015</v>
      </c>
      <c r="C1731" s="1" t="s">
        <v>1387</v>
      </c>
      <c r="D1731" s="1" t="s">
        <v>332</v>
      </c>
      <c r="E1731" s="8">
        <v>356535</v>
      </c>
      <c r="F1731" s="5">
        <v>3403750</v>
      </c>
    </row>
    <row r="1732" spans="1:6" x14ac:dyDescent="0.25">
      <c r="A1732" s="5">
        <v>3403750</v>
      </c>
      <c r="B1732" s="1">
        <v>2016</v>
      </c>
      <c r="C1732" s="1" t="s">
        <v>1387</v>
      </c>
      <c r="D1732" s="1" t="s">
        <v>332</v>
      </c>
      <c r="E1732" s="8">
        <v>514206</v>
      </c>
      <c r="F1732" s="5">
        <v>3403750</v>
      </c>
    </row>
    <row r="1733" spans="1:6" x14ac:dyDescent="0.25">
      <c r="A1733" s="5">
        <v>3403750</v>
      </c>
      <c r="B1733" s="1">
        <v>2017</v>
      </c>
      <c r="C1733" s="1" t="s">
        <v>1387</v>
      </c>
      <c r="D1733" s="1" t="s">
        <v>332</v>
      </c>
      <c r="E1733" s="8">
        <v>721352</v>
      </c>
      <c r="F1733" s="5">
        <v>3403750</v>
      </c>
    </row>
    <row r="1734" spans="1:6" x14ac:dyDescent="0.25">
      <c r="A1734" s="5">
        <v>3403750</v>
      </c>
      <c r="B1734" s="1">
        <v>2018</v>
      </c>
      <c r="C1734" s="1" t="s">
        <v>1387</v>
      </c>
      <c r="D1734" s="1" t="s">
        <v>1025</v>
      </c>
      <c r="E1734" s="8">
        <v>968610</v>
      </c>
      <c r="F1734" s="5">
        <v>3403750</v>
      </c>
    </row>
    <row r="1735" spans="1:6" x14ac:dyDescent="0.25">
      <c r="A1735" s="5">
        <v>3403750</v>
      </c>
      <c r="B1735" s="1">
        <v>2019</v>
      </c>
      <c r="C1735" s="1" t="s">
        <v>1387</v>
      </c>
      <c r="D1735" s="1" t="s">
        <v>1025</v>
      </c>
      <c r="E1735" s="8">
        <v>1318151</v>
      </c>
      <c r="F1735" s="5">
        <v>3403750</v>
      </c>
    </row>
    <row r="1736" spans="1:6" ht="20" x14ac:dyDescent="0.25">
      <c r="A1736" s="5">
        <v>3403750</v>
      </c>
      <c r="B1736" s="1">
        <v>2020</v>
      </c>
      <c r="C1736" s="1" t="s">
        <v>1387</v>
      </c>
      <c r="D1736" s="2" t="s">
        <v>1025</v>
      </c>
      <c r="E1736" s="7">
        <v>1440791</v>
      </c>
      <c r="F1736" s="5">
        <v>3403750</v>
      </c>
    </row>
    <row r="1737" spans="1:6" ht="20" x14ac:dyDescent="0.25">
      <c r="A1737" s="5">
        <v>3403750</v>
      </c>
      <c r="B1737" s="1">
        <v>2021</v>
      </c>
      <c r="C1737" s="1" t="s">
        <v>1387</v>
      </c>
      <c r="D1737" s="3" t="s">
        <v>1025</v>
      </c>
      <c r="E1737" s="7">
        <v>1859230</v>
      </c>
      <c r="F1737" s="5">
        <v>3403750</v>
      </c>
    </row>
    <row r="1738" spans="1:6" ht="20" x14ac:dyDescent="0.25">
      <c r="A1738" s="5">
        <v>3403750</v>
      </c>
      <c r="B1738" s="1">
        <v>2022</v>
      </c>
      <c r="C1738" s="1" t="s">
        <v>1387</v>
      </c>
      <c r="D1738" s="2" t="s">
        <v>1025</v>
      </c>
      <c r="E1738" s="7">
        <v>2611157</v>
      </c>
      <c r="F1738" s="5">
        <v>3403750</v>
      </c>
    </row>
    <row r="1739" spans="1:6" ht="20" x14ac:dyDescent="0.25">
      <c r="A1739" s="5">
        <v>3403750</v>
      </c>
      <c r="B1739" s="1">
        <v>2023</v>
      </c>
      <c r="C1739" s="1" t="s">
        <v>1387</v>
      </c>
      <c r="D1739" s="2" t="s">
        <v>1025</v>
      </c>
      <c r="E1739" s="7">
        <v>2521007</v>
      </c>
      <c r="F1739" s="5">
        <v>3403750</v>
      </c>
    </row>
    <row r="1740" spans="1:6" x14ac:dyDescent="0.25">
      <c r="A1740" s="5">
        <v>3403780</v>
      </c>
      <c r="B1740" s="1">
        <v>2015</v>
      </c>
      <c r="C1740" s="1" t="s">
        <v>1387</v>
      </c>
      <c r="D1740" s="1" t="s">
        <v>116</v>
      </c>
      <c r="E1740" s="8">
        <v>900058</v>
      </c>
      <c r="F1740" s="5">
        <v>3403780</v>
      </c>
    </row>
    <row r="1741" spans="1:6" x14ac:dyDescent="0.25">
      <c r="A1741" s="5">
        <v>3403780</v>
      </c>
      <c r="B1741" s="1">
        <v>2016</v>
      </c>
      <c r="C1741" s="1" t="s">
        <v>1387</v>
      </c>
      <c r="D1741" s="1" t="s">
        <v>116</v>
      </c>
      <c r="E1741" s="8">
        <v>1385951</v>
      </c>
      <c r="F1741" s="5">
        <v>3403780</v>
      </c>
    </row>
    <row r="1742" spans="1:6" x14ac:dyDescent="0.25">
      <c r="A1742" s="5">
        <v>3403780</v>
      </c>
      <c r="B1742" s="1">
        <v>2017</v>
      </c>
      <c r="C1742" s="1" t="s">
        <v>1387</v>
      </c>
      <c r="D1742" s="1" t="s">
        <v>116</v>
      </c>
      <c r="E1742" s="8">
        <v>1931138</v>
      </c>
      <c r="F1742" s="5">
        <v>3403780</v>
      </c>
    </row>
    <row r="1743" spans="1:6" x14ac:dyDescent="0.25">
      <c r="A1743" s="5">
        <v>3403780</v>
      </c>
      <c r="B1743" s="1">
        <v>2018</v>
      </c>
      <c r="C1743" s="1" t="s">
        <v>1387</v>
      </c>
      <c r="D1743" s="1" t="s">
        <v>797</v>
      </c>
      <c r="E1743" s="8">
        <v>2569311</v>
      </c>
      <c r="F1743" s="5">
        <v>3403780</v>
      </c>
    </row>
    <row r="1744" spans="1:6" x14ac:dyDescent="0.25">
      <c r="A1744" s="5">
        <v>3403780</v>
      </c>
      <c r="B1744" s="1">
        <v>2019</v>
      </c>
      <c r="C1744" s="1" t="s">
        <v>1387</v>
      </c>
      <c r="D1744" s="1" t="s">
        <v>797</v>
      </c>
      <c r="E1744" s="8">
        <v>3548773</v>
      </c>
      <c r="F1744" s="5">
        <v>3403780</v>
      </c>
    </row>
    <row r="1745" spans="1:6" ht="20" x14ac:dyDescent="0.25">
      <c r="A1745" s="5">
        <v>3403780</v>
      </c>
      <c r="B1745" s="1">
        <v>2020</v>
      </c>
      <c r="C1745" s="1" t="s">
        <v>1387</v>
      </c>
      <c r="D1745" s="2" t="s">
        <v>797</v>
      </c>
      <c r="E1745" s="7">
        <v>4084768</v>
      </c>
      <c r="F1745" s="5">
        <v>3403780</v>
      </c>
    </row>
    <row r="1746" spans="1:6" ht="20" x14ac:dyDescent="0.25">
      <c r="A1746" s="5">
        <v>3403780</v>
      </c>
      <c r="B1746" s="1">
        <v>2021</v>
      </c>
      <c r="C1746" s="1" t="s">
        <v>1387</v>
      </c>
      <c r="D1746" s="3" t="s">
        <v>797</v>
      </c>
      <c r="E1746" s="7">
        <v>5228582</v>
      </c>
      <c r="F1746" s="5">
        <v>3403780</v>
      </c>
    </row>
    <row r="1747" spans="1:6" ht="20" x14ac:dyDescent="0.25">
      <c r="A1747" s="5">
        <v>3403780</v>
      </c>
      <c r="B1747" s="1">
        <v>2022</v>
      </c>
      <c r="C1747" s="1" t="s">
        <v>1387</v>
      </c>
      <c r="D1747" s="2" t="s">
        <v>797</v>
      </c>
      <c r="E1747" s="7">
        <v>7602611</v>
      </c>
      <c r="F1747" s="5">
        <v>3403780</v>
      </c>
    </row>
    <row r="1748" spans="1:6" ht="20" x14ac:dyDescent="0.25">
      <c r="A1748" s="5">
        <v>3403780</v>
      </c>
      <c r="B1748" s="1">
        <v>2023</v>
      </c>
      <c r="C1748" s="1" t="s">
        <v>1387</v>
      </c>
      <c r="D1748" s="2" t="s">
        <v>797</v>
      </c>
      <c r="E1748" s="7">
        <v>7760237</v>
      </c>
      <c r="F1748" s="5">
        <v>3403780</v>
      </c>
    </row>
    <row r="1749" spans="1:6" x14ac:dyDescent="0.25">
      <c r="A1749" s="5">
        <v>3403810</v>
      </c>
      <c r="B1749" s="1">
        <v>2015</v>
      </c>
      <c r="C1749" s="1" t="s">
        <v>1387</v>
      </c>
      <c r="D1749" s="1" t="s">
        <v>39</v>
      </c>
      <c r="E1749" s="8">
        <v>289644</v>
      </c>
      <c r="F1749" s="5">
        <v>3403810</v>
      </c>
    </row>
    <row r="1750" spans="1:6" x14ac:dyDescent="0.25">
      <c r="A1750" s="5">
        <v>3403810</v>
      </c>
      <c r="B1750" s="1">
        <v>2016</v>
      </c>
      <c r="C1750" s="1" t="s">
        <v>1387</v>
      </c>
      <c r="D1750" s="1" t="s">
        <v>39</v>
      </c>
      <c r="E1750" s="8">
        <v>419674</v>
      </c>
      <c r="F1750" s="5">
        <v>3403810</v>
      </c>
    </row>
    <row r="1751" spans="1:6" x14ac:dyDescent="0.25">
      <c r="A1751" s="5">
        <v>3403810</v>
      </c>
      <c r="B1751" s="1">
        <v>2017</v>
      </c>
      <c r="C1751" s="1" t="s">
        <v>1387</v>
      </c>
      <c r="D1751" s="1" t="s">
        <v>39</v>
      </c>
      <c r="E1751" s="8">
        <v>579556</v>
      </c>
      <c r="F1751" s="5">
        <v>3403810</v>
      </c>
    </row>
    <row r="1752" spans="1:6" x14ac:dyDescent="0.25">
      <c r="A1752" s="5">
        <v>3403810</v>
      </c>
      <c r="B1752" s="1">
        <v>2018</v>
      </c>
      <c r="C1752" s="1" t="s">
        <v>1387</v>
      </c>
      <c r="D1752" s="1" t="s">
        <v>717</v>
      </c>
      <c r="E1752" s="8">
        <v>766509</v>
      </c>
      <c r="F1752" s="5">
        <v>3403810</v>
      </c>
    </row>
    <row r="1753" spans="1:6" x14ac:dyDescent="0.25">
      <c r="A1753" s="5">
        <v>3403810</v>
      </c>
      <c r="B1753" s="1">
        <v>2019</v>
      </c>
      <c r="C1753" s="1" t="s">
        <v>1387</v>
      </c>
      <c r="D1753" s="1" t="s">
        <v>717</v>
      </c>
      <c r="E1753" s="8">
        <v>1092898</v>
      </c>
      <c r="F1753" s="5">
        <v>3403810</v>
      </c>
    </row>
    <row r="1754" spans="1:6" ht="20" x14ac:dyDescent="0.25">
      <c r="A1754" s="5">
        <v>3403810</v>
      </c>
      <c r="B1754" s="1">
        <v>2020</v>
      </c>
      <c r="C1754" s="1" t="s">
        <v>1387</v>
      </c>
      <c r="D1754" s="2" t="s">
        <v>717</v>
      </c>
      <c r="E1754" s="7">
        <v>1278905</v>
      </c>
      <c r="F1754" s="5">
        <v>3403810</v>
      </c>
    </row>
    <row r="1755" spans="1:6" ht="20" x14ac:dyDescent="0.25">
      <c r="A1755" s="5">
        <v>3403810</v>
      </c>
      <c r="B1755" s="1">
        <v>2021</v>
      </c>
      <c r="C1755" s="1" t="s">
        <v>1387</v>
      </c>
      <c r="D1755" s="3" t="s">
        <v>717</v>
      </c>
      <c r="E1755" s="7">
        <v>1702785</v>
      </c>
      <c r="F1755" s="5">
        <v>3403810</v>
      </c>
    </row>
    <row r="1756" spans="1:6" ht="20" x14ac:dyDescent="0.25">
      <c r="A1756" s="5">
        <v>3403810</v>
      </c>
      <c r="B1756" s="1">
        <v>2022</v>
      </c>
      <c r="C1756" s="1" t="s">
        <v>1387</v>
      </c>
      <c r="D1756" s="2" t="s">
        <v>717</v>
      </c>
      <c r="E1756" s="7">
        <v>2474216</v>
      </c>
      <c r="F1756" s="5">
        <v>3403810</v>
      </c>
    </row>
    <row r="1757" spans="1:6" ht="20" x14ac:dyDescent="0.25">
      <c r="A1757" s="5">
        <v>3403810</v>
      </c>
      <c r="B1757" s="1">
        <v>2023</v>
      </c>
      <c r="C1757" s="1" t="s">
        <v>1387</v>
      </c>
      <c r="D1757" s="2" t="s">
        <v>717</v>
      </c>
      <c r="E1757" s="7">
        <v>2474580</v>
      </c>
      <c r="F1757" s="5">
        <v>3403810</v>
      </c>
    </row>
    <row r="1758" spans="1:6" x14ac:dyDescent="0.25">
      <c r="A1758" s="5">
        <v>3403840</v>
      </c>
      <c r="B1758" s="1">
        <v>2015</v>
      </c>
      <c r="C1758" s="1" t="s">
        <v>1387</v>
      </c>
      <c r="D1758" s="1" t="s">
        <v>200</v>
      </c>
      <c r="E1758" s="8">
        <v>261368</v>
      </c>
      <c r="F1758" s="5">
        <v>3403840</v>
      </c>
    </row>
    <row r="1759" spans="1:6" x14ac:dyDescent="0.25">
      <c r="A1759" s="5">
        <v>3403840</v>
      </c>
      <c r="B1759" s="1">
        <v>2016</v>
      </c>
      <c r="C1759" s="1" t="s">
        <v>1387</v>
      </c>
      <c r="D1759" s="1" t="s">
        <v>200</v>
      </c>
      <c r="E1759" s="8">
        <v>377665</v>
      </c>
      <c r="F1759" s="5">
        <v>3403840</v>
      </c>
    </row>
    <row r="1760" spans="1:6" x14ac:dyDescent="0.25">
      <c r="A1760" s="5">
        <v>3403840</v>
      </c>
      <c r="B1760" s="1">
        <v>2017</v>
      </c>
      <c r="C1760" s="1" t="s">
        <v>1387</v>
      </c>
      <c r="D1760" s="1" t="s">
        <v>200</v>
      </c>
      <c r="E1760" s="8">
        <v>504227</v>
      </c>
      <c r="F1760" s="5">
        <v>3403840</v>
      </c>
    </row>
    <row r="1761" spans="1:6" x14ac:dyDescent="0.25">
      <c r="A1761" s="5">
        <v>3403840</v>
      </c>
      <c r="B1761" s="1">
        <v>2018</v>
      </c>
      <c r="C1761" s="1" t="s">
        <v>1387</v>
      </c>
      <c r="D1761" s="1" t="s">
        <v>884</v>
      </c>
      <c r="E1761" s="8">
        <v>680956</v>
      </c>
      <c r="F1761" s="5">
        <v>3403840</v>
      </c>
    </row>
    <row r="1762" spans="1:6" x14ac:dyDescent="0.25">
      <c r="A1762" s="5">
        <v>3403840</v>
      </c>
      <c r="B1762" s="1">
        <v>2019</v>
      </c>
      <c r="C1762" s="1" t="s">
        <v>1387</v>
      </c>
      <c r="D1762" s="1" t="s">
        <v>884</v>
      </c>
      <c r="E1762" s="8">
        <v>961034</v>
      </c>
      <c r="F1762" s="5">
        <v>3403840</v>
      </c>
    </row>
    <row r="1763" spans="1:6" ht="20" x14ac:dyDescent="0.25">
      <c r="A1763" s="5">
        <v>3403840</v>
      </c>
      <c r="B1763" s="1">
        <v>2020</v>
      </c>
      <c r="C1763" s="1" t="s">
        <v>1387</v>
      </c>
      <c r="D1763" s="2" t="s">
        <v>884</v>
      </c>
      <c r="E1763" s="7">
        <v>1072537</v>
      </c>
      <c r="F1763" s="5">
        <v>3403840</v>
      </c>
    </row>
    <row r="1764" spans="1:6" ht="20" x14ac:dyDescent="0.25">
      <c r="A1764" s="5">
        <v>3403840</v>
      </c>
      <c r="B1764" s="1">
        <v>2021</v>
      </c>
      <c r="C1764" s="1" t="s">
        <v>1387</v>
      </c>
      <c r="D1764" s="3" t="s">
        <v>884</v>
      </c>
      <c r="E1764" s="7">
        <v>1334358</v>
      </c>
      <c r="F1764" s="5">
        <v>3403840</v>
      </c>
    </row>
    <row r="1765" spans="1:6" ht="20" x14ac:dyDescent="0.25">
      <c r="A1765" s="5">
        <v>3403840</v>
      </c>
      <c r="B1765" s="1">
        <v>2022</v>
      </c>
      <c r="C1765" s="1" t="s">
        <v>1387</v>
      </c>
      <c r="D1765" s="2" t="s">
        <v>884</v>
      </c>
      <c r="E1765" s="7">
        <v>1761098</v>
      </c>
      <c r="F1765" s="5">
        <v>3403840</v>
      </c>
    </row>
    <row r="1766" spans="1:6" ht="20" x14ac:dyDescent="0.25">
      <c r="A1766" s="5">
        <v>3403840</v>
      </c>
      <c r="B1766" s="1">
        <v>2023</v>
      </c>
      <c r="C1766" s="1" t="s">
        <v>1387</v>
      </c>
      <c r="D1766" s="2" t="s">
        <v>884</v>
      </c>
      <c r="E1766" s="7">
        <v>1723804</v>
      </c>
      <c r="F1766" s="5">
        <v>3403840</v>
      </c>
    </row>
    <row r="1767" spans="1:6" x14ac:dyDescent="0.25">
      <c r="A1767" s="5">
        <v>3403870</v>
      </c>
      <c r="B1767" s="1">
        <v>2015</v>
      </c>
      <c r="C1767" s="1" t="s">
        <v>1387</v>
      </c>
      <c r="D1767" s="1" t="s">
        <v>459</v>
      </c>
      <c r="E1767" s="8">
        <v>610068</v>
      </c>
      <c r="F1767" s="5">
        <v>3403870</v>
      </c>
    </row>
    <row r="1768" spans="1:6" x14ac:dyDescent="0.25">
      <c r="A1768" s="5">
        <v>3403870</v>
      </c>
      <c r="B1768" s="1">
        <v>2016</v>
      </c>
      <c r="C1768" s="1" t="s">
        <v>1387</v>
      </c>
      <c r="D1768" s="1" t="s">
        <v>459</v>
      </c>
      <c r="E1768" s="8">
        <v>899223</v>
      </c>
      <c r="F1768" s="5">
        <v>3403870</v>
      </c>
    </row>
    <row r="1769" spans="1:6" x14ac:dyDescent="0.25">
      <c r="A1769" s="5">
        <v>3403870</v>
      </c>
      <c r="B1769" s="1">
        <v>2017</v>
      </c>
      <c r="C1769" s="1" t="s">
        <v>1387</v>
      </c>
      <c r="D1769" s="1" t="s">
        <v>459</v>
      </c>
      <c r="E1769" s="8">
        <v>1242880</v>
      </c>
      <c r="F1769" s="5">
        <v>3403870</v>
      </c>
    </row>
    <row r="1770" spans="1:6" x14ac:dyDescent="0.25">
      <c r="A1770" s="5">
        <v>3403870</v>
      </c>
      <c r="B1770" s="1">
        <v>2018</v>
      </c>
      <c r="C1770" s="1" t="s">
        <v>1387</v>
      </c>
      <c r="D1770" s="1" t="s">
        <v>1151</v>
      </c>
      <c r="E1770" s="8">
        <v>1725676</v>
      </c>
      <c r="F1770" s="5">
        <v>3403870</v>
      </c>
    </row>
    <row r="1771" spans="1:6" x14ac:dyDescent="0.25">
      <c r="A1771" s="5">
        <v>3403870</v>
      </c>
      <c r="B1771" s="1">
        <v>2019</v>
      </c>
      <c r="C1771" s="1" t="s">
        <v>1387</v>
      </c>
      <c r="D1771" s="1" t="s">
        <v>1151</v>
      </c>
      <c r="E1771" s="8">
        <v>2338744</v>
      </c>
      <c r="F1771" s="5">
        <v>3403870</v>
      </c>
    </row>
    <row r="1772" spans="1:6" ht="20" x14ac:dyDescent="0.25">
      <c r="A1772" s="5">
        <v>3403870</v>
      </c>
      <c r="B1772" s="1">
        <v>2020</v>
      </c>
      <c r="C1772" s="1" t="s">
        <v>1387</v>
      </c>
      <c r="D1772" s="2" t="s">
        <v>1151</v>
      </c>
      <c r="E1772" s="7">
        <v>2607496</v>
      </c>
      <c r="F1772" s="5">
        <v>3403870</v>
      </c>
    </row>
    <row r="1773" spans="1:6" ht="20" x14ac:dyDescent="0.25">
      <c r="A1773" s="5">
        <v>3403870</v>
      </c>
      <c r="B1773" s="1">
        <v>2021</v>
      </c>
      <c r="C1773" s="1" t="s">
        <v>1387</v>
      </c>
      <c r="D1773" s="3" t="s">
        <v>1151</v>
      </c>
      <c r="E1773" s="7">
        <v>3366758</v>
      </c>
      <c r="F1773" s="5">
        <v>3403870</v>
      </c>
    </row>
    <row r="1774" spans="1:6" ht="20" x14ac:dyDescent="0.25">
      <c r="A1774" s="5">
        <v>3403870</v>
      </c>
      <c r="B1774" s="1">
        <v>2022</v>
      </c>
      <c r="C1774" s="1" t="s">
        <v>1387</v>
      </c>
      <c r="D1774" s="2" t="s">
        <v>1151</v>
      </c>
      <c r="E1774" s="7">
        <v>4870045</v>
      </c>
      <c r="F1774" s="5">
        <v>3403870</v>
      </c>
    </row>
    <row r="1775" spans="1:6" ht="20" x14ac:dyDescent="0.25">
      <c r="A1775" s="5">
        <v>3403870</v>
      </c>
      <c r="B1775" s="1">
        <v>2023</v>
      </c>
      <c r="C1775" s="1" t="s">
        <v>1387</v>
      </c>
      <c r="D1775" s="2" t="s">
        <v>1151</v>
      </c>
      <c r="E1775" s="7">
        <v>4943267</v>
      </c>
      <c r="F1775" s="5">
        <v>3403870</v>
      </c>
    </row>
    <row r="1776" spans="1:6" x14ac:dyDescent="0.25">
      <c r="A1776" s="5">
        <v>3403900</v>
      </c>
      <c r="B1776" s="1">
        <v>2015</v>
      </c>
      <c r="C1776" s="1" t="s">
        <v>1387</v>
      </c>
      <c r="D1776" s="1" t="s">
        <v>275</v>
      </c>
      <c r="E1776" s="8">
        <v>1416894</v>
      </c>
      <c r="F1776" s="5">
        <v>3403900</v>
      </c>
    </row>
    <row r="1777" spans="1:6" x14ac:dyDescent="0.25">
      <c r="A1777" s="5">
        <v>3403900</v>
      </c>
      <c r="B1777" s="1">
        <v>2016</v>
      </c>
      <c r="C1777" s="1" t="s">
        <v>1387</v>
      </c>
      <c r="D1777" s="1" t="s">
        <v>275</v>
      </c>
      <c r="E1777" s="8">
        <v>2142270</v>
      </c>
      <c r="F1777" s="5">
        <v>3403900</v>
      </c>
    </row>
    <row r="1778" spans="1:6" x14ac:dyDescent="0.25">
      <c r="A1778" s="5">
        <v>3403900</v>
      </c>
      <c r="B1778" s="1">
        <v>2017</v>
      </c>
      <c r="C1778" s="1" t="s">
        <v>1387</v>
      </c>
      <c r="D1778" s="1" t="s">
        <v>275</v>
      </c>
      <c r="E1778" s="8">
        <v>3064154</v>
      </c>
      <c r="F1778" s="5">
        <v>3403900</v>
      </c>
    </row>
    <row r="1779" spans="1:6" x14ac:dyDescent="0.25">
      <c r="A1779" s="5">
        <v>3403900</v>
      </c>
      <c r="B1779" s="1">
        <v>2018</v>
      </c>
      <c r="C1779" s="1" t="s">
        <v>1387</v>
      </c>
      <c r="D1779" s="1" t="s">
        <v>965</v>
      </c>
      <c r="E1779" s="8">
        <v>4239219</v>
      </c>
      <c r="F1779" s="5">
        <v>3403900</v>
      </c>
    </row>
    <row r="1780" spans="1:6" x14ac:dyDescent="0.25">
      <c r="A1780" s="5">
        <v>3403900</v>
      </c>
      <c r="B1780" s="1">
        <v>2019</v>
      </c>
      <c r="C1780" s="1" t="s">
        <v>1387</v>
      </c>
      <c r="D1780" s="1" t="s">
        <v>965</v>
      </c>
      <c r="E1780" s="8">
        <v>5451220</v>
      </c>
      <c r="F1780" s="5">
        <v>3403900</v>
      </c>
    </row>
    <row r="1781" spans="1:6" ht="20" x14ac:dyDescent="0.25">
      <c r="A1781" s="5">
        <v>3403900</v>
      </c>
      <c r="B1781" s="1">
        <v>2020</v>
      </c>
      <c r="C1781" s="1" t="s">
        <v>1387</v>
      </c>
      <c r="D1781" s="2" t="s">
        <v>965</v>
      </c>
      <c r="E1781" s="7">
        <v>5803063</v>
      </c>
      <c r="F1781" s="5">
        <v>3403900</v>
      </c>
    </row>
    <row r="1782" spans="1:6" ht="20" x14ac:dyDescent="0.25">
      <c r="A1782" s="5">
        <v>3403900</v>
      </c>
      <c r="B1782" s="1">
        <v>2021</v>
      </c>
      <c r="C1782" s="1" t="s">
        <v>1387</v>
      </c>
      <c r="D1782" s="3" t="s">
        <v>965</v>
      </c>
      <c r="E1782" s="7">
        <v>7890119</v>
      </c>
      <c r="F1782" s="5">
        <v>3403900</v>
      </c>
    </row>
    <row r="1783" spans="1:6" ht="20" x14ac:dyDescent="0.25">
      <c r="A1783" s="5">
        <v>3403900</v>
      </c>
      <c r="B1783" s="1">
        <v>2022</v>
      </c>
      <c r="C1783" s="1" t="s">
        <v>1387</v>
      </c>
      <c r="D1783" s="2" t="s">
        <v>965</v>
      </c>
      <c r="E1783" s="7">
        <v>11390463</v>
      </c>
      <c r="F1783" s="5">
        <v>3403900</v>
      </c>
    </row>
    <row r="1784" spans="1:6" ht="20" x14ac:dyDescent="0.25">
      <c r="A1784" s="5">
        <v>3403900</v>
      </c>
      <c r="B1784" s="1">
        <v>2023</v>
      </c>
      <c r="C1784" s="1" t="s">
        <v>1387</v>
      </c>
      <c r="D1784" s="2" t="s">
        <v>965</v>
      </c>
      <c r="E1784" s="7">
        <v>11286226</v>
      </c>
      <c r="F1784" s="5">
        <v>3403900</v>
      </c>
    </row>
    <row r="1785" spans="1:6" x14ac:dyDescent="0.25">
      <c r="A1785" s="5">
        <v>3403930</v>
      </c>
      <c r="B1785" s="1">
        <v>2015</v>
      </c>
      <c r="C1785" s="1" t="s">
        <v>1387</v>
      </c>
      <c r="D1785" s="1" t="s">
        <v>460</v>
      </c>
      <c r="E1785" s="8">
        <v>1032265</v>
      </c>
      <c r="F1785" s="5">
        <v>3403930</v>
      </c>
    </row>
    <row r="1786" spans="1:6" x14ac:dyDescent="0.25">
      <c r="A1786" s="5">
        <v>3403930</v>
      </c>
      <c r="B1786" s="1">
        <v>2016</v>
      </c>
      <c r="C1786" s="1" t="s">
        <v>1387</v>
      </c>
      <c r="D1786" s="1" t="s">
        <v>460</v>
      </c>
      <c r="E1786" s="8">
        <v>1521082</v>
      </c>
      <c r="F1786" s="5">
        <v>3403930</v>
      </c>
    </row>
    <row r="1787" spans="1:6" x14ac:dyDescent="0.25">
      <c r="A1787" s="5">
        <v>3403930</v>
      </c>
      <c r="B1787" s="1">
        <v>2017</v>
      </c>
      <c r="C1787" s="1" t="s">
        <v>1387</v>
      </c>
      <c r="D1787" s="1" t="s">
        <v>460</v>
      </c>
      <c r="E1787" s="8">
        <v>2059188</v>
      </c>
      <c r="F1787" s="5">
        <v>3403930</v>
      </c>
    </row>
    <row r="1788" spans="1:6" x14ac:dyDescent="0.25">
      <c r="A1788" s="5">
        <v>3403930</v>
      </c>
      <c r="B1788" s="1">
        <v>2018</v>
      </c>
      <c r="C1788" s="1" t="s">
        <v>1387</v>
      </c>
      <c r="D1788" s="1" t="s">
        <v>1152</v>
      </c>
      <c r="E1788" s="8">
        <v>2767041</v>
      </c>
      <c r="F1788" s="5">
        <v>3403930</v>
      </c>
    </row>
    <row r="1789" spans="1:6" x14ac:dyDescent="0.25">
      <c r="A1789" s="5">
        <v>3403930</v>
      </c>
      <c r="B1789" s="1">
        <v>2019</v>
      </c>
      <c r="C1789" s="1" t="s">
        <v>1387</v>
      </c>
      <c r="D1789" s="1" t="s">
        <v>1152</v>
      </c>
      <c r="E1789" s="8">
        <v>3690973</v>
      </c>
      <c r="F1789" s="5">
        <v>3403930</v>
      </c>
    </row>
    <row r="1790" spans="1:6" ht="20" x14ac:dyDescent="0.25">
      <c r="A1790" s="5">
        <v>3403930</v>
      </c>
      <c r="B1790" s="1">
        <v>2020</v>
      </c>
      <c r="C1790" s="1" t="s">
        <v>1387</v>
      </c>
      <c r="D1790" s="2" t="s">
        <v>1152</v>
      </c>
      <c r="E1790" s="7">
        <v>4009915</v>
      </c>
      <c r="F1790" s="5">
        <v>3403930</v>
      </c>
    </row>
    <row r="1791" spans="1:6" ht="20" x14ac:dyDescent="0.25">
      <c r="A1791" s="5">
        <v>3403930</v>
      </c>
      <c r="B1791" s="1">
        <v>2021</v>
      </c>
      <c r="C1791" s="1" t="s">
        <v>1387</v>
      </c>
      <c r="D1791" s="3" t="s">
        <v>1152</v>
      </c>
      <c r="E1791" s="7">
        <v>5226570</v>
      </c>
      <c r="F1791" s="5">
        <v>3403930</v>
      </c>
    </row>
    <row r="1792" spans="1:6" ht="20" x14ac:dyDescent="0.25">
      <c r="A1792" s="5">
        <v>3403930</v>
      </c>
      <c r="B1792" s="1">
        <v>2022</v>
      </c>
      <c r="C1792" s="1" t="s">
        <v>1387</v>
      </c>
      <c r="D1792" s="2" t="s">
        <v>1152</v>
      </c>
      <c r="E1792" s="7">
        <v>7879833</v>
      </c>
      <c r="F1792" s="5">
        <v>3403930</v>
      </c>
    </row>
    <row r="1793" spans="1:6" ht="20" x14ac:dyDescent="0.25">
      <c r="A1793" s="5">
        <v>3403930</v>
      </c>
      <c r="B1793" s="1">
        <v>2023</v>
      </c>
      <c r="C1793" s="1" t="s">
        <v>1387</v>
      </c>
      <c r="D1793" s="2" t="s">
        <v>1152</v>
      </c>
      <c r="E1793" s="7">
        <v>8013647</v>
      </c>
      <c r="F1793" s="5">
        <v>3403930</v>
      </c>
    </row>
    <row r="1794" spans="1:6" x14ac:dyDescent="0.25">
      <c r="A1794" s="5">
        <v>3403960</v>
      </c>
      <c r="B1794" s="1">
        <v>2015</v>
      </c>
      <c r="C1794" s="1" t="s">
        <v>1387</v>
      </c>
      <c r="D1794" s="1" t="s">
        <v>217</v>
      </c>
      <c r="E1794" s="8">
        <v>65591</v>
      </c>
      <c r="F1794" s="5">
        <v>3403960</v>
      </c>
    </row>
    <row r="1795" spans="1:6" x14ac:dyDescent="0.25">
      <c r="A1795" s="5">
        <v>3403960</v>
      </c>
      <c r="B1795" s="1">
        <v>2016</v>
      </c>
      <c r="C1795" s="1" t="s">
        <v>1387</v>
      </c>
      <c r="D1795" s="1" t="s">
        <v>217</v>
      </c>
      <c r="E1795" s="8">
        <v>94291</v>
      </c>
      <c r="F1795" s="5">
        <v>3403960</v>
      </c>
    </row>
    <row r="1796" spans="1:6" x14ac:dyDescent="0.25">
      <c r="A1796" s="5">
        <v>3403960</v>
      </c>
      <c r="B1796" s="1">
        <v>2017</v>
      </c>
      <c r="C1796" s="1" t="s">
        <v>1387</v>
      </c>
      <c r="D1796" s="1" t="s">
        <v>217</v>
      </c>
      <c r="E1796" s="8">
        <v>141688</v>
      </c>
      <c r="F1796" s="5">
        <v>3403960</v>
      </c>
    </row>
    <row r="1797" spans="1:6" x14ac:dyDescent="0.25">
      <c r="A1797" s="5">
        <v>3403960</v>
      </c>
      <c r="B1797" s="1">
        <v>2018</v>
      </c>
      <c r="C1797" s="1" t="s">
        <v>1387</v>
      </c>
      <c r="D1797" s="1" t="s">
        <v>903</v>
      </c>
      <c r="E1797" s="8">
        <v>180086</v>
      </c>
      <c r="F1797" s="5">
        <v>3403960</v>
      </c>
    </row>
    <row r="1798" spans="1:6" x14ac:dyDescent="0.25">
      <c r="A1798" s="5">
        <v>3403960</v>
      </c>
      <c r="B1798" s="1">
        <v>2019</v>
      </c>
      <c r="C1798" s="1" t="s">
        <v>1387</v>
      </c>
      <c r="D1798" s="1" t="s">
        <v>903</v>
      </c>
      <c r="E1798" s="8">
        <v>244616</v>
      </c>
      <c r="F1798" s="5">
        <v>3403960</v>
      </c>
    </row>
    <row r="1799" spans="1:6" ht="20" x14ac:dyDescent="0.25">
      <c r="A1799" s="5">
        <v>3403960</v>
      </c>
      <c r="B1799" s="1">
        <v>2020</v>
      </c>
      <c r="C1799" s="1" t="s">
        <v>1387</v>
      </c>
      <c r="D1799" s="2" t="s">
        <v>903</v>
      </c>
      <c r="E1799" s="7">
        <v>257151</v>
      </c>
      <c r="F1799" s="5">
        <v>3403960</v>
      </c>
    </row>
    <row r="1800" spans="1:6" ht="20" x14ac:dyDescent="0.25">
      <c r="A1800" s="5">
        <v>3403960</v>
      </c>
      <c r="B1800" s="1">
        <v>2021</v>
      </c>
      <c r="C1800" s="1" t="s">
        <v>1387</v>
      </c>
      <c r="D1800" s="3" t="s">
        <v>903</v>
      </c>
      <c r="E1800" s="7">
        <v>350719</v>
      </c>
      <c r="F1800" s="5">
        <v>3403960</v>
      </c>
    </row>
    <row r="1801" spans="1:6" ht="20" x14ac:dyDescent="0.25">
      <c r="A1801" s="5">
        <v>3403960</v>
      </c>
      <c r="B1801" s="1">
        <v>2022</v>
      </c>
      <c r="C1801" s="1" t="s">
        <v>1387</v>
      </c>
      <c r="D1801" s="2" t="s">
        <v>903</v>
      </c>
      <c r="E1801" s="7">
        <v>495749</v>
      </c>
      <c r="F1801" s="5">
        <v>3403960</v>
      </c>
    </row>
    <row r="1802" spans="1:6" ht="20" x14ac:dyDescent="0.25">
      <c r="A1802" s="5">
        <v>3403960</v>
      </c>
      <c r="B1802" s="1">
        <v>2023</v>
      </c>
      <c r="C1802" s="1" t="s">
        <v>1387</v>
      </c>
      <c r="D1802" s="2" t="s">
        <v>903</v>
      </c>
      <c r="E1802" s="7">
        <v>471913</v>
      </c>
      <c r="F1802" s="5">
        <v>3403960</v>
      </c>
    </row>
    <row r="1803" spans="1:6" x14ac:dyDescent="0.25">
      <c r="A1803" s="5">
        <v>3403990</v>
      </c>
      <c r="B1803" s="1">
        <v>2015</v>
      </c>
      <c r="C1803" s="1" t="s">
        <v>1387</v>
      </c>
      <c r="D1803" s="1" t="s">
        <v>40</v>
      </c>
      <c r="E1803" s="8">
        <v>1008833</v>
      </c>
      <c r="F1803" s="5">
        <v>3403990</v>
      </c>
    </row>
    <row r="1804" spans="1:6" x14ac:dyDescent="0.25">
      <c r="A1804" s="5">
        <v>3403990</v>
      </c>
      <c r="B1804" s="1">
        <v>2016</v>
      </c>
      <c r="C1804" s="1" t="s">
        <v>1387</v>
      </c>
      <c r="D1804" s="1" t="s">
        <v>40</v>
      </c>
      <c r="E1804" s="8">
        <v>1531664</v>
      </c>
      <c r="F1804" s="5">
        <v>3403990</v>
      </c>
    </row>
    <row r="1805" spans="1:6" x14ac:dyDescent="0.25">
      <c r="A1805" s="5">
        <v>3403990</v>
      </c>
      <c r="B1805" s="1">
        <v>2017</v>
      </c>
      <c r="C1805" s="1" t="s">
        <v>1387</v>
      </c>
      <c r="D1805" s="1" t="s">
        <v>40</v>
      </c>
      <c r="E1805" s="8">
        <v>2108672</v>
      </c>
      <c r="F1805" s="5">
        <v>3403990</v>
      </c>
    </row>
    <row r="1806" spans="1:6" x14ac:dyDescent="0.25">
      <c r="A1806" s="5">
        <v>3403990</v>
      </c>
      <c r="B1806" s="1">
        <v>2018</v>
      </c>
      <c r="C1806" s="1" t="s">
        <v>1387</v>
      </c>
      <c r="D1806" s="1" t="s">
        <v>718</v>
      </c>
      <c r="E1806" s="8">
        <v>2793010</v>
      </c>
      <c r="F1806" s="5">
        <v>3403990</v>
      </c>
    </row>
    <row r="1807" spans="1:6" x14ac:dyDescent="0.25">
      <c r="A1807" s="5">
        <v>3403990</v>
      </c>
      <c r="B1807" s="1">
        <v>2019</v>
      </c>
      <c r="C1807" s="1" t="s">
        <v>1387</v>
      </c>
      <c r="D1807" s="1" t="s">
        <v>718</v>
      </c>
      <c r="E1807" s="8">
        <v>3575437</v>
      </c>
      <c r="F1807" s="5">
        <v>3403990</v>
      </c>
    </row>
    <row r="1808" spans="1:6" ht="20" x14ac:dyDescent="0.25">
      <c r="A1808" s="5">
        <v>3403990</v>
      </c>
      <c r="B1808" s="1">
        <v>2020</v>
      </c>
      <c r="C1808" s="1" t="s">
        <v>1387</v>
      </c>
      <c r="D1808" s="2" t="s">
        <v>718</v>
      </c>
      <c r="E1808" s="7">
        <v>4308459</v>
      </c>
      <c r="F1808" s="5">
        <v>3403990</v>
      </c>
    </row>
    <row r="1809" spans="1:6" ht="20" x14ac:dyDescent="0.25">
      <c r="A1809" s="5">
        <v>3403990</v>
      </c>
      <c r="B1809" s="1">
        <v>2021</v>
      </c>
      <c r="C1809" s="1" t="s">
        <v>1387</v>
      </c>
      <c r="D1809" s="3" t="s">
        <v>718</v>
      </c>
      <c r="E1809" s="7">
        <v>5332653</v>
      </c>
      <c r="F1809" s="5">
        <v>3403990</v>
      </c>
    </row>
    <row r="1810" spans="1:6" ht="20" x14ac:dyDescent="0.25">
      <c r="A1810" s="5">
        <v>3403990</v>
      </c>
      <c r="B1810" s="1">
        <v>2022</v>
      </c>
      <c r="C1810" s="1" t="s">
        <v>1387</v>
      </c>
      <c r="D1810" s="2" t="s">
        <v>718</v>
      </c>
      <c r="E1810" s="7">
        <v>7745556</v>
      </c>
      <c r="F1810" s="5">
        <v>3403990</v>
      </c>
    </row>
    <row r="1811" spans="1:6" ht="20" x14ac:dyDescent="0.25">
      <c r="A1811" s="5">
        <v>3403990</v>
      </c>
      <c r="B1811" s="1">
        <v>2023</v>
      </c>
      <c r="C1811" s="1" t="s">
        <v>1387</v>
      </c>
      <c r="D1811" s="2" t="s">
        <v>718</v>
      </c>
      <c r="E1811" s="7">
        <v>7735902</v>
      </c>
      <c r="F1811" s="5">
        <v>3403990</v>
      </c>
    </row>
    <row r="1812" spans="1:6" x14ac:dyDescent="0.25">
      <c r="A1812" s="5">
        <v>3404020</v>
      </c>
      <c r="B1812" s="1">
        <v>2015</v>
      </c>
      <c r="C1812" s="1" t="s">
        <v>1387</v>
      </c>
      <c r="D1812" s="1" t="s">
        <v>375</v>
      </c>
      <c r="E1812" s="8">
        <v>372094</v>
      </c>
      <c r="F1812" s="5">
        <v>3404020</v>
      </c>
    </row>
    <row r="1813" spans="1:6" x14ac:dyDescent="0.25">
      <c r="A1813" s="5">
        <v>3404020</v>
      </c>
      <c r="B1813" s="1">
        <v>2016</v>
      </c>
      <c r="C1813" s="1" t="s">
        <v>1387</v>
      </c>
      <c r="D1813" s="1" t="s">
        <v>375</v>
      </c>
      <c r="E1813" s="8">
        <v>552683</v>
      </c>
      <c r="F1813" s="5">
        <v>3404020</v>
      </c>
    </row>
    <row r="1814" spans="1:6" x14ac:dyDescent="0.25">
      <c r="A1814" s="5">
        <v>3404020</v>
      </c>
      <c r="B1814" s="1">
        <v>2017</v>
      </c>
      <c r="C1814" s="1" t="s">
        <v>1387</v>
      </c>
      <c r="D1814" s="1" t="s">
        <v>375</v>
      </c>
      <c r="E1814" s="8">
        <v>727567</v>
      </c>
      <c r="F1814" s="5">
        <v>3404020</v>
      </c>
    </row>
    <row r="1815" spans="1:6" x14ac:dyDescent="0.25">
      <c r="A1815" s="5">
        <v>3404020</v>
      </c>
      <c r="B1815" s="1">
        <v>2018</v>
      </c>
      <c r="C1815" s="1" t="s">
        <v>1387</v>
      </c>
      <c r="D1815" s="1" t="s">
        <v>1067</v>
      </c>
      <c r="E1815" s="8">
        <v>1043229</v>
      </c>
      <c r="F1815" s="5">
        <v>3404020</v>
      </c>
    </row>
    <row r="1816" spans="1:6" x14ac:dyDescent="0.25">
      <c r="A1816" s="5">
        <v>3404020</v>
      </c>
      <c r="B1816" s="1">
        <v>2019</v>
      </c>
      <c r="C1816" s="1" t="s">
        <v>1387</v>
      </c>
      <c r="D1816" s="1" t="s">
        <v>1067</v>
      </c>
      <c r="E1816" s="8">
        <v>1383399</v>
      </c>
      <c r="F1816" s="5">
        <v>3404020</v>
      </c>
    </row>
    <row r="1817" spans="1:6" ht="20" x14ac:dyDescent="0.25">
      <c r="A1817" s="5">
        <v>3404020</v>
      </c>
      <c r="B1817" s="1">
        <v>2020</v>
      </c>
      <c r="C1817" s="1" t="s">
        <v>1387</v>
      </c>
      <c r="D1817" s="2" t="s">
        <v>1067</v>
      </c>
      <c r="E1817" s="7">
        <v>1573765</v>
      </c>
      <c r="F1817" s="5">
        <v>3404020</v>
      </c>
    </row>
    <row r="1818" spans="1:6" ht="20" x14ac:dyDescent="0.25">
      <c r="A1818" s="5">
        <v>3404020</v>
      </c>
      <c r="B1818" s="1">
        <v>2021</v>
      </c>
      <c r="C1818" s="1" t="s">
        <v>1387</v>
      </c>
      <c r="D1818" s="3" t="s">
        <v>1067</v>
      </c>
      <c r="E1818" s="7">
        <v>2069625</v>
      </c>
      <c r="F1818" s="5">
        <v>3404020</v>
      </c>
    </row>
    <row r="1819" spans="1:6" ht="20" x14ac:dyDescent="0.25">
      <c r="A1819" s="5">
        <v>3404020</v>
      </c>
      <c r="B1819" s="1">
        <v>2022</v>
      </c>
      <c r="C1819" s="1" t="s">
        <v>1387</v>
      </c>
      <c r="D1819" s="2" t="s">
        <v>1067</v>
      </c>
      <c r="E1819" s="7">
        <v>2990832</v>
      </c>
      <c r="F1819" s="5">
        <v>3404020</v>
      </c>
    </row>
    <row r="1820" spans="1:6" ht="20" x14ac:dyDescent="0.25">
      <c r="A1820" s="5">
        <v>3404020</v>
      </c>
      <c r="B1820" s="1">
        <v>2023</v>
      </c>
      <c r="C1820" s="1" t="s">
        <v>1387</v>
      </c>
      <c r="D1820" s="2" t="s">
        <v>1067</v>
      </c>
      <c r="E1820" s="7">
        <v>2968391</v>
      </c>
      <c r="F1820" s="5">
        <v>3404020</v>
      </c>
    </row>
    <row r="1821" spans="1:6" x14ac:dyDescent="0.25">
      <c r="A1821" s="5">
        <v>3404050</v>
      </c>
      <c r="B1821" s="1">
        <v>2015</v>
      </c>
      <c r="C1821" s="1" t="s">
        <v>1387</v>
      </c>
      <c r="D1821" s="1" t="s">
        <v>500</v>
      </c>
      <c r="E1821" s="8">
        <v>54692</v>
      </c>
      <c r="F1821" s="5">
        <v>3404050</v>
      </c>
    </row>
    <row r="1822" spans="1:6" x14ac:dyDescent="0.25">
      <c r="A1822" s="5">
        <v>3404050</v>
      </c>
      <c r="B1822" s="1">
        <v>2016</v>
      </c>
      <c r="C1822" s="1" t="s">
        <v>1387</v>
      </c>
      <c r="D1822" s="1" t="s">
        <v>500</v>
      </c>
      <c r="E1822" s="8">
        <v>89484</v>
      </c>
      <c r="F1822" s="5">
        <v>3404050</v>
      </c>
    </row>
    <row r="1823" spans="1:6" x14ac:dyDescent="0.25">
      <c r="A1823" s="5">
        <v>3404050</v>
      </c>
      <c r="B1823" s="1">
        <v>2017</v>
      </c>
      <c r="C1823" s="1" t="s">
        <v>1387</v>
      </c>
      <c r="D1823" s="1" t="s">
        <v>500</v>
      </c>
      <c r="E1823" s="8">
        <v>135043</v>
      </c>
      <c r="F1823" s="5">
        <v>3404050</v>
      </c>
    </row>
    <row r="1824" spans="1:6" x14ac:dyDescent="0.25">
      <c r="A1824" s="5">
        <v>3404050</v>
      </c>
      <c r="B1824" s="1">
        <v>2018</v>
      </c>
      <c r="C1824" s="1" t="s">
        <v>1387</v>
      </c>
      <c r="D1824" s="1" t="s">
        <v>1192</v>
      </c>
      <c r="E1824" s="8">
        <v>171828</v>
      </c>
      <c r="F1824" s="5">
        <v>3404050</v>
      </c>
    </row>
    <row r="1825" spans="1:6" x14ac:dyDescent="0.25">
      <c r="A1825" s="5">
        <v>3404050</v>
      </c>
      <c r="B1825" s="1">
        <v>2019</v>
      </c>
      <c r="C1825" s="1" t="s">
        <v>1387</v>
      </c>
      <c r="D1825" s="1" t="s">
        <v>1192</v>
      </c>
      <c r="E1825" s="8">
        <v>238864</v>
      </c>
      <c r="F1825" s="5">
        <v>3404050</v>
      </c>
    </row>
    <row r="1826" spans="1:6" ht="20" x14ac:dyDescent="0.25">
      <c r="A1826" s="5">
        <v>3404050</v>
      </c>
      <c r="B1826" s="1">
        <v>2020</v>
      </c>
      <c r="C1826" s="1" t="s">
        <v>1387</v>
      </c>
      <c r="D1826" s="2" t="s">
        <v>1192</v>
      </c>
      <c r="E1826" s="7">
        <v>274184</v>
      </c>
      <c r="F1826" s="5">
        <v>3404050</v>
      </c>
    </row>
    <row r="1827" spans="1:6" ht="20" x14ac:dyDescent="0.25">
      <c r="A1827" s="5">
        <v>3404050</v>
      </c>
      <c r="B1827" s="1">
        <v>2021</v>
      </c>
      <c r="C1827" s="1" t="s">
        <v>1387</v>
      </c>
      <c r="D1827" s="3" t="s">
        <v>1192</v>
      </c>
      <c r="E1827" s="7">
        <v>355891</v>
      </c>
      <c r="F1827" s="5">
        <v>3404050</v>
      </c>
    </row>
    <row r="1828" spans="1:6" ht="20" x14ac:dyDescent="0.25">
      <c r="A1828" s="5">
        <v>3404050</v>
      </c>
      <c r="B1828" s="1">
        <v>2022</v>
      </c>
      <c r="C1828" s="1" t="s">
        <v>1387</v>
      </c>
      <c r="D1828" s="2" t="s">
        <v>1192</v>
      </c>
      <c r="E1828" s="7">
        <v>462705</v>
      </c>
      <c r="F1828" s="5">
        <v>3404050</v>
      </c>
    </row>
    <row r="1829" spans="1:6" ht="20" x14ac:dyDescent="0.25">
      <c r="A1829" s="5">
        <v>3404050</v>
      </c>
      <c r="B1829" s="1">
        <v>2023</v>
      </c>
      <c r="C1829" s="1" t="s">
        <v>1387</v>
      </c>
      <c r="D1829" s="2" t="s">
        <v>1192</v>
      </c>
      <c r="E1829" s="7">
        <v>541323</v>
      </c>
      <c r="F1829" s="5">
        <v>3404050</v>
      </c>
    </row>
    <row r="1830" spans="1:6" x14ac:dyDescent="0.25">
      <c r="A1830" s="5">
        <v>3404080</v>
      </c>
      <c r="B1830" s="1">
        <v>2015</v>
      </c>
      <c r="C1830" s="1" t="s">
        <v>1387</v>
      </c>
      <c r="D1830" s="1" t="s">
        <v>333</v>
      </c>
      <c r="E1830" s="8">
        <v>199137</v>
      </c>
      <c r="F1830" s="5">
        <v>3404080</v>
      </c>
    </row>
    <row r="1831" spans="1:6" x14ac:dyDescent="0.25">
      <c r="A1831" s="5">
        <v>3404080</v>
      </c>
      <c r="B1831" s="1">
        <v>2016</v>
      </c>
      <c r="C1831" s="1" t="s">
        <v>1387</v>
      </c>
      <c r="D1831" s="1" t="s">
        <v>333</v>
      </c>
      <c r="E1831" s="8">
        <v>282264</v>
      </c>
      <c r="F1831" s="5">
        <v>3404080</v>
      </c>
    </row>
    <row r="1832" spans="1:6" x14ac:dyDescent="0.25">
      <c r="A1832" s="5">
        <v>3404080</v>
      </c>
      <c r="B1832" s="1">
        <v>2017</v>
      </c>
      <c r="C1832" s="1" t="s">
        <v>1387</v>
      </c>
      <c r="D1832" s="1" t="s">
        <v>333</v>
      </c>
      <c r="E1832" s="8">
        <v>403833</v>
      </c>
      <c r="F1832" s="5">
        <v>3404080</v>
      </c>
    </row>
    <row r="1833" spans="1:6" x14ac:dyDescent="0.25">
      <c r="A1833" s="5">
        <v>3404080</v>
      </c>
      <c r="B1833" s="1">
        <v>2018</v>
      </c>
      <c r="C1833" s="1" t="s">
        <v>1387</v>
      </c>
      <c r="D1833" s="1" t="s">
        <v>1026</v>
      </c>
      <c r="E1833" s="8">
        <v>519820</v>
      </c>
      <c r="F1833" s="5">
        <v>3404080</v>
      </c>
    </row>
    <row r="1834" spans="1:6" x14ac:dyDescent="0.25">
      <c r="A1834" s="5">
        <v>3404080</v>
      </c>
      <c r="B1834" s="1">
        <v>2019</v>
      </c>
      <c r="C1834" s="1" t="s">
        <v>1387</v>
      </c>
      <c r="D1834" s="1" t="s">
        <v>1026</v>
      </c>
      <c r="E1834" s="8">
        <v>679211</v>
      </c>
      <c r="F1834" s="5">
        <v>3404080</v>
      </c>
    </row>
    <row r="1835" spans="1:6" ht="20" x14ac:dyDescent="0.25">
      <c r="A1835" s="5">
        <v>3404080</v>
      </c>
      <c r="B1835" s="1">
        <v>2020</v>
      </c>
      <c r="C1835" s="1" t="s">
        <v>1387</v>
      </c>
      <c r="D1835" s="2" t="s">
        <v>1026</v>
      </c>
      <c r="E1835" s="7">
        <v>758695</v>
      </c>
      <c r="F1835" s="5">
        <v>3404080</v>
      </c>
    </row>
    <row r="1836" spans="1:6" ht="20" x14ac:dyDescent="0.25">
      <c r="A1836" s="5">
        <v>3404080</v>
      </c>
      <c r="B1836" s="1">
        <v>2021</v>
      </c>
      <c r="C1836" s="1" t="s">
        <v>1387</v>
      </c>
      <c r="D1836" s="3" t="s">
        <v>1026</v>
      </c>
      <c r="E1836" s="7">
        <v>945736</v>
      </c>
      <c r="F1836" s="5">
        <v>3404080</v>
      </c>
    </row>
    <row r="1837" spans="1:6" ht="20" x14ac:dyDescent="0.25">
      <c r="A1837" s="5">
        <v>3404080</v>
      </c>
      <c r="B1837" s="1">
        <v>2022</v>
      </c>
      <c r="C1837" s="1" t="s">
        <v>1387</v>
      </c>
      <c r="D1837" s="2" t="s">
        <v>1026</v>
      </c>
      <c r="E1837" s="7">
        <v>1410337</v>
      </c>
      <c r="F1837" s="5">
        <v>3404080</v>
      </c>
    </row>
    <row r="1838" spans="1:6" ht="20" x14ac:dyDescent="0.25">
      <c r="A1838" s="5">
        <v>3404080</v>
      </c>
      <c r="B1838" s="1">
        <v>2023</v>
      </c>
      <c r="C1838" s="1" t="s">
        <v>1387</v>
      </c>
      <c r="D1838" s="2" t="s">
        <v>1026</v>
      </c>
      <c r="E1838" s="7">
        <v>1338372</v>
      </c>
      <c r="F1838" s="5">
        <v>3404080</v>
      </c>
    </row>
    <row r="1839" spans="1:6" x14ac:dyDescent="0.25">
      <c r="A1839" s="5">
        <v>3404110</v>
      </c>
      <c r="B1839" s="1">
        <v>2015</v>
      </c>
      <c r="C1839" s="1" t="s">
        <v>1387</v>
      </c>
      <c r="D1839" s="1" t="s">
        <v>376</v>
      </c>
      <c r="E1839" s="8">
        <v>3083923</v>
      </c>
      <c r="F1839" s="5">
        <v>3404110</v>
      </c>
    </row>
    <row r="1840" spans="1:6" x14ac:dyDescent="0.25">
      <c r="A1840" s="5">
        <v>3404110</v>
      </c>
      <c r="B1840" s="1">
        <v>2016</v>
      </c>
      <c r="C1840" s="1" t="s">
        <v>1387</v>
      </c>
      <c r="D1840" s="1" t="s">
        <v>376</v>
      </c>
      <c r="E1840" s="8">
        <v>4817264</v>
      </c>
      <c r="F1840" s="5">
        <v>3404110</v>
      </c>
    </row>
    <row r="1841" spans="1:6" x14ac:dyDescent="0.25">
      <c r="A1841" s="5">
        <v>3404110</v>
      </c>
      <c r="B1841" s="1">
        <v>2017</v>
      </c>
      <c r="C1841" s="1" t="s">
        <v>1387</v>
      </c>
      <c r="D1841" s="1" t="s">
        <v>376</v>
      </c>
      <c r="E1841" s="8">
        <v>6787791</v>
      </c>
      <c r="F1841" s="5">
        <v>3404110</v>
      </c>
    </row>
    <row r="1842" spans="1:6" x14ac:dyDescent="0.25">
      <c r="A1842" s="5">
        <v>3404110</v>
      </c>
      <c r="B1842" s="1">
        <v>2018</v>
      </c>
      <c r="C1842" s="1" t="s">
        <v>1387</v>
      </c>
      <c r="D1842" s="1" t="s">
        <v>1068</v>
      </c>
      <c r="E1842" s="8">
        <v>9117587</v>
      </c>
      <c r="F1842" s="5">
        <v>3404110</v>
      </c>
    </row>
    <row r="1843" spans="1:6" x14ac:dyDescent="0.25">
      <c r="A1843" s="5">
        <v>3404110</v>
      </c>
      <c r="B1843" s="1">
        <v>2019</v>
      </c>
      <c r="C1843" s="1" t="s">
        <v>1387</v>
      </c>
      <c r="D1843" s="1" t="s">
        <v>1068</v>
      </c>
      <c r="E1843" s="8">
        <v>12130993</v>
      </c>
      <c r="F1843" s="5">
        <v>3404110</v>
      </c>
    </row>
    <row r="1844" spans="1:6" ht="20" x14ac:dyDescent="0.25">
      <c r="A1844" s="5">
        <v>3404110</v>
      </c>
      <c r="B1844" s="1">
        <v>2020</v>
      </c>
      <c r="C1844" s="1" t="s">
        <v>1387</v>
      </c>
      <c r="D1844" s="2" t="s">
        <v>1068</v>
      </c>
      <c r="E1844" s="7">
        <v>13561567</v>
      </c>
      <c r="F1844" s="5">
        <v>3404110</v>
      </c>
    </row>
    <row r="1845" spans="1:6" ht="20" x14ac:dyDescent="0.25">
      <c r="A1845" s="5">
        <v>3404110</v>
      </c>
      <c r="B1845" s="1">
        <v>2021</v>
      </c>
      <c r="C1845" s="1" t="s">
        <v>1387</v>
      </c>
      <c r="D1845" s="3" t="s">
        <v>1068</v>
      </c>
      <c r="E1845" s="7">
        <v>17171437</v>
      </c>
      <c r="F1845" s="5">
        <v>3404110</v>
      </c>
    </row>
    <row r="1846" spans="1:6" ht="20" x14ac:dyDescent="0.25">
      <c r="A1846" s="5">
        <v>3404110</v>
      </c>
      <c r="B1846" s="1">
        <v>2022</v>
      </c>
      <c r="C1846" s="1" t="s">
        <v>1387</v>
      </c>
      <c r="D1846" s="2" t="s">
        <v>1068</v>
      </c>
      <c r="E1846" s="7">
        <v>24839622</v>
      </c>
      <c r="F1846" s="5">
        <v>3404110</v>
      </c>
    </row>
    <row r="1847" spans="1:6" ht="20" x14ac:dyDescent="0.25">
      <c r="A1847" s="5">
        <v>3404110</v>
      </c>
      <c r="B1847" s="1">
        <v>2023</v>
      </c>
      <c r="C1847" s="1" t="s">
        <v>1387</v>
      </c>
      <c r="D1847" s="2" t="s">
        <v>1068</v>
      </c>
      <c r="E1847" s="7">
        <v>24370884</v>
      </c>
      <c r="F1847" s="5">
        <v>3404110</v>
      </c>
    </row>
    <row r="1848" spans="1:6" x14ac:dyDescent="0.25">
      <c r="A1848" s="5">
        <v>3404140</v>
      </c>
      <c r="B1848" s="1">
        <v>2015</v>
      </c>
      <c r="C1848" s="1" t="s">
        <v>1387</v>
      </c>
      <c r="D1848" s="1" t="s">
        <v>276</v>
      </c>
      <c r="E1848" s="8">
        <v>333713</v>
      </c>
      <c r="F1848" s="5">
        <v>3404140</v>
      </c>
    </row>
    <row r="1849" spans="1:6" x14ac:dyDescent="0.25">
      <c r="A1849" s="5">
        <v>3404140</v>
      </c>
      <c r="B1849" s="1">
        <v>2016</v>
      </c>
      <c r="C1849" s="1" t="s">
        <v>1387</v>
      </c>
      <c r="D1849" s="1" t="s">
        <v>276</v>
      </c>
      <c r="E1849" s="8">
        <v>502687</v>
      </c>
      <c r="F1849" s="5">
        <v>3404140</v>
      </c>
    </row>
    <row r="1850" spans="1:6" x14ac:dyDescent="0.25">
      <c r="A1850" s="5">
        <v>3404140</v>
      </c>
      <c r="B1850" s="1">
        <v>2017</v>
      </c>
      <c r="C1850" s="1" t="s">
        <v>1387</v>
      </c>
      <c r="D1850" s="1" t="s">
        <v>276</v>
      </c>
      <c r="E1850" s="8">
        <v>754760</v>
      </c>
      <c r="F1850" s="5">
        <v>3404140</v>
      </c>
    </row>
    <row r="1851" spans="1:6" x14ac:dyDescent="0.25">
      <c r="A1851" s="5">
        <v>3404140</v>
      </c>
      <c r="B1851" s="1">
        <v>2018</v>
      </c>
      <c r="C1851" s="1" t="s">
        <v>1387</v>
      </c>
      <c r="D1851" s="1" t="s">
        <v>966</v>
      </c>
      <c r="E1851" s="8">
        <v>1060427</v>
      </c>
      <c r="F1851" s="5">
        <v>3404140</v>
      </c>
    </row>
    <row r="1852" spans="1:6" x14ac:dyDescent="0.25">
      <c r="A1852" s="5">
        <v>3404140</v>
      </c>
      <c r="B1852" s="1">
        <v>2019</v>
      </c>
      <c r="C1852" s="1" t="s">
        <v>1387</v>
      </c>
      <c r="D1852" s="1" t="s">
        <v>966</v>
      </c>
      <c r="E1852" s="8">
        <v>1437659</v>
      </c>
      <c r="F1852" s="5">
        <v>3404140</v>
      </c>
    </row>
    <row r="1853" spans="1:6" ht="20" x14ac:dyDescent="0.25">
      <c r="A1853" s="5">
        <v>3404140</v>
      </c>
      <c r="B1853" s="1">
        <v>2020</v>
      </c>
      <c r="C1853" s="1" t="s">
        <v>1387</v>
      </c>
      <c r="D1853" s="2" t="s">
        <v>966</v>
      </c>
      <c r="E1853" s="7">
        <v>1622050</v>
      </c>
      <c r="F1853" s="5">
        <v>3404140</v>
      </c>
    </row>
    <row r="1854" spans="1:6" ht="20" x14ac:dyDescent="0.25">
      <c r="A1854" s="5">
        <v>3404140</v>
      </c>
      <c r="B1854" s="1">
        <v>2021</v>
      </c>
      <c r="C1854" s="1" t="s">
        <v>1387</v>
      </c>
      <c r="D1854" s="3" t="s">
        <v>966</v>
      </c>
      <c r="E1854" s="7">
        <v>2216693</v>
      </c>
      <c r="F1854" s="5">
        <v>3404140</v>
      </c>
    </row>
    <row r="1855" spans="1:6" ht="20" x14ac:dyDescent="0.25">
      <c r="A1855" s="5">
        <v>3404140</v>
      </c>
      <c r="B1855" s="1">
        <v>2022</v>
      </c>
      <c r="C1855" s="1" t="s">
        <v>1387</v>
      </c>
      <c r="D1855" s="2" t="s">
        <v>966</v>
      </c>
      <c r="E1855" s="7">
        <v>3241874</v>
      </c>
      <c r="F1855" s="5">
        <v>3404140</v>
      </c>
    </row>
    <row r="1856" spans="1:6" ht="20" x14ac:dyDescent="0.25">
      <c r="A1856" s="5">
        <v>3404140</v>
      </c>
      <c r="B1856" s="1">
        <v>2023</v>
      </c>
      <c r="C1856" s="1" t="s">
        <v>1387</v>
      </c>
      <c r="D1856" s="2" t="s">
        <v>966</v>
      </c>
      <c r="E1856" s="7">
        <v>3147387</v>
      </c>
      <c r="F1856" s="5">
        <v>3404140</v>
      </c>
    </row>
    <row r="1857" spans="1:6" x14ac:dyDescent="0.25">
      <c r="A1857" s="5">
        <v>3404170</v>
      </c>
      <c r="B1857" s="1">
        <v>2015</v>
      </c>
      <c r="C1857" s="1" t="s">
        <v>1387</v>
      </c>
      <c r="D1857" s="1" t="s">
        <v>461</v>
      </c>
      <c r="E1857" s="8">
        <v>440055</v>
      </c>
      <c r="F1857" s="5">
        <v>3404170</v>
      </c>
    </row>
    <row r="1858" spans="1:6" x14ac:dyDescent="0.25">
      <c r="A1858" s="5">
        <v>3404170</v>
      </c>
      <c r="B1858" s="1">
        <v>2016</v>
      </c>
      <c r="C1858" s="1" t="s">
        <v>1387</v>
      </c>
      <c r="D1858" s="1" t="s">
        <v>461</v>
      </c>
      <c r="E1858" s="8">
        <v>645412</v>
      </c>
      <c r="F1858" s="5">
        <v>3404170</v>
      </c>
    </row>
    <row r="1859" spans="1:6" x14ac:dyDescent="0.25">
      <c r="A1859" s="5">
        <v>3404170</v>
      </c>
      <c r="B1859" s="1">
        <v>2017</v>
      </c>
      <c r="C1859" s="1" t="s">
        <v>1387</v>
      </c>
      <c r="D1859" s="1" t="s">
        <v>461</v>
      </c>
      <c r="E1859" s="8">
        <v>931133</v>
      </c>
      <c r="F1859" s="5">
        <v>3404170</v>
      </c>
    </row>
    <row r="1860" spans="1:6" x14ac:dyDescent="0.25">
      <c r="A1860" s="5">
        <v>3404170</v>
      </c>
      <c r="B1860" s="1">
        <v>2018</v>
      </c>
      <c r="C1860" s="1" t="s">
        <v>1387</v>
      </c>
      <c r="D1860" s="1" t="s">
        <v>1153</v>
      </c>
      <c r="E1860" s="8">
        <v>1209400</v>
      </c>
      <c r="F1860" s="5">
        <v>3404170</v>
      </c>
    </row>
    <row r="1861" spans="1:6" x14ac:dyDescent="0.25">
      <c r="A1861" s="5">
        <v>3404170</v>
      </c>
      <c r="B1861" s="1">
        <v>2019</v>
      </c>
      <c r="C1861" s="1" t="s">
        <v>1387</v>
      </c>
      <c r="D1861" s="1" t="s">
        <v>1153</v>
      </c>
      <c r="E1861" s="8">
        <v>1616121</v>
      </c>
      <c r="F1861" s="5">
        <v>3404170</v>
      </c>
    </row>
    <row r="1862" spans="1:6" ht="20" x14ac:dyDescent="0.25">
      <c r="A1862" s="5">
        <v>3404170</v>
      </c>
      <c r="B1862" s="1">
        <v>2020</v>
      </c>
      <c r="C1862" s="1" t="s">
        <v>1387</v>
      </c>
      <c r="D1862" s="2" t="s">
        <v>1153</v>
      </c>
      <c r="E1862" s="7">
        <v>1801395</v>
      </c>
      <c r="F1862" s="5">
        <v>3404170</v>
      </c>
    </row>
    <row r="1863" spans="1:6" ht="20" x14ac:dyDescent="0.25">
      <c r="A1863" s="5">
        <v>3404170</v>
      </c>
      <c r="B1863" s="1">
        <v>2021</v>
      </c>
      <c r="C1863" s="1" t="s">
        <v>1387</v>
      </c>
      <c r="D1863" s="3" t="s">
        <v>1153</v>
      </c>
      <c r="E1863" s="7">
        <v>2350282</v>
      </c>
      <c r="F1863" s="5">
        <v>3404170</v>
      </c>
    </row>
    <row r="1864" spans="1:6" ht="20" x14ac:dyDescent="0.25">
      <c r="A1864" s="5">
        <v>3404170</v>
      </c>
      <c r="B1864" s="1">
        <v>2022</v>
      </c>
      <c r="C1864" s="1" t="s">
        <v>1387</v>
      </c>
      <c r="D1864" s="2" t="s">
        <v>1153</v>
      </c>
      <c r="E1864" s="7">
        <v>3375832</v>
      </c>
      <c r="F1864" s="5">
        <v>3404170</v>
      </c>
    </row>
    <row r="1865" spans="1:6" ht="20" x14ac:dyDescent="0.25">
      <c r="A1865" s="5">
        <v>3404170</v>
      </c>
      <c r="B1865" s="1">
        <v>2023</v>
      </c>
      <c r="C1865" s="1" t="s">
        <v>1387</v>
      </c>
      <c r="D1865" s="2" t="s">
        <v>1153</v>
      </c>
      <c r="E1865" s="7">
        <v>3368705</v>
      </c>
      <c r="F1865" s="5">
        <v>3404170</v>
      </c>
    </row>
    <row r="1866" spans="1:6" x14ac:dyDescent="0.25">
      <c r="A1866" s="5">
        <v>3404200</v>
      </c>
      <c r="B1866" s="1">
        <v>2015</v>
      </c>
      <c r="C1866" s="1" t="s">
        <v>1387</v>
      </c>
      <c r="D1866" s="1" t="s">
        <v>303</v>
      </c>
      <c r="E1866" s="8">
        <v>38251</v>
      </c>
      <c r="F1866" s="5">
        <v>3404200</v>
      </c>
    </row>
    <row r="1867" spans="1:6" x14ac:dyDescent="0.25">
      <c r="A1867" s="5">
        <v>3404200</v>
      </c>
      <c r="B1867" s="1">
        <v>2016</v>
      </c>
      <c r="C1867" s="1" t="s">
        <v>1387</v>
      </c>
      <c r="D1867" s="1" t="s">
        <v>303</v>
      </c>
      <c r="E1867" s="8">
        <v>87222</v>
      </c>
      <c r="F1867" s="5">
        <v>3404200</v>
      </c>
    </row>
    <row r="1868" spans="1:6" x14ac:dyDescent="0.25">
      <c r="A1868" s="5">
        <v>3404200</v>
      </c>
      <c r="B1868" s="1">
        <v>2017</v>
      </c>
      <c r="C1868" s="1" t="s">
        <v>1387</v>
      </c>
      <c r="D1868" s="1" t="s">
        <v>303</v>
      </c>
      <c r="E1868" s="8">
        <v>116740</v>
      </c>
      <c r="F1868" s="5">
        <v>3404200</v>
      </c>
    </row>
    <row r="1869" spans="1:6" x14ac:dyDescent="0.25">
      <c r="A1869" s="5">
        <v>3404200</v>
      </c>
      <c r="B1869" s="1">
        <v>2018</v>
      </c>
      <c r="C1869" s="1" t="s">
        <v>1387</v>
      </c>
      <c r="D1869" s="1" t="s">
        <v>994</v>
      </c>
      <c r="E1869" s="8">
        <v>152866</v>
      </c>
      <c r="F1869" s="5">
        <v>3404200</v>
      </c>
    </row>
    <row r="1870" spans="1:6" x14ac:dyDescent="0.25">
      <c r="A1870" s="5">
        <v>3404200</v>
      </c>
      <c r="B1870" s="1">
        <v>2019</v>
      </c>
      <c r="C1870" s="1" t="s">
        <v>1387</v>
      </c>
      <c r="D1870" s="1" t="s">
        <v>994</v>
      </c>
      <c r="E1870" s="8">
        <v>169879</v>
      </c>
      <c r="F1870" s="5">
        <v>3404200</v>
      </c>
    </row>
    <row r="1871" spans="1:6" ht="20" x14ac:dyDescent="0.25">
      <c r="A1871" s="5">
        <v>3404200</v>
      </c>
      <c r="B1871" s="1">
        <v>2020</v>
      </c>
      <c r="C1871" s="1" t="s">
        <v>1387</v>
      </c>
      <c r="D1871" s="2" t="s">
        <v>994</v>
      </c>
      <c r="E1871" s="7">
        <v>199651</v>
      </c>
      <c r="F1871" s="5">
        <v>3404200</v>
      </c>
    </row>
    <row r="1872" spans="1:6" ht="20" x14ac:dyDescent="0.25">
      <c r="A1872" s="5">
        <v>3404200</v>
      </c>
      <c r="B1872" s="1">
        <v>2021</v>
      </c>
      <c r="C1872" s="1" t="s">
        <v>1387</v>
      </c>
      <c r="D1872" s="3" t="s">
        <v>994</v>
      </c>
      <c r="E1872" s="7">
        <v>270807</v>
      </c>
      <c r="F1872" s="5">
        <v>3404200</v>
      </c>
    </row>
    <row r="1873" spans="1:6" ht="20" x14ac:dyDescent="0.25">
      <c r="A1873" s="5">
        <v>3404200</v>
      </c>
      <c r="B1873" s="1">
        <v>2022</v>
      </c>
      <c r="C1873" s="1" t="s">
        <v>1387</v>
      </c>
      <c r="D1873" s="2" t="s">
        <v>994</v>
      </c>
      <c r="E1873" s="7">
        <v>399333</v>
      </c>
      <c r="F1873" s="5">
        <v>3404200</v>
      </c>
    </row>
    <row r="1874" spans="1:6" ht="20" x14ac:dyDescent="0.25">
      <c r="A1874" s="5">
        <v>3404200</v>
      </c>
      <c r="B1874" s="1">
        <v>2023</v>
      </c>
      <c r="C1874" s="1" t="s">
        <v>1387</v>
      </c>
      <c r="D1874" s="2" t="s">
        <v>994</v>
      </c>
      <c r="E1874" s="7">
        <v>448262</v>
      </c>
      <c r="F1874" s="5">
        <v>3404200</v>
      </c>
    </row>
    <row r="1875" spans="1:6" x14ac:dyDescent="0.25">
      <c r="A1875" s="5">
        <v>3404230</v>
      </c>
      <c r="B1875" s="1">
        <v>2015</v>
      </c>
      <c r="C1875" s="1" t="s">
        <v>1387</v>
      </c>
      <c r="D1875" s="1" t="s">
        <v>236</v>
      </c>
      <c r="E1875" s="8">
        <v>4914448</v>
      </c>
      <c r="F1875" s="5">
        <v>3404230</v>
      </c>
    </row>
    <row r="1876" spans="1:6" x14ac:dyDescent="0.25">
      <c r="A1876" s="5">
        <v>3404230</v>
      </c>
      <c r="B1876" s="1">
        <v>2016</v>
      </c>
      <c r="C1876" s="1" t="s">
        <v>1387</v>
      </c>
      <c r="D1876" s="1" t="s">
        <v>236</v>
      </c>
      <c r="E1876" s="8">
        <v>7317663</v>
      </c>
      <c r="F1876" s="5">
        <v>3404230</v>
      </c>
    </row>
    <row r="1877" spans="1:6" x14ac:dyDescent="0.25">
      <c r="A1877" s="5">
        <v>3404230</v>
      </c>
      <c r="B1877" s="1">
        <v>2017</v>
      </c>
      <c r="C1877" s="1" t="s">
        <v>1387</v>
      </c>
      <c r="D1877" s="1" t="s">
        <v>236</v>
      </c>
      <c r="E1877" s="8">
        <v>9931029</v>
      </c>
      <c r="F1877" s="5">
        <v>3404230</v>
      </c>
    </row>
    <row r="1878" spans="1:6" x14ac:dyDescent="0.25">
      <c r="A1878" s="5">
        <v>3404230</v>
      </c>
      <c r="B1878" s="1">
        <v>2018</v>
      </c>
      <c r="C1878" s="1" t="s">
        <v>1387</v>
      </c>
      <c r="D1878" s="1" t="s">
        <v>922</v>
      </c>
      <c r="E1878" s="8">
        <v>13156943</v>
      </c>
      <c r="F1878" s="5">
        <v>3404230</v>
      </c>
    </row>
    <row r="1879" spans="1:6" x14ac:dyDescent="0.25">
      <c r="A1879" s="5">
        <v>3404230</v>
      </c>
      <c r="B1879" s="1">
        <v>2019</v>
      </c>
      <c r="C1879" s="1" t="s">
        <v>1387</v>
      </c>
      <c r="D1879" s="1" t="s">
        <v>922</v>
      </c>
      <c r="E1879" s="8">
        <v>17683143</v>
      </c>
      <c r="F1879" s="5">
        <v>3404230</v>
      </c>
    </row>
    <row r="1880" spans="1:6" ht="20" x14ac:dyDescent="0.25">
      <c r="A1880" s="5">
        <v>3404230</v>
      </c>
      <c r="B1880" s="1">
        <v>2020</v>
      </c>
      <c r="C1880" s="1" t="s">
        <v>1387</v>
      </c>
      <c r="D1880" s="2" t="s">
        <v>922</v>
      </c>
      <c r="E1880" s="7">
        <v>19443779</v>
      </c>
      <c r="F1880" s="5">
        <v>3404230</v>
      </c>
    </row>
    <row r="1881" spans="1:6" ht="20" x14ac:dyDescent="0.25">
      <c r="A1881" s="5">
        <v>3404230</v>
      </c>
      <c r="B1881" s="1">
        <v>2021</v>
      </c>
      <c r="C1881" s="1" t="s">
        <v>1387</v>
      </c>
      <c r="D1881" s="3" t="s">
        <v>922</v>
      </c>
      <c r="E1881" s="7">
        <v>24080113</v>
      </c>
      <c r="F1881" s="5">
        <v>3404230</v>
      </c>
    </row>
    <row r="1882" spans="1:6" ht="20" x14ac:dyDescent="0.25">
      <c r="A1882" s="5">
        <v>3404230</v>
      </c>
      <c r="B1882" s="1">
        <v>2022</v>
      </c>
      <c r="C1882" s="1" t="s">
        <v>1387</v>
      </c>
      <c r="D1882" s="2" t="s">
        <v>922</v>
      </c>
      <c r="E1882" s="7">
        <v>34257924</v>
      </c>
      <c r="F1882" s="5">
        <v>3404230</v>
      </c>
    </row>
    <row r="1883" spans="1:6" ht="20" x14ac:dyDescent="0.25">
      <c r="A1883" s="5">
        <v>3404230</v>
      </c>
      <c r="B1883" s="1">
        <v>2023</v>
      </c>
      <c r="C1883" s="1" t="s">
        <v>1387</v>
      </c>
      <c r="D1883" s="2" t="s">
        <v>922</v>
      </c>
      <c r="E1883" s="7">
        <v>33709545</v>
      </c>
      <c r="F1883" s="5">
        <v>3404230</v>
      </c>
    </row>
    <row r="1884" spans="1:6" x14ac:dyDescent="0.25">
      <c r="A1884" s="5">
        <v>3404290</v>
      </c>
      <c r="B1884" s="1">
        <v>2015</v>
      </c>
      <c r="C1884" s="1" t="s">
        <v>1387</v>
      </c>
      <c r="D1884" s="1" t="s">
        <v>41</v>
      </c>
      <c r="E1884" s="8">
        <v>362776</v>
      </c>
      <c r="F1884" s="5">
        <v>3404290</v>
      </c>
    </row>
    <row r="1885" spans="1:6" x14ac:dyDescent="0.25">
      <c r="A1885" s="5">
        <v>3404290</v>
      </c>
      <c r="B1885" s="1">
        <v>2016</v>
      </c>
      <c r="C1885" s="1" t="s">
        <v>1387</v>
      </c>
      <c r="D1885" s="1" t="s">
        <v>41</v>
      </c>
      <c r="E1885" s="8">
        <v>527656</v>
      </c>
      <c r="F1885" s="5">
        <v>3404290</v>
      </c>
    </row>
    <row r="1886" spans="1:6" x14ac:dyDescent="0.25">
      <c r="A1886" s="5">
        <v>3404290</v>
      </c>
      <c r="B1886" s="1">
        <v>2017</v>
      </c>
      <c r="C1886" s="1" t="s">
        <v>1387</v>
      </c>
      <c r="D1886" s="1" t="s">
        <v>41</v>
      </c>
      <c r="E1886" s="8">
        <v>749852</v>
      </c>
      <c r="F1886" s="5">
        <v>3404290</v>
      </c>
    </row>
    <row r="1887" spans="1:6" x14ac:dyDescent="0.25">
      <c r="A1887" s="5">
        <v>3404290</v>
      </c>
      <c r="B1887" s="1">
        <v>2018</v>
      </c>
      <c r="C1887" s="1" t="s">
        <v>1387</v>
      </c>
      <c r="D1887" s="1" t="s">
        <v>719</v>
      </c>
      <c r="E1887" s="8">
        <v>1057824</v>
      </c>
      <c r="F1887" s="5">
        <v>3404290</v>
      </c>
    </row>
    <row r="1888" spans="1:6" x14ac:dyDescent="0.25">
      <c r="A1888" s="5">
        <v>3404290</v>
      </c>
      <c r="B1888" s="1">
        <v>2019</v>
      </c>
      <c r="C1888" s="1" t="s">
        <v>1387</v>
      </c>
      <c r="D1888" s="1" t="s">
        <v>719</v>
      </c>
      <c r="E1888" s="8">
        <v>1413303</v>
      </c>
      <c r="F1888" s="5">
        <v>3404290</v>
      </c>
    </row>
    <row r="1889" spans="1:6" ht="20" x14ac:dyDescent="0.25">
      <c r="A1889" s="5">
        <v>3404290</v>
      </c>
      <c r="B1889" s="1">
        <v>2020</v>
      </c>
      <c r="C1889" s="1" t="s">
        <v>1387</v>
      </c>
      <c r="D1889" s="2" t="s">
        <v>719</v>
      </c>
      <c r="E1889" s="7">
        <v>1565982</v>
      </c>
      <c r="F1889" s="5">
        <v>3404290</v>
      </c>
    </row>
    <row r="1890" spans="1:6" ht="20" x14ac:dyDescent="0.25">
      <c r="A1890" s="5">
        <v>3404290</v>
      </c>
      <c r="B1890" s="1">
        <v>2021</v>
      </c>
      <c r="C1890" s="1" t="s">
        <v>1387</v>
      </c>
      <c r="D1890" s="3" t="s">
        <v>719</v>
      </c>
      <c r="E1890" s="7">
        <v>2022174</v>
      </c>
      <c r="F1890" s="5">
        <v>3404290</v>
      </c>
    </row>
    <row r="1891" spans="1:6" ht="20" x14ac:dyDescent="0.25">
      <c r="A1891" s="5">
        <v>3404290</v>
      </c>
      <c r="B1891" s="1">
        <v>2022</v>
      </c>
      <c r="C1891" s="1" t="s">
        <v>1387</v>
      </c>
      <c r="D1891" s="2" t="s">
        <v>719</v>
      </c>
      <c r="E1891" s="7">
        <v>3022357</v>
      </c>
      <c r="F1891" s="5">
        <v>3404290</v>
      </c>
    </row>
    <row r="1892" spans="1:6" ht="20" x14ac:dyDescent="0.25">
      <c r="A1892" s="5">
        <v>3404290</v>
      </c>
      <c r="B1892" s="1">
        <v>2023</v>
      </c>
      <c r="C1892" s="1" t="s">
        <v>1387</v>
      </c>
      <c r="D1892" s="2" t="s">
        <v>719</v>
      </c>
      <c r="E1892" s="7">
        <v>2957121</v>
      </c>
      <c r="F1892" s="5">
        <v>3404290</v>
      </c>
    </row>
    <row r="1893" spans="1:6" x14ac:dyDescent="0.25">
      <c r="A1893" s="5">
        <v>3404320</v>
      </c>
      <c r="B1893" s="1">
        <v>2015</v>
      </c>
      <c r="C1893" s="1" t="s">
        <v>1387</v>
      </c>
      <c r="D1893" s="1" t="s">
        <v>355</v>
      </c>
      <c r="E1893" s="8">
        <v>1928649</v>
      </c>
      <c r="F1893" s="5">
        <v>3404320</v>
      </c>
    </row>
    <row r="1894" spans="1:6" x14ac:dyDescent="0.25">
      <c r="A1894" s="5">
        <v>3404320</v>
      </c>
      <c r="B1894" s="1">
        <v>2016</v>
      </c>
      <c r="C1894" s="1" t="s">
        <v>1387</v>
      </c>
      <c r="D1894" s="1" t="s">
        <v>355</v>
      </c>
      <c r="E1894" s="8">
        <v>2880107</v>
      </c>
      <c r="F1894" s="5">
        <v>3404320</v>
      </c>
    </row>
    <row r="1895" spans="1:6" x14ac:dyDescent="0.25">
      <c r="A1895" s="5">
        <v>3404320</v>
      </c>
      <c r="B1895" s="1">
        <v>2017</v>
      </c>
      <c r="C1895" s="1" t="s">
        <v>1387</v>
      </c>
      <c r="D1895" s="1" t="s">
        <v>355</v>
      </c>
      <c r="E1895" s="8">
        <v>4151586</v>
      </c>
      <c r="F1895" s="5">
        <v>3404320</v>
      </c>
    </row>
    <row r="1896" spans="1:6" x14ac:dyDescent="0.25">
      <c r="A1896" s="5">
        <v>3404320</v>
      </c>
      <c r="B1896" s="1">
        <v>2018</v>
      </c>
      <c r="C1896" s="1" t="s">
        <v>1387</v>
      </c>
      <c r="D1896" s="1" t="s">
        <v>1045</v>
      </c>
      <c r="E1896" s="8">
        <v>5371382</v>
      </c>
      <c r="F1896" s="5">
        <v>3404320</v>
      </c>
    </row>
    <row r="1897" spans="1:6" x14ac:dyDescent="0.25">
      <c r="A1897" s="5">
        <v>3404320</v>
      </c>
      <c r="B1897" s="1">
        <v>2019</v>
      </c>
      <c r="C1897" s="1" t="s">
        <v>1387</v>
      </c>
      <c r="D1897" s="1" t="s">
        <v>1045</v>
      </c>
      <c r="E1897" s="8">
        <v>7248891</v>
      </c>
      <c r="F1897" s="5">
        <v>3404320</v>
      </c>
    </row>
    <row r="1898" spans="1:6" ht="20" x14ac:dyDescent="0.25">
      <c r="A1898" s="5">
        <v>3404320</v>
      </c>
      <c r="B1898" s="1">
        <v>2020</v>
      </c>
      <c r="C1898" s="1" t="s">
        <v>1387</v>
      </c>
      <c r="D1898" s="2" t="s">
        <v>1045</v>
      </c>
      <c r="E1898" s="7">
        <v>8380831</v>
      </c>
      <c r="F1898" s="5">
        <v>3404320</v>
      </c>
    </row>
    <row r="1899" spans="1:6" ht="20" x14ac:dyDescent="0.25">
      <c r="A1899" s="5">
        <v>3404320</v>
      </c>
      <c r="B1899" s="1">
        <v>2021</v>
      </c>
      <c r="C1899" s="1" t="s">
        <v>1387</v>
      </c>
      <c r="D1899" s="3" t="s">
        <v>1045</v>
      </c>
      <c r="E1899" s="7">
        <v>10796105</v>
      </c>
      <c r="F1899" s="5">
        <v>3404320</v>
      </c>
    </row>
    <row r="1900" spans="1:6" ht="20" x14ac:dyDescent="0.25">
      <c r="A1900" s="5">
        <v>3404320</v>
      </c>
      <c r="B1900" s="1">
        <v>2022</v>
      </c>
      <c r="C1900" s="1" t="s">
        <v>1387</v>
      </c>
      <c r="D1900" s="2" t="s">
        <v>1045</v>
      </c>
      <c r="E1900" s="7">
        <v>15842558</v>
      </c>
      <c r="F1900" s="5">
        <v>3404320</v>
      </c>
    </row>
    <row r="1901" spans="1:6" ht="20" x14ac:dyDescent="0.25">
      <c r="A1901" s="5">
        <v>3404320</v>
      </c>
      <c r="B1901" s="1">
        <v>2023</v>
      </c>
      <c r="C1901" s="1" t="s">
        <v>1387</v>
      </c>
      <c r="D1901" s="2" t="s">
        <v>1045</v>
      </c>
      <c r="E1901" s="7">
        <v>15534964</v>
      </c>
      <c r="F1901" s="5">
        <v>3404320</v>
      </c>
    </row>
    <row r="1902" spans="1:6" x14ac:dyDescent="0.25">
      <c r="A1902" s="5">
        <v>3404350</v>
      </c>
      <c r="B1902" s="1">
        <v>2015</v>
      </c>
      <c r="C1902" s="1" t="s">
        <v>1387</v>
      </c>
      <c r="D1902" s="1" t="s">
        <v>117</v>
      </c>
      <c r="E1902" s="8">
        <v>236872</v>
      </c>
      <c r="F1902" s="5">
        <v>3404350</v>
      </c>
    </row>
    <row r="1903" spans="1:6" x14ac:dyDescent="0.25">
      <c r="A1903" s="5">
        <v>3404350</v>
      </c>
      <c r="B1903" s="1">
        <v>2016</v>
      </c>
      <c r="C1903" s="1" t="s">
        <v>1387</v>
      </c>
      <c r="D1903" s="1" t="s">
        <v>117</v>
      </c>
      <c r="E1903" s="8">
        <v>359296</v>
      </c>
      <c r="F1903" s="5">
        <v>3404350</v>
      </c>
    </row>
    <row r="1904" spans="1:6" x14ac:dyDescent="0.25">
      <c r="A1904" s="5">
        <v>3404350</v>
      </c>
      <c r="B1904" s="1">
        <v>2017</v>
      </c>
      <c r="C1904" s="1" t="s">
        <v>1387</v>
      </c>
      <c r="D1904" s="1" t="s">
        <v>117</v>
      </c>
      <c r="E1904" s="8">
        <v>443410</v>
      </c>
      <c r="F1904" s="5">
        <v>3404350</v>
      </c>
    </row>
    <row r="1905" spans="1:6" x14ac:dyDescent="0.25">
      <c r="A1905" s="5">
        <v>3404350</v>
      </c>
      <c r="B1905" s="1">
        <v>2018</v>
      </c>
      <c r="C1905" s="1" t="s">
        <v>1387</v>
      </c>
      <c r="D1905" s="1" t="s">
        <v>798</v>
      </c>
      <c r="E1905" s="8">
        <v>642344</v>
      </c>
      <c r="F1905" s="5">
        <v>3404350</v>
      </c>
    </row>
    <row r="1906" spans="1:6" x14ac:dyDescent="0.25">
      <c r="A1906" s="5">
        <v>3404350</v>
      </c>
      <c r="B1906" s="1">
        <v>2019</v>
      </c>
      <c r="C1906" s="1" t="s">
        <v>1387</v>
      </c>
      <c r="D1906" s="1" t="s">
        <v>798</v>
      </c>
      <c r="E1906" s="8">
        <v>796971</v>
      </c>
      <c r="F1906" s="5">
        <v>3404350</v>
      </c>
    </row>
    <row r="1907" spans="1:6" ht="20" x14ac:dyDescent="0.25">
      <c r="A1907" s="5">
        <v>3404350</v>
      </c>
      <c r="B1907" s="1">
        <v>2020</v>
      </c>
      <c r="C1907" s="1" t="s">
        <v>1387</v>
      </c>
      <c r="D1907" s="2" t="s">
        <v>798</v>
      </c>
      <c r="E1907" s="7">
        <v>875419</v>
      </c>
      <c r="F1907" s="5">
        <v>3404350</v>
      </c>
    </row>
    <row r="1908" spans="1:6" ht="20" x14ac:dyDescent="0.25">
      <c r="A1908" s="5">
        <v>3404350</v>
      </c>
      <c r="B1908" s="1">
        <v>2021</v>
      </c>
      <c r="C1908" s="1" t="s">
        <v>1387</v>
      </c>
      <c r="D1908" s="3" t="s">
        <v>798</v>
      </c>
      <c r="E1908" s="7">
        <v>1154296</v>
      </c>
      <c r="F1908" s="5">
        <v>3404350</v>
      </c>
    </row>
    <row r="1909" spans="1:6" ht="20" x14ac:dyDescent="0.25">
      <c r="A1909" s="5">
        <v>3404350</v>
      </c>
      <c r="B1909" s="1">
        <v>2022</v>
      </c>
      <c r="C1909" s="1" t="s">
        <v>1387</v>
      </c>
      <c r="D1909" s="2" t="s">
        <v>798</v>
      </c>
      <c r="E1909" s="7">
        <v>1649285</v>
      </c>
      <c r="F1909" s="5">
        <v>3404350</v>
      </c>
    </row>
    <row r="1910" spans="1:6" ht="20" x14ac:dyDescent="0.25">
      <c r="A1910" s="5">
        <v>3404350</v>
      </c>
      <c r="B1910" s="1">
        <v>2023</v>
      </c>
      <c r="C1910" s="1" t="s">
        <v>1387</v>
      </c>
      <c r="D1910" s="2" t="s">
        <v>798</v>
      </c>
      <c r="E1910" s="7">
        <v>1414556</v>
      </c>
      <c r="F1910" s="5">
        <v>3404350</v>
      </c>
    </row>
    <row r="1911" spans="1:6" x14ac:dyDescent="0.25">
      <c r="A1911" s="5">
        <v>3404380</v>
      </c>
      <c r="B1911" s="1">
        <v>2015</v>
      </c>
      <c r="C1911" s="1" t="s">
        <v>1387</v>
      </c>
      <c r="D1911" s="1" t="s">
        <v>166</v>
      </c>
      <c r="E1911" s="8">
        <v>709978</v>
      </c>
      <c r="F1911" s="5">
        <v>3404380</v>
      </c>
    </row>
    <row r="1912" spans="1:6" x14ac:dyDescent="0.25">
      <c r="A1912" s="5">
        <v>3404380</v>
      </c>
      <c r="B1912" s="1">
        <v>2016</v>
      </c>
      <c r="C1912" s="1" t="s">
        <v>1387</v>
      </c>
      <c r="D1912" s="1" t="s">
        <v>166</v>
      </c>
      <c r="E1912" s="8">
        <v>1039077</v>
      </c>
      <c r="F1912" s="5">
        <v>3404380</v>
      </c>
    </row>
    <row r="1913" spans="1:6" x14ac:dyDescent="0.25">
      <c r="A1913" s="5">
        <v>3404380</v>
      </c>
      <c r="B1913" s="1">
        <v>2017</v>
      </c>
      <c r="C1913" s="1" t="s">
        <v>1387</v>
      </c>
      <c r="D1913" s="1" t="s">
        <v>166</v>
      </c>
      <c r="E1913" s="8">
        <v>1473427</v>
      </c>
      <c r="F1913" s="5">
        <v>3404380</v>
      </c>
    </row>
    <row r="1914" spans="1:6" x14ac:dyDescent="0.25">
      <c r="A1914" s="5">
        <v>3404380</v>
      </c>
      <c r="B1914" s="1">
        <v>2018</v>
      </c>
      <c r="C1914" s="1" t="s">
        <v>1387</v>
      </c>
      <c r="D1914" s="1" t="s">
        <v>849</v>
      </c>
      <c r="E1914" s="8">
        <v>1972198</v>
      </c>
      <c r="F1914" s="5">
        <v>3404380</v>
      </c>
    </row>
    <row r="1915" spans="1:6" x14ac:dyDescent="0.25">
      <c r="A1915" s="5">
        <v>3404380</v>
      </c>
      <c r="B1915" s="1">
        <v>2019</v>
      </c>
      <c r="C1915" s="1" t="s">
        <v>1387</v>
      </c>
      <c r="D1915" s="1" t="s">
        <v>849</v>
      </c>
      <c r="E1915" s="8">
        <v>2615306</v>
      </c>
      <c r="F1915" s="5">
        <v>3404380</v>
      </c>
    </row>
    <row r="1916" spans="1:6" ht="20" x14ac:dyDescent="0.25">
      <c r="A1916" s="5">
        <v>3404380</v>
      </c>
      <c r="B1916" s="1">
        <v>2020</v>
      </c>
      <c r="C1916" s="1" t="s">
        <v>1387</v>
      </c>
      <c r="D1916" s="2" t="s">
        <v>849</v>
      </c>
      <c r="E1916" s="7">
        <v>2964239</v>
      </c>
      <c r="F1916" s="5">
        <v>3404380</v>
      </c>
    </row>
    <row r="1917" spans="1:6" ht="20" x14ac:dyDescent="0.25">
      <c r="A1917" s="5">
        <v>3404380</v>
      </c>
      <c r="B1917" s="1">
        <v>2021</v>
      </c>
      <c r="C1917" s="1" t="s">
        <v>1387</v>
      </c>
      <c r="D1917" s="3" t="s">
        <v>849</v>
      </c>
      <c r="E1917" s="7">
        <v>3822984</v>
      </c>
      <c r="F1917" s="5">
        <v>3404380</v>
      </c>
    </row>
    <row r="1918" spans="1:6" ht="20" x14ac:dyDescent="0.25">
      <c r="A1918" s="5">
        <v>3404380</v>
      </c>
      <c r="B1918" s="1">
        <v>2022</v>
      </c>
      <c r="C1918" s="1" t="s">
        <v>1387</v>
      </c>
      <c r="D1918" s="2" t="s">
        <v>849</v>
      </c>
      <c r="E1918" s="7">
        <v>5420258</v>
      </c>
      <c r="F1918" s="5">
        <v>3404380</v>
      </c>
    </row>
    <row r="1919" spans="1:6" ht="20" x14ac:dyDescent="0.25">
      <c r="A1919" s="5">
        <v>3404380</v>
      </c>
      <c r="B1919" s="1">
        <v>2023</v>
      </c>
      <c r="C1919" s="1" t="s">
        <v>1387</v>
      </c>
      <c r="D1919" s="2" t="s">
        <v>849</v>
      </c>
      <c r="E1919" s="7">
        <v>5362038</v>
      </c>
      <c r="F1919" s="5">
        <v>3404380</v>
      </c>
    </row>
    <row r="1920" spans="1:6" x14ac:dyDescent="0.25">
      <c r="A1920" s="5">
        <v>3404410</v>
      </c>
      <c r="B1920" s="1">
        <v>2015</v>
      </c>
      <c r="C1920" s="1" t="s">
        <v>1387</v>
      </c>
      <c r="D1920" s="1" t="s">
        <v>409</v>
      </c>
      <c r="E1920" s="8">
        <v>478095</v>
      </c>
      <c r="F1920" s="5">
        <v>3404410</v>
      </c>
    </row>
    <row r="1921" spans="1:6" x14ac:dyDescent="0.25">
      <c r="A1921" s="5">
        <v>3404410</v>
      </c>
      <c r="B1921" s="1">
        <v>2016</v>
      </c>
      <c r="C1921" s="1" t="s">
        <v>1387</v>
      </c>
      <c r="D1921" s="1" t="s">
        <v>409</v>
      </c>
      <c r="E1921" s="8">
        <v>679225</v>
      </c>
      <c r="F1921" s="5">
        <v>3404410</v>
      </c>
    </row>
    <row r="1922" spans="1:6" x14ac:dyDescent="0.25">
      <c r="A1922" s="5">
        <v>3404410</v>
      </c>
      <c r="B1922" s="1">
        <v>2017</v>
      </c>
      <c r="C1922" s="1" t="s">
        <v>1387</v>
      </c>
      <c r="D1922" s="1" t="s">
        <v>409</v>
      </c>
      <c r="E1922" s="8">
        <v>961833</v>
      </c>
      <c r="F1922" s="5">
        <v>3404410</v>
      </c>
    </row>
    <row r="1923" spans="1:6" x14ac:dyDescent="0.25">
      <c r="A1923" s="5">
        <v>3404410</v>
      </c>
      <c r="B1923" s="1">
        <v>2018</v>
      </c>
      <c r="C1923" s="1" t="s">
        <v>1387</v>
      </c>
      <c r="D1923" s="1" t="s">
        <v>1101</v>
      </c>
      <c r="E1923" s="8">
        <v>1237168</v>
      </c>
      <c r="F1923" s="5">
        <v>3404410</v>
      </c>
    </row>
    <row r="1924" spans="1:6" x14ac:dyDescent="0.25">
      <c r="A1924" s="5">
        <v>3404410</v>
      </c>
      <c r="B1924" s="1">
        <v>2019</v>
      </c>
      <c r="C1924" s="1" t="s">
        <v>1387</v>
      </c>
      <c r="D1924" s="1" t="s">
        <v>1101</v>
      </c>
      <c r="E1924" s="8">
        <v>1656712</v>
      </c>
      <c r="F1924" s="5">
        <v>3404410</v>
      </c>
    </row>
    <row r="1925" spans="1:6" ht="20" x14ac:dyDescent="0.25">
      <c r="A1925" s="5">
        <v>3404410</v>
      </c>
      <c r="B1925" s="1">
        <v>2020</v>
      </c>
      <c r="C1925" s="1" t="s">
        <v>1387</v>
      </c>
      <c r="D1925" s="2" t="s">
        <v>1101</v>
      </c>
      <c r="E1925" s="7">
        <v>1904616</v>
      </c>
      <c r="F1925" s="5">
        <v>3404410</v>
      </c>
    </row>
    <row r="1926" spans="1:6" ht="20" x14ac:dyDescent="0.25">
      <c r="A1926" s="5">
        <v>3404410</v>
      </c>
      <c r="B1926" s="1">
        <v>2021</v>
      </c>
      <c r="C1926" s="1" t="s">
        <v>1387</v>
      </c>
      <c r="D1926" s="3" t="s">
        <v>1101</v>
      </c>
      <c r="E1926" s="7">
        <v>2352616</v>
      </c>
      <c r="F1926" s="5">
        <v>3404410</v>
      </c>
    </row>
    <row r="1927" spans="1:6" ht="20" x14ac:dyDescent="0.25">
      <c r="A1927" s="5">
        <v>3404410</v>
      </c>
      <c r="B1927" s="1">
        <v>2022</v>
      </c>
      <c r="C1927" s="1" t="s">
        <v>1387</v>
      </c>
      <c r="D1927" s="2" t="s">
        <v>1101</v>
      </c>
      <c r="E1927" s="7">
        <v>3451089</v>
      </c>
      <c r="F1927" s="5">
        <v>3404410</v>
      </c>
    </row>
    <row r="1928" spans="1:6" ht="20" x14ac:dyDescent="0.25">
      <c r="A1928" s="5">
        <v>3404410</v>
      </c>
      <c r="B1928" s="1">
        <v>2023</v>
      </c>
      <c r="C1928" s="1" t="s">
        <v>1387</v>
      </c>
      <c r="D1928" s="2" t="s">
        <v>1101</v>
      </c>
      <c r="E1928" s="7">
        <v>3350073</v>
      </c>
      <c r="F1928" s="5">
        <v>3404410</v>
      </c>
    </row>
    <row r="1929" spans="1:6" x14ac:dyDescent="0.25">
      <c r="A1929" s="5">
        <v>3404440</v>
      </c>
      <c r="B1929" s="1">
        <v>2015</v>
      </c>
      <c r="C1929" s="1" t="s">
        <v>1387</v>
      </c>
      <c r="D1929" s="1" t="s">
        <v>42</v>
      </c>
      <c r="E1929" s="8">
        <v>203620</v>
      </c>
      <c r="F1929" s="5">
        <v>3404440</v>
      </c>
    </row>
    <row r="1930" spans="1:6" x14ac:dyDescent="0.25">
      <c r="A1930" s="5">
        <v>3404440</v>
      </c>
      <c r="B1930" s="1">
        <v>2017</v>
      </c>
      <c r="C1930" s="1" t="s">
        <v>1387</v>
      </c>
      <c r="D1930" s="1" t="s">
        <v>673</v>
      </c>
      <c r="E1930" s="8">
        <v>510959</v>
      </c>
      <c r="F1930" s="5">
        <v>3404440</v>
      </c>
    </row>
    <row r="1931" spans="1:6" x14ac:dyDescent="0.25">
      <c r="A1931" s="5">
        <v>3404440</v>
      </c>
      <c r="B1931" s="1">
        <v>2018</v>
      </c>
      <c r="C1931" s="1" t="s">
        <v>1387</v>
      </c>
      <c r="D1931" s="1" t="s">
        <v>720</v>
      </c>
      <c r="E1931" s="8">
        <v>735734</v>
      </c>
      <c r="F1931" s="5">
        <v>3404440</v>
      </c>
    </row>
    <row r="1932" spans="1:6" x14ac:dyDescent="0.25">
      <c r="A1932" s="5">
        <v>3404440</v>
      </c>
      <c r="B1932" s="1">
        <v>2019</v>
      </c>
      <c r="C1932" s="1" t="s">
        <v>1387</v>
      </c>
      <c r="D1932" s="1" t="s">
        <v>720</v>
      </c>
      <c r="E1932" s="8">
        <v>982122</v>
      </c>
      <c r="F1932" s="5">
        <v>3404440</v>
      </c>
    </row>
    <row r="1933" spans="1:6" ht="20" x14ac:dyDescent="0.25">
      <c r="A1933" s="5">
        <v>3404440</v>
      </c>
      <c r="B1933" s="1">
        <v>2020</v>
      </c>
      <c r="C1933" s="1" t="s">
        <v>1387</v>
      </c>
      <c r="D1933" s="2" t="s">
        <v>720</v>
      </c>
      <c r="E1933" s="7">
        <v>1175338</v>
      </c>
      <c r="F1933" s="5">
        <v>3404440</v>
      </c>
    </row>
    <row r="1934" spans="1:6" ht="20" x14ac:dyDescent="0.25">
      <c r="A1934" s="5">
        <v>3404440</v>
      </c>
      <c r="B1934" s="1">
        <v>2021</v>
      </c>
      <c r="C1934" s="1" t="s">
        <v>1387</v>
      </c>
      <c r="D1934" s="3" t="s">
        <v>720</v>
      </c>
      <c r="E1934" s="7">
        <v>1536571</v>
      </c>
      <c r="F1934" s="5">
        <v>3404440</v>
      </c>
    </row>
    <row r="1935" spans="1:6" ht="20" x14ac:dyDescent="0.25">
      <c r="A1935" s="5">
        <v>3404440</v>
      </c>
      <c r="B1935" s="1">
        <v>2022</v>
      </c>
      <c r="C1935" s="1" t="s">
        <v>1387</v>
      </c>
      <c r="D1935" s="2" t="s">
        <v>720</v>
      </c>
      <c r="E1935" s="7">
        <v>1961743</v>
      </c>
      <c r="F1935" s="5">
        <v>3404440</v>
      </c>
    </row>
    <row r="1936" spans="1:6" ht="20" x14ac:dyDescent="0.25">
      <c r="A1936" s="5">
        <v>3404440</v>
      </c>
      <c r="B1936" s="1">
        <v>2023</v>
      </c>
      <c r="C1936" s="1" t="s">
        <v>1387</v>
      </c>
      <c r="D1936" s="2" t="s">
        <v>720</v>
      </c>
      <c r="E1936" s="7">
        <v>1467167</v>
      </c>
      <c r="F1936" s="5">
        <v>3404440</v>
      </c>
    </row>
    <row r="1937" spans="1:6" x14ac:dyDescent="0.25">
      <c r="A1937" s="5">
        <v>3404470</v>
      </c>
      <c r="B1937" s="1">
        <v>2015</v>
      </c>
      <c r="C1937" s="1" t="s">
        <v>1387</v>
      </c>
      <c r="D1937" s="1" t="s">
        <v>118</v>
      </c>
      <c r="E1937" s="8">
        <v>325271</v>
      </c>
      <c r="F1937" s="5">
        <v>3404470</v>
      </c>
    </row>
    <row r="1938" spans="1:6" x14ac:dyDescent="0.25">
      <c r="A1938" s="5">
        <v>3404470</v>
      </c>
      <c r="B1938" s="1">
        <v>2016</v>
      </c>
      <c r="C1938" s="1" t="s">
        <v>1387</v>
      </c>
      <c r="D1938" s="1" t="s">
        <v>118</v>
      </c>
      <c r="E1938" s="8">
        <v>448156</v>
      </c>
      <c r="F1938" s="5">
        <v>3404470</v>
      </c>
    </row>
    <row r="1939" spans="1:6" x14ac:dyDescent="0.25">
      <c r="A1939" s="5">
        <v>3404470</v>
      </c>
      <c r="B1939" s="1">
        <v>2017</v>
      </c>
      <c r="C1939" s="1" t="s">
        <v>1387</v>
      </c>
      <c r="D1939" s="1" t="s">
        <v>118</v>
      </c>
      <c r="E1939" s="8">
        <v>593310</v>
      </c>
      <c r="F1939" s="5">
        <v>3404470</v>
      </c>
    </row>
    <row r="1940" spans="1:6" x14ac:dyDescent="0.25">
      <c r="A1940" s="5">
        <v>3404470</v>
      </c>
      <c r="B1940" s="1">
        <v>2018</v>
      </c>
      <c r="C1940" s="1" t="s">
        <v>1387</v>
      </c>
      <c r="D1940" s="1" t="s">
        <v>799</v>
      </c>
      <c r="E1940" s="8">
        <v>842443</v>
      </c>
      <c r="F1940" s="5">
        <v>3404470</v>
      </c>
    </row>
    <row r="1941" spans="1:6" x14ac:dyDescent="0.25">
      <c r="A1941" s="5">
        <v>3404470</v>
      </c>
      <c r="B1941" s="1">
        <v>2019</v>
      </c>
      <c r="C1941" s="1" t="s">
        <v>1387</v>
      </c>
      <c r="D1941" s="1" t="s">
        <v>799</v>
      </c>
      <c r="E1941" s="8">
        <v>1107298</v>
      </c>
      <c r="F1941" s="5">
        <v>3404470</v>
      </c>
    </row>
    <row r="1942" spans="1:6" ht="20" x14ac:dyDescent="0.25">
      <c r="A1942" s="5">
        <v>3404470</v>
      </c>
      <c r="B1942" s="1">
        <v>2020</v>
      </c>
      <c r="C1942" s="1" t="s">
        <v>1387</v>
      </c>
      <c r="D1942" s="2" t="s">
        <v>799</v>
      </c>
      <c r="E1942" s="7">
        <v>1229854</v>
      </c>
      <c r="F1942" s="5">
        <v>3404470</v>
      </c>
    </row>
    <row r="1943" spans="1:6" ht="20" x14ac:dyDescent="0.25">
      <c r="A1943" s="5">
        <v>3404470</v>
      </c>
      <c r="B1943" s="1">
        <v>2021</v>
      </c>
      <c r="C1943" s="1" t="s">
        <v>1387</v>
      </c>
      <c r="D1943" s="3" t="s">
        <v>799</v>
      </c>
      <c r="E1943" s="7">
        <v>1687404</v>
      </c>
      <c r="F1943" s="5">
        <v>3404470</v>
      </c>
    </row>
    <row r="1944" spans="1:6" ht="20" x14ac:dyDescent="0.25">
      <c r="A1944" s="5">
        <v>3404470</v>
      </c>
      <c r="B1944" s="1">
        <v>2022</v>
      </c>
      <c r="C1944" s="1" t="s">
        <v>1387</v>
      </c>
      <c r="D1944" s="2" t="s">
        <v>799</v>
      </c>
      <c r="E1944" s="7">
        <v>2421281</v>
      </c>
      <c r="F1944" s="5">
        <v>3404470</v>
      </c>
    </row>
    <row r="1945" spans="1:6" ht="20" x14ac:dyDescent="0.25">
      <c r="A1945" s="5">
        <v>3404470</v>
      </c>
      <c r="B1945" s="1">
        <v>2023</v>
      </c>
      <c r="C1945" s="1" t="s">
        <v>1387</v>
      </c>
      <c r="D1945" s="2" t="s">
        <v>799</v>
      </c>
      <c r="E1945" s="7">
        <v>2430920</v>
      </c>
      <c r="F1945" s="5">
        <v>3404470</v>
      </c>
    </row>
    <row r="1946" spans="1:6" x14ac:dyDescent="0.25">
      <c r="A1946" s="5">
        <v>3404500</v>
      </c>
      <c r="B1946" s="1">
        <v>2015</v>
      </c>
      <c r="C1946" s="1" t="s">
        <v>1387</v>
      </c>
      <c r="D1946" s="1" t="s">
        <v>377</v>
      </c>
      <c r="E1946" s="8">
        <v>5671158</v>
      </c>
      <c r="F1946" s="5">
        <v>3404500</v>
      </c>
    </row>
    <row r="1947" spans="1:6" x14ac:dyDescent="0.25">
      <c r="A1947" s="5">
        <v>3404500</v>
      </c>
      <c r="B1947" s="1">
        <v>2016</v>
      </c>
      <c r="C1947" s="1" t="s">
        <v>1387</v>
      </c>
      <c r="D1947" s="1" t="s">
        <v>377</v>
      </c>
      <c r="E1947" s="8">
        <v>8526885</v>
      </c>
      <c r="F1947" s="5">
        <v>3404500</v>
      </c>
    </row>
    <row r="1948" spans="1:6" x14ac:dyDescent="0.25">
      <c r="A1948" s="5">
        <v>3404500</v>
      </c>
      <c r="B1948" s="1">
        <v>2017</v>
      </c>
      <c r="C1948" s="1" t="s">
        <v>1387</v>
      </c>
      <c r="D1948" s="1" t="s">
        <v>377</v>
      </c>
      <c r="E1948" s="8">
        <v>12008310</v>
      </c>
      <c r="F1948" s="5">
        <v>3404500</v>
      </c>
    </row>
    <row r="1949" spans="1:6" x14ac:dyDescent="0.25">
      <c r="A1949" s="5">
        <v>3404500</v>
      </c>
      <c r="B1949" s="1">
        <v>2018</v>
      </c>
      <c r="C1949" s="1" t="s">
        <v>1387</v>
      </c>
      <c r="D1949" s="1" t="s">
        <v>1069</v>
      </c>
      <c r="E1949" s="8">
        <v>16237016</v>
      </c>
      <c r="F1949" s="5">
        <v>3404500</v>
      </c>
    </row>
    <row r="1950" spans="1:6" x14ac:dyDescent="0.25">
      <c r="A1950" s="5">
        <v>3404500</v>
      </c>
      <c r="B1950" s="1">
        <v>2019</v>
      </c>
      <c r="C1950" s="1" t="s">
        <v>1387</v>
      </c>
      <c r="D1950" s="1" t="s">
        <v>1069</v>
      </c>
      <c r="E1950" s="8">
        <v>21572331</v>
      </c>
      <c r="F1950" s="5">
        <v>3404500</v>
      </c>
    </row>
    <row r="1951" spans="1:6" ht="20" x14ac:dyDescent="0.25">
      <c r="A1951" s="5">
        <v>3404500</v>
      </c>
      <c r="B1951" s="1">
        <v>2020</v>
      </c>
      <c r="C1951" s="1" t="s">
        <v>1387</v>
      </c>
      <c r="D1951" s="2" t="s">
        <v>1069</v>
      </c>
      <c r="E1951" s="7">
        <v>24274740</v>
      </c>
      <c r="F1951" s="5">
        <v>3404500</v>
      </c>
    </row>
    <row r="1952" spans="1:6" ht="20" x14ac:dyDescent="0.25">
      <c r="A1952" s="5">
        <v>3404500</v>
      </c>
      <c r="B1952" s="1">
        <v>2021</v>
      </c>
      <c r="C1952" s="1" t="s">
        <v>1387</v>
      </c>
      <c r="D1952" s="3" t="s">
        <v>1069</v>
      </c>
      <c r="E1952" s="7">
        <v>31833746</v>
      </c>
      <c r="F1952" s="5">
        <v>3404500</v>
      </c>
    </row>
    <row r="1953" spans="1:6" ht="20" x14ac:dyDescent="0.25">
      <c r="A1953" s="5">
        <v>3404500</v>
      </c>
      <c r="B1953" s="1">
        <v>2022</v>
      </c>
      <c r="C1953" s="1" t="s">
        <v>1387</v>
      </c>
      <c r="D1953" s="2" t="s">
        <v>1069</v>
      </c>
      <c r="E1953" s="7">
        <v>45540567</v>
      </c>
      <c r="F1953" s="5">
        <v>3404500</v>
      </c>
    </row>
    <row r="1954" spans="1:6" ht="20" x14ac:dyDescent="0.25">
      <c r="A1954" s="5">
        <v>3404500</v>
      </c>
      <c r="B1954" s="1">
        <v>2023</v>
      </c>
      <c r="C1954" s="1" t="s">
        <v>1387</v>
      </c>
      <c r="D1954" s="2" t="s">
        <v>1069</v>
      </c>
      <c r="E1954" s="7">
        <v>45578201</v>
      </c>
      <c r="F1954" s="5">
        <v>3404500</v>
      </c>
    </row>
    <row r="1955" spans="1:6" x14ac:dyDescent="0.25">
      <c r="A1955" s="5">
        <v>3404530</v>
      </c>
      <c r="B1955" s="1">
        <v>2015</v>
      </c>
      <c r="C1955" s="1" t="s">
        <v>1387</v>
      </c>
      <c r="D1955" s="1" t="s">
        <v>7</v>
      </c>
      <c r="E1955" s="8">
        <v>222663</v>
      </c>
      <c r="F1955" s="5">
        <v>3404530</v>
      </c>
    </row>
    <row r="1956" spans="1:6" x14ac:dyDescent="0.25">
      <c r="A1956" s="5">
        <v>3404530</v>
      </c>
      <c r="B1956" s="1">
        <v>2016</v>
      </c>
      <c r="C1956" s="1" t="s">
        <v>1387</v>
      </c>
      <c r="D1956" s="1" t="s">
        <v>7</v>
      </c>
      <c r="E1956" s="8">
        <v>320597</v>
      </c>
      <c r="F1956" s="5">
        <v>3404530</v>
      </c>
    </row>
    <row r="1957" spans="1:6" x14ac:dyDescent="0.25">
      <c r="A1957" s="5">
        <v>3404530</v>
      </c>
      <c r="B1957" s="1">
        <v>2017</v>
      </c>
      <c r="C1957" s="1" t="s">
        <v>1387</v>
      </c>
      <c r="D1957" s="1" t="s">
        <v>7</v>
      </c>
      <c r="E1957" s="8">
        <v>445474</v>
      </c>
      <c r="F1957" s="5">
        <v>3404530</v>
      </c>
    </row>
    <row r="1958" spans="1:6" x14ac:dyDescent="0.25">
      <c r="A1958" s="5">
        <v>3404530</v>
      </c>
      <c r="B1958" s="1">
        <v>2018</v>
      </c>
      <c r="C1958" s="1" t="s">
        <v>1387</v>
      </c>
      <c r="D1958" s="1" t="s">
        <v>686</v>
      </c>
      <c r="E1958" s="8">
        <v>596549</v>
      </c>
      <c r="F1958" s="5">
        <v>3404530</v>
      </c>
    </row>
    <row r="1959" spans="1:6" x14ac:dyDescent="0.25">
      <c r="A1959" s="5">
        <v>3404530</v>
      </c>
      <c r="B1959" s="1">
        <v>2019</v>
      </c>
      <c r="C1959" s="1" t="s">
        <v>1387</v>
      </c>
      <c r="D1959" s="1" t="s">
        <v>686</v>
      </c>
      <c r="E1959" s="8">
        <v>772632</v>
      </c>
      <c r="F1959" s="5">
        <v>3404530</v>
      </c>
    </row>
    <row r="1960" spans="1:6" ht="20" x14ac:dyDescent="0.25">
      <c r="A1960" s="5">
        <v>3404530</v>
      </c>
      <c r="B1960" s="1">
        <v>2020</v>
      </c>
      <c r="C1960" s="1" t="s">
        <v>1387</v>
      </c>
      <c r="D1960" s="2" t="s">
        <v>686</v>
      </c>
      <c r="E1960" s="7">
        <v>860225</v>
      </c>
      <c r="F1960" s="5">
        <v>3404530</v>
      </c>
    </row>
    <row r="1961" spans="1:6" ht="20" x14ac:dyDescent="0.25">
      <c r="A1961" s="5">
        <v>3404530</v>
      </c>
      <c r="B1961" s="1">
        <v>2021</v>
      </c>
      <c r="C1961" s="1" t="s">
        <v>1387</v>
      </c>
      <c r="D1961" s="3" t="s">
        <v>686</v>
      </c>
      <c r="E1961" s="7">
        <v>1135624</v>
      </c>
      <c r="F1961" s="5">
        <v>3404530</v>
      </c>
    </row>
    <row r="1962" spans="1:6" ht="20" x14ac:dyDescent="0.25">
      <c r="A1962" s="5">
        <v>3404530</v>
      </c>
      <c r="B1962" s="1">
        <v>2022</v>
      </c>
      <c r="C1962" s="1" t="s">
        <v>1387</v>
      </c>
      <c r="D1962" s="2" t="s">
        <v>686</v>
      </c>
      <c r="E1962" s="7">
        <v>1581903</v>
      </c>
      <c r="F1962" s="5">
        <v>3404530</v>
      </c>
    </row>
    <row r="1963" spans="1:6" ht="20" x14ac:dyDescent="0.25">
      <c r="A1963" s="5">
        <v>3404530</v>
      </c>
      <c r="B1963" s="1">
        <v>2023</v>
      </c>
      <c r="C1963" s="1" t="s">
        <v>1387</v>
      </c>
      <c r="D1963" s="2" t="s">
        <v>686</v>
      </c>
      <c r="E1963" s="7">
        <v>1584583</v>
      </c>
      <c r="F1963" s="5">
        <v>3404530</v>
      </c>
    </row>
    <row r="1964" spans="1:6" x14ac:dyDescent="0.25">
      <c r="A1964" s="5">
        <v>3404560</v>
      </c>
      <c r="B1964" s="1">
        <v>2015</v>
      </c>
      <c r="C1964" s="1" t="s">
        <v>1387</v>
      </c>
      <c r="D1964" s="1" t="s">
        <v>8</v>
      </c>
      <c r="E1964" s="8">
        <v>2649238</v>
      </c>
      <c r="F1964" s="5">
        <v>3404560</v>
      </c>
    </row>
    <row r="1965" spans="1:6" x14ac:dyDescent="0.25">
      <c r="A1965" s="5">
        <v>3404560</v>
      </c>
      <c r="B1965" s="1">
        <v>2016</v>
      </c>
      <c r="C1965" s="1" t="s">
        <v>1387</v>
      </c>
      <c r="D1965" s="1" t="s">
        <v>8</v>
      </c>
      <c r="E1965" s="8">
        <v>3908541</v>
      </c>
      <c r="F1965" s="5">
        <v>3404560</v>
      </c>
    </row>
    <row r="1966" spans="1:6" x14ac:dyDescent="0.25">
      <c r="A1966" s="5">
        <v>3404560</v>
      </c>
      <c r="B1966" s="1">
        <v>2017</v>
      </c>
      <c r="C1966" s="1" t="s">
        <v>1387</v>
      </c>
      <c r="D1966" s="1" t="s">
        <v>8</v>
      </c>
      <c r="E1966" s="8">
        <v>5601536</v>
      </c>
      <c r="F1966" s="5">
        <v>3404560</v>
      </c>
    </row>
    <row r="1967" spans="1:6" x14ac:dyDescent="0.25">
      <c r="A1967" s="5">
        <v>3404560</v>
      </c>
      <c r="B1967" s="1">
        <v>2018</v>
      </c>
      <c r="C1967" s="1" t="s">
        <v>1387</v>
      </c>
      <c r="D1967" s="1" t="s">
        <v>687</v>
      </c>
      <c r="E1967" s="8">
        <v>7545086</v>
      </c>
      <c r="F1967" s="5">
        <v>3404560</v>
      </c>
    </row>
    <row r="1968" spans="1:6" x14ac:dyDescent="0.25">
      <c r="A1968" s="5">
        <v>3404560</v>
      </c>
      <c r="B1968" s="1">
        <v>2019</v>
      </c>
      <c r="C1968" s="1" t="s">
        <v>1387</v>
      </c>
      <c r="D1968" s="1" t="s">
        <v>687</v>
      </c>
      <c r="E1968" s="8">
        <v>10070606</v>
      </c>
      <c r="F1968" s="5">
        <v>3404560</v>
      </c>
    </row>
    <row r="1969" spans="1:6" ht="20" x14ac:dyDescent="0.25">
      <c r="A1969" s="5">
        <v>3404560</v>
      </c>
      <c r="B1969" s="1">
        <v>2020</v>
      </c>
      <c r="C1969" s="1" t="s">
        <v>1387</v>
      </c>
      <c r="D1969" s="2" t="s">
        <v>687</v>
      </c>
      <c r="E1969" s="7">
        <v>11468983</v>
      </c>
      <c r="F1969" s="5">
        <v>3404560</v>
      </c>
    </row>
    <row r="1970" spans="1:6" ht="20" x14ac:dyDescent="0.25">
      <c r="A1970" s="5">
        <v>3404560</v>
      </c>
      <c r="B1970" s="1">
        <v>2021</v>
      </c>
      <c r="C1970" s="1" t="s">
        <v>1387</v>
      </c>
      <c r="D1970" s="3" t="s">
        <v>687</v>
      </c>
      <c r="E1970" s="7">
        <v>14928441</v>
      </c>
      <c r="F1970" s="5">
        <v>3404560</v>
      </c>
    </row>
    <row r="1971" spans="1:6" ht="20" x14ac:dyDescent="0.25">
      <c r="A1971" s="5">
        <v>3404560</v>
      </c>
      <c r="B1971" s="1">
        <v>2022</v>
      </c>
      <c r="C1971" s="1" t="s">
        <v>1387</v>
      </c>
      <c r="D1971" s="2" t="s">
        <v>687</v>
      </c>
      <c r="E1971" s="7">
        <v>21916421</v>
      </c>
      <c r="F1971" s="5">
        <v>3404560</v>
      </c>
    </row>
    <row r="1972" spans="1:6" ht="20" x14ac:dyDescent="0.25">
      <c r="A1972" s="5">
        <v>3404560</v>
      </c>
      <c r="B1972" s="1">
        <v>2023</v>
      </c>
      <c r="C1972" s="1" t="s">
        <v>1387</v>
      </c>
      <c r="D1972" s="2" t="s">
        <v>687</v>
      </c>
      <c r="E1972" s="7">
        <v>22012558</v>
      </c>
      <c r="F1972" s="5">
        <v>3404560</v>
      </c>
    </row>
    <row r="1973" spans="1:6" x14ac:dyDescent="0.25">
      <c r="A1973" s="5">
        <v>3404590</v>
      </c>
      <c r="B1973" s="1">
        <v>2015</v>
      </c>
      <c r="C1973" s="1" t="s">
        <v>1387</v>
      </c>
      <c r="D1973" s="1" t="s">
        <v>616</v>
      </c>
      <c r="E1973" s="8">
        <v>10404785</v>
      </c>
      <c r="F1973" s="5">
        <v>3404590</v>
      </c>
    </row>
    <row r="1974" spans="1:6" x14ac:dyDescent="0.25">
      <c r="A1974" s="5">
        <v>3404590</v>
      </c>
      <c r="B1974" s="1">
        <v>2016</v>
      </c>
      <c r="C1974" s="1" t="s">
        <v>1387</v>
      </c>
      <c r="D1974" s="1" t="s">
        <v>616</v>
      </c>
      <c r="E1974" s="8">
        <v>15794507</v>
      </c>
      <c r="F1974" s="5">
        <v>3404590</v>
      </c>
    </row>
    <row r="1975" spans="1:6" x14ac:dyDescent="0.25">
      <c r="A1975" s="5">
        <v>3404590</v>
      </c>
      <c r="B1975" s="1">
        <v>2017</v>
      </c>
      <c r="C1975" s="1" t="s">
        <v>1387</v>
      </c>
      <c r="D1975" s="1" t="s">
        <v>616</v>
      </c>
      <c r="E1975" s="8">
        <v>21677180</v>
      </c>
      <c r="F1975" s="5">
        <v>3404590</v>
      </c>
    </row>
    <row r="1976" spans="1:6" x14ac:dyDescent="0.25">
      <c r="A1976" s="5">
        <v>3404590</v>
      </c>
      <c r="B1976" s="1">
        <v>2018</v>
      </c>
      <c r="C1976" s="1" t="s">
        <v>1387</v>
      </c>
      <c r="D1976" s="1" t="s">
        <v>1309</v>
      </c>
      <c r="E1976" s="8">
        <v>27598982</v>
      </c>
      <c r="F1976" s="5">
        <v>3404590</v>
      </c>
    </row>
    <row r="1977" spans="1:6" x14ac:dyDescent="0.25">
      <c r="A1977" s="5">
        <v>3404590</v>
      </c>
      <c r="B1977" s="1">
        <v>2019</v>
      </c>
      <c r="C1977" s="1" t="s">
        <v>1387</v>
      </c>
      <c r="D1977" s="1" t="s">
        <v>1309</v>
      </c>
      <c r="E1977" s="8">
        <v>37322066</v>
      </c>
      <c r="F1977" s="5">
        <v>3404590</v>
      </c>
    </row>
    <row r="1978" spans="1:6" ht="20" x14ac:dyDescent="0.25">
      <c r="A1978" s="5">
        <v>3404590</v>
      </c>
      <c r="B1978" s="1">
        <v>2020</v>
      </c>
      <c r="C1978" s="1" t="s">
        <v>1387</v>
      </c>
      <c r="D1978" s="2" t="s">
        <v>1309</v>
      </c>
      <c r="E1978" s="7">
        <v>42758057</v>
      </c>
      <c r="F1978" s="5">
        <v>3404590</v>
      </c>
    </row>
    <row r="1979" spans="1:6" ht="20" x14ac:dyDescent="0.25">
      <c r="A1979" s="5">
        <v>3404590</v>
      </c>
      <c r="B1979" s="1">
        <v>2021</v>
      </c>
      <c r="C1979" s="1" t="s">
        <v>1387</v>
      </c>
      <c r="D1979" s="3" t="s">
        <v>1309</v>
      </c>
      <c r="E1979" s="7">
        <v>56729421</v>
      </c>
      <c r="F1979" s="5">
        <v>3404590</v>
      </c>
    </row>
    <row r="1980" spans="1:6" ht="20" x14ac:dyDescent="0.25">
      <c r="A1980" s="5">
        <v>3404590</v>
      </c>
      <c r="B1980" s="1">
        <v>2022</v>
      </c>
      <c r="C1980" s="1" t="s">
        <v>1387</v>
      </c>
      <c r="D1980" s="2" t="s">
        <v>1309</v>
      </c>
      <c r="E1980" s="7">
        <v>81353509</v>
      </c>
      <c r="F1980" s="5">
        <v>3404590</v>
      </c>
    </row>
    <row r="1981" spans="1:6" ht="20" x14ac:dyDescent="0.25">
      <c r="A1981" s="5">
        <v>3404590</v>
      </c>
      <c r="B1981" s="1">
        <v>2023</v>
      </c>
      <c r="C1981" s="1" t="s">
        <v>1387</v>
      </c>
      <c r="D1981" s="2" t="s">
        <v>1309</v>
      </c>
      <c r="E1981" s="7">
        <v>79756062</v>
      </c>
      <c r="F1981" s="5">
        <v>3404590</v>
      </c>
    </row>
    <row r="1982" spans="1:6" x14ac:dyDescent="0.25">
      <c r="A1982" s="5">
        <v>3404620</v>
      </c>
      <c r="B1982" s="1">
        <v>2015</v>
      </c>
      <c r="C1982" s="1" t="s">
        <v>1387</v>
      </c>
      <c r="D1982" s="1" t="s">
        <v>278</v>
      </c>
      <c r="E1982" s="8">
        <v>115038</v>
      </c>
      <c r="F1982" s="5">
        <v>3404620</v>
      </c>
    </row>
    <row r="1983" spans="1:6" x14ac:dyDescent="0.25">
      <c r="A1983" s="5">
        <v>3404620</v>
      </c>
      <c r="B1983" s="1">
        <v>2016</v>
      </c>
      <c r="C1983" s="1" t="s">
        <v>1387</v>
      </c>
      <c r="D1983" s="1" t="s">
        <v>278</v>
      </c>
      <c r="E1983" s="8">
        <v>179700</v>
      </c>
      <c r="F1983" s="5">
        <v>3404620</v>
      </c>
    </row>
    <row r="1984" spans="1:6" x14ac:dyDescent="0.25">
      <c r="A1984" s="5">
        <v>3404620</v>
      </c>
      <c r="B1984" s="1">
        <v>2017</v>
      </c>
      <c r="C1984" s="1" t="s">
        <v>1387</v>
      </c>
      <c r="D1984" s="1" t="s">
        <v>278</v>
      </c>
      <c r="E1984" s="8">
        <v>234852</v>
      </c>
      <c r="F1984" s="5">
        <v>3404620</v>
      </c>
    </row>
    <row r="1985" spans="1:6" x14ac:dyDescent="0.25">
      <c r="A1985" s="5">
        <v>3404620</v>
      </c>
      <c r="B1985" s="1">
        <v>2018</v>
      </c>
      <c r="C1985" s="1" t="s">
        <v>1387</v>
      </c>
      <c r="D1985" s="1" t="s">
        <v>968</v>
      </c>
      <c r="E1985" s="8">
        <v>316080</v>
      </c>
      <c r="F1985" s="5">
        <v>3404620</v>
      </c>
    </row>
    <row r="1986" spans="1:6" x14ac:dyDescent="0.25">
      <c r="A1986" s="5">
        <v>3404620</v>
      </c>
      <c r="B1986" s="1">
        <v>2019</v>
      </c>
      <c r="C1986" s="1" t="s">
        <v>1387</v>
      </c>
      <c r="D1986" s="1" t="s">
        <v>968</v>
      </c>
      <c r="E1986" s="8">
        <v>437123</v>
      </c>
      <c r="F1986" s="5">
        <v>3404620</v>
      </c>
    </row>
    <row r="1987" spans="1:6" ht="20" x14ac:dyDescent="0.25">
      <c r="A1987" s="5">
        <v>3404620</v>
      </c>
      <c r="B1987" s="1">
        <v>2020</v>
      </c>
      <c r="C1987" s="1" t="s">
        <v>1387</v>
      </c>
      <c r="D1987" s="2" t="s">
        <v>968</v>
      </c>
      <c r="E1987" s="7">
        <v>488533</v>
      </c>
      <c r="F1987" s="5">
        <v>3404620</v>
      </c>
    </row>
    <row r="1988" spans="1:6" ht="20" x14ac:dyDescent="0.25">
      <c r="A1988" s="5">
        <v>3404620</v>
      </c>
      <c r="B1988" s="1">
        <v>2021</v>
      </c>
      <c r="C1988" s="1" t="s">
        <v>1387</v>
      </c>
      <c r="D1988" s="3" t="s">
        <v>968</v>
      </c>
      <c r="E1988" s="7">
        <v>637724</v>
      </c>
      <c r="F1988" s="5">
        <v>3404620</v>
      </c>
    </row>
    <row r="1989" spans="1:6" ht="20" x14ac:dyDescent="0.25">
      <c r="A1989" s="5">
        <v>3404620</v>
      </c>
      <c r="B1989" s="1">
        <v>2022</v>
      </c>
      <c r="C1989" s="1" t="s">
        <v>1387</v>
      </c>
      <c r="D1989" s="2" t="s">
        <v>968</v>
      </c>
      <c r="E1989" s="7">
        <v>915840</v>
      </c>
      <c r="F1989" s="5">
        <v>3404620</v>
      </c>
    </row>
    <row r="1990" spans="1:6" ht="20" x14ac:dyDescent="0.25">
      <c r="A1990" s="5">
        <v>3404620</v>
      </c>
      <c r="B1990" s="1">
        <v>2023</v>
      </c>
      <c r="C1990" s="1" t="s">
        <v>1387</v>
      </c>
      <c r="D1990" s="2" t="s">
        <v>968</v>
      </c>
      <c r="E1990" s="7">
        <v>901371</v>
      </c>
      <c r="F1990" s="5">
        <v>3404620</v>
      </c>
    </row>
    <row r="1991" spans="1:6" x14ac:dyDescent="0.25">
      <c r="A1991" s="5">
        <v>3404660</v>
      </c>
      <c r="B1991" s="1">
        <v>2015</v>
      </c>
      <c r="C1991" s="1" t="s">
        <v>1387</v>
      </c>
      <c r="D1991" s="1" t="s">
        <v>43</v>
      </c>
      <c r="E1991" s="8">
        <v>612412</v>
      </c>
      <c r="F1991" s="5">
        <v>3404660</v>
      </c>
    </row>
    <row r="1992" spans="1:6" x14ac:dyDescent="0.25">
      <c r="A1992" s="5">
        <v>3404660</v>
      </c>
      <c r="B1992" s="1">
        <v>2016</v>
      </c>
      <c r="C1992" s="1" t="s">
        <v>1387</v>
      </c>
      <c r="D1992" s="1" t="s">
        <v>43</v>
      </c>
      <c r="E1992" s="8">
        <v>923482</v>
      </c>
      <c r="F1992" s="5">
        <v>3404660</v>
      </c>
    </row>
    <row r="1993" spans="1:6" x14ac:dyDescent="0.25">
      <c r="A1993" s="5">
        <v>3404660</v>
      </c>
      <c r="B1993" s="1">
        <v>2017</v>
      </c>
      <c r="C1993" s="1" t="s">
        <v>1387</v>
      </c>
      <c r="D1993" s="1" t="s">
        <v>43</v>
      </c>
      <c r="E1993" s="8">
        <v>1330606</v>
      </c>
      <c r="F1993" s="5">
        <v>3404660</v>
      </c>
    </row>
    <row r="1994" spans="1:6" x14ac:dyDescent="0.25">
      <c r="A1994" s="5">
        <v>3404660</v>
      </c>
      <c r="B1994" s="1">
        <v>2018</v>
      </c>
      <c r="C1994" s="1" t="s">
        <v>1387</v>
      </c>
      <c r="D1994" s="1" t="s">
        <v>721</v>
      </c>
      <c r="E1994" s="8">
        <v>1875005</v>
      </c>
      <c r="F1994" s="5">
        <v>3404660</v>
      </c>
    </row>
    <row r="1995" spans="1:6" x14ac:dyDescent="0.25">
      <c r="A1995" s="5">
        <v>3404660</v>
      </c>
      <c r="B1995" s="1">
        <v>2019</v>
      </c>
      <c r="C1995" s="1" t="s">
        <v>1387</v>
      </c>
      <c r="D1995" s="1" t="s">
        <v>721</v>
      </c>
      <c r="E1995" s="8">
        <v>2559551</v>
      </c>
      <c r="F1995" s="5">
        <v>3404660</v>
      </c>
    </row>
    <row r="1996" spans="1:6" ht="20" x14ac:dyDescent="0.25">
      <c r="A1996" s="5">
        <v>3404660</v>
      </c>
      <c r="B1996" s="1">
        <v>2020</v>
      </c>
      <c r="C1996" s="1" t="s">
        <v>1387</v>
      </c>
      <c r="D1996" s="2" t="s">
        <v>721</v>
      </c>
      <c r="E1996" s="7">
        <v>2901652</v>
      </c>
      <c r="F1996" s="5">
        <v>3404660</v>
      </c>
    </row>
    <row r="1997" spans="1:6" ht="20" x14ac:dyDescent="0.25">
      <c r="A1997" s="5">
        <v>3404660</v>
      </c>
      <c r="B1997" s="1">
        <v>2021</v>
      </c>
      <c r="C1997" s="1" t="s">
        <v>1387</v>
      </c>
      <c r="D1997" s="3" t="s">
        <v>721</v>
      </c>
      <c r="E1997" s="7">
        <v>3957157</v>
      </c>
      <c r="F1997" s="5">
        <v>3404660</v>
      </c>
    </row>
    <row r="1998" spans="1:6" ht="20" x14ac:dyDescent="0.25">
      <c r="A1998" s="5">
        <v>3404660</v>
      </c>
      <c r="B1998" s="1">
        <v>2022</v>
      </c>
      <c r="C1998" s="1" t="s">
        <v>1387</v>
      </c>
      <c r="D1998" s="2" t="s">
        <v>721</v>
      </c>
      <c r="E1998" s="7">
        <v>5731515</v>
      </c>
      <c r="F1998" s="5">
        <v>3404660</v>
      </c>
    </row>
    <row r="1999" spans="1:6" ht="20" x14ac:dyDescent="0.25">
      <c r="A1999" s="5">
        <v>3404660</v>
      </c>
      <c r="B1999" s="1">
        <v>2023</v>
      </c>
      <c r="C1999" s="1" t="s">
        <v>1387</v>
      </c>
      <c r="D1999" s="2" t="s">
        <v>721</v>
      </c>
      <c r="E1999" s="7">
        <v>5752322</v>
      </c>
      <c r="F1999" s="5">
        <v>3404660</v>
      </c>
    </row>
    <row r="2000" spans="1:6" x14ac:dyDescent="0.25">
      <c r="A2000" s="5">
        <v>3404680</v>
      </c>
      <c r="B2000" s="1">
        <v>2015</v>
      </c>
      <c r="C2000" s="1" t="s">
        <v>1387</v>
      </c>
      <c r="D2000" s="1" t="s">
        <v>550</v>
      </c>
      <c r="E2000" s="8">
        <v>42802</v>
      </c>
      <c r="F2000" s="5">
        <v>3404680</v>
      </c>
    </row>
    <row r="2001" spans="1:6" x14ac:dyDescent="0.25">
      <c r="A2001" s="5">
        <v>3404680</v>
      </c>
      <c r="B2001" s="1">
        <v>2016</v>
      </c>
      <c r="C2001" s="1" t="s">
        <v>1387</v>
      </c>
      <c r="D2001" s="1" t="s">
        <v>550</v>
      </c>
      <c r="E2001" s="8">
        <v>67874</v>
      </c>
      <c r="F2001" s="5">
        <v>3404680</v>
      </c>
    </row>
    <row r="2002" spans="1:6" x14ac:dyDescent="0.25">
      <c r="A2002" s="5">
        <v>3404680</v>
      </c>
      <c r="B2002" s="1">
        <v>2017</v>
      </c>
      <c r="C2002" s="1" t="s">
        <v>1387</v>
      </c>
      <c r="D2002" s="1" t="s">
        <v>550</v>
      </c>
      <c r="E2002" s="8">
        <v>106697</v>
      </c>
      <c r="F2002" s="5">
        <v>3404680</v>
      </c>
    </row>
    <row r="2003" spans="1:6" x14ac:dyDescent="0.25">
      <c r="A2003" s="5">
        <v>3404680</v>
      </c>
      <c r="B2003" s="1">
        <v>2018</v>
      </c>
      <c r="C2003" s="1" t="s">
        <v>1387</v>
      </c>
      <c r="D2003" s="1" t="s">
        <v>1242</v>
      </c>
      <c r="E2003" s="8">
        <v>129272</v>
      </c>
      <c r="F2003" s="5">
        <v>3404680</v>
      </c>
    </row>
    <row r="2004" spans="1:6" x14ac:dyDescent="0.25">
      <c r="A2004" s="5">
        <v>3404680</v>
      </c>
      <c r="B2004" s="1">
        <v>2019</v>
      </c>
      <c r="C2004" s="1" t="s">
        <v>1387</v>
      </c>
      <c r="D2004" s="1" t="s">
        <v>1242</v>
      </c>
      <c r="E2004" s="8">
        <v>169739</v>
      </c>
      <c r="F2004" s="5">
        <v>3404680</v>
      </c>
    </row>
    <row r="2005" spans="1:6" ht="20" x14ac:dyDescent="0.25">
      <c r="A2005" s="5">
        <v>3404680</v>
      </c>
      <c r="B2005" s="1">
        <v>2020</v>
      </c>
      <c r="C2005" s="1" t="s">
        <v>1387</v>
      </c>
      <c r="D2005" s="2" t="s">
        <v>1242</v>
      </c>
      <c r="E2005" s="7">
        <v>188302</v>
      </c>
      <c r="F2005" s="5">
        <v>3404680</v>
      </c>
    </row>
    <row r="2006" spans="1:6" ht="20" x14ac:dyDescent="0.25">
      <c r="A2006" s="5">
        <v>3404680</v>
      </c>
      <c r="B2006" s="1">
        <v>2021</v>
      </c>
      <c r="C2006" s="1" t="s">
        <v>1387</v>
      </c>
      <c r="D2006" s="3" t="s">
        <v>1242</v>
      </c>
      <c r="E2006" s="7">
        <v>244450</v>
      </c>
      <c r="F2006" s="5">
        <v>3404680</v>
      </c>
    </row>
    <row r="2007" spans="1:6" ht="20" x14ac:dyDescent="0.25">
      <c r="A2007" s="5">
        <v>3404680</v>
      </c>
      <c r="B2007" s="1">
        <v>2022</v>
      </c>
      <c r="C2007" s="1" t="s">
        <v>1387</v>
      </c>
      <c r="D2007" s="2" t="s">
        <v>1242</v>
      </c>
      <c r="E2007" s="7">
        <v>350986</v>
      </c>
      <c r="F2007" s="5">
        <v>3404680</v>
      </c>
    </row>
    <row r="2008" spans="1:6" ht="20" x14ac:dyDescent="0.25">
      <c r="A2008" s="5">
        <v>3404680</v>
      </c>
      <c r="B2008" s="1">
        <v>2023</v>
      </c>
      <c r="C2008" s="1" t="s">
        <v>1387</v>
      </c>
      <c r="D2008" s="2" t="s">
        <v>1242</v>
      </c>
      <c r="E2008" s="7">
        <v>352107</v>
      </c>
      <c r="F2008" s="5">
        <v>3404680</v>
      </c>
    </row>
    <row r="2009" spans="1:6" x14ac:dyDescent="0.25">
      <c r="A2009" s="5">
        <v>3404710</v>
      </c>
      <c r="B2009" s="1">
        <v>2015</v>
      </c>
      <c r="C2009" s="1" t="s">
        <v>1387</v>
      </c>
      <c r="D2009" s="1" t="s">
        <v>44</v>
      </c>
      <c r="E2009" s="8">
        <v>438035</v>
      </c>
      <c r="F2009" s="5">
        <v>3404710</v>
      </c>
    </row>
    <row r="2010" spans="1:6" x14ac:dyDescent="0.25">
      <c r="A2010" s="5">
        <v>3404710</v>
      </c>
      <c r="B2010" s="1">
        <v>2016</v>
      </c>
      <c r="C2010" s="1" t="s">
        <v>1387</v>
      </c>
      <c r="D2010" s="1" t="s">
        <v>44</v>
      </c>
      <c r="E2010" s="8">
        <v>658655</v>
      </c>
      <c r="F2010" s="5">
        <v>3404710</v>
      </c>
    </row>
    <row r="2011" spans="1:6" x14ac:dyDescent="0.25">
      <c r="A2011" s="5">
        <v>3404710</v>
      </c>
      <c r="B2011" s="1">
        <v>2017</v>
      </c>
      <c r="C2011" s="1" t="s">
        <v>1387</v>
      </c>
      <c r="D2011" s="1" t="s">
        <v>44</v>
      </c>
      <c r="E2011" s="8">
        <v>921789</v>
      </c>
      <c r="F2011" s="5">
        <v>3404710</v>
      </c>
    </row>
    <row r="2012" spans="1:6" x14ac:dyDescent="0.25">
      <c r="A2012" s="5">
        <v>3404710</v>
      </c>
      <c r="B2012" s="1">
        <v>2018</v>
      </c>
      <c r="C2012" s="1" t="s">
        <v>1387</v>
      </c>
      <c r="D2012" s="1" t="s">
        <v>722</v>
      </c>
      <c r="E2012" s="8">
        <v>1233868</v>
      </c>
      <c r="F2012" s="5">
        <v>3404710</v>
      </c>
    </row>
    <row r="2013" spans="1:6" x14ac:dyDescent="0.25">
      <c r="A2013" s="5">
        <v>3404710</v>
      </c>
      <c r="B2013" s="1">
        <v>2019</v>
      </c>
      <c r="C2013" s="1" t="s">
        <v>1387</v>
      </c>
      <c r="D2013" s="1" t="s">
        <v>722</v>
      </c>
      <c r="E2013" s="8">
        <v>1671598</v>
      </c>
      <c r="F2013" s="5">
        <v>3404710</v>
      </c>
    </row>
    <row r="2014" spans="1:6" ht="20" x14ac:dyDescent="0.25">
      <c r="A2014" s="5">
        <v>3404710</v>
      </c>
      <c r="B2014" s="1">
        <v>2020</v>
      </c>
      <c r="C2014" s="1" t="s">
        <v>1387</v>
      </c>
      <c r="D2014" s="2" t="s">
        <v>722</v>
      </c>
      <c r="E2014" s="7">
        <v>1907344</v>
      </c>
      <c r="F2014" s="5">
        <v>3404710</v>
      </c>
    </row>
    <row r="2015" spans="1:6" ht="20" x14ac:dyDescent="0.25">
      <c r="A2015" s="5">
        <v>3404710</v>
      </c>
      <c r="B2015" s="1">
        <v>2021</v>
      </c>
      <c r="C2015" s="1" t="s">
        <v>1387</v>
      </c>
      <c r="D2015" s="3" t="s">
        <v>722</v>
      </c>
      <c r="E2015" s="7">
        <v>2333202</v>
      </c>
      <c r="F2015" s="5">
        <v>3404710</v>
      </c>
    </row>
    <row r="2016" spans="1:6" ht="20" x14ac:dyDescent="0.25">
      <c r="A2016" s="5">
        <v>3404710</v>
      </c>
      <c r="B2016" s="1">
        <v>2022</v>
      </c>
      <c r="C2016" s="1" t="s">
        <v>1387</v>
      </c>
      <c r="D2016" s="2" t="s">
        <v>722</v>
      </c>
      <c r="E2016" s="7">
        <v>3330461</v>
      </c>
      <c r="F2016" s="5">
        <v>3404710</v>
      </c>
    </row>
    <row r="2017" spans="1:6" ht="20" x14ac:dyDescent="0.25">
      <c r="A2017" s="5">
        <v>3404710</v>
      </c>
      <c r="B2017" s="1">
        <v>2023</v>
      </c>
      <c r="C2017" s="1" t="s">
        <v>1387</v>
      </c>
      <c r="D2017" s="2" t="s">
        <v>722</v>
      </c>
      <c r="E2017" s="7">
        <v>3330404</v>
      </c>
      <c r="F2017" s="5">
        <v>3404710</v>
      </c>
    </row>
    <row r="2018" spans="1:6" x14ac:dyDescent="0.25">
      <c r="A2018" s="5">
        <v>3404740</v>
      </c>
      <c r="B2018" s="1">
        <v>2015</v>
      </c>
      <c r="C2018" s="1" t="s">
        <v>1387</v>
      </c>
      <c r="D2018" s="1" t="s">
        <v>45</v>
      </c>
      <c r="E2018" s="8">
        <v>1267131</v>
      </c>
      <c r="F2018" s="5">
        <v>3404740</v>
      </c>
    </row>
    <row r="2019" spans="1:6" x14ac:dyDescent="0.25">
      <c r="A2019" s="5">
        <v>3404740</v>
      </c>
      <c r="B2019" s="1">
        <v>2016</v>
      </c>
      <c r="C2019" s="1" t="s">
        <v>1387</v>
      </c>
      <c r="D2019" s="1" t="s">
        <v>45</v>
      </c>
      <c r="E2019" s="8">
        <v>2014294</v>
      </c>
      <c r="F2019" s="5">
        <v>3404740</v>
      </c>
    </row>
    <row r="2020" spans="1:6" x14ac:dyDescent="0.25">
      <c r="A2020" s="5">
        <v>3404740</v>
      </c>
      <c r="B2020" s="1">
        <v>2017</v>
      </c>
      <c r="C2020" s="1" t="s">
        <v>1387</v>
      </c>
      <c r="D2020" s="1" t="s">
        <v>45</v>
      </c>
      <c r="E2020" s="8">
        <v>2943349</v>
      </c>
      <c r="F2020" s="5">
        <v>3404740</v>
      </c>
    </row>
    <row r="2021" spans="1:6" x14ac:dyDescent="0.25">
      <c r="A2021" s="5">
        <v>3404740</v>
      </c>
      <c r="B2021" s="1">
        <v>2018</v>
      </c>
      <c r="C2021" s="1" t="s">
        <v>1387</v>
      </c>
      <c r="D2021" s="1" t="s">
        <v>723</v>
      </c>
      <c r="E2021" s="8">
        <v>3906757</v>
      </c>
      <c r="F2021" s="5">
        <v>3404740</v>
      </c>
    </row>
    <row r="2022" spans="1:6" x14ac:dyDescent="0.25">
      <c r="A2022" s="5">
        <v>3404740</v>
      </c>
      <c r="B2022" s="1">
        <v>2019</v>
      </c>
      <c r="C2022" s="1" t="s">
        <v>1387</v>
      </c>
      <c r="D2022" s="1" t="s">
        <v>723</v>
      </c>
      <c r="E2022" s="8">
        <v>5244289</v>
      </c>
      <c r="F2022" s="5">
        <v>3404740</v>
      </c>
    </row>
    <row r="2023" spans="1:6" ht="20" x14ac:dyDescent="0.25">
      <c r="A2023" s="5">
        <v>3404740</v>
      </c>
      <c r="B2023" s="1">
        <v>2020</v>
      </c>
      <c r="C2023" s="1" t="s">
        <v>1387</v>
      </c>
      <c r="D2023" s="2" t="s">
        <v>723</v>
      </c>
      <c r="E2023" s="7">
        <v>5645354</v>
      </c>
      <c r="F2023" s="5">
        <v>3404740</v>
      </c>
    </row>
    <row r="2024" spans="1:6" ht="20" x14ac:dyDescent="0.25">
      <c r="A2024" s="5">
        <v>3404740</v>
      </c>
      <c r="B2024" s="1">
        <v>2021</v>
      </c>
      <c r="C2024" s="1" t="s">
        <v>1387</v>
      </c>
      <c r="D2024" s="3" t="s">
        <v>723</v>
      </c>
      <c r="E2024" s="7">
        <v>6811113</v>
      </c>
      <c r="F2024" s="5">
        <v>3404740</v>
      </c>
    </row>
    <row r="2025" spans="1:6" ht="20" x14ac:dyDescent="0.25">
      <c r="A2025" s="5">
        <v>3404740</v>
      </c>
      <c r="B2025" s="1">
        <v>2022</v>
      </c>
      <c r="C2025" s="1" t="s">
        <v>1387</v>
      </c>
      <c r="D2025" s="2" t="s">
        <v>723</v>
      </c>
      <c r="E2025" s="7">
        <v>9443041</v>
      </c>
      <c r="F2025" s="5">
        <v>3404740</v>
      </c>
    </row>
    <row r="2026" spans="1:6" ht="20" x14ac:dyDescent="0.25">
      <c r="A2026" s="5">
        <v>3404740</v>
      </c>
      <c r="B2026" s="1">
        <v>2023</v>
      </c>
      <c r="C2026" s="1" t="s">
        <v>1387</v>
      </c>
      <c r="D2026" s="2" t="s">
        <v>723</v>
      </c>
      <c r="E2026" s="7">
        <v>9311540</v>
      </c>
      <c r="F2026" s="5">
        <v>3404740</v>
      </c>
    </row>
    <row r="2027" spans="1:6" x14ac:dyDescent="0.25">
      <c r="A2027" s="5">
        <v>3404770</v>
      </c>
      <c r="B2027" s="1">
        <v>2015</v>
      </c>
      <c r="C2027" s="1" t="s">
        <v>1387</v>
      </c>
      <c r="D2027" s="1" t="s">
        <v>46</v>
      </c>
      <c r="E2027" s="8">
        <v>204713</v>
      </c>
      <c r="F2027" s="5">
        <v>3404770</v>
      </c>
    </row>
    <row r="2028" spans="1:6" x14ac:dyDescent="0.25">
      <c r="A2028" s="5">
        <v>3404770</v>
      </c>
      <c r="B2028" s="1">
        <v>2016</v>
      </c>
      <c r="C2028" s="1" t="s">
        <v>1387</v>
      </c>
      <c r="D2028" s="1" t="s">
        <v>46</v>
      </c>
      <c r="E2028" s="8">
        <v>334217</v>
      </c>
      <c r="F2028" s="5">
        <v>3404770</v>
      </c>
    </row>
    <row r="2029" spans="1:6" x14ac:dyDescent="0.25">
      <c r="A2029" s="5">
        <v>3404770</v>
      </c>
      <c r="B2029" s="1">
        <v>2017</v>
      </c>
      <c r="C2029" s="1" t="s">
        <v>1387</v>
      </c>
      <c r="D2029" s="1" t="s">
        <v>46</v>
      </c>
      <c r="E2029" s="8">
        <v>503898</v>
      </c>
      <c r="F2029" s="5">
        <v>3404770</v>
      </c>
    </row>
    <row r="2030" spans="1:6" x14ac:dyDescent="0.25">
      <c r="A2030" s="5">
        <v>3404770</v>
      </c>
      <c r="B2030" s="1">
        <v>2018</v>
      </c>
      <c r="C2030" s="1" t="s">
        <v>1387</v>
      </c>
      <c r="D2030" s="1" t="s">
        <v>724</v>
      </c>
      <c r="E2030" s="8">
        <v>684676</v>
      </c>
      <c r="F2030" s="5">
        <v>3404770</v>
      </c>
    </row>
    <row r="2031" spans="1:6" x14ac:dyDescent="0.25">
      <c r="A2031" s="5">
        <v>3404770</v>
      </c>
      <c r="B2031" s="1">
        <v>2019</v>
      </c>
      <c r="C2031" s="1" t="s">
        <v>1387</v>
      </c>
      <c r="D2031" s="1" t="s">
        <v>724</v>
      </c>
      <c r="E2031" s="8">
        <v>873282</v>
      </c>
      <c r="F2031" s="5">
        <v>3404770</v>
      </c>
    </row>
    <row r="2032" spans="1:6" ht="20" x14ac:dyDescent="0.25">
      <c r="A2032" s="5">
        <v>3404770</v>
      </c>
      <c r="B2032" s="1">
        <v>2020</v>
      </c>
      <c r="C2032" s="1" t="s">
        <v>1387</v>
      </c>
      <c r="D2032" s="2" t="s">
        <v>724</v>
      </c>
      <c r="E2032" s="7">
        <v>976493</v>
      </c>
      <c r="F2032" s="5">
        <v>3404770</v>
      </c>
    </row>
    <row r="2033" spans="1:6" ht="20" x14ac:dyDescent="0.25">
      <c r="A2033" s="5">
        <v>3404770</v>
      </c>
      <c r="B2033" s="1">
        <v>2021</v>
      </c>
      <c r="C2033" s="1" t="s">
        <v>1387</v>
      </c>
      <c r="D2033" s="3" t="s">
        <v>724</v>
      </c>
      <c r="E2033" s="7">
        <v>1363354</v>
      </c>
      <c r="F2033" s="5">
        <v>3404770</v>
      </c>
    </row>
    <row r="2034" spans="1:6" ht="20" x14ac:dyDescent="0.25">
      <c r="A2034" s="5">
        <v>3404770</v>
      </c>
      <c r="B2034" s="1">
        <v>2022</v>
      </c>
      <c r="C2034" s="1" t="s">
        <v>1387</v>
      </c>
      <c r="D2034" s="2" t="s">
        <v>724</v>
      </c>
      <c r="E2034" s="7">
        <v>1885206</v>
      </c>
      <c r="F2034" s="5">
        <v>3404770</v>
      </c>
    </row>
    <row r="2035" spans="1:6" ht="20" x14ac:dyDescent="0.25">
      <c r="A2035" s="5">
        <v>3404770</v>
      </c>
      <c r="B2035" s="1">
        <v>2023</v>
      </c>
      <c r="C2035" s="1" t="s">
        <v>1387</v>
      </c>
      <c r="D2035" s="2" t="s">
        <v>724</v>
      </c>
      <c r="E2035" s="7">
        <v>1827166</v>
      </c>
      <c r="F2035" s="5">
        <v>3404770</v>
      </c>
    </row>
    <row r="2036" spans="1:6" x14ac:dyDescent="0.25">
      <c r="A2036" s="5">
        <v>3404800</v>
      </c>
      <c r="B2036" s="1">
        <v>2015</v>
      </c>
      <c r="C2036" s="1" t="s">
        <v>1387</v>
      </c>
      <c r="D2036" s="1" t="s">
        <v>238</v>
      </c>
      <c r="E2036" s="8">
        <v>930362</v>
      </c>
      <c r="F2036" s="5">
        <v>3404800</v>
      </c>
    </row>
    <row r="2037" spans="1:6" x14ac:dyDescent="0.25">
      <c r="A2037" s="5">
        <v>3404800</v>
      </c>
      <c r="B2037" s="1">
        <v>2016</v>
      </c>
      <c r="C2037" s="1" t="s">
        <v>1387</v>
      </c>
      <c r="D2037" s="1" t="s">
        <v>238</v>
      </c>
      <c r="E2037" s="8">
        <v>1339984</v>
      </c>
      <c r="F2037" s="5">
        <v>3404800</v>
      </c>
    </row>
    <row r="2038" spans="1:6" x14ac:dyDescent="0.25">
      <c r="A2038" s="5">
        <v>3404800</v>
      </c>
      <c r="B2038" s="1">
        <v>2017</v>
      </c>
      <c r="C2038" s="1" t="s">
        <v>1387</v>
      </c>
      <c r="D2038" s="1" t="s">
        <v>238</v>
      </c>
      <c r="E2038" s="8">
        <v>1916088</v>
      </c>
      <c r="F2038" s="5">
        <v>3404800</v>
      </c>
    </row>
    <row r="2039" spans="1:6" x14ac:dyDescent="0.25">
      <c r="A2039" s="5">
        <v>3404800</v>
      </c>
      <c r="B2039" s="1">
        <v>2018</v>
      </c>
      <c r="C2039" s="1" t="s">
        <v>1387</v>
      </c>
      <c r="D2039" s="1" t="s">
        <v>924</v>
      </c>
      <c r="E2039" s="8">
        <v>2543309</v>
      </c>
      <c r="F2039" s="5">
        <v>3404800</v>
      </c>
    </row>
    <row r="2040" spans="1:6" x14ac:dyDescent="0.25">
      <c r="A2040" s="5">
        <v>3404800</v>
      </c>
      <c r="B2040" s="1">
        <v>2019</v>
      </c>
      <c r="C2040" s="1" t="s">
        <v>1387</v>
      </c>
      <c r="D2040" s="1" t="s">
        <v>924</v>
      </c>
      <c r="E2040" s="8">
        <v>3374752</v>
      </c>
      <c r="F2040" s="5">
        <v>3404800</v>
      </c>
    </row>
    <row r="2041" spans="1:6" ht="20" x14ac:dyDescent="0.25">
      <c r="A2041" s="5">
        <v>3404800</v>
      </c>
      <c r="B2041" s="1">
        <v>2020</v>
      </c>
      <c r="C2041" s="1" t="s">
        <v>1387</v>
      </c>
      <c r="D2041" s="2" t="s">
        <v>924</v>
      </c>
      <c r="E2041" s="7">
        <v>3648040</v>
      </c>
      <c r="F2041" s="5">
        <v>3404800</v>
      </c>
    </row>
    <row r="2042" spans="1:6" ht="20" x14ac:dyDescent="0.25">
      <c r="A2042" s="5">
        <v>3404800</v>
      </c>
      <c r="B2042" s="1">
        <v>2021</v>
      </c>
      <c r="C2042" s="1" t="s">
        <v>1387</v>
      </c>
      <c r="D2042" s="3" t="s">
        <v>924</v>
      </c>
      <c r="E2042" s="7">
        <v>4712249</v>
      </c>
      <c r="F2042" s="5">
        <v>3404800</v>
      </c>
    </row>
    <row r="2043" spans="1:6" ht="20" x14ac:dyDescent="0.25">
      <c r="A2043" s="5">
        <v>3404800</v>
      </c>
      <c r="B2043" s="1">
        <v>2022</v>
      </c>
      <c r="C2043" s="1" t="s">
        <v>1387</v>
      </c>
      <c r="D2043" s="2" t="s">
        <v>924</v>
      </c>
      <c r="E2043" s="7">
        <v>6528393</v>
      </c>
      <c r="F2043" s="5">
        <v>3404800</v>
      </c>
    </row>
    <row r="2044" spans="1:6" ht="20" x14ac:dyDescent="0.25">
      <c r="A2044" s="5">
        <v>3404800</v>
      </c>
      <c r="B2044" s="1">
        <v>2023</v>
      </c>
      <c r="C2044" s="1" t="s">
        <v>1387</v>
      </c>
      <c r="D2044" s="2" t="s">
        <v>924</v>
      </c>
      <c r="E2044" s="7">
        <v>6584252</v>
      </c>
      <c r="F2044" s="5">
        <v>3404800</v>
      </c>
    </row>
    <row r="2045" spans="1:6" x14ac:dyDescent="0.25">
      <c r="A2045" s="5">
        <v>3404830</v>
      </c>
      <c r="B2045" s="1">
        <v>2015</v>
      </c>
      <c r="C2045" s="1" t="s">
        <v>1387</v>
      </c>
      <c r="D2045" s="1" t="s">
        <v>239</v>
      </c>
      <c r="E2045" s="8">
        <v>116464</v>
      </c>
      <c r="F2045" s="5">
        <v>3404830</v>
      </c>
    </row>
    <row r="2046" spans="1:6" x14ac:dyDescent="0.25">
      <c r="A2046" s="5">
        <v>3404830</v>
      </c>
      <c r="B2046" s="1">
        <v>2016</v>
      </c>
      <c r="C2046" s="1" t="s">
        <v>1387</v>
      </c>
      <c r="D2046" s="1" t="s">
        <v>239</v>
      </c>
      <c r="E2046" s="8">
        <v>159368</v>
      </c>
      <c r="F2046" s="5">
        <v>3404830</v>
      </c>
    </row>
    <row r="2047" spans="1:6" x14ac:dyDescent="0.25">
      <c r="A2047" s="5">
        <v>3404830</v>
      </c>
      <c r="B2047" s="1">
        <v>2017</v>
      </c>
      <c r="C2047" s="1" t="s">
        <v>1387</v>
      </c>
      <c r="D2047" s="1" t="s">
        <v>239</v>
      </c>
      <c r="E2047" s="8">
        <v>234582</v>
      </c>
      <c r="F2047" s="5">
        <v>3404830</v>
      </c>
    </row>
    <row r="2048" spans="1:6" x14ac:dyDescent="0.25">
      <c r="A2048" s="5">
        <v>3404830</v>
      </c>
      <c r="B2048" s="1">
        <v>2018</v>
      </c>
      <c r="C2048" s="1" t="s">
        <v>1387</v>
      </c>
      <c r="D2048" s="1" t="s">
        <v>925</v>
      </c>
      <c r="E2048" s="8">
        <v>318840</v>
      </c>
      <c r="F2048" s="5">
        <v>3404830</v>
      </c>
    </row>
    <row r="2049" spans="1:6" x14ac:dyDescent="0.25">
      <c r="A2049" s="5">
        <v>3404830</v>
      </c>
      <c r="B2049" s="1">
        <v>2019</v>
      </c>
      <c r="C2049" s="1" t="s">
        <v>1387</v>
      </c>
      <c r="D2049" s="1" t="s">
        <v>925</v>
      </c>
      <c r="E2049" s="8">
        <v>442412</v>
      </c>
      <c r="F2049" s="5">
        <v>3404830</v>
      </c>
    </row>
    <row r="2050" spans="1:6" ht="20" x14ac:dyDescent="0.25">
      <c r="A2050" s="5">
        <v>3404830</v>
      </c>
      <c r="B2050" s="1">
        <v>2020</v>
      </c>
      <c r="C2050" s="1" t="s">
        <v>1387</v>
      </c>
      <c r="D2050" s="2" t="s">
        <v>925</v>
      </c>
      <c r="E2050" s="7">
        <v>506290</v>
      </c>
      <c r="F2050" s="5">
        <v>3404830</v>
      </c>
    </row>
    <row r="2051" spans="1:6" ht="20" x14ac:dyDescent="0.25">
      <c r="A2051" s="5">
        <v>3404830</v>
      </c>
      <c r="B2051" s="1">
        <v>2021</v>
      </c>
      <c r="C2051" s="1" t="s">
        <v>1387</v>
      </c>
      <c r="D2051" s="3" t="s">
        <v>925</v>
      </c>
      <c r="E2051" s="7">
        <v>706030</v>
      </c>
      <c r="F2051" s="5">
        <v>3404830</v>
      </c>
    </row>
    <row r="2052" spans="1:6" ht="20" x14ac:dyDescent="0.25">
      <c r="A2052" s="5">
        <v>3404830</v>
      </c>
      <c r="B2052" s="1">
        <v>2022</v>
      </c>
      <c r="C2052" s="1" t="s">
        <v>1387</v>
      </c>
      <c r="D2052" s="2" t="s">
        <v>925</v>
      </c>
      <c r="E2052" s="7">
        <v>1015414</v>
      </c>
      <c r="F2052" s="5">
        <v>3404830</v>
      </c>
    </row>
    <row r="2053" spans="1:6" ht="20" x14ac:dyDescent="0.25">
      <c r="A2053" s="5">
        <v>3404830</v>
      </c>
      <c r="B2053" s="1">
        <v>2023</v>
      </c>
      <c r="C2053" s="1" t="s">
        <v>1387</v>
      </c>
      <c r="D2053" s="2" t="s">
        <v>925</v>
      </c>
      <c r="E2053" s="7">
        <v>1033573</v>
      </c>
      <c r="F2053" s="5">
        <v>3404830</v>
      </c>
    </row>
    <row r="2054" spans="1:6" x14ac:dyDescent="0.25">
      <c r="A2054" s="5">
        <v>3404860</v>
      </c>
      <c r="B2054" s="1">
        <v>2015</v>
      </c>
      <c r="C2054" s="1" t="s">
        <v>1387</v>
      </c>
      <c r="D2054" s="1" t="s">
        <v>9</v>
      </c>
      <c r="E2054" s="8">
        <v>69681</v>
      </c>
      <c r="F2054" s="5">
        <v>3404860</v>
      </c>
    </row>
    <row r="2055" spans="1:6" x14ac:dyDescent="0.25">
      <c r="A2055" s="5">
        <v>3404860</v>
      </c>
      <c r="B2055" s="1">
        <v>2016</v>
      </c>
      <c r="C2055" s="1" t="s">
        <v>1387</v>
      </c>
      <c r="D2055" s="1" t="s">
        <v>9</v>
      </c>
      <c r="E2055" s="8">
        <v>101045</v>
      </c>
      <c r="F2055" s="5">
        <v>3404860</v>
      </c>
    </row>
    <row r="2056" spans="1:6" x14ac:dyDescent="0.25">
      <c r="A2056" s="5">
        <v>3404860</v>
      </c>
      <c r="B2056" s="1">
        <v>2017</v>
      </c>
      <c r="C2056" s="1" t="s">
        <v>1387</v>
      </c>
      <c r="D2056" s="1" t="s">
        <v>9</v>
      </c>
      <c r="E2056" s="8">
        <v>133041</v>
      </c>
      <c r="F2056" s="5">
        <v>3404860</v>
      </c>
    </row>
    <row r="2057" spans="1:6" x14ac:dyDescent="0.25">
      <c r="A2057" s="5">
        <v>3404860</v>
      </c>
      <c r="B2057" s="1">
        <v>2018</v>
      </c>
      <c r="C2057" s="1" t="s">
        <v>1387</v>
      </c>
      <c r="D2057" s="1" t="s">
        <v>688</v>
      </c>
      <c r="E2057" s="8">
        <v>194052</v>
      </c>
      <c r="F2057" s="5">
        <v>3404860</v>
      </c>
    </row>
    <row r="2058" spans="1:6" x14ac:dyDescent="0.25">
      <c r="A2058" s="5">
        <v>3404860</v>
      </c>
      <c r="B2058" s="1">
        <v>2019</v>
      </c>
      <c r="C2058" s="1" t="s">
        <v>1387</v>
      </c>
      <c r="D2058" s="1" t="s">
        <v>688</v>
      </c>
      <c r="E2058" s="8">
        <v>254440</v>
      </c>
      <c r="F2058" s="5">
        <v>3404860</v>
      </c>
    </row>
    <row r="2059" spans="1:6" ht="20" x14ac:dyDescent="0.25">
      <c r="A2059" s="5">
        <v>3404860</v>
      </c>
      <c r="B2059" s="1">
        <v>2020</v>
      </c>
      <c r="C2059" s="1" t="s">
        <v>1387</v>
      </c>
      <c r="D2059" s="2" t="s">
        <v>688</v>
      </c>
      <c r="E2059" s="7">
        <v>267992</v>
      </c>
      <c r="F2059" s="5">
        <v>3404860</v>
      </c>
    </row>
    <row r="2060" spans="1:6" ht="20" x14ac:dyDescent="0.25">
      <c r="A2060" s="5">
        <v>3404860</v>
      </c>
      <c r="B2060" s="1">
        <v>2021</v>
      </c>
      <c r="C2060" s="1" t="s">
        <v>1387</v>
      </c>
      <c r="D2060" s="3" t="s">
        <v>688</v>
      </c>
      <c r="E2060" s="7">
        <v>354507</v>
      </c>
      <c r="F2060" s="5">
        <v>3404860</v>
      </c>
    </row>
    <row r="2061" spans="1:6" ht="20" x14ac:dyDescent="0.25">
      <c r="A2061" s="5">
        <v>3404860</v>
      </c>
      <c r="B2061" s="1">
        <v>2022</v>
      </c>
      <c r="C2061" s="1" t="s">
        <v>1387</v>
      </c>
      <c r="D2061" s="2" t="s">
        <v>688</v>
      </c>
      <c r="E2061" s="7">
        <v>493901</v>
      </c>
      <c r="F2061" s="5">
        <v>3404860</v>
      </c>
    </row>
    <row r="2062" spans="1:6" ht="20" x14ac:dyDescent="0.25">
      <c r="A2062" s="5">
        <v>3404860</v>
      </c>
      <c r="B2062" s="1">
        <v>2023</v>
      </c>
      <c r="C2062" s="1" t="s">
        <v>1387</v>
      </c>
      <c r="D2062" s="2" t="s">
        <v>688</v>
      </c>
      <c r="E2062" s="7">
        <v>501587</v>
      </c>
      <c r="F2062" s="5">
        <v>3404860</v>
      </c>
    </row>
    <row r="2063" spans="1:6" x14ac:dyDescent="0.25">
      <c r="A2063" s="5">
        <v>3404890</v>
      </c>
      <c r="B2063" s="1">
        <v>2015</v>
      </c>
      <c r="C2063" s="1" t="s">
        <v>1387</v>
      </c>
      <c r="D2063" s="1" t="s">
        <v>119</v>
      </c>
      <c r="E2063" s="8">
        <v>1674558</v>
      </c>
      <c r="F2063" s="5">
        <v>3404890</v>
      </c>
    </row>
    <row r="2064" spans="1:6" x14ac:dyDescent="0.25">
      <c r="A2064" s="5">
        <v>3404890</v>
      </c>
      <c r="B2064" s="1">
        <v>2016</v>
      </c>
      <c r="C2064" s="1" t="s">
        <v>1387</v>
      </c>
      <c r="D2064" s="1" t="s">
        <v>119</v>
      </c>
      <c r="E2064" s="8">
        <v>2474737</v>
      </c>
      <c r="F2064" s="5">
        <v>3404890</v>
      </c>
    </row>
    <row r="2065" spans="1:6" x14ac:dyDescent="0.25">
      <c r="A2065" s="5">
        <v>3404890</v>
      </c>
      <c r="B2065" s="1">
        <v>2017</v>
      </c>
      <c r="C2065" s="1" t="s">
        <v>1387</v>
      </c>
      <c r="D2065" s="1" t="s">
        <v>119</v>
      </c>
      <c r="E2065" s="8">
        <v>3497935</v>
      </c>
      <c r="F2065" s="5">
        <v>3404890</v>
      </c>
    </row>
    <row r="2066" spans="1:6" x14ac:dyDescent="0.25">
      <c r="A2066" s="5">
        <v>3404890</v>
      </c>
      <c r="B2066" s="1">
        <v>2018</v>
      </c>
      <c r="C2066" s="1" t="s">
        <v>1387</v>
      </c>
      <c r="D2066" s="1" t="s">
        <v>800</v>
      </c>
      <c r="E2066" s="8">
        <v>4729307</v>
      </c>
      <c r="F2066" s="5">
        <v>3404890</v>
      </c>
    </row>
    <row r="2067" spans="1:6" x14ac:dyDescent="0.25">
      <c r="A2067" s="5">
        <v>3404890</v>
      </c>
      <c r="B2067" s="1">
        <v>2019</v>
      </c>
      <c r="C2067" s="1" t="s">
        <v>1387</v>
      </c>
      <c r="D2067" s="1" t="s">
        <v>800</v>
      </c>
      <c r="E2067" s="8">
        <v>6260039</v>
      </c>
      <c r="F2067" s="5">
        <v>3404890</v>
      </c>
    </row>
    <row r="2068" spans="1:6" ht="20" x14ac:dyDescent="0.25">
      <c r="A2068" s="5">
        <v>3404890</v>
      </c>
      <c r="B2068" s="1">
        <v>2020</v>
      </c>
      <c r="C2068" s="1" t="s">
        <v>1387</v>
      </c>
      <c r="D2068" s="2" t="s">
        <v>800</v>
      </c>
      <c r="E2068" s="7">
        <v>7069600</v>
      </c>
      <c r="F2068" s="5">
        <v>3404890</v>
      </c>
    </row>
    <row r="2069" spans="1:6" ht="20" x14ac:dyDescent="0.25">
      <c r="A2069" s="5">
        <v>3404890</v>
      </c>
      <c r="B2069" s="1">
        <v>2021</v>
      </c>
      <c r="C2069" s="1" t="s">
        <v>1387</v>
      </c>
      <c r="D2069" s="3" t="s">
        <v>800</v>
      </c>
      <c r="E2069" s="7">
        <v>9066104</v>
      </c>
      <c r="F2069" s="5">
        <v>3404890</v>
      </c>
    </row>
    <row r="2070" spans="1:6" ht="20" x14ac:dyDescent="0.25">
      <c r="A2070" s="5">
        <v>3404890</v>
      </c>
      <c r="B2070" s="1">
        <v>2022</v>
      </c>
      <c r="C2070" s="1" t="s">
        <v>1387</v>
      </c>
      <c r="D2070" s="2" t="s">
        <v>800</v>
      </c>
      <c r="E2070" s="7">
        <v>12764570</v>
      </c>
      <c r="F2070" s="5">
        <v>3404890</v>
      </c>
    </row>
    <row r="2071" spans="1:6" ht="20" x14ac:dyDescent="0.25">
      <c r="A2071" s="5">
        <v>3404890</v>
      </c>
      <c r="B2071" s="1">
        <v>2023</v>
      </c>
      <c r="C2071" s="1" t="s">
        <v>1387</v>
      </c>
      <c r="D2071" s="2" t="s">
        <v>800</v>
      </c>
      <c r="E2071" s="7">
        <v>12608409</v>
      </c>
      <c r="F2071" s="5">
        <v>3404890</v>
      </c>
    </row>
    <row r="2072" spans="1:6" x14ac:dyDescent="0.25">
      <c r="A2072" s="5">
        <v>3404920</v>
      </c>
      <c r="B2072" s="1">
        <v>2015</v>
      </c>
      <c r="C2072" s="1" t="s">
        <v>1387</v>
      </c>
      <c r="D2072" s="1" t="s">
        <v>356</v>
      </c>
      <c r="E2072" s="8">
        <v>1426342</v>
      </c>
      <c r="F2072" s="5">
        <v>3404920</v>
      </c>
    </row>
    <row r="2073" spans="1:6" x14ac:dyDescent="0.25">
      <c r="A2073" s="5">
        <v>3404920</v>
      </c>
      <c r="B2073" s="1">
        <v>2016</v>
      </c>
      <c r="C2073" s="1" t="s">
        <v>1387</v>
      </c>
      <c r="D2073" s="1" t="s">
        <v>356</v>
      </c>
      <c r="E2073" s="8">
        <v>2146262</v>
      </c>
      <c r="F2073" s="5">
        <v>3404920</v>
      </c>
    </row>
    <row r="2074" spans="1:6" x14ac:dyDescent="0.25">
      <c r="A2074" s="5">
        <v>3404920</v>
      </c>
      <c r="B2074" s="1">
        <v>2017</v>
      </c>
      <c r="C2074" s="1" t="s">
        <v>1387</v>
      </c>
      <c r="D2074" s="1" t="s">
        <v>356</v>
      </c>
      <c r="E2074" s="8">
        <v>3072366</v>
      </c>
      <c r="F2074" s="5">
        <v>3404920</v>
      </c>
    </row>
    <row r="2075" spans="1:6" x14ac:dyDescent="0.25">
      <c r="A2075" s="5">
        <v>3404920</v>
      </c>
      <c r="B2075" s="1">
        <v>2018</v>
      </c>
      <c r="C2075" s="1" t="s">
        <v>1387</v>
      </c>
      <c r="D2075" s="1" t="s">
        <v>1046</v>
      </c>
      <c r="E2075" s="8">
        <v>4145606</v>
      </c>
      <c r="F2075" s="5">
        <v>3404920</v>
      </c>
    </row>
    <row r="2076" spans="1:6" x14ac:dyDescent="0.25">
      <c r="A2076" s="5">
        <v>3404920</v>
      </c>
      <c r="B2076" s="1">
        <v>2019</v>
      </c>
      <c r="C2076" s="1" t="s">
        <v>1387</v>
      </c>
      <c r="D2076" s="1" t="s">
        <v>1046</v>
      </c>
      <c r="E2076" s="8">
        <v>5420319</v>
      </c>
      <c r="F2076" s="5">
        <v>3404920</v>
      </c>
    </row>
    <row r="2077" spans="1:6" ht="20" x14ac:dyDescent="0.25">
      <c r="A2077" s="5">
        <v>3404920</v>
      </c>
      <c r="B2077" s="1">
        <v>2020</v>
      </c>
      <c r="C2077" s="1" t="s">
        <v>1387</v>
      </c>
      <c r="D2077" s="2" t="s">
        <v>1046</v>
      </c>
      <c r="E2077" s="7">
        <v>6040165</v>
      </c>
      <c r="F2077" s="5">
        <v>3404920</v>
      </c>
    </row>
    <row r="2078" spans="1:6" ht="20" x14ac:dyDescent="0.25">
      <c r="A2078" s="5">
        <v>3404920</v>
      </c>
      <c r="B2078" s="1">
        <v>2021</v>
      </c>
      <c r="C2078" s="1" t="s">
        <v>1387</v>
      </c>
      <c r="D2078" s="3" t="s">
        <v>1046</v>
      </c>
      <c r="E2078" s="7">
        <v>7885193</v>
      </c>
      <c r="F2078" s="5">
        <v>3404920</v>
      </c>
    </row>
    <row r="2079" spans="1:6" ht="20" x14ac:dyDescent="0.25">
      <c r="A2079" s="5">
        <v>3404920</v>
      </c>
      <c r="B2079" s="1">
        <v>2022</v>
      </c>
      <c r="C2079" s="1" t="s">
        <v>1387</v>
      </c>
      <c r="D2079" s="2" t="s">
        <v>1046</v>
      </c>
      <c r="E2079" s="7">
        <v>11166040</v>
      </c>
      <c r="F2079" s="5">
        <v>3404920</v>
      </c>
    </row>
    <row r="2080" spans="1:6" ht="20" x14ac:dyDescent="0.25">
      <c r="A2080" s="5">
        <v>3404920</v>
      </c>
      <c r="B2080" s="1">
        <v>2023</v>
      </c>
      <c r="C2080" s="1" t="s">
        <v>1387</v>
      </c>
      <c r="D2080" s="2" t="s">
        <v>1046</v>
      </c>
      <c r="E2080" s="7">
        <v>10981150</v>
      </c>
      <c r="F2080" s="5">
        <v>3404920</v>
      </c>
    </row>
    <row r="2081" spans="1:6" x14ac:dyDescent="0.25">
      <c r="A2081" s="5">
        <v>3404950</v>
      </c>
      <c r="B2081" s="1">
        <v>2015</v>
      </c>
      <c r="C2081" s="1" t="s">
        <v>1387</v>
      </c>
      <c r="D2081" s="1" t="s">
        <v>410</v>
      </c>
      <c r="E2081" s="8">
        <v>332925</v>
      </c>
      <c r="F2081" s="5">
        <v>3404950</v>
      </c>
    </row>
    <row r="2082" spans="1:6" x14ac:dyDescent="0.25">
      <c r="A2082" s="5">
        <v>3404950</v>
      </c>
      <c r="B2082" s="1">
        <v>2016</v>
      </c>
      <c r="C2082" s="1" t="s">
        <v>1387</v>
      </c>
      <c r="D2082" s="1" t="s">
        <v>410</v>
      </c>
      <c r="E2082" s="8">
        <v>458534</v>
      </c>
      <c r="F2082" s="5">
        <v>3404950</v>
      </c>
    </row>
    <row r="2083" spans="1:6" x14ac:dyDescent="0.25">
      <c r="A2083" s="5">
        <v>3404950</v>
      </c>
      <c r="B2083" s="1">
        <v>2017</v>
      </c>
      <c r="C2083" s="1" t="s">
        <v>1387</v>
      </c>
      <c r="D2083" s="1" t="s">
        <v>410</v>
      </c>
      <c r="E2083" s="8">
        <v>653599</v>
      </c>
      <c r="F2083" s="5">
        <v>3404950</v>
      </c>
    </row>
    <row r="2084" spans="1:6" x14ac:dyDescent="0.25">
      <c r="A2084" s="5">
        <v>3404950</v>
      </c>
      <c r="B2084" s="1">
        <v>2018</v>
      </c>
      <c r="C2084" s="1" t="s">
        <v>1387</v>
      </c>
      <c r="D2084" s="1" t="s">
        <v>1102</v>
      </c>
      <c r="E2084" s="8">
        <v>946863</v>
      </c>
      <c r="F2084" s="5">
        <v>3404950</v>
      </c>
    </row>
    <row r="2085" spans="1:6" x14ac:dyDescent="0.25">
      <c r="A2085" s="5">
        <v>3404950</v>
      </c>
      <c r="B2085" s="1">
        <v>2019</v>
      </c>
      <c r="C2085" s="1" t="s">
        <v>1387</v>
      </c>
      <c r="D2085" s="1" t="s">
        <v>1102</v>
      </c>
      <c r="E2085" s="8">
        <v>1313836</v>
      </c>
      <c r="F2085" s="5">
        <v>3404950</v>
      </c>
    </row>
    <row r="2086" spans="1:6" ht="20" x14ac:dyDescent="0.25">
      <c r="A2086" s="5">
        <v>3404950</v>
      </c>
      <c r="B2086" s="1">
        <v>2020</v>
      </c>
      <c r="C2086" s="1" t="s">
        <v>1387</v>
      </c>
      <c r="D2086" s="2" t="s">
        <v>1102</v>
      </c>
      <c r="E2086" s="7">
        <v>1512075</v>
      </c>
      <c r="F2086" s="5">
        <v>3404950</v>
      </c>
    </row>
    <row r="2087" spans="1:6" ht="20" x14ac:dyDescent="0.25">
      <c r="A2087" s="5">
        <v>3404950</v>
      </c>
      <c r="B2087" s="1">
        <v>2021</v>
      </c>
      <c r="C2087" s="1" t="s">
        <v>1387</v>
      </c>
      <c r="D2087" s="3" t="s">
        <v>1102</v>
      </c>
      <c r="E2087" s="7">
        <v>1931345</v>
      </c>
      <c r="F2087" s="5">
        <v>3404950</v>
      </c>
    </row>
    <row r="2088" spans="1:6" ht="20" x14ac:dyDescent="0.25">
      <c r="A2088" s="5">
        <v>3404950</v>
      </c>
      <c r="B2088" s="1">
        <v>2022</v>
      </c>
      <c r="C2088" s="1" t="s">
        <v>1387</v>
      </c>
      <c r="D2088" s="2" t="s">
        <v>1102</v>
      </c>
      <c r="E2088" s="7">
        <v>2787337</v>
      </c>
      <c r="F2088" s="5">
        <v>3404950</v>
      </c>
    </row>
    <row r="2089" spans="1:6" ht="20" x14ac:dyDescent="0.25">
      <c r="A2089" s="5">
        <v>3404950</v>
      </c>
      <c r="B2089" s="1">
        <v>2023</v>
      </c>
      <c r="C2089" s="1" t="s">
        <v>1387</v>
      </c>
      <c r="D2089" s="2" t="s">
        <v>1102</v>
      </c>
      <c r="E2089" s="7">
        <v>2980961</v>
      </c>
      <c r="F2089" s="5">
        <v>3404950</v>
      </c>
    </row>
    <row r="2090" spans="1:6" x14ac:dyDescent="0.25">
      <c r="A2090" s="5">
        <v>3404980</v>
      </c>
      <c r="B2090" s="1">
        <v>2015</v>
      </c>
      <c r="C2090" s="1" t="s">
        <v>1387</v>
      </c>
      <c r="D2090" s="1" t="s">
        <v>48</v>
      </c>
      <c r="E2090" s="8">
        <v>2007593</v>
      </c>
      <c r="F2090" s="5">
        <v>3404980</v>
      </c>
    </row>
    <row r="2091" spans="1:6" x14ac:dyDescent="0.25">
      <c r="A2091" s="5">
        <v>3404980</v>
      </c>
      <c r="B2091" s="1">
        <v>2016</v>
      </c>
      <c r="C2091" s="1" t="s">
        <v>1387</v>
      </c>
      <c r="D2091" s="1" t="s">
        <v>48</v>
      </c>
      <c r="E2091" s="8">
        <v>3001041</v>
      </c>
      <c r="F2091" s="5">
        <v>3404980</v>
      </c>
    </row>
    <row r="2092" spans="1:6" x14ac:dyDescent="0.25">
      <c r="A2092" s="5">
        <v>3404980</v>
      </c>
      <c r="B2092" s="1">
        <v>2017</v>
      </c>
      <c r="C2092" s="1" t="s">
        <v>1387</v>
      </c>
      <c r="D2092" s="1" t="s">
        <v>48</v>
      </c>
      <c r="E2092" s="8">
        <v>4267155</v>
      </c>
      <c r="F2092" s="5">
        <v>3404980</v>
      </c>
    </row>
    <row r="2093" spans="1:6" x14ac:dyDescent="0.25">
      <c r="A2093" s="5">
        <v>3404980</v>
      </c>
      <c r="B2093" s="1">
        <v>2018</v>
      </c>
      <c r="C2093" s="1" t="s">
        <v>1387</v>
      </c>
      <c r="D2093" s="1" t="s">
        <v>726</v>
      </c>
      <c r="E2093" s="8">
        <v>5657416</v>
      </c>
      <c r="F2093" s="5">
        <v>3404980</v>
      </c>
    </row>
    <row r="2094" spans="1:6" x14ac:dyDescent="0.25">
      <c r="A2094" s="5">
        <v>3404980</v>
      </c>
      <c r="B2094" s="1">
        <v>2019</v>
      </c>
      <c r="C2094" s="1" t="s">
        <v>1387</v>
      </c>
      <c r="D2094" s="1" t="s">
        <v>726</v>
      </c>
      <c r="E2094" s="8">
        <v>7646585</v>
      </c>
      <c r="F2094" s="5">
        <v>3404980</v>
      </c>
    </row>
    <row r="2095" spans="1:6" ht="20" x14ac:dyDescent="0.25">
      <c r="A2095" s="5">
        <v>3404980</v>
      </c>
      <c r="B2095" s="1">
        <v>2020</v>
      </c>
      <c r="C2095" s="1" t="s">
        <v>1387</v>
      </c>
      <c r="D2095" s="2" t="s">
        <v>726</v>
      </c>
      <c r="E2095" s="7">
        <v>8592864</v>
      </c>
      <c r="F2095" s="5">
        <v>3404980</v>
      </c>
    </row>
    <row r="2096" spans="1:6" ht="20" x14ac:dyDescent="0.25">
      <c r="A2096" s="5">
        <v>3404980</v>
      </c>
      <c r="B2096" s="1">
        <v>2021</v>
      </c>
      <c r="C2096" s="1" t="s">
        <v>1387</v>
      </c>
      <c r="D2096" s="3" t="s">
        <v>726</v>
      </c>
      <c r="E2096" s="7">
        <v>11427151</v>
      </c>
      <c r="F2096" s="5">
        <v>3404980</v>
      </c>
    </row>
    <row r="2097" spans="1:6" ht="20" x14ac:dyDescent="0.25">
      <c r="A2097" s="5">
        <v>3404980</v>
      </c>
      <c r="B2097" s="1">
        <v>2022</v>
      </c>
      <c r="C2097" s="1" t="s">
        <v>1387</v>
      </c>
      <c r="D2097" s="2" t="s">
        <v>726</v>
      </c>
      <c r="E2097" s="7">
        <v>16333018</v>
      </c>
      <c r="F2097" s="5">
        <v>3404980</v>
      </c>
    </row>
    <row r="2098" spans="1:6" ht="20" x14ac:dyDescent="0.25">
      <c r="A2098" s="5">
        <v>3404980</v>
      </c>
      <c r="B2098" s="1">
        <v>2023</v>
      </c>
      <c r="C2098" s="1" t="s">
        <v>1387</v>
      </c>
      <c r="D2098" s="2" t="s">
        <v>726</v>
      </c>
      <c r="E2098" s="7">
        <v>16815097</v>
      </c>
      <c r="F2098" s="5">
        <v>3404980</v>
      </c>
    </row>
    <row r="2099" spans="1:6" x14ac:dyDescent="0.25">
      <c r="A2099" s="5">
        <v>3405040</v>
      </c>
      <c r="B2099" s="1">
        <v>2015</v>
      </c>
      <c r="C2099" s="1" t="s">
        <v>1387</v>
      </c>
      <c r="D2099" s="1" t="s">
        <v>218</v>
      </c>
      <c r="E2099" s="8">
        <v>183592</v>
      </c>
      <c r="F2099" s="5">
        <v>3405040</v>
      </c>
    </row>
    <row r="2100" spans="1:6" x14ac:dyDescent="0.25">
      <c r="A2100" s="5">
        <v>3405040</v>
      </c>
      <c r="B2100" s="1">
        <v>2016</v>
      </c>
      <c r="C2100" s="1" t="s">
        <v>1387</v>
      </c>
      <c r="D2100" s="1" t="s">
        <v>218</v>
      </c>
      <c r="E2100" s="8">
        <v>277290</v>
      </c>
      <c r="F2100" s="5">
        <v>3405040</v>
      </c>
    </row>
    <row r="2101" spans="1:6" x14ac:dyDescent="0.25">
      <c r="A2101" s="5">
        <v>3405040</v>
      </c>
      <c r="B2101" s="1">
        <v>2017</v>
      </c>
      <c r="C2101" s="1" t="s">
        <v>1387</v>
      </c>
      <c r="D2101" s="1" t="s">
        <v>218</v>
      </c>
      <c r="E2101" s="8">
        <v>372950</v>
      </c>
      <c r="F2101" s="5">
        <v>3405040</v>
      </c>
    </row>
    <row r="2102" spans="1:6" x14ac:dyDescent="0.25">
      <c r="A2102" s="5">
        <v>3405040</v>
      </c>
      <c r="B2102" s="1">
        <v>2018</v>
      </c>
      <c r="C2102" s="1" t="s">
        <v>1387</v>
      </c>
      <c r="D2102" s="1" t="s">
        <v>904</v>
      </c>
      <c r="E2102" s="8">
        <v>500004</v>
      </c>
      <c r="F2102" s="5">
        <v>3405040</v>
      </c>
    </row>
    <row r="2103" spans="1:6" x14ac:dyDescent="0.25">
      <c r="A2103" s="5">
        <v>3405040</v>
      </c>
      <c r="B2103" s="1">
        <v>2019</v>
      </c>
      <c r="C2103" s="1" t="s">
        <v>1387</v>
      </c>
      <c r="D2103" s="1" t="s">
        <v>1360</v>
      </c>
      <c r="E2103" s="8">
        <v>634028</v>
      </c>
      <c r="F2103" s="5">
        <v>3405040</v>
      </c>
    </row>
    <row r="2104" spans="1:6" ht="20" x14ac:dyDescent="0.25">
      <c r="A2104" s="5">
        <v>3405040</v>
      </c>
      <c r="B2104" s="1">
        <v>2020</v>
      </c>
      <c r="C2104" s="1" t="s">
        <v>1387</v>
      </c>
      <c r="D2104" s="2" t="s">
        <v>904</v>
      </c>
      <c r="E2104" s="7">
        <v>834833</v>
      </c>
      <c r="F2104" s="5">
        <v>3405040</v>
      </c>
    </row>
    <row r="2105" spans="1:6" ht="20" x14ac:dyDescent="0.25">
      <c r="A2105" s="5">
        <v>3405040</v>
      </c>
      <c r="B2105" s="1">
        <v>2021</v>
      </c>
      <c r="C2105" s="1" t="s">
        <v>1387</v>
      </c>
      <c r="D2105" s="3" t="s">
        <v>904</v>
      </c>
      <c r="E2105" s="7">
        <v>1002121</v>
      </c>
      <c r="F2105" s="5">
        <v>3405040</v>
      </c>
    </row>
    <row r="2106" spans="1:6" ht="20" x14ac:dyDescent="0.25">
      <c r="A2106" s="5">
        <v>3405040</v>
      </c>
      <c r="B2106" s="1">
        <v>2022</v>
      </c>
      <c r="C2106" s="1" t="s">
        <v>1387</v>
      </c>
      <c r="D2106" s="2" t="s">
        <v>904</v>
      </c>
      <c r="E2106" s="7">
        <v>1339517</v>
      </c>
      <c r="F2106" s="5">
        <v>3405040</v>
      </c>
    </row>
    <row r="2107" spans="1:6" ht="20" x14ac:dyDescent="0.25">
      <c r="A2107" s="5">
        <v>3405040</v>
      </c>
      <c r="B2107" s="1">
        <v>2023</v>
      </c>
      <c r="C2107" s="1" t="s">
        <v>1387</v>
      </c>
      <c r="D2107" s="2" t="s">
        <v>904</v>
      </c>
      <c r="E2107" s="7">
        <v>1275183</v>
      </c>
      <c r="F2107" s="5">
        <v>3405040</v>
      </c>
    </row>
    <row r="2108" spans="1:6" x14ac:dyDescent="0.25">
      <c r="A2108" s="5">
        <v>3405010</v>
      </c>
      <c r="B2108" s="1">
        <v>2015</v>
      </c>
      <c r="C2108" s="1" t="s">
        <v>1387</v>
      </c>
      <c r="D2108" s="1" t="s">
        <v>240</v>
      </c>
      <c r="E2108" s="8">
        <v>267079</v>
      </c>
      <c r="F2108" s="5">
        <v>3405010</v>
      </c>
    </row>
    <row r="2109" spans="1:6" x14ac:dyDescent="0.25">
      <c r="A2109" s="5">
        <v>3405010</v>
      </c>
      <c r="B2109" s="1">
        <v>2016</v>
      </c>
      <c r="C2109" s="1" t="s">
        <v>1387</v>
      </c>
      <c r="D2109" s="1" t="s">
        <v>240</v>
      </c>
      <c r="E2109" s="8">
        <v>381493</v>
      </c>
      <c r="F2109" s="5">
        <v>3405010</v>
      </c>
    </row>
    <row r="2110" spans="1:6" x14ac:dyDescent="0.25">
      <c r="A2110" s="5">
        <v>3405010</v>
      </c>
      <c r="B2110" s="1">
        <v>2017</v>
      </c>
      <c r="C2110" s="1" t="s">
        <v>1387</v>
      </c>
      <c r="D2110" s="1" t="s">
        <v>240</v>
      </c>
      <c r="E2110" s="8">
        <v>525280</v>
      </c>
      <c r="F2110" s="5">
        <v>3405010</v>
      </c>
    </row>
    <row r="2111" spans="1:6" x14ac:dyDescent="0.25">
      <c r="A2111" s="5">
        <v>3405010</v>
      </c>
      <c r="B2111" s="1">
        <v>2018</v>
      </c>
      <c r="C2111" s="1" t="s">
        <v>1387</v>
      </c>
      <c r="D2111" s="1" t="s">
        <v>926</v>
      </c>
      <c r="E2111" s="8">
        <v>750661</v>
      </c>
      <c r="F2111" s="5">
        <v>3405010</v>
      </c>
    </row>
    <row r="2112" spans="1:6" x14ac:dyDescent="0.25">
      <c r="A2112" s="5">
        <v>3405010</v>
      </c>
      <c r="B2112" s="1">
        <v>2019</v>
      </c>
      <c r="C2112" s="1" t="s">
        <v>1387</v>
      </c>
      <c r="D2112" s="1" t="s">
        <v>926</v>
      </c>
      <c r="E2112" s="8">
        <v>986097</v>
      </c>
      <c r="F2112" s="5">
        <v>3405010</v>
      </c>
    </row>
    <row r="2113" spans="1:6" ht="20" x14ac:dyDescent="0.25">
      <c r="A2113" s="5">
        <v>3405010</v>
      </c>
      <c r="B2113" s="1">
        <v>2020</v>
      </c>
      <c r="C2113" s="1" t="s">
        <v>1387</v>
      </c>
      <c r="D2113" s="2" t="s">
        <v>926</v>
      </c>
      <c r="E2113" s="7">
        <v>1150347</v>
      </c>
      <c r="F2113" s="5">
        <v>3405010</v>
      </c>
    </row>
    <row r="2114" spans="1:6" ht="20" x14ac:dyDescent="0.25">
      <c r="A2114" s="5">
        <v>3405010</v>
      </c>
      <c r="B2114" s="1">
        <v>2021</v>
      </c>
      <c r="C2114" s="1" t="s">
        <v>1387</v>
      </c>
      <c r="D2114" s="3" t="s">
        <v>926</v>
      </c>
      <c r="E2114" s="7">
        <v>1466719</v>
      </c>
      <c r="F2114" s="5">
        <v>3405010</v>
      </c>
    </row>
    <row r="2115" spans="1:6" ht="20" x14ac:dyDescent="0.25">
      <c r="A2115" s="5">
        <v>3405010</v>
      </c>
      <c r="B2115" s="1">
        <v>2022</v>
      </c>
      <c r="C2115" s="1" t="s">
        <v>1387</v>
      </c>
      <c r="D2115" s="2" t="s">
        <v>926</v>
      </c>
      <c r="E2115" s="7">
        <v>2264242</v>
      </c>
      <c r="F2115" s="5">
        <v>3405010</v>
      </c>
    </row>
    <row r="2116" spans="1:6" ht="20" x14ac:dyDescent="0.25">
      <c r="A2116" s="5">
        <v>3405010</v>
      </c>
      <c r="B2116" s="1">
        <v>2023</v>
      </c>
      <c r="C2116" s="1" t="s">
        <v>1387</v>
      </c>
      <c r="D2116" s="2" t="s">
        <v>926</v>
      </c>
      <c r="E2116" s="7">
        <v>2270653</v>
      </c>
      <c r="F2116" s="5">
        <v>3405010</v>
      </c>
    </row>
    <row r="2117" spans="1:6" x14ac:dyDescent="0.25">
      <c r="A2117" s="5">
        <v>3405070</v>
      </c>
      <c r="B2117" s="1">
        <v>2015</v>
      </c>
      <c r="C2117" s="1" t="s">
        <v>1387</v>
      </c>
      <c r="D2117" s="1" t="s">
        <v>49</v>
      </c>
      <c r="E2117" s="8">
        <v>347041</v>
      </c>
      <c r="F2117" s="5">
        <v>3405070</v>
      </c>
    </row>
    <row r="2118" spans="1:6" x14ac:dyDescent="0.25">
      <c r="A2118" s="5">
        <v>3405070</v>
      </c>
      <c r="B2118" s="1">
        <v>2016</v>
      </c>
      <c r="C2118" s="1" t="s">
        <v>1387</v>
      </c>
      <c r="D2118" s="1" t="s">
        <v>49</v>
      </c>
      <c r="E2118" s="8">
        <v>524360</v>
      </c>
      <c r="F2118" s="5">
        <v>3405070</v>
      </c>
    </row>
    <row r="2119" spans="1:6" x14ac:dyDescent="0.25">
      <c r="A2119" s="5">
        <v>3405070</v>
      </c>
      <c r="B2119" s="1">
        <v>2017</v>
      </c>
      <c r="C2119" s="1" t="s">
        <v>1387</v>
      </c>
      <c r="D2119" s="1" t="s">
        <v>49</v>
      </c>
      <c r="E2119" s="8">
        <v>787751</v>
      </c>
      <c r="F2119" s="5">
        <v>3405070</v>
      </c>
    </row>
    <row r="2120" spans="1:6" x14ac:dyDescent="0.25">
      <c r="A2120" s="5">
        <v>3405070</v>
      </c>
      <c r="B2120" s="1">
        <v>2018</v>
      </c>
      <c r="C2120" s="1" t="s">
        <v>1387</v>
      </c>
      <c r="D2120" s="1" t="s">
        <v>727</v>
      </c>
      <c r="E2120" s="8">
        <v>1102450</v>
      </c>
      <c r="F2120" s="5">
        <v>3405070</v>
      </c>
    </row>
    <row r="2121" spans="1:6" x14ac:dyDescent="0.25">
      <c r="A2121" s="5">
        <v>3405070</v>
      </c>
      <c r="B2121" s="1">
        <v>2019</v>
      </c>
      <c r="C2121" s="1" t="s">
        <v>1387</v>
      </c>
      <c r="D2121" s="1" t="s">
        <v>727</v>
      </c>
      <c r="E2121" s="8">
        <v>1352836</v>
      </c>
      <c r="F2121" s="5">
        <v>3405070</v>
      </c>
    </row>
    <row r="2122" spans="1:6" ht="20" x14ac:dyDescent="0.25">
      <c r="A2122" s="5">
        <v>3405070</v>
      </c>
      <c r="B2122" s="1">
        <v>2020</v>
      </c>
      <c r="C2122" s="1" t="s">
        <v>1387</v>
      </c>
      <c r="D2122" s="2" t="s">
        <v>727</v>
      </c>
      <c r="E2122" s="7">
        <v>1553542</v>
      </c>
      <c r="F2122" s="5">
        <v>3405070</v>
      </c>
    </row>
    <row r="2123" spans="1:6" ht="20" x14ac:dyDescent="0.25">
      <c r="A2123" s="5">
        <v>3405070</v>
      </c>
      <c r="B2123" s="1">
        <v>2021</v>
      </c>
      <c r="C2123" s="1" t="s">
        <v>1387</v>
      </c>
      <c r="D2123" s="3" t="s">
        <v>727</v>
      </c>
      <c r="E2123" s="7">
        <v>2027421</v>
      </c>
      <c r="F2123" s="5">
        <v>3405070</v>
      </c>
    </row>
    <row r="2124" spans="1:6" ht="20" x14ac:dyDescent="0.25">
      <c r="A2124" s="5">
        <v>3405070</v>
      </c>
      <c r="B2124" s="1">
        <v>2022</v>
      </c>
      <c r="C2124" s="1" t="s">
        <v>1387</v>
      </c>
      <c r="D2124" s="2" t="s">
        <v>727</v>
      </c>
      <c r="E2124" s="7">
        <v>3086675</v>
      </c>
      <c r="F2124" s="5">
        <v>3405070</v>
      </c>
    </row>
    <row r="2125" spans="1:6" ht="20" x14ac:dyDescent="0.25">
      <c r="A2125" s="5">
        <v>3405070</v>
      </c>
      <c r="B2125" s="1">
        <v>2023</v>
      </c>
      <c r="C2125" s="1" t="s">
        <v>1387</v>
      </c>
      <c r="D2125" s="2" t="s">
        <v>727</v>
      </c>
      <c r="E2125" s="7">
        <v>2928684</v>
      </c>
      <c r="F2125" s="5">
        <v>3405070</v>
      </c>
    </row>
    <row r="2126" spans="1:6" x14ac:dyDescent="0.25">
      <c r="A2126" s="5">
        <v>3405130</v>
      </c>
      <c r="B2126" s="1">
        <v>2015</v>
      </c>
      <c r="C2126" s="1" t="s">
        <v>1387</v>
      </c>
      <c r="D2126" s="1" t="s">
        <v>411</v>
      </c>
      <c r="E2126" s="8">
        <v>70820</v>
      </c>
      <c r="F2126" s="5">
        <v>3405130</v>
      </c>
    </row>
    <row r="2127" spans="1:6" x14ac:dyDescent="0.25">
      <c r="A2127" s="5">
        <v>3405130</v>
      </c>
      <c r="B2127" s="1">
        <v>2016</v>
      </c>
      <c r="C2127" s="1" t="s">
        <v>1387</v>
      </c>
      <c r="D2127" s="1" t="s">
        <v>411</v>
      </c>
      <c r="E2127" s="8">
        <v>100312</v>
      </c>
      <c r="F2127" s="5">
        <v>3405130</v>
      </c>
    </row>
    <row r="2128" spans="1:6" x14ac:dyDescent="0.25">
      <c r="A2128" s="5">
        <v>3405130</v>
      </c>
      <c r="B2128" s="1">
        <v>2017</v>
      </c>
      <c r="C2128" s="1" t="s">
        <v>1387</v>
      </c>
      <c r="D2128" s="1" t="s">
        <v>411</v>
      </c>
      <c r="E2128" s="8">
        <v>144673</v>
      </c>
      <c r="F2128" s="5">
        <v>3405130</v>
      </c>
    </row>
    <row r="2129" spans="1:6" x14ac:dyDescent="0.25">
      <c r="A2129" s="5">
        <v>3405130</v>
      </c>
      <c r="B2129" s="1">
        <v>2018</v>
      </c>
      <c r="C2129" s="1" t="s">
        <v>1387</v>
      </c>
      <c r="D2129" s="1" t="s">
        <v>1103</v>
      </c>
      <c r="E2129" s="8">
        <v>200540</v>
      </c>
      <c r="F2129" s="5">
        <v>3405130</v>
      </c>
    </row>
    <row r="2130" spans="1:6" x14ac:dyDescent="0.25">
      <c r="A2130" s="5">
        <v>3405130</v>
      </c>
      <c r="B2130" s="1">
        <v>2019</v>
      </c>
      <c r="C2130" s="1" t="s">
        <v>1387</v>
      </c>
      <c r="D2130" s="1" t="s">
        <v>1103</v>
      </c>
      <c r="E2130" s="8">
        <v>264320</v>
      </c>
      <c r="F2130" s="5">
        <v>3405130</v>
      </c>
    </row>
    <row r="2131" spans="1:6" ht="20" x14ac:dyDescent="0.25">
      <c r="A2131" s="5">
        <v>3405130</v>
      </c>
      <c r="B2131" s="1">
        <v>2020</v>
      </c>
      <c r="C2131" s="1" t="s">
        <v>1387</v>
      </c>
      <c r="D2131" s="2" t="s">
        <v>1103</v>
      </c>
      <c r="E2131" s="7">
        <v>306328</v>
      </c>
      <c r="F2131" s="5">
        <v>3405130</v>
      </c>
    </row>
    <row r="2132" spans="1:6" ht="20" x14ac:dyDescent="0.25">
      <c r="A2132" s="5">
        <v>3405130</v>
      </c>
      <c r="B2132" s="1">
        <v>2021</v>
      </c>
      <c r="C2132" s="1" t="s">
        <v>1387</v>
      </c>
      <c r="D2132" s="3" t="s">
        <v>1103</v>
      </c>
      <c r="E2132" s="7">
        <v>353454</v>
      </c>
      <c r="F2132" s="5">
        <v>3405130</v>
      </c>
    </row>
    <row r="2133" spans="1:6" ht="20" x14ac:dyDescent="0.25">
      <c r="A2133" s="5">
        <v>3405130</v>
      </c>
      <c r="B2133" s="1">
        <v>2022</v>
      </c>
      <c r="C2133" s="1" t="s">
        <v>1387</v>
      </c>
      <c r="D2133" s="2" t="s">
        <v>1103</v>
      </c>
      <c r="E2133" s="7">
        <v>536280</v>
      </c>
      <c r="F2133" s="5">
        <v>3405130</v>
      </c>
    </row>
    <row r="2134" spans="1:6" ht="20" x14ac:dyDescent="0.25">
      <c r="A2134" s="5">
        <v>3405130</v>
      </c>
      <c r="B2134" s="1">
        <v>2023</v>
      </c>
      <c r="C2134" s="1" t="s">
        <v>1387</v>
      </c>
      <c r="D2134" s="2" t="s">
        <v>1103</v>
      </c>
      <c r="E2134" s="7">
        <v>573858</v>
      </c>
      <c r="F2134" s="5">
        <v>3405130</v>
      </c>
    </row>
    <row r="2135" spans="1:6" x14ac:dyDescent="0.25">
      <c r="A2135" s="5">
        <v>3405190</v>
      </c>
      <c r="B2135" s="1">
        <v>2015</v>
      </c>
      <c r="C2135" s="1" t="s">
        <v>1387</v>
      </c>
      <c r="D2135" s="1" t="s">
        <v>334</v>
      </c>
      <c r="E2135" s="8">
        <v>1298921</v>
      </c>
      <c r="F2135" s="5">
        <v>3405190</v>
      </c>
    </row>
    <row r="2136" spans="1:6" x14ac:dyDescent="0.25">
      <c r="A2136" s="5">
        <v>3405190</v>
      </c>
      <c r="B2136" s="1">
        <v>2016</v>
      </c>
      <c r="C2136" s="1" t="s">
        <v>1387</v>
      </c>
      <c r="D2136" s="1" t="s">
        <v>334</v>
      </c>
      <c r="E2136" s="8">
        <v>1948993</v>
      </c>
      <c r="F2136" s="5">
        <v>3405190</v>
      </c>
    </row>
    <row r="2137" spans="1:6" x14ac:dyDescent="0.25">
      <c r="A2137" s="5">
        <v>3405190</v>
      </c>
      <c r="B2137" s="1">
        <v>2017</v>
      </c>
      <c r="C2137" s="1" t="s">
        <v>1387</v>
      </c>
      <c r="D2137" s="1" t="s">
        <v>334</v>
      </c>
      <c r="E2137" s="8">
        <v>2829629</v>
      </c>
      <c r="F2137" s="5">
        <v>3405190</v>
      </c>
    </row>
    <row r="2138" spans="1:6" x14ac:dyDescent="0.25">
      <c r="A2138" s="5">
        <v>3405190</v>
      </c>
      <c r="B2138" s="1">
        <v>2018</v>
      </c>
      <c r="C2138" s="1" t="s">
        <v>1387</v>
      </c>
      <c r="D2138" s="1" t="s">
        <v>1027</v>
      </c>
      <c r="E2138" s="8">
        <v>3760386</v>
      </c>
      <c r="F2138" s="5">
        <v>3405190</v>
      </c>
    </row>
    <row r="2139" spans="1:6" x14ac:dyDescent="0.25">
      <c r="A2139" s="5">
        <v>3405190</v>
      </c>
      <c r="B2139" s="1">
        <v>2019</v>
      </c>
      <c r="C2139" s="1" t="s">
        <v>1387</v>
      </c>
      <c r="D2139" s="1" t="s">
        <v>1027</v>
      </c>
      <c r="E2139" s="8">
        <v>5003445</v>
      </c>
      <c r="F2139" s="5">
        <v>3405190</v>
      </c>
    </row>
    <row r="2140" spans="1:6" ht="20" x14ac:dyDescent="0.25">
      <c r="A2140" s="5">
        <v>3405190</v>
      </c>
      <c r="B2140" s="1">
        <v>2020</v>
      </c>
      <c r="C2140" s="1" t="s">
        <v>1387</v>
      </c>
      <c r="D2140" s="2" t="s">
        <v>1027</v>
      </c>
      <c r="E2140" s="7">
        <v>5624362</v>
      </c>
      <c r="F2140" s="5">
        <v>3405190</v>
      </c>
    </row>
    <row r="2141" spans="1:6" ht="20" x14ac:dyDescent="0.25">
      <c r="A2141" s="5">
        <v>3405190</v>
      </c>
      <c r="B2141" s="1">
        <v>2021</v>
      </c>
      <c r="C2141" s="1" t="s">
        <v>1387</v>
      </c>
      <c r="D2141" s="3" t="s">
        <v>1027</v>
      </c>
      <c r="E2141" s="7">
        <v>7542391</v>
      </c>
      <c r="F2141" s="5">
        <v>3405190</v>
      </c>
    </row>
    <row r="2142" spans="1:6" ht="20" x14ac:dyDescent="0.25">
      <c r="A2142" s="5">
        <v>3405190</v>
      </c>
      <c r="B2142" s="1">
        <v>2022</v>
      </c>
      <c r="C2142" s="1" t="s">
        <v>1387</v>
      </c>
      <c r="D2142" s="2" t="s">
        <v>1027</v>
      </c>
      <c r="E2142" s="7">
        <v>10697212</v>
      </c>
      <c r="F2142" s="5">
        <v>3405190</v>
      </c>
    </row>
    <row r="2143" spans="1:6" ht="20" x14ac:dyDescent="0.25">
      <c r="A2143" s="5">
        <v>3405190</v>
      </c>
      <c r="B2143" s="1">
        <v>2023</v>
      </c>
      <c r="C2143" s="1" t="s">
        <v>1387</v>
      </c>
      <c r="D2143" s="2" t="s">
        <v>1027</v>
      </c>
      <c r="E2143" s="7">
        <v>10257022</v>
      </c>
      <c r="F2143" s="5">
        <v>3405190</v>
      </c>
    </row>
    <row r="2144" spans="1:6" x14ac:dyDescent="0.25">
      <c r="A2144" s="5">
        <v>3405220</v>
      </c>
      <c r="B2144" s="1">
        <v>2015</v>
      </c>
      <c r="C2144" s="1" t="s">
        <v>1387</v>
      </c>
      <c r="D2144" s="1" t="s">
        <v>120</v>
      </c>
      <c r="E2144" s="8">
        <v>519424</v>
      </c>
      <c r="F2144" s="5">
        <v>3405220</v>
      </c>
    </row>
    <row r="2145" spans="1:6" x14ac:dyDescent="0.25">
      <c r="A2145" s="5">
        <v>3405220</v>
      </c>
      <c r="B2145" s="1">
        <v>2016</v>
      </c>
      <c r="C2145" s="1" t="s">
        <v>1387</v>
      </c>
      <c r="D2145" s="1" t="s">
        <v>120</v>
      </c>
      <c r="E2145" s="8">
        <v>798019</v>
      </c>
      <c r="F2145" s="5">
        <v>3405220</v>
      </c>
    </row>
    <row r="2146" spans="1:6" x14ac:dyDescent="0.25">
      <c r="A2146" s="5">
        <v>3405220</v>
      </c>
      <c r="B2146" s="1">
        <v>2017</v>
      </c>
      <c r="C2146" s="1" t="s">
        <v>1387</v>
      </c>
      <c r="D2146" s="1" t="s">
        <v>120</v>
      </c>
      <c r="E2146" s="8">
        <v>1131755</v>
      </c>
      <c r="F2146" s="5">
        <v>3405220</v>
      </c>
    </row>
    <row r="2147" spans="1:6" x14ac:dyDescent="0.25">
      <c r="A2147" s="5">
        <v>3405220</v>
      </c>
      <c r="B2147" s="1">
        <v>2018</v>
      </c>
      <c r="C2147" s="1" t="s">
        <v>1387</v>
      </c>
      <c r="D2147" s="1" t="s">
        <v>801</v>
      </c>
      <c r="E2147" s="8">
        <v>1524439</v>
      </c>
      <c r="F2147" s="5">
        <v>3405220</v>
      </c>
    </row>
    <row r="2148" spans="1:6" x14ac:dyDescent="0.25">
      <c r="A2148" s="5">
        <v>3405220</v>
      </c>
      <c r="B2148" s="1">
        <v>2019</v>
      </c>
      <c r="C2148" s="1" t="s">
        <v>1387</v>
      </c>
      <c r="D2148" s="1" t="s">
        <v>801</v>
      </c>
      <c r="E2148" s="8">
        <v>1939829</v>
      </c>
      <c r="F2148" s="5">
        <v>3405220</v>
      </c>
    </row>
    <row r="2149" spans="1:6" ht="20" x14ac:dyDescent="0.25">
      <c r="A2149" s="5">
        <v>3405220</v>
      </c>
      <c r="B2149" s="1">
        <v>2020</v>
      </c>
      <c r="C2149" s="1" t="s">
        <v>1387</v>
      </c>
      <c r="D2149" s="2" t="s">
        <v>801</v>
      </c>
      <c r="E2149" s="7">
        <v>2212530</v>
      </c>
      <c r="F2149" s="5">
        <v>3405220</v>
      </c>
    </row>
    <row r="2150" spans="1:6" ht="20" x14ac:dyDescent="0.25">
      <c r="A2150" s="5">
        <v>3405220</v>
      </c>
      <c r="B2150" s="1">
        <v>2021</v>
      </c>
      <c r="C2150" s="1" t="s">
        <v>1387</v>
      </c>
      <c r="D2150" s="3" t="s">
        <v>801</v>
      </c>
      <c r="E2150" s="7">
        <v>2840517</v>
      </c>
      <c r="F2150" s="5">
        <v>3405220</v>
      </c>
    </row>
    <row r="2151" spans="1:6" ht="20" x14ac:dyDescent="0.25">
      <c r="A2151" s="5">
        <v>3405220</v>
      </c>
      <c r="B2151" s="1">
        <v>2022</v>
      </c>
      <c r="C2151" s="1" t="s">
        <v>1387</v>
      </c>
      <c r="D2151" s="2" t="s">
        <v>801</v>
      </c>
      <c r="E2151" s="7">
        <v>4054987</v>
      </c>
      <c r="F2151" s="5">
        <v>3405220</v>
      </c>
    </row>
    <row r="2152" spans="1:6" ht="20" x14ac:dyDescent="0.25">
      <c r="A2152" s="5">
        <v>3405220</v>
      </c>
      <c r="B2152" s="1">
        <v>2023</v>
      </c>
      <c r="C2152" s="1" t="s">
        <v>1387</v>
      </c>
      <c r="D2152" s="2" t="s">
        <v>801</v>
      </c>
      <c r="E2152" s="7">
        <v>3993947</v>
      </c>
      <c r="F2152" s="5">
        <v>3405220</v>
      </c>
    </row>
    <row r="2153" spans="1:6" x14ac:dyDescent="0.25">
      <c r="A2153" s="5">
        <v>3405250</v>
      </c>
      <c r="B2153" s="1">
        <v>2015</v>
      </c>
      <c r="C2153" s="1" t="s">
        <v>1387</v>
      </c>
      <c r="D2153" s="1" t="s">
        <v>462</v>
      </c>
      <c r="E2153" s="8">
        <v>383859</v>
      </c>
      <c r="F2153" s="5">
        <v>3405250</v>
      </c>
    </row>
    <row r="2154" spans="1:6" x14ac:dyDescent="0.25">
      <c r="A2154" s="5">
        <v>3405250</v>
      </c>
      <c r="B2154" s="1">
        <v>2016</v>
      </c>
      <c r="C2154" s="1" t="s">
        <v>1387</v>
      </c>
      <c r="D2154" s="1" t="s">
        <v>462</v>
      </c>
      <c r="E2154" s="8">
        <v>530901</v>
      </c>
      <c r="F2154" s="5">
        <v>3405250</v>
      </c>
    </row>
    <row r="2155" spans="1:6" x14ac:dyDescent="0.25">
      <c r="A2155" s="5">
        <v>3405250</v>
      </c>
      <c r="B2155" s="1">
        <v>2017</v>
      </c>
      <c r="C2155" s="1" t="s">
        <v>1387</v>
      </c>
      <c r="D2155" s="1" t="s">
        <v>462</v>
      </c>
      <c r="E2155" s="8">
        <v>736176</v>
      </c>
      <c r="F2155" s="5">
        <v>3405250</v>
      </c>
    </row>
    <row r="2156" spans="1:6" x14ac:dyDescent="0.25">
      <c r="A2156" s="5">
        <v>3405250</v>
      </c>
      <c r="B2156" s="1">
        <v>2018</v>
      </c>
      <c r="C2156" s="1" t="s">
        <v>1387</v>
      </c>
      <c r="D2156" s="1" t="s">
        <v>1154</v>
      </c>
      <c r="E2156" s="8">
        <v>1094675</v>
      </c>
      <c r="F2156" s="5">
        <v>3405250</v>
      </c>
    </row>
    <row r="2157" spans="1:6" x14ac:dyDescent="0.25">
      <c r="A2157" s="5">
        <v>3405250</v>
      </c>
      <c r="B2157" s="1">
        <v>2019</v>
      </c>
      <c r="C2157" s="1" t="s">
        <v>1387</v>
      </c>
      <c r="D2157" s="1" t="s">
        <v>1154</v>
      </c>
      <c r="E2157" s="8">
        <v>1457315</v>
      </c>
      <c r="F2157" s="5">
        <v>3405250</v>
      </c>
    </row>
    <row r="2158" spans="1:6" ht="20" x14ac:dyDescent="0.25">
      <c r="A2158" s="5">
        <v>3405250</v>
      </c>
      <c r="B2158" s="1">
        <v>2020</v>
      </c>
      <c r="C2158" s="1" t="s">
        <v>1387</v>
      </c>
      <c r="D2158" s="2" t="s">
        <v>1154</v>
      </c>
      <c r="E2158" s="7">
        <v>1674179</v>
      </c>
      <c r="F2158" s="5">
        <v>3405250</v>
      </c>
    </row>
    <row r="2159" spans="1:6" ht="20" x14ac:dyDescent="0.25">
      <c r="A2159" s="5">
        <v>3405250</v>
      </c>
      <c r="B2159" s="1">
        <v>2021</v>
      </c>
      <c r="C2159" s="1" t="s">
        <v>1387</v>
      </c>
      <c r="D2159" s="3" t="s">
        <v>1154</v>
      </c>
      <c r="E2159" s="7">
        <v>2089198</v>
      </c>
      <c r="F2159" s="5">
        <v>3405250</v>
      </c>
    </row>
    <row r="2160" spans="1:6" ht="20" x14ac:dyDescent="0.25">
      <c r="A2160" s="5">
        <v>3405250</v>
      </c>
      <c r="B2160" s="1">
        <v>2022</v>
      </c>
      <c r="C2160" s="1" t="s">
        <v>1387</v>
      </c>
      <c r="D2160" s="2" t="s">
        <v>1154</v>
      </c>
      <c r="E2160" s="7">
        <v>3063684</v>
      </c>
      <c r="F2160" s="5">
        <v>3405250</v>
      </c>
    </row>
    <row r="2161" spans="1:6" ht="20" x14ac:dyDescent="0.25">
      <c r="A2161" s="5">
        <v>3405250</v>
      </c>
      <c r="B2161" s="1">
        <v>2023</v>
      </c>
      <c r="C2161" s="1" t="s">
        <v>1387</v>
      </c>
      <c r="D2161" s="2" t="s">
        <v>1154</v>
      </c>
      <c r="E2161" s="7">
        <v>3036278</v>
      </c>
      <c r="F2161" s="5">
        <v>3405250</v>
      </c>
    </row>
    <row r="2162" spans="1:6" x14ac:dyDescent="0.25">
      <c r="A2162" s="5">
        <v>3405280</v>
      </c>
      <c r="B2162" s="1">
        <v>2015</v>
      </c>
      <c r="C2162" s="1" t="s">
        <v>1387</v>
      </c>
      <c r="D2162" s="1" t="s">
        <v>10</v>
      </c>
      <c r="E2162" s="8">
        <v>122062</v>
      </c>
      <c r="F2162" s="5">
        <v>3405280</v>
      </c>
    </row>
    <row r="2163" spans="1:6" x14ac:dyDescent="0.25">
      <c r="A2163" s="5">
        <v>3405280</v>
      </c>
      <c r="B2163" s="1">
        <v>2016</v>
      </c>
      <c r="C2163" s="1" t="s">
        <v>1387</v>
      </c>
      <c r="D2163" s="1" t="s">
        <v>10</v>
      </c>
      <c r="E2163" s="8">
        <v>198648</v>
      </c>
      <c r="F2163" s="5">
        <v>3405280</v>
      </c>
    </row>
    <row r="2164" spans="1:6" x14ac:dyDescent="0.25">
      <c r="A2164" s="5">
        <v>3405280</v>
      </c>
      <c r="B2164" s="1">
        <v>2017</v>
      </c>
      <c r="C2164" s="1" t="s">
        <v>1387</v>
      </c>
      <c r="D2164" s="1" t="s">
        <v>10</v>
      </c>
      <c r="E2164" s="8">
        <v>297618</v>
      </c>
      <c r="F2164" s="5">
        <v>3405280</v>
      </c>
    </row>
    <row r="2165" spans="1:6" x14ac:dyDescent="0.25">
      <c r="A2165" s="5">
        <v>3405280</v>
      </c>
      <c r="B2165" s="1">
        <v>2018</v>
      </c>
      <c r="C2165" s="1" t="s">
        <v>1387</v>
      </c>
      <c r="D2165" s="1" t="s">
        <v>689</v>
      </c>
      <c r="E2165" s="8">
        <v>414809</v>
      </c>
      <c r="F2165" s="5">
        <v>3405280</v>
      </c>
    </row>
    <row r="2166" spans="1:6" x14ac:dyDescent="0.25">
      <c r="A2166" s="5">
        <v>3405280</v>
      </c>
      <c r="B2166" s="1">
        <v>2019</v>
      </c>
      <c r="C2166" s="1" t="s">
        <v>1387</v>
      </c>
      <c r="D2166" s="1" t="s">
        <v>689</v>
      </c>
      <c r="E2166" s="8">
        <v>522375</v>
      </c>
      <c r="F2166" s="5">
        <v>3405280</v>
      </c>
    </row>
    <row r="2167" spans="1:6" ht="20" x14ac:dyDescent="0.25">
      <c r="A2167" s="5">
        <v>3405280</v>
      </c>
      <c r="B2167" s="1">
        <v>2020</v>
      </c>
      <c r="C2167" s="1" t="s">
        <v>1387</v>
      </c>
      <c r="D2167" s="2" t="s">
        <v>689</v>
      </c>
      <c r="E2167" s="7">
        <v>644732</v>
      </c>
      <c r="F2167" s="5">
        <v>3405280</v>
      </c>
    </row>
    <row r="2168" spans="1:6" ht="20" x14ac:dyDescent="0.25">
      <c r="A2168" s="5">
        <v>3405280</v>
      </c>
      <c r="B2168" s="1">
        <v>2021</v>
      </c>
      <c r="C2168" s="1" t="s">
        <v>1387</v>
      </c>
      <c r="D2168" s="3" t="s">
        <v>689</v>
      </c>
      <c r="E2168" s="7">
        <v>792335</v>
      </c>
      <c r="F2168" s="5">
        <v>3405280</v>
      </c>
    </row>
    <row r="2169" spans="1:6" ht="20" x14ac:dyDescent="0.25">
      <c r="A2169" s="5">
        <v>3405280</v>
      </c>
      <c r="B2169" s="1">
        <v>2022</v>
      </c>
      <c r="C2169" s="1" t="s">
        <v>1387</v>
      </c>
      <c r="D2169" s="2" t="s">
        <v>689</v>
      </c>
      <c r="E2169" s="7">
        <v>1095786</v>
      </c>
      <c r="F2169" s="5">
        <v>3405280</v>
      </c>
    </row>
    <row r="2170" spans="1:6" ht="20" x14ac:dyDescent="0.25">
      <c r="A2170" s="5">
        <v>3405280</v>
      </c>
      <c r="B2170" s="1">
        <v>2023</v>
      </c>
      <c r="C2170" s="1" t="s">
        <v>1387</v>
      </c>
      <c r="D2170" s="2" t="s">
        <v>689</v>
      </c>
      <c r="E2170" s="7">
        <v>1125495</v>
      </c>
      <c r="F2170" s="5">
        <v>3405280</v>
      </c>
    </row>
    <row r="2171" spans="1:6" x14ac:dyDescent="0.25">
      <c r="A2171" s="5">
        <v>3405310</v>
      </c>
      <c r="B2171" s="1">
        <v>2015</v>
      </c>
      <c r="C2171" s="1" t="s">
        <v>1387</v>
      </c>
      <c r="D2171" s="1" t="s">
        <v>50</v>
      </c>
      <c r="E2171" s="8">
        <v>1418329</v>
      </c>
      <c r="F2171" s="5">
        <v>3405310</v>
      </c>
    </row>
    <row r="2172" spans="1:6" x14ac:dyDescent="0.25">
      <c r="A2172" s="5">
        <v>3405310</v>
      </c>
      <c r="B2172" s="1">
        <v>2016</v>
      </c>
      <c r="C2172" s="1" t="s">
        <v>1387</v>
      </c>
      <c r="D2172" s="1" t="s">
        <v>50</v>
      </c>
      <c r="E2172" s="8">
        <v>2015243</v>
      </c>
      <c r="F2172" s="5">
        <v>3405310</v>
      </c>
    </row>
    <row r="2173" spans="1:6" x14ac:dyDescent="0.25">
      <c r="A2173" s="5">
        <v>3405310</v>
      </c>
      <c r="B2173" s="1">
        <v>2017</v>
      </c>
      <c r="C2173" s="1" t="s">
        <v>1387</v>
      </c>
      <c r="D2173" s="1" t="s">
        <v>50</v>
      </c>
      <c r="E2173" s="8">
        <v>2777813</v>
      </c>
      <c r="F2173" s="5">
        <v>3405310</v>
      </c>
    </row>
    <row r="2174" spans="1:6" x14ac:dyDescent="0.25">
      <c r="A2174" s="5">
        <v>3405310</v>
      </c>
      <c r="B2174" s="1">
        <v>2018</v>
      </c>
      <c r="C2174" s="1" t="s">
        <v>1387</v>
      </c>
      <c r="D2174" s="1" t="s">
        <v>728</v>
      </c>
      <c r="E2174" s="8">
        <v>3996160</v>
      </c>
      <c r="F2174" s="5">
        <v>3405310</v>
      </c>
    </row>
    <row r="2175" spans="1:6" x14ac:dyDescent="0.25">
      <c r="A2175" s="5">
        <v>3405310</v>
      </c>
      <c r="B2175" s="1">
        <v>2019</v>
      </c>
      <c r="C2175" s="1" t="s">
        <v>1387</v>
      </c>
      <c r="D2175" s="1" t="s">
        <v>728</v>
      </c>
      <c r="E2175" s="8">
        <v>5367015</v>
      </c>
      <c r="F2175" s="5">
        <v>3405310</v>
      </c>
    </row>
    <row r="2176" spans="1:6" ht="20" x14ac:dyDescent="0.25">
      <c r="A2176" s="5">
        <v>3405310</v>
      </c>
      <c r="B2176" s="1">
        <v>2020</v>
      </c>
      <c r="C2176" s="1" t="s">
        <v>1387</v>
      </c>
      <c r="D2176" s="2" t="s">
        <v>728</v>
      </c>
      <c r="E2176" s="7">
        <v>5773092</v>
      </c>
      <c r="F2176" s="5">
        <v>3405310</v>
      </c>
    </row>
    <row r="2177" spans="1:6" ht="20" x14ac:dyDescent="0.25">
      <c r="A2177" s="5">
        <v>3405310</v>
      </c>
      <c r="B2177" s="1">
        <v>2021</v>
      </c>
      <c r="C2177" s="1" t="s">
        <v>1387</v>
      </c>
      <c r="D2177" s="3" t="s">
        <v>728</v>
      </c>
      <c r="E2177" s="7">
        <v>7837034</v>
      </c>
      <c r="F2177" s="5">
        <v>3405310</v>
      </c>
    </row>
    <row r="2178" spans="1:6" ht="20" x14ac:dyDescent="0.25">
      <c r="A2178" s="5">
        <v>3405310</v>
      </c>
      <c r="B2178" s="1">
        <v>2022</v>
      </c>
      <c r="C2178" s="1" t="s">
        <v>1387</v>
      </c>
      <c r="D2178" s="2" t="s">
        <v>728</v>
      </c>
      <c r="E2178" s="7">
        <v>11070769</v>
      </c>
      <c r="F2178" s="5">
        <v>3405310</v>
      </c>
    </row>
    <row r="2179" spans="1:6" ht="20" x14ac:dyDescent="0.25">
      <c r="A2179" s="5">
        <v>3405310</v>
      </c>
      <c r="B2179" s="1">
        <v>2023</v>
      </c>
      <c r="C2179" s="1" t="s">
        <v>1387</v>
      </c>
      <c r="D2179" s="2" t="s">
        <v>728</v>
      </c>
      <c r="E2179" s="7">
        <v>11449937</v>
      </c>
      <c r="F2179" s="5">
        <v>3405310</v>
      </c>
    </row>
    <row r="2180" spans="1:6" x14ac:dyDescent="0.25">
      <c r="A2180" s="5">
        <v>3405340</v>
      </c>
      <c r="B2180" s="1">
        <v>2015</v>
      </c>
      <c r="C2180" s="1" t="s">
        <v>1387</v>
      </c>
      <c r="D2180" s="1" t="s">
        <v>585</v>
      </c>
      <c r="E2180" s="8">
        <v>275289</v>
      </c>
      <c r="F2180" s="5">
        <v>3405340</v>
      </c>
    </row>
    <row r="2181" spans="1:6" x14ac:dyDescent="0.25">
      <c r="A2181" s="5">
        <v>3405340</v>
      </c>
      <c r="B2181" s="1">
        <v>2016</v>
      </c>
      <c r="C2181" s="1" t="s">
        <v>1387</v>
      </c>
      <c r="D2181" s="1" t="s">
        <v>585</v>
      </c>
      <c r="E2181" s="8">
        <v>397485</v>
      </c>
      <c r="F2181" s="5">
        <v>3405340</v>
      </c>
    </row>
    <row r="2182" spans="1:6" x14ac:dyDescent="0.25">
      <c r="A2182" s="5">
        <v>3405340</v>
      </c>
      <c r="B2182" s="1">
        <v>2017</v>
      </c>
      <c r="C2182" s="1" t="s">
        <v>1387</v>
      </c>
      <c r="D2182" s="1" t="s">
        <v>585</v>
      </c>
      <c r="E2182" s="8">
        <v>592690</v>
      </c>
      <c r="F2182" s="5">
        <v>3405340</v>
      </c>
    </row>
    <row r="2183" spans="1:6" x14ac:dyDescent="0.25">
      <c r="A2183" s="5">
        <v>3405340</v>
      </c>
      <c r="B2183" s="1">
        <v>2018</v>
      </c>
      <c r="C2183" s="1" t="s">
        <v>1387</v>
      </c>
      <c r="D2183" s="1" t="s">
        <v>1278</v>
      </c>
      <c r="E2183" s="8">
        <v>758535</v>
      </c>
      <c r="F2183" s="5">
        <v>3405340</v>
      </c>
    </row>
    <row r="2184" spans="1:6" x14ac:dyDescent="0.25">
      <c r="A2184" s="5">
        <v>3405340</v>
      </c>
      <c r="B2184" s="1">
        <v>2019</v>
      </c>
      <c r="C2184" s="1" t="s">
        <v>1387</v>
      </c>
      <c r="D2184" s="1" t="s">
        <v>1278</v>
      </c>
      <c r="E2184" s="8">
        <v>973146</v>
      </c>
      <c r="F2184" s="5">
        <v>3405340</v>
      </c>
    </row>
    <row r="2185" spans="1:6" ht="20" x14ac:dyDescent="0.25">
      <c r="A2185" s="5">
        <v>3405340</v>
      </c>
      <c r="B2185" s="1">
        <v>2020</v>
      </c>
      <c r="C2185" s="1" t="s">
        <v>1387</v>
      </c>
      <c r="D2185" s="2" t="s">
        <v>1278</v>
      </c>
      <c r="E2185" s="7">
        <v>1087864</v>
      </c>
      <c r="F2185" s="5">
        <v>3405340</v>
      </c>
    </row>
    <row r="2186" spans="1:6" ht="20" x14ac:dyDescent="0.25">
      <c r="A2186" s="5">
        <v>3405340</v>
      </c>
      <c r="B2186" s="1">
        <v>2021</v>
      </c>
      <c r="C2186" s="1" t="s">
        <v>1387</v>
      </c>
      <c r="D2186" s="3" t="s">
        <v>1278</v>
      </c>
      <c r="E2186" s="7">
        <v>1416153</v>
      </c>
      <c r="F2186" s="5">
        <v>3405340</v>
      </c>
    </row>
    <row r="2187" spans="1:6" ht="20" x14ac:dyDescent="0.25">
      <c r="A2187" s="5">
        <v>3405340</v>
      </c>
      <c r="B2187" s="1">
        <v>2022</v>
      </c>
      <c r="C2187" s="1" t="s">
        <v>1387</v>
      </c>
      <c r="D2187" s="2" t="s">
        <v>1278</v>
      </c>
      <c r="E2187" s="7">
        <v>1937555</v>
      </c>
      <c r="F2187" s="5">
        <v>3405340</v>
      </c>
    </row>
    <row r="2188" spans="1:6" ht="20" x14ac:dyDescent="0.25">
      <c r="A2188" s="5">
        <v>3405340</v>
      </c>
      <c r="B2188" s="1">
        <v>2023</v>
      </c>
      <c r="C2188" s="1" t="s">
        <v>1387</v>
      </c>
      <c r="D2188" s="2" t="s">
        <v>1278</v>
      </c>
      <c r="E2188" s="7">
        <v>1940932</v>
      </c>
      <c r="F2188" s="5">
        <v>3405340</v>
      </c>
    </row>
    <row r="2189" spans="1:6" x14ac:dyDescent="0.25">
      <c r="A2189" s="5">
        <v>3405370</v>
      </c>
      <c r="B2189" s="1">
        <v>2015</v>
      </c>
      <c r="C2189" s="1" t="s">
        <v>1387</v>
      </c>
      <c r="D2189" s="1" t="s">
        <v>51</v>
      </c>
      <c r="E2189" s="8">
        <v>697694</v>
      </c>
      <c r="F2189" s="5">
        <v>3405370</v>
      </c>
    </row>
    <row r="2190" spans="1:6" x14ac:dyDescent="0.25">
      <c r="A2190" s="5">
        <v>3405370</v>
      </c>
      <c r="B2190" s="1">
        <v>2016</v>
      </c>
      <c r="C2190" s="1" t="s">
        <v>1387</v>
      </c>
      <c r="D2190" s="1" t="s">
        <v>51</v>
      </c>
      <c r="E2190" s="8">
        <v>1025550</v>
      </c>
      <c r="F2190" s="5">
        <v>3405370</v>
      </c>
    </row>
    <row r="2191" spans="1:6" x14ac:dyDescent="0.25">
      <c r="A2191" s="5">
        <v>3405370</v>
      </c>
      <c r="B2191" s="1">
        <v>2017</v>
      </c>
      <c r="C2191" s="1" t="s">
        <v>1387</v>
      </c>
      <c r="D2191" s="1" t="s">
        <v>51</v>
      </c>
      <c r="E2191" s="8">
        <v>1471587</v>
      </c>
      <c r="F2191" s="5">
        <v>3405370</v>
      </c>
    </row>
    <row r="2192" spans="1:6" x14ac:dyDescent="0.25">
      <c r="A2192" s="5">
        <v>3405370</v>
      </c>
      <c r="B2192" s="1">
        <v>2018</v>
      </c>
      <c r="C2192" s="1" t="s">
        <v>1387</v>
      </c>
      <c r="D2192" s="1" t="s">
        <v>729</v>
      </c>
      <c r="E2192" s="8">
        <v>1941743</v>
      </c>
      <c r="F2192" s="5">
        <v>3405370</v>
      </c>
    </row>
    <row r="2193" spans="1:6" x14ac:dyDescent="0.25">
      <c r="A2193" s="5">
        <v>3405370</v>
      </c>
      <c r="B2193" s="1">
        <v>2019</v>
      </c>
      <c r="C2193" s="1" t="s">
        <v>1387</v>
      </c>
      <c r="D2193" s="1" t="s">
        <v>729</v>
      </c>
      <c r="E2193" s="8">
        <v>2572702</v>
      </c>
      <c r="F2193" s="5">
        <v>3405370</v>
      </c>
    </row>
    <row r="2194" spans="1:6" ht="20" x14ac:dyDescent="0.25">
      <c r="A2194" s="5">
        <v>3405370</v>
      </c>
      <c r="B2194" s="1">
        <v>2020</v>
      </c>
      <c r="C2194" s="1" t="s">
        <v>1387</v>
      </c>
      <c r="D2194" s="2" t="s">
        <v>729</v>
      </c>
      <c r="E2194" s="7">
        <v>2810535</v>
      </c>
      <c r="F2194" s="5">
        <v>3405370</v>
      </c>
    </row>
    <row r="2195" spans="1:6" ht="20" x14ac:dyDescent="0.25">
      <c r="A2195" s="5">
        <v>3405370</v>
      </c>
      <c r="B2195" s="1">
        <v>2021</v>
      </c>
      <c r="C2195" s="1" t="s">
        <v>1387</v>
      </c>
      <c r="D2195" s="3" t="s">
        <v>729</v>
      </c>
      <c r="E2195" s="7">
        <v>3321436</v>
      </c>
      <c r="F2195" s="5">
        <v>3405370</v>
      </c>
    </row>
    <row r="2196" spans="1:6" ht="20" x14ac:dyDescent="0.25">
      <c r="A2196" s="5">
        <v>3405370</v>
      </c>
      <c r="B2196" s="1">
        <v>2022</v>
      </c>
      <c r="C2196" s="1" t="s">
        <v>1387</v>
      </c>
      <c r="D2196" s="2" t="s">
        <v>729</v>
      </c>
      <c r="E2196" s="7">
        <v>5117241</v>
      </c>
      <c r="F2196" s="5">
        <v>3405370</v>
      </c>
    </row>
    <row r="2197" spans="1:6" ht="20" x14ac:dyDescent="0.25">
      <c r="A2197" s="5">
        <v>3405370</v>
      </c>
      <c r="B2197" s="1">
        <v>2023</v>
      </c>
      <c r="C2197" s="1" t="s">
        <v>1387</v>
      </c>
      <c r="D2197" s="2" t="s">
        <v>729</v>
      </c>
      <c r="E2197" s="7">
        <v>5155234</v>
      </c>
      <c r="F2197" s="5">
        <v>3405370</v>
      </c>
    </row>
    <row r="2198" spans="1:6" x14ac:dyDescent="0.25">
      <c r="A2198" s="5">
        <v>3405400</v>
      </c>
      <c r="B2198" s="1">
        <v>2015</v>
      </c>
      <c r="C2198" s="1" t="s">
        <v>1387</v>
      </c>
      <c r="D2198" s="1" t="s">
        <v>586</v>
      </c>
      <c r="E2198" s="8">
        <v>205109</v>
      </c>
      <c r="F2198" s="5">
        <v>3405400</v>
      </c>
    </row>
    <row r="2199" spans="1:6" x14ac:dyDescent="0.25">
      <c r="A2199" s="5">
        <v>3405400</v>
      </c>
      <c r="B2199" s="1">
        <v>2016</v>
      </c>
      <c r="C2199" s="1" t="s">
        <v>1387</v>
      </c>
      <c r="D2199" s="1" t="s">
        <v>586</v>
      </c>
      <c r="E2199" s="8">
        <v>307371</v>
      </c>
      <c r="F2199" s="5">
        <v>3405400</v>
      </c>
    </row>
    <row r="2200" spans="1:6" x14ac:dyDescent="0.25">
      <c r="A2200" s="5">
        <v>3405400</v>
      </c>
      <c r="B2200" s="1">
        <v>2017</v>
      </c>
      <c r="C2200" s="1" t="s">
        <v>1387</v>
      </c>
      <c r="D2200" s="1" t="s">
        <v>586</v>
      </c>
      <c r="E2200" s="8">
        <v>414331</v>
      </c>
      <c r="F2200" s="5">
        <v>3405400</v>
      </c>
    </row>
    <row r="2201" spans="1:6" x14ac:dyDescent="0.25">
      <c r="A2201" s="5">
        <v>3405400</v>
      </c>
      <c r="B2201" s="1">
        <v>2018</v>
      </c>
      <c r="C2201" s="1" t="s">
        <v>1387</v>
      </c>
      <c r="D2201" s="1" t="s">
        <v>1279</v>
      </c>
      <c r="E2201" s="8">
        <v>589027</v>
      </c>
      <c r="F2201" s="5">
        <v>3405400</v>
      </c>
    </row>
    <row r="2202" spans="1:6" x14ac:dyDescent="0.25">
      <c r="A2202" s="5">
        <v>3405400</v>
      </c>
      <c r="B2202" s="1">
        <v>2019</v>
      </c>
      <c r="C2202" s="1" t="s">
        <v>1387</v>
      </c>
      <c r="D2202" s="1" t="s">
        <v>1279</v>
      </c>
      <c r="E2202" s="8">
        <v>753940</v>
      </c>
      <c r="F2202" s="5">
        <v>3405400</v>
      </c>
    </row>
    <row r="2203" spans="1:6" ht="20" x14ac:dyDescent="0.25">
      <c r="A2203" s="5">
        <v>3405400</v>
      </c>
      <c r="B2203" s="1">
        <v>2020</v>
      </c>
      <c r="C2203" s="1" t="s">
        <v>1387</v>
      </c>
      <c r="D2203" s="2" t="s">
        <v>1279</v>
      </c>
      <c r="E2203" s="7">
        <v>838919</v>
      </c>
      <c r="F2203" s="5">
        <v>3405400</v>
      </c>
    </row>
    <row r="2204" spans="1:6" ht="20" x14ac:dyDescent="0.25">
      <c r="A2204" s="5">
        <v>3405400</v>
      </c>
      <c r="B2204" s="1">
        <v>2021</v>
      </c>
      <c r="C2204" s="1" t="s">
        <v>1387</v>
      </c>
      <c r="D2204" s="3" t="s">
        <v>1279</v>
      </c>
      <c r="E2204" s="7">
        <v>1072542</v>
      </c>
      <c r="F2204" s="5">
        <v>3405400</v>
      </c>
    </row>
    <row r="2205" spans="1:6" ht="20" x14ac:dyDescent="0.25">
      <c r="A2205" s="5">
        <v>3405400</v>
      </c>
      <c r="B2205" s="1">
        <v>2022</v>
      </c>
      <c r="C2205" s="1" t="s">
        <v>1387</v>
      </c>
      <c r="D2205" s="2" t="s">
        <v>1279</v>
      </c>
      <c r="E2205" s="7">
        <v>1582072</v>
      </c>
      <c r="F2205" s="5">
        <v>3405400</v>
      </c>
    </row>
    <row r="2206" spans="1:6" ht="20" x14ac:dyDescent="0.25">
      <c r="A2206" s="5">
        <v>3405400</v>
      </c>
      <c r="B2206" s="1">
        <v>2023</v>
      </c>
      <c r="C2206" s="1" t="s">
        <v>1387</v>
      </c>
      <c r="D2206" s="2" t="s">
        <v>1279</v>
      </c>
      <c r="E2206" s="7">
        <v>1625807</v>
      </c>
      <c r="F2206" s="5">
        <v>3405400</v>
      </c>
    </row>
    <row r="2207" spans="1:6" x14ac:dyDescent="0.25">
      <c r="A2207" s="5">
        <v>3405430</v>
      </c>
      <c r="B2207" s="1">
        <v>2015</v>
      </c>
      <c r="C2207" s="1" t="s">
        <v>1387</v>
      </c>
      <c r="D2207" s="1" t="s">
        <v>279</v>
      </c>
      <c r="E2207" s="8">
        <v>429213</v>
      </c>
      <c r="F2207" s="5">
        <v>3405430</v>
      </c>
    </row>
    <row r="2208" spans="1:6" x14ac:dyDescent="0.25">
      <c r="A2208" s="5">
        <v>3405430</v>
      </c>
      <c r="B2208" s="1">
        <v>2016</v>
      </c>
      <c r="C2208" s="1" t="s">
        <v>1387</v>
      </c>
      <c r="D2208" s="1" t="s">
        <v>279</v>
      </c>
      <c r="E2208" s="8">
        <v>643552</v>
      </c>
      <c r="F2208" s="5">
        <v>3405430</v>
      </c>
    </row>
    <row r="2209" spans="1:6" x14ac:dyDescent="0.25">
      <c r="A2209" s="5">
        <v>3405430</v>
      </c>
      <c r="B2209" s="1">
        <v>2017</v>
      </c>
      <c r="C2209" s="1" t="s">
        <v>1387</v>
      </c>
      <c r="D2209" s="1" t="s">
        <v>279</v>
      </c>
      <c r="E2209" s="8">
        <v>908134</v>
      </c>
      <c r="F2209" s="5">
        <v>3405430</v>
      </c>
    </row>
    <row r="2210" spans="1:6" x14ac:dyDescent="0.25">
      <c r="A2210" s="5">
        <v>3405430</v>
      </c>
      <c r="B2210" s="1">
        <v>2018</v>
      </c>
      <c r="C2210" s="1" t="s">
        <v>1387</v>
      </c>
      <c r="D2210" s="1" t="s">
        <v>969</v>
      </c>
      <c r="E2210" s="8">
        <v>1211992</v>
      </c>
      <c r="F2210" s="5">
        <v>3405430</v>
      </c>
    </row>
    <row r="2211" spans="1:6" x14ac:dyDescent="0.25">
      <c r="A2211" s="5">
        <v>3405430</v>
      </c>
      <c r="B2211" s="1">
        <v>2019</v>
      </c>
      <c r="C2211" s="1" t="s">
        <v>1387</v>
      </c>
      <c r="D2211" s="1" t="s">
        <v>1361</v>
      </c>
      <c r="E2211" s="8">
        <v>1660902</v>
      </c>
      <c r="F2211" s="5">
        <v>3405430</v>
      </c>
    </row>
    <row r="2212" spans="1:6" ht="20" x14ac:dyDescent="0.25">
      <c r="A2212" s="5">
        <v>3405430</v>
      </c>
      <c r="B2212" s="1">
        <v>2020</v>
      </c>
      <c r="C2212" s="1" t="s">
        <v>1387</v>
      </c>
      <c r="D2212" s="2" t="s">
        <v>969</v>
      </c>
      <c r="E2212" s="7">
        <v>1753388</v>
      </c>
      <c r="F2212" s="5">
        <v>3405430</v>
      </c>
    </row>
    <row r="2213" spans="1:6" ht="20" x14ac:dyDescent="0.25">
      <c r="A2213" s="5">
        <v>3405430</v>
      </c>
      <c r="B2213" s="1">
        <v>2021</v>
      </c>
      <c r="C2213" s="1" t="s">
        <v>1387</v>
      </c>
      <c r="D2213" s="3" t="s">
        <v>969</v>
      </c>
      <c r="E2213" s="7">
        <v>2309168</v>
      </c>
      <c r="F2213" s="5">
        <v>3405430</v>
      </c>
    </row>
    <row r="2214" spans="1:6" ht="20" x14ac:dyDescent="0.25">
      <c r="A2214" s="5">
        <v>3405430</v>
      </c>
      <c r="B2214" s="1">
        <v>2022</v>
      </c>
      <c r="C2214" s="1" t="s">
        <v>1387</v>
      </c>
      <c r="D2214" s="2" t="s">
        <v>969</v>
      </c>
      <c r="E2214" s="7">
        <v>3212690</v>
      </c>
      <c r="F2214" s="5">
        <v>3405430</v>
      </c>
    </row>
    <row r="2215" spans="1:6" ht="20" x14ac:dyDescent="0.25">
      <c r="A2215" s="5">
        <v>3405430</v>
      </c>
      <c r="B2215" s="1">
        <v>2023</v>
      </c>
      <c r="C2215" s="1" t="s">
        <v>1387</v>
      </c>
      <c r="D2215" s="2" t="s">
        <v>969</v>
      </c>
      <c r="E2215" s="7">
        <v>3194469</v>
      </c>
      <c r="F2215" s="5">
        <v>3405430</v>
      </c>
    </row>
    <row r="2216" spans="1:6" x14ac:dyDescent="0.25">
      <c r="A2216" s="5">
        <v>3405460</v>
      </c>
      <c r="B2216" s="1">
        <v>2015</v>
      </c>
      <c r="C2216" s="1" t="s">
        <v>1387</v>
      </c>
      <c r="D2216" s="1" t="s">
        <v>335</v>
      </c>
      <c r="E2216" s="8">
        <v>107900</v>
      </c>
      <c r="F2216" s="5">
        <v>3405460</v>
      </c>
    </row>
    <row r="2217" spans="1:6" x14ac:dyDescent="0.25">
      <c r="A2217" s="5">
        <v>3405460</v>
      </c>
      <c r="B2217" s="1">
        <v>2016</v>
      </c>
      <c r="C2217" s="1" t="s">
        <v>1387</v>
      </c>
      <c r="D2217" s="1" t="s">
        <v>335</v>
      </c>
      <c r="E2217" s="8">
        <v>182067</v>
      </c>
      <c r="F2217" s="5">
        <v>3405460</v>
      </c>
    </row>
    <row r="2218" spans="1:6" x14ac:dyDescent="0.25">
      <c r="A2218" s="5">
        <v>3405460</v>
      </c>
      <c r="B2218" s="1">
        <v>2017</v>
      </c>
      <c r="C2218" s="1" t="s">
        <v>1387</v>
      </c>
      <c r="D2218" s="1" t="s">
        <v>335</v>
      </c>
      <c r="E2218" s="8">
        <v>258096</v>
      </c>
      <c r="F2218" s="5">
        <v>3405460</v>
      </c>
    </row>
    <row r="2219" spans="1:6" x14ac:dyDescent="0.25">
      <c r="A2219" s="5">
        <v>3405460</v>
      </c>
      <c r="B2219" s="1">
        <v>2018</v>
      </c>
      <c r="C2219" s="1" t="s">
        <v>1387</v>
      </c>
      <c r="D2219" s="1" t="s">
        <v>1028</v>
      </c>
      <c r="E2219" s="8">
        <v>385353</v>
      </c>
      <c r="F2219" s="5">
        <v>3405460</v>
      </c>
    </row>
    <row r="2220" spans="1:6" x14ac:dyDescent="0.25">
      <c r="A2220" s="5">
        <v>3405460</v>
      </c>
      <c r="B2220" s="1">
        <v>2019</v>
      </c>
      <c r="C2220" s="1" t="s">
        <v>1387</v>
      </c>
      <c r="D2220" s="1" t="s">
        <v>1368</v>
      </c>
      <c r="E2220" s="8">
        <v>488571</v>
      </c>
      <c r="F2220" s="5">
        <v>3405460</v>
      </c>
    </row>
    <row r="2221" spans="1:6" ht="20" x14ac:dyDescent="0.25">
      <c r="A2221" s="5">
        <v>3405460</v>
      </c>
      <c r="B2221" s="1">
        <v>2020</v>
      </c>
      <c r="C2221" s="1" t="s">
        <v>1387</v>
      </c>
      <c r="D2221" s="2" t="s">
        <v>1028</v>
      </c>
      <c r="E2221" s="7">
        <v>484848</v>
      </c>
      <c r="F2221" s="5">
        <v>3405460</v>
      </c>
    </row>
    <row r="2222" spans="1:6" ht="20" x14ac:dyDescent="0.25">
      <c r="A2222" s="5">
        <v>3405460</v>
      </c>
      <c r="B2222" s="1">
        <v>2021</v>
      </c>
      <c r="C2222" s="1" t="s">
        <v>1387</v>
      </c>
      <c r="D2222" s="3" t="s">
        <v>1028</v>
      </c>
      <c r="E2222" s="7">
        <v>630282</v>
      </c>
      <c r="F2222" s="5">
        <v>3405460</v>
      </c>
    </row>
    <row r="2223" spans="1:6" ht="20" x14ac:dyDescent="0.25">
      <c r="A2223" s="5">
        <v>3405460</v>
      </c>
      <c r="B2223" s="1">
        <v>2022</v>
      </c>
      <c r="C2223" s="1" t="s">
        <v>1387</v>
      </c>
      <c r="D2223" s="2" t="s">
        <v>1028</v>
      </c>
      <c r="E2223" s="7">
        <v>858681</v>
      </c>
      <c r="F2223" s="5">
        <v>3405460</v>
      </c>
    </row>
    <row r="2224" spans="1:6" ht="20" x14ac:dyDescent="0.25">
      <c r="A2224" s="5">
        <v>3405460</v>
      </c>
      <c r="B2224" s="1">
        <v>2023</v>
      </c>
      <c r="C2224" s="1" t="s">
        <v>1387</v>
      </c>
      <c r="D2224" s="2" t="s">
        <v>1028</v>
      </c>
      <c r="E2224" s="7">
        <v>907046</v>
      </c>
      <c r="F2224" s="5">
        <v>3405460</v>
      </c>
    </row>
    <row r="2225" spans="1:6" x14ac:dyDescent="0.25">
      <c r="A2225" s="5">
        <v>3405490</v>
      </c>
      <c r="B2225" s="1">
        <v>2015</v>
      </c>
      <c r="C2225" s="1" t="s">
        <v>1387</v>
      </c>
      <c r="D2225" s="1" t="s">
        <v>569</v>
      </c>
      <c r="E2225" s="8">
        <v>2843588</v>
      </c>
      <c r="F2225" s="5">
        <v>3405490</v>
      </c>
    </row>
    <row r="2226" spans="1:6" x14ac:dyDescent="0.25">
      <c r="A2226" s="5">
        <v>3405490</v>
      </c>
      <c r="B2226" s="1">
        <v>2016</v>
      </c>
      <c r="C2226" s="1" t="s">
        <v>1387</v>
      </c>
      <c r="D2226" s="1" t="s">
        <v>569</v>
      </c>
      <c r="E2226" s="8">
        <v>4104210</v>
      </c>
      <c r="F2226" s="5">
        <v>3405490</v>
      </c>
    </row>
    <row r="2227" spans="1:6" x14ac:dyDescent="0.25">
      <c r="A2227" s="5">
        <v>3405490</v>
      </c>
      <c r="B2227" s="1">
        <v>2017</v>
      </c>
      <c r="C2227" s="1" t="s">
        <v>1387</v>
      </c>
      <c r="D2227" s="1" t="s">
        <v>569</v>
      </c>
      <c r="E2227" s="8">
        <v>5806181</v>
      </c>
      <c r="F2227" s="5">
        <v>3405490</v>
      </c>
    </row>
    <row r="2228" spans="1:6" x14ac:dyDescent="0.25">
      <c r="A2228" s="5">
        <v>3405490</v>
      </c>
      <c r="B2228" s="1">
        <v>2018</v>
      </c>
      <c r="C2228" s="1" t="s">
        <v>1387</v>
      </c>
      <c r="D2228" s="1" t="s">
        <v>1261</v>
      </c>
      <c r="E2228" s="8">
        <v>8064763</v>
      </c>
      <c r="F2228" s="5">
        <v>3405490</v>
      </c>
    </row>
    <row r="2229" spans="1:6" x14ac:dyDescent="0.25">
      <c r="A2229" s="5">
        <v>3405490</v>
      </c>
      <c r="B2229" s="1">
        <v>2019</v>
      </c>
      <c r="C2229" s="1" t="s">
        <v>1387</v>
      </c>
      <c r="D2229" s="1" t="s">
        <v>1369</v>
      </c>
      <c r="E2229" s="8">
        <v>10598819</v>
      </c>
      <c r="F2229" s="5">
        <v>3405490</v>
      </c>
    </row>
    <row r="2230" spans="1:6" ht="20" x14ac:dyDescent="0.25">
      <c r="A2230" s="5">
        <v>3405490</v>
      </c>
      <c r="B2230" s="1">
        <v>2020</v>
      </c>
      <c r="C2230" s="1" t="s">
        <v>1387</v>
      </c>
      <c r="D2230" s="2" t="s">
        <v>1261</v>
      </c>
      <c r="E2230" s="7">
        <v>11766052</v>
      </c>
      <c r="F2230" s="5">
        <v>3405490</v>
      </c>
    </row>
    <row r="2231" spans="1:6" ht="20" x14ac:dyDescent="0.25">
      <c r="A2231" s="5">
        <v>3405490</v>
      </c>
      <c r="B2231" s="1">
        <v>2021</v>
      </c>
      <c r="C2231" s="1" t="s">
        <v>1387</v>
      </c>
      <c r="D2231" s="3" t="s">
        <v>1261</v>
      </c>
      <c r="E2231" s="7">
        <v>15598822</v>
      </c>
      <c r="F2231" s="5">
        <v>3405490</v>
      </c>
    </row>
    <row r="2232" spans="1:6" ht="20" x14ac:dyDescent="0.25">
      <c r="A2232" s="5">
        <v>3405490</v>
      </c>
      <c r="B2232" s="1">
        <v>2022</v>
      </c>
      <c r="C2232" s="1" t="s">
        <v>1387</v>
      </c>
      <c r="D2232" s="2" t="s">
        <v>1261</v>
      </c>
      <c r="E2232" s="7">
        <v>22069890</v>
      </c>
      <c r="F2232" s="5">
        <v>3405490</v>
      </c>
    </row>
    <row r="2233" spans="1:6" ht="20" x14ac:dyDescent="0.25">
      <c r="A2233" s="5">
        <v>3405490</v>
      </c>
      <c r="B2233" s="1">
        <v>2023</v>
      </c>
      <c r="C2233" s="1" t="s">
        <v>1387</v>
      </c>
      <c r="D2233" s="2" t="s">
        <v>1261</v>
      </c>
      <c r="E2233" s="7">
        <v>21594563</v>
      </c>
      <c r="F2233" s="5">
        <v>3405490</v>
      </c>
    </row>
    <row r="2234" spans="1:6" x14ac:dyDescent="0.25">
      <c r="A2234" s="5">
        <v>3405520</v>
      </c>
      <c r="B2234" s="1">
        <v>2015</v>
      </c>
      <c r="C2234" s="1" t="s">
        <v>1387</v>
      </c>
      <c r="D2234" s="1" t="s">
        <v>641</v>
      </c>
      <c r="E2234" s="8">
        <v>117549</v>
      </c>
      <c r="F2234" s="5">
        <v>3405520</v>
      </c>
    </row>
    <row r="2235" spans="1:6" x14ac:dyDescent="0.25">
      <c r="A2235" s="5">
        <v>3405520</v>
      </c>
      <c r="B2235" s="1">
        <v>2016</v>
      </c>
      <c r="C2235" s="1" t="s">
        <v>1387</v>
      </c>
      <c r="D2235" s="1" t="s">
        <v>641</v>
      </c>
      <c r="E2235" s="8">
        <v>168561</v>
      </c>
      <c r="F2235" s="5">
        <v>3405520</v>
      </c>
    </row>
    <row r="2236" spans="1:6" x14ac:dyDescent="0.25">
      <c r="A2236" s="5">
        <v>3405520</v>
      </c>
      <c r="B2236" s="1">
        <v>2017</v>
      </c>
      <c r="C2236" s="1" t="s">
        <v>1387</v>
      </c>
      <c r="D2236" s="1" t="s">
        <v>641</v>
      </c>
      <c r="E2236" s="8">
        <v>215336</v>
      </c>
      <c r="F2236" s="5">
        <v>3405520</v>
      </c>
    </row>
    <row r="2237" spans="1:6" x14ac:dyDescent="0.25">
      <c r="A2237" s="5">
        <v>3405520</v>
      </c>
      <c r="B2237" s="1">
        <v>2018</v>
      </c>
      <c r="C2237" s="1" t="s">
        <v>1387</v>
      </c>
      <c r="D2237" s="1" t="s">
        <v>1334</v>
      </c>
      <c r="E2237" s="8">
        <v>308271</v>
      </c>
      <c r="F2237" s="5">
        <v>3405520</v>
      </c>
    </row>
    <row r="2238" spans="1:6" x14ac:dyDescent="0.25">
      <c r="A2238" s="5">
        <v>3405520</v>
      </c>
      <c r="B2238" s="1">
        <v>2019</v>
      </c>
      <c r="C2238" s="1" t="s">
        <v>1387</v>
      </c>
      <c r="D2238" s="1" t="s">
        <v>1334</v>
      </c>
      <c r="E2238" s="8">
        <v>412292</v>
      </c>
      <c r="F2238" s="5">
        <v>3405520</v>
      </c>
    </row>
    <row r="2239" spans="1:6" ht="20" x14ac:dyDescent="0.25">
      <c r="A2239" s="5">
        <v>3405520</v>
      </c>
      <c r="B2239" s="1">
        <v>2020</v>
      </c>
      <c r="C2239" s="1" t="s">
        <v>1387</v>
      </c>
      <c r="D2239" s="2" t="s">
        <v>1334</v>
      </c>
      <c r="E2239" s="7">
        <v>451073</v>
      </c>
      <c r="F2239" s="5">
        <v>3405520</v>
      </c>
    </row>
    <row r="2240" spans="1:6" ht="20" x14ac:dyDescent="0.25">
      <c r="A2240" s="5">
        <v>3405520</v>
      </c>
      <c r="B2240" s="1">
        <v>2021</v>
      </c>
      <c r="C2240" s="1" t="s">
        <v>1387</v>
      </c>
      <c r="D2240" s="3" t="s">
        <v>1334</v>
      </c>
      <c r="E2240" s="7">
        <v>569952</v>
      </c>
      <c r="F2240" s="5">
        <v>3405520</v>
      </c>
    </row>
    <row r="2241" spans="1:6" ht="20" x14ac:dyDescent="0.25">
      <c r="A2241" s="5">
        <v>3405520</v>
      </c>
      <c r="B2241" s="1">
        <v>2022</v>
      </c>
      <c r="C2241" s="1" t="s">
        <v>1387</v>
      </c>
      <c r="D2241" s="2" t="s">
        <v>1334</v>
      </c>
      <c r="E2241" s="7">
        <v>798828</v>
      </c>
      <c r="F2241" s="5">
        <v>3405520</v>
      </c>
    </row>
    <row r="2242" spans="1:6" ht="20" x14ac:dyDescent="0.25">
      <c r="A2242" s="5">
        <v>3405520</v>
      </c>
      <c r="B2242" s="1">
        <v>2023</v>
      </c>
      <c r="C2242" s="1" t="s">
        <v>1387</v>
      </c>
      <c r="D2242" s="2" t="s">
        <v>1334</v>
      </c>
      <c r="E2242" s="7">
        <v>811453</v>
      </c>
      <c r="F2242" s="5">
        <v>3405520</v>
      </c>
    </row>
    <row r="2243" spans="1:6" x14ac:dyDescent="0.25">
      <c r="A2243" s="5">
        <v>3405550</v>
      </c>
      <c r="B2243" s="1">
        <v>2015</v>
      </c>
      <c r="C2243" s="1" t="s">
        <v>1387</v>
      </c>
      <c r="D2243" s="1" t="s">
        <v>587</v>
      </c>
      <c r="E2243" s="8">
        <v>105744</v>
      </c>
      <c r="F2243" s="5">
        <v>3405550</v>
      </c>
    </row>
    <row r="2244" spans="1:6" x14ac:dyDescent="0.25">
      <c r="A2244" s="5">
        <v>3405550</v>
      </c>
      <c r="B2244" s="1">
        <v>2016</v>
      </c>
      <c r="C2244" s="1" t="s">
        <v>1387</v>
      </c>
      <c r="D2244" s="1" t="s">
        <v>587</v>
      </c>
      <c r="E2244" s="8">
        <v>136754</v>
      </c>
      <c r="F2244" s="5">
        <v>3405550</v>
      </c>
    </row>
    <row r="2245" spans="1:6" x14ac:dyDescent="0.25">
      <c r="A2245" s="5">
        <v>3405550</v>
      </c>
      <c r="B2245" s="1">
        <v>2017</v>
      </c>
      <c r="C2245" s="1" t="s">
        <v>1387</v>
      </c>
      <c r="D2245" s="1" t="s">
        <v>587</v>
      </c>
      <c r="E2245" s="8">
        <v>202796</v>
      </c>
      <c r="F2245" s="5">
        <v>3405550</v>
      </c>
    </row>
    <row r="2246" spans="1:6" x14ac:dyDescent="0.25">
      <c r="A2246" s="5">
        <v>3405550</v>
      </c>
      <c r="B2246" s="1">
        <v>2018</v>
      </c>
      <c r="C2246" s="1" t="s">
        <v>1387</v>
      </c>
      <c r="D2246" s="1" t="s">
        <v>1280</v>
      </c>
      <c r="E2246" s="8">
        <v>260556</v>
      </c>
      <c r="F2246" s="5">
        <v>3405550</v>
      </c>
    </row>
    <row r="2247" spans="1:6" x14ac:dyDescent="0.25">
      <c r="A2247" s="5">
        <v>3405550</v>
      </c>
      <c r="B2247" s="1">
        <v>2019</v>
      </c>
      <c r="C2247" s="1" t="s">
        <v>1387</v>
      </c>
      <c r="D2247" s="1" t="s">
        <v>1280</v>
      </c>
      <c r="E2247" s="8">
        <v>324083</v>
      </c>
      <c r="F2247" s="5">
        <v>3405550</v>
      </c>
    </row>
    <row r="2248" spans="1:6" ht="22" customHeight="1" x14ac:dyDescent="0.25">
      <c r="A2248" s="5">
        <v>3405550</v>
      </c>
      <c r="B2248" s="1">
        <v>2020</v>
      </c>
      <c r="C2248" s="1" t="s">
        <v>1387</v>
      </c>
      <c r="D2248" s="2" t="s">
        <v>1280</v>
      </c>
      <c r="E2248" s="7">
        <v>373960</v>
      </c>
      <c r="F2248" s="5">
        <v>3405550</v>
      </c>
    </row>
    <row r="2249" spans="1:6" ht="20" x14ac:dyDescent="0.25">
      <c r="A2249" s="5">
        <v>3405550</v>
      </c>
      <c r="B2249" s="1">
        <v>2021</v>
      </c>
      <c r="C2249" s="1" t="s">
        <v>1387</v>
      </c>
      <c r="D2249" s="3" t="s">
        <v>1280</v>
      </c>
      <c r="E2249" s="7">
        <v>530112</v>
      </c>
      <c r="F2249" s="5">
        <v>3405550</v>
      </c>
    </row>
    <row r="2250" spans="1:6" ht="20" x14ac:dyDescent="0.25">
      <c r="A2250" s="5">
        <v>3405550</v>
      </c>
      <c r="B2250" s="1">
        <v>2022</v>
      </c>
      <c r="C2250" s="1" t="s">
        <v>1387</v>
      </c>
      <c r="D2250" s="2" t="s">
        <v>1280</v>
      </c>
      <c r="E2250" s="7">
        <v>670599</v>
      </c>
      <c r="F2250" s="5">
        <v>3405550</v>
      </c>
    </row>
    <row r="2251" spans="1:6" ht="20" x14ac:dyDescent="0.25">
      <c r="A2251" s="5">
        <v>3405550</v>
      </c>
      <c r="B2251" s="1">
        <v>2023</v>
      </c>
      <c r="C2251" s="1" t="s">
        <v>1387</v>
      </c>
      <c r="D2251" s="2" t="s">
        <v>1280</v>
      </c>
      <c r="E2251" s="7">
        <v>418652</v>
      </c>
      <c r="F2251" s="5">
        <v>3405550</v>
      </c>
    </row>
    <row r="2252" spans="1:6" x14ac:dyDescent="0.25">
      <c r="A2252" s="5">
        <v>3405580</v>
      </c>
      <c r="B2252" s="1">
        <v>2015</v>
      </c>
      <c r="C2252" s="1" t="s">
        <v>1387</v>
      </c>
      <c r="D2252" s="1" t="s">
        <v>412</v>
      </c>
      <c r="E2252" s="8">
        <v>433996</v>
      </c>
      <c r="F2252" s="5">
        <v>3405580</v>
      </c>
    </row>
    <row r="2253" spans="1:6" x14ac:dyDescent="0.25">
      <c r="A2253" s="5">
        <v>3405580</v>
      </c>
      <c r="B2253" s="1">
        <v>2016</v>
      </c>
      <c r="C2253" s="1" t="s">
        <v>1387</v>
      </c>
      <c r="D2253" s="1" t="s">
        <v>412</v>
      </c>
      <c r="E2253" s="8">
        <v>685014</v>
      </c>
      <c r="F2253" s="5">
        <v>3405580</v>
      </c>
    </row>
    <row r="2254" spans="1:6" x14ac:dyDescent="0.25">
      <c r="A2254" s="5">
        <v>3405580</v>
      </c>
      <c r="B2254" s="1">
        <v>2017</v>
      </c>
      <c r="C2254" s="1" t="s">
        <v>1387</v>
      </c>
      <c r="D2254" s="1" t="s">
        <v>412</v>
      </c>
      <c r="E2254" s="8">
        <v>1005427</v>
      </c>
      <c r="F2254" s="5">
        <v>3405580</v>
      </c>
    </row>
    <row r="2255" spans="1:6" x14ac:dyDescent="0.25">
      <c r="A2255" s="5">
        <v>3405580</v>
      </c>
      <c r="B2255" s="1">
        <v>2018</v>
      </c>
      <c r="C2255" s="1" t="s">
        <v>1387</v>
      </c>
      <c r="D2255" s="1" t="s">
        <v>1104</v>
      </c>
      <c r="E2255" s="8">
        <v>1400201</v>
      </c>
      <c r="F2255" s="5">
        <v>3405580</v>
      </c>
    </row>
    <row r="2256" spans="1:6" x14ac:dyDescent="0.25">
      <c r="A2256" s="5">
        <v>3405580</v>
      </c>
      <c r="B2256" s="1">
        <v>2019</v>
      </c>
      <c r="C2256" s="1" t="s">
        <v>1387</v>
      </c>
      <c r="D2256" s="1" t="s">
        <v>1104</v>
      </c>
      <c r="E2256" s="8">
        <v>1877303</v>
      </c>
      <c r="F2256" s="5">
        <v>3405580</v>
      </c>
    </row>
    <row r="2257" spans="1:6" ht="20" x14ac:dyDescent="0.25">
      <c r="A2257" s="5">
        <v>3405580</v>
      </c>
      <c r="B2257" s="1">
        <v>2020</v>
      </c>
      <c r="C2257" s="1" t="s">
        <v>1387</v>
      </c>
      <c r="D2257" s="2" t="s">
        <v>1104</v>
      </c>
      <c r="E2257" s="7">
        <v>2170498</v>
      </c>
      <c r="F2257" s="5">
        <v>3405580</v>
      </c>
    </row>
    <row r="2258" spans="1:6" ht="20" x14ac:dyDescent="0.25">
      <c r="A2258" s="5">
        <v>3405580</v>
      </c>
      <c r="B2258" s="1">
        <v>2021</v>
      </c>
      <c r="C2258" s="1" t="s">
        <v>1387</v>
      </c>
      <c r="D2258" s="3" t="s">
        <v>1104</v>
      </c>
      <c r="E2258" s="7">
        <v>3047711</v>
      </c>
      <c r="F2258" s="5">
        <v>3405580</v>
      </c>
    </row>
    <row r="2259" spans="1:6" ht="20" x14ac:dyDescent="0.25">
      <c r="A2259" s="5">
        <v>3405580</v>
      </c>
      <c r="B2259" s="1">
        <v>2022</v>
      </c>
      <c r="C2259" s="1" t="s">
        <v>1387</v>
      </c>
      <c r="D2259" s="2" t="s">
        <v>1104</v>
      </c>
      <c r="E2259" s="7">
        <v>4611933</v>
      </c>
      <c r="F2259" s="5">
        <v>3405580</v>
      </c>
    </row>
    <row r="2260" spans="1:6" ht="20" x14ac:dyDescent="0.25">
      <c r="A2260" s="5">
        <v>3405580</v>
      </c>
      <c r="B2260" s="1">
        <v>2023</v>
      </c>
      <c r="C2260" s="1" t="s">
        <v>1387</v>
      </c>
      <c r="D2260" s="2" t="s">
        <v>1104</v>
      </c>
      <c r="E2260" s="7">
        <v>4486745</v>
      </c>
      <c r="F2260" s="5">
        <v>3405580</v>
      </c>
    </row>
    <row r="2261" spans="1:6" x14ac:dyDescent="0.25">
      <c r="A2261" s="5">
        <v>3405610</v>
      </c>
      <c r="B2261" s="1">
        <v>2015</v>
      </c>
      <c r="C2261" s="1" t="s">
        <v>1387</v>
      </c>
      <c r="D2261" s="1" t="s">
        <v>413</v>
      </c>
      <c r="E2261" s="8">
        <v>3878244</v>
      </c>
      <c r="F2261" s="5">
        <v>3405610</v>
      </c>
    </row>
    <row r="2262" spans="1:6" x14ac:dyDescent="0.25">
      <c r="A2262" s="5">
        <v>3405610</v>
      </c>
      <c r="B2262" s="1">
        <v>2016</v>
      </c>
      <c r="C2262" s="1" t="s">
        <v>1387</v>
      </c>
      <c r="D2262" s="1" t="s">
        <v>413</v>
      </c>
      <c r="E2262" s="8">
        <v>5857525</v>
      </c>
      <c r="F2262" s="5">
        <v>3405610</v>
      </c>
    </row>
    <row r="2263" spans="1:6" x14ac:dyDescent="0.25">
      <c r="A2263" s="5">
        <v>3405610</v>
      </c>
      <c r="B2263" s="1">
        <v>2017</v>
      </c>
      <c r="C2263" s="1" t="s">
        <v>1387</v>
      </c>
      <c r="D2263" s="1" t="s">
        <v>413</v>
      </c>
      <c r="E2263" s="8">
        <v>8407922</v>
      </c>
      <c r="F2263" s="5">
        <v>3405610</v>
      </c>
    </row>
    <row r="2264" spans="1:6" x14ac:dyDescent="0.25">
      <c r="A2264" s="5">
        <v>3405610</v>
      </c>
      <c r="B2264" s="1">
        <v>2018</v>
      </c>
      <c r="C2264" s="1" t="s">
        <v>1387</v>
      </c>
      <c r="D2264" s="1" t="s">
        <v>1105</v>
      </c>
      <c r="E2264" s="8">
        <v>11285108</v>
      </c>
      <c r="F2264" s="5">
        <v>3405610</v>
      </c>
    </row>
    <row r="2265" spans="1:6" x14ac:dyDescent="0.25">
      <c r="A2265" s="5">
        <v>3405610</v>
      </c>
      <c r="B2265" s="1">
        <v>2019</v>
      </c>
      <c r="C2265" s="1" t="s">
        <v>1387</v>
      </c>
      <c r="D2265" s="1" t="s">
        <v>1105</v>
      </c>
      <c r="E2265" s="8">
        <v>14904440</v>
      </c>
      <c r="F2265" s="5">
        <v>3405610</v>
      </c>
    </row>
    <row r="2266" spans="1:6" ht="20" x14ac:dyDescent="0.25">
      <c r="A2266" s="5">
        <v>3405610</v>
      </c>
      <c r="B2266" s="1">
        <v>2020</v>
      </c>
      <c r="C2266" s="1" t="s">
        <v>1387</v>
      </c>
      <c r="D2266" s="2" t="s">
        <v>1105</v>
      </c>
      <c r="E2266" s="7">
        <v>16693237</v>
      </c>
      <c r="F2266" s="5">
        <v>3405610</v>
      </c>
    </row>
    <row r="2267" spans="1:6" ht="20" x14ac:dyDescent="0.25">
      <c r="A2267" s="5">
        <v>3405610</v>
      </c>
      <c r="B2267" s="1">
        <v>2021</v>
      </c>
      <c r="C2267" s="1" t="s">
        <v>1387</v>
      </c>
      <c r="D2267" s="3" t="s">
        <v>1105</v>
      </c>
      <c r="E2267" s="7">
        <v>21199063</v>
      </c>
      <c r="F2267" s="5">
        <v>3405610</v>
      </c>
    </row>
    <row r="2268" spans="1:6" ht="20" x14ac:dyDescent="0.25">
      <c r="A2268" s="5">
        <v>3405610</v>
      </c>
      <c r="B2268" s="1">
        <v>2022</v>
      </c>
      <c r="C2268" s="1" t="s">
        <v>1387</v>
      </c>
      <c r="D2268" s="2" t="s">
        <v>1105</v>
      </c>
      <c r="E2268" s="7">
        <v>29721207</v>
      </c>
      <c r="F2268" s="5">
        <v>3405610</v>
      </c>
    </row>
    <row r="2269" spans="1:6" ht="20" x14ac:dyDescent="0.25">
      <c r="A2269" s="5">
        <v>3405610</v>
      </c>
      <c r="B2269" s="1">
        <v>2023</v>
      </c>
      <c r="C2269" s="1" t="s">
        <v>1387</v>
      </c>
      <c r="D2269" s="2" t="s">
        <v>1105</v>
      </c>
      <c r="E2269" s="7">
        <v>28932464</v>
      </c>
      <c r="F2269" s="5">
        <v>3405610</v>
      </c>
    </row>
    <row r="2270" spans="1:6" x14ac:dyDescent="0.25">
      <c r="A2270" s="5">
        <v>3405640</v>
      </c>
      <c r="B2270" s="1">
        <v>2015</v>
      </c>
      <c r="C2270" s="1" t="s">
        <v>1387</v>
      </c>
      <c r="D2270" s="1" t="s">
        <v>414</v>
      </c>
      <c r="E2270" s="8">
        <v>1414447</v>
      </c>
      <c r="F2270" s="5">
        <v>3405640</v>
      </c>
    </row>
    <row r="2271" spans="1:6" x14ac:dyDescent="0.25">
      <c r="A2271" s="5">
        <v>3405640</v>
      </c>
      <c r="B2271" s="1">
        <v>2016</v>
      </c>
      <c r="C2271" s="1" t="s">
        <v>1387</v>
      </c>
      <c r="D2271" s="1" t="s">
        <v>414</v>
      </c>
      <c r="E2271" s="8">
        <v>2193999</v>
      </c>
      <c r="F2271" s="5">
        <v>3405640</v>
      </c>
    </row>
    <row r="2272" spans="1:6" x14ac:dyDescent="0.25">
      <c r="A2272" s="5">
        <v>3405640</v>
      </c>
      <c r="B2272" s="1">
        <v>2017</v>
      </c>
      <c r="C2272" s="1" t="s">
        <v>1387</v>
      </c>
      <c r="D2272" s="1" t="s">
        <v>414</v>
      </c>
      <c r="E2272" s="8">
        <v>3103861</v>
      </c>
      <c r="F2272" s="5">
        <v>3405640</v>
      </c>
    </row>
    <row r="2273" spans="1:6" x14ac:dyDescent="0.25">
      <c r="A2273" s="5">
        <v>3405640</v>
      </c>
      <c r="B2273" s="1">
        <v>2018</v>
      </c>
      <c r="C2273" s="1" t="s">
        <v>1387</v>
      </c>
      <c r="D2273" s="1" t="s">
        <v>1106</v>
      </c>
      <c r="E2273" s="8">
        <v>4286759</v>
      </c>
      <c r="F2273" s="5">
        <v>3405640</v>
      </c>
    </row>
    <row r="2274" spans="1:6" x14ac:dyDescent="0.25">
      <c r="A2274" s="5">
        <v>3405640</v>
      </c>
      <c r="B2274" s="1">
        <v>2019</v>
      </c>
      <c r="C2274" s="1" t="s">
        <v>1387</v>
      </c>
      <c r="D2274" s="1" t="s">
        <v>1106</v>
      </c>
      <c r="E2274" s="8">
        <v>5659714</v>
      </c>
      <c r="F2274" s="5">
        <v>3405640</v>
      </c>
    </row>
    <row r="2275" spans="1:6" ht="20" x14ac:dyDescent="0.25">
      <c r="A2275" s="5">
        <v>3405640</v>
      </c>
      <c r="B2275" s="1">
        <v>2020</v>
      </c>
      <c r="C2275" s="1" t="s">
        <v>1387</v>
      </c>
      <c r="D2275" s="2" t="s">
        <v>1106</v>
      </c>
      <c r="E2275" s="7">
        <v>6431385</v>
      </c>
      <c r="F2275" s="5">
        <v>3405640</v>
      </c>
    </row>
    <row r="2276" spans="1:6" ht="20" x14ac:dyDescent="0.25">
      <c r="A2276" s="5">
        <v>3405640</v>
      </c>
      <c r="B2276" s="1">
        <v>2021</v>
      </c>
      <c r="C2276" s="1" t="s">
        <v>1387</v>
      </c>
      <c r="D2276" s="3" t="s">
        <v>1106</v>
      </c>
      <c r="E2276" s="7">
        <v>8124408</v>
      </c>
      <c r="F2276" s="5">
        <v>3405640</v>
      </c>
    </row>
    <row r="2277" spans="1:6" ht="20" x14ac:dyDescent="0.25">
      <c r="A2277" s="5">
        <v>3405640</v>
      </c>
      <c r="B2277" s="1">
        <v>2022</v>
      </c>
      <c r="C2277" s="1" t="s">
        <v>1387</v>
      </c>
      <c r="D2277" s="2" t="s">
        <v>1106</v>
      </c>
      <c r="E2277" s="7">
        <v>11564381</v>
      </c>
      <c r="F2277" s="5">
        <v>3405640</v>
      </c>
    </row>
    <row r="2278" spans="1:6" ht="20" x14ac:dyDescent="0.25">
      <c r="A2278" s="5">
        <v>3405640</v>
      </c>
      <c r="B2278" s="1">
        <v>2023</v>
      </c>
      <c r="C2278" s="1" t="s">
        <v>1387</v>
      </c>
      <c r="D2278" s="2" t="s">
        <v>1106</v>
      </c>
      <c r="E2278" s="7">
        <v>11612025</v>
      </c>
      <c r="F2278" s="5">
        <v>3405640</v>
      </c>
    </row>
    <row r="2279" spans="1:6" x14ac:dyDescent="0.25">
      <c r="A2279" s="5">
        <v>3405670</v>
      </c>
      <c r="B2279" s="1">
        <v>2015</v>
      </c>
      <c r="C2279" s="1" t="s">
        <v>1387</v>
      </c>
      <c r="D2279" s="1" t="s">
        <v>642</v>
      </c>
      <c r="E2279" s="8">
        <v>69408</v>
      </c>
      <c r="F2279" s="5">
        <v>3405670</v>
      </c>
    </row>
    <row r="2280" spans="1:6" x14ac:dyDescent="0.25">
      <c r="A2280" s="5">
        <v>3405670</v>
      </c>
      <c r="B2280" s="1">
        <v>2016</v>
      </c>
      <c r="C2280" s="1" t="s">
        <v>1387</v>
      </c>
      <c r="D2280" s="1" t="s">
        <v>642</v>
      </c>
      <c r="E2280" s="8">
        <v>89132</v>
      </c>
      <c r="F2280" s="5">
        <v>3405670</v>
      </c>
    </row>
    <row r="2281" spans="1:6" x14ac:dyDescent="0.25">
      <c r="A2281" s="5">
        <v>3405670</v>
      </c>
      <c r="B2281" s="1">
        <v>2017</v>
      </c>
      <c r="C2281" s="1" t="s">
        <v>1387</v>
      </c>
      <c r="D2281" s="1" t="s">
        <v>642</v>
      </c>
      <c r="E2281" s="8">
        <v>128229</v>
      </c>
      <c r="F2281" s="5">
        <v>3405670</v>
      </c>
    </row>
    <row r="2282" spans="1:6" x14ac:dyDescent="0.25">
      <c r="A2282" s="5">
        <v>3405670</v>
      </c>
      <c r="B2282" s="1">
        <v>2018</v>
      </c>
      <c r="C2282" s="1" t="s">
        <v>1387</v>
      </c>
      <c r="D2282" s="1" t="s">
        <v>1335</v>
      </c>
      <c r="E2282" s="8">
        <v>176405</v>
      </c>
      <c r="F2282" s="5">
        <v>3405670</v>
      </c>
    </row>
    <row r="2283" spans="1:6" x14ac:dyDescent="0.25">
      <c r="A2283" s="5">
        <v>3405670</v>
      </c>
      <c r="B2283" s="1">
        <v>2019</v>
      </c>
      <c r="C2283" s="1" t="s">
        <v>1387</v>
      </c>
      <c r="D2283" s="1" t="s">
        <v>1335</v>
      </c>
      <c r="E2283" s="8">
        <v>145576</v>
      </c>
      <c r="F2283" s="5">
        <v>3405670</v>
      </c>
    </row>
    <row r="2284" spans="1:6" ht="20" x14ac:dyDescent="0.25">
      <c r="A2284" s="5">
        <v>3405670</v>
      </c>
      <c r="B2284" s="1">
        <v>2020</v>
      </c>
      <c r="C2284" s="1" t="s">
        <v>1387</v>
      </c>
      <c r="D2284" s="2" t="s">
        <v>1335</v>
      </c>
      <c r="E2284" s="7">
        <v>189058</v>
      </c>
      <c r="F2284" s="5">
        <v>3405670</v>
      </c>
    </row>
    <row r="2285" spans="1:6" ht="20" x14ac:dyDescent="0.25">
      <c r="A2285" s="5">
        <v>3405670</v>
      </c>
      <c r="B2285" s="1">
        <v>2021</v>
      </c>
      <c r="C2285" s="1" t="s">
        <v>1387</v>
      </c>
      <c r="D2285" s="3" t="s">
        <v>1335</v>
      </c>
      <c r="E2285" s="7">
        <v>245260</v>
      </c>
      <c r="F2285" s="5">
        <v>3405670</v>
      </c>
    </row>
    <row r="2286" spans="1:6" ht="20" x14ac:dyDescent="0.25">
      <c r="A2286" s="5">
        <v>3405670</v>
      </c>
      <c r="B2286" s="1">
        <v>2022</v>
      </c>
      <c r="C2286" s="1" t="s">
        <v>1387</v>
      </c>
      <c r="D2286" s="2" t="s">
        <v>1335</v>
      </c>
      <c r="E2286" s="7">
        <v>330202</v>
      </c>
      <c r="F2286" s="5">
        <v>3405670</v>
      </c>
    </row>
    <row r="2287" spans="1:6" ht="20" x14ac:dyDescent="0.25">
      <c r="A2287" s="5">
        <v>3405670</v>
      </c>
      <c r="B2287" s="1">
        <v>2023</v>
      </c>
      <c r="C2287" s="1" t="s">
        <v>1387</v>
      </c>
      <c r="D2287" s="2" t="s">
        <v>1335</v>
      </c>
      <c r="E2287" s="7">
        <v>359256</v>
      </c>
      <c r="F2287" s="5">
        <v>3405670</v>
      </c>
    </row>
    <row r="2288" spans="1:6" x14ac:dyDescent="0.25">
      <c r="A2288" s="5">
        <v>3405700</v>
      </c>
      <c r="B2288" s="1">
        <v>2015</v>
      </c>
      <c r="C2288" s="1" t="s">
        <v>1387</v>
      </c>
      <c r="D2288" s="1" t="s">
        <v>336</v>
      </c>
      <c r="E2288" s="8">
        <v>74870</v>
      </c>
      <c r="F2288" s="5">
        <v>3405700</v>
      </c>
    </row>
    <row r="2289" spans="1:6" x14ac:dyDescent="0.25">
      <c r="A2289" s="5">
        <v>3405700</v>
      </c>
      <c r="B2289" s="1">
        <v>2016</v>
      </c>
      <c r="C2289" s="1" t="s">
        <v>1387</v>
      </c>
      <c r="D2289" s="1" t="s">
        <v>336</v>
      </c>
      <c r="E2289" s="8">
        <v>87044</v>
      </c>
      <c r="F2289" s="5">
        <v>3405700</v>
      </c>
    </row>
    <row r="2290" spans="1:6" x14ac:dyDescent="0.25">
      <c r="A2290" s="5">
        <v>3405700</v>
      </c>
      <c r="B2290" s="1">
        <v>2017</v>
      </c>
      <c r="C2290" s="1" t="s">
        <v>1387</v>
      </c>
      <c r="D2290" s="1" t="s">
        <v>336</v>
      </c>
      <c r="E2290" s="8">
        <v>143824</v>
      </c>
      <c r="F2290" s="5">
        <v>3405700</v>
      </c>
    </row>
    <row r="2291" spans="1:6" x14ac:dyDescent="0.25">
      <c r="A2291" s="5">
        <v>3405700</v>
      </c>
      <c r="B2291" s="1">
        <v>2018</v>
      </c>
      <c r="C2291" s="1" t="s">
        <v>1387</v>
      </c>
      <c r="D2291" s="1" t="s">
        <v>1029</v>
      </c>
      <c r="E2291" s="8">
        <v>195140</v>
      </c>
      <c r="F2291" s="5">
        <v>3405700</v>
      </c>
    </row>
    <row r="2292" spans="1:6" x14ac:dyDescent="0.25">
      <c r="A2292" s="5">
        <v>3405700</v>
      </c>
      <c r="B2292" s="1">
        <v>2019</v>
      </c>
      <c r="C2292" s="1" t="s">
        <v>1387</v>
      </c>
      <c r="D2292" s="1" t="s">
        <v>1029</v>
      </c>
      <c r="E2292" s="8">
        <v>246175</v>
      </c>
      <c r="F2292" s="5">
        <v>3405700</v>
      </c>
    </row>
    <row r="2293" spans="1:6" ht="20" x14ac:dyDescent="0.25">
      <c r="A2293" s="5">
        <v>3405700</v>
      </c>
      <c r="B2293" s="1">
        <v>2020</v>
      </c>
      <c r="C2293" s="1" t="s">
        <v>1387</v>
      </c>
      <c r="D2293" s="2" t="s">
        <v>1029</v>
      </c>
      <c r="E2293" s="7">
        <v>272104</v>
      </c>
      <c r="F2293" s="5">
        <v>3405700</v>
      </c>
    </row>
    <row r="2294" spans="1:6" ht="20" x14ac:dyDescent="0.25">
      <c r="A2294" s="5">
        <v>3405700</v>
      </c>
      <c r="B2294" s="1">
        <v>2021</v>
      </c>
      <c r="C2294" s="1" t="s">
        <v>1387</v>
      </c>
      <c r="D2294" s="3" t="s">
        <v>1029</v>
      </c>
      <c r="E2294" s="7">
        <v>325568</v>
      </c>
      <c r="F2294" s="5">
        <v>3405700</v>
      </c>
    </row>
    <row r="2295" spans="1:6" ht="20" x14ac:dyDescent="0.25">
      <c r="A2295" s="5">
        <v>3405700</v>
      </c>
      <c r="B2295" s="1">
        <v>2022</v>
      </c>
      <c r="C2295" s="1" t="s">
        <v>1387</v>
      </c>
      <c r="D2295" s="2" t="s">
        <v>1029</v>
      </c>
      <c r="E2295" s="7">
        <v>466969</v>
      </c>
      <c r="F2295" s="5">
        <v>3405700</v>
      </c>
    </row>
    <row r="2296" spans="1:6" ht="20" x14ac:dyDescent="0.25">
      <c r="A2296" s="5">
        <v>3405700</v>
      </c>
      <c r="B2296" s="1">
        <v>2023</v>
      </c>
      <c r="C2296" s="1" t="s">
        <v>1387</v>
      </c>
      <c r="D2296" s="2" t="s">
        <v>1029</v>
      </c>
      <c r="E2296" s="7">
        <v>412575</v>
      </c>
      <c r="F2296" s="5">
        <v>3405700</v>
      </c>
    </row>
    <row r="2297" spans="1:6" x14ac:dyDescent="0.25">
      <c r="A2297" s="5">
        <v>3405730</v>
      </c>
      <c r="B2297" s="1">
        <v>2015</v>
      </c>
      <c r="C2297" s="1" t="s">
        <v>1387</v>
      </c>
      <c r="D2297" s="1" t="s">
        <v>12</v>
      </c>
      <c r="E2297" s="8">
        <v>1282671</v>
      </c>
      <c r="F2297" s="5">
        <v>3405730</v>
      </c>
    </row>
    <row r="2298" spans="1:6" x14ac:dyDescent="0.25">
      <c r="A2298" s="5">
        <v>3405730</v>
      </c>
      <c r="B2298" s="1">
        <v>2016</v>
      </c>
      <c r="C2298" s="1" t="s">
        <v>1387</v>
      </c>
      <c r="D2298" s="1" t="s">
        <v>12</v>
      </c>
      <c r="E2298" s="8">
        <v>1928580</v>
      </c>
      <c r="F2298" s="5">
        <v>3405730</v>
      </c>
    </row>
    <row r="2299" spans="1:6" x14ac:dyDescent="0.25">
      <c r="A2299" s="5">
        <v>3405730</v>
      </c>
      <c r="B2299" s="1">
        <v>2017</v>
      </c>
      <c r="C2299" s="1" t="s">
        <v>1387</v>
      </c>
      <c r="D2299" s="1" t="s">
        <v>12</v>
      </c>
      <c r="E2299" s="8">
        <v>2737939</v>
      </c>
      <c r="F2299" s="5">
        <v>3405730</v>
      </c>
    </row>
    <row r="2300" spans="1:6" x14ac:dyDescent="0.25">
      <c r="A2300" s="5">
        <v>3405730</v>
      </c>
      <c r="B2300" s="1">
        <v>2018</v>
      </c>
      <c r="C2300" s="1" t="s">
        <v>1387</v>
      </c>
      <c r="D2300" s="1" t="s">
        <v>691</v>
      </c>
      <c r="E2300" s="8">
        <v>3585815</v>
      </c>
      <c r="F2300" s="5">
        <v>3405730</v>
      </c>
    </row>
    <row r="2301" spans="1:6" x14ac:dyDescent="0.25">
      <c r="A2301" s="5">
        <v>3405730</v>
      </c>
      <c r="B2301" s="1">
        <v>2019</v>
      </c>
      <c r="C2301" s="1" t="s">
        <v>1387</v>
      </c>
      <c r="D2301" s="1" t="s">
        <v>691</v>
      </c>
      <c r="E2301" s="8">
        <v>5013462</v>
      </c>
      <c r="F2301" s="5">
        <v>3405730</v>
      </c>
    </row>
    <row r="2302" spans="1:6" ht="20" x14ac:dyDescent="0.25">
      <c r="A2302" s="5">
        <v>3405730</v>
      </c>
      <c r="B2302" s="1">
        <v>2020</v>
      </c>
      <c r="C2302" s="1" t="s">
        <v>1387</v>
      </c>
      <c r="D2302" s="2" t="s">
        <v>691</v>
      </c>
      <c r="E2302" s="7">
        <v>5552154</v>
      </c>
      <c r="F2302" s="5">
        <v>3405730</v>
      </c>
    </row>
    <row r="2303" spans="1:6" ht="20" x14ac:dyDescent="0.25">
      <c r="A2303" s="5">
        <v>3405730</v>
      </c>
      <c r="B2303" s="1">
        <v>2021</v>
      </c>
      <c r="C2303" s="1" t="s">
        <v>1387</v>
      </c>
      <c r="D2303" s="3" t="s">
        <v>691</v>
      </c>
      <c r="E2303" s="7">
        <v>7335756</v>
      </c>
      <c r="F2303" s="5">
        <v>3405730</v>
      </c>
    </row>
    <row r="2304" spans="1:6" ht="20" x14ac:dyDescent="0.25">
      <c r="A2304" s="5">
        <v>3405730</v>
      </c>
      <c r="B2304" s="1">
        <v>2022</v>
      </c>
      <c r="C2304" s="1" t="s">
        <v>1387</v>
      </c>
      <c r="D2304" s="2" t="s">
        <v>691</v>
      </c>
      <c r="E2304" s="7">
        <v>10346864</v>
      </c>
      <c r="F2304" s="5">
        <v>3405730</v>
      </c>
    </row>
    <row r="2305" spans="1:6" ht="20" x14ac:dyDescent="0.25">
      <c r="A2305" s="5">
        <v>3405730</v>
      </c>
      <c r="B2305" s="1">
        <v>2023</v>
      </c>
      <c r="C2305" s="1" t="s">
        <v>1387</v>
      </c>
      <c r="D2305" s="2" t="s">
        <v>691</v>
      </c>
      <c r="E2305" s="7">
        <v>10234865</v>
      </c>
      <c r="F2305" s="5">
        <v>3405730</v>
      </c>
    </row>
    <row r="2306" spans="1:6" x14ac:dyDescent="0.25">
      <c r="A2306" s="5">
        <v>3405760</v>
      </c>
      <c r="B2306" s="1">
        <v>2015</v>
      </c>
      <c r="C2306" s="1" t="s">
        <v>1387</v>
      </c>
      <c r="D2306" s="1" t="s">
        <v>52</v>
      </c>
      <c r="E2306" s="8">
        <v>2006958</v>
      </c>
      <c r="F2306" s="5">
        <v>3405760</v>
      </c>
    </row>
    <row r="2307" spans="1:6" x14ac:dyDescent="0.25">
      <c r="A2307" s="5">
        <v>3405760</v>
      </c>
      <c r="B2307" s="1">
        <v>2016</v>
      </c>
      <c r="C2307" s="1" t="s">
        <v>1387</v>
      </c>
      <c r="D2307" s="1" t="s">
        <v>52</v>
      </c>
      <c r="E2307" s="8">
        <v>3162665</v>
      </c>
      <c r="F2307" s="5">
        <v>3405760</v>
      </c>
    </row>
    <row r="2308" spans="1:6" x14ac:dyDescent="0.25">
      <c r="A2308" s="5">
        <v>3405760</v>
      </c>
      <c r="B2308" s="1">
        <v>2017</v>
      </c>
      <c r="C2308" s="1" t="s">
        <v>1387</v>
      </c>
      <c r="D2308" s="1" t="s">
        <v>52</v>
      </c>
      <c r="E2308" s="8">
        <v>4291521</v>
      </c>
      <c r="F2308" s="5">
        <v>3405760</v>
      </c>
    </row>
    <row r="2309" spans="1:6" x14ac:dyDescent="0.25">
      <c r="A2309" s="5">
        <v>3405760</v>
      </c>
      <c r="B2309" s="1">
        <v>2018</v>
      </c>
      <c r="C2309" s="1" t="s">
        <v>1387</v>
      </c>
      <c r="D2309" s="1" t="s">
        <v>730</v>
      </c>
      <c r="E2309" s="8">
        <v>5885572</v>
      </c>
      <c r="F2309" s="5">
        <v>3405760</v>
      </c>
    </row>
    <row r="2310" spans="1:6" x14ac:dyDescent="0.25">
      <c r="A2310" s="5">
        <v>3405760</v>
      </c>
      <c r="B2310" s="1">
        <v>2019</v>
      </c>
      <c r="C2310" s="1" t="s">
        <v>1387</v>
      </c>
      <c r="D2310" s="1" t="s">
        <v>730</v>
      </c>
      <c r="E2310" s="8">
        <v>7864974</v>
      </c>
      <c r="F2310" s="5">
        <v>3405760</v>
      </c>
    </row>
    <row r="2311" spans="1:6" ht="20" x14ac:dyDescent="0.25">
      <c r="A2311" s="5">
        <v>3405760</v>
      </c>
      <c r="B2311" s="1">
        <v>2020</v>
      </c>
      <c r="C2311" s="1" t="s">
        <v>1387</v>
      </c>
      <c r="D2311" s="2" t="s">
        <v>730</v>
      </c>
      <c r="E2311" s="7">
        <v>8811144</v>
      </c>
      <c r="F2311" s="5">
        <v>3405760</v>
      </c>
    </row>
    <row r="2312" spans="1:6" ht="20" x14ac:dyDescent="0.25">
      <c r="A2312" s="5">
        <v>3405760</v>
      </c>
      <c r="B2312" s="1">
        <v>2021</v>
      </c>
      <c r="C2312" s="1" t="s">
        <v>1387</v>
      </c>
      <c r="D2312" s="3" t="s">
        <v>730</v>
      </c>
      <c r="E2312" s="7">
        <v>11608389</v>
      </c>
      <c r="F2312" s="5">
        <v>3405760</v>
      </c>
    </row>
    <row r="2313" spans="1:6" ht="20" x14ac:dyDescent="0.25">
      <c r="A2313" s="5">
        <v>3405760</v>
      </c>
      <c r="B2313" s="1">
        <v>2022</v>
      </c>
      <c r="C2313" s="1" t="s">
        <v>1387</v>
      </c>
      <c r="D2313" s="2" t="s">
        <v>730</v>
      </c>
      <c r="E2313" s="7">
        <v>16223550</v>
      </c>
      <c r="F2313" s="5">
        <v>3405760</v>
      </c>
    </row>
    <row r="2314" spans="1:6" ht="20" x14ac:dyDescent="0.25">
      <c r="A2314" s="5">
        <v>3405760</v>
      </c>
      <c r="B2314" s="1">
        <v>2023</v>
      </c>
      <c r="C2314" s="1" t="s">
        <v>1387</v>
      </c>
      <c r="D2314" s="2" t="s">
        <v>730</v>
      </c>
      <c r="E2314" s="7">
        <v>16089383</v>
      </c>
      <c r="F2314" s="5">
        <v>3405760</v>
      </c>
    </row>
    <row r="2315" spans="1:6" x14ac:dyDescent="0.25">
      <c r="A2315" s="5">
        <v>3405790</v>
      </c>
      <c r="B2315" s="1">
        <v>2015</v>
      </c>
      <c r="C2315" s="1" t="s">
        <v>1387</v>
      </c>
      <c r="D2315" s="1" t="s">
        <v>617</v>
      </c>
      <c r="E2315" s="8">
        <v>121044</v>
      </c>
      <c r="F2315" s="5">
        <v>3405790</v>
      </c>
    </row>
    <row r="2316" spans="1:6" x14ac:dyDescent="0.25">
      <c r="A2316" s="5">
        <v>3405790</v>
      </c>
      <c r="B2316" s="1">
        <v>2016</v>
      </c>
      <c r="C2316" s="1" t="s">
        <v>1387</v>
      </c>
      <c r="D2316" s="1" t="s">
        <v>617</v>
      </c>
      <c r="E2316" s="8">
        <v>170289</v>
      </c>
      <c r="F2316" s="5">
        <v>3405790</v>
      </c>
    </row>
    <row r="2317" spans="1:6" x14ac:dyDescent="0.25">
      <c r="A2317" s="5">
        <v>3405790</v>
      </c>
      <c r="B2317" s="1">
        <v>2017</v>
      </c>
      <c r="C2317" s="1" t="s">
        <v>1387</v>
      </c>
      <c r="D2317" s="1" t="s">
        <v>617</v>
      </c>
      <c r="E2317" s="8">
        <v>252912</v>
      </c>
      <c r="F2317" s="5">
        <v>3405790</v>
      </c>
    </row>
    <row r="2318" spans="1:6" x14ac:dyDescent="0.25">
      <c r="A2318" s="5">
        <v>3405790</v>
      </c>
      <c r="B2318" s="1">
        <v>2018</v>
      </c>
      <c r="C2318" s="1" t="s">
        <v>1387</v>
      </c>
      <c r="D2318" s="1" t="s">
        <v>1310</v>
      </c>
      <c r="E2318" s="8">
        <v>356014</v>
      </c>
      <c r="F2318" s="5">
        <v>3405790</v>
      </c>
    </row>
    <row r="2319" spans="1:6" x14ac:dyDescent="0.25">
      <c r="A2319" s="5">
        <v>3405790</v>
      </c>
      <c r="B2319" s="1">
        <v>2019</v>
      </c>
      <c r="C2319" s="1" t="s">
        <v>1387</v>
      </c>
      <c r="D2319" s="1" t="s">
        <v>1310</v>
      </c>
      <c r="E2319" s="8">
        <v>484730</v>
      </c>
      <c r="F2319" s="5">
        <v>3405790</v>
      </c>
    </row>
    <row r="2320" spans="1:6" ht="20" x14ac:dyDescent="0.25">
      <c r="A2320" s="5">
        <v>3405790</v>
      </c>
      <c r="B2320" s="1">
        <v>2020</v>
      </c>
      <c r="C2320" s="1" t="s">
        <v>1387</v>
      </c>
      <c r="D2320" s="2" t="s">
        <v>1310</v>
      </c>
      <c r="E2320" s="7">
        <v>525973</v>
      </c>
      <c r="F2320" s="5">
        <v>3405790</v>
      </c>
    </row>
    <row r="2321" spans="1:6" ht="20" x14ac:dyDescent="0.25">
      <c r="A2321" s="5">
        <v>3405790</v>
      </c>
      <c r="B2321" s="1">
        <v>2021</v>
      </c>
      <c r="C2321" s="1" t="s">
        <v>1387</v>
      </c>
      <c r="D2321" s="3" t="s">
        <v>1310</v>
      </c>
      <c r="E2321" s="7">
        <v>686620</v>
      </c>
      <c r="F2321" s="5">
        <v>3405790</v>
      </c>
    </row>
    <row r="2322" spans="1:6" ht="20" x14ac:dyDescent="0.25">
      <c r="A2322" s="5">
        <v>3405790</v>
      </c>
      <c r="B2322" s="1">
        <v>2022</v>
      </c>
      <c r="C2322" s="1" t="s">
        <v>1387</v>
      </c>
      <c r="D2322" s="2" t="s">
        <v>1310</v>
      </c>
      <c r="E2322" s="7">
        <v>944886</v>
      </c>
      <c r="F2322" s="5">
        <v>3405790</v>
      </c>
    </row>
    <row r="2323" spans="1:6" ht="20" x14ac:dyDescent="0.25">
      <c r="A2323" s="5">
        <v>3405790</v>
      </c>
      <c r="B2323" s="1">
        <v>2023</v>
      </c>
      <c r="C2323" s="1" t="s">
        <v>1387</v>
      </c>
      <c r="D2323" s="2" t="s">
        <v>1310</v>
      </c>
      <c r="E2323" s="7">
        <v>988008</v>
      </c>
      <c r="F2323" s="5">
        <v>3405790</v>
      </c>
    </row>
    <row r="2324" spans="1:6" x14ac:dyDescent="0.25">
      <c r="A2324" s="5">
        <v>3405820</v>
      </c>
      <c r="B2324" s="1">
        <v>2015</v>
      </c>
      <c r="C2324" s="1" t="s">
        <v>1387</v>
      </c>
      <c r="D2324" s="1" t="s">
        <v>280</v>
      </c>
      <c r="E2324" s="8">
        <v>411342</v>
      </c>
      <c r="F2324" s="5">
        <v>3405820</v>
      </c>
    </row>
    <row r="2325" spans="1:6" x14ac:dyDescent="0.25">
      <c r="A2325" s="5">
        <v>3405820</v>
      </c>
      <c r="B2325" s="1">
        <v>2016</v>
      </c>
      <c r="C2325" s="1" t="s">
        <v>1387</v>
      </c>
      <c r="D2325" s="1" t="s">
        <v>280</v>
      </c>
      <c r="E2325" s="8">
        <v>628967</v>
      </c>
      <c r="F2325" s="5">
        <v>3405820</v>
      </c>
    </row>
    <row r="2326" spans="1:6" x14ac:dyDescent="0.25">
      <c r="A2326" s="5">
        <v>3405820</v>
      </c>
      <c r="B2326" s="1">
        <v>2017</v>
      </c>
      <c r="C2326" s="1" t="s">
        <v>1387</v>
      </c>
      <c r="D2326" s="1" t="s">
        <v>280</v>
      </c>
      <c r="E2326" s="8">
        <v>895428</v>
      </c>
      <c r="F2326" s="5">
        <v>3405820</v>
      </c>
    </row>
    <row r="2327" spans="1:6" x14ac:dyDescent="0.25">
      <c r="A2327" s="5">
        <v>3405820</v>
      </c>
      <c r="B2327" s="1">
        <v>2018</v>
      </c>
      <c r="C2327" s="1" t="s">
        <v>1387</v>
      </c>
      <c r="D2327" s="1" t="s">
        <v>970</v>
      </c>
      <c r="E2327" s="8">
        <v>1189307</v>
      </c>
      <c r="F2327" s="5">
        <v>3405820</v>
      </c>
    </row>
    <row r="2328" spans="1:6" x14ac:dyDescent="0.25">
      <c r="A2328" s="5">
        <v>3405820</v>
      </c>
      <c r="B2328" s="1">
        <v>2019</v>
      </c>
      <c r="C2328" s="1" t="s">
        <v>1387</v>
      </c>
      <c r="D2328" s="1" t="s">
        <v>970</v>
      </c>
      <c r="E2328" s="8">
        <v>1645448</v>
      </c>
      <c r="F2328" s="5">
        <v>3405820</v>
      </c>
    </row>
    <row r="2329" spans="1:6" ht="20" x14ac:dyDescent="0.25">
      <c r="A2329" s="5">
        <v>3405820</v>
      </c>
      <c r="B2329" s="1">
        <v>2020</v>
      </c>
      <c r="C2329" s="1" t="s">
        <v>1387</v>
      </c>
      <c r="D2329" s="2" t="s">
        <v>970</v>
      </c>
      <c r="E2329" s="7">
        <v>1840148</v>
      </c>
      <c r="F2329" s="5">
        <v>3405820</v>
      </c>
    </row>
    <row r="2330" spans="1:6" ht="20" x14ac:dyDescent="0.25">
      <c r="A2330" s="5">
        <v>3405820</v>
      </c>
      <c r="B2330" s="1">
        <v>2021</v>
      </c>
      <c r="C2330" s="1" t="s">
        <v>1387</v>
      </c>
      <c r="D2330" s="3" t="s">
        <v>970</v>
      </c>
      <c r="E2330" s="7">
        <v>2429260</v>
      </c>
      <c r="F2330" s="5">
        <v>3405820</v>
      </c>
    </row>
    <row r="2331" spans="1:6" ht="20" x14ac:dyDescent="0.25">
      <c r="A2331" s="5">
        <v>3405820</v>
      </c>
      <c r="B2331" s="1">
        <v>2022</v>
      </c>
      <c r="C2331" s="1" t="s">
        <v>1387</v>
      </c>
      <c r="D2331" s="2" t="s">
        <v>970</v>
      </c>
      <c r="E2331" s="7">
        <v>3409987</v>
      </c>
      <c r="F2331" s="5">
        <v>3405820</v>
      </c>
    </row>
    <row r="2332" spans="1:6" ht="20" x14ac:dyDescent="0.25">
      <c r="A2332" s="5">
        <v>3405820</v>
      </c>
      <c r="B2332" s="1">
        <v>2023</v>
      </c>
      <c r="C2332" s="1" t="s">
        <v>1387</v>
      </c>
      <c r="D2332" s="2" t="s">
        <v>970</v>
      </c>
      <c r="E2332" s="7">
        <v>3394857</v>
      </c>
      <c r="F2332" s="5">
        <v>3405820</v>
      </c>
    </row>
    <row r="2333" spans="1:6" x14ac:dyDescent="0.25">
      <c r="A2333" s="5">
        <v>3405850</v>
      </c>
      <c r="B2333" s="1">
        <v>2015</v>
      </c>
      <c r="C2333" s="1" t="s">
        <v>1387</v>
      </c>
      <c r="D2333" s="1" t="s">
        <v>169</v>
      </c>
      <c r="E2333" s="8">
        <v>89761</v>
      </c>
      <c r="F2333" s="5">
        <v>3405850</v>
      </c>
    </row>
    <row r="2334" spans="1:6" x14ac:dyDescent="0.25">
      <c r="A2334" s="5">
        <v>3405850</v>
      </c>
      <c r="B2334" s="1">
        <v>2016</v>
      </c>
      <c r="C2334" s="1" t="s">
        <v>1387</v>
      </c>
      <c r="D2334" s="1" t="s">
        <v>169</v>
      </c>
      <c r="E2334" s="8">
        <v>137862</v>
      </c>
      <c r="F2334" s="5">
        <v>3405850</v>
      </c>
    </row>
    <row r="2335" spans="1:6" x14ac:dyDescent="0.25">
      <c r="A2335" s="5">
        <v>3405850</v>
      </c>
      <c r="B2335" s="1">
        <v>2017</v>
      </c>
      <c r="C2335" s="1" t="s">
        <v>1387</v>
      </c>
      <c r="D2335" s="1" t="s">
        <v>169</v>
      </c>
      <c r="E2335" s="8">
        <v>200432</v>
      </c>
      <c r="F2335" s="5">
        <v>3405850</v>
      </c>
    </row>
    <row r="2336" spans="1:6" x14ac:dyDescent="0.25">
      <c r="A2336" s="5">
        <v>3405850</v>
      </c>
      <c r="B2336" s="1">
        <v>2018</v>
      </c>
      <c r="C2336" s="1" t="s">
        <v>1387</v>
      </c>
      <c r="D2336" s="1" t="s">
        <v>852</v>
      </c>
      <c r="E2336" s="8">
        <v>287379</v>
      </c>
      <c r="F2336" s="5">
        <v>3405850</v>
      </c>
    </row>
    <row r="2337" spans="1:6" x14ac:dyDescent="0.25">
      <c r="A2337" s="5">
        <v>3405850</v>
      </c>
      <c r="B2337" s="1">
        <v>2019</v>
      </c>
      <c r="C2337" s="1" t="s">
        <v>1387</v>
      </c>
      <c r="D2337" s="1" t="s">
        <v>852</v>
      </c>
      <c r="E2337" s="8">
        <v>361339</v>
      </c>
      <c r="F2337" s="5">
        <v>3405850</v>
      </c>
    </row>
    <row r="2338" spans="1:6" ht="20" x14ac:dyDescent="0.25">
      <c r="A2338" s="5">
        <v>3405850</v>
      </c>
      <c r="B2338" s="1">
        <v>2020</v>
      </c>
      <c r="C2338" s="1" t="s">
        <v>1387</v>
      </c>
      <c r="D2338" s="2" t="s">
        <v>852</v>
      </c>
      <c r="E2338" s="7">
        <v>432432</v>
      </c>
      <c r="F2338" s="5">
        <v>3405850</v>
      </c>
    </row>
    <row r="2339" spans="1:6" ht="20" x14ac:dyDescent="0.25">
      <c r="A2339" s="5">
        <v>3405850</v>
      </c>
      <c r="B2339" s="1">
        <v>2021</v>
      </c>
      <c r="C2339" s="1" t="s">
        <v>1387</v>
      </c>
      <c r="D2339" s="3" t="s">
        <v>852</v>
      </c>
      <c r="E2339" s="7">
        <v>582675</v>
      </c>
      <c r="F2339" s="5">
        <v>3405850</v>
      </c>
    </row>
    <row r="2340" spans="1:6" ht="20" x14ac:dyDescent="0.25">
      <c r="A2340" s="5">
        <v>3405850</v>
      </c>
      <c r="B2340" s="1">
        <v>2022</v>
      </c>
      <c r="C2340" s="1" t="s">
        <v>1387</v>
      </c>
      <c r="D2340" s="2" t="s">
        <v>852</v>
      </c>
      <c r="E2340" s="7">
        <v>840020</v>
      </c>
      <c r="F2340" s="5">
        <v>3405850</v>
      </c>
    </row>
    <row r="2341" spans="1:6" ht="20" x14ac:dyDescent="0.25">
      <c r="A2341" s="5">
        <v>3405850</v>
      </c>
      <c r="B2341" s="1">
        <v>2023</v>
      </c>
      <c r="C2341" s="1" t="s">
        <v>1387</v>
      </c>
      <c r="D2341" s="2" t="s">
        <v>852</v>
      </c>
      <c r="E2341" s="7">
        <v>858933</v>
      </c>
      <c r="F2341" s="5">
        <v>3405850</v>
      </c>
    </row>
    <row r="2342" spans="1:6" x14ac:dyDescent="0.25">
      <c r="A2342" s="5">
        <v>3405880</v>
      </c>
      <c r="B2342" s="1">
        <v>2015</v>
      </c>
      <c r="C2342" s="1" t="s">
        <v>1387</v>
      </c>
      <c r="D2342" s="1" t="s">
        <v>281</v>
      </c>
      <c r="E2342" s="8">
        <v>800169</v>
      </c>
      <c r="F2342" s="5">
        <v>3405880</v>
      </c>
    </row>
    <row r="2343" spans="1:6" x14ac:dyDescent="0.25">
      <c r="A2343" s="5">
        <v>3405880</v>
      </c>
      <c r="B2343" s="1">
        <v>2016</v>
      </c>
      <c r="C2343" s="1" t="s">
        <v>1387</v>
      </c>
      <c r="D2343" s="1" t="s">
        <v>281</v>
      </c>
      <c r="E2343" s="8">
        <v>1227532</v>
      </c>
      <c r="F2343" s="5">
        <v>3405880</v>
      </c>
    </row>
    <row r="2344" spans="1:6" x14ac:dyDescent="0.25">
      <c r="A2344" s="5">
        <v>3405880</v>
      </c>
      <c r="B2344" s="1">
        <v>2017</v>
      </c>
      <c r="C2344" s="1" t="s">
        <v>1387</v>
      </c>
      <c r="D2344" s="1" t="s">
        <v>281</v>
      </c>
      <c r="E2344" s="8">
        <v>1688910</v>
      </c>
      <c r="F2344" s="5">
        <v>3405880</v>
      </c>
    </row>
    <row r="2345" spans="1:6" x14ac:dyDescent="0.25">
      <c r="A2345" s="5">
        <v>3405880</v>
      </c>
      <c r="B2345" s="1">
        <v>2018</v>
      </c>
      <c r="C2345" s="1" t="s">
        <v>1387</v>
      </c>
      <c r="D2345" s="1" t="s">
        <v>971</v>
      </c>
      <c r="E2345" s="8">
        <v>2305435</v>
      </c>
      <c r="F2345" s="5">
        <v>3405880</v>
      </c>
    </row>
    <row r="2346" spans="1:6" x14ac:dyDescent="0.25">
      <c r="A2346" s="5">
        <v>3405880</v>
      </c>
      <c r="B2346" s="1">
        <v>2019</v>
      </c>
      <c r="C2346" s="1" t="s">
        <v>1387</v>
      </c>
      <c r="D2346" s="1" t="s">
        <v>971</v>
      </c>
      <c r="E2346" s="8">
        <v>2975400</v>
      </c>
      <c r="F2346" s="5">
        <v>3405880</v>
      </c>
    </row>
    <row r="2347" spans="1:6" ht="20" x14ac:dyDescent="0.25">
      <c r="A2347" s="5">
        <v>3405880</v>
      </c>
      <c r="B2347" s="1">
        <v>2020</v>
      </c>
      <c r="C2347" s="1" t="s">
        <v>1387</v>
      </c>
      <c r="D2347" s="2" t="s">
        <v>971</v>
      </c>
      <c r="E2347" s="7">
        <v>3325752</v>
      </c>
      <c r="F2347" s="5">
        <v>3405880</v>
      </c>
    </row>
    <row r="2348" spans="1:6" ht="20" x14ac:dyDescent="0.25">
      <c r="A2348" s="5">
        <v>3405880</v>
      </c>
      <c r="B2348" s="1">
        <v>2021</v>
      </c>
      <c r="C2348" s="1" t="s">
        <v>1387</v>
      </c>
      <c r="D2348" s="3" t="s">
        <v>971</v>
      </c>
      <c r="E2348" s="7">
        <v>4087741</v>
      </c>
      <c r="F2348" s="5">
        <v>3405880</v>
      </c>
    </row>
    <row r="2349" spans="1:6" ht="20" x14ac:dyDescent="0.25">
      <c r="A2349" s="5">
        <v>3405880</v>
      </c>
      <c r="B2349" s="1">
        <v>2022</v>
      </c>
      <c r="C2349" s="1" t="s">
        <v>1387</v>
      </c>
      <c r="D2349" s="2" t="s">
        <v>971</v>
      </c>
      <c r="E2349" s="7">
        <v>5715451</v>
      </c>
      <c r="F2349" s="5">
        <v>3405880</v>
      </c>
    </row>
    <row r="2350" spans="1:6" ht="20" x14ac:dyDescent="0.25">
      <c r="A2350" s="5">
        <v>3405880</v>
      </c>
      <c r="B2350" s="1">
        <v>2023</v>
      </c>
      <c r="C2350" s="1" t="s">
        <v>1387</v>
      </c>
      <c r="D2350" s="2" t="s">
        <v>971</v>
      </c>
      <c r="E2350" s="7">
        <v>5398214</v>
      </c>
      <c r="F2350" s="5">
        <v>3405880</v>
      </c>
    </row>
    <row r="2351" spans="1:6" x14ac:dyDescent="0.25">
      <c r="A2351" s="5">
        <v>3405940</v>
      </c>
      <c r="B2351" s="1">
        <v>2015</v>
      </c>
      <c r="C2351" s="1" t="s">
        <v>1387</v>
      </c>
      <c r="D2351" s="1" t="s">
        <v>241</v>
      </c>
      <c r="E2351" s="8">
        <v>715250</v>
      </c>
      <c r="F2351" s="5">
        <v>3405940</v>
      </c>
    </row>
    <row r="2352" spans="1:6" x14ac:dyDescent="0.25">
      <c r="A2352" s="5">
        <v>3405940</v>
      </c>
      <c r="B2352" s="1">
        <v>2016</v>
      </c>
      <c r="C2352" s="1" t="s">
        <v>1387</v>
      </c>
      <c r="D2352" s="1" t="s">
        <v>241</v>
      </c>
      <c r="E2352" s="8">
        <v>1053769</v>
      </c>
      <c r="F2352" s="5">
        <v>3405940</v>
      </c>
    </row>
    <row r="2353" spans="1:6" x14ac:dyDescent="0.25">
      <c r="A2353" s="5">
        <v>3405940</v>
      </c>
      <c r="B2353" s="1">
        <v>2017</v>
      </c>
      <c r="C2353" s="1" t="s">
        <v>1387</v>
      </c>
      <c r="D2353" s="1" t="s">
        <v>241</v>
      </c>
      <c r="E2353" s="8">
        <v>1497503</v>
      </c>
      <c r="F2353" s="5">
        <v>3405940</v>
      </c>
    </row>
    <row r="2354" spans="1:6" x14ac:dyDescent="0.25">
      <c r="A2354" s="5">
        <v>3405940</v>
      </c>
      <c r="B2354" s="1">
        <v>2018</v>
      </c>
      <c r="C2354" s="1" t="s">
        <v>1387</v>
      </c>
      <c r="D2354" s="1" t="s">
        <v>927</v>
      </c>
      <c r="E2354" s="8">
        <v>2056654</v>
      </c>
      <c r="F2354" s="5">
        <v>3405940</v>
      </c>
    </row>
    <row r="2355" spans="1:6" x14ac:dyDescent="0.25">
      <c r="A2355" s="5">
        <v>3405940</v>
      </c>
      <c r="B2355" s="1">
        <v>2019</v>
      </c>
      <c r="C2355" s="1" t="s">
        <v>1387</v>
      </c>
      <c r="D2355" s="1" t="s">
        <v>927</v>
      </c>
      <c r="E2355" s="8">
        <v>2749788</v>
      </c>
      <c r="F2355" s="5">
        <v>3405940</v>
      </c>
    </row>
    <row r="2356" spans="1:6" ht="20" x14ac:dyDescent="0.25">
      <c r="A2356" s="5">
        <v>3405940</v>
      </c>
      <c r="B2356" s="1">
        <v>2020</v>
      </c>
      <c r="C2356" s="1" t="s">
        <v>1387</v>
      </c>
      <c r="D2356" s="2" t="s">
        <v>927</v>
      </c>
      <c r="E2356" s="7">
        <v>3151992</v>
      </c>
      <c r="F2356" s="5">
        <v>3405940</v>
      </c>
    </row>
    <row r="2357" spans="1:6" ht="20" x14ac:dyDescent="0.25">
      <c r="A2357" s="5">
        <v>3405940</v>
      </c>
      <c r="B2357" s="1">
        <v>2021</v>
      </c>
      <c r="C2357" s="1" t="s">
        <v>1387</v>
      </c>
      <c r="D2357" s="3" t="s">
        <v>927</v>
      </c>
      <c r="E2357" s="7">
        <v>4064341</v>
      </c>
      <c r="F2357" s="5">
        <v>3405940</v>
      </c>
    </row>
    <row r="2358" spans="1:6" ht="20" x14ac:dyDescent="0.25">
      <c r="A2358" s="5">
        <v>3405940</v>
      </c>
      <c r="B2358" s="1">
        <v>2022</v>
      </c>
      <c r="C2358" s="1" t="s">
        <v>1387</v>
      </c>
      <c r="D2358" s="2" t="s">
        <v>927</v>
      </c>
      <c r="E2358" s="7">
        <v>5715875</v>
      </c>
      <c r="F2358" s="5">
        <v>3405940</v>
      </c>
    </row>
    <row r="2359" spans="1:6" ht="20" x14ac:dyDescent="0.25">
      <c r="A2359" s="5">
        <v>3405940</v>
      </c>
      <c r="B2359" s="1">
        <v>2023</v>
      </c>
      <c r="C2359" s="1" t="s">
        <v>1387</v>
      </c>
      <c r="D2359" s="2" t="s">
        <v>927</v>
      </c>
      <c r="E2359" s="7">
        <v>5679081</v>
      </c>
      <c r="F2359" s="5">
        <v>3405940</v>
      </c>
    </row>
    <row r="2360" spans="1:6" x14ac:dyDescent="0.25">
      <c r="A2360" s="5">
        <v>3405970</v>
      </c>
      <c r="B2360" s="1">
        <v>2015</v>
      </c>
      <c r="C2360" s="1" t="s">
        <v>1387</v>
      </c>
      <c r="D2360" s="1" t="s">
        <v>53</v>
      </c>
      <c r="E2360" s="8">
        <v>996670</v>
      </c>
      <c r="F2360" s="5">
        <v>3405970</v>
      </c>
    </row>
    <row r="2361" spans="1:6" x14ac:dyDescent="0.25">
      <c r="A2361" s="5">
        <v>3405970</v>
      </c>
      <c r="B2361" s="1">
        <v>2016</v>
      </c>
      <c r="C2361" s="1" t="s">
        <v>1387</v>
      </c>
      <c r="D2361" s="1" t="s">
        <v>53</v>
      </c>
      <c r="E2361" s="8">
        <v>1450625</v>
      </c>
      <c r="F2361" s="5">
        <v>3405970</v>
      </c>
    </row>
    <row r="2362" spans="1:6" x14ac:dyDescent="0.25">
      <c r="A2362" s="5">
        <v>3405970</v>
      </c>
      <c r="B2362" s="1">
        <v>2017</v>
      </c>
      <c r="C2362" s="1" t="s">
        <v>1387</v>
      </c>
      <c r="D2362" s="1" t="s">
        <v>53</v>
      </c>
      <c r="E2362" s="8">
        <v>2068371</v>
      </c>
      <c r="F2362" s="5">
        <v>3405970</v>
      </c>
    </row>
    <row r="2363" spans="1:6" x14ac:dyDescent="0.25">
      <c r="A2363" s="5">
        <v>3405970</v>
      </c>
      <c r="B2363" s="1">
        <v>2018</v>
      </c>
      <c r="C2363" s="1" t="s">
        <v>1387</v>
      </c>
      <c r="D2363" s="1" t="s">
        <v>731</v>
      </c>
      <c r="E2363" s="8">
        <v>2870699</v>
      </c>
      <c r="F2363" s="5">
        <v>3405970</v>
      </c>
    </row>
    <row r="2364" spans="1:6" x14ac:dyDescent="0.25">
      <c r="A2364" s="5">
        <v>3405970</v>
      </c>
      <c r="B2364" s="1">
        <v>2019</v>
      </c>
      <c r="C2364" s="1" t="s">
        <v>1387</v>
      </c>
      <c r="D2364" s="1" t="s">
        <v>731</v>
      </c>
      <c r="E2364" s="8">
        <v>3814182</v>
      </c>
      <c r="F2364" s="5">
        <v>3405970</v>
      </c>
    </row>
    <row r="2365" spans="1:6" ht="20" x14ac:dyDescent="0.25">
      <c r="A2365" s="5">
        <v>3405970</v>
      </c>
      <c r="B2365" s="1">
        <v>2020</v>
      </c>
      <c r="C2365" s="1" t="s">
        <v>1387</v>
      </c>
      <c r="D2365" s="2" t="s">
        <v>731</v>
      </c>
      <c r="E2365" s="7">
        <v>4389340</v>
      </c>
      <c r="F2365" s="5">
        <v>3405970</v>
      </c>
    </row>
    <row r="2366" spans="1:6" ht="20" x14ac:dyDescent="0.25">
      <c r="A2366" s="5">
        <v>3405970</v>
      </c>
      <c r="B2366" s="1">
        <v>2021</v>
      </c>
      <c r="C2366" s="1" t="s">
        <v>1387</v>
      </c>
      <c r="D2366" s="3" t="s">
        <v>731</v>
      </c>
      <c r="E2366" s="7">
        <v>5799416</v>
      </c>
      <c r="F2366" s="5">
        <v>3405970</v>
      </c>
    </row>
    <row r="2367" spans="1:6" ht="20" x14ac:dyDescent="0.25">
      <c r="A2367" s="5">
        <v>3405970</v>
      </c>
      <c r="B2367" s="1">
        <v>2022</v>
      </c>
      <c r="C2367" s="1" t="s">
        <v>1387</v>
      </c>
      <c r="D2367" s="2" t="s">
        <v>731</v>
      </c>
      <c r="E2367" s="7">
        <v>8601029</v>
      </c>
      <c r="F2367" s="5">
        <v>3405970</v>
      </c>
    </row>
    <row r="2368" spans="1:6" ht="20" x14ac:dyDescent="0.25">
      <c r="A2368" s="5">
        <v>3405970</v>
      </c>
      <c r="B2368" s="1">
        <v>2023</v>
      </c>
      <c r="C2368" s="1" t="s">
        <v>1387</v>
      </c>
      <c r="D2368" s="2" t="s">
        <v>731</v>
      </c>
      <c r="E2368" s="7">
        <v>8293955</v>
      </c>
      <c r="F2368" s="5">
        <v>3405970</v>
      </c>
    </row>
    <row r="2369" spans="1:6" x14ac:dyDescent="0.25">
      <c r="A2369" s="5">
        <v>3406000</v>
      </c>
      <c r="B2369" s="1">
        <v>2015</v>
      </c>
      <c r="C2369" s="1" t="s">
        <v>1387</v>
      </c>
      <c r="D2369" s="1" t="s">
        <v>170</v>
      </c>
      <c r="E2369" s="8">
        <v>922731</v>
      </c>
      <c r="F2369" s="5">
        <v>3406000</v>
      </c>
    </row>
    <row r="2370" spans="1:6" x14ac:dyDescent="0.25">
      <c r="A2370" s="5">
        <v>3406000</v>
      </c>
      <c r="B2370" s="1">
        <v>2016</v>
      </c>
      <c r="C2370" s="1" t="s">
        <v>1387</v>
      </c>
      <c r="D2370" s="1" t="s">
        <v>170</v>
      </c>
      <c r="E2370" s="8">
        <v>1341373</v>
      </c>
      <c r="F2370" s="5">
        <v>3406000</v>
      </c>
    </row>
    <row r="2371" spans="1:6" x14ac:dyDescent="0.25">
      <c r="A2371" s="5">
        <v>3406000</v>
      </c>
      <c r="B2371" s="1">
        <v>2017</v>
      </c>
      <c r="C2371" s="1" t="s">
        <v>1387</v>
      </c>
      <c r="D2371" s="1" t="s">
        <v>170</v>
      </c>
      <c r="E2371" s="8">
        <v>1886788</v>
      </c>
      <c r="F2371" s="5">
        <v>3406000</v>
      </c>
    </row>
    <row r="2372" spans="1:6" x14ac:dyDescent="0.25">
      <c r="A2372" s="5">
        <v>3406000</v>
      </c>
      <c r="B2372" s="1">
        <v>2018</v>
      </c>
      <c r="C2372" s="1" t="s">
        <v>1387</v>
      </c>
      <c r="D2372" s="1" t="s">
        <v>853</v>
      </c>
      <c r="E2372" s="8">
        <v>2381381</v>
      </c>
      <c r="F2372" s="5">
        <v>3406000</v>
      </c>
    </row>
    <row r="2373" spans="1:6" x14ac:dyDescent="0.25">
      <c r="A2373" s="5">
        <v>3406000</v>
      </c>
      <c r="B2373" s="1">
        <v>2019</v>
      </c>
      <c r="C2373" s="1" t="s">
        <v>1387</v>
      </c>
      <c r="D2373" s="1" t="s">
        <v>853</v>
      </c>
      <c r="E2373" s="8">
        <v>3194519</v>
      </c>
      <c r="F2373" s="5">
        <v>3406000</v>
      </c>
    </row>
    <row r="2374" spans="1:6" ht="20" x14ac:dyDescent="0.25">
      <c r="A2374" s="5">
        <v>3406000</v>
      </c>
      <c r="B2374" s="1">
        <v>2020</v>
      </c>
      <c r="C2374" s="1" t="s">
        <v>1387</v>
      </c>
      <c r="D2374" s="2" t="s">
        <v>853</v>
      </c>
      <c r="E2374" s="7">
        <v>3515823</v>
      </c>
      <c r="F2374" s="5">
        <v>3406000</v>
      </c>
    </row>
    <row r="2375" spans="1:6" ht="20" x14ac:dyDescent="0.25">
      <c r="A2375" s="5">
        <v>3406000</v>
      </c>
      <c r="B2375" s="1">
        <v>2021</v>
      </c>
      <c r="C2375" s="1" t="s">
        <v>1387</v>
      </c>
      <c r="D2375" s="3" t="s">
        <v>853</v>
      </c>
      <c r="E2375" s="7">
        <v>4287782</v>
      </c>
      <c r="F2375" s="5">
        <v>3406000</v>
      </c>
    </row>
    <row r="2376" spans="1:6" ht="20" x14ac:dyDescent="0.25">
      <c r="A2376" s="5">
        <v>3406000</v>
      </c>
      <c r="B2376" s="1">
        <v>2022</v>
      </c>
      <c r="C2376" s="1" t="s">
        <v>1387</v>
      </c>
      <c r="D2376" s="2" t="s">
        <v>853</v>
      </c>
      <c r="E2376" s="7">
        <v>6080429</v>
      </c>
      <c r="F2376" s="5">
        <v>3406000</v>
      </c>
    </row>
    <row r="2377" spans="1:6" ht="20" x14ac:dyDescent="0.25">
      <c r="A2377" s="5">
        <v>3406000</v>
      </c>
      <c r="B2377" s="1">
        <v>2023</v>
      </c>
      <c r="C2377" s="1" t="s">
        <v>1387</v>
      </c>
      <c r="D2377" s="2" t="s">
        <v>853</v>
      </c>
      <c r="E2377" s="7">
        <v>5955081</v>
      </c>
      <c r="F2377" s="5">
        <v>3406000</v>
      </c>
    </row>
    <row r="2378" spans="1:6" x14ac:dyDescent="0.25">
      <c r="A2378" s="5">
        <v>3406030</v>
      </c>
      <c r="B2378" s="1">
        <v>2015</v>
      </c>
      <c r="C2378" s="1" t="s">
        <v>1387</v>
      </c>
      <c r="D2378" s="1" t="s">
        <v>171</v>
      </c>
      <c r="E2378" s="8">
        <v>2405496</v>
      </c>
      <c r="F2378" s="5">
        <v>3406030</v>
      </c>
    </row>
    <row r="2379" spans="1:6" x14ac:dyDescent="0.25">
      <c r="A2379" s="5">
        <v>3406030</v>
      </c>
      <c r="B2379" s="1">
        <v>2016</v>
      </c>
      <c r="C2379" s="1" t="s">
        <v>1387</v>
      </c>
      <c r="D2379" s="1" t="s">
        <v>171</v>
      </c>
      <c r="E2379" s="8">
        <v>3636884</v>
      </c>
      <c r="F2379" s="5">
        <v>3406030</v>
      </c>
    </row>
    <row r="2380" spans="1:6" x14ac:dyDescent="0.25">
      <c r="A2380" s="5">
        <v>3406030</v>
      </c>
      <c r="B2380" s="1">
        <v>2017</v>
      </c>
      <c r="C2380" s="1" t="s">
        <v>1387</v>
      </c>
      <c r="D2380" s="1" t="s">
        <v>171</v>
      </c>
      <c r="E2380" s="8">
        <v>5059790</v>
      </c>
      <c r="F2380" s="5">
        <v>3406030</v>
      </c>
    </row>
    <row r="2381" spans="1:6" x14ac:dyDescent="0.25">
      <c r="A2381" s="5">
        <v>3406030</v>
      </c>
      <c r="B2381" s="1">
        <v>2018</v>
      </c>
      <c r="C2381" s="1" t="s">
        <v>1387</v>
      </c>
      <c r="D2381" s="1" t="s">
        <v>854</v>
      </c>
      <c r="E2381" s="8">
        <v>6788426</v>
      </c>
      <c r="F2381" s="5">
        <v>3406030</v>
      </c>
    </row>
    <row r="2382" spans="1:6" x14ac:dyDescent="0.25">
      <c r="A2382" s="5">
        <v>3406030</v>
      </c>
      <c r="B2382" s="1">
        <v>2019</v>
      </c>
      <c r="C2382" s="1" t="s">
        <v>1387</v>
      </c>
      <c r="D2382" s="1" t="s">
        <v>854</v>
      </c>
      <c r="E2382" s="8">
        <v>9215649</v>
      </c>
      <c r="F2382" s="5">
        <v>3406030</v>
      </c>
    </row>
    <row r="2383" spans="1:6" ht="20" x14ac:dyDescent="0.25">
      <c r="A2383" s="5">
        <v>3406030</v>
      </c>
      <c r="B2383" s="1">
        <v>2020</v>
      </c>
      <c r="C2383" s="1" t="s">
        <v>1387</v>
      </c>
      <c r="D2383" s="2" t="s">
        <v>854</v>
      </c>
      <c r="E2383" s="7">
        <v>10285976</v>
      </c>
      <c r="F2383" s="5">
        <v>3406030</v>
      </c>
    </row>
    <row r="2384" spans="1:6" ht="20" x14ac:dyDescent="0.25">
      <c r="A2384" s="5">
        <v>3406030</v>
      </c>
      <c r="B2384" s="1">
        <v>2021</v>
      </c>
      <c r="C2384" s="1" t="s">
        <v>1387</v>
      </c>
      <c r="D2384" s="3" t="s">
        <v>854</v>
      </c>
      <c r="E2384" s="7">
        <v>13150382</v>
      </c>
      <c r="F2384" s="5">
        <v>3406030</v>
      </c>
    </row>
    <row r="2385" spans="1:6" ht="20" x14ac:dyDescent="0.25">
      <c r="A2385" s="5">
        <v>3406030</v>
      </c>
      <c r="B2385" s="1">
        <v>2022</v>
      </c>
      <c r="C2385" s="1" t="s">
        <v>1387</v>
      </c>
      <c r="D2385" s="2" t="s">
        <v>854</v>
      </c>
      <c r="E2385" s="7">
        <v>18814908</v>
      </c>
      <c r="F2385" s="5">
        <v>3406030</v>
      </c>
    </row>
    <row r="2386" spans="1:6" ht="20" x14ac:dyDescent="0.25">
      <c r="A2386" s="5">
        <v>3406030</v>
      </c>
      <c r="B2386" s="1">
        <v>2023</v>
      </c>
      <c r="C2386" s="1" t="s">
        <v>1387</v>
      </c>
      <c r="D2386" s="2" t="s">
        <v>854</v>
      </c>
      <c r="E2386" s="7">
        <v>19108620</v>
      </c>
      <c r="F2386" s="5">
        <v>3406030</v>
      </c>
    </row>
    <row r="2387" spans="1:6" x14ac:dyDescent="0.25">
      <c r="A2387" s="5">
        <v>3406040</v>
      </c>
      <c r="B2387" s="1">
        <v>2015</v>
      </c>
      <c r="C2387" s="1" t="s">
        <v>1387</v>
      </c>
      <c r="D2387" s="1" t="s">
        <v>283</v>
      </c>
      <c r="E2387" s="8">
        <v>377130</v>
      </c>
      <c r="F2387" s="5">
        <v>3406040</v>
      </c>
    </row>
    <row r="2388" spans="1:6" x14ac:dyDescent="0.25">
      <c r="A2388" s="5">
        <v>3406040</v>
      </c>
      <c r="B2388" s="1">
        <v>2016</v>
      </c>
      <c r="C2388" s="1" t="s">
        <v>1387</v>
      </c>
      <c r="D2388" s="1" t="s">
        <v>283</v>
      </c>
      <c r="E2388" s="8">
        <v>572467</v>
      </c>
      <c r="F2388" s="5">
        <v>3406040</v>
      </c>
    </row>
    <row r="2389" spans="1:6" x14ac:dyDescent="0.25">
      <c r="A2389" s="5">
        <v>3406040</v>
      </c>
      <c r="B2389" s="1">
        <v>2017</v>
      </c>
      <c r="C2389" s="1" t="s">
        <v>1387</v>
      </c>
      <c r="D2389" s="1" t="s">
        <v>283</v>
      </c>
      <c r="E2389" s="8">
        <v>767818</v>
      </c>
      <c r="F2389" s="5">
        <v>3406040</v>
      </c>
    </row>
    <row r="2390" spans="1:6" x14ac:dyDescent="0.25">
      <c r="A2390" s="5">
        <v>3406040</v>
      </c>
      <c r="B2390" s="1">
        <v>2018</v>
      </c>
      <c r="C2390" s="1" t="s">
        <v>1387</v>
      </c>
      <c r="D2390" s="1" t="s">
        <v>973</v>
      </c>
      <c r="E2390" s="8">
        <v>1061535</v>
      </c>
      <c r="F2390" s="5">
        <v>3406040</v>
      </c>
    </row>
    <row r="2391" spans="1:6" x14ac:dyDescent="0.25">
      <c r="A2391" s="5">
        <v>3406040</v>
      </c>
      <c r="B2391" s="1">
        <v>2019</v>
      </c>
      <c r="C2391" s="1" t="s">
        <v>1387</v>
      </c>
      <c r="D2391" s="1" t="s">
        <v>973</v>
      </c>
      <c r="E2391" s="8">
        <v>1430988</v>
      </c>
      <c r="F2391" s="5">
        <v>3406040</v>
      </c>
    </row>
    <row r="2392" spans="1:6" ht="20" x14ac:dyDescent="0.25">
      <c r="A2392" s="5">
        <v>3406040</v>
      </c>
      <c r="B2392" s="1">
        <v>2020</v>
      </c>
      <c r="C2392" s="1" t="s">
        <v>1387</v>
      </c>
      <c r="D2392" s="2" t="s">
        <v>973</v>
      </c>
      <c r="E2392" s="7">
        <v>1643633</v>
      </c>
      <c r="F2392" s="5">
        <v>3406040</v>
      </c>
    </row>
    <row r="2393" spans="1:6" ht="20" x14ac:dyDescent="0.25">
      <c r="A2393" s="5">
        <v>3406040</v>
      </c>
      <c r="B2393" s="1">
        <v>2021</v>
      </c>
      <c r="C2393" s="1" t="s">
        <v>1387</v>
      </c>
      <c r="D2393" s="3" t="s">
        <v>973</v>
      </c>
      <c r="E2393" s="7">
        <v>2210569</v>
      </c>
      <c r="F2393" s="5">
        <v>3406040</v>
      </c>
    </row>
    <row r="2394" spans="1:6" ht="20" x14ac:dyDescent="0.25">
      <c r="A2394" s="5">
        <v>3406040</v>
      </c>
      <c r="B2394" s="1">
        <v>2022</v>
      </c>
      <c r="C2394" s="1" t="s">
        <v>1387</v>
      </c>
      <c r="D2394" s="2" t="s">
        <v>973</v>
      </c>
      <c r="E2394" s="7">
        <v>3212339</v>
      </c>
      <c r="F2394" s="5">
        <v>3406040</v>
      </c>
    </row>
    <row r="2395" spans="1:6" ht="20" x14ac:dyDescent="0.25">
      <c r="A2395" s="5">
        <v>3406040</v>
      </c>
      <c r="B2395" s="1">
        <v>2023</v>
      </c>
      <c r="C2395" s="1" t="s">
        <v>1387</v>
      </c>
      <c r="D2395" s="2" t="s">
        <v>973</v>
      </c>
      <c r="E2395" s="7">
        <v>3254898</v>
      </c>
      <c r="F2395" s="5">
        <v>3406040</v>
      </c>
    </row>
    <row r="2396" spans="1:6" x14ac:dyDescent="0.25">
      <c r="A2396" s="5">
        <v>3406060</v>
      </c>
      <c r="B2396" s="1">
        <v>2015</v>
      </c>
      <c r="C2396" s="1" t="s">
        <v>1387</v>
      </c>
      <c r="D2396" s="1" t="s">
        <v>13</v>
      </c>
      <c r="E2396" s="8">
        <v>1250469</v>
      </c>
      <c r="F2396" s="5">
        <v>3406060</v>
      </c>
    </row>
    <row r="2397" spans="1:6" x14ac:dyDescent="0.25">
      <c r="A2397" s="5">
        <v>3406060</v>
      </c>
      <c r="B2397" s="1">
        <v>2016</v>
      </c>
      <c r="C2397" s="1" t="s">
        <v>1387</v>
      </c>
      <c r="D2397" s="1" t="s">
        <v>13</v>
      </c>
      <c r="E2397" s="8">
        <v>1886441</v>
      </c>
      <c r="F2397" s="5">
        <v>3406060</v>
      </c>
    </row>
    <row r="2398" spans="1:6" x14ac:dyDescent="0.25">
      <c r="A2398" s="5">
        <v>3406060</v>
      </c>
      <c r="B2398" s="1">
        <v>2017</v>
      </c>
      <c r="C2398" s="1" t="s">
        <v>1387</v>
      </c>
      <c r="D2398" s="1" t="s">
        <v>13</v>
      </c>
      <c r="E2398" s="8">
        <v>2605093</v>
      </c>
      <c r="F2398" s="5">
        <v>3406060</v>
      </c>
    </row>
    <row r="2399" spans="1:6" x14ac:dyDescent="0.25">
      <c r="A2399" s="5">
        <v>3406060</v>
      </c>
      <c r="B2399" s="1">
        <v>2018</v>
      </c>
      <c r="C2399" s="1" t="s">
        <v>1387</v>
      </c>
      <c r="D2399" s="1" t="s">
        <v>692</v>
      </c>
      <c r="E2399" s="8">
        <v>3467411</v>
      </c>
      <c r="F2399" s="5">
        <v>3406060</v>
      </c>
    </row>
    <row r="2400" spans="1:6" x14ac:dyDescent="0.25">
      <c r="A2400" s="5">
        <v>3406060</v>
      </c>
      <c r="B2400" s="1">
        <v>2019</v>
      </c>
      <c r="C2400" s="1" t="s">
        <v>1387</v>
      </c>
      <c r="D2400" s="1" t="s">
        <v>692</v>
      </c>
      <c r="E2400" s="8">
        <v>4751489</v>
      </c>
      <c r="F2400" s="5">
        <v>3406060</v>
      </c>
    </row>
    <row r="2401" spans="1:6" ht="20" x14ac:dyDescent="0.25">
      <c r="A2401" s="5">
        <v>3406060</v>
      </c>
      <c r="B2401" s="1">
        <v>2020</v>
      </c>
      <c r="C2401" s="1" t="s">
        <v>1387</v>
      </c>
      <c r="D2401" s="2" t="s">
        <v>692</v>
      </c>
      <c r="E2401" s="7">
        <v>5260686</v>
      </c>
      <c r="F2401" s="5">
        <v>3406060</v>
      </c>
    </row>
    <row r="2402" spans="1:6" ht="20" x14ac:dyDescent="0.25">
      <c r="A2402" s="5">
        <v>3406060</v>
      </c>
      <c r="B2402" s="1">
        <v>2021</v>
      </c>
      <c r="C2402" s="1" t="s">
        <v>1387</v>
      </c>
      <c r="D2402" s="3" t="s">
        <v>692</v>
      </c>
      <c r="E2402" s="7">
        <v>6759098</v>
      </c>
      <c r="F2402" s="5">
        <v>3406060</v>
      </c>
    </row>
    <row r="2403" spans="1:6" ht="20" x14ac:dyDescent="0.25">
      <c r="A2403" s="5">
        <v>3406060</v>
      </c>
      <c r="B2403" s="1">
        <v>2022</v>
      </c>
      <c r="C2403" s="1" t="s">
        <v>1387</v>
      </c>
      <c r="D2403" s="2" t="s">
        <v>692</v>
      </c>
      <c r="E2403" s="7">
        <v>9539860</v>
      </c>
      <c r="F2403" s="5">
        <v>3406060</v>
      </c>
    </row>
    <row r="2404" spans="1:6" ht="20" x14ac:dyDescent="0.25">
      <c r="A2404" s="5">
        <v>3406060</v>
      </c>
      <c r="B2404" s="1">
        <v>2023</v>
      </c>
      <c r="C2404" s="1" t="s">
        <v>1387</v>
      </c>
      <c r="D2404" s="2" t="s">
        <v>692</v>
      </c>
      <c r="E2404" s="7">
        <v>9182556</v>
      </c>
      <c r="F2404" s="5">
        <v>3406060</v>
      </c>
    </row>
    <row r="2405" spans="1:6" x14ac:dyDescent="0.25">
      <c r="A2405" s="5">
        <v>3406090</v>
      </c>
      <c r="B2405" s="1">
        <v>2015</v>
      </c>
      <c r="C2405" s="1" t="s">
        <v>1387</v>
      </c>
      <c r="D2405" s="1" t="s">
        <v>588</v>
      </c>
      <c r="E2405" s="8">
        <v>175180</v>
      </c>
      <c r="F2405" s="5">
        <v>3406090</v>
      </c>
    </row>
    <row r="2406" spans="1:6" x14ac:dyDescent="0.25">
      <c r="A2406" s="5">
        <v>3406090</v>
      </c>
      <c r="B2406" s="1">
        <v>2016</v>
      </c>
      <c r="C2406" s="1" t="s">
        <v>1387</v>
      </c>
      <c r="D2406" s="1" t="s">
        <v>588</v>
      </c>
      <c r="E2406" s="8">
        <v>267626</v>
      </c>
      <c r="F2406" s="5">
        <v>3406090</v>
      </c>
    </row>
    <row r="2407" spans="1:6" x14ac:dyDescent="0.25">
      <c r="A2407" s="5">
        <v>3406090</v>
      </c>
      <c r="B2407" s="1">
        <v>2017</v>
      </c>
      <c r="C2407" s="1" t="s">
        <v>1387</v>
      </c>
      <c r="D2407" s="1" t="s">
        <v>588</v>
      </c>
      <c r="E2407" s="8">
        <v>363439</v>
      </c>
      <c r="F2407" s="5">
        <v>3406090</v>
      </c>
    </row>
    <row r="2408" spans="1:6" x14ac:dyDescent="0.25">
      <c r="A2408" s="5">
        <v>3406090</v>
      </c>
      <c r="B2408" s="1">
        <v>2018</v>
      </c>
      <c r="C2408" s="1" t="s">
        <v>1387</v>
      </c>
      <c r="D2408" s="1" t="s">
        <v>1281</v>
      </c>
      <c r="E2408" s="8">
        <v>487863</v>
      </c>
      <c r="F2408" s="5">
        <v>3406090</v>
      </c>
    </row>
    <row r="2409" spans="1:6" x14ac:dyDescent="0.25">
      <c r="A2409" s="5">
        <v>3406090</v>
      </c>
      <c r="B2409" s="1">
        <v>2019</v>
      </c>
      <c r="C2409" s="1" t="s">
        <v>1387</v>
      </c>
      <c r="D2409" s="1" t="s">
        <v>1281</v>
      </c>
      <c r="E2409" s="8">
        <v>664084</v>
      </c>
      <c r="F2409" s="5">
        <v>3406090</v>
      </c>
    </row>
    <row r="2410" spans="1:6" ht="20" x14ac:dyDescent="0.25">
      <c r="A2410" s="5">
        <v>3406090</v>
      </c>
      <c r="B2410" s="1">
        <v>2020</v>
      </c>
      <c r="C2410" s="1" t="s">
        <v>1387</v>
      </c>
      <c r="D2410" s="2" t="s">
        <v>1281</v>
      </c>
      <c r="E2410" s="7">
        <v>780182</v>
      </c>
      <c r="F2410" s="5">
        <v>3406090</v>
      </c>
    </row>
    <row r="2411" spans="1:6" ht="20" x14ac:dyDescent="0.25">
      <c r="A2411" s="5">
        <v>3406090</v>
      </c>
      <c r="B2411" s="1">
        <v>2021</v>
      </c>
      <c r="C2411" s="1" t="s">
        <v>1387</v>
      </c>
      <c r="D2411" s="3" t="s">
        <v>1281</v>
      </c>
      <c r="E2411" s="7">
        <v>918765</v>
      </c>
      <c r="F2411" s="5">
        <v>3406090</v>
      </c>
    </row>
    <row r="2412" spans="1:6" ht="20" x14ac:dyDescent="0.25">
      <c r="A2412" s="5">
        <v>3406090</v>
      </c>
      <c r="B2412" s="1">
        <v>2022</v>
      </c>
      <c r="C2412" s="1" t="s">
        <v>1387</v>
      </c>
      <c r="D2412" s="2" t="s">
        <v>1281</v>
      </c>
      <c r="E2412" s="7">
        <v>1419998</v>
      </c>
      <c r="F2412" s="5">
        <v>3406090</v>
      </c>
    </row>
    <row r="2413" spans="1:6" ht="20" x14ac:dyDescent="0.25">
      <c r="A2413" s="5">
        <v>3406090</v>
      </c>
      <c r="B2413" s="1">
        <v>2023</v>
      </c>
      <c r="C2413" s="1" t="s">
        <v>1387</v>
      </c>
      <c r="D2413" s="2" t="s">
        <v>1281</v>
      </c>
      <c r="E2413" s="7">
        <v>1285248</v>
      </c>
      <c r="F2413" s="5">
        <v>3406090</v>
      </c>
    </row>
    <row r="2414" spans="1:6" x14ac:dyDescent="0.25">
      <c r="A2414" s="5">
        <v>3406120</v>
      </c>
      <c r="B2414" s="1">
        <v>2015</v>
      </c>
      <c r="C2414" s="1" t="s">
        <v>1387</v>
      </c>
      <c r="D2414" s="1" t="s">
        <v>570</v>
      </c>
      <c r="E2414" s="8">
        <v>306826</v>
      </c>
      <c r="F2414" s="5">
        <v>3406120</v>
      </c>
    </row>
    <row r="2415" spans="1:6" x14ac:dyDescent="0.25">
      <c r="A2415" s="5">
        <v>3406120</v>
      </c>
      <c r="B2415" s="1">
        <v>2016</v>
      </c>
      <c r="C2415" s="1" t="s">
        <v>1387</v>
      </c>
      <c r="D2415" s="1" t="s">
        <v>570</v>
      </c>
      <c r="E2415" s="8">
        <v>452587</v>
      </c>
      <c r="F2415" s="5">
        <v>3406120</v>
      </c>
    </row>
    <row r="2416" spans="1:6" x14ac:dyDescent="0.25">
      <c r="A2416" s="5">
        <v>3406120</v>
      </c>
      <c r="B2416" s="1">
        <v>2017</v>
      </c>
      <c r="C2416" s="1" t="s">
        <v>1387</v>
      </c>
      <c r="D2416" s="1" t="s">
        <v>570</v>
      </c>
      <c r="E2416" s="8">
        <v>678021</v>
      </c>
      <c r="F2416" s="5">
        <v>3406120</v>
      </c>
    </row>
    <row r="2417" spans="1:6" x14ac:dyDescent="0.25">
      <c r="A2417" s="5">
        <v>3406120</v>
      </c>
      <c r="B2417" s="1">
        <v>2018</v>
      </c>
      <c r="C2417" s="1" t="s">
        <v>1387</v>
      </c>
      <c r="D2417" s="1" t="s">
        <v>1262</v>
      </c>
      <c r="E2417" s="8">
        <v>999863</v>
      </c>
      <c r="F2417" s="5">
        <v>3406120</v>
      </c>
    </row>
    <row r="2418" spans="1:6" x14ac:dyDescent="0.25">
      <c r="A2418" s="5">
        <v>3406120</v>
      </c>
      <c r="B2418" s="1">
        <v>2019</v>
      </c>
      <c r="C2418" s="1" t="s">
        <v>1387</v>
      </c>
      <c r="D2418" s="1" t="s">
        <v>1262</v>
      </c>
      <c r="E2418" s="8">
        <v>1267615</v>
      </c>
      <c r="F2418" s="5">
        <v>3406120</v>
      </c>
    </row>
    <row r="2419" spans="1:6" ht="20" x14ac:dyDescent="0.25">
      <c r="A2419" s="5">
        <v>3406120</v>
      </c>
      <c r="B2419" s="1">
        <v>2020</v>
      </c>
      <c r="C2419" s="1" t="s">
        <v>1387</v>
      </c>
      <c r="D2419" s="2" t="s">
        <v>1262</v>
      </c>
      <c r="E2419" s="7">
        <v>1420154</v>
      </c>
      <c r="F2419" s="5">
        <v>3406120</v>
      </c>
    </row>
    <row r="2420" spans="1:6" ht="20" x14ac:dyDescent="0.25">
      <c r="A2420" s="5">
        <v>3406120</v>
      </c>
      <c r="B2420" s="1">
        <v>2021</v>
      </c>
      <c r="C2420" s="1" t="s">
        <v>1387</v>
      </c>
      <c r="D2420" s="3" t="s">
        <v>1262</v>
      </c>
      <c r="E2420" s="7">
        <v>1886782</v>
      </c>
      <c r="F2420" s="5">
        <v>3406120</v>
      </c>
    </row>
    <row r="2421" spans="1:6" ht="20" x14ac:dyDescent="0.25">
      <c r="A2421" s="5">
        <v>3406120</v>
      </c>
      <c r="B2421" s="1">
        <v>2022</v>
      </c>
      <c r="C2421" s="1" t="s">
        <v>1387</v>
      </c>
      <c r="D2421" s="2" t="s">
        <v>1262</v>
      </c>
      <c r="E2421" s="7">
        <v>2456876</v>
      </c>
      <c r="F2421" s="5">
        <v>3406120</v>
      </c>
    </row>
    <row r="2422" spans="1:6" ht="20" x14ac:dyDescent="0.25">
      <c r="A2422" s="5">
        <v>3406120</v>
      </c>
      <c r="B2422" s="1">
        <v>2023</v>
      </c>
      <c r="C2422" s="1" t="s">
        <v>1387</v>
      </c>
      <c r="D2422" s="2" t="s">
        <v>1262</v>
      </c>
      <c r="E2422" s="7">
        <v>2403653</v>
      </c>
      <c r="F2422" s="5">
        <v>3406120</v>
      </c>
    </row>
    <row r="2423" spans="1:6" x14ac:dyDescent="0.25">
      <c r="A2423" s="5">
        <v>3406150</v>
      </c>
      <c r="B2423" s="1">
        <v>2015</v>
      </c>
      <c r="C2423" s="1" t="s">
        <v>1387</v>
      </c>
      <c r="D2423" s="1" t="s">
        <v>219</v>
      </c>
      <c r="E2423" s="8">
        <v>25129</v>
      </c>
      <c r="F2423" s="5">
        <v>3406150</v>
      </c>
    </row>
    <row r="2424" spans="1:6" x14ac:dyDescent="0.25">
      <c r="A2424" s="5">
        <v>3406150</v>
      </c>
      <c r="B2424" s="1">
        <v>2016</v>
      </c>
      <c r="C2424" s="1" t="s">
        <v>1387</v>
      </c>
      <c r="D2424" s="1" t="s">
        <v>219</v>
      </c>
      <c r="E2424" s="8">
        <v>39444</v>
      </c>
      <c r="F2424" s="5">
        <v>3406150</v>
      </c>
    </row>
    <row r="2425" spans="1:6" x14ac:dyDescent="0.25">
      <c r="A2425" s="5">
        <v>3406150</v>
      </c>
      <c r="B2425" s="1">
        <v>2017</v>
      </c>
      <c r="C2425" s="1" t="s">
        <v>1387</v>
      </c>
      <c r="D2425" s="1" t="s">
        <v>219</v>
      </c>
      <c r="E2425" s="8">
        <v>55474</v>
      </c>
      <c r="F2425" s="5">
        <v>3406150</v>
      </c>
    </row>
    <row r="2426" spans="1:6" x14ac:dyDescent="0.25">
      <c r="A2426" s="5">
        <v>3406150</v>
      </c>
      <c r="B2426" s="1">
        <v>2018</v>
      </c>
      <c r="C2426" s="1" t="s">
        <v>1387</v>
      </c>
      <c r="D2426" s="1" t="s">
        <v>905</v>
      </c>
      <c r="E2426" s="8">
        <v>75395</v>
      </c>
      <c r="F2426" s="5">
        <v>3406150</v>
      </c>
    </row>
    <row r="2427" spans="1:6" x14ac:dyDescent="0.25">
      <c r="A2427" s="5">
        <v>3406150</v>
      </c>
      <c r="B2427" s="1">
        <v>2019</v>
      </c>
      <c r="C2427" s="1" t="s">
        <v>1387</v>
      </c>
      <c r="D2427" s="1" t="s">
        <v>905</v>
      </c>
      <c r="E2427" s="8">
        <v>112075</v>
      </c>
      <c r="F2427" s="5">
        <v>3406150</v>
      </c>
    </row>
    <row r="2428" spans="1:6" ht="20" x14ac:dyDescent="0.25">
      <c r="A2428" s="5">
        <v>3406150</v>
      </c>
      <c r="B2428" s="1">
        <v>2020</v>
      </c>
      <c r="C2428" s="1" t="s">
        <v>1387</v>
      </c>
      <c r="D2428" s="2" t="s">
        <v>905</v>
      </c>
      <c r="E2428" s="7">
        <v>120311</v>
      </c>
      <c r="F2428" s="5">
        <v>3406150</v>
      </c>
    </row>
    <row r="2429" spans="1:6" ht="20" x14ac:dyDescent="0.25">
      <c r="A2429" s="5">
        <v>3406150</v>
      </c>
      <c r="B2429" s="1">
        <v>2021</v>
      </c>
      <c r="C2429" s="1" t="s">
        <v>1387</v>
      </c>
      <c r="D2429" s="3" t="s">
        <v>905</v>
      </c>
      <c r="E2429" s="7">
        <v>156404</v>
      </c>
      <c r="F2429" s="5">
        <v>3406150</v>
      </c>
    </row>
    <row r="2430" spans="1:6" ht="20" x14ac:dyDescent="0.25">
      <c r="A2430" s="5">
        <v>3406150</v>
      </c>
      <c r="B2430" s="1">
        <v>2022</v>
      </c>
      <c r="C2430" s="1" t="s">
        <v>1387</v>
      </c>
      <c r="D2430" s="2" t="s">
        <v>905</v>
      </c>
      <c r="E2430" s="7">
        <v>197548</v>
      </c>
      <c r="F2430" s="5">
        <v>3406150</v>
      </c>
    </row>
    <row r="2431" spans="1:6" ht="20" x14ac:dyDescent="0.25">
      <c r="A2431" s="5">
        <v>3406150</v>
      </c>
      <c r="B2431" s="1">
        <v>2023</v>
      </c>
      <c r="C2431" s="1" t="s">
        <v>1387</v>
      </c>
      <c r="D2431" s="2" t="s">
        <v>905</v>
      </c>
      <c r="E2431" s="7">
        <v>179857</v>
      </c>
      <c r="F2431" s="5">
        <v>3406150</v>
      </c>
    </row>
    <row r="2432" spans="1:6" x14ac:dyDescent="0.25">
      <c r="A2432" s="5">
        <v>3406180</v>
      </c>
      <c r="B2432" s="1">
        <v>2015</v>
      </c>
      <c r="C2432" s="1" t="s">
        <v>1387</v>
      </c>
      <c r="D2432" s="1" t="s">
        <v>284</v>
      </c>
      <c r="E2432" s="8">
        <v>199888</v>
      </c>
      <c r="F2432" s="5">
        <v>3406180</v>
      </c>
    </row>
    <row r="2433" spans="1:6" x14ac:dyDescent="0.25">
      <c r="A2433" s="5">
        <v>3406180</v>
      </c>
      <c r="B2433" s="1">
        <v>2016</v>
      </c>
      <c r="C2433" s="1" t="s">
        <v>1387</v>
      </c>
      <c r="D2433" s="1" t="s">
        <v>284</v>
      </c>
      <c r="E2433" s="8">
        <v>290989</v>
      </c>
      <c r="F2433" s="5">
        <v>3406180</v>
      </c>
    </row>
    <row r="2434" spans="1:6" x14ac:dyDescent="0.25">
      <c r="A2434" s="5">
        <v>3406180</v>
      </c>
      <c r="B2434" s="1">
        <v>2017</v>
      </c>
      <c r="C2434" s="1" t="s">
        <v>1387</v>
      </c>
      <c r="D2434" s="1" t="s">
        <v>284</v>
      </c>
      <c r="E2434" s="8">
        <v>420757</v>
      </c>
      <c r="F2434" s="5">
        <v>3406180</v>
      </c>
    </row>
    <row r="2435" spans="1:6" x14ac:dyDescent="0.25">
      <c r="A2435" s="5">
        <v>3406180</v>
      </c>
      <c r="B2435" s="1">
        <v>2018</v>
      </c>
      <c r="C2435" s="1" t="s">
        <v>1387</v>
      </c>
      <c r="D2435" s="1" t="s">
        <v>974</v>
      </c>
      <c r="E2435" s="8">
        <v>565438</v>
      </c>
      <c r="F2435" s="5">
        <v>3406180</v>
      </c>
    </row>
    <row r="2436" spans="1:6" x14ac:dyDescent="0.25">
      <c r="A2436" s="5">
        <v>3406180</v>
      </c>
      <c r="B2436" s="1">
        <v>2019</v>
      </c>
      <c r="C2436" s="1" t="s">
        <v>1387</v>
      </c>
      <c r="D2436" s="1" t="s">
        <v>1362</v>
      </c>
      <c r="E2436" s="8">
        <v>759810</v>
      </c>
      <c r="F2436" s="5">
        <v>3406180</v>
      </c>
    </row>
    <row r="2437" spans="1:6" ht="20" x14ac:dyDescent="0.25">
      <c r="A2437" s="5">
        <v>3406180</v>
      </c>
      <c r="B2437" s="1">
        <v>2020</v>
      </c>
      <c r="C2437" s="1" t="s">
        <v>1387</v>
      </c>
      <c r="D2437" s="2" t="s">
        <v>974</v>
      </c>
      <c r="E2437" s="7">
        <v>806178</v>
      </c>
      <c r="F2437" s="5">
        <v>3406180</v>
      </c>
    </row>
    <row r="2438" spans="1:6" ht="20" x14ac:dyDescent="0.25">
      <c r="A2438" s="5">
        <v>3406180</v>
      </c>
      <c r="B2438" s="1">
        <v>2021</v>
      </c>
      <c r="C2438" s="1" t="s">
        <v>1387</v>
      </c>
      <c r="D2438" s="3" t="s">
        <v>974</v>
      </c>
      <c r="E2438" s="7">
        <v>1052945</v>
      </c>
      <c r="F2438" s="5">
        <v>3406180</v>
      </c>
    </row>
    <row r="2439" spans="1:6" ht="20" x14ac:dyDescent="0.25">
      <c r="A2439" s="5">
        <v>3406180</v>
      </c>
      <c r="B2439" s="1">
        <v>2022</v>
      </c>
      <c r="C2439" s="1" t="s">
        <v>1387</v>
      </c>
      <c r="D2439" s="2" t="s">
        <v>974</v>
      </c>
      <c r="E2439" s="7">
        <v>1417957</v>
      </c>
      <c r="F2439" s="5">
        <v>3406180</v>
      </c>
    </row>
    <row r="2440" spans="1:6" ht="20" x14ac:dyDescent="0.25">
      <c r="A2440" s="5">
        <v>3406180</v>
      </c>
      <c r="B2440" s="1">
        <v>2023</v>
      </c>
      <c r="C2440" s="1" t="s">
        <v>1387</v>
      </c>
      <c r="D2440" s="2" t="s">
        <v>974</v>
      </c>
      <c r="E2440" s="7">
        <v>1426994</v>
      </c>
      <c r="F2440" s="5">
        <v>3406180</v>
      </c>
    </row>
    <row r="2441" spans="1:6" x14ac:dyDescent="0.25">
      <c r="A2441" s="5">
        <v>3406210</v>
      </c>
      <c r="B2441" s="1">
        <v>2015</v>
      </c>
      <c r="C2441" s="1" t="s">
        <v>1387</v>
      </c>
      <c r="D2441" s="1" t="s">
        <v>644</v>
      </c>
      <c r="E2441" s="8">
        <v>251233</v>
      </c>
      <c r="F2441" s="5">
        <v>3406210</v>
      </c>
    </row>
    <row r="2442" spans="1:6" x14ac:dyDescent="0.25">
      <c r="A2442" s="5">
        <v>3406210</v>
      </c>
      <c r="B2442" s="1">
        <v>2016</v>
      </c>
      <c r="C2442" s="1" t="s">
        <v>1387</v>
      </c>
      <c r="D2442" s="1" t="s">
        <v>644</v>
      </c>
      <c r="E2442" s="8">
        <v>347433</v>
      </c>
      <c r="F2442" s="5">
        <v>3406210</v>
      </c>
    </row>
    <row r="2443" spans="1:6" x14ac:dyDescent="0.25">
      <c r="A2443" s="5">
        <v>3406210</v>
      </c>
      <c r="B2443" s="1">
        <v>2017</v>
      </c>
      <c r="C2443" s="1" t="s">
        <v>1387</v>
      </c>
      <c r="D2443" s="1" t="s">
        <v>644</v>
      </c>
      <c r="E2443" s="8">
        <v>487550</v>
      </c>
      <c r="F2443" s="5">
        <v>3406210</v>
      </c>
    </row>
    <row r="2444" spans="1:6" x14ac:dyDescent="0.25">
      <c r="A2444" s="5">
        <v>3406210</v>
      </c>
      <c r="B2444" s="1">
        <v>2018</v>
      </c>
      <c r="C2444" s="1" t="s">
        <v>1387</v>
      </c>
      <c r="D2444" s="1" t="s">
        <v>1337</v>
      </c>
      <c r="E2444" s="8">
        <v>701932</v>
      </c>
      <c r="F2444" s="5">
        <v>3406210</v>
      </c>
    </row>
    <row r="2445" spans="1:6" x14ac:dyDescent="0.25">
      <c r="A2445" s="5">
        <v>3406210</v>
      </c>
      <c r="B2445" s="1">
        <v>2019</v>
      </c>
      <c r="C2445" s="1" t="s">
        <v>1387</v>
      </c>
      <c r="D2445" s="1" t="s">
        <v>1337</v>
      </c>
      <c r="E2445" s="8">
        <v>925553</v>
      </c>
      <c r="F2445" s="5">
        <v>3406210</v>
      </c>
    </row>
    <row r="2446" spans="1:6" ht="20" x14ac:dyDescent="0.25">
      <c r="A2446" s="5">
        <v>3406210</v>
      </c>
      <c r="B2446" s="1">
        <v>2020</v>
      </c>
      <c r="C2446" s="1" t="s">
        <v>1387</v>
      </c>
      <c r="D2446" s="2" t="s">
        <v>1337</v>
      </c>
      <c r="E2446" s="7">
        <v>1055811</v>
      </c>
      <c r="F2446" s="5">
        <v>3406210</v>
      </c>
    </row>
    <row r="2447" spans="1:6" ht="20" x14ac:dyDescent="0.25">
      <c r="A2447" s="5">
        <v>3406210</v>
      </c>
      <c r="B2447" s="1">
        <v>2021</v>
      </c>
      <c r="C2447" s="1" t="s">
        <v>1387</v>
      </c>
      <c r="D2447" s="3" t="s">
        <v>1337</v>
      </c>
      <c r="E2447" s="7">
        <v>1361459</v>
      </c>
      <c r="F2447" s="5">
        <v>3406210</v>
      </c>
    </row>
    <row r="2448" spans="1:6" ht="20" x14ac:dyDescent="0.25">
      <c r="A2448" s="5">
        <v>3406210</v>
      </c>
      <c r="B2448" s="1">
        <v>2022</v>
      </c>
      <c r="C2448" s="1" t="s">
        <v>1387</v>
      </c>
      <c r="D2448" s="2" t="s">
        <v>1337</v>
      </c>
      <c r="E2448" s="7">
        <v>1883980</v>
      </c>
      <c r="F2448" s="5">
        <v>3406210</v>
      </c>
    </row>
    <row r="2449" spans="1:6" ht="20" x14ac:dyDescent="0.25">
      <c r="A2449" s="5">
        <v>3406210</v>
      </c>
      <c r="B2449" s="1">
        <v>2023</v>
      </c>
      <c r="C2449" s="1" t="s">
        <v>1387</v>
      </c>
      <c r="D2449" s="2" t="s">
        <v>1337</v>
      </c>
      <c r="E2449" s="7">
        <v>1851645</v>
      </c>
      <c r="F2449" s="5">
        <v>3406210</v>
      </c>
    </row>
    <row r="2450" spans="1:6" x14ac:dyDescent="0.25">
      <c r="A2450" s="5">
        <v>3406240</v>
      </c>
      <c r="B2450" s="1">
        <v>2015</v>
      </c>
      <c r="C2450" s="1" t="s">
        <v>1387</v>
      </c>
      <c r="D2450" s="1" t="s">
        <v>306</v>
      </c>
      <c r="E2450" s="8">
        <v>267215</v>
      </c>
      <c r="F2450" s="5">
        <v>3406240</v>
      </c>
    </row>
    <row r="2451" spans="1:6" x14ac:dyDescent="0.25">
      <c r="A2451" s="5">
        <v>3406240</v>
      </c>
      <c r="B2451" s="1">
        <v>2016</v>
      </c>
      <c r="C2451" s="1" t="s">
        <v>1387</v>
      </c>
      <c r="D2451" s="1" t="s">
        <v>306</v>
      </c>
      <c r="E2451" s="8">
        <v>432212</v>
      </c>
      <c r="F2451" s="5">
        <v>3406240</v>
      </c>
    </row>
    <row r="2452" spans="1:6" x14ac:dyDescent="0.25">
      <c r="A2452" s="5">
        <v>3406240</v>
      </c>
      <c r="B2452" s="1">
        <v>2017</v>
      </c>
      <c r="C2452" s="1" t="s">
        <v>1387</v>
      </c>
      <c r="D2452" s="1" t="s">
        <v>306</v>
      </c>
      <c r="E2452" s="8">
        <v>632566</v>
      </c>
      <c r="F2452" s="5">
        <v>3406240</v>
      </c>
    </row>
    <row r="2453" spans="1:6" x14ac:dyDescent="0.25">
      <c r="A2453" s="5">
        <v>3406240</v>
      </c>
      <c r="B2453" s="1">
        <v>2018</v>
      </c>
      <c r="C2453" s="1" t="s">
        <v>1387</v>
      </c>
      <c r="D2453" s="1" t="s">
        <v>998</v>
      </c>
      <c r="E2453" s="8">
        <v>811857</v>
      </c>
      <c r="F2453" s="5">
        <v>3406240</v>
      </c>
    </row>
    <row r="2454" spans="1:6" x14ac:dyDescent="0.25">
      <c r="A2454" s="5">
        <v>3406240</v>
      </c>
      <c r="B2454" s="1">
        <v>2019</v>
      </c>
      <c r="C2454" s="1" t="s">
        <v>1387</v>
      </c>
      <c r="D2454" s="1" t="s">
        <v>998</v>
      </c>
      <c r="E2454" s="8">
        <v>1117757</v>
      </c>
      <c r="F2454" s="5">
        <v>3406240</v>
      </c>
    </row>
    <row r="2455" spans="1:6" ht="20" x14ac:dyDescent="0.25">
      <c r="A2455" s="5">
        <v>3406240</v>
      </c>
      <c r="B2455" s="1">
        <v>2020</v>
      </c>
      <c r="C2455" s="1" t="s">
        <v>1387</v>
      </c>
      <c r="D2455" s="2" t="s">
        <v>998</v>
      </c>
      <c r="E2455" s="7">
        <v>1274569</v>
      </c>
      <c r="F2455" s="5">
        <v>3406240</v>
      </c>
    </row>
    <row r="2456" spans="1:6" ht="20" x14ac:dyDescent="0.25">
      <c r="A2456" s="5">
        <v>3406240</v>
      </c>
      <c r="B2456" s="1">
        <v>2021</v>
      </c>
      <c r="C2456" s="1" t="s">
        <v>1387</v>
      </c>
      <c r="D2456" s="3" t="s">
        <v>998</v>
      </c>
      <c r="E2456" s="7">
        <v>1681322</v>
      </c>
      <c r="F2456" s="5">
        <v>3406240</v>
      </c>
    </row>
    <row r="2457" spans="1:6" ht="20" x14ac:dyDescent="0.25">
      <c r="A2457" s="5">
        <v>3406240</v>
      </c>
      <c r="B2457" s="1">
        <v>2022</v>
      </c>
      <c r="C2457" s="1" t="s">
        <v>1387</v>
      </c>
      <c r="D2457" s="2" t="s">
        <v>998</v>
      </c>
      <c r="E2457" s="7">
        <v>2500597</v>
      </c>
      <c r="F2457" s="5">
        <v>3406240</v>
      </c>
    </row>
    <row r="2458" spans="1:6" ht="20" x14ac:dyDescent="0.25">
      <c r="A2458" s="5">
        <v>3406240</v>
      </c>
      <c r="B2458" s="1">
        <v>2023</v>
      </c>
      <c r="C2458" s="1" t="s">
        <v>1387</v>
      </c>
      <c r="D2458" s="2" t="s">
        <v>998</v>
      </c>
      <c r="E2458" s="7">
        <v>2387543</v>
      </c>
      <c r="F2458" s="5">
        <v>3406240</v>
      </c>
    </row>
    <row r="2459" spans="1:6" x14ac:dyDescent="0.25">
      <c r="A2459" s="5">
        <v>3406270</v>
      </c>
      <c r="B2459" s="1">
        <v>2015</v>
      </c>
      <c r="C2459" s="1" t="s">
        <v>1387</v>
      </c>
      <c r="D2459" s="1" t="s">
        <v>54</v>
      </c>
      <c r="E2459" s="8">
        <v>2307740</v>
      </c>
      <c r="F2459" s="5">
        <v>3406270</v>
      </c>
    </row>
    <row r="2460" spans="1:6" x14ac:dyDescent="0.25">
      <c r="A2460" s="5">
        <v>3406270</v>
      </c>
      <c r="B2460" s="1">
        <v>2016</v>
      </c>
      <c r="C2460" s="1" t="s">
        <v>1387</v>
      </c>
      <c r="D2460" s="1" t="s">
        <v>54</v>
      </c>
      <c r="E2460" s="8">
        <v>3505377</v>
      </c>
      <c r="F2460" s="5">
        <v>3406270</v>
      </c>
    </row>
    <row r="2461" spans="1:6" x14ac:dyDescent="0.25">
      <c r="A2461" s="5">
        <v>3406270</v>
      </c>
      <c r="B2461" s="1">
        <v>2017</v>
      </c>
      <c r="C2461" s="1" t="s">
        <v>1387</v>
      </c>
      <c r="D2461" s="1" t="s">
        <v>54</v>
      </c>
      <c r="E2461" s="8">
        <v>4964303</v>
      </c>
      <c r="F2461" s="5">
        <v>3406270</v>
      </c>
    </row>
    <row r="2462" spans="1:6" x14ac:dyDescent="0.25">
      <c r="A2462" s="5">
        <v>3406270</v>
      </c>
      <c r="B2462" s="1">
        <v>2018</v>
      </c>
      <c r="C2462" s="1" t="s">
        <v>1387</v>
      </c>
      <c r="D2462" s="1" t="s">
        <v>732</v>
      </c>
      <c r="E2462" s="8">
        <v>6754751</v>
      </c>
      <c r="F2462" s="5">
        <v>3406270</v>
      </c>
    </row>
    <row r="2463" spans="1:6" x14ac:dyDescent="0.25">
      <c r="A2463" s="5">
        <v>3406270</v>
      </c>
      <c r="B2463" s="1">
        <v>2019</v>
      </c>
      <c r="C2463" s="1" t="s">
        <v>1387</v>
      </c>
      <c r="D2463" s="1" t="s">
        <v>732</v>
      </c>
      <c r="E2463" s="8">
        <v>8956972</v>
      </c>
      <c r="F2463" s="5">
        <v>3406270</v>
      </c>
    </row>
    <row r="2464" spans="1:6" ht="20" x14ac:dyDescent="0.25">
      <c r="A2464" s="5">
        <v>3406270</v>
      </c>
      <c r="B2464" s="1">
        <v>2020</v>
      </c>
      <c r="C2464" s="1" t="s">
        <v>1387</v>
      </c>
      <c r="D2464" s="2" t="s">
        <v>732</v>
      </c>
      <c r="E2464" s="7">
        <v>10229556</v>
      </c>
      <c r="F2464" s="5">
        <v>3406270</v>
      </c>
    </row>
    <row r="2465" spans="1:6" ht="20" x14ac:dyDescent="0.25">
      <c r="A2465" s="5">
        <v>3406270</v>
      </c>
      <c r="B2465" s="1">
        <v>2021</v>
      </c>
      <c r="C2465" s="1" t="s">
        <v>1387</v>
      </c>
      <c r="D2465" s="3" t="s">
        <v>732</v>
      </c>
      <c r="E2465" s="7">
        <v>13322221</v>
      </c>
      <c r="F2465" s="5">
        <v>3406270</v>
      </c>
    </row>
    <row r="2466" spans="1:6" ht="20" x14ac:dyDescent="0.25">
      <c r="A2466" s="5">
        <v>3406270</v>
      </c>
      <c r="B2466" s="1">
        <v>2022</v>
      </c>
      <c r="C2466" s="1" t="s">
        <v>1387</v>
      </c>
      <c r="D2466" s="2" t="s">
        <v>732</v>
      </c>
      <c r="E2466" s="7">
        <v>19271597</v>
      </c>
      <c r="F2466" s="5">
        <v>3406270</v>
      </c>
    </row>
    <row r="2467" spans="1:6" ht="20" x14ac:dyDescent="0.25">
      <c r="A2467" s="5">
        <v>3406270</v>
      </c>
      <c r="B2467" s="1">
        <v>2023</v>
      </c>
      <c r="C2467" s="1" t="s">
        <v>1387</v>
      </c>
      <c r="D2467" s="2" t="s">
        <v>732</v>
      </c>
      <c r="E2467" s="7">
        <v>18891945</v>
      </c>
      <c r="F2467" s="5">
        <v>3406270</v>
      </c>
    </row>
    <row r="2468" spans="1:6" x14ac:dyDescent="0.25">
      <c r="A2468" s="5">
        <v>3406300</v>
      </c>
      <c r="B2468" s="1">
        <v>2015</v>
      </c>
      <c r="C2468" s="1" t="s">
        <v>1387</v>
      </c>
      <c r="D2468" s="1" t="s">
        <v>645</v>
      </c>
      <c r="E2468" s="8">
        <v>711231</v>
      </c>
      <c r="F2468" s="5">
        <v>3406300</v>
      </c>
    </row>
    <row r="2469" spans="1:6" x14ac:dyDescent="0.25">
      <c r="A2469" s="5">
        <v>3406300</v>
      </c>
      <c r="B2469" s="1">
        <v>2016</v>
      </c>
      <c r="C2469" s="1" t="s">
        <v>1387</v>
      </c>
      <c r="D2469" s="1" t="s">
        <v>645</v>
      </c>
      <c r="E2469" s="8">
        <v>1092792</v>
      </c>
      <c r="F2469" s="5">
        <v>3406300</v>
      </c>
    </row>
    <row r="2470" spans="1:6" x14ac:dyDescent="0.25">
      <c r="A2470" s="5">
        <v>3406300</v>
      </c>
      <c r="B2470" s="1">
        <v>2017</v>
      </c>
      <c r="C2470" s="1" t="s">
        <v>1387</v>
      </c>
      <c r="D2470" s="1" t="s">
        <v>645</v>
      </c>
      <c r="E2470" s="8">
        <v>1489964</v>
      </c>
      <c r="F2470" s="5">
        <v>3406300</v>
      </c>
    </row>
    <row r="2471" spans="1:6" x14ac:dyDescent="0.25">
      <c r="A2471" s="5">
        <v>3406300</v>
      </c>
      <c r="B2471" s="1">
        <v>2018</v>
      </c>
      <c r="C2471" s="1" t="s">
        <v>1387</v>
      </c>
      <c r="D2471" s="1" t="s">
        <v>1338</v>
      </c>
      <c r="E2471" s="8">
        <v>2030014</v>
      </c>
      <c r="F2471" s="5">
        <v>3406300</v>
      </c>
    </row>
    <row r="2472" spans="1:6" x14ac:dyDescent="0.25">
      <c r="A2472" s="5">
        <v>3406300</v>
      </c>
      <c r="B2472" s="1">
        <v>2019</v>
      </c>
      <c r="C2472" s="1" t="s">
        <v>1387</v>
      </c>
      <c r="D2472" s="1" t="s">
        <v>1338</v>
      </c>
      <c r="E2472" s="8">
        <v>2719868</v>
      </c>
      <c r="F2472" s="5">
        <v>3406300</v>
      </c>
    </row>
    <row r="2473" spans="1:6" ht="20" x14ac:dyDescent="0.25">
      <c r="A2473" s="5">
        <v>3406300</v>
      </c>
      <c r="B2473" s="1">
        <v>2020</v>
      </c>
      <c r="C2473" s="1" t="s">
        <v>1387</v>
      </c>
      <c r="D2473" s="2" t="s">
        <v>1338</v>
      </c>
      <c r="E2473" s="7">
        <v>3057105</v>
      </c>
      <c r="F2473" s="5">
        <v>3406300</v>
      </c>
    </row>
    <row r="2474" spans="1:6" ht="20" x14ac:dyDescent="0.25">
      <c r="A2474" s="5">
        <v>3406300</v>
      </c>
      <c r="B2474" s="1">
        <v>2021</v>
      </c>
      <c r="C2474" s="1" t="s">
        <v>1387</v>
      </c>
      <c r="D2474" s="3" t="s">
        <v>1338</v>
      </c>
      <c r="E2474" s="7">
        <v>3997243</v>
      </c>
      <c r="F2474" s="5">
        <v>3406300</v>
      </c>
    </row>
    <row r="2475" spans="1:6" ht="20" x14ac:dyDescent="0.25">
      <c r="A2475" s="5">
        <v>3406300</v>
      </c>
      <c r="B2475" s="1">
        <v>2022</v>
      </c>
      <c r="C2475" s="1" t="s">
        <v>1387</v>
      </c>
      <c r="D2475" s="2" t="s">
        <v>1338</v>
      </c>
      <c r="E2475" s="7">
        <v>5988684</v>
      </c>
      <c r="F2475" s="5">
        <v>3406300</v>
      </c>
    </row>
    <row r="2476" spans="1:6" ht="20" x14ac:dyDescent="0.25">
      <c r="A2476" s="5">
        <v>3406300</v>
      </c>
      <c r="B2476" s="1">
        <v>2023</v>
      </c>
      <c r="C2476" s="1" t="s">
        <v>1387</v>
      </c>
      <c r="D2476" s="2" t="s">
        <v>1338</v>
      </c>
      <c r="E2476" s="7">
        <v>6030235</v>
      </c>
      <c r="F2476" s="5">
        <v>3406300</v>
      </c>
    </row>
    <row r="2477" spans="1:6" x14ac:dyDescent="0.25">
      <c r="A2477" s="5">
        <v>3406330</v>
      </c>
      <c r="B2477" s="1">
        <v>2015</v>
      </c>
      <c r="C2477" s="1" t="s">
        <v>1387</v>
      </c>
      <c r="D2477" s="1" t="s">
        <v>172</v>
      </c>
      <c r="E2477" s="8">
        <v>498531</v>
      </c>
      <c r="F2477" s="5">
        <v>3406330</v>
      </c>
    </row>
    <row r="2478" spans="1:6" x14ac:dyDescent="0.25">
      <c r="A2478" s="5">
        <v>3406330</v>
      </c>
      <c r="B2478" s="1">
        <v>2016</v>
      </c>
      <c r="C2478" s="1" t="s">
        <v>1387</v>
      </c>
      <c r="D2478" s="1" t="s">
        <v>172</v>
      </c>
      <c r="E2478" s="8">
        <v>714355</v>
      </c>
      <c r="F2478" s="5">
        <v>3406330</v>
      </c>
    </row>
    <row r="2479" spans="1:6" x14ac:dyDescent="0.25">
      <c r="A2479" s="5">
        <v>3406330</v>
      </c>
      <c r="B2479" s="1">
        <v>2017</v>
      </c>
      <c r="C2479" s="1" t="s">
        <v>1387</v>
      </c>
      <c r="D2479" s="1" t="s">
        <v>172</v>
      </c>
      <c r="E2479" s="8">
        <v>991466</v>
      </c>
      <c r="F2479" s="5">
        <v>3406330</v>
      </c>
    </row>
    <row r="2480" spans="1:6" x14ac:dyDescent="0.25">
      <c r="A2480" s="5">
        <v>3406330</v>
      </c>
      <c r="B2480" s="1">
        <v>2018</v>
      </c>
      <c r="C2480" s="1" t="s">
        <v>1387</v>
      </c>
      <c r="D2480" s="1" t="s">
        <v>855</v>
      </c>
      <c r="E2480" s="8">
        <v>1342881</v>
      </c>
      <c r="F2480" s="5">
        <v>3406330</v>
      </c>
    </row>
    <row r="2481" spans="1:6" x14ac:dyDescent="0.25">
      <c r="A2481" s="5">
        <v>3406330</v>
      </c>
      <c r="B2481" s="1">
        <v>2019</v>
      </c>
      <c r="C2481" s="1" t="s">
        <v>1387</v>
      </c>
      <c r="D2481" s="1" t="s">
        <v>855</v>
      </c>
      <c r="E2481" s="8">
        <v>1775265</v>
      </c>
      <c r="F2481" s="5">
        <v>3406330</v>
      </c>
    </row>
    <row r="2482" spans="1:6" ht="20" x14ac:dyDescent="0.25">
      <c r="A2482" s="5">
        <v>3406330</v>
      </c>
      <c r="B2482" s="1">
        <v>2020</v>
      </c>
      <c r="C2482" s="1" t="s">
        <v>1387</v>
      </c>
      <c r="D2482" s="2" t="s">
        <v>855</v>
      </c>
      <c r="E2482" s="7">
        <v>2093025</v>
      </c>
      <c r="F2482" s="5">
        <v>3406330</v>
      </c>
    </row>
    <row r="2483" spans="1:6" ht="20" x14ac:dyDescent="0.25">
      <c r="A2483" s="5">
        <v>3406330</v>
      </c>
      <c r="B2483" s="1">
        <v>2021</v>
      </c>
      <c r="C2483" s="1" t="s">
        <v>1387</v>
      </c>
      <c r="D2483" s="3" t="s">
        <v>855</v>
      </c>
      <c r="E2483" s="7">
        <v>2773976</v>
      </c>
      <c r="F2483" s="5">
        <v>3406330</v>
      </c>
    </row>
    <row r="2484" spans="1:6" ht="20" x14ac:dyDescent="0.25">
      <c r="A2484" s="5">
        <v>3406330</v>
      </c>
      <c r="B2484" s="1">
        <v>2022</v>
      </c>
      <c r="C2484" s="1" t="s">
        <v>1387</v>
      </c>
      <c r="D2484" s="2" t="s">
        <v>855</v>
      </c>
      <c r="E2484" s="7">
        <v>3982092</v>
      </c>
      <c r="F2484" s="5">
        <v>3406330</v>
      </c>
    </row>
    <row r="2485" spans="1:6" ht="20" x14ac:dyDescent="0.25">
      <c r="A2485" s="5">
        <v>3406330</v>
      </c>
      <c r="B2485" s="1">
        <v>2023</v>
      </c>
      <c r="C2485" s="1" t="s">
        <v>1387</v>
      </c>
      <c r="D2485" s="2" t="s">
        <v>855</v>
      </c>
      <c r="E2485" s="7">
        <v>3934904</v>
      </c>
      <c r="F2485" s="5">
        <v>3406330</v>
      </c>
    </row>
    <row r="2486" spans="1:6" x14ac:dyDescent="0.25">
      <c r="A2486" s="5">
        <v>3406360</v>
      </c>
      <c r="B2486" s="1">
        <v>2015</v>
      </c>
      <c r="C2486" s="1" t="s">
        <v>1387</v>
      </c>
      <c r="D2486" s="1" t="s">
        <v>173</v>
      </c>
      <c r="E2486" s="8">
        <v>712160</v>
      </c>
      <c r="F2486" s="5">
        <v>3406360</v>
      </c>
    </row>
    <row r="2487" spans="1:6" x14ac:dyDescent="0.25">
      <c r="A2487" s="5">
        <v>3406360</v>
      </c>
      <c r="B2487" s="1">
        <v>2016</v>
      </c>
      <c r="C2487" s="1" t="s">
        <v>1387</v>
      </c>
      <c r="D2487" s="1" t="s">
        <v>173</v>
      </c>
      <c r="E2487" s="8">
        <v>1071062</v>
      </c>
      <c r="F2487" s="5">
        <v>3406360</v>
      </c>
    </row>
    <row r="2488" spans="1:6" x14ac:dyDescent="0.25">
      <c r="A2488" s="5">
        <v>3406360</v>
      </c>
      <c r="B2488" s="1">
        <v>2017</v>
      </c>
      <c r="C2488" s="1" t="s">
        <v>1387</v>
      </c>
      <c r="D2488" s="1" t="s">
        <v>173</v>
      </c>
      <c r="E2488" s="8">
        <v>1469732</v>
      </c>
      <c r="F2488" s="5">
        <v>3406360</v>
      </c>
    </row>
    <row r="2489" spans="1:6" x14ac:dyDescent="0.25">
      <c r="A2489" s="5">
        <v>3406360</v>
      </c>
      <c r="B2489" s="1">
        <v>2018</v>
      </c>
      <c r="C2489" s="1" t="s">
        <v>1387</v>
      </c>
      <c r="D2489" s="1" t="s">
        <v>856</v>
      </c>
      <c r="E2489" s="8">
        <v>1974088</v>
      </c>
      <c r="F2489" s="5">
        <v>3406360</v>
      </c>
    </row>
    <row r="2490" spans="1:6" x14ac:dyDescent="0.25">
      <c r="A2490" s="5">
        <v>3406360</v>
      </c>
      <c r="B2490" s="1">
        <v>2019</v>
      </c>
      <c r="C2490" s="1" t="s">
        <v>1387</v>
      </c>
      <c r="D2490" s="1" t="s">
        <v>856</v>
      </c>
      <c r="E2490" s="8">
        <v>2700119</v>
      </c>
      <c r="F2490" s="5">
        <v>3406360</v>
      </c>
    </row>
    <row r="2491" spans="1:6" ht="20" x14ac:dyDescent="0.25">
      <c r="A2491" s="5">
        <v>3406360</v>
      </c>
      <c r="B2491" s="1">
        <v>2020</v>
      </c>
      <c r="C2491" s="1" t="s">
        <v>1387</v>
      </c>
      <c r="D2491" s="2" t="s">
        <v>856</v>
      </c>
      <c r="E2491" s="7">
        <v>3030829</v>
      </c>
      <c r="F2491" s="5">
        <v>3406360</v>
      </c>
    </row>
    <row r="2492" spans="1:6" ht="20" x14ac:dyDescent="0.25">
      <c r="A2492" s="5">
        <v>3406360</v>
      </c>
      <c r="B2492" s="1">
        <v>2021</v>
      </c>
      <c r="C2492" s="1" t="s">
        <v>1387</v>
      </c>
      <c r="D2492" s="3" t="s">
        <v>856</v>
      </c>
      <c r="E2492" s="7">
        <v>3975762</v>
      </c>
      <c r="F2492" s="5">
        <v>3406360</v>
      </c>
    </row>
    <row r="2493" spans="1:6" ht="20" x14ac:dyDescent="0.25">
      <c r="A2493" s="5">
        <v>3406360</v>
      </c>
      <c r="B2493" s="1">
        <v>2022</v>
      </c>
      <c r="C2493" s="1" t="s">
        <v>1387</v>
      </c>
      <c r="D2493" s="2" t="s">
        <v>856</v>
      </c>
      <c r="E2493" s="7">
        <v>5484582</v>
      </c>
      <c r="F2493" s="5">
        <v>3406360</v>
      </c>
    </row>
    <row r="2494" spans="1:6" ht="20" x14ac:dyDescent="0.25">
      <c r="A2494" s="5">
        <v>3406360</v>
      </c>
      <c r="B2494" s="1">
        <v>2023</v>
      </c>
      <c r="C2494" s="1" t="s">
        <v>1387</v>
      </c>
      <c r="D2494" s="2" t="s">
        <v>856</v>
      </c>
      <c r="E2494" s="7">
        <v>5397356</v>
      </c>
      <c r="F2494" s="5">
        <v>3406360</v>
      </c>
    </row>
    <row r="2495" spans="1:6" x14ac:dyDescent="0.25">
      <c r="A2495" s="5">
        <v>3406390</v>
      </c>
      <c r="B2495" s="1">
        <v>2015</v>
      </c>
      <c r="C2495" s="1" t="s">
        <v>1387</v>
      </c>
      <c r="D2495" s="1" t="s">
        <v>174</v>
      </c>
      <c r="E2495" s="8">
        <v>836188</v>
      </c>
      <c r="F2495" s="5">
        <v>3406390</v>
      </c>
    </row>
    <row r="2496" spans="1:6" x14ac:dyDescent="0.25">
      <c r="A2496" s="5">
        <v>3406390</v>
      </c>
      <c r="B2496" s="1">
        <v>2016</v>
      </c>
      <c r="C2496" s="1" t="s">
        <v>1387</v>
      </c>
      <c r="D2496" s="1" t="s">
        <v>174</v>
      </c>
      <c r="E2496" s="8">
        <v>1256510</v>
      </c>
      <c r="F2496" s="5">
        <v>3406390</v>
      </c>
    </row>
    <row r="2497" spans="1:6" x14ac:dyDescent="0.25">
      <c r="A2497" s="5">
        <v>3406390</v>
      </c>
      <c r="B2497" s="1">
        <v>2017</v>
      </c>
      <c r="C2497" s="1" t="s">
        <v>1387</v>
      </c>
      <c r="D2497" s="1" t="s">
        <v>174</v>
      </c>
      <c r="E2497" s="8">
        <v>1741906</v>
      </c>
      <c r="F2497" s="5">
        <v>3406390</v>
      </c>
    </row>
    <row r="2498" spans="1:6" x14ac:dyDescent="0.25">
      <c r="A2498" s="5">
        <v>3406390</v>
      </c>
      <c r="B2498" s="1">
        <v>2018</v>
      </c>
      <c r="C2498" s="1" t="s">
        <v>1387</v>
      </c>
      <c r="D2498" s="1" t="s">
        <v>857</v>
      </c>
      <c r="E2498" s="8">
        <v>2365821</v>
      </c>
      <c r="F2498" s="5">
        <v>3406390</v>
      </c>
    </row>
    <row r="2499" spans="1:6" x14ac:dyDescent="0.25">
      <c r="A2499" s="5">
        <v>3406390</v>
      </c>
      <c r="B2499" s="1">
        <v>2019</v>
      </c>
      <c r="C2499" s="1" t="s">
        <v>1387</v>
      </c>
      <c r="D2499" s="1" t="s">
        <v>857</v>
      </c>
      <c r="E2499" s="8">
        <v>3052515</v>
      </c>
      <c r="F2499" s="5">
        <v>3406390</v>
      </c>
    </row>
    <row r="2500" spans="1:6" ht="20" x14ac:dyDescent="0.25">
      <c r="A2500" s="5">
        <v>3406390</v>
      </c>
      <c r="B2500" s="1">
        <v>2020</v>
      </c>
      <c r="C2500" s="1" t="s">
        <v>1387</v>
      </c>
      <c r="D2500" s="2" t="s">
        <v>857</v>
      </c>
      <c r="E2500" s="7">
        <v>3470682</v>
      </c>
      <c r="F2500" s="5">
        <v>3406390</v>
      </c>
    </row>
    <row r="2501" spans="1:6" ht="20" x14ac:dyDescent="0.25">
      <c r="A2501" s="5">
        <v>3406390</v>
      </c>
      <c r="B2501" s="1">
        <v>2021</v>
      </c>
      <c r="C2501" s="1" t="s">
        <v>1387</v>
      </c>
      <c r="D2501" s="3" t="s">
        <v>857</v>
      </c>
      <c r="E2501" s="7">
        <v>4579405</v>
      </c>
      <c r="F2501" s="5">
        <v>3406390</v>
      </c>
    </row>
    <row r="2502" spans="1:6" ht="20" x14ac:dyDescent="0.25">
      <c r="A2502" s="5">
        <v>3406390</v>
      </c>
      <c r="B2502" s="1">
        <v>2022</v>
      </c>
      <c r="C2502" s="1" t="s">
        <v>1387</v>
      </c>
      <c r="D2502" s="2" t="s">
        <v>857</v>
      </c>
      <c r="E2502" s="7">
        <v>6622272</v>
      </c>
      <c r="F2502" s="5">
        <v>3406390</v>
      </c>
    </row>
    <row r="2503" spans="1:6" ht="20" x14ac:dyDescent="0.25">
      <c r="A2503" s="5">
        <v>3406390</v>
      </c>
      <c r="B2503" s="1">
        <v>2023</v>
      </c>
      <c r="C2503" s="1" t="s">
        <v>1387</v>
      </c>
      <c r="D2503" s="2" t="s">
        <v>857</v>
      </c>
      <c r="E2503" s="7">
        <v>6689868</v>
      </c>
      <c r="F2503" s="5">
        <v>3406390</v>
      </c>
    </row>
    <row r="2504" spans="1:6" x14ac:dyDescent="0.25">
      <c r="A2504" s="5">
        <v>3406420</v>
      </c>
      <c r="B2504" s="1">
        <v>2015</v>
      </c>
      <c r="C2504" s="1" t="s">
        <v>1387</v>
      </c>
      <c r="D2504" s="1" t="s">
        <v>121</v>
      </c>
      <c r="E2504" s="8">
        <v>202734</v>
      </c>
      <c r="F2504" s="5">
        <v>3406420</v>
      </c>
    </row>
    <row r="2505" spans="1:6" x14ac:dyDescent="0.25">
      <c r="A2505" s="5">
        <v>3406420</v>
      </c>
      <c r="B2505" s="1">
        <v>2016</v>
      </c>
      <c r="C2505" s="1" t="s">
        <v>1387</v>
      </c>
      <c r="D2505" s="1" t="s">
        <v>121</v>
      </c>
      <c r="E2505" s="8">
        <v>333768</v>
      </c>
      <c r="F2505" s="5">
        <v>3406420</v>
      </c>
    </row>
    <row r="2506" spans="1:6" x14ac:dyDescent="0.25">
      <c r="A2506" s="5">
        <v>3406420</v>
      </c>
      <c r="B2506" s="1">
        <v>2017</v>
      </c>
      <c r="C2506" s="1" t="s">
        <v>1387</v>
      </c>
      <c r="D2506" s="1" t="s">
        <v>121</v>
      </c>
      <c r="E2506" s="8">
        <v>455051</v>
      </c>
      <c r="F2506" s="5">
        <v>3406420</v>
      </c>
    </row>
    <row r="2507" spans="1:6" x14ac:dyDescent="0.25">
      <c r="A2507" s="5">
        <v>3406420</v>
      </c>
      <c r="B2507" s="1">
        <v>2018</v>
      </c>
      <c r="C2507" s="1" t="s">
        <v>1387</v>
      </c>
      <c r="D2507" s="1" t="s">
        <v>802</v>
      </c>
      <c r="E2507" s="8">
        <v>627929</v>
      </c>
      <c r="F2507" s="5">
        <v>3406420</v>
      </c>
    </row>
    <row r="2508" spans="1:6" x14ac:dyDescent="0.25">
      <c r="A2508" s="5">
        <v>3406420</v>
      </c>
      <c r="B2508" s="1">
        <v>2019</v>
      </c>
      <c r="C2508" s="1" t="s">
        <v>1387</v>
      </c>
      <c r="D2508" s="1" t="s">
        <v>802</v>
      </c>
      <c r="E2508" s="8">
        <v>816555</v>
      </c>
      <c r="F2508" s="5">
        <v>3406420</v>
      </c>
    </row>
    <row r="2509" spans="1:6" ht="20" x14ac:dyDescent="0.25">
      <c r="A2509" s="5">
        <v>3406420</v>
      </c>
      <c r="B2509" s="1">
        <v>2020</v>
      </c>
      <c r="C2509" s="1" t="s">
        <v>1387</v>
      </c>
      <c r="D2509" s="2" t="s">
        <v>802</v>
      </c>
      <c r="E2509" s="7">
        <v>947543</v>
      </c>
      <c r="F2509" s="5">
        <v>3406420</v>
      </c>
    </row>
    <row r="2510" spans="1:6" ht="20" x14ac:dyDescent="0.25">
      <c r="A2510" s="5">
        <v>3406420</v>
      </c>
      <c r="B2510" s="1">
        <v>2021</v>
      </c>
      <c r="C2510" s="1" t="s">
        <v>1387</v>
      </c>
      <c r="D2510" s="3" t="s">
        <v>802</v>
      </c>
      <c r="E2510" s="7">
        <v>1213857</v>
      </c>
      <c r="F2510" s="5">
        <v>3406420</v>
      </c>
    </row>
    <row r="2511" spans="1:6" ht="20" x14ac:dyDescent="0.25">
      <c r="A2511" s="5">
        <v>3406420</v>
      </c>
      <c r="B2511" s="1">
        <v>2022</v>
      </c>
      <c r="C2511" s="1" t="s">
        <v>1387</v>
      </c>
      <c r="D2511" s="2" t="s">
        <v>802</v>
      </c>
      <c r="E2511" s="7">
        <v>1702069</v>
      </c>
      <c r="F2511" s="5">
        <v>3406420</v>
      </c>
    </row>
    <row r="2512" spans="1:6" ht="20" x14ac:dyDescent="0.25">
      <c r="A2512" s="5">
        <v>3406420</v>
      </c>
      <c r="B2512" s="1">
        <v>2023</v>
      </c>
      <c r="C2512" s="1" t="s">
        <v>1387</v>
      </c>
      <c r="D2512" s="2" t="s">
        <v>802</v>
      </c>
      <c r="E2512" s="7">
        <v>1601118</v>
      </c>
      <c r="F2512" s="5">
        <v>3406420</v>
      </c>
    </row>
    <row r="2513" spans="1:6" x14ac:dyDescent="0.25">
      <c r="A2513" s="5">
        <v>3406450</v>
      </c>
      <c r="B2513" s="1">
        <v>2015</v>
      </c>
      <c r="C2513" s="1" t="s">
        <v>1387</v>
      </c>
      <c r="D2513" s="1" t="s">
        <v>527</v>
      </c>
      <c r="E2513" s="8">
        <v>357828</v>
      </c>
      <c r="F2513" s="5">
        <v>3406450</v>
      </c>
    </row>
    <row r="2514" spans="1:6" x14ac:dyDescent="0.25">
      <c r="A2514" s="5">
        <v>3406450</v>
      </c>
      <c r="B2514" s="1">
        <v>2016</v>
      </c>
      <c r="C2514" s="1" t="s">
        <v>1387</v>
      </c>
      <c r="D2514" s="1" t="s">
        <v>527</v>
      </c>
      <c r="E2514" s="8">
        <v>539182</v>
      </c>
      <c r="F2514" s="5">
        <v>3406450</v>
      </c>
    </row>
    <row r="2515" spans="1:6" x14ac:dyDescent="0.25">
      <c r="A2515" s="5">
        <v>3406450</v>
      </c>
      <c r="B2515" s="1">
        <v>2017</v>
      </c>
      <c r="C2515" s="1" t="s">
        <v>1387</v>
      </c>
      <c r="D2515" s="1" t="s">
        <v>527</v>
      </c>
      <c r="E2515" s="8">
        <v>824961</v>
      </c>
      <c r="F2515" s="5">
        <v>3406450</v>
      </c>
    </row>
    <row r="2516" spans="1:6" x14ac:dyDescent="0.25">
      <c r="A2516" s="5">
        <v>3406450</v>
      </c>
      <c r="B2516" s="1">
        <v>2018</v>
      </c>
      <c r="C2516" s="1" t="s">
        <v>1387</v>
      </c>
      <c r="D2516" s="1" t="s">
        <v>1219</v>
      </c>
      <c r="E2516" s="8">
        <v>1093879</v>
      </c>
      <c r="F2516" s="5">
        <v>3406450</v>
      </c>
    </row>
    <row r="2517" spans="1:6" x14ac:dyDescent="0.25">
      <c r="A2517" s="5">
        <v>3406450</v>
      </c>
      <c r="B2517" s="1">
        <v>2019</v>
      </c>
      <c r="C2517" s="1" t="s">
        <v>1387</v>
      </c>
      <c r="D2517" s="1" t="s">
        <v>1219</v>
      </c>
      <c r="E2517" s="8">
        <v>1460903</v>
      </c>
      <c r="F2517" s="5">
        <v>3406450</v>
      </c>
    </row>
    <row r="2518" spans="1:6" ht="20" x14ac:dyDescent="0.25">
      <c r="A2518" s="5">
        <v>3406450</v>
      </c>
      <c r="B2518" s="1">
        <v>2020</v>
      </c>
      <c r="C2518" s="1" t="s">
        <v>1387</v>
      </c>
      <c r="D2518" s="2" t="s">
        <v>1219</v>
      </c>
      <c r="E2518" s="7">
        <v>1622026</v>
      </c>
      <c r="F2518" s="5">
        <v>3406450</v>
      </c>
    </row>
    <row r="2519" spans="1:6" ht="20" x14ac:dyDescent="0.25">
      <c r="A2519" s="5">
        <v>3406450</v>
      </c>
      <c r="B2519" s="1">
        <v>2021</v>
      </c>
      <c r="C2519" s="1" t="s">
        <v>1387</v>
      </c>
      <c r="D2519" s="3" t="s">
        <v>1219</v>
      </c>
      <c r="E2519" s="7">
        <v>2156024</v>
      </c>
      <c r="F2519" s="5">
        <v>3406450</v>
      </c>
    </row>
    <row r="2520" spans="1:6" ht="20" x14ac:dyDescent="0.25">
      <c r="A2520" s="5">
        <v>3406450</v>
      </c>
      <c r="B2520" s="1">
        <v>2022</v>
      </c>
      <c r="C2520" s="1" t="s">
        <v>1387</v>
      </c>
      <c r="D2520" s="2" t="s">
        <v>1219</v>
      </c>
      <c r="E2520" s="7">
        <v>3031877</v>
      </c>
      <c r="F2520" s="5">
        <v>3406450</v>
      </c>
    </row>
    <row r="2521" spans="1:6" ht="20" x14ac:dyDescent="0.25">
      <c r="A2521" s="5">
        <v>3406450</v>
      </c>
      <c r="B2521" s="1">
        <v>2023</v>
      </c>
      <c r="C2521" s="1" t="s">
        <v>1387</v>
      </c>
      <c r="D2521" s="2" t="s">
        <v>1219</v>
      </c>
      <c r="E2521" s="7">
        <v>2876292</v>
      </c>
      <c r="F2521" s="5">
        <v>3406450</v>
      </c>
    </row>
    <row r="2522" spans="1:6" x14ac:dyDescent="0.25">
      <c r="A2522" s="5">
        <v>3406480</v>
      </c>
      <c r="B2522" s="1">
        <v>2015</v>
      </c>
      <c r="C2522" s="1" t="s">
        <v>1387</v>
      </c>
      <c r="D2522" s="1" t="s">
        <v>589</v>
      </c>
      <c r="E2522" s="8">
        <v>122938</v>
      </c>
      <c r="F2522" s="5">
        <v>3406480</v>
      </c>
    </row>
    <row r="2523" spans="1:6" x14ac:dyDescent="0.25">
      <c r="A2523" s="5">
        <v>3406480</v>
      </c>
      <c r="B2523" s="1">
        <v>2016</v>
      </c>
      <c r="C2523" s="1" t="s">
        <v>1387</v>
      </c>
      <c r="D2523" s="1" t="s">
        <v>589</v>
      </c>
      <c r="E2523" s="8">
        <v>184651</v>
      </c>
      <c r="F2523" s="5">
        <v>3406480</v>
      </c>
    </row>
    <row r="2524" spans="1:6" x14ac:dyDescent="0.25">
      <c r="A2524" s="5">
        <v>3406480</v>
      </c>
      <c r="B2524" s="1">
        <v>2017</v>
      </c>
      <c r="C2524" s="1" t="s">
        <v>1387</v>
      </c>
      <c r="D2524" s="1" t="s">
        <v>589</v>
      </c>
      <c r="E2524" s="8">
        <v>255575</v>
      </c>
      <c r="F2524" s="5">
        <v>3406480</v>
      </c>
    </row>
    <row r="2525" spans="1:6" x14ac:dyDescent="0.25">
      <c r="A2525" s="5">
        <v>3406480</v>
      </c>
      <c r="B2525" s="1">
        <v>2018</v>
      </c>
      <c r="C2525" s="1" t="s">
        <v>1387</v>
      </c>
      <c r="D2525" s="1" t="s">
        <v>1282</v>
      </c>
      <c r="E2525" s="8">
        <v>355903</v>
      </c>
      <c r="F2525" s="5">
        <v>3406480</v>
      </c>
    </row>
    <row r="2526" spans="1:6" x14ac:dyDescent="0.25">
      <c r="A2526" s="5">
        <v>3406480</v>
      </c>
      <c r="B2526" s="1">
        <v>2019</v>
      </c>
      <c r="C2526" s="1" t="s">
        <v>1387</v>
      </c>
      <c r="D2526" s="1" t="s">
        <v>1282</v>
      </c>
      <c r="E2526" s="8">
        <v>493236</v>
      </c>
      <c r="F2526" s="5">
        <v>3406480</v>
      </c>
    </row>
    <row r="2527" spans="1:6" ht="20" x14ac:dyDescent="0.25">
      <c r="A2527" s="5">
        <v>3406480</v>
      </c>
      <c r="B2527" s="1">
        <v>2020</v>
      </c>
      <c r="C2527" s="1" t="s">
        <v>1387</v>
      </c>
      <c r="D2527" s="2" t="s">
        <v>1282</v>
      </c>
      <c r="E2527" s="7">
        <v>546745</v>
      </c>
      <c r="F2527" s="5">
        <v>3406480</v>
      </c>
    </row>
    <row r="2528" spans="1:6" ht="20" x14ac:dyDescent="0.25">
      <c r="A2528" s="5">
        <v>3406480</v>
      </c>
      <c r="B2528" s="1">
        <v>2021</v>
      </c>
      <c r="C2528" s="1" t="s">
        <v>1387</v>
      </c>
      <c r="D2528" s="3" t="s">
        <v>1282</v>
      </c>
      <c r="E2528" s="7">
        <v>687051</v>
      </c>
      <c r="F2528" s="5">
        <v>3406480</v>
      </c>
    </row>
    <row r="2529" spans="1:6" ht="20" x14ac:dyDescent="0.25">
      <c r="A2529" s="5">
        <v>3406480</v>
      </c>
      <c r="B2529" s="1">
        <v>2022</v>
      </c>
      <c r="C2529" s="1" t="s">
        <v>1387</v>
      </c>
      <c r="D2529" s="2" t="s">
        <v>1282</v>
      </c>
      <c r="E2529" s="7">
        <v>947570</v>
      </c>
      <c r="F2529" s="5">
        <v>3406480</v>
      </c>
    </row>
    <row r="2530" spans="1:6" ht="20" x14ac:dyDescent="0.25">
      <c r="A2530" s="5">
        <v>3406480</v>
      </c>
      <c r="B2530" s="1">
        <v>2023</v>
      </c>
      <c r="C2530" s="1" t="s">
        <v>1387</v>
      </c>
      <c r="D2530" s="2" t="s">
        <v>1282</v>
      </c>
      <c r="E2530" s="7">
        <v>900460</v>
      </c>
      <c r="F2530" s="5">
        <v>3406480</v>
      </c>
    </row>
    <row r="2531" spans="1:6" x14ac:dyDescent="0.25">
      <c r="A2531" s="5">
        <v>3406510</v>
      </c>
      <c r="B2531" s="1">
        <v>2015</v>
      </c>
      <c r="C2531" s="1" t="s">
        <v>1387</v>
      </c>
      <c r="D2531" s="1" t="s">
        <v>14</v>
      </c>
      <c r="E2531" s="8">
        <v>951125</v>
      </c>
      <c r="F2531" s="5">
        <v>3406510</v>
      </c>
    </row>
    <row r="2532" spans="1:6" x14ac:dyDescent="0.25">
      <c r="A2532" s="5">
        <v>3406510</v>
      </c>
      <c r="B2532" s="1">
        <v>2016</v>
      </c>
      <c r="C2532" s="1" t="s">
        <v>1387</v>
      </c>
      <c r="D2532" s="1" t="s">
        <v>14</v>
      </c>
      <c r="E2532" s="8">
        <v>1481037</v>
      </c>
      <c r="F2532" s="5">
        <v>3406510</v>
      </c>
    </row>
    <row r="2533" spans="1:6" x14ac:dyDescent="0.25">
      <c r="A2533" s="5">
        <v>3406510</v>
      </c>
      <c r="B2533" s="1">
        <v>2017</v>
      </c>
      <c r="C2533" s="1" t="s">
        <v>1387</v>
      </c>
      <c r="D2533" s="1" t="s">
        <v>14</v>
      </c>
      <c r="E2533" s="8">
        <v>2102750</v>
      </c>
      <c r="F2533" s="5">
        <v>3406510</v>
      </c>
    </row>
    <row r="2534" spans="1:6" x14ac:dyDescent="0.25">
      <c r="A2534" s="5">
        <v>3406510</v>
      </c>
      <c r="B2534" s="1">
        <v>2018</v>
      </c>
      <c r="C2534" s="1" t="s">
        <v>1387</v>
      </c>
      <c r="D2534" s="1" t="s">
        <v>693</v>
      </c>
      <c r="E2534" s="8">
        <v>2770406</v>
      </c>
      <c r="F2534" s="5">
        <v>3406510</v>
      </c>
    </row>
    <row r="2535" spans="1:6" x14ac:dyDescent="0.25">
      <c r="A2535" s="5">
        <v>3406510</v>
      </c>
      <c r="B2535" s="1">
        <v>2019</v>
      </c>
      <c r="C2535" s="1" t="s">
        <v>1387</v>
      </c>
      <c r="D2535" s="1" t="s">
        <v>693</v>
      </c>
      <c r="E2535" s="8">
        <v>3642971</v>
      </c>
      <c r="F2535" s="5">
        <v>3406510</v>
      </c>
    </row>
    <row r="2536" spans="1:6" ht="20" x14ac:dyDescent="0.25">
      <c r="A2536" s="5">
        <v>3406510</v>
      </c>
      <c r="B2536" s="1">
        <v>2020</v>
      </c>
      <c r="C2536" s="1" t="s">
        <v>1387</v>
      </c>
      <c r="D2536" s="2" t="s">
        <v>693</v>
      </c>
      <c r="E2536" s="7">
        <v>4327808</v>
      </c>
      <c r="F2536" s="5">
        <v>3406510</v>
      </c>
    </row>
    <row r="2537" spans="1:6" ht="20" x14ac:dyDescent="0.25">
      <c r="A2537" s="5">
        <v>3406510</v>
      </c>
      <c r="B2537" s="1">
        <v>2021</v>
      </c>
      <c r="C2537" s="1" t="s">
        <v>1387</v>
      </c>
      <c r="D2537" s="3" t="s">
        <v>693</v>
      </c>
      <c r="E2537" s="7">
        <v>5773558</v>
      </c>
      <c r="F2537" s="5">
        <v>3406510</v>
      </c>
    </row>
    <row r="2538" spans="1:6" ht="20" x14ac:dyDescent="0.25">
      <c r="A2538" s="5">
        <v>3406510</v>
      </c>
      <c r="B2538" s="1">
        <v>2022</v>
      </c>
      <c r="C2538" s="1" t="s">
        <v>1387</v>
      </c>
      <c r="D2538" s="2" t="s">
        <v>693</v>
      </c>
      <c r="E2538" s="7">
        <v>8101691</v>
      </c>
      <c r="F2538" s="5">
        <v>3406510</v>
      </c>
    </row>
    <row r="2539" spans="1:6" ht="20" x14ac:dyDescent="0.25">
      <c r="A2539" s="5">
        <v>3406510</v>
      </c>
      <c r="B2539" s="1">
        <v>2023</v>
      </c>
      <c r="C2539" s="1" t="s">
        <v>1387</v>
      </c>
      <c r="D2539" s="2" t="s">
        <v>693</v>
      </c>
      <c r="E2539" s="7">
        <v>7968206</v>
      </c>
      <c r="F2539" s="5">
        <v>3406510</v>
      </c>
    </row>
    <row r="2540" spans="1:6" x14ac:dyDescent="0.25">
      <c r="A2540" s="5">
        <v>3406540</v>
      </c>
      <c r="B2540" s="1">
        <v>2015</v>
      </c>
      <c r="C2540" s="1" t="s">
        <v>1387</v>
      </c>
      <c r="D2540" s="1" t="s">
        <v>358</v>
      </c>
      <c r="E2540" s="8">
        <v>4284829</v>
      </c>
      <c r="F2540" s="5">
        <v>3406540</v>
      </c>
    </row>
    <row r="2541" spans="1:6" x14ac:dyDescent="0.25">
      <c r="A2541" s="5">
        <v>3406540</v>
      </c>
      <c r="B2541" s="1">
        <v>2016</v>
      </c>
      <c r="C2541" s="1" t="s">
        <v>1387</v>
      </c>
      <c r="D2541" s="1" t="s">
        <v>358</v>
      </c>
      <c r="E2541" s="8">
        <v>6331131</v>
      </c>
      <c r="F2541" s="5">
        <v>3406540</v>
      </c>
    </row>
    <row r="2542" spans="1:6" x14ac:dyDescent="0.25">
      <c r="A2542" s="5">
        <v>3406540</v>
      </c>
      <c r="B2542" s="1">
        <v>2017</v>
      </c>
      <c r="C2542" s="1" t="s">
        <v>1387</v>
      </c>
      <c r="D2542" s="1" t="s">
        <v>358</v>
      </c>
      <c r="E2542" s="8">
        <v>8894180</v>
      </c>
      <c r="F2542" s="5">
        <v>3406540</v>
      </c>
    </row>
    <row r="2543" spans="1:6" x14ac:dyDescent="0.25">
      <c r="A2543" s="5">
        <v>3406540</v>
      </c>
      <c r="B2543" s="1">
        <v>2018</v>
      </c>
      <c r="C2543" s="1" t="s">
        <v>1387</v>
      </c>
      <c r="D2543" s="1" t="s">
        <v>1048</v>
      </c>
      <c r="E2543" s="8">
        <v>11453136</v>
      </c>
      <c r="F2543" s="5">
        <v>3406540</v>
      </c>
    </row>
    <row r="2544" spans="1:6" x14ac:dyDescent="0.25">
      <c r="A2544" s="5">
        <v>3406540</v>
      </c>
      <c r="B2544" s="1">
        <v>2019</v>
      </c>
      <c r="C2544" s="1" t="s">
        <v>1387</v>
      </c>
      <c r="D2544" s="1" t="s">
        <v>1048</v>
      </c>
      <c r="E2544" s="8">
        <v>15702343</v>
      </c>
      <c r="F2544" s="5">
        <v>3406540</v>
      </c>
    </row>
    <row r="2545" spans="1:6" ht="20" x14ac:dyDescent="0.25">
      <c r="A2545" s="5">
        <v>3406540</v>
      </c>
      <c r="B2545" s="1">
        <v>2020</v>
      </c>
      <c r="C2545" s="1" t="s">
        <v>1387</v>
      </c>
      <c r="D2545" s="2" t="s">
        <v>1048</v>
      </c>
      <c r="E2545" s="7">
        <v>17574391</v>
      </c>
      <c r="F2545" s="5">
        <v>3406540</v>
      </c>
    </row>
    <row r="2546" spans="1:6" ht="20" x14ac:dyDescent="0.25">
      <c r="A2546" s="5">
        <v>3406540</v>
      </c>
      <c r="B2546" s="1">
        <v>2021</v>
      </c>
      <c r="C2546" s="1" t="s">
        <v>1387</v>
      </c>
      <c r="D2546" s="3" t="s">
        <v>1048</v>
      </c>
      <c r="E2546" s="7">
        <v>22070994</v>
      </c>
      <c r="F2546" s="5">
        <v>3406540</v>
      </c>
    </row>
    <row r="2547" spans="1:6" ht="20" x14ac:dyDescent="0.25">
      <c r="A2547" s="5">
        <v>3406540</v>
      </c>
      <c r="B2547" s="1">
        <v>2022</v>
      </c>
      <c r="C2547" s="1" t="s">
        <v>1387</v>
      </c>
      <c r="D2547" s="2" t="s">
        <v>1048</v>
      </c>
      <c r="E2547" s="7">
        <v>32282619</v>
      </c>
      <c r="F2547" s="5">
        <v>3406540</v>
      </c>
    </row>
    <row r="2548" spans="1:6" ht="20" x14ac:dyDescent="0.25">
      <c r="A2548" s="5">
        <v>3406540</v>
      </c>
      <c r="B2548" s="1">
        <v>2023</v>
      </c>
      <c r="C2548" s="1" t="s">
        <v>1387</v>
      </c>
      <c r="D2548" s="2" t="s">
        <v>1048</v>
      </c>
      <c r="E2548" s="7">
        <v>32641471</v>
      </c>
      <c r="F2548" s="5">
        <v>3406540</v>
      </c>
    </row>
    <row r="2549" spans="1:6" x14ac:dyDescent="0.25">
      <c r="A2549" s="5">
        <v>3406570</v>
      </c>
      <c r="B2549" s="1">
        <v>2015</v>
      </c>
      <c r="C2549" s="1" t="s">
        <v>1387</v>
      </c>
      <c r="D2549" s="1" t="s">
        <v>15</v>
      </c>
      <c r="E2549" s="8">
        <v>1045458</v>
      </c>
      <c r="F2549" s="5">
        <v>3406570</v>
      </c>
    </row>
    <row r="2550" spans="1:6" x14ac:dyDescent="0.25">
      <c r="A2550" s="5">
        <v>3406570</v>
      </c>
      <c r="B2550" s="1">
        <v>2016</v>
      </c>
      <c r="C2550" s="1" t="s">
        <v>1387</v>
      </c>
      <c r="D2550" s="1" t="s">
        <v>15</v>
      </c>
      <c r="E2550" s="8">
        <v>1556248</v>
      </c>
      <c r="F2550" s="5">
        <v>3406570</v>
      </c>
    </row>
    <row r="2551" spans="1:6" x14ac:dyDescent="0.25">
      <c r="A2551" s="5">
        <v>3406570</v>
      </c>
      <c r="B2551" s="1">
        <v>2017</v>
      </c>
      <c r="C2551" s="1" t="s">
        <v>1387</v>
      </c>
      <c r="D2551" s="1" t="s">
        <v>15</v>
      </c>
      <c r="E2551" s="8">
        <v>2211436</v>
      </c>
      <c r="F2551" s="5">
        <v>3406570</v>
      </c>
    </row>
    <row r="2552" spans="1:6" x14ac:dyDescent="0.25">
      <c r="A2552" s="5">
        <v>3406570</v>
      </c>
      <c r="B2552" s="1">
        <v>2018</v>
      </c>
      <c r="C2552" s="1" t="s">
        <v>1387</v>
      </c>
      <c r="D2552" s="1" t="s">
        <v>694</v>
      </c>
      <c r="E2552" s="8">
        <v>2947298</v>
      </c>
      <c r="F2552" s="5">
        <v>3406570</v>
      </c>
    </row>
    <row r="2553" spans="1:6" x14ac:dyDescent="0.25">
      <c r="A2553" s="5">
        <v>3406570</v>
      </c>
      <c r="B2553" s="1">
        <v>2019</v>
      </c>
      <c r="C2553" s="1" t="s">
        <v>1387</v>
      </c>
      <c r="D2553" s="1" t="s">
        <v>694</v>
      </c>
      <c r="E2553" s="8">
        <v>3995833</v>
      </c>
      <c r="F2553" s="5">
        <v>3406570</v>
      </c>
    </row>
    <row r="2554" spans="1:6" ht="20" x14ac:dyDescent="0.25">
      <c r="A2554" s="5">
        <v>3406570</v>
      </c>
      <c r="B2554" s="1">
        <v>2020</v>
      </c>
      <c r="C2554" s="1" t="s">
        <v>1387</v>
      </c>
      <c r="D2554" s="2" t="s">
        <v>694</v>
      </c>
      <c r="E2554" s="7">
        <v>4493804</v>
      </c>
      <c r="F2554" s="5">
        <v>3406570</v>
      </c>
    </row>
    <row r="2555" spans="1:6" ht="20" x14ac:dyDescent="0.25">
      <c r="A2555" s="5">
        <v>3406570</v>
      </c>
      <c r="B2555" s="1">
        <v>2021</v>
      </c>
      <c r="C2555" s="1" t="s">
        <v>1387</v>
      </c>
      <c r="D2555" s="3" t="s">
        <v>694</v>
      </c>
      <c r="E2555" s="7">
        <v>5853086</v>
      </c>
      <c r="F2555" s="5">
        <v>3406570</v>
      </c>
    </row>
    <row r="2556" spans="1:6" ht="20" x14ac:dyDescent="0.25">
      <c r="A2556" s="5">
        <v>3406570</v>
      </c>
      <c r="B2556" s="1">
        <v>2022</v>
      </c>
      <c r="C2556" s="1" t="s">
        <v>1387</v>
      </c>
      <c r="D2556" s="2" t="s">
        <v>694</v>
      </c>
      <c r="E2556" s="7">
        <v>8554663</v>
      </c>
      <c r="F2556" s="5">
        <v>3406570</v>
      </c>
    </row>
    <row r="2557" spans="1:6" ht="20" x14ac:dyDescent="0.25">
      <c r="A2557" s="5">
        <v>3406570</v>
      </c>
      <c r="B2557" s="1">
        <v>2023</v>
      </c>
      <c r="C2557" s="1" t="s">
        <v>1387</v>
      </c>
      <c r="D2557" s="2" t="s">
        <v>694</v>
      </c>
      <c r="E2557" s="7">
        <v>8491842</v>
      </c>
      <c r="F2557" s="5">
        <v>3406570</v>
      </c>
    </row>
    <row r="2558" spans="1:6" x14ac:dyDescent="0.25">
      <c r="A2558" s="5">
        <v>3406600</v>
      </c>
      <c r="B2558" s="1">
        <v>2015</v>
      </c>
      <c r="C2558" s="1" t="s">
        <v>1387</v>
      </c>
      <c r="D2558" s="1" t="s">
        <v>337</v>
      </c>
      <c r="E2558" s="8">
        <v>66759</v>
      </c>
      <c r="F2558" s="5">
        <v>3406600</v>
      </c>
    </row>
    <row r="2559" spans="1:6" x14ac:dyDescent="0.25">
      <c r="A2559" s="5">
        <v>3406600</v>
      </c>
      <c r="B2559" s="1">
        <v>2016</v>
      </c>
      <c r="C2559" s="1" t="s">
        <v>1387</v>
      </c>
      <c r="D2559" s="1" t="s">
        <v>337</v>
      </c>
      <c r="E2559" s="8">
        <v>90570</v>
      </c>
      <c r="F2559" s="5">
        <v>3406600</v>
      </c>
    </row>
    <row r="2560" spans="1:6" x14ac:dyDescent="0.25">
      <c r="A2560" s="5">
        <v>3406600</v>
      </c>
      <c r="B2560" s="1">
        <v>2017</v>
      </c>
      <c r="C2560" s="1" t="s">
        <v>1387</v>
      </c>
      <c r="D2560" s="1" t="s">
        <v>337</v>
      </c>
      <c r="E2560" s="8">
        <v>105596</v>
      </c>
      <c r="F2560" s="5">
        <v>3406600</v>
      </c>
    </row>
    <row r="2561" spans="1:6" x14ac:dyDescent="0.25">
      <c r="A2561" s="5">
        <v>3406600</v>
      </c>
      <c r="B2561" s="1">
        <v>2018</v>
      </c>
      <c r="C2561" s="1" t="s">
        <v>1387</v>
      </c>
      <c r="D2561" s="1" t="s">
        <v>1030</v>
      </c>
      <c r="E2561" s="8">
        <v>188482</v>
      </c>
      <c r="F2561" s="5">
        <v>3406600</v>
      </c>
    </row>
    <row r="2562" spans="1:6" x14ac:dyDescent="0.25">
      <c r="A2562" s="5">
        <v>3406600</v>
      </c>
      <c r="B2562" s="1">
        <v>2019</v>
      </c>
      <c r="C2562" s="1" t="s">
        <v>1387</v>
      </c>
      <c r="D2562" s="1" t="s">
        <v>1030</v>
      </c>
      <c r="E2562" s="8">
        <v>252915</v>
      </c>
      <c r="F2562" s="5">
        <v>3406600</v>
      </c>
    </row>
    <row r="2563" spans="1:6" ht="20" x14ac:dyDescent="0.25">
      <c r="A2563" s="5">
        <v>3406600</v>
      </c>
      <c r="B2563" s="1">
        <v>2020</v>
      </c>
      <c r="C2563" s="1" t="s">
        <v>1387</v>
      </c>
      <c r="D2563" s="2" t="s">
        <v>1030</v>
      </c>
      <c r="E2563" s="7">
        <v>264838</v>
      </c>
      <c r="F2563" s="5">
        <v>3406600</v>
      </c>
    </row>
    <row r="2564" spans="1:6" ht="20" x14ac:dyDescent="0.25">
      <c r="A2564" s="5">
        <v>3406600</v>
      </c>
      <c r="B2564" s="1">
        <v>2021</v>
      </c>
      <c r="C2564" s="1" t="s">
        <v>1387</v>
      </c>
      <c r="D2564" s="3" t="s">
        <v>1030</v>
      </c>
      <c r="E2564" s="7">
        <v>263515</v>
      </c>
      <c r="F2564" s="5">
        <v>3406600</v>
      </c>
    </row>
    <row r="2565" spans="1:6" ht="20" x14ac:dyDescent="0.25">
      <c r="A2565" s="5">
        <v>3406600</v>
      </c>
      <c r="B2565" s="1">
        <v>2022</v>
      </c>
      <c r="C2565" s="1" t="s">
        <v>1387</v>
      </c>
      <c r="D2565" s="2" t="s">
        <v>1030</v>
      </c>
      <c r="E2565" s="7">
        <v>376023</v>
      </c>
      <c r="F2565" s="5">
        <v>3406600</v>
      </c>
    </row>
    <row r="2566" spans="1:6" ht="20" x14ac:dyDescent="0.25">
      <c r="A2566" s="5">
        <v>3406600</v>
      </c>
      <c r="B2566" s="1">
        <v>2023</v>
      </c>
      <c r="C2566" s="1" t="s">
        <v>1387</v>
      </c>
      <c r="D2566" s="2" t="s">
        <v>1030</v>
      </c>
      <c r="E2566" s="7">
        <v>342691</v>
      </c>
      <c r="F2566" s="5">
        <v>3406600</v>
      </c>
    </row>
    <row r="2567" spans="1:6" x14ac:dyDescent="0.25">
      <c r="A2567" s="5">
        <v>3406630</v>
      </c>
      <c r="B2567" s="1">
        <v>2015</v>
      </c>
      <c r="C2567" s="1" t="s">
        <v>1387</v>
      </c>
      <c r="D2567" s="1" t="s">
        <v>590</v>
      </c>
      <c r="E2567" s="8">
        <v>160984</v>
      </c>
      <c r="F2567" s="5">
        <v>3406630</v>
      </c>
    </row>
    <row r="2568" spans="1:6" x14ac:dyDescent="0.25">
      <c r="A2568" s="5">
        <v>3406630</v>
      </c>
      <c r="B2568" s="1">
        <v>2016</v>
      </c>
      <c r="C2568" s="1" t="s">
        <v>1387</v>
      </c>
      <c r="D2568" s="1" t="s">
        <v>590</v>
      </c>
      <c r="E2568" s="8">
        <v>211184</v>
      </c>
      <c r="F2568" s="5">
        <v>3406630</v>
      </c>
    </row>
    <row r="2569" spans="1:6" x14ac:dyDescent="0.25">
      <c r="A2569" s="5">
        <v>3406630</v>
      </c>
      <c r="B2569" s="1">
        <v>2017</v>
      </c>
      <c r="C2569" s="1" t="s">
        <v>1387</v>
      </c>
      <c r="D2569" s="1" t="s">
        <v>590</v>
      </c>
      <c r="E2569" s="8">
        <v>316740</v>
      </c>
      <c r="F2569" s="5">
        <v>3406630</v>
      </c>
    </row>
    <row r="2570" spans="1:6" x14ac:dyDescent="0.25">
      <c r="A2570" s="5">
        <v>3406630</v>
      </c>
      <c r="B2570" s="1">
        <v>2018</v>
      </c>
      <c r="C2570" s="1" t="s">
        <v>1387</v>
      </c>
      <c r="D2570" s="1" t="s">
        <v>1283</v>
      </c>
      <c r="E2570" s="8">
        <v>387825</v>
      </c>
      <c r="F2570" s="5">
        <v>3406630</v>
      </c>
    </row>
    <row r="2571" spans="1:6" x14ac:dyDescent="0.25">
      <c r="A2571" s="5">
        <v>3406630</v>
      </c>
      <c r="B2571" s="1">
        <v>2019</v>
      </c>
      <c r="C2571" s="1" t="s">
        <v>1387</v>
      </c>
      <c r="D2571" s="1" t="s">
        <v>1283</v>
      </c>
      <c r="E2571" s="8">
        <v>555536</v>
      </c>
      <c r="F2571" s="5">
        <v>3406630</v>
      </c>
    </row>
    <row r="2572" spans="1:6" ht="20" x14ac:dyDescent="0.25">
      <c r="A2572" s="5">
        <v>3406630</v>
      </c>
      <c r="B2572" s="1">
        <v>2020</v>
      </c>
      <c r="C2572" s="1" t="s">
        <v>1387</v>
      </c>
      <c r="D2572" s="2" t="s">
        <v>1283</v>
      </c>
      <c r="E2572" s="7">
        <v>596846</v>
      </c>
      <c r="F2572" s="5">
        <v>3406630</v>
      </c>
    </row>
    <row r="2573" spans="1:6" ht="20" x14ac:dyDescent="0.25">
      <c r="A2573" s="5">
        <v>3406630</v>
      </c>
      <c r="B2573" s="1">
        <v>2021</v>
      </c>
      <c r="C2573" s="1" t="s">
        <v>1387</v>
      </c>
      <c r="D2573" s="3" t="s">
        <v>1283</v>
      </c>
      <c r="E2573" s="7">
        <v>755224</v>
      </c>
      <c r="F2573" s="5">
        <v>3406630</v>
      </c>
    </row>
    <row r="2574" spans="1:6" ht="20" x14ac:dyDescent="0.25">
      <c r="A2574" s="5">
        <v>3406630</v>
      </c>
      <c r="B2574" s="1">
        <v>2022</v>
      </c>
      <c r="C2574" s="1" t="s">
        <v>1387</v>
      </c>
      <c r="D2574" s="2" t="s">
        <v>1283</v>
      </c>
      <c r="E2574" s="7">
        <v>1054470</v>
      </c>
      <c r="F2574" s="5">
        <v>3406630</v>
      </c>
    </row>
    <row r="2575" spans="1:6" ht="20" x14ac:dyDescent="0.25">
      <c r="A2575" s="5">
        <v>3406630</v>
      </c>
      <c r="B2575" s="1">
        <v>2023</v>
      </c>
      <c r="C2575" s="1" t="s">
        <v>1387</v>
      </c>
      <c r="D2575" s="2" t="s">
        <v>1283</v>
      </c>
      <c r="E2575" s="7">
        <v>998703</v>
      </c>
      <c r="F2575" s="5">
        <v>3406630</v>
      </c>
    </row>
    <row r="2576" spans="1:6" x14ac:dyDescent="0.25">
      <c r="A2576" s="5">
        <v>3406660</v>
      </c>
      <c r="B2576" s="1">
        <v>2015</v>
      </c>
      <c r="C2576" s="1" t="s">
        <v>1387</v>
      </c>
      <c r="D2576" s="1" t="s">
        <v>463</v>
      </c>
      <c r="E2576" s="8">
        <v>638543</v>
      </c>
      <c r="F2576" s="5">
        <v>3406660</v>
      </c>
    </row>
    <row r="2577" spans="1:6" x14ac:dyDescent="0.25">
      <c r="A2577" s="5">
        <v>3406660</v>
      </c>
      <c r="B2577" s="1">
        <v>2016</v>
      </c>
      <c r="C2577" s="1" t="s">
        <v>1387</v>
      </c>
      <c r="D2577" s="1" t="s">
        <v>463</v>
      </c>
      <c r="E2577" s="8">
        <v>943858</v>
      </c>
      <c r="F2577" s="5">
        <v>3406660</v>
      </c>
    </row>
    <row r="2578" spans="1:6" x14ac:dyDescent="0.25">
      <c r="A2578" s="5">
        <v>3406660</v>
      </c>
      <c r="B2578" s="1">
        <v>2017</v>
      </c>
      <c r="C2578" s="1" t="s">
        <v>1387</v>
      </c>
      <c r="D2578" s="1" t="s">
        <v>463</v>
      </c>
      <c r="E2578" s="8">
        <v>1342103</v>
      </c>
      <c r="F2578" s="5">
        <v>3406660</v>
      </c>
    </row>
    <row r="2579" spans="1:6" x14ac:dyDescent="0.25">
      <c r="A2579" s="5">
        <v>3406660</v>
      </c>
      <c r="B2579" s="1">
        <v>2018</v>
      </c>
      <c r="C2579" s="1" t="s">
        <v>1387</v>
      </c>
      <c r="D2579" s="1" t="s">
        <v>1155</v>
      </c>
      <c r="E2579" s="8">
        <v>1778202</v>
      </c>
      <c r="F2579" s="5">
        <v>3406660</v>
      </c>
    </row>
    <row r="2580" spans="1:6" x14ac:dyDescent="0.25">
      <c r="A2580" s="5">
        <v>3406660</v>
      </c>
      <c r="B2580" s="1">
        <v>2019</v>
      </c>
      <c r="C2580" s="1" t="s">
        <v>1387</v>
      </c>
      <c r="D2580" s="1" t="s">
        <v>1155</v>
      </c>
      <c r="E2580" s="8">
        <v>2385406</v>
      </c>
      <c r="F2580" s="5">
        <v>3406660</v>
      </c>
    </row>
    <row r="2581" spans="1:6" ht="20" x14ac:dyDescent="0.25">
      <c r="A2581" s="5">
        <v>3406660</v>
      </c>
      <c r="B2581" s="1">
        <v>2020</v>
      </c>
      <c r="C2581" s="1" t="s">
        <v>1387</v>
      </c>
      <c r="D2581" s="2" t="s">
        <v>1155</v>
      </c>
      <c r="E2581" s="7">
        <v>2694665</v>
      </c>
      <c r="F2581" s="5">
        <v>3406660</v>
      </c>
    </row>
    <row r="2582" spans="1:6" ht="20" x14ac:dyDescent="0.25">
      <c r="A2582" s="5">
        <v>3406660</v>
      </c>
      <c r="B2582" s="1">
        <v>2021</v>
      </c>
      <c r="C2582" s="1" t="s">
        <v>1387</v>
      </c>
      <c r="D2582" s="3" t="s">
        <v>1155</v>
      </c>
      <c r="E2582" s="7">
        <v>3380081</v>
      </c>
      <c r="F2582" s="5">
        <v>3406660</v>
      </c>
    </row>
    <row r="2583" spans="1:6" ht="20" x14ac:dyDescent="0.25">
      <c r="A2583" s="5">
        <v>3406660</v>
      </c>
      <c r="B2583" s="1">
        <v>2022</v>
      </c>
      <c r="C2583" s="1" t="s">
        <v>1387</v>
      </c>
      <c r="D2583" s="2" t="s">
        <v>1155</v>
      </c>
      <c r="E2583" s="7">
        <v>4846654</v>
      </c>
      <c r="F2583" s="5">
        <v>3406660</v>
      </c>
    </row>
    <row r="2584" spans="1:6" ht="20" x14ac:dyDescent="0.25">
      <c r="A2584" s="5">
        <v>3406660</v>
      </c>
      <c r="B2584" s="1">
        <v>2023</v>
      </c>
      <c r="C2584" s="1" t="s">
        <v>1387</v>
      </c>
      <c r="D2584" s="2" t="s">
        <v>1155</v>
      </c>
      <c r="E2584" s="7">
        <v>4852712</v>
      </c>
      <c r="F2584" s="5">
        <v>3406660</v>
      </c>
    </row>
    <row r="2585" spans="1:6" x14ac:dyDescent="0.25">
      <c r="A2585" s="5">
        <v>3406690</v>
      </c>
      <c r="B2585" s="1">
        <v>2015</v>
      </c>
      <c r="C2585" s="1" t="s">
        <v>1387</v>
      </c>
      <c r="D2585" s="1" t="s">
        <v>464</v>
      </c>
      <c r="E2585" s="8">
        <v>564086</v>
      </c>
      <c r="F2585" s="5">
        <v>3406690</v>
      </c>
    </row>
    <row r="2586" spans="1:6" x14ac:dyDescent="0.25">
      <c r="A2586" s="5">
        <v>3406690</v>
      </c>
      <c r="B2586" s="1">
        <v>2016</v>
      </c>
      <c r="C2586" s="1" t="s">
        <v>1387</v>
      </c>
      <c r="D2586" s="1" t="s">
        <v>464</v>
      </c>
      <c r="E2586" s="8">
        <v>841191</v>
      </c>
      <c r="F2586" s="5">
        <v>3406690</v>
      </c>
    </row>
    <row r="2587" spans="1:6" x14ac:dyDescent="0.25">
      <c r="A2587" s="5">
        <v>3406690</v>
      </c>
      <c r="B2587" s="1">
        <v>2017</v>
      </c>
      <c r="C2587" s="1" t="s">
        <v>1387</v>
      </c>
      <c r="D2587" s="1" t="s">
        <v>464</v>
      </c>
      <c r="E2587" s="8">
        <v>1207774</v>
      </c>
      <c r="F2587" s="5">
        <v>3406690</v>
      </c>
    </row>
    <row r="2588" spans="1:6" x14ac:dyDescent="0.25">
      <c r="A2588" s="5">
        <v>3406690</v>
      </c>
      <c r="B2588" s="1">
        <v>2018</v>
      </c>
      <c r="C2588" s="1" t="s">
        <v>1387</v>
      </c>
      <c r="D2588" s="1" t="s">
        <v>1156</v>
      </c>
      <c r="E2588" s="8">
        <v>1648867</v>
      </c>
      <c r="F2588" s="5">
        <v>3406690</v>
      </c>
    </row>
    <row r="2589" spans="1:6" x14ac:dyDescent="0.25">
      <c r="A2589" s="5">
        <v>3406690</v>
      </c>
      <c r="B2589" s="1">
        <v>2019</v>
      </c>
      <c r="C2589" s="1" t="s">
        <v>1387</v>
      </c>
      <c r="D2589" s="1" t="s">
        <v>1156</v>
      </c>
      <c r="E2589" s="8">
        <v>2213908</v>
      </c>
      <c r="F2589" s="5">
        <v>3406690</v>
      </c>
    </row>
    <row r="2590" spans="1:6" ht="20" x14ac:dyDescent="0.25">
      <c r="A2590" s="5">
        <v>3406690</v>
      </c>
      <c r="B2590" s="1">
        <v>2020</v>
      </c>
      <c r="C2590" s="1" t="s">
        <v>1387</v>
      </c>
      <c r="D2590" s="2" t="s">
        <v>1156</v>
      </c>
      <c r="E2590" s="7">
        <v>2465971</v>
      </c>
      <c r="F2590" s="5">
        <v>3406690</v>
      </c>
    </row>
    <row r="2591" spans="1:6" ht="20" x14ac:dyDescent="0.25">
      <c r="A2591" s="5">
        <v>3406690</v>
      </c>
      <c r="B2591" s="1">
        <v>2021</v>
      </c>
      <c r="C2591" s="1" t="s">
        <v>1387</v>
      </c>
      <c r="D2591" s="3" t="s">
        <v>1156</v>
      </c>
      <c r="E2591" s="7">
        <v>3235936</v>
      </c>
      <c r="F2591" s="5">
        <v>3406690</v>
      </c>
    </row>
    <row r="2592" spans="1:6" ht="20" x14ac:dyDescent="0.25">
      <c r="A2592" s="5">
        <v>3406690</v>
      </c>
      <c r="B2592" s="1">
        <v>2022</v>
      </c>
      <c r="C2592" s="1" t="s">
        <v>1387</v>
      </c>
      <c r="D2592" s="2" t="s">
        <v>1156</v>
      </c>
      <c r="E2592" s="7">
        <v>4572384</v>
      </c>
      <c r="F2592" s="5">
        <v>3406690</v>
      </c>
    </row>
    <row r="2593" spans="1:6" ht="20" x14ac:dyDescent="0.25">
      <c r="A2593" s="5">
        <v>3406690</v>
      </c>
      <c r="B2593" s="1">
        <v>2023</v>
      </c>
      <c r="C2593" s="1" t="s">
        <v>1387</v>
      </c>
      <c r="D2593" s="2" t="s">
        <v>1156</v>
      </c>
      <c r="E2593" s="7">
        <v>4527139</v>
      </c>
      <c r="F2593" s="5">
        <v>3406690</v>
      </c>
    </row>
    <row r="2594" spans="1:6" x14ac:dyDescent="0.25">
      <c r="A2594" s="5">
        <v>3406720</v>
      </c>
      <c r="B2594" s="1">
        <v>2015</v>
      </c>
      <c r="C2594" s="1" t="s">
        <v>1387</v>
      </c>
      <c r="D2594" s="1" t="s">
        <v>465</v>
      </c>
      <c r="E2594" s="8">
        <v>140811</v>
      </c>
      <c r="F2594" s="5">
        <v>3406720</v>
      </c>
    </row>
    <row r="2595" spans="1:6" x14ac:dyDescent="0.25">
      <c r="A2595" s="5">
        <v>3406720</v>
      </c>
      <c r="B2595" s="1">
        <v>2016</v>
      </c>
      <c r="C2595" s="1" t="s">
        <v>1387</v>
      </c>
      <c r="D2595" s="1" t="s">
        <v>465</v>
      </c>
      <c r="E2595" s="8">
        <v>208495</v>
      </c>
      <c r="F2595" s="5">
        <v>3406720</v>
      </c>
    </row>
    <row r="2596" spans="1:6" x14ac:dyDescent="0.25">
      <c r="A2596" s="5">
        <v>3406720</v>
      </c>
      <c r="B2596" s="1">
        <v>2017</v>
      </c>
      <c r="C2596" s="1" t="s">
        <v>1387</v>
      </c>
      <c r="D2596" s="1" t="s">
        <v>465</v>
      </c>
      <c r="E2596" s="8">
        <v>310041</v>
      </c>
      <c r="F2596" s="5">
        <v>3406720</v>
      </c>
    </row>
    <row r="2597" spans="1:6" x14ac:dyDescent="0.25">
      <c r="A2597" s="5">
        <v>3406720</v>
      </c>
      <c r="B2597" s="1">
        <v>2018</v>
      </c>
      <c r="C2597" s="1" t="s">
        <v>1387</v>
      </c>
      <c r="D2597" s="1" t="s">
        <v>1157</v>
      </c>
      <c r="E2597" s="8">
        <v>439922</v>
      </c>
      <c r="F2597" s="5">
        <v>3406720</v>
      </c>
    </row>
    <row r="2598" spans="1:6" x14ac:dyDescent="0.25">
      <c r="A2598" s="5">
        <v>3406720</v>
      </c>
      <c r="B2598" s="1">
        <v>2019</v>
      </c>
      <c r="C2598" s="1" t="s">
        <v>1387</v>
      </c>
      <c r="D2598" s="1" t="s">
        <v>1157</v>
      </c>
      <c r="E2598" s="8">
        <v>566598</v>
      </c>
      <c r="F2598" s="5">
        <v>3406720</v>
      </c>
    </row>
    <row r="2599" spans="1:6" ht="20" x14ac:dyDescent="0.25">
      <c r="A2599" s="5">
        <v>3406720</v>
      </c>
      <c r="B2599" s="1">
        <v>2020</v>
      </c>
      <c r="C2599" s="1" t="s">
        <v>1387</v>
      </c>
      <c r="D2599" s="2" t="s">
        <v>1157</v>
      </c>
      <c r="E2599" s="7">
        <v>648613</v>
      </c>
      <c r="F2599" s="5">
        <v>3406720</v>
      </c>
    </row>
    <row r="2600" spans="1:6" ht="20" x14ac:dyDescent="0.25">
      <c r="A2600" s="5">
        <v>3406720</v>
      </c>
      <c r="B2600" s="1">
        <v>2021</v>
      </c>
      <c r="C2600" s="1" t="s">
        <v>1387</v>
      </c>
      <c r="D2600" s="3" t="s">
        <v>1157</v>
      </c>
      <c r="E2600" s="7">
        <v>857219</v>
      </c>
      <c r="F2600" s="5">
        <v>3406720</v>
      </c>
    </row>
    <row r="2601" spans="1:6" ht="20" x14ac:dyDescent="0.25">
      <c r="A2601" s="5">
        <v>3406720</v>
      </c>
      <c r="B2601" s="1">
        <v>2022</v>
      </c>
      <c r="C2601" s="1" t="s">
        <v>1387</v>
      </c>
      <c r="D2601" s="2" t="s">
        <v>1157</v>
      </c>
      <c r="E2601" s="7">
        <v>1171741</v>
      </c>
      <c r="F2601" s="5">
        <v>3406720</v>
      </c>
    </row>
    <row r="2602" spans="1:6" ht="20" x14ac:dyDescent="0.25">
      <c r="A2602" s="5">
        <v>3406720</v>
      </c>
      <c r="B2602" s="1">
        <v>2023</v>
      </c>
      <c r="C2602" s="1" t="s">
        <v>1387</v>
      </c>
      <c r="D2602" s="2" t="s">
        <v>1157</v>
      </c>
      <c r="E2602" s="7">
        <v>1302710</v>
      </c>
      <c r="F2602" s="5">
        <v>3406720</v>
      </c>
    </row>
    <row r="2603" spans="1:6" x14ac:dyDescent="0.25">
      <c r="A2603" s="5">
        <v>3406780</v>
      </c>
      <c r="B2603" s="1">
        <v>2015</v>
      </c>
      <c r="C2603" s="1" t="s">
        <v>1387</v>
      </c>
      <c r="D2603" s="1" t="s">
        <v>591</v>
      </c>
      <c r="E2603" s="8">
        <v>249385</v>
      </c>
      <c r="F2603" s="5">
        <v>3406780</v>
      </c>
    </row>
    <row r="2604" spans="1:6" x14ac:dyDescent="0.25">
      <c r="A2604" s="5">
        <v>3406780</v>
      </c>
      <c r="B2604" s="1">
        <v>2016</v>
      </c>
      <c r="C2604" s="1" t="s">
        <v>1387</v>
      </c>
      <c r="D2604" s="1" t="s">
        <v>591</v>
      </c>
      <c r="E2604" s="8">
        <v>371334</v>
      </c>
      <c r="F2604" s="5">
        <v>3406780</v>
      </c>
    </row>
    <row r="2605" spans="1:6" x14ac:dyDescent="0.25">
      <c r="A2605" s="5">
        <v>3406780</v>
      </c>
      <c r="B2605" s="1">
        <v>2017</v>
      </c>
      <c r="C2605" s="1" t="s">
        <v>1387</v>
      </c>
      <c r="D2605" s="1" t="s">
        <v>591</v>
      </c>
      <c r="E2605" s="8">
        <v>518803</v>
      </c>
      <c r="F2605" s="5">
        <v>3406780</v>
      </c>
    </row>
    <row r="2606" spans="1:6" x14ac:dyDescent="0.25">
      <c r="A2606" s="5">
        <v>3406780</v>
      </c>
      <c r="B2606" s="1">
        <v>2018</v>
      </c>
      <c r="C2606" s="1" t="s">
        <v>1387</v>
      </c>
      <c r="D2606" s="1" t="s">
        <v>1284</v>
      </c>
      <c r="E2606" s="8">
        <v>715391</v>
      </c>
      <c r="F2606" s="5">
        <v>3406780</v>
      </c>
    </row>
    <row r="2607" spans="1:6" x14ac:dyDescent="0.25">
      <c r="A2607" s="5">
        <v>3406780</v>
      </c>
      <c r="B2607" s="1">
        <v>2019</v>
      </c>
      <c r="C2607" s="1" t="s">
        <v>1387</v>
      </c>
      <c r="D2607" s="1" t="s">
        <v>1284</v>
      </c>
      <c r="E2607" s="8">
        <v>896413</v>
      </c>
      <c r="F2607" s="5">
        <v>3406780</v>
      </c>
    </row>
    <row r="2608" spans="1:6" ht="20" x14ac:dyDescent="0.25">
      <c r="A2608" s="5">
        <v>3406780</v>
      </c>
      <c r="B2608" s="1">
        <v>2020</v>
      </c>
      <c r="C2608" s="1" t="s">
        <v>1387</v>
      </c>
      <c r="D2608" s="2" t="s">
        <v>1284</v>
      </c>
      <c r="E2608" s="7">
        <v>1057571</v>
      </c>
      <c r="F2608" s="5">
        <v>3406780</v>
      </c>
    </row>
    <row r="2609" spans="1:6" ht="20" x14ac:dyDescent="0.25">
      <c r="A2609" s="5">
        <v>3406780</v>
      </c>
      <c r="B2609" s="1">
        <v>2021</v>
      </c>
      <c r="C2609" s="1" t="s">
        <v>1387</v>
      </c>
      <c r="D2609" s="3" t="s">
        <v>1284</v>
      </c>
      <c r="E2609" s="7">
        <v>1289554</v>
      </c>
      <c r="F2609" s="5">
        <v>3406780</v>
      </c>
    </row>
    <row r="2610" spans="1:6" ht="20" x14ac:dyDescent="0.25">
      <c r="A2610" s="5">
        <v>3406780</v>
      </c>
      <c r="B2610" s="1">
        <v>2022</v>
      </c>
      <c r="C2610" s="1" t="s">
        <v>1387</v>
      </c>
      <c r="D2610" s="2" t="s">
        <v>1284</v>
      </c>
      <c r="E2610" s="7">
        <v>1813964</v>
      </c>
      <c r="F2610" s="5">
        <v>3406780</v>
      </c>
    </row>
    <row r="2611" spans="1:6" ht="20" x14ac:dyDescent="0.25">
      <c r="A2611" s="5">
        <v>3406780</v>
      </c>
      <c r="B2611" s="1">
        <v>2023</v>
      </c>
      <c r="C2611" s="1" t="s">
        <v>1387</v>
      </c>
      <c r="D2611" s="2" t="s">
        <v>1284</v>
      </c>
      <c r="E2611" s="7">
        <v>1782242</v>
      </c>
      <c r="F2611" s="5">
        <v>3406780</v>
      </c>
    </row>
    <row r="2612" spans="1:6" x14ac:dyDescent="0.25">
      <c r="A2612" s="5">
        <v>3406810</v>
      </c>
      <c r="B2612" s="1">
        <v>2015</v>
      </c>
      <c r="C2612" s="1" t="s">
        <v>1387</v>
      </c>
      <c r="D2612" s="1" t="s">
        <v>646</v>
      </c>
      <c r="E2612" s="8">
        <v>101201</v>
      </c>
      <c r="F2612" s="5">
        <v>3406810</v>
      </c>
    </row>
    <row r="2613" spans="1:6" x14ac:dyDescent="0.25">
      <c r="A2613" s="5">
        <v>3406810</v>
      </c>
      <c r="B2613" s="1">
        <v>2016</v>
      </c>
      <c r="C2613" s="1" t="s">
        <v>1387</v>
      </c>
      <c r="D2613" s="1" t="s">
        <v>646</v>
      </c>
      <c r="E2613" s="8">
        <v>163497</v>
      </c>
      <c r="F2613" s="5">
        <v>3406810</v>
      </c>
    </row>
    <row r="2614" spans="1:6" x14ac:dyDescent="0.25">
      <c r="A2614" s="5">
        <v>3406810</v>
      </c>
      <c r="B2614" s="1">
        <v>2017</v>
      </c>
      <c r="C2614" s="1" t="s">
        <v>1387</v>
      </c>
      <c r="D2614" s="1" t="s">
        <v>646</v>
      </c>
      <c r="E2614" s="8">
        <v>236148</v>
      </c>
      <c r="F2614" s="5">
        <v>3406810</v>
      </c>
    </row>
    <row r="2615" spans="1:6" x14ac:dyDescent="0.25">
      <c r="A2615" s="5">
        <v>3406810</v>
      </c>
      <c r="B2615" s="1">
        <v>2018</v>
      </c>
      <c r="C2615" s="1" t="s">
        <v>1387</v>
      </c>
      <c r="D2615" s="1" t="s">
        <v>1339</v>
      </c>
      <c r="E2615" s="8">
        <v>301420</v>
      </c>
      <c r="F2615" s="5">
        <v>3406810</v>
      </c>
    </row>
    <row r="2616" spans="1:6" x14ac:dyDescent="0.25">
      <c r="A2616" s="5">
        <v>3406810</v>
      </c>
      <c r="B2616" s="1">
        <v>2019</v>
      </c>
      <c r="C2616" s="1" t="s">
        <v>1387</v>
      </c>
      <c r="D2616" s="1" t="s">
        <v>1339</v>
      </c>
      <c r="E2616" s="8">
        <v>410482</v>
      </c>
      <c r="F2616" s="5">
        <v>3406810</v>
      </c>
    </row>
    <row r="2617" spans="1:6" ht="20" x14ac:dyDescent="0.25">
      <c r="A2617" s="5">
        <v>3406810</v>
      </c>
      <c r="B2617" s="1">
        <v>2020</v>
      </c>
      <c r="C2617" s="1" t="s">
        <v>1387</v>
      </c>
      <c r="D2617" s="2" t="s">
        <v>1339</v>
      </c>
      <c r="E2617" s="7">
        <v>477032</v>
      </c>
      <c r="F2617" s="5">
        <v>3406810</v>
      </c>
    </row>
    <row r="2618" spans="1:6" ht="20" x14ac:dyDescent="0.25">
      <c r="A2618" s="5">
        <v>3406810</v>
      </c>
      <c r="B2618" s="1">
        <v>2021</v>
      </c>
      <c r="C2618" s="1" t="s">
        <v>1387</v>
      </c>
      <c r="D2618" s="3" t="s">
        <v>1339</v>
      </c>
      <c r="E2618" s="7">
        <v>596270</v>
      </c>
      <c r="F2618" s="5">
        <v>3406810</v>
      </c>
    </row>
    <row r="2619" spans="1:6" ht="20" x14ac:dyDescent="0.25">
      <c r="A2619" s="5">
        <v>3406810</v>
      </c>
      <c r="B2619" s="1">
        <v>2022</v>
      </c>
      <c r="C2619" s="1" t="s">
        <v>1387</v>
      </c>
      <c r="D2619" s="2" t="s">
        <v>1339</v>
      </c>
      <c r="E2619" s="7">
        <v>789894</v>
      </c>
      <c r="F2619" s="5">
        <v>3406810</v>
      </c>
    </row>
    <row r="2620" spans="1:6" ht="20" x14ac:dyDescent="0.25">
      <c r="A2620" s="5">
        <v>3406810</v>
      </c>
      <c r="B2620" s="1">
        <v>2023</v>
      </c>
      <c r="C2620" s="1" t="s">
        <v>1387</v>
      </c>
      <c r="D2620" s="2" t="s">
        <v>1339</v>
      </c>
      <c r="E2620" s="7">
        <v>844147</v>
      </c>
      <c r="F2620" s="5">
        <v>3406810</v>
      </c>
    </row>
    <row r="2621" spans="1:6" x14ac:dyDescent="0.25">
      <c r="A2621" s="5">
        <v>3406840</v>
      </c>
      <c r="B2621" s="1">
        <v>2015</v>
      </c>
      <c r="C2621" s="1" t="s">
        <v>1387</v>
      </c>
      <c r="D2621" s="1" t="s">
        <v>55</v>
      </c>
      <c r="E2621" s="8">
        <v>251643</v>
      </c>
      <c r="F2621" s="5">
        <v>3406840</v>
      </c>
    </row>
    <row r="2622" spans="1:6" x14ac:dyDescent="0.25">
      <c r="A2622" s="5">
        <v>3406840</v>
      </c>
      <c r="B2622" s="1">
        <v>2016</v>
      </c>
      <c r="C2622" s="1" t="s">
        <v>1387</v>
      </c>
      <c r="D2622" s="1" t="s">
        <v>55</v>
      </c>
      <c r="E2622" s="8">
        <v>395102</v>
      </c>
      <c r="F2622" s="5">
        <v>3406840</v>
      </c>
    </row>
    <row r="2623" spans="1:6" x14ac:dyDescent="0.25">
      <c r="A2623" s="5">
        <v>3406840</v>
      </c>
      <c r="B2623" s="1">
        <v>2017</v>
      </c>
      <c r="C2623" s="1" t="s">
        <v>1387</v>
      </c>
      <c r="D2623" s="1" t="s">
        <v>55</v>
      </c>
      <c r="E2623" s="8">
        <v>514110</v>
      </c>
      <c r="F2623" s="5">
        <v>3406840</v>
      </c>
    </row>
    <row r="2624" spans="1:6" x14ac:dyDescent="0.25">
      <c r="A2624" s="5">
        <v>3406840</v>
      </c>
      <c r="B2624" s="1">
        <v>2018</v>
      </c>
      <c r="C2624" s="1" t="s">
        <v>1387</v>
      </c>
      <c r="D2624" s="1" t="s">
        <v>733</v>
      </c>
      <c r="E2624" s="8">
        <v>682248</v>
      </c>
      <c r="F2624" s="5">
        <v>3406840</v>
      </c>
    </row>
    <row r="2625" spans="1:6" x14ac:dyDescent="0.25">
      <c r="A2625" s="5">
        <v>3406840</v>
      </c>
      <c r="B2625" s="1">
        <v>2019</v>
      </c>
      <c r="C2625" s="1" t="s">
        <v>1387</v>
      </c>
      <c r="D2625" s="1" t="s">
        <v>733</v>
      </c>
      <c r="E2625" s="8">
        <v>953750</v>
      </c>
      <c r="F2625" s="5">
        <v>3406840</v>
      </c>
    </row>
    <row r="2626" spans="1:6" ht="20" x14ac:dyDescent="0.25">
      <c r="A2626" s="5">
        <v>3406840</v>
      </c>
      <c r="B2626" s="1">
        <v>2020</v>
      </c>
      <c r="C2626" s="1" t="s">
        <v>1387</v>
      </c>
      <c r="D2626" s="2" t="s">
        <v>733</v>
      </c>
      <c r="E2626" s="7">
        <v>1032340</v>
      </c>
      <c r="F2626" s="5">
        <v>3406840</v>
      </c>
    </row>
    <row r="2627" spans="1:6" ht="20" x14ac:dyDescent="0.25">
      <c r="A2627" s="5">
        <v>3406840</v>
      </c>
      <c r="B2627" s="1">
        <v>2021</v>
      </c>
      <c r="C2627" s="1" t="s">
        <v>1387</v>
      </c>
      <c r="D2627" s="3" t="s">
        <v>733</v>
      </c>
      <c r="E2627" s="7">
        <v>1342332</v>
      </c>
      <c r="F2627" s="5">
        <v>3406840</v>
      </c>
    </row>
    <row r="2628" spans="1:6" ht="20" x14ac:dyDescent="0.25">
      <c r="A2628" s="5">
        <v>3406840</v>
      </c>
      <c r="B2628" s="1">
        <v>2022</v>
      </c>
      <c r="C2628" s="1" t="s">
        <v>1387</v>
      </c>
      <c r="D2628" s="2" t="s">
        <v>733</v>
      </c>
      <c r="E2628" s="7">
        <v>2006268</v>
      </c>
      <c r="F2628" s="5">
        <v>3406840</v>
      </c>
    </row>
    <row r="2629" spans="1:6" ht="20" x14ac:dyDescent="0.25">
      <c r="A2629" s="5">
        <v>3406840</v>
      </c>
      <c r="B2629" s="1">
        <v>2023</v>
      </c>
      <c r="C2629" s="1" t="s">
        <v>1387</v>
      </c>
      <c r="D2629" s="2" t="s">
        <v>733</v>
      </c>
      <c r="E2629" s="7">
        <v>2096627</v>
      </c>
      <c r="F2629" s="5">
        <v>3406840</v>
      </c>
    </row>
    <row r="2630" spans="1:6" x14ac:dyDescent="0.25">
      <c r="A2630" s="5">
        <v>3406870</v>
      </c>
      <c r="B2630" s="1">
        <v>2015</v>
      </c>
      <c r="C2630" s="1" t="s">
        <v>1387</v>
      </c>
      <c r="D2630" s="1" t="s">
        <v>307</v>
      </c>
      <c r="E2630" s="8">
        <v>880054</v>
      </c>
      <c r="F2630" s="5">
        <v>3406870</v>
      </c>
    </row>
    <row r="2631" spans="1:6" x14ac:dyDescent="0.25">
      <c r="A2631" s="5">
        <v>3406870</v>
      </c>
      <c r="B2631" s="1">
        <v>2016</v>
      </c>
      <c r="C2631" s="1" t="s">
        <v>1387</v>
      </c>
      <c r="D2631" s="1" t="s">
        <v>307</v>
      </c>
      <c r="E2631" s="8">
        <v>1367441</v>
      </c>
      <c r="F2631" s="5">
        <v>3406870</v>
      </c>
    </row>
    <row r="2632" spans="1:6" x14ac:dyDescent="0.25">
      <c r="A2632" s="5">
        <v>3406870</v>
      </c>
      <c r="B2632" s="1">
        <v>2017</v>
      </c>
      <c r="C2632" s="1" t="s">
        <v>1387</v>
      </c>
      <c r="D2632" s="1" t="s">
        <v>307</v>
      </c>
      <c r="E2632" s="8">
        <v>1846369</v>
      </c>
      <c r="F2632" s="5">
        <v>3406870</v>
      </c>
    </row>
    <row r="2633" spans="1:6" x14ac:dyDescent="0.25">
      <c r="A2633" s="5">
        <v>3406870</v>
      </c>
      <c r="B2633" s="1">
        <v>2018</v>
      </c>
      <c r="C2633" s="1" t="s">
        <v>1387</v>
      </c>
      <c r="D2633" s="1" t="s">
        <v>999</v>
      </c>
      <c r="E2633" s="8">
        <v>2695119</v>
      </c>
      <c r="F2633" s="5">
        <v>3406870</v>
      </c>
    </row>
    <row r="2634" spans="1:6" x14ac:dyDescent="0.25">
      <c r="A2634" s="5">
        <v>3406870</v>
      </c>
      <c r="B2634" s="1">
        <v>2019</v>
      </c>
      <c r="C2634" s="1" t="s">
        <v>1387</v>
      </c>
      <c r="D2634" s="1" t="s">
        <v>1366</v>
      </c>
      <c r="E2634" s="8">
        <v>3456038</v>
      </c>
      <c r="F2634" s="5">
        <v>3406870</v>
      </c>
    </row>
    <row r="2635" spans="1:6" ht="20" x14ac:dyDescent="0.25">
      <c r="A2635" s="5">
        <v>3406870</v>
      </c>
      <c r="B2635" s="1">
        <v>2020</v>
      </c>
      <c r="C2635" s="1" t="s">
        <v>1387</v>
      </c>
      <c r="D2635" s="2" t="s">
        <v>999</v>
      </c>
      <c r="E2635" s="7">
        <v>3791537</v>
      </c>
      <c r="F2635" s="5">
        <v>3406870</v>
      </c>
    </row>
    <row r="2636" spans="1:6" ht="20" x14ac:dyDescent="0.25">
      <c r="A2636" s="5">
        <v>3406870</v>
      </c>
      <c r="B2636" s="1">
        <v>2021</v>
      </c>
      <c r="C2636" s="1" t="s">
        <v>1387</v>
      </c>
      <c r="D2636" s="3" t="s">
        <v>999</v>
      </c>
      <c r="E2636" s="7">
        <v>4882087</v>
      </c>
      <c r="F2636" s="5">
        <v>3406870</v>
      </c>
    </row>
    <row r="2637" spans="1:6" ht="20" x14ac:dyDescent="0.25">
      <c r="A2637" s="5">
        <v>3406870</v>
      </c>
      <c r="B2637" s="1">
        <v>2022</v>
      </c>
      <c r="C2637" s="1" t="s">
        <v>1387</v>
      </c>
      <c r="D2637" s="2" t="s">
        <v>999</v>
      </c>
      <c r="E2637" s="7">
        <v>6916724</v>
      </c>
      <c r="F2637" s="5">
        <v>3406870</v>
      </c>
    </row>
    <row r="2638" spans="1:6" ht="20" x14ac:dyDescent="0.25">
      <c r="A2638" s="5">
        <v>3406870</v>
      </c>
      <c r="B2638" s="1">
        <v>2023</v>
      </c>
      <c r="C2638" s="1" t="s">
        <v>1387</v>
      </c>
      <c r="D2638" s="2" t="s">
        <v>999</v>
      </c>
      <c r="E2638" s="7">
        <v>6844008</v>
      </c>
      <c r="F2638" s="5">
        <v>3406870</v>
      </c>
    </row>
    <row r="2639" spans="1:6" x14ac:dyDescent="0.25">
      <c r="A2639" s="5">
        <v>3406900</v>
      </c>
      <c r="B2639" s="1">
        <v>2015</v>
      </c>
      <c r="C2639" s="1" t="s">
        <v>1387</v>
      </c>
      <c r="D2639" s="1" t="s">
        <v>285</v>
      </c>
      <c r="E2639" s="8">
        <v>426532</v>
      </c>
      <c r="F2639" s="5">
        <v>3406900</v>
      </c>
    </row>
    <row r="2640" spans="1:6" x14ac:dyDescent="0.25">
      <c r="A2640" s="5">
        <v>3406900</v>
      </c>
      <c r="B2640" s="1">
        <v>2016</v>
      </c>
      <c r="C2640" s="1" t="s">
        <v>1387</v>
      </c>
      <c r="D2640" s="1" t="s">
        <v>285</v>
      </c>
      <c r="E2640" s="8">
        <v>632262</v>
      </c>
      <c r="F2640" s="5">
        <v>3406900</v>
      </c>
    </row>
    <row r="2641" spans="1:6" x14ac:dyDescent="0.25">
      <c r="A2641" s="5">
        <v>3406900</v>
      </c>
      <c r="B2641" s="1">
        <v>2017</v>
      </c>
      <c r="C2641" s="1" t="s">
        <v>1387</v>
      </c>
      <c r="D2641" s="1" t="s">
        <v>285</v>
      </c>
      <c r="E2641" s="8">
        <v>897751</v>
      </c>
      <c r="F2641" s="5">
        <v>3406900</v>
      </c>
    </row>
    <row r="2642" spans="1:6" x14ac:dyDescent="0.25">
      <c r="A2642" s="5">
        <v>3406900</v>
      </c>
      <c r="B2642" s="1">
        <v>2018</v>
      </c>
      <c r="C2642" s="1" t="s">
        <v>1387</v>
      </c>
      <c r="D2642" s="1" t="s">
        <v>975</v>
      </c>
      <c r="E2642" s="8">
        <v>1229153</v>
      </c>
      <c r="F2642" s="5">
        <v>3406900</v>
      </c>
    </row>
    <row r="2643" spans="1:6" x14ac:dyDescent="0.25">
      <c r="A2643" s="5">
        <v>3406900</v>
      </c>
      <c r="B2643" s="1">
        <v>2019</v>
      </c>
      <c r="C2643" s="1" t="s">
        <v>1387</v>
      </c>
      <c r="D2643" s="1" t="s">
        <v>975</v>
      </c>
      <c r="E2643" s="8">
        <v>1717097</v>
      </c>
      <c r="F2643" s="5">
        <v>3406900</v>
      </c>
    </row>
    <row r="2644" spans="1:6" ht="20" x14ac:dyDescent="0.25">
      <c r="A2644" s="5">
        <v>3406900</v>
      </c>
      <c r="B2644" s="1">
        <v>2020</v>
      </c>
      <c r="C2644" s="1" t="s">
        <v>1387</v>
      </c>
      <c r="D2644" s="2" t="s">
        <v>975</v>
      </c>
      <c r="E2644" s="7">
        <v>1916095</v>
      </c>
      <c r="F2644" s="5">
        <v>3406900</v>
      </c>
    </row>
    <row r="2645" spans="1:6" ht="20" x14ac:dyDescent="0.25">
      <c r="A2645" s="5">
        <v>3406900</v>
      </c>
      <c r="B2645" s="1">
        <v>2021</v>
      </c>
      <c r="C2645" s="1" t="s">
        <v>1387</v>
      </c>
      <c r="D2645" s="3" t="s">
        <v>975</v>
      </c>
      <c r="E2645" s="7">
        <v>2465321</v>
      </c>
      <c r="F2645" s="5">
        <v>3406900</v>
      </c>
    </row>
    <row r="2646" spans="1:6" ht="20" x14ac:dyDescent="0.25">
      <c r="A2646" s="5">
        <v>3406900</v>
      </c>
      <c r="B2646" s="1">
        <v>2022</v>
      </c>
      <c r="C2646" s="1" t="s">
        <v>1387</v>
      </c>
      <c r="D2646" s="2" t="s">
        <v>975</v>
      </c>
      <c r="E2646" s="7">
        <v>3411994</v>
      </c>
      <c r="F2646" s="5">
        <v>3406900</v>
      </c>
    </row>
    <row r="2647" spans="1:6" ht="20" x14ac:dyDescent="0.25">
      <c r="A2647" s="5">
        <v>3406900</v>
      </c>
      <c r="B2647" s="1">
        <v>2023</v>
      </c>
      <c r="C2647" s="1" t="s">
        <v>1387</v>
      </c>
      <c r="D2647" s="2" t="s">
        <v>975</v>
      </c>
      <c r="E2647" s="7">
        <v>3396951</v>
      </c>
      <c r="F2647" s="5">
        <v>3406900</v>
      </c>
    </row>
    <row r="2648" spans="1:6" x14ac:dyDescent="0.25">
      <c r="A2648" s="5">
        <v>3406930</v>
      </c>
      <c r="B2648" s="1">
        <v>2015</v>
      </c>
      <c r="C2648" s="1" t="s">
        <v>1387</v>
      </c>
      <c r="D2648" s="1" t="s">
        <v>56</v>
      </c>
      <c r="E2648" s="8">
        <v>658943</v>
      </c>
      <c r="F2648" s="5">
        <v>3406930</v>
      </c>
    </row>
    <row r="2649" spans="1:6" x14ac:dyDescent="0.25">
      <c r="A2649" s="5">
        <v>3406930</v>
      </c>
      <c r="B2649" s="1">
        <v>2016</v>
      </c>
      <c r="C2649" s="1" t="s">
        <v>1387</v>
      </c>
      <c r="D2649" s="1" t="s">
        <v>56</v>
      </c>
      <c r="E2649" s="8">
        <v>955620</v>
      </c>
      <c r="F2649" s="5">
        <v>3406930</v>
      </c>
    </row>
    <row r="2650" spans="1:6" x14ac:dyDescent="0.25">
      <c r="A2650" s="5">
        <v>3406930</v>
      </c>
      <c r="B2650" s="1">
        <v>2017</v>
      </c>
      <c r="C2650" s="1" t="s">
        <v>1387</v>
      </c>
      <c r="D2650" s="1" t="s">
        <v>56</v>
      </c>
      <c r="E2650" s="8">
        <v>1432971</v>
      </c>
      <c r="F2650" s="5">
        <v>3406930</v>
      </c>
    </row>
    <row r="2651" spans="1:6" x14ac:dyDescent="0.25">
      <c r="A2651" s="5">
        <v>3406930</v>
      </c>
      <c r="B2651" s="1">
        <v>2018</v>
      </c>
      <c r="C2651" s="1" t="s">
        <v>1387</v>
      </c>
      <c r="D2651" s="1" t="s">
        <v>734</v>
      </c>
      <c r="E2651" s="8">
        <v>1932304</v>
      </c>
      <c r="F2651" s="5">
        <v>3406930</v>
      </c>
    </row>
    <row r="2652" spans="1:6" x14ac:dyDescent="0.25">
      <c r="A2652" s="5">
        <v>3406930</v>
      </c>
      <c r="B2652" s="1">
        <v>2019</v>
      </c>
      <c r="C2652" s="1" t="s">
        <v>1387</v>
      </c>
      <c r="D2652" s="1" t="s">
        <v>734</v>
      </c>
      <c r="E2652" s="8">
        <v>2547492</v>
      </c>
      <c r="F2652" s="5">
        <v>3406930</v>
      </c>
    </row>
    <row r="2653" spans="1:6" ht="20" x14ac:dyDescent="0.25">
      <c r="A2653" s="5">
        <v>3406930</v>
      </c>
      <c r="B2653" s="1">
        <v>2020</v>
      </c>
      <c r="C2653" s="1" t="s">
        <v>1387</v>
      </c>
      <c r="D2653" s="2" t="s">
        <v>734</v>
      </c>
      <c r="E2653" s="7">
        <v>2858478</v>
      </c>
      <c r="F2653" s="5">
        <v>3406930</v>
      </c>
    </row>
    <row r="2654" spans="1:6" ht="20" x14ac:dyDescent="0.25">
      <c r="A2654" s="5">
        <v>3406930</v>
      </c>
      <c r="B2654" s="1">
        <v>2021</v>
      </c>
      <c r="C2654" s="1" t="s">
        <v>1387</v>
      </c>
      <c r="D2654" s="3" t="s">
        <v>734</v>
      </c>
      <c r="E2654" s="7">
        <v>3714981</v>
      </c>
      <c r="F2654" s="5">
        <v>3406930</v>
      </c>
    </row>
    <row r="2655" spans="1:6" ht="20" x14ac:dyDescent="0.25">
      <c r="A2655" s="5">
        <v>3406930</v>
      </c>
      <c r="B2655" s="1">
        <v>2022</v>
      </c>
      <c r="C2655" s="1" t="s">
        <v>1387</v>
      </c>
      <c r="D2655" s="2" t="s">
        <v>734</v>
      </c>
      <c r="E2655" s="7">
        <v>5392598</v>
      </c>
      <c r="F2655" s="5">
        <v>3406930</v>
      </c>
    </row>
    <row r="2656" spans="1:6" ht="20" x14ac:dyDescent="0.25">
      <c r="A2656" s="5">
        <v>3406930</v>
      </c>
      <c r="B2656" s="1">
        <v>2023</v>
      </c>
      <c r="C2656" s="1" t="s">
        <v>1387</v>
      </c>
      <c r="D2656" s="2" t="s">
        <v>734</v>
      </c>
      <c r="E2656" s="7">
        <v>5429526</v>
      </c>
      <c r="F2656" s="5">
        <v>3406930</v>
      </c>
    </row>
    <row r="2657" spans="1:6" x14ac:dyDescent="0.25">
      <c r="A2657" s="5">
        <v>3406960</v>
      </c>
      <c r="B2657" s="1">
        <v>2015</v>
      </c>
      <c r="C2657" s="1" t="s">
        <v>1387</v>
      </c>
      <c r="D2657" s="1" t="s">
        <v>57</v>
      </c>
      <c r="E2657" s="8">
        <v>195215</v>
      </c>
      <c r="F2657" s="5">
        <v>3406960</v>
      </c>
    </row>
    <row r="2658" spans="1:6" x14ac:dyDescent="0.25">
      <c r="A2658" s="5">
        <v>3406960</v>
      </c>
      <c r="B2658" s="1">
        <v>2016</v>
      </c>
      <c r="C2658" s="1" t="s">
        <v>1387</v>
      </c>
      <c r="D2658" s="1" t="s">
        <v>57</v>
      </c>
      <c r="E2658" s="8">
        <v>311027</v>
      </c>
      <c r="F2658" s="5">
        <v>3406960</v>
      </c>
    </row>
    <row r="2659" spans="1:6" x14ac:dyDescent="0.25">
      <c r="A2659" s="5">
        <v>3406960</v>
      </c>
      <c r="B2659" s="1">
        <v>2017</v>
      </c>
      <c r="C2659" s="1" t="s">
        <v>1387</v>
      </c>
      <c r="D2659" s="1" t="s">
        <v>57</v>
      </c>
      <c r="E2659" s="8">
        <v>449803</v>
      </c>
      <c r="F2659" s="5">
        <v>3406960</v>
      </c>
    </row>
    <row r="2660" spans="1:6" x14ac:dyDescent="0.25">
      <c r="A2660" s="5">
        <v>3406960</v>
      </c>
      <c r="B2660" s="1">
        <v>2018</v>
      </c>
      <c r="C2660" s="1" t="s">
        <v>1387</v>
      </c>
      <c r="D2660" s="1" t="s">
        <v>735</v>
      </c>
      <c r="E2660" s="8">
        <v>566023</v>
      </c>
      <c r="F2660" s="5">
        <v>3406960</v>
      </c>
    </row>
    <row r="2661" spans="1:6" x14ac:dyDescent="0.25">
      <c r="A2661" s="5">
        <v>3406960</v>
      </c>
      <c r="B2661" s="1">
        <v>2019</v>
      </c>
      <c r="C2661" s="1" t="s">
        <v>1387</v>
      </c>
      <c r="D2661" s="1" t="s">
        <v>735</v>
      </c>
      <c r="E2661" s="8">
        <v>700961</v>
      </c>
      <c r="F2661" s="5">
        <v>3406960</v>
      </c>
    </row>
    <row r="2662" spans="1:6" ht="20" x14ac:dyDescent="0.25">
      <c r="A2662" s="5">
        <v>3406960</v>
      </c>
      <c r="B2662" s="1">
        <v>2020</v>
      </c>
      <c r="C2662" s="1" t="s">
        <v>1387</v>
      </c>
      <c r="D2662" s="2" t="s">
        <v>735</v>
      </c>
      <c r="E2662" s="7">
        <v>908836</v>
      </c>
      <c r="F2662" s="5">
        <v>3406960</v>
      </c>
    </row>
    <row r="2663" spans="1:6" ht="20" x14ac:dyDescent="0.25">
      <c r="A2663" s="5">
        <v>3406960</v>
      </c>
      <c r="B2663" s="1">
        <v>2021</v>
      </c>
      <c r="C2663" s="1" t="s">
        <v>1387</v>
      </c>
      <c r="D2663" s="3" t="s">
        <v>735</v>
      </c>
      <c r="E2663" s="7">
        <v>1111162</v>
      </c>
      <c r="F2663" s="5">
        <v>3406960</v>
      </c>
    </row>
    <row r="2664" spans="1:6" ht="20" x14ac:dyDescent="0.25">
      <c r="A2664" s="5">
        <v>3406960</v>
      </c>
      <c r="B2664" s="1">
        <v>2022</v>
      </c>
      <c r="C2664" s="1" t="s">
        <v>1387</v>
      </c>
      <c r="D2664" s="2" t="s">
        <v>735</v>
      </c>
      <c r="E2664" s="7">
        <v>1551006</v>
      </c>
      <c r="F2664" s="5">
        <v>3406960</v>
      </c>
    </row>
    <row r="2665" spans="1:6" ht="20" x14ac:dyDescent="0.25">
      <c r="A2665" s="5">
        <v>3406960</v>
      </c>
      <c r="B2665" s="1">
        <v>2023</v>
      </c>
      <c r="C2665" s="1" t="s">
        <v>1387</v>
      </c>
      <c r="D2665" s="2" t="s">
        <v>735</v>
      </c>
      <c r="E2665" s="7">
        <v>1486889</v>
      </c>
      <c r="F2665" s="5">
        <v>3406960</v>
      </c>
    </row>
    <row r="2666" spans="1:6" x14ac:dyDescent="0.25">
      <c r="A2666" s="5">
        <v>3406990</v>
      </c>
      <c r="B2666" s="1">
        <v>2015</v>
      </c>
      <c r="C2666" s="1" t="s">
        <v>1387</v>
      </c>
      <c r="D2666" s="1" t="s">
        <v>528</v>
      </c>
      <c r="E2666" s="8">
        <v>809037</v>
      </c>
      <c r="F2666" s="5">
        <v>3406990</v>
      </c>
    </row>
    <row r="2667" spans="1:6" x14ac:dyDescent="0.25">
      <c r="A2667" s="5">
        <v>3406990</v>
      </c>
      <c r="B2667" s="1">
        <v>2016</v>
      </c>
      <c r="C2667" s="1" t="s">
        <v>1387</v>
      </c>
      <c r="D2667" s="1" t="s">
        <v>528</v>
      </c>
      <c r="E2667" s="8">
        <v>1138213</v>
      </c>
      <c r="F2667" s="5">
        <v>3406990</v>
      </c>
    </row>
    <row r="2668" spans="1:6" x14ac:dyDescent="0.25">
      <c r="A2668" s="5">
        <v>3406990</v>
      </c>
      <c r="B2668" s="1">
        <v>2017</v>
      </c>
      <c r="C2668" s="1" t="s">
        <v>1387</v>
      </c>
      <c r="D2668" s="1" t="s">
        <v>528</v>
      </c>
      <c r="E2668" s="8">
        <v>1711378</v>
      </c>
      <c r="F2668" s="5">
        <v>3406990</v>
      </c>
    </row>
    <row r="2669" spans="1:6" x14ac:dyDescent="0.25">
      <c r="A2669" s="5">
        <v>3406990</v>
      </c>
      <c r="B2669" s="1">
        <v>2018</v>
      </c>
      <c r="C2669" s="1" t="s">
        <v>1387</v>
      </c>
      <c r="D2669" s="1" t="s">
        <v>1220</v>
      </c>
      <c r="E2669" s="8">
        <v>2331305</v>
      </c>
      <c r="F2669" s="5">
        <v>3406990</v>
      </c>
    </row>
    <row r="2670" spans="1:6" x14ac:dyDescent="0.25">
      <c r="A2670" s="5">
        <v>3406990</v>
      </c>
      <c r="B2670" s="1">
        <v>2019</v>
      </c>
      <c r="C2670" s="1" t="s">
        <v>1387</v>
      </c>
      <c r="D2670" s="1" t="s">
        <v>1220</v>
      </c>
      <c r="E2670" s="8">
        <v>3075286</v>
      </c>
      <c r="F2670" s="5">
        <v>3406990</v>
      </c>
    </row>
    <row r="2671" spans="1:6" ht="20" x14ac:dyDescent="0.25">
      <c r="A2671" s="5">
        <v>3406990</v>
      </c>
      <c r="B2671" s="1">
        <v>2020</v>
      </c>
      <c r="C2671" s="1" t="s">
        <v>1387</v>
      </c>
      <c r="D2671" s="2" t="s">
        <v>1220</v>
      </c>
      <c r="E2671" s="7">
        <v>3566938</v>
      </c>
      <c r="F2671" s="5">
        <v>3406990</v>
      </c>
    </row>
    <row r="2672" spans="1:6" ht="20" x14ac:dyDescent="0.25">
      <c r="A2672" s="5">
        <v>3406990</v>
      </c>
      <c r="B2672" s="1">
        <v>2021</v>
      </c>
      <c r="C2672" s="1" t="s">
        <v>1387</v>
      </c>
      <c r="D2672" s="3" t="s">
        <v>1220</v>
      </c>
      <c r="E2672" s="7">
        <v>4701457</v>
      </c>
      <c r="F2672" s="5">
        <v>3406990</v>
      </c>
    </row>
    <row r="2673" spans="1:6" ht="20" x14ac:dyDescent="0.25">
      <c r="A2673" s="5">
        <v>3406990</v>
      </c>
      <c r="B2673" s="1">
        <v>2022</v>
      </c>
      <c r="C2673" s="1" t="s">
        <v>1387</v>
      </c>
      <c r="D2673" s="2" t="s">
        <v>1220</v>
      </c>
      <c r="E2673" s="7">
        <v>6743387</v>
      </c>
      <c r="F2673" s="5">
        <v>3406990</v>
      </c>
    </row>
    <row r="2674" spans="1:6" ht="20" x14ac:dyDescent="0.25">
      <c r="A2674" s="5">
        <v>3406990</v>
      </c>
      <c r="B2674" s="1">
        <v>2023</v>
      </c>
      <c r="C2674" s="1" t="s">
        <v>1387</v>
      </c>
      <c r="D2674" s="2" t="s">
        <v>1220</v>
      </c>
      <c r="E2674" s="7">
        <v>6573931</v>
      </c>
      <c r="F2674" s="5">
        <v>3406990</v>
      </c>
    </row>
    <row r="2675" spans="1:6" x14ac:dyDescent="0.25">
      <c r="A2675" s="5">
        <v>3407050</v>
      </c>
      <c r="B2675" s="1">
        <v>2015</v>
      </c>
      <c r="C2675" s="1" t="s">
        <v>1387</v>
      </c>
      <c r="D2675" s="1" t="s">
        <v>416</v>
      </c>
      <c r="E2675" s="8">
        <v>175160</v>
      </c>
      <c r="F2675" s="5">
        <v>3407050</v>
      </c>
    </row>
    <row r="2676" spans="1:6" x14ac:dyDescent="0.25">
      <c r="A2676" s="5">
        <v>3407050</v>
      </c>
      <c r="B2676" s="1">
        <v>2016</v>
      </c>
      <c r="C2676" s="1" t="s">
        <v>1387</v>
      </c>
      <c r="D2676" s="1" t="s">
        <v>416</v>
      </c>
      <c r="E2676" s="8">
        <v>243565</v>
      </c>
      <c r="F2676" s="5">
        <v>3407050</v>
      </c>
    </row>
    <row r="2677" spans="1:6" x14ac:dyDescent="0.25">
      <c r="A2677" s="5">
        <v>3407050</v>
      </c>
      <c r="B2677" s="1">
        <v>2017</v>
      </c>
      <c r="C2677" s="1" t="s">
        <v>1387</v>
      </c>
      <c r="D2677" s="1" t="s">
        <v>416</v>
      </c>
      <c r="E2677" s="8">
        <v>339836</v>
      </c>
      <c r="F2677" s="5">
        <v>3407050</v>
      </c>
    </row>
    <row r="2678" spans="1:6" x14ac:dyDescent="0.25">
      <c r="A2678" s="5">
        <v>3407050</v>
      </c>
      <c r="B2678" s="1">
        <v>2018</v>
      </c>
      <c r="C2678" s="1" t="s">
        <v>1387</v>
      </c>
      <c r="D2678" s="1" t="s">
        <v>1108</v>
      </c>
      <c r="E2678" s="8">
        <v>412837</v>
      </c>
      <c r="F2678" s="5">
        <v>3407050</v>
      </c>
    </row>
    <row r="2679" spans="1:6" x14ac:dyDescent="0.25">
      <c r="A2679" s="5">
        <v>3407050</v>
      </c>
      <c r="B2679" s="1">
        <v>2019</v>
      </c>
      <c r="C2679" s="1" t="s">
        <v>1387</v>
      </c>
      <c r="D2679" s="1" t="s">
        <v>1108</v>
      </c>
      <c r="E2679" s="8">
        <v>597624</v>
      </c>
      <c r="F2679" s="5">
        <v>3407050</v>
      </c>
    </row>
    <row r="2680" spans="1:6" ht="20" x14ac:dyDescent="0.25">
      <c r="A2680" s="5">
        <v>3407050</v>
      </c>
      <c r="B2680" s="1">
        <v>2020</v>
      </c>
      <c r="C2680" s="1" t="s">
        <v>1387</v>
      </c>
      <c r="D2680" s="2" t="s">
        <v>1108</v>
      </c>
      <c r="E2680" s="7">
        <v>687063</v>
      </c>
      <c r="F2680" s="5">
        <v>3407050</v>
      </c>
    </row>
    <row r="2681" spans="1:6" ht="20" x14ac:dyDescent="0.25">
      <c r="A2681" s="5">
        <v>3407050</v>
      </c>
      <c r="B2681" s="1">
        <v>2021</v>
      </c>
      <c r="C2681" s="1" t="s">
        <v>1387</v>
      </c>
      <c r="D2681" s="3" t="s">
        <v>1108</v>
      </c>
      <c r="E2681" s="7">
        <v>917048</v>
      </c>
      <c r="F2681" s="5">
        <v>3407050</v>
      </c>
    </row>
    <row r="2682" spans="1:6" ht="20" x14ac:dyDescent="0.25">
      <c r="A2682" s="5">
        <v>3407050</v>
      </c>
      <c r="B2682" s="1">
        <v>2022</v>
      </c>
      <c r="C2682" s="1" t="s">
        <v>1387</v>
      </c>
      <c r="D2682" s="2" t="s">
        <v>1108</v>
      </c>
      <c r="E2682" s="7">
        <v>1306848</v>
      </c>
      <c r="F2682" s="5">
        <v>3407050</v>
      </c>
    </row>
    <row r="2683" spans="1:6" ht="20" x14ac:dyDescent="0.25">
      <c r="A2683" s="5">
        <v>3407050</v>
      </c>
      <c r="B2683" s="1">
        <v>2023</v>
      </c>
      <c r="C2683" s="1" t="s">
        <v>1387</v>
      </c>
      <c r="D2683" s="2" t="s">
        <v>1108</v>
      </c>
      <c r="E2683" s="7">
        <v>1260318</v>
      </c>
      <c r="F2683" s="5">
        <v>3407050</v>
      </c>
    </row>
    <row r="2684" spans="1:6" x14ac:dyDescent="0.25">
      <c r="A2684" s="5">
        <v>3407110</v>
      </c>
      <c r="B2684" s="1">
        <v>2015</v>
      </c>
      <c r="C2684" s="1" t="s">
        <v>1387</v>
      </c>
      <c r="D2684" s="1" t="s">
        <v>338</v>
      </c>
      <c r="E2684" s="8">
        <v>186133</v>
      </c>
      <c r="F2684" s="5">
        <v>3407110</v>
      </c>
    </row>
    <row r="2685" spans="1:6" x14ac:dyDescent="0.25">
      <c r="A2685" s="5">
        <v>3407110</v>
      </c>
      <c r="B2685" s="1">
        <v>2016</v>
      </c>
      <c r="C2685" s="1" t="s">
        <v>1387</v>
      </c>
      <c r="D2685" s="1" t="s">
        <v>338</v>
      </c>
      <c r="E2685" s="8">
        <v>285557</v>
      </c>
      <c r="F2685" s="5">
        <v>3407110</v>
      </c>
    </row>
    <row r="2686" spans="1:6" x14ac:dyDescent="0.25">
      <c r="A2686" s="5">
        <v>3407110</v>
      </c>
      <c r="B2686" s="1">
        <v>2017</v>
      </c>
      <c r="C2686" s="1" t="s">
        <v>1387</v>
      </c>
      <c r="D2686" s="1" t="s">
        <v>338</v>
      </c>
      <c r="E2686" s="8">
        <v>397446</v>
      </c>
      <c r="F2686" s="5">
        <v>3407110</v>
      </c>
    </row>
    <row r="2687" spans="1:6" x14ac:dyDescent="0.25">
      <c r="A2687" s="5">
        <v>3407110</v>
      </c>
      <c r="B2687" s="1">
        <v>2018</v>
      </c>
      <c r="C2687" s="1" t="s">
        <v>1387</v>
      </c>
      <c r="D2687" s="1" t="s">
        <v>1031</v>
      </c>
      <c r="E2687" s="8">
        <v>505984</v>
      </c>
      <c r="F2687" s="5">
        <v>3407110</v>
      </c>
    </row>
    <row r="2688" spans="1:6" x14ac:dyDescent="0.25">
      <c r="A2688" s="5">
        <v>3407110</v>
      </c>
      <c r="B2688" s="1">
        <v>2019</v>
      </c>
      <c r="C2688" s="1" t="s">
        <v>1387</v>
      </c>
      <c r="D2688" s="1" t="s">
        <v>1031</v>
      </c>
      <c r="E2688" s="8">
        <v>713700</v>
      </c>
      <c r="F2688" s="5">
        <v>3407110</v>
      </c>
    </row>
    <row r="2689" spans="1:6" ht="20" x14ac:dyDescent="0.25">
      <c r="A2689" s="5">
        <v>3407110</v>
      </c>
      <c r="B2689" s="1">
        <v>2020</v>
      </c>
      <c r="C2689" s="1" t="s">
        <v>1387</v>
      </c>
      <c r="D2689" s="2" t="s">
        <v>1031</v>
      </c>
      <c r="E2689" s="7">
        <v>795067</v>
      </c>
      <c r="F2689" s="5">
        <v>3407110</v>
      </c>
    </row>
    <row r="2690" spans="1:6" ht="20" x14ac:dyDescent="0.25">
      <c r="A2690" s="5">
        <v>3407110</v>
      </c>
      <c r="B2690" s="1">
        <v>2021</v>
      </c>
      <c r="C2690" s="1" t="s">
        <v>1387</v>
      </c>
      <c r="D2690" s="3" t="s">
        <v>1031</v>
      </c>
      <c r="E2690" s="7">
        <v>1017539</v>
      </c>
      <c r="F2690" s="5">
        <v>3407110</v>
      </c>
    </row>
    <row r="2691" spans="1:6" ht="20" x14ac:dyDescent="0.25">
      <c r="A2691" s="5">
        <v>3407110</v>
      </c>
      <c r="B2691" s="1">
        <v>2022</v>
      </c>
      <c r="C2691" s="1" t="s">
        <v>1387</v>
      </c>
      <c r="D2691" s="2" t="s">
        <v>1031</v>
      </c>
      <c r="E2691" s="7">
        <v>1418340</v>
      </c>
      <c r="F2691" s="5">
        <v>3407110</v>
      </c>
    </row>
    <row r="2692" spans="1:6" ht="20" x14ac:dyDescent="0.25">
      <c r="A2692" s="5">
        <v>3407110</v>
      </c>
      <c r="B2692" s="1">
        <v>2023</v>
      </c>
      <c r="C2692" s="1" t="s">
        <v>1387</v>
      </c>
      <c r="D2692" s="2" t="s">
        <v>1031</v>
      </c>
      <c r="E2692" s="7">
        <v>1456348</v>
      </c>
      <c r="F2692" s="5">
        <v>3407110</v>
      </c>
    </row>
    <row r="2693" spans="1:6" x14ac:dyDescent="0.25">
      <c r="A2693" s="5">
        <v>3407140</v>
      </c>
      <c r="B2693" s="1">
        <v>2015</v>
      </c>
      <c r="C2693" s="1" t="s">
        <v>1387</v>
      </c>
      <c r="D2693" s="1" t="s">
        <v>592</v>
      </c>
      <c r="E2693" s="8">
        <v>492727</v>
      </c>
      <c r="F2693" s="5">
        <v>3407140</v>
      </c>
    </row>
    <row r="2694" spans="1:6" x14ac:dyDescent="0.25">
      <c r="A2694" s="5">
        <v>3407140</v>
      </c>
      <c r="B2694" s="1">
        <v>2016</v>
      </c>
      <c r="C2694" s="1" t="s">
        <v>1387</v>
      </c>
      <c r="D2694" s="1" t="s">
        <v>592</v>
      </c>
      <c r="E2694" s="8">
        <v>746351</v>
      </c>
      <c r="F2694" s="5">
        <v>3407140</v>
      </c>
    </row>
    <row r="2695" spans="1:6" x14ac:dyDescent="0.25">
      <c r="A2695" s="5">
        <v>3407140</v>
      </c>
      <c r="B2695" s="1">
        <v>2017</v>
      </c>
      <c r="C2695" s="1" t="s">
        <v>1387</v>
      </c>
      <c r="D2695" s="1" t="s">
        <v>592</v>
      </c>
      <c r="E2695" s="8">
        <v>1105410</v>
      </c>
      <c r="F2695" s="5">
        <v>3407140</v>
      </c>
    </row>
    <row r="2696" spans="1:6" x14ac:dyDescent="0.25">
      <c r="A2696" s="5">
        <v>3407140</v>
      </c>
      <c r="B2696" s="1">
        <v>2018</v>
      </c>
      <c r="C2696" s="1" t="s">
        <v>1387</v>
      </c>
      <c r="D2696" s="1" t="s">
        <v>1285</v>
      </c>
      <c r="E2696" s="8">
        <v>1475927</v>
      </c>
      <c r="F2696" s="5">
        <v>3407140</v>
      </c>
    </row>
    <row r="2697" spans="1:6" x14ac:dyDescent="0.25">
      <c r="A2697" s="5">
        <v>3407140</v>
      </c>
      <c r="B2697" s="1">
        <v>2019</v>
      </c>
      <c r="C2697" s="1" t="s">
        <v>1387</v>
      </c>
      <c r="D2697" s="1" t="s">
        <v>1285</v>
      </c>
      <c r="E2697" s="8">
        <v>1904916</v>
      </c>
      <c r="F2697" s="5">
        <v>3407140</v>
      </c>
    </row>
    <row r="2698" spans="1:6" ht="20" x14ac:dyDescent="0.25">
      <c r="A2698" s="5">
        <v>3407140</v>
      </c>
      <c r="B2698" s="1">
        <v>2020</v>
      </c>
      <c r="C2698" s="1" t="s">
        <v>1387</v>
      </c>
      <c r="D2698" s="2" t="s">
        <v>1285</v>
      </c>
      <c r="E2698" s="7">
        <v>2000600</v>
      </c>
      <c r="F2698" s="5">
        <v>3407140</v>
      </c>
    </row>
    <row r="2699" spans="1:6" ht="20" x14ac:dyDescent="0.25">
      <c r="A2699" s="5">
        <v>3407140</v>
      </c>
      <c r="B2699" s="1">
        <v>2021</v>
      </c>
      <c r="C2699" s="1" t="s">
        <v>1387</v>
      </c>
      <c r="D2699" s="3" t="s">
        <v>1285</v>
      </c>
      <c r="E2699" s="7">
        <v>2589015</v>
      </c>
      <c r="F2699" s="5">
        <v>3407140</v>
      </c>
    </row>
    <row r="2700" spans="1:6" ht="20" x14ac:dyDescent="0.25">
      <c r="A2700" s="5">
        <v>3407140</v>
      </c>
      <c r="B2700" s="1">
        <v>2022</v>
      </c>
      <c r="C2700" s="1" t="s">
        <v>1387</v>
      </c>
      <c r="D2700" s="2" t="s">
        <v>1285</v>
      </c>
      <c r="E2700" s="7">
        <v>3484124</v>
      </c>
      <c r="F2700" s="5">
        <v>3407140</v>
      </c>
    </row>
    <row r="2701" spans="1:6" ht="20" x14ac:dyDescent="0.25">
      <c r="A2701" s="5">
        <v>3407140</v>
      </c>
      <c r="B2701" s="1">
        <v>2023</v>
      </c>
      <c r="C2701" s="1" t="s">
        <v>1387</v>
      </c>
      <c r="D2701" s="2" t="s">
        <v>1285</v>
      </c>
      <c r="E2701" s="7">
        <v>3336064</v>
      </c>
      <c r="F2701" s="5">
        <v>3407140</v>
      </c>
    </row>
    <row r="2702" spans="1:6" x14ac:dyDescent="0.25">
      <c r="A2702" s="5">
        <v>3407170</v>
      </c>
      <c r="B2702" s="1">
        <v>2015</v>
      </c>
      <c r="C2702" s="1" t="s">
        <v>1387</v>
      </c>
      <c r="D2702" s="1" t="s">
        <v>380</v>
      </c>
      <c r="E2702" s="8">
        <v>615723</v>
      </c>
      <c r="F2702" s="5">
        <v>3407170</v>
      </c>
    </row>
    <row r="2703" spans="1:6" x14ac:dyDescent="0.25">
      <c r="A2703" s="5">
        <v>3407170</v>
      </c>
      <c r="B2703" s="1">
        <v>2016</v>
      </c>
      <c r="C2703" s="1" t="s">
        <v>1387</v>
      </c>
      <c r="D2703" s="1" t="s">
        <v>380</v>
      </c>
      <c r="E2703" s="8">
        <v>878009</v>
      </c>
      <c r="F2703" s="5">
        <v>3407170</v>
      </c>
    </row>
    <row r="2704" spans="1:6" x14ac:dyDescent="0.25">
      <c r="A2704" s="5">
        <v>3407170</v>
      </c>
      <c r="B2704" s="1">
        <v>2017</v>
      </c>
      <c r="C2704" s="1" t="s">
        <v>1387</v>
      </c>
      <c r="D2704" s="1" t="s">
        <v>380</v>
      </c>
      <c r="E2704" s="8">
        <v>1274219</v>
      </c>
      <c r="F2704" s="5">
        <v>3407170</v>
      </c>
    </row>
    <row r="2705" spans="1:6" x14ac:dyDescent="0.25">
      <c r="A2705" s="5">
        <v>3407170</v>
      </c>
      <c r="B2705" s="1">
        <v>2018</v>
      </c>
      <c r="C2705" s="1" t="s">
        <v>1387</v>
      </c>
      <c r="D2705" s="1" t="s">
        <v>1073</v>
      </c>
      <c r="E2705" s="8">
        <v>1798136</v>
      </c>
      <c r="F2705" s="5">
        <v>3407170</v>
      </c>
    </row>
    <row r="2706" spans="1:6" x14ac:dyDescent="0.25">
      <c r="A2706" s="5">
        <v>3407170</v>
      </c>
      <c r="B2706" s="1">
        <v>2019</v>
      </c>
      <c r="C2706" s="1" t="s">
        <v>1387</v>
      </c>
      <c r="D2706" s="1" t="s">
        <v>1073</v>
      </c>
      <c r="E2706" s="8">
        <v>2404837</v>
      </c>
      <c r="F2706" s="5">
        <v>3407170</v>
      </c>
    </row>
    <row r="2707" spans="1:6" ht="20" x14ac:dyDescent="0.25">
      <c r="A2707" s="5">
        <v>3407170</v>
      </c>
      <c r="B2707" s="1">
        <v>2020</v>
      </c>
      <c r="C2707" s="1" t="s">
        <v>1387</v>
      </c>
      <c r="D2707" s="2" t="s">
        <v>1073</v>
      </c>
      <c r="E2707" s="7">
        <v>2830667</v>
      </c>
      <c r="F2707" s="5">
        <v>3407170</v>
      </c>
    </row>
    <row r="2708" spans="1:6" ht="20" x14ac:dyDescent="0.25">
      <c r="A2708" s="5">
        <v>3407170</v>
      </c>
      <c r="B2708" s="1">
        <v>2021</v>
      </c>
      <c r="C2708" s="1" t="s">
        <v>1387</v>
      </c>
      <c r="D2708" s="3" t="s">
        <v>1073</v>
      </c>
      <c r="E2708" s="7">
        <v>3534766</v>
      </c>
      <c r="F2708" s="5">
        <v>3407170</v>
      </c>
    </row>
    <row r="2709" spans="1:6" ht="20" x14ac:dyDescent="0.25">
      <c r="A2709" s="5">
        <v>3407170</v>
      </c>
      <c r="B2709" s="1">
        <v>2022</v>
      </c>
      <c r="C2709" s="1" t="s">
        <v>1387</v>
      </c>
      <c r="D2709" s="2" t="s">
        <v>1073</v>
      </c>
      <c r="E2709" s="7">
        <v>4803277</v>
      </c>
      <c r="F2709" s="5">
        <v>3407170</v>
      </c>
    </row>
    <row r="2710" spans="1:6" ht="20" x14ac:dyDescent="0.25">
      <c r="A2710" s="5">
        <v>3407170</v>
      </c>
      <c r="B2710" s="1">
        <v>2023</v>
      </c>
      <c r="C2710" s="1" t="s">
        <v>1387</v>
      </c>
      <c r="D2710" s="2" t="s">
        <v>1073</v>
      </c>
      <c r="E2710" s="7">
        <v>4969443</v>
      </c>
      <c r="F2710" s="5">
        <v>3407170</v>
      </c>
    </row>
    <row r="2711" spans="1:6" x14ac:dyDescent="0.25">
      <c r="A2711" s="5">
        <v>3407200</v>
      </c>
      <c r="B2711" s="1">
        <v>2015</v>
      </c>
      <c r="C2711" s="1" t="s">
        <v>1387</v>
      </c>
      <c r="D2711" s="1" t="s">
        <v>417</v>
      </c>
      <c r="E2711" s="8">
        <v>85187</v>
      </c>
      <c r="F2711" s="5">
        <v>3407200</v>
      </c>
    </row>
    <row r="2712" spans="1:6" x14ac:dyDescent="0.25">
      <c r="A2712" s="5">
        <v>3407200</v>
      </c>
      <c r="B2712" s="1">
        <v>2016</v>
      </c>
      <c r="C2712" s="1" t="s">
        <v>1387</v>
      </c>
      <c r="D2712" s="1" t="s">
        <v>417</v>
      </c>
      <c r="E2712" s="8">
        <v>123595</v>
      </c>
      <c r="F2712" s="5">
        <v>3407200</v>
      </c>
    </row>
    <row r="2713" spans="1:6" x14ac:dyDescent="0.25">
      <c r="A2713" s="5">
        <v>3407200</v>
      </c>
      <c r="B2713" s="1">
        <v>2017</v>
      </c>
      <c r="C2713" s="1" t="s">
        <v>1387</v>
      </c>
      <c r="D2713" s="1" t="s">
        <v>417</v>
      </c>
      <c r="E2713" s="8">
        <v>165453</v>
      </c>
      <c r="F2713" s="5">
        <v>3407200</v>
      </c>
    </row>
    <row r="2714" spans="1:6" x14ac:dyDescent="0.25">
      <c r="A2714" s="5">
        <v>3407200</v>
      </c>
      <c r="B2714" s="1">
        <v>2018</v>
      </c>
      <c r="C2714" s="1" t="s">
        <v>1387</v>
      </c>
      <c r="D2714" s="1" t="s">
        <v>1109</v>
      </c>
      <c r="E2714" s="8">
        <v>242222</v>
      </c>
      <c r="F2714" s="5">
        <v>3407200</v>
      </c>
    </row>
    <row r="2715" spans="1:6" x14ac:dyDescent="0.25">
      <c r="A2715" s="5">
        <v>3407200</v>
      </c>
      <c r="B2715" s="1">
        <v>2019</v>
      </c>
      <c r="C2715" s="1" t="s">
        <v>1387</v>
      </c>
      <c r="D2715" s="1" t="s">
        <v>1109</v>
      </c>
      <c r="E2715" s="8">
        <v>314138</v>
      </c>
      <c r="F2715" s="5">
        <v>3407200</v>
      </c>
    </row>
    <row r="2716" spans="1:6" ht="20" x14ac:dyDescent="0.25">
      <c r="A2716" s="5">
        <v>3407200</v>
      </c>
      <c r="B2716" s="1">
        <v>2020</v>
      </c>
      <c r="C2716" s="1" t="s">
        <v>1387</v>
      </c>
      <c r="D2716" s="2" t="s">
        <v>1109</v>
      </c>
      <c r="E2716" s="7">
        <v>413565</v>
      </c>
      <c r="F2716" s="5">
        <v>3407200</v>
      </c>
    </row>
    <row r="2717" spans="1:6" ht="20" x14ac:dyDescent="0.25">
      <c r="A2717" s="5">
        <v>3407200</v>
      </c>
      <c r="B2717" s="1">
        <v>2021</v>
      </c>
      <c r="C2717" s="1" t="s">
        <v>1387</v>
      </c>
      <c r="D2717" s="3" t="s">
        <v>1109</v>
      </c>
      <c r="E2717" s="7">
        <v>510021</v>
      </c>
      <c r="F2717" s="5">
        <v>3407200</v>
      </c>
    </row>
    <row r="2718" spans="1:6" ht="20" x14ac:dyDescent="0.25">
      <c r="A2718" s="5">
        <v>3407200</v>
      </c>
      <c r="B2718" s="1">
        <v>2022</v>
      </c>
      <c r="C2718" s="1" t="s">
        <v>1387</v>
      </c>
      <c r="D2718" s="2" t="s">
        <v>1109</v>
      </c>
      <c r="E2718" s="7">
        <v>760208</v>
      </c>
      <c r="F2718" s="5">
        <v>3407200</v>
      </c>
    </row>
    <row r="2719" spans="1:6" ht="20" x14ac:dyDescent="0.25">
      <c r="A2719" s="5">
        <v>3407200</v>
      </c>
      <c r="B2719" s="1">
        <v>2023</v>
      </c>
      <c r="C2719" s="1" t="s">
        <v>1387</v>
      </c>
      <c r="D2719" s="2" t="s">
        <v>1109</v>
      </c>
      <c r="E2719" s="7">
        <v>740440</v>
      </c>
      <c r="F2719" s="5">
        <v>3407200</v>
      </c>
    </row>
    <row r="2720" spans="1:6" x14ac:dyDescent="0.25">
      <c r="A2720" s="5">
        <v>3407230</v>
      </c>
      <c r="B2720" s="1">
        <v>2015</v>
      </c>
      <c r="C2720" s="1" t="s">
        <v>1387</v>
      </c>
      <c r="D2720" s="1" t="s">
        <v>571</v>
      </c>
      <c r="E2720" s="8">
        <v>2927485</v>
      </c>
      <c r="F2720" s="5">
        <v>3407230</v>
      </c>
    </row>
    <row r="2721" spans="1:6" x14ac:dyDescent="0.25">
      <c r="A2721" s="5">
        <v>3407230</v>
      </c>
      <c r="B2721" s="1">
        <v>2016</v>
      </c>
      <c r="C2721" s="1" t="s">
        <v>1387</v>
      </c>
      <c r="D2721" s="1" t="s">
        <v>571</v>
      </c>
      <c r="E2721" s="8">
        <v>4308405</v>
      </c>
      <c r="F2721" s="5">
        <v>3407230</v>
      </c>
    </row>
    <row r="2722" spans="1:6" x14ac:dyDescent="0.25">
      <c r="A2722" s="5">
        <v>3407230</v>
      </c>
      <c r="B2722" s="1">
        <v>2017</v>
      </c>
      <c r="C2722" s="1" t="s">
        <v>1387</v>
      </c>
      <c r="D2722" s="1" t="s">
        <v>571</v>
      </c>
      <c r="E2722" s="8">
        <v>6202324</v>
      </c>
      <c r="F2722" s="5">
        <v>3407230</v>
      </c>
    </row>
    <row r="2723" spans="1:6" x14ac:dyDescent="0.25">
      <c r="A2723" s="5">
        <v>3407230</v>
      </c>
      <c r="B2723" s="1">
        <v>2018</v>
      </c>
      <c r="C2723" s="1" t="s">
        <v>1387</v>
      </c>
      <c r="D2723" s="1" t="s">
        <v>1263</v>
      </c>
      <c r="E2723" s="8">
        <v>8383803</v>
      </c>
      <c r="F2723" s="5">
        <v>3407230</v>
      </c>
    </row>
    <row r="2724" spans="1:6" x14ac:dyDescent="0.25">
      <c r="A2724" s="5">
        <v>3407230</v>
      </c>
      <c r="B2724" s="1">
        <v>2019</v>
      </c>
      <c r="C2724" s="1" t="s">
        <v>1387</v>
      </c>
      <c r="D2724" s="1" t="s">
        <v>1263</v>
      </c>
      <c r="E2724" s="8">
        <v>11032369</v>
      </c>
      <c r="F2724" s="5">
        <v>3407230</v>
      </c>
    </row>
    <row r="2725" spans="1:6" ht="20" x14ac:dyDescent="0.25">
      <c r="A2725" s="5">
        <v>3407230</v>
      </c>
      <c r="B2725" s="1">
        <v>2020</v>
      </c>
      <c r="C2725" s="1" t="s">
        <v>1387</v>
      </c>
      <c r="D2725" s="2" t="s">
        <v>1263</v>
      </c>
      <c r="E2725" s="7">
        <v>12648519</v>
      </c>
      <c r="F2725" s="5">
        <v>3407230</v>
      </c>
    </row>
    <row r="2726" spans="1:6" ht="20" x14ac:dyDescent="0.25">
      <c r="A2726" s="5">
        <v>3407230</v>
      </c>
      <c r="B2726" s="1">
        <v>2021</v>
      </c>
      <c r="C2726" s="1" t="s">
        <v>1387</v>
      </c>
      <c r="D2726" s="3" t="s">
        <v>1263</v>
      </c>
      <c r="E2726" s="7">
        <v>16185717</v>
      </c>
      <c r="F2726" s="5">
        <v>3407230</v>
      </c>
    </row>
    <row r="2727" spans="1:6" ht="20" x14ac:dyDescent="0.25">
      <c r="A2727" s="5">
        <v>3407230</v>
      </c>
      <c r="B2727" s="1">
        <v>2022</v>
      </c>
      <c r="C2727" s="1" t="s">
        <v>1387</v>
      </c>
      <c r="D2727" s="2" t="s">
        <v>1263</v>
      </c>
      <c r="E2727" s="7">
        <v>21285362</v>
      </c>
      <c r="F2727" s="5">
        <v>3407230</v>
      </c>
    </row>
    <row r="2728" spans="1:6" ht="20" x14ac:dyDescent="0.25">
      <c r="A2728" s="5">
        <v>3407230</v>
      </c>
      <c r="B2728" s="1">
        <v>2023</v>
      </c>
      <c r="C2728" s="1" t="s">
        <v>1387</v>
      </c>
      <c r="D2728" s="2" t="s">
        <v>1263</v>
      </c>
      <c r="E2728" s="7">
        <v>21644649</v>
      </c>
      <c r="F2728" s="5">
        <v>3407230</v>
      </c>
    </row>
    <row r="2729" spans="1:6" x14ac:dyDescent="0.25">
      <c r="A2729" s="5">
        <v>3407260</v>
      </c>
      <c r="B2729" s="1">
        <v>2015</v>
      </c>
      <c r="C2729" s="1" t="s">
        <v>1387</v>
      </c>
      <c r="D2729" s="1" t="s">
        <v>58</v>
      </c>
      <c r="E2729" s="8">
        <v>513467</v>
      </c>
      <c r="F2729" s="5">
        <v>3407260</v>
      </c>
    </row>
    <row r="2730" spans="1:6" x14ac:dyDescent="0.25">
      <c r="A2730" s="5">
        <v>3407260</v>
      </c>
      <c r="B2730" s="1">
        <v>2016</v>
      </c>
      <c r="C2730" s="1" t="s">
        <v>1387</v>
      </c>
      <c r="D2730" s="1" t="s">
        <v>58</v>
      </c>
      <c r="E2730" s="8">
        <v>747414</v>
      </c>
      <c r="F2730" s="5">
        <v>3407260</v>
      </c>
    </row>
    <row r="2731" spans="1:6" x14ac:dyDescent="0.25">
      <c r="A2731" s="5">
        <v>3407260</v>
      </c>
      <c r="B2731" s="1">
        <v>2017</v>
      </c>
      <c r="C2731" s="1" t="s">
        <v>1387</v>
      </c>
      <c r="D2731" s="1" t="s">
        <v>58</v>
      </c>
      <c r="E2731" s="8">
        <v>1037359</v>
      </c>
      <c r="F2731" s="5">
        <v>3407260</v>
      </c>
    </row>
    <row r="2732" spans="1:6" x14ac:dyDescent="0.25">
      <c r="A2732" s="5">
        <v>3407260</v>
      </c>
      <c r="B2732" s="1">
        <v>2018</v>
      </c>
      <c r="C2732" s="1" t="s">
        <v>1387</v>
      </c>
      <c r="D2732" s="1" t="s">
        <v>736</v>
      </c>
      <c r="E2732" s="8">
        <v>1485825</v>
      </c>
      <c r="F2732" s="5">
        <v>3407260</v>
      </c>
    </row>
    <row r="2733" spans="1:6" x14ac:dyDescent="0.25">
      <c r="A2733" s="5">
        <v>3407260</v>
      </c>
      <c r="B2733" s="1">
        <v>2019</v>
      </c>
      <c r="C2733" s="1" t="s">
        <v>1387</v>
      </c>
      <c r="D2733" s="1" t="s">
        <v>736</v>
      </c>
      <c r="E2733" s="8">
        <v>1935902</v>
      </c>
      <c r="F2733" s="5">
        <v>3407260</v>
      </c>
    </row>
    <row r="2734" spans="1:6" ht="20" x14ac:dyDescent="0.25">
      <c r="A2734" s="5">
        <v>3407260</v>
      </c>
      <c r="B2734" s="1">
        <v>2020</v>
      </c>
      <c r="C2734" s="1" t="s">
        <v>1387</v>
      </c>
      <c r="D2734" s="2" t="s">
        <v>736</v>
      </c>
      <c r="E2734" s="7">
        <v>2250459</v>
      </c>
      <c r="F2734" s="5">
        <v>3407260</v>
      </c>
    </row>
    <row r="2735" spans="1:6" ht="20" x14ac:dyDescent="0.25">
      <c r="A2735" s="5">
        <v>3407260</v>
      </c>
      <c r="B2735" s="1">
        <v>2021</v>
      </c>
      <c r="C2735" s="1" t="s">
        <v>1387</v>
      </c>
      <c r="D2735" s="3" t="s">
        <v>736</v>
      </c>
      <c r="E2735" s="7">
        <v>2982653</v>
      </c>
      <c r="F2735" s="5">
        <v>3407260</v>
      </c>
    </row>
    <row r="2736" spans="1:6" ht="20" x14ac:dyDescent="0.25">
      <c r="A2736" s="5">
        <v>3407260</v>
      </c>
      <c r="B2736" s="1">
        <v>2022</v>
      </c>
      <c r="C2736" s="1" t="s">
        <v>1387</v>
      </c>
      <c r="D2736" s="2" t="s">
        <v>736</v>
      </c>
      <c r="E2736" s="7">
        <v>4162672</v>
      </c>
      <c r="F2736" s="5">
        <v>3407260</v>
      </c>
    </row>
    <row r="2737" spans="1:6" ht="20" x14ac:dyDescent="0.25">
      <c r="A2737" s="5">
        <v>3407260</v>
      </c>
      <c r="B2737" s="1">
        <v>2023</v>
      </c>
      <c r="C2737" s="1" t="s">
        <v>1387</v>
      </c>
      <c r="D2737" s="2" t="s">
        <v>736</v>
      </c>
      <c r="E2737" s="7">
        <v>4165780</v>
      </c>
      <c r="F2737" s="5">
        <v>3407260</v>
      </c>
    </row>
    <row r="2738" spans="1:6" x14ac:dyDescent="0.25">
      <c r="A2738" s="5">
        <v>3407290</v>
      </c>
      <c r="B2738" s="1">
        <v>2015</v>
      </c>
      <c r="C2738" s="1" t="s">
        <v>1387</v>
      </c>
      <c r="D2738" s="1" t="s">
        <v>618</v>
      </c>
      <c r="E2738" s="8">
        <v>1200426</v>
      </c>
      <c r="F2738" s="5">
        <v>3407290</v>
      </c>
    </row>
    <row r="2739" spans="1:6" x14ac:dyDescent="0.25">
      <c r="A2739" s="5">
        <v>3407290</v>
      </c>
      <c r="B2739" s="1">
        <v>2016</v>
      </c>
      <c r="C2739" s="1" t="s">
        <v>1387</v>
      </c>
      <c r="D2739" s="1" t="s">
        <v>618</v>
      </c>
      <c r="E2739" s="8">
        <v>1780821</v>
      </c>
      <c r="F2739" s="5">
        <v>3407290</v>
      </c>
    </row>
    <row r="2740" spans="1:6" x14ac:dyDescent="0.25">
      <c r="A2740" s="5">
        <v>3407290</v>
      </c>
      <c r="B2740" s="1">
        <v>2017</v>
      </c>
      <c r="C2740" s="1" t="s">
        <v>1387</v>
      </c>
      <c r="D2740" s="1" t="s">
        <v>618</v>
      </c>
      <c r="E2740" s="8">
        <v>2504819</v>
      </c>
      <c r="F2740" s="5">
        <v>3407290</v>
      </c>
    </row>
    <row r="2741" spans="1:6" x14ac:dyDescent="0.25">
      <c r="A2741" s="5">
        <v>3407290</v>
      </c>
      <c r="B2741" s="1">
        <v>2018</v>
      </c>
      <c r="C2741" s="1" t="s">
        <v>1387</v>
      </c>
      <c r="D2741" s="1" t="s">
        <v>1311</v>
      </c>
      <c r="E2741" s="8">
        <v>3347016</v>
      </c>
      <c r="F2741" s="5">
        <v>3407290</v>
      </c>
    </row>
    <row r="2742" spans="1:6" x14ac:dyDescent="0.25">
      <c r="A2742" s="5">
        <v>3407290</v>
      </c>
      <c r="B2742" s="1">
        <v>2019</v>
      </c>
      <c r="C2742" s="1" t="s">
        <v>1387</v>
      </c>
      <c r="D2742" s="1" t="s">
        <v>1311</v>
      </c>
      <c r="E2742" s="8">
        <v>4427301</v>
      </c>
      <c r="F2742" s="5">
        <v>3407290</v>
      </c>
    </row>
    <row r="2743" spans="1:6" ht="20" x14ac:dyDescent="0.25">
      <c r="A2743" s="5">
        <v>3407290</v>
      </c>
      <c r="B2743" s="1">
        <v>2020</v>
      </c>
      <c r="C2743" s="1" t="s">
        <v>1387</v>
      </c>
      <c r="D2743" s="2" t="s">
        <v>1311</v>
      </c>
      <c r="E2743" s="7">
        <v>4865523</v>
      </c>
      <c r="F2743" s="5">
        <v>3407290</v>
      </c>
    </row>
    <row r="2744" spans="1:6" ht="20" x14ac:dyDescent="0.25">
      <c r="A2744" s="5">
        <v>3407290</v>
      </c>
      <c r="B2744" s="1">
        <v>2021</v>
      </c>
      <c r="C2744" s="1" t="s">
        <v>1387</v>
      </c>
      <c r="D2744" s="3" t="s">
        <v>1311</v>
      </c>
      <c r="E2744" s="7">
        <v>6609014</v>
      </c>
      <c r="F2744" s="5">
        <v>3407290</v>
      </c>
    </row>
    <row r="2745" spans="1:6" ht="20" x14ac:dyDescent="0.25">
      <c r="A2745" s="5">
        <v>3407290</v>
      </c>
      <c r="B2745" s="1">
        <v>2022</v>
      </c>
      <c r="C2745" s="1" t="s">
        <v>1387</v>
      </c>
      <c r="D2745" s="2" t="s">
        <v>1311</v>
      </c>
      <c r="E2745" s="7">
        <v>9536424</v>
      </c>
      <c r="F2745" s="5">
        <v>3407290</v>
      </c>
    </row>
    <row r="2746" spans="1:6" ht="20" x14ac:dyDescent="0.25">
      <c r="A2746" s="5">
        <v>3407290</v>
      </c>
      <c r="B2746" s="1">
        <v>2023</v>
      </c>
      <c r="C2746" s="1" t="s">
        <v>1387</v>
      </c>
      <c r="D2746" s="2" t="s">
        <v>1311</v>
      </c>
      <c r="E2746" s="7">
        <v>9690348</v>
      </c>
      <c r="F2746" s="5">
        <v>3407290</v>
      </c>
    </row>
    <row r="2747" spans="1:6" x14ac:dyDescent="0.25">
      <c r="A2747" s="5">
        <v>3407320</v>
      </c>
      <c r="B2747" s="1">
        <v>2015</v>
      </c>
      <c r="C2747" s="1" t="s">
        <v>1387</v>
      </c>
      <c r="D2747" s="1" t="s">
        <v>59</v>
      </c>
      <c r="E2747" s="8">
        <v>240515</v>
      </c>
      <c r="F2747" s="5">
        <v>3407320</v>
      </c>
    </row>
    <row r="2748" spans="1:6" x14ac:dyDescent="0.25">
      <c r="A2748" s="5">
        <v>3407320</v>
      </c>
      <c r="B2748" s="1">
        <v>2016</v>
      </c>
      <c r="C2748" s="1" t="s">
        <v>1387</v>
      </c>
      <c r="D2748" s="1" t="s">
        <v>59</v>
      </c>
      <c r="E2748" s="8">
        <v>365065</v>
      </c>
      <c r="F2748" s="5">
        <v>3407320</v>
      </c>
    </row>
    <row r="2749" spans="1:6" x14ac:dyDescent="0.25">
      <c r="A2749" s="5">
        <v>3407320</v>
      </c>
      <c r="B2749" s="1">
        <v>2017</v>
      </c>
      <c r="C2749" s="1" t="s">
        <v>1387</v>
      </c>
      <c r="D2749" s="1" t="s">
        <v>59</v>
      </c>
      <c r="E2749" s="8">
        <v>524666</v>
      </c>
      <c r="F2749" s="5">
        <v>3407320</v>
      </c>
    </row>
    <row r="2750" spans="1:6" x14ac:dyDescent="0.25">
      <c r="A2750" s="5">
        <v>3407320</v>
      </c>
      <c r="B2750" s="1">
        <v>2018</v>
      </c>
      <c r="C2750" s="1" t="s">
        <v>1387</v>
      </c>
      <c r="D2750" s="1" t="s">
        <v>737</v>
      </c>
      <c r="E2750" s="8">
        <v>696971</v>
      </c>
      <c r="F2750" s="5">
        <v>3407320</v>
      </c>
    </row>
    <row r="2751" spans="1:6" x14ac:dyDescent="0.25">
      <c r="A2751" s="5">
        <v>3407320</v>
      </c>
      <c r="B2751" s="1">
        <v>2019</v>
      </c>
      <c r="C2751" s="1" t="s">
        <v>1387</v>
      </c>
      <c r="D2751" s="1" t="s">
        <v>737</v>
      </c>
      <c r="E2751" s="8">
        <v>945475</v>
      </c>
      <c r="F2751" s="5">
        <v>3407320</v>
      </c>
    </row>
    <row r="2752" spans="1:6" ht="20" x14ac:dyDescent="0.25">
      <c r="A2752" s="5">
        <v>3407320</v>
      </c>
      <c r="B2752" s="1">
        <v>2020</v>
      </c>
      <c r="C2752" s="1" t="s">
        <v>1387</v>
      </c>
      <c r="D2752" s="2" t="s">
        <v>737</v>
      </c>
      <c r="E2752" s="7">
        <v>983523</v>
      </c>
      <c r="F2752" s="5">
        <v>3407320</v>
      </c>
    </row>
    <row r="2753" spans="1:6" ht="20" x14ac:dyDescent="0.25">
      <c r="A2753" s="5">
        <v>3407320</v>
      </c>
      <c r="B2753" s="1">
        <v>2021</v>
      </c>
      <c r="C2753" s="1" t="s">
        <v>1387</v>
      </c>
      <c r="D2753" s="3" t="s">
        <v>737</v>
      </c>
      <c r="E2753" s="7">
        <v>1313267</v>
      </c>
      <c r="F2753" s="5">
        <v>3407320</v>
      </c>
    </row>
    <row r="2754" spans="1:6" ht="20" x14ac:dyDescent="0.25">
      <c r="A2754" s="5">
        <v>3407320</v>
      </c>
      <c r="B2754" s="1">
        <v>2022</v>
      </c>
      <c r="C2754" s="1" t="s">
        <v>1387</v>
      </c>
      <c r="D2754" s="2" t="s">
        <v>737</v>
      </c>
      <c r="E2754" s="7">
        <v>2038483</v>
      </c>
      <c r="F2754" s="5">
        <v>3407320</v>
      </c>
    </row>
    <row r="2755" spans="1:6" ht="20" x14ac:dyDescent="0.25">
      <c r="A2755" s="5">
        <v>3407320</v>
      </c>
      <c r="B2755" s="1">
        <v>2023</v>
      </c>
      <c r="C2755" s="1" t="s">
        <v>1387</v>
      </c>
      <c r="D2755" s="2" t="s">
        <v>737</v>
      </c>
      <c r="E2755" s="7">
        <v>2050391</v>
      </c>
      <c r="F2755" s="5">
        <v>3407320</v>
      </c>
    </row>
    <row r="2756" spans="1:6" x14ac:dyDescent="0.25">
      <c r="A2756" s="5">
        <v>3407350</v>
      </c>
      <c r="B2756" s="1">
        <v>2015</v>
      </c>
      <c r="C2756" s="1" t="s">
        <v>1387</v>
      </c>
      <c r="D2756" s="1" t="s">
        <v>308</v>
      </c>
      <c r="E2756" s="8">
        <v>1014395</v>
      </c>
      <c r="F2756" s="5">
        <v>3407350</v>
      </c>
    </row>
    <row r="2757" spans="1:6" x14ac:dyDescent="0.25">
      <c r="A2757" s="5">
        <v>3407350</v>
      </c>
      <c r="B2757" s="1">
        <v>2016</v>
      </c>
      <c r="C2757" s="1" t="s">
        <v>1387</v>
      </c>
      <c r="D2757" s="1" t="s">
        <v>308</v>
      </c>
      <c r="E2757" s="8">
        <v>1582355</v>
      </c>
      <c r="F2757" s="5">
        <v>3407350</v>
      </c>
    </row>
    <row r="2758" spans="1:6" x14ac:dyDescent="0.25">
      <c r="A2758" s="5">
        <v>3407350</v>
      </c>
      <c r="B2758" s="1">
        <v>2017</v>
      </c>
      <c r="C2758" s="1" t="s">
        <v>1387</v>
      </c>
      <c r="D2758" s="1" t="s">
        <v>308</v>
      </c>
      <c r="E2758" s="8">
        <v>2084013</v>
      </c>
      <c r="F2758" s="5">
        <v>3407350</v>
      </c>
    </row>
    <row r="2759" spans="1:6" x14ac:dyDescent="0.25">
      <c r="A2759" s="5">
        <v>3407350</v>
      </c>
      <c r="B2759" s="1">
        <v>2018</v>
      </c>
      <c r="C2759" s="1" t="s">
        <v>1387</v>
      </c>
      <c r="D2759" s="1" t="s">
        <v>1000</v>
      </c>
      <c r="E2759" s="8">
        <v>2850926</v>
      </c>
      <c r="F2759" s="5">
        <v>3407350</v>
      </c>
    </row>
    <row r="2760" spans="1:6" x14ac:dyDescent="0.25">
      <c r="A2760" s="5">
        <v>3407350</v>
      </c>
      <c r="B2760" s="1">
        <v>2019</v>
      </c>
      <c r="C2760" s="1" t="s">
        <v>1387</v>
      </c>
      <c r="D2760" s="1" t="s">
        <v>1000</v>
      </c>
      <c r="E2760" s="8">
        <v>3868523</v>
      </c>
      <c r="F2760" s="5">
        <v>3407350</v>
      </c>
    </row>
    <row r="2761" spans="1:6" ht="20" x14ac:dyDescent="0.25">
      <c r="A2761" s="5">
        <v>3407350</v>
      </c>
      <c r="B2761" s="1">
        <v>2020</v>
      </c>
      <c r="C2761" s="1" t="s">
        <v>1387</v>
      </c>
      <c r="D2761" s="2" t="s">
        <v>1000</v>
      </c>
      <c r="E2761" s="7">
        <v>4366905</v>
      </c>
      <c r="F2761" s="5">
        <v>3407350</v>
      </c>
    </row>
    <row r="2762" spans="1:6" ht="20" x14ac:dyDescent="0.25">
      <c r="A2762" s="5">
        <v>3407350</v>
      </c>
      <c r="B2762" s="1">
        <v>2021</v>
      </c>
      <c r="C2762" s="1" t="s">
        <v>1387</v>
      </c>
      <c r="D2762" s="3" t="s">
        <v>1000</v>
      </c>
      <c r="E2762" s="7">
        <v>5834563</v>
      </c>
      <c r="F2762" s="5">
        <v>3407350</v>
      </c>
    </row>
    <row r="2763" spans="1:6" ht="20" x14ac:dyDescent="0.25">
      <c r="A2763" s="5">
        <v>3407350</v>
      </c>
      <c r="B2763" s="1">
        <v>2022</v>
      </c>
      <c r="C2763" s="1" t="s">
        <v>1387</v>
      </c>
      <c r="D2763" s="2" t="s">
        <v>1000</v>
      </c>
      <c r="E2763" s="7">
        <v>8259728</v>
      </c>
      <c r="F2763" s="5">
        <v>3407350</v>
      </c>
    </row>
    <row r="2764" spans="1:6" ht="20" x14ac:dyDescent="0.25">
      <c r="A2764" s="5">
        <v>3407350</v>
      </c>
      <c r="B2764" s="1">
        <v>2023</v>
      </c>
      <c r="C2764" s="1" t="s">
        <v>1387</v>
      </c>
      <c r="D2764" s="2" t="s">
        <v>1000</v>
      </c>
      <c r="E2764" s="7">
        <v>8513286</v>
      </c>
      <c r="F2764" s="5">
        <v>3407350</v>
      </c>
    </row>
    <row r="2765" spans="1:6" x14ac:dyDescent="0.25">
      <c r="A2765" s="5">
        <v>3407380</v>
      </c>
      <c r="B2765" s="1">
        <v>2015</v>
      </c>
      <c r="C2765" s="1" t="s">
        <v>1387</v>
      </c>
      <c r="D2765" s="1" t="s">
        <v>339</v>
      </c>
      <c r="E2765" s="8">
        <v>248649</v>
      </c>
      <c r="F2765" s="5">
        <v>3407380</v>
      </c>
    </row>
    <row r="2766" spans="1:6" x14ac:dyDescent="0.25">
      <c r="A2766" s="5">
        <v>3407380</v>
      </c>
      <c r="B2766" s="1">
        <v>2016</v>
      </c>
      <c r="C2766" s="1" t="s">
        <v>1387</v>
      </c>
      <c r="D2766" s="1" t="s">
        <v>339</v>
      </c>
      <c r="E2766" s="8">
        <v>345736</v>
      </c>
      <c r="F2766" s="5">
        <v>3407380</v>
      </c>
    </row>
    <row r="2767" spans="1:6" x14ac:dyDescent="0.25">
      <c r="A2767" s="5">
        <v>3407380</v>
      </c>
      <c r="B2767" s="1">
        <v>2017</v>
      </c>
      <c r="C2767" s="1" t="s">
        <v>1387</v>
      </c>
      <c r="D2767" s="1" t="s">
        <v>339</v>
      </c>
      <c r="E2767" s="8">
        <v>498665</v>
      </c>
      <c r="F2767" s="5">
        <v>3407380</v>
      </c>
    </row>
    <row r="2768" spans="1:6" x14ac:dyDescent="0.25">
      <c r="A2768" s="5">
        <v>3407380</v>
      </c>
      <c r="B2768" s="1">
        <v>2018</v>
      </c>
      <c r="C2768" s="1" t="s">
        <v>1387</v>
      </c>
      <c r="D2768" s="1" t="s">
        <v>1032</v>
      </c>
      <c r="E2768" s="8">
        <v>653268</v>
      </c>
      <c r="F2768" s="5">
        <v>3407380</v>
      </c>
    </row>
    <row r="2769" spans="1:6" x14ac:dyDescent="0.25">
      <c r="A2769" s="5">
        <v>3407380</v>
      </c>
      <c r="B2769" s="1">
        <v>2019</v>
      </c>
      <c r="C2769" s="1" t="s">
        <v>1387</v>
      </c>
      <c r="D2769" s="1" t="s">
        <v>1032</v>
      </c>
      <c r="E2769" s="8">
        <v>855974</v>
      </c>
      <c r="F2769" s="5">
        <v>3407380</v>
      </c>
    </row>
    <row r="2770" spans="1:6" ht="20" x14ac:dyDescent="0.25">
      <c r="A2770" s="5">
        <v>3407380</v>
      </c>
      <c r="B2770" s="1">
        <v>2020</v>
      </c>
      <c r="C2770" s="1" t="s">
        <v>1387</v>
      </c>
      <c r="D2770" s="2" t="s">
        <v>1032</v>
      </c>
      <c r="E2770" s="7">
        <v>869396</v>
      </c>
      <c r="F2770" s="5">
        <v>3407380</v>
      </c>
    </row>
    <row r="2771" spans="1:6" ht="20" x14ac:dyDescent="0.25">
      <c r="A2771" s="5">
        <v>3407380</v>
      </c>
      <c r="B2771" s="1">
        <v>2021</v>
      </c>
      <c r="C2771" s="1" t="s">
        <v>1387</v>
      </c>
      <c r="D2771" s="3" t="s">
        <v>1032</v>
      </c>
      <c r="E2771" s="7">
        <v>1186943</v>
      </c>
      <c r="F2771" s="5">
        <v>3407380</v>
      </c>
    </row>
    <row r="2772" spans="1:6" ht="20" x14ac:dyDescent="0.25">
      <c r="A2772" s="5">
        <v>3407380</v>
      </c>
      <c r="B2772" s="1">
        <v>2022</v>
      </c>
      <c r="C2772" s="1" t="s">
        <v>1387</v>
      </c>
      <c r="D2772" s="2" t="s">
        <v>1032</v>
      </c>
      <c r="E2772" s="7">
        <v>1642519</v>
      </c>
      <c r="F2772" s="5">
        <v>3407380</v>
      </c>
    </row>
    <row r="2773" spans="1:6" ht="20" x14ac:dyDescent="0.25">
      <c r="A2773" s="5">
        <v>3407380</v>
      </c>
      <c r="B2773" s="1">
        <v>2023</v>
      </c>
      <c r="C2773" s="1" t="s">
        <v>1387</v>
      </c>
      <c r="D2773" s="2" t="s">
        <v>1032</v>
      </c>
      <c r="E2773" s="7">
        <v>1673626</v>
      </c>
      <c r="F2773" s="5">
        <v>3407380</v>
      </c>
    </row>
    <row r="2774" spans="1:6" x14ac:dyDescent="0.25">
      <c r="A2774" s="5">
        <v>3407410</v>
      </c>
      <c r="B2774" s="1">
        <v>2015</v>
      </c>
      <c r="C2774" s="1" t="s">
        <v>1387</v>
      </c>
      <c r="D2774" s="1" t="s">
        <v>418</v>
      </c>
      <c r="E2774" s="8">
        <v>1267192</v>
      </c>
      <c r="F2774" s="5">
        <v>3407410</v>
      </c>
    </row>
    <row r="2775" spans="1:6" x14ac:dyDescent="0.25">
      <c r="A2775" s="5">
        <v>3407410</v>
      </c>
      <c r="B2775" s="1">
        <v>2016</v>
      </c>
      <c r="C2775" s="1" t="s">
        <v>1387</v>
      </c>
      <c r="D2775" s="1" t="s">
        <v>418</v>
      </c>
      <c r="E2775" s="8">
        <v>1877891</v>
      </c>
      <c r="F2775" s="5">
        <v>3407410</v>
      </c>
    </row>
    <row r="2776" spans="1:6" x14ac:dyDescent="0.25">
      <c r="A2776" s="5">
        <v>3407410</v>
      </c>
      <c r="B2776" s="1">
        <v>2017</v>
      </c>
      <c r="C2776" s="1" t="s">
        <v>1387</v>
      </c>
      <c r="D2776" s="1" t="s">
        <v>418</v>
      </c>
      <c r="E2776" s="8">
        <v>2673524</v>
      </c>
      <c r="F2776" s="5">
        <v>3407410</v>
      </c>
    </row>
    <row r="2777" spans="1:6" x14ac:dyDescent="0.25">
      <c r="A2777" s="5">
        <v>3407410</v>
      </c>
      <c r="B2777" s="1">
        <v>2018</v>
      </c>
      <c r="C2777" s="1" t="s">
        <v>1387</v>
      </c>
      <c r="D2777" s="1" t="s">
        <v>1110</v>
      </c>
      <c r="E2777" s="8">
        <v>3614031</v>
      </c>
      <c r="F2777" s="5">
        <v>3407410</v>
      </c>
    </row>
    <row r="2778" spans="1:6" x14ac:dyDescent="0.25">
      <c r="A2778" s="5">
        <v>3407410</v>
      </c>
      <c r="B2778" s="1">
        <v>2019</v>
      </c>
      <c r="C2778" s="1" t="s">
        <v>1387</v>
      </c>
      <c r="D2778" s="1" t="s">
        <v>1110</v>
      </c>
      <c r="E2778" s="8">
        <v>4756848</v>
      </c>
      <c r="F2778" s="5">
        <v>3407410</v>
      </c>
    </row>
    <row r="2779" spans="1:6" ht="20" x14ac:dyDescent="0.25">
      <c r="A2779" s="5">
        <v>3407410</v>
      </c>
      <c r="B2779" s="1">
        <v>2020</v>
      </c>
      <c r="C2779" s="1" t="s">
        <v>1387</v>
      </c>
      <c r="D2779" s="2" t="s">
        <v>1110</v>
      </c>
      <c r="E2779" s="7">
        <v>5318913</v>
      </c>
      <c r="F2779" s="5">
        <v>3407410</v>
      </c>
    </row>
    <row r="2780" spans="1:6" ht="20" x14ac:dyDescent="0.25">
      <c r="A2780" s="5">
        <v>3407410</v>
      </c>
      <c r="B2780" s="1">
        <v>2021</v>
      </c>
      <c r="C2780" s="1" t="s">
        <v>1387</v>
      </c>
      <c r="D2780" s="3" t="s">
        <v>1110</v>
      </c>
      <c r="E2780" s="7">
        <v>6956702</v>
      </c>
      <c r="F2780" s="5">
        <v>3407410</v>
      </c>
    </row>
    <row r="2781" spans="1:6" ht="20" x14ac:dyDescent="0.25">
      <c r="A2781" s="5">
        <v>3407410</v>
      </c>
      <c r="B2781" s="1">
        <v>2022</v>
      </c>
      <c r="C2781" s="1" t="s">
        <v>1387</v>
      </c>
      <c r="D2781" s="2" t="s">
        <v>1110</v>
      </c>
      <c r="E2781" s="7">
        <v>9889103</v>
      </c>
      <c r="F2781" s="5">
        <v>3407410</v>
      </c>
    </row>
    <row r="2782" spans="1:6" ht="20" x14ac:dyDescent="0.25">
      <c r="A2782" s="5">
        <v>3407410</v>
      </c>
      <c r="B2782" s="1">
        <v>2023</v>
      </c>
      <c r="C2782" s="1" t="s">
        <v>1387</v>
      </c>
      <c r="D2782" s="2" t="s">
        <v>1110</v>
      </c>
      <c r="E2782" s="7">
        <v>9771385</v>
      </c>
      <c r="F2782" s="5">
        <v>3407410</v>
      </c>
    </row>
    <row r="2783" spans="1:6" x14ac:dyDescent="0.25">
      <c r="A2783" s="5">
        <v>3407440</v>
      </c>
      <c r="B2783" s="1">
        <v>2015</v>
      </c>
      <c r="C2783" s="1" t="s">
        <v>1387</v>
      </c>
      <c r="D2783" s="1" t="s">
        <v>593</v>
      </c>
      <c r="E2783" s="8">
        <v>821073</v>
      </c>
      <c r="F2783" s="5">
        <v>3407440</v>
      </c>
    </row>
    <row r="2784" spans="1:6" x14ac:dyDescent="0.25">
      <c r="A2784" s="5">
        <v>3407440</v>
      </c>
      <c r="B2784" s="1">
        <v>2016</v>
      </c>
      <c r="C2784" s="1" t="s">
        <v>1387</v>
      </c>
      <c r="D2784" s="1" t="s">
        <v>593</v>
      </c>
      <c r="E2784" s="8">
        <v>1211366</v>
      </c>
      <c r="F2784" s="5">
        <v>3407440</v>
      </c>
    </row>
    <row r="2785" spans="1:6" x14ac:dyDescent="0.25">
      <c r="A2785" s="5">
        <v>3407440</v>
      </c>
      <c r="B2785" s="1">
        <v>2017</v>
      </c>
      <c r="C2785" s="1" t="s">
        <v>1387</v>
      </c>
      <c r="D2785" s="1" t="s">
        <v>593</v>
      </c>
      <c r="E2785" s="8">
        <v>1630158</v>
      </c>
      <c r="F2785" s="5">
        <v>3407440</v>
      </c>
    </row>
    <row r="2786" spans="1:6" x14ac:dyDescent="0.25">
      <c r="A2786" s="5">
        <v>3407440</v>
      </c>
      <c r="B2786" s="1">
        <v>2018</v>
      </c>
      <c r="C2786" s="1" t="s">
        <v>1387</v>
      </c>
      <c r="D2786" s="1" t="s">
        <v>1286</v>
      </c>
      <c r="E2786" s="8">
        <v>2259533</v>
      </c>
      <c r="F2786" s="5">
        <v>3407440</v>
      </c>
    </row>
    <row r="2787" spans="1:6" x14ac:dyDescent="0.25">
      <c r="A2787" s="5">
        <v>3407440</v>
      </c>
      <c r="B2787" s="1">
        <v>2019</v>
      </c>
      <c r="C2787" s="1" t="s">
        <v>1387</v>
      </c>
      <c r="D2787" s="1" t="s">
        <v>1286</v>
      </c>
      <c r="E2787" s="8">
        <v>3005228</v>
      </c>
      <c r="F2787" s="5">
        <v>3407440</v>
      </c>
    </row>
    <row r="2788" spans="1:6" ht="20" x14ac:dyDescent="0.25">
      <c r="A2788" s="5">
        <v>3407440</v>
      </c>
      <c r="B2788" s="1">
        <v>2020</v>
      </c>
      <c r="C2788" s="1" t="s">
        <v>1387</v>
      </c>
      <c r="D2788" s="2" t="s">
        <v>1286</v>
      </c>
      <c r="E2788" s="7">
        <v>3373956</v>
      </c>
      <c r="F2788" s="5">
        <v>3407440</v>
      </c>
    </row>
    <row r="2789" spans="1:6" ht="20" x14ac:dyDescent="0.25">
      <c r="A2789" s="5">
        <v>3407440</v>
      </c>
      <c r="B2789" s="1">
        <v>2021</v>
      </c>
      <c r="C2789" s="1" t="s">
        <v>1387</v>
      </c>
      <c r="D2789" s="3" t="s">
        <v>1286</v>
      </c>
      <c r="E2789" s="7">
        <v>4023066</v>
      </c>
      <c r="F2789" s="5">
        <v>3407440</v>
      </c>
    </row>
    <row r="2790" spans="1:6" ht="20" x14ac:dyDescent="0.25">
      <c r="A2790" s="5">
        <v>3407440</v>
      </c>
      <c r="B2790" s="1">
        <v>2022</v>
      </c>
      <c r="C2790" s="1" t="s">
        <v>1387</v>
      </c>
      <c r="D2790" s="2" t="s">
        <v>1286</v>
      </c>
      <c r="E2790" s="7">
        <v>5807157</v>
      </c>
      <c r="F2790" s="5">
        <v>3407440</v>
      </c>
    </row>
    <row r="2791" spans="1:6" ht="20" x14ac:dyDescent="0.25">
      <c r="A2791" s="5">
        <v>3407440</v>
      </c>
      <c r="B2791" s="1">
        <v>2023</v>
      </c>
      <c r="C2791" s="1" t="s">
        <v>1387</v>
      </c>
      <c r="D2791" s="2" t="s">
        <v>1286</v>
      </c>
      <c r="E2791" s="7">
        <v>5373090</v>
      </c>
      <c r="F2791" s="5">
        <v>3407440</v>
      </c>
    </row>
    <row r="2792" spans="1:6" x14ac:dyDescent="0.25">
      <c r="A2792" s="5">
        <v>3407470</v>
      </c>
      <c r="B2792" s="1">
        <v>2015</v>
      </c>
      <c r="C2792" s="1" t="s">
        <v>1387</v>
      </c>
      <c r="D2792" s="1" t="s">
        <v>647</v>
      </c>
      <c r="E2792" s="8">
        <v>72043</v>
      </c>
      <c r="F2792" s="5">
        <v>3407470</v>
      </c>
    </row>
    <row r="2793" spans="1:6" x14ac:dyDescent="0.25">
      <c r="A2793" s="5">
        <v>3407470</v>
      </c>
      <c r="B2793" s="1">
        <v>2016</v>
      </c>
      <c r="C2793" s="1" t="s">
        <v>1387</v>
      </c>
      <c r="D2793" s="1" t="s">
        <v>647</v>
      </c>
      <c r="E2793" s="8">
        <v>109527</v>
      </c>
      <c r="F2793" s="5">
        <v>3407470</v>
      </c>
    </row>
    <row r="2794" spans="1:6" x14ac:dyDescent="0.25">
      <c r="A2794" s="5">
        <v>3407470</v>
      </c>
      <c r="B2794" s="1">
        <v>2017</v>
      </c>
      <c r="C2794" s="1" t="s">
        <v>1387</v>
      </c>
      <c r="D2794" s="1" t="s">
        <v>647</v>
      </c>
      <c r="E2794" s="8">
        <v>152043</v>
      </c>
      <c r="F2794" s="5">
        <v>3407470</v>
      </c>
    </row>
    <row r="2795" spans="1:6" x14ac:dyDescent="0.25">
      <c r="A2795" s="5">
        <v>3407470</v>
      </c>
      <c r="B2795" s="1">
        <v>2018</v>
      </c>
      <c r="C2795" s="1" t="s">
        <v>1387</v>
      </c>
      <c r="D2795" s="1" t="s">
        <v>1340</v>
      </c>
      <c r="E2795" s="8">
        <v>204567</v>
      </c>
      <c r="F2795" s="5">
        <v>3407470</v>
      </c>
    </row>
    <row r="2796" spans="1:6" x14ac:dyDescent="0.25">
      <c r="A2796" s="5">
        <v>3407470</v>
      </c>
      <c r="B2796" s="1">
        <v>2019</v>
      </c>
      <c r="C2796" s="1" t="s">
        <v>1387</v>
      </c>
      <c r="D2796" s="1" t="s">
        <v>1340</v>
      </c>
      <c r="E2796" s="8">
        <v>267234</v>
      </c>
      <c r="F2796" s="5">
        <v>3407470</v>
      </c>
    </row>
    <row r="2797" spans="1:6" ht="20" x14ac:dyDescent="0.25">
      <c r="A2797" s="5">
        <v>3407470</v>
      </c>
      <c r="B2797" s="1">
        <v>2020</v>
      </c>
      <c r="C2797" s="1" t="s">
        <v>1387</v>
      </c>
      <c r="D2797" s="2" t="s">
        <v>1340</v>
      </c>
      <c r="E2797" s="7">
        <v>319136</v>
      </c>
      <c r="F2797" s="5">
        <v>3407470</v>
      </c>
    </row>
    <row r="2798" spans="1:6" ht="20" x14ac:dyDescent="0.25">
      <c r="A2798" s="5">
        <v>3407470</v>
      </c>
      <c r="B2798" s="1">
        <v>2021</v>
      </c>
      <c r="C2798" s="1" t="s">
        <v>1387</v>
      </c>
      <c r="D2798" s="3" t="s">
        <v>1340</v>
      </c>
      <c r="E2798" s="7">
        <v>356698</v>
      </c>
      <c r="F2798" s="5">
        <v>3407470</v>
      </c>
    </row>
    <row r="2799" spans="1:6" ht="20" x14ac:dyDescent="0.25">
      <c r="A2799" s="5">
        <v>3407470</v>
      </c>
      <c r="B2799" s="1">
        <v>2022</v>
      </c>
      <c r="C2799" s="1" t="s">
        <v>1387</v>
      </c>
      <c r="D2799" s="2" t="s">
        <v>1340</v>
      </c>
      <c r="E2799" s="7">
        <v>491251</v>
      </c>
      <c r="F2799" s="5">
        <v>3407470</v>
      </c>
    </row>
    <row r="2800" spans="1:6" ht="20" x14ac:dyDescent="0.25">
      <c r="A2800" s="5">
        <v>3407470</v>
      </c>
      <c r="B2800" s="1">
        <v>2023</v>
      </c>
      <c r="C2800" s="1" t="s">
        <v>1387</v>
      </c>
      <c r="D2800" s="2" t="s">
        <v>1340</v>
      </c>
      <c r="E2800" s="7">
        <v>514017</v>
      </c>
      <c r="F2800" s="5">
        <v>3407470</v>
      </c>
    </row>
    <row r="2801" spans="1:6" x14ac:dyDescent="0.25">
      <c r="A2801" s="5">
        <v>3407500</v>
      </c>
      <c r="B2801" s="1">
        <v>2015</v>
      </c>
      <c r="C2801" s="1" t="s">
        <v>1387</v>
      </c>
      <c r="D2801" s="1" t="s">
        <v>220</v>
      </c>
      <c r="E2801" s="8">
        <v>189112</v>
      </c>
      <c r="F2801" s="5">
        <v>3407500</v>
      </c>
    </row>
    <row r="2802" spans="1:6" x14ac:dyDescent="0.25">
      <c r="A2802" s="5">
        <v>3407500</v>
      </c>
      <c r="B2802" s="1">
        <v>2016</v>
      </c>
      <c r="C2802" s="1" t="s">
        <v>1387</v>
      </c>
      <c r="D2802" s="1" t="s">
        <v>220</v>
      </c>
      <c r="E2802" s="8">
        <v>280724</v>
      </c>
      <c r="F2802" s="5">
        <v>3407500</v>
      </c>
    </row>
    <row r="2803" spans="1:6" x14ac:dyDescent="0.25">
      <c r="A2803" s="5">
        <v>3407500</v>
      </c>
      <c r="B2803" s="1">
        <v>2017</v>
      </c>
      <c r="C2803" s="1" t="s">
        <v>1387</v>
      </c>
      <c r="D2803" s="1" t="s">
        <v>220</v>
      </c>
      <c r="E2803" s="8">
        <v>388036</v>
      </c>
      <c r="F2803" s="5">
        <v>3407500</v>
      </c>
    </row>
    <row r="2804" spans="1:6" x14ac:dyDescent="0.25">
      <c r="A2804" s="5">
        <v>3407500</v>
      </c>
      <c r="B2804" s="1">
        <v>2018</v>
      </c>
      <c r="C2804" s="1" t="s">
        <v>1387</v>
      </c>
      <c r="D2804" s="1" t="s">
        <v>906</v>
      </c>
      <c r="E2804" s="8">
        <v>520237</v>
      </c>
      <c r="F2804" s="5">
        <v>3407500</v>
      </c>
    </row>
    <row r="2805" spans="1:6" x14ac:dyDescent="0.25">
      <c r="A2805" s="5">
        <v>3407500</v>
      </c>
      <c r="B2805" s="1">
        <v>2019</v>
      </c>
      <c r="C2805" s="1" t="s">
        <v>1387</v>
      </c>
      <c r="D2805" s="1" t="s">
        <v>906</v>
      </c>
      <c r="E2805" s="8">
        <v>700000</v>
      </c>
      <c r="F2805" s="5">
        <v>3407500</v>
      </c>
    </row>
    <row r="2806" spans="1:6" ht="20" x14ac:dyDescent="0.25">
      <c r="A2806" s="5">
        <v>3407500</v>
      </c>
      <c r="B2806" s="1">
        <v>2020</v>
      </c>
      <c r="C2806" s="1" t="s">
        <v>1387</v>
      </c>
      <c r="D2806" s="2" t="s">
        <v>906</v>
      </c>
      <c r="E2806" s="7">
        <v>729296</v>
      </c>
      <c r="F2806" s="5">
        <v>3407500</v>
      </c>
    </row>
    <row r="2807" spans="1:6" ht="20" x14ac:dyDescent="0.25">
      <c r="A2807" s="5">
        <v>3407500</v>
      </c>
      <c r="B2807" s="1">
        <v>2021</v>
      </c>
      <c r="C2807" s="1" t="s">
        <v>1387</v>
      </c>
      <c r="D2807" s="3" t="s">
        <v>906</v>
      </c>
      <c r="E2807" s="7">
        <v>926822</v>
      </c>
      <c r="F2807" s="5">
        <v>3407500</v>
      </c>
    </row>
    <row r="2808" spans="1:6" ht="20" x14ac:dyDescent="0.25">
      <c r="A2808" s="5">
        <v>3407500</v>
      </c>
      <c r="B2808" s="1">
        <v>2022</v>
      </c>
      <c r="C2808" s="1" t="s">
        <v>1387</v>
      </c>
      <c r="D2808" s="2" t="s">
        <v>906</v>
      </c>
      <c r="E2808" s="7">
        <v>1389881</v>
      </c>
      <c r="F2808" s="5">
        <v>3407500</v>
      </c>
    </row>
    <row r="2809" spans="1:6" ht="20" x14ac:dyDescent="0.25">
      <c r="A2809" s="5">
        <v>3407500</v>
      </c>
      <c r="B2809" s="1">
        <v>2023</v>
      </c>
      <c r="C2809" s="1" t="s">
        <v>1387</v>
      </c>
      <c r="D2809" s="2" t="s">
        <v>906</v>
      </c>
      <c r="E2809" s="7">
        <v>1364843</v>
      </c>
      <c r="F2809" s="5">
        <v>3407500</v>
      </c>
    </row>
    <row r="2810" spans="1:6" x14ac:dyDescent="0.25">
      <c r="A2810" s="5">
        <v>3407530</v>
      </c>
      <c r="B2810" s="1">
        <v>2015</v>
      </c>
      <c r="C2810" s="1" t="s">
        <v>1387</v>
      </c>
      <c r="D2810" s="1" t="s">
        <v>359</v>
      </c>
      <c r="E2810" s="8">
        <v>1696643</v>
      </c>
      <c r="F2810" s="5">
        <v>3407530</v>
      </c>
    </row>
    <row r="2811" spans="1:6" x14ac:dyDescent="0.25">
      <c r="A2811" s="5">
        <v>3407530</v>
      </c>
      <c r="B2811" s="1">
        <v>2016</v>
      </c>
      <c r="C2811" s="1" t="s">
        <v>1387</v>
      </c>
      <c r="D2811" s="1" t="s">
        <v>359</v>
      </c>
      <c r="E2811" s="8">
        <v>2543413</v>
      </c>
      <c r="F2811" s="5">
        <v>3407530</v>
      </c>
    </row>
    <row r="2812" spans="1:6" x14ac:dyDescent="0.25">
      <c r="A2812" s="5">
        <v>3407530</v>
      </c>
      <c r="B2812" s="1">
        <v>2017</v>
      </c>
      <c r="C2812" s="1" t="s">
        <v>1387</v>
      </c>
      <c r="D2812" s="1" t="s">
        <v>359</v>
      </c>
      <c r="E2812" s="8">
        <v>3535130</v>
      </c>
      <c r="F2812" s="5">
        <v>3407530</v>
      </c>
    </row>
    <row r="2813" spans="1:6" x14ac:dyDescent="0.25">
      <c r="A2813" s="5">
        <v>3407530</v>
      </c>
      <c r="B2813" s="1">
        <v>2018</v>
      </c>
      <c r="C2813" s="1" t="s">
        <v>1387</v>
      </c>
      <c r="D2813" s="1" t="s">
        <v>1049</v>
      </c>
      <c r="E2813" s="8">
        <v>4844667</v>
      </c>
      <c r="F2813" s="5">
        <v>3407530</v>
      </c>
    </row>
    <row r="2814" spans="1:6" x14ac:dyDescent="0.25">
      <c r="A2814" s="5">
        <v>3407530</v>
      </c>
      <c r="B2814" s="1">
        <v>2019</v>
      </c>
      <c r="C2814" s="1" t="s">
        <v>1387</v>
      </c>
      <c r="D2814" s="1" t="s">
        <v>1049</v>
      </c>
      <c r="E2814" s="8">
        <v>6460781</v>
      </c>
      <c r="F2814" s="5">
        <v>3407530</v>
      </c>
    </row>
    <row r="2815" spans="1:6" ht="20" x14ac:dyDescent="0.25">
      <c r="A2815" s="5">
        <v>3407530</v>
      </c>
      <c r="B2815" s="1">
        <v>2020</v>
      </c>
      <c r="C2815" s="1" t="s">
        <v>1387</v>
      </c>
      <c r="D2815" s="2" t="s">
        <v>1049</v>
      </c>
      <c r="E2815" s="7">
        <v>7300542</v>
      </c>
      <c r="F2815" s="5">
        <v>3407530</v>
      </c>
    </row>
    <row r="2816" spans="1:6" ht="20" x14ac:dyDescent="0.25">
      <c r="A2816" s="5">
        <v>3407530</v>
      </c>
      <c r="B2816" s="1">
        <v>2021</v>
      </c>
      <c r="C2816" s="1" t="s">
        <v>1387</v>
      </c>
      <c r="D2816" s="3" t="s">
        <v>1049</v>
      </c>
      <c r="E2816" s="7">
        <v>9477557</v>
      </c>
      <c r="F2816" s="5">
        <v>3407530</v>
      </c>
    </row>
    <row r="2817" spans="1:6" ht="20" x14ac:dyDescent="0.25">
      <c r="A2817" s="5">
        <v>3407530</v>
      </c>
      <c r="B2817" s="1">
        <v>2022</v>
      </c>
      <c r="C2817" s="1" t="s">
        <v>1387</v>
      </c>
      <c r="D2817" s="2" t="s">
        <v>1049</v>
      </c>
      <c r="E2817" s="7">
        <v>13406615</v>
      </c>
      <c r="F2817" s="5">
        <v>3407530</v>
      </c>
    </row>
    <row r="2818" spans="1:6" ht="20" x14ac:dyDescent="0.25">
      <c r="A2818" s="5">
        <v>3407530</v>
      </c>
      <c r="B2818" s="1">
        <v>2023</v>
      </c>
      <c r="C2818" s="1" t="s">
        <v>1387</v>
      </c>
      <c r="D2818" s="2" t="s">
        <v>1049</v>
      </c>
      <c r="E2818" s="7">
        <v>13299752</v>
      </c>
      <c r="F2818" s="5">
        <v>3407530</v>
      </c>
    </row>
    <row r="2819" spans="1:6" x14ac:dyDescent="0.25">
      <c r="A2819" s="5">
        <v>3407560</v>
      </c>
      <c r="B2819" s="1">
        <v>2015</v>
      </c>
      <c r="C2819" s="1" t="s">
        <v>1387</v>
      </c>
      <c r="D2819" s="1" t="s">
        <v>420</v>
      </c>
      <c r="E2819" s="8">
        <v>2453877</v>
      </c>
      <c r="F2819" s="5">
        <v>3407560</v>
      </c>
    </row>
    <row r="2820" spans="1:6" x14ac:dyDescent="0.25">
      <c r="A2820" s="5">
        <v>3407560</v>
      </c>
      <c r="B2820" s="1">
        <v>2016</v>
      </c>
      <c r="C2820" s="1" t="s">
        <v>1387</v>
      </c>
      <c r="D2820" s="1" t="s">
        <v>420</v>
      </c>
      <c r="E2820" s="8">
        <v>3899139</v>
      </c>
      <c r="F2820" s="5">
        <v>3407560</v>
      </c>
    </row>
    <row r="2821" spans="1:6" x14ac:dyDescent="0.25">
      <c r="A2821" s="5">
        <v>3407560</v>
      </c>
      <c r="B2821" s="1">
        <v>2017</v>
      </c>
      <c r="C2821" s="1" t="s">
        <v>1387</v>
      </c>
      <c r="D2821" s="1" t="s">
        <v>420</v>
      </c>
      <c r="E2821" s="8">
        <v>5468562</v>
      </c>
      <c r="F2821" s="5">
        <v>3407560</v>
      </c>
    </row>
    <row r="2822" spans="1:6" x14ac:dyDescent="0.25">
      <c r="A2822" s="5">
        <v>3407560</v>
      </c>
      <c r="B2822" s="1">
        <v>2018</v>
      </c>
      <c r="C2822" s="1" t="s">
        <v>1387</v>
      </c>
      <c r="D2822" s="1" t="s">
        <v>1112</v>
      </c>
      <c r="E2822" s="8">
        <v>6999478</v>
      </c>
      <c r="F2822" s="5">
        <v>3407560</v>
      </c>
    </row>
    <row r="2823" spans="1:6" x14ac:dyDescent="0.25">
      <c r="A2823" s="5">
        <v>3407560</v>
      </c>
      <c r="B2823" s="1">
        <v>2019</v>
      </c>
      <c r="C2823" s="1" t="s">
        <v>1387</v>
      </c>
      <c r="D2823" s="1" t="s">
        <v>1112</v>
      </c>
      <c r="E2823" s="8">
        <v>9205446</v>
      </c>
      <c r="F2823" s="5">
        <v>3407560</v>
      </c>
    </row>
    <row r="2824" spans="1:6" ht="20" x14ac:dyDescent="0.25">
      <c r="A2824" s="5">
        <v>3407560</v>
      </c>
      <c r="B2824" s="1">
        <v>2020</v>
      </c>
      <c r="C2824" s="1" t="s">
        <v>1387</v>
      </c>
      <c r="D2824" s="2" t="s">
        <v>1112</v>
      </c>
      <c r="E2824" s="7">
        <v>10441526</v>
      </c>
      <c r="F2824" s="5">
        <v>3407560</v>
      </c>
    </row>
    <row r="2825" spans="1:6" ht="20" x14ac:dyDescent="0.25">
      <c r="A2825" s="5">
        <v>3407560</v>
      </c>
      <c r="B2825" s="1">
        <v>2021</v>
      </c>
      <c r="C2825" s="1" t="s">
        <v>1387</v>
      </c>
      <c r="D2825" s="3" t="s">
        <v>1112</v>
      </c>
      <c r="E2825" s="7">
        <v>13381215</v>
      </c>
      <c r="F2825" s="5">
        <v>3407560</v>
      </c>
    </row>
    <row r="2826" spans="1:6" ht="20" x14ac:dyDescent="0.25">
      <c r="A2826" s="5">
        <v>3407560</v>
      </c>
      <c r="B2826" s="1">
        <v>2022</v>
      </c>
      <c r="C2826" s="1" t="s">
        <v>1387</v>
      </c>
      <c r="D2826" s="2" t="s">
        <v>1112</v>
      </c>
      <c r="E2826" s="7">
        <v>19034134</v>
      </c>
      <c r="F2826" s="5">
        <v>3407560</v>
      </c>
    </row>
    <row r="2827" spans="1:6" ht="20" x14ac:dyDescent="0.25">
      <c r="A2827" s="5">
        <v>3407560</v>
      </c>
      <c r="B2827" s="1">
        <v>2023</v>
      </c>
      <c r="C2827" s="1" t="s">
        <v>1387</v>
      </c>
      <c r="D2827" s="2" t="s">
        <v>1112</v>
      </c>
      <c r="E2827" s="7">
        <v>18456147</v>
      </c>
      <c r="F2827" s="5">
        <v>3407560</v>
      </c>
    </row>
    <row r="2828" spans="1:6" x14ac:dyDescent="0.25">
      <c r="A2828" s="5">
        <v>3407570</v>
      </c>
      <c r="B2828" s="1">
        <v>2015</v>
      </c>
      <c r="C2828" s="1" t="s">
        <v>1387</v>
      </c>
      <c r="D2828" s="1" t="s">
        <v>311</v>
      </c>
      <c r="E2828" s="8">
        <v>1024140</v>
      </c>
      <c r="F2828" s="5">
        <v>3407570</v>
      </c>
    </row>
    <row r="2829" spans="1:6" x14ac:dyDescent="0.25">
      <c r="A2829" s="5">
        <v>3407570</v>
      </c>
      <c r="B2829" s="1">
        <v>2016</v>
      </c>
      <c r="C2829" s="1" t="s">
        <v>1387</v>
      </c>
      <c r="D2829" s="1" t="s">
        <v>311</v>
      </c>
      <c r="E2829" s="8">
        <v>1544747</v>
      </c>
      <c r="F2829" s="5">
        <v>3407570</v>
      </c>
    </row>
    <row r="2830" spans="1:6" x14ac:dyDescent="0.25">
      <c r="A2830" s="5">
        <v>3407570</v>
      </c>
      <c r="B2830" s="1">
        <v>2017</v>
      </c>
      <c r="C2830" s="1" t="s">
        <v>1387</v>
      </c>
      <c r="D2830" s="1" t="s">
        <v>311</v>
      </c>
      <c r="E2830" s="8">
        <v>2195036</v>
      </c>
      <c r="F2830" s="5">
        <v>3407570</v>
      </c>
    </row>
    <row r="2831" spans="1:6" x14ac:dyDescent="0.25">
      <c r="A2831" s="5">
        <v>3407570</v>
      </c>
      <c r="B2831" s="1">
        <v>2018</v>
      </c>
      <c r="C2831" s="1" t="s">
        <v>1387</v>
      </c>
      <c r="D2831" s="1" t="s">
        <v>1003</v>
      </c>
      <c r="E2831" s="8">
        <v>3020332</v>
      </c>
      <c r="F2831" s="5">
        <v>3407570</v>
      </c>
    </row>
    <row r="2832" spans="1:6" x14ac:dyDescent="0.25">
      <c r="A2832" s="5">
        <v>3407570</v>
      </c>
      <c r="B2832" s="1">
        <v>2019</v>
      </c>
      <c r="C2832" s="1" t="s">
        <v>1387</v>
      </c>
      <c r="D2832" s="1" t="s">
        <v>1003</v>
      </c>
      <c r="E2832" s="8">
        <v>4095376</v>
      </c>
      <c r="F2832" s="5">
        <v>3407570</v>
      </c>
    </row>
    <row r="2833" spans="1:6" ht="20" x14ac:dyDescent="0.25">
      <c r="A2833" s="5">
        <v>3407570</v>
      </c>
      <c r="B2833" s="1">
        <v>2020</v>
      </c>
      <c r="C2833" s="1" t="s">
        <v>1387</v>
      </c>
      <c r="D2833" s="2" t="s">
        <v>1003</v>
      </c>
      <c r="E2833" s="7">
        <v>4590842</v>
      </c>
      <c r="F2833" s="5">
        <v>3407570</v>
      </c>
    </row>
    <row r="2834" spans="1:6" ht="20" x14ac:dyDescent="0.25">
      <c r="A2834" s="5">
        <v>3407570</v>
      </c>
      <c r="B2834" s="1">
        <v>2021</v>
      </c>
      <c r="C2834" s="1" t="s">
        <v>1387</v>
      </c>
      <c r="D2834" s="3" t="s">
        <v>1003</v>
      </c>
      <c r="E2834" s="7">
        <v>5918298</v>
      </c>
      <c r="F2834" s="5">
        <v>3407570</v>
      </c>
    </row>
    <row r="2835" spans="1:6" ht="20" x14ac:dyDescent="0.25">
      <c r="A2835" s="5">
        <v>3407570</v>
      </c>
      <c r="B2835" s="1">
        <v>2022</v>
      </c>
      <c r="C2835" s="1" t="s">
        <v>1387</v>
      </c>
      <c r="D2835" s="2" t="s">
        <v>1003</v>
      </c>
      <c r="E2835" s="7">
        <v>8744966</v>
      </c>
      <c r="F2835" s="5">
        <v>3407570</v>
      </c>
    </row>
    <row r="2836" spans="1:6" ht="20" x14ac:dyDescent="0.25">
      <c r="A2836" s="5">
        <v>3407570</v>
      </c>
      <c r="B2836" s="1">
        <v>2023</v>
      </c>
      <c r="C2836" s="1" t="s">
        <v>1387</v>
      </c>
      <c r="D2836" s="2" t="s">
        <v>1003</v>
      </c>
      <c r="E2836" s="7">
        <v>8749675</v>
      </c>
      <c r="F2836" s="5">
        <v>3407570</v>
      </c>
    </row>
    <row r="2837" spans="1:6" x14ac:dyDescent="0.25">
      <c r="A2837" s="5">
        <v>3407590</v>
      </c>
      <c r="B2837" s="1">
        <v>2015</v>
      </c>
      <c r="C2837" s="1" t="s">
        <v>1387</v>
      </c>
      <c r="D2837" s="1" t="s">
        <v>340</v>
      </c>
      <c r="E2837" s="8">
        <v>1078227</v>
      </c>
      <c r="F2837" s="5">
        <v>3407590</v>
      </c>
    </row>
    <row r="2838" spans="1:6" x14ac:dyDescent="0.25">
      <c r="A2838" s="5">
        <v>3407590</v>
      </c>
      <c r="B2838" s="1">
        <v>2016</v>
      </c>
      <c r="C2838" s="1" t="s">
        <v>1387</v>
      </c>
      <c r="D2838" s="1" t="s">
        <v>340</v>
      </c>
      <c r="E2838" s="8">
        <v>1678764</v>
      </c>
      <c r="F2838" s="5">
        <v>3407590</v>
      </c>
    </row>
    <row r="2839" spans="1:6" x14ac:dyDescent="0.25">
      <c r="A2839" s="5">
        <v>3407590</v>
      </c>
      <c r="B2839" s="1">
        <v>2017</v>
      </c>
      <c r="C2839" s="1" t="s">
        <v>1387</v>
      </c>
      <c r="D2839" s="1" t="s">
        <v>340</v>
      </c>
      <c r="E2839" s="8">
        <v>2371618</v>
      </c>
      <c r="F2839" s="5">
        <v>3407590</v>
      </c>
    </row>
    <row r="2840" spans="1:6" x14ac:dyDescent="0.25">
      <c r="A2840" s="5">
        <v>3407590</v>
      </c>
      <c r="B2840" s="1">
        <v>2018</v>
      </c>
      <c r="C2840" s="1" t="s">
        <v>1387</v>
      </c>
      <c r="D2840" s="1" t="s">
        <v>1033</v>
      </c>
      <c r="E2840" s="8">
        <v>3131453</v>
      </c>
      <c r="F2840" s="5">
        <v>3407590</v>
      </c>
    </row>
    <row r="2841" spans="1:6" x14ac:dyDescent="0.25">
      <c r="A2841" s="5">
        <v>3407590</v>
      </c>
      <c r="B2841" s="1">
        <v>2019</v>
      </c>
      <c r="C2841" s="1" t="s">
        <v>1387</v>
      </c>
      <c r="D2841" s="1" t="s">
        <v>1033</v>
      </c>
      <c r="E2841" s="8">
        <v>4133766</v>
      </c>
      <c r="F2841" s="5">
        <v>3407590</v>
      </c>
    </row>
    <row r="2842" spans="1:6" ht="20" x14ac:dyDescent="0.25">
      <c r="A2842" s="5">
        <v>3407590</v>
      </c>
      <c r="B2842" s="1">
        <v>2020</v>
      </c>
      <c r="C2842" s="1" t="s">
        <v>1387</v>
      </c>
      <c r="D2842" s="2" t="s">
        <v>1033</v>
      </c>
      <c r="E2842" s="7">
        <v>4821287</v>
      </c>
      <c r="F2842" s="5">
        <v>3407590</v>
      </c>
    </row>
    <row r="2843" spans="1:6" ht="20" x14ac:dyDescent="0.25">
      <c r="A2843" s="5">
        <v>3407590</v>
      </c>
      <c r="B2843" s="1">
        <v>2021</v>
      </c>
      <c r="C2843" s="1" t="s">
        <v>1387</v>
      </c>
      <c r="D2843" s="3" t="s">
        <v>1033</v>
      </c>
      <c r="E2843" s="7">
        <v>6145697</v>
      </c>
      <c r="F2843" s="5">
        <v>3407590</v>
      </c>
    </row>
    <row r="2844" spans="1:6" ht="20" x14ac:dyDescent="0.25">
      <c r="A2844" s="5">
        <v>3407590</v>
      </c>
      <c r="B2844" s="1">
        <v>2022</v>
      </c>
      <c r="C2844" s="1" t="s">
        <v>1387</v>
      </c>
      <c r="D2844" s="2" t="s">
        <v>1033</v>
      </c>
      <c r="E2844" s="7">
        <v>8662545</v>
      </c>
      <c r="F2844" s="5">
        <v>3407590</v>
      </c>
    </row>
    <row r="2845" spans="1:6" ht="20" x14ac:dyDescent="0.25">
      <c r="A2845" s="5">
        <v>3407590</v>
      </c>
      <c r="B2845" s="1">
        <v>2023</v>
      </c>
      <c r="C2845" s="1" t="s">
        <v>1387</v>
      </c>
      <c r="D2845" s="2" t="s">
        <v>1033</v>
      </c>
      <c r="E2845" s="7">
        <v>8670446</v>
      </c>
      <c r="F2845" s="5">
        <v>3407590</v>
      </c>
    </row>
    <row r="2846" spans="1:6" x14ac:dyDescent="0.25">
      <c r="A2846" s="5">
        <v>3407680</v>
      </c>
      <c r="B2846" s="1">
        <v>2015</v>
      </c>
      <c r="C2846" s="1" t="s">
        <v>1387</v>
      </c>
      <c r="D2846" s="1" t="s">
        <v>244</v>
      </c>
      <c r="E2846" s="8">
        <v>2582418</v>
      </c>
      <c r="F2846" s="5">
        <v>3407680</v>
      </c>
    </row>
    <row r="2847" spans="1:6" x14ac:dyDescent="0.25">
      <c r="A2847" s="5">
        <v>3407680</v>
      </c>
      <c r="B2847" s="1">
        <v>2016</v>
      </c>
      <c r="C2847" s="1" t="s">
        <v>1387</v>
      </c>
      <c r="D2847" s="1" t="s">
        <v>244</v>
      </c>
      <c r="E2847" s="8">
        <v>3816633</v>
      </c>
      <c r="F2847" s="5">
        <v>3407680</v>
      </c>
    </row>
    <row r="2848" spans="1:6" x14ac:dyDescent="0.25">
      <c r="A2848" s="5">
        <v>3407680</v>
      </c>
      <c r="B2848" s="1">
        <v>2017</v>
      </c>
      <c r="C2848" s="1" t="s">
        <v>1387</v>
      </c>
      <c r="D2848" s="1" t="s">
        <v>244</v>
      </c>
      <c r="E2848" s="8">
        <v>5486243</v>
      </c>
      <c r="F2848" s="5">
        <v>3407680</v>
      </c>
    </row>
    <row r="2849" spans="1:6" x14ac:dyDescent="0.25">
      <c r="A2849" s="5">
        <v>3407680</v>
      </c>
      <c r="B2849" s="1">
        <v>2018</v>
      </c>
      <c r="C2849" s="1" t="s">
        <v>1387</v>
      </c>
      <c r="D2849" s="1" t="s">
        <v>930</v>
      </c>
      <c r="E2849" s="8">
        <v>7411166</v>
      </c>
      <c r="F2849" s="5">
        <v>3407680</v>
      </c>
    </row>
    <row r="2850" spans="1:6" x14ac:dyDescent="0.25">
      <c r="A2850" s="5">
        <v>3407680</v>
      </c>
      <c r="B2850" s="1">
        <v>2019</v>
      </c>
      <c r="C2850" s="1" t="s">
        <v>1387</v>
      </c>
      <c r="D2850" s="1" t="s">
        <v>930</v>
      </c>
      <c r="E2850" s="8">
        <v>9182965</v>
      </c>
      <c r="F2850" s="5">
        <v>3407680</v>
      </c>
    </row>
    <row r="2851" spans="1:6" ht="20" x14ac:dyDescent="0.25">
      <c r="A2851" s="5">
        <v>3407680</v>
      </c>
      <c r="B2851" s="1">
        <v>2020</v>
      </c>
      <c r="C2851" s="1" t="s">
        <v>1387</v>
      </c>
      <c r="D2851" s="2" t="s">
        <v>930</v>
      </c>
      <c r="E2851" s="7">
        <v>10768157</v>
      </c>
      <c r="F2851" s="5">
        <v>3407680</v>
      </c>
    </row>
    <row r="2852" spans="1:6" ht="20" x14ac:dyDescent="0.25">
      <c r="A2852" s="5">
        <v>3407680</v>
      </c>
      <c r="B2852" s="1">
        <v>2021</v>
      </c>
      <c r="C2852" s="1" t="s">
        <v>1387</v>
      </c>
      <c r="D2852" s="3" t="s">
        <v>930</v>
      </c>
      <c r="E2852" s="7">
        <v>14082157</v>
      </c>
      <c r="F2852" s="5">
        <v>3407680</v>
      </c>
    </row>
    <row r="2853" spans="1:6" ht="20" x14ac:dyDescent="0.25">
      <c r="A2853" s="5">
        <v>3407680</v>
      </c>
      <c r="B2853" s="1">
        <v>2022</v>
      </c>
      <c r="C2853" s="1" t="s">
        <v>1387</v>
      </c>
      <c r="D2853" s="2" t="s">
        <v>930</v>
      </c>
      <c r="E2853" s="7">
        <v>19451673</v>
      </c>
      <c r="F2853" s="5">
        <v>3407680</v>
      </c>
    </row>
    <row r="2854" spans="1:6" ht="20" x14ac:dyDescent="0.25">
      <c r="A2854" s="5">
        <v>3407680</v>
      </c>
      <c r="B2854" s="1">
        <v>2023</v>
      </c>
      <c r="C2854" s="1" t="s">
        <v>1387</v>
      </c>
      <c r="D2854" s="2" t="s">
        <v>930</v>
      </c>
      <c r="E2854" s="7">
        <v>19596309</v>
      </c>
      <c r="F2854" s="5">
        <v>3407680</v>
      </c>
    </row>
    <row r="2855" spans="1:6" x14ac:dyDescent="0.25">
      <c r="A2855" s="5">
        <v>3407710</v>
      </c>
      <c r="B2855" s="1">
        <v>2015</v>
      </c>
      <c r="C2855" s="1" t="s">
        <v>1387</v>
      </c>
      <c r="D2855" s="1" t="s">
        <v>501</v>
      </c>
      <c r="E2855" s="8">
        <v>45735</v>
      </c>
      <c r="F2855" s="5">
        <v>3407710</v>
      </c>
    </row>
    <row r="2856" spans="1:6" x14ac:dyDescent="0.25">
      <c r="A2856" s="5">
        <v>3407710</v>
      </c>
      <c r="B2856" s="1">
        <v>2016</v>
      </c>
      <c r="C2856" s="1" t="s">
        <v>1387</v>
      </c>
      <c r="D2856" s="1" t="s">
        <v>501</v>
      </c>
      <c r="E2856" s="8">
        <v>67133</v>
      </c>
      <c r="F2856" s="5">
        <v>3407710</v>
      </c>
    </row>
    <row r="2857" spans="1:6" x14ac:dyDescent="0.25">
      <c r="A2857" s="5">
        <v>3407710</v>
      </c>
      <c r="B2857" s="1">
        <v>2017</v>
      </c>
      <c r="C2857" s="1" t="s">
        <v>1387</v>
      </c>
      <c r="D2857" s="1" t="s">
        <v>501</v>
      </c>
      <c r="E2857" s="8">
        <v>110557</v>
      </c>
      <c r="F2857" s="5">
        <v>3407710</v>
      </c>
    </row>
    <row r="2858" spans="1:6" x14ac:dyDescent="0.25">
      <c r="A2858" s="5">
        <v>3407710</v>
      </c>
      <c r="B2858" s="1">
        <v>2018</v>
      </c>
      <c r="C2858" s="1" t="s">
        <v>1387</v>
      </c>
      <c r="D2858" s="1" t="s">
        <v>1193</v>
      </c>
      <c r="E2858" s="8">
        <v>126696</v>
      </c>
      <c r="F2858" s="5">
        <v>3407710</v>
      </c>
    </row>
    <row r="2859" spans="1:6" x14ac:dyDescent="0.25">
      <c r="A2859" s="5">
        <v>3407710</v>
      </c>
      <c r="B2859" s="1">
        <v>2019</v>
      </c>
      <c r="C2859" s="1" t="s">
        <v>1387</v>
      </c>
      <c r="D2859" s="1" t="s">
        <v>1193</v>
      </c>
      <c r="E2859" s="8">
        <v>174486</v>
      </c>
      <c r="F2859" s="5">
        <v>3407710</v>
      </c>
    </row>
    <row r="2860" spans="1:6" ht="20" x14ac:dyDescent="0.25">
      <c r="A2860" s="5">
        <v>3407710</v>
      </c>
      <c r="B2860" s="1">
        <v>2020</v>
      </c>
      <c r="C2860" s="1" t="s">
        <v>1387</v>
      </c>
      <c r="D2860" s="2" t="s">
        <v>1193</v>
      </c>
      <c r="E2860" s="7">
        <v>211446</v>
      </c>
      <c r="F2860" s="5">
        <v>3407710</v>
      </c>
    </row>
    <row r="2861" spans="1:6" ht="20" x14ac:dyDescent="0.25">
      <c r="A2861" s="5">
        <v>3407710</v>
      </c>
      <c r="B2861" s="1">
        <v>2021</v>
      </c>
      <c r="C2861" s="1" t="s">
        <v>1387</v>
      </c>
      <c r="D2861" s="3" t="s">
        <v>1193</v>
      </c>
      <c r="E2861" s="7">
        <v>280510</v>
      </c>
      <c r="F2861" s="5">
        <v>3407710</v>
      </c>
    </row>
    <row r="2862" spans="1:6" ht="20" x14ac:dyDescent="0.25">
      <c r="A2862" s="5">
        <v>3407710</v>
      </c>
      <c r="B2862" s="1">
        <v>2022</v>
      </c>
      <c r="C2862" s="1" t="s">
        <v>1387</v>
      </c>
      <c r="D2862" s="2" t="s">
        <v>1193</v>
      </c>
      <c r="E2862" s="7">
        <v>405838</v>
      </c>
      <c r="F2862" s="5">
        <v>3407710</v>
      </c>
    </row>
    <row r="2863" spans="1:6" ht="20" x14ac:dyDescent="0.25">
      <c r="A2863" s="5">
        <v>3407710</v>
      </c>
      <c r="B2863" s="1">
        <v>2023</v>
      </c>
      <c r="C2863" s="1" t="s">
        <v>1387</v>
      </c>
      <c r="D2863" s="2" t="s">
        <v>1193</v>
      </c>
      <c r="E2863" s="7">
        <v>444340</v>
      </c>
      <c r="F2863" s="5">
        <v>3407710</v>
      </c>
    </row>
    <row r="2864" spans="1:6" x14ac:dyDescent="0.25">
      <c r="A2864" s="5">
        <v>3407740</v>
      </c>
      <c r="B2864" s="1">
        <v>2015</v>
      </c>
      <c r="C2864" s="1" t="s">
        <v>1387</v>
      </c>
      <c r="D2864" s="1" t="s">
        <v>502</v>
      </c>
      <c r="E2864" s="8">
        <v>2920696</v>
      </c>
      <c r="F2864" s="5">
        <v>3407740</v>
      </c>
    </row>
    <row r="2865" spans="1:6" x14ac:dyDescent="0.25">
      <c r="A2865" s="5">
        <v>3407740</v>
      </c>
      <c r="B2865" s="1">
        <v>2016</v>
      </c>
      <c r="C2865" s="1" t="s">
        <v>1387</v>
      </c>
      <c r="D2865" s="1" t="s">
        <v>502</v>
      </c>
      <c r="E2865" s="8">
        <v>4200587</v>
      </c>
      <c r="F2865" s="5">
        <v>3407740</v>
      </c>
    </row>
    <row r="2866" spans="1:6" x14ac:dyDescent="0.25">
      <c r="A2866" s="5">
        <v>3407740</v>
      </c>
      <c r="B2866" s="1">
        <v>2017</v>
      </c>
      <c r="C2866" s="1" t="s">
        <v>1387</v>
      </c>
      <c r="D2866" s="1" t="s">
        <v>502</v>
      </c>
      <c r="E2866" s="8">
        <v>5813159</v>
      </c>
      <c r="F2866" s="5">
        <v>3407740</v>
      </c>
    </row>
    <row r="2867" spans="1:6" x14ac:dyDescent="0.25">
      <c r="A2867" s="5">
        <v>3407740</v>
      </c>
      <c r="B2867" s="1">
        <v>2018</v>
      </c>
      <c r="C2867" s="1" t="s">
        <v>1387</v>
      </c>
      <c r="D2867" s="1" t="s">
        <v>1194</v>
      </c>
      <c r="E2867" s="8">
        <v>8198835</v>
      </c>
      <c r="F2867" s="5">
        <v>3407740</v>
      </c>
    </row>
    <row r="2868" spans="1:6" x14ac:dyDescent="0.25">
      <c r="A2868" s="5">
        <v>3407740</v>
      </c>
      <c r="B2868" s="1">
        <v>2019</v>
      </c>
      <c r="C2868" s="1" t="s">
        <v>1387</v>
      </c>
      <c r="D2868" s="1" t="s">
        <v>1194</v>
      </c>
      <c r="E2868" s="8">
        <v>10920481</v>
      </c>
      <c r="F2868" s="5">
        <v>3407740</v>
      </c>
    </row>
    <row r="2869" spans="1:6" ht="20" x14ac:dyDescent="0.25">
      <c r="A2869" s="5">
        <v>3407740</v>
      </c>
      <c r="B2869" s="1">
        <v>2020</v>
      </c>
      <c r="C2869" s="1" t="s">
        <v>1387</v>
      </c>
      <c r="D2869" s="2" t="s">
        <v>1194</v>
      </c>
      <c r="E2869" s="7">
        <v>12404360</v>
      </c>
      <c r="F2869" s="5">
        <v>3407740</v>
      </c>
    </row>
    <row r="2870" spans="1:6" ht="20" x14ac:dyDescent="0.25">
      <c r="A2870" s="5">
        <v>3407740</v>
      </c>
      <c r="B2870" s="1">
        <v>2021</v>
      </c>
      <c r="C2870" s="1" t="s">
        <v>1387</v>
      </c>
      <c r="D2870" s="3" t="s">
        <v>1194</v>
      </c>
      <c r="E2870" s="7">
        <v>15668102</v>
      </c>
      <c r="F2870" s="5">
        <v>3407740</v>
      </c>
    </row>
    <row r="2871" spans="1:6" ht="20" x14ac:dyDescent="0.25">
      <c r="A2871" s="5">
        <v>3407740</v>
      </c>
      <c r="B2871" s="1">
        <v>2022</v>
      </c>
      <c r="C2871" s="1" t="s">
        <v>1387</v>
      </c>
      <c r="D2871" s="2" t="s">
        <v>1194</v>
      </c>
      <c r="E2871" s="7">
        <v>21897839</v>
      </c>
      <c r="F2871" s="5">
        <v>3407740</v>
      </c>
    </row>
    <row r="2872" spans="1:6" ht="20" x14ac:dyDescent="0.25">
      <c r="A2872" s="5">
        <v>3407740</v>
      </c>
      <c r="B2872" s="1">
        <v>2023</v>
      </c>
      <c r="C2872" s="1" t="s">
        <v>1387</v>
      </c>
      <c r="D2872" s="2" t="s">
        <v>1194</v>
      </c>
      <c r="E2872" s="7">
        <v>21176261</v>
      </c>
      <c r="F2872" s="5">
        <v>3407740</v>
      </c>
    </row>
    <row r="2873" spans="1:6" x14ac:dyDescent="0.25">
      <c r="A2873" s="5">
        <v>3407770</v>
      </c>
      <c r="B2873" s="1">
        <v>2015</v>
      </c>
      <c r="C2873" s="1" t="s">
        <v>1387</v>
      </c>
      <c r="D2873" s="1" t="s">
        <v>381</v>
      </c>
      <c r="E2873" s="8">
        <v>187864</v>
      </c>
      <c r="F2873" s="5">
        <v>3407770</v>
      </c>
    </row>
    <row r="2874" spans="1:6" x14ac:dyDescent="0.25">
      <c r="A2874" s="5">
        <v>3407770</v>
      </c>
      <c r="B2874" s="1">
        <v>2016</v>
      </c>
      <c r="C2874" s="1" t="s">
        <v>1387</v>
      </c>
      <c r="D2874" s="1" t="s">
        <v>381</v>
      </c>
      <c r="E2874" s="8">
        <v>280215</v>
      </c>
      <c r="F2874" s="5">
        <v>3407770</v>
      </c>
    </row>
    <row r="2875" spans="1:6" x14ac:dyDescent="0.25">
      <c r="A2875" s="5">
        <v>3407770</v>
      </c>
      <c r="B2875" s="1">
        <v>2017</v>
      </c>
      <c r="C2875" s="1" t="s">
        <v>1387</v>
      </c>
      <c r="D2875" s="1" t="s">
        <v>381</v>
      </c>
      <c r="E2875" s="8">
        <v>393825</v>
      </c>
      <c r="F2875" s="5">
        <v>3407770</v>
      </c>
    </row>
    <row r="2876" spans="1:6" x14ac:dyDescent="0.25">
      <c r="A2876" s="5">
        <v>3407770</v>
      </c>
      <c r="B2876" s="1">
        <v>2018</v>
      </c>
      <c r="C2876" s="1" t="s">
        <v>1387</v>
      </c>
      <c r="D2876" s="1" t="s">
        <v>1074</v>
      </c>
      <c r="E2876" s="8">
        <v>538530</v>
      </c>
      <c r="F2876" s="5">
        <v>3407770</v>
      </c>
    </row>
    <row r="2877" spans="1:6" x14ac:dyDescent="0.25">
      <c r="A2877" s="5">
        <v>3407770</v>
      </c>
      <c r="B2877" s="1">
        <v>2019</v>
      </c>
      <c r="C2877" s="1" t="s">
        <v>1387</v>
      </c>
      <c r="D2877" s="1" t="s">
        <v>1074</v>
      </c>
      <c r="E2877" s="8">
        <v>742731</v>
      </c>
      <c r="F2877" s="5">
        <v>3407770</v>
      </c>
    </row>
    <row r="2878" spans="1:6" ht="20" x14ac:dyDescent="0.25">
      <c r="A2878" s="5">
        <v>3407770</v>
      </c>
      <c r="B2878" s="1">
        <v>2020</v>
      </c>
      <c r="C2878" s="1" t="s">
        <v>1387</v>
      </c>
      <c r="D2878" s="2" t="s">
        <v>1074</v>
      </c>
      <c r="E2878" s="7">
        <v>929574</v>
      </c>
      <c r="F2878" s="5">
        <v>3407770</v>
      </c>
    </row>
    <row r="2879" spans="1:6" ht="20" x14ac:dyDescent="0.25">
      <c r="A2879" s="5">
        <v>3407770</v>
      </c>
      <c r="B2879" s="1">
        <v>2021</v>
      </c>
      <c r="C2879" s="1" t="s">
        <v>1387</v>
      </c>
      <c r="D2879" s="3" t="s">
        <v>1074</v>
      </c>
      <c r="E2879" s="7">
        <v>1302364</v>
      </c>
      <c r="F2879" s="5">
        <v>3407770</v>
      </c>
    </row>
    <row r="2880" spans="1:6" ht="20" x14ac:dyDescent="0.25">
      <c r="A2880" s="5">
        <v>3407770</v>
      </c>
      <c r="B2880" s="1">
        <v>2022</v>
      </c>
      <c r="C2880" s="1" t="s">
        <v>1387</v>
      </c>
      <c r="D2880" s="2" t="s">
        <v>1074</v>
      </c>
      <c r="E2880" s="7">
        <v>1852464</v>
      </c>
      <c r="F2880" s="5">
        <v>3407770</v>
      </c>
    </row>
    <row r="2881" spans="1:6" ht="20" x14ac:dyDescent="0.25">
      <c r="A2881" s="5">
        <v>3407770</v>
      </c>
      <c r="B2881" s="1">
        <v>2023</v>
      </c>
      <c r="C2881" s="1" t="s">
        <v>1387</v>
      </c>
      <c r="D2881" s="2" t="s">
        <v>1074</v>
      </c>
      <c r="E2881" s="7">
        <v>1829386</v>
      </c>
      <c r="F2881" s="5">
        <v>3407770</v>
      </c>
    </row>
    <row r="2882" spans="1:6" x14ac:dyDescent="0.25">
      <c r="A2882" s="5">
        <v>3407800</v>
      </c>
      <c r="B2882" s="1">
        <v>2015</v>
      </c>
      <c r="C2882" s="1" t="s">
        <v>1387</v>
      </c>
      <c r="D2882" s="1" t="s">
        <v>466</v>
      </c>
      <c r="E2882" s="8">
        <v>1315868</v>
      </c>
      <c r="F2882" s="5">
        <v>3407800</v>
      </c>
    </row>
    <row r="2883" spans="1:6" x14ac:dyDescent="0.25">
      <c r="A2883" s="5">
        <v>3407800</v>
      </c>
      <c r="B2883" s="1">
        <v>2016</v>
      </c>
      <c r="C2883" s="1" t="s">
        <v>1387</v>
      </c>
      <c r="D2883" s="1" t="s">
        <v>466</v>
      </c>
      <c r="E2883" s="8">
        <v>1932571</v>
      </c>
      <c r="F2883" s="5">
        <v>3407800</v>
      </c>
    </row>
    <row r="2884" spans="1:6" x14ac:dyDescent="0.25">
      <c r="A2884" s="5">
        <v>3407800</v>
      </c>
      <c r="B2884" s="1">
        <v>2017</v>
      </c>
      <c r="C2884" s="1" t="s">
        <v>1387</v>
      </c>
      <c r="D2884" s="1" t="s">
        <v>466</v>
      </c>
      <c r="E2884" s="8">
        <v>2685396</v>
      </c>
      <c r="F2884" s="5">
        <v>3407800</v>
      </c>
    </row>
    <row r="2885" spans="1:6" x14ac:dyDescent="0.25">
      <c r="A2885" s="5">
        <v>3407800</v>
      </c>
      <c r="B2885" s="1">
        <v>2018</v>
      </c>
      <c r="C2885" s="1" t="s">
        <v>1387</v>
      </c>
      <c r="D2885" s="1" t="s">
        <v>1158</v>
      </c>
      <c r="E2885" s="8">
        <v>3486144</v>
      </c>
      <c r="F2885" s="5">
        <v>3407800</v>
      </c>
    </row>
    <row r="2886" spans="1:6" x14ac:dyDescent="0.25">
      <c r="A2886" s="5">
        <v>3407800</v>
      </c>
      <c r="B2886" s="1">
        <v>2019</v>
      </c>
      <c r="C2886" s="1" t="s">
        <v>1387</v>
      </c>
      <c r="D2886" s="1" t="s">
        <v>1158</v>
      </c>
      <c r="E2886" s="8">
        <v>4512412</v>
      </c>
      <c r="F2886" s="5">
        <v>3407800</v>
      </c>
    </row>
    <row r="2887" spans="1:6" ht="20" x14ac:dyDescent="0.25">
      <c r="A2887" s="5">
        <v>3407800</v>
      </c>
      <c r="B2887" s="1">
        <v>2020</v>
      </c>
      <c r="C2887" s="1" t="s">
        <v>1387</v>
      </c>
      <c r="D2887" s="2" t="s">
        <v>1158</v>
      </c>
      <c r="E2887" s="7">
        <v>5250605</v>
      </c>
      <c r="F2887" s="5">
        <v>3407800</v>
      </c>
    </row>
    <row r="2888" spans="1:6" ht="20" x14ac:dyDescent="0.25">
      <c r="A2888" s="5">
        <v>3407800</v>
      </c>
      <c r="B2888" s="1">
        <v>2021</v>
      </c>
      <c r="C2888" s="1" t="s">
        <v>1387</v>
      </c>
      <c r="D2888" s="3" t="s">
        <v>1158</v>
      </c>
      <c r="E2888" s="7">
        <v>6830325</v>
      </c>
      <c r="F2888" s="5">
        <v>3407800</v>
      </c>
    </row>
    <row r="2889" spans="1:6" ht="20" x14ac:dyDescent="0.25">
      <c r="A2889" s="5">
        <v>3407800</v>
      </c>
      <c r="B2889" s="1">
        <v>2022</v>
      </c>
      <c r="C2889" s="1" t="s">
        <v>1387</v>
      </c>
      <c r="D2889" s="2" t="s">
        <v>1158</v>
      </c>
      <c r="E2889" s="7">
        <v>9339440</v>
      </c>
      <c r="F2889" s="5">
        <v>3407800</v>
      </c>
    </row>
    <row r="2890" spans="1:6" ht="20" x14ac:dyDescent="0.25">
      <c r="A2890" s="5">
        <v>3407800</v>
      </c>
      <c r="B2890" s="1">
        <v>2023</v>
      </c>
      <c r="C2890" s="1" t="s">
        <v>1387</v>
      </c>
      <c r="D2890" s="2" t="s">
        <v>1158</v>
      </c>
      <c r="E2890" s="7">
        <v>8670505</v>
      </c>
      <c r="F2890" s="5">
        <v>3407800</v>
      </c>
    </row>
    <row r="2891" spans="1:6" x14ac:dyDescent="0.25">
      <c r="A2891" s="5">
        <v>3407830</v>
      </c>
      <c r="B2891" s="1">
        <v>2015</v>
      </c>
      <c r="C2891" s="1" t="s">
        <v>1387</v>
      </c>
      <c r="D2891" s="1" t="s">
        <v>314</v>
      </c>
      <c r="E2891" s="8">
        <v>13866146</v>
      </c>
      <c r="F2891" s="5">
        <v>3407830</v>
      </c>
    </row>
    <row r="2892" spans="1:6" x14ac:dyDescent="0.25">
      <c r="A2892" s="5">
        <v>3407830</v>
      </c>
      <c r="B2892" s="1">
        <v>2016</v>
      </c>
      <c r="C2892" s="1" t="s">
        <v>1387</v>
      </c>
      <c r="D2892" s="1" t="s">
        <v>314</v>
      </c>
      <c r="E2892" s="8">
        <v>19210200</v>
      </c>
      <c r="F2892" s="5">
        <v>3407830</v>
      </c>
    </row>
    <row r="2893" spans="1:6" x14ac:dyDescent="0.25">
      <c r="A2893" s="5">
        <v>3407830</v>
      </c>
      <c r="B2893" s="1">
        <v>2017</v>
      </c>
      <c r="C2893" s="1" t="s">
        <v>1387</v>
      </c>
      <c r="D2893" s="1" t="s">
        <v>314</v>
      </c>
      <c r="E2893" s="8">
        <v>26239658</v>
      </c>
      <c r="F2893" s="5">
        <v>3407830</v>
      </c>
    </row>
    <row r="2894" spans="1:6" x14ac:dyDescent="0.25">
      <c r="A2894" s="5">
        <v>3407830</v>
      </c>
      <c r="B2894" s="1">
        <v>2018</v>
      </c>
      <c r="C2894" s="1" t="s">
        <v>1387</v>
      </c>
      <c r="D2894" s="1" t="s">
        <v>1007</v>
      </c>
      <c r="E2894" s="8">
        <v>36310241</v>
      </c>
      <c r="F2894" s="5">
        <v>3407830</v>
      </c>
    </row>
    <row r="2895" spans="1:6" x14ac:dyDescent="0.25">
      <c r="A2895" s="5">
        <v>3407830</v>
      </c>
      <c r="B2895" s="1">
        <v>2019</v>
      </c>
      <c r="C2895" s="1" t="s">
        <v>1387</v>
      </c>
      <c r="D2895" s="1" t="s">
        <v>1007</v>
      </c>
      <c r="E2895" s="8">
        <v>48726512</v>
      </c>
      <c r="F2895" s="5">
        <v>3407830</v>
      </c>
    </row>
    <row r="2896" spans="1:6" ht="20" x14ac:dyDescent="0.25">
      <c r="A2896" s="5">
        <v>3407830</v>
      </c>
      <c r="B2896" s="1">
        <v>2020</v>
      </c>
      <c r="C2896" s="1" t="s">
        <v>1387</v>
      </c>
      <c r="D2896" s="2" t="s">
        <v>1007</v>
      </c>
      <c r="E2896" s="7">
        <v>52451457</v>
      </c>
      <c r="F2896" s="5">
        <v>3407830</v>
      </c>
    </row>
    <row r="2897" spans="1:6" ht="20" x14ac:dyDescent="0.25">
      <c r="A2897" s="5">
        <v>3407830</v>
      </c>
      <c r="B2897" s="1">
        <v>2021</v>
      </c>
      <c r="C2897" s="1" t="s">
        <v>1387</v>
      </c>
      <c r="D2897" s="3" t="s">
        <v>1007</v>
      </c>
      <c r="E2897" s="7">
        <v>66583509</v>
      </c>
      <c r="F2897" s="5">
        <v>3407830</v>
      </c>
    </row>
    <row r="2898" spans="1:6" ht="20" x14ac:dyDescent="0.25">
      <c r="A2898" s="5">
        <v>3407830</v>
      </c>
      <c r="B2898" s="1">
        <v>2022</v>
      </c>
      <c r="C2898" s="1" t="s">
        <v>1387</v>
      </c>
      <c r="D2898" s="2" t="s">
        <v>1007</v>
      </c>
      <c r="E2898" s="7">
        <v>88354519</v>
      </c>
      <c r="F2898" s="5">
        <v>3407830</v>
      </c>
    </row>
    <row r="2899" spans="1:6" ht="20" x14ac:dyDescent="0.25">
      <c r="A2899" s="5">
        <v>3407830</v>
      </c>
      <c r="B2899" s="1">
        <v>2023</v>
      </c>
      <c r="C2899" s="1" t="s">
        <v>1387</v>
      </c>
      <c r="D2899" s="2" t="s">
        <v>1007</v>
      </c>
      <c r="E2899" s="7">
        <v>86761460</v>
      </c>
      <c r="F2899" s="5">
        <v>3407830</v>
      </c>
    </row>
    <row r="2900" spans="1:6" x14ac:dyDescent="0.25">
      <c r="A2900" s="5">
        <v>3407860</v>
      </c>
      <c r="B2900" s="1">
        <v>2015</v>
      </c>
      <c r="C2900" s="1" t="s">
        <v>1387</v>
      </c>
      <c r="D2900" s="1" t="s">
        <v>421</v>
      </c>
      <c r="E2900" s="8">
        <v>903488</v>
      </c>
      <c r="F2900" s="5">
        <v>3407860</v>
      </c>
    </row>
    <row r="2901" spans="1:6" x14ac:dyDescent="0.25">
      <c r="A2901" s="5">
        <v>3407860</v>
      </c>
      <c r="B2901" s="1">
        <v>2016</v>
      </c>
      <c r="C2901" s="1" t="s">
        <v>1387</v>
      </c>
      <c r="D2901" s="1" t="s">
        <v>421</v>
      </c>
      <c r="E2901" s="8">
        <v>1295339</v>
      </c>
      <c r="F2901" s="5">
        <v>3407860</v>
      </c>
    </row>
    <row r="2902" spans="1:6" x14ac:dyDescent="0.25">
      <c r="A2902" s="5">
        <v>3407860</v>
      </c>
      <c r="B2902" s="1">
        <v>2017</v>
      </c>
      <c r="C2902" s="1" t="s">
        <v>1387</v>
      </c>
      <c r="D2902" s="1" t="s">
        <v>421</v>
      </c>
      <c r="E2902" s="8">
        <v>1770063</v>
      </c>
      <c r="F2902" s="5">
        <v>3407860</v>
      </c>
    </row>
    <row r="2903" spans="1:6" x14ac:dyDescent="0.25">
      <c r="A2903" s="5">
        <v>3407860</v>
      </c>
      <c r="B2903" s="1">
        <v>2018</v>
      </c>
      <c r="C2903" s="1" t="s">
        <v>1387</v>
      </c>
      <c r="D2903" s="1" t="s">
        <v>1113</v>
      </c>
      <c r="E2903" s="8">
        <v>2401634</v>
      </c>
      <c r="F2903" s="5">
        <v>3407860</v>
      </c>
    </row>
    <row r="2904" spans="1:6" x14ac:dyDescent="0.25">
      <c r="A2904" s="5">
        <v>3407860</v>
      </c>
      <c r="B2904" s="1">
        <v>2019</v>
      </c>
      <c r="C2904" s="1" t="s">
        <v>1387</v>
      </c>
      <c r="D2904" s="1" t="s">
        <v>1113</v>
      </c>
      <c r="E2904" s="8">
        <v>3249428</v>
      </c>
      <c r="F2904" s="5">
        <v>3407860</v>
      </c>
    </row>
    <row r="2905" spans="1:6" ht="20" x14ac:dyDescent="0.25">
      <c r="A2905" s="5">
        <v>3407860</v>
      </c>
      <c r="B2905" s="1">
        <v>2020</v>
      </c>
      <c r="C2905" s="1" t="s">
        <v>1387</v>
      </c>
      <c r="D2905" s="2" t="s">
        <v>1113</v>
      </c>
      <c r="E2905" s="7">
        <v>3660371</v>
      </c>
      <c r="F2905" s="5">
        <v>3407860</v>
      </c>
    </row>
    <row r="2906" spans="1:6" ht="20" x14ac:dyDescent="0.25">
      <c r="A2906" s="5">
        <v>3407860</v>
      </c>
      <c r="B2906" s="1">
        <v>2021</v>
      </c>
      <c r="C2906" s="1" t="s">
        <v>1387</v>
      </c>
      <c r="D2906" s="3" t="s">
        <v>1113</v>
      </c>
      <c r="E2906" s="7">
        <v>4631461</v>
      </c>
      <c r="F2906" s="5">
        <v>3407860</v>
      </c>
    </row>
    <row r="2907" spans="1:6" ht="20" x14ac:dyDescent="0.25">
      <c r="A2907" s="5">
        <v>3407860</v>
      </c>
      <c r="B2907" s="1">
        <v>2022</v>
      </c>
      <c r="C2907" s="1" t="s">
        <v>1387</v>
      </c>
      <c r="D2907" s="2" t="s">
        <v>1113</v>
      </c>
      <c r="E2907" s="7">
        <v>6288746</v>
      </c>
      <c r="F2907" s="5">
        <v>3407860</v>
      </c>
    </row>
    <row r="2908" spans="1:6" ht="20" x14ac:dyDescent="0.25">
      <c r="A2908" s="5">
        <v>3407860</v>
      </c>
      <c r="B2908" s="1">
        <v>2023</v>
      </c>
      <c r="C2908" s="1" t="s">
        <v>1387</v>
      </c>
      <c r="D2908" s="2" t="s">
        <v>1113</v>
      </c>
      <c r="E2908" s="7">
        <v>5607968</v>
      </c>
      <c r="F2908" s="5">
        <v>3407860</v>
      </c>
    </row>
    <row r="2909" spans="1:6" x14ac:dyDescent="0.25">
      <c r="A2909" s="5">
        <v>3407890</v>
      </c>
      <c r="B2909" s="1">
        <v>2015</v>
      </c>
      <c r="C2909" s="1" t="s">
        <v>1387</v>
      </c>
      <c r="D2909" s="1" t="s">
        <v>315</v>
      </c>
      <c r="E2909" s="8">
        <v>2088031</v>
      </c>
      <c r="F2909" s="5">
        <v>3407890</v>
      </c>
    </row>
    <row r="2910" spans="1:6" x14ac:dyDescent="0.25">
      <c r="A2910" s="5">
        <v>3407890</v>
      </c>
      <c r="B2910" s="1">
        <v>2016</v>
      </c>
      <c r="C2910" s="1" t="s">
        <v>1387</v>
      </c>
      <c r="D2910" s="1" t="s">
        <v>315</v>
      </c>
      <c r="E2910" s="8">
        <v>3174228</v>
      </c>
      <c r="F2910" s="5">
        <v>3407890</v>
      </c>
    </row>
    <row r="2911" spans="1:6" x14ac:dyDescent="0.25">
      <c r="A2911" s="5">
        <v>3407890</v>
      </c>
      <c r="B2911" s="1">
        <v>2017</v>
      </c>
      <c r="C2911" s="1" t="s">
        <v>1387</v>
      </c>
      <c r="D2911" s="1" t="s">
        <v>315</v>
      </c>
      <c r="E2911" s="8">
        <v>4351709</v>
      </c>
      <c r="F2911" s="5">
        <v>3407890</v>
      </c>
    </row>
    <row r="2912" spans="1:6" x14ac:dyDescent="0.25">
      <c r="A2912" s="5">
        <v>3407890</v>
      </c>
      <c r="B2912" s="1">
        <v>2018</v>
      </c>
      <c r="C2912" s="1" t="s">
        <v>1387</v>
      </c>
      <c r="D2912" s="1" t="s">
        <v>1008</v>
      </c>
      <c r="E2912" s="8">
        <v>5695362</v>
      </c>
      <c r="F2912" s="5">
        <v>3407890</v>
      </c>
    </row>
    <row r="2913" spans="1:6" x14ac:dyDescent="0.25">
      <c r="A2913" s="5">
        <v>3407890</v>
      </c>
      <c r="B2913" s="1">
        <v>2019</v>
      </c>
      <c r="C2913" s="1" t="s">
        <v>1387</v>
      </c>
      <c r="D2913" s="1" t="s">
        <v>1008</v>
      </c>
      <c r="E2913" s="8">
        <v>7690268</v>
      </c>
      <c r="F2913" s="5">
        <v>3407890</v>
      </c>
    </row>
    <row r="2914" spans="1:6" ht="20" x14ac:dyDescent="0.25">
      <c r="A2914" s="5">
        <v>3407890</v>
      </c>
      <c r="B2914" s="1">
        <v>2020</v>
      </c>
      <c r="C2914" s="1" t="s">
        <v>1387</v>
      </c>
      <c r="D2914" s="2" t="s">
        <v>1008</v>
      </c>
      <c r="E2914" s="7">
        <v>8405156</v>
      </c>
      <c r="F2914" s="5">
        <v>3407890</v>
      </c>
    </row>
    <row r="2915" spans="1:6" ht="20" x14ac:dyDescent="0.25">
      <c r="A2915" s="5">
        <v>3407890</v>
      </c>
      <c r="B2915" s="1">
        <v>2021</v>
      </c>
      <c r="C2915" s="1" t="s">
        <v>1387</v>
      </c>
      <c r="D2915" s="3" t="s">
        <v>1008</v>
      </c>
      <c r="E2915" s="7">
        <v>11497789</v>
      </c>
      <c r="F2915" s="5">
        <v>3407890</v>
      </c>
    </row>
    <row r="2916" spans="1:6" ht="20" x14ac:dyDescent="0.25">
      <c r="A2916" s="5">
        <v>3407890</v>
      </c>
      <c r="B2916" s="1">
        <v>2022</v>
      </c>
      <c r="C2916" s="1" t="s">
        <v>1387</v>
      </c>
      <c r="D2916" s="2" t="s">
        <v>1008</v>
      </c>
      <c r="E2916" s="7">
        <v>16611917</v>
      </c>
      <c r="F2916" s="5">
        <v>3407890</v>
      </c>
    </row>
    <row r="2917" spans="1:6" ht="20" x14ac:dyDescent="0.25">
      <c r="A2917" s="5">
        <v>3407890</v>
      </c>
      <c r="B2917" s="1">
        <v>2023</v>
      </c>
      <c r="C2917" s="1" t="s">
        <v>1387</v>
      </c>
      <c r="D2917" s="2" t="s">
        <v>1008</v>
      </c>
      <c r="E2917" s="7">
        <v>16774038</v>
      </c>
      <c r="F2917" s="5">
        <v>3407890</v>
      </c>
    </row>
    <row r="2918" spans="1:6" x14ac:dyDescent="0.25">
      <c r="A2918" s="5">
        <v>3407920</v>
      </c>
      <c r="B2918" s="1">
        <v>2015</v>
      </c>
      <c r="C2918" s="1" t="s">
        <v>1387</v>
      </c>
      <c r="D2918" s="1" t="s">
        <v>619</v>
      </c>
      <c r="E2918" s="8">
        <v>534187</v>
      </c>
      <c r="F2918" s="5">
        <v>3407920</v>
      </c>
    </row>
    <row r="2919" spans="1:6" x14ac:dyDescent="0.25">
      <c r="A2919" s="5">
        <v>3407920</v>
      </c>
      <c r="B2919" s="1">
        <v>2016</v>
      </c>
      <c r="C2919" s="1" t="s">
        <v>1387</v>
      </c>
      <c r="D2919" s="1" t="s">
        <v>619</v>
      </c>
      <c r="E2919" s="8">
        <v>825404</v>
      </c>
      <c r="F2919" s="5">
        <v>3407920</v>
      </c>
    </row>
    <row r="2920" spans="1:6" x14ac:dyDescent="0.25">
      <c r="A2920" s="5">
        <v>3407920</v>
      </c>
      <c r="B2920" s="1">
        <v>2017</v>
      </c>
      <c r="C2920" s="1" t="s">
        <v>1387</v>
      </c>
      <c r="D2920" s="1" t="s">
        <v>619</v>
      </c>
      <c r="E2920" s="8">
        <v>1147391</v>
      </c>
      <c r="F2920" s="5">
        <v>3407920</v>
      </c>
    </row>
    <row r="2921" spans="1:6" x14ac:dyDescent="0.25">
      <c r="A2921" s="5">
        <v>3407920</v>
      </c>
      <c r="B2921" s="1">
        <v>2018</v>
      </c>
      <c r="C2921" s="1" t="s">
        <v>1387</v>
      </c>
      <c r="D2921" s="1" t="s">
        <v>1312</v>
      </c>
      <c r="E2921" s="8">
        <v>1661542</v>
      </c>
      <c r="F2921" s="5">
        <v>3407920</v>
      </c>
    </row>
    <row r="2922" spans="1:6" x14ac:dyDescent="0.25">
      <c r="A2922" s="5">
        <v>3407920</v>
      </c>
      <c r="B2922" s="1">
        <v>2019</v>
      </c>
      <c r="C2922" s="1" t="s">
        <v>1387</v>
      </c>
      <c r="D2922" s="1" t="s">
        <v>1312</v>
      </c>
      <c r="E2922" s="8">
        <v>2306053</v>
      </c>
      <c r="F2922" s="5">
        <v>3407920</v>
      </c>
    </row>
    <row r="2923" spans="1:6" ht="20" x14ac:dyDescent="0.25">
      <c r="A2923" s="5">
        <v>3407920</v>
      </c>
      <c r="B2923" s="1">
        <v>2020</v>
      </c>
      <c r="C2923" s="1" t="s">
        <v>1387</v>
      </c>
      <c r="D2923" s="2" t="s">
        <v>1312</v>
      </c>
      <c r="E2923" s="7">
        <v>2545410</v>
      </c>
      <c r="F2923" s="5">
        <v>3407920</v>
      </c>
    </row>
    <row r="2924" spans="1:6" ht="20" x14ac:dyDescent="0.25">
      <c r="A2924" s="5">
        <v>3407920</v>
      </c>
      <c r="B2924" s="1">
        <v>2021</v>
      </c>
      <c r="C2924" s="1" t="s">
        <v>1387</v>
      </c>
      <c r="D2924" s="3" t="s">
        <v>1312</v>
      </c>
      <c r="E2924" s="7">
        <v>3437062</v>
      </c>
      <c r="F2924" s="5">
        <v>3407920</v>
      </c>
    </row>
    <row r="2925" spans="1:6" ht="20" x14ac:dyDescent="0.25">
      <c r="A2925" s="5">
        <v>3407920</v>
      </c>
      <c r="B2925" s="1">
        <v>2022</v>
      </c>
      <c r="C2925" s="1" t="s">
        <v>1387</v>
      </c>
      <c r="D2925" s="2" t="s">
        <v>1312</v>
      </c>
      <c r="E2925" s="7">
        <v>5122969</v>
      </c>
      <c r="F2925" s="5">
        <v>3407920</v>
      </c>
    </row>
    <row r="2926" spans="1:6" ht="20" x14ac:dyDescent="0.25">
      <c r="A2926" s="5">
        <v>3407920</v>
      </c>
      <c r="B2926" s="1">
        <v>2023</v>
      </c>
      <c r="C2926" s="1" t="s">
        <v>1387</v>
      </c>
      <c r="D2926" s="2" t="s">
        <v>1312</v>
      </c>
      <c r="E2926" s="7">
        <v>5043250</v>
      </c>
      <c r="F2926" s="5">
        <v>3407920</v>
      </c>
    </row>
    <row r="2927" spans="1:6" x14ac:dyDescent="0.25">
      <c r="A2927" s="5">
        <v>3407950</v>
      </c>
      <c r="B2927" s="1">
        <v>2015</v>
      </c>
      <c r="C2927" s="1" t="s">
        <v>1387</v>
      </c>
      <c r="D2927" s="1" t="s">
        <v>422</v>
      </c>
      <c r="E2927" s="8">
        <v>443045</v>
      </c>
      <c r="F2927" s="5">
        <v>3407950</v>
      </c>
    </row>
    <row r="2928" spans="1:6" x14ac:dyDescent="0.25">
      <c r="A2928" s="5">
        <v>3407950</v>
      </c>
      <c r="B2928" s="1">
        <v>2016</v>
      </c>
      <c r="C2928" s="1" t="s">
        <v>1387</v>
      </c>
      <c r="D2928" s="1" t="s">
        <v>422</v>
      </c>
      <c r="E2928" s="8">
        <v>656957</v>
      </c>
      <c r="F2928" s="5">
        <v>3407950</v>
      </c>
    </row>
    <row r="2929" spans="1:6" x14ac:dyDescent="0.25">
      <c r="A2929" s="5">
        <v>3407950</v>
      </c>
      <c r="B2929" s="1">
        <v>2017</v>
      </c>
      <c r="C2929" s="1" t="s">
        <v>1387</v>
      </c>
      <c r="D2929" s="1" t="s">
        <v>422</v>
      </c>
      <c r="E2929" s="8">
        <v>870068</v>
      </c>
      <c r="F2929" s="5">
        <v>3407950</v>
      </c>
    </row>
    <row r="2930" spans="1:6" x14ac:dyDescent="0.25">
      <c r="A2930" s="5">
        <v>3407950</v>
      </c>
      <c r="B2930" s="1">
        <v>2018</v>
      </c>
      <c r="C2930" s="1" t="s">
        <v>1387</v>
      </c>
      <c r="D2930" s="1" t="s">
        <v>1114</v>
      </c>
      <c r="E2930" s="8">
        <v>1171350</v>
      </c>
      <c r="F2930" s="5">
        <v>3407950</v>
      </c>
    </row>
    <row r="2931" spans="1:6" x14ac:dyDescent="0.25">
      <c r="A2931" s="5">
        <v>3407950</v>
      </c>
      <c r="B2931" s="1">
        <v>2019</v>
      </c>
      <c r="C2931" s="1" t="s">
        <v>1387</v>
      </c>
      <c r="D2931" s="1" t="s">
        <v>1114</v>
      </c>
      <c r="E2931" s="8">
        <v>1613954</v>
      </c>
      <c r="F2931" s="5">
        <v>3407950</v>
      </c>
    </row>
    <row r="2932" spans="1:6" ht="20" x14ac:dyDescent="0.25">
      <c r="A2932" s="5">
        <v>3407950</v>
      </c>
      <c r="B2932" s="1">
        <v>2020</v>
      </c>
      <c r="C2932" s="1" t="s">
        <v>1387</v>
      </c>
      <c r="D2932" s="2" t="s">
        <v>1114</v>
      </c>
      <c r="E2932" s="7">
        <v>1840207</v>
      </c>
      <c r="F2932" s="5">
        <v>3407950</v>
      </c>
    </row>
    <row r="2933" spans="1:6" ht="20" x14ac:dyDescent="0.25">
      <c r="A2933" s="5">
        <v>3407950</v>
      </c>
      <c r="B2933" s="1">
        <v>2021</v>
      </c>
      <c r="C2933" s="1" t="s">
        <v>1387</v>
      </c>
      <c r="D2933" s="3" t="s">
        <v>1114</v>
      </c>
      <c r="E2933" s="7">
        <v>2402738</v>
      </c>
      <c r="F2933" s="5">
        <v>3407950</v>
      </c>
    </row>
    <row r="2934" spans="1:6" ht="20" x14ac:dyDescent="0.25">
      <c r="A2934" s="5">
        <v>3407950</v>
      </c>
      <c r="B2934" s="1">
        <v>2022</v>
      </c>
      <c r="C2934" s="1" t="s">
        <v>1387</v>
      </c>
      <c r="D2934" s="2" t="s">
        <v>1114</v>
      </c>
      <c r="E2934" s="7">
        <v>3306810</v>
      </c>
      <c r="F2934" s="5">
        <v>3407950</v>
      </c>
    </row>
    <row r="2935" spans="1:6" ht="20" x14ac:dyDescent="0.25">
      <c r="A2935" s="5">
        <v>3407950</v>
      </c>
      <c r="B2935" s="1">
        <v>2023</v>
      </c>
      <c r="C2935" s="1" t="s">
        <v>1387</v>
      </c>
      <c r="D2935" s="2" t="s">
        <v>1114</v>
      </c>
      <c r="E2935" s="7">
        <v>3268900</v>
      </c>
      <c r="F2935" s="5">
        <v>3407950</v>
      </c>
    </row>
    <row r="2936" spans="1:6" x14ac:dyDescent="0.25">
      <c r="A2936" s="5">
        <v>3407980</v>
      </c>
      <c r="B2936" s="1">
        <v>2015</v>
      </c>
      <c r="C2936" s="1" t="s">
        <v>1387</v>
      </c>
      <c r="D2936" s="1" t="s">
        <v>286</v>
      </c>
      <c r="E2936" s="8">
        <v>613979</v>
      </c>
      <c r="F2936" s="5">
        <v>3407980</v>
      </c>
    </row>
    <row r="2937" spans="1:6" x14ac:dyDescent="0.25">
      <c r="A2937" s="5">
        <v>3407980</v>
      </c>
      <c r="B2937" s="1">
        <v>2016</v>
      </c>
      <c r="C2937" s="1" t="s">
        <v>1387</v>
      </c>
      <c r="D2937" s="1" t="s">
        <v>286</v>
      </c>
      <c r="E2937" s="8">
        <v>981974</v>
      </c>
      <c r="F2937" s="5">
        <v>3407980</v>
      </c>
    </row>
    <row r="2938" spans="1:6" x14ac:dyDescent="0.25">
      <c r="A2938" s="5">
        <v>3407980</v>
      </c>
      <c r="B2938" s="1">
        <v>2017</v>
      </c>
      <c r="C2938" s="1" t="s">
        <v>1387</v>
      </c>
      <c r="D2938" s="1" t="s">
        <v>286</v>
      </c>
      <c r="E2938" s="8">
        <v>1428508</v>
      </c>
      <c r="F2938" s="5">
        <v>3407980</v>
      </c>
    </row>
    <row r="2939" spans="1:6" x14ac:dyDescent="0.25">
      <c r="A2939" s="5">
        <v>3407980</v>
      </c>
      <c r="B2939" s="1">
        <v>2018</v>
      </c>
      <c r="C2939" s="1" t="s">
        <v>1387</v>
      </c>
      <c r="D2939" s="1" t="s">
        <v>976</v>
      </c>
      <c r="E2939" s="8">
        <v>1968670</v>
      </c>
      <c r="F2939" s="5">
        <v>3407980</v>
      </c>
    </row>
    <row r="2940" spans="1:6" x14ac:dyDescent="0.25">
      <c r="A2940" s="5">
        <v>3407980</v>
      </c>
      <c r="B2940" s="1">
        <v>2019</v>
      </c>
      <c r="C2940" s="1" t="s">
        <v>1387</v>
      </c>
      <c r="D2940" s="1" t="s">
        <v>976</v>
      </c>
      <c r="E2940" s="8">
        <v>2571463</v>
      </c>
      <c r="F2940" s="5">
        <v>3407980</v>
      </c>
    </row>
    <row r="2941" spans="1:6" ht="20" x14ac:dyDescent="0.25">
      <c r="A2941" s="5">
        <v>3407980</v>
      </c>
      <c r="B2941" s="1">
        <v>2020</v>
      </c>
      <c r="C2941" s="1" t="s">
        <v>1387</v>
      </c>
      <c r="D2941" s="2" t="s">
        <v>976</v>
      </c>
      <c r="E2941" s="7">
        <v>2872449</v>
      </c>
      <c r="F2941" s="5">
        <v>3407980</v>
      </c>
    </row>
    <row r="2942" spans="1:6" ht="20" x14ac:dyDescent="0.25">
      <c r="A2942" s="5">
        <v>3407980</v>
      </c>
      <c r="B2942" s="1">
        <v>2021</v>
      </c>
      <c r="C2942" s="1" t="s">
        <v>1387</v>
      </c>
      <c r="D2942" s="3" t="s">
        <v>976</v>
      </c>
      <c r="E2942" s="7">
        <v>4033987</v>
      </c>
      <c r="F2942" s="5">
        <v>3407980</v>
      </c>
    </row>
    <row r="2943" spans="1:6" ht="20" x14ac:dyDescent="0.25">
      <c r="A2943" s="5">
        <v>3407980</v>
      </c>
      <c r="B2943" s="1">
        <v>2022</v>
      </c>
      <c r="C2943" s="1" t="s">
        <v>1387</v>
      </c>
      <c r="D2943" s="2" t="s">
        <v>976</v>
      </c>
      <c r="E2943" s="7">
        <v>5853608</v>
      </c>
      <c r="F2943" s="5">
        <v>3407980</v>
      </c>
    </row>
    <row r="2944" spans="1:6" ht="20" x14ac:dyDescent="0.25">
      <c r="A2944" s="5">
        <v>3407980</v>
      </c>
      <c r="B2944" s="1">
        <v>2023</v>
      </c>
      <c r="C2944" s="1" t="s">
        <v>1387</v>
      </c>
      <c r="D2944" s="2" t="s">
        <v>976</v>
      </c>
      <c r="E2944" s="7">
        <v>5920843</v>
      </c>
      <c r="F2944" s="5">
        <v>3407980</v>
      </c>
    </row>
    <row r="2945" spans="1:6" x14ac:dyDescent="0.25">
      <c r="A2945" s="5">
        <v>3408010</v>
      </c>
      <c r="B2945" s="1">
        <v>2015</v>
      </c>
      <c r="C2945" s="1" t="s">
        <v>1387</v>
      </c>
      <c r="D2945" s="1" t="s">
        <v>343</v>
      </c>
      <c r="E2945" s="8">
        <v>158653</v>
      </c>
      <c r="F2945" s="5">
        <v>3408010</v>
      </c>
    </row>
    <row r="2946" spans="1:6" x14ac:dyDescent="0.25">
      <c r="A2946" s="5">
        <v>3408010</v>
      </c>
      <c r="B2946" s="1">
        <v>2016</v>
      </c>
      <c r="C2946" s="1" t="s">
        <v>1387</v>
      </c>
      <c r="D2946" s="1" t="s">
        <v>343</v>
      </c>
      <c r="E2946" s="8">
        <v>226056</v>
      </c>
      <c r="F2946" s="5">
        <v>3408010</v>
      </c>
    </row>
    <row r="2947" spans="1:6" x14ac:dyDescent="0.25">
      <c r="A2947" s="5">
        <v>3408010</v>
      </c>
      <c r="B2947" s="1">
        <v>2017</v>
      </c>
      <c r="C2947" s="1" t="s">
        <v>1387</v>
      </c>
      <c r="D2947" s="1" t="s">
        <v>343</v>
      </c>
      <c r="E2947" s="8">
        <v>311593</v>
      </c>
      <c r="F2947" s="5">
        <v>3408010</v>
      </c>
    </row>
    <row r="2948" spans="1:6" x14ac:dyDescent="0.25">
      <c r="A2948" s="5">
        <v>3408010</v>
      </c>
      <c r="B2948" s="1">
        <v>2018</v>
      </c>
      <c r="C2948" s="1" t="s">
        <v>1387</v>
      </c>
      <c r="D2948" s="1" t="s">
        <v>1036</v>
      </c>
      <c r="E2948" s="8">
        <v>405635</v>
      </c>
      <c r="F2948" s="5">
        <v>3408010</v>
      </c>
    </row>
    <row r="2949" spans="1:6" x14ac:dyDescent="0.25">
      <c r="A2949" s="5">
        <v>3408010</v>
      </c>
      <c r="B2949" s="1">
        <v>2019</v>
      </c>
      <c r="C2949" s="1" t="s">
        <v>1387</v>
      </c>
      <c r="D2949" s="1" t="s">
        <v>1036</v>
      </c>
      <c r="E2949" s="8">
        <v>531563</v>
      </c>
      <c r="F2949" s="5">
        <v>3408010</v>
      </c>
    </row>
    <row r="2950" spans="1:6" ht="20" x14ac:dyDescent="0.25">
      <c r="A2950" s="5">
        <v>3408010</v>
      </c>
      <c r="B2950" s="1">
        <v>2020</v>
      </c>
      <c r="C2950" s="1" t="s">
        <v>1387</v>
      </c>
      <c r="D2950" s="2" t="s">
        <v>1036</v>
      </c>
      <c r="E2950" s="7">
        <v>613288</v>
      </c>
      <c r="F2950" s="5">
        <v>3408010</v>
      </c>
    </row>
    <row r="2951" spans="1:6" ht="20" x14ac:dyDescent="0.25">
      <c r="A2951" s="5">
        <v>3408010</v>
      </c>
      <c r="B2951" s="1">
        <v>2021</v>
      </c>
      <c r="C2951" s="1" t="s">
        <v>1387</v>
      </c>
      <c r="D2951" s="3" t="s">
        <v>1036</v>
      </c>
      <c r="E2951" s="7">
        <v>767449</v>
      </c>
      <c r="F2951" s="5">
        <v>3408010</v>
      </c>
    </row>
    <row r="2952" spans="1:6" ht="20" x14ac:dyDescent="0.25">
      <c r="A2952" s="5">
        <v>3408010</v>
      </c>
      <c r="B2952" s="1">
        <v>2022</v>
      </c>
      <c r="C2952" s="1" t="s">
        <v>1387</v>
      </c>
      <c r="D2952" s="2" t="s">
        <v>1036</v>
      </c>
      <c r="E2952" s="7">
        <v>1126823</v>
      </c>
      <c r="F2952" s="5">
        <v>3408010</v>
      </c>
    </row>
    <row r="2953" spans="1:6" ht="20" x14ac:dyDescent="0.25">
      <c r="A2953" s="5">
        <v>3408010</v>
      </c>
      <c r="B2953" s="1">
        <v>2023</v>
      </c>
      <c r="C2953" s="1" t="s">
        <v>1387</v>
      </c>
      <c r="D2953" s="2" t="s">
        <v>1036</v>
      </c>
      <c r="E2953" s="7">
        <v>1128869</v>
      </c>
      <c r="F2953" s="5">
        <v>3408010</v>
      </c>
    </row>
    <row r="2954" spans="1:6" x14ac:dyDescent="0.25">
      <c r="A2954" s="5">
        <v>3408040</v>
      </c>
      <c r="B2954" s="1">
        <v>2015</v>
      </c>
      <c r="C2954" s="1" t="s">
        <v>1387</v>
      </c>
      <c r="D2954" s="1" t="s">
        <v>467</v>
      </c>
      <c r="E2954" s="8">
        <v>845414</v>
      </c>
      <c r="F2954" s="5">
        <v>3408040</v>
      </c>
    </row>
    <row r="2955" spans="1:6" x14ac:dyDescent="0.25">
      <c r="A2955" s="5">
        <v>3408040</v>
      </c>
      <c r="B2955" s="1">
        <v>2016</v>
      </c>
      <c r="C2955" s="1" t="s">
        <v>1387</v>
      </c>
      <c r="D2955" s="1" t="s">
        <v>467</v>
      </c>
      <c r="E2955" s="8">
        <v>1273056</v>
      </c>
      <c r="F2955" s="5">
        <v>3408040</v>
      </c>
    </row>
    <row r="2956" spans="1:6" x14ac:dyDescent="0.25">
      <c r="A2956" s="5">
        <v>3408040</v>
      </c>
      <c r="B2956" s="1">
        <v>2017</v>
      </c>
      <c r="C2956" s="1" t="s">
        <v>1387</v>
      </c>
      <c r="D2956" s="1" t="s">
        <v>467</v>
      </c>
      <c r="E2956" s="8">
        <v>1815672</v>
      </c>
      <c r="F2956" s="5">
        <v>3408040</v>
      </c>
    </row>
    <row r="2957" spans="1:6" x14ac:dyDescent="0.25">
      <c r="A2957" s="5">
        <v>3408040</v>
      </c>
      <c r="B2957" s="1">
        <v>2018</v>
      </c>
      <c r="C2957" s="1" t="s">
        <v>1387</v>
      </c>
      <c r="D2957" s="1" t="s">
        <v>1159</v>
      </c>
      <c r="E2957" s="8">
        <v>2514472</v>
      </c>
      <c r="F2957" s="5">
        <v>3408040</v>
      </c>
    </row>
    <row r="2958" spans="1:6" x14ac:dyDescent="0.25">
      <c r="A2958" s="5">
        <v>3408040</v>
      </c>
      <c r="B2958" s="1">
        <v>2019</v>
      </c>
      <c r="C2958" s="1" t="s">
        <v>1387</v>
      </c>
      <c r="D2958" s="1" t="s">
        <v>1159</v>
      </c>
      <c r="E2958" s="8">
        <v>3260868</v>
      </c>
      <c r="F2958" s="5">
        <v>3408040</v>
      </c>
    </row>
    <row r="2959" spans="1:6" ht="20" x14ac:dyDescent="0.25">
      <c r="A2959" s="5">
        <v>3408040</v>
      </c>
      <c r="B2959" s="1">
        <v>2020</v>
      </c>
      <c r="C2959" s="1" t="s">
        <v>1387</v>
      </c>
      <c r="D2959" s="2" t="s">
        <v>1159</v>
      </c>
      <c r="E2959" s="7">
        <v>3706988</v>
      </c>
      <c r="F2959" s="5">
        <v>3408040</v>
      </c>
    </row>
    <row r="2960" spans="1:6" ht="20" x14ac:dyDescent="0.25">
      <c r="A2960" s="5">
        <v>3408040</v>
      </c>
      <c r="B2960" s="1">
        <v>2021</v>
      </c>
      <c r="C2960" s="1" t="s">
        <v>1387</v>
      </c>
      <c r="D2960" s="3" t="s">
        <v>1159</v>
      </c>
      <c r="E2960" s="7">
        <v>4877970</v>
      </c>
      <c r="F2960" s="5">
        <v>3408040</v>
      </c>
    </row>
    <row r="2961" spans="1:6" ht="20" x14ac:dyDescent="0.25">
      <c r="A2961" s="5">
        <v>3408040</v>
      </c>
      <c r="B2961" s="1">
        <v>2022</v>
      </c>
      <c r="C2961" s="1" t="s">
        <v>1387</v>
      </c>
      <c r="D2961" s="2" t="s">
        <v>1159</v>
      </c>
      <c r="E2961" s="7">
        <v>6794463</v>
      </c>
      <c r="F2961" s="5">
        <v>3408040</v>
      </c>
    </row>
    <row r="2962" spans="1:6" ht="20" x14ac:dyDescent="0.25">
      <c r="A2962" s="5">
        <v>3408040</v>
      </c>
      <c r="B2962" s="1">
        <v>2023</v>
      </c>
      <c r="C2962" s="1" t="s">
        <v>1387</v>
      </c>
      <c r="D2962" s="2" t="s">
        <v>1159</v>
      </c>
      <c r="E2962" s="7">
        <v>6743035</v>
      </c>
      <c r="F2962" s="5">
        <v>3408040</v>
      </c>
    </row>
    <row r="2963" spans="1:6" x14ac:dyDescent="0.25">
      <c r="A2963" s="5">
        <v>3408060</v>
      </c>
      <c r="B2963" s="1">
        <v>2015</v>
      </c>
      <c r="C2963" s="1" t="s">
        <v>1387</v>
      </c>
      <c r="D2963" s="1" t="s">
        <v>594</v>
      </c>
      <c r="E2963" s="8">
        <v>498135</v>
      </c>
      <c r="F2963" s="5">
        <v>3408060</v>
      </c>
    </row>
    <row r="2964" spans="1:6" x14ac:dyDescent="0.25">
      <c r="A2964" s="5">
        <v>3408060</v>
      </c>
      <c r="B2964" s="1">
        <v>2016</v>
      </c>
      <c r="C2964" s="1" t="s">
        <v>1387</v>
      </c>
      <c r="D2964" s="1" t="s">
        <v>594</v>
      </c>
      <c r="E2964" s="8">
        <v>766327</v>
      </c>
      <c r="F2964" s="5">
        <v>3408060</v>
      </c>
    </row>
    <row r="2965" spans="1:6" x14ac:dyDescent="0.25">
      <c r="A2965" s="5">
        <v>3408060</v>
      </c>
      <c r="B2965" s="1">
        <v>2017</v>
      </c>
      <c r="C2965" s="1" t="s">
        <v>1387</v>
      </c>
      <c r="D2965" s="1" t="s">
        <v>594</v>
      </c>
      <c r="E2965" s="8">
        <v>1090379</v>
      </c>
      <c r="F2965" s="5">
        <v>3408060</v>
      </c>
    </row>
    <row r="2966" spans="1:6" x14ac:dyDescent="0.25">
      <c r="A2966" s="5">
        <v>3408060</v>
      </c>
      <c r="B2966" s="1">
        <v>2018</v>
      </c>
      <c r="C2966" s="1" t="s">
        <v>1387</v>
      </c>
      <c r="D2966" s="1" t="s">
        <v>1287</v>
      </c>
      <c r="E2966" s="8">
        <v>1465897</v>
      </c>
      <c r="F2966" s="5">
        <v>3408060</v>
      </c>
    </row>
    <row r="2967" spans="1:6" x14ac:dyDescent="0.25">
      <c r="A2967" s="5">
        <v>3408060</v>
      </c>
      <c r="B2967" s="1">
        <v>2019</v>
      </c>
      <c r="C2967" s="1" t="s">
        <v>1387</v>
      </c>
      <c r="D2967" s="1" t="s">
        <v>1287</v>
      </c>
      <c r="E2967" s="8">
        <v>1941551</v>
      </c>
      <c r="F2967" s="5">
        <v>3408060</v>
      </c>
    </row>
    <row r="2968" spans="1:6" ht="20" x14ac:dyDescent="0.25">
      <c r="A2968" s="5">
        <v>3408060</v>
      </c>
      <c r="B2968" s="1">
        <v>2020</v>
      </c>
      <c r="C2968" s="1" t="s">
        <v>1387</v>
      </c>
      <c r="D2968" s="2" t="s">
        <v>1287</v>
      </c>
      <c r="E2968" s="7">
        <v>2137469</v>
      </c>
      <c r="F2968" s="5">
        <v>3408060</v>
      </c>
    </row>
    <row r="2969" spans="1:6" ht="20" x14ac:dyDescent="0.25">
      <c r="A2969" s="5">
        <v>3408060</v>
      </c>
      <c r="B2969" s="1">
        <v>2021</v>
      </c>
      <c r="C2969" s="1" t="s">
        <v>1387</v>
      </c>
      <c r="D2969" s="3" t="s">
        <v>1287</v>
      </c>
      <c r="E2969" s="7">
        <v>2752314</v>
      </c>
      <c r="F2969" s="5">
        <v>3408060</v>
      </c>
    </row>
    <row r="2970" spans="1:6" ht="20" x14ac:dyDescent="0.25">
      <c r="A2970" s="5">
        <v>3408060</v>
      </c>
      <c r="B2970" s="1">
        <v>2022</v>
      </c>
      <c r="C2970" s="1" t="s">
        <v>1387</v>
      </c>
      <c r="D2970" s="2" t="s">
        <v>1287</v>
      </c>
      <c r="E2970" s="7">
        <v>3926496</v>
      </c>
      <c r="F2970" s="5">
        <v>3408060</v>
      </c>
    </row>
    <row r="2971" spans="1:6" ht="20" x14ac:dyDescent="0.25">
      <c r="A2971" s="5">
        <v>3408060</v>
      </c>
      <c r="B2971" s="1">
        <v>2023</v>
      </c>
      <c r="C2971" s="1" t="s">
        <v>1387</v>
      </c>
      <c r="D2971" s="2" t="s">
        <v>1287</v>
      </c>
      <c r="E2971" s="7">
        <v>3783849</v>
      </c>
      <c r="F2971" s="5">
        <v>3408060</v>
      </c>
    </row>
    <row r="2972" spans="1:6" x14ac:dyDescent="0.25">
      <c r="A2972" s="5">
        <v>3408070</v>
      </c>
      <c r="B2972" s="1">
        <v>2015</v>
      </c>
      <c r="C2972" s="1" t="s">
        <v>1387</v>
      </c>
      <c r="D2972" s="1" t="s">
        <v>648</v>
      </c>
      <c r="E2972" s="8">
        <v>110437</v>
      </c>
      <c r="F2972" s="5">
        <v>3408070</v>
      </c>
    </row>
    <row r="2973" spans="1:6" x14ac:dyDescent="0.25">
      <c r="A2973" s="5">
        <v>3408070</v>
      </c>
      <c r="B2973" s="1">
        <v>2016</v>
      </c>
      <c r="C2973" s="1" t="s">
        <v>1387</v>
      </c>
      <c r="D2973" s="1" t="s">
        <v>648</v>
      </c>
      <c r="E2973" s="8">
        <v>163881</v>
      </c>
      <c r="F2973" s="5">
        <v>3408070</v>
      </c>
    </row>
    <row r="2974" spans="1:6" x14ac:dyDescent="0.25">
      <c r="A2974" s="5">
        <v>3408070</v>
      </c>
      <c r="B2974" s="1">
        <v>2017</v>
      </c>
      <c r="C2974" s="1" t="s">
        <v>1387</v>
      </c>
      <c r="D2974" s="1" t="s">
        <v>648</v>
      </c>
      <c r="E2974" s="8">
        <v>223730</v>
      </c>
      <c r="F2974" s="5">
        <v>3408070</v>
      </c>
    </row>
    <row r="2975" spans="1:6" x14ac:dyDescent="0.25">
      <c r="A2975" s="5">
        <v>3408070</v>
      </c>
      <c r="B2975" s="1">
        <v>2018</v>
      </c>
      <c r="C2975" s="1" t="s">
        <v>1387</v>
      </c>
      <c r="D2975" s="1" t="s">
        <v>1341</v>
      </c>
      <c r="E2975" s="8">
        <v>282729</v>
      </c>
      <c r="F2975" s="5">
        <v>3408070</v>
      </c>
    </row>
    <row r="2976" spans="1:6" x14ac:dyDescent="0.25">
      <c r="A2976" s="5">
        <v>3408070</v>
      </c>
      <c r="B2976" s="1">
        <v>2019</v>
      </c>
      <c r="C2976" s="1" t="s">
        <v>1387</v>
      </c>
      <c r="D2976" s="1" t="s">
        <v>1341</v>
      </c>
      <c r="E2976" s="8">
        <v>389259</v>
      </c>
      <c r="F2976" s="5">
        <v>3408070</v>
      </c>
    </row>
    <row r="2977" spans="1:6" ht="20" x14ac:dyDescent="0.25">
      <c r="A2977" s="5">
        <v>3408070</v>
      </c>
      <c r="B2977" s="1">
        <v>2020</v>
      </c>
      <c r="C2977" s="1" t="s">
        <v>1387</v>
      </c>
      <c r="D2977" s="2" t="s">
        <v>1341</v>
      </c>
      <c r="E2977" s="7">
        <v>416524</v>
      </c>
      <c r="F2977" s="5">
        <v>3408070</v>
      </c>
    </row>
    <row r="2978" spans="1:6" ht="20" x14ac:dyDescent="0.25">
      <c r="A2978" s="5">
        <v>3408070</v>
      </c>
      <c r="B2978" s="1">
        <v>2021</v>
      </c>
      <c r="C2978" s="1" t="s">
        <v>1387</v>
      </c>
      <c r="D2978" s="3" t="s">
        <v>1341</v>
      </c>
      <c r="E2978" s="7">
        <v>555320</v>
      </c>
      <c r="F2978" s="5">
        <v>3408070</v>
      </c>
    </row>
    <row r="2979" spans="1:6" ht="20" x14ac:dyDescent="0.25">
      <c r="A2979" s="5">
        <v>3408070</v>
      </c>
      <c r="B2979" s="1">
        <v>2022</v>
      </c>
      <c r="C2979" s="1" t="s">
        <v>1387</v>
      </c>
      <c r="D2979" s="2" t="s">
        <v>1341</v>
      </c>
      <c r="E2979" s="7">
        <v>772519</v>
      </c>
      <c r="F2979" s="5">
        <v>3408070</v>
      </c>
    </row>
    <row r="2980" spans="1:6" ht="20" x14ac:dyDescent="0.25">
      <c r="A2980" s="5">
        <v>3408070</v>
      </c>
      <c r="B2980" s="1">
        <v>2023</v>
      </c>
      <c r="C2980" s="1" t="s">
        <v>1387</v>
      </c>
      <c r="D2980" s="2" t="s">
        <v>1341</v>
      </c>
      <c r="E2980" s="7">
        <v>714781</v>
      </c>
      <c r="F2980" s="5">
        <v>3408070</v>
      </c>
    </row>
    <row r="2981" spans="1:6" x14ac:dyDescent="0.25">
      <c r="A2981" s="5">
        <v>3408100</v>
      </c>
      <c r="B2981" s="1">
        <v>2015</v>
      </c>
      <c r="C2981" s="1" t="s">
        <v>1387</v>
      </c>
      <c r="D2981" s="1" t="s">
        <v>503</v>
      </c>
      <c r="E2981" s="8">
        <v>1492758</v>
      </c>
      <c r="F2981" s="5">
        <v>3408100</v>
      </c>
    </row>
    <row r="2982" spans="1:6" x14ac:dyDescent="0.25">
      <c r="A2982" s="5">
        <v>3408100</v>
      </c>
      <c r="B2982" s="1">
        <v>2016</v>
      </c>
      <c r="C2982" s="1" t="s">
        <v>1387</v>
      </c>
      <c r="D2982" s="1" t="s">
        <v>503</v>
      </c>
      <c r="E2982" s="8">
        <v>2207349</v>
      </c>
      <c r="F2982" s="5">
        <v>3408100</v>
      </c>
    </row>
    <row r="2983" spans="1:6" x14ac:dyDescent="0.25">
      <c r="A2983" s="5">
        <v>3408100</v>
      </c>
      <c r="B2983" s="1">
        <v>2017</v>
      </c>
      <c r="C2983" s="1" t="s">
        <v>1387</v>
      </c>
      <c r="D2983" s="1" t="s">
        <v>503</v>
      </c>
      <c r="E2983" s="8">
        <v>3142553</v>
      </c>
      <c r="F2983" s="5">
        <v>3408100</v>
      </c>
    </row>
    <row r="2984" spans="1:6" x14ac:dyDescent="0.25">
      <c r="A2984" s="5">
        <v>3408100</v>
      </c>
      <c r="B2984" s="1">
        <v>2018</v>
      </c>
      <c r="C2984" s="1" t="s">
        <v>1387</v>
      </c>
      <c r="D2984" s="1" t="s">
        <v>1195</v>
      </c>
      <c r="E2984" s="8">
        <v>4161177</v>
      </c>
      <c r="F2984" s="5">
        <v>3408100</v>
      </c>
    </row>
    <row r="2985" spans="1:6" x14ac:dyDescent="0.25">
      <c r="A2985" s="5">
        <v>3408100</v>
      </c>
      <c r="B2985" s="1">
        <v>2019</v>
      </c>
      <c r="C2985" s="1" t="s">
        <v>1387</v>
      </c>
      <c r="D2985" s="1" t="s">
        <v>1195</v>
      </c>
      <c r="E2985" s="8">
        <v>5202981</v>
      </c>
      <c r="F2985" s="5">
        <v>3408100</v>
      </c>
    </row>
    <row r="2986" spans="1:6" ht="20" x14ac:dyDescent="0.25">
      <c r="A2986" s="5">
        <v>3408100</v>
      </c>
      <c r="B2986" s="1">
        <v>2020</v>
      </c>
      <c r="C2986" s="1" t="s">
        <v>1387</v>
      </c>
      <c r="D2986" s="2" t="s">
        <v>1195</v>
      </c>
      <c r="E2986" s="7">
        <v>5851832</v>
      </c>
      <c r="F2986" s="5">
        <v>3408100</v>
      </c>
    </row>
    <row r="2987" spans="1:6" ht="20" x14ac:dyDescent="0.25">
      <c r="A2987" s="5">
        <v>3408100</v>
      </c>
      <c r="B2987" s="1">
        <v>2021</v>
      </c>
      <c r="C2987" s="1" t="s">
        <v>1387</v>
      </c>
      <c r="D2987" s="3" t="s">
        <v>1195</v>
      </c>
      <c r="E2987" s="7">
        <v>7462759</v>
      </c>
      <c r="F2987" s="5">
        <v>3408100</v>
      </c>
    </row>
    <row r="2988" spans="1:6" ht="20" x14ac:dyDescent="0.25">
      <c r="A2988" s="5">
        <v>3408100</v>
      </c>
      <c r="B2988" s="1">
        <v>2022</v>
      </c>
      <c r="C2988" s="1" t="s">
        <v>1387</v>
      </c>
      <c r="D2988" s="2" t="s">
        <v>1195</v>
      </c>
      <c r="E2988" s="7">
        <v>10848677</v>
      </c>
      <c r="F2988" s="5">
        <v>3408100</v>
      </c>
    </row>
    <row r="2989" spans="1:6" ht="20" x14ac:dyDescent="0.25">
      <c r="A2989" s="5">
        <v>3408100</v>
      </c>
      <c r="B2989" s="1">
        <v>2023</v>
      </c>
      <c r="C2989" s="1" t="s">
        <v>1387</v>
      </c>
      <c r="D2989" s="2" t="s">
        <v>1195</v>
      </c>
      <c r="E2989" s="7">
        <v>10689860</v>
      </c>
      <c r="F2989" s="5">
        <v>3408100</v>
      </c>
    </row>
    <row r="2990" spans="1:6" x14ac:dyDescent="0.25">
      <c r="A2990" s="5">
        <v>3408130</v>
      </c>
      <c r="B2990" s="1">
        <v>2015</v>
      </c>
      <c r="C2990" s="1" t="s">
        <v>1387</v>
      </c>
      <c r="D2990" s="1" t="s">
        <v>595</v>
      </c>
      <c r="E2990" s="8">
        <v>111914</v>
      </c>
      <c r="F2990" s="5">
        <v>3408130</v>
      </c>
    </row>
    <row r="2991" spans="1:6" x14ac:dyDescent="0.25">
      <c r="A2991" s="5">
        <v>3408130</v>
      </c>
      <c r="B2991" s="1">
        <v>2016</v>
      </c>
      <c r="C2991" s="1" t="s">
        <v>1387</v>
      </c>
      <c r="D2991" s="1" t="s">
        <v>595</v>
      </c>
      <c r="E2991" s="8">
        <v>153917</v>
      </c>
      <c r="F2991" s="5">
        <v>3408130</v>
      </c>
    </row>
    <row r="2992" spans="1:6" x14ac:dyDescent="0.25">
      <c r="A2992" s="5">
        <v>3408130</v>
      </c>
      <c r="B2992" s="1">
        <v>2017</v>
      </c>
      <c r="C2992" s="1" t="s">
        <v>1387</v>
      </c>
      <c r="D2992" s="1" t="s">
        <v>595</v>
      </c>
      <c r="E2992" s="8">
        <v>218754</v>
      </c>
      <c r="F2992" s="5">
        <v>3408130</v>
      </c>
    </row>
    <row r="2993" spans="1:6" x14ac:dyDescent="0.25">
      <c r="A2993" s="5">
        <v>3408130</v>
      </c>
      <c r="B2993" s="1">
        <v>2018</v>
      </c>
      <c r="C2993" s="1" t="s">
        <v>1387</v>
      </c>
      <c r="D2993" s="1" t="s">
        <v>1288</v>
      </c>
      <c r="E2993" s="8">
        <v>262900</v>
      </c>
      <c r="F2993" s="5">
        <v>3408130</v>
      </c>
    </row>
    <row r="2994" spans="1:6" x14ac:dyDescent="0.25">
      <c r="A2994" s="5">
        <v>3408130</v>
      </c>
      <c r="B2994" s="1">
        <v>2019</v>
      </c>
      <c r="C2994" s="1" t="s">
        <v>1387</v>
      </c>
      <c r="D2994" s="1" t="s">
        <v>1288</v>
      </c>
      <c r="E2994" s="8">
        <v>381812</v>
      </c>
      <c r="F2994" s="5">
        <v>3408130</v>
      </c>
    </row>
    <row r="2995" spans="1:6" ht="20" x14ac:dyDescent="0.25">
      <c r="A2995" s="5">
        <v>3408130</v>
      </c>
      <c r="B2995" s="1">
        <v>2020</v>
      </c>
      <c r="C2995" s="1" t="s">
        <v>1387</v>
      </c>
      <c r="D2995" s="2" t="s">
        <v>1288</v>
      </c>
      <c r="E2995" s="7">
        <v>387711</v>
      </c>
      <c r="F2995" s="5">
        <v>3408130</v>
      </c>
    </row>
    <row r="2996" spans="1:6" ht="20" x14ac:dyDescent="0.25">
      <c r="A2996" s="5">
        <v>3408130</v>
      </c>
      <c r="B2996" s="1">
        <v>2021</v>
      </c>
      <c r="C2996" s="1" t="s">
        <v>1387</v>
      </c>
      <c r="D2996" s="3" t="s">
        <v>1288</v>
      </c>
      <c r="E2996" s="7">
        <v>464873</v>
      </c>
      <c r="F2996" s="5">
        <v>3408130</v>
      </c>
    </row>
    <row r="2997" spans="1:6" ht="20" x14ac:dyDescent="0.25">
      <c r="A2997" s="5">
        <v>3408130</v>
      </c>
      <c r="B2997" s="1">
        <v>2022</v>
      </c>
      <c r="C2997" s="1" t="s">
        <v>1387</v>
      </c>
      <c r="D2997" s="2" t="s">
        <v>1288</v>
      </c>
      <c r="E2997" s="7">
        <v>627264</v>
      </c>
      <c r="F2997" s="5">
        <v>3408130</v>
      </c>
    </row>
    <row r="2998" spans="1:6" ht="20" x14ac:dyDescent="0.25">
      <c r="A2998" s="5">
        <v>3408130</v>
      </c>
      <c r="B2998" s="1">
        <v>2023</v>
      </c>
      <c r="C2998" s="1" t="s">
        <v>1387</v>
      </c>
      <c r="D2998" s="2" t="s">
        <v>1288</v>
      </c>
      <c r="E2998" s="7">
        <v>656713</v>
      </c>
      <c r="F2998" s="5">
        <v>3408130</v>
      </c>
    </row>
    <row r="2999" spans="1:6" x14ac:dyDescent="0.25">
      <c r="A2999" s="5">
        <v>3408160</v>
      </c>
      <c r="B2999" s="1">
        <v>2015</v>
      </c>
      <c r="C2999" s="1" t="s">
        <v>1387</v>
      </c>
      <c r="D2999" s="1" t="s">
        <v>504</v>
      </c>
      <c r="E2999" s="8">
        <v>126456</v>
      </c>
      <c r="F2999" s="5">
        <v>3408160</v>
      </c>
    </row>
    <row r="3000" spans="1:6" x14ac:dyDescent="0.25">
      <c r="A3000" s="5">
        <v>3408160</v>
      </c>
      <c r="B3000" s="1">
        <v>2016</v>
      </c>
      <c r="C3000" s="1" t="s">
        <v>1387</v>
      </c>
      <c r="D3000" s="1" t="s">
        <v>504</v>
      </c>
      <c r="E3000" s="8">
        <v>168738</v>
      </c>
      <c r="F3000" s="5">
        <v>3408160</v>
      </c>
    </row>
    <row r="3001" spans="1:6" x14ac:dyDescent="0.25">
      <c r="A3001" s="5">
        <v>3408160</v>
      </c>
      <c r="B3001" s="1">
        <v>2017</v>
      </c>
      <c r="C3001" s="1" t="s">
        <v>1387</v>
      </c>
      <c r="D3001" s="1" t="s">
        <v>504</v>
      </c>
      <c r="E3001" s="8">
        <v>260362</v>
      </c>
      <c r="F3001" s="5">
        <v>3408160</v>
      </c>
    </row>
    <row r="3002" spans="1:6" x14ac:dyDescent="0.25">
      <c r="A3002" s="5">
        <v>3408160</v>
      </c>
      <c r="B3002" s="1">
        <v>2018</v>
      </c>
      <c r="C3002" s="1" t="s">
        <v>1387</v>
      </c>
      <c r="D3002" s="1" t="s">
        <v>1196</v>
      </c>
      <c r="E3002" s="8">
        <v>346585</v>
      </c>
      <c r="F3002" s="5">
        <v>3408160</v>
      </c>
    </row>
    <row r="3003" spans="1:6" x14ac:dyDescent="0.25">
      <c r="A3003" s="5">
        <v>3408160</v>
      </c>
      <c r="B3003" s="1">
        <v>2019</v>
      </c>
      <c r="C3003" s="1" t="s">
        <v>1387</v>
      </c>
      <c r="D3003" s="1" t="s">
        <v>1196</v>
      </c>
      <c r="E3003" s="8">
        <v>506615</v>
      </c>
      <c r="F3003" s="5">
        <v>3408160</v>
      </c>
    </row>
    <row r="3004" spans="1:6" ht="20" x14ac:dyDescent="0.25">
      <c r="A3004" s="5">
        <v>3408160</v>
      </c>
      <c r="B3004" s="1">
        <v>2020</v>
      </c>
      <c r="C3004" s="1" t="s">
        <v>1387</v>
      </c>
      <c r="D3004" s="2" t="s">
        <v>1196</v>
      </c>
      <c r="E3004" s="7">
        <v>606174</v>
      </c>
      <c r="F3004" s="5">
        <v>3408160</v>
      </c>
    </row>
    <row r="3005" spans="1:6" ht="20" x14ac:dyDescent="0.25">
      <c r="A3005" s="5">
        <v>3408160</v>
      </c>
      <c r="B3005" s="1">
        <v>2021</v>
      </c>
      <c r="C3005" s="1" t="s">
        <v>1387</v>
      </c>
      <c r="D3005" s="3" t="s">
        <v>1196</v>
      </c>
      <c r="E3005" s="7">
        <v>748945</v>
      </c>
      <c r="F3005" s="5">
        <v>3408160</v>
      </c>
    </row>
    <row r="3006" spans="1:6" ht="20" x14ac:dyDescent="0.25">
      <c r="A3006" s="5">
        <v>3408160</v>
      </c>
      <c r="B3006" s="1">
        <v>2022</v>
      </c>
      <c r="C3006" s="1" t="s">
        <v>1387</v>
      </c>
      <c r="D3006" s="2" t="s">
        <v>1196</v>
      </c>
      <c r="E3006" s="7">
        <v>1089750</v>
      </c>
      <c r="F3006" s="5">
        <v>3408160</v>
      </c>
    </row>
    <row r="3007" spans="1:6" ht="20" x14ac:dyDescent="0.25">
      <c r="A3007" s="5">
        <v>3408160</v>
      </c>
      <c r="B3007" s="1">
        <v>2023</v>
      </c>
      <c r="C3007" s="1" t="s">
        <v>1387</v>
      </c>
      <c r="D3007" s="2" t="s">
        <v>1196</v>
      </c>
      <c r="E3007" s="7">
        <v>1086857</v>
      </c>
      <c r="F3007" s="5">
        <v>3408160</v>
      </c>
    </row>
    <row r="3008" spans="1:6" x14ac:dyDescent="0.25">
      <c r="A3008" s="5">
        <v>3408190</v>
      </c>
      <c r="B3008" s="1">
        <v>2015</v>
      </c>
      <c r="C3008" s="1" t="s">
        <v>1387</v>
      </c>
      <c r="D3008" s="1" t="s">
        <v>530</v>
      </c>
      <c r="E3008" s="8">
        <v>487665</v>
      </c>
      <c r="F3008" s="5">
        <v>3408190</v>
      </c>
    </row>
    <row r="3009" spans="1:6" x14ac:dyDescent="0.25">
      <c r="A3009" s="5">
        <v>3408190</v>
      </c>
      <c r="B3009" s="1">
        <v>2016</v>
      </c>
      <c r="C3009" s="1" t="s">
        <v>1387</v>
      </c>
      <c r="D3009" s="1" t="s">
        <v>530</v>
      </c>
      <c r="E3009" s="8">
        <v>710665</v>
      </c>
      <c r="F3009" s="5">
        <v>3408190</v>
      </c>
    </row>
    <row r="3010" spans="1:6" x14ac:dyDescent="0.25">
      <c r="A3010" s="5">
        <v>3408190</v>
      </c>
      <c r="B3010" s="1">
        <v>2017</v>
      </c>
      <c r="C3010" s="1" t="s">
        <v>1387</v>
      </c>
      <c r="D3010" s="1" t="s">
        <v>530</v>
      </c>
      <c r="E3010" s="8">
        <v>1017381</v>
      </c>
      <c r="F3010" s="5">
        <v>3408190</v>
      </c>
    </row>
    <row r="3011" spans="1:6" x14ac:dyDescent="0.25">
      <c r="A3011" s="5">
        <v>3408190</v>
      </c>
      <c r="B3011" s="1">
        <v>2018</v>
      </c>
      <c r="C3011" s="1" t="s">
        <v>1387</v>
      </c>
      <c r="D3011" s="1" t="s">
        <v>1222</v>
      </c>
      <c r="E3011" s="8">
        <v>1384996</v>
      </c>
      <c r="F3011" s="5">
        <v>3408190</v>
      </c>
    </row>
    <row r="3012" spans="1:6" x14ac:dyDescent="0.25">
      <c r="A3012" s="5">
        <v>3408190</v>
      </c>
      <c r="B3012" s="1">
        <v>2019</v>
      </c>
      <c r="C3012" s="1" t="s">
        <v>1387</v>
      </c>
      <c r="D3012" s="1" t="s">
        <v>1222</v>
      </c>
      <c r="E3012" s="8">
        <v>1791677</v>
      </c>
      <c r="F3012" s="5">
        <v>3408190</v>
      </c>
    </row>
    <row r="3013" spans="1:6" ht="20" x14ac:dyDescent="0.25">
      <c r="A3013" s="5">
        <v>3408190</v>
      </c>
      <c r="B3013" s="1">
        <v>2020</v>
      </c>
      <c r="C3013" s="1" t="s">
        <v>1387</v>
      </c>
      <c r="D3013" s="2" t="s">
        <v>1222</v>
      </c>
      <c r="E3013" s="7">
        <v>1958406</v>
      </c>
      <c r="F3013" s="5">
        <v>3408190</v>
      </c>
    </row>
    <row r="3014" spans="1:6" ht="20" x14ac:dyDescent="0.25">
      <c r="A3014" s="5">
        <v>3408190</v>
      </c>
      <c r="B3014" s="1">
        <v>2021</v>
      </c>
      <c r="C3014" s="1" t="s">
        <v>1387</v>
      </c>
      <c r="D3014" s="3" t="s">
        <v>1222</v>
      </c>
      <c r="E3014" s="7">
        <v>2604450</v>
      </c>
      <c r="F3014" s="5">
        <v>3408190</v>
      </c>
    </row>
    <row r="3015" spans="1:6" ht="20" x14ac:dyDescent="0.25">
      <c r="A3015" s="5">
        <v>3408190</v>
      </c>
      <c r="B3015" s="1">
        <v>2022</v>
      </c>
      <c r="C3015" s="1" t="s">
        <v>1387</v>
      </c>
      <c r="D3015" s="2" t="s">
        <v>1222</v>
      </c>
      <c r="E3015" s="7">
        <v>3636569</v>
      </c>
      <c r="F3015" s="5">
        <v>3408190</v>
      </c>
    </row>
    <row r="3016" spans="1:6" ht="20" x14ac:dyDescent="0.25">
      <c r="A3016" s="5">
        <v>3408190</v>
      </c>
      <c r="B3016" s="1">
        <v>2023</v>
      </c>
      <c r="C3016" s="1" t="s">
        <v>1387</v>
      </c>
      <c r="D3016" s="2" t="s">
        <v>1222</v>
      </c>
      <c r="E3016" s="7">
        <v>3499367</v>
      </c>
      <c r="F3016" s="5">
        <v>3408190</v>
      </c>
    </row>
    <row r="3017" spans="1:6" x14ac:dyDescent="0.25">
      <c r="A3017" s="5">
        <v>3408220</v>
      </c>
      <c r="B3017" s="1">
        <v>2015</v>
      </c>
      <c r="C3017" s="1" t="s">
        <v>1387</v>
      </c>
      <c r="D3017" s="1" t="s">
        <v>505</v>
      </c>
      <c r="E3017" s="8">
        <v>1654991</v>
      </c>
      <c r="F3017" s="5">
        <v>3408220</v>
      </c>
    </row>
    <row r="3018" spans="1:6" x14ac:dyDescent="0.25">
      <c r="A3018" s="5">
        <v>3408220</v>
      </c>
      <c r="B3018" s="1">
        <v>2016</v>
      </c>
      <c r="C3018" s="1" t="s">
        <v>1387</v>
      </c>
      <c r="D3018" s="1" t="s">
        <v>505</v>
      </c>
      <c r="E3018" s="8">
        <v>2385738</v>
      </c>
      <c r="F3018" s="5">
        <v>3408220</v>
      </c>
    </row>
    <row r="3019" spans="1:6" x14ac:dyDescent="0.25">
      <c r="A3019" s="5">
        <v>3408220</v>
      </c>
      <c r="B3019" s="1">
        <v>2017</v>
      </c>
      <c r="C3019" s="1" t="s">
        <v>1387</v>
      </c>
      <c r="D3019" s="1" t="s">
        <v>505</v>
      </c>
      <c r="E3019" s="8">
        <v>3454543</v>
      </c>
      <c r="F3019" s="5">
        <v>3408220</v>
      </c>
    </row>
    <row r="3020" spans="1:6" x14ac:dyDescent="0.25">
      <c r="A3020" s="5">
        <v>3408220</v>
      </c>
      <c r="B3020" s="1">
        <v>2018</v>
      </c>
      <c r="C3020" s="1" t="s">
        <v>1387</v>
      </c>
      <c r="D3020" s="1" t="s">
        <v>1197</v>
      </c>
      <c r="E3020" s="8">
        <v>4834320</v>
      </c>
      <c r="F3020" s="5">
        <v>3408220</v>
      </c>
    </row>
    <row r="3021" spans="1:6" x14ac:dyDescent="0.25">
      <c r="A3021" s="5">
        <v>3408220</v>
      </c>
      <c r="B3021" s="1">
        <v>2019</v>
      </c>
      <c r="C3021" s="1" t="s">
        <v>1387</v>
      </c>
      <c r="D3021" s="1" t="s">
        <v>1197</v>
      </c>
      <c r="E3021" s="8">
        <v>6304578</v>
      </c>
      <c r="F3021" s="5">
        <v>3408220</v>
      </c>
    </row>
    <row r="3022" spans="1:6" ht="20" x14ac:dyDescent="0.25">
      <c r="A3022" s="5">
        <v>3408220</v>
      </c>
      <c r="B3022" s="1">
        <v>2020</v>
      </c>
      <c r="C3022" s="1" t="s">
        <v>1387</v>
      </c>
      <c r="D3022" s="2" t="s">
        <v>1197</v>
      </c>
      <c r="E3022" s="7">
        <v>7200382</v>
      </c>
      <c r="F3022" s="5">
        <v>3408220</v>
      </c>
    </row>
    <row r="3023" spans="1:6" ht="20" x14ac:dyDescent="0.25">
      <c r="A3023" s="5">
        <v>3408220</v>
      </c>
      <c r="B3023" s="1">
        <v>2021</v>
      </c>
      <c r="C3023" s="1" t="s">
        <v>1387</v>
      </c>
      <c r="D3023" s="3" t="s">
        <v>1197</v>
      </c>
      <c r="E3023" s="7">
        <v>9769764</v>
      </c>
      <c r="F3023" s="5">
        <v>3408220</v>
      </c>
    </row>
    <row r="3024" spans="1:6" ht="20" x14ac:dyDescent="0.25">
      <c r="A3024" s="5">
        <v>3408220</v>
      </c>
      <c r="B3024" s="1">
        <v>2022</v>
      </c>
      <c r="C3024" s="1" t="s">
        <v>1387</v>
      </c>
      <c r="D3024" s="2" t="s">
        <v>1197</v>
      </c>
      <c r="E3024" s="7">
        <v>14587367</v>
      </c>
      <c r="F3024" s="5">
        <v>3408220</v>
      </c>
    </row>
    <row r="3025" spans="1:6" ht="20" x14ac:dyDescent="0.25">
      <c r="A3025" s="5">
        <v>3408220</v>
      </c>
      <c r="B3025" s="1">
        <v>2023</v>
      </c>
      <c r="C3025" s="1" t="s">
        <v>1387</v>
      </c>
      <c r="D3025" s="2" t="s">
        <v>1197</v>
      </c>
      <c r="E3025" s="7">
        <v>14666717</v>
      </c>
      <c r="F3025" s="5">
        <v>3408220</v>
      </c>
    </row>
    <row r="3026" spans="1:6" x14ac:dyDescent="0.25">
      <c r="A3026" s="5">
        <v>3408250</v>
      </c>
      <c r="B3026" s="1">
        <v>2015</v>
      </c>
      <c r="C3026" s="1" t="s">
        <v>1387</v>
      </c>
      <c r="D3026" s="1" t="s">
        <v>344</v>
      </c>
      <c r="E3026" s="8">
        <v>82205</v>
      </c>
      <c r="F3026" s="5">
        <v>3408250</v>
      </c>
    </row>
    <row r="3027" spans="1:6" x14ac:dyDescent="0.25">
      <c r="A3027" s="5">
        <v>3408250</v>
      </c>
      <c r="B3027" s="1">
        <v>2016</v>
      </c>
      <c r="C3027" s="1" t="s">
        <v>1387</v>
      </c>
      <c r="D3027" s="1" t="s">
        <v>344</v>
      </c>
      <c r="E3027" s="8">
        <v>124559</v>
      </c>
      <c r="F3027" s="5">
        <v>3408250</v>
      </c>
    </row>
    <row r="3028" spans="1:6" x14ac:dyDescent="0.25">
      <c r="A3028" s="5">
        <v>3408250</v>
      </c>
      <c r="B3028" s="1">
        <v>2017</v>
      </c>
      <c r="C3028" s="1" t="s">
        <v>1387</v>
      </c>
      <c r="D3028" s="1" t="s">
        <v>344</v>
      </c>
      <c r="E3028" s="8">
        <v>173152</v>
      </c>
      <c r="F3028" s="5">
        <v>3408250</v>
      </c>
    </row>
    <row r="3029" spans="1:6" x14ac:dyDescent="0.25">
      <c r="A3029" s="5">
        <v>3408280</v>
      </c>
      <c r="B3029" s="1">
        <v>2015</v>
      </c>
      <c r="C3029" s="1" t="s">
        <v>1387</v>
      </c>
      <c r="D3029" s="1" t="s">
        <v>177</v>
      </c>
      <c r="E3029" s="8">
        <v>62989</v>
      </c>
      <c r="F3029" s="5">
        <v>3408280</v>
      </c>
    </row>
    <row r="3030" spans="1:6" x14ac:dyDescent="0.25">
      <c r="A3030" s="5">
        <v>3408280</v>
      </c>
      <c r="B3030" s="1">
        <v>2016</v>
      </c>
      <c r="C3030" s="1" t="s">
        <v>1387</v>
      </c>
      <c r="D3030" s="1" t="s">
        <v>177</v>
      </c>
      <c r="E3030" s="8">
        <v>92377</v>
      </c>
      <c r="F3030" s="5">
        <v>3408280</v>
      </c>
    </row>
    <row r="3031" spans="1:6" x14ac:dyDescent="0.25">
      <c r="A3031" s="5">
        <v>3408280</v>
      </c>
      <c r="B3031" s="1">
        <v>2017</v>
      </c>
      <c r="C3031" s="1" t="s">
        <v>1387</v>
      </c>
      <c r="D3031" s="1" t="s">
        <v>177</v>
      </c>
      <c r="E3031" s="8">
        <v>120134</v>
      </c>
      <c r="F3031" s="5">
        <v>3408280</v>
      </c>
    </row>
    <row r="3032" spans="1:6" x14ac:dyDescent="0.25">
      <c r="A3032" s="5">
        <v>3408280</v>
      </c>
      <c r="B3032" s="1">
        <v>2018</v>
      </c>
      <c r="C3032" s="1" t="s">
        <v>1387</v>
      </c>
      <c r="D3032" s="1" t="s">
        <v>860</v>
      </c>
      <c r="E3032" s="8">
        <v>167078</v>
      </c>
      <c r="F3032" s="5">
        <v>3408280</v>
      </c>
    </row>
    <row r="3033" spans="1:6" x14ac:dyDescent="0.25">
      <c r="A3033" s="5">
        <v>3408280</v>
      </c>
      <c r="B3033" s="1">
        <v>2019</v>
      </c>
      <c r="C3033" s="1" t="s">
        <v>1387</v>
      </c>
      <c r="D3033" s="1" t="s">
        <v>860</v>
      </c>
      <c r="E3033" s="8">
        <v>223309</v>
      </c>
      <c r="F3033" s="5">
        <v>3408280</v>
      </c>
    </row>
    <row r="3034" spans="1:6" ht="20" x14ac:dyDescent="0.25">
      <c r="A3034" s="5">
        <v>3408280</v>
      </c>
      <c r="B3034" s="1">
        <v>2020</v>
      </c>
      <c r="C3034" s="1" t="s">
        <v>1387</v>
      </c>
      <c r="D3034" s="2" t="s">
        <v>860</v>
      </c>
      <c r="E3034" s="7">
        <v>249384</v>
      </c>
      <c r="F3034" s="5">
        <v>3408280</v>
      </c>
    </row>
    <row r="3035" spans="1:6" ht="20" x14ac:dyDescent="0.25">
      <c r="A3035" s="5">
        <v>3408280</v>
      </c>
      <c r="B3035" s="1">
        <v>2021</v>
      </c>
      <c r="C3035" s="1" t="s">
        <v>1387</v>
      </c>
      <c r="D3035" s="3" t="s">
        <v>860</v>
      </c>
      <c r="E3035" s="7">
        <v>302671</v>
      </c>
      <c r="F3035" s="5">
        <v>3408280</v>
      </c>
    </row>
    <row r="3036" spans="1:6" ht="20" x14ac:dyDescent="0.25">
      <c r="A3036" s="5">
        <v>3408280</v>
      </c>
      <c r="B3036" s="1">
        <v>2022</v>
      </c>
      <c r="C3036" s="1" t="s">
        <v>1387</v>
      </c>
      <c r="D3036" s="2" t="s">
        <v>860</v>
      </c>
      <c r="E3036" s="7">
        <v>452130</v>
      </c>
      <c r="F3036" s="5">
        <v>3408280</v>
      </c>
    </row>
    <row r="3037" spans="1:6" ht="20" x14ac:dyDescent="0.25">
      <c r="A3037" s="5">
        <v>3408280</v>
      </c>
      <c r="B3037" s="1">
        <v>2023</v>
      </c>
      <c r="C3037" s="1" t="s">
        <v>1387</v>
      </c>
      <c r="D3037" s="2" t="s">
        <v>860</v>
      </c>
      <c r="E3037" s="7">
        <v>438981</v>
      </c>
      <c r="F3037" s="5">
        <v>3408280</v>
      </c>
    </row>
    <row r="3038" spans="1:6" x14ac:dyDescent="0.25">
      <c r="A3038" s="5">
        <v>3408310</v>
      </c>
      <c r="B3038" s="1">
        <v>2015</v>
      </c>
      <c r="C3038" s="1" t="s">
        <v>1387</v>
      </c>
      <c r="D3038" s="1" t="s">
        <v>506</v>
      </c>
      <c r="E3038" s="8">
        <v>79767</v>
      </c>
      <c r="F3038" s="5">
        <v>3408310</v>
      </c>
    </row>
    <row r="3039" spans="1:6" x14ac:dyDescent="0.25">
      <c r="A3039" s="5">
        <v>3408310</v>
      </c>
      <c r="B3039" s="1">
        <v>2016</v>
      </c>
      <c r="C3039" s="1" t="s">
        <v>1387</v>
      </c>
      <c r="D3039" s="1" t="s">
        <v>506</v>
      </c>
      <c r="E3039" s="8">
        <v>119334</v>
      </c>
      <c r="F3039" s="5">
        <v>3408310</v>
      </c>
    </row>
    <row r="3040" spans="1:6" x14ac:dyDescent="0.25">
      <c r="A3040" s="5">
        <v>3408310</v>
      </c>
      <c r="B3040" s="1">
        <v>2017</v>
      </c>
      <c r="C3040" s="1" t="s">
        <v>1387</v>
      </c>
      <c r="D3040" s="1" t="s">
        <v>506</v>
      </c>
      <c r="E3040" s="8">
        <v>155595</v>
      </c>
      <c r="F3040" s="5">
        <v>3408310</v>
      </c>
    </row>
    <row r="3041" spans="1:6" x14ac:dyDescent="0.25">
      <c r="A3041" s="5">
        <v>3408310</v>
      </c>
      <c r="B3041" s="1">
        <v>2018</v>
      </c>
      <c r="C3041" s="1" t="s">
        <v>1387</v>
      </c>
      <c r="D3041" s="1" t="s">
        <v>1198</v>
      </c>
      <c r="E3041" s="8">
        <v>229413</v>
      </c>
      <c r="F3041" s="5">
        <v>3408310</v>
      </c>
    </row>
    <row r="3042" spans="1:6" x14ac:dyDescent="0.25">
      <c r="A3042" s="5">
        <v>3408310</v>
      </c>
      <c r="B3042" s="1">
        <v>2019</v>
      </c>
      <c r="C3042" s="1" t="s">
        <v>1387</v>
      </c>
      <c r="D3042" s="1" t="s">
        <v>1198</v>
      </c>
      <c r="E3042" s="8">
        <v>317979</v>
      </c>
      <c r="F3042" s="5">
        <v>3408310</v>
      </c>
    </row>
    <row r="3043" spans="1:6" ht="20" x14ac:dyDescent="0.25">
      <c r="A3043" s="5">
        <v>3408310</v>
      </c>
      <c r="B3043" s="1">
        <v>2020</v>
      </c>
      <c r="C3043" s="1" t="s">
        <v>1387</v>
      </c>
      <c r="D3043" s="2" t="s">
        <v>1198</v>
      </c>
      <c r="E3043" s="7">
        <v>365053</v>
      </c>
      <c r="F3043" s="5">
        <v>3408310</v>
      </c>
    </row>
    <row r="3044" spans="1:6" ht="20" x14ac:dyDescent="0.25">
      <c r="A3044" s="5">
        <v>3408310</v>
      </c>
      <c r="B3044" s="1">
        <v>2021</v>
      </c>
      <c r="C3044" s="1" t="s">
        <v>1387</v>
      </c>
      <c r="D3044" s="3" t="s">
        <v>1198</v>
      </c>
      <c r="E3044" s="7">
        <v>434002</v>
      </c>
      <c r="F3044" s="5">
        <v>3408310</v>
      </c>
    </row>
    <row r="3045" spans="1:6" ht="20" x14ac:dyDescent="0.25">
      <c r="A3045" s="5">
        <v>3408310</v>
      </c>
      <c r="B3045" s="1">
        <v>2022</v>
      </c>
      <c r="C3045" s="1" t="s">
        <v>1387</v>
      </c>
      <c r="D3045" s="2" t="s">
        <v>1198</v>
      </c>
      <c r="E3045" s="7">
        <v>621438</v>
      </c>
      <c r="F3045" s="5">
        <v>3408310</v>
      </c>
    </row>
    <row r="3046" spans="1:6" ht="20" x14ac:dyDescent="0.25">
      <c r="A3046" s="5">
        <v>3408310</v>
      </c>
      <c r="B3046" s="1">
        <v>2023</v>
      </c>
      <c r="C3046" s="1" t="s">
        <v>1387</v>
      </c>
      <c r="D3046" s="2" t="s">
        <v>1198</v>
      </c>
      <c r="E3046" s="7">
        <v>578626</v>
      </c>
      <c r="F3046" s="5">
        <v>3408310</v>
      </c>
    </row>
    <row r="3047" spans="1:6" x14ac:dyDescent="0.25">
      <c r="A3047" s="5">
        <v>3408340</v>
      </c>
      <c r="B3047" s="1">
        <v>2015</v>
      </c>
      <c r="C3047" s="1" t="s">
        <v>1387</v>
      </c>
      <c r="D3047" s="1" t="s">
        <v>178</v>
      </c>
      <c r="E3047" s="8">
        <v>117068</v>
      </c>
      <c r="F3047" s="5">
        <v>3408340</v>
      </c>
    </row>
    <row r="3048" spans="1:6" x14ac:dyDescent="0.25">
      <c r="A3048" s="5">
        <v>3408340</v>
      </c>
      <c r="B3048" s="1">
        <v>2016</v>
      </c>
      <c r="C3048" s="1" t="s">
        <v>1387</v>
      </c>
      <c r="D3048" s="1" t="s">
        <v>178</v>
      </c>
      <c r="E3048" s="8">
        <v>188534</v>
      </c>
      <c r="F3048" s="5">
        <v>3408340</v>
      </c>
    </row>
    <row r="3049" spans="1:6" x14ac:dyDescent="0.25">
      <c r="A3049" s="5">
        <v>3408340</v>
      </c>
      <c r="B3049" s="1">
        <v>2017</v>
      </c>
      <c r="C3049" s="1" t="s">
        <v>1387</v>
      </c>
      <c r="D3049" s="1" t="s">
        <v>178</v>
      </c>
      <c r="E3049" s="8">
        <v>254433</v>
      </c>
      <c r="F3049" s="5">
        <v>3408340</v>
      </c>
    </row>
    <row r="3050" spans="1:6" x14ac:dyDescent="0.25">
      <c r="A3050" s="5">
        <v>3408340</v>
      </c>
      <c r="B3050" s="1">
        <v>2018</v>
      </c>
      <c r="C3050" s="1" t="s">
        <v>1387</v>
      </c>
      <c r="D3050" s="1" t="s">
        <v>861</v>
      </c>
      <c r="E3050" s="8">
        <v>362645</v>
      </c>
      <c r="F3050" s="5">
        <v>3408340</v>
      </c>
    </row>
    <row r="3051" spans="1:6" x14ac:dyDescent="0.25">
      <c r="A3051" s="5">
        <v>3408340</v>
      </c>
      <c r="B3051" s="1">
        <v>2019</v>
      </c>
      <c r="C3051" s="1" t="s">
        <v>1387</v>
      </c>
      <c r="D3051" s="1" t="s">
        <v>861</v>
      </c>
      <c r="E3051" s="8">
        <v>493013</v>
      </c>
      <c r="F3051" s="5">
        <v>3408340</v>
      </c>
    </row>
    <row r="3052" spans="1:6" ht="20" x14ac:dyDescent="0.25">
      <c r="A3052" s="5">
        <v>3408340</v>
      </c>
      <c r="B3052" s="1">
        <v>2020</v>
      </c>
      <c r="C3052" s="1" t="s">
        <v>1387</v>
      </c>
      <c r="D3052" s="2" t="s">
        <v>861</v>
      </c>
      <c r="E3052" s="7">
        <v>583485</v>
      </c>
      <c r="F3052" s="5">
        <v>3408340</v>
      </c>
    </row>
    <row r="3053" spans="1:6" ht="20" x14ac:dyDescent="0.25">
      <c r="A3053" s="5">
        <v>3408340</v>
      </c>
      <c r="B3053" s="1">
        <v>2021</v>
      </c>
      <c r="C3053" s="1" t="s">
        <v>1387</v>
      </c>
      <c r="D3053" s="3" t="s">
        <v>861</v>
      </c>
      <c r="E3053" s="7">
        <v>650679</v>
      </c>
      <c r="F3053" s="5">
        <v>3408340</v>
      </c>
    </row>
    <row r="3054" spans="1:6" ht="20" x14ac:dyDescent="0.25">
      <c r="A3054" s="5">
        <v>3408340</v>
      </c>
      <c r="B3054" s="1">
        <v>2022</v>
      </c>
      <c r="C3054" s="1" t="s">
        <v>1387</v>
      </c>
      <c r="D3054" s="2" t="s">
        <v>861</v>
      </c>
      <c r="E3054" s="7">
        <v>853275</v>
      </c>
      <c r="F3054" s="5">
        <v>3408340</v>
      </c>
    </row>
    <row r="3055" spans="1:6" ht="20" x14ac:dyDescent="0.25">
      <c r="A3055" s="5">
        <v>3408340</v>
      </c>
      <c r="B3055" s="1">
        <v>2023</v>
      </c>
      <c r="C3055" s="1" t="s">
        <v>1387</v>
      </c>
      <c r="D3055" s="2" t="s">
        <v>861</v>
      </c>
      <c r="E3055" s="7">
        <v>683783</v>
      </c>
      <c r="F3055" s="5">
        <v>3408340</v>
      </c>
    </row>
    <row r="3056" spans="1:6" x14ac:dyDescent="0.25">
      <c r="A3056" s="5">
        <v>3408370</v>
      </c>
      <c r="B3056" s="1">
        <v>2015</v>
      </c>
      <c r="C3056" s="1" t="s">
        <v>1387</v>
      </c>
      <c r="D3056" s="1" t="s">
        <v>221</v>
      </c>
      <c r="E3056" s="8">
        <v>155405</v>
      </c>
      <c r="F3056" s="5">
        <v>3408370</v>
      </c>
    </row>
    <row r="3057" spans="1:6" x14ac:dyDescent="0.25">
      <c r="A3057" s="5">
        <v>3408370</v>
      </c>
      <c r="B3057" s="1">
        <v>2016</v>
      </c>
      <c r="C3057" s="1" t="s">
        <v>1387</v>
      </c>
      <c r="D3057" s="1" t="s">
        <v>221</v>
      </c>
      <c r="E3057" s="8">
        <v>236679</v>
      </c>
      <c r="F3057" s="5">
        <v>3408370</v>
      </c>
    </row>
    <row r="3058" spans="1:6" x14ac:dyDescent="0.25">
      <c r="A3058" s="5">
        <v>3408370</v>
      </c>
      <c r="B3058" s="1">
        <v>2017</v>
      </c>
      <c r="C3058" s="1" t="s">
        <v>1387</v>
      </c>
      <c r="D3058" s="1" t="s">
        <v>221</v>
      </c>
      <c r="E3058" s="8">
        <v>336575</v>
      </c>
      <c r="F3058" s="5">
        <v>3408370</v>
      </c>
    </row>
    <row r="3059" spans="1:6" x14ac:dyDescent="0.25">
      <c r="A3059" s="5">
        <v>3408370</v>
      </c>
      <c r="B3059" s="1">
        <v>2018</v>
      </c>
      <c r="C3059" s="1" t="s">
        <v>1387</v>
      </c>
      <c r="D3059" s="1" t="s">
        <v>907</v>
      </c>
      <c r="E3059" s="8">
        <v>447495</v>
      </c>
      <c r="F3059" s="5">
        <v>3408370</v>
      </c>
    </row>
    <row r="3060" spans="1:6" x14ac:dyDescent="0.25">
      <c r="A3060" s="5">
        <v>3408370</v>
      </c>
      <c r="B3060" s="1">
        <v>2019</v>
      </c>
      <c r="C3060" s="1" t="s">
        <v>1387</v>
      </c>
      <c r="D3060" s="1" t="s">
        <v>907</v>
      </c>
      <c r="E3060" s="8">
        <v>640468</v>
      </c>
      <c r="F3060" s="5">
        <v>3408370</v>
      </c>
    </row>
    <row r="3061" spans="1:6" ht="20" x14ac:dyDescent="0.25">
      <c r="A3061" s="5">
        <v>3408370</v>
      </c>
      <c r="B3061" s="1">
        <v>2020</v>
      </c>
      <c r="C3061" s="1" t="s">
        <v>1387</v>
      </c>
      <c r="D3061" s="2" t="s">
        <v>907</v>
      </c>
      <c r="E3061" s="7">
        <v>670718</v>
      </c>
      <c r="F3061" s="5">
        <v>3408370</v>
      </c>
    </row>
    <row r="3062" spans="1:6" ht="20" x14ac:dyDescent="0.25">
      <c r="A3062" s="5">
        <v>3408370</v>
      </c>
      <c r="B3062" s="1">
        <v>2021</v>
      </c>
      <c r="C3062" s="1" t="s">
        <v>1387</v>
      </c>
      <c r="D3062" s="3" t="s">
        <v>907</v>
      </c>
      <c r="E3062" s="7">
        <v>937012</v>
      </c>
      <c r="F3062" s="5">
        <v>3408370</v>
      </c>
    </row>
    <row r="3063" spans="1:6" ht="20" x14ac:dyDescent="0.25">
      <c r="A3063" s="5">
        <v>3408370</v>
      </c>
      <c r="B3063" s="1">
        <v>2022</v>
      </c>
      <c r="C3063" s="1" t="s">
        <v>1387</v>
      </c>
      <c r="D3063" s="2" t="s">
        <v>907</v>
      </c>
      <c r="E3063" s="7">
        <v>1513175</v>
      </c>
      <c r="F3063" s="5">
        <v>3408370</v>
      </c>
    </row>
    <row r="3064" spans="1:6" ht="20" x14ac:dyDescent="0.25">
      <c r="A3064" s="5">
        <v>3408370</v>
      </c>
      <c r="B3064" s="1">
        <v>2023</v>
      </c>
      <c r="C3064" s="1" t="s">
        <v>1387</v>
      </c>
      <c r="D3064" s="2" t="s">
        <v>907</v>
      </c>
      <c r="E3064" s="7">
        <v>1514693</v>
      </c>
      <c r="F3064" s="5">
        <v>3408370</v>
      </c>
    </row>
    <row r="3065" spans="1:6" x14ac:dyDescent="0.25">
      <c r="A3065" s="5">
        <v>3408400</v>
      </c>
      <c r="B3065" s="1">
        <v>2015</v>
      </c>
      <c r="C3065" s="1" t="s">
        <v>1387</v>
      </c>
      <c r="D3065" s="1" t="s">
        <v>361</v>
      </c>
      <c r="E3065" s="8">
        <v>1541056</v>
      </c>
      <c r="F3065" s="5">
        <v>3408400</v>
      </c>
    </row>
    <row r="3066" spans="1:6" x14ac:dyDescent="0.25">
      <c r="A3066" s="5">
        <v>3408400</v>
      </c>
      <c r="B3066" s="1">
        <v>2016</v>
      </c>
      <c r="C3066" s="1" t="s">
        <v>1387</v>
      </c>
      <c r="D3066" s="1" t="s">
        <v>361</v>
      </c>
      <c r="E3066" s="8">
        <v>2245935</v>
      </c>
      <c r="F3066" s="5">
        <v>3408400</v>
      </c>
    </row>
    <row r="3067" spans="1:6" x14ac:dyDescent="0.25">
      <c r="A3067" s="5">
        <v>3408400</v>
      </c>
      <c r="B3067" s="1">
        <v>2017</v>
      </c>
      <c r="C3067" s="1" t="s">
        <v>1387</v>
      </c>
      <c r="D3067" s="1" t="s">
        <v>361</v>
      </c>
      <c r="E3067" s="8">
        <v>3050271</v>
      </c>
      <c r="F3067" s="5">
        <v>3408400</v>
      </c>
    </row>
    <row r="3068" spans="1:6" x14ac:dyDescent="0.25">
      <c r="A3068" s="5">
        <v>3408400</v>
      </c>
      <c r="B3068" s="1">
        <v>2018</v>
      </c>
      <c r="C3068" s="1" t="s">
        <v>1387</v>
      </c>
      <c r="D3068" s="1" t="s">
        <v>1052</v>
      </c>
      <c r="E3068" s="8">
        <v>4138278</v>
      </c>
      <c r="F3068" s="5">
        <v>3408400</v>
      </c>
    </row>
    <row r="3069" spans="1:6" x14ac:dyDescent="0.25">
      <c r="A3069" s="5">
        <v>3408400</v>
      </c>
      <c r="B3069" s="1">
        <v>2019</v>
      </c>
      <c r="C3069" s="1" t="s">
        <v>1387</v>
      </c>
      <c r="D3069" s="1" t="s">
        <v>1052</v>
      </c>
      <c r="E3069" s="8">
        <v>5597822</v>
      </c>
      <c r="F3069" s="5">
        <v>3408400</v>
      </c>
    </row>
    <row r="3070" spans="1:6" ht="20" x14ac:dyDescent="0.25">
      <c r="A3070" s="5">
        <v>3408400</v>
      </c>
      <c r="B3070" s="1">
        <v>2020</v>
      </c>
      <c r="C3070" s="1" t="s">
        <v>1387</v>
      </c>
      <c r="D3070" s="2" t="s">
        <v>1052</v>
      </c>
      <c r="E3070" s="7">
        <v>6410989</v>
      </c>
      <c r="F3070" s="5">
        <v>3408400</v>
      </c>
    </row>
    <row r="3071" spans="1:6" ht="20" x14ac:dyDescent="0.25">
      <c r="A3071" s="5">
        <v>3408400</v>
      </c>
      <c r="B3071" s="1">
        <v>2021</v>
      </c>
      <c r="C3071" s="1" t="s">
        <v>1387</v>
      </c>
      <c r="D3071" s="3" t="s">
        <v>1052</v>
      </c>
      <c r="E3071" s="7">
        <v>8433041</v>
      </c>
      <c r="F3071" s="5">
        <v>3408400</v>
      </c>
    </row>
    <row r="3072" spans="1:6" ht="20" x14ac:dyDescent="0.25">
      <c r="A3072" s="5">
        <v>3408400</v>
      </c>
      <c r="B3072" s="1">
        <v>2022</v>
      </c>
      <c r="C3072" s="1" t="s">
        <v>1387</v>
      </c>
      <c r="D3072" s="2" t="s">
        <v>1052</v>
      </c>
      <c r="E3072" s="7">
        <v>11991193</v>
      </c>
      <c r="F3072" s="5">
        <v>3408400</v>
      </c>
    </row>
    <row r="3073" spans="1:6" ht="20" x14ac:dyDescent="0.25">
      <c r="A3073" s="5">
        <v>3408400</v>
      </c>
      <c r="B3073" s="1">
        <v>2023</v>
      </c>
      <c r="C3073" s="1" t="s">
        <v>1387</v>
      </c>
      <c r="D3073" s="2" t="s">
        <v>1052</v>
      </c>
      <c r="E3073" s="7">
        <v>11973866</v>
      </c>
      <c r="F3073" s="5">
        <v>3408400</v>
      </c>
    </row>
    <row r="3074" spans="1:6" x14ac:dyDescent="0.25">
      <c r="A3074" s="5">
        <v>3408430</v>
      </c>
      <c r="B3074" s="1">
        <v>2015</v>
      </c>
      <c r="C3074" s="1" t="s">
        <v>1387</v>
      </c>
      <c r="D3074" s="1" t="s">
        <v>345</v>
      </c>
      <c r="E3074" s="8">
        <v>43583</v>
      </c>
      <c r="F3074" s="5">
        <v>3408430</v>
      </c>
    </row>
    <row r="3075" spans="1:6" x14ac:dyDescent="0.25">
      <c r="A3075" s="5">
        <v>3408430</v>
      </c>
      <c r="B3075" s="1">
        <v>2016</v>
      </c>
      <c r="C3075" s="1" t="s">
        <v>1387</v>
      </c>
      <c r="D3075" s="1" t="s">
        <v>345</v>
      </c>
      <c r="E3075" s="8">
        <v>62734</v>
      </c>
      <c r="F3075" s="5">
        <v>3408430</v>
      </c>
    </row>
    <row r="3076" spans="1:6" x14ac:dyDescent="0.25">
      <c r="A3076" s="5">
        <v>3408430</v>
      </c>
      <c r="B3076" s="1">
        <v>2017</v>
      </c>
      <c r="C3076" s="1" t="s">
        <v>1387</v>
      </c>
      <c r="D3076" s="1" t="s">
        <v>345</v>
      </c>
      <c r="E3076" s="8">
        <v>98597</v>
      </c>
      <c r="F3076" s="5">
        <v>3408430</v>
      </c>
    </row>
    <row r="3077" spans="1:6" x14ac:dyDescent="0.25">
      <c r="A3077" s="5">
        <v>3408430</v>
      </c>
      <c r="B3077" s="1">
        <v>2018</v>
      </c>
      <c r="C3077" s="1" t="s">
        <v>1387</v>
      </c>
      <c r="D3077" s="1" t="s">
        <v>1037</v>
      </c>
      <c r="E3077" s="8">
        <v>156594</v>
      </c>
      <c r="F3077" s="5">
        <v>3408430</v>
      </c>
    </row>
    <row r="3078" spans="1:6" x14ac:dyDescent="0.25">
      <c r="A3078" s="5">
        <v>3408430</v>
      </c>
      <c r="B3078" s="1">
        <v>2019</v>
      </c>
      <c r="C3078" s="1" t="s">
        <v>1387</v>
      </c>
      <c r="D3078" s="1" t="s">
        <v>1037</v>
      </c>
      <c r="E3078" s="8">
        <v>175531</v>
      </c>
      <c r="F3078" s="5">
        <v>3408430</v>
      </c>
    </row>
    <row r="3079" spans="1:6" ht="20" x14ac:dyDescent="0.25">
      <c r="A3079" s="5">
        <v>3408430</v>
      </c>
      <c r="B3079" s="1">
        <v>2020</v>
      </c>
      <c r="C3079" s="1" t="s">
        <v>1387</v>
      </c>
      <c r="D3079" s="2" t="s">
        <v>1037</v>
      </c>
      <c r="E3079" s="7">
        <v>235505</v>
      </c>
      <c r="F3079" s="5">
        <v>3408430</v>
      </c>
    </row>
    <row r="3080" spans="1:6" ht="20" x14ac:dyDescent="0.25">
      <c r="A3080" s="5">
        <v>3408430</v>
      </c>
      <c r="B3080" s="1">
        <v>2021</v>
      </c>
      <c r="C3080" s="1" t="s">
        <v>1387</v>
      </c>
      <c r="D3080" s="3" t="s">
        <v>1037</v>
      </c>
      <c r="E3080" s="7">
        <v>311839</v>
      </c>
      <c r="F3080" s="5">
        <v>3408430</v>
      </c>
    </row>
    <row r="3081" spans="1:6" ht="20" x14ac:dyDescent="0.25">
      <c r="A3081" s="5">
        <v>3408430</v>
      </c>
      <c r="B3081" s="1">
        <v>2022</v>
      </c>
      <c r="C3081" s="1" t="s">
        <v>1387</v>
      </c>
      <c r="D3081" s="2" t="s">
        <v>1037</v>
      </c>
      <c r="E3081" s="7">
        <v>402876</v>
      </c>
      <c r="F3081" s="5">
        <v>3408430</v>
      </c>
    </row>
    <row r="3082" spans="1:6" ht="20" x14ac:dyDescent="0.25">
      <c r="A3082" s="5">
        <v>3408430</v>
      </c>
      <c r="B3082" s="1">
        <v>2023</v>
      </c>
      <c r="C3082" s="1" t="s">
        <v>1387</v>
      </c>
      <c r="D3082" s="2" t="s">
        <v>1037</v>
      </c>
      <c r="E3082" s="7">
        <v>412969</v>
      </c>
      <c r="F3082" s="5">
        <v>3408430</v>
      </c>
    </row>
    <row r="3083" spans="1:6" x14ac:dyDescent="0.25">
      <c r="A3083" s="5">
        <v>3408460</v>
      </c>
      <c r="B3083" s="1">
        <v>2015</v>
      </c>
      <c r="C3083" s="1" t="s">
        <v>1387</v>
      </c>
      <c r="D3083" s="1" t="s">
        <v>346</v>
      </c>
      <c r="E3083" s="8">
        <v>287698</v>
      </c>
      <c r="F3083" s="5">
        <v>3408460</v>
      </c>
    </row>
    <row r="3084" spans="1:6" x14ac:dyDescent="0.25">
      <c r="A3084" s="5">
        <v>3408460</v>
      </c>
      <c r="B3084" s="1">
        <v>2016</v>
      </c>
      <c r="C3084" s="1" t="s">
        <v>1387</v>
      </c>
      <c r="D3084" s="1" t="s">
        <v>346</v>
      </c>
      <c r="E3084" s="8">
        <v>430084</v>
      </c>
      <c r="F3084" s="5">
        <v>3408460</v>
      </c>
    </row>
    <row r="3085" spans="1:6" x14ac:dyDescent="0.25">
      <c r="A3085" s="5">
        <v>3408460</v>
      </c>
      <c r="B3085" s="1">
        <v>2017</v>
      </c>
      <c r="C3085" s="1" t="s">
        <v>1387</v>
      </c>
      <c r="D3085" s="1" t="s">
        <v>346</v>
      </c>
      <c r="E3085" s="8">
        <v>607907</v>
      </c>
      <c r="F3085" s="5">
        <v>3408460</v>
      </c>
    </row>
    <row r="3086" spans="1:6" x14ac:dyDescent="0.25">
      <c r="A3086" s="5">
        <v>3408460</v>
      </c>
      <c r="B3086" s="1">
        <v>2018</v>
      </c>
      <c r="C3086" s="1" t="s">
        <v>1387</v>
      </c>
      <c r="D3086" s="1" t="s">
        <v>1038</v>
      </c>
      <c r="E3086" s="8">
        <v>748926</v>
      </c>
      <c r="F3086" s="5">
        <v>3408460</v>
      </c>
    </row>
    <row r="3087" spans="1:6" x14ac:dyDescent="0.25">
      <c r="A3087" s="5">
        <v>3408460</v>
      </c>
      <c r="B3087" s="1">
        <v>2019</v>
      </c>
      <c r="C3087" s="1" t="s">
        <v>1387</v>
      </c>
      <c r="D3087" s="1" t="s">
        <v>1038</v>
      </c>
      <c r="E3087" s="8">
        <v>1027535</v>
      </c>
      <c r="F3087" s="5">
        <v>3408460</v>
      </c>
    </row>
    <row r="3088" spans="1:6" ht="20" x14ac:dyDescent="0.25">
      <c r="A3088" s="5">
        <v>3408460</v>
      </c>
      <c r="B3088" s="1">
        <v>2020</v>
      </c>
      <c r="C3088" s="1" t="s">
        <v>1387</v>
      </c>
      <c r="D3088" s="2" t="s">
        <v>1038</v>
      </c>
      <c r="E3088" s="7">
        <v>1164096</v>
      </c>
      <c r="F3088" s="5">
        <v>3408460</v>
      </c>
    </row>
    <row r="3089" spans="1:6" ht="20" x14ac:dyDescent="0.25">
      <c r="A3089" s="5">
        <v>3408460</v>
      </c>
      <c r="B3089" s="1">
        <v>2021</v>
      </c>
      <c r="C3089" s="1" t="s">
        <v>1387</v>
      </c>
      <c r="D3089" s="3" t="s">
        <v>1038</v>
      </c>
      <c r="E3089" s="7">
        <v>1477095</v>
      </c>
      <c r="F3089" s="5">
        <v>3408460</v>
      </c>
    </row>
    <row r="3090" spans="1:6" ht="20" x14ac:dyDescent="0.25">
      <c r="A3090" s="5">
        <v>3408460</v>
      </c>
      <c r="B3090" s="1">
        <v>2022</v>
      </c>
      <c r="C3090" s="1" t="s">
        <v>1387</v>
      </c>
      <c r="D3090" s="2" t="s">
        <v>1038</v>
      </c>
      <c r="E3090" s="7">
        <v>2169099</v>
      </c>
      <c r="F3090" s="5">
        <v>3408460</v>
      </c>
    </row>
    <row r="3091" spans="1:6" ht="20" x14ac:dyDescent="0.25">
      <c r="A3091" s="5">
        <v>3408460</v>
      </c>
      <c r="B3091" s="1">
        <v>2023</v>
      </c>
      <c r="C3091" s="1" t="s">
        <v>1387</v>
      </c>
      <c r="D3091" s="2" t="s">
        <v>1038</v>
      </c>
      <c r="E3091" s="7">
        <v>2097152</v>
      </c>
      <c r="F3091" s="5">
        <v>3408460</v>
      </c>
    </row>
    <row r="3092" spans="1:6" x14ac:dyDescent="0.25">
      <c r="A3092" s="5">
        <v>3408490</v>
      </c>
      <c r="B3092" s="1">
        <v>2015</v>
      </c>
      <c r="C3092" s="1" t="s">
        <v>1387</v>
      </c>
      <c r="D3092" s="1" t="s">
        <v>122</v>
      </c>
      <c r="E3092" s="8">
        <v>3053102</v>
      </c>
      <c r="F3092" s="5">
        <v>3408490</v>
      </c>
    </row>
    <row r="3093" spans="1:6" x14ac:dyDescent="0.25">
      <c r="A3093" s="5">
        <v>3408490</v>
      </c>
      <c r="B3093" s="1">
        <v>2016</v>
      </c>
      <c r="C3093" s="1" t="s">
        <v>1387</v>
      </c>
      <c r="D3093" s="1" t="s">
        <v>122</v>
      </c>
      <c r="E3093" s="8">
        <v>4527035</v>
      </c>
      <c r="F3093" s="5">
        <v>3408490</v>
      </c>
    </row>
    <row r="3094" spans="1:6" x14ac:dyDescent="0.25">
      <c r="A3094" s="5">
        <v>3408490</v>
      </c>
      <c r="B3094" s="1">
        <v>2017</v>
      </c>
      <c r="C3094" s="1" t="s">
        <v>1387</v>
      </c>
      <c r="D3094" s="1" t="s">
        <v>122</v>
      </c>
      <c r="E3094" s="8">
        <v>6353537</v>
      </c>
      <c r="F3094" s="5">
        <v>3408490</v>
      </c>
    </row>
    <row r="3095" spans="1:6" x14ac:dyDescent="0.25">
      <c r="A3095" s="5">
        <v>3408490</v>
      </c>
      <c r="B3095" s="1">
        <v>2018</v>
      </c>
      <c r="C3095" s="1" t="s">
        <v>1387</v>
      </c>
      <c r="D3095" s="1" t="s">
        <v>803</v>
      </c>
      <c r="E3095" s="8">
        <v>8595934</v>
      </c>
      <c r="F3095" s="5">
        <v>3408490</v>
      </c>
    </row>
    <row r="3096" spans="1:6" x14ac:dyDescent="0.25">
      <c r="A3096" s="5">
        <v>3408490</v>
      </c>
      <c r="B3096" s="1">
        <v>2019</v>
      </c>
      <c r="C3096" s="1" t="s">
        <v>1387</v>
      </c>
      <c r="D3096" s="1" t="s">
        <v>803</v>
      </c>
      <c r="E3096" s="8">
        <v>11449327</v>
      </c>
      <c r="F3096" s="5">
        <v>3408490</v>
      </c>
    </row>
    <row r="3097" spans="1:6" ht="20" x14ac:dyDescent="0.25">
      <c r="A3097" s="5">
        <v>3408490</v>
      </c>
      <c r="B3097" s="1">
        <v>2020</v>
      </c>
      <c r="C3097" s="1" t="s">
        <v>1387</v>
      </c>
      <c r="D3097" s="2" t="s">
        <v>803</v>
      </c>
      <c r="E3097" s="7">
        <v>12975064</v>
      </c>
      <c r="F3097" s="5">
        <v>3408490</v>
      </c>
    </row>
    <row r="3098" spans="1:6" ht="20" x14ac:dyDescent="0.25">
      <c r="A3098" s="5">
        <v>3408490</v>
      </c>
      <c r="B3098" s="1">
        <v>2021</v>
      </c>
      <c r="C3098" s="1" t="s">
        <v>1387</v>
      </c>
      <c r="D3098" s="3" t="s">
        <v>803</v>
      </c>
      <c r="E3098" s="7">
        <v>16903957</v>
      </c>
      <c r="F3098" s="5">
        <v>3408490</v>
      </c>
    </row>
    <row r="3099" spans="1:6" ht="20" x14ac:dyDescent="0.25">
      <c r="A3099" s="5">
        <v>3408490</v>
      </c>
      <c r="B3099" s="1">
        <v>2022</v>
      </c>
      <c r="C3099" s="1" t="s">
        <v>1387</v>
      </c>
      <c r="D3099" s="2" t="s">
        <v>803</v>
      </c>
      <c r="E3099" s="7">
        <v>23884122</v>
      </c>
      <c r="F3099" s="5">
        <v>3408490</v>
      </c>
    </row>
    <row r="3100" spans="1:6" ht="20" x14ac:dyDescent="0.25">
      <c r="A3100" s="5">
        <v>3408490</v>
      </c>
      <c r="B3100" s="1">
        <v>2023</v>
      </c>
      <c r="C3100" s="1" t="s">
        <v>1387</v>
      </c>
      <c r="D3100" s="2" t="s">
        <v>803</v>
      </c>
      <c r="E3100" s="7">
        <v>23522550</v>
      </c>
      <c r="F3100" s="5">
        <v>3408490</v>
      </c>
    </row>
    <row r="3101" spans="1:6" x14ac:dyDescent="0.25">
      <c r="A3101" s="5">
        <v>3408500</v>
      </c>
      <c r="B3101" s="1">
        <v>2015</v>
      </c>
      <c r="C3101" s="1" t="s">
        <v>1387</v>
      </c>
      <c r="D3101" s="1" t="s">
        <v>596</v>
      </c>
      <c r="E3101" s="8">
        <v>336996</v>
      </c>
      <c r="F3101" s="5">
        <v>3408500</v>
      </c>
    </row>
    <row r="3102" spans="1:6" x14ac:dyDescent="0.25">
      <c r="A3102" s="5">
        <v>3408500</v>
      </c>
      <c r="B3102" s="1">
        <v>2016</v>
      </c>
      <c r="C3102" s="1" t="s">
        <v>1387</v>
      </c>
      <c r="D3102" s="1" t="s">
        <v>596</v>
      </c>
      <c r="E3102" s="8">
        <v>482932</v>
      </c>
      <c r="F3102" s="5">
        <v>3408500</v>
      </c>
    </row>
    <row r="3103" spans="1:6" x14ac:dyDescent="0.25">
      <c r="A3103" s="5">
        <v>3408500</v>
      </c>
      <c r="B3103" s="1">
        <v>2017</v>
      </c>
      <c r="C3103" s="1" t="s">
        <v>1387</v>
      </c>
      <c r="D3103" s="1" t="s">
        <v>596</v>
      </c>
      <c r="E3103" s="8">
        <v>669291</v>
      </c>
      <c r="F3103" s="5">
        <v>3408500</v>
      </c>
    </row>
    <row r="3104" spans="1:6" x14ac:dyDescent="0.25">
      <c r="A3104" s="5">
        <v>3408500</v>
      </c>
      <c r="B3104" s="1">
        <v>2018</v>
      </c>
      <c r="C3104" s="1" t="s">
        <v>1387</v>
      </c>
      <c r="D3104" s="1" t="s">
        <v>1289</v>
      </c>
      <c r="E3104" s="8">
        <v>899217</v>
      </c>
      <c r="F3104" s="5">
        <v>3408500</v>
      </c>
    </row>
    <row r="3105" spans="1:6" x14ac:dyDescent="0.25">
      <c r="A3105" s="5">
        <v>3408500</v>
      </c>
      <c r="B3105" s="1">
        <v>2019</v>
      </c>
      <c r="C3105" s="1" t="s">
        <v>1387</v>
      </c>
      <c r="D3105" s="1" t="s">
        <v>1289</v>
      </c>
      <c r="E3105" s="8">
        <v>1224727</v>
      </c>
      <c r="F3105" s="5">
        <v>3408500</v>
      </c>
    </row>
    <row r="3106" spans="1:6" ht="20" x14ac:dyDescent="0.25">
      <c r="A3106" s="5">
        <v>3408500</v>
      </c>
      <c r="B3106" s="1">
        <v>2020</v>
      </c>
      <c r="C3106" s="1" t="s">
        <v>1387</v>
      </c>
      <c r="D3106" s="2" t="s">
        <v>1289</v>
      </c>
      <c r="E3106" s="7">
        <v>1324947</v>
      </c>
      <c r="F3106" s="5">
        <v>3408500</v>
      </c>
    </row>
    <row r="3107" spans="1:6" ht="20" x14ac:dyDescent="0.25">
      <c r="A3107" s="5">
        <v>3408500</v>
      </c>
      <c r="B3107" s="1">
        <v>2021</v>
      </c>
      <c r="C3107" s="1" t="s">
        <v>1387</v>
      </c>
      <c r="D3107" s="3" t="s">
        <v>1289</v>
      </c>
      <c r="E3107" s="7">
        <v>1743700</v>
      </c>
      <c r="F3107" s="5">
        <v>3408500</v>
      </c>
    </row>
    <row r="3108" spans="1:6" ht="20" x14ac:dyDescent="0.25">
      <c r="A3108" s="5">
        <v>3408500</v>
      </c>
      <c r="B3108" s="1">
        <v>2022</v>
      </c>
      <c r="C3108" s="1" t="s">
        <v>1387</v>
      </c>
      <c r="D3108" s="2" t="s">
        <v>1289</v>
      </c>
      <c r="E3108" s="7">
        <v>2340356</v>
      </c>
      <c r="F3108" s="5">
        <v>3408500</v>
      </c>
    </row>
    <row r="3109" spans="1:6" ht="20" x14ac:dyDescent="0.25">
      <c r="A3109" s="5">
        <v>3408500</v>
      </c>
      <c r="B3109" s="1">
        <v>2023</v>
      </c>
      <c r="C3109" s="1" t="s">
        <v>1387</v>
      </c>
      <c r="D3109" s="2" t="s">
        <v>1289</v>
      </c>
      <c r="E3109" s="7">
        <v>2320617</v>
      </c>
      <c r="F3109" s="5">
        <v>3408500</v>
      </c>
    </row>
    <row r="3110" spans="1:6" x14ac:dyDescent="0.25">
      <c r="A3110" s="5">
        <v>3408520</v>
      </c>
      <c r="B3110" s="1">
        <v>2015</v>
      </c>
      <c r="C3110" s="1" t="s">
        <v>1387</v>
      </c>
      <c r="D3110" s="1" t="s">
        <v>60</v>
      </c>
      <c r="E3110" s="8">
        <v>739555</v>
      </c>
      <c r="F3110" s="5">
        <v>3408520</v>
      </c>
    </row>
    <row r="3111" spans="1:6" x14ac:dyDescent="0.25">
      <c r="A3111" s="5">
        <v>3408520</v>
      </c>
      <c r="B3111" s="1">
        <v>2016</v>
      </c>
      <c r="C3111" s="1" t="s">
        <v>1387</v>
      </c>
      <c r="D3111" s="1" t="s">
        <v>60</v>
      </c>
      <c r="E3111" s="8">
        <v>1065314</v>
      </c>
      <c r="F3111" s="5">
        <v>3408520</v>
      </c>
    </row>
    <row r="3112" spans="1:6" x14ac:dyDescent="0.25">
      <c r="A3112" s="5">
        <v>3408520</v>
      </c>
      <c r="B3112" s="1">
        <v>2017</v>
      </c>
      <c r="C3112" s="1" t="s">
        <v>1387</v>
      </c>
      <c r="D3112" s="1" t="s">
        <v>60</v>
      </c>
      <c r="E3112" s="8">
        <v>1498355</v>
      </c>
      <c r="F3112" s="5">
        <v>3408520</v>
      </c>
    </row>
    <row r="3113" spans="1:6" x14ac:dyDescent="0.25">
      <c r="A3113" s="5">
        <v>3408520</v>
      </c>
      <c r="B3113" s="1">
        <v>2018</v>
      </c>
      <c r="C3113" s="1" t="s">
        <v>1387</v>
      </c>
      <c r="D3113" s="1" t="s">
        <v>738</v>
      </c>
      <c r="E3113" s="8">
        <v>2067240</v>
      </c>
      <c r="F3113" s="5">
        <v>3408520</v>
      </c>
    </row>
    <row r="3114" spans="1:6" x14ac:dyDescent="0.25">
      <c r="A3114" s="5">
        <v>3408520</v>
      </c>
      <c r="B3114" s="1">
        <v>2019</v>
      </c>
      <c r="C3114" s="1" t="s">
        <v>1387</v>
      </c>
      <c r="D3114" s="1" t="s">
        <v>738</v>
      </c>
      <c r="E3114" s="8">
        <v>2777892</v>
      </c>
      <c r="F3114" s="5">
        <v>3408520</v>
      </c>
    </row>
    <row r="3115" spans="1:6" ht="20" x14ac:dyDescent="0.25">
      <c r="A3115" s="5">
        <v>3408520</v>
      </c>
      <c r="B3115" s="1">
        <v>2020</v>
      </c>
      <c r="C3115" s="1" t="s">
        <v>1387</v>
      </c>
      <c r="D3115" s="2" t="s">
        <v>738</v>
      </c>
      <c r="E3115" s="7">
        <v>3139919</v>
      </c>
      <c r="F3115" s="5">
        <v>3408520</v>
      </c>
    </row>
    <row r="3116" spans="1:6" ht="20" x14ac:dyDescent="0.25">
      <c r="A3116" s="5">
        <v>3408520</v>
      </c>
      <c r="B3116" s="1">
        <v>2021</v>
      </c>
      <c r="C3116" s="1" t="s">
        <v>1387</v>
      </c>
      <c r="D3116" s="3" t="s">
        <v>738</v>
      </c>
      <c r="E3116" s="7">
        <v>4088034</v>
      </c>
      <c r="F3116" s="5">
        <v>3408520</v>
      </c>
    </row>
    <row r="3117" spans="1:6" ht="20" x14ac:dyDescent="0.25">
      <c r="A3117" s="5">
        <v>3408520</v>
      </c>
      <c r="B3117" s="1">
        <v>2022</v>
      </c>
      <c r="C3117" s="1" t="s">
        <v>1387</v>
      </c>
      <c r="D3117" s="2" t="s">
        <v>738</v>
      </c>
      <c r="E3117" s="7">
        <v>5907109</v>
      </c>
      <c r="F3117" s="5">
        <v>3408520</v>
      </c>
    </row>
    <row r="3118" spans="1:6" ht="20" x14ac:dyDescent="0.25">
      <c r="A3118" s="5">
        <v>3408520</v>
      </c>
      <c r="B3118" s="1">
        <v>2023</v>
      </c>
      <c r="C3118" s="1" t="s">
        <v>1387</v>
      </c>
      <c r="D3118" s="2" t="s">
        <v>738</v>
      </c>
      <c r="E3118" s="7">
        <v>5761719</v>
      </c>
      <c r="F3118" s="5">
        <v>3408520</v>
      </c>
    </row>
    <row r="3119" spans="1:6" x14ac:dyDescent="0.25">
      <c r="A3119" s="5">
        <v>3408580</v>
      </c>
      <c r="B3119" s="1">
        <v>2015</v>
      </c>
      <c r="C3119" s="1" t="s">
        <v>1387</v>
      </c>
      <c r="D3119" s="1" t="s">
        <v>468</v>
      </c>
      <c r="E3119" s="8">
        <v>316675</v>
      </c>
      <c r="F3119" s="5">
        <v>3408580</v>
      </c>
    </row>
    <row r="3120" spans="1:6" x14ac:dyDescent="0.25">
      <c r="A3120" s="5">
        <v>3408580</v>
      </c>
      <c r="B3120" s="1">
        <v>2016</v>
      </c>
      <c r="C3120" s="1" t="s">
        <v>1387</v>
      </c>
      <c r="D3120" s="1" t="s">
        <v>468</v>
      </c>
      <c r="E3120" s="8">
        <v>464401</v>
      </c>
      <c r="F3120" s="5">
        <v>3408580</v>
      </c>
    </row>
    <row r="3121" spans="1:6" x14ac:dyDescent="0.25">
      <c r="A3121" s="5">
        <v>3408580</v>
      </c>
      <c r="B3121" s="1">
        <v>2017</v>
      </c>
      <c r="C3121" s="1" t="s">
        <v>1387</v>
      </c>
      <c r="D3121" s="1" t="s">
        <v>468</v>
      </c>
      <c r="E3121" s="8">
        <v>663884</v>
      </c>
      <c r="F3121" s="5">
        <v>3408580</v>
      </c>
    </row>
    <row r="3122" spans="1:6" x14ac:dyDescent="0.25">
      <c r="A3122" s="5">
        <v>3408580</v>
      </c>
      <c r="B3122" s="1">
        <v>2018</v>
      </c>
      <c r="C3122" s="1" t="s">
        <v>1387</v>
      </c>
      <c r="D3122" s="1" t="s">
        <v>1160</v>
      </c>
      <c r="E3122" s="8">
        <v>945010</v>
      </c>
      <c r="F3122" s="5">
        <v>3408580</v>
      </c>
    </row>
    <row r="3123" spans="1:6" x14ac:dyDescent="0.25">
      <c r="A3123" s="5">
        <v>3408580</v>
      </c>
      <c r="B3123" s="1">
        <v>2019</v>
      </c>
      <c r="C3123" s="1" t="s">
        <v>1387</v>
      </c>
      <c r="D3123" s="1" t="s">
        <v>1160</v>
      </c>
      <c r="E3123" s="8">
        <v>1219359</v>
      </c>
      <c r="F3123" s="5">
        <v>3408580</v>
      </c>
    </row>
    <row r="3124" spans="1:6" ht="20" x14ac:dyDescent="0.25">
      <c r="A3124" s="5">
        <v>3408580</v>
      </c>
      <c r="B3124" s="1">
        <v>2020</v>
      </c>
      <c r="C3124" s="1" t="s">
        <v>1387</v>
      </c>
      <c r="D3124" s="2" t="s">
        <v>1160</v>
      </c>
      <c r="E3124" s="7">
        <v>1414519</v>
      </c>
      <c r="F3124" s="5">
        <v>3408580</v>
      </c>
    </row>
    <row r="3125" spans="1:6" ht="20" x14ac:dyDescent="0.25">
      <c r="A3125" s="5">
        <v>3408580</v>
      </c>
      <c r="B3125" s="1">
        <v>2021</v>
      </c>
      <c r="C3125" s="1" t="s">
        <v>1387</v>
      </c>
      <c r="D3125" s="3" t="s">
        <v>1160</v>
      </c>
      <c r="E3125" s="7">
        <v>1933351</v>
      </c>
      <c r="F3125" s="5">
        <v>3408580</v>
      </c>
    </row>
    <row r="3126" spans="1:6" ht="20" x14ac:dyDescent="0.25">
      <c r="A3126" s="5">
        <v>3408580</v>
      </c>
      <c r="B3126" s="1">
        <v>2022</v>
      </c>
      <c r="C3126" s="1" t="s">
        <v>1387</v>
      </c>
      <c r="D3126" s="2" t="s">
        <v>1160</v>
      </c>
      <c r="E3126" s="7">
        <v>2699090</v>
      </c>
      <c r="F3126" s="5">
        <v>3408580</v>
      </c>
    </row>
    <row r="3127" spans="1:6" ht="20" x14ac:dyDescent="0.25">
      <c r="A3127" s="5">
        <v>3408580</v>
      </c>
      <c r="B3127" s="1">
        <v>2023</v>
      </c>
      <c r="C3127" s="1" t="s">
        <v>1387</v>
      </c>
      <c r="D3127" s="2" t="s">
        <v>1160</v>
      </c>
      <c r="E3127" s="7">
        <v>2779011</v>
      </c>
      <c r="F3127" s="5">
        <v>3408580</v>
      </c>
    </row>
    <row r="3128" spans="1:6" x14ac:dyDescent="0.25">
      <c r="A3128" s="5">
        <v>3408610</v>
      </c>
      <c r="B3128" s="1">
        <v>2015</v>
      </c>
      <c r="C3128" s="1" t="s">
        <v>1387</v>
      </c>
      <c r="D3128" s="1" t="s">
        <v>620</v>
      </c>
      <c r="E3128" s="8">
        <v>2352603</v>
      </c>
      <c r="F3128" s="5">
        <v>3408610</v>
      </c>
    </row>
    <row r="3129" spans="1:6" x14ac:dyDescent="0.25">
      <c r="A3129" s="5">
        <v>3408610</v>
      </c>
      <c r="B3129" s="1">
        <v>2016</v>
      </c>
      <c r="C3129" s="1" t="s">
        <v>1387</v>
      </c>
      <c r="D3129" s="1" t="s">
        <v>620</v>
      </c>
      <c r="E3129" s="8">
        <v>3602783</v>
      </c>
      <c r="F3129" s="5">
        <v>3408610</v>
      </c>
    </row>
    <row r="3130" spans="1:6" x14ac:dyDescent="0.25">
      <c r="A3130" s="5">
        <v>3408610</v>
      </c>
      <c r="B3130" s="1">
        <v>2017</v>
      </c>
      <c r="C3130" s="1" t="s">
        <v>1387</v>
      </c>
      <c r="D3130" s="1" t="s">
        <v>620</v>
      </c>
      <c r="E3130" s="8">
        <v>5148225</v>
      </c>
      <c r="F3130" s="5">
        <v>3408610</v>
      </c>
    </row>
    <row r="3131" spans="1:6" x14ac:dyDescent="0.25">
      <c r="A3131" s="5">
        <v>3408610</v>
      </c>
      <c r="B3131" s="1">
        <v>2018</v>
      </c>
      <c r="C3131" s="1" t="s">
        <v>1387</v>
      </c>
      <c r="D3131" s="1" t="s">
        <v>1313</v>
      </c>
      <c r="E3131" s="8">
        <v>7005012</v>
      </c>
      <c r="F3131" s="5">
        <v>3408610</v>
      </c>
    </row>
    <row r="3132" spans="1:6" x14ac:dyDescent="0.25">
      <c r="A3132" s="5">
        <v>3408610</v>
      </c>
      <c r="B3132" s="1">
        <v>2019</v>
      </c>
      <c r="C3132" s="1" t="s">
        <v>1387</v>
      </c>
      <c r="D3132" s="1" t="s">
        <v>1313</v>
      </c>
      <c r="E3132" s="8">
        <v>9352462</v>
      </c>
      <c r="F3132" s="5">
        <v>3408610</v>
      </c>
    </row>
    <row r="3133" spans="1:6" ht="20" x14ac:dyDescent="0.25">
      <c r="A3133" s="5">
        <v>3408610</v>
      </c>
      <c r="B3133" s="1">
        <v>2020</v>
      </c>
      <c r="C3133" s="1" t="s">
        <v>1387</v>
      </c>
      <c r="D3133" s="2" t="s">
        <v>1313</v>
      </c>
      <c r="E3133" s="7">
        <v>10766762</v>
      </c>
      <c r="F3133" s="5">
        <v>3408610</v>
      </c>
    </row>
    <row r="3134" spans="1:6" ht="20" x14ac:dyDescent="0.25">
      <c r="A3134" s="5">
        <v>3408610</v>
      </c>
      <c r="B3134" s="1">
        <v>2021</v>
      </c>
      <c r="C3134" s="1" t="s">
        <v>1387</v>
      </c>
      <c r="D3134" s="3" t="s">
        <v>1313</v>
      </c>
      <c r="E3134" s="7">
        <v>14222244</v>
      </c>
      <c r="F3134" s="5">
        <v>3408610</v>
      </c>
    </row>
    <row r="3135" spans="1:6" ht="20" x14ac:dyDescent="0.25">
      <c r="A3135" s="5">
        <v>3408610</v>
      </c>
      <c r="B3135" s="1">
        <v>2022</v>
      </c>
      <c r="C3135" s="1" t="s">
        <v>1387</v>
      </c>
      <c r="D3135" s="2" t="s">
        <v>1313</v>
      </c>
      <c r="E3135" s="7">
        <v>20391240</v>
      </c>
      <c r="F3135" s="5">
        <v>3408610</v>
      </c>
    </row>
    <row r="3136" spans="1:6" ht="20" x14ac:dyDescent="0.25">
      <c r="A3136" s="5">
        <v>3408610</v>
      </c>
      <c r="B3136" s="1">
        <v>2023</v>
      </c>
      <c r="C3136" s="1" t="s">
        <v>1387</v>
      </c>
      <c r="D3136" s="2" t="s">
        <v>1313</v>
      </c>
      <c r="E3136" s="7">
        <v>19843591</v>
      </c>
      <c r="F3136" s="5">
        <v>3408610</v>
      </c>
    </row>
    <row r="3137" spans="1:6" x14ac:dyDescent="0.25">
      <c r="A3137" s="5">
        <v>3408640</v>
      </c>
      <c r="B3137" s="1">
        <v>2015</v>
      </c>
      <c r="C3137" s="1" t="s">
        <v>1387</v>
      </c>
      <c r="D3137" s="1" t="s">
        <v>180</v>
      </c>
      <c r="E3137" s="8">
        <v>880733</v>
      </c>
      <c r="F3137" s="5">
        <v>3408640</v>
      </c>
    </row>
    <row r="3138" spans="1:6" x14ac:dyDescent="0.25">
      <c r="A3138" s="5">
        <v>3408640</v>
      </c>
      <c r="B3138" s="1">
        <v>2016</v>
      </c>
      <c r="C3138" s="1" t="s">
        <v>1387</v>
      </c>
      <c r="D3138" s="1" t="s">
        <v>180</v>
      </c>
      <c r="E3138" s="8">
        <v>1284364</v>
      </c>
      <c r="F3138" s="5">
        <v>3408640</v>
      </c>
    </row>
    <row r="3139" spans="1:6" x14ac:dyDescent="0.25">
      <c r="A3139" s="5">
        <v>3408640</v>
      </c>
      <c r="B3139" s="1">
        <v>2017</v>
      </c>
      <c r="C3139" s="1" t="s">
        <v>1387</v>
      </c>
      <c r="D3139" s="1" t="s">
        <v>180</v>
      </c>
      <c r="E3139" s="8">
        <v>1890743</v>
      </c>
      <c r="F3139" s="5">
        <v>3408640</v>
      </c>
    </row>
    <row r="3140" spans="1:6" x14ac:dyDescent="0.25">
      <c r="A3140" s="5">
        <v>3408640</v>
      </c>
      <c r="B3140" s="1">
        <v>2018</v>
      </c>
      <c r="C3140" s="1" t="s">
        <v>1387</v>
      </c>
      <c r="D3140" s="1" t="s">
        <v>863</v>
      </c>
      <c r="E3140" s="8">
        <v>2599205</v>
      </c>
      <c r="F3140" s="5">
        <v>3408640</v>
      </c>
    </row>
    <row r="3141" spans="1:6" x14ac:dyDescent="0.25">
      <c r="A3141" s="5">
        <v>3408640</v>
      </c>
      <c r="B3141" s="1">
        <v>2019</v>
      </c>
      <c r="C3141" s="1" t="s">
        <v>1387</v>
      </c>
      <c r="D3141" s="1" t="s">
        <v>863</v>
      </c>
      <c r="E3141" s="8">
        <v>3475553</v>
      </c>
      <c r="F3141" s="5">
        <v>3408640</v>
      </c>
    </row>
    <row r="3142" spans="1:6" ht="20" x14ac:dyDescent="0.25">
      <c r="A3142" s="5">
        <v>3408640</v>
      </c>
      <c r="B3142" s="1">
        <v>2020</v>
      </c>
      <c r="C3142" s="1" t="s">
        <v>1387</v>
      </c>
      <c r="D3142" s="2" t="s">
        <v>863</v>
      </c>
      <c r="E3142" s="7">
        <v>4020819</v>
      </c>
      <c r="F3142" s="5">
        <v>3408640</v>
      </c>
    </row>
    <row r="3143" spans="1:6" ht="20" x14ac:dyDescent="0.25">
      <c r="A3143" s="5">
        <v>3408640</v>
      </c>
      <c r="B3143" s="1">
        <v>2021</v>
      </c>
      <c r="C3143" s="1" t="s">
        <v>1387</v>
      </c>
      <c r="D3143" s="3" t="s">
        <v>863</v>
      </c>
      <c r="E3143" s="7">
        <v>5087395</v>
      </c>
      <c r="F3143" s="5">
        <v>3408640</v>
      </c>
    </row>
    <row r="3144" spans="1:6" ht="20" x14ac:dyDescent="0.25">
      <c r="A3144" s="5">
        <v>3408640</v>
      </c>
      <c r="B3144" s="1">
        <v>2022</v>
      </c>
      <c r="C3144" s="1" t="s">
        <v>1387</v>
      </c>
      <c r="D3144" s="2" t="s">
        <v>863</v>
      </c>
      <c r="E3144" s="7">
        <v>8016055</v>
      </c>
      <c r="F3144" s="5">
        <v>3408640</v>
      </c>
    </row>
    <row r="3145" spans="1:6" ht="20" x14ac:dyDescent="0.25">
      <c r="A3145" s="5">
        <v>3408640</v>
      </c>
      <c r="B3145" s="1">
        <v>2023</v>
      </c>
      <c r="C3145" s="1" t="s">
        <v>1387</v>
      </c>
      <c r="D3145" s="2" t="s">
        <v>863</v>
      </c>
      <c r="E3145" s="7">
        <v>8248405</v>
      </c>
      <c r="F3145" s="5">
        <v>3408640</v>
      </c>
    </row>
    <row r="3146" spans="1:6" x14ac:dyDescent="0.25">
      <c r="A3146" s="5">
        <v>3408670</v>
      </c>
      <c r="B3146" s="1">
        <v>2015</v>
      </c>
      <c r="C3146" s="1" t="s">
        <v>1387</v>
      </c>
      <c r="D3146" s="1" t="s">
        <v>16</v>
      </c>
      <c r="E3146" s="8">
        <v>345936</v>
      </c>
      <c r="F3146" s="5">
        <v>3408670</v>
      </c>
    </row>
    <row r="3147" spans="1:6" x14ac:dyDescent="0.25">
      <c r="A3147" s="5">
        <v>3408670</v>
      </c>
      <c r="B3147" s="1">
        <v>2016</v>
      </c>
      <c r="C3147" s="1" t="s">
        <v>1387</v>
      </c>
      <c r="D3147" s="1" t="s">
        <v>16</v>
      </c>
      <c r="E3147" s="8">
        <v>504624</v>
      </c>
      <c r="F3147" s="5">
        <v>3408670</v>
      </c>
    </row>
    <row r="3148" spans="1:6" x14ac:dyDescent="0.25">
      <c r="A3148" s="5">
        <v>3408670</v>
      </c>
      <c r="B3148" s="1">
        <v>2017</v>
      </c>
      <c r="C3148" s="1" t="s">
        <v>1387</v>
      </c>
      <c r="D3148" s="1" t="s">
        <v>16</v>
      </c>
      <c r="E3148" s="8">
        <v>707049</v>
      </c>
      <c r="F3148" s="5">
        <v>3408670</v>
      </c>
    </row>
    <row r="3149" spans="1:6" x14ac:dyDescent="0.25">
      <c r="A3149" s="5">
        <v>3408670</v>
      </c>
      <c r="B3149" s="1">
        <v>2018</v>
      </c>
      <c r="C3149" s="1" t="s">
        <v>1387</v>
      </c>
      <c r="D3149" s="1" t="s">
        <v>695</v>
      </c>
      <c r="E3149" s="8">
        <v>906339</v>
      </c>
      <c r="F3149" s="5">
        <v>3408670</v>
      </c>
    </row>
    <row r="3150" spans="1:6" x14ac:dyDescent="0.25">
      <c r="A3150" s="5">
        <v>3408670</v>
      </c>
      <c r="B3150" s="1">
        <v>2019</v>
      </c>
      <c r="C3150" s="1" t="s">
        <v>1387</v>
      </c>
      <c r="D3150" s="1" t="s">
        <v>695</v>
      </c>
      <c r="E3150" s="8">
        <v>1147225</v>
      </c>
      <c r="F3150" s="5">
        <v>3408670</v>
      </c>
    </row>
    <row r="3151" spans="1:6" ht="20" x14ac:dyDescent="0.25">
      <c r="A3151" s="5">
        <v>3408670</v>
      </c>
      <c r="B3151" s="1">
        <v>2020</v>
      </c>
      <c r="C3151" s="1" t="s">
        <v>1387</v>
      </c>
      <c r="D3151" s="2" t="s">
        <v>695</v>
      </c>
      <c r="E3151" s="7">
        <v>1338106</v>
      </c>
      <c r="F3151" s="5">
        <v>3408670</v>
      </c>
    </row>
    <row r="3152" spans="1:6" ht="20" x14ac:dyDescent="0.25">
      <c r="A3152" s="5">
        <v>3408670</v>
      </c>
      <c r="B3152" s="1">
        <v>2021</v>
      </c>
      <c r="C3152" s="1" t="s">
        <v>1387</v>
      </c>
      <c r="D3152" s="3" t="s">
        <v>695</v>
      </c>
      <c r="E3152" s="7">
        <v>1650717</v>
      </c>
      <c r="F3152" s="5">
        <v>3408670</v>
      </c>
    </row>
    <row r="3153" spans="1:6" ht="20" x14ac:dyDescent="0.25">
      <c r="A3153" s="5">
        <v>3408670</v>
      </c>
      <c r="B3153" s="1">
        <v>2022</v>
      </c>
      <c r="C3153" s="1" t="s">
        <v>1387</v>
      </c>
      <c r="D3153" s="2" t="s">
        <v>695</v>
      </c>
      <c r="E3153" s="7">
        <v>2442075</v>
      </c>
      <c r="F3153" s="5">
        <v>3408670</v>
      </c>
    </row>
    <row r="3154" spans="1:6" ht="20" x14ac:dyDescent="0.25">
      <c r="A3154" s="5">
        <v>3408670</v>
      </c>
      <c r="B3154" s="1">
        <v>2023</v>
      </c>
      <c r="C3154" s="1" t="s">
        <v>1387</v>
      </c>
      <c r="D3154" s="2" t="s">
        <v>695</v>
      </c>
      <c r="E3154" s="7">
        <v>2436268</v>
      </c>
      <c r="F3154" s="5">
        <v>3408670</v>
      </c>
    </row>
    <row r="3155" spans="1:6" x14ac:dyDescent="0.25">
      <c r="A3155" s="5">
        <v>3408700</v>
      </c>
      <c r="B3155" s="1">
        <v>2015</v>
      </c>
      <c r="C3155" s="1" t="s">
        <v>1387</v>
      </c>
      <c r="D3155" s="1" t="s">
        <v>507</v>
      </c>
      <c r="E3155" s="8">
        <v>626382</v>
      </c>
      <c r="F3155" s="5">
        <v>3408700</v>
      </c>
    </row>
    <row r="3156" spans="1:6" x14ac:dyDescent="0.25">
      <c r="A3156" s="5">
        <v>3408700</v>
      </c>
      <c r="B3156" s="1">
        <v>2016</v>
      </c>
      <c r="C3156" s="1" t="s">
        <v>1387</v>
      </c>
      <c r="D3156" s="1" t="s">
        <v>507</v>
      </c>
      <c r="E3156" s="8">
        <v>943932</v>
      </c>
      <c r="F3156" s="5">
        <v>3408700</v>
      </c>
    </row>
    <row r="3157" spans="1:6" x14ac:dyDescent="0.25">
      <c r="A3157" s="5">
        <v>3408700</v>
      </c>
      <c r="B3157" s="1">
        <v>2017</v>
      </c>
      <c r="C3157" s="1" t="s">
        <v>1387</v>
      </c>
      <c r="D3157" s="1" t="s">
        <v>507</v>
      </c>
      <c r="E3157" s="8">
        <v>1369537</v>
      </c>
      <c r="F3157" s="5">
        <v>3408700</v>
      </c>
    </row>
    <row r="3158" spans="1:6" x14ac:dyDescent="0.25">
      <c r="A3158" s="5">
        <v>3408700</v>
      </c>
      <c r="B3158" s="1">
        <v>2018</v>
      </c>
      <c r="C3158" s="1" t="s">
        <v>1387</v>
      </c>
      <c r="D3158" s="1" t="s">
        <v>1199</v>
      </c>
      <c r="E3158" s="8">
        <v>1733315</v>
      </c>
      <c r="F3158" s="5">
        <v>3408700</v>
      </c>
    </row>
    <row r="3159" spans="1:6" x14ac:dyDescent="0.25">
      <c r="A3159" s="5">
        <v>3408700</v>
      </c>
      <c r="B3159" s="1">
        <v>2019</v>
      </c>
      <c r="C3159" s="1" t="s">
        <v>1387</v>
      </c>
      <c r="D3159" s="1" t="s">
        <v>1199</v>
      </c>
      <c r="E3159" s="8">
        <v>2320200</v>
      </c>
      <c r="F3159" s="5">
        <v>3408700</v>
      </c>
    </row>
    <row r="3160" spans="1:6" ht="20" x14ac:dyDescent="0.25">
      <c r="A3160" s="5">
        <v>3408700</v>
      </c>
      <c r="B3160" s="1">
        <v>2020</v>
      </c>
      <c r="C3160" s="1" t="s">
        <v>1387</v>
      </c>
      <c r="D3160" s="2" t="s">
        <v>1199</v>
      </c>
      <c r="E3160" s="7">
        <v>2488864</v>
      </c>
      <c r="F3160" s="5">
        <v>3408700</v>
      </c>
    </row>
    <row r="3161" spans="1:6" ht="20" x14ac:dyDescent="0.25">
      <c r="A3161" s="5">
        <v>3408700</v>
      </c>
      <c r="B3161" s="1">
        <v>2021</v>
      </c>
      <c r="C3161" s="1" t="s">
        <v>1387</v>
      </c>
      <c r="D3161" s="3" t="s">
        <v>1199</v>
      </c>
      <c r="E3161" s="7">
        <v>3136384</v>
      </c>
      <c r="F3161" s="5">
        <v>3408700</v>
      </c>
    </row>
    <row r="3162" spans="1:6" ht="20" x14ac:dyDescent="0.25">
      <c r="A3162" s="5">
        <v>3408700</v>
      </c>
      <c r="B3162" s="1">
        <v>2022</v>
      </c>
      <c r="C3162" s="1" t="s">
        <v>1387</v>
      </c>
      <c r="D3162" s="2" t="s">
        <v>1199</v>
      </c>
      <c r="E3162" s="7">
        <v>4660016</v>
      </c>
      <c r="F3162" s="5">
        <v>3408700</v>
      </c>
    </row>
    <row r="3163" spans="1:6" ht="20" x14ac:dyDescent="0.25">
      <c r="A3163" s="5">
        <v>3408700</v>
      </c>
      <c r="B3163" s="1">
        <v>2023</v>
      </c>
      <c r="C3163" s="1" t="s">
        <v>1387</v>
      </c>
      <c r="D3163" s="2" t="s">
        <v>1199</v>
      </c>
      <c r="E3163" s="7">
        <v>4997151</v>
      </c>
      <c r="F3163" s="5">
        <v>3408700</v>
      </c>
    </row>
    <row r="3164" spans="1:6" x14ac:dyDescent="0.25">
      <c r="A3164" s="5">
        <v>3408730</v>
      </c>
      <c r="B3164" s="1">
        <v>2015</v>
      </c>
      <c r="C3164" s="1" t="s">
        <v>1387</v>
      </c>
      <c r="D3164" s="1" t="s">
        <v>531</v>
      </c>
      <c r="E3164" s="8">
        <v>346642</v>
      </c>
      <c r="F3164" s="5">
        <v>3408730</v>
      </c>
    </row>
    <row r="3165" spans="1:6" x14ac:dyDescent="0.25">
      <c r="A3165" s="5">
        <v>3408730</v>
      </c>
      <c r="B3165" s="1">
        <v>2016</v>
      </c>
      <c r="C3165" s="1" t="s">
        <v>1387</v>
      </c>
      <c r="D3165" s="1" t="s">
        <v>531</v>
      </c>
      <c r="E3165" s="8">
        <v>464212</v>
      </c>
      <c r="F3165" s="5">
        <v>3408730</v>
      </c>
    </row>
    <row r="3166" spans="1:6" x14ac:dyDescent="0.25">
      <c r="A3166" s="5">
        <v>3408730</v>
      </c>
      <c r="B3166" s="1">
        <v>2017</v>
      </c>
      <c r="C3166" s="1" t="s">
        <v>1387</v>
      </c>
      <c r="D3166" s="1" t="s">
        <v>531</v>
      </c>
      <c r="E3166" s="8">
        <v>700616</v>
      </c>
      <c r="F3166" s="5">
        <v>3408730</v>
      </c>
    </row>
    <row r="3167" spans="1:6" x14ac:dyDescent="0.25">
      <c r="A3167" s="5">
        <v>3408730</v>
      </c>
      <c r="B3167" s="1">
        <v>2018</v>
      </c>
      <c r="C3167" s="1" t="s">
        <v>1387</v>
      </c>
      <c r="D3167" s="1" t="s">
        <v>1223</v>
      </c>
      <c r="E3167" s="8">
        <v>1013285</v>
      </c>
      <c r="F3167" s="5">
        <v>3408730</v>
      </c>
    </row>
    <row r="3168" spans="1:6" x14ac:dyDescent="0.25">
      <c r="A3168" s="5">
        <v>3408730</v>
      </c>
      <c r="B3168" s="1">
        <v>2019</v>
      </c>
      <c r="C3168" s="1" t="s">
        <v>1387</v>
      </c>
      <c r="D3168" s="1" t="s">
        <v>1223</v>
      </c>
      <c r="E3168" s="8">
        <v>1384317</v>
      </c>
      <c r="F3168" s="5">
        <v>3408730</v>
      </c>
    </row>
    <row r="3169" spans="1:6" ht="20" x14ac:dyDescent="0.25">
      <c r="A3169" s="5">
        <v>3408730</v>
      </c>
      <c r="B3169" s="1">
        <v>2020</v>
      </c>
      <c r="C3169" s="1" t="s">
        <v>1387</v>
      </c>
      <c r="D3169" s="2" t="s">
        <v>1223</v>
      </c>
      <c r="E3169" s="7">
        <v>1578922</v>
      </c>
      <c r="F3169" s="5">
        <v>3408730</v>
      </c>
    </row>
    <row r="3170" spans="1:6" ht="20" x14ac:dyDescent="0.25">
      <c r="A3170" s="5">
        <v>3408730</v>
      </c>
      <c r="B3170" s="1">
        <v>2021</v>
      </c>
      <c r="C3170" s="1" t="s">
        <v>1387</v>
      </c>
      <c r="D3170" s="3" t="s">
        <v>1223</v>
      </c>
      <c r="E3170" s="7">
        <v>2049376</v>
      </c>
      <c r="F3170" s="5">
        <v>3408730</v>
      </c>
    </row>
    <row r="3171" spans="1:6" ht="20" x14ac:dyDescent="0.25">
      <c r="A3171" s="5">
        <v>3408730</v>
      </c>
      <c r="B3171" s="1">
        <v>2022</v>
      </c>
      <c r="C3171" s="1" t="s">
        <v>1387</v>
      </c>
      <c r="D3171" s="2" t="s">
        <v>1223</v>
      </c>
      <c r="E3171" s="7">
        <v>2989726</v>
      </c>
      <c r="F3171" s="5">
        <v>3408730</v>
      </c>
    </row>
    <row r="3172" spans="1:6" ht="20" x14ac:dyDescent="0.25">
      <c r="A3172" s="5">
        <v>3408730</v>
      </c>
      <c r="B3172" s="1">
        <v>2023</v>
      </c>
      <c r="C3172" s="1" t="s">
        <v>1387</v>
      </c>
      <c r="D3172" s="2" t="s">
        <v>1223</v>
      </c>
      <c r="E3172" s="7">
        <v>2928971</v>
      </c>
      <c r="F3172" s="5">
        <v>3408730</v>
      </c>
    </row>
    <row r="3173" spans="1:6" x14ac:dyDescent="0.25">
      <c r="A3173" s="5">
        <v>3408760</v>
      </c>
      <c r="B3173" s="1">
        <v>2015</v>
      </c>
      <c r="C3173" s="1" t="s">
        <v>1387</v>
      </c>
      <c r="D3173" s="1" t="s">
        <v>61</v>
      </c>
      <c r="E3173" s="8">
        <v>302827</v>
      </c>
      <c r="F3173" s="5">
        <v>3408760</v>
      </c>
    </row>
    <row r="3174" spans="1:6" x14ac:dyDescent="0.25">
      <c r="A3174" s="5">
        <v>3408760</v>
      </c>
      <c r="B3174" s="1">
        <v>2016</v>
      </c>
      <c r="C3174" s="1" t="s">
        <v>1387</v>
      </c>
      <c r="D3174" s="1" t="s">
        <v>61</v>
      </c>
      <c r="E3174" s="8">
        <v>465561</v>
      </c>
      <c r="F3174" s="5">
        <v>3408760</v>
      </c>
    </row>
    <row r="3175" spans="1:6" x14ac:dyDescent="0.25">
      <c r="A3175" s="5">
        <v>3408760</v>
      </c>
      <c r="B3175" s="1">
        <v>2017</v>
      </c>
      <c r="C3175" s="1" t="s">
        <v>1387</v>
      </c>
      <c r="D3175" s="1" t="s">
        <v>61</v>
      </c>
      <c r="E3175" s="8">
        <v>698872</v>
      </c>
      <c r="F3175" s="5">
        <v>3408760</v>
      </c>
    </row>
    <row r="3176" spans="1:6" x14ac:dyDescent="0.25">
      <c r="A3176" s="5">
        <v>3408760</v>
      </c>
      <c r="B3176" s="1">
        <v>2018</v>
      </c>
      <c r="C3176" s="1" t="s">
        <v>1387</v>
      </c>
      <c r="D3176" s="1" t="s">
        <v>739</v>
      </c>
      <c r="E3176" s="8">
        <v>973625</v>
      </c>
      <c r="F3176" s="5">
        <v>3408760</v>
      </c>
    </row>
    <row r="3177" spans="1:6" x14ac:dyDescent="0.25">
      <c r="A3177" s="5">
        <v>3408760</v>
      </c>
      <c r="B3177" s="1">
        <v>2019</v>
      </c>
      <c r="C3177" s="1" t="s">
        <v>1387</v>
      </c>
      <c r="D3177" s="1" t="s">
        <v>739</v>
      </c>
      <c r="E3177" s="8">
        <v>1288912</v>
      </c>
      <c r="F3177" s="5">
        <v>3408760</v>
      </c>
    </row>
    <row r="3178" spans="1:6" ht="20" x14ac:dyDescent="0.25">
      <c r="A3178" s="5">
        <v>3408760</v>
      </c>
      <c r="B3178" s="1">
        <v>2020</v>
      </c>
      <c r="C3178" s="1" t="s">
        <v>1387</v>
      </c>
      <c r="D3178" s="2" t="s">
        <v>739</v>
      </c>
      <c r="E3178" s="7">
        <v>1420164</v>
      </c>
      <c r="F3178" s="5">
        <v>3408760</v>
      </c>
    </row>
    <row r="3179" spans="1:6" ht="20" x14ac:dyDescent="0.25">
      <c r="A3179" s="5">
        <v>3408760</v>
      </c>
      <c r="B3179" s="1">
        <v>2021</v>
      </c>
      <c r="C3179" s="1" t="s">
        <v>1387</v>
      </c>
      <c r="D3179" s="3" t="s">
        <v>739</v>
      </c>
      <c r="E3179" s="7">
        <v>1764396</v>
      </c>
      <c r="F3179" s="5">
        <v>3408760</v>
      </c>
    </row>
    <row r="3180" spans="1:6" ht="20" x14ac:dyDescent="0.25">
      <c r="A3180" s="5">
        <v>3408760</v>
      </c>
      <c r="B3180" s="1">
        <v>2022</v>
      </c>
      <c r="C3180" s="1" t="s">
        <v>1387</v>
      </c>
      <c r="D3180" s="2" t="s">
        <v>739</v>
      </c>
      <c r="E3180" s="7">
        <v>2601330</v>
      </c>
      <c r="F3180" s="5">
        <v>3408760</v>
      </c>
    </row>
    <row r="3181" spans="1:6" ht="20" x14ac:dyDescent="0.25">
      <c r="A3181" s="5">
        <v>3408760</v>
      </c>
      <c r="B3181" s="1">
        <v>2023</v>
      </c>
      <c r="C3181" s="1" t="s">
        <v>1387</v>
      </c>
      <c r="D3181" s="2" t="s">
        <v>739</v>
      </c>
      <c r="E3181" s="7">
        <v>2640737</v>
      </c>
      <c r="F3181" s="5">
        <v>3408760</v>
      </c>
    </row>
    <row r="3182" spans="1:6" x14ac:dyDescent="0.25">
      <c r="A3182" s="5">
        <v>3408790</v>
      </c>
      <c r="B3182" s="1">
        <v>2015</v>
      </c>
      <c r="C3182" s="1" t="s">
        <v>1387</v>
      </c>
      <c r="D3182" s="1" t="s">
        <v>423</v>
      </c>
      <c r="E3182" s="8">
        <v>311109</v>
      </c>
      <c r="F3182" s="5">
        <v>3408790</v>
      </c>
    </row>
    <row r="3183" spans="1:6" x14ac:dyDescent="0.25">
      <c r="A3183" s="5">
        <v>3408790</v>
      </c>
      <c r="B3183" s="1">
        <v>2016</v>
      </c>
      <c r="C3183" s="1" t="s">
        <v>1387</v>
      </c>
      <c r="D3183" s="1" t="s">
        <v>423</v>
      </c>
      <c r="E3183" s="8">
        <v>480123</v>
      </c>
      <c r="F3183" s="5">
        <v>3408790</v>
      </c>
    </row>
    <row r="3184" spans="1:6" x14ac:dyDescent="0.25">
      <c r="A3184" s="5">
        <v>3408790</v>
      </c>
      <c r="B3184" s="1">
        <v>2017</v>
      </c>
      <c r="C3184" s="1" t="s">
        <v>1387</v>
      </c>
      <c r="D3184" s="1" t="s">
        <v>423</v>
      </c>
      <c r="E3184" s="8">
        <v>678478</v>
      </c>
      <c r="F3184" s="5">
        <v>3408790</v>
      </c>
    </row>
    <row r="3185" spans="1:6" x14ac:dyDescent="0.25">
      <c r="A3185" s="5">
        <v>3408790</v>
      </c>
      <c r="B3185" s="1">
        <v>2018</v>
      </c>
      <c r="C3185" s="1" t="s">
        <v>1387</v>
      </c>
      <c r="D3185" s="1" t="s">
        <v>1115</v>
      </c>
      <c r="E3185" s="8">
        <v>947712</v>
      </c>
      <c r="F3185" s="5">
        <v>3408790</v>
      </c>
    </row>
    <row r="3186" spans="1:6" x14ac:dyDescent="0.25">
      <c r="A3186" s="5">
        <v>3408790</v>
      </c>
      <c r="B3186" s="1">
        <v>2019</v>
      </c>
      <c r="C3186" s="1" t="s">
        <v>1387</v>
      </c>
      <c r="D3186" s="1" t="s">
        <v>1115</v>
      </c>
      <c r="E3186" s="8">
        <v>1307666</v>
      </c>
      <c r="F3186" s="5">
        <v>3408790</v>
      </c>
    </row>
    <row r="3187" spans="1:6" ht="20" x14ac:dyDescent="0.25">
      <c r="A3187" s="5">
        <v>3408790</v>
      </c>
      <c r="B3187" s="1">
        <v>2020</v>
      </c>
      <c r="C3187" s="1" t="s">
        <v>1387</v>
      </c>
      <c r="D3187" s="2" t="s">
        <v>1115</v>
      </c>
      <c r="E3187" s="7">
        <v>1449814</v>
      </c>
      <c r="F3187" s="5">
        <v>3408790</v>
      </c>
    </row>
    <row r="3188" spans="1:6" ht="20" x14ac:dyDescent="0.25">
      <c r="A3188" s="5">
        <v>3408790</v>
      </c>
      <c r="B3188" s="1">
        <v>2021</v>
      </c>
      <c r="C3188" s="1" t="s">
        <v>1387</v>
      </c>
      <c r="D3188" s="3" t="s">
        <v>1115</v>
      </c>
      <c r="E3188" s="7">
        <v>1788409</v>
      </c>
      <c r="F3188" s="5">
        <v>3408790</v>
      </c>
    </row>
    <row r="3189" spans="1:6" ht="20" x14ac:dyDescent="0.25">
      <c r="A3189" s="5">
        <v>3408790</v>
      </c>
      <c r="B3189" s="1">
        <v>2022</v>
      </c>
      <c r="C3189" s="1" t="s">
        <v>1387</v>
      </c>
      <c r="D3189" s="2" t="s">
        <v>1115</v>
      </c>
      <c r="E3189" s="7">
        <v>2564863</v>
      </c>
      <c r="F3189" s="5">
        <v>3408790</v>
      </c>
    </row>
    <row r="3190" spans="1:6" ht="20" x14ac:dyDescent="0.25">
      <c r="A3190" s="5">
        <v>3408790</v>
      </c>
      <c r="B3190" s="1">
        <v>2023</v>
      </c>
      <c r="C3190" s="1" t="s">
        <v>1387</v>
      </c>
      <c r="D3190" s="2" t="s">
        <v>1115</v>
      </c>
      <c r="E3190" s="7">
        <v>2384378</v>
      </c>
      <c r="F3190" s="5">
        <v>3408790</v>
      </c>
    </row>
    <row r="3191" spans="1:6" x14ac:dyDescent="0.25">
      <c r="A3191" s="5">
        <v>3408820</v>
      </c>
      <c r="B3191" s="1">
        <v>2015</v>
      </c>
      <c r="C3191" s="1" t="s">
        <v>1387</v>
      </c>
      <c r="D3191" s="1" t="s">
        <v>246</v>
      </c>
      <c r="E3191" s="8">
        <v>2460270</v>
      </c>
      <c r="F3191" s="5">
        <v>3408820</v>
      </c>
    </row>
    <row r="3192" spans="1:6" x14ac:dyDescent="0.25">
      <c r="A3192" s="5">
        <v>3408820</v>
      </c>
      <c r="B3192" s="1">
        <v>2016</v>
      </c>
      <c r="C3192" s="1" t="s">
        <v>1387</v>
      </c>
      <c r="D3192" s="1" t="s">
        <v>246</v>
      </c>
      <c r="E3192" s="8">
        <v>3621272</v>
      </c>
      <c r="F3192" s="5">
        <v>3408820</v>
      </c>
    </row>
    <row r="3193" spans="1:6" x14ac:dyDescent="0.25">
      <c r="A3193" s="5">
        <v>3408820</v>
      </c>
      <c r="B3193" s="1">
        <v>2017</v>
      </c>
      <c r="C3193" s="1" t="s">
        <v>1387</v>
      </c>
      <c r="D3193" s="1" t="s">
        <v>246</v>
      </c>
      <c r="E3193" s="8">
        <v>5278293</v>
      </c>
      <c r="F3193" s="5">
        <v>3408820</v>
      </c>
    </row>
    <row r="3194" spans="1:6" x14ac:dyDescent="0.25">
      <c r="A3194" s="5">
        <v>3408820</v>
      </c>
      <c r="B3194" s="1">
        <v>2018</v>
      </c>
      <c r="C3194" s="1" t="s">
        <v>1387</v>
      </c>
      <c r="D3194" s="1" t="s">
        <v>933</v>
      </c>
      <c r="E3194" s="8">
        <v>7296627</v>
      </c>
      <c r="F3194" s="5">
        <v>3408820</v>
      </c>
    </row>
    <row r="3195" spans="1:6" x14ac:dyDescent="0.25">
      <c r="A3195" s="5">
        <v>3408820</v>
      </c>
      <c r="B3195" s="1">
        <v>2019</v>
      </c>
      <c r="C3195" s="1" t="s">
        <v>1387</v>
      </c>
      <c r="D3195" s="1" t="s">
        <v>933</v>
      </c>
      <c r="E3195" s="8">
        <v>9899564</v>
      </c>
      <c r="F3195" s="5">
        <v>3408820</v>
      </c>
    </row>
    <row r="3196" spans="1:6" ht="20" x14ac:dyDescent="0.25">
      <c r="A3196" s="5">
        <v>3408820</v>
      </c>
      <c r="B3196" s="1">
        <v>2020</v>
      </c>
      <c r="C3196" s="1" t="s">
        <v>1387</v>
      </c>
      <c r="D3196" s="2" t="s">
        <v>933</v>
      </c>
      <c r="E3196" s="7">
        <v>11217501</v>
      </c>
      <c r="F3196" s="5">
        <v>3408820</v>
      </c>
    </row>
    <row r="3197" spans="1:6" ht="20" x14ac:dyDescent="0.25">
      <c r="A3197" s="5">
        <v>3408820</v>
      </c>
      <c r="B3197" s="1">
        <v>2021</v>
      </c>
      <c r="C3197" s="1" t="s">
        <v>1387</v>
      </c>
      <c r="D3197" s="3" t="s">
        <v>933</v>
      </c>
      <c r="E3197" s="7">
        <v>14289613</v>
      </c>
      <c r="F3197" s="5">
        <v>3408820</v>
      </c>
    </row>
    <row r="3198" spans="1:6" ht="20" x14ac:dyDescent="0.25">
      <c r="A3198" s="5">
        <v>3408820</v>
      </c>
      <c r="B3198" s="1">
        <v>2022</v>
      </c>
      <c r="C3198" s="1" t="s">
        <v>1387</v>
      </c>
      <c r="D3198" s="2" t="s">
        <v>933</v>
      </c>
      <c r="E3198" s="7">
        <v>20297113</v>
      </c>
      <c r="F3198" s="5">
        <v>3408820</v>
      </c>
    </row>
    <row r="3199" spans="1:6" ht="20" x14ac:dyDescent="0.25">
      <c r="A3199" s="5">
        <v>3408820</v>
      </c>
      <c r="B3199" s="1">
        <v>2023</v>
      </c>
      <c r="C3199" s="1" t="s">
        <v>1387</v>
      </c>
      <c r="D3199" s="2" t="s">
        <v>933</v>
      </c>
      <c r="E3199" s="7">
        <v>20580707</v>
      </c>
      <c r="F3199" s="5">
        <v>3408820</v>
      </c>
    </row>
    <row r="3200" spans="1:6" x14ac:dyDescent="0.25">
      <c r="A3200" s="5">
        <v>3408850</v>
      </c>
      <c r="B3200" s="1">
        <v>2015</v>
      </c>
      <c r="C3200" s="1" t="s">
        <v>1387</v>
      </c>
      <c r="D3200" s="1" t="s">
        <v>62</v>
      </c>
      <c r="E3200" s="8">
        <v>1083259</v>
      </c>
      <c r="F3200" s="5">
        <v>3408850</v>
      </c>
    </row>
    <row r="3201" spans="1:6" x14ac:dyDescent="0.25">
      <c r="A3201" s="5">
        <v>3408850</v>
      </c>
      <c r="B3201" s="1">
        <v>2016</v>
      </c>
      <c r="C3201" s="1" t="s">
        <v>1387</v>
      </c>
      <c r="D3201" s="1" t="s">
        <v>62</v>
      </c>
      <c r="E3201" s="8">
        <v>1626320</v>
      </c>
      <c r="F3201" s="5">
        <v>3408850</v>
      </c>
    </row>
    <row r="3202" spans="1:6" x14ac:dyDescent="0.25">
      <c r="A3202" s="5">
        <v>3408850</v>
      </c>
      <c r="B3202" s="1">
        <v>2017</v>
      </c>
      <c r="C3202" s="1" t="s">
        <v>1387</v>
      </c>
      <c r="D3202" s="1" t="s">
        <v>62</v>
      </c>
      <c r="E3202" s="8">
        <v>2302601</v>
      </c>
      <c r="F3202" s="5">
        <v>3408850</v>
      </c>
    </row>
    <row r="3203" spans="1:6" x14ac:dyDescent="0.25">
      <c r="A3203" s="5">
        <v>3408850</v>
      </c>
      <c r="B3203" s="1">
        <v>2018</v>
      </c>
      <c r="C3203" s="1" t="s">
        <v>1387</v>
      </c>
      <c r="D3203" s="1" t="s">
        <v>740</v>
      </c>
      <c r="E3203" s="8">
        <v>3018411</v>
      </c>
      <c r="F3203" s="5">
        <v>3408850</v>
      </c>
    </row>
    <row r="3204" spans="1:6" x14ac:dyDescent="0.25">
      <c r="A3204" s="5">
        <v>3408850</v>
      </c>
      <c r="B3204" s="1">
        <v>2019</v>
      </c>
      <c r="C3204" s="1" t="s">
        <v>1387</v>
      </c>
      <c r="D3204" s="1" t="s">
        <v>740</v>
      </c>
      <c r="E3204" s="8">
        <v>3821441</v>
      </c>
      <c r="F3204" s="5">
        <v>3408850</v>
      </c>
    </row>
    <row r="3205" spans="1:6" ht="20" x14ac:dyDescent="0.25">
      <c r="A3205" s="5">
        <v>3408850</v>
      </c>
      <c r="B3205" s="1">
        <v>2020</v>
      </c>
      <c r="C3205" s="1" t="s">
        <v>1387</v>
      </c>
      <c r="D3205" s="2" t="s">
        <v>740</v>
      </c>
      <c r="E3205" s="7">
        <v>4355389</v>
      </c>
      <c r="F3205" s="5">
        <v>3408850</v>
      </c>
    </row>
    <row r="3206" spans="1:6" ht="20" x14ac:dyDescent="0.25">
      <c r="A3206" s="5">
        <v>3408850</v>
      </c>
      <c r="B3206" s="1">
        <v>2021</v>
      </c>
      <c r="C3206" s="1" t="s">
        <v>1387</v>
      </c>
      <c r="D3206" s="3" t="s">
        <v>740</v>
      </c>
      <c r="E3206" s="7">
        <v>5624487</v>
      </c>
      <c r="F3206" s="5">
        <v>3408850</v>
      </c>
    </row>
    <row r="3207" spans="1:6" ht="20" x14ac:dyDescent="0.25">
      <c r="A3207" s="5">
        <v>3408850</v>
      </c>
      <c r="B3207" s="1">
        <v>2022</v>
      </c>
      <c r="C3207" s="1" t="s">
        <v>1387</v>
      </c>
      <c r="D3207" s="2" t="s">
        <v>740</v>
      </c>
      <c r="E3207" s="7">
        <v>7998986</v>
      </c>
      <c r="F3207" s="5">
        <v>3408850</v>
      </c>
    </row>
    <row r="3208" spans="1:6" ht="20" x14ac:dyDescent="0.25">
      <c r="A3208" s="5">
        <v>3408850</v>
      </c>
      <c r="B3208" s="1">
        <v>2023</v>
      </c>
      <c r="C3208" s="1" t="s">
        <v>1387</v>
      </c>
      <c r="D3208" s="2" t="s">
        <v>740</v>
      </c>
      <c r="E3208" s="7">
        <v>7874105</v>
      </c>
      <c r="F3208" s="5">
        <v>3408850</v>
      </c>
    </row>
    <row r="3209" spans="1:6" x14ac:dyDescent="0.25">
      <c r="A3209" s="5">
        <v>3408880</v>
      </c>
      <c r="B3209" s="1">
        <v>2015</v>
      </c>
      <c r="C3209" s="1" t="s">
        <v>1387</v>
      </c>
      <c r="D3209" s="1" t="s">
        <v>287</v>
      </c>
      <c r="E3209" s="8">
        <v>327352</v>
      </c>
      <c r="F3209" s="5">
        <v>3408880</v>
      </c>
    </row>
    <row r="3210" spans="1:6" x14ac:dyDescent="0.25">
      <c r="A3210" s="5">
        <v>3408880</v>
      </c>
      <c r="B3210" s="1">
        <v>2016</v>
      </c>
      <c r="C3210" s="1" t="s">
        <v>1387</v>
      </c>
      <c r="D3210" s="1" t="s">
        <v>287</v>
      </c>
      <c r="E3210" s="8">
        <v>464551</v>
      </c>
      <c r="F3210" s="5">
        <v>3408880</v>
      </c>
    </row>
    <row r="3211" spans="1:6" x14ac:dyDescent="0.25">
      <c r="A3211" s="5">
        <v>3408880</v>
      </c>
      <c r="B3211" s="1">
        <v>2017</v>
      </c>
      <c r="C3211" s="1" t="s">
        <v>1387</v>
      </c>
      <c r="D3211" s="1" t="s">
        <v>287</v>
      </c>
      <c r="E3211" s="8">
        <v>688116</v>
      </c>
      <c r="F3211" s="5">
        <v>3408880</v>
      </c>
    </row>
    <row r="3212" spans="1:6" x14ac:dyDescent="0.25">
      <c r="A3212" s="5">
        <v>3408880</v>
      </c>
      <c r="B3212" s="1">
        <v>2018</v>
      </c>
      <c r="C3212" s="1" t="s">
        <v>1387</v>
      </c>
      <c r="D3212" s="1" t="s">
        <v>977</v>
      </c>
      <c r="E3212" s="8">
        <v>979904</v>
      </c>
      <c r="F3212" s="5">
        <v>3408880</v>
      </c>
    </row>
    <row r="3213" spans="1:6" x14ac:dyDescent="0.25">
      <c r="A3213" s="5">
        <v>3408880</v>
      </c>
      <c r="B3213" s="1">
        <v>2019</v>
      </c>
      <c r="C3213" s="1" t="s">
        <v>1387</v>
      </c>
      <c r="D3213" s="1" t="s">
        <v>977</v>
      </c>
      <c r="E3213" s="8">
        <v>1327109</v>
      </c>
      <c r="F3213" s="5">
        <v>3408880</v>
      </c>
    </row>
    <row r="3214" spans="1:6" ht="20" x14ac:dyDescent="0.25">
      <c r="A3214" s="5">
        <v>3408880</v>
      </c>
      <c r="B3214" s="1">
        <v>2020</v>
      </c>
      <c r="C3214" s="1" t="s">
        <v>1387</v>
      </c>
      <c r="D3214" s="2" t="s">
        <v>977</v>
      </c>
      <c r="E3214" s="7">
        <v>1476717</v>
      </c>
      <c r="F3214" s="5">
        <v>3408880</v>
      </c>
    </row>
    <row r="3215" spans="1:6" ht="20" x14ac:dyDescent="0.25">
      <c r="A3215" s="5">
        <v>3408880</v>
      </c>
      <c r="B3215" s="1">
        <v>2021</v>
      </c>
      <c r="C3215" s="1" t="s">
        <v>1387</v>
      </c>
      <c r="D3215" s="3" t="s">
        <v>977</v>
      </c>
      <c r="E3215" s="7">
        <v>1985532</v>
      </c>
      <c r="F3215" s="5">
        <v>3408880</v>
      </c>
    </row>
    <row r="3216" spans="1:6" ht="20" x14ac:dyDescent="0.25">
      <c r="A3216" s="5">
        <v>3408880</v>
      </c>
      <c r="B3216" s="1">
        <v>2022</v>
      </c>
      <c r="C3216" s="1" t="s">
        <v>1387</v>
      </c>
      <c r="D3216" s="2" t="s">
        <v>977</v>
      </c>
      <c r="E3216" s="7">
        <v>2715087</v>
      </c>
      <c r="F3216" s="5">
        <v>3408880</v>
      </c>
    </row>
    <row r="3217" spans="1:6" ht="20" x14ac:dyDescent="0.25">
      <c r="A3217" s="5">
        <v>3408880</v>
      </c>
      <c r="B3217" s="1">
        <v>2023</v>
      </c>
      <c r="C3217" s="1" t="s">
        <v>1387</v>
      </c>
      <c r="D3217" s="2" t="s">
        <v>977</v>
      </c>
      <c r="E3217" s="7">
        <v>2566998</v>
      </c>
      <c r="F3217" s="5">
        <v>3408880</v>
      </c>
    </row>
    <row r="3218" spans="1:6" x14ac:dyDescent="0.25">
      <c r="A3218" s="5">
        <v>3408910</v>
      </c>
      <c r="B3218" s="1">
        <v>2015</v>
      </c>
      <c r="C3218" s="1" t="s">
        <v>1387</v>
      </c>
      <c r="D3218" s="1" t="s">
        <v>508</v>
      </c>
      <c r="E3218" s="8">
        <v>129753</v>
      </c>
      <c r="F3218" s="5">
        <v>3408910</v>
      </c>
    </row>
    <row r="3219" spans="1:6" x14ac:dyDescent="0.25">
      <c r="A3219" s="5">
        <v>3408910</v>
      </c>
      <c r="B3219" s="1">
        <v>2016</v>
      </c>
      <c r="C3219" s="1" t="s">
        <v>1387</v>
      </c>
      <c r="D3219" s="1" t="s">
        <v>508</v>
      </c>
      <c r="E3219" s="8">
        <v>177831</v>
      </c>
      <c r="F3219" s="5">
        <v>3408910</v>
      </c>
    </row>
    <row r="3220" spans="1:6" x14ac:dyDescent="0.25">
      <c r="A3220" s="5">
        <v>3408910</v>
      </c>
      <c r="B3220" s="1">
        <v>2017</v>
      </c>
      <c r="C3220" s="1" t="s">
        <v>1387</v>
      </c>
      <c r="D3220" s="1" t="s">
        <v>508</v>
      </c>
      <c r="E3220" s="8">
        <v>281106</v>
      </c>
      <c r="F3220" s="5">
        <v>3408910</v>
      </c>
    </row>
    <row r="3221" spans="1:6" x14ac:dyDescent="0.25">
      <c r="A3221" s="5">
        <v>3408910</v>
      </c>
      <c r="B3221" s="1">
        <v>2018</v>
      </c>
      <c r="C3221" s="1" t="s">
        <v>1387</v>
      </c>
      <c r="D3221" s="1" t="s">
        <v>1200</v>
      </c>
      <c r="E3221" s="8">
        <v>375222</v>
      </c>
      <c r="F3221" s="5">
        <v>3408910</v>
      </c>
    </row>
    <row r="3222" spans="1:6" x14ac:dyDescent="0.25">
      <c r="A3222" s="5">
        <v>3408910</v>
      </c>
      <c r="B3222" s="1">
        <v>2019</v>
      </c>
      <c r="C3222" s="1" t="s">
        <v>1387</v>
      </c>
      <c r="D3222" s="1" t="s">
        <v>1200</v>
      </c>
      <c r="E3222" s="8">
        <v>510759</v>
      </c>
      <c r="F3222" s="5">
        <v>3408910</v>
      </c>
    </row>
    <row r="3223" spans="1:6" ht="20" x14ac:dyDescent="0.25">
      <c r="A3223" s="5">
        <v>3408910</v>
      </c>
      <c r="B3223" s="1">
        <v>2020</v>
      </c>
      <c r="C3223" s="1" t="s">
        <v>1387</v>
      </c>
      <c r="D3223" s="2" t="s">
        <v>1200</v>
      </c>
      <c r="E3223" s="7">
        <v>584144</v>
      </c>
      <c r="F3223" s="5">
        <v>3408910</v>
      </c>
    </row>
    <row r="3224" spans="1:6" ht="20" x14ac:dyDescent="0.25">
      <c r="A3224" s="5">
        <v>3408910</v>
      </c>
      <c r="B3224" s="1">
        <v>2021</v>
      </c>
      <c r="C3224" s="1" t="s">
        <v>1387</v>
      </c>
      <c r="D3224" s="3" t="s">
        <v>1200</v>
      </c>
      <c r="E3224" s="7">
        <v>738458</v>
      </c>
      <c r="F3224" s="5">
        <v>3408910</v>
      </c>
    </row>
    <row r="3225" spans="1:6" ht="20" x14ac:dyDescent="0.25">
      <c r="A3225" s="5">
        <v>3408910</v>
      </c>
      <c r="B3225" s="1">
        <v>2022</v>
      </c>
      <c r="C3225" s="1" t="s">
        <v>1387</v>
      </c>
      <c r="D3225" s="2" t="s">
        <v>1200</v>
      </c>
      <c r="E3225" s="7">
        <v>1023347</v>
      </c>
      <c r="F3225" s="5">
        <v>3408910</v>
      </c>
    </row>
    <row r="3226" spans="1:6" ht="20" x14ac:dyDescent="0.25">
      <c r="A3226" s="5">
        <v>3408910</v>
      </c>
      <c r="B3226" s="1">
        <v>2023</v>
      </c>
      <c r="C3226" s="1" t="s">
        <v>1387</v>
      </c>
      <c r="D3226" s="2" t="s">
        <v>1200</v>
      </c>
      <c r="E3226" s="7">
        <v>1036143</v>
      </c>
      <c r="F3226" s="5">
        <v>3408910</v>
      </c>
    </row>
    <row r="3227" spans="1:6" x14ac:dyDescent="0.25">
      <c r="A3227" s="5">
        <v>3408940</v>
      </c>
      <c r="B3227" s="1">
        <v>2015</v>
      </c>
      <c r="C3227" s="1" t="s">
        <v>1387</v>
      </c>
      <c r="D3227" s="1" t="s">
        <v>424</v>
      </c>
      <c r="E3227" s="8">
        <v>2076271</v>
      </c>
      <c r="F3227" s="5">
        <v>3408940</v>
      </c>
    </row>
    <row r="3228" spans="1:6" x14ac:dyDescent="0.25">
      <c r="A3228" s="5">
        <v>3408940</v>
      </c>
      <c r="B3228" s="1">
        <v>2016</v>
      </c>
      <c r="C3228" s="1" t="s">
        <v>1387</v>
      </c>
      <c r="D3228" s="1" t="s">
        <v>424</v>
      </c>
      <c r="E3228" s="8">
        <v>3028729</v>
      </c>
      <c r="F3228" s="5">
        <v>3408940</v>
      </c>
    </row>
    <row r="3229" spans="1:6" x14ac:dyDescent="0.25">
      <c r="A3229" s="5">
        <v>3408940</v>
      </c>
      <c r="B3229" s="1">
        <v>2017</v>
      </c>
      <c r="C3229" s="1" t="s">
        <v>1387</v>
      </c>
      <c r="D3229" s="1" t="s">
        <v>424</v>
      </c>
      <c r="E3229" s="8">
        <v>4289496</v>
      </c>
      <c r="F3229" s="5">
        <v>3408940</v>
      </c>
    </row>
    <row r="3230" spans="1:6" x14ac:dyDescent="0.25">
      <c r="A3230" s="5">
        <v>3408940</v>
      </c>
      <c r="B3230" s="1">
        <v>2018</v>
      </c>
      <c r="C3230" s="1" t="s">
        <v>1387</v>
      </c>
      <c r="D3230" s="1" t="s">
        <v>1116</v>
      </c>
      <c r="E3230" s="8">
        <v>5761666</v>
      </c>
      <c r="F3230" s="5">
        <v>3408940</v>
      </c>
    </row>
    <row r="3231" spans="1:6" x14ac:dyDescent="0.25">
      <c r="A3231" s="5">
        <v>3408940</v>
      </c>
      <c r="B3231" s="1">
        <v>2019</v>
      </c>
      <c r="C3231" s="1" t="s">
        <v>1387</v>
      </c>
      <c r="D3231" s="1" t="s">
        <v>1116</v>
      </c>
      <c r="E3231" s="8">
        <v>7649959</v>
      </c>
      <c r="F3231" s="5">
        <v>3408940</v>
      </c>
    </row>
    <row r="3232" spans="1:6" ht="20" x14ac:dyDescent="0.25">
      <c r="A3232" s="5">
        <v>3408940</v>
      </c>
      <c r="B3232" s="1">
        <v>2020</v>
      </c>
      <c r="C3232" s="1" t="s">
        <v>1387</v>
      </c>
      <c r="D3232" s="2" t="s">
        <v>1116</v>
      </c>
      <c r="E3232" s="7">
        <v>8621757</v>
      </c>
      <c r="F3232" s="5">
        <v>3408940</v>
      </c>
    </row>
    <row r="3233" spans="1:6" ht="20" x14ac:dyDescent="0.25">
      <c r="A3233" s="5">
        <v>3408940</v>
      </c>
      <c r="B3233" s="1">
        <v>2021</v>
      </c>
      <c r="C3233" s="1" t="s">
        <v>1387</v>
      </c>
      <c r="D3233" s="3" t="s">
        <v>1116</v>
      </c>
      <c r="E3233" s="7">
        <v>10985630</v>
      </c>
      <c r="F3233" s="5">
        <v>3408940</v>
      </c>
    </row>
    <row r="3234" spans="1:6" ht="20" x14ac:dyDescent="0.25">
      <c r="A3234" s="5">
        <v>3408940</v>
      </c>
      <c r="B3234" s="1">
        <v>2022</v>
      </c>
      <c r="C3234" s="1" t="s">
        <v>1387</v>
      </c>
      <c r="D3234" s="2" t="s">
        <v>1116</v>
      </c>
      <c r="E3234" s="7">
        <v>15887860</v>
      </c>
      <c r="F3234" s="5">
        <v>3408940</v>
      </c>
    </row>
    <row r="3235" spans="1:6" ht="20" x14ac:dyDescent="0.25">
      <c r="A3235" s="5">
        <v>3408940</v>
      </c>
      <c r="B3235" s="1">
        <v>2023</v>
      </c>
      <c r="C3235" s="1" t="s">
        <v>1387</v>
      </c>
      <c r="D3235" s="2" t="s">
        <v>1116</v>
      </c>
      <c r="E3235" s="7">
        <v>16092023</v>
      </c>
      <c r="F3235" s="5">
        <v>3408940</v>
      </c>
    </row>
    <row r="3236" spans="1:6" x14ac:dyDescent="0.25">
      <c r="A3236" s="5">
        <v>3409000</v>
      </c>
      <c r="B3236" s="1">
        <v>2015</v>
      </c>
      <c r="C3236" s="1" t="s">
        <v>1387</v>
      </c>
      <c r="D3236" s="1" t="s">
        <v>649</v>
      </c>
      <c r="E3236" s="8">
        <v>296120</v>
      </c>
      <c r="F3236" s="5">
        <v>3409000</v>
      </c>
    </row>
    <row r="3237" spans="1:6" x14ac:dyDescent="0.25">
      <c r="A3237" s="5">
        <v>3409000</v>
      </c>
      <c r="B3237" s="1">
        <v>2016</v>
      </c>
      <c r="C3237" s="1" t="s">
        <v>1387</v>
      </c>
      <c r="D3237" s="1" t="s">
        <v>649</v>
      </c>
      <c r="E3237" s="8">
        <v>449584</v>
      </c>
      <c r="F3237" s="5">
        <v>3409000</v>
      </c>
    </row>
    <row r="3238" spans="1:6" x14ac:dyDescent="0.25">
      <c r="A3238" s="5">
        <v>3409000</v>
      </c>
      <c r="B3238" s="1">
        <v>2017</v>
      </c>
      <c r="C3238" s="1" t="s">
        <v>1387</v>
      </c>
      <c r="D3238" s="1" t="s">
        <v>649</v>
      </c>
      <c r="E3238" s="8">
        <v>582309</v>
      </c>
      <c r="F3238" s="5">
        <v>3409000</v>
      </c>
    </row>
    <row r="3239" spans="1:6" x14ac:dyDescent="0.25">
      <c r="A3239" s="5">
        <v>3409000</v>
      </c>
      <c r="B3239" s="1">
        <v>2018</v>
      </c>
      <c r="C3239" s="1" t="s">
        <v>1387</v>
      </c>
      <c r="D3239" s="1" t="s">
        <v>1342</v>
      </c>
      <c r="E3239" s="8">
        <v>709638</v>
      </c>
      <c r="F3239" s="5">
        <v>3409000</v>
      </c>
    </row>
    <row r="3240" spans="1:6" x14ac:dyDescent="0.25">
      <c r="A3240" s="5">
        <v>3409000</v>
      </c>
      <c r="B3240" s="1">
        <v>2019</v>
      </c>
      <c r="C3240" s="1" t="s">
        <v>1387</v>
      </c>
      <c r="D3240" s="1" t="s">
        <v>1342</v>
      </c>
      <c r="E3240" s="8">
        <v>847824</v>
      </c>
      <c r="F3240" s="5">
        <v>3409000</v>
      </c>
    </row>
    <row r="3241" spans="1:6" ht="20" x14ac:dyDescent="0.25">
      <c r="A3241" s="5">
        <v>3409000</v>
      </c>
      <c r="B3241" s="1">
        <v>2020</v>
      </c>
      <c r="C3241" s="1" t="s">
        <v>1387</v>
      </c>
      <c r="D3241" s="2" t="s">
        <v>1342</v>
      </c>
      <c r="E3241" s="7">
        <v>954009</v>
      </c>
      <c r="F3241" s="5">
        <v>3409000</v>
      </c>
    </row>
    <row r="3242" spans="1:6" ht="20" x14ac:dyDescent="0.25">
      <c r="A3242" s="5">
        <v>3409000</v>
      </c>
      <c r="B3242" s="1">
        <v>2021</v>
      </c>
      <c r="C3242" s="1" t="s">
        <v>1387</v>
      </c>
      <c r="D3242" s="3" t="s">
        <v>1342</v>
      </c>
      <c r="E3242" s="7">
        <v>1310510</v>
      </c>
      <c r="F3242" s="5">
        <v>3409000</v>
      </c>
    </row>
    <row r="3243" spans="1:6" ht="20" x14ac:dyDescent="0.25">
      <c r="A3243" s="5">
        <v>3409000</v>
      </c>
      <c r="B3243" s="1">
        <v>2022</v>
      </c>
      <c r="C3243" s="1" t="s">
        <v>1387</v>
      </c>
      <c r="D3243" s="2" t="s">
        <v>1342</v>
      </c>
      <c r="E3243" s="7">
        <v>1731611</v>
      </c>
      <c r="F3243" s="5">
        <v>3409000</v>
      </c>
    </row>
    <row r="3244" spans="1:6" ht="20" x14ac:dyDescent="0.25">
      <c r="A3244" s="5">
        <v>3409000</v>
      </c>
      <c r="B3244" s="1">
        <v>2023</v>
      </c>
      <c r="C3244" s="1" t="s">
        <v>1387</v>
      </c>
      <c r="D3244" s="2" t="s">
        <v>1342</v>
      </c>
      <c r="E3244" s="7">
        <v>1773588</v>
      </c>
      <c r="F3244" s="5">
        <v>3409000</v>
      </c>
    </row>
    <row r="3245" spans="1:6" x14ac:dyDescent="0.25">
      <c r="A3245" s="5">
        <v>3409030</v>
      </c>
      <c r="B3245" s="1">
        <v>2015</v>
      </c>
      <c r="C3245" s="1" t="s">
        <v>1387</v>
      </c>
      <c r="D3245" s="1" t="s">
        <v>551</v>
      </c>
      <c r="E3245" s="8">
        <v>75493</v>
      </c>
      <c r="F3245" s="5">
        <v>3409030</v>
      </c>
    </row>
    <row r="3246" spans="1:6" x14ac:dyDescent="0.25">
      <c r="A3246" s="5">
        <v>3409030</v>
      </c>
      <c r="B3246" s="1">
        <v>2016</v>
      </c>
      <c r="C3246" s="1" t="s">
        <v>1387</v>
      </c>
      <c r="D3246" s="1" t="s">
        <v>551</v>
      </c>
      <c r="E3246" s="8">
        <v>118534</v>
      </c>
      <c r="F3246" s="5">
        <v>3409030</v>
      </c>
    </row>
    <row r="3247" spans="1:6" x14ac:dyDescent="0.25">
      <c r="A3247" s="5">
        <v>3409030</v>
      </c>
      <c r="B3247" s="1">
        <v>2017</v>
      </c>
      <c r="C3247" s="1" t="s">
        <v>1387</v>
      </c>
      <c r="D3247" s="1" t="s">
        <v>551</v>
      </c>
      <c r="E3247" s="8">
        <v>159798</v>
      </c>
      <c r="F3247" s="5">
        <v>3409030</v>
      </c>
    </row>
    <row r="3248" spans="1:6" x14ac:dyDescent="0.25">
      <c r="A3248" s="5">
        <v>3409030</v>
      </c>
      <c r="B3248" s="1">
        <v>2018</v>
      </c>
      <c r="C3248" s="1" t="s">
        <v>1387</v>
      </c>
      <c r="D3248" s="1" t="s">
        <v>1243</v>
      </c>
      <c r="E3248" s="8">
        <v>217692</v>
      </c>
      <c r="F3248" s="5">
        <v>3409030</v>
      </c>
    </row>
    <row r="3249" spans="1:6" x14ac:dyDescent="0.25">
      <c r="A3249" s="5">
        <v>3409030</v>
      </c>
      <c r="B3249" s="1">
        <v>2019</v>
      </c>
      <c r="C3249" s="1" t="s">
        <v>1387</v>
      </c>
      <c r="D3249" s="1" t="s">
        <v>1243</v>
      </c>
      <c r="E3249" s="8">
        <v>287577</v>
      </c>
      <c r="F3249" s="5">
        <v>3409030</v>
      </c>
    </row>
    <row r="3250" spans="1:6" ht="20" x14ac:dyDescent="0.25">
      <c r="A3250" s="5">
        <v>3409030</v>
      </c>
      <c r="B3250" s="1">
        <v>2020</v>
      </c>
      <c r="C3250" s="1" t="s">
        <v>1387</v>
      </c>
      <c r="D3250" s="2" t="s">
        <v>1243</v>
      </c>
      <c r="E3250" s="7">
        <v>296937</v>
      </c>
      <c r="F3250" s="5">
        <v>3409030</v>
      </c>
    </row>
    <row r="3251" spans="1:6" ht="20" x14ac:dyDescent="0.25">
      <c r="A3251" s="5">
        <v>3409030</v>
      </c>
      <c r="B3251" s="1">
        <v>2021</v>
      </c>
      <c r="C3251" s="1" t="s">
        <v>1387</v>
      </c>
      <c r="D3251" s="3" t="s">
        <v>1243</v>
      </c>
      <c r="E3251" s="7">
        <v>382070</v>
      </c>
      <c r="F3251" s="5">
        <v>3409030</v>
      </c>
    </row>
    <row r="3252" spans="1:6" ht="20" x14ac:dyDescent="0.25">
      <c r="A3252" s="5">
        <v>3409030</v>
      </c>
      <c r="B3252" s="1">
        <v>2022</v>
      </c>
      <c r="C3252" s="1" t="s">
        <v>1387</v>
      </c>
      <c r="D3252" s="2" t="s">
        <v>1243</v>
      </c>
      <c r="E3252" s="7">
        <v>571540</v>
      </c>
      <c r="F3252" s="5">
        <v>3409030</v>
      </c>
    </row>
    <row r="3253" spans="1:6" ht="20" x14ac:dyDescent="0.25">
      <c r="A3253" s="5">
        <v>3409030</v>
      </c>
      <c r="B3253" s="1">
        <v>2023</v>
      </c>
      <c r="C3253" s="1" t="s">
        <v>1387</v>
      </c>
      <c r="D3253" s="2" t="s">
        <v>1243</v>
      </c>
      <c r="E3253" s="7">
        <v>503338</v>
      </c>
      <c r="F3253" s="5">
        <v>3409030</v>
      </c>
    </row>
    <row r="3254" spans="1:6" x14ac:dyDescent="0.25">
      <c r="A3254" s="5">
        <v>3409090</v>
      </c>
      <c r="B3254" s="1">
        <v>2015</v>
      </c>
      <c r="C3254" s="1" t="s">
        <v>1387</v>
      </c>
      <c r="D3254" s="1" t="s">
        <v>201</v>
      </c>
      <c r="E3254" s="8">
        <v>612682</v>
      </c>
      <c r="F3254" s="5">
        <v>3409090</v>
      </c>
    </row>
    <row r="3255" spans="1:6" x14ac:dyDescent="0.25">
      <c r="A3255" s="5">
        <v>3409090</v>
      </c>
      <c r="B3255" s="1">
        <v>2016</v>
      </c>
      <c r="C3255" s="1" t="s">
        <v>1387</v>
      </c>
      <c r="D3255" s="1" t="s">
        <v>201</v>
      </c>
      <c r="E3255" s="8">
        <v>924720</v>
      </c>
      <c r="F3255" s="5">
        <v>3409090</v>
      </c>
    </row>
    <row r="3256" spans="1:6" x14ac:dyDescent="0.25">
      <c r="A3256" s="5">
        <v>3409090</v>
      </c>
      <c r="B3256" s="1">
        <v>2017</v>
      </c>
      <c r="C3256" s="1" t="s">
        <v>1387</v>
      </c>
      <c r="D3256" s="1" t="s">
        <v>201</v>
      </c>
      <c r="E3256" s="8">
        <v>1301585</v>
      </c>
      <c r="F3256" s="5">
        <v>3409090</v>
      </c>
    </row>
    <row r="3257" spans="1:6" x14ac:dyDescent="0.25">
      <c r="A3257" s="5">
        <v>3409090</v>
      </c>
      <c r="B3257" s="1">
        <v>2018</v>
      </c>
      <c r="C3257" s="1" t="s">
        <v>1387</v>
      </c>
      <c r="D3257" s="1" t="s">
        <v>885</v>
      </c>
      <c r="E3257" s="8">
        <v>1736451</v>
      </c>
      <c r="F3257" s="5">
        <v>3409090</v>
      </c>
    </row>
    <row r="3258" spans="1:6" x14ac:dyDescent="0.25">
      <c r="A3258" s="5">
        <v>3409090</v>
      </c>
      <c r="B3258" s="1">
        <v>2019</v>
      </c>
      <c r="C3258" s="1" t="s">
        <v>1387</v>
      </c>
      <c r="D3258" s="1" t="s">
        <v>885</v>
      </c>
      <c r="E3258" s="8">
        <v>2307787</v>
      </c>
      <c r="F3258" s="5">
        <v>3409090</v>
      </c>
    </row>
    <row r="3259" spans="1:6" ht="20" x14ac:dyDescent="0.25">
      <c r="A3259" s="5">
        <v>3409090</v>
      </c>
      <c r="B3259" s="1">
        <v>2020</v>
      </c>
      <c r="C3259" s="1" t="s">
        <v>1387</v>
      </c>
      <c r="D3259" s="2" t="s">
        <v>885</v>
      </c>
      <c r="E3259" s="7">
        <v>2537278</v>
      </c>
      <c r="F3259" s="5">
        <v>3409090</v>
      </c>
    </row>
    <row r="3260" spans="1:6" ht="20" x14ac:dyDescent="0.25">
      <c r="A3260" s="5">
        <v>3409090</v>
      </c>
      <c r="B3260" s="1">
        <v>2021</v>
      </c>
      <c r="C3260" s="1" t="s">
        <v>1387</v>
      </c>
      <c r="D3260" s="3" t="s">
        <v>885</v>
      </c>
      <c r="E3260" s="7">
        <v>3212070</v>
      </c>
      <c r="F3260" s="5">
        <v>3409090</v>
      </c>
    </row>
    <row r="3261" spans="1:6" ht="20" x14ac:dyDescent="0.25">
      <c r="A3261" s="5">
        <v>3409090</v>
      </c>
      <c r="B3261" s="1">
        <v>2022</v>
      </c>
      <c r="C3261" s="1" t="s">
        <v>1387</v>
      </c>
      <c r="D3261" s="2" t="s">
        <v>885</v>
      </c>
      <c r="E3261" s="7">
        <v>4468430</v>
      </c>
      <c r="F3261" s="5">
        <v>3409090</v>
      </c>
    </row>
    <row r="3262" spans="1:6" ht="20" x14ac:dyDescent="0.25">
      <c r="A3262" s="5">
        <v>3409090</v>
      </c>
      <c r="B3262" s="1">
        <v>2023</v>
      </c>
      <c r="C3262" s="1" t="s">
        <v>1387</v>
      </c>
      <c r="D3262" s="2" t="s">
        <v>885</v>
      </c>
      <c r="E3262" s="7">
        <v>4345997</v>
      </c>
      <c r="F3262" s="5">
        <v>3409090</v>
      </c>
    </row>
    <row r="3263" spans="1:6" x14ac:dyDescent="0.25">
      <c r="A3263" s="5">
        <v>3409120</v>
      </c>
      <c r="B3263" s="1">
        <v>2015</v>
      </c>
      <c r="C3263" s="1" t="s">
        <v>1387</v>
      </c>
      <c r="D3263" s="1" t="s">
        <v>555</v>
      </c>
      <c r="E3263" s="8">
        <v>661781</v>
      </c>
      <c r="F3263" s="5">
        <v>3409120</v>
      </c>
    </row>
    <row r="3264" spans="1:6" x14ac:dyDescent="0.25">
      <c r="A3264" s="5">
        <v>3409120</v>
      </c>
      <c r="B3264" s="1">
        <v>2016</v>
      </c>
      <c r="C3264" s="1" t="s">
        <v>1387</v>
      </c>
      <c r="D3264" s="1" t="s">
        <v>555</v>
      </c>
      <c r="E3264" s="8">
        <v>1002595</v>
      </c>
      <c r="F3264" s="5">
        <v>3409120</v>
      </c>
    </row>
    <row r="3265" spans="1:6" x14ac:dyDescent="0.25">
      <c r="A3265" s="5">
        <v>3409120</v>
      </c>
      <c r="B3265" s="1">
        <v>2017</v>
      </c>
      <c r="C3265" s="1" t="s">
        <v>1387</v>
      </c>
      <c r="D3265" s="1" t="s">
        <v>555</v>
      </c>
      <c r="E3265" s="8">
        <v>1340639</v>
      </c>
      <c r="F3265" s="5">
        <v>3409120</v>
      </c>
    </row>
    <row r="3266" spans="1:6" x14ac:dyDescent="0.25">
      <c r="A3266" s="5">
        <v>3409120</v>
      </c>
      <c r="B3266" s="1">
        <v>2018</v>
      </c>
      <c r="C3266" s="1" t="s">
        <v>1387</v>
      </c>
      <c r="D3266" s="1" t="s">
        <v>1247</v>
      </c>
      <c r="E3266" s="8">
        <v>1774002</v>
      </c>
      <c r="F3266" s="5">
        <v>3409120</v>
      </c>
    </row>
    <row r="3267" spans="1:6" x14ac:dyDescent="0.25">
      <c r="A3267" s="5">
        <v>3409120</v>
      </c>
      <c r="B3267" s="1">
        <v>2019</v>
      </c>
      <c r="C3267" s="1" t="s">
        <v>1387</v>
      </c>
      <c r="D3267" s="1" t="s">
        <v>1247</v>
      </c>
      <c r="E3267" s="8">
        <v>2406774</v>
      </c>
      <c r="F3267" s="5">
        <v>3409120</v>
      </c>
    </row>
    <row r="3268" spans="1:6" ht="20" x14ac:dyDescent="0.25">
      <c r="A3268" s="5">
        <v>3409120</v>
      </c>
      <c r="B3268" s="1">
        <v>2020</v>
      </c>
      <c r="C3268" s="1" t="s">
        <v>1387</v>
      </c>
      <c r="D3268" s="2" t="s">
        <v>1247</v>
      </c>
      <c r="E3268" s="7">
        <v>2760648</v>
      </c>
      <c r="F3268" s="5">
        <v>3409120</v>
      </c>
    </row>
    <row r="3269" spans="1:6" ht="20" x14ac:dyDescent="0.25">
      <c r="A3269" s="5">
        <v>3409120</v>
      </c>
      <c r="B3269" s="1">
        <v>2021</v>
      </c>
      <c r="C3269" s="1" t="s">
        <v>1387</v>
      </c>
      <c r="D3269" s="3" t="s">
        <v>1247</v>
      </c>
      <c r="E3269" s="7">
        <v>3626798</v>
      </c>
      <c r="F3269" s="5">
        <v>3409120</v>
      </c>
    </row>
    <row r="3270" spans="1:6" ht="20" x14ac:dyDescent="0.25">
      <c r="A3270" s="5">
        <v>3409120</v>
      </c>
      <c r="B3270" s="1">
        <v>2022</v>
      </c>
      <c r="C3270" s="1" t="s">
        <v>1387</v>
      </c>
      <c r="D3270" s="2" t="s">
        <v>1247</v>
      </c>
      <c r="E3270" s="7">
        <v>5044972</v>
      </c>
      <c r="F3270" s="5">
        <v>3409120</v>
      </c>
    </row>
    <row r="3271" spans="1:6" ht="20" x14ac:dyDescent="0.25">
      <c r="A3271" s="5">
        <v>3409120</v>
      </c>
      <c r="B3271" s="1">
        <v>2023</v>
      </c>
      <c r="C3271" s="1" t="s">
        <v>1387</v>
      </c>
      <c r="D3271" s="2" t="s">
        <v>1247</v>
      </c>
      <c r="E3271" s="7">
        <v>4980553</v>
      </c>
      <c r="F3271" s="5">
        <v>3409120</v>
      </c>
    </row>
    <row r="3272" spans="1:6" x14ac:dyDescent="0.25">
      <c r="A3272" s="5">
        <v>3409150</v>
      </c>
      <c r="B3272" s="1">
        <v>2015</v>
      </c>
      <c r="C3272" s="1" t="s">
        <v>1387</v>
      </c>
      <c r="D3272" s="1" t="s">
        <v>202</v>
      </c>
      <c r="E3272" s="8">
        <v>623755</v>
      </c>
      <c r="F3272" s="5">
        <v>3409150</v>
      </c>
    </row>
    <row r="3273" spans="1:6" x14ac:dyDescent="0.25">
      <c r="A3273" s="5">
        <v>3409150</v>
      </c>
      <c r="B3273" s="1">
        <v>2016</v>
      </c>
      <c r="C3273" s="1" t="s">
        <v>1387</v>
      </c>
      <c r="D3273" s="1" t="s">
        <v>202</v>
      </c>
      <c r="E3273" s="8">
        <v>856917</v>
      </c>
      <c r="F3273" s="5">
        <v>3409150</v>
      </c>
    </row>
    <row r="3274" spans="1:6" x14ac:dyDescent="0.25">
      <c r="A3274" s="5">
        <v>3409150</v>
      </c>
      <c r="B3274" s="1">
        <v>2017</v>
      </c>
      <c r="C3274" s="1" t="s">
        <v>1387</v>
      </c>
      <c r="D3274" s="1" t="s">
        <v>202</v>
      </c>
      <c r="E3274" s="8">
        <v>1263796</v>
      </c>
      <c r="F3274" s="5">
        <v>3409150</v>
      </c>
    </row>
    <row r="3275" spans="1:6" x14ac:dyDescent="0.25">
      <c r="A3275" s="5">
        <v>3409150</v>
      </c>
      <c r="B3275" s="1">
        <v>2018</v>
      </c>
      <c r="C3275" s="1" t="s">
        <v>1387</v>
      </c>
      <c r="D3275" s="1" t="s">
        <v>886</v>
      </c>
      <c r="E3275" s="8">
        <v>1675118</v>
      </c>
      <c r="F3275" s="5">
        <v>3409150</v>
      </c>
    </row>
    <row r="3276" spans="1:6" x14ac:dyDescent="0.25">
      <c r="A3276" s="5">
        <v>3409150</v>
      </c>
      <c r="B3276" s="1">
        <v>2019</v>
      </c>
      <c r="C3276" s="1" t="s">
        <v>1387</v>
      </c>
      <c r="D3276" s="1" t="s">
        <v>886</v>
      </c>
      <c r="E3276" s="8">
        <v>2114419</v>
      </c>
      <c r="F3276" s="5">
        <v>3409150</v>
      </c>
    </row>
    <row r="3277" spans="1:6" ht="20" x14ac:dyDescent="0.25">
      <c r="A3277" s="5">
        <v>3409150</v>
      </c>
      <c r="B3277" s="1">
        <v>2020</v>
      </c>
      <c r="C3277" s="1" t="s">
        <v>1387</v>
      </c>
      <c r="D3277" s="2" t="s">
        <v>886</v>
      </c>
      <c r="E3277" s="7">
        <v>2438857</v>
      </c>
      <c r="F3277" s="5">
        <v>3409150</v>
      </c>
    </row>
    <row r="3278" spans="1:6" ht="20" x14ac:dyDescent="0.25">
      <c r="A3278" s="5">
        <v>3409150</v>
      </c>
      <c r="B3278" s="1">
        <v>2021</v>
      </c>
      <c r="C3278" s="1" t="s">
        <v>1387</v>
      </c>
      <c r="D3278" s="3" t="s">
        <v>886</v>
      </c>
      <c r="E3278" s="7">
        <v>3235812</v>
      </c>
      <c r="F3278" s="5">
        <v>3409150</v>
      </c>
    </row>
    <row r="3279" spans="1:6" ht="20" x14ac:dyDescent="0.25">
      <c r="A3279" s="5">
        <v>3409150</v>
      </c>
      <c r="B3279" s="1">
        <v>2022</v>
      </c>
      <c r="C3279" s="1" t="s">
        <v>1387</v>
      </c>
      <c r="D3279" s="2" t="s">
        <v>886</v>
      </c>
      <c r="E3279" s="7">
        <v>4607206</v>
      </c>
      <c r="F3279" s="5">
        <v>3409150</v>
      </c>
    </row>
    <row r="3280" spans="1:6" ht="20" x14ac:dyDescent="0.25">
      <c r="A3280" s="5">
        <v>3409150</v>
      </c>
      <c r="B3280" s="1">
        <v>2023</v>
      </c>
      <c r="C3280" s="1" t="s">
        <v>1387</v>
      </c>
      <c r="D3280" s="2" t="s">
        <v>886</v>
      </c>
      <c r="E3280" s="7">
        <v>4583210</v>
      </c>
      <c r="F3280" s="5">
        <v>3409150</v>
      </c>
    </row>
    <row r="3281" spans="1:6" x14ac:dyDescent="0.25">
      <c r="A3281" s="5">
        <v>3409180</v>
      </c>
      <c r="B3281" s="1">
        <v>2015</v>
      </c>
      <c r="C3281" s="1" t="s">
        <v>1387</v>
      </c>
      <c r="D3281" s="1" t="s">
        <v>123</v>
      </c>
      <c r="E3281" s="8">
        <v>506253</v>
      </c>
      <c r="F3281" s="5">
        <v>3409180</v>
      </c>
    </row>
    <row r="3282" spans="1:6" x14ac:dyDescent="0.25">
      <c r="A3282" s="5">
        <v>3409180</v>
      </c>
      <c r="B3282" s="1">
        <v>2016</v>
      </c>
      <c r="C3282" s="1" t="s">
        <v>1387</v>
      </c>
      <c r="D3282" s="1" t="s">
        <v>123</v>
      </c>
      <c r="E3282" s="8">
        <v>814940</v>
      </c>
      <c r="F3282" s="5">
        <v>3409180</v>
      </c>
    </row>
    <row r="3283" spans="1:6" x14ac:dyDescent="0.25">
      <c r="A3283" s="5">
        <v>3409180</v>
      </c>
      <c r="B3283" s="1">
        <v>2017</v>
      </c>
      <c r="C3283" s="1" t="s">
        <v>1387</v>
      </c>
      <c r="D3283" s="1" t="s">
        <v>123</v>
      </c>
      <c r="E3283" s="8">
        <v>1159453</v>
      </c>
      <c r="F3283" s="5">
        <v>3409180</v>
      </c>
    </row>
    <row r="3284" spans="1:6" x14ac:dyDescent="0.25">
      <c r="A3284" s="5">
        <v>3409180</v>
      </c>
      <c r="B3284" s="1">
        <v>2018</v>
      </c>
      <c r="C3284" s="1" t="s">
        <v>1387</v>
      </c>
      <c r="D3284" s="1" t="s">
        <v>804</v>
      </c>
      <c r="E3284" s="8">
        <v>1485501</v>
      </c>
      <c r="F3284" s="5">
        <v>3409180</v>
      </c>
    </row>
    <row r="3285" spans="1:6" x14ac:dyDescent="0.25">
      <c r="A3285" s="5">
        <v>3409180</v>
      </c>
      <c r="B3285" s="1">
        <v>2019</v>
      </c>
      <c r="C3285" s="1" t="s">
        <v>1387</v>
      </c>
      <c r="D3285" s="1" t="s">
        <v>804</v>
      </c>
      <c r="E3285" s="8">
        <v>1954380</v>
      </c>
      <c r="F3285" s="5">
        <v>3409180</v>
      </c>
    </row>
    <row r="3286" spans="1:6" ht="20" x14ac:dyDescent="0.25">
      <c r="A3286" s="5">
        <v>3409180</v>
      </c>
      <c r="B3286" s="1">
        <v>2020</v>
      </c>
      <c r="C3286" s="1" t="s">
        <v>1387</v>
      </c>
      <c r="D3286" s="2" t="s">
        <v>804</v>
      </c>
      <c r="E3286" s="7">
        <v>2099611</v>
      </c>
      <c r="F3286" s="5">
        <v>3409180</v>
      </c>
    </row>
    <row r="3287" spans="1:6" ht="20" x14ac:dyDescent="0.25">
      <c r="A3287" s="5">
        <v>3409180</v>
      </c>
      <c r="B3287" s="1">
        <v>2021</v>
      </c>
      <c r="C3287" s="1" t="s">
        <v>1387</v>
      </c>
      <c r="D3287" s="3" t="s">
        <v>804</v>
      </c>
      <c r="E3287" s="7">
        <v>2594357</v>
      </c>
      <c r="F3287" s="5">
        <v>3409180</v>
      </c>
    </row>
    <row r="3288" spans="1:6" ht="20" x14ac:dyDescent="0.25">
      <c r="A3288" s="5">
        <v>3409180</v>
      </c>
      <c r="B3288" s="1">
        <v>2022</v>
      </c>
      <c r="C3288" s="1" t="s">
        <v>1387</v>
      </c>
      <c r="D3288" s="2" t="s">
        <v>804</v>
      </c>
      <c r="E3288" s="7">
        <v>3557461</v>
      </c>
      <c r="F3288" s="5">
        <v>3409180</v>
      </c>
    </row>
    <row r="3289" spans="1:6" ht="20" x14ac:dyDescent="0.25">
      <c r="A3289" s="5">
        <v>3409180</v>
      </c>
      <c r="B3289" s="1">
        <v>2023</v>
      </c>
      <c r="C3289" s="1" t="s">
        <v>1387</v>
      </c>
      <c r="D3289" s="2" t="s">
        <v>804</v>
      </c>
      <c r="E3289" s="7">
        <v>3582174</v>
      </c>
      <c r="F3289" s="5">
        <v>3409180</v>
      </c>
    </row>
    <row r="3290" spans="1:6" x14ac:dyDescent="0.25">
      <c r="A3290" s="5">
        <v>3409210</v>
      </c>
      <c r="B3290" s="1">
        <v>2015</v>
      </c>
      <c r="C3290" s="1" t="s">
        <v>1387</v>
      </c>
      <c r="D3290" s="1" t="s">
        <v>63</v>
      </c>
      <c r="E3290" s="8">
        <v>834892</v>
      </c>
      <c r="F3290" s="5">
        <v>3409210</v>
      </c>
    </row>
    <row r="3291" spans="1:6" x14ac:dyDescent="0.25">
      <c r="A3291" s="5">
        <v>3409210</v>
      </c>
      <c r="B3291" s="1">
        <v>2016</v>
      </c>
      <c r="C3291" s="1" t="s">
        <v>1387</v>
      </c>
      <c r="D3291" s="1" t="s">
        <v>63</v>
      </c>
      <c r="E3291" s="8">
        <v>1321870</v>
      </c>
      <c r="F3291" s="5">
        <v>3409210</v>
      </c>
    </row>
    <row r="3292" spans="1:6" x14ac:dyDescent="0.25">
      <c r="A3292" s="5">
        <v>3409210</v>
      </c>
      <c r="B3292" s="1">
        <v>2017</v>
      </c>
      <c r="C3292" s="1" t="s">
        <v>1387</v>
      </c>
      <c r="D3292" s="1" t="s">
        <v>63</v>
      </c>
      <c r="E3292" s="8">
        <v>1960961</v>
      </c>
      <c r="F3292" s="5">
        <v>3409210</v>
      </c>
    </row>
    <row r="3293" spans="1:6" x14ac:dyDescent="0.25">
      <c r="A3293" s="5">
        <v>3409210</v>
      </c>
      <c r="B3293" s="1">
        <v>2018</v>
      </c>
      <c r="C3293" s="1" t="s">
        <v>1387</v>
      </c>
      <c r="D3293" s="1" t="s">
        <v>741</v>
      </c>
      <c r="E3293" s="8">
        <v>2623611</v>
      </c>
      <c r="F3293" s="5">
        <v>3409210</v>
      </c>
    </row>
    <row r="3294" spans="1:6" x14ac:dyDescent="0.25">
      <c r="A3294" s="5">
        <v>3409210</v>
      </c>
      <c r="B3294" s="1">
        <v>2019</v>
      </c>
      <c r="C3294" s="1" t="s">
        <v>1387</v>
      </c>
      <c r="D3294" s="1" t="s">
        <v>741</v>
      </c>
      <c r="E3294" s="8">
        <v>3522831</v>
      </c>
      <c r="F3294" s="5">
        <v>3409210</v>
      </c>
    </row>
    <row r="3295" spans="1:6" ht="20" x14ac:dyDescent="0.25">
      <c r="A3295" s="5">
        <v>3409210</v>
      </c>
      <c r="B3295" s="1">
        <v>2020</v>
      </c>
      <c r="C3295" s="1" t="s">
        <v>1387</v>
      </c>
      <c r="D3295" s="2" t="s">
        <v>741</v>
      </c>
      <c r="E3295" s="7">
        <v>4073130</v>
      </c>
      <c r="F3295" s="5">
        <v>3409210</v>
      </c>
    </row>
    <row r="3296" spans="1:6" ht="20" x14ac:dyDescent="0.25">
      <c r="A3296" s="5">
        <v>3409210</v>
      </c>
      <c r="B3296" s="1">
        <v>2021</v>
      </c>
      <c r="C3296" s="1" t="s">
        <v>1387</v>
      </c>
      <c r="D3296" s="3" t="s">
        <v>741</v>
      </c>
      <c r="E3296" s="7">
        <v>4989596</v>
      </c>
      <c r="F3296" s="5">
        <v>3409210</v>
      </c>
    </row>
    <row r="3297" spans="1:6" ht="20" x14ac:dyDescent="0.25">
      <c r="A3297" s="5">
        <v>3409210</v>
      </c>
      <c r="B3297" s="1">
        <v>2022</v>
      </c>
      <c r="C3297" s="1" t="s">
        <v>1387</v>
      </c>
      <c r="D3297" s="2" t="s">
        <v>741</v>
      </c>
      <c r="E3297" s="7">
        <v>7216622</v>
      </c>
      <c r="F3297" s="5">
        <v>3409210</v>
      </c>
    </row>
    <row r="3298" spans="1:6" ht="20" x14ac:dyDescent="0.25">
      <c r="A3298" s="5">
        <v>3409210</v>
      </c>
      <c r="B3298" s="1">
        <v>2023</v>
      </c>
      <c r="C3298" s="1" t="s">
        <v>1387</v>
      </c>
      <c r="D3298" s="2" t="s">
        <v>741</v>
      </c>
      <c r="E3298" s="7">
        <v>7114942</v>
      </c>
      <c r="F3298" s="5">
        <v>3409210</v>
      </c>
    </row>
    <row r="3299" spans="1:6" x14ac:dyDescent="0.25">
      <c r="A3299" s="5">
        <v>3409240</v>
      </c>
      <c r="B3299" s="1">
        <v>2015</v>
      </c>
      <c r="C3299" s="1" t="s">
        <v>1387</v>
      </c>
      <c r="D3299" s="1" t="s">
        <v>470</v>
      </c>
      <c r="E3299" s="8">
        <v>984550</v>
      </c>
      <c r="F3299" s="5">
        <v>3409240</v>
      </c>
    </row>
    <row r="3300" spans="1:6" x14ac:dyDescent="0.25">
      <c r="A3300" s="5">
        <v>3409240</v>
      </c>
      <c r="B3300" s="1">
        <v>2016</v>
      </c>
      <c r="C3300" s="1" t="s">
        <v>1387</v>
      </c>
      <c r="D3300" s="1" t="s">
        <v>470</v>
      </c>
      <c r="E3300" s="8">
        <v>1515262</v>
      </c>
      <c r="F3300" s="5">
        <v>3409240</v>
      </c>
    </row>
    <row r="3301" spans="1:6" x14ac:dyDescent="0.25">
      <c r="A3301" s="5">
        <v>3409240</v>
      </c>
      <c r="B3301" s="1">
        <v>2017</v>
      </c>
      <c r="C3301" s="1" t="s">
        <v>1387</v>
      </c>
      <c r="D3301" s="1" t="s">
        <v>470</v>
      </c>
      <c r="E3301" s="8">
        <v>2133290</v>
      </c>
      <c r="F3301" s="5">
        <v>3409240</v>
      </c>
    </row>
    <row r="3302" spans="1:6" x14ac:dyDescent="0.25">
      <c r="A3302" s="5">
        <v>3409240</v>
      </c>
      <c r="B3302" s="1">
        <v>2018</v>
      </c>
      <c r="C3302" s="1" t="s">
        <v>1387</v>
      </c>
      <c r="D3302" s="1" t="s">
        <v>1162</v>
      </c>
      <c r="E3302" s="8">
        <v>2904001</v>
      </c>
      <c r="F3302" s="5">
        <v>3409240</v>
      </c>
    </row>
    <row r="3303" spans="1:6" x14ac:dyDescent="0.25">
      <c r="A3303" s="5">
        <v>3409240</v>
      </c>
      <c r="B3303" s="1">
        <v>2019</v>
      </c>
      <c r="C3303" s="1" t="s">
        <v>1387</v>
      </c>
      <c r="D3303" s="1" t="s">
        <v>1162</v>
      </c>
      <c r="E3303" s="8">
        <v>3857560</v>
      </c>
      <c r="F3303" s="5">
        <v>3409240</v>
      </c>
    </row>
    <row r="3304" spans="1:6" ht="20" x14ac:dyDescent="0.25">
      <c r="A3304" s="5">
        <v>3409240</v>
      </c>
      <c r="B3304" s="1">
        <v>2020</v>
      </c>
      <c r="C3304" s="1" t="s">
        <v>1387</v>
      </c>
      <c r="D3304" s="2" t="s">
        <v>1162</v>
      </c>
      <c r="E3304" s="7">
        <v>4372875</v>
      </c>
      <c r="F3304" s="5">
        <v>3409240</v>
      </c>
    </row>
    <row r="3305" spans="1:6" ht="20" x14ac:dyDescent="0.25">
      <c r="A3305" s="5">
        <v>3409240</v>
      </c>
      <c r="B3305" s="1">
        <v>2021</v>
      </c>
      <c r="C3305" s="1" t="s">
        <v>1387</v>
      </c>
      <c r="D3305" s="3" t="s">
        <v>1162</v>
      </c>
      <c r="E3305" s="7">
        <v>5756786</v>
      </c>
      <c r="F3305" s="5">
        <v>3409240</v>
      </c>
    </row>
    <row r="3306" spans="1:6" ht="20" x14ac:dyDescent="0.25">
      <c r="A3306" s="5">
        <v>3409240</v>
      </c>
      <c r="B3306" s="1">
        <v>2022</v>
      </c>
      <c r="C3306" s="1" t="s">
        <v>1387</v>
      </c>
      <c r="D3306" s="2" t="s">
        <v>1162</v>
      </c>
      <c r="E3306" s="7">
        <v>8043361</v>
      </c>
      <c r="F3306" s="5">
        <v>3409240</v>
      </c>
    </row>
    <row r="3307" spans="1:6" ht="20" x14ac:dyDescent="0.25">
      <c r="A3307" s="5">
        <v>3409240</v>
      </c>
      <c r="B3307" s="1">
        <v>2023</v>
      </c>
      <c r="C3307" s="1" t="s">
        <v>1387</v>
      </c>
      <c r="D3307" s="2" t="s">
        <v>1162</v>
      </c>
      <c r="E3307" s="7">
        <v>8029219</v>
      </c>
      <c r="F3307" s="5">
        <v>3409240</v>
      </c>
    </row>
    <row r="3308" spans="1:6" x14ac:dyDescent="0.25">
      <c r="A3308" s="5">
        <v>3409270</v>
      </c>
      <c r="B3308" s="1">
        <v>2015</v>
      </c>
      <c r="C3308" s="1" t="s">
        <v>1387</v>
      </c>
      <c r="D3308" s="1" t="s">
        <v>390</v>
      </c>
      <c r="E3308" s="8">
        <v>3329033</v>
      </c>
      <c r="F3308" s="5">
        <v>3409270</v>
      </c>
    </row>
    <row r="3309" spans="1:6" x14ac:dyDescent="0.25">
      <c r="A3309" s="5">
        <v>3409270</v>
      </c>
      <c r="B3309" s="1">
        <v>2016</v>
      </c>
      <c r="C3309" s="1" t="s">
        <v>1387</v>
      </c>
      <c r="D3309" s="1" t="s">
        <v>390</v>
      </c>
      <c r="E3309" s="8">
        <v>4939537</v>
      </c>
      <c r="F3309" s="5">
        <v>3409270</v>
      </c>
    </row>
    <row r="3310" spans="1:6" x14ac:dyDescent="0.25">
      <c r="A3310" s="5">
        <v>3409270</v>
      </c>
      <c r="B3310" s="1">
        <v>2017</v>
      </c>
      <c r="C3310" s="1" t="s">
        <v>1387</v>
      </c>
      <c r="D3310" s="1" t="s">
        <v>390</v>
      </c>
      <c r="E3310" s="8">
        <v>6992497</v>
      </c>
      <c r="F3310" s="5">
        <v>3409270</v>
      </c>
    </row>
    <row r="3311" spans="1:6" x14ac:dyDescent="0.25">
      <c r="A3311" s="5">
        <v>3409270</v>
      </c>
      <c r="B3311" s="1">
        <v>2018</v>
      </c>
      <c r="C3311" s="1" t="s">
        <v>1387</v>
      </c>
      <c r="D3311" s="1" t="s">
        <v>1082</v>
      </c>
      <c r="E3311" s="8">
        <v>9510367</v>
      </c>
      <c r="F3311" s="5">
        <v>3409270</v>
      </c>
    </row>
    <row r="3312" spans="1:6" x14ac:dyDescent="0.25">
      <c r="A3312" s="5">
        <v>3409270</v>
      </c>
      <c r="B3312" s="1">
        <v>2019</v>
      </c>
      <c r="C3312" s="1" t="s">
        <v>1387</v>
      </c>
      <c r="D3312" s="1" t="s">
        <v>1082</v>
      </c>
      <c r="E3312" s="8">
        <v>12733405</v>
      </c>
      <c r="F3312" s="5">
        <v>3409270</v>
      </c>
    </row>
    <row r="3313" spans="1:6" ht="20" x14ac:dyDescent="0.25">
      <c r="A3313" s="5">
        <v>3409270</v>
      </c>
      <c r="B3313" s="1">
        <v>2020</v>
      </c>
      <c r="C3313" s="1" t="s">
        <v>1387</v>
      </c>
      <c r="D3313" s="2" t="s">
        <v>1082</v>
      </c>
      <c r="E3313" s="7">
        <v>14460555</v>
      </c>
      <c r="F3313" s="5">
        <v>3409270</v>
      </c>
    </row>
    <row r="3314" spans="1:6" ht="20" x14ac:dyDescent="0.25">
      <c r="A3314" s="5">
        <v>3409270</v>
      </c>
      <c r="B3314" s="1">
        <v>2021</v>
      </c>
      <c r="C3314" s="1" t="s">
        <v>1387</v>
      </c>
      <c r="D3314" s="3" t="s">
        <v>1082</v>
      </c>
      <c r="E3314" s="7">
        <v>18619271</v>
      </c>
      <c r="F3314" s="5">
        <v>3409270</v>
      </c>
    </row>
    <row r="3315" spans="1:6" ht="20" x14ac:dyDescent="0.25">
      <c r="A3315" s="5">
        <v>3409270</v>
      </c>
      <c r="B3315" s="1">
        <v>2022</v>
      </c>
      <c r="C3315" s="1" t="s">
        <v>1387</v>
      </c>
      <c r="D3315" s="2" t="s">
        <v>1082</v>
      </c>
      <c r="E3315" s="7">
        <v>25026702</v>
      </c>
      <c r="F3315" s="5">
        <v>3409270</v>
      </c>
    </row>
    <row r="3316" spans="1:6" ht="20" x14ac:dyDescent="0.25">
      <c r="A3316" s="5">
        <v>3409270</v>
      </c>
      <c r="B3316" s="1">
        <v>2023</v>
      </c>
      <c r="C3316" s="1" t="s">
        <v>1387</v>
      </c>
      <c r="D3316" s="2" t="s">
        <v>1082</v>
      </c>
      <c r="E3316" s="7">
        <v>24863252</v>
      </c>
      <c r="F3316" s="5">
        <v>3409270</v>
      </c>
    </row>
    <row r="3317" spans="1:6" x14ac:dyDescent="0.25">
      <c r="A3317" s="5">
        <v>3409300</v>
      </c>
      <c r="B3317" s="1">
        <v>2015</v>
      </c>
      <c r="C3317" s="1" t="s">
        <v>1387</v>
      </c>
      <c r="D3317" s="1" t="s">
        <v>181</v>
      </c>
      <c r="E3317" s="8">
        <v>158000</v>
      </c>
      <c r="F3317" s="5">
        <v>3409300</v>
      </c>
    </row>
    <row r="3318" spans="1:6" x14ac:dyDescent="0.25">
      <c r="A3318" s="5">
        <v>3409300</v>
      </c>
      <c r="B3318" s="1">
        <v>2016</v>
      </c>
      <c r="C3318" s="1" t="s">
        <v>1387</v>
      </c>
      <c r="D3318" s="1" t="s">
        <v>181</v>
      </c>
      <c r="E3318" s="8">
        <v>230534</v>
      </c>
      <c r="F3318" s="5">
        <v>3409300</v>
      </c>
    </row>
    <row r="3319" spans="1:6" x14ac:dyDescent="0.25">
      <c r="A3319" s="5">
        <v>3409300</v>
      </c>
      <c r="B3319" s="1">
        <v>2017</v>
      </c>
      <c r="C3319" s="1" t="s">
        <v>1387</v>
      </c>
      <c r="D3319" s="1" t="s">
        <v>181</v>
      </c>
      <c r="E3319" s="8">
        <v>319309</v>
      </c>
      <c r="F3319" s="5">
        <v>3409300</v>
      </c>
    </row>
    <row r="3320" spans="1:6" x14ac:dyDescent="0.25">
      <c r="A3320" s="5">
        <v>3409300</v>
      </c>
      <c r="B3320" s="1">
        <v>2018</v>
      </c>
      <c r="C3320" s="1" t="s">
        <v>1387</v>
      </c>
      <c r="D3320" s="1" t="s">
        <v>864</v>
      </c>
      <c r="E3320" s="8">
        <v>424527</v>
      </c>
      <c r="F3320" s="5">
        <v>3409300</v>
      </c>
    </row>
    <row r="3321" spans="1:6" x14ac:dyDescent="0.25">
      <c r="A3321" s="5">
        <v>3409300</v>
      </c>
      <c r="B3321" s="1">
        <v>2019</v>
      </c>
      <c r="C3321" s="1" t="s">
        <v>1387</v>
      </c>
      <c r="D3321" s="1" t="s">
        <v>864</v>
      </c>
      <c r="E3321" s="8">
        <v>565617</v>
      </c>
      <c r="F3321" s="5">
        <v>3409300</v>
      </c>
    </row>
    <row r="3322" spans="1:6" ht="20" x14ac:dyDescent="0.25">
      <c r="A3322" s="5">
        <v>3409300</v>
      </c>
      <c r="B3322" s="1">
        <v>2020</v>
      </c>
      <c r="C3322" s="1" t="s">
        <v>1387</v>
      </c>
      <c r="D3322" s="2" t="s">
        <v>864</v>
      </c>
      <c r="E3322" s="7">
        <v>639165</v>
      </c>
      <c r="F3322" s="5">
        <v>3409300</v>
      </c>
    </row>
    <row r="3323" spans="1:6" ht="20" x14ac:dyDescent="0.25">
      <c r="A3323" s="5">
        <v>3409300</v>
      </c>
      <c r="B3323" s="1">
        <v>2021</v>
      </c>
      <c r="C3323" s="1" t="s">
        <v>1387</v>
      </c>
      <c r="D3323" s="3" t="s">
        <v>864</v>
      </c>
      <c r="E3323" s="7">
        <v>830037</v>
      </c>
      <c r="F3323" s="5">
        <v>3409300</v>
      </c>
    </row>
    <row r="3324" spans="1:6" ht="20" x14ac:dyDescent="0.25">
      <c r="A3324" s="5">
        <v>3409300</v>
      </c>
      <c r="B3324" s="1">
        <v>2022</v>
      </c>
      <c r="C3324" s="1" t="s">
        <v>1387</v>
      </c>
      <c r="D3324" s="2" t="s">
        <v>864</v>
      </c>
      <c r="E3324" s="7">
        <v>1169952</v>
      </c>
      <c r="F3324" s="5">
        <v>3409300</v>
      </c>
    </row>
    <row r="3325" spans="1:6" ht="20" x14ac:dyDescent="0.25">
      <c r="A3325" s="5">
        <v>3409300</v>
      </c>
      <c r="B3325" s="1">
        <v>2023</v>
      </c>
      <c r="C3325" s="1" t="s">
        <v>1387</v>
      </c>
      <c r="D3325" s="2" t="s">
        <v>864</v>
      </c>
      <c r="E3325" s="7">
        <v>1144045</v>
      </c>
      <c r="F3325" s="5">
        <v>3409300</v>
      </c>
    </row>
    <row r="3326" spans="1:6" x14ac:dyDescent="0.25">
      <c r="A3326" s="5">
        <v>3409330</v>
      </c>
      <c r="B3326" s="1">
        <v>2015</v>
      </c>
      <c r="C3326" s="1" t="s">
        <v>1387</v>
      </c>
      <c r="D3326" s="1" t="s">
        <v>64</v>
      </c>
      <c r="E3326" s="8">
        <v>1304830</v>
      </c>
      <c r="F3326" s="5">
        <v>3409330</v>
      </c>
    </row>
    <row r="3327" spans="1:6" x14ac:dyDescent="0.25">
      <c r="A3327" s="5">
        <v>3409330</v>
      </c>
      <c r="B3327" s="1">
        <v>2016</v>
      </c>
      <c r="C3327" s="1" t="s">
        <v>1387</v>
      </c>
      <c r="D3327" s="1" t="s">
        <v>64</v>
      </c>
      <c r="E3327" s="8">
        <v>1948464</v>
      </c>
      <c r="F3327" s="5">
        <v>3409330</v>
      </c>
    </row>
    <row r="3328" spans="1:6" x14ac:dyDescent="0.25">
      <c r="A3328" s="5">
        <v>3409330</v>
      </c>
      <c r="B3328" s="1">
        <v>2017</v>
      </c>
      <c r="C3328" s="1" t="s">
        <v>1387</v>
      </c>
      <c r="D3328" s="1" t="s">
        <v>64</v>
      </c>
      <c r="E3328" s="8">
        <v>2714180</v>
      </c>
      <c r="F3328" s="5">
        <v>3409330</v>
      </c>
    </row>
    <row r="3329" spans="1:6" x14ac:dyDescent="0.25">
      <c r="A3329" s="5">
        <v>3409330</v>
      </c>
      <c r="B3329" s="1">
        <v>2018</v>
      </c>
      <c r="C3329" s="1" t="s">
        <v>1387</v>
      </c>
      <c r="D3329" s="1" t="s">
        <v>742</v>
      </c>
      <c r="E3329" s="8">
        <v>3417903</v>
      </c>
      <c r="F3329" s="5">
        <v>3409330</v>
      </c>
    </row>
    <row r="3330" spans="1:6" x14ac:dyDescent="0.25">
      <c r="A3330" s="5">
        <v>3409330</v>
      </c>
      <c r="B3330" s="1">
        <v>2019</v>
      </c>
      <c r="C3330" s="1" t="s">
        <v>1387</v>
      </c>
      <c r="D3330" s="1" t="s">
        <v>742</v>
      </c>
      <c r="E3330" s="8">
        <v>4650461</v>
      </c>
      <c r="F3330" s="5">
        <v>3409330</v>
      </c>
    </row>
    <row r="3331" spans="1:6" ht="20" x14ac:dyDescent="0.25">
      <c r="A3331" s="5">
        <v>3409330</v>
      </c>
      <c r="B3331" s="1">
        <v>2020</v>
      </c>
      <c r="C3331" s="1" t="s">
        <v>1387</v>
      </c>
      <c r="D3331" s="2" t="s">
        <v>742</v>
      </c>
      <c r="E3331" s="7">
        <v>5451527</v>
      </c>
      <c r="F3331" s="5">
        <v>3409330</v>
      </c>
    </row>
    <row r="3332" spans="1:6" ht="20" x14ac:dyDescent="0.25">
      <c r="A3332" s="5">
        <v>3409330</v>
      </c>
      <c r="B3332" s="1">
        <v>2021</v>
      </c>
      <c r="C3332" s="1" t="s">
        <v>1387</v>
      </c>
      <c r="D3332" s="3" t="s">
        <v>742</v>
      </c>
      <c r="E3332" s="7">
        <v>7014586</v>
      </c>
      <c r="F3332" s="5">
        <v>3409330</v>
      </c>
    </row>
    <row r="3333" spans="1:6" ht="20" x14ac:dyDescent="0.25">
      <c r="A3333" s="5">
        <v>3409330</v>
      </c>
      <c r="B3333" s="1">
        <v>2022</v>
      </c>
      <c r="C3333" s="1" t="s">
        <v>1387</v>
      </c>
      <c r="D3333" s="2" t="s">
        <v>742</v>
      </c>
      <c r="E3333" s="7">
        <v>10139245</v>
      </c>
      <c r="F3333" s="5">
        <v>3409330</v>
      </c>
    </row>
    <row r="3334" spans="1:6" ht="20" x14ac:dyDescent="0.25">
      <c r="A3334" s="5">
        <v>3409330</v>
      </c>
      <c r="B3334" s="1">
        <v>2023</v>
      </c>
      <c r="C3334" s="1" t="s">
        <v>1387</v>
      </c>
      <c r="D3334" s="2" t="s">
        <v>742</v>
      </c>
      <c r="E3334" s="7">
        <v>10107628</v>
      </c>
      <c r="F3334" s="5">
        <v>3409330</v>
      </c>
    </row>
    <row r="3335" spans="1:6" x14ac:dyDescent="0.25">
      <c r="A3335" s="5">
        <v>3409360</v>
      </c>
      <c r="B3335" s="1">
        <v>2015</v>
      </c>
      <c r="C3335" s="1" t="s">
        <v>1387</v>
      </c>
      <c r="D3335" s="1" t="s">
        <v>17</v>
      </c>
      <c r="E3335" s="8">
        <v>642021</v>
      </c>
      <c r="F3335" s="5">
        <v>3409360</v>
      </c>
    </row>
    <row r="3336" spans="1:6" x14ac:dyDescent="0.25">
      <c r="A3336" s="5">
        <v>3409360</v>
      </c>
      <c r="B3336" s="1">
        <v>2016</v>
      </c>
      <c r="C3336" s="1" t="s">
        <v>1387</v>
      </c>
      <c r="D3336" s="1" t="s">
        <v>17</v>
      </c>
      <c r="E3336" s="8">
        <v>933114</v>
      </c>
      <c r="F3336" s="5">
        <v>3409360</v>
      </c>
    </row>
    <row r="3337" spans="1:6" x14ac:dyDescent="0.25">
      <c r="A3337" s="5">
        <v>3409360</v>
      </c>
      <c r="B3337" s="1">
        <v>2017</v>
      </c>
      <c r="C3337" s="1" t="s">
        <v>1387</v>
      </c>
      <c r="D3337" s="1" t="s">
        <v>17</v>
      </c>
      <c r="E3337" s="8">
        <v>1261358</v>
      </c>
      <c r="F3337" s="5">
        <v>3409360</v>
      </c>
    </row>
    <row r="3338" spans="1:6" x14ac:dyDescent="0.25">
      <c r="A3338" s="5">
        <v>3409360</v>
      </c>
      <c r="B3338" s="1">
        <v>2018</v>
      </c>
      <c r="C3338" s="1" t="s">
        <v>1387</v>
      </c>
      <c r="D3338" s="1" t="s">
        <v>696</v>
      </c>
      <c r="E3338" s="8">
        <v>1671781</v>
      </c>
      <c r="F3338" s="5">
        <v>3409360</v>
      </c>
    </row>
    <row r="3339" spans="1:6" x14ac:dyDescent="0.25">
      <c r="A3339" s="5">
        <v>3409360</v>
      </c>
      <c r="B3339" s="1">
        <v>2019</v>
      </c>
      <c r="C3339" s="1" t="s">
        <v>1387</v>
      </c>
      <c r="D3339" s="1" t="s">
        <v>696</v>
      </c>
      <c r="E3339" s="8">
        <v>2200584</v>
      </c>
      <c r="F3339" s="5">
        <v>3409360</v>
      </c>
    </row>
    <row r="3340" spans="1:6" ht="20" x14ac:dyDescent="0.25">
      <c r="A3340" s="5">
        <v>3409360</v>
      </c>
      <c r="B3340" s="1">
        <v>2020</v>
      </c>
      <c r="C3340" s="1" t="s">
        <v>1387</v>
      </c>
      <c r="D3340" s="2" t="s">
        <v>696</v>
      </c>
      <c r="E3340" s="7">
        <v>2409486</v>
      </c>
      <c r="F3340" s="5">
        <v>3409360</v>
      </c>
    </row>
    <row r="3341" spans="1:6" ht="20" x14ac:dyDescent="0.25">
      <c r="A3341" s="5">
        <v>3409360</v>
      </c>
      <c r="B3341" s="1">
        <v>2021</v>
      </c>
      <c r="C3341" s="1" t="s">
        <v>1387</v>
      </c>
      <c r="D3341" s="3" t="s">
        <v>696</v>
      </c>
      <c r="E3341" s="7">
        <v>3111114</v>
      </c>
      <c r="F3341" s="5">
        <v>3409360</v>
      </c>
    </row>
    <row r="3342" spans="1:6" ht="20" x14ac:dyDescent="0.25">
      <c r="A3342" s="5">
        <v>3409360</v>
      </c>
      <c r="B3342" s="1">
        <v>2022</v>
      </c>
      <c r="C3342" s="1" t="s">
        <v>1387</v>
      </c>
      <c r="D3342" s="2" t="s">
        <v>696</v>
      </c>
      <c r="E3342" s="7">
        <v>4387127</v>
      </c>
      <c r="F3342" s="5">
        <v>3409360</v>
      </c>
    </row>
    <row r="3343" spans="1:6" ht="20" x14ac:dyDescent="0.25">
      <c r="A3343" s="5">
        <v>3409360</v>
      </c>
      <c r="B3343" s="1">
        <v>2023</v>
      </c>
      <c r="C3343" s="1" t="s">
        <v>1387</v>
      </c>
      <c r="D3343" s="2" t="s">
        <v>696</v>
      </c>
      <c r="E3343" s="7">
        <v>4289905</v>
      </c>
      <c r="F3343" s="5">
        <v>3409360</v>
      </c>
    </row>
    <row r="3344" spans="1:6" x14ac:dyDescent="0.25">
      <c r="A3344" s="5">
        <v>3409390</v>
      </c>
      <c r="B3344" s="1">
        <v>2015</v>
      </c>
      <c r="C3344" s="1" t="s">
        <v>1387</v>
      </c>
      <c r="D3344" s="1" t="s">
        <v>425</v>
      </c>
      <c r="E3344" s="8">
        <v>1756411</v>
      </c>
      <c r="F3344" s="5">
        <v>3409390</v>
      </c>
    </row>
    <row r="3345" spans="1:6" x14ac:dyDescent="0.25">
      <c r="A3345" s="5">
        <v>3409390</v>
      </c>
      <c r="B3345" s="1">
        <v>2016</v>
      </c>
      <c r="C3345" s="1" t="s">
        <v>1387</v>
      </c>
      <c r="D3345" s="1" t="s">
        <v>425</v>
      </c>
      <c r="E3345" s="8">
        <v>2524890</v>
      </c>
      <c r="F3345" s="5">
        <v>3409390</v>
      </c>
    </row>
    <row r="3346" spans="1:6" x14ac:dyDescent="0.25">
      <c r="A3346" s="5">
        <v>3409390</v>
      </c>
      <c r="B3346" s="1">
        <v>2017</v>
      </c>
      <c r="C3346" s="1" t="s">
        <v>1387</v>
      </c>
      <c r="D3346" s="1" t="s">
        <v>425</v>
      </c>
      <c r="E3346" s="8">
        <v>3612798</v>
      </c>
      <c r="F3346" s="5">
        <v>3409390</v>
      </c>
    </row>
    <row r="3347" spans="1:6" x14ac:dyDescent="0.25">
      <c r="A3347" s="5">
        <v>3409390</v>
      </c>
      <c r="B3347" s="1">
        <v>2018</v>
      </c>
      <c r="C3347" s="1" t="s">
        <v>1387</v>
      </c>
      <c r="D3347" s="1" t="s">
        <v>1117</v>
      </c>
      <c r="E3347" s="8">
        <v>4946053</v>
      </c>
      <c r="F3347" s="5">
        <v>3409390</v>
      </c>
    </row>
    <row r="3348" spans="1:6" x14ac:dyDescent="0.25">
      <c r="A3348" s="5">
        <v>3409390</v>
      </c>
      <c r="B3348" s="1">
        <v>2019</v>
      </c>
      <c r="C3348" s="1" t="s">
        <v>1387</v>
      </c>
      <c r="D3348" s="1" t="s">
        <v>1117</v>
      </c>
      <c r="E3348" s="8">
        <v>6493403</v>
      </c>
      <c r="F3348" s="5">
        <v>3409390</v>
      </c>
    </row>
    <row r="3349" spans="1:6" ht="20" x14ac:dyDescent="0.25">
      <c r="A3349" s="5">
        <v>3409390</v>
      </c>
      <c r="B3349" s="1">
        <v>2020</v>
      </c>
      <c r="C3349" s="1" t="s">
        <v>1387</v>
      </c>
      <c r="D3349" s="2" t="s">
        <v>1117</v>
      </c>
      <c r="E3349" s="7">
        <v>7309514</v>
      </c>
      <c r="F3349" s="5">
        <v>3409390</v>
      </c>
    </row>
    <row r="3350" spans="1:6" ht="20" x14ac:dyDescent="0.25">
      <c r="A3350" s="5">
        <v>3409390</v>
      </c>
      <c r="B3350" s="1">
        <v>2021</v>
      </c>
      <c r="C3350" s="1" t="s">
        <v>1387</v>
      </c>
      <c r="D3350" s="3" t="s">
        <v>1117</v>
      </c>
      <c r="E3350" s="7">
        <v>9456111</v>
      </c>
      <c r="F3350" s="5">
        <v>3409390</v>
      </c>
    </row>
    <row r="3351" spans="1:6" ht="20" x14ac:dyDescent="0.25">
      <c r="A3351" s="5">
        <v>3409390</v>
      </c>
      <c r="B3351" s="1">
        <v>2022</v>
      </c>
      <c r="C3351" s="1" t="s">
        <v>1387</v>
      </c>
      <c r="D3351" s="2" t="s">
        <v>1117</v>
      </c>
      <c r="E3351" s="7">
        <v>13500965</v>
      </c>
      <c r="F3351" s="5">
        <v>3409390</v>
      </c>
    </row>
    <row r="3352" spans="1:6" ht="20" x14ac:dyDescent="0.25">
      <c r="A3352" s="5">
        <v>3409390</v>
      </c>
      <c r="B3352" s="1">
        <v>2023</v>
      </c>
      <c r="C3352" s="1" t="s">
        <v>1387</v>
      </c>
      <c r="D3352" s="2" t="s">
        <v>1117</v>
      </c>
      <c r="E3352" s="7">
        <v>13511299</v>
      </c>
      <c r="F3352" s="5">
        <v>3409390</v>
      </c>
    </row>
    <row r="3353" spans="1:6" x14ac:dyDescent="0.25">
      <c r="A3353" s="5">
        <v>3409420</v>
      </c>
      <c r="B3353" s="1">
        <v>2015</v>
      </c>
      <c r="C3353" s="1" t="s">
        <v>1387</v>
      </c>
      <c r="D3353" s="1" t="s">
        <v>426</v>
      </c>
      <c r="E3353" s="8">
        <v>571588</v>
      </c>
      <c r="F3353" s="5">
        <v>3409420</v>
      </c>
    </row>
    <row r="3354" spans="1:6" x14ac:dyDescent="0.25">
      <c r="A3354" s="5">
        <v>3409420</v>
      </c>
      <c r="B3354" s="1">
        <v>2016</v>
      </c>
      <c r="C3354" s="1" t="s">
        <v>1387</v>
      </c>
      <c r="D3354" s="1" t="s">
        <v>426</v>
      </c>
      <c r="E3354" s="8">
        <v>913748</v>
      </c>
      <c r="F3354" s="5">
        <v>3409420</v>
      </c>
    </row>
    <row r="3355" spans="1:6" x14ac:dyDescent="0.25">
      <c r="A3355" s="5">
        <v>3409420</v>
      </c>
      <c r="B3355" s="1">
        <v>2017</v>
      </c>
      <c r="C3355" s="1" t="s">
        <v>1387</v>
      </c>
      <c r="D3355" s="1" t="s">
        <v>426</v>
      </c>
      <c r="E3355" s="8">
        <v>1266010</v>
      </c>
      <c r="F3355" s="5">
        <v>3409420</v>
      </c>
    </row>
    <row r="3356" spans="1:6" x14ac:dyDescent="0.25">
      <c r="A3356" s="5">
        <v>3409420</v>
      </c>
      <c r="B3356" s="1">
        <v>2018</v>
      </c>
      <c r="C3356" s="1" t="s">
        <v>1387</v>
      </c>
      <c r="D3356" s="1" t="s">
        <v>1118</v>
      </c>
      <c r="E3356" s="8">
        <v>1678670</v>
      </c>
      <c r="F3356" s="5">
        <v>3409420</v>
      </c>
    </row>
    <row r="3357" spans="1:6" x14ac:dyDescent="0.25">
      <c r="A3357" s="5">
        <v>3409420</v>
      </c>
      <c r="B3357" s="1">
        <v>2019</v>
      </c>
      <c r="C3357" s="1" t="s">
        <v>1387</v>
      </c>
      <c r="D3357" s="1" t="s">
        <v>1118</v>
      </c>
      <c r="E3357" s="8">
        <v>2282407</v>
      </c>
      <c r="F3357" s="5">
        <v>3409420</v>
      </c>
    </row>
    <row r="3358" spans="1:6" ht="20" x14ac:dyDescent="0.25">
      <c r="A3358" s="5">
        <v>3409420</v>
      </c>
      <c r="B3358" s="1">
        <v>2020</v>
      </c>
      <c r="C3358" s="1" t="s">
        <v>1387</v>
      </c>
      <c r="D3358" s="2" t="s">
        <v>1118</v>
      </c>
      <c r="E3358" s="7">
        <v>2594340</v>
      </c>
      <c r="F3358" s="5">
        <v>3409420</v>
      </c>
    </row>
    <row r="3359" spans="1:6" ht="20" x14ac:dyDescent="0.25">
      <c r="A3359" s="5">
        <v>3409420</v>
      </c>
      <c r="B3359" s="1">
        <v>2021</v>
      </c>
      <c r="C3359" s="1" t="s">
        <v>1387</v>
      </c>
      <c r="D3359" s="3" t="s">
        <v>1118</v>
      </c>
      <c r="E3359" s="7">
        <v>3431801</v>
      </c>
      <c r="F3359" s="5">
        <v>3409420</v>
      </c>
    </row>
    <row r="3360" spans="1:6" ht="20" x14ac:dyDescent="0.25">
      <c r="A3360" s="5">
        <v>3409420</v>
      </c>
      <c r="B3360" s="1">
        <v>2022</v>
      </c>
      <c r="C3360" s="1" t="s">
        <v>1387</v>
      </c>
      <c r="D3360" s="2" t="s">
        <v>1118</v>
      </c>
      <c r="E3360" s="7">
        <v>5038214</v>
      </c>
      <c r="F3360" s="5">
        <v>3409420</v>
      </c>
    </row>
    <row r="3361" spans="1:6" ht="20" x14ac:dyDescent="0.25">
      <c r="A3361" s="5">
        <v>3409420</v>
      </c>
      <c r="B3361" s="1">
        <v>2023</v>
      </c>
      <c r="C3361" s="1" t="s">
        <v>1387</v>
      </c>
      <c r="D3361" s="2" t="s">
        <v>1118</v>
      </c>
      <c r="E3361" s="7">
        <v>5019682</v>
      </c>
      <c r="F3361" s="5">
        <v>3409420</v>
      </c>
    </row>
    <row r="3362" spans="1:6" x14ac:dyDescent="0.25">
      <c r="A3362" s="5">
        <v>3409450</v>
      </c>
      <c r="B3362" s="1">
        <v>2015</v>
      </c>
      <c r="C3362" s="1" t="s">
        <v>1387</v>
      </c>
      <c r="D3362" s="1" t="s">
        <v>509</v>
      </c>
      <c r="E3362" s="8">
        <v>1256452</v>
      </c>
      <c r="F3362" s="5">
        <v>3409450</v>
      </c>
    </row>
    <row r="3363" spans="1:6" x14ac:dyDescent="0.25">
      <c r="A3363" s="5">
        <v>3409450</v>
      </c>
      <c r="B3363" s="1">
        <v>2016</v>
      </c>
      <c r="C3363" s="1" t="s">
        <v>1387</v>
      </c>
      <c r="D3363" s="1" t="s">
        <v>509</v>
      </c>
      <c r="E3363" s="8">
        <v>1857193</v>
      </c>
      <c r="F3363" s="5">
        <v>3409450</v>
      </c>
    </row>
    <row r="3364" spans="1:6" x14ac:dyDescent="0.25">
      <c r="A3364" s="5">
        <v>3409450</v>
      </c>
      <c r="B3364" s="1">
        <v>2017</v>
      </c>
      <c r="C3364" s="1" t="s">
        <v>1387</v>
      </c>
      <c r="D3364" s="1" t="s">
        <v>509</v>
      </c>
      <c r="E3364" s="8">
        <v>2563667</v>
      </c>
      <c r="F3364" s="5">
        <v>3409450</v>
      </c>
    </row>
    <row r="3365" spans="1:6" x14ac:dyDescent="0.25">
      <c r="A3365" s="5">
        <v>3409450</v>
      </c>
      <c r="B3365" s="1">
        <v>2018</v>
      </c>
      <c r="C3365" s="1" t="s">
        <v>1387</v>
      </c>
      <c r="D3365" s="1" t="s">
        <v>1201</v>
      </c>
      <c r="E3365" s="8">
        <v>3351632</v>
      </c>
      <c r="F3365" s="5">
        <v>3409450</v>
      </c>
    </row>
    <row r="3366" spans="1:6" x14ac:dyDescent="0.25">
      <c r="A3366" s="5">
        <v>3409450</v>
      </c>
      <c r="B3366" s="1">
        <v>2019</v>
      </c>
      <c r="C3366" s="1" t="s">
        <v>1387</v>
      </c>
      <c r="D3366" s="1" t="s">
        <v>1201</v>
      </c>
      <c r="E3366" s="8">
        <v>4570490</v>
      </c>
      <c r="F3366" s="5">
        <v>3409450</v>
      </c>
    </row>
    <row r="3367" spans="1:6" ht="20" x14ac:dyDescent="0.25">
      <c r="A3367" s="5">
        <v>3409450</v>
      </c>
      <c r="B3367" s="1">
        <v>2020</v>
      </c>
      <c r="C3367" s="1" t="s">
        <v>1387</v>
      </c>
      <c r="D3367" s="2" t="s">
        <v>1201</v>
      </c>
      <c r="E3367" s="7">
        <v>5050777</v>
      </c>
      <c r="F3367" s="5">
        <v>3409450</v>
      </c>
    </row>
    <row r="3368" spans="1:6" ht="20" x14ac:dyDescent="0.25">
      <c r="A3368" s="5">
        <v>3409450</v>
      </c>
      <c r="B3368" s="1">
        <v>2021</v>
      </c>
      <c r="C3368" s="1" t="s">
        <v>1387</v>
      </c>
      <c r="D3368" s="3" t="s">
        <v>1201</v>
      </c>
      <c r="E3368" s="7">
        <v>6453845</v>
      </c>
      <c r="F3368" s="5">
        <v>3409450</v>
      </c>
    </row>
    <row r="3369" spans="1:6" ht="20" x14ac:dyDescent="0.25">
      <c r="A3369" s="5">
        <v>3409450</v>
      </c>
      <c r="B3369" s="1">
        <v>2022</v>
      </c>
      <c r="C3369" s="1" t="s">
        <v>1387</v>
      </c>
      <c r="D3369" s="2" t="s">
        <v>1201</v>
      </c>
      <c r="E3369" s="7">
        <v>9102643</v>
      </c>
      <c r="F3369" s="5">
        <v>3409450</v>
      </c>
    </row>
    <row r="3370" spans="1:6" ht="20" x14ac:dyDescent="0.25">
      <c r="A3370" s="5">
        <v>3409450</v>
      </c>
      <c r="B3370" s="1">
        <v>2023</v>
      </c>
      <c r="C3370" s="1" t="s">
        <v>1387</v>
      </c>
      <c r="D3370" s="2" t="s">
        <v>1201</v>
      </c>
      <c r="E3370" s="7">
        <v>9198076</v>
      </c>
      <c r="F3370" s="5">
        <v>3409450</v>
      </c>
    </row>
    <row r="3371" spans="1:6" x14ac:dyDescent="0.25">
      <c r="A3371" s="5">
        <v>3409480</v>
      </c>
      <c r="B3371" s="1">
        <v>2015</v>
      </c>
      <c r="C3371" s="1" t="s">
        <v>1387</v>
      </c>
      <c r="D3371" s="1" t="s">
        <v>552</v>
      </c>
      <c r="E3371" s="8">
        <v>58733</v>
      </c>
      <c r="F3371" s="5">
        <v>3409480</v>
      </c>
    </row>
    <row r="3372" spans="1:6" x14ac:dyDescent="0.25">
      <c r="A3372" s="5">
        <v>3409480</v>
      </c>
      <c r="B3372" s="1">
        <v>2016</v>
      </c>
      <c r="C3372" s="1" t="s">
        <v>1387</v>
      </c>
      <c r="D3372" s="1" t="s">
        <v>552</v>
      </c>
      <c r="E3372" s="8">
        <v>89311</v>
      </c>
      <c r="F3372" s="5">
        <v>3409480</v>
      </c>
    </row>
    <row r="3373" spans="1:6" x14ac:dyDescent="0.25">
      <c r="A3373" s="5">
        <v>3409480</v>
      </c>
      <c r="B3373" s="1">
        <v>2017</v>
      </c>
      <c r="C3373" s="1" t="s">
        <v>1387</v>
      </c>
      <c r="D3373" s="1" t="s">
        <v>552</v>
      </c>
      <c r="E3373" s="8">
        <v>120322</v>
      </c>
      <c r="F3373" s="5">
        <v>3409480</v>
      </c>
    </row>
    <row r="3374" spans="1:6" x14ac:dyDescent="0.25">
      <c r="A3374" s="5">
        <v>3409480</v>
      </c>
      <c r="B3374" s="1">
        <v>2018</v>
      </c>
      <c r="C3374" s="1" t="s">
        <v>1387</v>
      </c>
      <c r="D3374" s="1" t="s">
        <v>1244</v>
      </c>
      <c r="E3374" s="8">
        <v>158582</v>
      </c>
      <c r="F3374" s="5">
        <v>3409480</v>
      </c>
    </row>
    <row r="3375" spans="1:6" x14ac:dyDescent="0.25">
      <c r="A3375" s="5">
        <v>3409480</v>
      </c>
      <c r="B3375" s="1">
        <v>2019</v>
      </c>
      <c r="C3375" s="1" t="s">
        <v>1387</v>
      </c>
      <c r="D3375" s="1" t="s">
        <v>1244</v>
      </c>
      <c r="E3375" s="8">
        <v>225988</v>
      </c>
      <c r="F3375" s="5">
        <v>3409480</v>
      </c>
    </row>
    <row r="3376" spans="1:6" ht="20" x14ac:dyDescent="0.25">
      <c r="A3376" s="5">
        <v>3409480</v>
      </c>
      <c r="B3376" s="1">
        <v>2020</v>
      </c>
      <c r="C3376" s="1" t="s">
        <v>1387</v>
      </c>
      <c r="D3376" s="2" t="s">
        <v>1244</v>
      </c>
      <c r="E3376" s="7">
        <v>258676</v>
      </c>
      <c r="F3376" s="5">
        <v>3409480</v>
      </c>
    </row>
    <row r="3377" spans="1:6" ht="20" x14ac:dyDescent="0.25">
      <c r="A3377" s="5">
        <v>3409480</v>
      </c>
      <c r="B3377" s="1">
        <v>2021</v>
      </c>
      <c r="C3377" s="1" t="s">
        <v>1387</v>
      </c>
      <c r="D3377" s="3" t="s">
        <v>1244</v>
      </c>
      <c r="E3377" s="7">
        <v>381712</v>
      </c>
      <c r="F3377" s="5">
        <v>3409480</v>
      </c>
    </row>
    <row r="3378" spans="1:6" ht="20" x14ac:dyDescent="0.25">
      <c r="A3378" s="5">
        <v>3409480</v>
      </c>
      <c r="B3378" s="1">
        <v>2022</v>
      </c>
      <c r="C3378" s="1" t="s">
        <v>1387</v>
      </c>
      <c r="D3378" s="2" t="s">
        <v>1244</v>
      </c>
      <c r="E3378" s="7">
        <v>529650</v>
      </c>
      <c r="F3378" s="5">
        <v>3409480</v>
      </c>
    </row>
    <row r="3379" spans="1:6" ht="20" x14ac:dyDescent="0.25">
      <c r="A3379" s="5">
        <v>3409480</v>
      </c>
      <c r="B3379" s="1">
        <v>2023</v>
      </c>
      <c r="C3379" s="1" t="s">
        <v>1387</v>
      </c>
      <c r="D3379" s="2" t="s">
        <v>1244</v>
      </c>
      <c r="E3379" s="7">
        <v>555264</v>
      </c>
      <c r="F3379" s="5">
        <v>3409480</v>
      </c>
    </row>
    <row r="3380" spans="1:6" x14ac:dyDescent="0.25">
      <c r="A3380" s="5">
        <v>3409510</v>
      </c>
      <c r="B3380" s="1">
        <v>2015</v>
      </c>
      <c r="C3380" s="1" t="s">
        <v>1387</v>
      </c>
      <c r="D3380" s="1" t="s">
        <v>124</v>
      </c>
      <c r="E3380" s="8">
        <v>219102</v>
      </c>
      <c r="F3380" s="5">
        <v>3409510</v>
      </c>
    </row>
    <row r="3381" spans="1:6" x14ac:dyDescent="0.25">
      <c r="A3381" s="5">
        <v>3409510</v>
      </c>
      <c r="B3381" s="1">
        <v>2016</v>
      </c>
      <c r="C3381" s="1" t="s">
        <v>1387</v>
      </c>
      <c r="D3381" s="1" t="s">
        <v>124</v>
      </c>
      <c r="E3381" s="8">
        <v>339713</v>
      </c>
      <c r="F3381" s="5">
        <v>3409510</v>
      </c>
    </row>
    <row r="3382" spans="1:6" x14ac:dyDescent="0.25">
      <c r="A3382" s="5">
        <v>3409510</v>
      </c>
      <c r="B3382" s="1">
        <v>2017</v>
      </c>
      <c r="C3382" s="1" t="s">
        <v>1387</v>
      </c>
      <c r="D3382" s="1" t="s">
        <v>124</v>
      </c>
      <c r="E3382" s="8">
        <v>482546</v>
      </c>
      <c r="F3382" s="5">
        <v>3409510</v>
      </c>
    </row>
    <row r="3383" spans="1:6" x14ac:dyDescent="0.25">
      <c r="A3383" s="5">
        <v>3409510</v>
      </c>
      <c r="B3383" s="1">
        <v>2018</v>
      </c>
      <c r="C3383" s="1" t="s">
        <v>1387</v>
      </c>
      <c r="D3383" s="1" t="s">
        <v>805</v>
      </c>
      <c r="E3383" s="8">
        <v>633694</v>
      </c>
      <c r="F3383" s="5">
        <v>3409510</v>
      </c>
    </row>
    <row r="3384" spans="1:6" x14ac:dyDescent="0.25">
      <c r="A3384" s="5">
        <v>3409510</v>
      </c>
      <c r="B3384" s="1">
        <v>2019</v>
      </c>
      <c r="C3384" s="1" t="s">
        <v>1387</v>
      </c>
      <c r="D3384" s="1" t="s">
        <v>1359</v>
      </c>
      <c r="E3384" s="8">
        <v>832064</v>
      </c>
      <c r="F3384" s="5">
        <v>3409510</v>
      </c>
    </row>
    <row r="3385" spans="1:6" ht="20" x14ac:dyDescent="0.25">
      <c r="A3385" s="5">
        <v>3409510</v>
      </c>
      <c r="B3385" s="1">
        <v>2020</v>
      </c>
      <c r="C3385" s="1" t="s">
        <v>1387</v>
      </c>
      <c r="D3385" s="2" t="s">
        <v>805</v>
      </c>
      <c r="E3385" s="7">
        <v>995053</v>
      </c>
      <c r="F3385" s="5">
        <v>3409510</v>
      </c>
    </row>
    <row r="3386" spans="1:6" ht="20" x14ac:dyDescent="0.25">
      <c r="A3386" s="5">
        <v>3409510</v>
      </c>
      <c r="B3386" s="1">
        <v>2021</v>
      </c>
      <c r="C3386" s="1" t="s">
        <v>1387</v>
      </c>
      <c r="D3386" s="3" t="s">
        <v>805</v>
      </c>
      <c r="E3386" s="7">
        <v>1333042</v>
      </c>
      <c r="F3386" s="5">
        <v>3409510</v>
      </c>
    </row>
    <row r="3387" spans="1:6" ht="20" x14ac:dyDescent="0.25">
      <c r="A3387" s="5">
        <v>3409510</v>
      </c>
      <c r="B3387" s="1">
        <v>2022</v>
      </c>
      <c r="C3387" s="1" t="s">
        <v>1387</v>
      </c>
      <c r="D3387" s="2" t="s">
        <v>805</v>
      </c>
      <c r="E3387" s="7">
        <v>1888265</v>
      </c>
      <c r="F3387" s="5">
        <v>3409510</v>
      </c>
    </row>
    <row r="3388" spans="1:6" ht="20" x14ac:dyDescent="0.25">
      <c r="A3388" s="5">
        <v>3409510</v>
      </c>
      <c r="B3388" s="1">
        <v>2023</v>
      </c>
      <c r="C3388" s="1" t="s">
        <v>1387</v>
      </c>
      <c r="D3388" s="2" t="s">
        <v>805</v>
      </c>
      <c r="E3388" s="7">
        <v>1826544</v>
      </c>
      <c r="F3388" s="5">
        <v>3409510</v>
      </c>
    </row>
    <row r="3389" spans="1:6" x14ac:dyDescent="0.25">
      <c r="A3389" s="5">
        <v>3409540</v>
      </c>
      <c r="B3389" s="1">
        <v>2015</v>
      </c>
      <c r="C3389" s="1" t="s">
        <v>1387</v>
      </c>
      <c r="D3389" s="1" t="s">
        <v>650</v>
      </c>
      <c r="E3389" s="8">
        <v>251647</v>
      </c>
      <c r="F3389" s="5">
        <v>3409540</v>
      </c>
    </row>
    <row r="3390" spans="1:6" x14ac:dyDescent="0.25">
      <c r="A3390" s="5">
        <v>3409540</v>
      </c>
      <c r="B3390" s="1">
        <v>2016</v>
      </c>
      <c r="C3390" s="1" t="s">
        <v>1387</v>
      </c>
      <c r="D3390" s="1" t="s">
        <v>650</v>
      </c>
      <c r="E3390" s="8">
        <v>373061</v>
      </c>
      <c r="F3390" s="5">
        <v>3409540</v>
      </c>
    </row>
    <row r="3391" spans="1:6" x14ac:dyDescent="0.25">
      <c r="A3391" s="5">
        <v>3409540</v>
      </c>
      <c r="B3391" s="1">
        <v>2017</v>
      </c>
      <c r="C3391" s="1" t="s">
        <v>1387</v>
      </c>
      <c r="D3391" s="1" t="s">
        <v>650</v>
      </c>
      <c r="E3391" s="8">
        <v>523174</v>
      </c>
      <c r="F3391" s="5">
        <v>3409540</v>
      </c>
    </row>
    <row r="3392" spans="1:6" x14ac:dyDescent="0.25">
      <c r="A3392" s="5">
        <v>3409540</v>
      </c>
      <c r="B3392" s="1">
        <v>2018</v>
      </c>
      <c r="C3392" s="1" t="s">
        <v>1387</v>
      </c>
      <c r="D3392" s="1" t="s">
        <v>1343</v>
      </c>
      <c r="E3392" s="8">
        <v>712361</v>
      </c>
      <c r="F3392" s="5">
        <v>3409540</v>
      </c>
    </row>
    <row r="3393" spans="1:6" x14ac:dyDescent="0.25">
      <c r="A3393" s="5">
        <v>3409540</v>
      </c>
      <c r="B3393" s="1">
        <v>2019</v>
      </c>
      <c r="C3393" s="1" t="s">
        <v>1387</v>
      </c>
      <c r="D3393" s="1" t="s">
        <v>1343</v>
      </c>
      <c r="E3393" s="8">
        <v>952122</v>
      </c>
      <c r="F3393" s="5">
        <v>3409540</v>
      </c>
    </row>
    <row r="3394" spans="1:6" ht="20" x14ac:dyDescent="0.25">
      <c r="A3394" s="5">
        <v>3409540</v>
      </c>
      <c r="B3394" s="1">
        <v>2020</v>
      </c>
      <c r="C3394" s="1" t="s">
        <v>1387</v>
      </c>
      <c r="D3394" s="2" t="s">
        <v>1343</v>
      </c>
      <c r="E3394" s="7">
        <v>1041679</v>
      </c>
      <c r="F3394" s="5">
        <v>3409540</v>
      </c>
    </row>
    <row r="3395" spans="1:6" ht="20" x14ac:dyDescent="0.25">
      <c r="A3395" s="5">
        <v>3409540</v>
      </c>
      <c r="B3395" s="1">
        <v>2021</v>
      </c>
      <c r="C3395" s="1" t="s">
        <v>1387</v>
      </c>
      <c r="D3395" s="3" t="s">
        <v>1343</v>
      </c>
      <c r="E3395" s="7">
        <v>1313427</v>
      </c>
      <c r="F3395" s="5">
        <v>3409540</v>
      </c>
    </row>
    <row r="3396" spans="1:6" ht="20" x14ac:dyDescent="0.25">
      <c r="A3396" s="5">
        <v>3409540</v>
      </c>
      <c r="B3396" s="1">
        <v>2022</v>
      </c>
      <c r="C3396" s="1" t="s">
        <v>1387</v>
      </c>
      <c r="D3396" s="2" t="s">
        <v>1343</v>
      </c>
      <c r="E3396" s="7">
        <v>1894366</v>
      </c>
      <c r="F3396" s="5">
        <v>3409540</v>
      </c>
    </row>
    <row r="3397" spans="1:6" ht="20" x14ac:dyDescent="0.25">
      <c r="A3397" s="5">
        <v>3409540</v>
      </c>
      <c r="B3397" s="1">
        <v>2023</v>
      </c>
      <c r="C3397" s="1" t="s">
        <v>1387</v>
      </c>
      <c r="D3397" s="2" t="s">
        <v>1343</v>
      </c>
      <c r="E3397" s="7">
        <v>1944196</v>
      </c>
      <c r="F3397" s="5">
        <v>3409540</v>
      </c>
    </row>
    <row r="3398" spans="1:6" x14ac:dyDescent="0.25">
      <c r="A3398" s="5">
        <v>3409550</v>
      </c>
      <c r="B3398" s="1">
        <v>2015</v>
      </c>
      <c r="C3398" s="1" t="s">
        <v>1387</v>
      </c>
      <c r="D3398" s="1" t="s">
        <v>651</v>
      </c>
      <c r="E3398" s="8">
        <v>391272</v>
      </c>
      <c r="F3398" s="5">
        <v>3409550</v>
      </c>
    </row>
    <row r="3399" spans="1:6" x14ac:dyDescent="0.25">
      <c r="A3399" s="5">
        <v>3409550</v>
      </c>
      <c r="B3399" s="1">
        <v>2016</v>
      </c>
      <c r="C3399" s="1" t="s">
        <v>1387</v>
      </c>
      <c r="D3399" s="1" t="s">
        <v>651</v>
      </c>
      <c r="E3399" s="8">
        <v>582769</v>
      </c>
      <c r="F3399" s="5">
        <v>3409550</v>
      </c>
    </row>
    <row r="3400" spans="1:6" x14ac:dyDescent="0.25">
      <c r="A3400" s="5">
        <v>3409550</v>
      </c>
      <c r="B3400" s="1">
        <v>2017</v>
      </c>
      <c r="C3400" s="1" t="s">
        <v>1387</v>
      </c>
      <c r="D3400" s="1" t="s">
        <v>651</v>
      </c>
      <c r="E3400" s="8">
        <v>813140</v>
      </c>
      <c r="F3400" s="5">
        <v>3409550</v>
      </c>
    </row>
    <row r="3401" spans="1:6" x14ac:dyDescent="0.25">
      <c r="A3401" s="5">
        <v>3409550</v>
      </c>
      <c r="B3401" s="1">
        <v>2018</v>
      </c>
      <c r="C3401" s="1" t="s">
        <v>1387</v>
      </c>
      <c r="D3401" s="1" t="s">
        <v>1344</v>
      </c>
      <c r="E3401" s="8">
        <v>974199</v>
      </c>
      <c r="F3401" s="5">
        <v>3409550</v>
      </c>
    </row>
    <row r="3402" spans="1:6" x14ac:dyDescent="0.25">
      <c r="A3402" s="5">
        <v>3409550</v>
      </c>
      <c r="B3402" s="1">
        <v>2019</v>
      </c>
      <c r="C3402" s="1" t="s">
        <v>1387</v>
      </c>
      <c r="D3402" s="1" t="s">
        <v>1344</v>
      </c>
      <c r="E3402" s="8">
        <v>1282568</v>
      </c>
      <c r="F3402" s="5">
        <v>3409550</v>
      </c>
    </row>
    <row r="3403" spans="1:6" ht="20" x14ac:dyDescent="0.25">
      <c r="A3403" s="5">
        <v>3409550</v>
      </c>
      <c r="B3403" s="1">
        <v>2020</v>
      </c>
      <c r="C3403" s="1" t="s">
        <v>1387</v>
      </c>
      <c r="D3403" s="2" t="s">
        <v>1344</v>
      </c>
      <c r="E3403" s="7">
        <v>1440905</v>
      </c>
      <c r="F3403" s="5">
        <v>3409550</v>
      </c>
    </row>
    <row r="3404" spans="1:6" ht="20" x14ac:dyDescent="0.25">
      <c r="A3404" s="5">
        <v>3409550</v>
      </c>
      <c r="B3404" s="1">
        <v>2021</v>
      </c>
      <c r="C3404" s="1" t="s">
        <v>1387</v>
      </c>
      <c r="D3404" s="3" t="s">
        <v>1344</v>
      </c>
      <c r="E3404" s="7">
        <v>1847950</v>
      </c>
      <c r="F3404" s="5">
        <v>3409550</v>
      </c>
    </row>
    <row r="3405" spans="1:6" ht="20" x14ac:dyDescent="0.25">
      <c r="A3405" s="5">
        <v>3409550</v>
      </c>
      <c r="B3405" s="1">
        <v>2022</v>
      </c>
      <c r="C3405" s="1" t="s">
        <v>1387</v>
      </c>
      <c r="D3405" s="2" t="s">
        <v>1344</v>
      </c>
      <c r="E3405" s="7">
        <v>2524526</v>
      </c>
      <c r="F3405" s="5">
        <v>3409550</v>
      </c>
    </row>
    <row r="3406" spans="1:6" ht="20" x14ac:dyDescent="0.25">
      <c r="A3406" s="5">
        <v>3409550</v>
      </c>
      <c r="B3406" s="1">
        <v>2023</v>
      </c>
      <c r="C3406" s="1" t="s">
        <v>1387</v>
      </c>
      <c r="D3406" s="2" t="s">
        <v>1344</v>
      </c>
      <c r="E3406" s="7">
        <v>2150537</v>
      </c>
      <c r="F3406" s="5">
        <v>3409550</v>
      </c>
    </row>
    <row r="3407" spans="1:6" x14ac:dyDescent="0.25">
      <c r="A3407" s="5">
        <v>3409600</v>
      </c>
      <c r="B3407" s="1">
        <v>2015</v>
      </c>
      <c r="C3407" s="1" t="s">
        <v>1387</v>
      </c>
      <c r="D3407" s="1" t="s">
        <v>288</v>
      </c>
      <c r="E3407" s="8">
        <v>445855</v>
      </c>
      <c r="F3407" s="5">
        <v>3409600</v>
      </c>
    </row>
    <row r="3408" spans="1:6" x14ac:dyDescent="0.25">
      <c r="A3408" s="5">
        <v>3409600</v>
      </c>
      <c r="B3408" s="1">
        <v>2016</v>
      </c>
      <c r="C3408" s="1" t="s">
        <v>1387</v>
      </c>
      <c r="D3408" s="1" t="s">
        <v>288</v>
      </c>
      <c r="E3408" s="8">
        <v>673118</v>
      </c>
      <c r="F3408" s="5">
        <v>3409600</v>
      </c>
    </row>
    <row r="3409" spans="1:6" x14ac:dyDescent="0.25">
      <c r="A3409" s="5">
        <v>3409600</v>
      </c>
      <c r="B3409" s="1">
        <v>2017</v>
      </c>
      <c r="C3409" s="1" t="s">
        <v>1387</v>
      </c>
      <c r="D3409" s="1" t="s">
        <v>288</v>
      </c>
      <c r="E3409" s="8">
        <v>980768</v>
      </c>
      <c r="F3409" s="5">
        <v>3409600</v>
      </c>
    </row>
    <row r="3410" spans="1:6" x14ac:dyDescent="0.25">
      <c r="A3410" s="5">
        <v>3409600</v>
      </c>
      <c r="B3410" s="1">
        <v>2018</v>
      </c>
      <c r="C3410" s="1" t="s">
        <v>1387</v>
      </c>
      <c r="D3410" s="1" t="s">
        <v>978</v>
      </c>
      <c r="E3410" s="8">
        <v>1342957</v>
      </c>
      <c r="F3410" s="5">
        <v>3409600</v>
      </c>
    </row>
    <row r="3411" spans="1:6" x14ac:dyDescent="0.25">
      <c r="A3411" s="5">
        <v>3409600</v>
      </c>
      <c r="B3411" s="1">
        <v>2019</v>
      </c>
      <c r="C3411" s="1" t="s">
        <v>1387</v>
      </c>
      <c r="D3411" s="1" t="s">
        <v>978</v>
      </c>
      <c r="E3411" s="8">
        <v>1754874</v>
      </c>
      <c r="F3411" s="5">
        <v>3409600</v>
      </c>
    </row>
    <row r="3412" spans="1:6" ht="20" x14ac:dyDescent="0.25">
      <c r="A3412" s="5">
        <v>3409600</v>
      </c>
      <c r="B3412" s="1">
        <v>2020</v>
      </c>
      <c r="C3412" s="1" t="s">
        <v>1387</v>
      </c>
      <c r="D3412" s="2" t="s">
        <v>978</v>
      </c>
      <c r="E3412" s="7">
        <v>1958350</v>
      </c>
      <c r="F3412" s="5">
        <v>3409600</v>
      </c>
    </row>
    <row r="3413" spans="1:6" ht="20" x14ac:dyDescent="0.25">
      <c r="A3413" s="5">
        <v>3409600</v>
      </c>
      <c r="B3413" s="1">
        <v>2021</v>
      </c>
      <c r="C3413" s="1" t="s">
        <v>1387</v>
      </c>
      <c r="D3413" s="3" t="s">
        <v>978</v>
      </c>
      <c r="E3413" s="7">
        <v>2628601</v>
      </c>
      <c r="F3413" s="5">
        <v>3409600</v>
      </c>
    </row>
    <row r="3414" spans="1:6" ht="20" x14ac:dyDescent="0.25">
      <c r="A3414" s="5">
        <v>3409600</v>
      </c>
      <c r="B3414" s="1">
        <v>2022</v>
      </c>
      <c r="C3414" s="1" t="s">
        <v>1387</v>
      </c>
      <c r="D3414" s="2" t="s">
        <v>978</v>
      </c>
      <c r="E3414" s="7">
        <v>3630403</v>
      </c>
      <c r="F3414" s="5">
        <v>3409600</v>
      </c>
    </row>
    <row r="3415" spans="1:6" ht="20" x14ac:dyDescent="0.25">
      <c r="A3415" s="5">
        <v>3409600</v>
      </c>
      <c r="B3415" s="1">
        <v>2023</v>
      </c>
      <c r="C3415" s="1" t="s">
        <v>1387</v>
      </c>
      <c r="D3415" s="2" t="s">
        <v>978</v>
      </c>
      <c r="E3415" s="7">
        <v>3793618</v>
      </c>
      <c r="F3415" s="5">
        <v>3409600</v>
      </c>
    </row>
    <row r="3416" spans="1:6" x14ac:dyDescent="0.25">
      <c r="A3416" s="5">
        <v>3409630</v>
      </c>
      <c r="B3416" s="1">
        <v>2015</v>
      </c>
      <c r="C3416" s="1" t="s">
        <v>1387</v>
      </c>
      <c r="D3416" s="1" t="s">
        <v>572</v>
      </c>
      <c r="E3416" s="8">
        <v>455761</v>
      </c>
      <c r="F3416" s="5">
        <v>3409630</v>
      </c>
    </row>
    <row r="3417" spans="1:6" x14ac:dyDescent="0.25">
      <c r="A3417" s="5">
        <v>3409630</v>
      </c>
      <c r="B3417" s="1">
        <v>2016</v>
      </c>
      <c r="C3417" s="1" t="s">
        <v>1387</v>
      </c>
      <c r="D3417" s="1" t="s">
        <v>572</v>
      </c>
      <c r="E3417" s="8">
        <v>680805</v>
      </c>
      <c r="F3417" s="5">
        <v>3409630</v>
      </c>
    </row>
    <row r="3418" spans="1:6" x14ac:dyDescent="0.25">
      <c r="A3418" s="5">
        <v>3409630</v>
      </c>
      <c r="B3418" s="1">
        <v>2017</v>
      </c>
      <c r="C3418" s="1" t="s">
        <v>1387</v>
      </c>
      <c r="D3418" s="1" t="s">
        <v>572</v>
      </c>
      <c r="E3418" s="8">
        <v>896393</v>
      </c>
      <c r="F3418" s="5">
        <v>3409630</v>
      </c>
    </row>
    <row r="3419" spans="1:6" x14ac:dyDescent="0.25">
      <c r="A3419" s="5">
        <v>3409630</v>
      </c>
      <c r="B3419" s="1">
        <v>2018</v>
      </c>
      <c r="C3419" s="1" t="s">
        <v>1387</v>
      </c>
      <c r="D3419" s="1" t="s">
        <v>1264</v>
      </c>
      <c r="E3419" s="8">
        <v>1271969</v>
      </c>
      <c r="F3419" s="5">
        <v>3409630</v>
      </c>
    </row>
    <row r="3420" spans="1:6" x14ac:dyDescent="0.25">
      <c r="A3420" s="5">
        <v>3409630</v>
      </c>
      <c r="B3420" s="1">
        <v>2019</v>
      </c>
      <c r="C3420" s="1" t="s">
        <v>1387</v>
      </c>
      <c r="D3420" s="1" t="s">
        <v>1264</v>
      </c>
      <c r="E3420" s="8">
        <v>1690091</v>
      </c>
      <c r="F3420" s="5">
        <v>3409630</v>
      </c>
    </row>
    <row r="3421" spans="1:6" ht="20" x14ac:dyDescent="0.25">
      <c r="A3421" s="5">
        <v>3409630</v>
      </c>
      <c r="B3421" s="1">
        <v>2020</v>
      </c>
      <c r="C3421" s="1" t="s">
        <v>1387</v>
      </c>
      <c r="D3421" s="2" t="s">
        <v>1264</v>
      </c>
      <c r="E3421" s="7">
        <v>1987605</v>
      </c>
      <c r="F3421" s="5">
        <v>3409630</v>
      </c>
    </row>
    <row r="3422" spans="1:6" ht="20" x14ac:dyDescent="0.25">
      <c r="A3422" s="5">
        <v>3409630</v>
      </c>
      <c r="B3422" s="1">
        <v>2021</v>
      </c>
      <c r="C3422" s="1" t="s">
        <v>1387</v>
      </c>
      <c r="D3422" s="3" t="s">
        <v>1264</v>
      </c>
      <c r="E3422" s="7">
        <v>2673045</v>
      </c>
      <c r="F3422" s="5">
        <v>3409630</v>
      </c>
    </row>
    <row r="3423" spans="1:6" ht="20" x14ac:dyDescent="0.25">
      <c r="A3423" s="5">
        <v>3409630</v>
      </c>
      <c r="B3423" s="1">
        <v>2022</v>
      </c>
      <c r="C3423" s="1" t="s">
        <v>1387</v>
      </c>
      <c r="D3423" s="2" t="s">
        <v>1264</v>
      </c>
      <c r="E3423" s="7">
        <v>4257104</v>
      </c>
      <c r="F3423" s="5">
        <v>3409630</v>
      </c>
    </row>
    <row r="3424" spans="1:6" ht="20" x14ac:dyDescent="0.25">
      <c r="A3424" s="5">
        <v>3409630</v>
      </c>
      <c r="B3424" s="1">
        <v>2023</v>
      </c>
      <c r="C3424" s="1" t="s">
        <v>1387</v>
      </c>
      <c r="D3424" s="2" t="s">
        <v>1264</v>
      </c>
      <c r="E3424" s="7">
        <v>4307403</v>
      </c>
      <c r="F3424" s="5">
        <v>3409630</v>
      </c>
    </row>
    <row r="3425" spans="1:6" x14ac:dyDescent="0.25">
      <c r="A3425" s="5">
        <v>3409660</v>
      </c>
      <c r="B3425" s="1">
        <v>2015</v>
      </c>
      <c r="C3425" s="1" t="s">
        <v>1387</v>
      </c>
      <c r="D3425" s="1" t="s">
        <v>125</v>
      </c>
      <c r="E3425" s="8">
        <v>774282</v>
      </c>
      <c r="F3425" s="5">
        <v>3409660</v>
      </c>
    </row>
    <row r="3426" spans="1:6" x14ac:dyDescent="0.25">
      <c r="A3426" s="5">
        <v>3409660</v>
      </c>
      <c r="B3426" s="1">
        <v>2016</v>
      </c>
      <c r="C3426" s="1" t="s">
        <v>1387</v>
      </c>
      <c r="D3426" s="1" t="s">
        <v>125</v>
      </c>
      <c r="E3426" s="8">
        <v>1181606</v>
      </c>
      <c r="F3426" s="5">
        <v>3409660</v>
      </c>
    </row>
    <row r="3427" spans="1:6" x14ac:dyDescent="0.25">
      <c r="A3427" s="5">
        <v>3409660</v>
      </c>
      <c r="B3427" s="1">
        <v>2017</v>
      </c>
      <c r="C3427" s="1" t="s">
        <v>1387</v>
      </c>
      <c r="D3427" s="1" t="s">
        <v>125</v>
      </c>
      <c r="E3427" s="8">
        <v>1655745</v>
      </c>
      <c r="F3427" s="5">
        <v>3409660</v>
      </c>
    </row>
    <row r="3428" spans="1:6" x14ac:dyDescent="0.25">
      <c r="A3428" s="5">
        <v>3409660</v>
      </c>
      <c r="B3428" s="1">
        <v>2018</v>
      </c>
      <c r="C3428" s="1" t="s">
        <v>1387</v>
      </c>
      <c r="D3428" s="1" t="s">
        <v>806</v>
      </c>
      <c r="E3428" s="8">
        <v>2272261</v>
      </c>
      <c r="F3428" s="5">
        <v>3409660</v>
      </c>
    </row>
    <row r="3429" spans="1:6" x14ac:dyDescent="0.25">
      <c r="A3429" s="5">
        <v>3409660</v>
      </c>
      <c r="B3429" s="1">
        <v>2019</v>
      </c>
      <c r="C3429" s="1" t="s">
        <v>1387</v>
      </c>
      <c r="D3429" s="1" t="s">
        <v>806</v>
      </c>
      <c r="E3429" s="8">
        <v>3000904</v>
      </c>
      <c r="F3429" s="5">
        <v>3409660</v>
      </c>
    </row>
    <row r="3430" spans="1:6" ht="20" x14ac:dyDescent="0.25">
      <c r="A3430" s="5">
        <v>3409660</v>
      </c>
      <c r="B3430" s="1">
        <v>2020</v>
      </c>
      <c r="C3430" s="1" t="s">
        <v>1387</v>
      </c>
      <c r="D3430" s="2" t="s">
        <v>806</v>
      </c>
      <c r="E3430" s="7">
        <v>3464355</v>
      </c>
      <c r="F3430" s="5">
        <v>3409660</v>
      </c>
    </row>
    <row r="3431" spans="1:6" ht="20" x14ac:dyDescent="0.25">
      <c r="A3431" s="5">
        <v>3409660</v>
      </c>
      <c r="B3431" s="1">
        <v>2021</v>
      </c>
      <c r="C3431" s="1" t="s">
        <v>1387</v>
      </c>
      <c r="D3431" s="3" t="s">
        <v>806</v>
      </c>
      <c r="E3431" s="7">
        <v>4813639</v>
      </c>
      <c r="F3431" s="5">
        <v>3409660</v>
      </c>
    </row>
    <row r="3432" spans="1:6" ht="20" x14ac:dyDescent="0.25">
      <c r="A3432" s="5">
        <v>3409660</v>
      </c>
      <c r="B3432" s="1">
        <v>2022</v>
      </c>
      <c r="C3432" s="1" t="s">
        <v>1387</v>
      </c>
      <c r="D3432" s="2" t="s">
        <v>806</v>
      </c>
      <c r="E3432" s="7">
        <v>6948851</v>
      </c>
      <c r="F3432" s="5">
        <v>3409660</v>
      </c>
    </row>
    <row r="3433" spans="1:6" ht="20" x14ac:dyDescent="0.25">
      <c r="A3433" s="5">
        <v>3409660</v>
      </c>
      <c r="B3433" s="1">
        <v>2023</v>
      </c>
      <c r="C3433" s="1" t="s">
        <v>1387</v>
      </c>
      <c r="D3433" s="2" t="s">
        <v>806</v>
      </c>
      <c r="E3433" s="7">
        <v>6819755</v>
      </c>
      <c r="F3433" s="5">
        <v>3409660</v>
      </c>
    </row>
    <row r="3434" spans="1:6" x14ac:dyDescent="0.25">
      <c r="A3434" s="5">
        <v>3409690</v>
      </c>
      <c r="B3434" s="1">
        <v>2015</v>
      </c>
      <c r="C3434" s="1" t="s">
        <v>1387</v>
      </c>
      <c r="D3434" s="1" t="s">
        <v>18</v>
      </c>
      <c r="E3434" s="8">
        <v>254102</v>
      </c>
      <c r="F3434" s="5">
        <v>3409690</v>
      </c>
    </row>
    <row r="3435" spans="1:6" x14ac:dyDescent="0.25">
      <c r="A3435" s="5">
        <v>3409690</v>
      </c>
      <c r="B3435" s="1">
        <v>2016</v>
      </c>
      <c r="C3435" s="1" t="s">
        <v>1387</v>
      </c>
      <c r="D3435" s="1" t="s">
        <v>18</v>
      </c>
      <c r="E3435" s="8">
        <v>364944</v>
      </c>
      <c r="F3435" s="5">
        <v>3409690</v>
      </c>
    </row>
    <row r="3436" spans="1:6" x14ac:dyDescent="0.25">
      <c r="A3436" s="5">
        <v>3409690</v>
      </c>
      <c r="B3436" s="1">
        <v>2017</v>
      </c>
      <c r="C3436" s="1" t="s">
        <v>1387</v>
      </c>
      <c r="D3436" s="1" t="s">
        <v>18</v>
      </c>
      <c r="E3436" s="8">
        <v>528237</v>
      </c>
      <c r="F3436" s="5">
        <v>3409690</v>
      </c>
    </row>
    <row r="3437" spans="1:6" x14ac:dyDescent="0.25">
      <c r="A3437" s="5">
        <v>3409690</v>
      </c>
      <c r="B3437" s="1">
        <v>2018</v>
      </c>
      <c r="C3437" s="1" t="s">
        <v>1387</v>
      </c>
      <c r="D3437" s="1" t="s">
        <v>697</v>
      </c>
      <c r="E3437" s="8">
        <v>718032</v>
      </c>
      <c r="F3437" s="5">
        <v>3409690</v>
      </c>
    </row>
    <row r="3438" spans="1:6" x14ac:dyDescent="0.25">
      <c r="A3438" s="5">
        <v>3409690</v>
      </c>
      <c r="B3438" s="1">
        <v>2019</v>
      </c>
      <c r="C3438" s="1" t="s">
        <v>1387</v>
      </c>
      <c r="D3438" s="1" t="s">
        <v>697</v>
      </c>
      <c r="E3438" s="8">
        <v>1008384</v>
      </c>
      <c r="F3438" s="5">
        <v>3409690</v>
      </c>
    </row>
    <row r="3439" spans="1:6" ht="20" x14ac:dyDescent="0.25">
      <c r="A3439" s="5">
        <v>3409690</v>
      </c>
      <c r="B3439" s="1">
        <v>2020</v>
      </c>
      <c r="C3439" s="1" t="s">
        <v>1387</v>
      </c>
      <c r="D3439" s="2" t="s">
        <v>697</v>
      </c>
      <c r="E3439" s="7">
        <v>1120001</v>
      </c>
      <c r="F3439" s="5">
        <v>3409690</v>
      </c>
    </row>
    <row r="3440" spans="1:6" ht="20" x14ac:dyDescent="0.25">
      <c r="A3440" s="5">
        <v>3409690</v>
      </c>
      <c r="B3440" s="1">
        <v>2021</v>
      </c>
      <c r="C3440" s="1" t="s">
        <v>1387</v>
      </c>
      <c r="D3440" s="3" t="s">
        <v>697</v>
      </c>
      <c r="E3440" s="7">
        <v>1327843</v>
      </c>
      <c r="F3440" s="5">
        <v>3409690</v>
      </c>
    </row>
    <row r="3441" spans="1:6" ht="20" x14ac:dyDescent="0.25">
      <c r="A3441" s="5">
        <v>3409690</v>
      </c>
      <c r="B3441" s="1">
        <v>2022</v>
      </c>
      <c r="C3441" s="1" t="s">
        <v>1387</v>
      </c>
      <c r="D3441" s="2" t="s">
        <v>697</v>
      </c>
      <c r="E3441" s="7">
        <v>1892553</v>
      </c>
      <c r="F3441" s="5">
        <v>3409690</v>
      </c>
    </row>
    <row r="3442" spans="1:6" ht="20" x14ac:dyDescent="0.25">
      <c r="A3442" s="5">
        <v>3409690</v>
      </c>
      <c r="B3442" s="1">
        <v>2023</v>
      </c>
      <c r="C3442" s="1" t="s">
        <v>1387</v>
      </c>
      <c r="D3442" s="2" t="s">
        <v>697</v>
      </c>
      <c r="E3442" s="7">
        <v>1870147</v>
      </c>
      <c r="F3442" s="5">
        <v>3409690</v>
      </c>
    </row>
    <row r="3443" spans="1:6" x14ac:dyDescent="0.25">
      <c r="A3443" s="5">
        <v>3409720</v>
      </c>
      <c r="B3443" s="1">
        <v>2015</v>
      </c>
      <c r="C3443" s="1" t="s">
        <v>1387</v>
      </c>
      <c r="D3443" s="1" t="s">
        <v>427</v>
      </c>
      <c r="E3443" s="8">
        <v>2028574</v>
      </c>
      <c r="F3443" s="5">
        <v>3409720</v>
      </c>
    </row>
    <row r="3444" spans="1:6" x14ac:dyDescent="0.25">
      <c r="A3444" s="5">
        <v>3409720</v>
      </c>
      <c r="B3444" s="1">
        <v>2016</v>
      </c>
      <c r="C3444" s="1" t="s">
        <v>1387</v>
      </c>
      <c r="D3444" s="1" t="s">
        <v>427</v>
      </c>
      <c r="E3444" s="8">
        <v>2970255</v>
      </c>
      <c r="F3444" s="5">
        <v>3409720</v>
      </c>
    </row>
    <row r="3445" spans="1:6" x14ac:dyDescent="0.25">
      <c r="A3445" s="5">
        <v>3409720</v>
      </c>
      <c r="B3445" s="1">
        <v>2017</v>
      </c>
      <c r="C3445" s="1" t="s">
        <v>1387</v>
      </c>
      <c r="D3445" s="1" t="s">
        <v>427</v>
      </c>
      <c r="E3445" s="8">
        <v>4093888</v>
      </c>
      <c r="F3445" s="5">
        <v>3409720</v>
      </c>
    </row>
    <row r="3446" spans="1:6" x14ac:dyDescent="0.25">
      <c r="A3446" s="5">
        <v>3409720</v>
      </c>
      <c r="B3446" s="1">
        <v>2018</v>
      </c>
      <c r="C3446" s="1" t="s">
        <v>1387</v>
      </c>
      <c r="D3446" s="1" t="s">
        <v>1119</v>
      </c>
      <c r="E3446" s="8">
        <v>5551714</v>
      </c>
      <c r="F3446" s="5">
        <v>3409720</v>
      </c>
    </row>
    <row r="3447" spans="1:6" x14ac:dyDescent="0.25">
      <c r="A3447" s="5">
        <v>3409720</v>
      </c>
      <c r="B3447" s="1">
        <v>2019</v>
      </c>
      <c r="C3447" s="1" t="s">
        <v>1387</v>
      </c>
      <c r="D3447" s="1" t="s">
        <v>1119</v>
      </c>
      <c r="E3447" s="8">
        <v>7177321</v>
      </c>
      <c r="F3447" s="5">
        <v>3409720</v>
      </c>
    </row>
    <row r="3448" spans="1:6" ht="20" x14ac:dyDescent="0.25">
      <c r="A3448" s="5">
        <v>3409720</v>
      </c>
      <c r="B3448" s="1">
        <v>2020</v>
      </c>
      <c r="C3448" s="1" t="s">
        <v>1387</v>
      </c>
      <c r="D3448" s="2" t="s">
        <v>1119</v>
      </c>
      <c r="E3448" s="7">
        <v>8366715</v>
      </c>
      <c r="F3448" s="5">
        <v>3409720</v>
      </c>
    </row>
    <row r="3449" spans="1:6" ht="20" x14ac:dyDescent="0.25">
      <c r="A3449" s="5">
        <v>3409720</v>
      </c>
      <c r="B3449" s="1">
        <v>2021</v>
      </c>
      <c r="C3449" s="1" t="s">
        <v>1387</v>
      </c>
      <c r="D3449" s="3" t="s">
        <v>1119</v>
      </c>
      <c r="E3449" s="7">
        <v>10639162</v>
      </c>
      <c r="F3449" s="5">
        <v>3409720</v>
      </c>
    </row>
    <row r="3450" spans="1:6" ht="20" x14ac:dyDescent="0.25">
      <c r="A3450" s="5">
        <v>3409720</v>
      </c>
      <c r="B3450" s="1">
        <v>2022</v>
      </c>
      <c r="C3450" s="1" t="s">
        <v>1387</v>
      </c>
      <c r="D3450" s="2" t="s">
        <v>1119</v>
      </c>
      <c r="E3450" s="7">
        <v>14923089</v>
      </c>
      <c r="F3450" s="5">
        <v>3409720</v>
      </c>
    </row>
    <row r="3451" spans="1:6" ht="20" x14ac:dyDescent="0.25">
      <c r="A3451" s="5">
        <v>3409720</v>
      </c>
      <c r="B3451" s="1">
        <v>2023</v>
      </c>
      <c r="C3451" s="1" t="s">
        <v>1387</v>
      </c>
      <c r="D3451" s="2" t="s">
        <v>1119</v>
      </c>
      <c r="E3451" s="7">
        <v>14936211</v>
      </c>
      <c r="F3451" s="5">
        <v>3409720</v>
      </c>
    </row>
    <row r="3452" spans="1:6" x14ac:dyDescent="0.25">
      <c r="A3452" s="5">
        <v>3409750</v>
      </c>
      <c r="B3452" s="1">
        <v>2015</v>
      </c>
      <c r="C3452" s="1" t="s">
        <v>1387</v>
      </c>
      <c r="D3452" s="1" t="s">
        <v>428</v>
      </c>
      <c r="E3452" s="8">
        <v>1434652</v>
      </c>
      <c r="F3452" s="5">
        <v>3409750</v>
      </c>
    </row>
    <row r="3453" spans="1:6" x14ac:dyDescent="0.25">
      <c r="A3453" s="5">
        <v>3409750</v>
      </c>
      <c r="B3453" s="1">
        <v>2016</v>
      </c>
      <c r="C3453" s="1" t="s">
        <v>1387</v>
      </c>
      <c r="D3453" s="1" t="s">
        <v>428</v>
      </c>
      <c r="E3453" s="8">
        <v>2112352</v>
      </c>
      <c r="F3453" s="5">
        <v>3409750</v>
      </c>
    </row>
    <row r="3454" spans="1:6" x14ac:dyDescent="0.25">
      <c r="A3454" s="5">
        <v>3409750</v>
      </c>
      <c r="B3454" s="1">
        <v>2017</v>
      </c>
      <c r="C3454" s="1" t="s">
        <v>1387</v>
      </c>
      <c r="D3454" s="1" t="s">
        <v>428</v>
      </c>
      <c r="E3454" s="8">
        <v>3008630</v>
      </c>
      <c r="F3454" s="5">
        <v>3409750</v>
      </c>
    </row>
    <row r="3455" spans="1:6" x14ac:dyDescent="0.25">
      <c r="A3455" s="5">
        <v>3409750</v>
      </c>
      <c r="B3455" s="1">
        <v>2018</v>
      </c>
      <c r="C3455" s="1" t="s">
        <v>1387</v>
      </c>
      <c r="D3455" s="1" t="s">
        <v>1120</v>
      </c>
      <c r="E3455" s="8">
        <v>4146934</v>
      </c>
      <c r="F3455" s="5">
        <v>3409750</v>
      </c>
    </row>
    <row r="3456" spans="1:6" x14ac:dyDescent="0.25">
      <c r="A3456" s="5">
        <v>3409750</v>
      </c>
      <c r="B3456" s="1">
        <v>2019</v>
      </c>
      <c r="C3456" s="1" t="s">
        <v>1387</v>
      </c>
      <c r="D3456" s="1" t="s">
        <v>1120</v>
      </c>
      <c r="E3456" s="8">
        <v>5612537</v>
      </c>
      <c r="F3456" s="5">
        <v>3409750</v>
      </c>
    </row>
    <row r="3457" spans="1:6" ht="20" x14ac:dyDescent="0.25">
      <c r="A3457" s="5">
        <v>3409750</v>
      </c>
      <c r="B3457" s="1">
        <v>2020</v>
      </c>
      <c r="C3457" s="1" t="s">
        <v>1387</v>
      </c>
      <c r="D3457" s="2" t="s">
        <v>1120</v>
      </c>
      <c r="E3457" s="7">
        <v>6225631</v>
      </c>
      <c r="F3457" s="5">
        <v>3409750</v>
      </c>
    </row>
    <row r="3458" spans="1:6" ht="20" x14ac:dyDescent="0.25">
      <c r="A3458" s="5">
        <v>3409750</v>
      </c>
      <c r="B3458" s="1">
        <v>2021</v>
      </c>
      <c r="C3458" s="1" t="s">
        <v>1387</v>
      </c>
      <c r="D3458" s="3" t="s">
        <v>1120</v>
      </c>
      <c r="E3458" s="7">
        <v>7871617</v>
      </c>
      <c r="F3458" s="5">
        <v>3409750</v>
      </c>
    </row>
    <row r="3459" spans="1:6" ht="20" x14ac:dyDescent="0.25">
      <c r="A3459" s="5">
        <v>3409750</v>
      </c>
      <c r="B3459" s="1">
        <v>2022</v>
      </c>
      <c r="C3459" s="1" t="s">
        <v>1387</v>
      </c>
      <c r="D3459" s="2" t="s">
        <v>1120</v>
      </c>
      <c r="E3459" s="7">
        <v>11334923</v>
      </c>
      <c r="F3459" s="5">
        <v>3409750</v>
      </c>
    </row>
    <row r="3460" spans="1:6" ht="20" x14ac:dyDescent="0.25">
      <c r="A3460" s="5">
        <v>3409750</v>
      </c>
      <c r="B3460" s="1">
        <v>2023</v>
      </c>
      <c r="C3460" s="1" t="s">
        <v>1387</v>
      </c>
      <c r="D3460" s="2" t="s">
        <v>1120</v>
      </c>
      <c r="E3460" s="7">
        <v>11248798</v>
      </c>
      <c r="F3460" s="5">
        <v>3409750</v>
      </c>
    </row>
    <row r="3461" spans="1:6" x14ac:dyDescent="0.25">
      <c r="A3461" s="5">
        <v>3409780</v>
      </c>
      <c r="B3461" s="1">
        <v>2015</v>
      </c>
      <c r="C3461" s="1" t="s">
        <v>1387</v>
      </c>
      <c r="D3461" s="1" t="s">
        <v>222</v>
      </c>
      <c r="E3461" s="8">
        <v>133237</v>
      </c>
      <c r="F3461" s="5">
        <v>3409780</v>
      </c>
    </row>
    <row r="3462" spans="1:6" x14ac:dyDescent="0.25">
      <c r="A3462" s="5">
        <v>3409780</v>
      </c>
      <c r="B3462" s="1">
        <v>2016</v>
      </c>
      <c r="C3462" s="1" t="s">
        <v>1387</v>
      </c>
      <c r="D3462" s="1" t="s">
        <v>222</v>
      </c>
      <c r="E3462" s="8">
        <v>196021</v>
      </c>
      <c r="F3462" s="5">
        <v>3409780</v>
      </c>
    </row>
    <row r="3463" spans="1:6" x14ac:dyDescent="0.25">
      <c r="A3463" s="5">
        <v>3409780</v>
      </c>
      <c r="B3463" s="1">
        <v>2017</v>
      </c>
      <c r="C3463" s="1" t="s">
        <v>1387</v>
      </c>
      <c r="D3463" s="1" t="s">
        <v>222</v>
      </c>
      <c r="E3463" s="8">
        <v>269185</v>
      </c>
      <c r="F3463" s="5">
        <v>3409780</v>
      </c>
    </row>
    <row r="3464" spans="1:6" x14ac:dyDescent="0.25">
      <c r="A3464" s="5">
        <v>3409780</v>
      </c>
      <c r="B3464" s="1">
        <v>2018</v>
      </c>
      <c r="C3464" s="1" t="s">
        <v>1387</v>
      </c>
      <c r="D3464" s="1" t="s">
        <v>908</v>
      </c>
      <c r="E3464" s="8">
        <v>340576</v>
      </c>
      <c r="F3464" s="5">
        <v>3409780</v>
      </c>
    </row>
    <row r="3465" spans="1:6" x14ac:dyDescent="0.25">
      <c r="A3465" s="5">
        <v>3409780</v>
      </c>
      <c r="B3465" s="1">
        <v>2019</v>
      </c>
      <c r="C3465" s="1" t="s">
        <v>1387</v>
      </c>
      <c r="D3465" s="1" t="s">
        <v>908</v>
      </c>
      <c r="E3465" s="8">
        <v>458881</v>
      </c>
      <c r="F3465" s="5">
        <v>3409780</v>
      </c>
    </row>
    <row r="3466" spans="1:6" ht="20" x14ac:dyDescent="0.25">
      <c r="A3466" s="5">
        <v>3409780</v>
      </c>
      <c r="B3466" s="1">
        <v>2020</v>
      </c>
      <c r="C3466" s="1" t="s">
        <v>1387</v>
      </c>
      <c r="D3466" s="2" t="s">
        <v>908</v>
      </c>
      <c r="E3466" s="7">
        <v>526168</v>
      </c>
      <c r="F3466" s="5">
        <v>3409780</v>
      </c>
    </row>
    <row r="3467" spans="1:6" ht="20" x14ac:dyDescent="0.25">
      <c r="A3467" s="5">
        <v>3409780</v>
      </c>
      <c r="B3467" s="1">
        <v>2021</v>
      </c>
      <c r="C3467" s="1" t="s">
        <v>1387</v>
      </c>
      <c r="D3467" s="3" t="s">
        <v>908</v>
      </c>
      <c r="E3467" s="7">
        <v>667829</v>
      </c>
      <c r="F3467" s="5">
        <v>3409780</v>
      </c>
    </row>
    <row r="3468" spans="1:6" ht="20" x14ac:dyDescent="0.25">
      <c r="A3468" s="5">
        <v>3409780</v>
      </c>
      <c r="B3468" s="1">
        <v>2022</v>
      </c>
      <c r="C3468" s="1" t="s">
        <v>1387</v>
      </c>
      <c r="D3468" s="2" t="s">
        <v>908</v>
      </c>
      <c r="E3468" s="7">
        <v>950553</v>
      </c>
      <c r="F3468" s="5">
        <v>3409780</v>
      </c>
    </row>
    <row r="3469" spans="1:6" ht="20" x14ac:dyDescent="0.25">
      <c r="A3469" s="5">
        <v>3409780</v>
      </c>
      <c r="B3469" s="1">
        <v>2023</v>
      </c>
      <c r="C3469" s="1" t="s">
        <v>1387</v>
      </c>
      <c r="D3469" s="2" t="s">
        <v>908</v>
      </c>
      <c r="E3469" s="7">
        <v>904672</v>
      </c>
      <c r="F3469" s="5">
        <v>3409780</v>
      </c>
    </row>
    <row r="3470" spans="1:6" x14ac:dyDescent="0.25">
      <c r="A3470" s="5">
        <v>3409810</v>
      </c>
      <c r="B3470" s="1">
        <v>2015</v>
      </c>
      <c r="C3470" s="1" t="s">
        <v>1387</v>
      </c>
      <c r="D3470" s="1" t="s">
        <v>65</v>
      </c>
      <c r="E3470" s="8">
        <v>302315</v>
      </c>
      <c r="F3470" s="5">
        <v>3409810</v>
      </c>
    </row>
    <row r="3471" spans="1:6" x14ac:dyDescent="0.25">
      <c r="A3471" s="5">
        <v>3409810</v>
      </c>
      <c r="B3471" s="1">
        <v>2016</v>
      </c>
      <c r="C3471" s="1" t="s">
        <v>1387</v>
      </c>
      <c r="D3471" s="1" t="s">
        <v>65</v>
      </c>
      <c r="E3471" s="8">
        <v>446665</v>
      </c>
      <c r="F3471" s="5">
        <v>3409810</v>
      </c>
    </row>
    <row r="3472" spans="1:6" x14ac:dyDescent="0.25">
      <c r="A3472" s="5">
        <v>3409810</v>
      </c>
      <c r="B3472" s="1">
        <v>2017</v>
      </c>
      <c r="C3472" s="1" t="s">
        <v>1387</v>
      </c>
      <c r="D3472" s="1" t="s">
        <v>65</v>
      </c>
      <c r="E3472" s="8">
        <v>644728</v>
      </c>
      <c r="F3472" s="5">
        <v>3409810</v>
      </c>
    </row>
    <row r="3473" spans="1:6" x14ac:dyDescent="0.25">
      <c r="A3473" s="5">
        <v>3409810</v>
      </c>
      <c r="B3473" s="1">
        <v>2018</v>
      </c>
      <c r="C3473" s="1" t="s">
        <v>1387</v>
      </c>
      <c r="D3473" s="1" t="s">
        <v>743</v>
      </c>
      <c r="E3473" s="8">
        <v>862973</v>
      </c>
      <c r="F3473" s="5">
        <v>3409810</v>
      </c>
    </row>
    <row r="3474" spans="1:6" x14ac:dyDescent="0.25">
      <c r="A3474" s="5">
        <v>3409810</v>
      </c>
      <c r="B3474" s="1">
        <v>2019</v>
      </c>
      <c r="C3474" s="1" t="s">
        <v>1387</v>
      </c>
      <c r="D3474" s="1" t="s">
        <v>743</v>
      </c>
      <c r="E3474" s="8">
        <v>1098202</v>
      </c>
      <c r="F3474" s="5">
        <v>3409810</v>
      </c>
    </row>
    <row r="3475" spans="1:6" ht="20" x14ac:dyDescent="0.25">
      <c r="A3475" s="5">
        <v>3409810</v>
      </c>
      <c r="B3475" s="1">
        <v>2020</v>
      </c>
      <c r="C3475" s="1" t="s">
        <v>1387</v>
      </c>
      <c r="D3475" s="2" t="s">
        <v>743</v>
      </c>
      <c r="E3475" s="7">
        <v>1282315</v>
      </c>
      <c r="F3475" s="5">
        <v>3409810</v>
      </c>
    </row>
    <row r="3476" spans="1:6" ht="20" x14ac:dyDescent="0.25">
      <c r="A3476" s="5">
        <v>3409810</v>
      </c>
      <c r="B3476" s="1">
        <v>2021</v>
      </c>
      <c r="C3476" s="1" t="s">
        <v>1387</v>
      </c>
      <c r="D3476" s="3" t="s">
        <v>743</v>
      </c>
      <c r="E3476" s="7">
        <v>1754866</v>
      </c>
      <c r="F3476" s="5">
        <v>3409810</v>
      </c>
    </row>
    <row r="3477" spans="1:6" ht="20" x14ac:dyDescent="0.25">
      <c r="A3477" s="5">
        <v>3409810</v>
      </c>
      <c r="B3477" s="1">
        <v>2022</v>
      </c>
      <c r="C3477" s="1" t="s">
        <v>1387</v>
      </c>
      <c r="D3477" s="2" t="s">
        <v>743</v>
      </c>
      <c r="E3477" s="7">
        <v>2628127</v>
      </c>
      <c r="F3477" s="5">
        <v>3409810</v>
      </c>
    </row>
    <row r="3478" spans="1:6" ht="20" x14ac:dyDescent="0.25">
      <c r="A3478" s="5">
        <v>3409810</v>
      </c>
      <c r="B3478" s="1">
        <v>2023</v>
      </c>
      <c r="C3478" s="1" t="s">
        <v>1387</v>
      </c>
      <c r="D3478" s="2" t="s">
        <v>743</v>
      </c>
      <c r="E3478" s="7">
        <v>2504957</v>
      </c>
      <c r="F3478" s="5">
        <v>3409810</v>
      </c>
    </row>
    <row r="3479" spans="1:6" x14ac:dyDescent="0.25">
      <c r="A3479" s="5">
        <v>3409840</v>
      </c>
      <c r="B3479" s="1">
        <v>2015</v>
      </c>
      <c r="C3479" s="1" t="s">
        <v>1387</v>
      </c>
      <c r="D3479" s="1" t="s">
        <v>126</v>
      </c>
      <c r="E3479" s="8">
        <v>157771</v>
      </c>
      <c r="F3479" s="5">
        <v>3409840</v>
      </c>
    </row>
    <row r="3480" spans="1:6" x14ac:dyDescent="0.25">
      <c r="A3480" s="5">
        <v>3409840</v>
      </c>
      <c r="B3480" s="1">
        <v>2016</v>
      </c>
      <c r="C3480" s="1" t="s">
        <v>1387</v>
      </c>
      <c r="D3480" s="1" t="s">
        <v>126</v>
      </c>
      <c r="E3480" s="8">
        <v>268456</v>
      </c>
      <c r="F3480" s="5">
        <v>3409840</v>
      </c>
    </row>
    <row r="3481" spans="1:6" x14ac:dyDescent="0.25">
      <c r="A3481" s="5">
        <v>3409840</v>
      </c>
      <c r="B3481" s="1">
        <v>2017</v>
      </c>
      <c r="C3481" s="1" t="s">
        <v>1387</v>
      </c>
      <c r="D3481" s="1" t="s">
        <v>126</v>
      </c>
      <c r="E3481" s="8">
        <v>376238</v>
      </c>
      <c r="F3481" s="5">
        <v>3409840</v>
      </c>
    </row>
    <row r="3482" spans="1:6" x14ac:dyDescent="0.25">
      <c r="A3482" s="5">
        <v>3409840</v>
      </c>
      <c r="B3482" s="1">
        <v>2018</v>
      </c>
      <c r="C3482" s="1" t="s">
        <v>1387</v>
      </c>
      <c r="D3482" s="1" t="s">
        <v>807</v>
      </c>
      <c r="E3482" s="8">
        <v>503309</v>
      </c>
      <c r="F3482" s="5">
        <v>3409840</v>
      </c>
    </row>
    <row r="3483" spans="1:6" x14ac:dyDescent="0.25">
      <c r="A3483" s="5">
        <v>3409840</v>
      </c>
      <c r="B3483" s="1">
        <v>2019</v>
      </c>
      <c r="C3483" s="1" t="s">
        <v>1387</v>
      </c>
      <c r="D3483" s="1" t="s">
        <v>807</v>
      </c>
      <c r="E3483" s="8">
        <v>690846</v>
      </c>
      <c r="F3483" s="5">
        <v>3409840</v>
      </c>
    </row>
    <row r="3484" spans="1:6" ht="20" x14ac:dyDescent="0.25">
      <c r="A3484" s="5">
        <v>3409840</v>
      </c>
      <c r="B3484" s="1">
        <v>2020</v>
      </c>
      <c r="C3484" s="1" t="s">
        <v>1387</v>
      </c>
      <c r="D3484" s="2" t="s">
        <v>807</v>
      </c>
      <c r="E3484" s="7">
        <v>795543</v>
      </c>
      <c r="F3484" s="5">
        <v>3409840</v>
      </c>
    </row>
    <row r="3485" spans="1:6" ht="20" x14ac:dyDescent="0.25">
      <c r="A3485" s="5">
        <v>3409840</v>
      </c>
      <c r="B3485" s="1">
        <v>2021</v>
      </c>
      <c r="C3485" s="1" t="s">
        <v>1387</v>
      </c>
      <c r="D3485" s="3" t="s">
        <v>807</v>
      </c>
      <c r="E3485" s="7">
        <v>1006356</v>
      </c>
      <c r="F3485" s="5">
        <v>3409840</v>
      </c>
    </row>
    <row r="3486" spans="1:6" ht="20" x14ac:dyDescent="0.25">
      <c r="A3486" s="5">
        <v>3409840</v>
      </c>
      <c r="B3486" s="1">
        <v>2022</v>
      </c>
      <c r="C3486" s="1" t="s">
        <v>1387</v>
      </c>
      <c r="D3486" s="2" t="s">
        <v>807</v>
      </c>
      <c r="E3486" s="7">
        <v>1493537</v>
      </c>
      <c r="F3486" s="5">
        <v>3409840</v>
      </c>
    </row>
    <row r="3487" spans="1:6" ht="20" x14ac:dyDescent="0.25">
      <c r="A3487" s="5">
        <v>3409840</v>
      </c>
      <c r="B3487" s="1">
        <v>2023</v>
      </c>
      <c r="C3487" s="1" t="s">
        <v>1387</v>
      </c>
      <c r="D3487" s="2" t="s">
        <v>807</v>
      </c>
      <c r="E3487" s="7">
        <v>1482753</v>
      </c>
      <c r="F3487" s="5">
        <v>3409840</v>
      </c>
    </row>
    <row r="3488" spans="1:6" x14ac:dyDescent="0.25">
      <c r="A3488" s="5">
        <v>3409870</v>
      </c>
      <c r="B3488" s="1">
        <v>2015</v>
      </c>
      <c r="C3488" s="1" t="s">
        <v>1387</v>
      </c>
      <c r="D3488" s="1" t="s">
        <v>127</v>
      </c>
      <c r="E3488" s="8">
        <v>1006497</v>
      </c>
      <c r="F3488" s="5">
        <v>3409870</v>
      </c>
    </row>
    <row r="3489" spans="1:6" x14ac:dyDescent="0.25">
      <c r="A3489" s="5">
        <v>3409870</v>
      </c>
      <c r="B3489" s="1">
        <v>2016</v>
      </c>
      <c r="C3489" s="1" t="s">
        <v>1387</v>
      </c>
      <c r="D3489" s="1" t="s">
        <v>127</v>
      </c>
      <c r="E3489" s="8">
        <v>1549072</v>
      </c>
      <c r="F3489" s="5">
        <v>3409870</v>
      </c>
    </row>
    <row r="3490" spans="1:6" x14ac:dyDescent="0.25">
      <c r="A3490" s="5">
        <v>3409870</v>
      </c>
      <c r="B3490" s="1">
        <v>2017</v>
      </c>
      <c r="C3490" s="1" t="s">
        <v>1387</v>
      </c>
      <c r="D3490" s="1" t="s">
        <v>127</v>
      </c>
      <c r="E3490" s="8">
        <v>2104538</v>
      </c>
      <c r="F3490" s="5">
        <v>3409870</v>
      </c>
    </row>
    <row r="3491" spans="1:6" x14ac:dyDescent="0.25">
      <c r="A3491" s="5">
        <v>3409870</v>
      </c>
      <c r="B3491" s="1">
        <v>2018</v>
      </c>
      <c r="C3491" s="1" t="s">
        <v>1387</v>
      </c>
      <c r="D3491" s="1" t="s">
        <v>808</v>
      </c>
      <c r="E3491" s="8">
        <v>2892132</v>
      </c>
      <c r="F3491" s="5">
        <v>3409870</v>
      </c>
    </row>
    <row r="3492" spans="1:6" x14ac:dyDescent="0.25">
      <c r="A3492" s="5">
        <v>3409870</v>
      </c>
      <c r="B3492" s="1">
        <v>2019</v>
      </c>
      <c r="C3492" s="1" t="s">
        <v>1387</v>
      </c>
      <c r="D3492" s="1" t="s">
        <v>808</v>
      </c>
      <c r="E3492" s="8">
        <v>3943780</v>
      </c>
      <c r="F3492" s="5">
        <v>3409870</v>
      </c>
    </row>
    <row r="3493" spans="1:6" ht="20" x14ac:dyDescent="0.25">
      <c r="A3493" s="5">
        <v>3409870</v>
      </c>
      <c r="B3493" s="1">
        <v>2020</v>
      </c>
      <c r="C3493" s="1" t="s">
        <v>1387</v>
      </c>
      <c r="D3493" s="2" t="s">
        <v>808</v>
      </c>
      <c r="E3493" s="7">
        <v>4658674</v>
      </c>
      <c r="F3493" s="5">
        <v>3409870</v>
      </c>
    </row>
    <row r="3494" spans="1:6" ht="20" x14ac:dyDescent="0.25">
      <c r="A3494" s="5">
        <v>3409870</v>
      </c>
      <c r="B3494" s="1">
        <v>2021</v>
      </c>
      <c r="C3494" s="1" t="s">
        <v>1387</v>
      </c>
      <c r="D3494" s="3" t="s">
        <v>808</v>
      </c>
      <c r="E3494" s="7">
        <v>5966009</v>
      </c>
      <c r="F3494" s="5">
        <v>3409870</v>
      </c>
    </row>
    <row r="3495" spans="1:6" ht="20" x14ac:dyDescent="0.25">
      <c r="A3495" s="5">
        <v>3409870</v>
      </c>
      <c r="B3495" s="1">
        <v>2022</v>
      </c>
      <c r="C3495" s="1" t="s">
        <v>1387</v>
      </c>
      <c r="D3495" s="2" t="s">
        <v>808</v>
      </c>
      <c r="E3495" s="7">
        <v>8559787</v>
      </c>
      <c r="F3495" s="5">
        <v>3409870</v>
      </c>
    </row>
    <row r="3496" spans="1:6" ht="20" x14ac:dyDescent="0.25">
      <c r="A3496" s="5">
        <v>3409870</v>
      </c>
      <c r="B3496" s="1">
        <v>2023</v>
      </c>
      <c r="C3496" s="1" t="s">
        <v>1387</v>
      </c>
      <c r="D3496" s="2" t="s">
        <v>808</v>
      </c>
      <c r="E3496" s="7">
        <v>8487218</v>
      </c>
      <c r="F3496" s="5">
        <v>3409870</v>
      </c>
    </row>
    <row r="3497" spans="1:6" x14ac:dyDescent="0.25">
      <c r="A3497" s="5">
        <v>3409900</v>
      </c>
      <c r="B3497" s="1">
        <v>2015</v>
      </c>
      <c r="C3497" s="1" t="s">
        <v>1387</v>
      </c>
      <c r="D3497" s="1" t="s">
        <v>471</v>
      </c>
      <c r="E3497" s="8">
        <v>232405</v>
      </c>
      <c r="F3497" s="5">
        <v>3409900</v>
      </c>
    </row>
    <row r="3498" spans="1:6" x14ac:dyDescent="0.25">
      <c r="A3498" s="5">
        <v>3409900</v>
      </c>
      <c r="B3498" s="1">
        <v>2016</v>
      </c>
      <c r="C3498" s="1" t="s">
        <v>1387</v>
      </c>
      <c r="D3498" s="1" t="s">
        <v>471</v>
      </c>
      <c r="E3498" s="8">
        <v>365843</v>
      </c>
      <c r="F3498" s="5">
        <v>3409900</v>
      </c>
    </row>
    <row r="3499" spans="1:6" x14ac:dyDescent="0.25">
      <c r="A3499" s="5">
        <v>3409900</v>
      </c>
      <c r="B3499" s="1">
        <v>2017</v>
      </c>
      <c r="C3499" s="1" t="s">
        <v>1387</v>
      </c>
      <c r="D3499" s="1" t="s">
        <v>471</v>
      </c>
      <c r="E3499" s="8">
        <v>492109</v>
      </c>
      <c r="F3499" s="5">
        <v>3409900</v>
      </c>
    </row>
    <row r="3500" spans="1:6" x14ac:dyDescent="0.25">
      <c r="A3500" s="5">
        <v>3409900</v>
      </c>
      <c r="B3500" s="1">
        <v>2018</v>
      </c>
      <c r="C3500" s="1" t="s">
        <v>1387</v>
      </c>
      <c r="D3500" s="1" t="s">
        <v>1163</v>
      </c>
      <c r="E3500" s="8">
        <v>676675</v>
      </c>
      <c r="F3500" s="5">
        <v>3409900</v>
      </c>
    </row>
    <row r="3501" spans="1:6" x14ac:dyDescent="0.25">
      <c r="A3501" s="5">
        <v>3409900</v>
      </c>
      <c r="B3501" s="1">
        <v>2019</v>
      </c>
      <c r="C3501" s="1" t="s">
        <v>1387</v>
      </c>
      <c r="D3501" s="1" t="s">
        <v>1163</v>
      </c>
      <c r="E3501" s="8">
        <v>778486</v>
      </c>
      <c r="F3501" s="5">
        <v>3409900</v>
      </c>
    </row>
    <row r="3502" spans="1:6" ht="20" x14ac:dyDescent="0.25">
      <c r="A3502" s="5">
        <v>3409900</v>
      </c>
      <c r="B3502" s="1">
        <v>2020</v>
      </c>
      <c r="C3502" s="1" t="s">
        <v>1387</v>
      </c>
      <c r="D3502" s="2" t="s">
        <v>1163</v>
      </c>
      <c r="E3502" s="7">
        <v>882624</v>
      </c>
      <c r="F3502" s="5">
        <v>3409900</v>
      </c>
    </row>
    <row r="3503" spans="1:6" ht="20" x14ac:dyDescent="0.25">
      <c r="A3503" s="5">
        <v>3409900</v>
      </c>
      <c r="B3503" s="1">
        <v>2021</v>
      </c>
      <c r="C3503" s="1" t="s">
        <v>1387</v>
      </c>
      <c r="D3503" s="3" t="s">
        <v>1163</v>
      </c>
      <c r="E3503" s="7">
        <v>1192493</v>
      </c>
      <c r="F3503" s="5">
        <v>3409900</v>
      </c>
    </row>
    <row r="3504" spans="1:6" ht="20" x14ac:dyDescent="0.25">
      <c r="A3504" s="5">
        <v>3409900</v>
      </c>
      <c r="B3504" s="1">
        <v>2022</v>
      </c>
      <c r="C3504" s="1" t="s">
        <v>1387</v>
      </c>
      <c r="D3504" s="2" t="s">
        <v>1163</v>
      </c>
      <c r="E3504" s="7">
        <v>1746757</v>
      </c>
      <c r="F3504" s="5">
        <v>3409900</v>
      </c>
    </row>
    <row r="3505" spans="1:6" ht="20" x14ac:dyDescent="0.25">
      <c r="A3505" s="5">
        <v>3409900</v>
      </c>
      <c r="B3505" s="1">
        <v>2023</v>
      </c>
      <c r="C3505" s="1" t="s">
        <v>1387</v>
      </c>
      <c r="D3505" s="2" t="s">
        <v>1163</v>
      </c>
      <c r="E3505" s="7">
        <v>1794384</v>
      </c>
      <c r="F3505" s="5">
        <v>3409900</v>
      </c>
    </row>
    <row r="3506" spans="1:6" x14ac:dyDescent="0.25">
      <c r="A3506" s="5">
        <v>3409930</v>
      </c>
      <c r="B3506" s="1">
        <v>2015</v>
      </c>
      <c r="C3506" s="1" t="s">
        <v>1387</v>
      </c>
      <c r="D3506" s="1" t="s">
        <v>472</v>
      </c>
      <c r="E3506" s="8">
        <v>339945</v>
      </c>
      <c r="F3506" s="5">
        <v>3409930</v>
      </c>
    </row>
    <row r="3507" spans="1:6" x14ac:dyDescent="0.25">
      <c r="A3507" s="5">
        <v>3409930</v>
      </c>
      <c r="B3507" s="1">
        <v>2016</v>
      </c>
      <c r="C3507" s="1" t="s">
        <v>1387</v>
      </c>
      <c r="D3507" s="1" t="s">
        <v>472</v>
      </c>
      <c r="E3507" s="8">
        <v>506495</v>
      </c>
      <c r="F3507" s="5">
        <v>3409930</v>
      </c>
    </row>
    <row r="3508" spans="1:6" x14ac:dyDescent="0.25">
      <c r="A3508" s="5">
        <v>3409930</v>
      </c>
      <c r="B3508" s="1">
        <v>2017</v>
      </c>
      <c r="C3508" s="1" t="s">
        <v>1387</v>
      </c>
      <c r="D3508" s="1" t="s">
        <v>472</v>
      </c>
      <c r="E3508" s="8">
        <v>689969</v>
      </c>
      <c r="F3508" s="5">
        <v>3409930</v>
      </c>
    </row>
    <row r="3509" spans="1:6" x14ac:dyDescent="0.25">
      <c r="A3509" s="5">
        <v>3409930</v>
      </c>
      <c r="B3509" s="1">
        <v>2018</v>
      </c>
      <c r="C3509" s="1" t="s">
        <v>1387</v>
      </c>
      <c r="D3509" s="1" t="s">
        <v>1164</v>
      </c>
      <c r="E3509" s="8">
        <v>918814</v>
      </c>
      <c r="F3509" s="5">
        <v>3409930</v>
      </c>
    </row>
    <row r="3510" spans="1:6" x14ac:dyDescent="0.25">
      <c r="A3510" s="5">
        <v>3409930</v>
      </c>
      <c r="B3510" s="1">
        <v>2019</v>
      </c>
      <c r="C3510" s="1" t="s">
        <v>1387</v>
      </c>
      <c r="D3510" s="1" t="s">
        <v>1164</v>
      </c>
      <c r="E3510" s="8">
        <v>1198204</v>
      </c>
      <c r="F3510" s="5">
        <v>3409930</v>
      </c>
    </row>
    <row r="3511" spans="1:6" ht="20" x14ac:dyDescent="0.25">
      <c r="A3511" s="5">
        <v>3409930</v>
      </c>
      <c r="B3511" s="1">
        <v>2020</v>
      </c>
      <c r="C3511" s="1" t="s">
        <v>1387</v>
      </c>
      <c r="D3511" s="2" t="s">
        <v>1164</v>
      </c>
      <c r="E3511" s="7">
        <v>1428812</v>
      </c>
      <c r="F3511" s="5">
        <v>3409930</v>
      </c>
    </row>
    <row r="3512" spans="1:6" ht="20" x14ac:dyDescent="0.25">
      <c r="A3512" s="5">
        <v>3409930</v>
      </c>
      <c r="B3512" s="1">
        <v>2021</v>
      </c>
      <c r="C3512" s="1" t="s">
        <v>1387</v>
      </c>
      <c r="D3512" s="3" t="s">
        <v>1164</v>
      </c>
      <c r="E3512" s="7">
        <v>1813037</v>
      </c>
      <c r="F3512" s="5">
        <v>3409930</v>
      </c>
    </row>
    <row r="3513" spans="1:6" ht="20" x14ac:dyDescent="0.25">
      <c r="A3513" s="5">
        <v>3409930</v>
      </c>
      <c r="B3513" s="1">
        <v>2022</v>
      </c>
      <c r="C3513" s="1" t="s">
        <v>1387</v>
      </c>
      <c r="D3513" s="2" t="s">
        <v>1164</v>
      </c>
      <c r="E3513" s="7">
        <v>2515069</v>
      </c>
      <c r="F3513" s="5">
        <v>3409930</v>
      </c>
    </row>
    <row r="3514" spans="1:6" ht="20" x14ac:dyDescent="0.25">
      <c r="A3514" s="5">
        <v>3409930</v>
      </c>
      <c r="B3514" s="1">
        <v>2023</v>
      </c>
      <c r="C3514" s="1" t="s">
        <v>1387</v>
      </c>
      <c r="D3514" s="2" t="s">
        <v>1164</v>
      </c>
      <c r="E3514" s="7">
        <v>2555807</v>
      </c>
      <c r="F3514" s="5">
        <v>3409930</v>
      </c>
    </row>
    <row r="3515" spans="1:6" x14ac:dyDescent="0.25">
      <c r="A3515" s="5">
        <v>3409950</v>
      </c>
      <c r="B3515" s="1">
        <v>2015</v>
      </c>
      <c r="C3515" s="1" t="s">
        <v>1387</v>
      </c>
      <c r="D3515" s="1" t="s">
        <v>363</v>
      </c>
      <c r="E3515" s="8">
        <v>180314</v>
      </c>
      <c r="F3515" s="5">
        <v>3409950</v>
      </c>
    </row>
    <row r="3516" spans="1:6" x14ac:dyDescent="0.25">
      <c r="A3516" s="5">
        <v>3409950</v>
      </c>
      <c r="B3516" s="1">
        <v>2016</v>
      </c>
      <c r="C3516" s="1" t="s">
        <v>1387</v>
      </c>
      <c r="D3516" s="1" t="s">
        <v>363</v>
      </c>
      <c r="E3516" s="8">
        <v>271550</v>
      </c>
      <c r="F3516" s="5">
        <v>3409950</v>
      </c>
    </row>
    <row r="3517" spans="1:6" x14ac:dyDescent="0.25">
      <c r="A3517" s="5">
        <v>3409950</v>
      </c>
      <c r="B3517" s="1">
        <v>2017</v>
      </c>
      <c r="C3517" s="1" t="s">
        <v>1387</v>
      </c>
      <c r="D3517" s="1" t="s">
        <v>363</v>
      </c>
      <c r="E3517" s="8">
        <v>361572</v>
      </c>
      <c r="F3517" s="5">
        <v>3409950</v>
      </c>
    </row>
    <row r="3518" spans="1:6" x14ac:dyDescent="0.25">
      <c r="A3518" s="5">
        <v>3409950</v>
      </c>
      <c r="B3518" s="1">
        <v>2018</v>
      </c>
      <c r="C3518" s="1" t="s">
        <v>1387</v>
      </c>
      <c r="D3518" s="1" t="s">
        <v>1054</v>
      </c>
      <c r="E3518" s="8">
        <v>515248</v>
      </c>
      <c r="F3518" s="5">
        <v>3409950</v>
      </c>
    </row>
    <row r="3519" spans="1:6" x14ac:dyDescent="0.25">
      <c r="A3519" s="5">
        <v>3409950</v>
      </c>
      <c r="B3519" s="1">
        <v>2019</v>
      </c>
      <c r="C3519" s="1" t="s">
        <v>1387</v>
      </c>
      <c r="D3519" s="1" t="s">
        <v>1054</v>
      </c>
      <c r="E3519" s="8">
        <v>717863</v>
      </c>
      <c r="F3519" s="5">
        <v>3409950</v>
      </c>
    </row>
    <row r="3520" spans="1:6" ht="20" x14ac:dyDescent="0.25">
      <c r="A3520" s="5">
        <v>3409950</v>
      </c>
      <c r="B3520" s="1">
        <v>2020</v>
      </c>
      <c r="C3520" s="1" t="s">
        <v>1387</v>
      </c>
      <c r="D3520" s="2" t="s">
        <v>1054</v>
      </c>
      <c r="E3520" s="7">
        <v>792439</v>
      </c>
      <c r="F3520" s="5">
        <v>3409950</v>
      </c>
    </row>
    <row r="3521" spans="1:6" ht="20" x14ac:dyDescent="0.25">
      <c r="A3521" s="5">
        <v>3409950</v>
      </c>
      <c r="B3521" s="1">
        <v>2021</v>
      </c>
      <c r="C3521" s="1" t="s">
        <v>1387</v>
      </c>
      <c r="D3521" s="3" t="s">
        <v>1054</v>
      </c>
      <c r="E3521" s="7">
        <v>1017308</v>
      </c>
      <c r="F3521" s="5">
        <v>3409950</v>
      </c>
    </row>
    <row r="3522" spans="1:6" ht="20" x14ac:dyDescent="0.25">
      <c r="A3522" s="5">
        <v>3409950</v>
      </c>
      <c r="B3522" s="1">
        <v>2022</v>
      </c>
      <c r="C3522" s="1" t="s">
        <v>1387</v>
      </c>
      <c r="D3522" s="2" t="s">
        <v>1054</v>
      </c>
      <c r="E3522" s="7">
        <v>1401220</v>
      </c>
      <c r="F3522" s="5">
        <v>3409950</v>
      </c>
    </row>
    <row r="3523" spans="1:6" ht="20" x14ac:dyDescent="0.25">
      <c r="A3523" s="5">
        <v>3409950</v>
      </c>
      <c r="B3523" s="1">
        <v>2023</v>
      </c>
      <c r="C3523" s="1" t="s">
        <v>1387</v>
      </c>
      <c r="D3523" s="2" t="s">
        <v>1054</v>
      </c>
      <c r="E3523" s="7">
        <v>1358305</v>
      </c>
      <c r="F3523" s="5">
        <v>3409950</v>
      </c>
    </row>
    <row r="3524" spans="1:6" x14ac:dyDescent="0.25">
      <c r="A3524" s="5">
        <v>3409960</v>
      </c>
      <c r="B3524" s="1">
        <v>2015</v>
      </c>
      <c r="C3524" s="1" t="s">
        <v>1387</v>
      </c>
      <c r="D3524" s="1" t="s">
        <v>182</v>
      </c>
      <c r="E3524" s="8">
        <v>138476</v>
      </c>
      <c r="F3524" s="5">
        <v>3409960</v>
      </c>
    </row>
    <row r="3525" spans="1:6" x14ac:dyDescent="0.25">
      <c r="A3525" s="5">
        <v>3409960</v>
      </c>
      <c r="B3525" s="1">
        <v>2016</v>
      </c>
      <c r="C3525" s="1" t="s">
        <v>1387</v>
      </c>
      <c r="D3525" s="1" t="s">
        <v>182</v>
      </c>
      <c r="E3525" s="8">
        <v>199106</v>
      </c>
      <c r="F3525" s="5">
        <v>3409960</v>
      </c>
    </row>
    <row r="3526" spans="1:6" x14ac:dyDescent="0.25">
      <c r="A3526" s="5">
        <v>3409960</v>
      </c>
      <c r="B3526" s="1">
        <v>2017</v>
      </c>
      <c r="C3526" s="1" t="s">
        <v>1387</v>
      </c>
      <c r="D3526" s="1" t="s">
        <v>182</v>
      </c>
      <c r="E3526" s="8">
        <v>258952</v>
      </c>
      <c r="F3526" s="5">
        <v>3409960</v>
      </c>
    </row>
    <row r="3527" spans="1:6" x14ac:dyDescent="0.25">
      <c r="A3527" s="5">
        <v>3409960</v>
      </c>
      <c r="B3527" s="1">
        <v>2018</v>
      </c>
      <c r="C3527" s="1" t="s">
        <v>1387</v>
      </c>
      <c r="D3527" s="1" t="s">
        <v>865</v>
      </c>
      <c r="E3527" s="8">
        <v>384944</v>
      </c>
      <c r="F3527" s="5">
        <v>3409960</v>
      </c>
    </row>
    <row r="3528" spans="1:6" x14ac:dyDescent="0.25">
      <c r="A3528" s="5">
        <v>3409960</v>
      </c>
      <c r="B3528" s="1">
        <v>2019</v>
      </c>
      <c r="C3528" s="1" t="s">
        <v>1387</v>
      </c>
      <c r="D3528" s="1" t="s">
        <v>865</v>
      </c>
      <c r="E3528" s="8">
        <v>487016</v>
      </c>
      <c r="F3528" s="5">
        <v>3409960</v>
      </c>
    </row>
    <row r="3529" spans="1:6" ht="20" x14ac:dyDescent="0.25">
      <c r="A3529" s="5">
        <v>3409960</v>
      </c>
      <c r="B3529" s="1">
        <v>2020</v>
      </c>
      <c r="C3529" s="1" t="s">
        <v>1387</v>
      </c>
      <c r="D3529" s="2" t="s">
        <v>865</v>
      </c>
      <c r="E3529" s="7">
        <v>554917</v>
      </c>
      <c r="F3529" s="5">
        <v>3409960</v>
      </c>
    </row>
    <row r="3530" spans="1:6" ht="20" x14ac:dyDescent="0.25">
      <c r="A3530" s="5">
        <v>3409960</v>
      </c>
      <c r="B3530" s="1">
        <v>2021</v>
      </c>
      <c r="C3530" s="1" t="s">
        <v>1387</v>
      </c>
      <c r="D3530" s="3" t="s">
        <v>865</v>
      </c>
      <c r="E3530" s="7">
        <v>800242</v>
      </c>
      <c r="F3530" s="5">
        <v>3409960</v>
      </c>
    </row>
    <row r="3531" spans="1:6" ht="20" x14ac:dyDescent="0.25">
      <c r="A3531" s="5">
        <v>3409960</v>
      </c>
      <c r="B3531" s="1">
        <v>2022</v>
      </c>
      <c r="C3531" s="1" t="s">
        <v>1387</v>
      </c>
      <c r="D3531" s="2" t="s">
        <v>865</v>
      </c>
      <c r="E3531" s="7">
        <v>1172945</v>
      </c>
      <c r="F3531" s="5">
        <v>3409960</v>
      </c>
    </row>
    <row r="3532" spans="1:6" ht="20" x14ac:dyDescent="0.25">
      <c r="A3532" s="5">
        <v>3409960</v>
      </c>
      <c r="B3532" s="1">
        <v>2023</v>
      </c>
      <c r="C3532" s="1" t="s">
        <v>1387</v>
      </c>
      <c r="D3532" s="2" t="s">
        <v>865</v>
      </c>
      <c r="E3532" s="7">
        <v>1080982</v>
      </c>
      <c r="F3532" s="5">
        <v>3409960</v>
      </c>
    </row>
    <row r="3533" spans="1:6" x14ac:dyDescent="0.25">
      <c r="A3533" s="5">
        <v>3409990</v>
      </c>
      <c r="B3533" s="1">
        <v>2015</v>
      </c>
      <c r="C3533" s="1" t="s">
        <v>1387</v>
      </c>
      <c r="D3533" s="1" t="s">
        <v>382</v>
      </c>
      <c r="E3533" s="8">
        <v>797730</v>
      </c>
      <c r="F3533" s="5">
        <v>3409990</v>
      </c>
    </row>
    <row r="3534" spans="1:6" x14ac:dyDescent="0.25">
      <c r="A3534" s="5">
        <v>3409990</v>
      </c>
      <c r="B3534" s="1">
        <v>2016</v>
      </c>
      <c r="C3534" s="1" t="s">
        <v>1387</v>
      </c>
      <c r="D3534" s="1" t="s">
        <v>382</v>
      </c>
      <c r="E3534" s="8">
        <v>1193770</v>
      </c>
      <c r="F3534" s="5">
        <v>3409990</v>
      </c>
    </row>
    <row r="3535" spans="1:6" x14ac:dyDescent="0.25">
      <c r="A3535" s="5">
        <v>3409990</v>
      </c>
      <c r="B3535" s="1">
        <v>2017</v>
      </c>
      <c r="C3535" s="1" t="s">
        <v>1387</v>
      </c>
      <c r="D3535" s="1" t="s">
        <v>382</v>
      </c>
      <c r="E3535" s="8">
        <v>1714048</v>
      </c>
      <c r="F3535" s="5">
        <v>3409990</v>
      </c>
    </row>
    <row r="3536" spans="1:6" x14ac:dyDescent="0.25">
      <c r="A3536" s="5">
        <v>3409990</v>
      </c>
      <c r="B3536" s="1">
        <v>2018</v>
      </c>
      <c r="C3536" s="1" t="s">
        <v>1387</v>
      </c>
      <c r="D3536" s="1" t="s">
        <v>1075</v>
      </c>
      <c r="E3536" s="8">
        <v>2302474</v>
      </c>
      <c r="F3536" s="5">
        <v>3409990</v>
      </c>
    </row>
    <row r="3537" spans="1:6" x14ac:dyDescent="0.25">
      <c r="A3537" s="5">
        <v>3409990</v>
      </c>
      <c r="B3537" s="1">
        <v>2019</v>
      </c>
      <c r="C3537" s="1" t="s">
        <v>1387</v>
      </c>
      <c r="D3537" s="1" t="s">
        <v>1075</v>
      </c>
      <c r="E3537" s="8">
        <v>3109655</v>
      </c>
      <c r="F3537" s="5">
        <v>3409990</v>
      </c>
    </row>
    <row r="3538" spans="1:6" ht="20" x14ac:dyDescent="0.25">
      <c r="A3538" s="5">
        <v>3409990</v>
      </c>
      <c r="B3538" s="1">
        <v>2020</v>
      </c>
      <c r="C3538" s="1" t="s">
        <v>1387</v>
      </c>
      <c r="D3538" s="2" t="s">
        <v>1075</v>
      </c>
      <c r="E3538" s="7">
        <v>3482501</v>
      </c>
      <c r="F3538" s="5">
        <v>3409990</v>
      </c>
    </row>
    <row r="3539" spans="1:6" ht="20" x14ac:dyDescent="0.25">
      <c r="A3539" s="5">
        <v>3409990</v>
      </c>
      <c r="B3539" s="1">
        <v>2021</v>
      </c>
      <c r="C3539" s="1" t="s">
        <v>1387</v>
      </c>
      <c r="D3539" s="3" t="s">
        <v>1075</v>
      </c>
      <c r="E3539" s="7">
        <v>4603840</v>
      </c>
      <c r="F3539" s="5">
        <v>3409990</v>
      </c>
    </row>
    <row r="3540" spans="1:6" ht="20" x14ac:dyDescent="0.25">
      <c r="A3540" s="5">
        <v>3409990</v>
      </c>
      <c r="B3540" s="1">
        <v>2022</v>
      </c>
      <c r="C3540" s="1" t="s">
        <v>1387</v>
      </c>
      <c r="D3540" s="2" t="s">
        <v>1075</v>
      </c>
      <c r="E3540" s="7">
        <v>6658620</v>
      </c>
      <c r="F3540" s="5">
        <v>3409990</v>
      </c>
    </row>
    <row r="3541" spans="1:6" ht="20" x14ac:dyDescent="0.25">
      <c r="A3541" s="5">
        <v>3409990</v>
      </c>
      <c r="B3541" s="1">
        <v>2023</v>
      </c>
      <c r="C3541" s="1" t="s">
        <v>1387</v>
      </c>
      <c r="D3541" s="2" t="s">
        <v>1075</v>
      </c>
      <c r="E3541" s="7">
        <v>6551824</v>
      </c>
      <c r="F3541" s="5">
        <v>3409990</v>
      </c>
    </row>
    <row r="3542" spans="1:6" x14ac:dyDescent="0.25">
      <c r="A3542" s="5">
        <v>3410020</v>
      </c>
      <c r="B3542" s="1">
        <v>2015</v>
      </c>
      <c r="C3542" s="1" t="s">
        <v>1387</v>
      </c>
      <c r="D3542" s="1" t="s">
        <v>203</v>
      </c>
      <c r="E3542" s="8">
        <v>881354</v>
      </c>
      <c r="F3542" s="5">
        <v>3410020</v>
      </c>
    </row>
    <row r="3543" spans="1:6" x14ac:dyDescent="0.25">
      <c r="A3543" s="5">
        <v>3410020</v>
      </c>
      <c r="B3543" s="1">
        <v>2016</v>
      </c>
      <c r="C3543" s="1" t="s">
        <v>1387</v>
      </c>
      <c r="D3543" s="1" t="s">
        <v>203</v>
      </c>
      <c r="E3543" s="8">
        <v>1301649</v>
      </c>
      <c r="F3543" s="5">
        <v>3410020</v>
      </c>
    </row>
    <row r="3544" spans="1:6" x14ac:dyDescent="0.25">
      <c r="A3544" s="5">
        <v>3410020</v>
      </c>
      <c r="B3544" s="1">
        <v>2017</v>
      </c>
      <c r="C3544" s="1" t="s">
        <v>1387</v>
      </c>
      <c r="D3544" s="1" t="s">
        <v>203</v>
      </c>
      <c r="E3544" s="8">
        <v>1758259</v>
      </c>
      <c r="F3544" s="5">
        <v>3410020</v>
      </c>
    </row>
    <row r="3545" spans="1:6" x14ac:dyDescent="0.25">
      <c r="A3545" s="5">
        <v>3410020</v>
      </c>
      <c r="B3545" s="1">
        <v>2018</v>
      </c>
      <c r="C3545" s="1" t="s">
        <v>1387</v>
      </c>
      <c r="D3545" s="1" t="s">
        <v>887</v>
      </c>
      <c r="E3545" s="8">
        <v>2368133</v>
      </c>
      <c r="F3545" s="5">
        <v>3410020</v>
      </c>
    </row>
    <row r="3546" spans="1:6" x14ac:dyDescent="0.25">
      <c r="A3546" s="5">
        <v>3410020</v>
      </c>
      <c r="B3546" s="1">
        <v>2019</v>
      </c>
      <c r="C3546" s="1" t="s">
        <v>1387</v>
      </c>
      <c r="D3546" s="1" t="s">
        <v>887</v>
      </c>
      <c r="E3546" s="8">
        <v>3164542</v>
      </c>
      <c r="F3546" s="5">
        <v>3410020</v>
      </c>
    </row>
    <row r="3547" spans="1:6" ht="20" x14ac:dyDescent="0.25">
      <c r="A3547" s="5">
        <v>3410020</v>
      </c>
      <c r="B3547" s="1">
        <v>2020</v>
      </c>
      <c r="C3547" s="1" t="s">
        <v>1387</v>
      </c>
      <c r="D3547" s="2" t="s">
        <v>887</v>
      </c>
      <c r="E3547" s="7">
        <v>3483727</v>
      </c>
      <c r="F3547" s="5">
        <v>3410020</v>
      </c>
    </row>
    <row r="3548" spans="1:6" ht="20" x14ac:dyDescent="0.25">
      <c r="A3548" s="5">
        <v>3410020</v>
      </c>
      <c r="B3548" s="1">
        <v>2021</v>
      </c>
      <c r="C3548" s="1" t="s">
        <v>1387</v>
      </c>
      <c r="D3548" s="3" t="s">
        <v>887</v>
      </c>
      <c r="E3548" s="7">
        <v>4552901</v>
      </c>
      <c r="F3548" s="5">
        <v>3410020</v>
      </c>
    </row>
    <row r="3549" spans="1:6" ht="20" x14ac:dyDescent="0.25">
      <c r="A3549" s="5">
        <v>3410020</v>
      </c>
      <c r="B3549" s="1">
        <v>2022</v>
      </c>
      <c r="C3549" s="1" t="s">
        <v>1387</v>
      </c>
      <c r="D3549" s="2" t="s">
        <v>887</v>
      </c>
      <c r="E3549" s="7">
        <v>6647578</v>
      </c>
      <c r="F3549" s="5">
        <v>3410020</v>
      </c>
    </row>
    <row r="3550" spans="1:6" ht="20" x14ac:dyDescent="0.25">
      <c r="A3550" s="5">
        <v>3410020</v>
      </c>
      <c r="B3550" s="1">
        <v>2023</v>
      </c>
      <c r="C3550" s="1" t="s">
        <v>1387</v>
      </c>
      <c r="D3550" s="2" t="s">
        <v>887</v>
      </c>
      <c r="E3550" s="7">
        <v>6607274</v>
      </c>
      <c r="F3550" s="5">
        <v>3410020</v>
      </c>
    </row>
    <row r="3551" spans="1:6" x14ac:dyDescent="0.25">
      <c r="A3551" s="5">
        <v>3410050</v>
      </c>
      <c r="B3551" s="1">
        <v>2015</v>
      </c>
      <c r="C3551" s="1" t="s">
        <v>1387</v>
      </c>
      <c r="D3551" s="1" t="s">
        <v>383</v>
      </c>
      <c r="E3551" s="8">
        <v>801455</v>
      </c>
      <c r="F3551" s="5">
        <v>3410050</v>
      </c>
    </row>
    <row r="3552" spans="1:6" x14ac:dyDescent="0.25">
      <c r="A3552" s="5">
        <v>3410050</v>
      </c>
      <c r="B3552" s="1">
        <v>2016</v>
      </c>
      <c r="C3552" s="1" t="s">
        <v>1387</v>
      </c>
      <c r="D3552" s="1" t="s">
        <v>383</v>
      </c>
      <c r="E3552" s="8">
        <v>1206138</v>
      </c>
      <c r="F3552" s="5">
        <v>3410050</v>
      </c>
    </row>
    <row r="3553" spans="1:6" x14ac:dyDescent="0.25">
      <c r="A3553" s="5">
        <v>3410050</v>
      </c>
      <c r="B3553" s="1">
        <v>2017</v>
      </c>
      <c r="C3553" s="1" t="s">
        <v>1387</v>
      </c>
      <c r="D3553" s="1" t="s">
        <v>383</v>
      </c>
      <c r="E3553" s="8">
        <v>1673960</v>
      </c>
      <c r="F3553" s="5">
        <v>3410050</v>
      </c>
    </row>
    <row r="3554" spans="1:6" x14ac:dyDescent="0.25">
      <c r="A3554" s="5">
        <v>3410050</v>
      </c>
      <c r="B3554" s="1">
        <v>2018</v>
      </c>
      <c r="C3554" s="1" t="s">
        <v>1387</v>
      </c>
      <c r="D3554" s="1" t="s">
        <v>1076</v>
      </c>
      <c r="E3554" s="8">
        <v>2269801</v>
      </c>
      <c r="F3554" s="5">
        <v>3410050</v>
      </c>
    </row>
    <row r="3555" spans="1:6" x14ac:dyDescent="0.25">
      <c r="A3555" s="5">
        <v>3410050</v>
      </c>
      <c r="B3555" s="1">
        <v>2019</v>
      </c>
      <c r="C3555" s="1" t="s">
        <v>1387</v>
      </c>
      <c r="D3555" s="1" t="s">
        <v>1076</v>
      </c>
      <c r="E3555" s="8">
        <v>2993076</v>
      </c>
      <c r="F3555" s="5">
        <v>3410050</v>
      </c>
    </row>
    <row r="3556" spans="1:6" ht="20" x14ac:dyDescent="0.25">
      <c r="A3556" s="5">
        <v>3410050</v>
      </c>
      <c r="B3556" s="1">
        <v>2020</v>
      </c>
      <c r="C3556" s="1" t="s">
        <v>1387</v>
      </c>
      <c r="D3556" s="2" t="s">
        <v>1076</v>
      </c>
      <c r="E3556" s="7">
        <v>3288611</v>
      </c>
      <c r="F3556" s="5">
        <v>3410050</v>
      </c>
    </row>
    <row r="3557" spans="1:6" ht="20" x14ac:dyDescent="0.25">
      <c r="A3557" s="5">
        <v>3410050</v>
      </c>
      <c r="B3557" s="1">
        <v>2021</v>
      </c>
      <c r="C3557" s="1" t="s">
        <v>1387</v>
      </c>
      <c r="D3557" s="3" t="s">
        <v>1076</v>
      </c>
      <c r="E3557" s="7">
        <v>4310089</v>
      </c>
      <c r="F3557" s="5">
        <v>3410050</v>
      </c>
    </row>
    <row r="3558" spans="1:6" ht="20" x14ac:dyDescent="0.25">
      <c r="A3558" s="5">
        <v>3410050</v>
      </c>
      <c r="B3558" s="1">
        <v>2022</v>
      </c>
      <c r="C3558" s="1" t="s">
        <v>1387</v>
      </c>
      <c r="D3558" s="2" t="s">
        <v>1076</v>
      </c>
      <c r="E3558" s="7">
        <v>6240443</v>
      </c>
      <c r="F3558" s="5">
        <v>3410050</v>
      </c>
    </row>
    <row r="3559" spans="1:6" ht="20" x14ac:dyDescent="0.25">
      <c r="A3559" s="5">
        <v>3410050</v>
      </c>
      <c r="B3559" s="1">
        <v>2023</v>
      </c>
      <c r="C3559" s="1" t="s">
        <v>1387</v>
      </c>
      <c r="D3559" s="2" t="s">
        <v>1076</v>
      </c>
      <c r="E3559" s="7">
        <v>6338952</v>
      </c>
      <c r="F3559" s="5">
        <v>3410050</v>
      </c>
    </row>
    <row r="3560" spans="1:6" x14ac:dyDescent="0.25">
      <c r="A3560" s="5">
        <v>3410080</v>
      </c>
      <c r="B3560" s="1">
        <v>2015</v>
      </c>
      <c r="C3560" s="1" t="s">
        <v>1387</v>
      </c>
      <c r="D3560" s="1" t="s">
        <v>385</v>
      </c>
      <c r="E3560" s="8">
        <v>931612</v>
      </c>
      <c r="F3560" s="5">
        <v>3410080</v>
      </c>
    </row>
    <row r="3561" spans="1:6" x14ac:dyDescent="0.25">
      <c r="A3561" s="5">
        <v>3410080</v>
      </c>
      <c r="B3561" s="1">
        <v>2016</v>
      </c>
      <c r="C3561" s="1" t="s">
        <v>1387</v>
      </c>
      <c r="D3561" s="1" t="s">
        <v>385</v>
      </c>
      <c r="E3561" s="8">
        <v>1370306</v>
      </c>
      <c r="F3561" s="5">
        <v>3410080</v>
      </c>
    </row>
    <row r="3562" spans="1:6" x14ac:dyDescent="0.25">
      <c r="A3562" s="5">
        <v>3410080</v>
      </c>
      <c r="B3562" s="1">
        <v>2017</v>
      </c>
      <c r="C3562" s="1" t="s">
        <v>1387</v>
      </c>
      <c r="D3562" s="1" t="s">
        <v>385</v>
      </c>
      <c r="E3562" s="8">
        <v>1910322</v>
      </c>
      <c r="F3562" s="5">
        <v>3410080</v>
      </c>
    </row>
    <row r="3563" spans="1:6" x14ac:dyDescent="0.25">
      <c r="A3563" s="5">
        <v>3410080</v>
      </c>
      <c r="B3563" s="1">
        <v>2018</v>
      </c>
      <c r="C3563" s="1" t="s">
        <v>1387</v>
      </c>
      <c r="D3563" s="1" t="s">
        <v>1077</v>
      </c>
      <c r="E3563" s="8">
        <v>2553167</v>
      </c>
      <c r="F3563" s="5">
        <v>3410080</v>
      </c>
    </row>
    <row r="3564" spans="1:6" x14ac:dyDescent="0.25">
      <c r="A3564" s="5">
        <v>3410080</v>
      </c>
      <c r="B3564" s="1">
        <v>2019</v>
      </c>
      <c r="C3564" s="1" t="s">
        <v>1387</v>
      </c>
      <c r="D3564" s="1" t="s">
        <v>1077</v>
      </c>
      <c r="E3564" s="8">
        <v>3468826</v>
      </c>
      <c r="F3564" s="5">
        <v>3410080</v>
      </c>
    </row>
    <row r="3565" spans="1:6" ht="20" x14ac:dyDescent="0.25">
      <c r="A3565" s="5">
        <v>3410080</v>
      </c>
      <c r="B3565" s="1">
        <v>2020</v>
      </c>
      <c r="C3565" s="1" t="s">
        <v>1387</v>
      </c>
      <c r="D3565" s="2" t="s">
        <v>1077</v>
      </c>
      <c r="E3565" s="7">
        <v>3768996</v>
      </c>
      <c r="F3565" s="5">
        <v>3410080</v>
      </c>
    </row>
    <row r="3566" spans="1:6" ht="20" x14ac:dyDescent="0.25">
      <c r="A3566" s="5">
        <v>3410080</v>
      </c>
      <c r="B3566" s="1">
        <v>2021</v>
      </c>
      <c r="C3566" s="1" t="s">
        <v>1387</v>
      </c>
      <c r="D3566" s="3" t="s">
        <v>1077</v>
      </c>
      <c r="E3566" s="7">
        <v>4887915</v>
      </c>
      <c r="F3566" s="5">
        <v>3410080</v>
      </c>
    </row>
    <row r="3567" spans="1:6" ht="20" x14ac:dyDescent="0.25">
      <c r="A3567" s="5">
        <v>3410080</v>
      </c>
      <c r="B3567" s="1">
        <v>2022</v>
      </c>
      <c r="C3567" s="1" t="s">
        <v>1387</v>
      </c>
      <c r="D3567" s="2" t="s">
        <v>1077</v>
      </c>
      <c r="E3567" s="7">
        <v>6920254</v>
      </c>
      <c r="F3567" s="5">
        <v>3410080</v>
      </c>
    </row>
    <row r="3568" spans="1:6" ht="20" x14ac:dyDescent="0.25">
      <c r="A3568" s="5">
        <v>3410080</v>
      </c>
      <c r="B3568" s="1">
        <v>2023</v>
      </c>
      <c r="C3568" s="1" t="s">
        <v>1387</v>
      </c>
      <c r="D3568" s="2" t="s">
        <v>1077</v>
      </c>
      <c r="E3568" s="7">
        <v>6750405</v>
      </c>
      <c r="F3568" s="5">
        <v>3410080</v>
      </c>
    </row>
    <row r="3569" spans="1:6" x14ac:dyDescent="0.25">
      <c r="A3569" s="5">
        <v>3410110</v>
      </c>
      <c r="B3569" s="1">
        <v>2015</v>
      </c>
      <c r="C3569" s="1" t="s">
        <v>1387</v>
      </c>
      <c r="D3569" s="1" t="s">
        <v>429</v>
      </c>
      <c r="E3569" s="8">
        <v>3894418</v>
      </c>
      <c r="F3569" s="5">
        <v>3410110</v>
      </c>
    </row>
    <row r="3570" spans="1:6" x14ac:dyDescent="0.25">
      <c r="A3570" s="5">
        <v>3410110</v>
      </c>
      <c r="B3570" s="1">
        <v>2016</v>
      </c>
      <c r="C3570" s="1" t="s">
        <v>1387</v>
      </c>
      <c r="D3570" s="1" t="s">
        <v>429</v>
      </c>
      <c r="E3570" s="8">
        <v>5768737</v>
      </c>
      <c r="F3570" s="5">
        <v>3410110</v>
      </c>
    </row>
    <row r="3571" spans="1:6" x14ac:dyDescent="0.25">
      <c r="A3571" s="5">
        <v>3410110</v>
      </c>
      <c r="B3571" s="1">
        <v>2017</v>
      </c>
      <c r="C3571" s="1" t="s">
        <v>1387</v>
      </c>
      <c r="D3571" s="1" t="s">
        <v>429</v>
      </c>
      <c r="E3571" s="8">
        <v>7906960</v>
      </c>
      <c r="F3571" s="5">
        <v>3410110</v>
      </c>
    </row>
    <row r="3572" spans="1:6" x14ac:dyDescent="0.25">
      <c r="A3572" s="5">
        <v>3410110</v>
      </c>
      <c r="B3572" s="1">
        <v>2018</v>
      </c>
      <c r="C3572" s="1" t="s">
        <v>1387</v>
      </c>
      <c r="D3572" s="1" t="s">
        <v>1121</v>
      </c>
      <c r="E3572" s="8">
        <v>10940339</v>
      </c>
      <c r="F3572" s="5">
        <v>3410110</v>
      </c>
    </row>
    <row r="3573" spans="1:6" x14ac:dyDescent="0.25">
      <c r="A3573" s="5">
        <v>3410110</v>
      </c>
      <c r="B3573" s="1">
        <v>2019</v>
      </c>
      <c r="C3573" s="1" t="s">
        <v>1387</v>
      </c>
      <c r="D3573" s="1" t="s">
        <v>1121</v>
      </c>
      <c r="E3573" s="8">
        <v>14497818</v>
      </c>
      <c r="F3573" s="5">
        <v>3410110</v>
      </c>
    </row>
    <row r="3574" spans="1:6" ht="20" x14ac:dyDescent="0.25">
      <c r="A3574" s="5">
        <v>3410110</v>
      </c>
      <c r="B3574" s="1">
        <v>2020</v>
      </c>
      <c r="C3574" s="1" t="s">
        <v>1387</v>
      </c>
      <c r="D3574" s="2" t="s">
        <v>1121</v>
      </c>
      <c r="E3574" s="7">
        <v>15972593</v>
      </c>
      <c r="F3574" s="5">
        <v>3410110</v>
      </c>
    </row>
    <row r="3575" spans="1:6" ht="20" x14ac:dyDescent="0.25">
      <c r="A3575" s="5">
        <v>3410110</v>
      </c>
      <c r="B3575" s="1">
        <v>2021</v>
      </c>
      <c r="C3575" s="1" t="s">
        <v>1387</v>
      </c>
      <c r="D3575" s="3" t="s">
        <v>1121</v>
      </c>
      <c r="E3575" s="7">
        <v>20983249</v>
      </c>
      <c r="F3575" s="5">
        <v>3410110</v>
      </c>
    </row>
    <row r="3576" spans="1:6" ht="20" x14ac:dyDescent="0.25">
      <c r="A3576" s="5">
        <v>3410110</v>
      </c>
      <c r="B3576" s="1">
        <v>2022</v>
      </c>
      <c r="C3576" s="1" t="s">
        <v>1387</v>
      </c>
      <c r="D3576" s="2" t="s">
        <v>1121</v>
      </c>
      <c r="E3576" s="7">
        <v>29374605</v>
      </c>
      <c r="F3576" s="5">
        <v>3410110</v>
      </c>
    </row>
    <row r="3577" spans="1:6" ht="20" x14ac:dyDescent="0.25">
      <c r="A3577" s="5">
        <v>3410110</v>
      </c>
      <c r="B3577" s="1">
        <v>2023</v>
      </c>
      <c r="C3577" s="1" t="s">
        <v>1387</v>
      </c>
      <c r="D3577" s="2" t="s">
        <v>1121</v>
      </c>
      <c r="E3577" s="7">
        <v>29096002</v>
      </c>
      <c r="F3577" s="5">
        <v>3410110</v>
      </c>
    </row>
    <row r="3578" spans="1:6" x14ac:dyDescent="0.25">
      <c r="A3578" s="5">
        <v>3410140</v>
      </c>
      <c r="B3578" s="1">
        <v>2015</v>
      </c>
      <c r="C3578" s="1" t="s">
        <v>1387</v>
      </c>
      <c r="D3578" s="1" t="s">
        <v>66</v>
      </c>
      <c r="E3578" s="8">
        <v>449677</v>
      </c>
      <c r="F3578" s="5">
        <v>3410140</v>
      </c>
    </row>
    <row r="3579" spans="1:6" x14ac:dyDescent="0.25">
      <c r="A3579" s="5">
        <v>3410140</v>
      </c>
      <c r="B3579" s="1">
        <v>2016</v>
      </c>
      <c r="C3579" s="1" t="s">
        <v>1387</v>
      </c>
      <c r="D3579" s="1" t="s">
        <v>66</v>
      </c>
      <c r="E3579" s="8">
        <v>630285</v>
      </c>
      <c r="F3579" s="5">
        <v>3410140</v>
      </c>
    </row>
    <row r="3580" spans="1:6" x14ac:dyDescent="0.25">
      <c r="A3580" s="5">
        <v>3410140</v>
      </c>
      <c r="B3580" s="1">
        <v>2017</v>
      </c>
      <c r="C3580" s="1" t="s">
        <v>1387</v>
      </c>
      <c r="D3580" s="1" t="s">
        <v>66</v>
      </c>
      <c r="E3580" s="8">
        <v>900107</v>
      </c>
      <c r="F3580" s="5">
        <v>3410140</v>
      </c>
    </row>
    <row r="3581" spans="1:6" x14ac:dyDescent="0.25">
      <c r="A3581" s="5">
        <v>3410140</v>
      </c>
      <c r="B3581" s="1">
        <v>2018</v>
      </c>
      <c r="C3581" s="1" t="s">
        <v>1387</v>
      </c>
      <c r="D3581" s="1" t="s">
        <v>744</v>
      </c>
      <c r="E3581" s="8">
        <v>1243710</v>
      </c>
      <c r="F3581" s="5">
        <v>3410140</v>
      </c>
    </row>
    <row r="3582" spans="1:6" x14ac:dyDescent="0.25">
      <c r="A3582" s="5">
        <v>3410140</v>
      </c>
      <c r="B3582" s="1">
        <v>2019</v>
      </c>
      <c r="C3582" s="1" t="s">
        <v>1387</v>
      </c>
      <c r="D3582" s="1" t="s">
        <v>744</v>
      </c>
      <c r="E3582" s="8">
        <v>1689304</v>
      </c>
      <c r="F3582" s="5">
        <v>3410140</v>
      </c>
    </row>
    <row r="3583" spans="1:6" ht="20" x14ac:dyDescent="0.25">
      <c r="A3583" s="5">
        <v>3410140</v>
      </c>
      <c r="B3583" s="1">
        <v>2020</v>
      </c>
      <c r="C3583" s="1" t="s">
        <v>1387</v>
      </c>
      <c r="D3583" s="2" t="s">
        <v>744</v>
      </c>
      <c r="E3583" s="7">
        <v>2018615</v>
      </c>
      <c r="F3583" s="5">
        <v>3410140</v>
      </c>
    </row>
    <row r="3584" spans="1:6" ht="20" x14ac:dyDescent="0.25">
      <c r="A3584" s="5">
        <v>3410140</v>
      </c>
      <c r="B3584" s="1">
        <v>2021</v>
      </c>
      <c r="C3584" s="1" t="s">
        <v>1387</v>
      </c>
      <c r="D3584" s="3" t="s">
        <v>744</v>
      </c>
      <c r="E3584" s="7">
        <v>2510268</v>
      </c>
      <c r="F3584" s="5">
        <v>3410140</v>
      </c>
    </row>
    <row r="3585" spans="1:6" ht="20" x14ac:dyDescent="0.25">
      <c r="A3585" s="5">
        <v>3410140</v>
      </c>
      <c r="B3585" s="1">
        <v>2022</v>
      </c>
      <c r="C3585" s="1" t="s">
        <v>1387</v>
      </c>
      <c r="D3585" s="2" t="s">
        <v>744</v>
      </c>
      <c r="E3585" s="7">
        <v>3492443</v>
      </c>
      <c r="F3585" s="5">
        <v>3410140</v>
      </c>
    </row>
    <row r="3586" spans="1:6" ht="20" x14ac:dyDescent="0.25">
      <c r="A3586" s="5">
        <v>3410140</v>
      </c>
      <c r="B3586" s="1">
        <v>2023</v>
      </c>
      <c r="C3586" s="1" t="s">
        <v>1387</v>
      </c>
      <c r="D3586" s="2" t="s">
        <v>744</v>
      </c>
      <c r="E3586" s="7">
        <v>3585560</v>
      </c>
      <c r="F3586" s="5">
        <v>3410140</v>
      </c>
    </row>
    <row r="3587" spans="1:6" x14ac:dyDescent="0.25">
      <c r="A3587" s="5">
        <v>3410170</v>
      </c>
      <c r="B3587" s="1">
        <v>2015</v>
      </c>
      <c r="C3587" s="1" t="s">
        <v>1387</v>
      </c>
      <c r="D3587" s="1" t="s">
        <v>347</v>
      </c>
      <c r="E3587" s="8">
        <v>39546</v>
      </c>
      <c r="F3587" s="5">
        <v>3410170</v>
      </c>
    </row>
    <row r="3588" spans="1:6" x14ac:dyDescent="0.25">
      <c r="A3588" s="5">
        <v>3410170</v>
      </c>
      <c r="B3588" s="1">
        <v>2016</v>
      </c>
      <c r="C3588" s="1" t="s">
        <v>1387</v>
      </c>
      <c r="D3588" s="1" t="s">
        <v>347</v>
      </c>
      <c r="E3588" s="8">
        <v>50760</v>
      </c>
      <c r="F3588" s="5">
        <v>3410170</v>
      </c>
    </row>
    <row r="3589" spans="1:6" x14ac:dyDescent="0.25">
      <c r="A3589" s="5">
        <v>3410170</v>
      </c>
      <c r="B3589" s="1">
        <v>2017</v>
      </c>
      <c r="C3589" s="1" t="s">
        <v>1387</v>
      </c>
      <c r="D3589" s="1" t="s">
        <v>347</v>
      </c>
      <c r="E3589" s="8">
        <v>87264</v>
      </c>
      <c r="F3589" s="5">
        <v>3410170</v>
      </c>
    </row>
    <row r="3590" spans="1:6" x14ac:dyDescent="0.25">
      <c r="A3590" s="5">
        <v>3410170</v>
      </c>
      <c r="B3590" s="1">
        <v>2018</v>
      </c>
      <c r="C3590" s="1" t="s">
        <v>1387</v>
      </c>
      <c r="D3590" s="1" t="s">
        <v>1039</v>
      </c>
      <c r="E3590" s="8">
        <v>119175</v>
      </c>
      <c r="F3590" s="5">
        <v>3410170</v>
      </c>
    </row>
    <row r="3591" spans="1:6" x14ac:dyDescent="0.25">
      <c r="A3591" s="5">
        <v>3410170</v>
      </c>
      <c r="B3591" s="1">
        <v>2019</v>
      </c>
      <c r="C3591" s="1" t="s">
        <v>1387</v>
      </c>
      <c r="D3591" s="1" t="s">
        <v>1039</v>
      </c>
      <c r="E3591" s="8">
        <v>168432</v>
      </c>
      <c r="F3591" s="5">
        <v>3410170</v>
      </c>
    </row>
    <row r="3592" spans="1:6" ht="20" x14ac:dyDescent="0.25">
      <c r="A3592" s="5">
        <v>3410170</v>
      </c>
      <c r="B3592" s="1">
        <v>2020</v>
      </c>
      <c r="C3592" s="1" t="s">
        <v>1387</v>
      </c>
      <c r="D3592" s="2" t="s">
        <v>1039</v>
      </c>
      <c r="E3592" s="7">
        <v>191656</v>
      </c>
      <c r="F3592" s="5">
        <v>3410170</v>
      </c>
    </row>
    <row r="3593" spans="1:6" ht="20" x14ac:dyDescent="0.25">
      <c r="A3593" s="5">
        <v>3410170</v>
      </c>
      <c r="B3593" s="1">
        <v>2021</v>
      </c>
      <c r="C3593" s="1" t="s">
        <v>1387</v>
      </c>
      <c r="D3593" s="3" t="s">
        <v>1039</v>
      </c>
      <c r="E3593" s="7">
        <v>207666</v>
      </c>
      <c r="F3593" s="5">
        <v>3410170</v>
      </c>
    </row>
    <row r="3594" spans="1:6" ht="20" x14ac:dyDescent="0.25">
      <c r="A3594" s="5">
        <v>3410170</v>
      </c>
      <c r="B3594" s="1">
        <v>2022</v>
      </c>
      <c r="C3594" s="1" t="s">
        <v>1387</v>
      </c>
      <c r="D3594" s="2" t="s">
        <v>1039</v>
      </c>
      <c r="E3594" s="7">
        <v>230393</v>
      </c>
      <c r="F3594" s="5">
        <v>3410170</v>
      </c>
    </row>
    <row r="3595" spans="1:6" ht="20" x14ac:dyDescent="0.25">
      <c r="A3595" s="5">
        <v>3410170</v>
      </c>
      <c r="B3595" s="1">
        <v>2023</v>
      </c>
      <c r="C3595" s="1" t="s">
        <v>1387</v>
      </c>
      <c r="D3595" s="2" t="s">
        <v>1039</v>
      </c>
      <c r="E3595" s="7">
        <v>201495</v>
      </c>
      <c r="F3595" s="5">
        <v>3410170</v>
      </c>
    </row>
    <row r="3596" spans="1:6" x14ac:dyDescent="0.25">
      <c r="A3596" s="5">
        <v>3410200</v>
      </c>
      <c r="B3596" s="1">
        <v>2015</v>
      </c>
      <c r="C3596" s="1" t="s">
        <v>1387</v>
      </c>
      <c r="D3596" s="1" t="s">
        <v>249</v>
      </c>
      <c r="E3596" s="8">
        <v>2186517</v>
      </c>
      <c r="F3596" s="5">
        <v>3410200</v>
      </c>
    </row>
    <row r="3597" spans="1:6" x14ac:dyDescent="0.25">
      <c r="A3597" s="5">
        <v>3410200</v>
      </c>
      <c r="B3597" s="1">
        <v>2016</v>
      </c>
      <c r="C3597" s="1" t="s">
        <v>1387</v>
      </c>
      <c r="D3597" s="1" t="s">
        <v>249</v>
      </c>
      <c r="E3597" s="8">
        <v>3275883</v>
      </c>
      <c r="F3597" s="5">
        <v>3410200</v>
      </c>
    </row>
    <row r="3598" spans="1:6" x14ac:dyDescent="0.25">
      <c r="A3598" s="5">
        <v>3410200</v>
      </c>
      <c r="B3598" s="1">
        <v>2017</v>
      </c>
      <c r="C3598" s="1" t="s">
        <v>1387</v>
      </c>
      <c r="D3598" s="1" t="s">
        <v>249</v>
      </c>
      <c r="E3598" s="8">
        <v>4632569</v>
      </c>
      <c r="F3598" s="5">
        <v>3410200</v>
      </c>
    </row>
    <row r="3599" spans="1:6" x14ac:dyDescent="0.25">
      <c r="A3599" s="5">
        <v>3410200</v>
      </c>
      <c r="B3599" s="1">
        <v>2018</v>
      </c>
      <c r="C3599" s="1" t="s">
        <v>1387</v>
      </c>
      <c r="D3599" s="1" t="s">
        <v>937</v>
      </c>
      <c r="E3599" s="8">
        <v>6239899</v>
      </c>
      <c r="F3599" s="5">
        <v>3410200</v>
      </c>
    </row>
    <row r="3600" spans="1:6" x14ac:dyDescent="0.25">
      <c r="A3600" s="5">
        <v>3410200</v>
      </c>
      <c r="B3600" s="1">
        <v>2019</v>
      </c>
      <c r="C3600" s="1" t="s">
        <v>1387</v>
      </c>
      <c r="D3600" s="1" t="s">
        <v>937</v>
      </c>
      <c r="E3600" s="8">
        <v>8223263</v>
      </c>
      <c r="F3600" s="5">
        <v>3410200</v>
      </c>
    </row>
    <row r="3601" spans="1:6" ht="20" x14ac:dyDescent="0.25">
      <c r="A3601" s="5">
        <v>3410200</v>
      </c>
      <c r="B3601" s="1">
        <v>2020</v>
      </c>
      <c r="C3601" s="1" t="s">
        <v>1387</v>
      </c>
      <c r="D3601" s="2" t="s">
        <v>937</v>
      </c>
      <c r="E3601" s="7">
        <v>8879679</v>
      </c>
      <c r="F3601" s="5">
        <v>3410200</v>
      </c>
    </row>
    <row r="3602" spans="1:6" ht="20" x14ac:dyDescent="0.25">
      <c r="A3602" s="5">
        <v>3410200</v>
      </c>
      <c r="B3602" s="1">
        <v>2021</v>
      </c>
      <c r="C3602" s="1" t="s">
        <v>1387</v>
      </c>
      <c r="D3602" s="3" t="s">
        <v>937</v>
      </c>
      <c r="E3602" s="7">
        <v>11876734</v>
      </c>
      <c r="F3602" s="5">
        <v>3410200</v>
      </c>
    </row>
    <row r="3603" spans="1:6" ht="20" x14ac:dyDescent="0.25">
      <c r="A3603" s="5">
        <v>3410200</v>
      </c>
      <c r="B3603" s="1">
        <v>2022</v>
      </c>
      <c r="C3603" s="1" t="s">
        <v>1387</v>
      </c>
      <c r="D3603" s="2" t="s">
        <v>937</v>
      </c>
      <c r="E3603" s="7">
        <v>16788119</v>
      </c>
      <c r="F3603" s="5">
        <v>3410200</v>
      </c>
    </row>
    <row r="3604" spans="1:6" ht="20" x14ac:dyDescent="0.25">
      <c r="A3604" s="5">
        <v>3410200</v>
      </c>
      <c r="B3604" s="1">
        <v>2023</v>
      </c>
      <c r="C3604" s="1" t="s">
        <v>1387</v>
      </c>
      <c r="D3604" s="2" t="s">
        <v>937</v>
      </c>
      <c r="E3604" s="7">
        <v>16786087</v>
      </c>
      <c r="F3604" s="5">
        <v>3410200</v>
      </c>
    </row>
    <row r="3605" spans="1:6" x14ac:dyDescent="0.25">
      <c r="A3605" s="5">
        <v>3410230</v>
      </c>
      <c r="B3605" s="1">
        <v>2015</v>
      </c>
      <c r="C3605" s="1" t="s">
        <v>1387</v>
      </c>
      <c r="D3605" s="1" t="s">
        <v>430</v>
      </c>
      <c r="E3605" s="8">
        <v>528271</v>
      </c>
      <c r="F3605" s="5">
        <v>3410230</v>
      </c>
    </row>
    <row r="3606" spans="1:6" x14ac:dyDescent="0.25">
      <c r="A3606" s="5">
        <v>3410230</v>
      </c>
      <c r="B3606" s="1">
        <v>2016</v>
      </c>
      <c r="C3606" s="1" t="s">
        <v>1387</v>
      </c>
      <c r="D3606" s="1" t="s">
        <v>430</v>
      </c>
      <c r="E3606" s="8">
        <v>745094</v>
      </c>
      <c r="F3606" s="5">
        <v>3410230</v>
      </c>
    </row>
    <row r="3607" spans="1:6" x14ac:dyDescent="0.25">
      <c r="A3607" s="5">
        <v>3410230</v>
      </c>
      <c r="B3607" s="1">
        <v>2017</v>
      </c>
      <c r="C3607" s="1" t="s">
        <v>1387</v>
      </c>
      <c r="D3607" s="1" t="s">
        <v>430</v>
      </c>
      <c r="E3607" s="8">
        <v>1048034</v>
      </c>
      <c r="F3607" s="5">
        <v>3410230</v>
      </c>
    </row>
    <row r="3608" spans="1:6" x14ac:dyDescent="0.25">
      <c r="A3608" s="5">
        <v>3410230</v>
      </c>
      <c r="B3608" s="1">
        <v>2018</v>
      </c>
      <c r="C3608" s="1" t="s">
        <v>1387</v>
      </c>
      <c r="D3608" s="1" t="s">
        <v>1122</v>
      </c>
      <c r="E3608" s="8">
        <v>1386083</v>
      </c>
      <c r="F3608" s="5">
        <v>3410230</v>
      </c>
    </row>
    <row r="3609" spans="1:6" x14ac:dyDescent="0.25">
      <c r="A3609" s="5">
        <v>3410230</v>
      </c>
      <c r="B3609" s="1">
        <v>2019</v>
      </c>
      <c r="C3609" s="1" t="s">
        <v>1387</v>
      </c>
      <c r="D3609" s="1" t="s">
        <v>1122</v>
      </c>
      <c r="E3609" s="8">
        <v>1780642</v>
      </c>
      <c r="F3609" s="5">
        <v>3410230</v>
      </c>
    </row>
    <row r="3610" spans="1:6" ht="20" x14ac:dyDescent="0.25">
      <c r="A3610" s="5">
        <v>3410230</v>
      </c>
      <c r="B3610" s="1">
        <v>2020</v>
      </c>
      <c r="C3610" s="1" t="s">
        <v>1387</v>
      </c>
      <c r="D3610" s="2" t="s">
        <v>1122</v>
      </c>
      <c r="E3610" s="7">
        <v>1989375</v>
      </c>
      <c r="F3610" s="5">
        <v>3410230</v>
      </c>
    </row>
    <row r="3611" spans="1:6" ht="20" x14ac:dyDescent="0.25">
      <c r="A3611" s="5">
        <v>3410230</v>
      </c>
      <c r="B3611" s="1">
        <v>2021</v>
      </c>
      <c r="C3611" s="1" t="s">
        <v>1387</v>
      </c>
      <c r="D3611" s="3" t="s">
        <v>1122</v>
      </c>
      <c r="E3611" s="7">
        <v>2661955</v>
      </c>
      <c r="F3611" s="5">
        <v>3410230</v>
      </c>
    </row>
    <row r="3612" spans="1:6" ht="20" x14ac:dyDescent="0.25">
      <c r="A3612" s="5">
        <v>3410230</v>
      </c>
      <c r="B3612" s="1">
        <v>2022</v>
      </c>
      <c r="C3612" s="1" t="s">
        <v>1387</v>
      </c>
      <c r="D3612" s="2" t="s">
        <v>1122</v>
      </c>
      <c r="E3612" s="7">
        <v>3683883</v>
      </c>
      <c r="F3612" s="5">
        <v>3410230</v>
      </c>
    </row>
    <row r="3613" spans="1:6" ht="20" x14ac:dyDescent="0.25">
      <c r="A3613" s="5">
        <v>3410230</v>
      </c>
      <c r="B3613" s="1">
        <v>2023</v>
      </c>
      <c r="C3613" s="1" t="s">
        <v>1387</v>
      </c>
      <c r="D3613" s="2" t="s">
        <v>1122</v>
      </c>
      <c r="E3613" s="7">
        <v>3688555</v>
      </c>
      <c r="F3613" s="5">
        <v>3410230</v>
      </c>
    </row>
    <row r="3614" spans="1:6" x14ac:dyDescent="0.25">
      <c r="A3614" s="5">
        <v>3410290</v>
      </c>
      <c r="B3614" s="1">
        <v>2015</v>
      </c>
      <c r="C3614" s="1" t="s">
        <v>1387</v>
      </c>
      <c r="D3614" s="1" t="s">
        <v>386</v>
      </c>
      <c r="E3614" s="8">
        <v>195193</v>
      </c>
      <c r="F3614" s="5">
        <v>3410290</v>
      </c>
    </row>
    <row r="3615" spans="1:6" x14ac:dyDescent="0.25">
      <c r="A3615" s="5">
        <v>3410290</v>
      </c>
      <c r="B3615" s="1">
        <v>2016</v>
      </c>
      <c r="C3615" s="1" t="s">
        <v>1387</v>
      </c>
      <c r="D3615" s="1" t="s">
        <v>386</v>
      </c>
      <c r="E3615" s="8">
        <v>273337</v>
      </c>
      <c r="F3615" s="5">
        <v>3410290</v>
      </c>
    </row>
    <row r="3616" spans="1:6" x14ac:dyDescent="0.25">
      <c r="A3616" s="5">
        <v>3410290</v>
      </c>
      <c r="B3616" s="1">
        <v>2017</v>
      </c>
      <c r="C3616" s="1" t="s">
        <v>1387</v>
      </c>
      <c r="D3616" s="1" t="s">
        <v>386</v>
      </c>
      <c r="E3616" s="8">
        <v>420998</v>
      </c>
      <c r="F3616" s="5">
        <v>3410290</v>
      </c>
    </row>
    <row r="3617" spans="1:6" x14ac:dyDescent="0.25">
      <c r="A3617" s="5">
        <v>3410290</v>
      </c>
      <c r="B3617" s="1">
        <v>2018</v>
      </c>
      <c r="C3617" s="1" t="s">
        <v>1387</v>
      </c>
      <c r="D3617" s="1" t="s">
        <v>1078</v>
      </c>
      <c r="E3617" s="8">
        <v>627049</v>
      </c>
      <c r="F3617" s="5">
        <v>3410290</v>
      </c>
    </row>
    <row r="3618" spans="1:6" x14ac:dyDescent="0.25">
      <c r="A3618" s="5">
        <v>3410290</v>
      </c>
      <c r="B3618" s="1">
        <v>2019</v>
      </c>
      <c r="C3618" s="1" t="s">
        <v>1387</v>
      </c>
      <c r="D3618" s="1" t="s">
        <v>1078</v>
      </c>
      <c r="E3618" s="8">
        <v>860005</v>
      </c>
      <c r="F3618" s="5">
        <v>3410290</v>
      </c>
    </row>
    <row r="3619" spans="1:6" ht="20" x14ac:dyDescent="0.25">
      <c r="A3619" s="5">
        <v>3410290</v>
      </c>
      <c r="B3619" s="1">
        <v>2020</v>
      </c>
      <c r="C3619" s="1" t="s">
        <v>1387</v>
      </c>
      <c r="D3619" s="2" t="s">
        <v>1078</v>
      </c>
      <c r="E3619" s="7">
        <v>957242</v>
      </c>
      <c r="F3619" s="5">
        <v>3410290</v>
      </c>
    </row>
    <row r="3620" spans="1:6" ht="20" x14ac:dyDescent="0.25">
      <c r="A3620" s="5">
        <v>3410290</v>
      </c>
      <c r="B3620" s="1">
        <v>2021</v>
      </c>
      <c r="C3620" s="1" t="s">
        <v>1387</v>
      </c>
      <c r="D3620" s="3" t="s">
        <v>1078</v>
      </c>
      <c r="E3620" s="7">
        <v>1341548</v>
      </c>
      <c r="F3620" s="5">
        <v>3410290</v>
      </c>
    </row>
    <row r="3621" spans="1:6" ht="20" x14ac:dyDescent="0.25">
      <c r="A3621" s="5">
        <v>3410290</v>
      </c>
      <c r="B3621" s="1">
        <v>2022</v>
      </c>
      <c r="C3621" s="1" t="s">
        <v>1387</v>
      </c>
      <c r="D3621" s="2" t="s">
        <v>1078</v>
      </c>
      <c r="E3621" s="7">
        <v>1995331</v>
      </c>
      <c r="F3621" s="5">
        <v>3410290</v>
      </c>
    </row>
    <row r="3622" spans="1:6" ht="20" x14ac:dyDescent="0.25">
      <c r="A3622" s="5">
        <v>3410290</v>
      </c>
      <c r="B3622" s="1">
        <v>2023</v>
      </c>
      <c r="C3622" s="1" t="s">
        <v>1387</v>
      </c>
      <c r="D3622" s="2" t="s">
        <v>1078</v>
      </c>
      <c r="E3622" s="7">
        <v>1937655</v>
      </c>
      <c r="F3622" s="5">
        <v>3410290</v>
      </c>
    </row>
    <row r="3623" spans="1:6" x14ac:dyDescent="0.25">
      <c r="A3623" s="5">
        <v>3410320</v>
      </c>
      <c r="B3623" s="1">
        <v>2015</v>
      </c>
      <c r="C3623" s="1" t="s">
        <v>1387</v>
      </c>
      <c r="D3623" s="1" t="s">
        <v>223</v>
      </c>
      <c r="E3623" s="8">
        <v>2188690</v>
      </c>
      <c r="F3623" s="5">
        <v>3410320</v>
      </c>
    </row>
    <row r="3624" spans="1:6" x14ac:dyDescent="0.25">
      <c r="A3624" s="5">
        <v>3410320</v>
      </c>
      <c r="B3624" s="1">
        <v>2016</v>
      </c>
      <c r="C3624" s="1" t="s">
        <v>1387</v>
      </c>
      <c r="D3624" s="1" t="s">
        <v>223</v>
      </c>
      <c r="E3624" s="8">
        <v>3277943</v>
      </c>
      <c r="F3624" s="5">
        <v>3410320</v>
      </c>
    </row>
    <row r="3625" spans="1:6" x14ac:dyDescent="0.25">
      <c r="A3625" s="5">
        <v>3410320</v>
      </c>
      <c r="B3625" s="1">
        <v>2017</v>
      </c>
      <c r="C3625" s="1" t="s">
        <v>1387</v>
      </c>
      <c r="D3625" s="1" t="s">
        <v>223</v>
      </c>
      <c r="E3625" s="8">
        <v>4539469</v>
      </c>
      <c r="F3625" s="5">
        <v>3410320</v>
      </c>
    </row>
    <row r="3626" spans="1:6" x14ac:dyDescent="0.25">
      <c r="A3626" s="5">
        <v>3410320</v>
      </c>
      <c r="B3626" s="1">
        <v>2018</v>
      </c>
      <c r="C3626" s="1" t="s">
        <v>1387</v>
      </c>
      <c r="D3626" s="1" t="s">
        <v>909</v>
      </c>
      <c r="E3626" s="8">
        <v>5980339</v>
      </c>
      <c r="F3626" s="5">
        <v>3410320</v>
      </c>
    </row>
    <row r="3627" spans="1:6" x14ac:dyDescent="0.25">
      <c r="A3627" s="5">
        <v>3410320</v>
      </c>
      <c r="B3627" s="1">
        <v>2019</v>
      </c>
      <c r="C3627" s="1" t="s">
        <v>1387</v>
      </c>
      <c r="D3627" s="1" t="s">
        <v>909</v>
      </c>
      <c r="E3627" s="8">
        <v>7620829</v>
      </c>
      <c r="F3627" s="5">
        <v>3410320</v>
      </c>
    </row>
    <row r="3628" spans="1:6" ht="20" x14ac:dyDescent="0.25">
      <c r="A3628" s="5">
        <v>3410320</v>
      </c>
      <c r="B3628" s="1">
        <v>2020</v>
      </c>
      <c r="C3628" s="1" t="s">
        <v>1387</v>
      </c>
      <c r="D3628" s="2" t="s">
        <v>909</v>
      </c>
      <c r="E3628" s="7">
        <v>8203580</v>
      </c>
      <c r="F3628" s="5">
        <v>3410320</v>
      </c>
    </row>
    <row r="3629" spans="1:6" ht="20" x14ac:dyDescent="0.25">
      <c r="A3629" s="5">
        <v>3410320</v>
      </c>
      <c r="B3629" s="1">
        <v>2021</v>
      </c>
      <c r="C3629" s="1" t="s">
        <v>1387</v>
      </c>
      <c r="D3629" s="3" t="s">
        <v>909</v>
      </c>
      <c r="E3629" s="7">
        <v>10115341</v>
      </c>
      <c r="F3629" s="5">
        <v>3410320</v>
      </c>
    </row>
    <row r="3630" spans="1:6" ht="20" x14ac:dyDescent="0.25">
      <c r="A3630" s="5">
        <v>3410320</v>
      </c>
      <c r="B3630" s="1">
        <v>2022</v>
      </c>
      <c r="C3630" s="1" t="s">
        <v>1387</v>
      </c>
      <c r="D3630" s="2" t="s">
        <v>909</v>
      </c>
      <c r="E3630" s="7">
        <v>14715318</v>
      </c>
      <c r="F3630" s="5">
        <v>3410320</v>
      </c>
    </row>
    <row r="3631" spans="1:6" ht="20" x14ac:dyDescent="0.25">
      <c r="A3631" s="5">
        <v>3410320</v>
      </c>
      <c r="B3631" s="1">
        <v>2023</v>
      </c>
      <c r="C3631" s="1" t="s">
        <v>1387</v>
      </c>
      <c r="D3631" s="2" t="s">
        <v>909</v>
      </c>
      <c r="E3631" s="7">
        <v>14510927</v>
      </c>
      <c r="F3631" s="5">
        <v>3410320</v>
      </c>
    </row>
    <row r="3632" spans="1:6" x14ac:dyDescent="0.25">
      <c r="A3632" s="5">
        <v>3410350</v>
      </c>
      <c r="B3632" s="1">
        <v>2015</v>
      </c>
      <c r="C3632" s="1" t="s">
        <v>1387</v>
      </c>
      <c r="D3632" s="1" t="s">
        <v>473</v>
      </c>
      <c r="E3632" s="8">
        <v>104646</v>
      </c>
      <c r="F3632" s="5">
        <v>3410350</v>
      </c>
    </row>
    <row r="3633" spans="1:6" x14ac:dyDescent="0.25">
      <c r="A3633" s="5">
        <v>3410350</v>
      </c>
      <c r="B3633" s="1">
        <v>2016</v>
      </c>
      <c r="C3633" s="1" t="s">
        <v>1387</v>
      </c>
      <c r="D3633" s="1" t="s">
        <v>473</v>
      </c>
      <c r="E3633" s="8">
        <v>178996</v>
      </c>
      <c r="F3633" s="5">
        <v>3410350</v>
      </c>
    </row>
    <row r="3634" spans="1:6" x14ac:dyDescent="0.25">
      <c r="A3634" s="5">
        <v>3410350</v>
      </c>
      <c r="B3634" s="1">
        <v>2017</v>
      </c>
      <c r="C3634" s="1" t="s">
        <v>1387</v>
      </c>
      <c r="D3634" s="1" t="s">
        <v>473</v>
      </c>
      <c r="E3634" s="8">
        <v>253960</v>
      </c>
      <c r="F3634" s="5">
        <v>3410350</v>
      </c>
    </row>
    <row r="3635" spans="1:6" x14ac:dyDescent="0.25">
      <c r="A3635" s="5">
        <v>3410350</v>
      </c>
      <c r="B3635" s="1">
        <v>2018</v>
      </c>
      <c r="C3635" s="1" t="s">
        <v>1387</v>
      </c>
      <c r="D3635" s="1" t="s">
        <v>1165</v>
      </c>
      <c r="E3635" s="8">
        <v>348452</v>
      </c>
      <c r="F3635" s="5">
        <v>3410350</v>
      </c>
    </row>
    <row r="3636" spans="1:6" x14ac:dyDescent="0.25">
      <c r="A3636" s="5">
        <v>3410350</v>
      </c>
      <c r="B3636" s="1">
        <v>2019</v>
      </c>
      <c r="C3636" s="1" t="s">
        <v>1387</v>
      </c>
      <c r="D3636" s="1" t="s">
        <v>1165</v>
      </c>
      <c r="E3636" s="8">
        <v>455703</v>
      </c>
      <c r="F3636" s="5">
        <v>3410350</v>
      </c>
    </row>
    <row r="3637" spans="1:6" ht="20" x14ac:dyDescent="0.25">
      <c r="A3637" s="5">
        <v>3410350</v>
      </c>
      <c r="B3637" s="1">
        <v>2020</v>
      </c>
      <c r="C3637" s="1" t="s">
        <v>1387</v>
      </c>
      <c r="D3637" s="2" t="s">
        <v>1165</v>
      </c>
      <c r="E3637" s="7">
        <v>536733</v>
      </c>
      <c r="F3637" s="5">
        <v>3410350</v>
      </c>
    </row>
    <row r="3638" spans="1:6" ht="20" x14ac:dyDescent="0.25">
      <c r="A3638" s="5">
        <v>3410350</v>
      </c>
      <c r="B3638" s="1">
        <v>2021</v>
      </c>
      <c r="C3638" s="1" t="s">
        <v>1387</v>
      </c>
      <c r="D3638" s="3" t="s">
        <v>1165</v>
      </c>
      <c r="E3638" s="7">
        <v>674607</v>
      </c>
      <c r="F3638" s="5">
        <v>3410350</v>
      </c>
    </row>
    <row r="3639" spans="1:6" ht="20" x14ac:dyDescent="0.25">
      <c r="A3639" s="5">
        <v>3410350</v>
      </c>
      <c r="B3639" s="1">
        <v>2022</v>
      </c>
      <c r="C3639" s="1" t="s">
        <v>1387</v>
      </c>
      <c r="D3639" s="2" t="s">
        <v>1165</v>
      </c>
      <c r="E3639" s="7">
        <v>945977</v>
      </c>
      <c r="F3639" s="5">
        <v>3410350</v>
      </c>
    </row>
    <row r="3640" spans="1:6" ht="20" x14ac:dyDescent="0.25">
      <c r="A3640" s="5">
        <v>3410350</v>
      </c>
      <c r="B3640" s="1">
        <v>2023</v>
      </c>
      <c r="C3640" s="1" t="s">
        <v>1387</v>
      </c>
      <c r="D3640" s="2" t="s">
        <v>1165</v>
      </c>
      <c r="E3640" s="7">
        <v>966187</v>
      </c>
      <c r="F3640" s="5">
        <v>3410350</v>
      </c>
    </row>
    <row r="3641" spans="1:6" x14ac:dyDescent="0.25">
      <c r="A3641" s="5">
        <v>3410380</v>
      </c>
      <c r="B3641" s="1">
        <v>2015</v>
      </c>
      <c r="C3641" s="1" t="s">
        <v>1387</v>
      </c>
      <c r="D3641" s="1" t="s">
        <v>431</v>
      </c>
      <c r="E3641" s="8">
        <v>106771</v>
      </c>
      <c r="F3641" s="5">
        <v>3410380</v>
      </c>
    </row>
    <row r="3642" spans="1:6" x14ac:dyDescent="0.25">
      <c r="A3642" s="5">
        <v>3410380</v>
      </c>
      <c r="B3642" s="1">
        <v>2016</v>
      </c>
      <c r="C3642" s="1" t="s">
        <v>1387</v>
      </c>
      <c r="D3642" s="1" t="s">
        <v>431</v>
      </c>
      <c r="E3642" s="8">
        <v>158040</v>
      </c>
      <c r="F3642" s="5">
        <v>3410380</v>
      </c>
    </row>
    <row r="3643" spans="1:6" x14ac:dyDescent="0.25">
      <c r="A3643" s="5">
        <v>3410380</v>
      </c>
      <c r="B3643" s="1">
        <v>2017</v>
      </c>
      <c r="C3643" s="1" t="s">
        <v>1387</v>
      </c>
      <c r="D3643" s="1" t="s">
        <v>431</v>
      </c>
      <c r="E3643" s="8">
        <v>227292</v>
      </c>
      <c r="F3643" s="5">
        <v>3410380</v>
      </c>
    </row>
    <row r="3644" spans="1:6" x14ac:dyDescent="0.25">
      <c r="A3644" s="5">
        <v>3410380</v>
      </c>
      <c r="B3644" s="1">
        <v>2018</v>
      </c>
      <c r="C3644" s="1" t="s">
        <v>1387</v>
      </c>
      <c r="D3644" s="1" t="s">
        <v>1123</v>
      </c>
      <c r="E3644" s="8">
        <v>290373</v>
      </c>
      <c r="F3644" s="5">
        <v>3410380</v>
      </c>
    </row>
    <row r="3645" spans="1:6" x14ac:dyDescent="0.25">
      <c r="A3645" s="5">
        <v>3410380</v>
      </c>
      <c r="B3645" s="1">
        <v>2019</v>
      </c>
      <c r="C3645" s="1" t="s">
        <v>1387</v>
      </c>
      <c r="D3645" s="1" t="s">
        <v>1123</v>
      </c>
      <c r="E3645" s="8">
        <v>405143</v>
      </c>
      <c r="F3645" s="5">
        <v>3410380</v>
      </c>
    </row>
    <row r="3646" spans="1:6" ht="20" x14ac:dyDescent="0.25">
      <c r="A3646" s="5">
        <v>3410380</v>
      </c>
      <c r="B3646" s="1">
        <v>2020</v>
      </c>
      <c r="C3646" s="1" t="s">
        <v>1387</v>
      </c>
      <c r="D3646" s="2" t="s">
        <v>1123</v>
      </c>
      <c r="E3646" s="7">
        <v>465603</v>
      </c>
      <c r="F3646" s="5">
        <v>3410380</v>
      </c>
    </row>
    <row r="3647" spans="1:6" ht="20" x14ac:dyDescent="0.25">
      <c r="A3647" s="5">
        <v>3410380</v>
      </c>
      <c r="B3647" s="1">
        <v>2021</v>
      </c>
      <c r="C3647" s="1" t="s">
        <v>1387</v>
      </c>
      <c r="D3647" s="3" t="s">
        <v>1123</v>
      </c>
      <c r="E3647" s="7">
        <v>606203</v>
      </c>
      <c r="F3647" s="5">
        <v>3410380</v>
      </c>
    </row>
    <row r="3648" spans="1:6" ht="20" x14ac:dyDescent="0.25">
      <c r="A3648" s="5">
        <v>3410380</v>
      </c>
      <c r="B3648" s="1">
        <v>2022</v>
      </c>
      <c r="C3648" s="1" t="s">
        <v>1387</v>
      </c>
      <c r="D3648" s="2" t="s">
        <v>1123</v>
      </c>
      <c r="E3648" s="7">
        <v>796727</v>
      </c>
      <c r="F3648" s="5">
        <v>3410380</v>
      </c>
    </row>
    <row r="3649" spans="1:6" ht="20" x14ac:dyDescent="0.25">
      <c r="A3649" s="5">
        <v>3410380</v>
      </c>
      <c r="B3649" s="1">
        <v>2023</v>
      </c>
      <c r="C3649" s="1" t="s">
        <v>1387</v>
      </c>
      <c r="D3649" s="2" t="s">
        <v>1123</v>
      </c>
      <c r="E3649" s="7">
        <v>855886</v>
      </c>
      <c r="F3649" s="5">
        <v>3410380</v>
      </c>
    </row>
    <row r="3650" spans="1:6" x14ac:dyDescent="0.25">
      <c r="A3650" s="5">
        <v>3410440</v>
      </c>
      <c r="B3650" s="1">
        <v>2015</v>
      </c>
      <c r="C3650" s="1" t="s">
        <v>1387</v>
      </c>
      <c r="D3650" s="1" t="s">
        <v>433</v>
      </c>
      <c r="E3650" s="8">
        <v>486906</v>
      </c>
      <c r="F3650" s="5">
        <v>3410440</v>
      </c>
    </row>
    <row r="3651" spans="1:6" x14ac:dyDescent="0.25">
      <c r="A3651" s="5">
        <v>3410440</v>
      </c>
      <c r="B3651" s="1">
        <v>2016</v>
      </c>
      <c r="C3651" s="1" t="s">
        <v>1387</v>
      </c>
      <c r="D3651" s="1" t="s">
        <v>433</v>
      </c>
      <c r="E3651" s="8">
        <v>698576</v>
      </c>
      <c r="F3651" s="5">
        <v>3410440</v>
      </c>
    </row>
    <row r="3652" spans="1:6" x14ac:dyDescent="0.25">
      <c r="A3652" s="5">
        <v>3410440</v>
      </c>
      <c r="B3652" s="1">
        <v>2017</v>
      </c>
      <c r="C3652" s="1" t="s">
        <v>1387</v>
      </c>
      <c r="D3652" s="1" t="s">
        <v>433</v>
      </c>
      <c r="E3652" s="8">
        <v>984027</v>
      </c>
      <c r="F3652" s="5">
        <v>3410440</v>
      </c>
    </row>
    <row r="3653" spans="1:6" x14ac:dyDescent="0.25">
      <c r="A3653" s="5">
        <v>3410440</v>
      </c>
      <c r="B3653" s="1">
        <v>2018</v>
      </c>
      <c r="C3653" s="1" t="s">
        <v>1387</v>
      </c>
      <c r="D3653" s="1" t="s">
        <v>1125</v>
      </c>
      <c r="E3653" s="8">
        <v>1381009</v>
      </c>
      <c r="F3653" s="5">
        <v>3410440</v>
      </c>
    </row>
    <row r="3654" spans="1:6" x14ac:dyDescent="0.25">
      <c r="A3654" s="5">
        <v>3410440</v>
      </c>
      <c r="B3654" s="1">
        <v>2019</v>
      </c>
      <c r="C3654" s="1" t="s">
        <v>1387</v>
      </c>
      <c r="D3654" s="1" t="s">
        <v>1125</v>
      </c>
      <c r="E3654" s="8">
        <v>1654266</v>
      </c>
      <c r="F3654" s="5">
        <v>3410440</v>
      </c>
    </row>
    <row r="3655" spans="1:6" ht="20" x14ac:dyDescent="0.25">
      <c r="A3655" s="5">
        <v>3410440</v>
      </c>
      <c r="B3655" s="1">
        <v>2020</v>
      </c>
      <c r="C3655" s="1" t="s">
        <v>1387</v>
      </c>
      <c r="D3655" s="2" t="s">
        <v>1125</v>
      </c>
      <c r="E3655" s="7">
        <v>1862088</v>
      </c>
      <c r="F3655" s="5">
        <v>3410440</v>
      </c>
    </row>
    <row r="3656" spans="1:6" ht="20" x14ac:dyDescent="0.25">
      <c r="A3656" s="5">
        <v>3410440</v>
      </c>
      <c r="B3656" s="1">
        <v>2021</v>
      </c>
      <c r="C3656" s="1" t="s">
        <v>1387</v>
      </c>
      <c r="D3656" s="3" t="s">
        <v>1125</v>
      </c>
      <c r="E3656" s="7">
        <v>2548351</v>
      </c>
      <c r="F3656" s="5">
        <v>3410440</v>
      </c>
    </row>
    <row r="3657" spans="1:6" ht="20" x14ac:dyDescent="0.25">
      <c r="A3657" s="5">
        <v>3410440</v>
      </c>
      <c r="B3657" s="1">
        <v>2022</v>
      </c>
      <c r="C3657" s="1" t="s">
        <v>1387</v>
      </c>
      <c r="D3657" s="2" t="s">
        <v>1125</v>
      </c>
      <c r="E3657" s="7">
        <v>3671327</v>
      </c>
      <c r="F3657" s="5">
        <v>3410440</v>
      </c>
    </row>
    <row r="3658" spans="1:6" ht="20" x14ac:dyDescent="0.25">
      <c r="A3658" s="5">
        <v>3410440</v>
      </c>
      <c r="B3658" s="1">
        <v>2023</v>
      </c>
      <c r="C3658" s="1" t="s">
        <v>1387</v>
      </c>
      <c r="D3658" s="2" t="s">
        <v>1125</v>
      </c>
      <c r="E3658" s="7">
        <v>3597025</v>
      </c>
      <c r="F3658" s="5">
        <v>3410440</v>
      </c>
    </row>
    <row r="3659" spans="1:6" x14ac:dyDescent="0.25">
      <c r="A3659" s="5">
        <v>3410470</v>
      </c>
      <c r="B3659" s="1">
        <v>2015</v>
      </c>
      <c r="C3659" s="1" t="s">
        <v>1387</v>
      </c>
      <c r="D3659" s="1" t="s">
        <v>289</v>
      </c>
      <c r="E3659" s="8">
        <v>1763732</v>
      </c>
      <c r="F3659" s="5">
        <v>3410470</v>
      </c>
    </row>
    <row r="3660" spans="1:6" x14ac:dyDescent="0.25">
      <c r="A3660" s="5">
        <v>3410470</v>
      </c>
      <c r="B3660" s="1">
        <v>2016</v>
      </c>
      <c r="C3660" s="1" t="s">
        <v>1387</v>
      </c>
      <c r="D3660" s="1" t="s">
        <v>289</v>
      </c>
      <c r="E3660" s="8">
        <v>2637677</v>
      </c>
      <c r="F3660" s="5">
        <v>3410470</v>
      </c>
    </row>
    <row r="3661" spans="1:6" x14ac:dyDescent="0.25">
      <c r="A3661" s="5">
        <v>3410470</v>
      </c>
      <c r="B3661" s="1">
        <v>2017</v>
      </c>
      <c r="C3661" s="1" t="s">
        <v>1387</v>
      </c>
      <c r="D3661" s="1" t="s">
        <v>289</v>
      </c>
      <c r="E3661" s="8">
        <v>3761085</v>
      </c>
      <c r="F3661" s="5">
        <v>3410470</v>
      </c>
    </row>
    <row r="3662" spans="1:6" x14ac:dyDescent="0.25">
      <c r="A3662" s="5">
        <v>3410470</v>
      </c>
      <c r="B3662" s="1">
        <v>2018</v>
      </c>
      <c r="C3662" s="1" t="s">
        <v>1387</v>
      </c>
      <c r="D3662" s="1" t="s">
        <v>979</v>
      </c>
      <c r="E3662" s="8">
        <v>5031799</v>
      </c>
      <c r="F3662" s="5">
        <v>3410470</v>
      </c>
    </row>
    <row r="3663" spans="1:6" x14ac:dyDescent="0.25">
      <c r="A3663" s="5">
        <v>3410470</v>
      </c>
      <c r="B3663" s="1">
        <v>2019</v>
      </c>
      <c r="C3663" s="1" t="s">
        <v>1387</v>
      </c>
      <c r="D3663" s="1" t="s">
        <v>1363</v>
      </c>
      <c r="E3663" s="8">
        <v>6590503</v>
      </c>
      <c r="F3663" s="5">
        <v>3410470</v>
      </c>
    </row>
    <row r="3664" spans="1:6" ht="20" x14ac:dyDescent="0.25">
      <c r="A3664" s="5">
        <v>3410470</v>
      </c>
      <c r="B3664" s="1">
        <v>2020</v>
      </c>
      <c r="C3664" s="1" t="s">
        <v>1387</v>
      </c>
      <c r="D3664" s="2" t="s">
        <v>979</v>
      </c>
      <c r="E3664" s="7">
        <v>7724930</v>
      </c>
      <c r="F3664" s="5">
        <v>3410470</v>
      </c>
    </row>
    <row r="3665" spans="1:6" ht="20" x14ac:dyDescent="0.25">
      <c r="A3665" s="5">
        <v>3410470</v>
      </c>
      <c r="B3665" s="1">
        <v>2021</v>
      </c>
      <c r="C3665" s="1" t="s">
        <v>1387</v>
      </c>
      <c r="D3665" s="3" t="s">
        <v>979</v>
      </c>
      <c r="E3665" s="7">
        <v>9570418</v>
      </c>
      <c r="F3665" s="5">
        <v>3410470</v>
      </c>
    </row>
    <row r="3666" spans="1:6" ht="20" x14ac:dyDescent="0.25">
      <c r="A3666" s="5">
        <v>3410470</v>
      </c>
      <c r="B3666" s="1">
        <v>2022</v>
      </c>
      <c r="C3666" s="1" t="s">
        <v>1387</v>
      </c>
      <c r="D3666" s="2" t="s">
        <v>979</v>
      </c>
      <c r="E3666" s="7">
        <v>13965147</v>
      </c>
      <c r="F3666" s="5">
        <v>3410470</v>
      </c>
    </row>
    <row r="3667" spans="1:6" ht="20" x14ac:dyDescent="0.25">
      <c r="A3667" s="5">
        <v>3410470</v>
      </c>
      <c r="B3667" s="1">
        <v>2023</v>
      </c>
      <c r="C3667" s="1" t="s">
        <v>1387</v>
      </c>
      <c r="D3667" s="2" t="s">
        <v>979</v>
      </c>
      <c r="E3667" s="7">
        <v>14676445</v>
      </c>
      <c r="F3667" s="5">
        <v>3410470</v>
      </c>
    </row>
    <row r="3668" spans="1:6" x14ac:dyDescent="0.25">
      <c r="A3668" s="5">
        <v>3410500</v>
      </c>
      <c r="B3668" s="1">
        <v>2015</v>
      </c>
      <c r="C3668" s="1" t="s">
        <v>1387</v>
      </c>
      <c r="D3668" s="1" t="s">
        <v>387</v>
      </c>
      <c r="E3668" s="8">
        <v>2084910</v>
      </c>
      <c r="F3668" s="5">
        <v>3410500</v>
      </c>
    </row>
    <row r="3669" spans="1:6" x14ac:dyDescent="0.25">
      <c r="A3669" s="5">
        <v>3410500</v>
      </c>
      <c r="B3669" s="1">
        <v>2016</v>
      </c>
      <c r="C3669" s="1" t="s">
        <v>1387</v>
      </c>
      <c r="D3669" s="1" t="s">
        <v>387</v>
      </c>
      <c r="E3669" s="8">
        <v>3115699</v>
      </c>
      <c r="F3669" s="5">
        <v>3410500</v>
      </c>
    </row>
    <row r="3670" spans="1:6" x14ac:dyDescent="0.25">
      <c r="A3670" s="5">
        <v>3410500</v>
      </c>
      <c r="B3670" s="1">
        <v>2017</v>
      </c>
      <c r="C3670" s="1" t="s">
        <v>1387</v>
      </c>
      <c r="D3670" s="1" t="s">
        <v>387</v>
      </c>
      <c r="E3670" s="8">
        <v>4413926</v>
      </c>
      <c r="F3670" s="5">
        <v>3410500</v>
      </c>
    </row>
    <row r="3671" spans="1:6" x14ac:dyDescent="0.25">
      <c r="A3671" s="5">
        <v>3410500</v>
      </c>
      <c r="B3671" s="1">
        <v>2018</v>
      </c>
      <c r="C3671" s="1" t="s">
        <v>1387</v>
      </c>
      <c r="D3671" s="1" t="s">
        <v>1079</v>
      </c>
      <c r="E3671" s="8">
        <v>6076720</v>
      </c>
      <c r="F3671" s="5">
        <v>3410500</v>
      </c>
    </row>
    <row r="3672" spans="1:6" x14ac:dyDescent="0.25">
      <c r="A3672" s="5">
        <v>3410500</v>
      </c>
      <c r="B3672" s="1">
        <v>2019</v>
      </c>
      <c r="C3672" s="1" t="s">
        <v>1387</v>
      </c>
      <c r="D3672" s="1" t="s">
        <v>1079</v>
      </c>
      <c r="E3672" s="8">
        <v>8373687</v>
      </c>
      <c r="F3672" s="5">
        <v>3410500</v>
      </c>
    </row>
    <row r="3673" spans="1:6" ht="20" x14ac:dyDescent="0.25">
      <c r="A3673" s="5">
        <v>3410500</v>
      </c>
      <c r="B3673" s="1">
        <v>2020</v>
      </c>
      <c r="C3673" s="1" t="s">
        <v>1387</v>
      </c>
      <c r="D3673" s="2" t="s">
        <v>1079</v>
      </c>
      <c r="E3673" s="7">
        <v>9475924</v>
      </c>
      <c r="F3673" s="5">
        <v>3410500</v>
      </c>
    </row>
    <row r="3674" spans="1:6" ht="20" x14ac:dyDescent="0.25">
      <c r="A3674" s="5">
        <v>3410500</v>
      </c>
      <c r="B3674" s="1">
        <v>2021</v>
      </c>
      <c r="C3674" s="1" t="s">
        <v>1387</v>
      </c>
      <c r="D3674" s="3" t="s">
        <v>1079</v>
      </c>
      <c r="E3674" s="7">
        <v>13082366</v>
      </c>
      <c r="F3674" s="5">
        <v>3410500</v>
      </c>
    </row>
    <row r="3675" spans="1:6" ht="20" x14ac:dyDescent="0.25">
      <c r="A3675" s="5">
        <v>3410500</v>
      </c>
      <c r="B3675" s="1">
        <v>2022</v>
      </c>
      <c r="C3675" s="1" t="s">
        <v>1387</v>
      </c>
      <c r="D3675" s="2" t="s">
        <v>1079</v>
      </c>
      <c r="E3675" s="7">
        <v>19004262</v>
      </c>
      <c r="F3675" s="5">
        <v>3410500</v>
      </c>
    </row>
    <row r="3676" spans="1:6" ht="20" x14ac:dyDescent="0.25">
      <c r="A3676" s="5">
        <v>3410500</v>
      </c>
      <c r="B3676" s="1">
        <v>2023</v>
      </c>
      <c r="C3676" s="1" t="s">
        <v>1387</v>
      </c>
      <c r="D3676" s="2" t="s">
        <v>1079</v>
      </c>
      <c r="E3676" s="7">
        <v>19123801</v>
      </c>
      <c r="F3676" s="5">
        <v>3410500</v>
      </c>
    </row>
    <row r="3677" spans="1:6" x14ac:dyDescent="0.25">
      <c r="A3677" s="5">
        <v>3410530</v>
      </c>
      <c r="B3677" s="1">
        <v>2015</v>
      </c>
      <c r="C3677" s="1" t="s">
        <v>1387</v>
      </c>
      <c r="D3677" s="1" t="s">
        <v>597</v>
      </c>
      <c r="E3677" s="8">
        <v>132203</v>
      </c>
      <c r="F3677" s="5">
        <v>3410530</v>
      </c>
    </row>
    <row r="3678" spans="1:6" x14ac:dyDescent="0.25">
      <c r="A3678" s="5">
        <v>3410530</v>
      </c>
      <c r="B3678" s="1">
        <v>2016</v>
      </c>
      <c r="C3678" s="1" t="s">
        <v>1387</v>
      </c>
      <c r="D3678" s="1" t="s">
        <v>597</v>
      </c>
      <c r="E3678" s="8">
        <v>199394</v>
      </c>
      <c r="F3678" s="5">
        <v>3410530</v>
      </c>
    </row>
    <row r="3679" spans="1:6" x14ac:dyDescent="0.25">
      <c r="A3679" s="5">
        <v>3410530</v>
      </c>
      <c r="B3679" s="1">
        <v>2017</v>
      </c>
      <c r="C3679" s="1" t="s">
        <v>1387</v>
      </c>
      <c r="D3679" s="1" t="s">
        <v>597</v>
      </c>
      <c r="E3679" s="8">
        <v>258563</v>
      </c>
      <c r="F3679" s="5">
        <v>3410530</v>
      </c>
    </row>
    <row r="3680" spans="1:6" x14ac:dyDescent="0.25">
      <c r="A3680" s="5">
        <v>3410530</v>
      </c>
      <c r="B3680" s="1">
        <v>2018</v>
      </c>
      <c r="C3680" s="1" t="s">
        <v>1387</v>
      </c>
      <c r="D3680" s="1" t="s">
        <v>1290</v>
      </c>
      <c r="E3680" s="8">
        <v>341735</v>
      </c>
      <c r="F3680" s="5">
        <v>3410530</v>
      </c>
    </row>
    <row r="3681" spans="1:6" x14ac:dyDescent="0.25">
      <c r="A3681" s="5">
        <v>3410530</v>
      </c>
      <c r="B3681" s="1">
        <v>2019</v>
      </c>
      <c r="C3681" s="1" t="s">
        <v>1387</v>
      </c>
      <c r="D3681" s="1" t="s">
        <v>1290</v>
      </c>
      <c r="E3681" s="8">
        <v>405593</v>
      </c>
      <c r="F3681" s="5">
        <v>3410530</v>
      </c>
    </row>
    <row r="3682" spans="1:6" ht="20" x14ac:dyDescent="0.25">
      <c r="A3682" s="5">
        <v>3410530</v>
      </c>
      <c r="B3682" s="1">
        <v>2020</v>
      </c>
      <c r="C3682" s="1" t="s">
        <v>1387</v>
      </c>
      <c r="D3682" s="2" t="s">
        <v>1290</v>
      </c>
      <c r="E3682" s="7">
        <v>463503</v>
      </c>
      <c r="F3682" s="5">
        <v>3410530</v>
      </c>
    </row>
    <row r="3683" spans="1:6" ht="20" x14ac:dyDescent="0.25">
      <c r="A3683" s="5">
        <v>3410530</v>
      </c>
      <c r="B3683" s="1">
        <v>2021</v>
      </c>
      <c r="C3683" s="1" t="s">
        <v>1387</v>
      </c>
      <c r="D3683" s="3" t="s">
        <v>1290</v>
      </c>
      <c r="E3683" s="7">
        <v>621217</v>
      </c>
      <c r="F3683" s="5">
        <v>3410530</v>
      </c>
    </row>
    <row r="3684" spans="1:6" ht="20" x14ac:dyDescent="0.25">
      <c r="A3684" s="5">
        <v>3410530</v>
      </c>
      <c r="B3684" s="1">
        <v>2022</v>
      </c>
      <c r="C3684" s="1" t="s">
        <v>1387</v>
      </c>
      <c r="D3684" s="2" t="s">
        <v>1290</v>
      </c>
      <c r="E3684" s="7">
        <v>877628</v>
      </c>
      <c r="F3684" s="5">
        <v>3410530</v>
      </c>
    </row>
    <row r="3685" spans="1:6" ht="20" x14ac:dyDescent="0.25">
      <c r="A3685" s="5">
        <v>3410530</v>
      </c>
      <c r="B3685" s="1">
        <v>2023</v>
      </c>
      <c r="C3685" s="1" t="s">
        <v>1387</v>
      </c>
      <c r="D3685" s="2" t="s">
        <v>1290</v>
      </c>
      <c r="E3685" s="7">
        <v>912998</v>
      </c>
      <c r="F3685" s="5">
        <v>3410530</v>
      </c>
    </row>
    <row r="3686" spans="1:6" x14ac:dyDescent="0.25">
      <c r="A3686" s="5">
        <v>3410560</v>
      </c>
      <c r="B3686" s="1">
        <v>2015</v>
      </c>
      <c r="C3686" s="1" t="s">
        <v>1387</v>
      </c>
      <c r="D3686" s="1" t="s">
        <v>250</v>
      </c>
      <c r="E3686" s="8">
        <v>2752708</v>
      </c>
      <c r="F3686" s="5">
        <v>3410560</v>
      </c>
    </row>
    <row r="3687" spans="1:6" x14ac:dyDescent="0.25">
      <c r="A3687" s="5">
        <v>3410560</v>
      </c>
      <c r="B3687" s="1">
        <v>2016</v>
      </c>
      <c r="C3687" s="1" t="s">
        <v>1387</v>
      </c>
      <c r="D3687" s="1" t="s">
        <v>250</v>
      </c>
      <c r="E3687" s="8">
        <v>4220714</v>
      </c>
      <c r="F3687" s="5">
        <v>3410560</v>
      </c>
    </row>
    <row r="3688" spans="1:6" x14ac:dyDescent="0.25">
      <c r="A3688" s="5">
        <v>3410560</v>
      </c>
      <c r="B3688" s="1">
        <v>2017</v>
      </c>
      <c r="C3688" s="1" t="s">
        <v>1387</v>
      </c>
      <c r="D3688" s="1" t="s">
        <v>250</v>
      </c>
      <c r="E3688" s="8">
        <v>6078033</v>
      </c>
      <c r="F3688" s="5">
        <v>3410560</v>
      </c>
    </row>
    <row r="3689" spans="1:6" x14ac:dyDescent="0.25">
      <c r="A3689" s="5">
        <v>3410560</v>
      </c>
      <c r="B3689" s="1">
        <v>2018</v>
      </c>
      <c r="C3689" s="1" t="s">
        <v>1387</v>
      </c>
      <c r="D3689" s="1" t="s">
        <v>938</v>
      </c>
      <c r="E3689" s="8">
        <v>8045716</v>
      </c>
      <c r="F3689" s="5">
        <v>3410560</v>
      </c>
    </row>
    <row r="3690" spans="1:6" x14ac:dyDescent="0.25">
      <c r="A3690" s="5">
        <v>3410560</v>
      </c>
      <c r="B3690" s="1">
        <v>2019</v>
      </c>
      <c r="C3690" s="1" t="s">
        <v>1387</v>
      </c>
      <c r="D3690" s="1" t="s">
        <v>938</v>
      </c>
      <c r="E3690" s="8">
        <v>10893189</v>
      </c>
      <c r="F3690" s="5">
        <v>3410560</v>
      </c>
    </row>
    <row r="3691" spans="1:6" ht="20" x14ac:dyDescent="0.25">
      <c r="A3691" s="5">
        <v>3410560</v>
      </c>
      <c r="B3691" s="1">
        <v>2020</v>
      </c>
      <c r="C3691" s="1" t="s">
        <v>1387</v>
      </c>
      <c r="D3691" s="2" t="s">
        <v>938</v>
      </c>
      <c r="E3691" s="7">
        <v>12345847</v>
      </c>
      <c r="F3691" s="5">
        <v>3410560</v>
      </c>
    </row>
    <row r="3692" spans="1:6" ht="20" x14ac:dyDescent="0.25">
      <c r="A3692" s="5">
        <v>3410560</v>
      </c>
      <c r="B3692" s="1">
        <v>2021</v>
      </c>
      <c r="C3692" s="1" t="s">
        <v>1387</v>
      </c>
      <c r="D3692" s="3" t="s">
        <v>938</v>
      </c>
      <c r="E3692" s="7">
        <v>15366091</v>
      </c>
      <c r="F3692" s="5">
        <v>3410560</v>
      </c>
    </row>
    <row r="3693" spans="1:6" ht="20" x14ac:dyDescent="0.25">
      <c r="A3693" s="5">
        <v>3410560</v>
      </c>
      <c r="B3693" s="1">
        <v>2022</v>
      </c>
      <c r="C3693" s="1" t="s">
        <v>1387</v>
      </c>
      <c r="D3693" s="2" t="s">
        <v>938</v>
      </c>
      <c r="E3693" s="7">
        <v>22681915</v>
      </c>
      <c r="F3693" s="5">
        <v>3410560</v>
      </c>
    </row>
    <row r="3694" spans="1:6" ht="20" x14ac:dyDescent="0.25">
      <c r="A3694" s="5">
        <v>3410560</v>
      </c>
      <c r="B3694" s="1">
        <v>2023</v>
      </c>
      <c r="C3694" s="1" t="s">
        <v>1387</v>
      </c>
      <c r="D3694" s="2" t="s">
        <v>938</v>
      </c>
      <c r="E3694" s="7">
        <v>22736126</v>
      </c>
      <c r="F3694" s="5">
        <v>3410560</v>
      </c>
    </row>
    <row r="3695" spans="1:6" x14ac:dyDescent="0.25">
      <c r="A3695" s="5">
        <v>3410590</v>
      </c>
      <c r="B3695" s="1">
        <v>2015</v>
      </c>
      <c r="C3695" s="1" t="s">
        <v>1387</v>
      </c>
      <c r="D3695" s="1" t="s">
        <v>573</v>
      </c>
      <c r="E3695" s="8">
        <v>1768091</v>
      </c>
      <c r="F3695" s="5">
        <v>3410590</v>
      </c>
    </row>
    <row r="3696" spans="1:6" x14ac:dyDescent="0.25">
      <c r="A3696" s="5">
        <v>3410590</v>
      </c>
      <c r="B3696" s="1">
        <v>2016</v>
      </c>
      <c r="C3696" s="1" t="s">
        <v>1387</v>
      </c>
      <c r="D3696" s="1" t="s">
        <v>573</v>
      </c>
      <c r="E3696" s="8">
        <v>2617320</v>
      </c>
      <c r="F3696" s="5">
        <v>3410590</v>
      </c>
    </row>
    <row r="3697" spans="1:6" x14ac:dyDescent="0.25">
      <c r="A3697" s="5">
        <v>3410590</v>
      </c>
      <c r="B3697" s="1">
        <v>2017</v>
      </c>
      <c r="C3697" s="1" t="s">
        <v>1387</v>
      </c>
      <c r="D3697" s="1" t="s">
        <v>573</v>
      </c>
      <c r="E3697" s="8">
        <v>3691986</v>
      </c>
      <c r="F3697" s="5">
        <v>3410590</v>
      </c>
    </row>
    <row r="3698" spans="1:6" x14ac:dyDescent="0.25">
      <c r="A3698" s="5">
        <v>3410590</v>
      </c>
      <c r="B3698" s="1">
        <v>2018</v>
      </c>
      <c r="C3698" s="1" t="s">
        <v>1387</v>
      </c>
      <c r="D3698" s="1" t="s">
        <v>1265</v>
      </c>
      <c r="E3698" s="8">
        <v>5041993</v>
      </c>
      <c r="F3698" s="5">
        <v>3410590</v>
      </c>
    </row>
    <row r="3699" spans="1:6" x14ac:dyDescent="0.25">
      <c r="A3699" s="5">
        <v>3410590</v>
      </c>
      <c r="B3699" s="1">
        <v>2019</v>
      </c>
      <c r="C3699" s="1" t="s">
        <v>1387</v>
      </c>
      <c r="D3699" s="1" t="s">
        <v>1265</v>
      </c>
      <c r="E3699" s="8">
        <v>6886159</v>
      </c>
      <c r="F3699" s="5">
        <v>3410590</v>
      </c>
    </row>
    <row r="3700" spans="1:6" ht="20" x14ac:dyDescent="0.25">
      <c r="A3700" s="5">
        <v>3410590</v>
      </c>
      <c r="B3700" s="1">
        <v>2020</v>
      </c>
      <c r="C3700" s="1" t="s">
        <v>1387</v>
      </c>
      <c r="D3700" s="2" t="s">
        <v>1265</v>
      </c>
      <c r="E3700" s="7">
        <v>7740293</v>
      </c>
      <c r="F3700" s="5">
        <v>3410590</v>
      </c>
    </row>
    <row r="3701" spans="1:6" ht="20" x14ac:dyDescent="0.25">
      <c r="A3701" s="5">
        <v>3410590</v>
      </c>
      <c r="B3701" s="1">
        <v>2021</v>
      </c>
      <c r="C3701" s="1" t="s">
        <v>1387</v>
      </c>
      <c r="D3701" s="3" t="s">
        <v>1265</v>
      </c>
      <c r="E3701" s="7">
        <v>9958436</v>
      </c>
      <c r="F3701" s="5">
        <v>3410590</v>
      </c>
    </row>
    <row r="3702" spans="1:6" ht="20" x14ac:dyDescent="0.25">
      <c r="A3702" s="5">
        <v>3410590</v>
      </c>
      <c r="B3702" s="1">
        <v>2022</v>
      </c>
      <c r="C3702" s="1" t="s">
        <v>1387</v>
      </c>
      <c r="D3702" s="2" t="s">
        <v>1265</v>
      </c>
      <c r="E3702" s="7">
        <v>14826962</v>
      </c>
      <c r="F3702" s="5">
        <v>3410590</v>
      </c>
    </row>
    <row r="3703" spans="1:6" ht="20" x14ac:dyDescent="0.25">
      <c r="A3703" s="5">
        <v>3410590</v>
      </c>
      <c r="B3703" s="1">
        <v>2023</v>
      </c>
      <c r="C3703" s="1" t="s">
        <v>1387</v>
      </c>
      <c r="D3703" s="2" t="s">
        <v>1265</v>
      </c>
      <c r="E3703" s="7">
        <v>14813148</v>
      </c>
      <c r="F3703" s="5">
        <v>3410590</v>
      </c>
    </row>
    <row r="3704" spans="1:6" x14ac:dyDescent="0.25">
      <c r="A3704" s="5">
        <v>3410620</v>
      </c>
      <c r="B3704" s="1">
        <v>2015</v>
      </c>
      <c r="C3704" s="1" t="s">
        <v>1387</v>
      </c>
      <c r="D3704" s="1" t="s">
        <v>67</v>
      </c>
      <c r="E3704" s="8">
        <v>385518</v>
      </c>
      <c r="F3704" s="5">
        <v>3410620</v>
      </c>
    </row>
    <row r="3705" spans="1:6" x14ac:dyDescent="0.25">
      <c r="A3705" s="5">
        <v>3410620</v>
      </c>
      <c r="B3705" s="1">
        <v>2016</v>
      </c>
      <c r="C3705" s="1" t="s">
        <v>1387</v>
      </c>
      <c r="D3705" s="1" t="s">
        <v>67</v>
      </c>
      <c r="E3705" s="8">
        <v>551651</v>
      </c>
      <c r="F3705" s="5">
        <v>3410620</v>
      </c>
    </row>
    <row r="3706" spans="1:6" x14ac:dyDescent="0.25">
      <c r="A3706" s="5">
        <v>3410620</v>
      </c>
      <c r="B3706" s="1">
        <v>2017</v>
      </c>
      <c r="C3706" s="1" t="s">
        <v>1387</v>
      </c>
      <c r="D3706" s="1" t="s">
        <v>67</v>
      </c>
      <c r="E3706" s="8">
        <v>805966</v>
      </c>
      <c r="F3706" s="5">
        <v>3410620</v>
      </c>
    </row>
    <row r="3707" spans="1:6" x14ac:dyDescent="0.25">
      <c r="A3707" s="5">
        <v>3410620</v>
      </c>
      <c r="B3707" s="1">
        <v>2018</v>
      </c>
      <c r="C3707" s="1" t="s">
        <v>1387</v>
      </c>
      <c r="D3707" s="1" t="s">
        <v>745</v>
      </c>
      <c r="E3707" s="8">
        <v>1025424</v>
      </c>
      <c r="F3707" s="5">
        <v>3410620</v>
      </c>
    </row>
    <row r="3708" spans="1:6" x14ac:dyDescent="0.25">
      <c r="A3708" s="5">
        <v>3410620</v>
      </c>
      <c r="B3708" s="1">
        <v>2019</v>
      </c>
      <c r="C3708" s="1" t="s">
        <v>1387</v>
      </c>
      <c r="D3708" s="1" t="s">
        <v>745</v>
      </c>
      <c r="E3708" s="8">
        <v>1445897</v>
      </c>
      <c r="F3708" s="5">
        <v>3410620</v>
      </c>
    </row>
    <row r="3709" spans="1:6" ht="20" x14ac:dyDescent="0.25">
      <c r="A3709" s="5">
        <v>3410620</v>
      </c>
      <c r="B3709" s="1">
        <v>2020</v>
      </c>
      <c r="C3709" s="1" t="s">
        <v>1387</v>
      </c>
      <c r="D3709" s="2" t="s">
        <v>745</v>
      </c>
      <c r="E3709" s="7">
        <v>1678006</v>
      </c>
      <c r="F3709" s="5">
        <v>3410620</v>
      </c>
    </row>
    <row r="3710" spans="1:6" ht="20" x14ac:dyDescent="0.25">
      <c r="A3710" s="5">
        <v>3410620</v>
      </c>
      <c r="B3710" s="1">
        <v>2021</v>
      </c>
      <c r="C3710" s="1" t="s">
        <v>1387</v>
      </c>
      <c r="D3710" s="3" t="s">
        <v>745</v>
      </c>
      <c r="E3710" s="7">
        <v>2205915</v>
      </c>
      <c r="F3710" s="5">
        <v>3410620</v>
      </c>
    </row>
    <row r="3711" spans="1:6" ht="20" x14ac:dyDescent="0.25">
      <c r="A3711" s="5">
        <v>3410620</v>
      </c>
      <c r="B3711" s="1">
        <v>2022</v>
      </c>
      <c r="C3711" s="1" t="s">
        <v>1387</v>
      </c>
      <c r="D3711" s="2" t="s">
        <v>745</v>
      </c>
      <c r="E3711" s="7">
        <v>3156867</v>
      </c>
      <c r="F3711" s="5">
        <v>3410620</v>
      </c>
    </row>
    <row r="3712" spans="1:6" ht="20" x14ac:dyDescent="0.25">
      <c r="A3712" s="5">
        <v>3410620</v>
      </c>
      <c r="B3712" s="1">
        <v>2023</v>
      </c>
      <c r="C3712" s="1" t="s">
        <v>1387</v>
      </c>
      <c r="D3712" s="2" t="s">
        <v>745</v>
      </c>
      <c r="E3712" s="7">
        <v>3242777</v>
      </c>
      <c r="F3712" s="5">
        <v>3410620</v>
      </c>
    </row>
    <row r="3713" spans="1:6" x14ac:dyDescent="0.25">
      <c r="A3713" s="5">
        <v>3410650</v>
      </c>
      <c r="B3713" s="1">
        <v>2015</v>
      </c>
      <c r="C3713" s="1" t="s">
        <v>1387</v>
      </c>
      <c r="D3713" s="1" t="s">
        <v>474</v>
      </c>
      <c r="E3713" s="8">
        <v>1728129</v>
      </c>
      <c r="F3713" s="5">
        <v>3410650</v>
      </c>
    </row>
    <row r="3714" spans="1:6" x14ac:dyDescent="0.25">
      <c r="A3714" s="5">
        <v>3410650</v>
      </c>
      <c r="B3714" s="1">
        <v>2016</v>
      </c>
      <c r="C3714" s="1" t="s">
        <v>1387</v>
      </c>
      <c r="D3714" s="1" t="s">
        <v>474</v>
      </c>
      <c r="E3714" s="8">
        <v>2577985</v>
      </c>
      <c r="F3714" s="5">
        <v>3410650</v>
      </c>
    </row>
    <row r="3715" spans="1:6" x14ac:dyDescent="0.25">
      <c r="A3715" s="5">
        <v>3410650</v>
      </c>
      <c r="B3715" s="1">
        <v>2017</v>
      </c>
      <c r="C3715" s="1" t="s">
        <v>1387</v>
      </c>
      <c r="D3715" s="1" t="s">
        <v>474</v>
      </c>
      <c r="E3715" s="8">
        <v>3667850</v>
      </c>
      <c r="F3715" s="5">
        <v>3410650</v>
      </c>
    </row>
    <row r="3716" spans="1:6" x14ac:dyDescent="0.25">
      <c r="A3716" s="5">
        <v>3410650</v>
      </c>
      <c r="B3716" s="1">
        <v>2018</v>
      </c>
      <c r="C3716" s="1" t="s">
        <v>1387</v>
      </c>
      <c r="D3716" s="1" t="s">
        <v>1166</v>
      </c>
      <c r="E3716" s="8">
        <v>4968385</v>
      </c>
      <c r="F3716" s="5">
        <v>3410650</v>
      </c>
    </row>
    <row r="3717" spans="1:6" x14ac:dyDescent="0.25">
      <c r="A3717" s="5">
        <v>3410650</v>
      </c>
      <c r="B3717" s="1">
        <v>2019</v>
      </c>
      <c r="C3717" s="1" t="s">
        <v>1387</v>
      </c>
      <c r="D3717" s="1" t="s">
        <v>1166</v>
      </c>
      <c r="E3717" s="8">
        <v>6716908</v>
      </c>
      <c r="F3717" s="5">
        <v>3410650</v>
      </c>
    </row>
    <row r="3718" spans="1:6" ht="20" x14ac:dyDescent="0.25">
      <c r="A3718" s="5">
        <v>3410650</v>
      </c>
      <c r="B3718" s="1">
        <v>2020</v>
      </c>
      <c r="C3718" s="1" t="s">
        <v>1387</v>
      </c>
      <c r="D3718" s="2" t="s">
        <v>1166</v>
      </c>
      <c r="E3718" s="7">
        <v>7498581</v>
      </c>
      <c r="F3718" s="5">
        <v>3410650</v>
      </c>
    </row>
    <row r="3719" spans="1:6" ht="20" x14ac:dyDescent="0.25">
      <c r="A3719" s="5">
        <v>3410650</v>
      </c>
      <c r="B3719" s="1">
        <v>2021</v>
      </c>
      <c r="C3719" s="1" t="s">
        <v>1387</v>
      </c>
      <c r="D3719" s="3" t="s">
        <v>1166</v>
      </c>
      <c r="E3719" s="7">
        <v>9515435</v>
      </c>
      <c r="F3719" s="5">
        <v>3410650</v>
      </c>
    </row>
    <row r="3720" spans="1:6" ht="20" x14ac:dyDescent="0.25">
      <c r="A3720" s="5">
        <v>3410650</v>
      </c>
      <c r="B3720" s="1">
        <v>2022</v>
      </c>
      <c r="C3720" s="1" t="s">
        <v>1387</v>
      </c>
      <c r="D3720" s="2" t="s">
        <v>1166</v>
      </c>
      <c r="E3720" s="7">
        <v>13462457</v>
      </c>
      <c r="F3720" s="5">
        <v>3410650</v>
      </c>
    </row>
    <row r="3721" spans="1:6" ht="20" x14ac:dyDescent="0.25">
      <c r="A3721" s="5">
        <v>3410650</v>
      </c>
      <c r="B3721" s="1">
        <v>2023</v>
      </c>
      <c r="C3721" s="1" t="s">
        <v>1387</v>
      </c>
      <c r="D3721" s="2" t="s">
        <v>1166</v>
      </c>
      <c r="E3721" s="7">
        <v>13543794</v>
      </c>
      <c r="F3721" s="5">
        <v>3410650</v>
      </c>
    </row>
    <row r="3722" spans="1:6" x14ac:dyDescent="0.25">
      <c r="A3722" s="5">
        <v>3410680</v>
      </c>
      <c r="B3722" s="1">
        <v>2015</v>
      </c>
      <c r="C3722" s="1" t="s">
        <v>1387</v>
      </c>
      <c r="D3722" s="1" t="s">
        <v>68</v>
      </c>
      <c r="E3722" s="8">
        <v>139851</v>
      </c>
      <c r="F3722" s="5">
        <v>3410680</v>
      </c>
    </row>
    <row r="3723" spans="1:6" x14ac:dyDescent="0.25">
      <c r="A3723" s="5">
        <v>3410680</v>
      </c>
      <c r="B3723" s="1">
        <v>2016</v>
      </c>
      <c r="C3723" s="1" t="s">
        <v>1387</v>
      </c>
      <c r="D3723" s="1" t="s">
        <v>68</v>
      </c>
      <c r="E3723" s="8">
        <v>189675</v>
      </c>
      <c r="F3723" s="5">
        <v>3410680</v>
      </c>
    </row>
    <row r="3724" spans="1:6" x14ac:dyDescent="0.25">
      <c r="A3724" s="5">
        <v>3410680</v>
      </c>
      <c r="B3724" s="1">
        <v>2017</v>
      </c>
      <c r="C3724" s="1" t="s">
        <v>1387</v>
      </c>
      <c r="D3724" s="1" t="s">
        <v>68</v>
      </c>
      <c r="E3724" s="8">
        <v>256549</v>
      </c>
      <c r="F3724" s="5">
        <v>3410680</v>
      </c>
    </row>
    <row r="3725" spans="1:6" x14ac:dyDescent="0.25">
      <c r="A3725" s="5">
        <v>3410680</v>
      </c>
      <c r="B3725" s="1">
        <v>2018</v>
      </c>
      <c r="C3725" s="1" t="s">
        <v>1387</v>
      </c>
      <c r="D3725" s="1" t="s">
        <v>746</v>
      </c>
      <c r="E3725" s="8">
        <v>329342</v>
      </c>
      <c r="F3725" s="5">
        <v>3410680</v>
      </c>
    </row>
    <row r="3726" spans="1:6" x14ac:dyDescent="0.25">
      <c r="A3726" s="5">
        <v>3410680</v>
      </c>
      <c r="B3726" s="1">
        <v>2019</v>
      </c>
      <c r="C3726" s="1" t="s">
        <v>1387</v>
      </c>
      <c r="D3726" s="1" t="s">
        <v>746</v>
      </c>
      <c r="E3726" s="8">
        <v>429897</v>
      </c>
      <c r="F3726" s="5">
        <v>3410680</v>
      </c>
    </row>
    <row r="3727" spans="1:6" ht="20" x14ac:dyDescent="0.25">
      <c r="A3727" s="5">
        <v>3410680</v>
      </c>
      <c r="B3727" s="1">
        <v>2020</v>
      </c>
      <c r="C3727" s="1" t="s">
        <v>1387</v>
      </c>
      <c r="D3727" s="2" t="s">
        <v>746</v>
      </c>
      <c r="E3727" s="7">
        <v>491551</v>
      </c>
      <c r="F3727" s="5">
        <v>3410680</v>
      </c>
    </row>
    <row r="3728" spans="1:6" ht="20" x14ac:dyDescent="0.25">
      <c r="A3728" s="5">
        <v>3410680</v>
      </c>
      <c r="B3728" s="1">
        <v>2021</v>
      </c>
      <c r="C3728" s="1" t="s">
        <v>1387</v>
      </c>
      <c r="D3728" s="3" t="s">
        <v>746</v>
      </c>
      <c r="E3728" s="7">
        <v>675455</v>
      </c>
      <c r="F3728" s="5">
        <v>3410680</v>
      </c>
    </row>
    <row r="3729" spans="1:6" ht="20" x14ac:dyDescent="0.25">
      <c r="A3729" s="5">
        <v>3410680</v>
      </c>
      <c r="B3729" s="1">
        <v>2022</v>
      </c>
      <c r="C3729" s="1" t="s">
        <v>1387</v>
      </c>
      <c r="D3729" s="2" t="s">
        <v>746</v>
      </c>
      <c r="E3729" s="7">
        <v>1021867</v>
      </c>
      <c r="F3729" s="5">
        <v>3410680</v>
      </c>
    </row>
    <row r="3730" spans="1:6" ht="20" x14ac:dyDescent="0.25">
      <c r="A3730" s="5">
        <v>3410680</v>
      </c>
      <c r="B3730" s="1">
        <v>2023</v>
      </c>
      <c r="C3730" s="1" t="s">
        <v>1387</v>
      </c>
      <c r="D3730" s="2" t="s">
        <v>746</v>
      </c>
      <c r="E3730" s="7">
        <v>1007383</v>
      </c>
      <c r="F3730" s="5">
        <v>3410680</v>
      </c>
    </row>
    <row r="3731" spans="1:6" x14ac:dyDescent="0.25">
      <c r="A3731" s="5">
        <v>3410710</v>
      </c>
      <c r="B3731" s="1">
        <v>2015</v>
      </c>
      <c r="C3731" s="1" t="s">
        <v>1387</v>
      </c>
      <c r="D3731" s="1" t="s">
        <v>128</v>
      </c>
      <c r="E3731" s="8">
        <v>1545203</v>
      </c>
      <c r="F3731" s="5">
        <v>3410710</v>
      </c>
    </row>
    <row r="3732" spans="1:6" x14ac:dyDescent="0.25">
      <c r="A3732" s="5">
        <v>3410710</v>
      </c>
      <c r="B3732" s="1">
        <v>2016</v>
      </c>
      <c r="C3732" s="1" t="s">
        <v>1387</v>
      </c>
      <c r="D3732" s="1" t="s">
        <v>128</v>
      </c>
      <c r="E3732" s="8">
        <v>2304831</v>
      </c>
      <c r="F3732" s="5">
        <v>3410710</v>
      </c>
    </row>
    <row r="3733" spans="1:6" x14ac:dyDescent="0.25">
      <c r="A3733" s="5">
        <v>3410710</v>
      </c>
      <c r="B3733" s="1">
        <v>2017</v>
      </c>
      <c r="C3733" s="1" t="s">
        <v>1387</v>
      </c>
      <c r="D3733" s="1" t="s">
        <v>128</v>
      </c>
      <c r="E3733" s="8">
        <v>3272850</v>
      </c>
      <c r="F3733" s="5">
        <v>3410710</v>
      </c>
    </row>
    <row r="3734" spans="1:6" x14ac:dyDescent="0.25">
      <c r="A3734" s="5">
        <v>3410710</v>
      </c>
      <c r="B3734" s="1">
        <v>2018</v>
      </c>
      <c r="C3734" s="1" t="s">
        <v>1387</v>
      </c>
      <c r="D3734" s="1" t="s">
        <v>809</v>
      </c>
      <c r="E3734" s="8">
        <v>4496779</v>
      </c>
      <c r="F3734" s="5">
        <v>3410710</v>
      </c>
    </row>
    <row r="3735" spans="1:6" x14ac:dyDescent="0.25">
      <c r="A3735" s="5">
        <v>3410710</v>
      </c>
      <c r="B3735" s="1">
        <v>2019</v>
      </c>
      <c r="C3735" s="1" t="s">
        <v>1387</v>
      </c>
      <c r="D3735" s="1" t="s">
        <v>809</v>
      </c>
      <c r="E3735" s="8">
        <v>6103219</v>
      </c>
      <c r="F3735" s="5">
        <v>3410710</v>
      </c>
    </row>
    <row r="3736" spans="1:6" ht="20" x14ac:dyDescent="0.25">
      <c r="A3736" s="5">
        <v>3410710</v>
      </c>
      <c r="B3736" s="1">
        <v>2020</v>
      </c>
      <c r="C3736" s="1" t="s">
        <v>1387</v>
      </c>
      <c r="D3736" s="2" t="s">
        <v>809</v>
      </c>
      <c r="E3736" s="7">
        <v>6914291</v>
      </c>
      <c r="F3736" s="5">
        <v>3410710</v>
      </c>
    </row>
    <row r="3737" spans="1:6" ht="20" x14ac:dyDescent="0.25">
      <c r="A3737" s="5">
        <v>3410710</v>
      </c>
      <c r="B3737" s="1">
        <v>2021</v>
      </c>
      <c r="C3737" s="1" t="s">
        <v>1387</v>
      </c>
      <c r="D3737" s="3" t="s">
        <v>809</v>
      </c>
      <c r="E3737" s="7">
        <v>8956934</v>
      </c>
      <c r="F3737" s="5">
        <v>3410710</v>
      </c>
    </row>
    <row r="3738" spans="1:6" ht="20" x14ac:dyDescent="0.25">
      <c r="A3738" s="5">
        <v>3410710</v>
      </c>
      <c r="B3738" s="1">
        <v>2022</v>
      </c>
      <c r="C3738" s="1" t="s">
        <v>1387</v>
      </c>
      <c r="D3738" s="2" t="s">
        <v>809</v>
      </c>
      <c r="E3738" s="7">
        <v>12823156</v>
      </c>
      <c r="F3738" s="5">
        <v>3410710</v>
      </c>
    </row>
    <row r="3739" spans="1:6" ht="20" x14ac:dyDescent="0.25">
      <c r="A3739" s="5">
        <v>3410710</v>
      </c>
      <c r="B3739" s="1">
        <v>2023</v>
      </c>
      <c r="C3739" s="1" t="s">
        <v>1387</v>
      </c>
      <c r="D3739" s="2" t="s">
        <v>809</v>
      </c>
      <c r="E3739" s="7">
        <v>12799058</v>
      </c>
      <c r="F3739" s="5">
        <v>3410710</v>
      </c>
    </row>
    <row r="3740" spans="1:6" x14ac:dyDescent="0.25">
      <c r="A3740" s="5">
        <v>3410720</v>
      </c>
      <c r="B3740" s="1">
        <v>2015</v>
      </c>
      <c r="C3740" s="1" t="s">
        <v>1387</v>
      </c>
      <c r="D3740" s="1" t="s">
        <v>476</v>
      </c>
      <c r="E3740" s="8">
        <v>385461</v>
      </c>
      <c r="F3740" s="5">
        <v>3410720</v>
      </c>
    </row>
    <row r="3741" spans="1:6" x14ac:dyDescent="0.25">
      <c r="A3741" s="5">
        <v>3410720</v>
      </c>
      <c r="B3741" s="1">
        <v>2016</v>
      </c>
      <c r="C3741" s="1" t="s">
        <v>1387</v>
      </c>
      <c r="D3741" s="1" t="s">
        <v>476</v>
      </c>
      <c r="E3741" s="8">
        <v>545236</v>
      </c>
      <c r="F3741" s="5">
        <v>3410720</v>
      </c>
    </row>
    <row r="3742" spans="1:6" x14ac:dyDescent="0.25">
      <c r="A3742" s="5">
        <v>3410720</v>
      </c>
      <c r="B3742" s="1">
        <v>2017</v>
      </c>
      <c r="C3742" s="1" t="s">
        <v>1387</v>
      </c>
      <c r="D3742" s="1" t="s">
        <v>476</v>
      </c>
      <c r="E3742" s="8">
        <v>795367</v>
      </c>
      <c r="F3742" s="5">
        <v>3410720</v>
      </c>
    </row>
    <row r="3743" spans="1:6" x14ac:dyDescent="0.25">
      <c r="A3743" s="5">
        <v>3410720</v>
      </c>
      <c r="B3743" s="1">
        <v>2018</v>
      </c>
      <c r="C3743" s="1" t="s">
        <v>1387</v>
      </c>
      <c r="D3743" s="1" t="s">
        <v>1168</v>
      </c>
      <c r="E3743" s="8">
        <v>1033986</v>
      </c>
      <c r="F3743" s="5">
        <v>3410720</v>
      </c>
    </row>
    <row r="3744" spans="1:6" x14ac:dyDescent="0.25">
      <c r="A3744" s="5">
        <v>3410720</v>
      </c>
      <c r="B3744" s="1">
        <v>2019</v>
      </c>
      <c r="C3744" s="1" t="s">
        <v>1387</v>
      </c>
      <c r="D3744" s="1" t="s">
        <v>1168</v>
      </c>
      <c r="E3744" s="8">
        <v>1401638</v>
      </c>
      <c r="F3744" s="5">
        <v>3410720</v>
      </c>
    </row>
    <row r="3745" spans="1:6" ht="20" x14ac:dyDescent="0.25">
      <c r="A3745" s="5">
        <v>3410720</v>
      </c>
      <c r="B3745" s="1">
        <v>2020</v>
      </c>
      <c r="C3745" s="1" t="s">
        <v>1387</v>
      </c>
      <c r="D3745" s="2" t="s">
        <v>1168</v>
      </c>
      <c r="E3745" s="7">
        <v>1596087</v>
      </c>
      <c r="F3745" s="5">
        <v>3410720</v>
      </c>
    </row>
    <row r="3746" spans="1:6" ht="20" x14ac:dyDescent="0.25">
      <c r="A3746" s="5">
        <v>3410720</v>
      </c>
      <c r="B3746" s="1">
        <v>2021</v>
      </c>
      <c r="C3746" s="1" t="s">
        <v>1387</v>
      </c>
      <c r="D3746" s="3" t="s">
        <v>1168</v>
      </c>
      <c r="E3746" s="7">
        <v>2020117</v>
      </c>
      <c r="F3746" s="5">
        <v>3410720</v>
      </c>
    </row>
    <row r="3747" spans="1:6" ht="20" x14ac:dyDescent="0.25">
      <c r="A3747" s="5">
        <v>3410720</v>
      </c>
      <c r="B3747" s="1">
        <v>2022</v>
      </c>
      <c r="C3747" s="1" t="s">
        <v>1387</v>
      </c>
      <c r="D3747" s="2" t="s">
        <v>1168</v>
      </c>
      <c r="E3747" s="7">
        <v>2876672</v>
      </c>
      <c r="F3747" s="5">
        <v>3410720</v>
      </c>
    </row>
    <row r="3748" spans="1:6" ht="20" x14ac:dyDescent="0.25">
      <c r="A3748" s="5">
        <v>3410720</v>
      </c>
      <c r="B3748" s="1">
        <v>2023</v>
      </c>
      <c r="C3748" s="1" t="s">
        <v>1387</v>
      </c>
      <c r="D3748" s="2" t="s">
        <v>1168</v>
      </c>
      <c r="E3748" s="7">
        <v>3017874</v>
      </c>
      <c r="F3748" s="5">
        <v>3410720</v>
      </c>
    </row>
    <row r="3749" spans="1:6" x14ac:dyDescent="0.25">
      <c r="A3749" s="5">
        <v>3410740</v>
      </c>
      <c r="B3749" s="1">
        <v>2015</v>
      </c>
      <c r="C3749" s="1" t="s">
        <v>1387</v>
      </c>
      <c r="D3749" s="1" t="s">
        <v>477</v>
      </c>
      <c r="E3749" s="8">
        <v>1378136</v>
      </c>
      <c r="F3749" s="5">
        <v>3410740</v>
      </c>
    </row>
    <row r="3750" spans="1:6" x14ac:dyDescent="0.25">
      <c r="A3750" s="5">
        <v>3410740</v>
      </c>
      <c r="B3750" s="1">
        <v>2016</v>
      </c>
      <c r="C3750" s="1" t="s">
        <v>1387</v>
      </c>
      <c r="D3750" s="1" t="s">
        <v>477</v>
      </c>
      <c r="E3750" s="8">
        <v>2101810</v>
      </c>
      <c r="F3750" s="5">
        <v>3410740</v>
      </c>
    </row>
    <row r="3751" spans="1:6" x14ac:dyDescent="0.25">
      <c r="A3751" s="5">
        <v>3410740</v>
      </c>
      <c r="B3751" s="1">
        <v>2017</v>
      </c>
      <c r="C3751" s="1" t="s">
        <v>1387</v>
      </c>
      <c r="D3751" s="1" t="s">
        <v>477</v>
      </c>
      <c r="E3751" s="8">
        <v>3004816</v>
      </c>
      <c r="F3751" s="5">
        <v>3410740</v>
      </c>
    </row>
    <row r="3752" spans="1:6" x14ac:dyDescent="0.25">
      <c r="A3752" s="5">
        <v>3410740</v>
      </c>
      <c r="B3752" s="1">
        <v>2018</v>
      </c>
      <c r="C3752" s="1" t="s">
        <v>1387</v>
      </c>
      <c r="D3752" s="1" t="s">
        <v>1169</v>
      </c>
      <c r="E3752" s="8">
        <v>3988800</v>
      </c>
      <c r="F3752" s="5">
        <v>3410740</v>
      </c>
    </row>
    <row r="3753" spans="1:6" x14ac:dyDescent="0.25">
      <c r="A3753" s="5">
        <v>3410740</v>
      </c>
      <c r="B3753" s="1">
        <v>2019</v>
      </c>
      <c r="C3753" s="1" t="s">
        <v>1387</v>
      </c>
      <c r="D3753" s="1" t="s">
        <v>1169</v>
      </c>
      <c r="E3753" s="8">
        <v>5320612</v>
      </c>
      <c r="F3753" s="5">
        <v>3410740</v>
      </c>
    </row>
    <row r="3754" spans="1:6" ht="20" x14ac:dyDescent="0.25">
      <c r="A3754" s="5">
        <v>3410740</v>
      </c>
      <c r="B3754" s="1">
        <v>2020</v>
      </c>
      <c r="C3754" s="1" t="s">
        <v>1387</v>
      </c>
      <c r="D3754" s="2" t="s">
        <v>1169</v>
      </c>
      <c r="E3754" s="7">
        <v>5975028</v>
      </c>
      <c r="F3754" s="5">
        <v>3410740</v>
      </c>
    </row>
    <row r="3755" spans="1:6" ht="20" x14ac:dyDescent="0.25">
      <c r="A3755" s="5">
        <v>3410740</v>
      </c>
      <c r="B3755" s="1">
        <v>2021</v>
      </c>
      <c r="C3755" s="1" t="s">
        <v>1387</v>
      </c>
      <c r="D3755" s="3" t="s">
        <v>1169</v>
      </c>
      <c r="E3755" s="7">
        <v>7683500</v>
      </c>
      <c r="F3755" s="5">
        <v>3410740</v>
      </c>
    </row>
    <row r="3756" spans="1:6" ht="20" x14ac:dyDescent="0.25">
      <c r="A3756" s="5">
        <v>3410740</v>
      </c>
      <c r="B3756" s="1">
        <v>2022</v>
      </c>
      <c r="C3756" s="1" t="s">
        <v>1387</v>
      </c>
      <c r="D3756" s="2" t="s">
        <v>1169</v>
      </c>
      <c r="E3756" s="7">
        <v>11010316</v>
      </c>
      <c r="F3756" s="5">
        <v>3410740</v>
      </c>
    </row>
    <row r="3757" spans="1:6" ht="20" x14ac:dyDescent="0.25">
      <c r="A3757" s="5">
        <v>3410740</v>
      </c>
      <c r="B3757" s="1">
        <v>2023</v>
      </c>
      <c r="C3757" s="1" t="s">
        <v>1387</v>
      </c>
      <c r="D3757" s="2" t="s">
        <v>1169</v>
      </c>
      <c r="E3757" s="7">
        <v>11239456</v>
      </c>
      <c r="F3757" s="5">
        <v>3410740</v>
      </c>
    </row>
    <row r="3758" spans="1:6" x14ac:dyDescent="0.25">
      <c r="A3758" s="5">
        <v>3410770</v>
      </c>
      <c r="B3758" s="1">
        <v>2015</v>
      </c>
      <c r="C3758" s="1" t="s">
        <v>1387</v>
      </c>
      <c r="D3758" s="1" t="s">
        <v>478</v>
      </c>
      <c r="E3758" s="8">
        <v>207373</v>
      </c>
      <c r="F3758" s="5">
        <v>3410770</v>
      </c>
    </row>
    <row r="3759" spans="1:6" x14ac:dyDescent="0.25">
      <c r="A3759" s="5">
        <v>3410770</v>
      </c>
      <c r="B3759" s="1">
        <v>2016</v>
      </c>
      <c r="C3759" s="1" t="s">
        <v>1387</v>
      </c>
      <c r="D3759" s="1" t="s">
        <v>478</v>
      </c>
      <c r="E3759" s="8">
        <v>300167</v>
      </c>
      <c r="F3759" s="5">
        <v>3410770</v>
      </c>
    </row>
    <row r="3760" spans="1:6" x14ac:dyDescent="0.25">
      <c r="A3760" s="5">
        <v>3410770</v>
      </c>
      <c r="B3760" s="1">
        <v>2017</v>
      </c>
      <c r="C3760" s="1" t="s">
        <v>1387</v>
      </c>
      <c r="D3760" s="1" t="s">
        <v>478</v>
      </c>
      <c r="E3760" s="8">
        <v>443119</v>
      </c>
      <c r="F3760" s="5">
        <v>3410770</v>
      </c>
    </row>
    <row r="3761" spans="1:6" x14ac:dyDescent="0.25">
      <c r="A3761" s="5">
        <v>3410770</v>
      </c>
      <c r="B3761" s="1">
        <v>2018</v>
      </c>
      <c r="C3761" s="1" t="s">
        <v>1387</v>
      </c>
      <c r="D3761" s="1" t="s">
        <v>1170</v>
      </c>
      <c r="E3761" s="8">
        <v>666508</v>
      </c>
      <c r="F3761" s="5">
        <v>3410770</v>
      </c>
    </row>
    <row r="3762" spans="1:6" x14ac:dyDescent="0.25">
      <c r="A3762" s="5">
        <v>3410770</v>
      </c>
      <c r="B3762" s="1">
        <v>2019</v>
      </c>
      <c r="C3762" s="1" t="s">
        <v>1387</v>
      </c>
      <c r="D3762" s="1" t="s">
        <v>1170</v>
      </c>
      <c r="E3762" s="8">
        <v>943898</v>
      </c>
      <c r="F3762" s="5">
        <v>3410770</v>
      </c>
    </row>
    <row r="3763" spans="1:6" ht="20" x14ac:dyDescent="0.25">
      <c r="A3763" s="5">
        <v>3410770</v>
      </c>
      <c r="B3763" s="1">
        <v>2020</v>
      </c>
      <c r="C3763" s="1" t="s">
        <v>1387</v>
      </c>
      <c r="D3763" s="2" t="s">
        <v>1170</v>
      </c>
      <c r="E3763" s="7">
        <v>1049130</v>
      </c>
      <c r="F3763" s="5">
        <v>3410770</v>
      </c>
    </row>
    <row r="3764" spans="1:6" ht="20" x14ac:dyDescent="0.25">
      <c r="A3764" s="5">
        <v>3410770</v>
      </c>
      <c r="B3764" s="1">
        <v>2021</v>
      </c>
      <c r="C3764" s="1" t="s">
        <v>1387</v>
      </c>
      <c r="D3764" s="3" t="s">
        <v>1170</v>
      </c>
      <c r="E3764" s="7">
        <v>1384820</v>
      </c>
      <c r="F3764" s="5">
        <v>3410770</v>
      </c>
    </row>
    <row r="3765" spans="1:6" ht="20" x14ac:dyDescent="0.25">
      <c r="A3765" s="5">
        <v>3410770</v>
      </c>
      <c r="B3765" s="1">
        <v>2022</v>
      </c>
      <c r="C3765" s="1" t="s">
        <v>1387</v>
      </c>
      <c r="D3765" s="2" t="s">
        <v>1170</v>
      </c>
      <c r="E3765" s="7">
        <v>1976877</v>
      </c>
      <c r="F3765" s="5">
        <v>3410770</v>
      </c>
    </row>
    <row r="3766" spans="1:6" ht="20" x14ac:dyDescent="0.25">
      <c r="A3766" s="5">
        <v>3410770</v>
      </c>
      <c r="B3766" s="1">
        <v>2023</v>
      </c>
      <c r="C3766" s="1" t="s">
        <v>1387</v>
      </c>
      <c r="D3766" s="2" t="s">
        <v>1170</v>
      </c>
      <c r="E3766" s="7">
        <v>2002041</v>
      </c>
      <c r="F3766" s="5">
        <v>3410770</v>
      </c>
    </row>
    <row r="3767" spans="1:6" x14ac:dyDescent="0.25">
      <c r="A3767" s="5">
        <v>3410810</v>
      </c>
      <c r="B3767" s="1">
        <v>2015</v>
      </c>
      <c r="C3767" s="1" t="s">
        <v>1387</v>
      </c>
      <c r="D3767" s="1" t="s">
        <v>479</v>
      </c>
      <c r="E3767" s="8">
        <v>2113500</v>
      </c>
      <c r="F3767" s="5">
        <v>3410810</v>
      </c>
    </row>
    <row r="3768" spans="1:6" x14ac:dyDescent="0.25">
      <c r="A3768" s="5">
        <v>3410810</v>
      </c>
      <c r="B3768" s="1">
        <v>2016</v>
      </c>
      <c r="C3768" s="1" t="s">
        <v>1387</v>
      </c>
      <c r="D3768" s="1" t="s">
        <v>479</v>
      </c>
      <c r="E3768" s="8">
        <v>3023857</v>
      </c>
      <c r="F3768" s="5">
        <v>3410810</v>
      </c>
    </row>
    <row r="3769" spans="1:6" x14ac:dyDescent="0.25">
      <c r="A3769" s="5">
        <v>3410810</v>
      </c>
      <c r="B3769" s="1">
        <v>2017</v>
      </c>
      <c r="C3769" s="1" t="s">
        <v>1387</v>
      </c>
      <c r="D3769" s="1" t="s">
        <v>479</v>
      </c>
      <c r="E3769" s="8">
        <v>4312793</v>
      </c>
      <c r="F3769" s="5">
        <v>3410810</v>
      </c>
    </row>
    <row r="3770" spans="1:6" x14ac:dyDescent="0.25">
      <c r="A3770" s="5">
        <v>3410810</v>
      </c>
      <c r="B3770" s="1">
        <v>2018</v>
      </c>
      <c r="C3770" s="1" t="s">
        <v>1387</v>
      </c>
      <c r="D3770" s="1" t="s">
        <v>1171</v>
      </c>
      <c r="E3770" s="8">
        <v>5931128</v>
      </c>
      <c r="F3770" s="5">
        <v>3410810</v>
      </c>
    </row>
    <row r="3771" spans="1:6" x14ac:dyDescent="0.25">
      <c r="A3771" s="5">
        <v>3410810</v>
      </c>
      <c r="B3771" s="1">
        <v>2019</v>
      </c>
      <c r="C3771" s="1" t="s">
        <v>1387</v>
      </c>
      <c r="D3771" s="1" t="s">
        <v>1171</v>
      </c>
      <c r="E3771" s="8">
        <v>7966830</v>
      </c>
      <c r="F3771" s="5">
        <v>3410810</v>
      </c>
    </row>
    <row r="3772" spans="1:6" ht="20" x14ac:dyDescent="0.25">
      <c r="A3772" s="5">
        <v>3410810</v>
      </c>
      <c r="B3772" s="1">
        <v>2020</v>
      </c>
      <c r="C3772" s="1" t="s">
        <v>1387</v>
      </c>
      <c r="D3772" s="2" t="s">
        <v>1171</v>
      </c>
      <c r="E3772" s="7">
        <v>9033896</v>
      </c>
      <c r="F3772" s="5">
        <v>3410810</v>
      </c>
    </row>
    <row r="3773" spans="1:6" ht="20" x14ac:dyDescent="0.25">
      <c r="A3773" s="5">
        <v>3410810</v>
      </c>
      <c r="B3773" s="1">
        <v>2021</v>
      </c>
      <c r="C3773" s="1" t="s">
        <v>1387</v>
      </c>
      <c r="D3773" s="3" t="s">
        <v>1171</v>
      </c>
      <c r="E3773" s="7">
        <v>11737011</v>
      </c>
      <c r="F3773" s="5">
        <v>3410810</v>
      </c>
    </row>
    <row r="3774" spans="1:6" ht="20" x14ac:dyDescent="0.25">
      <c r="A3774" s="5">
        <v>3410810</v>
      </c>
      <c r="B3774" s="1">
        <v>2022</v>
      </c>
      <c r="C3774" s="1" t="s">
        <v>1387</v>
      </c>
      <c r="D3774" s="2" t="s">
        <v>1171</v>
      </c>
      <c r="E3774" s="7">
        <v>16794634</v>
      </c>
      <c r="F3774" s="5">
        <v>3410810</v>
      </c>
    </row>
    <row r="3775" spans="1:6" ht="20" x14ac:dyDescent="0.25">
      <c r="A3775" s="5">
        <v>3410810</v>
      </c>
      <c r="B3775" s="1">
        <v>2023</v>
      </c>
      <c r="C3775" s="1" t="s">
        <v>1387</v>
      </c>
      <c r="D3775" s="2" t="s">
        <v>1171</v>
      </c>
      <c r="E3775" s="7">
        <v>16935683</v>
      </c>
      <c r="F3775" s="5">
        <v>3410810</v>
      </c>
    </row>
    <row r="3776" spans="1:6" x14ac:dyDescent="0.25">
      <c r="A3776" s="5">
        <v>3410860</v>
      </c>
      <c r="B3776" s="1">
        <v>2015</v>
      </c>
      <c r="C3776" s="1" t="s">
        <v>1387</v>
      </c>
      <c r="D3776" s="1" t="s">
        <v>480</v>
      </c>
      <c r="E3776" s="8">
        <v>163679</v>
      </c>
      <c r="F3776" s="5">
        <v>3410860</v>
      </c>
    </row>
    <row r="3777" spans="1:6" x14ac:dyDescent="0.25">
      <c r="A3777" s="5">
        <v>3410860</v>
      </c>
      <c r="B3777" s="1">
        <v>2016</v>
      </c>
      <c r="C3777" s="1" t="s">
        <v>1387</v>
      </c>
      <c r="D3777" s="1" t="s">
        <v>480</v>
      </c>
      <c r="E3777" s="8">
        <v>246133</v>
      </c>
      <c r="F3777" s="5">
        <v>3410860</v>
      </c>
    </row>
    <row r="3778" spans="1:6" x14ac:dyDescent="0.25">
      <c r="A3778" s="5">
        <v>3410860</v>
      </c>
      <c r="B3778" s="1">
        <v>2017</v>
      </c>
      <c r="C3778" s="1" t="s">
        <v>1387</v>
      </c>
      <c r="D3778" s="1" t="s">
        <v>480</v>
      </c>
      <c r="E3778" s="8">
        <v>342704</v>
      </c>
      <c r="F3778" s="5">
        <v>3410860</v>
      </c>
    </row>
    <row r="3779" spans="1:6" x14ac:dyDescent="0.25">
      <c r="A3779" s="5">
        <v>3410860</v>
      </c>
      <c r="B3779" s="1">
        <v>2018</v>
      </c>
      <c r="C3779" s="1" t="s">
        <v>1387</v>
      </c>
      <c r="D3779" s="1" t="s">
        <v>1172</v>
      </c>
      <c r="E3779" s="8">
        <v>446884</v>
      </c>
      <c r="F3779" s="5">
        <v>3410860</v>
      </c>
    </row>
    <row r="3780" spans="1:6" x14ac:dyDescent="0.25">
      <c r="A3780" s="5">
        <v>3410860</v>
      </c>
      <c r="B3780" s="1">
        <v>2019</v>
      </c>
      <c r="C3780" s="1" t="s">
        <v>1387</v>
      </c>
      <c r="D3780" s="1" t="s">
        <v>1172</v>
      </c>
      <c r="E3780" s="8">
        <v>592998</v>
      </c>
      <c r="F3780" s="5">
        <v>3410860</v>
      </c>
    </row>
    <row r="3781" spans="1:6" ht="20" x14ac:dyDescent="0.25">
      <c r="A3781" s="5">
        <v>3410860</v>
      </c>
      <c r="B3781" s="1">
        <v>2020</v>
      </c>
      <c r="C3781" s="1" t="s">
        <v>1387</v>
      </c>
      <c r="D3781" s="2" t="s">
        <v>1172</v>
      </c>
      <c r="E3781" s="7">
        <v>688984</v>
      </c>
      <c r="F3781" s="5">
        <v>3410860</v>
      </c>
    </row>
    <row r="3782" spans="1:6" ht="20" x14ac:dyDescent="0.25">
      <c r="A3782" s="5">
        <v>3410860</v>
      </c>
      <c r="B3782" s="1">
        <v>2021</v>
      </c>
      <c r="C3782" s="1" t="s">
        <v>1387</v>
      </c>
      <c r="D3782" s="3" t="s">
        <v>1172</v>
      </c>
      <c r="E3782" s="7">
        <v>872587</v>
      </c>
      <c r="F3782" s="5">
        <v>3410860</v>
      </c>
    </row>
    <row r="3783" spans="1:6" ht="20" x14ac:dyDescent="0.25">
      <c r="A3783" s="5">
        <v>3410860</v>
      </c>
      <c r="B3783" s="1">
        <v>2022</v>
      </c>
      <c r="C3783" s="1" t="s">
        <v>1387</v>
      </c>
      <c r="D3783" s="2" t="s">
        <v>1172</v>
      </c>
      <c r="E3783" s="7">
        <v>1303189</v>
      </c>
      <c r="F3783" s="5">
        <v>3410860</v>
      </c>
    </row>
    <row r="3784" spans="1:6" ht="20" x14ac:dyDescent="0.25">
      <c r="A3784" s="5">
        <v>3410860</v>
      </c>
      <c r="B3784" s="1">
        <v>2023</v>
      </c>
      <c r="C3784" s="1" t="s">
        <v>1387</v>
      </c>
      <c r="D3784" s="2" t="s">
        <v>1172</v>
      </c>
      <c r="E3784" s="7">
        <v>1214670</v>
      </c>
      <c r="F3784" s="5">
        <v>3410860</v>
      </c>
    </row>
    <row r="3785" spans="1:6" x14ac:dyDescent="0.25">
      <c r="A3785" s="5">
        <v>3410890</v>
      </c>
      <c r="B3785" s="1">
        <v>2015</v>
      </c>
      <c r="C3785" s="1" t="s">
        <v>1387</v>
      </c>
      <c r="D3785" s="1" t="s">
        <v>183</v>
      </c>
      <c r="E3785" s="8">
        <v>136600</v>
      </c>
      <c r="F3785" s="5">
        <v>3410890</v>
      </c>
    </row>
    <row r="3786" spans="1:6" x14ac:dyDescent="0.25">
      <c r="A3786" s="5">
        <v>3410890</v>
      </c>
      <c r="B3786" s="1">
        <v>2016</v>
      </c>
      <c r="C3786" s="1" t="s">
        <v>1387</v>
      </c>
      <c r="D3786" s="1" t="s">
        <v>183</v>
      </c>
      <c r="E3786" s="8">
        <v>216972</v>
      </c>
      <c r="F3786" s="5">
        <v>3410890</v>
      </c>
    </row>
    <row r="3787" spans="1:6" x14ac:dyDescent="0.25">
      <c r="A3787" s="5">
        <v>3410890</v>
      </c>
      <c r="B3787" s="1">
        <v>2017</v>
      </c>
      <c r="C3787" s="1" t="s">
        <v>1387</v>
      </c>
      <c r="D3787" s="1" t="s">
        <v>183</v>
      </c>
      <c r="E3787" s="8">
        <v>345520</v>
      </c>
      <c r="F3787" s="5">
        <v>3410890</v>
      </c>
    </row>
    <row r="3788" spans="1:6" x14ac:dyDescent="0.25">
      <c r="A3788" s="5">
        <v>3410890</v>
      </c>
      <c r="B3788" s="1">
        <v>2018</v>
      </c>
      <c r="C3788" s="1" t="s">
        <v>1387</v>
      </c>
      <c r="D3788" s="1" t="s">
        <v>866</v>
      </c>
      <c r="E3788" s="8">
        <v>442250</v>
      </c>
      <c r="F3788" s="5">
        <v>3410890</v>
      </c>
    </row>
    <row r="3789" spans="1:6" x14ac:dyDescent="0.25">
      <c r="A3789" s="5">
        <v>3410890</v>
      </c>
      <c r="B3789" s="1">
        <v>2019</v>
      </c>
      <c r="C3789" s="1" t="s">
        <v>1387</v>
      </c>
      <c r="D3789" s="1" t="s">
        <v>866</v>
      </c>
      <c r="E3789" s="8">
        <v>555994</v>
      </c>
      <c r="F3789" s="5">
        <v>3410890</v>
      </c>
    </row>
    <row r="3790" spans="1:6" ht="20" x14ac:dyDescent="0.25">
      <c r="A3790" s="5">
        <v>3410890</v>
      </c>
      <c r="B3790" s="1">
        <v>2020</v>
      </c>
      <c r="C3790" s="1" t="s">
        <v>1387</v>
      </c>
      <c r="D3790" s="2" t="s">
        <v>866</v>
      </c>
      <c r="E3790" s="7">
        <v>657842</v>
      </c>
      <c r="F3790" s="5">
        <v>3410890</v>
      </c>
    </row>
    <row r="3791" spans="1:6" ht="20" x14ac:dyDescent="0.25">
      <c r="A3791" s="5">
        <v>3410890</v>
      </c>
      <c r="B3791" s="1">
        <v>2021</v>
      </c>
      <c r="C3791" s="1" t="s">
        <v>1387</v>
      </c>
      <c r="D3791" s="3" t="s">
        <v>866</v>
      </c>
      <c r="E3791" s="7">
        <v>849791</v>
      </c>
      <c r="F3791" s="5">
        <v>3410890</v>
      </c>
    </row>
    <row r="3792" spans="1:6" ht="20" x14ac:dyDescent="0.25">
      <c r="A3792" s="5">
        <v>3410890</v>
      </c>
      <c r="B3792" s="1">
        <v>2022</v>
      </c>
      <c r="C3792" s="1" t="s">
        <v>1387</v>
      </c>
      <c r="D3792" s="2" t="s">
        <v>866</v>
      </c>
      <c r="E3792" s="7">
        <v>1267756</v>
      </c>
      <c r="F3792" s="5">
        <v>3410890</v>
      </c>
    </row>
    <row r="3793" spans="1:6" ht="20" x14ac:dyDescent="0.25">
      <c r="A3793" s="5">
        <v>3410890</v>
      </c>
      <c r="B3793" s="1">
        <v>2023</v>
      </c>
      <c r="C3793" s="1" t="s">
        <v>1387</v>
      </c>
      <c r="D3793" s="2" t="s">
        <v>866</v>
      </c>
      <c r="E3793" s="7">
        <v>1255758</v>
      </c>
      <c r="F3793" s="5">
        <v>3410890</v>
      </c>
    </row>
    <row r="3794" spans="1:6" x14ac:dyDescent="0.25">
      <c r="A3794" s="5">
        <v>3410920</v>
      </c>
      <c r="B3794" s="1">
        <v>2015</v>
      </c>
      <c r="C3794" s="1" t="s">
        <v>1387</v>
      </c>
      <c r="D3794" s="1" t="s">
        <v>129</v>
      </c>
      <c r="E3794" s="8">
        <v>394292</v>
      </c>
      <c r="F3794" s="5">
        <v>3410920</v>
      </c>
    </row>
    <row r="3795" spans="1:6" x14ac:dyDescent="0.25">
      <c r="A3795" s="5">
        <v>3410920</v>
      </c>
      <c r="B3795" s="1">
        <v>2016</v>
      </c>
      <c r="C3795" s="1" t="s">
        <v>1387</v>
      </c>
      <c r="D3795" s="1" t="s">
        <v>129</v>
      </c>
      <c r="E3795" s="8">
        <v>592666</v>
      </c>
      <c r="F3795" s="5">
        <v>3410920</v>
      </c>
    </row>
    <row r="3796" spans="1:6" x14ac:dyDescent="0.25">
      <c r="A3796" s="5">
        <v>3410920</v>
      </c>
      <c r="B3796" s="1">
        <v>2017</v>
      </c>
      <c r="C3796" s="1" t="s">
        <v>1387</v>
      </c>
      <c r="D3796" s="1" t="s">
        <v>129</v>
      </c>
      <c r="E3796" s="8">
        <v>853076</v>
      </c>
      <c r="F3796" s="5">
        <v>3410920</v>
      </c>
    </row>
    <row r="3797" spans="1:6" x14ac:dyDescent="0.25">
      <c r="A3797" s="5">
        <v>3410920</v>
      </c>
      <c r="B3797" s="1">
        <v>2018</v>
      </c>
      <c r="C3797" s="1" t="s">
        <v>1387</v>
      </c>
      <c r="D3797" s="1" t="s">
        <v>810</v>
      </c>
      <c r="E3797" s="8">
        <v>1183446</v>
      </c>
      <c r="F3797" s="5">
        <v>3410920</v>
      </c>
    </row>
    <row r="3798" spans="1:6" x14ac:dyDescent="0.25">
      <c r="A3798" s="5">
        <v>3410920</v>
      </c>
      <c r="B3798" s="1">
        <v>2019</v>
      </c>
      <c r="C3798" s="1" t="s">
        <v>1387</v>
      </c>
      <c r="D3798" s="1" t="s">
        <v>810</v>
      </c>
      <c r="E3798" s="8">
        <v>1573864</v>
      </c>
      <c r="F3798" s="5">
        <v>3410920</v>
      </c>
    </row>
    <row r="3799" spans="1:6" ht="20" x14ac:dyDescent="0.25">
      <c r="A3799" s="5">
        <v>3410920</v>
      </c>
      <c r="B3799" s="1">
        <v>2020</v>
      </c>
      <c r="C3799" s="1" t="s">
        <v>1387</v>
      </c>
      <c r="D3799" s="2" t="s">
        <v>810</v>
      </c>
      <c r="E3799" s="7">
        <v>1700682</v>
      </c>
      <c r="F3799" s="5">
        <v>3410920</v>
      </c>
    </row>
    <row r="3800" spans="1:6" ht="20" x14ac:dyDescent="0.25">
      <c r="A3800" s="5">
        <v>3410920</v>
      </c>
      <c r="B3800" s="1">
        <v>2021</v>
      </c>
      <c r="C3800" s="1" t="s">
        <v>1387</v>
      </c>
      <c r="D3800" s="3" t="s">
        <v>810</v>
      </c>
      <c r="E3800" s="7">
        <v>2328859</v>
      </c>
      <c r="F3800" s="5">
        <v>3410920</v>
      </c>
    </row>
    <row r="3801" spans="1:6" ht="20" x14ac:dyDescent="0.25">
      <c r="A3801" s="5">
        <v>3410920</v>
      </c>
      <c r="B3801" s="1">
        <v>2022</v>
      </c>
      <c r="C3801" s="1" t="s">
        <v>1387</v>
      </c>
      <c r="D3801" s="2" t="s">
        <v>810</v>
      </c>
      <c r="E3801" s="7">
        <v>3331172</v>
      </c>
      <c r="F3801" s="5">
        <v>3410920</v>
      </c>
    </row>
    <row r="3802" spans="1:6" ht="20" x14ac:dyDescent="0.25">
      <c r="A3802" s="5">
        <v>3410920</v>
      </c>
      <c r="B3802" s="1">
        <v>2023</v>
      </c>
      <c r="C3802" s="1" t="s">
        <v>1387</v>
      </c>
      <c r="D3802" s="2" t="s">
        <v>810</v>
      </c>
      <c r="E3802" s="7">
        <v>3459206</v>
      </c>
      <c r="F3802" s="5">
        <v>3410920</v>
      </c>
    </row>
    <row r="3803" spans="1:6" x14ac:dyDescent="0.25">
      <c r="A3803" s="5">
        <v>3410950</v>
      </c>
      <c r="B3803" s="1">
        <v>2015</v>
      </c>
      <c r="C3803" s="1" t="s">
        <v>1387</v>
      </c>
      <c r="D3803" s="1" t="s">
        <v>130</v>
      </c>
      <c r="E3803" s="8">
        <v>1572971</v>
      </c>
      <c r="F3803" s="5">
        <v>3410950</v>
      </c>
    </row>
    <row r="3804" spans="1:6" x14ac:dyDescent="0.25">
      <c r="A3804" s="5">
        <v>3410950</v>
      </c>
      <c r="B3804" s="1">
        <v>2016</v>
      </c>
      <c r="C3804" s="1" t="s">
        <v>1387</v>
      </c>
      <c r="D3804" s="1" t="s">
        <v>130</v>
      </c>
      <c r="E3804" s="8">
        <v>2284973</v>
      </c>
      <c r="F3804" s="5">
        <v>3410950</v>
      </c>
    </row>
    <row r="3805" spans="1:6" x14ac:dyDescent="0.25">
      <c r="A3805" s="5">
        <v>3410950</v>
      </c>
      <c r="B3805" s="1">
        <v>2017</v>
      </c>
      <c r="C3805" s="1" t="s">
        <v>1387</v>
      </c>
      <c r="D3805" s="1" t="s">
        <v>130</v>
      </c>
      <c r="E3805" s="8">
        <v>3226646</v>
      </c>
      <c r="F3805" s="5">
        <v>3410950</v>
      </c>
    </row>
    <row r="3806" spans="1:6" x14ac:dyDescent="0.25">
      <c r="A3806" s="5">
        <v>3410950</v>
      </c>
      <c r="B3806" s="1">
        <v>2018</v>
      </c>
      <c r="C3806" s="1" t="s">
        <v>1387</v>
      </c>
      <c r="D3806" s="1" t="s">
        <v>811</v>
      </c>
      <c r="E3806" s="8">
        <v>4388748</v>
      </c>
      <c r="F3806" s="5">
        <v>3410950</v>
      </c>
    </row>
    <row r="3807" spans="1:6" x14ac:dyDescent="0.25">
      <c r="A3807" s="5">
        <v>3410950</v>
      </c>
      <c r="B3807" s="1">
        <v>2019</v>
      </c>
      <c r="C3807" s="1" t="s">
        <v>1387</v>
      </c>
      <c r="D3807" s="1" t="s">
        <v>811</v>
      </c>
      <c r="E3807" s="8">
        <v>5815154</v>
      </c>
      <c r="F3807" s="5">
        <v>3410950</v>
      </c>
    </row>
    <row r="3808" spans="1:6" ht="20" x14ac:dyDescent="0.25">
      <c r="A3808" s="5">
        <v>3410950</v>
      </c>
      <c r="B3808" s="1">
        <v>2020</v>
      </c>
      <c r="C3808" s="1" t="s">
        <v>1387</v>
      </c>
      <c r="D3808" s="2" t="s">
        <v>811</v>
      </c>
      <c r="E3808" s="7">
        <v>6624799</v>
      </c>
      <c r="F3808" s="5">
        <v>3410950</v>
      </c>
    </row>
    <row r="3809" spans="1:6" ht="20" x14ac:dyDescent="0.25">
      <c r="A3809" s="5">
        <v>3410950</v>
      </c>
      <c r="B3809" s="1">
        <v>2021</v>
      </c>
      <c r="C3809" s="1" t="s">
        <v>1387</v>
      </c>
      <c r="D3809" s="3" t="s">
        <v>811</v>
      </c>
      <c r="E3809" s="7">
        <v>8707050</v>
      </c>
      <c r="F3809" s="5">
        <v>3410950</v>
      </c>
    </row>
    <row r="3810" spans="1:6" ht="20" x14ac:dyDescent="0.25">
      <c r="A3810" s="5">
        <v>3410950</v>
      </c>
      <c r="B3810" s="1">
        <v>2022</v>
      </c>
      <c r="C3810" s="1" t="s">
        <v>1387</v>
      </c>
      <c r="D3810" s="2" t="s">
        <v>811</v>
      </c>
      <c r="E3810" s="7">
        <v>12486977</v>
      </c>
      <c r="F3810" s="5">
        <v>3410950</v>
      </c>
    </row>
    <row r="3811" spans="1:6" ht="20" x14ac:dyDescent="0.25">
      <c r="A3811" s="5">
        <v>3410950</v>
      </c>
      <c r="B3811" s="1">
        <v>2023</v>
      </c>
      <c r="C3811" s="1" t="s">
        <v>1387</v>
      </c>
      <c r="D3811" s="2" t="s">
        <v>811</v>
      </c>
      <c r="E3811" s="7">
        <v>12560480</v>
      </c>
      <c r="F3811" s="5">
        <v>3410950</v>
      </c>
    </row>
    <row r="3812" spans="1:6" x14ac:dyDescent="0.25">
      <c r="A3812" s="5">
        <v>3410980</v>
      </c>
      <c r="B3812" s="1">
        <v>2015</v>
      </c>
      <c r="C3812" s="1" t="s">
        <v>1387</v>
      </c>
      <c r="D3812" s="1" t="s">
        <v>481</v>
      </c>
      <c r="E3812" s="8">
        <v>1660776</v>
      </c>
      <c r="F3812" s="5">
        <v>3410980</v>
      </c>
    </row>
    <row r="3813" spans="1:6" x14ac:dyDescent="0.25">
      <c r="A3813" s="5">
        <v>3410980</v>
      </c>
      <c r="B3813" s="1">
        <v>2016</v>
      </c>
      <c r="C3813" s="1" t="s">
        <v>1387</v>
      </c>
      <c r="D3813" s="1" t="s">
        <v>481</v>
      </c>
      <c r="E3813" s="8">
        <v>2484800</v>
      </c>
      <c r="F3813" s="5">
        <v>3410980</v>
      </c>
    </row>
    <row r="3814" spans="1:6" x14ac:dyDescent="0.25">
      <c r="A3814" s="5">
        <v>3410980</v>
      </c>
      <c r="B3814" s="1">
        <v>2017</v>
      </c>
      <c r="C3814" s="1" t="s">
        <v>1387</v>
      </c>
      <c r="D3814" s="1" t="s">
        <v>481</v>
      </c>
      <c r="E3814" s="8">
        <v>3484217</v>
      </c>
      <c r="F3814" s="5">
        <v>3410980</v>
      </c>
    </row>
    <row r="3815" spans="1:6" x14ac:dyDescent="0.25">
      <c r="A3815" s="5">
        <v>3410980</v>
      </c>
      <c r="B3815" s="1">
        <v>2018</v>
      </c>
      <c r="C3815" s="1" t="s">
        <v>1387</v>
      </c>
      <c r="D3815" s="1" t="s">
        <v>1173</v>
      </c>
      <c r="E3815" s="8">
        <v>4800574</v>
      </c>
      <c r="F3815" s="5">
        <v>3410980</v>
      </c>
    </row>
    <row r="3816" spans="1:6" x14ac:dyDescent="0.25">
      <c r="A3816" s="5">
        <v>3410980</v>
      </c>
      <c r="B3816" s="1">
        <v>2019</v>
      </c>
      <c r="C3816" s="1" t="s">
        <v>1387</v>
      </c>
      <c r="D3816" s="1" t="s">
        <v>1173</v>
      </c>
      <c r="E3816" s="8">
        <v>6278258</v>
      </c>
      <c r="F3816" s="5">
        <v>3410980</v>
      </c>
    </row>
    <row r="3817" spans="1:6" ht="20" x14ac:dyDescent="0.25">
      <c r="A3817" s="5">
        <v>3410980</v>
      </c>
      <c r="B3817" s="1">
        <v>2020</v>
      </c>
      <c r="C3817" s="1" t="s">
        <v>1387</v>
      </c>
      <c r="D3817" s="2" t="s">
        <v>1173</v>
      </c>
      <c r="E3817" s="7">
        <v>7083612</v>
      </c>
      <c r="F3817" s="5">
        <v>3410980</v>
      </c>
    </row>
    <row r="3818" spans="1:6" ht="20" x14ac:dyDescent="0.25">
      <c r="A3818" s="5">
        <v>3410980</v>
      </c>
      <c r="B3818" s="1">
        <v>2021</v>
      </c>
      <c r="C3818" s="1" t="s">
        <v>1387</v>
      </c>
      <c r="D3818" s="3" t="s">
        <v>1173</v>
      </c>
      <c r="E3818" s="7">
        <v>9352649</v>
      </c>
      <c r="F3818" s="5">
        <v>3410980</v>
      </c>
    </row>
    <row r="3819" spans="1:6" ht="20" x14ac:dyDescent="0.25">
      <c r="A3819" s="5">
        <v>3410980</v>
      </c>
      <c r="B3819" s="1">
        <v>2022</v>
      </c>
      <c r="C3819" s="1" t="s">
        <v>1387</v>
      </c>
      <c r="D3819" s="2" t="s">
        <v>1173</v>
      </c>
      <c r="E3819" s="7">
        <v>13287420</v>
      </c>
      <c r="F3819" s="5">
        <v>3410980</v>
      </c>
    </row>
    <row r="3820" spans="1:6" ht="20" x14ac:dyDescent="0.25">
      <c r="A3820" s="5">
        <v>3410980</v>
      </c>
      <c r="B3820" s="1">
        <v>2023</v>
      </c>
      <c r="C3820" s="1" t="s">
        <v>1387</v>
      </c>
      <c r="D3820" s="2" t="s">
        <v>1173</v>
      </c>
      <c r="E3820" s="7">
        <v>13787061</v>
      </c>
      <c r="F3820" s="5">
        <v>3410980</v>
      </c>
    </row>
    <row r="3821" spans="1:6" x14ac:dyDescent="0.25">
      <c r="A3821" s="5">
        <v>3411010</v>
      </c>
      <c r="B3821" s="1">
        <v>2015</v>
      </c>
      <c r="C3821" s="1" t="s">
        <v>1387</v>
      </c>
      <c r="D3821" s="1" t="s">
        <v>482</v>
      </c>
      <c r="E3821" s="8">
        <v>943560</v>
      </c>
      <c r="F3821" s="5">
        <v>3411010</v>
      </c>
    </row>
    <row r="3822" spans="1:6" x14ac:dyDescent="0.25">
      <c r="A3822" s="5">
        <v>3411010</v>
      </c>
      <c r="B3822" s="1">
        <v>2016</v>
      </c>
      <c r="C3822" s="1" t="s">
        <v>1387</v>
      </c>
      <c r="D3822" s="1" t="s">
        <v>482</v>
      </c>
      <c r="E3822" s="8">
        <v>1331242</v>
      </c>
      <c r="F3822" s="5">
        <v>3411010</v>
      </c>
    </row>
    <row r="3823" spans="1:6" x14ac:dyDescent="0.25">
      <c r="A3823" s="5">
        <v>3411010</v>
      </c>
      <c r="B3823" s="1">
        <v>2017</v>
      </c>
      <c r="C3823" s="1" t="s">
        <v>1387</v>
      </c>
      <c r="D3823" s="1" t="s">
        <v>482</v>
      </c>
      <c r="E3823" s="8">
        <v>1925251</v>
      </c>
      <c r="F3823" s="5">
        <v>3411010</v>
      </c>
    </row>
    <row r="3824" spans="1:6" x14ac:dyDescent="0.25">
      <c r="A3824" s="5">
        <v>3411010</v>
      </c>
      <c r="B3824" s="1">
        <v>2018</v>
      </c>
      <c r="C3824" s="1" t="s">
        <v>1387</v>
      </c>
      <c r="D3824" s="1" t="s">
        <v>1174</v>
      </c>
      <c r="E3824" s="8">
        <v>2515526</v>
      </c>
      <c r="F3824" s="5">
        <v>3411010</v>
      </c>
    </row>
    <row r="3825" spans="1:6" x14ac:dyDescent="0.25">
      <c r="A3825" s="5">
        <v>3411010</v>
      </c>
      <c r="B3825" s="1">
        <v>2019</v>
      </c>
      <c r="C3825" s="1" t="s">
        <v>1387</v>
      </c>
      <c r="D3825" s="1" t="s">
        <v>1174</v>
      </c>
      <c r="E3825" s="8">
        <v>3367213</v>
      </c>
      <c r="F3825" s="5">
        <v>3411010</v>
      </c>
    </row>
    <row r="3826" spans="1:6" ht="20" x14ac:dyDescent="0.25">
      <c r="A3826" s="5">
        <v>3411010</v>
      </c>
      <c r="B3826" s="1">
        <v>2020</v>
      </c>
      <c r="C3826" s="1" t="s">
        <v>1387</v>
      </c>
      <c r="D3826" s="2" t="s">
        <v>1174</v>
      </c>
      <c r="E3826" s="7">
        <v>3897541</v>
      </c>
      <c r="F3826" s="5">
        <v>3411010</v>
      </c>
    </row>
    <row r="3827" spans="1:6" ht="20" x14ac:dyDescent="0.25">
      <c r="A3827" s="5">
        <v>3411010</v>
      </c>
      <c r="B3827" s="1">
        <v>2021</v>
      </c>
      <c r="C3827" s="1" t="s">
        <v>1387</v>
      </c>
      <c r="D3827" s="3" t="s">
        <v>1174</v>
      </c>
      <c r="E3827" s="7">
        <v>4908484</v>
      </c>
      <c r="F3827" s="5">
        <v>3411010</v>
      </c>
    </row>
    <row r="3828" spans="1:6" ht="20" x14ac:dyDescent="0.25">
      <c r="A3828" s="5">
        <v>3411010</v>
      </c>
      <c r="B3828" s="1">
        <v>2022</v>
      </c>
      <c r="C3828" s="1" t="s">
        <v>1387</v>
      </c>
      <c r="D3828" s="2" t="s">
        <v>1174</v>
      </c>
      <c r="E3828" s="7">
        <v>6995285</v>
      </c>
      <c r="F3828" s="5">
        <v>3411010</v>
      </c>
    </row>
    <row r="3829" spans="1:6" ht="20" x14ac:dyDescent="0.25">
      <c r="A3829" s="5">
        <v>3411010</v>
      </c>
      <c r="B3829" s="1">
        <v>2023</v>
      </c>
      <c r="C3829" s="1" t="s">
        <v>1387</v>
      </c>
      <c r="D3829" s="2" t="s">
        <v>1174</v>
      </c>
      <c r="E3829" s="7">
        <v>6850011</v>
      </c>
      <c r="F3829" s="5">
        <v>3411010</v>
      </c>
    </row>
    <row r="3830" spans="1:6" x14ac:dyDescent="0.25">
      <c r="A3830" s="5">
        <v>3411040</v>
      </c>
      <c r="B3830" s="1">
        <v>2015</v>
      </c>
      <c r="C3830" s="1" t="s">
        <v>1387</v>
      </c>
      <c r="D3830" s="1" t="s">
        <v>621</v>
      </c>
      <c r="E3830" s="8">
        <v>248539</v>
      </c>
      <c r="F3830" s="5">
        <v>3411040</v>
      </c>
    </row>
    <row r="3831" spans="1:6" x14ac:dyDescent="0.25">
      <c r="A3831" s="5">
        <v>3411040</v>
      </c>
      <c r="B3831" s="1">
        <v>2016</v>
      </c>
      <c r="C3831" s="1" t="s">
        <v>1387</v>
      </c>
      <c r="D3831" s="1" t="s">
        <v>621</v>
      </c>
      <c r="E3831" s="8">
        <v>367344</v>
      </c>
      <c r="F3831" s="5">
        <v>3411040</v>
      </c>
    </row>
    <row r="3832" spans="1:6" x14ac:dyDescent="0.25">
      <c r="A3832" s="5">
        <v>3411040</v>
      </c>
      <c r="B3832" s="1">
        <v>2017</v>
      </c>
      <c r="C3832" s="1" t="s">
        <v>1387</v>
      </c>
      <c r="D3832" s="1" t="s">
        <v>621</v>
      </c>
      <c r="E3832" s="8">
        <v>494797</v>
      </c>
      <c r="F3832" s="5">
        <v>3411040</v>
      </c>
    </row>
    <row r="3833" spans="1:6" x14ac:dyDescent="0.25">
      <c r="A3833" s="5">
        <v>3411040</v>
      </c>
      <c r="B3833" s="1">
        <v>2018</v>
      </c>
      <c r="C3833" s="1" t="s">
        <v>1387</v>
      </c>
      <c r="D3833" s="1" t="s">
        <v>1314</v>
      </c>
      <c r="E3833" s="8">
        <v>737610</v>
      </c>
      <c r="F3833" s="5">
        <v>3411040</v>
      </c>
    </row>
    <row r="3834" spans="1:6" x14ac:dyDescent="0.25">
      <c r="A3834" s="5">
        <v>3411040</v>
      </c>
      <c r="B3834" s="1">
        <v>2019</v>
      </c>
      <c r="C3834" s="1" t="s">
        <v>1387</v>
      </c>
      <c r="D3834" s="1" t="s">
        <v>1314</v>
      </c>
      <c r="E3834" s="8">
        <v>915112</v>
      </c>
      <c r="F3834" s="5">
        <v>3411040</v>
      </c>
    </row>
    <row r="3835" spans="1:6" ht="20" x14ac:dyDescent="0.25">
      <c r="A3835" s="5">
        <v>3411040</v>
      </c>
      <c r="B3835" s="1">
        <v>2020</v>
      </c>
      <c r="C3835" s="1" t="s">
        <v>1387</v>
      </c>
      <c r="D3835" s="2" t="s">
        <v>1314</v>
      </c>
      <c r="E3835" s="7">
        <v>1042181</v>
      </c>
      <c r="F3835" s="5">
        <v>3411040</v>
      </c>
    </row>
    <row r="3836" spans="1:6" ht="20" x14ac:dyDescent="0.25">
      <c r="A3836" s="5">
        <v>3411040</v>
      </c>
      <c r="B3836" s="1">
        <v>2021</v>
      </c>
      <c r="C3836" s="1" t="s">
        <v>1387</v>
      </c>
      <c r="D3836" s="3" t="s">
        <v>1314</v>
      </c>
      <c r="E3836" s="7">
        <v>1464502</v>
      </c>
      <c r="F3836" s="5">
        <v>3411040</v>
      </c>
    </row>
    <row r="3837" spans="1:6" ht="20" x14ac:dyDescent="0.25">
      <c r="A3837" s="5">
        <v>3411040</v>
      </c>
      <c r="B3837" s="1">
        <v>2022</v>
      </c>
      <c r="C3837" s="1" t="s">
        <v>1387</v>
      </c>
      <c r="D3837" s="2" t="s">
        <v>1314</v>
      </c>
      <c r="E3837" s="7">
        <v>2139383</v>
      </c>
      <c r="F3837" s="5">
        <v>3411040</v>
      </c>
    </row>
    <row r="3838" spans="1:6" ht="20" x14ac:dyDescent="0.25">
      <c r="A3838" s="5">
        <v>3411040</v>
      </c>
      <c r="B3838" s="1">
        <v>2023</v>
      </c>
      <c r="C3838" s="1" t="s">
        <v>1387</v>
      </c>
      <c r="D3838" s="2" t="s">
        <v>1314</v>
      </c>
      <c r="E3838" s="7">
        <v>2116582</v>
      </c>
      <c r="F3838" s="5">
        <v>3411040</v>
      </c>
    </row>
    <row r="3839" spans="1:6" x14ac:dyDescent="0.25">
      <c r="A3839" s="5">
        <v>3411070</v>
      </c>
      <c r="B3839" s="1">
        <v>2015</v>
      </c>
      <c r="C3839" s="1" t="s">
        <v>1387</v>
      </c>
      <c r="D3839" s="1" t="s">
        <v>19</v>
      </c>
      <c r="E3839" s="8">
        <v>267110</v>
      </c>
      <c r="F3839" s="5">
        <v>3411070</v>
      </c>
    </row>
    <row r="3840" spans="1:6" x14ac:dyDescent="0.25">
      <c r="A3840" s="5">
        <v>3411070</v>
      </c>
      <c r="B3840" s="1">
        <v>2016</v>
      </c>
      <c r="C3840" s="1" t="s">
        <v>1387</v>
      </c>
      <c r="D3840" s="1" t="s">
        <v>19</v>
      </c>
      <c r="E3840" s="8">
        <v>381017</v>
      </c>
      <c r="F3840" s="5">
        <v>3411070</v>
      </c>
    </row>
    <row r="3841" spans="1:6" x14ac:dyDescent="0.25">
      <c r="A3841" s="5">
        <v>3411070</v>
      </c>
      <c r="B3841" s="1">
        <v>2017</v>
      </c>
      <c r="C3841" s="1" t="s">
        <v>1387</v>
      </c>
      <c r="D3841" s="1" t="s">
        <v>19</v>
      </c>
      <c r="E3841" s="8">
        <v>523064</v>
      </c>
      <c r="F3841" s="5">
        <v>3411070</v>
      </c>
    </row>
    <row r="3842" spans="1:6" x14ac:dyDescent="0.25">
      <c r="A3842" s="5">
        <v>3411070</v>
      </c>
      <c r="B3842" s="1">
        <v>2018</v>
      </c>
      <c r="C3842" s="1" t="s">
        <v>1387</v>
      </c>
      <c r="D3842" s="1" t="s">
        <v>698</v>
      </c>
      <c r="E3842" s="8">
        <v>763899</v>
      </c>
      <c r="F3842" s="5">
        <v>3411070</v>
      </c>
    </row>
    <row r="3843" spans="1:6" x14ac:dyDescent="0.25">
      <c r="A3843" s="5">
        <v>3411070</v>
      </c>
      <c r="B3843" s="1">
        <v>2019</v>
      </c>
      <c r="C3843" s="1" t="s">
        <v>1387</v>
      </c>
      <c r="D3843" s="1" t="s">
        <v>698</v>
      </c>
      <c r="E3843" s="8">
        <v>1002371</v>
      </c>
      <c r="F3843" s="5">
        <v>3411070</v>
      </c>
    </row>
    <row r="3844" spans="1:6" ht="20" x14ac:dyDescent="0.25">
      <c r="A3844" s="5">
        <v>3411070</v>
      </c>
      <c r="B3844" s="1">
        <v>2020</v>
      </c>
      <c r="C3844" s="1" t="s">
        <v>1387</v>
      </c>
      <c r="D3844" s="2" t="s">
        <v>698</v>
      </c>
      <c r="E3844" s="7">
        <v>989375</v>
      </c>
      <c r="F3844" s="5">
        <v>3411070</v>
      </c>
    </row>
    <row r="3845" spans="1:6" ht="20" x14ac:dyDescent="0.25">
      <c r="A3845" s="5">
        <v>3411070</v>
      </c>
      <c r="B3845" s="1">
        <v>2021</v>
      </c>
      <c r="C3845" s="1" t="s">
        <v>1387</v>
      </c>
      <c r="D3845" s="3" t="s">
        <v>698</v>
      </c>
      <c r="E3845" s="7">
        <v>1226743</v>
      </c>
      <c r="F3845" s="5">
        <v>3411070</v>
      </c>
    </row>
    <row r="3846" spans="1:6" ht="20" x14ac:dyDescent="0.25">
      <c r="A3846" s="5">
        <v>3411070</v>
      </c>
      <c r="B3846" s="1">
        <v>2022</v>
      </c>
      <c r="C3846" s="1" t="s">
        <v>1387</v>
      </c>
      <c r="D3846" s="2" t="s">
        <v>698</v>
      </c>
      <c r="E3846" s="7">
        <v>1904803</v>
      </c>
      <c r="F3846" s="5">
        <v>3411070</v>
      </c>
    </row>
    <row r="3847" spans="1:6" ht="20" x14ac:dyDescent="0.25">
      <c r="A3847" s="5">
        <v>3411070</v>
      </c>
      <c r="B3847" s="1">
        <v>2023</v>
      </c>
      <c r="C3847" s="1" t="s">
        <v>1387</v>
      </c>
      <c r="D3847" s="2" t="s">
        <v>698</v>
      </c>
      <c r="E3847" s="7">
        <v>1874110</v>
      </c>
      <c r="F3847" s="5">
        <v>3411070</v>
      </c>
    </row>
    <row r="3848" spans="1:6" x14ac:dyDescent="0.25">
      <c r="A3848" s="5">
        <v>3411100</v>
      </c>
      <c r="B3848" s="1">
        <v>2015</v>
      </c>
      <c r="C3848" s="1" t="s">
        <v>1387</v>
      </c>
      <c r="D3848" s="1" t="s">
        <v>290</v>
      </c>
      <c r="E3848" s="8">
        <v>93311</v>
      </c>
      <c r="F3848" s="5">
        <v>3411100</v>
      </c>
    </row>
    <row r="3849" spans="1:6" x14ac:dyDescent="0.25">
      <c r="A3849" s="5">
        <v>3411100</v>
      </c>
      <c r="B3849" s="1">
        <v>2016</v>
      </c>
      <c r="C3849" s="1" t="s">
        <v>1387</v>
      </c>
      <c r="D3849" s="1" t="s">
        <v>290</v>
      </c>
      <c r="E3849" s="8">
        <v>141381</v>
      </c>
      <c r="F3849" s="5">
        <v>3411100</v>
      </c>
    </row>
    <row r="3850" spans="1:6" x14ac:dyDescent="0.25">
      <c r="A3850" s="5">
        <v>3411100</v>
      </c>
      <c r="B3850" s="1">
        <v>2017</v>
      </c>
      <c r="C3850" s="1" t="s">
        <v>1387</v>
      </c>
      <c r="D3850" s="1" t="s">
        <v>290</v>
      </c>
      <c r="E3850" s="8">
        <v>198443</v>
      </c>
      <c r="F3850" s="5">
        <v>3411100</v>
      </c>
    </row>
    <row r="3851" spans="1:6" x14ac:dyDescent="0.25">
      <c r="A3851" s="5">
        <v>3411100</v>
      </c>
      <c r="B3851" s="1">
        <v>2018</v>
      </c>
      <c r="C3851" s="1" t="s">
        <v>1387</v>
      </c>
      <c r="D3851" s="1" t="s">
        <v>980</v>
      </c>
      <c r="E3851" s="8">
        <v>269051</v>
      </c>
      <c r="F3851" s="5">
        <v>3411100</v>
      </c>
    </row>
    <row r="3852" spans="1:6" x14ac:dyDescent="0.25">
      <c r="A3852" s="5">
        <v>3411100</v>
      </c>
      <c r="B3852" s="1">
        <v>2019</v>
      </c>
      <c r="C3852" s="1" t="s">
        <v>1387</v>
      </c>
      <c r="D3852" s="1" t="s">
        <v>980</v>
      </c>
      <c r="E3852" s="8">
        <v>351005</v>
      </c>
      <c r="F3852" s="5">
        <v>3411100</v>
      </c>
    </row>
    <row r="3853" spans="1:6" ht="20" x14ac:dyDescent="0.25">
      <c r="A3853" s="5">
        <v>3411100</v>
      </c>
      <c r="B3853" s="1">
        <v>2020</v>
      </c>
      <c r="C3853" s="1" t="s">
        <v>1387</v>
      </c>
      <c r="D3853" s="2" t="s">
        <v>980</v>
      </c>
      <c r="E3853" s="7">
        <v>420724</v>
      </c>
      <c r="F3853" s="5">
        <v>3411100</v>
      </c>
    </row>
    <row r="3854" spans="1:6" ht="20" x14ac:dyDescent="0.25">
      <c r="A3854" s="5">
        <v>3411100</v>
      </c>
      <c r="B3854" s="1">
        <v>2021</v>
      </c>
      <c r="C3854" s="1" t="s">
        <v>1387</v>
      </c>
      <c r="D3854" s="3" t="s">
        <v>980</v>
      </c>
      <c r="E3854" s="7">
        <v>558850</v>
      </c>
      <c r="F3854" s="5">
        <v>3411100</v>
      </c>
    </row>
    <row r="3855" spans="1:6" ht="20" x14ac:dyDescent="0.25">
      <c r="A3855" s="5">
        <v>3411100</v>
      </c>
      <c r="B3855" s="1">
        <v>2022</v>
      </c>
      <c r="C3855" s="1" t="s">
        <v>1387</v>
      </c>
      <c r="D3855" s="2" t="s">
        <v>980</v>
      </c>
      <c r="E3855" s="7">
        <v>768209</v>
      </c>
      <c r="F3855" s="5">
        <v>3411100</v>
      </c>
    </row>
    <row r="3856" spans="1:6" ht="20" x14ac:dyDescent="0.25">
      <c r="A3856" s="5">
        <v>3411100</v>
      </c>
      <c r="B3856" s="1">
        <v>2023</v>
      </c>
      <c r="C3856" s="1" t="s">
        <v>1387</v>
      </c>
      <c r="D3856" s="2" t="s">
        <v>980</v>
      </c>
      <c r="E3856" s="7">
        <v>779825</v>
      </c>
      <c r="F3856" s="5">
        <v>3411100</v>
      </c>
    </row>
    <row r="3857" spans="1:6" x14ac:dyDescent="0.25">
      <c r="A3857" s="5">
        <v>3411130</v>
      </c>
      <c r="B3857" s="1">
        <v>2015</v>
      </c>
      <c r="C3857" s="1" t="s">
        <v>1387</v>
      </c>
      <c r="D3857" s="1" t="s">
        <v>434</v>
      </c>
      <c r="E3857" s="8">
        <v>107834</v>
      </c>
      <c r="F3857" s="5">
        <v>3411130</v>
      </c>
    </row>
    <row r="3858" spans="1:6" x14ac:dyDescent="0.25">
      <c r="A3858" s="5">
        <v>3411130</v>
      </c>
      <c r="B3858" s="1">
        <v>2016</v>
      </c>
      <c r="C3858" s="1" t="s">
        <v>1387</v>
      </c>
      <c r="D3858" s="1" t="s">
        <v>434</v>
      </c>
      <c r="E3858" s="8">
        <v>162491</v>
      </c>
      <c r="F3858" s="5">
        <v>3411130</v>
      </c>
    </row>
    <row r="3859" spans="1:6" x14ac:dyDescent="0.25">
      <c r="A3859" s="5">
        <v>3411130</v>
      </c>
      <c r="B3859" s="1">
        <v>2017</v>
      </c>
      <c r="C3859" s="1" t="s">
        <v>1387</v>
      </c>
      <c r="D3859" s="1" t="s">
        <v>434</v>
      </c>
      <c r="E3859" s="8">
        <v>210909</v>
      </c>
      <c r="F3859" s="5">
        <v>3411130</v>
      </c>
    </row>
    <row r="3860" spans="1:6" x14ac:dyDescent="0.25">
      <c r="A3860" s="5">
        <v>3411130</v>
      </c>
      <c r="B3860" s="1">
        <v>2018</v>
      </c>
      <c r="C3860" s="1" t="s">
        <v>1387</v>
      </c>
      <c r="D3860" s="1" t="s">
        <v>1126</v>
      </c>
      <c r="E3860" s="8">
        <v>299571</v>
      </c>
      <c r="F3860" s="5">
        <v>3411130</v>
      </c>
    </row>
    <row r="3861" spans="1:6" x14ac:dyDescent="0.25">
      <c r="A3861" s="5">
        <v>3411130</v>
      </c>
      <c r="B3861" s="1">
        <v>2019</v>
      </c>
      <c r="C3861" s="1" t="s">
        <v>1387</v>
      </c>
      <c r="D3861" s="1" t="s">
        <v>1126</v>
      </c>
      <c r="E3861" s="8">
        <v>359361</v>
      </c>
      <c r="F3861" s="5">
        <v>3411130</v>
      </c>
    </row>
    <row r="3862" spans="1:6" ht="20" x14ac:dyDescent="0.25">
      <c r="A3862" s="5">
        <v>3411130</v>
      </c>
      <c r="B3862" s="1">
        <v>2020</v>
      </c>
      <c r="C3862" s="1" t="s">
        <v>1387</v>
      </c>
      <c r="D3862" s="2" t="s">
        <v>1126</v>
      </c>
      <c r="E3862" s="7">
        <v>433518</v>
      </c>
      <c r="F3862" s="5">
        <v>3411130</v>
      </c>
    </row>
    <row r="3863" spans="1:6" ht="20" x14ac:dyDescent="0.25">
      <c r="A3863" s="5">
        <v>3411130</v>
      </c>
      <c r="B3863" s="1">
        <v>2021</v>
      </c>
      <c r="C3863" s="1" t="s">
        <v>1387</v>
      </c>
      <c r="D3863" s="3" t="s">
        <v>1126</v>
      </c>
      <c r="E3863" s="7">
        <v>563678</v>
      </c>
      <c r="F3863" s="5">
        <v>3411130</v>
      </c>
    </row>
    <row r="3864" spans="1:6" ht="20" x14ac:dyDescent="0.25">
      <c r="A3864" s="5">
        <v>3411130</v>
      </c>
      <c r="B3864" s="1">
        <v>2022</v>
      </c>
      <c r="C3864" s="1" t="s">
        <v>1387</v>
      </c>
      <c r="D3864" s="2" t="s">
        <v>1126</v>
      </c>
      <c r="E3864" s="7">
        <v>724190</v>
      </c>
      <c r="F3864" s="5">
        <v>3411130</v>
      </c>
    </row>
    <row r="3865" spans="1:6" ht="20" x14ac:dyDescent="0.25">
      <c r="A3865" s="5">
        <v>3411130</v>
      </c>
      <c r="B3865" s="1">
        <v>2023</v>
      </c>
      <c r="C3865" s="1" t="s">
        <v>1387</v>
      </c>
      <c r="D3865" s="2" t="s">
        <v>1126</v>
      </c>
      <c r="E3865" s="7">
        <v>731969</v>
      </c>
      <c r="F3865" s="5">
        <v>3411130</v>
      </c>
    </row>
    <row r="3866" spans="1:6" x14ac:dyDescent="0.25">
      <c r="A3866" s="5">
        <v>3411160</v>
      </c>
      <c r="B3866" s="1">
        <v>2015</v>
      </c>
      <c r="C3866" s="1" t="s">
        <v>1387</v>
      </c>
      <c r="D3866" s="1" t="s">
        <v>435</v>
      </c>
      <c r="E3866" s="8">
        <v>1581433</v>
      </c>
      <c r="F3866" s="5">
        <v>3411160</v>
      </c>
    </row>
    <row r="3867" spans="1:6" x14ac:dyDescent="0.25">
      <c r="A3867" s="5">
        <v>3411160</v>
      </c>
      <c r="B3867" s="1">
        <v>2016</v>
      </c>
      <c r="C3867" s="1" t="s">
        <v>1387</v>
      </c>
      <c r="D3867" s="1" t="s">
        <v>435</v>
      </c>
      <c r="E3867" s="8">
        <v>2380147</v>
      </c>
      <c r="F3867" s="5">
        <v>3411160</v>
      </c>
    </row>
    <row r="3868" spans="1:6" x14ac:dyDescent="0.25">
      <c r="A3868" s="5">
        <v>3411160</v>
      </c>
      <c r="B3868" s="1">
        <v>2017</v>
      </c>
      <c r="C3868" s="1" t="s">
        <v>1387</v>
      </c>
      <c r="D3868" s="1" t="s">
        <v>435</v>
      </c>
      <c r="E3868" s="8">
        <v>3334057</v>
      </c>
      <c r="F3868" s="5">
        <v>3411160</v>
      </c>
    </row>
    <row r="3869" spans="1:6" x14ac:dyDescent="0.25">
      <c r="A3869" s="5">
        <v>3411160</v>
      </c>
      <c r="B3869" s="1">
        <v>2018</v>
      </c>
      <c r="C3869" s="1" t="s">
        <v>1387</v>
      </c>
      <c r="D3869" s="1" t="s">
        <v>1127</v>
      </c>
      <c r="E3869" s="8">
        <v>4393702</v>
      </c>
      <c r="F3869" s="5">
        <v>3411160</v>
      </c>
    </row>
    <row r="3870" spans="1:6" x14ac:dyDescent="0.25">
      <c r="A3870" s="5">
        <v>3411160</v>
      </c>
      <c r="B3870" s="1">
        <v>2019</v>
      </c>
      <c r="C3870" s="1" t="s">
        <v>1387</v>
      </c>
      <c r="D3870" s="1" t="s">
        <v>1127</v>
      </c>
      <c r="E3870" s="8">
        <v>5625307</v>
      </c>
      <c r="F3870" s="5">
        <v>3411160</v>
      </c>
    </row>
    <row r="3871" spans="1:6" ht="20" x14ac:dyDescent="0.25">
      <c r="A3871" s="5">
        <v>3411160</v>
      </c>
      <c r="B3871" s="1">
        <v>2020</v>
      </c>
      <c r="C3871" s="1" t="s">
        <v>1387</v>
      </c>
      <c r="D3871" s="2" t="s">
        <v>1127</v>
      </c>
      <c r="E3871" s="7">
        <v>6497249</v>
      </c>
      <c r="F3871" s="5">
        <v>3411160</v>
      </c>
    </row>
    <row r="3872" spans="1:6" ht="20" x14ac:dyDescent="0.25">
      <c r="A3872" s="5">
        <v>3411160</v>
      </c>
      <c r="B3872" s="1">
        <v>2021</v>
      </c>
      <c r="C3872" s="1" t="s">
        <v>1387</v>
      </c>
      <c r="D3872" s="3" t="s">
        <v>1127</v>
      </c>
      <c r="E3872" s="7">
        <v>8417187</v>
      </c>
      <c r="F3872" s="5">
        <v>3411160</v>
      </c>
    </row>
    <row r="3873" spans="1:6" ht="20" x14ac:dyDescent="0.25">
      <c r="A3873" s="5">
        <v>3411160</v>
      </c>
      <c r="B3873" s="1">
        <v>2022</v>
      </c>
      <c r="C3873" s="1" t="s">
        <v>1387</v>
      </c>
      <c r="D3873" s="2" t="s">
        <v>1127</v>
      </c>
      <c r="E3873" s="7">
        <v>12111592</v>
      </c>
      <c r="F3873" s="5">
        <v>3411160</v>
      </c>
    </row>
    <row r="3874" spans="1:6" ht="20" x14ac:dyDescent="0.25">
      <c r="A3874" s="5">
        <v>3411160</v>
      </c>
      <c r="B3874" s="1">
        <v>2023</v>
      </c>
      <c r="C3874" s="1" t="s">
        <v>1387</v>
      </c>
      <c r="D3874" s="2" t="s">
        <v>1127</v>
      </c>
      <c r="E3874" s="7">
        <v>11766101</v>
      </c>
      <c r="F3874" s="5">
        <v>3411160</v>
      </c>
    </row>
    <row r="3875" spans="1:6" x14ac:dyDescent="0.25">
      <c r="A3875" s="5">
        <v>3411190</v>
      </c>
      <c r="B3875" s="1">
        <v>2015</v>
      </c>
      <c r="C3875" s="1" t="s">
        <v>1387</v>
      </c>
      <c r="D3875" s="1" t="s">
        <v>483</v>
      </c>
      <c r="E3875" s="8">
        <v>120644</v>
      </c>
      <c r="F3875" s="5">
        <v>3411190</v>
      </c>
    </row>
    <row r="3876" spans="1:6" x14ac:dyDescent="0.25">
      <c r="A3876" s="5">
        <v>3411190</v>
      </c>
      <c r="B3876" s="1">
        <v>2016</v>
      </c>
      <c r="C3876" s="1" t="s">
        <v>1387</v>
      </c>
      <c r="D3876" s="1" t="s">
        <v>483</v>
      </c>
      <c r="E3876" s="8">
        <v>196939</v>
      </c>
      <c r="F3876" s="5">
        <v>3411190</v>
      </c>
    </row>
    <row r="3877" spans="1:6" x14ac:dyDescent="0.25">
      <c r="A3877" s="5">
        <v>3411190</v>
      </c>
      <c r="B3877" s="1">
        <v>2017</v>
      </c>
      <c r="C3877" s="1" t="s">
        <v>1387</v>
      </c>
      <c r="D3877" s="1" t="s">
        <v>483</v>
      </c>
      <c r="E3877" s="8">
        <v>251353</v>
      </c>
      <c r="F3877" s="5">
        <v>3411190</v>
      </c>
    </row>
    <row r="3878" spans="1:6" x14ac:dyDescent="0.25">
      <c r="A3878" s="5">
        <v>3411190</v>
      </c>
      <c r="B3878" s="1">
        <v>2018</v>
      </c>
      <c r="C3878" s="1" t="s">
        <v>1387</v>
      </c>
      <c r="D3878" s="1" t="s">
        <v>1175</v>
      </c>
      <c r="E3878" s="8">
        <v>305783</v>
      </c>
      <c r="F3878" s="5">
        <v>3411190</v>
      </c>
    </row>
    <row r="3879" spans="1:6" x14ac:dyDescent="0.25">
      <c r="A3879" s="5">
        <v>3411190</v>
      </c>
      <c r="B3879" s="1">
        <v>2019</v>
      </c>
      <c r="C3879" s="1" t="s">
        <v>1387</v>
      </c>
      <c r="D3879" s="1" t="s">
        <v>1175</v>
      </c>
      <c r="E3879" s="8">
        <v>408887</v>
      </c>
      <c r="F3879" s="5">
        <v>3411190</v>
      </c>
    </row>
    <row r="3880" spans="1:6" ht="20" x14ac:dyDescent="0.25">
      <c r="A3880" s="5">
        <v>3411190</v>
      </c>
      <c r="B3880" s="1">
        <v>2020</v>
      </c>
      <c r="C3880" s="1" t="s">
        <v>1387</v>
      </c>
      <c r="D3880" s="2" t="s">
        <v>1175</v>
      </c>
      <c r="E3880" s="7">
        <v>423271</v>
      </c>
      <c r="F3880" s="5">
        <v>3411190</v>
      </c>
    </row>
    <row r="3881" spans="1:6" ht="20" x14ac:dyDescent="0.25">
      <c r="A3881" s="5">
        <v>3411190</v>
      </c>
      <c r="B3881" s="1">
        <v>2021</v>
      </c>
      <c r="C3881" s="1" t="s">
        <v>1387</v>
      </c>
      <c r="D3881" s="3" t="s">
        <v>1175</v>
      </c>
      <c r="E3881" s="7">
        <v>608554</v>
      </c>
      <c r="F3881" s="5">
        <v>3411190</v>
      </c>
    </row>
    <row r="3882" spans="1:6" ht="20" x14ac:dyDescent="0.25">
      <c r="A3882" s="5">
        <v>3411190</v>
      </c>
      <c r="B3882" s="1">
        <v>2022</v>
      </c>
      <c r="C3882" s="1" t="s">
        <v>1387</v>
      </c>
      <c r="D3882" s="2" t="s">
        <v>1175</v>
      </c>
      <c r="E3882" s="7">
        <v>930539</v>
      </c>
      <c r="F3882" s="5">
        <v>3411190</v>
      </c>
    </row>
    <row r="3883" spans="1:6" ht="20" x14ac:dyDescent="0.25">
      <c r="A3883" s="5">
        <v>3411190</v>
      </c>
      <c r="B3883" s="1">
        <v>2023</v>
      </c>
      <c r="C3883" s="1" t="s">
        <v>1387</v>
      </c>
      <c r="D3883" s="2" t="s">
        <v>1175</v>
      </c>
      <c r="E3883" s="7">
        <v>952816</v>
      </c>
      <c r="F3883" s="5">
        <v>3411190</v>
      </c>
    </row>
    <row r="3884" spans="1:6" x14ac:dyDescent="0.25">
      <c r="A3884" s="5">
        <v>3411220</v>
      </c>
      <c r="B3884" s="1">
        <v>2015</v>
      </c>
      <c r="C3884" s="1" t="s">
        <v>1387</v>
      </c>
      <c r="D3884" s="1" t="s">
        <v>388</v>
      </c>
      <c r="E3884" s="8">
        <v>3308187</v>
      </c>
      <c r="F3884" s="5">
        <v>3411220</v>
      </c>
    </row>
    <row r="3885" spans="1:6" x14ac:dyDescent="0.25">
      <c r="A3885" s="5">
        <v>3411220</v>
      </c>
      <c r="B3885" s="1">
        <v>2016</v>
      </c>
      <c r="C3885" s="1" t="s">
        <v>1387</v>
      </c>
      <c r="D3885" s="1" t="s">
        <v>388</v>
      </c>
      <c r="E3885" s="8">
        <v>4886687</v>
      </c>
      <c r="F3885" s="5">
        <v>3411220</v>
      </c>
    </row>
    <row r="3886" spans="1:6" x14ac:dyDescent="0.25">
      <c r="A3886" s="5">
        <v>3411220</v>
      </c>
      <c r="B3886" s="1">
        <v>2017</v>
      </c>
      <c r="C3886" s="1" t="s">
        <v>1387</v>
      </c>
      <c r="D3886" s="1" t="s">
        <v>388</v>
      </c>
      <c r="E3886" s="8">
        <v>6827734</v>
      </c>
      <c r="F3886" s="5">
        <v>3411220</v>
      </c>
    </row>
    <row r="3887" spans="1:6" x14ac:dyDescent="0.25">
      <c r="A3887" s="5">
        <v>3411220</v>
      </c>
      <c r="B3887" s="1">
        <v>2018</v>
      </c>
      <c r="C3887" s="1" t="s">
        <v>1387</v>
      </c>
      <c r="D3887" s="1" t="s">
        <v>1080</v>
      </c>
      <c r="E3887" s="8">
        <v>9354966</v>
      </c>
      <c r="F3887" s="5">
        <v>3411220</v>
      </c>
    </row>
    <row r="3888" spans="1:6" x14ac:dyDescent="0.25">
      <c r="A3888" s="5">
        <v>3411220</v>
      </c>
      <c r="B3888" s="1">
        <v>2019</v>
      </c>
      <c r="C3888" s="1" t="s">
        <v>1387</v>
      </c>
      <c r="D3888" s="1" t="s">
        <v>1080</v>
      </c>
      <c r="E3888" s="8">
        <v>13047637</v>
      </c>
      <c r="F3888" s="5">
        <v>3411220</v>
      </c>
    </row>
    <row r="3889" spans="1:6" ht="20" x14ac:dyDescent="0.25">
      <c r="A3889" s="5">
        <v>3411220</v>
      </c>
      <c r="B3889" s="1">
        <v>2020</v>
      </c>
      <c r="C3889" s="1" t="s">
        <v>1387</v>
      </c>
      <c r="D3889" s="2" t="s">
        <v>1080</v>
      </c>
      <c r="E3889" s="7">
        <v>15144855</v>
      </c>
      <c r="F3889" s="5">
        <v>3411220</v>
      </c>
    </row>
    <row r="3890" spans="1:6" ht="20" x14ac:dyDescent="0.25">
      <c r="A3890" s="5">
        <v>3411220</v>
      </c>
      <c r="B3890" s="1">
        <v>2021</v>
      </c>
      <c r="C3890" s="1" t="s">
        <v>1387</v>
      </c>
      <c r="D3890" s="3" t="s">
        <v>1080</v>
      </c>
      <c r="E3890" s="7">
        <v>19893353</v>
      </c>
      <c r="F3890" s="5">
        <v>3411220</v>
      </c>
    </row>
    <row r="3891" spans="1:6" ht="20" x14ac:dyDescent="0.25">
      <c r="A3891" s="5">
        <v>3411220</v>
      </c>
      <c r="B3891" s="1">
        <v>2022</v>
      </c>
      <c r="C3891" s="1" t="s">
        <v>1387</v>
      </c>
      <c r="D3891" s="2" t="s">
        <v>1080</v>
      </c>
      <c r="E3891" s="7">
        <v>28123147</v>
      </c>
      <c r="F3891" s="5">
        <v>3411220</v>
      </c>
    </row>
    <row r="3892" spans="1:6" ht="20" x14ac:dyDescent="0.25">
      <c r="A3892" s="5">
        <v>3411220</v>
      </c>
      <c r="B3892" s="1">
        <v>2023</v>
      </c>
      <c r="C3892" s="1" t="s">
        <v>1387</v>
      </c>
      <c r="D3892" s="2" t="s">
        <v>1080</v>
      </c>
      <c r="E3892" s="7">
        <v>27265856</v>
      </c>
      <c r="F3892" s="5">
        <v>3411220</v>
      </c>
    </row>
    <row r="3893" spans="1:6" x14ac:dyDescent="0.25">
      <c r="A3893" s="5">
        <v>3411250</v>
      </c>
      <c r="B3893" s="1">
        <v>2015</v>
      </c>
      <c r="C3893" s="1" t="s">
        <v>1387</v>
      </c>
      <c r="D3893" s="1" t="s">
        <v>131</v>
      </c>
      <c r="E3893" s="8">
        <v>74409</v>
      </c>
      <c r="F3893" s="5">
        <v>3411250</v>
      </c>
    </row>
    <row r="3894" spans="1:6" x14ac:dyDescent="0.25">
      <c r="A3894" s="5">
        <v>3411250</v>
      </c>
      <c r="B3894" s="1">
        <v>2016</v>
      </c>
      <c r="C3894" s="1" t="s">
        <v>1387</v>
      </c>
      <c r="D3894" s="1" t="s">
        <v>131</v>
      </c>
      <c r="E3894" s="8">
        <v>114988</v>
      </c>
      <c r="F3894" s="5">
        <v>3411250</v>
      </c>
    </row>
    <row r="3895" spans="1:6" x14ac:dyDescent="0.25">
      <c r="A3895" s="5">
        <v>3411250</v>
      </c>
      <c r="B3895" s="1">
        <v>2017</v>
      </c>
      <c r="C3895" s="1" t="s">
        <v>1387</v>
      </c>
      <c r="D3895" s="1" t="s">
        <v>131</v>
      </c>
      <c r="E3895" s="8">
        <v>184798</v>
      </c>
      <c r="F3895" s="5">
        <v>3411250</v>
      </c>
    </row>
    <row r="3896" spans="1:6" x14ac:dyDescent="0.25">
      <c r="A3896" s="5">
        <v>3411250</v>
      </c>
      <c r="B3896" s="1">
        <v>2018</v>
      </c>
      <c r="C3896" s="1" t="s">
        <v>1387</v>
      </c>
      <c r="D3896" s="1" t="s">
        <v>812</v>
      </c>
      <c r="E3896" s="8">
        <v>260381</v>
      </c>
      <c r="F3896" s="5">
        <v>3411250</v>
      </c>
    </row>
    <row r="3897" spans="1:6" x14ac:dyDescent="0.25">
      <c r="A3897" s="5">
        <v>3411250</v>
      </c>
      <c r="B3897" s="1">
        <v>2019</v>
      </c>
      <c r="C3897" s="1" t="s">
        <v>1387</v>
      </c>
      <c r="D3897" s="1" t="s">
        <v>812</v>
      </c>
      <c r="E3897" s="8">
        <v>336606</v>
      </c>
      <c r="F3897" s="5">
        <v>3411250</v>
      </c>
    </row>
    <row r="3898" spans="1:6" ht="20" x14ac:dyDescent="0.25">
      <c r="A3898" s="5">
        <v>3411250</v>
      </c>
      <c r="B3898" s="1">
        <v>2020</v>
      </c>
      <c r="C3898" s="1" t="s">
        <v>1387</v>
      </c>
      <c r="D3898" s="2" t="s">
        <v>812</v>
      </c>
      <c r="E3898" s="7">
        <v>374100</v>
      </c>
      <c r="F3898" s="5">
        <v>3411250</v>
      </c>
    </row>
    <row r="3899" spans="1:6" ht="20" x14ac:dyDescent="0.25">
      <c r="A3899" s="5">
        <v>3411250</v>
      </c>
      <c r="B3899" s="1">
        <v>2021</v>
      </c>
      <c r="C3899" s="1" t="s">
        <v>1387</v>
      </c>
      <c r="D3899" s="3" t="s">
        <v>812</v>
      </c>
      <c r="E3899" s="7">
        <v>458684</v>
      </c>
      <c r="F3899" s="5">
        <v>3411250</v>
      </c>
    </row>
    <row r="3900" spans="1:6" ht="20" x14ac:dyDescent="0.25">
      <c r="A3900" s="5">
        <v>3411250</v>
      </c>
      <c r="B3900" s="1">
        <v>2022</v>
      </c>
      <c r="C3900" s="1" t="s">
        <v>1387</v>
      </c>
      <c r="D3900" s="2" t="s">
        <v>812</v>
      </c>
      <c r="E3900" s="7">
        <v>651045</v>
      </c>
      <c r="F3900" s="5">
        <v>3411250</v>
      </c>
    </row>
    <row r="3901" spans="1:6" ht="20" x14ac:dyDescent="0.25">
      <c r="A3901" s="5">
        <v>3411250</v>
      </c>
      <c r="B3901" s="1">
        <v>2023</v>
      </c>
      <c r="C3901" s="1" t="s">
        <v>1387</v>
      </c>
      <c r="D3901" s="2" t="s">
        <v>812</v>
      </c>
      <c r="E3901" s="7">
        <v>595838</v>
      </c>
      <c r="F3901" s="5">
        <v>3411250</v>
      </c>
    </row>
    <row r="3902" spans="1:6" x14ac:dyDescent="0.25">
      <c r="A3902" s="5">
        <v>3411280</v>
      </c>
      <c r="B3902" s="1">
        <v>2015</v>
      </c>
      <c r="C3902" s="1" t="s">
        <v>1387</v>
      </c>
      <c r="D3902" s="1" t="s">
        <v>69</v>
      </c>
      <c r="E3902" s="8">
        <v>685584</v>
      </c>
      <c r="F3902" s="5">
        <v>3411280</v>
      </c>
    </row>
    <row r="3903" spans="1:6" x14ac:dyDescent="0.25">
      <c r="A3903" s="5">
        <v>3411280</v>
      </c>
      <c r="B3903" s="1">
        <v>2016</v>
      </c>
      <c r="C3903" s="1" t="s">
        <v>1387</v>
      </c>
      <c r="D3903" s="1" t="s">
        <v>69</v>
      </c>
      <c r="E3903" s="8">
        <v>1052409</v>
      </c>
      <c r="F3903" s="5">
        <v>3411280</v>
      </c>
    </row>
    <row r="3904" spans="1:6" x14ac:dyDescent="0.25">
      <c r="A3904" s="5">
        <v>3411280</v>
      </c>
      <c r="B3904" s="1">
        <v>2017</v>
      </c>
      <c r="C3904" s="1" t="s">
        <v>1387</v>
      </c>
      <c r="D3904" s="1" t="s">
        <v>69</v>
      </c>
      <c r="E3904" s="8">
        <v>1456923</v>
      </c>
      <c r="F3904" s="5">
        <v>3411280</v>
      </c>
    </row>
    <row r="3905" spans="1:6" x14ac:dyDescent="0.25">
      <c r="A3905" s="5">
        <v>3411280</v>
      </c>
      <c r="B3905" s="1">
        <v>2018</v>
      </c>
      <c r="C3905" s="1" t="s">
        <v>1387</v>
      </c>
      <c r="D3905" s="1" t="s">
        <v>747</v>
      </c>
      <c r="E3905" s="8">
        <v>1983796</v>
      </c>
      <c r="F3905" s="5">
        <v>3411280</v>
      </c>
    </row>
    <row r="3906" spans="1:6" x14ac:dyDescent="0.25">
      <c r="A3906" s="5">
        <v>3411280</v>
      </c>
      <c r="B3906" s="1">
        <v>2019</v>
      </c>
      <c r="C3906" s="1" t="s">
        <v>1387</v>
      </c>
      <c r="D3906" s="1" t="s">
        <v>747</v>
      </c>
      <c r="E3906" s="8">
        <v>2798427</v>
      </c>
      <c r="F3906" s="5">
        <v>3411280</v>
      </c>
    </row>
    <row r="3907" spans="1:6" ht="20" x14ac:dyDescent="0.25">
      <c r="A3907" s="5">
        <v>3411280</v>
      </c>
      <c r="B3907" s="1">
        <v>2020</v>
      </c>
      <c r="C3907" s="1" t="s">
        <v>1387</v>
      </c>
      <c r="D3907" s="2" t="s">
        <v>747</v>
      </c>
      <c r="E3907" s="7">
        <v>3103492</v>
      </c>
      <c r="F3907" s="5">
        <v>3411280</v>
      </c>
    </row>
    <row r="3908" spans="1:6" ht="20" x14ac:dyDescent="0.25">
      <c r="A3908" s="5">
        <v>3411280</v>
      </c>
      <c r="B3908" s="1">
        <v>2021</v>
      </c>
      <c r="C3908" s="1" t="s">
        <v>1387</v>
      </c>
      <c r="D3908" s="3" t="s">
        <v>747</v>
      </c>
      <c r="E3908" s="7">
        <v>4039268</v>
      </c>
      <c r="F3908" s="5">
        <v>3411280</v>
      </c>
    </row>
    <row r="3909" spans="1:6" ht="20" x14ac:dyDescent="0.25">
      <c r="A3909" s="5">
        <v>3411280</v>
      </c>
      <c r="B3909" s="1">
        <v>2022</v>
      </c>
      <c r="C3909" s="1" t="s">
        <v>1387</v>
      </c>
      <c r="D3909" s="2" t="s">
        <v>747</v>
      </c>
      <c r="E3909" s="7">
        <v>5890716</v>
      </c>
      <c r="F3909" s="5">
        <v>3411280</v>
      </c>
    </row>
    <row r="3910" spans="1:6" ht="20" x14ac:dyDescent="0.25">
      <c r="A3910" s="5">
        <v>3411280</v>
      </c>
      <c r="B3910" s="1">
        <v>2023</v>
      </c>
      <c r="C3910" s="1" t="s">
        <v>1387</v>
      </c>
      <c r="D3910" s="2" t="s">
        <v>747</v>
      </c>
      <c r="E3910" s="7">
        <v>6325682</v>
      </c>
      <c r="F3910" s="5">
        <v>3411280</v>
      </c>
    </row>
    <row r="3911" spans="1:6" x14ac:dyDescent="0.25">
      <c r="A3911" s="5">
        <v>3411310</v>
      </c>
      <c r="B3911" s="1">
        <v>2015</v>
      </c>
      <c r="C3911" s="1" t="s">
        <v>1387</v>
      </c>
      <c r="D3911" s="1" t="s">
        <v>622</v>
      </c>
      <c r="E3911" s="8">
        <v>851841</v>
      </c>
      <c r="F3911" s="5">
        <v>3411310</v>
      </c>
    </row>
    <row r="3912" spans="1:6" x14ac:dyDescent="0.25">
      <c r="A3912" s="5">
        <v>3411310</v>
      </c>
      <c r="B3912" s="1">
        <v>2016</v>
      </c>
      <c r="C3912" s="1" t="s">
        <v>1387</v>
      </c>
      <c r="D3912" s="1" t="s">
        <v>622</v>
      </c>
      <c r="E3912" s="8">
        <v>1291759</v>
      </c>
      <c r="F3912" s="5">
        <v>3411310</v>
      </c>
    </row>
    <row r="3913" spans="1:6" x14ac:dyDescent="0.25">
      <c r="A3913" s="5">
        <v>3411310</v>
      </c>
      <c r="B3913" s="1">
        <v>2017</v>
      </c>
      <c r="C3913" s="1" t="s">
        <v>1387</v>
      </c>
      <c r="D3913" s="1" t="s">
        <v>622</v>
      </c>
      <c r="E3913" s="8">
        <v>1782534</v>
      </c>
      <c r="F3913" s="5">
        <v>3411310</v>
      </c>
    </row>
    <row r="3914" spans="1:6" x14ac:dyDescent="0.25">
      <c r="A3914" s="5">
        <v>3411310</v>
      </c>
      <c r="B3914" s="1">
        <v>2018</v>
      </c>
      <c r="C3914" s="1" t="s">
        <v>1387</v>
      </c>
      <c r="D3914" s="1" t="s">
        <v>1315</v>
      </c>
      <c r="E3914" s="8">
        <v>2439772</v>
      </c>
      <c r="F3914" s="5">
        <v>3411310</v>
      </c>
    </row>
    <row r="3915" spans="1:6" x14ac:dyDescent="0.25">
      <c r="A3915" s="5">
        <v>3411310</v>
      </c>
      <c r="B3915" s="1">
        <v>2019</v>
      </c>
      <c r="C3915" s="1" t="s">
        <v>1387</v>
      </c>
      <c r="D3915" s="1" t="s">
        <v>1315</v>
      </c>
      <c r="E3915" s="8">
        <v>3166632</v>
      </c>
      <c r="F3915" s="5">
        <v>3411310</v>
      </c>
    </row>
    <row r="3916" spans="1:6" ht="20" x14ac:dyDescent="0.25">
      <c r="A3916" s="5">
        <v>3411310</v>
      </c>
      <c r="B3916" s="1">
        <v>2020</v>
      </c>
      <c r="C3916" s="1" t="s">
        <v>1387</v>
      </c>
      <c r="D3916" s="2" t="s">
        <v>1315</v>
      </c>
      <c r="E3916" s="7">
        <v>3752923</v>
      </c>
      <c r="F3916" s="5">
        <v>3411310</v>
      </c>
    </row>
    <row r="3917" spans="1:6" ht="20" x14ac:dyDescent="0.25">
      <c r="A3917" s="5">
        <v>3411310</v>
      </c>
      <c r="B3917" s="1">
        <v>2021</v>
      </c>
      <c r="C3917" s="1" t="s">
        <v>1387</v>
      </c>
      <c r="D3917" s="3" t="s">
        <v>1315</v>
      </c>
      <c r="E3917" s="7">
        <v>4901083</v>
      </c>
      <c r="F3917" s="5">
        <v>3411310</v>
      </c>
    </row>
    <row r="3918" spans="1:6" ht="20" x14ac:dyDescent="0.25">
      <c r="A3918" s="5">
        <v>3411310</v>
      </c>
      <c r="B3918" s="1">
        <v>2022</v>
      </c>
      <c r="C3918" s="1" t="s">
        <v>1387</v>
      </c>
      <c r="D3918" s="2" t="s">
        <v>1315</v>
      </c>
      <c r="E3918" s="7">
        <v>7044016</v>
      </c>
      <c r="F3918" s="5">
        <v>3411310</v>
      </c>
    </row>
    <row r="3919" spans="1:6" ht="20" x14ac:dyDescent="0.25">
      <c r="A3919" s="5">
        <v>3411310</v>
      </c>
      <c r="B3919" s="1">
        <v>2023</v>
      </c>
      <c r="C3919" s="1" t="s">
        <v>1387</v>
      </c>
      <c r="D3919" s="2" t="s">
        <v>1315</v>
      </c>
      <c r="E3919" s="7">
        <v>6990249</v>
      </c>
      <c r="F3919" s="5">
        <v>3411310</v>
      </c>
    </row>
    <row r="3920" spans="1:6" x14ac:dyDescent="0.25">
      <c r="A3920" s="5">
        <v>3411340</v>
      </c>
      <c r="B3920" s="1">
        <v>2015</v>
      </c>
      <c r="C3920" s="1" t="s">
        <v>1387</v>
      </c>
      <c r="D3920" s="1" t="s">
        <v>255</v>
      </c>
      <c r="E3920" s="8">
        <v>16883636</v>
      </c>
      <c r="F3920" s="5">
        <v>3411340</v>
      </c>
    </row>
    <row r="3921" spans="1:6" x14ac:dyDescent="0.25">
      <c r="A3921" s="5">
        <v>3411340</v>
      </c>
      <c r="B3921" s="1">
        <v>2016</v>
      </c>
      <c r="C3921" s="1" t="s">
        <v>1387</v>
      </c>
      <c r="D3921" s="1" t="s">
        <v>255</v>
      </c>
      <c r="E3921" s="8">
        <v>23815140</v>
      </c>
      <c r="F3921" s="5">
        <v>3411340</v>
      </c>
    </row>
    <row r="3922" spans="1:6" x14ac:dyDescent="0.25">
      <c r="A3922" s="5">
        <v>3411340</v>
      </c>
      <c r="B3922" s="1">
        <v>2017</v>
      </c>
      <c r="C3922" s="1" t="s">
        <v>1387</v>
      </c>
      <c r="D3922" s="1" t="s">
        <v>255</v>
      </c>
      <c r="E3922" s="8">
        <v>31475650</v>
      </c>
      <c r="F3922" s="5">
        <v>3411340</v>
      </c>
    </row>
    <row r="3923" spans="1:6" x14ac:dyDescent="0.25">
      <c r="A3923" s="5">
        <v>3411340</v>
      </c>
      <c r="B3923" s="1">
        <v>2018</v>
      </c>
      <c r="C3923" s="1" t="s">
        <v>1387</v>
      </c>
      <c r="D3923" s="1" t="s">
        <v>944</v>
      </c>
      <c r="E3923" s="8">
        <v>39738901</v>
      </c>
      <c r="F3923" s="5">
        <v>3411340</v>
      </c>
    </row>
    <row r="3924" spans="1:6" x14ac:dyDescent="0.25">
      <c r="A3924" s="5">
        <v>3411340</v>
      </c>
      <c r="B3924" s="1">
        <v>2019</v>
      </c>
      <c r="C3924" s="1" t="s">
        <v>1387</v>
      </c>
      <c r="D3924" s="1" t="s">
        <v>944</v>
      </c>
      <c r="E3924" s="8">
        <v>51668368</v>
      </c>
      <c r="F3924" s="5">
        <v>3411340</v>
      </c>
    </row>
    <row r="3925" spans="1:6" ht="20" x14ac:dyDescent="0.25">
      <c r="A3925" s="5">
        <v>3411340</v>
      </c>
      <c r="B3925" s="1">
        <v>2020</v>
      </c>
      <c r="C3925" s="1" t="s">
        <v>1387</v>
      </c>
      <c r="D3925" s="2" t="s">
        <v>944</v>
      </c>
      <c r="E3925" s="7">
        <v>60891880</v>
      </c>
      <c r="F3925" s="5">
        <v>3411340</v>
      </c>
    </row>
    <row r="3926" spans="1:6" ht="20" x14ac:dyDescent="0.25">
      <c r="A3926" s="5">
        <v>3411340</v>
      </c>
      <c r="B3926" s="1">
        <v>2021</v>
      </c>
      <c r="C3926" s="1" t="s">
        <v>1387</v>
      </c>
      <c r="D3926" s="3" t="s">
        <v>944</v>
      </c>
      <c r="E3926" s="7">
        <v>79242613</v>
      </c>
      <c r="F3926" s="5">
        <v>3411340</v>
      </c>
    </row>
    <row r="3927" spans="1:6" ht="20" x14ac:dyDescent="0.25">
      <c r="A3927" s="5">
        <v>3411340</v>
      </c>
      <c r="B3927" s="1">
        <v>2022</v>
      </c>
      <c r="C3927" s="1" t="s">
        <v>1387</v>
      </c>
      <c r="D3927" s="2" t="s">
        <v>944</v>
      </c>
      <c r="E3927" s="7">
        <v>114318222</v>
      </c>
      <c r="F3927" s="5">
        <v>3411340</v>
      </c>
    </row>
    <row r="3928" spans="1:6" ht="20" x14ac:dyDescent="0.25">
      <c r="A3928" s="5">
        <v>3411340</v>
      </c>
      <c r="B3928" s="1">
        <v>2023</v>
      </c>
      <c r="C3928" s="1" t="s">
        <v>1387</v>
      </c>
      <c r="D3928" s="2" t="s">
        <v>944</v>
      </c>
      <c r="E3928" s="7">
        <v>116269497</v>
      </c>
      <c r="F3928" s="5">
        <v>3411340</v>
      </c>
    </row>
    <row r="3929" spans="1:6" x14ac:dyDescent="0.25">
      <c r="A3929" s="5">
        <v>3411400</v>
      </c>
      <c r="B3929" s="1">
        <v>2015</v>
      </c>
      <c r="C3929" s="1" t="s">
        <v>1387</v>
      </c>
      <c r="D3929" s="1" t="s">
        <v>598</v>
      </c>
      <c r="E3929" s="8">
        <v>621130</v>
      </c>
      <c r="F3929" s="5">
        <v>3411400</v>
      </c>
    </row>
    <row r="3930" spans="1:6" x14ac:dyDescent="0.25">
      <c r="A3930" s="5">
        <v>3411400</v>
      </c>
      <c r="B3930" s="1">
        <v>2016</v>
      </c>
      <c r="C3930" s="1" t="s">
        <v>1387</v>
      </c>
      <c r="D3930" s="1" t="s">
        <v>598</v>
      </c>
      <c r="E3930" s="8">
        <v>920757</v>
      </c>
      <c r="F3930" s="5">
        <v>3411400</v>
      </c>
    </row>
    <row r="3931" spans="1:6" x14ac:dyDescent="0.25">
      <c r="A3931" s="5">
        <v>3411400</v>
      </c>
      <c r="B3931" s="1">
        <v>2017</v>
      </c>
      <c r="C3931" s="1" t="s">
        <v>1387</v>
      </c>
      <c r="D3931" s="1" t="s">
        <v>598</v>
      </c>
      <c r="E3931" s="8">
        <v>1341051</v>
      </c>
      <c r="F3931" s="5">
        <v>3411400</v>
      </c>
    </row>
    <row r="3932" spans="1:6" x14ac:dyDescent="0.25">
      <c r="A3932" s="5">
        <v>3411400</v>
      </c>
      <c r="B3932" s="1">
        <v>2018</v>
      </c>
      <c r="C3932" s="1" t="s">
        <v>1387</v>
      </c>
      <c r="D3932" s="1" t="s">
        <v>1291</v>
      </c>
      <c r="E3932" s="8">
        <v>1860552</v>
      </c>
      <c r="F3932" s="5">
        <v>3411400</v>
      </c>
    </row>
    <row r="3933" spans="1:6" x14ac:dyDescent="0.25">
      <c r="A3933" s="5">
        <v>3411400</v>
      </c>
      <c r="B3933" s="1">
        <v>2019</v>
      </c>
      <c r="C3933" s="1" t="s">
        <v>1387</v>
      </c>
      <c r="D3933" s="1" t="s">
        <v>1291</v>
      </c>
      <c r="E3933" s="8">
        <v>2493281</v>
      </c>
      <c r="F3933" s="5">
        <v>3411400</v>
      </c>
    </row>
    <row r="3934" spans="1:6" ht="20" x14ac:dyDescent="0.25">
      <c r="A3934" s="5">
        <v>3411400</v>
      </c>
      <c r="B3934" s="1">
        <v>2020</v>
      </c>
      <c r="C3934" s="1" t="s">
        <v>1387</v>
      </c>
      <c r="D3934" s="2" t="s">
        <v>1291</v>
      </c>
      <c r="E3934" s="7">
        <v>2767852</v>
      </c>
      <c r="F3934" s="5">
        <v>3411400</v>
      </c>
    </row>
    <row r="3935" spans="1:6" ht="20" x14ac:dyDescent="0.25">
      <c r="A3935" s="5">
        <v>3411400</v>
      </c>
      <c r="B3935" s="1">
        <v>2021</v>
      </c>
      <c r="C3935" s="1" t="s">
        <v>1387</v>
      </c>
      <c r="D3935" s="3" t="s">
        <v>1291</v>
      </c>
      <c r="E3935" s="7">
        <v>3571026</v>
      </c>
      <c r="F3935" s="5">
        <v>3411400</v>
      </c>
    </row>
    <row r="3936" spans="1:6" ht="20" x14ac:dyDescent="0.25">
      <c r="A3936" s="5">
        <v>3411400</v>
      </c>
      <c r="B3936" s="1">
        <v>2022</v>
      </c>
      <c r="C3936" s="1" t="s">
        <v>1387</v>
      </c>
      <c r="D3936" s="2" t="s">
        <v>1291</v>
      </c>
      <c r="E3936" s="7">
        <v>4922991</v>
      </c>
      <c r="F3936" s="5">
        <v>3411400</v>
      </c>
    </row>
    <row r="3937" spans="1:6" ht="20" x14ac:dyDescent="0.25">
      <c r="A3937" s="5">
        <v>3411400</v>
      </c>
      <c r="B3937" s="1">
        <v>2023</v>
      </c>
      <c r="C3937" s="1" t="s">
        <v>1387</v>
      </c>
      <c r="D3937" s="2" t="s">
        <v>1291</v>
      </c>
      <c r="E3937" s="7">
        <v>4768261</v>
      </c>
      <c r="F3937" s="5">
        <v>3411400</v>
      </c>
    </row>
    <row r="3938" spans="1:6" x14ac:dyDescent="0.25">
      <c r="A3938" s="5">
        <v>3411430</v>
      </c>
      <c r="B3938" s="1">
        <v>2015</v>
      </c>
      <c r="C3938" s="1" t="s">
        <v>1387</v>
      </c>
      <c r="D3938" s="1" t="s">
        <v>70</v>
      </c>
      <c r="E3938" s="8">
        <v>542328</v>
      </c>
      <c r="F3938" s="5">
        <v>3411430</v>
      </c>
    </row>
    <row r="3939" spans="1:6" x14ac:dyDescent="0.25">
      <c r="A3939" s="5">
        <v>3411430</v>
      </c>
      <c r="B3939" s="1">
        <v>2016</v>
      </c>
      <c r="C3939" s="1" t="s">
        <v>1387</v>
      </c>
      <c r="D3939" s="1" t="s">
        <v>70</v>
      </c>
      <c r="E3939" s="8">
        <v>842006</v>
      </c>
      <c r="F3939" s="5">
        <v>3411430</v>
      </c>
    </row>
    <row r="3940" spans="1:6" x14ac:dyDescent="0.25">
      <c r="A3940" s="5">
        <v>3411430</v>
      </c>
      <c r="B3940" s="1">
        <v>2017</v>
      </c>
      <c r="C3940" s="1" t="s">
        <v>1387</v>
      </c>
      <c r="D3940" s="1" t="s">
        <v>70</v>
      </c>
      <c r="E3940" s="8">
        <v>1141741</v>
      </c>
      <c r="F3940" s="5">
        <v>3411430</v>
      </c>
    </row>
    <row r="3941" spans="1:6" x14ac:dyDescent="0.25">
      <c r="A3941" s="5">
        <v>3411430</v>
      </c>
      <c r="B3941" s="1">
        <v>2018</v>
      </c>
      <c r="C3941" s="1" t="s">
        <v>1387</v>
      </c>
      <c r="D3941" s="1" t="s">
        <v>748</v>
      </c>
      <c r="E3941" s="8">
        <v>1515802</v>
      </c>
      <c r="F3941" s="5">
        <v>3411430</v>
      </c>
    </row>
    <row r="3942" spans="1:6" x14ac:dyDescent="0.25">
      <c r="A3942" s="5">
        <v>3411430</v>
      </c>
      <c r="B3942" s="1">
        <v>2019</v>
      </c>
      <c r="C3942" s="1" t="s">
        <v>1387</v>
      </c>
      <c r="D3942" s="1" t="s">
        <v>748</v>
      </c>
      <c r="E3942" s="8">
        <v>2106264</v>
      </c>
      <c r="F3942" s="5">
        <v>3411430</v>
      </c>
    </row>
    <row r="3943" spans="1:6" ht="20" x14ac:dyDescent="0.25">
      <c r="A3943" s="5">
        <v>3411430</v>
      </c>
      <c r="B3943" s="1">
        <v>2020</v>
      </c>
      <c r="C3943" s="1" t="s">
        <v>1387</v>
      </c>
      <c r="D3943" s="2" t="s">
        <v>748</v>
      </c>
      <c r="E3943" s="7">
        <v>2344738</v>
      </c>
      <c r="F3943" s="5">
        <v>3411430</v>
      </c>
    </row>
    <row r="3944" spans="1:6" ht="20" x14ac:dyDescent="0.25">
      <c r="A3944" s="5">
        <v>3411430</v>
      </c>
      <c r="B3944" s="1">
        <v>2021</v>
      </c>
      <c r="C3944" s="1" t="s">
        <v>1387</v>
      </c>
      <c r="D3944" s="3" t="s">
        <v>748</v>
      </c>
      <c r="E3944" s="7">
        <v>2991760</v>
      </c>
      <c r="F3944" s="5">
        <v>3411430</v>
      </c>
    </row>
    <row r="3945" spans="1:6" ht="20" x14ac:dyDescent="0.25">
      <c r="A3945" s="5">
        <v>3411430</v>
      </c>
      <c r="B3945" s="1">
        <v>2022</v>
      </c>
      <c r="C3945" s="1" t="s">
        <v>1387</v>
      </c>
      <c r="D3945" s="2" t="s">
        <v>748</v>
      </c>
      <c r="E3945" s="7">
        <v>4258156</v>
      </c>
      <c r="F3945" s="5">
        <v>3411430</v>
      </c>
    </row>
    <row r="3946" spans="1:6" ht="20" x14ac:dyDescent="0.25">
      <c r="A3946" s="5">
        <v>3411430</v>
      </c>
      <c r="B3946" s="1">
        <v>2023</v>
      </c>
      <c r="C3946" s="1" t="s">
        <v>1387</v>
      </c>
      <c r="D3946" s="2" t="s">
        <v>748</v>
      </c>
      <c r="E3946" s="7">
        <v>4495851</v>
      </c>
      <c r="F3946" s="5">
        <v>3411430</v>
      </c>
    </row>
    <row r="3947" spans="1:6" x14ac:dyDescent="0.25">
      <c r="A3947" s="5">
        <v>3411460</v>
      </c>
      <c r="B3947" s="1">
        <v>2015</v>
      </c>
      <c r="C3947" s="1" t="s">
        <v>1387</v>
      </c>
      <c r="D3947" s="1" t="s">
        <v>318</v>
      </c>
      <c r="E3947" s="8">
        <v>2897565</v>
      </c>
      <c r="F3947" s="5">
        <v>3411460</v>
      </c>
    </row>
    <row r="3948" spans="1:6" x14ac:dyDescent="0.25">
      <c r="A3948" s="5">
        <v>3411460</v>
      </c>
      <c r="B3948" s="1">
        <v>2016</v>
      </c>
      <c r="C3948" s="1" t="s">
        <v>1387</v>
      </c>
      <c r="D3948" s="1" t="s">
        <v>318</v>
      </c>
      <c r="E3948" s="8">
        <v>4236730</v>
      </c>
      <c r="F3948" s="5">
        <v>3411460</v>
      </c>
    </row>
    <row r="3949" spans="1:6" x14ac:dyDescent="0.25">
      <c r="A3949" s="5">
        <v>3411460</v>
      </c>
      <c r="B3949" s="1">
        <v>2017</v>
      </c>
      <c r="C3949" s="1" t="s">
        <v>1387</v>
      </c>
      <c r="D3949" s="1" t="s">
        <v>318</v>
      </c>
      <c r="E3949" s="8">
        <v>5909676</v>
      </c>
      <c r="F3949" s="5">
        <v>3411460</v>
      </c>
    </row>
    <row r="3950" spans="1:6" x14ac:dyDescent="0.25">
      <c r="A3950" s="5">
        <v>3411460</v>
      </c>
      <c r="B3950" s="1">
        <v>2018</v>
      </c>
      <c r="C3950" s="1" t="s">
        <v>1387</v>
      </c>
      <c r="D3950" s="1" t="s">
        <v>1011</v>
      </c>
      <c r="E3950" s="8">
        <v>8039995</v>
      </c>
      <c r="F3950" s="5">
        <v>3411460</v>
      </c>
    </row>
    <row r="3951" spans="1:6" x14ac:dyDescent="0.25">
      <c r="A3951" s="5">
        <v>3411460</v>
      </c>
      <c r="B3951" s="1">
        <v>2019</v>
      </c>
      <c r="C3951" s="1" t="s">
        <v>1387</v>
      </c>
      <c r="D3951" s="1" t="s">
        <v>1011</v>
      </c>
      <c r="E3951" s="8">
        <v>10640649</v>
      </c>
      <c r="F3951" s="5">
        <v>3411460</v>
      </c>
    </row>
    <row r="3952" spans="1:6" ht="20" x14ac:dyDescent="0.25">
      <c r="A3952" s="5">
        <v>3411460</v>
      </c>
      <c r="B3952" s="1">
        <v>2020</v>
      </c>
      <c r="C3952" s="1" t="s">
        <v>1387</v>
      </c>
      <c r="D3952" s="2" t="s">
        <v>1011</v>
      </c>
      <c r="E3952" s="7">
        <v>12091231</v>
      </c>
      <c r="F3952" s="5">
        <v>3411460</v>
      </c>
    </row>
    <row r="3953" spans="1:6" ht="20" x14ac:dyDescent="0.25">
      <c r="A3953" s="5">
        <v>3411460</v>
      </c>
      <c r="B3953" s="1">
        <v>2021</v>
      </c>
      <c r="C3953" s="1" t="s">
        <v>1387</v>
      </c>
      <c r="D3953" s="3" t="s">
        <v>1011</v>
      </c>
      <c r="E3953" s="7">
        <v>15408393</v>
      </c>
      <c r="F3953" s="5">
        <v>3411460</v>
      </c>
    </row>
    <row r="3954" spans="1:6" ht="20" x14ac:dyDescent="0.25">
      <c r="A3954" s="5">
        <v>3411460</v>
      </c>
      <c r="B3954" s="1">
        <v>2022</v>
      </c>
      <c r="C3954" s="1" t="s">
        <v>1387</v>
      </c>
      <c r="D3954" s="2" t="s">
        <v>1011</v>
      </c>
      <c r="E3954" s="7">
        <v>21672066</v>
      </c>
      <c r="F3954" s="5">
        <v>3411460</v>
      </c>
    </row>
    <row r="3955" spans="1:6" ht="20" x14ac:dyDescent="0.25">
      <c r="A3955" s="5">
        <v>3411460</v>
      </c>
      <c r="B3955" s="1">
        <v>2023</v>
      </c>
      <c r="C3955" s="1" t="s">
        <v>1387</v>
      </c>
      <c r="D3955" s="2" t="s">
        <v>1011</v>
      </c>
      <c r="E3955" s="7">
        <v>21256498</v>
      </c>
      <c r="F3955" s="5">
        <v>3411460</v>
      </c>
    </row>
    <row r="3956" spans="1:6" x14ac:dyDescent="0.25">
      <c r="A3956" s="5">
        <v>3411490</v>
      </c>
      <c r="B3956" s="1">
        <v>2015</v>
      </c>
      <c r="C3956" s="1" t="s">
        <v>1387</v>
      </c>
      <c r="D3956" s="1" t="s">
        <v>389</v>
      </c>
      <c r="E3956" s="8">
        <v>1969254</v>
      </c>
      <c r="F3956" s="5">
        <v>3411490</v>
      </c>
    </row>
    <row r="3957" spans="1:6" x14ac:dyDescent="0.25">
      <c r="A3957" s="5">
        <v>3411490</v>
      </c>
      <c r="B3957" s="1">
        <v>2016</v>
      </c>
      <c r="C3957" s="1" t="s">
        <v>1387</v>
      </c>
      <c r="D3957" s="1" t="s">
        <v>389</v>
      </c>
      <c r="E3957" s="8">
        <v>3023812</v>
      </c>
      <c r="F3957" s="5">
        <v>3411490</v>
      </c>
    </row>
    <row r="3958" spans="1:6" x14ac:dyDescent="0.25">
      <c r="A3958" s="5">
        <v>3411490</v>
      </c>
      <c r="B3958" s="1">
        <v>2017</v>
      </c>
      <c r="C3958" s="1" t="s">
        <v>1387</v>
      </c>
      <c r="D3958" s="1" t="s">
        <v>389</v>
      </c>
      <c r="E3958" s="8">
        <v>4226968</v>
      </c>
      <c r="F3958" s="5">
        <v>3411490</v>
      </c>
    </row>
    <row r="3959" spans="1:6" x14ac:dyDescent="0.25">
      <c r="A3959" s="5">
        <v>3411490</v>
      </c>
      <c r="B3959" s="1">
        <v>2018</v>
      </c>
      <c r="C3959" s="1" t="s">
        <v>1387</v>
      </c>
      <c r="D3959" s="1" t="s">
        <v>1081</v>
      </c>
      <c r="E3959" s="8">
        <v>5869938</v>
      </c>
      <c r="F3959" s="5">
        <v>3411490</v>
      </c>
    </row>
    <row r="3960" spans="1:6" x14ac:dyDescent="0.25">
      <c r="A3960" s="5">
        <v>3411490</v>
      </c>
      <c r="B3960" s="1">
        <v>2019</v>
      </c>
      <c r="C3960" s="1" t="s">
        <v>1387</v>
      </c>
      <c r="D3960" s="1" t="s">
        <v>1081</v>
      </c>
      <c r="E3960" s="8">
        <v>7856234</v>
      </c>
      <c r="F3960" s="5">
        <v>3411490</v>
      </c>
    </row>
    <row r="3961" spans="1:6" ht="20" x14ac:dyDescent="0.25">
      <c r="A3961" s="5">
        <v>3411490</v>
      </c>
      <c r="B3961" s="1">
        <v>2020</v>
      </c>
      <c r="C3961" s="1" t="s">
        <v>1387</v>
      </c>
      <c r="D3961" s="2" t="s">
        <v>1081</v>
      </c>
      <c r="E3961" s="7">
        <v>9252025</v>
      </c>
      <c r="F3961" s="5">
        <v>3411490</v>
      </c>
    </row>
    <row r="3962" spans="1:6" ht="20" x14ac:dyDescent="0.25">
      <c r="A3962" s="5">
        <v>3411490</v>
      </c>
      <c r="B3962" s="1">
        <v>2021</v>
      </c>
      <c r="C3962" s="1" t="s">
        <v>1387</v>
      </c>
      <c r="D3962" s="3" t="s">
        <v>1081</v>
      </c>
      <c r="E3962" s="7">
        <v>12222732</v>
      </c>
      <c r="F3962" s="5">
        <v>3411490</v>
      </c>
    </row>
    <row r="3963" spans="1:6" ht="20" x14ac:dyDescent="0.25">
      <c r="A3963" s="5">
        <v>3411490</v>
      </c>
      <c r="B3963" s="1">
        <v>2022</v>
      </c>
      <c r="C3963" s="1" t="s">
        <v>1387</v>
      </c>
      <c r="D3963" s="2" t="s">
        <v>1081</v>
      </c>
      <c r="E3963" s="7">
        <v>17343011</v>
      </c>
      <c r="F3963" s="5">
        <v>3411490</v>
      </c>
    </row>
    <row r="3964" spans="1:6" ht="20" x14ac:dyDescent="0.25">
      <c r="A3964" s="5">
        <v>3411490</v>
      </c>
      <c r="B3964" s="1">
        <v>2023</v>
      </c>
      <c r="C3964" s="1" t="s">
        <v>1387</v>
      </c>
      <c r="D3964" s="2" t="s">
        <v>1081</v>
      </c>
      <c r="E3964" s="7">
        <v>18202109</v>
      </c>
      <c r="F3964" s="5">
        <v>3411490</v>
      </c>
    </row>
    <row r="3965" spans="1:6" x14ac:dyDescent="0.25">
      <c r="A3965" s="5">
        <v>3411520</v>
      </c>
      <c r="B3965" s="1">
        <v>2015</v>
      </c>
      <c r="C3965" s="1" t="s">
        <v>1387</v>
      </c>
      <c r="D3965" s="1" t="s">
        <v>256</v>
      </c>
      <c r="E3965" s="8">
        <v>267318</v>
      </c>
      <c r="F3965" s="5">
        <v>3411520</v>
      </c>
    </row>
    <row r="3966" spans="1:6" x14ac:dyDescent="0.25">
      <c r="A3966" s="5">
        <v>3411520</v>
      </c>
      <c r="B3966" s="1">
        <v>2016</v>
      </c>
      <c r="C3966" s="1" t="s">
        <v>1387</v>
      </c>
      <c r="D3966" s="1" t="s">
        <v>256</v>
      </c>
      <c r="E3966" s="8">
        <v>366101</v>
      </c>
      <c r="F3966" s="5">
        <v>3411520</v>
      </c>
    </row>
    <row r="3967" spans="1:6" x14ac:dyDescent="0.25">
      <c r="A3967" s="5">
        <v>3411520</v>
      </c>
      <c r="B3967" s="1">
        <v>2017</v>
      </c>
      <c r="C3967" s="1" t="s">
        <v>1387</v>
      </c>
      <c r="D3967" s="1" t="s">
        <v>256</v>
      </c>
      <c r="E3967" s="8">
        <v>543300</v>
      </c>
      <c r="F3967" s="5">
        <v>3411520</v>
      </c>
    </row>
    <row r="3968" spans="1:6" x14ac:dyDescent="0.25">
      <c r="A3968" s="5">
        <v>3411520</v>
      </c>
      <c r="B3968" s="1">
        <v>2018</v>
      </c>
      <c r="C3968" s="1" t="s">
        <v>1387</v>
      </c>
      <c r="D3968" s="1" t="s">
        <v>945</v>
      </c>
      <c r="E3968" s="8">
        <v>728828</v>
      </c>
      <c r="F3968" s="5">
        <v>3411520</v>
      </c>
    </row>
    <row r="3969" spans="1:6" x14ac:dyDescent="0.25">
      <c r="A3969" s="5">
        <v>3411520</v>
      </c>
      <c r="B3969" s="1">
        <v>2019</v>
      </c>
      <c r="C3969" s="1" t="s">
        <v>1387</v>
      </c>
      <c r="D3969" s="1" t="s">
        <v>945</v>
      </c>
      <c r="E3969" s="8">
        <v>946340</v>
      </c>
      <c r="F3969" s="5">
        <v>3411520</v>
      </c>
    </row>
    <row r="3970" spans="1:6" ht="20" x14ac:dyDescent="0.25">
      <c r="A3970" s="5">
        <v>3411520</v>
      </c>
      <c r="B3970" s="1">
        <v>2020</v>
      </c>
      <c r="C3970" s="1" t="s">
        <v>1387</v>
      </c>
      <c r="D3970" s="2" t="s">
        <v>945</v>
      </c>
      <c r="E3970" s="7">
        <v>1077174</v>
      </c>
      <c r="F3970" s="5">
        <v>3411520</v>
      </c>
    </row>
    <row r="3971" spans="1:6" ht="20" x14ac:dyDescent="0.25">
      <c r="A3971" s="5">
        <v>3411520</v>
      </c>
      <c r="B3971" s="1">
        <v>2021</v>
      </c>
      <c r="C3971" s="1" t="s">
        <v>1387</v>
      </c>
      <c r="D3971" s="3" t="s">
        <v>945</v>
      </c>
      <c r="E3971" s="7">
        <v>1433667</v>
      </c>
      <c r="F3971" s="5">
        <v>3411520</v>
      </c>
    </row>
    <row r="3972" spans="1:6" ht="20" x14ac:dyDescent="0.25">
      <c r="A3972" s="5">
        <v>3411520</v>
      </c>
      <c r="B3972" s="1">
        <v>2022</v>
      </c>
      <c r="C3972" s="1" t="s">
        <v>1387</v>
      </c>
      <c r="D3972" s="2" t="s">
        <v>945</v>
      </c>
      <c r="E3972" s="7">
        <v>2034316</v>
      </c>
      <c r="F3972" s="5">
        <v>3411520</v>
      </c>
    </row>
    <row r="3973" spans="1:6" ht="20" x14ac:dyDescent="0.25">
      <c r="A3973" s="5">
        <v>3411520</v>
      </c>
      <c r="B3973" s="1">
        <v>2023</v>
      </c>
      <c r="C3973" s="1" t="s">
        <v>1387</v>
      </c>
      <c r="D3973" s="2" t="s">
        <v>945</v>
      </c>
      <c r="E3973" s="7">
        <v>2068495</v>
      </c>
      <c r="F3973" s="5">
        <v>3411520</v>
      </c>
    </row>
    <row r="3974" spans="1:6" x14ac:dyDescent="0.25">
      <c r="A3974" s="5">
        <v>3411550</v>
      </c>
      <c r="B3974" s="1">
        <v>2015</v>
      </c>
      <c r="C3974" s="1" t="s">
        <v>1387</v>
      </c>
      <c r="D3974" s="1" t="s">
        <v>532</v>
      </c>
      <c r="E3974" s="8">
        <v>220944</v>
      </c>
      <c r="F3974" s="5">
        <v>3411550</v>
      </c>
    </row>
    <row r="3975" spans="1:6" x14ac:dyDescent="0.25">
      <c r="A3975" s="5">
        <v>3411550</v>
      </c>
      <c r="B3975" s="1">
        <v>2016</v>
      </c>
      <c r="C3975" s="1" t="s">
        <v>1387</v>
      </c>
      <c r="D3975" s="1" t="s">
        <v>532</v>
      </c>
      <c r="E3975" s="8">
        <v>342409</v>
      </c>
      <c r="F3975" s="5">
        <v>3411550</v>
      </c>
    </row>
    <row r="3976" spans="1:6" x14ac:dyDescent="0.25">
      <c r="A3976" s="5">
        <v>3411550</v>
      </c>
      <c r="B3976" s="1">
        <v>2017</v>
      </c>
      <c r="C3976" s="1" t="s">
        <v>1387</v>
      </c>
      <c r="D3976" s="1" t="s">
        <v>532</v>
      </c>
      <c r="E3976" s="8">
        <v>538712</v>
      </c>
      <c r="F3976" s="5">
        <v>3411550</v>
      </c>
    </row>
    <row r="3977" spans="1:6" x14ac:dyDescent="0.25">
      <c r="A3977" s="5">
        <v>3411550</v>
      </c>
      <c r="B3977" s="1">
        <v>2018</v>
      </c>
      <c r="C3977" s="1" t="s">
        <v>1387</v>
      </c>
      <c r="D3977" s="1" t="s">
        <v>1224</v>
      </c>
      <c r="E3977" s="8">
        <v>611904</v>
      </c>
      <c r="F3977" s="5">
        <v>3411550</v>
      </c>
    </row>
    <row r="3978" spans="1:6" x14ac:dyDescent="0.25">
      <c r="A3978" s="5">
        <v>3411550</v>
      </c>
      <c r="B3978" s="1">
        <v>2019</v>
      </c>
      <c r="C3978" s="1" t="s">
        <v>1387</v>
      </c>
      <c r="D3978" s="1" t="s">
        <v>1224</v>
      </c>
      <c r="E3978" s="8">
        <v>841302</v>
      </c>
      <c r="F3978" s="5">
        <v>3411550</v>
      </c>
    </row>
    <row r="3979" spans="1:6" ht="20" x14ac:dyDescent="0.25">
      <c r="A3979" s="5">
        <v>3411550</v>
      </c>
      <c r="B3979" s="1">
        <v>2020</v>
      </c>
      <c r="C3979" s="1" t="s">
        <v>1387</v>
      </c>
      <c r="D3979" s="2" t="s">
        <v>1224</v>
      </c>
      <c r="E3979" s="7">
        <v>1030449</v>
      </c>
      <c r="F3979" s="5">
        <v>3411550</v>
      </c>
    </row>
    <row r="3980" spans="1:6" ht="20" x14ac:dyDescent="0.25">
      <c r="A3980" s="5">
        <v>3411550</v>
      </c>
      <c r="B3980" s="1">
        <v>2021</v>
      </c>
      <c r="C3980" s="1" t="s">
        <v>1387</v>
      </c>
      <c r="D3980" s="3" t="s">
        <v>1224</v>
      </c>
      <c r="E3980" s="7">
        <v>1374506</v>
      </c>
      <c r="F3980" s="5">
        <v>3411550</v>
      </c>
    </row>
    <row r="3981" spans="1:6" ht="20" x14ac:dyDescent="0.25">
      <c r="A3981" s="5">
        <v>3411550</v>
      </c>
      <c r="B3981" s="1">
        <v>2022</v>
      </c>
      <c r="C3981" s="1" t="s">
        <v>1387</v>
      </c>
      <c r="D3981" s="2" t="s">
        <v>1224</v>
      </c>
      <c r="E3981" s="7">
        <v>1958929</v>
      </c>
      <c r="F3981" s="5">
        <v>3411550</v>
      </c>
    </row>
    <row r="3982" spans="1:6" ht="20" x14ac:dyDescent="0.25">
      <c r="A3982" s="5">
        <v>3411550</v>
      </c>
      <c r="B3982" s="1">
        <v>2023</v>
      </c>
      <c r="C3982" s="1" t="s">
        <v>1387</v>
      </c>
      <c r="D3982" s="2" t="s">
        <v>1224</v>
      </c>
      <c r="E3982" s="7">
        <v>1874655</v>
      </c>
      <c r="F3982" s="5">
        <v>3411550</v>
      </c>
    </row>
    <row r="3983" spans="1:6" x14ac:dyDescent="0.25">
      <c r="A3983" s="5">
        <v>3411580</v>
      </c>
      <c r="B3983" s="1">
        <v>2015</v>
      </c>
      <c r="C3983" s="1" t="s">
        <v>1387</v>
      </c>
      <c r="D3983" s="1" t="s">
        <v>132</v>
      </c>
      <c r="E3983" s="8">
        <v>539399</v>
      </c>
      <c r="F3983" s="5">
        <v>3411580</v>
      </c>
    </row>
    <row r="3984" spans="1:6" x14ac:dyDescent="0.25">
      <c r="A3984" s="5">
        <v>3411580</v>
      </c>
      <c r="B3984" s="1">
        <v>2016</v>
      </c>
      <c r="C3984" s="1" t="s">
        <v>1387</v>
      </c>
      <c r="D3984" s="1" t="s">
        <v>132</v>
      </c>
      <c r="E3984" s="8">
        <v>748889</v>
      </c>
      <c r="F3984" s="5">
        <v>3411580</v>
      </c>
    </row>
    <row r="3985" spans="1:6" x14ac:dyDescent="0.25">
      <c r="A3985" s="5">
        <v>3411580</v>
      </c>
      <c r="B3985" s="1">
        <v>2017</v>
      </c>
      <c r="C3985" s="1" t="s">
        <v>1387</v>
      </c>
      <c r="D3985" s="1" t="s">
        <v>132</v>
      </c>
      <c r="E3985" s="8">
        <v>1053547</v>
      </c>
      <c r="F3985" s="5">
        <v>3411580</v>
      </c>
    </row>
    <row r="3986" spans="1:6" x14ac:dyDescent="0.25">
      <c r="A3986" s="5">
        <v>3411580</v>
      </c>
      <c r="B3986" s="1">
        <v>2018</v>
      </c>
      <c r="C3986" s="1" t="s">
        <v>1387</v>
      </c>
      <c r="D3986" s="1" t="s">
        <v>813</v>
      </c>
      <c r="E3986" s="8">
        <v>1368435</v>
      </c>
      <c r="F3986" s="5">
        <v>3411580</v>
      </c>
    </row>
    <row r="3987" spans="1:6" x14ac:dyDescent="0.25">
      <c r="A3987" s="5">
        <v>3411580</v>
      </c>
      <c r="B3987" s="1">
        <v>2019</v>
      </c>
      <c r="C3987" s="1" t="s">
        <v>1387</v>
      </c>
      <c r="D3987" s="1" t="s">
        <v>813</v>
      </c>
      <c r="E3987" s="8">
        <v>1834623</v>
      </c>
      <c r="F3987" s="5">
        <v>3411580</v>
      </c>
    </row>
    <row r="3988" spans="1:6" ht="20" x14ac:dyDescent="0.25">
      <c r="A3988" s="5">
        <v>3411580</v>
      </c>
      <c r="B3988" s="1">
        <v>2020</v>
      </c>
      <c r="C3988" s="1" t="s">
        <v>1387</v>
      </c>
      <c r="D3988" s="2" t="s">
        <v>813</v>
      </c>
      <c r="E3988" s="7">
        <v>2057583</v>
      </c>
      <c r="F3988" s="5">
        <v>3411580</v>
      </c>
    </row>
    <row r="3989" spans="1:6" ht="20" x14ac:dyDescent="0.25">
      <c r="A3989" s="5">
        <v>3411580</v>
      </c>
      <c r="B3989" s="1">
        <v>2021</v>
      </c>
      <c r="C3989" s="1" t="s">
        <v>1387</v>
      </c>
      <c r="D3989" s="3" t="s">
        <v>813</v>
      </c>
      <c r="E3989" s="7">
        <v>2612141</v>
      </c>
      <c r="F3989" s="5">
        <v>3411580</v>
      </c>
    </row>
    <row r="3990" spans="1:6" ht="20" x14ac:dyDescent="0.25">
      <c r="A3990" s="5">
        <v>3411580</v>
      </c>
      <c r="B3990" s="1">
        <v>2022</v>
      </c>
      <c r="C3990" s="1" t="s">
        <v>1387</v>
      </c>
      <c r="D3990" s="2" t="s">
        <v>813</v>
      </c>
      <c r="E3990" s="7">
        <v>4131097</v>
      </c>
      <c r="F3990" s="5">
        <v>3411580</v>
      </c>
    </row>
    <row r="3991" spans="1:6" ht="20" x14ac:dyDescent="0.25">
      <c r="A3991" s="5">
        <v>3411580</v>
      </c>
      <c r="B3991" s="1">
        <v>2023</v>
      </c>
      <c r="C3991" s="1" t="s">
        <v>1387</v>
      </c>
      <c r="D3991" s="2" t="s">
        <v>813</v>
      </c>
      <c r="E3991" s="7">
        <v>4322419</v>
      </c>
      <c r="F3991" s="5">
        <v>3411580</v>
      </c>
    </row>
    <row r="3992" spans="1:6" x14ac:dyDescent="0.25">
      <c r="A3992" s="5">
        <v>3411610</v>
      </c>
      <c r="B3992" s="1">
        <v>2015</v>
      </c>
      <c r="C3992" s="1" t="s">
        <v>1387</v>
      </c>
      <c r="D3992" s="1" t="s">
        <v>348</v>
      </c>
      <c r="E3992" s="8">
        <v>1124630</v>
      </c>
      <c r="F3992" s="5">
        <v>3411610</v>
      </c>
    </row>
    <row r="3993" spans="1:6" x14ac:dyDescent="0.25">
      <c r="A3993" s="5">
        <v>3411610</v>
      </c>
      <c r="B3993" s="1">
        <v>2016</v>
      </c>
      <c r="C3993" s="1" t="s">
        <v>1387</v>
      </c>
      <c r="D3993" s="1" t="s">
        <v>348</v>
      </c>
      <c r="E3993" s="8">
        <v>1697513</v>
      </c>
      <c r="F3993" s="5">
        <v>3411610</v>
      </c>
    </row>
    <row r="3994" spans="1:6" x14ac:dyDescent="0.25">
      <c r="A3994" s="5">
        <v>3411610</v>
      </c>
      <c r="B3994" s="1">
        <v>2017</v>
      </c>
      <c r="C3994" s="1" t="s">
        <v>1387</v>
      </c>
      <c r="D3994" s="1" t="s">
        <v>348</v>
      </c>
      <c r="E3994" s="8">
        <v>2378360</v>
      </c>
      <c r="F3994" s="5">
        <v>3411610</v>
      </c>
    </row>
    <row r="3995" spans="1:6" x14ac:dyDescent="0.25">
      <c r="A3995" s="5">
        <v>3411610</v>
      </c>
      <c r="B3995" s="1">
        <v>2018</v>
      </c>
      <c r="C3995" s="1" t="s">
        <v>1387</v>
      </c>
      <c r="D3995" s="1" t="s">
        <v>1040</v>
      </c>
      <c r="E3995" s="8">
        <v>3079367</v>
      </c>
      <c r="F3995" s="5">
        <v>3411610</v>
      </c>
    </row>
    <row r="3996" spans="1:6" x14ac:dyDescent="0.25">
      <c r="A3996" s="5">
        <v>3411610</v>
      </c>
      <c r="B3996" s="1">
        <v>2019</v>
      </c>
      <c r="C3996" s="1" t="s">
        <v>1387</v>
      </c>
      <c r="D3996" s="1" t="s">
        <v>1040</v>
      </c>
      <c r="E3996" s="8">
        <v>3929129</v>
      </c>
      <c r="F3996" s="5">
        <v>3411610</v>
      </c>
    </row>
    <row r="3997" spans="1:6" ht="20" x14ac:dyDescent="0.25">
      <c r="A3997" s="5">
        <v>3411610</v>
      </c>
      <c r="B3997" s="1">
        <v>2020</v>
      </c>
      <c r="C3997" s="1" t="s">
        <v>1387</v>
      </c>
      <c r="D3997" s="2" t="s">
        <v>1040</v>
      </c>
      <c r="E3997" s="7">
        <v>4409744</v>
      </c>
      <c r="F3997" s="5">
        <v>3411610</v>
      </c>
    </row>
    <row r="3998" spans="1:6" ht="20" x14ac:dyDescent="0.25">
      <c r="A3998" s="5">
        <v>3411610</v>
      </c>
      <c r="B3998" s="1">
        <v>2021</v>
      </c>
      <c r="C3998" s="1" t="s">
        <v>1387</v>
      </c>
      <c r="D3998" s="3" t="s">
        <v>1040</v>
      </c>
      <c r="E3998" s="7">
        <v>5588360</v>
      </c>
      <c r="F3998" s="5">
        <v>3411610</v>
      </c>
    </row>
    <row r="3999" spans="1:6" ht="20" x14ac:dyDescent="0.25">
      <c r="A3999" s="5">
        <v>3411610</v>
      </c>
      <c r="B3999" s="1">
        <v>2022</v>
      </c>
      <c r="C3999" s="1" t="s">
        <v>1387</v>
      </c>
      <c r="D3999" s="2" t="s">
        <v>1040</v>
      </c>
      <c r="E3999" s="7">
        <v>7850677</v>
      </c>
      <c r="F3999" s="5">
        <v>3411610</v>
      </c>
    </row>
    <row r="4000" spans="1:6" ht="20" x14ac:dyDescent="0.25">
      <c r="A4000" s="5">
        <v>3411610</v>
      </c>
      <c r="B4000" s="1">
        <v>2023</v>
      </c>
      <c r="C4000" s="1" t="s">
        <v>1387</v>
      </c>
      <c r="D4000" s="2" t="s">
        <v>1040</v>
      </c>
      <c r="E4000" s="7">
        <v>7697342</v>
      </c>
      <c r="F4000" s="5">
        <v>3411610</v>
      </c>
    </row>
    <row r="4001" spans="1:6" x14ac:dyDescent="0.25">
      <c r="A4001" s="5">
        <v>3411640</v>
      </c>
      <c r="B4001" s="1">
        <v>2015</v>
      </c>
      <c r="C4001" s="1" t="s">
        <v>1387</v>
      </c>
      <c r="D4001" s="1" t="s">
        <v>574</v>
      </c>
      <c r="E4001" s="8">
        <v>1290791</v>
      </c>
      <c r="F4001" s="5">
        <v>3411640</v>
      </c>
    </row>
    <row r="4002" spans="1:6" x14ac:dyDescent="0.25">
      <c r="A4002" s="5">
        <v>3411640</v>
      </c>
      <c r="B4002" s="1">
        <v>2016</v>
      </c>
      <c r="C4002" s="1" t="s">
        <v>1387</v>
      </c>
      <c r="D4002" s="1" t="s">
        <v>574</v>
      </c>
      <c r="E4002" s="8">
        <v>1934919</v>
      </c>
      <c r="F4002" s="5">
        <v>3411640</v>
      </c>
    </row>
    <row r="4003" spans="1:6" x14ac:dyDescent="0.25">
      <c r="A4003" s="5">
        <v>3411640</v>
      </c>
      <c r="B4003" s="1">
        <v>2017</v>
      </c>
      <c r="C4003" s="1" t="s">
        <v>1387</v>
      </c>
      <c r="D4003" s="1" t="s">
        <v>574</v>
      </c>
      <c r="E4003" s="8">
        <v>2723191</v>
      </c>
      <c r="F4003" s="5">
        <v>3411640</v>
      </c>
    </row>
    <row r="4004" spans="1:6" x14ac:dyDescent="0.25">
      <c r="A4004" s="5">
        <v>3411640</v>
      </c>
      <c r="B4004" s="1">
        <v>2018</v>
      </c>
      <c r="C4004" s="1" t="s">
        <v>1387</v>
      </c>
      <c r="D4004" s="1" t="s">
        <v>1266</v>
      </c>
      <c r="E4004" s="8">
        <v>3830467</v>
      </c>
      <c r="F4004" s="5">
        <v>3411640</v>
      </c>
    </row>
    <row r="4005" spans="1:6" x14ac:dyDescent="0.25">
      <c r="A4005" s="5">
        <v>3411640</v>
      </c>
      <c r="B4005" s="1">
        <v>2019</v>
      </c>
      <c r="C4005" s="1" t="s">
        <v>1387</v>
      </c>
      <c r="D4005" s="1" t="s">
        <v>1266</v>
      </c>
      <c r="E4005" s="8">
        <v>5061035</v>
      </c>
      <c r="F4005" s="5">
        <v>3411640</v>
      </c>
    </row>
    <row r="4006" spans="1:6" ht="20" x14ac:dyDescent="0.25">
      <c r="A4006" s="5">
        <v>3411640</v>
      </c>
      <c r="B4006" s="1">
        <v>2020</v>
      </c>
      <c r="C4006" s="1" t="s">
        <v>1387</v>
      </c>
      <c r="D4006" s="2" t="s">
        <v>1266</v>
      </c>
      <c r="E4006" s="7">
        <v>5462689</v>
      </c>
      <c r="F4006" s="5">
        <v>3411640</v>
      </c>
    </row>
    <row r="4007" spans="1:6" ht="20" x14ac:dyDescent="0.25">
      <c r="A4007" s="5">
        <v>3411640</v>
      </c>
      <c r="B4007" s="1">
        <v>2021</v>
      </c>
      <c r="C4007" s="1" t="s">
        <v>1387</v>
      </c>
      <c r="D4007" s="3" t="s">
        <v>1266</v>
      </c>
      <c r="E4007" s="7">
        <v>6858966</v>
      </c>
      <c r="F4007" s="5">
        <v>3411640</v>
      </c>
    </row>
    <row r="4008" spans="1:6" ht="20" x14ac:dyDescent="0.25">
      <c r="A4008" s="5">
        <v>3411640</v>
      </c>
      <c r="B4008" s="1">
        <v>2022</v>
      </c>
      <c r="C4008" s="1" t="s">
        <v>1387</v>
      </c>
      <c r="D4008" s="2" t="s">
        <v>1266</v>
      </c>
      <c r="E4008" s="7">
        <v>10389082</v>
      </c>
      <c r="F4008" s="5">
        <v>3411640</v>
      </c>
    </row>
    <row r="4009" spans="1:6" ht="20" x14ac:dyDescent="0.25">
      <c r="A4009" s="5">
        <v>3411640</v>
      </c>
      <c r="B4009" s="1">
        <v>2023</v>
      </c>
      <c r="C4009" s="1" t="s">
        <v>1387</v>
      </c>
      <c r="D4009" s="2" t="s">
        <v>1266</v>
      </c>
      <c r="E4009" s="7">
        <v>10931573</v>
      </c>
      <c r="F4009" s="5">
        <v>3411640</v>
      </c>
    </row>
    <row r="4010" spans="1:6" x14ac:dyDescent="0.25">
      <c r="A4010" s="5">
        <v>3411670</v>
      </c>
      <c r="B4010" s="1">
        <v>2015</v>
      </c>
      <c r="C4010" s="1" t="s">
        <v>1387</v>
      </c>
      <c r="D4010" s="1" t="s">
        <v>204</v>
      </c>
      <c r="E4010" s="8">
        <v>169273</v>
      </c>
      <c r="F4010" s="5">
        <v>3411670</v>
      </c>
    </row>
    <row r="4011" spans="1:6" x14ac:dyDescent="0.25">
      <c r="A4011" s="5">
        <v>3411670</v>
      </c>
      <c r="B4011" s="1">
        <v>2016</v>
      </c>
      <c r="C4011" s="1" t="s">
        <v>1387</v>
      </c>
      <c r="D4011" s="1" t="s">
        <v>204</v>
      </c>
      <c r="E4011" s="8">
        <v>263005</v>
      </c>
      <c r="F4011" s="5">
        <v>3411670</v>
      </c>
    </row>
    <row r="4012" spans="1:6" x14ac:dyDescent="0.25">
      <c r="A4012" s="5">
        <v>3411670</v>
      </c>
      <c r="B4012" s="1">
        <v>2017</v>
      </c>
      <c r="C4012" s="1" t="s">
        <v>1387</v>
      </c>
      <c r="D4012" s="1" t="s">
        <v>204</v>
      </c>
      <c r="E4012" s="8">
        <v>389837</v>
      </c>
      <c r="F4012" s="5">
        <v>3411670</v>
      </c>
    </row>
    <row r="4013" spans="1:6" x14ac:dyDescent="0.25">
      <c r="A4013" s="5">
        <v>3411670</v>
      </c>
      <c r="B4013" s="1">
        <v>2018</v>
      </c>
      <c r="C4013" s="1" t="s">
        <v>1387</v>
      </c>
      <c r="D4013" s="1" t="s">
        <v>888</v>
      </c>
      <c r="E4013" s="8">
        <v>511816</v>
      </c>
      <c r="F4013" s="5">
        <v>3411670</v>
      </c>
    </row>
    <row r="4014" spans="1:6" x14ac:dyDescent="0.25">
      <c r="A4014" s="5">
        <v>3411670</v>
      </c>
      <c r="B4014" s="1">
        <v>2019</v>
      </c>
      <c r="C4014" s="1" t="s">
        <v>1387</v>
      </c>
      <c r="D4014" s="1" t="s">
        <v>888</v>
      </c>
      <c r="E4014" s="8">
        <v>685941</v>
      </c>
      <c r="F4014" s="5">
        <v>3411670</v>
      </c>
    </row>
    <row r="4015" spans="1:6" ht="20" x14ac:dyDescent="0.25">
      <c r="A4015" s="5">
        <v>3411670</v>
      </c>
      <c r="B4015" s="1">
        <v>2020</v>
      </c>
      <c r="C4015" s="1" t="s">
        <v>1387</v>
      </c>
      <c r="D4015" s="2" t="s">
        <v>888</v>
      </c>
      <c r="E4015" s="7">
        <v>731456</v>
      </c>
      <c r="F4015" s="5">
        <v>3411670</v>
      </c>
    </row>
    <row r="4016" spans="1:6" ht="20" x14ac:dyDescent="0.25">
      <c r="A4016" s="5">
        <v>3411670</v>
      </c>
      <c r="B4016" s="1">
        <v>2021</v>
      </c>
      <c r="C4016" s="1" t="s">
        <v>1387</v>
      </c>
      <c r="D4016" s="3" t="s">
        <v>888</v>
      </c>
      <c r="E4016" s="7">
        <v>927023</v>
      </c>
      <c r="F4016" s="5">
        <v>3411670</v>
      </c>
    </row>
    <row r="4017" spans="1:6" ht="20" x14ac:dyDescent="0.25">
      <c r="A4017" s="5">
        <v>3411670</v>
      </c>
      <c r="B4017" s="1">
        <v>2022</v>
      </c>
      <c r="C4017" s="1" t="s">
        <v>1387</v>
      </c>
      <c r="D4017" s="2" t="s">
        <v>888</v>
      </c>
      <c r="E4017" s="7">
        <v>1239400</v>
      </c>
      <c r="F4017" s="5">
        <v>3411670</v>
      </c>
    </row>
    <row r="4018" spans="1:6" ht="20" x14ac:dyDescent="0.25">
      <c r="A4018" s="5">
        <v>3411670</v>
      </c>
      <c r="B4018" s="1">
        <v>2023</v>
      </c>
      <c r="C4018" s="1" t="s">
        <v>1387</v>
      </c>
      <c r="D4018" s="2" t="s">
        <v>888</v>
      </c>
      <c r="E4018" s="7">
        <v>1297277</v>
      </c>
      <c r="F4018" s="5">
        <v>3411670</v>
      </c>
    </row>
    <row r="4019" spans="1:6" x14ac:dyDescent="0.25">
      <c r="A4019" s="5">
        <v>3411700</v>
      </c>
      <c r="B4019" s="1">
        <v>2015</v>
      </c>
      <c r="C4019" s="1" t="s">
        <v>1387</v>
      </c>
      <c r="D4019" s="1" t="s">
        <v>133</v>
      </c>
      <c r="E4019" s="8">
        <v>688795</v>
      </c>
      <c r="F4019" s="5">
        <v>3411700</v>
      </c>
    </row>
    <row r="4020" spans="1:6" x14ac:dyDescent="0.25">
      <c r="A4020" s="5">
        <v>3411700</v>
      </c>
      <c r="B4020" s="1">
        <v>2016</v>
      </c>
      <c r="C4020" s="1" t="s">
        <v>1387</v>
      </c>
      <c r="D4020" s="1" t="s">
        <v>133</v>
      </c>
      <c r="E4020" s="8">
        <v>988119</v>
      </c>
      <c r="F4020" s="5">
        <v>3411700</v>
      </c>
    </row>
    <row r="4021" spans="1:6" x14ac:dyDescent="0.25">
      <c r="A4021" s="5">
        <v>3411700</v>
      </c>
      <c r="B4021" s="1">
        <v>2017</v>
      </c>
      <c r="C4021" s="1" t="s">
        <v>1387</v>
      </c>
      <c r="D4021" s="1" t="s">
        <v>133</v>
      </c>
      <c r="E4021" s="8">
        <v>1421132</v>
      </c>
      <c r="F4021" s="5">
        <v>3411700</v>
      </c>
    </row>
    <row r="4022" spans="1:6" x14ac:dyDescent="0.25">
      <c r="A4022" s="5">
        <v>3411700</v>
      </c>
      <c r="B4022" s="1">
        <v>2018</v>
      </c>
      <c r="C4022" s="1" t="s">
        <v>1387</v>
      </c>
      <c r="D4022" s="1" t="s">
        <v>814</v>
      </c>
      <c r="E4022" s="8">
        <v>1898770</v>
      </c>
      <c r="F4022" s="5">
        <v>3411700</v>
      </c>
    </row>
    <row r="4023" spans="1:6" x14ac:dyDescent="0.25">
      <c r="A4023" s="5">
        <v>3411700</v>
      </c>
      <c r="B4023" s="1">
        <v>2019</v>
      </c>
      <c r="C4023" s="1" t="s">
        <v>1387</v>
      </c>
      <c r="D4023" s="1" t="s">
        <v>814</v>
      </c>
      <c r="E4023" s="8">
        <v>2529336</v>
      </c>
      <c r="F4023" s="5">
        <v>3411700</v>
      </c>
    </row>
    <row r="4024" spans="1:6" ht="20" x14ac:dyDescent="0.25">
      <c r="A4024" s="5">
        <v>3411700</v>
      </c>
      <c r="B4024" s="1">
        <v>2020</v>
      </c>
      <c r="C4024" s="1" t="s">
        <v>1387</v>
      </c>
      <c r="D4024" s="2" t="s">
        <v>814</v>
      </c>
      <c r="E4024" s="7">
        <v>2926479</v>
      </c>
      <c r="F4024" s="5">
        <v>3411700</v>
      </c>
    </row>
    <row r="4025" spans="1:6" ht="20" x14ac:dyDescent="0.25">
      <c r="A4025" s="5">
        <v>3411700</v>
      </c>
      <c r="B4025" s="1">
        <v>2021</v>
      </c>
      <c r="C4025" s="1" t="s">
        <v>1387</v>
      </c>
      <c r="D4025" s="3" t="s">
        <v>814</v>
      </c>
      <c r="E4025" s="7">
        <v>3883309</v>
      </c>
      <c r="F4025" s="5">
        <v>3411700</v>
      </c>
    </row>
    <row r="4026" spans="1:6" ht="20" x14ac:dyDescent="0.25">
      <c r="A4026" s="5">
        <v>3411700</v>
      </c>
      <c r="B4026" s="1">
        <v>2022</v>
      </c>
      <c r="C4026" s="1" t="s">
        <v>1387</v>
      </c>
      <c r="D4026" s="2" t="s">
        <v>814</v>
      </c>
      <c r="E4026" s="7">
        <v>5685033</v>
      </c>
      <c r="F4026" s="5">
        <v>3411700</v>
      </c>
    </row>
    <row r="4027" spans="1:6" ht="20" x14ac:dyDescent="0.25">
      <c r="A4027" s="5">
        <v>3411700</v>
      </c>
      <c r="B4027" s="1">
        <v>2023</v>
      </c>
      <c r="C4027" s="1" t="s">
        <v>1387</v>
      </c>
      <c r="D4027" s="2" t="s">
        <v>814</v>
      </c>
      <c r="E4027" s="7">
        <v>5689579</v>
      </c>
      <c r="F4027" s="5">
        <v>3411700</v>
      </c>
    </row>
    <row r="4028" spans="1:6" x14ac:dyDescent="0.25">
      <c r="A4028" s="5">
        <v>3411730</v>
      </c>
      <c r="B4028" s="1">
        <v>2015</v>
      </c>
      <c r="C4028" s="1" t="s">
        <v>1387</v>
      </c>
      <c r="D4028" s="1" t="s">
        <v>71</v>
      </c>
      <c r="E4028" s="8">
        <v>590738</v>
      </c>
      <c r="F4028" s="5">
        <v>3411730</v>
      </c>
    </row>
    <row r="4029" spans="1:6" x14ac:dyDescent="0.25">
      <c r="A4029" s="5">
        <v>3411730</v>
      </c>
      <c r="B4029" s="1">
        <v>2016</v>
      </c>
      <c r="C4029" s="1" t="s">
        <v>1387</v>
      </c>
      <c r="D4029" s="1" t="s">
        <v>71</v>
      </c>
      <c r="E4029" s="8">
        <v>920886</v>
      </c>
      <c r="F4029" s="5">
        <v>3411730</v>
      </c>
    </row>
    <row r="4030" spans="1:6" x14ac:dyDescent="0.25">
      <c r="A4030" s="5">
        <v>3411730</v>
      </c>
      <c r="B4030" s="1">
        <v>2017</v>
      </c>
      <c r="C4030" s="1" t="s">
        <v>1387</v>
      </c>
      <c r="D4030" s="1" t="s">
        <v>71</v>
      </c>
      <c r="E4030" s="8">
        <v>1284911</v>
      </c>
      <c r="F4030" s="5">
        <v>3411730</v>
      </c>
    </row>
    <row r="4031" spans="1:6" x14ac:dyDescent="0.25">
      <c r="A4031" s="5">
        <v>3411730</v>
      </c>
      <c r="B4031" s="1">
        <v>2018</v>
      </c>
      <c r="C4031" s="1" t="s">
        <v>1387</v>
      </c>
      <c r="D4031" s="1" t="s">
        <v>749</v>
      </c>
      <c r="E4031" s="8">
        <v>1753420</v>
      </c>
      <c r="F4031" s="5">
        <v>3411730</v>
      </c>
    </row>
    <row r="4032" spans="1:6" x14ac:dyDescent="0.25">
      <c r="A4032" s="5">
        <v>3411730</v>
      </c>
      <c r="B4032" s="1">
        <v>2019</v>
      </c>
      <c r="C4032" s="1" t="s">
        <v>1387</v>
      </c>
      <c r="D4032" s="1" t="s">
        <v>749</v>
      </c>
      <c r="E4032" s="8">
        <v>2391505</v>
      </c>
      <c r="F4032" s="5">
        <v>3411730</v>
      </c>
    </row>
    <row r="4033" spans="1:6" ht="20" x14ac:dyDescent="0.25">
      <c r="A4033" s="5">
        <v>3411730</v>
      </c>
      <c r="B4033" s="1">
        <v>2020</v>
      </c>
      <c r="C4033" s="1" t="s">
        <v>1387</v>
      </c>
      <c r="D4033" s="2" t="s">
        <v>749</v>
      </c>
      <c r="E4033" s="7">
        <v>2713735</v>
      </c>
      <c r="F4033" s="5">
        <v>3411730</v>
      </c>
    </row>
    <row r="4034" spans="1:6" ht="20" x14ac:dyDescent="0.25">
      <c r="A4034" s="5">
        <v>3411730</v>
      </c>
      <c r="B4034" s="1">
        <v>2021</v>
      </c>
      <c r="C4034" s="1" t="s">
        <v>1387</v>
      </c>
      <c r="D4034" s="3" t="s">
        <v>749</v>
      </c>
      <c r="E4034" s="7">
        <v>3564502</v>
      </c>
      <c r="F4034" s="5">
        <v>3411730</v>
      </c>
    </row>
    <row r="4035" spans="1:6" ht="20" x14ac:dyDescent="0.25">
      <c r="A4035" s="5">
        <v>3411730</v>
      </c>
      <c r="B4035" s="1">
        <v>2022</v>
      </c>
      <c r="C4035" s="1" t="s">
        <v>1387</v>
      </c>
      <c r="D4035" s="2" t="s">
        <v>749</v>
      </c>
      <c r="E4035" s="7">
        <v>4986980</v>
      </c>
      <c r="F4035" s="5">
        <v>3411730</v>
      </c>
    </row>
    <row r="4036" spans="1:6" ht="20" x14ac:dyDescent="0.25">
      <c r="A4036" s="5">
        <v>3411730</v>
      </c>
      <c r="B4036" s="1">
        <v>2023</v>
      </c>
      <c r="C4036" s="1" t="s">
        <v>1387</v>
      </c>
      <c r="D4036" s="2" t="s">
        <v>749</v>
      </c>
      <c r="E4036" s="7">
        <v>5046039</v>
      </c>
      <c r="F4036" s="5">
        <v>3411730</v>
      </c>
    </row>
    <row r="4037" spans="1:6" x14ac:dyDescent="0.25">
      <c r="A4037" s="5">
        <v>3411760</v>
      </c>
      <c r="B4037" s="1">
        <v>2015</v>
      </c>
      <c r="C4037" s="1" t="s">
        <v>1387</v>
      </c>
      <c r="D4037" s="1" t="s">
        <v>72</v>
      </c>
      <c r="E4037" s="8">
        <v>1509026</v>
      </c>
      <c r="F4037" s="5">
        <v>3411760</v>
      </c>
    </row>
    <row r="4038" spans="1:6" x14ac:dyDescent="0.25">
      <c r="A4038" s="5">
        <v>3411760</v>
      </c>
      <c r="B4038" s="1">
        <v>2016</v>
      </c>
      <c r="C4038" s="1" t="s">
        <v>1387</v>
      </c>
      <c r="D4038" s="1" t="s">
        <v>72</v>
      </c>
      <c r="E4038" s="8">
        <v>2327269</v>
      </c>
      <c r="F4038" s="5">
        <v>3411760</v>
      </c>
    </row>
    <row r="4039" spans="1:6" x14ac:dyDescent="0.25">
      <c r="A4039" s="5">
        <v>3411760</v>
      </c>
      <c r="B4039" s="1">
        <v>2017</v>
      </c>
      <c r="C4039" s="1" t="s">
        <v>1387</v>
      </c>
      <c r="D4039" s="1" t="s">
        <v>72</v>
      </c>
      <c r="E4039" s="8">
        <v>3359387</v>
      </c>
      <c r="F4039" s="5">
        <v>3411760</v>
      </c>
    </row>
    <row r="4040" spans="1:6" x14ac:dyDescent="0.25">
      <c r="A4040" s="5">
        <v>3411760</v>
      </c>
      <c r="B4040" s="1">
        <v>2018</v>
      </c>
      <c r="C4040" s="1" t="s">
        <v>1387</v>
      </c>
      <c r="D4040" s="1" t="s">
        <v>750</v>
      </c>
      <c r="E4040" s="8">
        <v>4580222</v>
      </c>
      <c r="F4040" s="5">
        <v>3411760</v>
      </c>
    </row>
    <row r="4041" spans="1:6" x14ac:dyDescent="0.25">
      <c r="A4041" s="5">
        <v>3411760</v>
      </c>
      <c r="B4041" s="1">
        <v>2019</v>
      </c>
      <c r="C4041" s="1" t="s">
        <v>1387</v>
      </c>
      <c r="D4041" s="1" t="s">
        <v>750</v>
      </c>
      <c r="E4041" s="8">
        <v>6442609</v>
      </c>
      <c r="F4041" s="5">
        <v>3411760</v>
      </c>
    </row>
    <row r="4042" spans="1:6" ht="20" x14ac:dyDescent="0.25">
      <c r="A4042" s="5">
        <v>3411760</v>
      </c>
      <c r="B4042" s="1">
        <v>2020</v>
      </c>
      <c r="C4042" s="1" t="s">
        <v>1387</v>
      </c>
      <c r="D4042" s="2" t="s">
        <v>750</v>
      </c>
      <c r="E4042" s="7">
        <v>7244609</v>
      </c>
      <c r="F4042" s="5">
        <v>3411760</v>
      </c>
    </row>
    <row r="4043" spans="1:6" ht="20" x14ac:dyDescent="0.25">
      <c r="A4043" s="5">
        <v>3411760</v>
      </c>
      <c r="B4043" s="1">
        <v>2021</v>
      </c>
      <c r="C4043" s="1" t="s">
        <v>1387</v>
      </c>
      <c r="D4043" s="3" t="s">
        <v>750</v>
      </c>
      <c r="E4043" s="7">
        <v>8925432</v>
      </c>
      <c r="F4043" s="5">
        <v>3411760</v>
      </c>
    </row>
    <row r="4044" spans="1:6" ht="20" x14ac:dyDescent="0.25">
      <c r="A4044" s="5">
        <v>3411760</v>
      </c>
      <c r="B4044" s="1">
        <v>2022</v>
      </c>
      <c r="C4044" s="1" t="s">
        <v>1387</v>
      </c>
      <c r="D4044" s="2" t="s">
        <v>750</v>
      </c>
      <c r="E4044" s="7">
        <v>13105349</v>
      </c>
      <c r="F4044" s="5">
        <v>3411760</v>
      </c>
    </row>
    <row r="4045" spans="1:6" ht="20" x14ac:dyDescent="0.25">
      <c r="A4045" s="5">
        <v>3411760</v>
      </c>
      <c r="B4045" s="1">
        <v>2023</v>
      </c>
      <c r="C4045" s="1" t="s">
        <v>1387</v>
      </c>
      <c r="D4045" s="2" t="s">
        <v>750</v>
      </c>
      <c r="E4045" s="7">
        <v>12966356</v>
      </c>
      <c r="F4045" s="5">
        <v>3411760</v>
      </c>
    </row>
    <row r="4046" spans="1:6" x14ac:dyDescent="0.25">
      <c r="A4046" s="5">
        <v>3411790</v>
      </c>
      <c r="B4046" s="1">
        <v>2015</v>
      </c>
      <c r="C4046" s="1" t="s">
        <v>1387</v>
      </c>
      <c r="D4046" s="1" t="s">
        <v>20</v>
      </c>
      <c r="E4046" s="8">
        <v>337136</v>
      </c>
      <c r="F4046" s="5">
        <v>3411790</v>
      </c>
    </row>
    <row r="4047" spans="1:6" x14ac:dyDescent="0.25">
      <c r="A4047" s="5">
        <v>3411790</v>
      </c>
      <c r="B4047" s="1">
        <v>2016</v>
      </c>
      <c r="C4047" s="1" t="s">
        <v>1387</v>
      </c>
      <c r="D4047" s="1" t="s">
        <v>20</v>
      </c>
      <c r="E4047" s="8">
        <v>473609</v>
      </c>
      <c r="F4047" s="5">
        <v>3411790</v>
      </c>
    </row>
    <row r="4048" spans="1:6" x14ac:dyDescent="0.25">
      <c r="A4048" s="5">
        <v>3411790</v>
      </c>
      <c r="B4048" s="1">
        <v>2017</v>
      </c>
      <c r="C4048" s="1" t="s">
        <v>1387</v>
      </c>
      <c r="D4048" s="1" t="s">
        <v>20</v>
      </c>
      <c r="E4048" s="8">
        <v>685310</v>
      </c>
      <c r="F4048" s="5">
        <v>3411790</v>
      </c>
    </row>
    <row r="4049" spans="1:6" x14ac:dyDescent="0.25">
      <c r="A4049" s="5">
        <v>3411790</v>
      </c>
      <c r="B4049" s="1">
        <v>2018</v>
      </c>
      <c r="C4049" s="1" t="s">
        <v>1387</v>
      </c>
      <c r="D4049" s="1" t="s">
        <v>699</v>
      </c>
      <c r="E4049" s="8">
        <v>964150</v>
      </c>
      <c r="F4049" s="5">
        <v>3411790</v>
      </c>
    </row>
    <row r="4050" spans="1:6" x14ac:dyDescent="0.25">
      <c r="A4050" s="5">
        <v>3411790</v>
      </c>
      <c r="B4050" s="1">
        <v>2019</v>
      </c>
      <c r="C4050" s="1" t="s">
        <v>1387</v>
      </c>
      <c r="D4050" s="1" t="s">
        <v>699</v>
      </c>
      <c r="E4050" s="8">
        <v>1239518</v>
      </c>
      <c r="F4050" s="5">
        <v>3411790</v>
      </c>
    </row>
    <row r="4051" spans="1:6" ht="20" x14ac:dyDescent="0.25">
      <c r="A4051" s="5">
        <v>3411790</v>
      </c>
      <c r="B4051" s="1">
        <v>2020</v>
      </c>
      <c r="C4051" s="1" t="s">
        <v>1387</v>
      </c>
      <c r="D4051" s="2" t="s">
        <v>699</v>
      </c>
      <c r="E4051" s="7">
        <v>1479095</v>
      </c>
      <c r="F4051" s="5">
        <v>3411790</v>
      </c>
    </row>
    <row r="4052" spans="1:6" ht="20" x14ac:dyDescent="0.25">
      <c r="A4052" s="5">
        <v>3411790</v>
      </c>
      <c r="B4052" s="1">
        <v>2021</v>
      </c>
      <c r="C4052" s="1" t="s">
        <v>1387</v>
      </c>
      <c r="D4052" s="3" t="s">
        <v>699</v>
      </c>
      <c r="E4052" s="7">
        <v>1963308</v>
      </c>
      <c r="F4052" s="5">
        <v>3411790</v>
      </c>
    </row>
    <row r="4053" spans="1:6" ht="20" x14ac:dyDescent="0.25">
      <c r="A4053" s="5">
        <v>3411790</v>
      </c>
      <c r="B4053" s="1">
        <v>2022</v>
      </c>
      <c r="C4053" s="1" t="s">
        <v>1387</v>
      </c>
      <c r="D4053" s="2" t="s">
        <v>699</v>
      </c>
      <c r="E4053" s="7">
        <v>2785886</v>
      </c>
      <c r="F4053" s="5">
        <v>3411790</v>
      </c>
    </row>
    <row r="4054" spans="1:6" ht="20" x14ac:dyDescent="0.25">
      <c r="A4054" s="5">
        <v>3411790</v>
      </c>
      <c r="B4054" s="1">
        <v>2023</v>
      </c>
      <c r="C4054" s="1" t="s">
        <v>1387</v>
      </c>
      <c r="D4054" s="2" t="s">
        <v>699</v>
      </c>
      <c r="E4054" s="7">
        <v>2744107</v>
      </c>
      <c r="F4054" s="5">
        <v>3411790</v>
      </c>
    </row>
    <row r="4055" spans="1:6" x14ac:dyDescent="0.25">
      <c r="A4055" s="5">
        <v>3411820</v>
      </c>
      <c r="B4055" s="1">
        <v>2015</v>
      </c>
      <c r="C4055" s="1" t="s">
        <v>1387</v>
      </c>
      <c r="D4055" s="1" t="s">
        <v>73</v>
      </c>
      <c r="E4055" s="8">
        <v>208284</v>
      </c>
      <c r="F4055" s="5">
        <v>3411820</v>
      </c>
    </row>
    <row r="4056" spans="1:6" x14ac:dyDescent="0.25">
      <c r="A4056" s="5">
        <v>3411820</v>
      </c>
      <c r="B4056" s="1">
        <v>2016</v>
      </c>
      <c r="C4056" s="1" t="s">
        <v>1387</v>
      </c>
      <c r="D4056" s="1" t="s">
        <v>73</v>
      </c>
      <c r="E4056" s="8">
        <v>312254</v>
      </c>
      <c r="F4056" s="5">
        <v>3411820</v>
      </c>
    </row>
    <row r="4057" spans="1:6" x14ac:dyDescent="0.25">
      <c r="A4057" s="5">
        <v>3411820</v>
      </c>
      <c r="B4057" s="1">
        <v>2017</v>
      </c>
      <c r="C4057" s="1" t="s">
        <v>1387</v>
      </c>
      <c r="D4057" s="1" t="s">
        <v>73</v>
      </c>
      <c r="E4057" s="8">
        <v>432459</v>
      </c>
      <c r="F4057" s="5">
        <v>3411820</v>
      </c>
    </row>
    <row r="4058" spans="1:6" x14ac:dyDescent="0.25">
      <c r="A4058" s="5">
        <v>3411820</v>
      </c>
      <c r="B4058" s="1">
        <v>2018</v>
      </c>
      <c r="C4058" s="1" t="s">
        <v>1387</v>
      </c>
      <c r="D4058" s="1" t="s">
        <v>751</v>
      </c>
      <c r="E4058" s="8">
        <v>603479</v>
      </c>
      <c r="F4058" s="5">
        <v>3411820</v>
      </c>
    </row>
    <row r="4059" spans="1:6" x14ac:dyDescent="0.25">
      <c r="A4059" s="5">
        <v>3411820</v>
      </c>
      <c r="B4059" s="1">
        <v>2019</v>
      </c>
      <c r="C4059" s="1" t="s">
        <v>1387</v>
      </c>
      <c r="D4059" s="1" t="s">
        <v>751</v>
      </c>
      <c r="E4059" s="8">
        <v>795969</v>
      </c>
      <c r="F4059" s="5">
        <v>3411820</v>
      </c>
    </row>
    <row r="4060" spans="1:6" ht="20" x14ac:dyDescent="0.25">
      <c r="A4060" s="5">
        <v>3411820</v>
      </c>
      <c r="B4060" s="1">
        <v>2020</v>
      </c>
      <c r="C4060" s="1" t="s">
        <v>1387</v>
      </c>
      <c r="D4060" s="2" t="s">
        <v>751</v>
      </c>
      <c r="E4060" s="7">
        <v>933918</v>
      </c>
      <c r="F4060" s="5">
        <v>3411820</v>
      </c>
    </row>
    <row r="4061" spans="1:6" ht="20" x14ac:dyDescent="0.25">
      <c r="A4061" s="5">
        <v>3411820</v>
      </c>
      <c r="B4061" s="1">
        <v>2021</v>
      </c>
      <c r="C4061" s="1" t="s">
        <v>1387</v>
      </c>
      <c r="D4061" s="3" t="s">
        <v>751</v>
      </c>
      <c r="E4061" s="7">
        <v>1163808</v>
      </c>
      <c r="F4061" s="5">
        <v>3411820</v>
      </c>
    </row>
    <row r="4062" spans="1:6" ht="20" x14ac:dyDescent="0.25">
      <c r="A4062" s="5">
        <v>3411820</v>
      </c>
      <c r="B4062" s="1">
        <v>2022</v>
      </c>
      <c r="C4062" s="1" t="s">
        <v>1387</v>
      </c>
      <c r="D4062" s="2" t="s">
        <v>751</v>
      </c>
      <c r="E4062" s="7">
        <v>1710802</v>
      </c>
      <c r="F4062" s="5">
        <v>3411820</v>
      </c>
    </row>
    <row r="4063" spans="1:6" ht="20" x14ac:dyDescent="0.25">
      <c r="A4063" s="5">
        <v>3411820</v>
      </c>
      <c r="B4063" s="1">
        <v>2023</v>
      </c>
      <c r="C4063" s="1" t="s">
        <v>1387</v>
      </c>
      <c r="D4063" s="2" t="s">
        <v>751</v>
      </c>
      <c r="E4063" s="7">
        <v>1790801</v>
      </c>
      <c r="F4063" s="5">
        <v>3411820</v>
      </c>
    </row>
    <row r="4064" spans="1:6" x14ac:dyDescent="0.25">
      <c r="A4064" s="5">
        <v>3411850</v>
      </c>
      <c r="B4064" s="1">
        <v>2015</v>
      </c>
      <c r="C4064" s="1" t="s">
        <v>1387</v>
      </c>
      <c r="D4064" s="1" t="s">
        <v>74</v>
      </c>
      <c r="E4064" s="8">
        <v>207545</v>
      </c>
      <c r="F4064" s="5">
        <v>3411850</v>
      </c>
    </row>
    <row r="4065" spans="1:6" x14ac:dyDescent="0.25">
      <c r="A4065" s="5">
        <v>3411850</v>
      </c>
      <c r="B4065" s="1">
        <v>2016</v>
      </c>
      <c r="C4065" s="1" t="s">
        <v>1387</v>
      </c>
      <c r="D4065" s="1" t="s">
        <v>74</v>
      </c>
      <c r="E4065" s="8">
        <v>307727</v>
      </c>
      <c r="F4065" s="5">
        <v>3411850</v>
      </c>
    </row>
    <row r="4066" spans="1:6" x14ac:dyDescent="0.25">
      <c r="A4066" s="5">
        <v>3411850</v>
      </c>
      <c r="B4066" s="1">
        <v>2017</v>
      </c>
      <c r="C4066" s="1" t="s">
        <v>1387</v>
      </c>
      <c r="D4066" s="1" t="s">
        <v>74</v>
      </c>
      <c r="E4066" s="8">
        <v>421252</v>
      </c>
      <c r="F4066" s="5">
        <v>3411850</v>
      </c>
    </row>
    <row r="4067" spans="1:6" x14ac:dyDescent="0.25">
      <c r="A4067" s="5">
        <v>3411850</v>
      </c>
      <c r="B4067" s="1">
        <v>2018</v>
      </c>
      <c r="C4067" s="1" t="s">
        <v>1387</v>
      </c>
      <c r="D4067" s="1" t="s">
        <v>752</v>
      </c>
      <c r="E4067" s="8">
        <v>580394</v>
      </c>
      <c r="F4067" s="5">
        <v>3411850</v>
      </c>
    </row>
    <row r="4068" spans="1:6" x14ac:dyDescent="0.25">
      <c r="A4068" s="5">
        <v>3411850</v>
      </c>
      <c r="B4068" s="1">
        <v>2019</v>
      </c>
      <c r="C4068" s="1" t="s">
        <v>1387</v>
      </c>
      <c r="D4068" s="1" t="s">
        <v>752</v>
      </c>
      <c r="E4068" s="8">
        <v>784016</v>
      </c>
      <c r="F4068" s="5">
        <v>3411850</v>
      </c>
    </row>
    <row r="4069" spans="1:6" ht="20" x14ac:dyDescent="0.25">
      <c r="A4069" s="5">
        <v>3411850</v>
      </c>
      <c r="B4069" s="1">
        <v>2020</v>
      </c>
      <c r="C4069" s="1" t="s">
        <v>1387</v>
      </c>
      <c r="D4069" s="2" t="s">
        <v>752</v>
      </c>
      <c r="E4069" s="7">
        <v>916877</v>
      </c>
      <c r="F4069" s="5">
        <v>3411850</v>
      </c>
    </row>
    <row r="4070" spans="1:6" ht="20" x14ac:dyDescent="0.25">
      <c r="A4070" s="5">
        <v>3411850</v>
      </c>
      <c r="B4070" s="1">
        <v>2021</v>
      </c>
      <c r="C4070" s="1" t="s">
        <v>1387</v>
      </c>
      <c r="D4070" s="3" t="s">
        <v>752</v>
      </c>
      <c r="E4070" s="7">
        <v>1169643</v>
      </c>
      <c r="F4070" s="5">
        <v>3411850</v>
      </c>
    </row>
    <row r="4071" spans="1:6" ht="20" x14ac:dyDescent="0.25">
      <c r="A4071" s="5">
        <v>3411850</v>
      </c>
      <c r="B4071" s="1">
        <v>2022</v>
      </c>
      <c r="C4071" s="1" t="s">
        <v>1387</v>
      </c>
      <c r="D4071" s="2" t="s">
        <v>752</v>
      </c>
      <c r="E4071" s="7">
        <v>1677493</v>
      </c>
      <c r="F4071" s="5">
        <v>3411850</v>
      </c>
    </row>
    <row r="4072" spans="1:6" ht="20" x14ac:dyDescent="0.25">
      <c r="A4072" s="5">
        <v>3411850</v>
      </c>
      <c r="B4072" s="1">
        <v>2023</v>
      </c>
      <c r="C4072" s="1" t="s">
        <v>1387</v>
      </c>
      <c r="D4072" s="2" t="s">
        <v>752</v>
      </c>
      <c r="E4072" s="7">
        <v>1630272</v>
      </c>
      <c r="F4072" s="5">
        <v>3411850</v>
      </c>
    </row>
    <row r="4073" spans="1:6" x14ac:dyDescent="0.25">
      <c r="A4073" s="5">
        <v>3411880</v>
      </c>
      <c r="B4073" s="1">
        <v>2015</v>
      </c>
      <c r="C4073" s="1" t="s">
        <v>1387</v>
      </c>
      <c r="D4073" s="1" t="s">
        <v>258</v>
      </c>
      <c r="E4073" s="8">
        <v>1433913</v>
      </c>
      <c r="F4073" s="5">
        <v>3411880</v>
      </c>
    </row>
    <row r="4074" spans="1:6" x14ac:dyDescent="0.25">
      <c r="A4074" s="5">
        <v>3411880</v>
      </c>
      <c r="B4074" s="1">
        <v>2016</v>
      </c>
      <c r="C4074" s="1" t="s">
        <v>1387</v>
      </c>
      <c r="D4074" s="1" t="s">
        <v>258</v>
      </c>
      <c r="E4074" s="8">
        <v>2158171</v>
      </c>
      <c r="F4074" s="5">
        <v>3411880</v>
      </c>
    </row>
    <row r="4075" spans="1:6" x14ac:dyDescent="0.25">
      <c r="A4075" s="5">
        <v>3411880</v>
      </c>
      <c r="B4075" s="1">
        <v>2017</v>
      </c>
      <c r="C4075" s="1" t="s">
        <v>1387</v>
      </c>
      <c r="D4075" s="1" t="s">
        <v>258</v>
      </c>
      <c r="E4075" s="8">
        <v>3076494</v>
      </c>
      <c r="F4075" s="5">
        <v>3411880</v>
      </c>
    </row>
    <row r="4076" spans="1:6" x14ac:dyDescent="0.25">
      <c r="A4076" s="5">
        <v>3411880</v>
      </c>
      <c r="B4076" s="1">
        <v>2018</v>
      </c>
      <c r="C4076" s="1" t="s">
        <v>1387</v>
      </c>
      <c r="D4076" s="1" t="s">
        <v>947</v>
      </c>
      <c r="E4076" s="8">
        <v>4113077</v>
      </c>
      <c r="F4076" s="5">
        <v>3411880</v>
      </c>
    </row>
    <row r="4077" spans="1:6" x14ac:dyDescent="0.25">
      <c r="A4077" s="5">
        <v>3411880</v>
      </c>
      <c r="B4077" s="1">
        <v>2019</v>
      </c>
      <c r="C4077" s="1" t="s">
        <v>1387</v>
      </c>
      <c r="D4077" s="1" t="s">
        <v>947</v>
      </c>
      <c r="E4077" s="8">
        <v>5612880</v>
      </c>
      <c r="F4077" s="5">
        <v>3411880</v>
      </c>
    </row>
    <row r="4078" spans="1:6" ht="20" x14ac:dyDescent="0.25">
      <c r="A4078" s="5">
        <v>3411880</v>
      </c>
      <c r="B4078" s="1">
        <v>2020</v>
      </c>
      <c r="C4078" s="1" t="s">
        <v>1387</v>
      </c>
      <c r="D4078" s="2" t="s">
        <v>947</v>
      </c>
      <c r="E4078" s="7">
        <v>6359937</v>
      </c>
      <c r="F4078" s="5">
        <v>3411880</v>
      </c>
    </row>
    <row r="4079" spans="1:6" ht="20" x14ac:dyDescent="0.25">
      <c r="A4079" s="5">
        <v>3411880</v>
      </c>
      <c r="B4079" s="1">
        <v>2021</v>
      </c>
      <c r="C4079" s="1" t="s">
        <v>1387</v>
      </c>
      <c r="D4079" s="3" t="s">
        <v>947</v>
      </c>
      <c r="E4079" s="7">
        <v>7848861</v>
      </c>
      <c r="F4079" s="5">
        <v>3411880</v>
      </c>
    </row>
    <row r="4080" spans="1:6" ht="20" x14ac:dyDescent="0.25">
      <c r="A4080" s="5">
        <v>3411880</v>
      </c>
      <c r="B4080" s="1">
        <v>2022</v>
      </c>
      <c r="C4080" s="1" t="s">
        <v>1387</v>
      </c>
      <c r="D4080" s="2" t="s">
        <v>947</v>
      </c>
      <c r="E4080" s="7">
        <v>11926403</v>
      </c>
      <c r="F4080" s="5">
        <v>3411880</v>
      </c>
    </row>
    <row r="4081" spans="1:6" ht="20" x14ac:dyDescent="0.25">
      <c r="A4081" s="5">
        <v>3411880</v>
      </c>
      <c r="B4081" s="1">
        <v>2023</v>
      </c>
      <c r="C4081" s="1" t="s">
        <v>1387</v>
      </c>
      <c r="D4081" s="2" t="s">
        <v>947</v>
      </c>
      <c r="E4081" s="7">
        <v>11528559</v>
      </c>
      <c r="F4081" s="5">
        <v>3411880</v>
      </c>
    </row>
    <row r="4082" spans="1:6" x14ac:dyDescent="0.25">
      <c r="A4082" s="5">
        <v>3411910</v>
      </c>
      <c r="B4082" s="1">
        <v>2015</v>
      </c>
      <c r="C4082" s="1" t="s">
        <v>1387</v>
      </c>
      <c r="D4082" s="1" t="s">
        <v>75</v>
      </c>
      <c r="E4082" s="8">
        <v>616747</v>
      </c>
      <c r="F4082" s="5">
        <v>3411910</v>
      </c>
    </row>
    <row r="4083" spans="1:6" x14ac:dyDescent="0.25">
      <c r="A4083" s="5">
        <v>3411910</v>
      </c>
      <c r="B4083" s="1">
        <v>2016</v>
      </c>
      <c r="C4083" s="1" t="s">
        <v>1387</v>
      </c>
      <c r="D4083" s="1" t="s">
        <v>75</v>
      </c>
      <c r="E4083" s="8">
        <v>933062</v>
      </c>
      <c r="F4083" s="5">
        <v>3411910</v>
      </c>
    </row>
    <row r="4084" spans="1:6" x14ac:dyDescent="0.25">
      <c r="A4084" s="5">
        <v>3411910</v>
      </c>
      <c r="B4084" s="1">
        <v>2017</v>
      </c>
      <c r="C4084" s="1" t="s">
        <v>1387</v>
      </c>
      <c r="D4084" s="1" t="s">
        <v>75</v>
      </c>
      <c r="E4084" s="8">
        <v>1381982</v>
      </c>
      <c r="F4084" s="5">
        <v>3411910</v>
      </c>
    </row>
    <row r="4085" spans="1:6" x14ac:dyDescent="0.25">
      <c r="A4085" s="5">
        <v>3411910</v>
      </c>
      <c r="B4085" s="1">
        <v>2018</v>
      </c>
      <c r="C4085" s="1" t="s">
        <v>1387</v>
      </c>
      <c r="D4085" s="1" t="s">
        <v>753</v>
      </c>
      <c r="E4085" s="8">
        <v>1876196</v>
      </c>
      <c r="F4085" s="5">
        <v>3411910</v>
      </c>
    </row>
    <row r="4086" spans="1:6" x14ac:dyDescent="0.25">
      <c r="A4086" s="5">
        <v>3411910</v>
      </c>
      <c r="B4086" s="1">
        <v>2019</v>
      </c>
      <c r="C4086" s="1" t="s">
        <v>1387</v>
      </c>
      <c r="D4086" s="1" t="s">
        <v>753</v>
      </c>
      <c r="E4086" s="8">
        <v>2521702</v>
      </c>
      <c r="F4086" s="5">
        <v>3411910</v>
      </c>
    </row>
    <row r="4087" spans="1:6" ht="20" x14ac:dyDescent="0.25">
      <c r="A4087" s="5">
        <v>3411910</v>
      </c>
      <c r="B4087" s="1">
        <v>2020</v>
      </c>
      <c r="C4087" s="1" t="s">
        <v>1387</v>
      </c>
      <c r="D4087" s="2" t="s">
        <v>753</v>
      </c>
      <c r="E4087" s="7">
        <v>2815592</v>
      </c>
      <c r="F4087" s="5">
        <v>3411910</v>
      </c>
    </row>
    <row r="4088" spans="1:6" ht="20" x14ac:dyDescent="0.25">
      <c r="A4088" s="5">
        <v>3411910</v>
      </c>
      <c r="B4088" s="1">
        <v>2021</v>
      </c>
      <c r="C4088" s="1" t="s">
        <v>1387</v>
      </c>
      <c r="D4088" s="3" t="s">
        <v>753</v>
      </c>
      <c r="E4088" s="7">
        <v>3722274</v>
      </c>
      <c r="F4088" s="5">
        <v>3411910</v>
      </c>
    </row>
    <row r="4089" spans="1:6" ht="20" x14ac:dyDescent="0.25">
      <c r="A4089" s="5">
        <v>3411910</v>
      </c>
      <c r="B4089" s="1">
        <v>2022</v>
      </c>
      <c r="C4089" s="1" t="s">
        <v>1387</v>
      </c>
      <c r="D4089" s="2" t="s">
        <v>753</v>
      </c>
      <c r="E4089" s="7">
        <v>5303675</v>
      </c>
      <c r="F4089" s="5">
        <v>3411910</v>
      </c>
    </row>
    <row r="4090" spans="1:6" ht="20" x14ac:dyDescent="0.25">
      <c r="A4090" s="5">
        <v>3411910</v>
      </c>
      <c r="B4090" s="1">
        <v>2023</v>
      </c>
      <c r="C4090" s="1" t="s">
        <v>1387</v>
      </c>
      <c r="D4090" s="2" t="s">
        <v>753</v>
      </c>
      <c r="E4090" s="7">
        <v>5270685</v>
      </c>
      <c r="F4090" s="5">
        <v>3411910</v>
      </c>
    </row>
    <row r="4091" spans="1:6" x14ac:dyDescent="0.25">
      <c r="A4091" s="5">
        <v>3411940</v>
      </c>
      <c r="B4091" s="1">
        <v>2015</v>
      </c>
      <c r="C4091" s="1" t="s">
        <v>1387</v>
      </c>
      <c r="D4091" s="1" t="s">
        <v>184</v>
      </c>
      <c r="E4091" s="8">
        <v>136418</v>
      </c>
      <c r="F4091" s="5">
        <v>3411940</v>
      </c>
    </row>
    <row r="4092" spans="1:6" x14ac:dyDescent="0.25">
      <c r="A4092" s="5">
        <v>3411940</v>
      </c>
      <c r="B4092" s="1">
        <v>2016</v>
      </c>
      <c r="C4092" s="1" t="s">
        <v>1387</v>
      </c>
      <c r="D4092" s="1" t="s">
        <v>184</v>
      </c>
      <c r="E4092" s="8">
        <v>187099</v>
      </c>
      <c r="F4092" s="5">
        <v>3411940</v>
      </c>
    </row>
    <row r="4093" spans="1:6" x14ac:dyDescent="0.25">
      <c r="A4093" s="5">
        <v>3411940</v>
      </c>
      <c r="B4093" s="1">
        <v>2017</v>
      </c>
      <c r="C4093" s="1" t="s">
        <v>1387</v>
      </c>
      <c r="D4093" s="1" t="s">
        <v>184</v>
      </c>
      <c r="E4093" s="8">
        <v>253102</v>
      </c>
      <c r="F4093" s="5">
        <v>3411940</v>
      </c>
    </row>
    <row r="4094" spans="1:6" x14ac:dyDescent="0.25">
      <c r="A4094" s="5">
        <v>3411940</v>
      </c>
      <c r="B4094" s="1">
        <v>2018</v>
      </c>
      <c r="C4094" s="1" t="s">
        <v>1387</v>
      </c>
      <c r="D4094" s="1" t="s">
        <v>867</v>
      </c>
      <c r="E4094" s="8">
        <v>344409</v>
      </c>
      <c r="F4094" s="5">
        <v>3411940</v>
      </c>
    </row>
    <row r="4095" spans="1:6" x14ac:dyDescent="0.25">
      <c r="A4095" s="5">
        <v>3411940</v>
      </c>
      <c r="B4095" s="1">
        <v>2019</v>
      </c>
      <c r="C4095" s="1" t="s">
        <v>1387</v>
      </c>
      <c r="D4095" s="1" t="s">
        <v>867</v>
      </c>
      <c r="E4095" s="8">
        <v>475262</v>
      </c>
      <c r="F4095" s="5">
        <v>3411940</v>
      </c>
    </row>
    <row r="4096" spans="1:6" ht="20" x14ac:dyDescent="0.25">
      <c r="A4096" s="5">
        <v>3411940</v>
      </c>
      <c r="B4096" s="1">
        <v>2020</v>
      </c>
      <c r="C4096" s="1" t="s">
        <v>1387</v>
      </c>
      <c r="D4096" s="2" t="s">
        <v>867</v>
      </c>
      <c r="E4096" s="7">
        <v>435135</v>
      </c>
      <c r="F4096" s="5">
        <v>3411940</v>
      </c>
    </row>
    <row r="4097" spans="1:6" ht="20" x14ac:dyDescent="0.25">
      <c r="A4097" s="5">
        <v>3411940</v>
      </c>
      <c r="B4097" s="1">
        <v>2021</v>
      </c>
      <c r="C4097" s="1" t="s">
        <v>1387</v>
      </c>
      <c r="D4097" s="3" t="s">
        <v>867</v>
      </c>
      <c r="E4097" s="7">
        <v>481378</v>
      </c>
      <c r="F4097" s="5">
        <v>3411940</v>
      </c>
    </row>
    <row r="4098" spans="1:6" ht="20" x14ac:dyDescent="0.25">
      <c r="A4098" s="5">
        <v>3411940</v>
      </c>
      <c r="B4098" s="1">
        <v>2022</v>
      </c>
      <c r="C4098" s="1" t="s">
        <v>1387</v>
      </c>
      <c r="D4098" s="2" t="s">
        <v>867</v>
      </c>
      <c r="E4098" s="7">
        <v>733965</v>
      </c>
      <c r="F4098" s="5">
        <v>3411940</v>
      </c>
    </row>
    <row r="4099" spans="1:6" ht="20" x14ac:dyDescent="0.25">
      <c r="A4099" s="5">
        <v>3411940</v>
      </c>
      <c r="B4099" s="1">
        <v>2023</v>
      </c>
      <c r="C4099" s="1" t="s">
        <v>1387</v>
      </c>
      <c r="D4099" s="2" t="s">
        <v>867</v>
      </c>
      <c r="E4099" s="7">
        <v>742181</v>
      </c>
      <c r="F4099" s="5">
        <v>3411940</v>
      </c>
    </row>
    <row r="4100" spans="1:6" x14ac:dyDescent="0.25">
      <c r="A4100" s="5">
        <v>3411970</v>
      </c>
      <c r="B4100" s="1">
        <v>2015</v>
      </c>
      <c r="C4100" s="1" t="s">
        <v>1387</v>
      </c>
      <c r="D4100" s="1" t="s">
        <v>205</v>
      </c>
      <c r="E4100" s="8">
        <v>1010746</v>
      </c>
      <c r="F4100" s="5">
        <v>3411970</v>
      </c>
    </row>
    <row r="4101" spans="1:6" x14ac:dyDescent="0.25">
      <c r="A4101" s="5">
        <v>3411970</v>
      </c>
      <c r="B4101" s="1">
        <v>2016</v>
      </c>
      <c r="C4101" s="1" t="s">
        <v>1387</v>
      </c>
      <c r="D4101" s="1" t="s">
        <v>205</v>
      </c>
      <c r="E4101" s="8">
        <v>1488433</v>
      </c>
      <c r="F4101" s="5">
        <v>3411970</v>
      </c>
    </row>
    <row r="4102" spans="1:6" x14ac:dyDescent="0.25">
      <c r="A4102" s="5">
        <v>3411970</v>
      </c>
      <c r="B4102" s="1">
        <v>2017</v>
      </c>
      <c r="C4102" s="1" t="s">
        <v>1387</v>
      </c>
      <c r="D4102" s="1" t="s">
        <v>205</v>
      </c>
      <c r="E4102" s="8">
        <v>2069892</v>
      </c>
      <c r="F4102" s="5">
        <v>3411970</v>
      </c>
    </row>
    <row r="4103" spans="1:6" x14ac:dyDescent="0.25">
      <c r="A4103" s="5">
        <v>3411970</v>
      </c>
      <c r="B4103" s="1">
        <v>2018</v>
      </c>
      <c r="C4103" s="1" t="s">
        <v>1387</v>
      </c>
      <c r="D4103" s="1" t="s">
        <v>889</v>
      </c>
      <c r="E4103" s="8">
        <v>2779092</v>
      </c>
      <c r="F4103" s="5">
        <v>3411970</v>
      </c>
    </row>
    <row r="4104" spans="1:6" x14ac:dyDescent="0.25">
      <c r="A4104" s="5">
        <v>3411970</v>
      </c>
      <c r="B4104" s="1">
        <v>2019</v>
      </c>
      <c r="C4104" s="1" t="s">
        <v>1387</v>
      </c>
      <c r="D4104" s="1" t="s">
        <v>889</v>
      </c>
      <c r="E4104" s="8">
        <v>3622302</v>
      </c>
      <c r="F4104" s="5">
        <v>3411970</v>
      </c>
    </row>
    <row r="4105" spans="1:6" ht="20" x14ac:dyDescent="0.25">
      <c r="A4105" s="5">
        <v>3411970</v>
      </c>
      <c r="B4105" s="1">
        <v>2020</v>
      </c>
      <c r="C4105" s="1" t="s">
        <v>1387</v>
      </c>
      <c r="D4105" s="2" t="s">
        <v>889</v>
      </c>
      <c r="E4105" s="7">
        <v>4051087</v>
      </c>
      <c r="F4105" s="5">
        <v>3411970</v>
      </c>
    </row>
    <row r="4106" spans="1:6" ht="20" x14ac:dyDescent="0.25">
      <c r="A4106" s="5">
        <v>3411970</v>
      </c>
      <c r="B4106" s="1">
        <v>2021</v>
      </c>
      <c r="C4106" s="1" t="s">
        <v>1387</v>
      </c>
      <c r="D4106" s="3" t="s">
        <v>889</v>
      </c>
      <c r="E4106" s="7">
        <v>5226826</v>
      </c>
      <c r="F4106" s="5">
        <v>3411970</v>
      </c>
    </row>
    <row r="4107" spans="1:6" ht="20" x14ac:dyDescent="0.25">
      <c r="A4107" s="5">
        <v>3411970</v>
      </c>
      <c r="B4107" s="1">
        <v>2022</v>
      </c>
      <c r="C4107" s="1" t="s">
        <v>1387</v>
      </c>
      <c r="D4107" s="2" t="s">
        <v>889</v>
      </c>
      <c r="E4107" s="7">
        <v>7436033</v>
      </c>
      <c r="F4107" s="5">
        <v>3411970</v>
      </c>
    </row>
    <row r="4108" spans="1:6" ht="20" x14ac:dyDescent="0.25">
      <c r="A4108" s="5">
        <v>3411970</v>
      </c>
      <c r="B4108" s="1">
        <v>2023</v>
      </c>
      <c r="C4108" s="1" t="s">
        <v>1387</v>
      </c>
      <c r="D4108" s="2" t="s">
        <v>889</v>
      </c>
      <c r="E4108" s="7">
        <v>7309716</v>
      </c>
      <c r="F4108" s="5">
        <v>3411970</v>
      </c>
    </row>
    <row r="4109" spans="1:6" x14ac:dyDescent="0.25">
      <c r="A4109" s="5">
        <v>3411980</v>
      </c>
      <c r="B4109" s="1">
        <v>2015</v>
      </c>
      <c r="C4109" s="1" t="s">
        <v>1387</v>
      </c>
      <c r="D4109" s="1" t="s">
        <v>510</v>
      </c>
      <c r="E4109" s="8">
        <v>583630</v>
      </c>
      <c r="F4109" s="5">
        <v>3411980</v>
      </c>
    </row>
    <row r="4110" spans="1:6" x14ac:dyDescent="0.25">
      <c r="A4110" s="5">
        <v>3411980</v>
      </c>
      <c r="B4110" s="1">
        <v>2016</v>
      </c>
      <c r="C4110" s="1" t="s">
        <v>1387</v>
      </c>
      <c r="D4110" s="1" t="s">
        <v>510</v>
      </c>
      <c r="E4110" s="8">
        <v>880379</v>
      </c>
      <c r="F4110" s="5">
        <v>3411980</v>
      </c>
    </row>
    <row r="4111" spans="1:6" x14ac:dyDescent="0.25">
      <c r="A4111" s="5">
        <v>3411980</v>
      </c>
      <c r="B4111" s="1">
        <v>2017</v>
      </c>
      <c r="C4111" s="1" t="s">
        <v>1387</v>
      </c>
      <c r="D4111" s="1" t="s">
        <v>510</v>
      </c>
      <c r="E4111" s="8">
        <v>1222905</v>
      </c>
      <c r="F4111" s="5">
        <v>3411980</v>
      </c>
    </row>
    <row r="4112" spans="1:6" x14ac:dyDescent="0.25">
      <c r="A4112" s="5">
        <v>3411980</v>
      </c>
      <c r="B4112" s="1">
        <v>2018</v>
      </c>
      <c r="C4112" s="1" t="s">
        <v>1387</v>
      </c>
      <c r="D4112" s="1" t="s">
        <v>1202</v>
      </c>
      <c r="E4112" s="8">
        <v>1612713</v>
      </c>
      <c r="F4112" s="5">
        <v>3411980</v>
      </c>
    </row>
    <row r="4113" spans="1:6" x14ac:dyDescent="0.25">
      <c r="A4113" s="5">
        <v>3411980</v>
      </c>
      <c r="B4113" s="1">
        <v>2019</v>
      </c>
      <c r="C4113" s="1" t="s">
        <v>1387</v>
      </c>
      <c r="D4113" s="1" t="s">
        <v>1202</v>
      </c>
      <c r="E4113" s="8">
        <v>2214600</v>
      </c>
      <c r="F4113" s="5">
        <v>3411980</v>
      </c>
    </row>
    <row r="4114" spans="1:6" ht="20" x14ac:dyDescent="0.25">
      <c r="A4114" s="5">
        <v>3411980</v>
      </c>
      <c r="B4114" s="1">
        <v>2020</v>
      </c>
      <c r="C4114" s="1" t="s">
        <v>1387</v>
      </c>
      <c r="D4114" s="2" t="s">
        <v>1202</v>
      </c>
      <c r="E4114" s="7">
        <v>2502175</v>
      </c>
      <c r="F4114" s="5">
        <v>3411980</v>
      </c>
    </row>
    <row r="4115" spans="1:6" ht="20" x14ac:dyDescent="0.25">
      <c r="A4115" s="5">
        <v>3411980</v>
      </c>
      <c r="B4115" s="1">
        <v>2021</v>
      </c>
      <c r="C4115" s="1" t="s">
        <v>1387</v>
      </c>
      <c r="D4115" s="3" t="s">
        <v>1202</v>
      </c>
      <c r="E4115" s="7">
        <v>3179259</v>
      </c>
      <c r="F4115" s="5">
        <v>3411980</v>
      </c>
    </row>
    <row r="4116" spans="1:6" ht="20" x14ac:dyDescent="0.25">
      <c r="A4116" s="5">
        <v>3411980</v>
      </c>
      <c r="B4116" s="1">
        <v>2022</v>
      </c>
      <c r="C4116" s="1" t="s">
        <v>1387</v>
      </c>
      <c r="D4116" s="2" t="s">
        <v>1202</v>
      </c>
      <c r="E4116" s="7">
        <v>4502054</v>
      </c>
      <c r="F4116" s="5">
        <v>3411980</v>
      </c>
    </row>
    <row r="4117" spans="1:6" ht="20" x14ac:dyDescent="0.25">
      <c r="A4117" s="5">
        <v>3411980</v>
      </c>
      <c r="B4117" s="1">
        <v>2023</v>
      </c>
      <c r="C4117" s="1" t="s">
        <v>1387</v>
      </c>
      <c r="D4117" s="2" t="s">
        <v>1202</v>
      </c>
      <c r="E4117" s="7">
        <v>4498805</v>
      </c>
      <c r="F4117" s="5">
        <v>3411980</v>
      </c>
    </row>
    <row r="4118" spans="1:6" x14ac:dyDescent="0.25">
      <c r="A4118" s="5">
        <v>3412030</v>
      </c>
      <c r="B4118" s="1">
        <v>2015</v>
      </c>
      <c r="C4118" s="1" t="s">
        <v>1387</v>
      </c>
      <c r="D4118" s="1" t="s">
        <v>511</v>
      </c>
      <c r="E4118" s="8">
        <v>62623</v>
      </c>
      <c r="F4118" s="5">
        <v>3412030</v>
      </c>
    </row>
    <row r="4119" spans="1:6" x14ac:dyDescent="0.25">
      <c r="A4119" s="5">
        <v>3412030</v>
      </c>
      <c r="B4119" s="1">
        <v>2016</v>
      </c>
      <c r="C4119" s="1" t="s">
        <v>1387</v>
      </c>
      <c r="D4119" s="1" t="s">
        <v>511</v>
      </c>
      <c r="E4119" s="8">
        <v>94336</v>
      </c>
      <c r="F4119" s="5">
        <v>3412030</v>
      </c>
    </row>
    <row r="4120" spans="1:6" x14ac:dyDescent="0.25">
      <c r="A4120" s="5">
        <v>3412030</v>
      </c>
      <c r="B4120" s="1">
        <v>2017</v>
      </c>
      <c r="C4120" s="1" t="s">
        <v>1387</v>
      </c>
      <c r="D4120" s="1" t="s">
        <v>511</v>
      </c>
      <c r="E4120" s="8">
        <v>129976</v>
      </c>
      <c r="F4120" s="5">
        <v>3412030</v>
      </c>
    </row>
    <row r="4121" spans="1:6" x14ac:dyDescent="0.25">
      <c r="A4121" s="5">
        <v>3412030</v>
      </c>
      <c r="B4121" s="1">
        <v>2018</v>
      </c>
      <c r="C4121" s="1" t="s">
        <v>1387</v>
      </c>
      <c r="D4121" s="1" t="s">
        <v>1203</v>
      </c>
      <c r="E4121" s="8">
        <v>177038</v>
      </c>
      <c r="F4121" s="5">
        <v>3412030</v>
      </c>
    </row>
    <row r="4122" spans="1:6" x14ac:dyDescent="0.25">
      <c r="A4122" s="5">
        <v>3412030</v>
      </c>
      <c r="B4122" s="1">
        <v>2019</v>
      </c>
      <c r="C4122" s="1" t="s">
        <v>1387</v>
      </c>
      <c r="D4122" s="1" t="s">
        <v>1203</v>
      </c>
      <c r="E4122" s="8">
        <v>250035</v>
      </c>
      <c r="F4122" s="5">
        <v>3412030</v>
      </c>
    </row>
    <row r="4123" spans="1:6" ht="20" x14ac:dyDescent="0.25">
      <c r="A4123" s="5">
        <v>3412030</v>
      </c>
      <c r="B4123" s="1">
        <v>2020</v>
      </c>
      <c r="C4123" s="1" t="s">
        <v>1387</v>
      </c>
      <c r="D4123" s="2" t="s">
        <v>1203</v>
      </c>
      <c r="E4123" s="7">
        <v>273101</v>
      </c>
      <c r="F4123" s="5">
        <v>3412030</v>
      </c>
    </row>
    <row r="4124" spans="1:6" ht="20" x14ac:dyDescent="0.25">
      <c r="A4124" s="5">
        <v>3412030</v>
      </c>
      <c r="B4124" s="1">
        <v>2021</v>
      </c>
      <c r="C4124" s="1" t="s">
        <v>1387</v>
      </c>
      <c r="D4124" s="3" t="s">
        <v>1203</v>
      </c>
      <c r="E4124" s="7">
        <v>344068</v>
      </c>
      <c r="F4124" s="5">
        <v>3412030</v>
      </c>
    </row>
    <row r="4125" spans="1:6" ht="20" x14ac:dyDescent="0.25">
      <c r="A4125" s="5">
        <v>3412030</v>
      </c>
      <c r="B4125" s="1">
        <v>2022</v>
      </c>
      <c r="C4125" s="1" t="s">
        <v>1387</v>
      </c>
      <c r="D4125" s="2" t="s">
        <v>1203</v>
      </c>
      <c r="E4125" s="7">
        <v>446624</v>
      </c>
      <c r="F4125" s="5">
        <v>3412030</v>
      </c>
    </row>
    <row r="4126" spans="1:6" ht="20" x14ac:dyDescent="0.25">
      <c r="A4126" s="5">
        <v>3412030</v>
      </c>
      <c r="B4126" s="1">
        <v>2023</v>
      </c>
      <c r="C4126" s="1" t="s">
        <v>1387</v>
      </c>
      <c r="D4126" s="2" t="s">
        <v>1203</v>
      </c>
      <c r="E4126" s="7">
        <v>430669</v>
      </c>
      <c r="F4126" s="5">
        <v>3412030</v>
      </c>
    </row>
    <row r="4127" spans="1:6" x14ac:dyDescent="0.25">
      <c r="A4127" s="5">
        <v>3412060</v>
      </c>
      <c r="B4127" s="1">
        <v>2015</v>
      </c>
      <c r="C4127" s="1" t="s">
        <v>1387</v>
      </c>
      <c r="D4127" s="1" t="s">
        <v>436</v>
      </c>
      <c r="E4127" s="8">
        <v>1635382</v>
      </c>
      <c r="F4127" s="5">
        <v>3412060</v>
      </c>
    </row>
    <row r="4128" spans="1:6" x14ac:dyDescent="0.25">
      <c r="A4128" s="5">
        <v>3412060</v>
      </c>
      <c r="B4128" s="1">
        <v>2016</v>
      </c>
      <c r="C4128" s="1" t="s">
        <v>1387</v>
      </c>
      <c r="D4128" s="1" t="s">
        <v>436</v>
      </c>
      <c r="E4128" s="8">
        <v>2485508</v>
      </c>
      <c r="F4128" s="5">
        <v>3412060</v>
      </c>
    </row>
    <row r="4129" spans="1:6" x14ac:dyDescent="0.25">
      <c r="A4129" s="5">
        <v>3412060</v>
      </c>
      <c r="B4129" s="1">
        <v>2017</v>
      </c>
      <c r="C4129" s="1" t="s">
        <v>1387</v>
      </c>
      <c r="D4129" s="1" t="s">
        <v>436</v>
      </c>
      <c r="E4129" s="8">
        <v>3450836</v>
      </c>
      <c r="F4129" s="5">
        <v>3412060</v>
      </c>
    </row>
    <row r="4130" spans="1:6" x14ac:dyDescent="0.25">
      <c r="A4130" s="5">
        <v>3412060</v>
      </c>
      <c r="B4130" s="1">
        <v>2018</v>
      </c>
      <c r="C4130" s="1" t="s">
        <v>1387</v>
      </c>
      <c r="D4130" s="1" t="s">
        <v>1128</v>
      </c>
      <c r="E4130" s="8">
        <v>4610147</v>
      </c>
      <c r="F4130" s="5">
        <v>3412060</v>
      </c>
    </row>
    <row r="4131" spans="1:6" x14ac:dyDescent="0.25">
      <c r="A4131" s="5">
        <v>3412060</v>
      </c>
      <c r="B4131" s="1">
        <v>2019</v>
      </c>
      <c r="C4131" s="1" t="s">
        <v>1387</v>
      </c>
      <c r="D4131" s="1" t="s">
        <v>1128</v>
      </c>
      <c r="E4131" s="8">
        <v>5999579</v>
      </c>
      <c r="F4131" s="5">
        <v>3412060</v>
      </c>
    </row>
    <row r="4132" spans="1:6" ht="20" x14ac:dyDescent="0.25">
      <c r="A4132" s="5">
        <v>3412060</v>
      </c>
      <c r="B4132" s="1">
        <v>2020</v>
      </c>
      <c r="C4132" s="1" t="s">
        <v>1387</v>
      </c>
      <c r="D4132" s="2" t="s">
        <v>1128</v>
      </c>
      <c r="E4132" s="7">
        <v>6666114</v>
      </c>
      <c r="F4132" s="5">
        <v>3412060</v>
      </c>
    </row>
    <row r="4133" spans="1:6" ht="20" x14ac:dyDescent="0.25">
      <c r="A4133" s="5">
        <v>3412060</v>
      </c>
      <c r="B4133" s="1">
        <v>2021</v>
      </c>
      <c r="C4133" s="1" t="s">
        <v>1387</v>
      </c>
      <c r="D4133" s="3" t="s">
        <v>1128</v>
      </c>
      <c r="E4133" s="7">
        <v>8450393</v>
      </c>
      <c r="F4133" s="5">
        <v>3412060</v>
      </c>
    </row>
    <row r="4134" spans="1:6" ht="20" x14ac:dyDescent="0.25">
      <c r="A4134" s="5">
        <v>3412060</v>
      </c>
      <c r="B4134" s="1">
        <v>2022</v>
      </c>
      <c r="C4134" s="1" t="s">
        <v>1387</v>
      </c>
      <c r="D4134" s="2" t="s">
        <v>1128</v>
      </c>
      <c r="E4134" s="7">
        <v>12064350</v>
      </c>
      <c r="F4134" s="5">
        <v>3412060</v>
      </c>
    </row>
    <row r="4135" spans="1:6" ht="20" x14ac:dyDescent="0.25">
      <c r="A4135" s="5">
        <v>3412060</v>
      </c>
      <c r="B4135" s="1">
        <v>2023</v>
      </c>
      <c r="C4135" s="1" t="s">
        <v>1387</v>
      </c>
      <c r="D4135" s="2" t="s">
        <v>1128</v>
      </c>
      <c r="E4135" s="7">
        <v>12285879</v>
      </c>
      <c r="F4135" s="5">
        <v>3412060</v>
      </c>
    </row>
    <row r="4136" spans="1:6" x14ac:dyDescent="0.25">
      <c r="A4136" s="5">
        <v>3412090</v>
      </c>
      <c r="B4136" s="1">
        <v>2015</v>
      </c>
      <c r="C4136" s="1" t="s">
        <v>1387</v>
      </c>
      <c r="D4136" s="1" t="s">
        <v>512</v>
      </c>
      <c r="E4136" s="8">
        <v>219588</v>
      </c>
      <c r="F4136" s="5">
        <v>3412090</v>
      </c>
    </row>
    <row r="4137" spans="1:6" x14ac:dyDescent="0.25">
      <c r="A4137" s="5">
        <v>3412090</v>
      </c>
      <c r="B4137" s="1">
        <v>2016</v>
      </c>
      <c r="C4137" s="1" t="s">
        <v>1387</v>
      </c>
      <c r="D4137" s="1" t="s">
        <v>512</v>
      </c>
      <c r="E4137" s="8">
        <v>324343</v>
      </c>
      <c r="F4137" s="5">
        <v>3412090</v>
      </c>
    </row>
    <row r="4138" spans="1:6" x14ac:dyDescent="0.25">
      <c r="A4138" s="5">
        <v>3412090</v>
      </c>
      <c r="B4138" s="1">
        <v>2017</v>
      </c>
      <c r="C4138" s="1" t="s">
        <v>1387</v>
      </c>
      <c r="D4138" s="1" t="s">
        <v>512</v>
      </c>
      <c r="E4138" s="8">
        <v>465360</v>
      </c>
      <c r="F4138" s="5">
        <v>3412090</v>
      </c>
    </row>
    <row r="4139" spans="1:6" x14ac:dyDescent="0.25">
      <c r="A4139" s="5">
        <v>3412090</v>
      </c>
      <c r="B4139" s="1">
        <v>2018</v>
      </c>
      <c r="C4139" s="1" t="s">
        <v>1387</v>
      </c>
      <c r="D4139" s="1" t="s">
        <v>1204</v>
      </c>
      <c r="E4139" s="8">
        <v>614859</v>
      </c>
      <c r="F4139" s="5">
        <v>3412090</v>
      </c>
    </row>
    <row r="4140" spans="1:6" x14ac:dyDescent="0.25">
      <c r="A4140" s="5">
        <v>3412090</v>
      </c>
      <c r="B4140" s="1">
        <v>2019</v>
      </c>
      <c r="C4140" s="1" t="s">
        <v>1387</v>
      </c>
      <c r="D4140" s="1" t="s">
        <v>1204</v>
      </c>
      <c r="E4140" s="8">
        <v>794119</v>
      </c>
      <c r="F4140" s="5">
        <v>3412090</v>
      </c>
    </row>
    <row r="4141" spans="1:6" ht="20" x14ac:dyDescent="0.25">
      <c r="A4141" s="5">
        <v>3412090</v>
      </c>
      <c r="B4141" s="1">
        <v>2020</v>
      </c>
      <c r="C4141" s="1" t="s">
        <v>1387</v>
      </c>
      <c r="D4141" s="2" t="s">
        <v>1204</v>
      </c>
      <c r="E4141" s="7">
        <v>909978</v>
      </c>
      <c r="F4141" s="5">
        <v>3412090</v>
      </c>
    </row>
    <row r="4142" spans="1:6" ht="20" x14ac:dyDescent="0.25">
      <c r="A4142" s="5">
        <v>3412090</v>
      </c>
      <c r="B4142" s="1">
        <v>2021</v>
      </c>
      <c r="C4142" s="1" t="s">
        <v>1387</v>
      </c>
      <c r="D4142" s="3" t="s">
        <v>1204</v>
      </c>
      <c r="E4142" s="7">
        <v>1160690</v>
      </c>
      <c r="F4142" s="5">
        <v>3412090</v>
      </c>
    </row>
    <row r="4143" spans="1:6" ht="20" x14ac:dyDescent="0.25">
      <c r="A4143" s="5">
        <v>3412090</v>
      </c>
      <c r="B4143" s="1">
        <v>2022</v>
      </c>
      <c r="C4143" s="1" t="s">
        <v>1387</v>
      </c>
      <c r="D4143" s="2" t="s">
        <v>1204</v>
      </c>
      <c r="E4143" s="7">
        <v>1679133</v>
      </c>
      <c r="F4143" s="5">
        <v>3412090</v>
      </c>
    </row>
    <row r="4144" spans="1:6" ht="20" x14ac:dyDescent="0.25">
      <c r="A4144" s="5">
        <v>3412090</v>
      </c>
      <c r="B4144" s="1">
        <v>2023</v>
      </c>
      <c r="C4144" s="1" t="s">
        <v>1387</v>
      </c>
      <c r="D4144" s="2" t="s">
        <v>1204</v>
      </c>
      <c r="E4144" s="7">
        <v>1588057</v>
      </c>
      <c r="F4144" s="5">
        <v>3412090</v>
      </c>
    </row>
    <row r="4145" spans="1:6" x14ac:dyDescent="0.25">
      <c r="A4145" s="5">
        <v>3412120</v>
      </c>
      <c r="B4145" s="1">
        <v>2015</v>
      </c>
      <c r="C4145" s="1" t="s">
        <v>1387</v>
      </c>
      <c r="D4145" s="1" t="s">
        <v>437</v>
      </c>
      <c r="E4145" s="8">
        <v>242962</v>
      </c>
      <c r="F4145" s="5">
        <v>3412120</v>
      </c>
    </row>
    <row r="4146" spans="1:6" x14ac:dyDescent="0.25">
      <c r="A4146" s="5">
        <v>3412120</v>
      </c>
      <c r="B4146" s="1">
        <v>2016</v>
      </c>
      <c r="C4146" s="1" t="s">
        <v>1387</v>
      </c>
      <c r="D4146" s="1" t="s">
        <v>437</v>
      </c>
      <c r="E4146" s="8">
        <v>344918</v>
      </c>
      <c r="F4146" s="5">
        <v>3412120</v>
      </c>
    </row>
    <row r="4147" spans="1:6" x14ac:dyDescent="0.25">
      <c r="A4147" s="5">
        <v>3412120</v>
      </c>
      <c r="B4147" s="1">
        <v>2017</v>
      </c>
      <c r="C4147" s="1" t="s">
        <v>1387</v>
      </c>
      <c r="D4147" s="1" t="s">
        <v>437</v>
      </c>
      <c r="E4147" s="8">
        <v>505852</v>
      </c>
      <c r="F4147" s="5">
        <v>3412120</v>
      </c>
    </row>
    <row r="4148" spans="1:6" x14ac:dyDescent="0.25">
      <c r="A4148" s="5">
        <v>3412120</v>
      </c>
      <c r="B4148" s="1">
        <v>2018</v>
      </c>
      <c r="C4148" s="1" t="s">
        <v>1387</v>
      </c>
      <c r="D4148" s="1" t="s">
        <v>1129</v>
      </c>
      <c r="E4148" s="8">
        <v>687397</v>
      </c>
      <c r="F4148" s="5">
        <v>3412120</v>
      </c>
    </row>
    <row r="4149" spans="1:6" x14ac:dyDescent="0.25">
      <c r="A4149" s="5">
        <v>3412120</v>
      </c>
      <c r="B4149" s="1">
        <v>2019</v>
      </c>
      <c r="C4149" s="1" t="s">
        <v>1387</v>
      </c>
      <c r="D4149" s="1" t="s">
        <v>1129</v>
      </c>
      <c r="E4149" s="8">
        <v>896486</v>
      </c>
      <c r="F4149" s="5">
        <v>3412120</v>
      </c>
    </row>
    <row r="4150" spans="1:6" ht="20" x14ac:dyDescent="0.25">
      <c r="A4150" s="5">
        <v>3412120</v>
      </c>
      <c r="B4150" s="1">
        <v>2020</v>
      </c>
      <c r="C4150" s="1" t="s">
        <v>1387</v>
      </c>
      <c r="D4150" s="2" t="s">
        <v>1129</v>
      </c>
      <c r="E4150" s="7">
        <v>1019239</v>
      </c>
      <c r="F4150" s="5">
        <v>3412120</v>
      </c>
    </row>
    <row r="4151" spans="1:6" ht="20" x14ac:dyDescent="0.25">
      <c r="A4151" s="5">
        <v>3412120</v>
      </c>
      <c r="B4151" s="1">
        <v>2021</v>
      </c>
      <c r="C4151" s="1" t="s">
        <v>1387</v>
      </c>
      <c r="D4151" s="3" t="s">
        <v>1129</v>
      </c>
      <c r="E4151" s="7">
        <v>1360528</v>
      </c>
      <c r="F4151" s="5">
        <v>3412120</v>
      </c>
    </row>
    <row r="4152" spans="1:6" ht="20" x14ac:dyDescent="0.25">
      <c r="A4152" s="5">
        <v>3412120</v>
      </c>
      <c r="B4152" s="1">
        <v>2022</v>
      </c>
      <c r="C4152" s="1" t="s">
        <v>1387</v>
      </c>
      <c r="D4152" s="2" t="s">
        <v>1129</v>
      </c>
      <c r="E4152" s="7">
        <v>2018008</v>
      </c>
      <c r="F4152" s="5">
        <v>3412120</v>
      </c>
    </row>
    <row r="4153" spans="1:6" ht="20" x14ac:dyDescent="0.25">
      <c r="A4153" s="5">
        <v>3412120</v>
      </c>
      <c r="B4153" s="1">
        <v>2023</v>
      </c>
      <c r="C4153" s="1" t="s">
        <v>1387</v>
      </c>
      <c r="D4153" s="2" t="s">
        <v>1129</v>
      </c>
      <c r="E4153" s="7">
        <v>2065225</v>
      </c>
      <c r="F4153" s="5">
        <v>3412120</v>
      </c>
    </row>
    <row r="4154" spans="1:6" x14ac:dyDescent="0.25">
      <c r="A4154" s="5">
        <v>3412150</v>
      </c>
      <c r="B4154" s="1">
        <v>2015</v>
      </c>
      <c r="C4154" s="1" t="s">
        <v>1387</v>
      </c>
      <c r="D4154" s="1" t="s">
        <v>599</v>
      </c>
      <c r="E4154" s="8">
        <v>108811</v>
      </c>
      <c r="F4154" s="5">
        <v>3412150</v>
      </c>
    </row>
    <row r="4155" spans="1:6" x14ac:dyDescent="0.25">
      <c r="A4155" s="5">
        <v>3412150</v>
      </c>
      <c r="B4155" s="1">
        <v>2016</v>
      </c>
      <c r="C4155" s="1" t="s">
        <v>1387</v>
      </c>
      <c r="D4155" s="1" t="s">
        <v>599</v>
      </c>
      <c r="E4155" s="8">
        <v>174389</v>
      </c>
      <c r="F4155" s="5">
        <v>3412150</v>
      </c>
    </row>
    <row r="4156" spans="1:6" x14ac:dyDescent="0.25">
      <c r="A4156" s="5">
        <v>3412150</v>
      </c>
      <c r="B4156" s="1">
        <v>2017</v>
      </c>
      <c r="C4156" s="1" t="s">
        <v>1387</v>
      </c>
      <c r="D4156" s="1" t="s">
        <v>599</v>
      </c>
      <c r="E4156" s="8">
        <v>226197</v>
      </c>
      <c r="F4156" s="5">
        <v>3412150</v>
      </c>
    </row>
    <row r="4157" spans="1:6" x14ac:dyDescent="0.25">
      <c r="A4157" s="5">
        <v>3412150</v>
      </c>
      <c r="B4157" s="1">
        <v>2018</v>
      </c>
      <c r="C4157" s="1" t="s">
        <v>1387</v>
      </c>
      <c r="D4157" s="1" t="s">
        <v>1292</v>
      </c>
      <c r="E4157" s="8">
        <v>271588</v>
      </c>
      <c r="F4157" s="5">
        <v>3412150</v>
      </c>
    </row>
    <row r="4158" spans="1:6" x14ac:dyDescent="0.25">
      <c r="A4158" s="5">
        <v>3412150</v>
      </c>
      <c r="B4158" s="1">
        <v>2019</v>
      </c>
      <c r="C4158" s="1" t="s">
        <v>1387</v>
      </c>
      <c r="D4158" s="1" t="s">
        <v>1292</v>
      </c>
      <c r="E4158" s="8">
        <v>430325</v>
      </c>
      <c r="F4158" s="5">
        <v>3412150</v>
      </c>
    </row>
    <row r="4159" spans="1:6" ht="20" x14ac:dyDescent="0.25">
      <c r="A4159" s="5">
        <v>3412150</v>
      </c>
      <c r="B4159" s="1">
        <v>2020</v>
      </c>
      <c r="C4159" s="1" t="s">
        <v>1387</v>
      </c>
      <c r="D4159" s="2" t="s">
        <v>1292</v>
      </c>
      <c r="E4159" s="7">
        <v>429119</v>
      </c>
      <c r="F4159" s="5">
        <v>3412150</v>
      </c>
    </row>
    <row r="4160" spans="1:6" ht="20" x14ac:dyDescent="0.25">
      <c r="A4160" s="5">
        <v>3412150</v>
      </c>
      <c r="B4160" s="1">
        <v>2021</v>
      </c>
      <c r="C4160" s="1" t="s">
        <v>1387</v>
      </c>
      <c r="D4160" s="3" t="s">
        <v>1292</v>
      </c>
      <c r="E4160" s="7">
        <v>584666</v>
      </c>
      <c r="F4160" s="5">
        <v>3412150</v>
      </c>
    </row>
    <row r="4161" spans="1:6" ht="20" x14ac:dyDescent="0.25">
      <c r="A4161" s="5">
        <v>3412150</v>
      </c>
      <c r="B4161" s="1">
        <v>2022</v>
      </c>
      <c r="C4161" s="1" t="s">
        <v>1387</v>
      </c>
      <c r="D4161" s="2" t="s">
        <v>1292</v>
      </c>
      <c r="E4161" s="7">
        <v>811389</v>
      </c>
      <c r="F4161" s="5">
        <v>3412150</v>
      </c>
    </row>
    <row r="4162" spans="1:6" ht="20" x14ac:dyDescent="0.25">
      <c r="A4162" s="5">
        <v>3412150</v>
      </c>
      <c r="B4162" s="1">
        <v>2023</v>
      </c>
      <c r="C4162" s="1" t="s">
        <v>1387</v>
      </c>
      <c r="D4162" s="2" t="s">
        <v>1292</v>
      </c>
      <c r="E4162" s="7">
        <v>806615</v>
      </c>
      <c r="F4162" s="5">
        <v>3412150</v>
      </c>
    </row>
    <row r="4163" spans="1:6" x14ac:dyDescent="0.25">
      <c r="A4163" s="5">
        <v>3412180</v>
      </c>
      <c r="B4163" s="1">
        <v>2015</v>
      </c>
      <c r="C4163" s="1" t="s">
        <v>1387</v>
      </c>
      <c r="D4163" s="1" t="s">
        <v>76</v>
      </c>
      <c r="E4163" s="8">
        <v>317173</v>
      </c>
      <c r="F4163" s="5">
        <v>3412180</v>
      </c>
    </row>
    <row r="4164" spans="1:6" x14ac:dyDescent="0.25">
      <c r="A4164" s="5">
        <v>3412180</v>
      </c>
      <c r="B4164" s="1">
        <v>2016</v>
      </c>
      <c r="C4164" s="1" t="s">
        <v>1387</v>
      </c>
      <c r="D4164" s="1" t="s">
        <v>76</v>
      </c>
      <c r="E4164" s="8">
        <v>486032</v>
      </c>
      <c r="F4164" s="5">
        <v>3412180</v>
      </c>
    </row>
    <row r="4165" spans="1:6" x14ac:dyDescent="0.25">
      <c r="A4165" s="5">
        <v>3412180</v>
      </c>
      <c r="B4165" s="1">
        <v>2017</v>
      </c>
      <c r="C4165" s="1" t="s">
        <v>1387</v>
      </c>
      <c r="D4165" s="1" t="s">
        <v>76</v>
      </c>
      <c r="E4165" s="8">
        <v>671738</v>
      </c>
      <c r="F4165" s="5">
        <v>3412180</v>
      </c>
    </row>
    <row r="4166" spans="1:6" x14ac:dyDescent="0.25">
      <c r="A4166" s="5">
        <v>3412180</v>
      </c>
      <c r="B4166" s="1">
        <v>2018</v>
      </c>
      <c r="C4166" s="1" t="s">
        <v>1387</v>
      </c>
      <c r="D4166" s="1" t="s">
        <v>754</v>
      </c>
      <c r="E4166" s="8">
        <v>888268</v>
      </c>
      <c r="F4166" s="5">
        <v>3412180</v>
      </c>
    </row>
    <row r="4167" spans="1:6" x14ac:dyDescent="0.25">
      <c r="A4167" s="5">
        <v>3412180</v>
      </c>
      <c r="B4167" s="1">
        <v>2019</v>
      </c>
      <c r="C4167" s="1" t="s">
        <v>1387</v>
      </c>
      <c r="D4167" s="1" t="s">
        <v>754</v>
      </c>
      <c r="E4167" s="8">
        <v>1162777</v>
      </c>
      <c r="F4167" s="5">
        <v>3412180</v>
      </c>
    </row>
    <row r="4168" spans="1:6" ht="20" x14ac:dyDescent="0.25">
      <c r="A4168" s="5">
        <v>3412180</v>
      </c>
      <c r="B4168" s="1">
        <v>2020</v>
      </c>
      <c r="C4168" s="1" t="s">
        <v>1387</v>
      </c>
      <c r="D4168" s="2" t="s">
        <v>754</v>
      </c>
      <c r="E4168" s="7">
        <v>1270807</v>
      </c>
      <c r="F4168" s="5">
        <v>3412180</v>
      </c>
    </row>
    <row r="4169" spans="1:6" ht="20" x14ac:dyDescent="0.25">
      <c r="A4169" s="5">
        <v>3412180</v>
      </c>
      <c r="B4169" s="1">
        <v>2021</v>
      </c>
      <c r="C4169" s="1" t="s">
        <v>1387</v>
      </c>
      <c r="D4169" s="3" t="s">
        <v>754</v>
      </c>
      <c r="E4169" s="7">
        <v>1682671</v>
      </c>
      <c r="F4169" s="5">
        <v>3412180</v>
      </c>
    </row>
    <row r="4170" spans="1:6" ht="20" x14ac:dyDescent="0.25">
      <c r="A4170" s="5">
        <v>3412180</v>
      </c>
      <c r="B4170" s="1">
        <v>2022</v>
      </c>
      <c r="C4170" s="1" t="s">
        <v>1387</v>
      </c>
      <c r="D4170" s="2" t="s">
        <v>754</v>
      </c>
      <c r="E4170" s="7">
        <v>2385166</v>
      </c>
      <c r="F4170" s="5">
        <v>3412180</v>
      </c>
    </row>
    <row r="4171" spans="1:6" ht="20" x14ac:dyDescent="0.25">
      <c r="A4171" s="5">
        <v>3412180</v>
      </c>
      <c r="B4171" s="1">
        <v>2023</v>
      </c>
      <c r="C4171" s="1" t="s">
        <v>1387</v>
      </c>
      <c r="D4171" s="2" t="s">
        <v>754</v>
      </c>
      <c r="E4171" s="7">
        <v>2485532</v>
      </c>
      <c r="F4171" s="5">
        <v>3412180</v>
      </c>
    </row>
    <row r="4172" spans="1:6" x14ac:dyDescent="0.25">
      <c r="A4172" s="5">
        <v>3412210</v>
      </c>
      <c r="B4172" s="1">
        <v>2015</v>
      </c>
      <c r="C4172" s="1" t="s">
        <v>1387</v>
      </c>
      <c r="D4172" s="1" t="s">
        <v>553</v>
      </c>
      <c r="E4172" s="8">
        <v>85338</v>
      </c>
      <c r="F4172" s="5">
        <v>3412210</v>
      </c>
    </row>
    <row r="4173" spans="1:6" x14ac:dyDescent="0.25">
      <c r="A4173" s="5">
        <v>3412210</v>
      </c>
      <c r="B4173" s="1">
        <v>2016</v>
      </c>
      <c r="C4173" s="1" t="s">
        <v>1387</v>
      </c>
      <c r="D4173" s="1" t="s">
        <v>553</v>
      </c>
      <c r="E4173" s="8">
        <v>135393</v>
      </c>
      <c r="F4173" s="5">
        <v>3412210</v>
      </c>
    </row>
    <row r="4174" spans="1:6" x14ac:dyDescent="0.25">
      <c r="A4174" s="5">
        <v>3412210</v>
      </c>
      <c r="B4174" s="1">
        <v>2017</v>
      </c>
      <c r="C4174" s="1" t="s">
        <v>1387</v>
      </c>
      <c r="D4174" s="1" t="s">
        <v>553</v>
      </c>
      <c r="E4174" s="8">
        <v>188732</v>
      </c>
      <c r="F4174" s="5">
        <v>3412210</v>
      </c>
    </row>
    <row r="4175" spans="1:6" x14ac:dyDescent="0.25">
      <c r="A4175" s="5">
        <v>3412210</v>
      </c>
      <c r="B4175" s="1">
        <v>2018</v>
      </c>
      <c r="C4175" s="1" t="s">
        <v>1387</v>
      </c>
      <c r="D4175" s="1" t="s">
        <v>1245</v>
      </c>
      <c r="E4175" s="8">
        <v>266002</v>
      </c>
      <c r="F4175" s="5">
        <v>3412210</v>
      </c>
    </row>
    <row r="4176" spans="1:6" x14ac:dyDescent="0.25">
      <c r="A4176" s="5">
        <v>3412210</v>
      </c>
      <c r="B4176" s="1">
        <v>2019</v>
      </c>
      <c r="C4176" s="1" t="s">
        <v>1387</v>
      </c>
      <c r="D4176" s="1" t="s">
        <v>1245</v>
      </c>
      <c r="E4176" s="8">
        <v>326695</v>
      </c>
      <c r="F4176" s="5">
        <v>3412210</v>
      </c>
    </row>
    <row r="4177" spans="1:6" ht="20" x14ac:dyDescent="0.25">
      <c r="A4177" s="5">
        <v>3412210</v>
      </c>
      <c r="B4177" s="1">
        <v>2020</v>
      </c>
      <c r="C4177" s="1" t="s">
        <v>1387</v>
      </c>
      <c r="D4177" s="2" t="s">
        <v>1245</v>
      </c>
      <c r="E4177" s="7">
        <v>378528</v>
      </c>
      <c r="F4177" s="5">
        <v>3412210</v>
      </c>
    </row>
    <row r="4178" spans="1:6" ht="20" x14ac:dyDescent="0.25">
      <c r="A4178" s="5">
        <v>3412210</v>
      </c>
      <c r="B4178" s="1">
        <v>2021</v>
      </c>
      <c r="C4178" s="1" t="s">
        <v>1387</v>
      </c>
      <c r="D4178" s="3" t="s">
        <v>1245</v>
      </c>
      <c r="E4178" s="7">
        <v>505550</v>
      </c>
      <c r="F4178" s="5">
        <v>3412210</v>
      </c>
    </row>
    <row r="4179" spans="1:6" ht="20" x14ac:dyDescent="0.25">
      <c r="A4179" s="5">
        <v>3412210</v>
      </c>
      <c r="B4179" s="1">
        <v>2022</v>
      </c>
      <c r="C4179" s="1" t="s">
        <v>1387</v>
      </c>
      <c r="D4179" s="2" t="s">
        <v>1245</v>
      </c>
      <c r="E4179" s="7">
        <v>749597</v>
      </c>
      <c r="F4179" s="5">
        <v>3412210</v>
      </c>
    </row>
    <row r="4180" spans="1:6" ht="20" x14ac:dyDescent="0.25">
      <c r="A4180" s="5">
        <v>3412210</v>
      </c>
      <c r="B4180" s="1">
        <v>2023</v>
      </c>
      <c r="C4180" s="1" t="s">
        <v>1387</v>
      </c>
      <c r="D4180" s="2" t="s">
        <v>1245</v>
      </c>
      <c r="E4180" s="7">
        <v>731113</v>
      </c>
      <c r="F4180" s="5">
        <v>3412210</v>
      </c>
    </row>
    <row r="4181" spans="1:6" x14ac:dyDescent="0.25">
      <c r="A4181" s="5">
        <v>3412240</v>
      </c>
      <c r="B4181" s="1">
        <v>2015</v>
      </c>
      <c r="C4181" s="1" t="s">
        <v>1387</v>
      </c>
      <c r="D4181" s="1" t="s">
        <v>77</v>
      </c>
      <c r="E4181" s="8">
        <v>261849</v>
      </c>
      <c r="F4181" s="5">
        <v>3412240</v>
      </c>
    </row>
    <row r="4182" spans="1:6" x14ac:dyDescent="0.25">
      <c r="A4182" s="5">
        <v>3412240</v>
      </c>
      <c r="B4182" s="1">
        <v>2016</v>
      </c>
      <c r="C4182" s="1" t="s">
        <v>1387</v>
      </c>
      <c r="D4182" s="1" t="s">
        <v>77</v>
      </c>
      <c r="E4182" s="8">
        <v>364368</v>
      </c>
      <c r="F4182" s="5">
        <v>3412240</v>
      </c>
    </row>
    <row r="4183" spans="1:6" x14ac:dyDescent="0.25">
      <c r="A4183" s="5">
        <v>3412240</v>
      </c>
      <c r="B4183" s="1">
        <v>2017</v>
      </c>
      <c r="C4183" s="1" t="s">
        <v>1387</v>
      </c>
      <c r="D4183" s="1" t="s">
        <v>77</v>
      </c>
      <c r="E4183" s="8">
        <v>512636</v>
      </c>
      <c r="F4183" s="5">
        <v>3412240</v>
      </c>
    </row>
    <row r="4184" spans="1:6" x14ac:dyDescent="0.25">
      <c r="A4184" s="5">
        <v>3412240</v>
      </c>
      <c r="B4184" s="1">
        <v>2018</v>
      </c>
      <c r="C4184" s="1" t="s">
        <v>1387</v>
      </c>
      <c r="D4184" s="1" t="s">
        <v>755</v>
      </c>
      <c r="E4184" s="8">
        <v>677783</v>
      </c>
      <c r="F4184" s="5">
        <v>3412240</v>
      </c>
    </row>
    <row r="4185" spans="1:6" x14ac:dyDescent="0.25">
      <c r="A4185" s="5">
        <v>3412240</v>
      </c>
      <c r="B4185" s="1">
        <v>2019</v>
      </c>
      <c r="C4185" s="1" t="s">
        <v>1387</v>
      </c>
      <c r="D4185" s="1" t="s">
        <v>755</v>
      </c>
      <c r="E4185" s="8">
        <v>957837</v>
      </c>
      <c r="F4185" s="5">
        <v>3412240</v>
      </c>
    </row>
    <row r="4186" spans="1:6" ht="20" x14ac:dyDescent="0.25">
      <c r="A4186" s="5">
        <v>3412240</v>
      </c>
      <c r="B4186" s="1">
        <v>2020</v>
      </c>
      <c r="C4186" s="1" t="s">
        <v>1387</v>
      </c>
      <c r="D4186" s="2" t="s">
        <v>755</v>
      </c>
      <c r="E4186" s="7">
        <v>1120662</v>
      </c>
      <c r="F4186" s="5">
        <v>3412240</v>
      </c>
    </row>
    <row r="4187" spans="1:6" ht="20" x14ac:dyDescent="0.25">
      <c r="A4187" s="5">
        <v>3412240</v>
      </c>
      <c r="B4187" s="1">
        <v>2021</v>
      </c>
      <c r="C4187" s="1" t="s">
        <v>1387</v>
      </c>
      <c r="D4187" s="3" t="s">
        <v>755</v>
      </c>
      <c r="E4187" s="7">
        <v>1480303</v>
      </c>
      <c r="F4187" s="5">
        <v>3412240</v>
      </c>
    </row>
    <row r="4188" spans="1:6" ht="20" x14ac:dyDescent="0.25">
      <c r="A4188" s="5">
        <v>3412240</v>
      </c>
      <c r="B4188" s="1">
        <v>2022</v>
      </c>
      <c r="C4188" s="1" t="s">
        <v>1387</v>
      </c>
      <c r="D4188" s="2" t="s">
        <v>755</v>
      </c>
      <c r="E4188" s="7">
        <v>2108613</v>
      </c>
      <c r="F4188" s="5">
        <v>3412240</v>
      </c>
    </row>
    <row r="4189" spans="1:6" ht="20" x14ac:dyDescent="0.25">
      <c r="A4189" s="5">
        <v>3412240</v>
      </c>
      <c r="B4189" s="1">
        <v>2023</v>
      </c>
      <c r="C4189" s="1" t="s">
        <v>1387</v>
      </c>
      <c r="D4189" s="2" t="s">
        <v>755</v>
      </c>
      <c r="E4189" s="7">
        <v>2101123</v>
      </c>
      <c r="F4189" s="5">
        <v>3412240</v>
      </c>
    </row>
    <row r="4190" spans="1:6" x14ac:dyDescent="0.25">
      <c r="A4190" s="5">
        <v>3412260</v>
      </c>
      <c r="B4190" s="1">
        <v>2015</v>
      </c>
      <c r="C4190" s="1" t="s">
        <v>1387</v>
      </c>
      <c r="D4190" s="1" t="s">
        <v>87</v>
      </c>
      <c r="E4190" s="8">
        <v>744381</v>
      </c>
      <c r="F4190" s="5">
        <v>3412260</v>
      </c>
    </row>
    <row r="4191" spans="1:6" x14ac:dyDescent="0.25">
      <c r="A4191" s="5">
        <v>3412260</v>
      </c>
      <c r="B4191" s="1">
        <v>2016</v>
      </c>
      <c r="C4191" s="1" t="s">
        <v>1387</v>
      </c>
      <c r="D4191" s="1" t="s">
        <v>87</v>
      </c>
      <c r="E4191" s="8">
        <v>1094258</v>
      </c>
      <c r="F4191" s="5">
        <v>3412260</v>
      </c>
    </row>
    <row r="4192" spans="1:6" x14ac:dyDescent="0.25">
      <c r="A4192" s="5">
        <v>3412260</v>
      </c>
      <c r="B4192" s="1">
        <v>2017</v>
      </c>
      <c r="C4192" s="1" t="s">
        <v>1387</v>
      </c>
      <c r="D4192" s="1" t="s">
        <v>87</v>
      </c>
      <c r="E4192" s="8">
        <v>1653064</v>
      </c>
      <c r="F4192" s="5">
        <v>3412260</v>
      </c>
    </row>
    <row r="4193" spans="1:6" x14ac:dyDescent="0.25">
      <c r="A4193" s="5">
        <v>3412260</v>
      </c>
      <c r="B4193" s="1">
        <v>2018</v>
      </c>
      <c r="C4193" s="1" t="s">
        <v>1387</v>
      </c>
      <c r="D4193" s="1" t="s">
        <v>766</v>
      </c>
      <c r="E4193" s="8">
        <v>2124032</v>
      </c>
      <c r="F4193" s="5">
        <v>3412260</v>
      </c>
    </row>
    <row r="4194" spans="1:6" x14ac:dyDescent="0.25">
      <c r="A4194" s="5">
        <v>3412260</v>
      </c>
      <c r="B4194" s="1">
        <v>2019</v>
      </c>
      <c r="C4194" s="1" t="s">
        <v>1387</v>
      </c>
      <c r="D4194" s="1" t="s">
        <v>766</v>
      </c>
      <c r="E4194" s="8">
        <v>2895863</v>
      </c>
      <c r="F4194" s="5">
        <v>3412260</v>
      </c>
    </row>
    <row r="4195" spans="1:6" ht="20" x14ac:dyDescent="0.25">
      <c r="A4195" s="5">
        <v>3412260</v>
      </c>
      <c r="B4195" s="1">
        <v>2020</v>
      </c>
      <c r="C4195" s="1" t="s">
        <v>1387</v>
      </c>
      <c r="D4195" s="2" t="s">
        <v>766</v>
      </c>
      <c r="E4195" s="7">
        <v>3218688</v>
      </c>
      <c r="F4195" s="5">
        <v>3412260</v>
      </c>
    </row>
    <row r="4196" spans="1:6" ht="20" x14ac:dyDescent="0.25">
      <c r="A4196" s="5">
        <v>3412260</v>
      </c>
      <c r="B4196" s="1">
        <v>2021</v>
      </c>
      <c r="C4196" s="1" t="s">
        <v>1387</v>
      </c>
      <c r="D4196" s="3" t="s">
        <v>766</v>
      </c>
      <c r="E4196" s="7">
        <v>4178770</v>
      </c>
      <c r="F4196" s="5">
        <v>3412260</v>
      </c>
    </row>
    <row r="4197" spans="1:6" ht="20" x14ac:dyDescent="0.25">
      <c r="A4197" s="5">
        <v>3412260</v>
      </c>
      <c r="B4197" s="1">
        <v>2022</v>
      </c>
      <c r="C4197" s="1" t="s">
        <v>1387</v>
      </c>
      <c r="D4197" s="2" t="s">
        <v>766</v>
      </c>
      <c r="E4197" s="7">
        <v>6013953</v>
      </c>
      <c r="F4197" s="5">
        <v>3412260</v>
      </c>
    </row>
    <row r="4198" spans="1:6" ht="20" x14ac:dyDescent="0.25">
      <c r="A4198" s="5">
        <v>3412260</v>
      </c>
      <c r="B4198" s="1">
        <v>2023</v>
      </c>
      <c r="C4198" s="1" t="s">
        <v>1387</v>
      </c>
      <c r="D4198" s="2" t="s">
        <v>766</v>
      </c>
      <c r="E4198" s="7">
        <v>6113368</v>
      </c>
      <c r="F4198" s="5">
        <v>3412260</v>
      </c>
    </row>
    <row r="4199" spans="1:6" x14ac:dyDescent="0.25">
      <c r="A4199" s="5">
        <v>3412270</v>
      </c>
      <c r="B4199" s="1">
        <v>2015</v>
      </c>
      <c r="C4199" s="1" t="s">
        <v>1387</v>
      </c>
      <c r="D4199" s="1" t="s">
        <v>259</v>
      </c>
      <c r="E4199" s="8">
        <v>1980224</v>
      </c>
      <c r="F4199" s="5">
        <v>3412270</v>
      </c>
    </row>
    <row r="4200" spans="1:6" x14ac:dyDescent="0.25">
      <c r="A4200" s="5">
        <v>3412270</v>
      </c>
      <c r="B4200" s="1">
        <v>2016</v>
      </c>
      <c r="C4200" s="1" t="s">
        <v>1387</v>
      </c>
      <c r="D4200" s="1" t="s">
        <v>259</v>
      </c>
      <c r="E4200" s="8">
        <v>3042607</v>
      </c>
      <c r="F4200" s="5">
        <v>3412270</v>
      </c>
    </row>
    <row r="4201" spans="1:6" x14ac:dyDescent="0.25">
      <c r="A4201" s="5">
        <v>3412270</v>
      </c>
      <c r="B4201" s="1">
        <v>2017</v>
      </c>
      <c r="C4201" s="1" t="s">
        <v>1387</v>
      </c>
      <c r="D4201" s="1" t="s">
        <v>259</v>
      </c>
      <c r="E4201" s="8">
        <v>4164504</v>
      </c>
      <c r="F4201" s="5">
        <v>3412270</v>
      </c>
    </row>
    <row r="4202" spans="1:6" x14ac:dyDescent="0.25">
      <c r="A4202" s="5">
        <v>3412270</v>
      </c>
      <c r="B4202" s="1">
        <v>2018</v>
      </c>
      <c r="C4202" s="1" t="s">
        <v>1387</v>
      </c>
      <c r="D4202" s="1" t="s">
        <v>948</v>
      </c>
      <c r="E4202" s="8">
        <v>5594611</v>
      </c>
      <c r="F4202" s="5">
        <v>3412270</v>
      </c>
    </row>
    <row r="4203" spans="1:6" x14ac:dyDescent="0.25">
      <c r="A4203" s="5">
        <v>3412270</v>
      </c>
      <c r="B4203" s="1">
        <v>2019</v>
      </c>
      <c r="C4203" s="1" t="s">
        <v>1387</v>
      </c>
      <c r="D4203" s="1" t="s">
        <v>948</v>
      </c>
      <c r="E4203" s="8">
        <v>7447930</v>
      </c>
      <c r="F4203" s="5">
        <v>3412270</v>
      </c>
    </row>
    <row r="4204" spans="1:6" ht="20" x14ac:dyDescent="0.25">
      <c r="A4204" s="5">
        <v>3412270</v>
      </c>
      <c r="B4204" s="1">
        <v>2020</v>
      </c>
      <c r="C4204" s="1" t="s">
        <v>1387</v>
      </c>
      <c r="D4204" s="2" t="s">
        <v>948</v>
      </c>
      <c r="E4204" s="7">
        <v>7910986</v>
      </c>
      <c r="F4204" s="5">
        <v>3412270</v>
      </c>
    </row>
    <row r="4205" spans="1:6" ht="20" x14ac:dyDescent="0.25">
      <c r="A4205" s="5">
        <v>3412270</v>
      </c>
      <c r="B4205" s="1">
        <v>2021</v>
      </c>
      <c r="C4205" s="1" t="s">
        <v>1387</v>
      </c>
      <c r="D4205" s="3" t="s">
        <v>948</v>
      </c>
      <c r="E4205" s="7">
        <v>10974365</v>
      </c>
      <c r="F4205" s="5">
        <v>3412270</v>
      </c>
    </row>
    <row r="4206" spans="1:6" ht="20" x14ac:dyDescent="0.25">
      <c r="A4206" s="5">
        <v>3412270</v>
      </c>
      <c r="B4206" s="1">
        <v>2022</v>
      </c>
      <c r="C4206" s="1" t="s">
        <v>1387</v>
      </c>
      <c r="D4206" s="2" t="s">
        <v>948</v>
      </c>
      <c r="E4206" s="7">
        <v>16107074</v>
      </c>
      <c r="F4206" s="5">
        <v>3412270</v>
      </c>
    </row>
    <row r="4207" spans="1:6" ht="20" x14ac:dyDescent="0.25">
      <c r="A4207" s="5">
        <v>3412270</v>
      </c>
      <c r="B4207" s="1">
        <v>2023</v>
      </c>
      <c r="C4207" s="1" t="s">
        <v>1387</v>
      </c>
      <c r="D4207" s="2" t="s">
        <v>948</v>
      </c>
      <c r="E4207" s="7">
        <v>16677358</v>
      </c>
      <c r="F4207" s="5">
        <v>3412270</v>
      </c>
    </row>
    <row r="4208" spans="1:6" x14ac:dyDescent="0.25">
      <c r="A4208" s="5">
        <v>3412300</v>
      </c>
      <c r="B4208" s="1">
        <v>2015</v>
      </c>
      <c r="C4208" s="1" t="s">
        <v>1387</v>
      </c>
      <c r="D4208" s="1" t="s">
        <v>652</v>
      </c>
      <c r="E4208" s="8">
        <v>101399</v>
      </c>
      <c r="F4208" s="5">
        <v>3412300</v>
      </c>
    </row>
    <row r="4209" spans="1:6" x14ac:dyDescent="0.25">
      <c r="A4209" s="5">
        <v>3412300</v>
      </c>
      <c r="B4209" s="1">
        <v>2016</v>
      </c>
      <c r="C4209" s="1" t="s">
        <v>1387</v>
      </c>
      <c r="D4209" s="1" t="s">
        <v>652</v>
      </c>
      <c r="E4209" s="8">
        <v>156867</v>
      </c>
      <c r="F4209" s="5">
        <v>3412300</v>
      </c>
    </row>
    <row r="4210" spans="1:6" x14ac:dyDescent="0.25">
      <c r="A4210" s="5">
        <v>3412300</v>
      </c>
      <c r="B4210" s="1">
        <v>2017</v>
      </c>
      <c r="C4210" s="1" t="s">
        <v>1387</v>
      </c>
      <c r="D4210" s="1" t="s">
        <v>652</v>
      </c>
      <c r="E4210" s="8">
        <v>246842</v>
      </c>
      <c r="F4210" s="5">
        <v>3412300</v>
      </c>
    </row>
    <row r="4211" spans="1:6" x14ac:dyDescent="0.25">
      <c r="A4211" s="5">
        <v>3412300</v>
      </c>
      <c r="B4211" s="1">
        <v>2018</v>
      </c>
      <c r="C4211" s="1" t="s">
        <v>1387</v>
      </c>
      <c r="D4211" s="1" t="s">
        <v>1345</v>
      </c>
      <c r="E4211" s="8">
        <v>342146</v>
      </c>
      <c r="F4211" s="5">
        <v>3412300</v>
      </c>
    </row>
    <row r="4212" spans="1:6" x14ac:dyDescent="0.25">
      <c r="A4212" s="5">
        <v>3412300</v>
      </c>
      <c r="B4212" s="1">
        <v>2019</v>
      </c>
      <c r="C4212" s="1" t="s">
        <v>1387</v>
      </c>
      <c r="D4212" s="1" t="s">
        <v>1345</v>
      </c>
      <c r="E4212" s="8">
        <v>448083</v>
      </c>
      <c r="F4212" s="5">
        <v>3412300</v>
      </c>
    </row>
    <row r="4213" spans="1:6" ht="20" x14ac:dyDescent="0.25">
      <c r="A4213" s="5">
        <v>3412300</v>
      </c>
      <c r="B4213" s="1">
        <v>2020</v>
      </c>
      <c r="C4213" s="1" t="s">
        <v>1387</v>
      </c>
      <c r="D4213" s="2" t="s">
        <v>1345</v>
      </c>
      <c r="E4213" s="7">
        <v>462453</v>
      </c>
      <c r="F4213" s="5">
        <v>3412300</v>
      </c>
    </row>
    <row r="4214" spans="1:6" ht="20" x14ac:dyDescent="0.25">
      <c r="A4214" s="5">
        <v>3412300</v>
      </c>
      <c r="B4214" s="1">
        <v>2021</v>
      </c>
      <c r="C4214" s="1" t="s">
        <v>1387</v>
      </c>
      <c r="D4214" s="3" t="s">
        <v>1345</v>
      </c>
      <c r="E4214" s="7">
        <v>628474</v>
      </c>
      <c r="F4214" s="5">
        <v>3412300</v>
      </c>
    </row>
    <row r="4215" spans="1:6" ht="20" x14ac:dyDescent="0.25">
      <c r="A4215" s="5">
        <v>3412300</v>
      </c>
      <c r="B4215" s="1">
        <v>2022</v>
      </c>
      <c r="C4215" s="1" t="s">
        <v>1387</v>
      </c>
      <c r="D4215" s="2" t="s">
        <v>1345</v>
      </c>
      <c r="E4215" s="7">
        <v>854028</v>
      </c>
      <c r="F4215" s="5">
        <v>3412300</v>
      </c>
    </row>
    <row r="4216" spans="1:6" ht="20" x14ac:dyDescent="0.25">
      <c r="A4216" s="5">
        <v>3412300</v>
      </c>
      <c r="B4216" s="1">
        <v>2023</v>
      </c>
      <c r="C4216" s="1" t="s">
        <v>1387</v>
      </c>
      <c r="D4216" s="2" t="s">
        <v>1345</v>
      </c>
      <c r="E4216" s="7">
        <v>770566</v>
      </c>
      <c r="F4216" s="5">
        <v>3412300</v>
      </c>
    </row>
    <row r="4217" spans="1:6" x14ac:dyDescent="0.25">
      <c r="A4217" s="5">
        <v>3412360</v>
      </c>
      <c r="B4217" s="1">
        <v>2015</v>
      </c>
      <c r="C4217" s="1" t="s">
        <v>1387</v>
      </c>
      <c r="D4217" s="1" t="s">
        <v>78</v>
      </c>
      <c r="E4217" s="8">
        <v>578849</v>
      </c>
      <c r="F4217" s="5">
        <v>3412360</v>
      </c>
    </row>
    <row r="4218" spans="1:6" x14ac:dyDescent="0.25">
      <c r="A4218" s="5">
        <v>3412360</v>
      </c>
      <c r="B4218" s="1">
        <v>2016</v>
      </c>
      <c r="C4218" s="1" t="s">
        <v>1387</v>
      </c>
      <c r="D4218" s="1" t="s">
        <v>78</v>
      </c>
      <c r="E4218" s="8">
        <v>819643</v>
      </c>
      <c r="F4218" s="5">
        <v>3412360</v>
      </c>
    </row>
    <row r="4219" spans="1:6" x14ac:dyDescent="0.25">
      <c r="A4219" s="5">
        <v>3412360</v>
      </c>
      <c r="B4219" s="1">
        <v>2017</v>
      </c>
      <c r="C4219" s="1" t="s">
        <v>1387</v>
      </c>
      <c r="D4219" s="1" t="s">
        <v>78</v>
      </c>
      <c r="E4219" s="8">
        <v>1124501</v>
      </c>
      <c r="F4219" s="5">
        <v>3412360</v>
      </c>
    </row>
    <row r="4220" spans="1:6" x14ac:dyDescent="0.25">
      <c r="A4220" s="5">
        <v>3412360</v>
      </c>
      <c r="B4220" s="1">
        <v>2018</v>
      </c>
      <c r="C4220" s="1" t="s">
        <v>1387</v>
      </c>
      <c r="D4220" s="1" t="s">
        <v>756</v>
      </c>
      <c r="E4220" s="8">
        <v>1633327</v>
      </c>
      <c r="F4220" s="5">
        <v>3412360</v>
      </c>
    </row>
    <row r="4221" spans="1:6" x14ac:dyDescent="0.25">
      <c r="A4221" s="5">
        <v>3412360</v>
      </c>
      <c r="B4221" s="1">
        <v>2019</v>
      </c>
      <c r="C4221" s="1" t="s">
        <v>1387</v>
      </c>
      <c r="D4221" s="1" t="s">
        <v>756</v>
      </c>
      <c r="E4221" s="8">
        <v>2303004</v>
      </c>
      <c r="F4221" s="5">
        <v>3412360</v>
      </c>
    </row>
    <row r="4222" spans="1:6" ht="20" x14ac:dyDescent="0.25">
      <c r="A4222" s="5">
        <v>3412360</v>
      </c>
      <c r="B4222" s="1">
        <v>2020</v>
      </c>
      <c r="C4222" s="1" t="s">
        <v>1387</v>
      </c>
      <c r="D4222" s="2" t="s">
        <v>756</v>
      </c>
      <c r="E4222" s="7">
        <v>2562919</v>
      </c>
      <c r="F4222" s="5">
        <v>3412360</v>
      </c>
    </row>
    <row r="4223" spans="1:6" ht="20" x14ac:dyDescent="0.25">
      <c r="A4223" s="5">
        <v>3412360</v>
      </c>
      <c r="B4223" s="1">
        <v>2021</v>
      </c>
      <c r="C4223" s="1" t="s">
        <v>1387</v>
      </c>
      <c r="D4223" s="3" t="s">
        <v>756</v>
      </c>
      <c r="E4223" s="7">
        <v>3261575</v>
      </c>
      <c r="F4223" s="5">
        <v>3412360</v>
      </c>
    </row>
    <row r="4224" spans="1:6" ht="20" x14ac:dyDescent="0.25">
      <c r="A4224" s="5">
        <v>3412360</v>
      </c>
      <c r="B4224" s="1">
        <v>2022</v>
      </c>
      <c r="C4224" s="1" t="s">
        <v>1387</v>
      </c>
      <c r="D4224" s="2" t="s">
        <v>756</v>
      </c>
      <c r="E4224" s="7">
        <v>4569008</v>
      </c>
      <c r="F4224" s="5">
        <v>3412360</v>
      </c>
    </row>
    <row r="4225" spans="1:6" ht="20" x14ac:dyDescent="0.25">
      <c r="A4225" s="5">
        <v>3412360</v>
      </c>
      <c r="B4225" s="1">
        <v>2023</v>
      </c>
      <c r="C4225" s="1" t="s">
        <v>1387</v>
      </c>
      <c r="D4225" s="2" t="s">
        <v>756</v>
      </c>
      <c r="E4225" s="7">
        <v>4371636</v>
      </c>
      <c r="F4225" s="5">
        <v>3412360</v>
      </c>
    </row>
    <row r="4226" spans="1:6" x14ac:dyDescent="0.25">
      <c r="A4226" s="5">
        <v>3412390</v>
      </c>
      <c r="B4226" s="1">
        <v>2015</v>
      </c>
      <c r="C4226" s="1" t="s">
        <v>1387</v>
      </c>
      <c r="D4226" s="1" t="s">
        <v>134</v>
      </c>
      <c r="E4226" s="8">
        <v>332432</v>
      </c>
      <c r="F4226" s="5">
        <v>3412390</v>
      </c>
    </row>
    <row r="4227" spans="1:6" x14ac:dyDescent="0.25">
      <c r="A4227" s="5">
        <v>3412390</v>
      </c>
      <c r="B4227" s="1">
        <v>2016</v>
      </c>
      <c r="C4227" s="1" t="s">
        <v>1387</v>
      </c>
      <c r="D4227" s="1" t="s">
        <v>134</v>
      </c>
      <c r="E4227" s="8">
        <v>496608</v>
      </c>
      <c r="F4227" s="5">
        <v>3412390</v>
      </c>
    </row>
    <row r="4228" spans="1:6" x14ac:dyDescent="0.25">
      <c r="A4228" s="5">
        <v>3412390</v>
      </c>
      <c r="B4228" s="1">
        <v>2017</v>
      </c>
      <c r="C4228" s="1" t="s">
        <v>1387</v>
      </c>
      <c r="D4228" s="1" t="s">
        <v>134</v>
      </c>
      <c r="E4228" s="8">
        <v>702302</v>
      </c>
      <c r="F4228" s="5">
        <v>3412390</v>
      </c>
    </row>
    <row r="4229" spans="1:6" x14ac:dyDescent="0.25">
      <c r="A4229" s="5">
        <v>3412390</v>
      </c>
      <c r="B4229" s="1">
        <v>2018</v>
      </c>
      <c r="C4229" s="1" t="s">
        <v>1387</v>
      </c>
      <c r="D4229" s="1" t="s">
        <v>815</v>
      </c>
      <c r="E4229" s="8">
        <v>963686</v>
      </c>
      <c r="F4229" s="5">
        <v>3412390</v>
      </c>
    </row>
    <row r="4230" spans="1:6" x14ac:dyDescent="0.25">
      <c r="A4230" s="5">
        <v>3412390</v>
      </c>
      <c r="B4230" s="1">
        <v>2019</v>
      </c>
      <c r="C4230" s="1" t="s">
        <v>1387</v>
      </c>
      <c r="D4230" s="1" t="s">
        <v>815</v>
      </c>
      <c r="E4230" s="8">
        <v>1271817</v>
      </c>
      <c r="F4230" s="5">
        <v>3412390</v>
      </c>
    </row>
    <row r="4231" spans="1:6" ht="20" x14ac:dyDescent="0.25">
      <c r="A4231" s="5">
        <v>3412390</v>
      </c>
      <c r="B4231" s="1">
        <v>2020</v>
      </c>
      <c r="C4231" s="1" t="s">
        <v>1387</v>
      </c>
      <c r="D4231" s="2" t="s">
        <v>815</v>
      </c>
      <c r="E4231" s="7">
        <v>1394636</v>
      </c>
      <c r="F4231" s="5">
        <v>3412390</v>
      </c>
    </row>
    <row r="4232" spans="1:6" ht="20" x14ac:dyDescent="0.25">
      <c r="A4232" s="5">
        <v>3412390</v>
      </c>
      <c r="B4232" s="1">
        <v>2021</v>
      </c>
      <c r="C4232" s="1" t="s">
        <v>1387</v>
      </c>
      <c r="D4232" s="3" t="s">
        <v>815</v>
      </c>
      <c r="E4232" s="7">
        <v>1806681</v>
      </c>
      <c r="F4232" s="5">
        <v>3412390</v>
      </c>
    </row>
    <row r="4233" spans="1:6" ht="20" x14ac:dyDescent="0.25">
      <c r="A4233" s="5">
        <v>3412390</v>
      </c>
      <c r="B4233" s="1">
        <v>2022</v>
      </c>
      <c r="C4233" s="1" t="s">
        <v>1387</v>
      </c>
      <c r="D4233" s="2" t="s">
        <v>815</v>
      </c>
      <c r="E4233" s="7">
        <v>2586071</v>
      </c>
      <c r="F4233" s="5">
        <v>3412390</v>
      </c>
    </row>
    <row r="4234" spans="1:6" ht="20" x14ac:dyDescent="0.25">
      <c r="A4234" s="5">
        <v>3412390</v>
      </c>
      <c r="B4234" s="1">
        <v>2023</v>
      </c>
      <c r="C4234" s="1" t="s">
        <v>1387</v>
      </c>
      <c r="D4234" s="2" t="s">
        <v>815</v>
      </c>
      <c r="E4234" s="7">
        <v>2684629</v>
      </c>
      <c r="F4234" s="5">
        <v>3412390</v>
      </c>
    </row>
    <row r="4235" spans="1:6" x14ac:dyDescent="0.25">
      <c r="A4235" s="5">
        <v>3412420</v>
      </c>
      <c r="B4235" s="1">
        <v>2015</v>
      </c>
      <c r="C4235" s="1" t="s">
        <v>1387</v>
      </c>
      <c r="D4235" s="1" t="s">
        <v>79</v>
      </c>
      <c r="E4235" s="8">
        <v>1561399</v>
      </c>
      <c r="F4235" s="5">
        <v>3412420</v>
      </c>
    </row>
    <row r="4236" spans="1:6" x14ac:dyDescent="0.25">
      <c r="A4236" s="5">
        <v>3412420</v>
      </c>
      <c r="B4236" s="1">
        <v>2016</v>
      </c>
      <c r="C4236" s="1" t="s">
        <v>1387</v>
      </c>
      <c r="D4236" s="1" t="s">
        <v>79</v>
      </c>
      <c r="E4236" s="8">
        <v>2367010</v>
      </c>
      <c r="F4236" s="5">
        <v>3412420</v>
      </c>
    </row>
    <row r="4237" spans="1:6" x14ac:dyDescent="0.25">
      <c r="A4237" s="5">
        <v>3412420</v>
      </c>
      <c r="B4237" s="1">
        <v>2017</v>
      </c>
      <c r="C4237" s="1" t="s">
        <v>1387</v>
      </c>
      <c r="D4237" s="1" t="s">
        <v>79</v>
      </c>
      <c r="E4237" s="8">
        <v>3282095</v>
      </c>
      <c r="F4237" s="5">
        <v>3412420</v>
      </c>
    </row>
    <row r="4238" spans="1:6" x14ac:dyDescent="0.25">
      <c r="A4238" s="5">
        <v>3412420</v>
      </c>
      <c r="B4238" s="1">
        <v>2018</v>
      </c>
      <c r="C4238" s="1" t="s">
        <v>1387</v>
      </c>
      <c r="D4238" s="1" t="s">
        <v>757</v>
      </c>
      <c r="E4238" s="8">
        <v>4464216</v>
      </c>
      <c r="F4238" s="5">
        <v>3412420</v>
      </c>
    </row>
    <row r="4239" spans="1:6" x14ac:dyDescent="0.25">
      <c r="A4239" s="5">
        <v>3412420</v>
      </c>
      <c r="B4239" s="1">
        <v>2019</v>
      </c>
      <c r="C4239" s="1" t="s">
        <v>1387</v>
      </c>
      <c r="D4239" s="1" t="s">
        <v>757</v>
      </c>
      <c r="E4239" s="8">
        <v>6090015</v>
      </c>
      <c r="F4239" s="5">
        <v>3412420</v>
      </c>
    </row>
    <row r="4240" spans="1:6" ht="20" x14ac:dyDescent="0.25">
      <c r="A4240" s="5">
        <v>3412420</v>
      </c>
      <c r="B4240" s="1">
        <v>2020</v>
      </c>
      <c r="C4240" s="1" t="s">
        <v>1387</v>
      </c>
      <c r="D4240" s="2" t="s">
        <v>757</v>
      </c>
      <c r="E4240" s="7">
        <v>6946165</v>
      </c>
      <c r="F4240" s="5">
        <v>3412420</v>
      </c>
    </row>
    <row r="4241" spans="1:6" ht="20" x14ac:dyDescent="0.25">
      <c r="A4241" s="5">
        <v>3412420</v>
      </c>
      <c r="B4241" s="1">
        <v>2021</v>
      </c>
      <c r="C4241" s="1" t="s">
        <v>1387</v>
      </c>
      <c r="D4241" s="3" t="s">
        <v>757</v>
      </c>
      <c r="E4241" s="7">
        <v>8894444</v>
      </c>
      <c r="F4241" s="5">
        <v>3412420</v>
      </c>
    </row>
    <row r="4242" spans="1:6" ht="20" x14ac:dyDescent="0.25">
      <c r="A4242" s="5">
        <v>3412420</v>
      </c>
      <c r="B4242" s="1">
        <v>2022</v>
      </c>
      <c r="C4242" s="1" t="s">
        <v>1387</v>
      </c>
      <c r="D4242" s="2" t="s">
        <v>757</v>
      </c>
      <c r="E4242" s="7">
        <v>12764428</v>
      </c>
      <c r="F4242" s="5">
        <v>3412420</v>
      </c>
    </row>
    <row r="4243" spans="1:6" ht="20" x14ac:dyDescent="0.25">
      <c r="A4243" s="5">
        <v>3412420</v>
      </c>
      <c r="B4243" s="1">
        <v>2023</v>
      </c>
      <c r="C4243" s="1" t="s">
        <v>1387</v>
      </c>
      <c r="D4243" s="2" t="s">
        <v>757</v>
      </c>
      <c r="E4243" s="7">
        <v>12488617</v>
      </c>
      <c r="F4243" s="5">
        <v>3412420</v>
      </c>
    </row>
    <row r="4244" spans="1:6" x14ac:dyDescent="0.25">
      <c r="A4244" s="5">
        <v>3412450</v>
      </c>
      <c r="B4244" s="1">
        <v>2015</v>
      </c>
      <c r="C4244" s="1" t="s">
        <v>1387</v>
      </c>
      <c r="D4244" s="1" t="s">
        <v>80</v>
      </c>
      <c r="E4244" s="8">
        <v>631759</v>
      </c>
      <c r="F4244" s="5">
        <v>3412450</v>
      </c>
    </row>
    <row r="4245" spans="1:6" x14ac:dyDescent="0.25">
      <c r="A4245" s="5">
        <v>3412450</v>
      </c>
      <c r="B4245" s="1">
        <v>2016</v>
      </c>
      <c r="C4245" s="1" t="s">
        <v>1387</v>
      </c>
      <c r="D4245" s="1" t="s">
        <v>80</v>
      </c>
      <c r="E4245" s="8">
        <v>902259</v>
      </c>
      <c r="F4245" s="5">
        <v>3412450</v>
      </c>
    </row>
    <row r="4246" spans="1:6" x14ac:dyDescent="0.25">
      <c r="A4246" s="5">
        <v>3412450</v>
      </c>
      <c r="B4246" s="1">
        <v>2017</v>
      </c>
      <c r="C4246" s="1" t="s">
        <v>1387</v>
      </c>
      <c r="D4246" s="1" t="s">
        <v>80</v>
      </c>
      <c r="E4246" s="8">
        <v>1291444</v>
      </c>
      <c r="F4246" s="5">
        <v>3412450</v>
      </c>
    </row>
    <row r="4247" spans="1:6" x14ac:dyDescent="0.25">
      <c r="A4247" s="5">
        <v>3412450</v>
      </c>
      <c r="B4247" s="1">
        <v>2018</v>
      </c>
      <c r="C4247" s="1" t="s">
        <v>1387</v>
      </c>
      <c r="D4247" s="1" t="s">
        <v>758</v>
      </c>
      <c r="E4247" s="8">
        <v>1721351</v>
      </c>
      <c r="F4247" s="5">
        <v>3412450</v>
      </c>
    </row>
    <row r="4248" spans="1:6" x14ac:dyDescent="0.25">
      <c r="A4248" s="5">
        <v>3412450</v>
      </c>
      <c r="B4248" s="1">
        <v>2019</v>
      </c>
      <c r="C4248" s="1" t="s">
        <v>1387</v>
      </c>
      <c r="D4248" s="1" t="s">
        <v>758</v>
      </c>
      <c r="E4248" s="8">
        <v>2388702</v>
      </c>
      <c r="F4248" s="5">
        <v>3412450</v>
      </c>
    </row>
    <row r="4249" spans="1:6" ht="20" x14ac:dyDescent="0.25">
      <c r="A4249" s="5">
        <v>3412450</v>
      </c>
      <c r="B4249" s="1">
        <v>2020</v>
      </c>
      <c r="C4249" s="1" t="s">
        <v>1387</v>
      </c>
      <c r="D4249" s="2" t="s">
        <v>758</v>
      </c>
      <c r="E4249" s="7">
        <v>2736765</v>
      </c>
      <c r="F4249" s="5">
        <v>3412450</v>
      </c>
    </row>
    <row r="4250" spans="1:6" ht="20" x14ac:dyDescent="0.25">
      <c r="A4250" s="5">
        <v>3412450</v>
      </c>
      <c r="B4250" s="1">
        <v>2021</v>
      </c>
      <c r="C4250" s="1" t="s">
        <v>1387</v>
      </c>
      <c r="D4250" s="3" t="s">
        <v>758</v>
      </c>
      <c r="E4250" s="7">
        <v>3598820</v>
      </c>
      <c r="F4250" s="5">
        <v>3412450</v>
      </c>
    </row>
    <row r="4251" spans="1:6" ht="20" x14ac:dyDescent="0.25">
      <c r="A4251" s="5">
        <v>3412450</v>
      </c>
      <c r="B4251" s="1">
        <v>2022</v>
      </c>
      <c r="C4251" s="1" t="s">
        <v>1387</v>
      </c>
      <c r="D4251" s="2" t="s">
        <v>758</v>
      </c>
      <c r="E4251" s="7">
        <v>5046385</v>
      </c>
      <c r="F4251" s="5">
        <v>3412450</v>
      </c>
    </row>
    <row r="4252" spans="1:6" ht="20" x14ac:dyDescent="0.25">
      <c r="A4252" s="5">
        <v>3412450</v>
      </c>
      <c r="B4252" s="1">
        <v>2023</v>
      </c>
      <c r="C4252" s="1" t="s">
        <v>1387</v>
      </c>
      <c r="D4252" s="2" t="s">
        <v>758</v>
      </c>
      <c r="E4252" s="7">
        <v>5127287</v>
      </c>
      <c r="F4252" s="5">
        <v>3412450</v>
      </c>
    </row>
    <row r="4253" spans="1:6" x14ac:dyDescent="0.25">
      <c r="A4253" s="5">
        <v>3412480</v>
      </c>
      <c r="B4253" s="1">
        <v>2015</v>
      </c>
      <c r="C4253" s="1" t="s">
        <v>1387</v>
      </c>
      <c r="D4253" s="1" t="s">
        <v>484</v>
      </c>
      <c r="E4253" s="8">
        <v>3011097</v>
      </c>
      <c r="F4253" s="5">
        <v>3412480</v>
      </c>
    </row>
    <row r="4254" spans="1:6" x14ac:dyDescent="0.25">
      <c r="A4254" s="5">
        <v>3412480</v>
      </c>
      <c r="B4254" s="1">
        <v>2016</v>
      </c>
      <c r="C4254" s="1" t="s">
        <v>1387</v>
      </c>
      <c r="D4254" s="1" t="s">
        <v>484</v>
      </c>
      <c r="E4254" s="8">
        <v>4461826</v>
      </c>
      <c r="F4254" s="5">
        <v>3412480</v>
      </c>
    </row>
    <row r="4255" spans="1:6" x14ac:dyDescent="0.25">
      <c r="A4255" s="5">
        <v>3412480</v>
      </c>
      <c r="B4255" s="1">
        <v>2017</v>
      </c>
      <c r="C4255" s="1" t="s">
        <v>1387</v>
      </c>
      <c r="D4255" s="1" t="s">
        <v>484</v>
      </c>
      <c r="E4255" s="8">
        <v>6299214</v>
      </c>
      <c r="F4255" s="5">
        <v>3412480</v>
      </c>
    </row>
    <row r="4256" spans="1:6" x14ac:dyDescent="0.25">
      <c r="A4256" s="5">
        <v>3412480</v>
      </c>
      <c r="B4256" s="1">
        <v>2018</v>
      </c>
      <c r="C4256" s="1" t="s">
        <v>1387</v>
      </c>
      <c r="D4256" s="1" t="s">
        <v>1176</v>
      </c>
      <c r="E4256" s="8">
        <v>8564602</v>
      </c>
      <c r="F4256" s="5">
        <v>3412480</v>
      </c>
    </row>
    <row r="4257" spans="1:6" x14ac:dyDescent="0.25">
      <c r="A4257" s="5">
        <v>3412480</v>
      </c>
      <c r="B4257" s="1">
        <v>2019</v>
      </c>
      <c r="C4257" s="1" t="s">
        <v>1387</v>
      </c>
      <c r="D4257" s="1" t="s">
        <v>1176</v>
      </c>
      <c r="E4257" s="8">
        <v>11562443</v>
      </c>
      <c r="F4257" s="5">
        <v>3412480</v>
      </c>
    </row>
    <row r="4258" spans="1:6" ht="20" x14ac:dyDescent="0.25">
      <c r="A4258" s="5">
        <v>3412480</v>
      </c>
      <c r="B4258" s="1">
        <v>2020</v>
      </c>
      <c r="C4258" s="1" t="s">
        <v>1387</v>
      </c>
      <c r="D4258" s="2" t="s">
        <v>1176</v>
      </c>
      <c r="E4258" s="7">
        <v>12890507</v>
      </c>
      <c r="F4258" s="5">
        <v>3412480</v>
      </c>
    </row>
    <row r="4259" spans="1:6" ht="20" x14ac:dyDescent="0.25">
      <c r="A4259" s="5">
        <v>3412480</v>
      </c>
      <c r="B4259" s="1">
        <v>2021</v>
      </c>
      <c r="C4259" s="1" t="s">
        <v>1387</v>
      </c>
      <c r="D4259" s="3" t="s">
        <v>1176</v>
      </c>
      <c r="E4259" s="7">
        <v>16748474</v>
      </c>
      <c r="F4259" s="5">
        <v>3412480</v>
      </c>
    </row>
    <row r="4260" spans="1:6" ht="20" x14ac:dyDescent="0.25">
      <c r="A4260" s="5">
        <v>3412480</v>
      </c>
      <c r="B4260" s="1">
        <v>2022</v>
      </c>
      <c r="C4260" s="1" t="s">
        <v>1387</v>
      </c>
      <c r="D4260" s="2" t="s">
        <v>1176</v>
      </c>
      <c r="E4260" s="7">
        <v>24265138</v>
      </c>
      <c r="F4260" s="5">
        <v>3412480</v>
      </c>
    </row>
    <row r="4261" spans="1:6" ht="20" x14ac:dyDescent="0.25">
      <c r="A4261" s="5">
        <v>3412480</v>
      </c>
      <c r="B4261" s="1">
        <v>2023</v>
      </c>
      <c r="C4261" s="1" t="s">
        <v>1387</v>
      </c>
      <c r="D4261" s="2" t="s">
        <v>1176</v>
      </c>
      <c r="E4261" s="7">
        <v>24231940</v>
      </c>
      <c r="F4261" s="5">
        <v>3412480</v>
      </c>
    </row>
    <row r="4262" spans="1:6" x14ac:dyDescent="0.25">
      <c r="A4262" s="5">
        <v>3412510</v>
      </c>
      <c r="B4262" s="1">
        <v>2015</v>
      </c>
      <c r="C4262" s="1" t="s">
        <v>1387</v>
      </c>
      <c r="D4262" s="1" t="s">
        <v>81</v>
      </c>
      <c r="E4262" s="8">
        <v>994165</v>
      </c>
      <c r="F4262" s="5">
        <v>3412510</v>
      </c>
    </row>
    <row r="4263" spans="1:6" x14ac:dyDescent="0.25">
      <c r="A4263" s="5">
        <v>3412510</v>
      </c>
      <c r="B4263" s="1">
        <v>2016</v>
      </c>
      <c r="C4263" s="1" t="s">
        <v>1387</v>
      </c>
      <c r="D4263" s="1" t="s">
        <v>81</v>
      </c>
      <c r="E4263" s="8">
        <v>1501210</v>
      </c>
      <c r="F4263" s="5">
        <v>3412510</v>
      </c>
    </row>
    <row r="4264" spans="1:6" x14ac:dyDescent="0.25">
      <c r="A4264" s="5">
        <v>3412510</v>
      </c>
      <c r="B4264" s="1">
        <v>2017</v>
      </c>
      <c r="C4264" s="1" t="s">
        <v>1387</v>
      </c>
      <c r="D4264" s="1" t="s">
        <v>81</v>
      </c>
      <c r="E4264" s="8">
        <v>2180230</v>
      </c>
      <c r="F4264" s="5">
        <v>3412510</v>
      </c>
    </row>
    <row r="4265" spans="1:6" x14ac:dyDescent="0.25">
      <c r="A4265" s="5">
        <v>3412510</v>
      </c>
      <c r="B4265" s="1">
        <v>2018</v>
      </c>
      <c r="C4265" s="1" t="s">
        <v>1387</v>
      </c>
      <c r="D4265" s="1" t="s">
        <v>759</v>
      </c>
      <c r="E4265" s="8">
        <v>3031119</v>
      </c>
      <c r="F4265" s="5">
        <v>3412510</v>
      </c>
    </row>
    <row r="4266" spans="1:6" x14ac:dyDescent="0.25">
      <c r="A4266" s="5">
        <v>3412510</v>
      </c>
      <c r="B4266" s="1">
        <v>2019</v>
      </c>
      <c r="C4266" s="1" t="s">
        <v>1387</v>
      </c>
      <c r="D4266" s="1" t="s">
        <v>759</v>
      </c>
      <c r="E4266" s="8">
        <v>4009921</v>
      </c>
      <c r="F4266" s="5">
        <v>3412510</v>
      </c>
    </row>
    <row r="4267" spans="1:6" ht="20" x14ac:dyDescent="0.25">
      <c r="A4267" s="5">
        <v>3412510</v>
      </c>
      <c r="B4267" s="1">
        <v>2020</v>
      </c>
      <c r="C4267" s="1" t="s">
        <v>1387</v>
      </c>
      <c r="D4267" s="2" t="s">
        <v>759</v>
      </c>
      <c r="E4267" s="7">
        <v>4538242</v>
      </c>
      <c r="F4267" s="5">
        <v>3412510</v>
      </c>
    </row>
    <row r="4268" spans="1:6" ht="20" x14ac:dyDescent="0.25">
      <c r="A4268" s="5">
        <v>3412510</v>
      </c>
      <c r="B4268" s="1">
        <v>2021</v>
      </c>
      <c r="C4268" s="1" t="s">
        <v>1387</v>
      </c>
      <c r="D4268" s="3" t="s">
        <v>759</v>
      </c>
      <c r="E4268" s="7">
        <v>5851507</v>
      </c>
      <c r="F4268" s="5">
        <v>3412510</v>
      </c>
    </row>
    <row r="4269" spans="1:6" ht="20" x14ac:dyDescent="0.25">
      <c r="A4269" s="5">
        <v>3412510</v>
      </c>
      <c r="B4269" s="1">
        <v>2022</v>
      </c>
      <c r="C4269" s="1" t="s">
        <v>1387</v>
      </c>
      <c r="D4269" s="2" t="s">
        <v>759</v>
      </c>
      <c r="E4269" s="7">
        <v>8355535</v>
      </c>
      <c r="F4269" s="5">
        <v>3412510</v>
      </c>
    </row>
    <row r="4270" spans="1:6" ht="20" x14ac:dyDescent="0.25">
      <c r="A4270" s="5">
        <v>3412510</v>
      </c>
      <c r="B4270" s="1">
        <v>2023</v>
      </c>
      <c r="C4270" s="1" t="s">
        <v>1387</v>
      </c>
      <c r="D4270" s="2" t="s">
        <v>759</v>
      </c>
      <c r="E4270" s="7">
        <v>8319563</v>
      </c>
      <c r="F4270" s="5">
        <v>3412510</v>
      </c>
    </row>
    <row r="4271" spans="1:6" x14ac:dyDescent="0.25">
      <c r="A4271" s="5">
        <v>3412540</v>
      </c>
      <c r="B4271" s="1">
        <v>2015</v>
      </c>
      <c r="C4271" s="1" t="s">
        <v>1387</v>
      </c>
      <c r="D4271" s="1" t="s">
        <v>534</v>
      </c>
      <c r="E4271" s="8">
        <v>5777307</v>
      </c>
      <c r="F4271" s="5">
        <v>3412540</v>
      </c>
    </row>
    <row r="4272" spans="1:6" x14ac:dyDescent="0.25">
      <c r="A4272" s="5">
        <v>3412540</v>
      </c>
      <c r="B4272" s="1">
        <v>2016</v>
      </c>
      <c r="C4272" s="1" t="s">
        <v>1387</v>
      </c>
      <c r="D4272" s="1" t="s">
        <v>534</v>
      </c>
      <c r="E4272" s="8">
        <v>8878948</v>
      </c>
      <c r="F4272" s="5">
        <v>3412540</v>
      </c>
    </row>
    <row r="4273" spans="1:6" x14ac:dyDescent="0.25">
      <c r="A4273" s="5">
        <v>3412540</v>
      </c>
      <c r="B4273" s="1">
        <v>2017</v>
      </c>
      <c r="C4273" s="1" t="s">
        <v>1387</v>
      </c>
      <c r="D4273" s="1" t="s">
        <v>534</v>
      </c>
      <c r="E4273" s="8">
        <v>12063394</v>
      </c>
      <c r="F4273" s="5">
        <v>3412540</v>
      </c>
    </row>
    <row r="4274" spans="1:6" x14ac:dyDescent="0.25">
      <c r="A4274" s="5">
        <v>3412540</v>
      </c>
      <c r="B4274" s="1">
        <v>2018</v>
      </c>
      <c r="C4274" s="1" t="s">
        <v>1387</v>
      </c>
      <c r="D4274" s="1" t="s">
        <v>1226</v>
      </c>
      <c r="E4274" s="8">
        <v>16035666</v>
      </c>
      <c r="F4274" s="5">
        <v>3412540</v>
      </c>
    </row>
    <row r="4275" spans="1:6" x14ac:dyDescent="0.25">
      <c r="A4275" s="5">
        <v>3412540</v>
      </c>
      <c r="B4275" s="1">
        <v>2019</v>
      </c>
      <c r="C4275" s="1" t="s">
        <v>1387</v>
      </c>
      <c r="D4275" s="1" t="s">
        <v>1226</v>
      </c>
      <c r="E4275" s="8">
        <v>20778504</v>
      </c>
      <c r="F4275" s="5">
        <v>3412540</v>
      </c>
    </row>
    <row r="4276" spans="1:6" ht="20" x14ac:dyDescent="0.25">
      <c r="A4276" s="5">
        <v>3412540</v>
      </c>
      <c r="B4276" s="1">
        <v>2020</v>
      </c>
      <c r="C4276" s="1" t="s">
        <v>1387</v>
      </c>
      <c r="D4276" s="2" t="s">
        <v>1226</v>
      </c>
      <c r="E4276" s="7">
        <v>22444816</v>
      </c>
      <c r="F4276" s="5">
        <v>3412540</v>
      </c>
    </row>
    <row r="4277" spans="1:6" ht="20" x14ac:dyDescent="0.25">
      <c r="A4277" s="5">
        <v>3412540</v>
      </c>
      <c r="B4277" s="1">
        <v>2021</v>
      </c>
      <c r="C4277" s="1" t="s">
        <v>1387</v>
      </c>
      <c r="D4277" s="3" t="s">
        <v>1226</v>
      </c>
      <c r="E4277" s="7">
        <v>27886622</v>
      </c>
      <c r="F4277" s="5">
        <v>3412540</v>
      </c>
    </row>
    <row r="4278" spans="1:6" ht="20" x14ac:dyDescent="0.25">
      <c r="A4278" s="5">
        <v>3412540</v>
      </c>
      <c r="B4278" s="1">
        <v>2022</v>
      </c>
      <c r="C4278" s="1" t="s">
        <v>1387</v>
      </c>
      <c r="D4278" s="2" t="s">
        <v>1226</v>
      </c>
      <c r="E4278" s="7">
        <v>42194751</v>
      </c>
      <c r="F4278" s="5">
        <v>3412540</v>
      </c>
    </row>
    <row r="4279" spans="1:6" ht="20" x14ac:dyDescent="0.25">
      <c r="A4279" s="5">
        <v>3412540</v>
      </c>
      <c r="B4279" s="1">
        <v>2023</v>
      </c>
      <c r="C4279" s="1" t="s">
        <v>1387</v>
      </c>
      <c r="D4279" s="2" t="s">
        <v>1226</v>
      </c>
      <c r="E4279" s="7">
        <v>41777968</v>
      </c>
      <c r="F4279" s="5">
        <v>3412540</v>
      </c>
    </row>
    <row r="4280" spans="1:6" x14ac:dyDescent="0.25">
      <c r="A4280" s="5">
        <v>3412570</v>
      </c>
      <c r="B4280" s="1">
        <v>2015</v>
      </c>
      <c r="C4280" s="1" t="s">
        <v>1387</v>
      </c>
      <c r="D4280" s="1" t="s">
        <v>536</v>
      </c>
      <c r="E4280" s="8">
        <v>513498</v>
      </c>
      <c r="F4280" s="5">
        <v>3412570</v>
      </c>
    </row>
    <row r="4281" spans="1:6" x14ac:dyDescent="0.25">
      <c r="A4281" s="5">
        <v>3412570</v>
      </c>
      <c r="B4281" s="1">
        <v>2016</v>
      </c>
      <c r="C4281" s="1" t="s">
        <v>1387</v>
      </c>
      <c r="D4281" s="1" t="s">
        <v>536</v>
      </c>
      <c r="E4281" s="8">
        <v>782584</v>
      </c>
      <c r="F4281" s="5">
        <v>3412570</v>
      </c>
    </row>
    <row r="4282" spans="1:6" x14ac:dyDescent="0.25">
      <c r="A4282" s="5">
        <v>3412570</v>
      </c>
      <c r="B4282" s="1">
        <v>2017</v>
      </c>
      <c r="C4282" s="1" t="s">
        <v>1387</v>
      </c>
      <c r="D4282" s="1" t="s">
        <v>536</v>
      </c>
      <c r="E4282" s="8">
        <v>1070836</v>
      </c>
      <c r="F4282" s="5">
        <v>3412570</v>
      </c>
    </row>
    <row r="4283" spans="1:6" x14ac:dyDescent="0.25">
      <c r="A4283" s="5">
        <v>3412570</v>
      </c>
      <c r="B4283" s="1">
        <v>2018</v>
      </c>
      <c r="C4283" s="1" t="s">
        <v>1387</v>
      </c>
      <c r="D4283" s="1" t="s">
        <v>1228</v>
      </c>
      <c r="E4283" s="8">
        <v>1458980</v>
      </c>
      <c r="F4283" s="5">
        <v>3412570</v>
      </c>
    </row>
    <row r="4284" spans="1:6" x14ac:dyDescent="0.25">
      <c r="A4284" s="5">
        <v>3412570</v>
      </c>
      <c r="B4284" s="1">
        <v>2019</v>
      </c>
      <c r="C4284" s="1" t="s">
        <v>1387</v>
      </c>
      <c r="D4284" s="1" t="s">
        <v>1228</v>
      </c>
      <c r="E4284" s="8">
        <v>1950024</v>
      </c>
      <c r="F4284" s="5">
        <v>3412570</v>
      </c>
    </row>
    <row r="4285" spans="1:6" ht="20" x14ac:dyDescent="0.25">
      <c r="A4285" s="5">
        <v>3412570</v>
      </c>
      <c r="B4285" s="1">
        <v>2020</v>
      </c>
      <c r="C4285" s="1" t="s">
        <v>1387</v>
      </c>
      <c r="D4285" s="2" t="s">
        <v>1228</v>
      </c>
      <c r="E4285" s="7">
        <v>2166274</v>
      </c>
      <c r="F4285" s="5">
        <v>3412570</v>
      </c>
    </row>
    <row r="4286" spans="1:6" ht="20" x14ac:dyDescent="0.25">
      <c r="A4286" s="5">
        <v>3412570</v>
      </c>
      <c r="B4286" s="1">
        <v>2021</v>
      </c>
      <c r="C4286" s="1" t="s">
        <v>1387</v>
      </c>
      <c r="D4286" s="3" t="s">
        <v>1228</v>
      </c>
      <c r="E4286" s="7">
        <v>2796499</v>
      </c>
      <c r="F4286" s="5">
        <v>3412570</v>
      </c>
    </row>
    <row r="4287" spans="1:6" ht="20" x14ac:dyDescent="0.25">
      <c r="A4287" s="5">
        <v>3412570</v>
      </c>
      <c r="B4287" s="1">
        <v>2022</v>
      </c>
      <c r="C4287" s="1" t="s">
        <v>1387</v>
      </c>
      <c r="D4287" s="2" t="s">
        <v>1228</v>
      </c>
      <c r="E4287" s="7">
        <v>3693124</v>
      </c>
      <c r="F4287" s="5">
        <v>3412570</v>
      </c>
    </row>
    <row r="4288" spans="1:6" ht="20" x14ac:dyDescent="0.25">
      <c r="A4288" s="5">
        <v>3412570</v>
      </c>
      <c r="B4288" s="1">
        <v>2023</v>
      </c>
      <c r="C4288" s="1" t="s">
        <v>1387</v>
      </c>
      <c r="D4288" s="2" t="s">
        <v>1228</v>
      </c>
      <c r="E4288" s="7">
        <v>3449462</v>
      </c>
      <c r="F4288" s="5">
        <v>3412570</v>
      </c>
    </row>
    <row r="4289" spans="1:6" x14ac:dyDescent="0.25">
      <c r="A4289" s="5">
        <v>3412600</v>
      </c>
      <c r="B4289" s="1">
        <v>2015</v>
      </c>
      <c r="C4289" s="1" t="s">
        <v>1387</v>
      </c>
      <c r="D4289" s="1" t="s">
        <v>535</v>
      </c>
      <c r="E4289" s="8">
        <v>308962</v>
      </c>
      <c r="F4289" s="5">
        <v>3412600</v>
      </c>
    </row>
    <row r="4290" spans="1:6" x14ac:dyDescent="0.25">
      <c r="A4290" s="5">
        <v>3412600</v>
      </c>
      <c r="B4290" s="1">
        <v>2016</v>
      </c>
      <c r="C4290" s="1" t="s">
        <v>1387</v>
      </c>
      <c r="D4290" s="1" t="s">
        <v>535</v>
      </c>
      <c r="E4290" s="8">
        <v>464676</v>
      </c>
      <c r="F4290" s="5">
        <v>3412600</v>
      </c>
    </row>
    <row r="4291" spans="1:6" x14ac:dyDescent="0.25">
      <c r="A4291" s="5">
        <v>3412600</v>
      </c>
      <c r="B4291" s="1">
        <v>2017</v>
      </c>
      <c r="C4291" s="1" t="s">
        <v>1387</v>
      </c>
      <c r="D4291" s="1" t="s">
        <v>535</v>
      </c>
      <c r="E4291" s="8">
        <v>644584</v>
      </c>
      <c r="F4291" s="5">
        <v>3412600</v>
      </c>
    </row>
    <row r="4292" spans="1:6" x14ac:dyDescent="0.25">
      <c r="A4292" s="5">
        <v>3412600</v>
      </c>
      <c r="B4292" s="1">
        <v>2018</v>
      </c>
      <c r="C4292" s="1" t="s">
        <v>1387</v>
      </c>
      <c r="D4292" s="1" t="s">
        <v>1227</v>
      </c>
      <c r="E4292" s="8">
        <v>885457</v>
      </c>
      <c r="F4292" s="5">
        <v>3412600</v>
      </c>
    </row>
    <row r="4293" spans="1:6" x14ac:dyDescent="0.25">
      <c r="A4293" s="5">
        <v>3412600</v>
      </c>
      <c r="B4293" s="1">
        <v>2019</v>
      </c>
      <c r="C4293" s="1" t="s">
        <v>1387</v>
      </c>
      <c r="D4293" s="1" t="s">
        <v>1227</v>
      </c>
      <c r="E4293" s="8">
        <v>1125761</v>
      </c>
      <c r="F4293" s="5">
        <v>3412600</v>
      </c>
    </row>
    <row r="4294" spans="1:6" ht="20" x14ac:dyDescent="0.25">
      <c r="A4294" s="5">
        <v>3412600</v>
      </c>
      <c r="B4294" s="1">
        <v>2020</v>
      </c>
      <c r="C4294" s="1" t="s">
        <v>1387</v>
      </c>
      <c r="D4294" s="2" t="s">
        <v>1227</v>
      </c>
      <c r="E4294" s="7">
        <v>1210417</v>
      </c>
      <c r="F4294" s="5">
        <v>3412600</v>
      </c>
    </row>
    <row r="4295" spans="1:6" ht="20" x14ac:dyDescent="0.25">
      <c r="A4295" s="5">
        <v>3412600</v>
      </c>
      <c r="B4295" s="1">
        <v>2021</v>
      </c>
      <c r="C4295" s="1" t="s">
        <v>1387</v>
      </c>
      <c r="D4295" s="3" t="s">
        <v>1227</v>
      </c>
      <c r="E4295" s="7">
        <v>1649943</v>
      </c>
      <c r="F4295" s="5">
        <v>3412600</v>
      </c>
    </row>
    <row r="4296" spans="1:6" ht="20" x14ac:dyDescent="0.25">
      <c r="A4296" s="5">
        <v>3412600</v>
      </c>
      <c r="B4296" s="1">
        <v>2022</v>
      </c>
      <c r="C4296" s="1" t="s">
        <v>1387</v>
      </c>
      <c r="D4296" s="2" t="s">
        <v>1227</v>
      </c>
      <c r="E4296" s="7">
        <v>2454385</v>
      </c>
      <c r="F4296" s="5">
        <v>3412600</v>
      </c>
    </row>
    <row r="4297" spans="1:6" ht="20" x14ac:dyDescent="0.25">
      <c r="A4297" s="5">
        <v>3412600</v>
      </c>
      <c r="B4297" s="1">
        <v>2023</v>
      </c>
      <c r="C4297" s="1" t="s">
        <v>1387</v>
      </c>
      <c r="D4297" s="2" t="s">
        <v>1227</v>
      </c>
      <c r="E4297" s="7">
        <v>2351449</v>
      </c>
      <c r="F4297" s="5">
        <v>3412600</v>
      </c>
    </row>
    <row r="4298" spans="1:6" x14ac:dyDescent="0.25">
      <c r="A4298" s="5">
        <v>3412630</v>
      </c>
      <c r="B4298" s="1">
        <v>2015</v>
      </c>
      <c r="C4298" s="1" t="s">
        <v>1387</v>
      </c>
      <c r="D4298" s="1" t="s">
        <v>537</v>
      </c>
      <c r="E4298" s="8">
        <v>1696288</v>
      </c>
      <c r="F4298" s="5">
        <v>3412630</v>
      </c>
    </row>
    <row r="4299" spans="1:6" x14ac:dyDescent="0.25">
      <c r="A4299" s="5">
        <v>3412630</v>
      </c>
      <c r="B4299" s="1">
        <v>2016</v>
      </c>
      <c r="C4299" s="1" t="s">
        <v>1387</v>
      </c>
      <c r="D4299" s="1" t="s">
        <v>537</v>
      </c>
      <c r="E4299" s="8">
        <v>2549077</v>
      </c>
      <c r="F4299" s="5">
        <v>3412630</v>
      </c>
    </row>
    <row r="4300" spans="1:6" x14ac:dyDescent="0.25">
      <c r="A4300" s="5">
        <v>3412630</v>
      </c>
      <c r="B4300" s="1">
        <v>2017</v>
      </c>
      <c r="C4300" s="1" t="s">
        <v>1387</v>
      </c>
      <c r="D4300" s="1" t="s">
        <v>537</v>
      </c>
      <c r="E4300" s="8">
        <v>3607619</v>
      </c>
      <c r="F4300" s="5">
        <v>3412630</v>
      </c>
    </row>
    <row r="4301" spans="1:6" x14ac:dyDescent="0.25">
      <c r="A4301" s="5">
        <v>3412630</v>
      </c>
      <c r="B4301" s="1">
        <v>2018</v>
      </c>
      <c r="C4301" s="1" t="s">
        <v>1387</v>
      </c>
      <c r="D4301" s="1" t="s">
        <v>1229</v>
      </c>
      <c r="E4301" s="8">
        <v>4844148</v>
      </c>
      <c r="F4301" s="5">
        <v>3412630</v>
      </c>
    </row>
    <row r="4302" spans="1:6" x14ac:dyDescent="0.25">
      <c r="A4302" s="5">
        <v>3412630</v>
      </c>
      <c r="B4302" s="1">
        <v>2019</v>
      </c>
      <c r="C4302" s="1" t="s">
        <v>1387</v>
      </c>
      <c r="D4302" s="1" t="s">
        <v>1229</v>
      </c>
      <c r="E4302" s="8">
        <v>6719953</v>
      </c>
      <c r="F4302" s="5">
        <v>3412630</v>
      </c>
    </row>
    <row r="4303" spans="1:6" ht="20" x14ac:dyDescent="0.25">
      <c r="A4303" s="5">
        <v>3412630</v>
      </c>
      <c r="B4303" s="1">
        <v>2020</v>
      </c>
      <c r="C4303" s="1" t="s">
        <v>1387</v>
      </c>
      <c r="D4303" s="2" t="s">
        <v>1229</v>
      </c>
      <c r="E4303" s="7">
        <v>7689443</v>
      </c>
      <c r="F4303" s="5">
        <v>3412630</v>
      </c>
    </row>
    <row r="4304" spans="1:6" ht="20" x14ac:dyDescent="0.25">
      <c r="A4304" s="5">
        <v>3412630</v>
      </c>
      <c r="B4304" s="1">
        <v>2021</v>
      </c>
      <c r="C4304" s="1" t="s">
        <v>1387</v>
      </c>
      <c r="D4304" s="3" t="s">
        <v>1229</v>
      </c>
      <c r="E4304" s="7">
        <v>10532735</v>
      </c>
      <c r="F4304" s="5">
        <v>3412630</v>
      </c>
    </row>
    <row r="4305" spans="1:6" ht="20" x14ac:dyDescent="0.25">
      <c r="A4305" s="5">
        <v>3412630</v>
      </c>
      <c r="B4305" s="1">
        <v>2022</v>
      </c>
      <c r="C4305" s="1" t="s">
        <v>1387</v>
      </c>
      <c r="D4305" s="2" t="s">
        <v>1229</v>
      </c>
      <c r="E4305" s="7">
        <v>15450596</v>
      </c>
      <c r="F4305" s="5">
        <v>3412630</v>
      </c>
    </row>
    <row r="4306" spans="1:6" ht="20" x14ac:dyDescent="0.25">
      <c r="A4306" s="5">
        <v>3412630</v>
      </c>
      <c r="B4306" s="1">
        <v>2023</v>
      </c>
      <c r="C4306" s="1" t="s">
        <v>1387</v>
      </c>
      <c r="D4306" s="2" t="s">
        <v>1229</v>
      </c>
      <c r="E4306" s="7">
        <v>16190516</v>
      </c>
      <c r="F4306" s="5">
        <v>3412630</v>
      </c>
    </row>
    <row r="4307" spans="1:6" x14ac:dyDescent="0.25">
      <c r="A4307" s="5">
        <v>3412660</v>
      </c>
      <c r="B4307" s="1">
        <v>2015</v>
      </c>
      <c r="C4307" s="1" t="s">
        <v>1387</v>
      </c>
      <c r="D4307" s="1" t="s">
        <v>469</v>
      </c>
      <c r="E4307" s="8">
        <v>336919</v>
      </c>
      <c r="F4307" s="5">
        <v>3412660</v>
      </c>
    </row>
    <row r="4308" spans="1:6" x14ac:dyDescent="0.25">
      <c r="A4308" s="5">
        <v>3412660</v>
      </c>
      <c r="B4308" s="1">
        <v>2016</v>
      </c>
      <c r="C4308" s="1" t="s">
        <v>1387</v>
      </c>
      <c r="D4308" s="1" t="s">
        <v>469</v>
      </c>
      <c r="E4308" s="8">
        <v>536419</v>
      </c>
      <c r="F4308" s="5">
        <v>3412660</v>
      </c>
    </row>
    <row r="4309" spans="1:6" x14ac:dyDescent="0.25">
      <c r="A4309" s="5">
        <v>3412660</v>
      </c>
      <c r="B4309" s="1">
        <v>2017</v>
      </c>
      <c r="C4309" s="1" t="s">
        <v>1387</v>
      </c>
      <c r="D4309" s="1" t="s">
        <v>469</v>
      </c>
      <c r="E4309" s="8">
        <v>758667</v>
      </c>
      <c r="F4309" s="5">
        <v>3412660</v>
      </c>
    </row>
    <row r="4310" spans="1:6" x14ac:dyDescent="0.25">
      <c r="A4310" s="5">
        <v>3412660</v>
      </c>
      <c r="B4310" s="1">
        <v>2018</v>
      </c>
      <c r="C4310" s="1" t="s">
        <v>1387</v>
      </c>
      <c r="D4310" s="1" t="s">
        <v>1161</v>
      </c>
      <c r="E4310" s="8">
        <v>972788</v>
      </c>
      <c r="F4310" s="5">
        <v>3412660</v>
      </c>
    </row>
    <row r="4311" spans="1:6" x14ac:dyDescent="0.25">
      <c r="A4311" s="5">
        <v>3412660</v>
      </c>
      <c r="B4311" s="1">
        <v>2019</v>
      </c>
      <c r="C4311" s="1" t="s">
        <v>1387</v>
      </c>
      <c r="D4311" s="1" t="s">
        <v>1161</v>
      </c>
      <c r="E4311" s="8">
        <v>1321879</v>
      </c>
      <c r="F4311" s="5">
        <v>3412660</v>
      </c>
    </row>
    <row r="4312" spans="1:6" ht="20" x14ac:dyDescent="0.25">
      <c r="A4312" s="5">
        <v>3412660</v>
      </c>
      <c r="B4312" s="1">
        <v>2020</v>
      </c>
      <c r="C4312" s="1" t="s">
        <v>1387</v>
      </c>
      <c r="D4312" s="2" t="s">
        <v>1161</v>
      </c>
      <c r="E4312" s="7">
        <v>1490293</v>
      </c>
      <c r="F4312" s="5">
        <v>3412660</v>
      </c>
    </row>
    <row r="4313" spans="1:6" ht="20" x14ac:dyDescent="0.25">
      <c r="A4313" s="5">
        <v>3412660</v>
      </c>
      <c r="B4313" s="1">
        <v>2021</v>
      </c>
      <c r="C4313" s="1" t="s">
        <v>1387</v>
      </c>
      <c r="D4313" s="3" t="s">
        <v>1161</v>
      </c>
      <c r="E4313" s="7">
        <v>1939692</v>
      </c>
      <c r="F4313" s="5">
        <v>3412660</v>
      </c>
    </row>
    <row r="4314" spans="1:6" ht="20" x14ac:dyDescent="0.25">
      <c r="A4314" s="5">
        <v>3412660</v>
      </c>
      <c r="B4314" s="1">
        <v>2022</v>
      </c>
      <c r="C4314" s="1" t="s">
        <v>1387</v>
      </c>
      <c r="D4314" s="2" t="s">
        <v>1161</v>
      </c>
      <c r="E4314" s="7">
        <v>2646268</v>
      </c>
      <c r="F4314" s="5">
        <v>3412660</v>
      </c>
    </row>
    <row r="4315" spans="1:6" ht="20" x14ac:dyDescent="0.25">
      <c r="A4315" s="5">
        <v>3412660</v>
      </c>
      <c r="B4315" s="1">
        <v>2023</v>
      </c>
      <c r="C4315" s="1" t="s">
        <v>1387</v>
      </c>
      <c r="D4315" s="2" t="s">
        <v>1161</v>
      </c>
      <c r="E4315" s="7">
        <v>2631495</v>
      </c>
      <c r="F4315" s="5">
        <v>3412660</v>
      </c>
    </row>
    <row r="4316" spans="1:6" x14ac:dyDescent="0.25">
      <c r="A4316" s="5">
        <v>3412690</v>
      </c>
      <c r="B4316" s="1">
        <v>2015</v>
      </c>
      <c r="C4316" s="1" t="s">
        <v>1387</v>
      </c>
      <c r="D4316" s="1" t="s">
        <v>539</v>
      </c>
      <c r="E4316" s="8">
        <v>9951252</v>
      </c>
      <c r="F4316" s="5">
        <v>3412690</v>
      </c>
    </row>
    <row r="4317" spans="1:6" x14ac:dyDescent="0.25">
      <c r="A4317" s="5">
        <v>3412690</v>
      </c>
      <c r="B4317" s="1">
        <v>2016</v>
      </c>
      <c r="C4317" s="1" t="s">
        <v>1387</v>
      </c>
      <c r="D4317" s="1" t="s">
        <v>539</v>
      </c>
      <c r="E4317" s="8">
        <v>14644870</v>
      </c>
      <c r="F4317" s="5">
        <v>3412690</v>
      </c>
    </row>
    <row r="4318" spans="1:6" x14ac:dyDescent="0.25">
      <c r="A4318" s="5">
        <v>3412690</v>
      </c>
      <c r="B4318" s="1">
        <v>2017</v>
      </c>
      <c r="C4318" s="1" t="s">
        <v>1387</v>
      </c>
      <c r="D4318" s="1" t="s">
        <v>539</v>
      </c>
      <c r="E4318" s="8">
        <v>21286110</v>
      </c>
      <c r="F4318" s="5">
        <v>3412690</v>
      </c>
    </row>
    <row r="4319" spans="1:6" x14ac:dyDescent="0.25">
      <c r="A4319" s="5">
        <v>3412690</v>
      </c>
      <c r="B4319" s="1">
        <v>2018</v>
      </c>
      <c r="C4319" s="1" t="s">
        <v>1387</v>
      </c>
      <c r="D4319" s="1" t="s">
        <v>1231</v>
      </c>
      <c r="E4319" s="8">
        <v>27287117</v>
      </c>
      <c r="F4319" s="5">
        <v>3412690</v>
      </c>
    </row>
    <row r="4320" spans="1:6" x14ac:dyDescent="0.25">
      <c r="A4320" s="5">
        <v>3412690</v>
      </c>
      <c r="B4320" s="1">
        <v>2019</v>
      </c>
      <c r="C4320" s="1" t="s">
        <v>1387</v>
      </c>
      <c r="D4320" s="1" t="s">
        <v>1231</v>
      </c>
      <c r="E4320" s="8">
        <v>36178573</v>
      </c>
      <c r="F4320" s="5">
        <v>3412690</v>
      </c>
    </row>
    <row r="4321" spans="1:6" ht="20" x14ac:dyDescent="0.25">
      <c r="A4321" s="5">
        <v>3412690</v>
      </c>
      <c r="B4321" s="1">
        <v>2020</v>
      </c>
      <c r="C4321" s="1" t="s">
        <v>1387</v>
      </c>
      <c r="D4321" s="2" t="s">
        <v>1231</v>
      </c>
      <c r="E4321" s="7">
        <v>38920519</v>
      </c>
      <c r="F4321" s="5">
        <v>3412690</v>
      </c>
    </row>
    <row r="4322" spans="1:6" ht="20" x14ac:dyDescent="0.25">
      <c r="A4322" s="5">
        <v>3412690</v>
      </c>
      <c r="B4322" s="1">
        <v>2021</v>
      </c>
      <c r="C4322" s="1" t="s">
        <v>1387</v>
      </c>
      <c r="D4322" s="3" t="s">
        <v>1231</v>
      </c>
      <c r="E4322" s="7">
        <v>52008215</v>
      </c>
      <c r="F4322" s="5">
        <v>3412690</v>
      </c>
    </row>
    <row r="4323" spans="1:6" ht="20" x14ac:dyDescent="0.25">
      <c r="A4323" s="5">
        <v>3412690</v>
      </c>
      <c r="B4323" s="1">
        <v>2022</v>
      </c>
      <c r="C4323" s="1" t="s">
        <v>1387</v>
      </c>
      <c r="D4323" s="2" t="s">
        <v>1231</v>
      </c>
      <c r="E4323" s="7">
        <v>70351058</v>
      </c>
      <c r="F4323" s="5">
        <v>3412690</v>
      </c>
    </row>
    <row r="4324" spans="1:6" ht="20" x14ac:dyDescent="0.25">
      <c r="A4324" s="5">
        <v>3412690</v>
      </c>
      <c r="B4324" s="1">
        <v>2023</v>
      </c>
      <c r="C4324" s="1" t="s">
        <v>1387</v>
      </c>
      <c r="D4324" s="2" t="s">
        <v>1231</v>
      </c>
      <c r="E4324" s="7">
        <v>69186129</v>
      </c>
      <c r="F4324" s="5">
        <v>3412690</v>
      </c>
    </row>
    <row r="4325" spans="1:6" x14ac:dyDescent="0.25">
      <c r="A4325" s="5">
        <v>3412720</v>
      </c>
      <c r="B4325" s="1">
        <v>2015</v>
      </c>
      <c r="C4325" s="1" t="s">
        <v>1387</v>
      </c>
      <c r="D4325" s="1" t="s">
        <v>291</v>
      </c>
      <c r="E4325" s="8">
        <v>486435</v>
      </c>
      <c r="F4325" s="5">
        <v>3412720</v>
      </c>
    </row>
    <row r="4326" spans="1:6" x14ac:dyDescent="0.25">
      <c r="A4326" s="5">
        <v>3412720</v>
      </c>
      <c r="B4326" s="1">
        <v>2016</v>
      </c>
      <c r="C4326" s="1" t="s">
        <v>1387</v>
      </c>
      <c r="D4326" s="1" t="s">
        <v>291</v>
      </c>
      <c r="E4326" s="8">
        <v>711031</v>
      </c>
      <c r="F4326" s="5">
        <v>3412720</v>
      </c>
    </row>
    <row r="4327" spans="1:6" x14ac:dyDescent="0.25">
      <c r="A4327" s="5">
        <v>3412720</v>
      </c>
      <c r="B4327" s="1">
        <v>2017</v>
      </c>
      <c r="C4327" s="1" t="s">
        <v>1387</v>
      </c>
      <c r="D4327" s="1" t="s">
        <v>291</v>
      </c>
      <c r="E4327" s="8">
        <v>977827</v>
      </c>
      <c r="F4327" s="5">
        <v>3412720</v>
      </c>
    </row>
    <row r="4328" spans="1:6" x14ac:dyDescent="0.25">
      <c r="A4328" s="5">
        <v>3412720</v>
      </c>
      <c r="B4328" s="1">
        <v>2018</v>
      </c>
      <c r="C4328" s="1" t="s">
        <v>1387</v>
      </c>
      <c r="D4328" s="1" t="s">
        <v>981</v>
      </c>
      <c r="E4328" s="8">
        <v>1316258</v>
      </c>
      <c r="F4328" s="5">
        <v>3412720</v>
      </c>
    </row>
    <row r="4329" spans="1:6" x14ac:dyDescent="0.25">
      <c r="A4329" s="5">
        <v>3412720</v>
      </c>
      <c r="B4329" s="1">
        <v>2019</v>
      </c>
      <c r="C4329" s="1" t="s">
        <v>1387</v>
      </c>
      <c r="D4329" s="1" t="s">
        <v>981</v>
      </c>
      <c r="E4329" s="8">
        <v>1709260</v>
      </c>
      <c r="F4329" s="5">
        <v>3412720</v>
      </c>
    </row>
    <row r="4330" spans="1:6" ht="20" x14ac:dyDescent="0.25">
      <c r="A4330" s="5">
        <v>3412720</v>
      </c>
      <c r="B4330" s="1">
        <v>2020</v>
      </c>
      <c r="C4330" s="1" t="s">
        <v>1387</v>
      </c>
      <c r="D4330" s="2" t="s">
        <v>981</v>
      </c>
      <c r="E4330" s="7">
        <v>1795204</v>
      </c>
      <c r="F4330" s="5">
        <v>3412720</v>
      </c>
    </row>
    <row r="4331" spans="1:6" ht="20" x14ac:dyDescent="0.25">
      <c r="A4331" s="5">
        <v>3412720</v>
      </c>
      <c r="B4331" s="1">
        <v>2021</v>
      </c>
      <c r="C4331" s="1" t="s">
        <v>1387</v>
      </c>
      <c r="D4331" s="3" t="s">
        <v>981</v>
      </c>
      <c r="E4331" s="7">
        <v>2258843</v>
      </c>
      <c r="F4331" s="5">
        <v>3412720</v>
      </c>
    </row>
    <row r="4332" spans="1:6" ht="20" x14ac:dyDescent="0.25">
      <c r="A4332" s="5">
        <v>3412720</v>
      </c>
      <c r="B4332" s="1">
        <v>2022</v>
      </c>
      <c r="C4332" s="1" t="s">
        <v>1387</v>
      </c>
      <c r="D4332" s="2" t="s">
        <v>981</v>
      </c>
      <c r="E4332" s="7">
        <v>2973246</v>
      </c>
      <c r="F4332" s="5">
        <v>3412720</v>
      </c>
    </row>
    <row r="4333" spans="1:6" ht="20" x14ac:dyDescent="0.25">
      <c r="A4333" s="5">
        <v>3412720</v>
      </c>
      <c r="B4333" s="1">
        <v>2023</v>
      </c>
      <c r="C4333" s="1" t="s">
        <v>1387</v>
      </c>
      <c r="D4333" s="2" t="s">
        <v>981</v>
      </c>
      <c r="E4333" s="7">
        <v>3257038</v>
      </c>
      <c r="F4333" s="5">
        <v>3412720</v>
      </c>
    </row>
    <row r="4334" spans="1:6" x14ac:dyDescent="0.25">
      <c r="A4334" s="5">
        <v>3412810</v>
      </c>
      <c r="B4334" s="1">
        <v>2015</v>
      </c>
      <c r="C4334" s="1" t="s">
        <v>1387</v>
      </c>
      <c r="D4334" s="1" t="s">
        <v>135</v>
      </c>
      <c r="E4334" s="8">
        <v>2320434</v>
      </c>
      <c r="F4334" s="5">
        <v>3412810</v>
      </c>
    </row>
    <row r="4335" spans="1:6" x14ac:dyDescent="0.25">
      <c r="A4335" s="5">
        <v>3412810</v>
      </c>
      <c r="B4335" s="1">
        <v>2016</v>
      </c>
      <c r="C4335" s="1" t="s">
        <v>1387</v>
      </c>
      <c r="D4335" s="1" t="s">
        <v>135</v>
      </c>
      <c r="E4335" s="8">
        <v>3383781</v>
      </c>
      <c r="F4335" s="5">
        <v>3412810</v>
      </c>
    </row>
    <row r="4336" spans="1:6" x14ac:dyDescent="0.25">
      <c r="A4336" s="5">
        <v>3412810</v>
      </c>
      <c r="B4336" s="1">
        <v>2017</v>
      </c>
      <c r="C4336" s="1" t="s">
        <v>1387</v>
      </c>
      <c r="D4336" s="1" t="s">
        <v>135</v>
      </c>
      <c r="E4336" s="8">
        <v>4782475</v>
      </c>
      <c r="F4336" s="5">
        <v>3412810</v>
      </c>
    </row>
    <row r="4337" spans="1:6" x14ac:dyDescent="0.25">
      <c r="A4337" s="5">
        <v>3412810</v>
      </c>
      <c r="B4337" s="1">
        <v>2018</v>
      </c>
      <c r="C4337" s="1" t="s">
        <v>1387</v>
      </c>
      <c r="D4337" s="1" t="s">
        <v>816</v>
      </c>
      <c r="E4337" s="8">
        <v>6556341</v>
      </c>
      <c r="F4337" s="5">
        <v>3412810</v>
      </c>
    </row>
    <row r="4338" spans="1:6" x14ac:dyDescent="0.25">
      <c r="A4338" s="5">
        <v>3412810</v>
      </c>
      <c r="B4338" s="1">
        <v>2019</v>
      </c>
      <c r="C4338" s="1" t="s">
        <v>1387</v>
      </c>
      <c r="D4338" s="1" t="s">
        <v>816</v>
      </c>
      <c r="E4338" s="8">
        <v>8640136</v>
      </c>
      <c r="F4338" s="5">
        <v>3412810</v>
      </c>
    </row>
    <row r="4339" spans="1:6" ht="20" x14ac:dyDescent="0.25">
      <c r="A4339" s="5">
        <v>3412810</v>
      </c>
      <c r="B4339" s="1">
        <v>2020</v>
      </c>
      <c r="C4339" s="1" t="s">
        <v>1387</v>
      </c>
      <c r="D4339" s="2" t="s">
        <v>816</v>
      </c>
      <c r="E4339" s="7">
        <v>9623895</v>
      </c>
      <c r="F4339" s="5">
        <v>3412810</v>
      </c>
    </row>
    <row r="4340" spans="1:6" ht="20" x14ac:dyDescent="0.25">
      <c r="A4340" s="5">
        <v>3412810</v>
      </c>
      <c r="B4340" s="1">
        <v>2021</v>
      </c>
      <c r="C4340" s="1" t="s">
        <v>1387</v>
      </c>
      <c r="D4340" s="3" t="s">
        <v>816</v>
      </c>
      <c r="E4340" s="7">
        <v>11868184</v>
      </c>
      <c r="F4340" s="5">
        <v>3412810</v>
      </c>
    </row>
    <row r="4341" spans="1:6" ht="20" x14ac:dyDescent="0.25">
      <c r="A4341" s="5">
        <v>3412810</v>
      </c>
      <c r="B4341" s="1">
        <v>2022</v>
      </c>
      <c r="C4341" s="1" t="s">
        <v>1387</v>
      </c>
      <c r="D4341" s="2" t="s">
        <v>816</v>
      </c>
      <c r="E4341" s="7">
        <v>16260954</v>
      </c>
      <c r="F4341" s="5">
        <v>3412810</v>
      </c>
    </row>
    <row r="4342" spans="1:6" ht="20" x14ac:dyDescent="0.25">
      <c r="A4342" s="5">
        <v>3412810</v>
      </c>
      <c r="B4342" s="1">
        <v>2023</v>
      </c>
      <c r="C4342" s="1" t="s">
        <v>1387</v>
      </c>
      <c r="D4342" s="2" t="s">
        <v>816</v>
      </c>
      <c r="E4342" s="7">
        <v>15670858</v>
      </c>
      <c r="F4342" s="5">
        <v>3412810</v>
      </c>
    </row>
    <row r="4343" spans="1:6" x14ac:dyDescent="0.25">
      <c r="A4343" s="5">
        <v>3412840</v>
      </c>
      <c r="B4343" s="1">
        <v>2015</v>
      </c>
      <c r="C4343" s="1" t="s">
        <v>1387</v>
      </c>
      <c r="D4343" s="1" t="s">
        <v>554</v>
      </c>
      <c r="E4343" s="8">
        <v>831438</v>
      </c>
      <c r="F4343" s="5">
        <v>3412840</v>
      </c>
    </row>
    <row r="4344" spans="1:6" x14ac:dyDescent="0.25">
      <c r="A4344" s="5">
        <v>3412840</v>
      </c>
      <c r="B4344" s="1">
        <v>2016</v>
      </c>
      <c r="C4344" s="1" t="s">
        <v>1387</v>
      </c>
      <c r="D4344" s="1" t="s">
        <v>554</v>
      </c>
      <c r="E4344" s="8">
        <v>1249481</v>
      </c>
      <c r="F4344" s="5">
        <v>3412840</v>
      </c>
    </row>
    <row r="4345" spans="1:6" x14ac:dyDescent="0.25">
      <c r="A4345" s="5">
        <v>3412840</v>
      </c>
      <c r="B4345" s="1">
        <v>2017</v>
      </c>
      <c r="C4345" s="1" t="s">
        <v>1387</v>
      </c>
      <c r="D4345" s="1" t="s">
        <v>554</v>
      </c>
      <c r="E4345" s="8">
        <v>1751111</v>
      </c>
      <c r="F4345" s="5">
        <v>3412840</v>
      </c>
    </row>
    <row r="4346" spans="1:6" x14ac:dyDescent="0.25">
      <c r="A4346" s="5">
        <v>3412840</v>
      </c>
      <c r="B4346" s="1">
        <v>2018</v>
      </c>
      <c r="C4346" s="1" t="s">
        <v>1387</v>
      </c>
      <c r="D4346" s="1" t="s">
        <v>1246</v>
      </c>
      <c r="E4346" s="8">
        <v>2258788</v>
      </c>
      <c r="F4346" s="5">
        <v>3412840</v>
      </c>
    </row>
    <row r="4347" spans="1:6" x14ac:dyDescent="0.25">
      <c r="A4347" s="5">
        <v>3412840</v>
      </c>
      <c r="B4347" s="1">
        <v>2019</v>
      </c>
      <c r="C4347" s="1" t="s">
        <v>1387</v>
      </c>
      <c r="D4347" s="1" t="s">
        <v>1246</v>
      </c>
      <c r="E4347" s="8">
        <v>2933563</v>
      </c>
      <c r="F4347" s="5">
        <v>3412840</v>
      </c>
    </row>
    <row r="4348" spans="1:6" ht="20" x14ac:dyDescent="0.25">
      <c r="A4348" s="5">
        <v>3412840</v>
      </c>
      <c r="B4348" s="1">
        <v>2020</v>
      </c>
      <c r="C4348" s="1" t="s">
        <v>1387</v>
      </c>
      <c r="D4348" s="2" t="s">
        <v>1246</v>
      </c>
      <c r="E4348" s="7">
        <v>3284901</v>
      </c>
      <c r="F4348" s="5">
        <v>3412840</v>
      </c>
    </row>
    <row r="4349" spans="1:6" ht="20" x14ac:dyDescent="0.25">
      <c r="A4349" s="5">
        <v>3412840</v>
      </c>
      <c r="B4349" s="1">
        <v>2021</v>
      </c>
      <c r="C4349" s="1" t="s">
        <v>1387</v>
      </c>
      <c r="D4349" s="3" t="s">
        <v>1246</v>
      </c>
      <c r="E4349" s="7">
        <v>4173968</v>
      </c>
      <c r="F4349" s="5">
        <v>3412840</v>
      </c>
    </row>
    <row r="4350" spans="1:6" ht="20" x14ac:dyDescent="0.25">
      <c r="A4350" s="5">
        <v>3412840</v>
      </c>
      <c r="B4350" s="1">
        <v>2022</v>
      </c>
      <c r="C4350" s="1" t="s">
        <v>1387</v>
      </c>
      <c r="D4350" s="2" t="s">
        <v>1246</v>
      </c>
      <c r="E4350" s="7">
        <v>5714097</v>
      </c>
      <c r="F4350" s="5">
        <v>3412840</v>
      </c>
    </row>
    <row r="4351" spans="1:6" ht="20" x14ac:dyDescent="0.25">
      <c r="A4351" s="5">
        <v>3412840</v>
      </c>
      <c r="B4351" s="1">
        <v>2023</v>
      </c>
      <c r="C4351" s="1" t="s">
        <v>1387</v>
      </c>
      <c r="D4351" s="2" t="s">
        <v>1246</v>
      </c>
      <c r="E4351" s="7">
        <v>5649483</v>
      </c>
      <c r="F4351" s="5">
        <v>3412840</v>
      </c>
    </row>
    <row r="4352" spans="1:6" x14ac:dyDescent="0.25">
      <c r="A4352" s="5">
        <v>3412870</v>
      </c>
      <c r="B4352" s="1">
        <v>2015</v>
      </c>
      <c r="C4352" s="1" t="s">
        <v>1387</v>
      </c>
      <c r="D4352" s="1" t="s">
        <v>185</v>
      </c>
      <c r="E4352" s="8">
        <v>1895758</v>
      </c>
      <c r="F4352" s="5">
        <v>3412870</v>
      </c>
    </row>
    <row r="4353" spans="1:6" x14ac:dyDescent="0.25">
      <c r="A4353" s="5">
        <v>3412870</v>
      </c>
      <c r="B4353" s="1">
        <v>2016</v>
      </c>
      <c r="C4353" s="1" t="s">
        <v>1387</v>
      </c>
      <c r="D4353" s="1" t="s">
        <v>185</v>
      </c>
      <c r="E4353" s="8">
        <v>2681280</v>
      </c>
      <c r="F4353" s="5">
        <v>3412870</v>
      </c>
    </row>
    <row r="4354" spans="1:6" x14ac:dyDescent="0.25">
      <c r="A4354" s="5">
        <v>3412870</v>
      </c>
      <c r="B4354" s="1">
        <v>2017</v>
      </c>
      <c r="C4354" s="1" t="s">
        <v>1387</v>
      </c>
      <c r="D4354" s="1" t="s">
        <v>185</v>
      </c>
      <c r="E4354" s="8">
        <v>3745300</v>
      </c>
      <c r="F4354" s="5">
        <v>3412870</v>
      </c>
    </row>
    <row r="4355" spans="1:6" x14ac:dyDescent="0.25">
      <c r="A4355" s="5">
        <v>3412870</v>
      </c>
      <c r="B4355" s="1">
        <v>2018</v>
      </c>
      <c r="C4355" s="1" t="s">
        <v>1387</v>
      </c>
      <c r="D4355" s="1" t="s">
        <v>868</v>
      </c>
      <c r="E4355" s="8">
        <v>5067810</v>
      </c>
      <c r="F4355" s="5">
        <v>3412870</v>
      </c>
    </row>
    <row r="4356" spans="1:6" x14ac:dyDescent="0.25">
      <c r="A4356" s="5">
        <v>3412870</v>
      </c>
      <c r="B4356" s="1">
        <v>2019</v>
      </c>
      <c r="C4356" s="1" t="s">
        <v>1387</v>
      </c>
      <c r="D4356" s="1" t="s">
        <v>868</v>
      </c>
      <c r="E4356" s="8">
        <v>6710486</v>
      </c>
      <c r="F4356" s="5">
        <v>3412870</v>
      </c>
    </row>
    <row r="4357" spans="1:6" ht="20" x14ac:dyDescent="0.25">
      <c r="A4357" s="5">
        <v>3412870</v>
      </c>
      <c r="B4357" s="1">
        <v>2020</v>
      </c>
      <c r="C4357" s="1" t="s">
        <v>1387</v>
      </c>
      <c r="D4357" s="2" t="s">
        <v>868</v>
      </c>
      <c r="E4357" s="7">
        <v>7633151</v>
      </c>
      <c r="F4357" s="5">
        <v>3412870</v>
      </c>
    </row>
    <row r="4358" spans="1:6" ht="20" x14ac:dyDescent="0.25">
      <c r="A4358" s="5">
        <v>3412870</v>
      </c>
      <c r="B4358" s="1">
        <v>2021</v>
      </c>
      <c r="C4358" s="1" t="s">
        <v>1387</v>
      </c>
      <c r="D4358" s="3" t="s">
        <v>868</v>
      </c>
      <c r="E4358" s="7">
        <v>9847282</v>
      </c>
      <c r="F4358" s="5">
        <v>3412870</v>
      </c>
    </row>
    <row r="4359" spans="1:6" ht="20" x14ac:dyDescent="0.25">
      <c r="A4359" s="5">
        <v>3412870</v>
      </c>
      <c r="B4359" s="1">
        <v>2022</v>
      </c>
      <c r="C4359" s="1" t="s">
        <v>1387</v>
      </c>
      <c r="D4359" s="2" t="s">
        <v>868</v>
      </c>
      <c r="E4359" s="7">
        <v>14017768</v>
      </c>
      <c r="F4359" s="5">
        <v>3412870</v>
      </c>
    </row>
    <row r="4360" spans="1:6" ht="20" x14ac:dyDescent="0.25">
      <c r="A4360" s="5">
        <v>3412870</v>
      </c>
      <c r="B4360" s="1">
        <v>2023</v>
      </c>
      <c r="C4360" s="1" t="s">
        <v>1387</v>
      </c>
      <c r="D4360" s="2" t="s">
        <v>868</v>
      </c>
      <c r="E4360" s="7">
        <v>13497381</v>
      </c>
      <c r="F4360" s="5">
        <v>3412870</v>
      </c>
    </row>
    <row r="4361" spans="1:6" x14ac:dyDescent="0.25">
      <c r="A4361" s="5">
        <v>3412900</v>
      </c>
      <c r="B4361" s="1">
        <v>2015</v>
      </c>
      <c r="C4361" s="1" t="s">
        <v>1387</v>
      </c>
      <c r="D4361" s="1" t="s">
        <v>485</v>
      </c>
      <c r="E4361" s="8">
        <v>845397</v>
      </c>
      <c r="F4361" s="5">
        <v>3412900</v>
      </c>
    </row>
    <row r="4362" spans="1:6" x14ac:dyDescent="0.25">
      <c r="A4362" s="5">
        <v>3412900</v>
      </c>
      <c r="B4362" s="1">
        <v>2016</v>
      </c>
      <c r="C4362" s="1" t="s">
        <v>1387</v>
      </c>
      <c r="D4362" s="1" t="s">
        <v>485</v>
      </c>
      <c r="E4362" s="8">
        <v>1241249</v>
      </c>
      <c r="F4362" s="5">
        <v>3412900</v>
      </c>
    </row>
    <row r="4363" spans="1:6" x14ac:dyDescent="0.25">
      <c r="A4363" s="5">
        <v>3412900</v>
      </c>
      <c r="B4363" s="1">
        <v>2017</v>
      </c>
      <c r="C4363" s="1" t="s">
        <v>1387</v>
      </c>
      <c r="D4363" s="1" t="s">
        <v>485</v>
      </c>
      <c r="E4363" s="8">
        <v>1772449</v>
      </c>
      <c r="F4363" s="5">
        <v>3412900</v>
      </c>
    </row>
    <row r="4364" spans="1:6" x14ac:dyDescent="0.25">
      <c r="A4364" s="5">
        <v>3412900</v>
      </c>
      <c r="B4364" s="1">
        <v>2018</v>
      </c>
      <c r="C4364" s="1" t="s">
        <v>1387</v>
      </c>
      <c r="D4364" s="1" t="s">
        <v>1177</v>
      </c>
      <c r="E4364" s="8">
        <v>2390969</v>
      </c>
      <c r="F4364" s="5">
        <v>3412900</v>
      </c>
    </row>
    <row r="4365" spans="1:6" x14ac:dyDescent="0.25">
      <c r="A4365" s="5">
        <v>3412900</v>
      </c>
      <c r="B4365" s="1">
        <v>2019</v>
      </c>
      <c r="C4365" s="1" t="s">
        <v>1387</v>
      </c>
      <c r="D4365" s="1" t="s">
        <v>1177</v>
      </c>
      <c r="E4365" s="8">
        <v>3134587</v>
      </c>
      <c r="F4365" s="5">
        <v>3412900</v>
      </c>
    </row>
    <row r="4366" spans="1:6" ht="20" x14ac:dyDescent="0.25">
      <c r="A4366" s="5">
        <v>3412900</v>
      </c>
      <c r="B4366" s="1">
        <v>2020</v>
      </c>
      <c r="C4366" s="1" t="s">
        <v>1387</v>
      </c>
      <c r="D4366" s="2" t="s">
        <v>1177</v>
      </c>
      <c r="E4366" s="7">
        <v>3527323</v>
      </c>
      <c r="F4366" s="5">
        <v>3412900</v>
      </c>
    </row>
    <row r="4367" spans="1:6" ht="20" x14ac:dyDescent="0.25">
      <c r="A4367" s="5">
        <v>3412900</v>
      </c>
      <c r="B4367" s="1">
        <v>2021</v>
      </c>
      <c r="C4367" s="1" t="s">
        <v>1387</v>
      </c>
      <c r="D4367" s="3" t="s">
        <v>1177</v>
      </c>
      <c r="E4367" s="7">
        <v>4368388</v>
      </c>
      <c r="F4367" s="5">
        <v>3412900</v>
      </c>
    </row>
    <row r="4368" spans="1:6" ht="20" x14ac:dyDescent="0.25">
      <c r="A4368" s="5">
        <v>3412900</v>
      </c>
      <c r="B4368" s="1">
        <v>2022</v>
      </c>
      <c r="C4368" s="1" t="s">
        <v>1387</v>
      </c>
      <c r="D4368" s="2" t="s">
        <v>1177</v>
      </c>
      <c r="E4368" s="7">
        <v>6373871</v>
      </c>
      <c r="F4368" s="5">
        <v>3412900</v>
      </c>
    </row>
    <row r="4369" spans="1:6" ht="20" x14ac:dyDescent="0.25">
      <c r="A4369" s="5">
        <v>3412900</v>
      </c>
      <c r="B4369" s="1">
        <v>2023</v>
      </c>
      <c r="C4369" s="1" t="s">
        <v>1387</v>
      </c>
      <c r="D4369" s="2" t="s">
        <v>1177</v>
      </c>
      <c r="E4369" s="7">
        <v>6441457</v>
      </c>
      <c r="F4369" s="5">
        <v>3412900</v>
      </c>
    </row>
    <row r="4370" spans="1:6" x14ac:dyDescent="0.25">
      <c r="A4370" s="5">
        <v>3412930</v>
      </c>
      <c r="B4370" s="1">
        <v>2015</v>
      </c>
      <c r="C4370" s="1" t="s">
        <v>1387</v>
      </c>
      <c r="D4370" s="1" t="s">
        <v>391</v>
      </c>
      <c r="E4370" s="8">
        <v>3602289</v>
      </c>
      <c r="F4370" s="5">
        <v>3412930</v>
      </c>
    </row>
    <row r="4371" spans="1:6" x14ac:dyDescent="0.25">
      <c r="A4371" s="5">
        <v>3412930</v>
      </c>
      <c r="B4371" s="1">
        <v>2016</v>
      </c>
      <c r="C4371" s="1" t="s">
        <v>1387</v>
      </c>
      <c r="D4371" s="1" t="s">
        <v>391</v>
      </c>
      <c r="E4371" s="8">
        <v>5350636</v>
      </c>
      <c r="F4371" s="5">
        <v>3412930</v>
      </c>
    </row>
    <row r="4372" spans="1:6" x14ac:dyDescent="0.25">
      <c r="A4372" s="5">
        <v>3412930</v>
      </c>
      <c r="B4372" s="1">
        <v>2017</v>
      </c>
      <c r="C4372" s="1" t="s">
        <v>1387</v>
      </c>
      <c r="D4372" s="1" t="s">
        <v>391</v>
      </c>
      <c r="E4372" s="8">
        <v>7780208</v>
      </c>
      <c r="F4372" s="5">
        <v>3412930</v>
      </c>
    </row>
    <row r="4373" spans="1:6" x14ac:dyDescent="0.25">
      <c r="A4373" s="5">
        <v>3412930</v>
      </c>
      <c r="B4373" s="1">
        <v>2018</v>
      </c>
      <c r="C4373" s="1" t="s">
        <v>1387</v>
      </c>
      <c r="D4373" s="1" t="s">
        <v>1083</v>
      </c>
      <c r="E4373" s="8">
        <v>10405750</v>
      </c>
      <c r="F4373" s="5">
        <v>3412930</v>
      </c>
    </row>
    <row r="4374" spans="1:6" x14ac:dyDescent="0.25">
      <c r="A4374" s="5">
        <v>3412930</v>
      </c>
      <c r="B4374" s="1">
        <v>2019</v>
      </c>
      <c r="C4374" s="1" t="s">
        <v>1387</v>
      </c>
      <c r="D4374" s="1" t="s">
        <v>1083</v>
      </c>
      <c r="E4374" s="8">
        <v>14226871</v>
      </c>
      <c r="F4374" s="5">
        <v>3412930</v>
      </c>
    </row>
    <row r="4375" spans="1:6" ht="20" x14ac:dyDescent="0.25">
      <c r="A4375" s="5">
        <v>3412930</v>
      </c>
      <c r="B4375" s="1">
        <v>2020</v>
      </c>
      <c r="C4375" s="1" t="s">
        <v>1387</v>
      </c>
      <c r="D4375" s="2" t="s">
        <v>1083</v>
      </c>
      <c r="E4375" s="7">
        <v>16574400</v>
      </c>
      <c r="F4375" s="5">
        <v>3412930</v>
      </c>
    </row>
    <row r="4376" spans="1:6" ht="20" x14ac:dyDescent="0.25">
      <c r="A4376" s="5">
        <v>3412930</v>
      </c>
      <c r="B4376" s="1">
        <v>2021</v>
      </c>
      <c r="C4376" s="1" t="s">
        <v>1387</v>
      </c>
      <c r="D4376" s="3" t="s">
        <v>1083</v>
      </c>
      <c r="E4376" s="7">
        <v>21331529</v>
      </c>
      <c r="F4376" s="5">
        <v>3412930</v>
      </c>
    </row>
    <row r="4377" spans="1:6" ht="20" x14ac:dyDescent="0.25">
      <c r="A4377" s="5">
        <v>3412930</v>
      </c>
      <c r="B4377" s="1">
        <v>2022</v>
      </c>
      <c r="C4377" s="1" t="s">
        <v>1387</v>
      </c>
      <c r="D4377" s="2" t="s">
        <v>1083</v>
      </c>
      <c r="E4377" s="7">
        <v>30833125</v>
      </c>
      <c r="F4377" s="5">
        <v>3412930</v>
      </c>
    </row>
    <row r="4378" spans="1:6" ht="20" x14ac:dyDescent="0.25">
      <c r="A4378" s="5">
        <v>3412930</v>
      </c>
      <c r="B4378" s="1">
        <v>2023</v>
      </c>
      <c r="C4378" s="1" t="s">
        <v>1387</v>
      </c>
      <c r="D4378" s="2" t="s">
        <v>1083</v>
      </c>
      <c r="E4378" s="7">
        <v>30476821</v>
      </c>
      <c r="F4378" s="5">
        <v>3412930</v>
      </c>
    </row>
    <row r="4379" spans="1:6" x14ac:dyDescent="0.25">
      <c r="A4379" s="5">
        <v>3412960</v>
      </c>
      <c r="B4379" s="1">
        <v>2015</v>
      </c>
      <c r="C4379" s="1" t="s">
        <v>1387</v>
      </c>
      <c r="D4379" s="1" t="s">
        <v>653</v>
      </c>
      <c r="E4379" s="8">
        <v>1575217</v>
      </c>
      <c r="F4379" s="5">
        <v>3412960</v>
      </c>
    </row>
    <row r="4380" spans="1:6" x14ac:dyDescent="0.25">
      <c r="A4380" s="5">
        <v>3412960</v>
      </c>
      <c r="B4380" s="1">
        <v>2016</v>
      </c>
      <c r="C4380" s="1" t="s">
        <v>1387</v>
      </c>
      <c r="D4380" s="1" t="s">
        <v>653</v>
      </c>
      <c r="E4380" s="8">
        <v>2358398</v>
      </c>
      <c r="F4380" s="5">
        <v>3412960</v>
      </c>
    </row>
    <row r="4381" spans="1:6" x14ac:dyDescent="0.25">
      <c r="A4381" s="5">
        <v>3412960</v>
      </c>
      <c r="B4381" s="1">
        <v>2017</v>
      </c>
      <c r="C4381" s="1" t="s">
        <v>1387</v>
      </c>
      <c r="D4381" s="1" t="s">
        <v>653</v>
      </c>
      <c r="E4381" s="8">
        <v>3397045</v>
      </c>
      <c r="F4381" s="5">
        <v>3412960</v>
      </c>
    </row>
    <row r="4382" spans="1:6" x14ac:dyDescent="0.25">
      <c r="A4382" s="5">
        <v>3412960</v>
      </c>
      <c r="B4382" s="1">
        <v>2018</v>
      </c>
      <c r="C4382" s="1" t="s">
        <v>1387</v>
      </c>
      <c r="D4382" s="1" t="s">
        <v>1346</v>
      </c>
      <c r="E4382" s="8">
        <v>4531649</v>
      </c>
      <c r="F4382" s="5">
        <v>3412960</v>
      </c>
    </row>
    <row r="4383" spans="1:6" x14ac:dyDescent="0.25">
      <c r="A4383" s="5">
        <v>3412960</v>
      </c>
      <c r="B4383" s="1">
        <v>2019</v>
      </c>
      <c r="C4383" s="1" t="s">
        <v>1387</v>
      </c>
      <c r="D4383" s="1" t="s">
        <v>1346</v>
      </c>
      <c r="E4383" s="8">
        <v>5917497</v>
      </c>
      <c r="F4383" s="5">
        <v>3412960</v>
      </c>
    </row>
    <row r="4384" spans="1:6" ht="20" x14ac:dyDescent="0.25">
      <c r="A4384" s="5">
        <v>3412960</v>
      </c>
      <c r="B4384" s="1">
        <v>2020</v>
      </c>
      <c r="C4384" s="1" t="s">
        <v>1387</v>
      </c>
      <c r="D4384" s="2" t="s">
        <v>1346</v>
      </c>
      <c r="E4384" s="7">
        <v>6762200</v>
      </c>
      <c r="F4384" s="5">
        <v>3412960</v>
      </c>
    </row>
    <row r="4385" spans="1:6" ht="20" x14ac:dyDescent="0.25">
      <c r="A4385" s="5">
        <v>3412960</v>
      </c>
      <c r="B4385" s="1">
        <v>2021</v>
      </c>
      <c r="C4385" s="1" t="s">
        <v>1387</v>
      </c>
      <c r="D4385" s="3" t="s">
        <v>1346</v>
      </c>
      <c r="E4385" s="7">
        <v>8748577</v>
      </c>
      <c r="F4385" s="5">
        <v>3412960</v>
      </c>
    </row>
    <row r="4386" spans="1:6" ht="20" x14ac:dyDescent="0.25">
      <c r="A4386" s="5">
        <v>3412960</v>
      </c>
      <c r="B4386" s="1">
        <v>2022</v>
      </c>
      <c r="C4386" s="1" t="s">
        <v>1387</v>
      </c>
      <c r="D4386" s="2" t="s">
        <v>1346</v>
      </c>
      <c r="E4386" s="7">
        <v>12239369</v>
      </c>
      <c r="F4386" s="5">
        <v>3412960</v>
      </c>
    </row>
    <row r="4387" spans="1:6" ht="20" x14ac:dyDescent="0.25">
      <c r="A4387" s="5">
        <v>3412960</v>
      </c>
      <c r="B4387" s="1">
        <v>2023</v>
      </c>
      <c r="C4387" s="1" t="s">
        <v>1387</v>
      </c>
      <c r="D4387" s="2" t="s">
        <v>1346</v>
      </c>
      <c r="E4387" s="7">
        <v>12059547</v>
      </c>
      <c r="F4387" s="5">
        <v>3412960</v>
      </c>
    </row>
    <row r="4388" spans="1:6" x14ac:dyDescent="0.25">
      <c r="A4388" s="5">
        <v>3412990</v>
      </c>
      <c r="B4388" s="1">
        <v>2015</v>
      </c>
      <c r="C4388" s="1" t="s">
        <v>1387</v>
      </c>
      <c r="D4388" s="1" t="s">
        <v>186</v>
      </c>
      <c r="E4388" s="8">
        <v>798886</v>
      </c>
      <c r="F4388" s="5">
        <v>3412990</v>
      </c>
    </row>
    <row r="4389" spans="1:6" x14ac:dyDescent="0.25">
      <c r="A4389" s="5">
        <v>3412990</v>
      </c>
      <c r="B4389" s="1">
        <v>2016</v>
      </c>
      <c r="C4389" s="1" t="s">
        <v>1387</v>
      </c>
      <c r="D4389" s="1" t="s">
        <v>186</v>
      </c>
      <c r="E4389" s="8">
        <v>1106466</v>
      </c>
      <c r="F4389" s="5">
        <v>3412990</v>
      </c>
    </row>
    <row r="4390" spans="1:6" x14ac:dyDescent="0.25">
      <c r="A4390" s="5">
        <v>3412990</v>
      </c>
      <c r="B4390" s="1">
        <v>2017</v>
      </c>
      <c r="C4390" s="1" t="s">
        <v>1387</v>
      </c>
      <c r="D4390" s="1" t="s">
        <v>186</v>
      </c>
      <c r="E4390" s="8">
        <v>1591077</v>
      </c>
      <c r="F4390" s="5">
        <v>3412990</v>
      </c>
    </row>
    <row r="4391" spans="1:6" x14ac:dyDescent="0.25">
      <c r="A4391" s="5">
        <v>3412990</v>
      </c>
      <c r="B4391" s="1">
        <v>2018</v>
      </c>
      <c r="C4391" s="1" t="s">
        <v>1387</v>
      </c>
      <c r="D4391" s="1" t="s">
        <v>869</v>
      </c>
      <c r="E4391" s="8">
        <v>2090868</v>
      </c>
      <c r="F4391" s="5">
        <v>3412990</v>
      </c>
    </row>
    <row r="4392" spans="1:6" x14ac:dyDescent="0.25">
      <c r="A4392" s="5">
        <v>3412990</v>
      </c>
      <c r="B4392" s="1">
        <v>2019</v>
      </c>
      <c r="C4392" s="1" t="s">
        <v>1387</v>
      </c>
      <c r="D4392" s="1" t="s">
        <v>869</v>
      </c>
      <c r="E4392" s="8">
        <v>2724836</v>
      </c>
      <c r="F4392" s="5">
        <v>3412990</v>
      </c>
    </row>
    <row r="4393" spans="1:6" ht="20" x14ac:dyDescent="0.25">
      <c r="A4393" s="5">
        <v>3412990</v>
      </c>
      <c r="B4393" s="1">
        <v>2020</v>
      </c>
      <c r="C4393" s="1" t="s">
        <v>1387</v>
      </c>
      <c r="D4393" s="2" t="s">
        <v>869</v>
      </c>
      <c r="E4393" s="7">
        <v>3029966</v>
      </c>
      <c r="F4393" s="5">
        <v>3412990</v>
      </c>
    </row>
    <row r="4394" spans="1:6" ht="20" x14ac:dyDescent="0.25">
      <c r="A4394" s="5">
        <v>3412990</v>
      </c>
      <c r="B4394" s="1">
        <v>2021</v>
      </c>
      <c r="C4394" s="1" t="s">
        <v>1387</v>
      </c>
      <c r="D4394" s="3" t="s">
        <v>869</v>
      </c>
      <c r="E4394" s="7">
        <v>4014405</v>
      </c>
      <c r="F4394" s="5">
        <v>3412990</v>
      </c>
    </row>
    <row r="4395" spans="1:6" ht="20" x14ac:dyDescent="0.25">
      <c r="A4395" s="5">
        <v>3412990</v>
      </c>
      <c r="B4395" s="1">
        <v>2022</v>
      </c>
      <c r="C4395" s="1" t="s">
        <v>1387</v>
      </c>
      <c r="D4395" s="2" t="s">
        <v>869</v>
      </c>
      <c r="E4395" s="7">
        <v>5639762</v>
      </c>
      <c r="F4395" s="5">
        <v>3412990</v>
      </c>
    </row>
    <row r="4396" spans="1:6" ht="20" x14ac:dyDescent="0.25">
      <c r="A4396" s="5">
        <v>3412990</v>
      </c>
      <c r="B4396" s="1">
        <v>2023</v>
      </c>
      <c r="C4396" s="1" t="s">
        <v>1387</v>
      </c>
      <c r="D4396" s="2" t="s">
        <v>869</v>
      </c>
      <c r="E4396" s="7">
        <v>5735555</v>
      </c>
      <c r="F4396" s="5">
        <v>3412990</v>
      </c>
    </row>
    <row r="4397" spans="1:6" x14ac:dyDescent="0.25">
      <c r="A4397" s="5">
        <v>3413000</v>
      </c>
      <c r="B4397" s="1">
        <v>2015</v>
      </c>
      <c r="C4397" s="1" t="s">
        <v>1387</v>
      </c>
      <c r="D4397" s="1" t="s">
        <v>513</v>
      </c>
      <c r="E4397" s="8">
        <v>719437</v>
      </c>
      <c r="F4397" s="5">
        <v>3413000</v>
      </c>
    </row>
    <row r="4398" spans="1:6" x14ac:dyDescent="0.25">
      <c r="A4398" s="5">
        <v>3413000</v>
      </c>
      <c r="B4398" s="1">
        <v>2016</v>
      </c>
      <c r="C4398" s="1" t="s">
        <v>1387</v>
      </c>
      <c r="D4398" s="1" t="s">
        <v>513</v>
      </c>
      <c r="E4398" s="8">
        <v>1039217</v>
      </c>
      <c r="F4398" s="5">
        <v>3413000</v>
      </c>
    </row>
    <row r="4399" spans="1:6" x14ac:dyDescent="0.25">
      <c r="A4399" s="5">
        <v>3413000</v>
      </c>
      <c r="B4399" s="1">
        <v>2017</v>
      </c>
      <c r="C4399" s="1" t="s">
        <v>1387</v>
      </c>
      <c r="D4399" s="1" t="s">
        <v>513</v>
      </c>
      <c r="E4399" s="8">
        <v>1465925</v>
      </c>
      <c r="F4399" s="5">
        <v>3413000</v>
      </c>
    </row>
    <row r="4400" spans="1:6" x14ac:dyDescent="0.25">
      <c r="A4400" s="5">
        <v>3413000</v>
      </c>
      <c r="B4400" s="1">
        <v>2018</v>
      </c>
      <c r="C4400" s="1" t="s">
        <v>1387</v>
      </c>
      <c r="D4400" s="1" t="s">
        <v>1205</v>
      </c>
      <c r="E4400" s="8">
        <v>1981288</v>
      </c>
      <c r="F4400" s="5">
        <v>3413000</v>
      </c>
    </row>
    <row r="4401" spans="1:6" x14ac:dyDescent="0.25">
      <c r="A4401" s="5">
        <v>3413000</v>
      </c>
      <c r="B4401" s="1">
        <v>2019</v>
      </c>
      <c r="C4401" s="1" t="s">
        <v>1387</v>
      </c>
      <c r="D4401" s="1" t="s">
        <v>1205</v>
      </c>
      <c r="E4401" s="8">
        <v>2498273</v>
      </c>
      <c r="F4401" s="5">
        <v>3413000</v>
      </c>
    </row>
    <row r="4402" spans="1:6" ht="20" x14ac:dyDescent="0.25">
      <c r="A4402" s="5">
        <v>3413000</v>
      </c>
      <c r="B4402" s="1">
        <v>2020</v>
      </c>
      <c r="C4402" s="1" t="s">
        <v>1387</v>
      </c>
      <c r="D4402" s="2" t="s">
        <v>1205</v>
      </c>
      <c r="E4402" s="7">
        <v>2786828</v>
      </c>
      <c r="F4402" s="5">
        <v>3413000</v>
      </c>
    </row>
    <row r="4403" spans="1:6" ht="20" x14ac:dyDescent="0.25">
      <c r="A4403" s="5">
        <v>3413000</v>
      </c>
      <c r="B4403" s="1">
        <v>2021</v>
      </c>
      <c r="C4403" s="1" t="s">
        <v>1387</v>
      </c>
      <c r="D4403" s="3" t="s">
        <v>1205</v>
      </c>
      <c r="E4403" s="7">
        <v>3485071</v>
      </c>
      <c r="F4403" s="5">
        <v>3413000</v>
      </c>
    </row>
    <row r="4404" spans="1:6" ht="20" x14ac:dyDescent="0.25">
      <c r="A4404" s="5">
        <v>3413000</v>
      </c>
      <c r="B4404" s="1">
        <v>2022</v>
      </c>
      <c r="C4404" s="1" t="s">
        <v>1387</v>
      </c>
      <c r="D4404" s="2" t="s">
        <v>1205</v>
      </c>
      <c r="E4404" s="7">
        <v>4717277</v>
      </c>
      <c r="F4404" s="5">
        <v>3413000</v>
      </c>
    </row>
    <row r="4405" spans="1:6" ht="20" x14ac:dyDescent="0.25">
      <c r="A4405" s="5">
        <v>3413000</v>
      </c>
      <c r="B4405" s="1">
        <v>2023</v>
      </c>
      <c r="C4405" s="1" t="s">
        <v>1387</v>
      </c>
      <c r="D4405" s="2" t="s">
        <v>1205</v>
      </c>
      <c r="E4405" s="7">
        <v>4531478</v>
      </c>
      <c r="F4405" s="5">
        <v>3413000</v>
      </c>
    </row>
    <row r="4406" spans="1:6" x14ac:dyDescent="0.25">
      <c r="A4406" s="5">
        <v>3413050</v>
      </c>
      <c r="B4406" s="1">
        <v>2015</v>
      </c>
      <c r="C4406" s="1" t="s">
        <v>1387</v>
      </c>
      <c r="D4406" s="1" t="s">
        <v>392</v>
      </c>
      <c r="E4406" s="8">
        <v>2383777</v>
      </c>
      <c r="F4406" s="5">
        <v>3413050</v>
      </c>
    </row>
    <row r="4407" spans="1:6" x14ac:dyDescent="0.25">
      <c r="A4407" s="5">
        <v>3413050</v>
      </c>
      <c r="B4407" s="1">
        <v>2016</v>
      </c>
      <c r="C4407" s="1" t="s">
        <v>1387</v>
      </c>
      <c r="D4407" s="1" t="s">
        <v>392</v>
      </c>
      <c r="E4407" s="8">
        <v>3688465</v>
      </c>
      <c r="F4407" s="5">
        <v>3413050</v>
      </c>
    </row>
    <row r="4408" spans="1:6" x14ac:dyDescent="0.25">
      <c r="A4408" s="5">
        <v>3413050</v>
      </c>
      <c r="B4408" s="1">
        <v>2017</v>
      </c>
      <c r="C4408" s="1" t="s">
        <v>1387</v>
      </c>
      <c r="D4408" s="1" t="s">
        <v>392</v>
      </c>
      <c r="E4408" s="8">
        <v>5224557</v>
      </c>
      <c r="F4408" s="5">
        <v>3413050</v>
      </c>
    </row>
    <row r="4409" spans="1:6" x14ac:dyDescent="0.25">
      <c r="A4409" s="5">
        <v>3413050</v>
      </c>
      <c r="B4409" s="1">
        <v>2018</v>
      </c>
      <c r="C4409" s="1" t="s">
        <v>1387</v>
      </c>
      <c r="D4409" s="1" t="s">
        <v>1084</v>
      </c>
      <c r="E4409" s="8">
        <v>7232892</v>
      </c>
      <c r="F4409" s="5">
        <v>3413050</v>
      </c>
    </row>
    <row r="4410" spans="1:6" x14ac:dyDescent="0.25">
      <c r="A4410" s="5">
        <v>3413050</v>
      </c>
      <c r="B4410" s="1">
        <v>2019</v>
      </c>
      <c r="C4410" s="1" t="s">
        <v>1387</v>
      </c>
      <c r="D4410" s="1" t="s">
        <v>1084</v>
      </c>
      <c r="E4410" s="8">
        <v>9425991</v>
      </c>
      <c r="F4410" s="5">
        <v>3413050</v>
      </c>
    </row>
    <row r="4411" spans="1:6" ht="20" x14ac:dyDescent="0.25">
      <c r="A4411" s="5">
        <v>3413050</v>
      </c>
      <c r="B4411" s="1">
        <v>2020</v>
      </c>
      <c r="C4411" s="1" t="s">
        <v>1387</v>
      </c>
      <c r="D4411" s="2" t="s">
        <v>1084</v>
      </c>
      <c r="E4411" s="7">
        <v>10745459</v>
      </c>
      <c r="F4411" s="5">
        <v>3413050</v>
      </c>
    </row>
    <row r="4412" spans="1:6" ht="20" x14ac:dyDescent="0.25">
      <c r="A4412" s="5">
        <v>3413050</v>
      </c>
      <c r="B4412" s="1">
        <v>2021</v>
      </c>
      <c r="C4412" s="1" t="s">
        <v>1387</v>
      </c>
      <c r="D4412" s="3" t="s">
        <v>1084</v>
      </c>
      <c r="E4412" s="7">
        <v>13746514</v>
      </c>
      <c r="F4412" s="5">
        <v>3413050</v>
      </c>
    </row>
    <row r="4413" spans="1:6" ht="20" x14ac:dyDescent="0.25">
      <c r="A4413" s="5">
        <v>3413050</v>
      </c>
      <c r="B4413" s="1">
        <v>2022</v>
      </c>
      <c r="C4413" s="1" t="s">
        <v>1387</v>
      </c>
      <c r="D4413" s="2" t="s">
        <v>1084</v>
      </c>
      <c r="E4413" s="7">
        <v>19741447</v>
      </c>
      <c r="F4413" s="5">
        <v>3413050</v>
      </c>
    </row>
    <row r="4414" spans="1:6" ht="20" x14ac:dyDescent="0.25">
      <c r="A4414" s="5">
        <v>3413050</v>
      </c>
      <c r="B4414" s="1">
        <v>2023</v>
      </c>
      <c r="C4414" s="1" t="s">
        <v>1387</v>
      </c>
      <c r="D4414" s="2" t="s">
        <v>1084</v>
      </c>
      <c r="E4414" s="7">
        <v>19457672</v>
      </c>
      <c r="F4414" s="5">
        <v>3413050</v>
      </c>
    </row>
    <row r="4415" spans="1:6" x14ac:dyDescent="0.25">
      <c r="A4415" s="5">
        <v>3413080</v>
      </c>
      <c r="B4415" s="1">
        <v>2015</v>
      </c>
      <c r="C4415" s="1" t="s">
        <v>1387</v>
      </c>
      <c r="D4415" s="1" t="s">
        <v>292</v>
      </c>
      <c r="E4415" s="8">
        <v>619865</v>
      </c>
      <c r="F4415" s="5">
        <v>3413080</v>
      </c>
    </row>
    <row r="4416" spans="1:6" x14ac:dyDescent="0.25">
      <c r="A4416" s="5">
        <v>3413080</v>
      </c>
      <c r="B4416" s="1">
        <v>2016</v>
      </c>
      <c r="C4416" s="1" t="s">
        <v>1387</v>
      </c>
      <c r="D4416" s="1" t="s">
        <v>292</v>
      </c>
      <c r="E4416" s="8">
        <v>894538</v>
      </c>
      <c r="F4416" s="5">
        <v>3413080</v>
      </c>
    </row>
    <row r="4417" spans="1:6" x14ac:dyDescent="0.25">
      <c r="A4417" s="5">
        <v>3413080</v>
      </c>
      <c r="B4417" s="1">
        <v>2017</v>
      </c>
      <c r="C4417" s="1" t="s">
        <v>1387</v>
      </c>
      <c r="D4417" s="1" t="s">
        <v>292</v>
      </c>
      <c r="E4417" s="8">
        <v>1277891</v>
      </c>
      <c r="F4417" s="5">
        <v>3413080</v>
      </c>
    </row>
    <row r="4418" spans="1:6" x14ac:dyDescent="0.25">
      <c r="A4418" s="5">
        <v>3413080</v>
      </c>
      <c r="B4418" s="1">
        <v>2018</v>
      </c>
      <c r="C4418" s="1" t="s">
        <v>1387</v>
      </c>
      <c r="D4418" s="1" t="s">
        <v>982</v>
      </c>
      <c r="E4418" s="8">
        <v>1737388</v>
      </c>
      <c r="F4418" s="5">
        <v>3413080</v>
      </c>
    </row>
    <row r="4419" spans="1:6" x14ac:dyDescent="0.25">
      <c r="A4419" s="5">
        <v>3413080</v>
      </c>
      <c r="B4419" s="1">
        <v>2019</v>
      </c>
      <c r="C4419" s="1" t="s">
        <v>1387</v>
      </c>
      <c r="D4419" s="1" t="s">
        <v>982</v>
      </c>
      <c r="E4419" s="8">
        <v>2363038</v>
      </c>
      <c r="F4419" s="5">
        <v>3413080</v>
      </c>
    </row>
    <row r="4420" spans="1:6" ht="20" x14ac:dyDescent="0.25">
      <c r="A4420" s="5">
        <v>3413080</v>
      </c>
      <c r="B4420" s="1">
        <v>2020</v>
      </c>
      <c r="C4420" s="1" t="s">
        <v>1387</v>
      </c>
      <c r="D4420" s="2" t="s">
        <v>982</v>
      </c>
      <c r="E4420" s="7">
        <v>2594500</v>
      </c>
      <c r="F4420" s="5">
        <v>3413080</v>
      </c>
    </row>
    <row r="4421" spans="1:6" ht="20" x14ac:dyDescent="0.25">
      <c r="A4421" s="5">
        <v>3413080</v>
      </c>
      <c r="B4421" s="1">
        <v>2021</v>
      </c>
      <c r="C4421" s="1" t="s">
        <v>1387</v>
      </c>
      <c r="D4421" s="3" t="s">
        <v>982</v>
      </c>
      <c r="E4421" s="7">
        <v>3224652</v>
      </c>
      <c r="F4421" s="5">
        <v>3413080</v>
      </c>
    </row>
    <row r="4422" spans="1:6" ht="20" x14ac:dyDescent="0.25">
      <c r="A4422" s="5">
        <v>3413080</v>
      </c>
      <c r="B4422" s="1">
        <v>2022</v>
      </c>
      <c r="C4422" s="1" t="s">
        <v>1387</v>
      </c>
      <c r="D4422" s="2" t="s">
        <v>982</v>
      </c>
      <c r="E4422" s="7">
        <v>4259084</v>
      </c>
      <c r="F4422" s="5">
        <v>3413080</v>
      </c>
    </row>
    <row r="4423" spans="1:6" ht="20" x14ac:dyDescent="0.25">
      <c r="A4423" s="5">
        <v>3413080</v>
      </c>
      <c r="B4423" s="1">
        <v>2023</v>
      </c>
      <c r="C4423" s="1" t="s">
        <v>1387</v>
      </c>
      <c r="D4423" s="2" t="s">
        <v>982</v>
      </c>
      <c r="E4423" s="7">
        <v>4224236</v>
      </c>
      <c r="F4423" s="5">
        <v>3413080</v>
      </c>
    </row>
    <row r="4424" spans="1:6" x14ac:dyDescent="0.25">
      <c r="A4424" s="5">
        <v>3413110</v>
      </c>
      <c r="B4424" s="1">
        <v>2015</v>
      </c>
      <c r="C4424" s="1" t="s">
        <v>1387</v>
      </c>
      <c r="D4424" s="1" t="s">
        <v>556</v>
      </c>
      <c r="E4424" s="8">
        <v>606261</v>
      </c>
      <c r="F4424" s="5">
        <v>3413110</v>
      </c>
    </row>
    <row r="4425" spans="1:6" x14ac:dyDescent="0.25">
      <c r="A4425" s="5">
        <v>3413110</v>
      </c>
      <c r="B4425" s="1">
        <v>2016</v>
      </c>
      <c r="C4425" s="1" t="s">
        <v>1387</v>
      </c>
      <c r="D4425" s="1" t="s">
        <v>556</v>
      </c>
      <c r="E4425" s="8">
        <v>897382</v>
      </c>
      <c r="F4425" s="5">
        <v>3413110</v>
      </c>
    </row>
    <row r="4426" spans="1:6" x14ac:dyDescent="0.25">
      <c r="A4426" s="5">
        <v>3413110</v>
      </c>
      <c r="B4426" s="1">
        <v>2017</v>
      </c>
      <c r="C4426" s="1" t="s">
        <v>1387</v>
      </c>
      <c r="D4426" s="1" t="s">
        <v>556</v>
      </c>
      <c r="E4426" s="8">
        <v>1249275</v>
      </c>
      <c r="F4426" s="5">
        <v>3413110</v>
      </c>
    </row>
    <row r="4427" spans="1:6" x14ac:dyDescent="0.25">
      <c r="A4427" s="5">
        <v>3413110</v>
      </c>
      <c r="B4427" s="1">
        <v>2018</v>
      </c>
      <c r="C4427" s="1" t="s">
        <v>1387</v>
      </c>
      <c r="D4427" s="1" t="s">
        <v>1248</v>
      </c>
      <c r="E4427" s="8">
        <v>1734217</v>
      </c>
      <c r="F4427" s="5">
        <v>3413110</v>
      </c>
    </row>
    <row r="4428" spans="1:6" x14ac:dyDescent="0.25">
      <c r="A4428" s="5">
        <v>3413110</v>
      </c>
      <c r="B4428" s="1">
        <v>2019</v>
      </c>
      <c r="C4428" s="1" t="s">
        <v>1387</v>
      </c>
      <c r="D4428" s="1" t="s">
        <v>1248</v>
      </c>
      <c r="E4428" s="8">
        <v>2265962</v>
      </c>
      <c r="F4428" s="5">
        <v>3413110</v>
      </c>
    </row>
    <row r="4429" spans="1:6" ht="20" x14ac:dyDescent="0.25">
      <c r="A4429" s="5">
        <v>3413110</v>
      </c>
      <c r="B4429" s="1">
        <v>2020</v>
      </c>
      <c r="C4429" s="1" t="s">
        <v>1387</v>
      </c>
      <c r="D4429" s="2" t="s">
        <v>1248</v>
      </c>
      <c r="E4429" s="7">
        <v>2681404</v>
      </c>
      <c r="F4429" s="5">
        <v>3413110</v>
      </c>
    </row>
    <row r="4430" spans="1:6" ht="20" x14ac:dyDescent="0.25">
      <c r="A4430" s="5">
        <v>3413110</v>
      </c>
      <c r="B4430" s="1">
        <v>2021</v>
      </c>
      <c r="C4430" s="1" t="s">
        <v>1387</v>
      </c>
      <c r="D4430" s="3" t="s">
        <v>1248</v>
      </c>
      <c r="E4430" s="7">
        <v>3357982</v>
      </c>
      <c r="F4430" s="5">
        <v>3413110</v>
      </c>
    </row>
    <row r="4431" spans="1:6" ht="20" x14ac:dyDescent="0.25">
      <c r="A4431" s="5">
        <v>3413110</v>
      </c>
      <c r="B4431" s="1">
        <v>2022</v>
      </c>
      <c r="C4431" s="1" t="s">
        <v>1387</v>
      </c>
      <c r="D4431" s="2" t="s">
        <v>1248</v>
      </c>
      <c r="E4431" s="7">
        <v>4706317</v>
      </c>
      <c r="F4431" s="5">
        <v>3413110</v>
      </c>
    </row>
    <row r="4432" spans="1:6" ht="20" x14ac:dyDescent="0.25">
      <c r="A4432" s="5">
        <v>3413110</v>
      </c>
      <c r="B4432" s="1">
        <v>2023</v>
      </c>
      <c r="C4432" s="1" t="s">
        <v>1387</v>
      </c>
      <c r="D4432" s="2" t="s">
        <v>1248</v>
      </c>
      <c r="E4432" s="7">
        <v>4554453</v>
      </c>
      <c r="F4432" s="5">
        <v>3413110</v>
      </c>
    </row>
    <row r="4433" spans="1:6" x14ac:dyDescent="0.25">
      <c r="A4433" s="5">
        <v>3413140</v>
      </c>
      <c r="B4433" s="1">
        <v>2015</v>
      </c>
      <c r="C4433" s="1" t="s">
        <v>1387</v>
      </c>
      <c r="D4433" s="1" t="s">
        <v>623</v>
      </c>
      <c r="E4433" s="8">
        <v>2791742</v>
      </c>
      <c r="F4433" s="5">
        <v>3413140</v>
      </c>
    </row>
    <row r="4434" spans="1:6" x14ac:dyDescent="0.25">
      <c r="A4434" s="5">
        <v>3413140</v>
      </c>
      <c r="B4434" s="1">
        <v>2016</v>
      </c>
      <c r="C4434" s="1" t="s">
        <v>1387</v>
      </c>
      <c r="D4434" s="1" t="s">
        <v>623</v>
      </c>
      <c r="E4434" s="8">
        <v>4107364</v>
      </c>
      <c r="F4434" s="5">
        <v>3413140</v>
      </c>
    </row>
    <row r="4435" spans="1:6" x14ac:dyDescent="0.25">
      <c r="A4435" s="5">
        <v>3413140</v>
      </c>
      <c r="B4435" s="1">
        <v>2017</v>
      </c>
      <c r="C4435" s="1" t="s">
        <v>1387</v>
      </c>
      <c r="D4435" s="1" t="s">
        <v>623</v>
      </c>
      <c r="E4435" s="8">
        <v>5727047</v>
      </c>
      <c r="F4435" s="5">
        <v>3413140</v>
      </c>
    </row>
    <row r="4436" spans="1:6" x14ac:dyDescent="0.25">
      <c r="A4436" s="5">
        <v>3413140</v>
      </c>
      <c r="B4436" s="1">
        <v>2018</v>
      </c>
      <c r="C4436" s="1" t="s">
        <v>1387</v>
      </c>
      <c r="D4436" s="1" t="s">
        <v>1316</v>
      </c>
      <c r="E4436" s="8">
        <v>8274167</v>
      </c>
      <c r="F4436" s="5">
        <v>3413140</v>
      </c>
    </row>
    <row r="4437" spans="1:6" x14ac:dyDescent="0.25">
      <c r="A4437" s="5">
        <v>3413140</v>
      </c>
      <c r="B4437" s="1">
        <v>2019</v>
      </c>
      <c r="C4437" s="1" t="s">
        <v>1387</v>
      </c>
      <c r="D4437" s="1" t="s">
        <v>1316</v>
      </c>
      <c r="E4437" s="8">
        <v>10851255</v>
      </c>
      <c r="F4437" s="5">
        <v>3413140</v>
      </c>
    </row>
    <row r="4438" spans="1:6" ht="20" x14ac:dyDescent="0.25">
      <c r="A4438" s="5">
        <v>3413140</v>
      </c>
      <c r="B4438" s="1">
        <v>2020</v>
      </c>
      <c r="C4438" s="1" t="s">
        <v>1387</v>
      </c>
      <c r="D4438" s="2" t="s">
        <v>1316</v>
      </c>
      <c r="E4438" s="7">
        <v>12047706</v>
      </c>
      <c r="F4438" s="5">
        <v>3413140</v>
      </c>
    </row>
    <row r="4439" spans="1:6" ht="20" x14ac:dyDescent="0.25">
      <c r="A4439" s="5">
        <v>3413140</v>
      </c>
      <c r="B4439" s="1">
        <v>2021</v>
      </c>
      <c r="C4439" s="1" t="s">
        <v>1387</v>
      </c>
      <c r="D4439" s="3" t="s">
        <v>1316</v>
      </c>
      <c r="E4439" s="7">
        <v>15587295</v>
      </c>
      <c r="F4439" s="5">
        <v>3413140</v>
      </c>
    </row>
    <row r="4440" spans="1:6" ht="20" x14ac:dyDescent="0.25">
      <c r="A4440" s="5">
        <v>3413140</v>
      </c>
      <c r="B4440" s="1">
        <v>2022</v>
      </c>
      <c r="C4440" s="1" t="s">
        <v>1387</v>
      </c>
      <c r="D4440" s="2" t="s">
        <v>1316</v>
      </c>
      <c r="E4440" s="7">
        <v>22289658</v>
      </c>
      <c r="F4440" s="5">
        <v>3413140</v>
      </c>
    </row>
    <row r="4441" spans="1:6" ht="20" x14ac:dyDescent="0.25">
      <c r="A4441" s="5">
        <v>3413140</v>
      </c>
      <c r="B4441" s="1">
        <v>2023</v>
      </c>
      <c r="C4441" s="1" t="s">
        <v>1387</v>
      </c>
      <c r="D4441" s="2" t="s">
        <v>1316</v>
      </c>
      <c r="E4441" s="7">
        <v>21984541</v>
      </c>
      <c r="F4441" s="5">
        <v>3413140</v>
      </c>
    </row>
    <row r="4442" spans="1:6" x14ac:dyDescent="0.25">
      <c r="A4442" s="5">
        <v>3413200</v>
      </c>
      <c r="B4442" s="1">
        <v>2015</v>
      </c>
      <c r="C4442" s="1" t="s">
        <v>1387</v>
      </c>
      <c r="D4442" s="1" t="s">
        <v>21</v>
      </c>
      <c r="E4442" s="8">
        <v>1612369</v>
      </c>
      <c r="F4442" s="5">
        <v>3413200</v>
      </c>
    </row>
    <row r="4443" spans="1:6" x14ac:dyDescent="0.25">
      <c r="A4443" s="5">
        <v>3413200</v>
      </c>
      <c r="B4443" s="1">
        <v>2016</v>
      </c>
      <c r="C4443" s="1" t="s">
        <v>1387</v>
      </c>
      <c r="D4443" s="1" t="s">
        <v>21</v>
      </c>
      <c r="E4443" s="8">
        <v>2448213</v>
      </c>
      <c r="F4443" s="5">
        <v>3413200</v>
      </c>
    </row>
    <row r="4444" spans="1:6" x14ac:dyDescent="0.25">
      <c r="A4444" s="5">
        <v>3413200</v>
      </c>
      <c r="B4444" s="1">
        <v>2017</v>
      </c>
      <c r="C4444" s="1" t="s">
        <v>1387</v>
      </c>
      <c r="D4444" s="1" t="s">
        <v>21</v>
      </c>
      <c r="E4444" s="8">
        <v>3453322</v>
      </c>
      <c r="F4444" s="5">
        <v>3413200</v>
      </c>
    </row>
    <row r="4445" spans="1:6" x14ac:dyDescent="0.25">
      <c r="A4445" s="5">
        <v>3413200</v>
      </c>
      <c r="B4445" s="1">
        <v>2018</v>
      </c>
      <c r="C4445" s="1" t="s">
        <v>1387</v>
      </c>
      <c r="D4445" s="1" t="s">
        <v>700</v>
      </c>
      <c r="E4445" s="8">
        <v>4680445</v>
      </c>
      <c r="F4445" s="5">
        <v>3413200</v>
      </c>
    </row>
    <row r="4446" spans="1:6" x14ac:dyDescent="0.25">
      <c r="A4446" s="5">
        <v>3413200</v>
      </c>
      <c r="B4446" s="1">
        <v>2019</v>
      </c>
      <c r="C4446" s="1" t="s">
        <v>1387</v>
      </c>
      <c r="D4446" s="1" t="s">
        <v>700</v>
      </c>
      <c r="E4446" s="8">
        <v>5825056</v>
      </c>
      <c r="F4446" s="5">
        <v>3413200</v>
      </c>
    </row>
    <row r="4447" spans="1:6" ht="20" x14ac:dyDescent="0.25">
      <c r="A4447" s="5">
        <v>3413200</v>
      </c>
      <c r="B4447" s="1">
        <v>2020</v>
      </c>
      <c r="C4447" s="1" t="s">
        <v>1387</v>
      </c>
      <c r="D4447" s="2" t="s">
        <v>700</v>
      </c>
      <c r="E4447" s="7">
        <v>6123586</v>
      </c>
      <c r="F4447" s="5">
        <v>3413200</v>
      </c>
    </row>
    <row r="4448" spans="1:6" ht="20" x14ac:dyDescent="0.25">
      <c r="A4448" s="5">
        <v>3413200</v>
      </c>
      <c r="B4448" s="1">
        <v>2021</v>
      </c>
      <c r="C4448" s="1" t="s">
        <v>1387</v>
      </c>
      <c r="D4448" s="3" t="s">
        <v>700</v>
      </c>
      <c r="E4448" s="7">
        <v>8204879</v>
      </c>
      <c r="F4448" s="5">
        <v>3413200</v>
      </c>
    </row>
    <row r="4449" spans="1:6" ht="20" x14ac:dyDescent="0.25">
      <c r="A4449" s="5">
        <v>3413200</v>
      </c>
      <c r="B4449" s="1">
        <v>2022</v>
      </c>
      <c r="C4449" s="1" t="s">
        <v>1387</v>
      </c>
      <c r="D4449" s="2" t="s">
        <v>700</v>
      </c>
      <c r="E4449" s="7">
        <v>11397623</v>
      </c>
      <c r="F4449" s="5">
        <v>3413200</v>
      </c>
    </row>
    <row r="4450" spans="1:6" ht="20" x14ac:dyDescent="0.25">
      <c r="A4450" s="5">
        <v>3413200</v>
      </c>
      <c r="B4450" s="1">
        <v>2023</v>
      </c>
      <c r="C4450" s="1" t="s">
        <v>1387</v>
      </c>
      <c r="D4450" s="2" t="s">
        <v>700</v>
      </c>
      <c r="E4450" s="7">
        <v>11591386</v>
      </c>
      <c r="F4450" s="5">
        <v>3413200</v>
      </c>
    </row>
    <row r="4451" spans="1:6" x14ac:dyDescent="0.25">
      <c r="A4451" s="5">
        <v>3413230</v>
      </c>
      <c r="B4451" s="1">
        <v>2015</v>
      </c>
      <c r="C4451" s="1" t="s">
        <v>1387</v>
      </c>
      <c r="D4451" s="1" t="s">
        <v>514</v>
      </c>
      <c r="E4451" s="8">
        <v>595708</v>
      </c>
      <c r="F4451" s="5">
        <v>3413230</v>
      </c>
    </row>
    <row r="4452" spans="1:6" x14ac:dyDescent="0.25">
      <c r="A4452" s="5">
        <v>3413230</v>
      </c>
      <c r="B4452" s="1">
        <v>2016</v>
      </c>
      <c r="C4452" s="1" t="s">
        <v>1387</v>
      </c>
      <c r="D4452" s="1" t="s">
        <v>514</v>
      </c>
      <c r="E4452" s="8">
        <v>882473</v>
      </c>
      <c r="F4452" s="5">
        <v>3413230</v>
      </c>
    </row>
    <row r="4453" spans="1:6" x14ac:dyDescent="0.25">
      <c r="A4453" s="5">
        <v>3413230</v>
      </c>
      <c r="B4453" s="1">
        <v>2017</v>
      </c>
      <c r="C4453" s="1" t="s">
        <v>1387</v>
      </c>
      <c r="D4453" s="1" t="s">
        <v>514</v>
      </c>
      <c r="E4453" s="8">
        <v>1226547</v>
      </c>
      <c r="F4453" s="5">
        <v>3413230</v>
      </c>
    </row>
    <row r="4454" spans="1:6" x14ac:dyDescent="0.25">
      <c r="A4454" s="5">
        <v>3413230</v>
      </c>
      <c r="B4454" s="1">
        <v>2018</v>
      </c>
      <c r="C4454" s="1" t="s">
        <v>1387</v>
      </c>
      <c r="D4454" s="1" t="s">
        <v>1206</v>
      </c>
      <c r="E4454" s="8">
        <v>1664158</v>
      </c>
      <c r="F4454" s="5">
        <v>3413230</v>
      </c>
    </row>
    <row r="4455" spans="1:6" x14ac:dyDescent="0.25">
      <c r="A4455" s="5">
        <v>3413230</v>
      </c>
      <c r="B4455" s="1">
        <v>2019</v>
      </c>
      <c r="C4455" s="1" t="s">
        <v>1387</v>
      </c>
      <c r="D4455" s="1" t="s">
        <v>1206</v>
      </c>
      <c r="E4455" s="8">
        <v>2305026</v>
      </c>
      <c r="F4455" s="5">
        <v>3413230</v>
      </c>
    </row>
    <row r="4456" spans="1:6" ht="20" x14ac:dyDescent="0.25">
      <c r="A4456" s="5">
        <v>3413230</v>
      </c>
      <c r="B4456" s="1">
        <v>2020</v>
      </c>
      <c r="C4456" s="1" t="s">
        <v>1387</v>
      </c>
      <c r="D4456" s="2" t="s">
        <v>1206</v>
      </c>
      <c r="E4456" s="7">
        <v>2631928</v>
      </c>
      <c r="F4456" s="5">
        <v>3413230</v>
      </c>
    </row>
    <row r="4457" spans="1:6" ht="20" x14ac:dyDescent="0.25">
      <c r="A4457" s="5">
        <v>3413230</v>
      </c>
      <c r="B4457" s="1">
        <v>2021</v>
      </c>
      <c r="C4457" s="1" t="s">
        <v>1387</v>
      </c>
      <c r="D4457" s="3" t="s">
        <v>1206</v>
      </c>
      <c r="E4457" s="7">
        <v>3334847</v>
      </c>
      <c r="F4457" s="5">
        <v>3413230</v>
      </c>
    </row>
    <row r="4458" spans="1:6" ht="20" x14ac:dyDescent="0.25">
      <c r="A4458" s="5">
        <v>3413230</v>
      </c>
      <c r="B4458" s="1">
        <v>2022</v>
      </c>
      <c r="C4458" s="1" t="s">
        <v>1387</v>
      </c>
      <c r="D4458" s="2" t="s">
        <v>1206</v>
      </c>
      <c r="E4458" s="7">
        <v>4418118</v>
      </c>
      <c r="F4458" s="5">
        <v>3413230</v>
      </c>
    </row>
    <row r="4459" spans="1:6" ht="20" x14ac:dyDescent="0.25">
      <c r="A4459" s="5">
        <v>3413230</v>
      </c>
      <c r="B4459" s="1">
        <v>2023</v>
      </c>
      <c r="C4459" s="1" t="s">
        <v>1387</v>
      </c>
      <c r="D4459" s="2" t="s">
        <v>1206</v>
      </c>
      <c r="E4459" s="7">
        <v>3973956</v>
      </c>
      <c r="F4459" s="5">
        <v>3413230</v>
      </c>
    </row>
    <row r="4460" spans="1:6" x14ac:dyDescent="0.25">
      <c r="A4460" s="5">
        <v>3413260</v>
      </c>
      <c r="B4460" s="1">
        <v>2015</v>
      </c>
      <c r="C4460" s="1" t="s">
        <v>1387</v>
      </c>
      <c r="D4460" s="1" t="s">
        <v>654</v>
      </c>
      <c r="E4460" s="8">
        <v>125242</v>
      </c>
      <c r="F4460" s="5">
        <v>3413260</v>
      </c>
    </row>
    <row r="4461" spans="1:6" x14ac:dyDescent="0.25">
      <c r="A4461" s="5">
        <v>3413260</v>
      </c>
      <c r="B4461" s="1">
        <v>2016</v>
      </c>
      <c r="C4461" s="1" t="s">
        <v>1387</v>
      </c>
      <c r="D4461" s="1" t="s">
        <v>654</v>
      </c>
      <c r="E4461" s="8">
        <v>200694</v>
      </c>
      <c r="F4461" s="5">
        <v>3413260</v>
      </c>
    </row>
    <row r="4462" spans="1:6" x14ac:dyDescent="0.25">
      <c r="A4462" s="5">
        <v>3413260</v>
      </c>
      <c r="B4462" s="1">
        <v>2017</v>
      </c>
      <c r="C4462" s="1" t="s">
        <v>1387</v>
      </c>
      <c r="D4462" s="1" t="s">
        <v>654</v>
      </c>
      <c r="E4462" s="8">
        <v>280590</v>
      </c>
      <c r="F4462" s="5">
        <v>3413260</v>
      </c>
    </row>
    <row r="4463" spans="1:6" x14ac:dyDescent="0.25">
      <c r="A4463" s="5">
        <v>3413260</v>
      </c>
      <c r="B4463" s="1">
        <v>2018</v>
      </c>
      <c r="C4463" s="1" t="s">
        <v>1387</v>
      </c>
      <c r="D4463" s="1" t="s">
        <v>1347</v>
      </c>
      <c r="E4463" s="8">
        <v>353915</v>
      </c>
      <c r="F4463" s="5">
        <v>3413260</v>
      </c>
    </row>
    <row r="4464" spans="1:6" x14ac:dyDescent="0.25">
      <c r="A4464" s="5">
        <v>3413260</v>
      </c>
      <c r="B4464" s="1">
        <v>2019</v>
      </c>
      <c r="C4464" s="1" t="s">
        <v>1387</v>
      </c>
      <c r="D4464" s="1" t="s">
        <v>1347</v>
      </c>
      <c r="E4464" s="8">
        <v>457599</v>
      </c>
      <c r="F4464" s="5">
        <v>3413260</v>
      </c>
    </row>
    <row r="4465" spans="1:6" ht="20" x14ac:dyDescent="0.25">
      <c r="A4465" s="5">
        <v>3413260</v>
      </c>
      <c r="B4465" s="1">
        <v>2020</v>
      </c>
      <c r="C4465" s="1" t="s">
        <v>1387</v>
      </c>
      <c r="D4465" s="2" t="s">
        <v>1347</v>
      </c>
      <c r="E4465" s="7">
        <v>519377</v>
      </c>
      <c r="F4465" s="5">
        <v>3413260</v>
      </c>
    </row>
    <row r="4466" spans="1:6" ht="20" x14ac:dyDescent="0.25">
      <c r="A4466" s="5">
        <v>3413260</v>
      </c>
      <c r="B4466" s="1">
        <v>2021</v>
      </c>
      <c r="C4466" s="1" t="s">
        <v>1387</v>
      </c>
      <c r="D4466" s="3" t="s">
        <v>1347</v>
      </c>
      <c r="E4466" s="7">
        <v>687374</v>
      </c>
      <c r="F4466" s="5">
        <v>3413260</v>
      </c>
    </row>
    <row r="4467" spans="1:6" ht="20" x14ac:dyDescent="0.25">
      <c r="A4467" s="5">
        <v>3413260</v>
      </c>
      <c r="B4467" s="1">
        <v>2022</v>
      </c>
      <c r="C4467" s="1" t="s">
        <v>1387</v>
      </c>
      <c r="D4467" s="2" t="s">
        <v>1347</v>
      </c>
      <c r="E4467" s="7">
        <v>1068819</v>
      </c>
      <c r="F4467" s="5">
        <v>3413260</v>
      </c>
    </row>
    <row r="4468" spans="1:6" ht="20" x14ac:dyDescent="0.25">
      <c r="A4468" s="5">
        <v>3413260</v>
      </c>
      <c r="B4468" s="1">
        <v>2023</v>
      </c>
      <c r="C4468" s="1" t="s">
        <v>1387</v>
      </c>
      <c r="D4468" s="2" t="s">
        <v>1347</v>
      </c>
      <c r="E4468" s="7">
        <v>946980</v>
      </c>
      <c r="F4468" s="5">
        <v>3413260</v>
      </c>
    </row>
    <row r="4469" spans="1:6" x14ac:dyDescent="0.25">
      <c r="A4469" s="5">
        <v>3413290</v>
      </c>
      <c r="B4469" s="1">
        <v>2015</v>
      </c>
      <c r="C4469" s="1" t="s">
        <v>1387</v>
      </c>
      <c r="D4469" s="1" t="s">
        <v>516</v>
      </c>
      <c r="E4469" s="8">
        <v>957262</v>
      </c>
      <c r="F4469" s="5">
        <v>3413290</v>
      </c>
    </row>
    <row r="4470" spans="1:6" x14ac:dyDescent="0.25">
      <c r="A4470" s="5">
        <v>3413290</v>
      </c>
      <c r="B4470" s="1">
        <v>2016</v>
      </c>
      <c r="C4470" s="1" t="s">
        <v>1387</v>
      </c>
      <c r="D4470" s="1" t="s">
        <v>516</v>
      </c>
      <c r="E4470" s="8">
        <v>1425738</v>
      </c>
      <c r="F4470" s="5">
        <v>3413290</v>
      </c>
    </row>
    <row r="4471" spans="1:6" x14ac:dyDescent="0.25">
      <c r="A4471" s="5">
        <v>3413290</v>
      </c>
      <c r="B4471" s="1">
        <v>2017</v>
      </c>
      <c r="C4471" s="1" t="s">
        <v>1387</v>
      </c>
      <c r="D4471" s="1" t="s">
        <v>516</v>
      </c>
      <c r="E4471" s="8">
        <v>2006210</v>
      </c>
      <c r="F4471" s="5">
        <v>3413290</v>
      </c>
    </row>
    <row r="4472" spans="1:6" x14ac:dyDescent="0.25">
      <c r="A4472" s="5">
        <v>3413290</v>
      </c>
      <c r="B4472" s="1">
        <v>2018</v>
      </c>
      <c r="C4472" s="1" t="s">
        <v>1387</v>
      </c>
      <c r="D4472" s="1" t="s">
        <v>1208</v>
      </c>
      <c r="E4472" s="8">
        <v>2727789</v>
      </c>
      <c r="F4472" s="5">
        <v>3413290</v>
      </c>
    </row>
    <row r="4473" spans="1:6" x14ac:dyDescent="0.25">
      <c r="A4473" s="5">
        <v>3413290</v>
      </c>
      <c r="B4473" s="1">
        <v>2019</v>
      </c>
      <c r="C4473" s="1" t="s">
        <v>1387</v>
      </c>
      <c r="D4473" s="1" t="s">
        <v>1208</v>
      </c>
      <c r="E4473" s="8">
        <v>3638066</v>
      </c>
      <c r="F4473" s="5">
        <v>3413290</v>
      </c>
    </row>
    <row r="4474" spans="1:6" ht="20" x14ac:dyDescent="0.25">
      <c r="A4474" s="5">
        <v>3413290</v>
      </c>
      <c r="B4474" s="1">
        <v>2020</v>
      </c>
      <c r="C4474" s="1" t="s">
        <v>1387</v>
      </c>
      <c r="D4474" s="2" t="s">
        <v>1208</v>
      </c>
      <c r="E4474" s="7">
        <v>4088073</v>
      </c>
      <c r="F4474" s="5">
        <v>3413290</v>
      </c>
    </row>
    <row r="4475" spans="1:6" ht="20" x14ac:dyDescent="0.25">
      <c r="A4475" s="5">
        <v>3413290</v>
      </c>
      <c r="B4475" s="1">
        <v>2021</v>
      </c>
      <c r="C4475" s="1" t="s">
        <v>1387</v>
      </c>
      <c r="D4475" s="3" t="s">
        <v>1208</v>
      </c>
      <c r="E4475" s="7">
        <v>5376769</v>
      </c>
      <c r="F4475" s="5">
        <v>3413290</v>
      </c>
    </row>
    <row r="4476" spans="1:6" ht="20" x14ac:dyDescent="0.25">
      <c r="A4476" s="5">
        <v>3413290</v>
      </c>
      <c r="B4476" s="1">
        <v>2022</v>
      </c>
      <c r="C4476" s="1" t="s">
        <v>1387</v>
      </c>
      <c r="D4476" s="2" t="s">
        <v>1208</v>
      </c>
      <c r="E4476" s="7">
        <v>7585923</v>
      </c>
      <c r="F4476" s="5">
        <v>3413290</v>
      </c>
    </row>
    <row r="4477" spans="1:6" ht="20" x14ac:dyDescent="0.25">
      <c r="A4477" s="5">
        <v>3413290</v>
      </c>
      <c r="B4477" s="1">
        <v>2023</v>
      </c>
      <c r="C4477" s="1" t="s">
        <v>1387</v>
      </c>
      <c r="D4477" s="2" t="s">
        <v>1208</v>
      </c>
      <c r="E4477" s="7">
        <v>7569330</v>
      </c>
      <c r="F4477" s="5">
        <v>3413290</v>
      </c>
    </row>
    <row r="4478" spans="1:6" x14ac:dyDescent="0.25">
      <c r="A4478" s="5">
        <v>3413320</v>
      </c>
      <c r="B4478" s="1">
        <v>2015</v>
      </c>
      <c r="C4478" s="1" t="s">
        <v>1387</v>
      </c>
      <c r="D4478" s="1" t="s">
        <v>515</v>
      </c>
      <c r="E4478" s="8">
        <v>344620</v>
      </c>
      <c r="F4478" s="5">
        <v>3413320</v>
      </c>
    </row>
    <row r="4479" spans="1:6" x14ac:dyDescent="0.25">
      <c r="A4479" s="5">
        <v>3413320</v>
      </c>
      <c r="B4479" s="1">
        <v>2016</v>
      </c>
      <c r="C4479" s="1" t="s">
        <v>1387</v>
      </c>
      <c r="D4479" s="1" t="s">
        <v>515</v>
      </c>
      <c r="E4479" s="8">
        <v>510328</v>
      </c>
      <c r="F4479" s="5">
        <v>3413320</v>
      </c>
    </row>
    <row r="4480" spans="1:6" x14ac:dyDescent="0.25">
      <c r="A4480" s="5">
        <v>3413320</v>
      </c>
      <c r="B4480" s="1">
        <v>2017</v>
      </c>
      <c r="C4480" s="1" t="s">
        <v>1387</v>
      </c>
      <c r="D4480" s="1" t="s">
        <v>515</v>
      </c>
      <c r="E4480" s="8">
        <v>729665</v>
      </c>
      <c r="F4480" s="5">
        <v>3413320</v>
      </c>
    </row>
    <row r="4481" spans="1:6" x14ac:dyDescent="0.25">
      <c r="A4481" s="5">
        <v>3413320</v>
      </c>
      <c r="B4481" s="1">
        <v>2018</v>
      </c>
      <c r="C4481" s="1" t="s">
        <v>1387</v>
      </c>
      <c r="D4481" s="1" t="s">
        <v>1207</v>
      </c>
      <c r="E4481" s="8">
        <v>950701</v>
      </c>
      <c r="F4481" s="5">
        <v>3413320</v>
      </c>
    </row>
    <row r="4482" spans="1:6" x14ac:dyDescent="0.25">
      <c r="A4482" s="5">
        <v>3413320</v>
      </c>
      <c r="B4482" s="1">
        <v>2019</v>
      </c>
      <c r="C4482" s="1" t="s">
        <v>1387</v>
      </c>
      <c r="D4482" s="1" t="s">
        <v>1207</v>
      </c>
      <c r="E4482" s="8">
        <v>1328221</v>
      </c>
      <c r="F4482" s="5">
        <v>3413320</v>
      </c>
    </row>
    <row r="4483" spans="1:6" ht="20" x14ac:dyDescent="0.25">
      <c r="A4483" s="5">
        <v>3413320</v>
      </c>
      <c r="B4483" s="1">
        <v>2020</v>
      </c>
      <c r="C4483" s="1" t="s">
        <v>1387</v>
      </c>
      <c r="D4483" s="2" t="s">
        <v>1207</v>
      </c>
      <c r="E4483" s="7">
        <v>1476023</v>
      </c>
      <c r="F4483" s="5">
        <v>3413320</v>
      </c>
    </row>
    <row r="4484" spans="1:6" ht="20" x14ac:dyDescent="0.25">
      <c r="A4484" s="5">
        <v>3413320</v>
      </c>
      <c r="B4484" s="1">
        <v>2021</v>
      </c>
      <c r="C4484" s="1" t="s">
        <v>1387</v>
      </c>
      <c r="D4484" s="3" t="s">
        <v>1207</v>
      </c>
      <c r="E4484" s="7">
        <v>1863536</v>
      </c>
      <c r="F4484" s="5">
        <v>3413320</v>
      </c>
    </row>
    <row r="4485" spans="1:6" ht="20" x14ac:dyDescent="0.25">
      <c r="A4485" s="5">
        <v>3413320</v>
      </c>
      <c r="B4485" s="1">
        <v>2022</v>
      </c>
      <c r="C4485" s="1" t="s">
        <v>1387</v>
      </c>
      <c r="D4485" s="2" t="s">
        <v>1207</v>
      </c>
      <c r="E4485" s="7">
        <v>2651639</v>
      </c>
      <c r="F4485" s="5">
        <v>3413320</v>
      </c>
    </row>
    <row r="4486" spans="1:6" ht="20" x14ac:dyDescent="0.25">
      <c r="A4486" s="5">
        <v>3413320</v>
      </c>
      <c r="B4486" s="1">
        <v>2023</v>
      </c>
      <c r="C4486" s="1" t="s">
        <v>1387</v>
      </c>
      <c r="D4486" s="2" t="s">
        <v>1207</v>
      </c>
      <c r="E4486" s="7">
        <v>2598247</v>
      </c>
      <c r="F4486" s="5">
        <v>3413320</v>
      </c>
    </row>
    <row r="4487" spans="1:6" x14ac:dyDescent="0.25">
      <c r="A4487" s="5">
        <v>3413350</v>
      </c>
      <c r="B4487" s="1">
        <v>2015</v>
      </c>
      <c r="C4487" s="1" t="s">
        <v>1387</v>
      </c>
      <c r="D4487" s="1" t="s">
        <v>541</v>
      </c>
      <c r="E4487" s="8">
        <v>731176</v>
      </c>
      <c r="F4487" s="5">
        <v>3413350</v>
      </c>
    </row>
    <row r="4488" spans="1:6" x14ac:dyDescent="0.25">
      <c r="A4488" s="5">
        <v>3413350</v>
      </c>
      <c r="B4488" s="1">
        <v>2016</v>
      </c>
      <c r="C4488" s="1" t="s">
        <v>1387</v>
      </c>
      <c r="D4488" s="1" t="s">
        <v>541</v>
      </c>
      <c r="E4488" s="8">
        <v>1139390</v>
      </c>
      <c r="F4488" s="5">
        <v>3413350</v>
      </c>
    </row>
    <row r="4489" spans="1:6" x14ac:dyDescent="0.25">
      <c r="A4489" s="5">
        <v>3413350</v>
      </c>
      <c r="B4489" s="1">
        <v>2017</v>
      </c>
      <c r="C4489" s="1" t="s">
        <v>1387</v>
      </c>
      <c r="D4489" s="1" t="s">
        <v>541</v>
      </c>
      <c r="E4489" s="8">
        <v>1608619</v>
      </c>
      <c r="F4489" s="5">
        <v>3413350</v>
      </c>
    </row>
    <row r="4490" spans="1:6" x14ac:dyDescent="0.25">
      <c r="A4490" s="5">
        <v>3413350</v>
      </c>
      <c r="B4490" s="1">
        <v>2018</v>
      </c>
      <c r="C4490" s="1" t="s">
        <v>1387</v>
      </c>
      <c r="D4490" s="1" t="s">
        <v>1233</v>
      </c>
      <c r="E4490" s="8">
        <v>2142488</v>
      </c>
      <c r="F4490" s="5">
        <v>3413350</v>
      </c>
    </row>
    <row r="4491" spans="1:6" x14ac:dyDescent="0.25">
      <c r="A4491" s="5">
        <v>3413350</v>
      </c>
      <c r="B4491" s="1">
        <v>2019</v>
      </c>
      <c r="C4491" s="1" t="s">
        <v>1387</v>
      </c>
      <c r="D4491" s="1" t="s">
        <v>1233</v>
      </c>
      <c r="E4491" s="8">
        <v>2882488</v>
      </c>
      <c r="F4491" s="5">
        <v>3413350</v>
      </c>
    </row>
    <row r="4492" spans="1:6" ht="20" x14ac:dyDescent="0.25">
      <c r="A4492" s="5">
        <v>3413350</v>
      </c>
      <c r="B4492" s="1">
        <v>2020</v>
      </c>
      <c r="C4492" s="1" t="s">
        <v>1387</v>
      </c>
      <c r="D4492" s="2" t="s">
        <v>1233</v>
      </c>
      <c r="E4492" s="7">
        <v>3283148</v>
      </c>
      <c r="F4492" s="5">
        <v>3413350</v>
      </c>
    </row>
    <row r="4493" spans="1:6" ht="20" x14ac:dyDescent="0.25">
      <c r="A4493" s="5">
        <v>3413350</v>
      </c>
      <c r="B4493" s="1">
        <v>2021</v>
      </c>
      <c r="C4493" s="1" t="s">
        <v>1387</v>
      </c>
      <c r="D4493" s="3" t="s">
        <v>1233</v>
      </c>
      <c r="E4493" s="7">
        <v>4042489</v>
      </c>
      <c r="F4493" s="5">
        <v>3413350</v>
      </c>
    </row>
    <row r="4494" spans="1:6" ht="20" x14ac:dyDescent="0.25">
      <c r="A4494" s="5">
        <v>3413350</v>
      </c>
      <c r="B4494" s="1">
        <v>2022</v>
      </c>
      <c r="C4494" s="1" t="s">
        <v>1387</v>
      </c>
      <c r="D4494" s="2" t="s">
        <v>1233</v>
      </c>
      <c r="E4494" s="7">
        <v>5757943</v>
      </c>
      <c r="F4494" s="5">
        <v>3413350</v>
      </c>
    </row>
    <row r="4495" spans="1:6" ht="20" x14ac:dyDescent="0.25">
      <c r="A4495" s="5">
        <v>3413350</v>
      </c>
      <c r="B4495" s="1">
        <v>2023</v>
      </c>
      <c r="C4495" s="1" t="s">
        <v>1387</v>
      </c>
      <c r="D4495" s="2" t="s">
        <v>1233</v>
      </c>
      <c r="E4495" s="7">
        <v>5909220</v>
      </c>
      <c r="F4495" s="5">
        <v>3413350</v>
      </c>
    </row>
    <row r="4496" spans="1:6" x14ac:dyDescent="0.25">
      <c r="A4496" s="5">
        <v>3413380</v>
      </c>
      <c r="B4496" s="1">
        <v>2015</v>
      </c>
      <c r="C4496" s="1" t="s">
        <v>1387</v>
      </c>
      <c r="D4496" s="1" t="s">
        <v>22</v>
      </c>
      <c r="E4496" s="8">
        <v>51976</v>
      </c>
      <c r="F4496" s="5">
        <v>3413380</v>
      </c>
    </row>
    <row r="4497" spans="1:6" x14ac:dyDescent="0.25">
      <c r="A4497" s="5">
        <v>3413380</v>
      </c>
      <c r="B4497" s="1">
        <v>2016</v>
      </c>
      <c r="C4497" s="1" t="s">
        <v>1387</v>
      </c>
      <c r="D4497" s="1" t="s">
        <v>22</v>
      </c>
      <c r="E4497" s="8">
        <v>70677</v>
      </c>
      <c r="F4497" s="5">
        <v>3413380</v>
      </c>
    </row>
    <row r="4498" spans="1:6" x14ac:dyDescent="0.25">
      <c r="A4498" s="5">
        <v>3413380</v>
      </c>
      <c r="B4498" s="1">
        <v>2017</v>
      </c>
      <c r="C4498" s="1" t="s">
        <v>1387</v>
      </c>
      <c r="D4498" s="1" t="s">
        <v>22</v>
      </c>
      <c r="E4498" s="8">
        <v>95261</v>
      </c>
      <c r="F4498" s="5">
        <v>3413380</v>
      </c>
    </row>
    <row r="4499" spans="1:6" x14ac:dyDescent="0.25">
      <c r="A4499" s="5">
        <v>3413380</v>
      </c>
      <c r="B4499" s="1">
        <v>2018</v>
      </c>
      <c r="C4499" s="1" t="s">
        <v>1387</v>
      </c>
      <c r="D4499" s="1" t="s">
        <v>701</v>
      </c>
      <c r="E4499" s="8">
        <v>123817</v>
      </c>
      <c r="F4499" s="5">
        <v>3413380</v>
      </c>
    </row>
    <row r="4500" spans="1:6" x14ac:dyDescent="0.25">
      <c r="A4500" s="5">
        <v>3413380</v>
      </c>
      <c r="B4500" s="1">
        <v>2019</v>
      </c>
      <c r="C4500" s="1" t="s">
        <v>1387</v>
      </c>
      <c r="D4500" s="1" t="s">
        <v>701</v>
      </c>
      <c r="E4500" s="8">
        <v>169894</v>
      </c>
      <c r="F4500" s="5">
        <v>3413380</v>
      </c>
    </row>
    <row r="4501" spans="1:6" ht="20" x14ac:dyDescent="0.25">
      <c r="A4501" s="5">
        <v>3413380</v>
      </c>
      <c r="B4501" s="1">
        <v>2020</v>
      </c>
      <c r="C4501" s="1" t="s">
        <v>1387</v>
      </c>
      <c r="D4501" s="2" t="s">
        <v>701</v>
      </c>
      <c r="E4501" s="7">
        <v>177672</v>
      </c>
      <c r="F4501" s="5">
        <v>3413380</v>
      </c>
    </row>
    <row r="4502" spans="1:6" ht="20" x14ac:dyDescent="0.25">
      <c r="A4502" s="5">
        <v>3413380</v>
      </c>
      <c r="B4502" s="1">
        <v>2021</v>
      </c>
      <c r="C4502" s="1" t="s">
        <v>1387</v>
      </c>
      <c r="D4502" s="3" t="s">
        <v>701</v>
      </c>
      <c r="E4502" s="7">
        <v>260460</v>
      </c>
      <c r="F4502" s="5">
        <v>3413380</v>
      </c>
    </row>
    <row r="4503" spans="1:6" ht="20" x14ac:dyDescent="0.25">
      <c r="A4503" s="5">
        <v>3413380</v>
      </c>
      <c r="B4503" s="1">
        <v>2022</v>
      </c>
      <c r="C4503" s="1" t="s">
        <v>1387</v>
      </c>
      <c r="D4503" s="2" t="s">
        <v>701</v>
      </c>
      <c r="E4503" s="7">
        <v>397710</v>
      </c>
      <c r="F4503" s="5">
        <v>3413380</v>
      </c>
    </row>
    <row r="4504" spans="1:6" ht="20" x14ac:dyDescent="0.25">
      <c r="A4504" s="5">
        <v>3413380</v>
      </c>
      <c r="B4504" s="1">
        <v>2023</v>
      </c>
      <c r="C4504" s="1" t="s">
        <v>1387</v>
      </c>
      <c r="D4504" s="2" t="s">
        <v>701</v>
      </c>
      <c r="E4504" s="7">
        <v>357184</v>
      </c>
      <c r="F4504" s="5">
        <v>3413380</v>
      </c>
    </row>
    <row r="4505" spans="1:6" x14ac:dyDescent="0.25">
      <c r="A4505" s="5">
        <v>3413410</v>
      </c>
      <c r="B4505" s="1">
        <v>2015</v>
      </c>
      <c r="C4505" s="1" t="s">
        <v>1387</v>
      </c>
      <c r="D4505" s="1" t="s">
        <v>367</v>
      </c>
      <c r="E4505" s="8">
        <v>1717008</v>
      </c>
      <c r="F4505" s="5">
        <v>3413410</v>
      </c>
    </row>
    <row r="4506" spans="1:6" x14ac:dyDescent="0.25">
      <c r="A4506" s="5">
        <v>3413410</v>
      </c>
      <c r="B4506" s="1">
        <v>2016</v>
      </c>
      <c r="C4506" s="1" t="s">
        <v>1387</v>
      </c>
      <c r="D4506" s="1" t="s">
        <v>367</v>
      </c>
      <c r="E4506" s="8">
        <v>2529005</v>
      </c>
      <c r="F4506" s="5">
        <v>3413410</v>
      </c>
    </row>
    <row r="4507" spans="1:6" x14ac:dyDescent="0.25">
      <c r="A4507" s="5">
        <v>3413410</v>
      </c>
      <c r="B4507" s="1">
        <v>2017</v>
      </c>
      <c r="C4507" s="1" t="s">
        <v>1387</v>
      </c>
      <c r="D4507" s="1" t="s">
        <v>367</v>
      </c>
      <c r="E4507" s="8">
        <v>3497228</v>
      </c>
      <c r="F4507" s="5">
        <v>3413410</v>
      </c>
    </row>
    <row r="4508" spans="1:6" x14ac:dyDescent="0.25">
      <c r="A4508" s="5">
        <v>3413410</v>
      </c>
      <c r="B4508" s="1">
        <v>2018</v>
      </c>
      <c r="C4508" s="1" t="s">
        <v>1387</v>
      </c>
      <c r="D4508" s="1" t="s">
        <v>1057</v>
      </c>
      <c r="E4508" s="8">
        <v>4922115</v>
      </c>
      <c r="F4508" s="5">
        <v>3413410</v>
      </c>
    </row>
    <row r="4509" spans="1:6" x14ac:dyDescent="0.25">
      <c r="A4509" s="5">
        <v>3413410</v>
      </c>
      <c r="B4509" s="1">
        <v>2019</v>
      </c>
      <c r="C4509" s="1" t="s">
        <v>1387</v>
      </c>
      <c r="D4509" s="1" t="s">
        <v>1057</v>
      </c>
      <c r="E4509" s="8">
        <v>6516726</v>
      </c>
      <c r="F4509" s="5">
        <v>3413410</v>
      </c>
    </row>
    <row r="4510" spans="1:6" ht="20" x14ac:dyDescent="0.25">
      <c r="A4510" s="5">
        <v>3413410</v>
      </c>
      <c r="B4510" s="1">
        <v>2020</v>
      </c>
      <c r="C4510" s="1" t="s">
        <v>1387</v>
      </c>
      <c r="D4510" s="2" t="s">
        <v>1057</v>
      </c>
      <c r="E4510" s="7">
        <v>7632990</v>
      </c>
      <c r="F4510" s="5">
        <v>3413410</v>
      </c>
    </row>
    <row r="4511" spans="1:6" ht="20" x14ac:dyDescent="0.25">
      <c r="A4511" s="5">
        <v>3413410</v>
      </c>
      <c r="B4511" s="1">
        <v>2021</v>
      </c>
      <c r="C4511" s="1" t="s">
        <v>1387</v>
      </c>
      <c r="D4511" s="3" t="s">
        <v>1057</v>
      </c>
      <c r="E4511" s="7">
        <v>9928918</v>
      </c>
      <c r="F4511" s="5">
        <v>3413410</v>
      </c>
    </row>
    <row r="4512" spans="1:6" ht="20" x14ac:dyDescent="0.25">
      <c r="A4512" s="5">
        <v>3413410</v>
      </c>
      <c r="B4512" s="1">
        <v>2022</v>
      </c>
      <c r="C4512" s="1" t="s">
        <v>1387</v>
      </c>
      <c r="D4512" s="2" t="s">
        <v>1057</v>
      </c>
      <c r="E4512" s="7">
        <v>13827698</v>
      </c>
      <c r="F4512" s="5">
        <v>3413410</v>
      </c>
    </row>
    <row r="4513" spans="1:6" ht="20" x14ac:dyDescent="0.25">
      <c r="A4513" s="5">
        <v>3413410</v>
      </c>
      <c r="B4513" s="1">
        <v>2023</v>
      </c>
      <c r="C4513" s="1" t="s">
        <v>1387</v>
      </c>
      <c r="D4513" s="2" t="s">
        <v>1057</v>
      </c>
      <c r="E4513" s="7">
        <v>13655464</v>
      </c>
      <c r="F4513" s="5">
        <v>3413410</v>
      </c>
    </row>
    <row r="4514" spans="1:6" x14ac:dyDescent="0.25">
      <c r="A4514" s="5">
        <v>3413470</v>
      </c>
      <c r="B4514" s="1">
        <v>2015</v>
      </c>
      <c r="C4514" s="1" t="s">
        <v>1387</v>
      </c>
      <c r="D4514" s="1" t="s">
        <v>542</v>
      </c>
      <c r="E4514" s="8">
        <v>291746</v>
      </c>
      <c r="F4514" s="5">
        <v>3413470</v>
      </c>
    </row>
    <row r="4515" spans="1:6" x14ac:dyDescent="0.25">
      <c r="A4515" s="5">
        <v>3413470</v>
      </c>
      <c r="B4515" s="1">
        <v>2016</v>
      </c>
      <c r="C4515" s="1" t="s">
        <v>1387</v>
      </c>
      <c r="D4515" s="1" t="s">
        <v>542</v>
      </c>
      <c r="E4515" s="8">
        <v>449943</v>
      </c>
      <c r="F4515" s="5">
        <v>3413470</v>
      </c>
    </row>
    <row r="4516" spans="1:6" x14ac:dyDescent="0.25">
      <c r="A4516" s="5">
        <v>3413470</v>
      </c>
      <c r="B4516" s="1">
        <v>2017</v>
      </c>
      <c r="C4516" s="1" t="s">
        <v>1387</v>
      </c>
      <c r="D4516" s="1" t="s">
        <v>542</v>
      </c>
      <c r="E4516" s="8">
        <v>623313</v>
      </c>
      <c r="F4516" s="5">
        <v>3413470</v>
      </c>
    </row>
    <row r="4517" spans="1:6" x14ac:dyDescent="0.25">
      <c r="A4517" s="5">
        <v>3413470</v>
      </c>
      <c r="B4517" s="1">
        <v>2018</v>
      </c>
      <c r="C4517" s="1" t="s">
        <v>1387</v>
      </c>
      <c r="D4517" s="1" t="s">
        <v>1234</v>
      </c>
      <c r="E4517" s="8">
        <v>872622</v>
      </c>
      <c r="F4517" s="5">
        <v>3413470</v>
      </c>
    </row>
    <row r="4518" spans="1:6" x14ac:dyDescent="0.25">
      <c r="A4518" s="5">
        <v>3413470</v>
      </c>
      <c r="B4518" s="1">
        <v>2019</v>
      </c>
      <c r="C4518" s="1" t="s">
        <v>1387</v>
      </c>
      <c r="D4518" s="1" t="s">
        <v>1234</v>
      </c>
      <c r="E4518" s="8">
        <v>1010664</v>
      </c>
      <c r="F4518" s="5">
        <v>3413470</v>
      </c>
    </row>
    <row r="4519" spans="1:6" ht="20" x14ac:dyDescent="0.25">
      <c r="A4519" s="5">
        <v>3413470</v>
      </c>
      <c r="B4519" s="1">
        <v>2020</v>
      </c>
      <c r="C4519" s="1" t="s">
        <v>1387</v>
      </c>
      <c r="D4519" s="2" t="s">
        <v>1234</v>
      </c>
      <c r="E4519" s="7">
        <v>1147036</v>
      </c>
      <c r="F4519" s="5">
        <v>3413470</v>
      </c>
    </row>
    <row r="4520" spans="1:6" ht="20" x14ac:dyDescent="0.25">
      <c r="A4520" s="5">
        <v>3413470</v>
      </c>
      <c r="B4520" s="1">
        <v>2021</v>
      </c>
      <c r="C4520" s="1" t="s">
        <v>1387</v>
      </c>
      <c r="D4520" s="3" t="s">
        <v>1234</v>
      </c>
      <c r="E4520" s="7">
        <v>1481874</v>
      </c>
      <c r="F4520" s="5">
        <v>3413470</v>
      </c>
    </row>
    <row r="4521" spans="1:6" ht="20" x14ac:dyDescent="0.25">
      <c r="A4521" s="5">
        <v>3413470</v>
      </c>
      <c r="B4521" s="1">
        <v>2022</v>
      </c>
      <c r="C4521" s="1" t="s">
        <v>1387</v>
      </c>
      <c r="D4521" s="2" t="s">
        <v>1234</v>
      </c>
      <c r="E4521" s="7">
        <v>2109005</v>
      </c>
      <c r="F4521" s="5">
        <v>3413470</v>
      </c>
    </row>
    <row r="4522" spans="1:6" ht="20" x14ac:dyDescent="0.25">
      <c r="A4522" s="5">
        <v>3413470</v>
      </c>
      <c r="B4522" s="1">
        <v>2023</v>
      </c>
      <c r="C4522" s="1" t="s">
        <v>1387</v>
      </c>
      <c r="D4522" s="2" t="s">
        <v>1234</v>
      </c>
      <c r="E4522" s="7">
        <v>2010959</v>
      </c>
      <c r="F4522" s="5">
        <v>3413470</v>
      </c>
    </row>
    <row r="4523" spans="1:6" x14ac:dyDescent="0.25">
      <c r="A4523" s="5">
        <v>3413500</v>
      </c>
      <c r="B4523" s="1">
        <v>2015</v>
      </c>
      <c r="C4523" s="1" t="s">
        <v>1387</v>
      </c>
      <c r="D4523" s="1" t="s">
        <v>557</v>
      </c>
      <c r="E4523" s="8">
        <v>130565</v>
      </c>
      <c r="F4523" s="5">
        <v>3413500</v>
      </c>
    </row>
    <row r="4524" spans="1:6" x14ac:dyDescent="0.25">
      <c r="A4524" s="5">
        <v>3413500</v>
      </c>
      <c r="B4524" s="1">
        <v>2016</v>
      </c>
      <c r="C4524" s="1" t="s">
        <v>1387</v>
      </c>
      <c r="D4524" s="1" t="s">
        <v>557</v>
      </c>
      <c r="E4524" s="8">
        <v>168745</v>
      </c>
      <c r="F4524" s="5">
        <v>3413500</v>
      </c>
    </row>
    <row r="4525" spans="1:6" x14ac:dyDescent="0.25">
      <c r="A4525" s="5">
        <v>3413500</v>
      </c>
      <c r="B4525" s="1">
        <v>2017</v>
      </c>
      <c r="C4525" s="1" t="s">
        <v>1387</v>
      </c>
      <c r="D4525" s="1" t="s">
        <v>557</v>
      </c>
      <c r="E4525" s="8">
        <v>236795</v>
      </c>
      <c r="F4525" s="5">
        <v>3413500</v>
      </c>
    </row>
    <row r="4526" spans="1:6" x14ac:dyDescent="0.25">
      <c r="A4526" s="5">
        <v>3413500</v>
      </c>
      <c r="B4526" s="1">
        <v>2018</v>
      </c>
      <c r="C4526" s="1" t="s">
        <v>1387</v>
      </c>
      <c r="D4526" s="1" t="s">
        <v>1249</v>
      </c>
      <c r="E4526" s="8">
        <v>332032</v>
      </c>
      <c r="F4526" s="5">
        <v>3413500</v>
      </c>
    </row>
    <row r="4527" spans="1:6" x14ac:dyDescent="0.25">
      <c r="A4527" s="5">
        <v>3413500</v>
      </c>
      <c r="B4527" s="1">
        <v>2019</v>
      </c>
      <c r="C4527" s="1" t="s">
        <v>1387</v>
      </c>
      <c r="D4527" s="1" t="s">
        <v>1249</v>
      </c>
      <c r="E4527" s="8">
        <v>432990</v>
      </c>
      <c r="F4527" s="5">
        <v>3413500</v>
      </c>
    </row>
    <row r="4528" spans="1:6" ht="20" x14ac:dyDescent="0.25">
      <c r="A4528" s="5">
        <v>3413500</v>
      </c>
      <c r="B4528" s="1">
        <v>2020</v>
      </c>
      <c r="C4528" s="1" t="s">
        <v>1387</v>
      </c>
      <c r="D4528" s="2" t="s">
        <v>1249</v>
      </c>
      <c r="E4528" s="7">
        <v>494287</v>
      </c>
      <c r="F4528" s="5">
        <v>3413500</v>
      </c>
    </row>
    <row r="4529" spans="1:6" ht="20" x14ac:dyDescent="0.25">
      <c r="A4529" s="5">
        <v>3413500</v>
      </c>
      <c r="B4529" s="1">
        <v>2021</v>
      </c>
      <c r="C4529" s="1" t="s">
        <v>1387</v>
      </c>
      <c r="D4529" s="3" t="s">
        <v>1249</v>
      </c>
      <c r="E4529" s="7">
        <v>583847</v>
      </c>
      <c r="F4529" s="5">
        <v>3413500</v>
      </c>
    </row>
    <row r="4530" spans="1:6" ht="20" x14ac:dyDescent="0.25">
      <c r="A4530" s="5">
        <v>3413500</v>
      </c>
      <c r="B4530" s="1">
        <v>2022</v>
      </c>
      <c r="C4530" s="1" t="s">
        <v>1387</v>
      </c>
      <c r="D4530" s="2" t="s">
        <v>1249</v>
      </c>
      <c r="E4530" s="7">
        <v>811368</v>
      </c>
      <c r="F4530" s="5">
        <v>3413500</v>
      </c>
    </row>
    <row r="4531" spans="1:6" ht="20" x14ac:dyDescent="0.25">
      <c r="A4531" s="5">
        <v>3413500</v>
      </c>
      <c r="B4531" s="1">
        <v>2023</v>
      </c>
      <c r="C4531" s="1" t="s">
        <v>1387</v>
      </c>
      <c r="D4531" s="2" t="s">
        <v>1249</v>
      </c>
      <c r="E4531" s="7">
        <v>877206</v>
      </c>
      <c r="F4531" s="5">
        <v>3413500</v>
      </c>
    </row>
    <row r="4532" spans="1:6" x14ac:dyDescent="0.25">
      <c r="A4532" s="5">
        <v>3413530</v>
      </c>
      <c r="B4532" s="1">
        <v>2015</v>
      </c>
      <c r="C4532" s="1" t="s">
        <v>1387</v>
      </c>
      <c r="D4532" s="1" t="s">
        <v>625</v>
      </c>
      <c r="E4532" s="8">
        <v>1516000</v>
      </c>
      <c r="F4532" s="5">
        <v>3413530</v>
      </c>
    </row>
    <row r="4533" spans="1:6" x14ac:dyDescent="0.25">
      <c r="A4533" s="5">
        <v>3413530</v>
      </c>
      <c r="B4533" s="1">
        <v>2016</v>
      </c>
      <c r="C4533" s="1" t="s">
        <v>1387</v>
      </c>
      <c r="D4533" s="1" t="s">
        <v>625</v>
      </c>
      <c r="E4533" s="8">
        <v>2256989</v>
      </c>
      <c r="F4533" s="5">
        <v>3413530</v>
      </c>
    </row>
    <row r="4534" spans="1:6" x14ac:dyDescent="0.25">
      <c r="A4534" s="5">
        <v>3413530</v>
      </c>
      <c r="B4534" s="1">
        <v>2017</v>
      </c>
      <c r="C4534" s="1" t="s">
        <v>1387</v>
      </c>
      <c r="D4534" s="1" t="s">
        <v>625</v>
      </c>
      <c r="E4534" s="8">
        <v>3057244</v>
      </c>
      <c r="F4534" s="5">
        <v>3413530</v>
      </c>
    </row>
    <row r="4535" spans="1:6" x14ac:dyDescent="0.25">
      <c r="A4535" s="5">
        <v>3413530</v>
      </c>
      <c r="B4535" s="1">
        <v>2018</v>
      </c>
      <c r="C4535" s="1" t="s">
        <v>1387</v>
      </c>
      <c r="D4535" s="1" t="s">
        <v>1318</v>
      </c>
      <c r="E4535" s="8">
        <v>4189599</v>
      </c>
      <c r="F4535" s="5">
        <v>3413530</v>
      </c>
    </row>
    <row r="4536" spans="1:6" x14ac:dyDescent="0.25">
      <c r="A4536" s="5">
        <v>3413530</v>
      </c>
      <c r="B4536" s="1">
        <v>2019</v>
      </c>
      <c r="C4536" s="1" t="s">
        <v>1387</v>
      </c>
      <c r="D4536" s="1" t="s">
        <v>1318</v>
      </c>
      <c r="E4536" s="8">
        <v>5646466</v>
      </c>
      <c r="F4536" s="5">
        <v>3413530</v>
      </c>
    </row>
    <row r="4537" spans="1:6" ht="20" x14ac:dyDescent="0.25">
      <c r="A4537" s="5">
        <v>3413530</v>
      </c>
      <c r="B4537" s="1">
        <v>2020</v>
      </c>
      <c r="C4537" s="1" t="s">
        <v>1387</v>
      </c>
      <c r="D4537" s="2" t="s">
        <v>1318</v>
      </c>
      <c r="E4537" s="7">
        <v>6411785</v>
      </c>
      <c r="F4537" s="5">
        <v>3413530</v>
      </c>
    </row>
    <row r="4538" spans="1:6" ht="20" x14ac:dyDescent="0.25">
      <c r="A4538" s="5">
        <v>3413530</v>
      </c>
      <c r="B4538" s="1">
        <v>2021</v>
      </c>
      <c r="C4538" s="1" t="s">
        <v>1387</v>
      </c>
      <c r="D4538" s="3" t="s">
        <v>1318</v>
      </c>
      <c r="E4538" s="7">
        <v>8512265</v>
      </c>
      <c r="F4538" s="5">
        <v>3413530</v>
      </c>
    </row>
    <row r="4539" spans="1:6" ht="20" x14ac:dyDescent="0.25">
      <c r="A4539" s="5">
        <v>3413530</v>
      </c>
      <c r="B4539" s="1">
        <v>2022</v>
      </c>
      <c r="C4539" s="1" t="s">
        <v>1387</v>
      </c>
      <c r="D4539" s="2" t="s">
        <v>1318</v>
      </c>
      <c r="E4539" s="7">
        <v>12159062</v>
      </c>
      <c r="F4539" s="5">
        <v>3413530</v>
      </c>
    </row>
    <row r="4540" spans="1:6" ht="20" x14ac:dyDescent="0.25">
      <c r="A4540" s="5">
        <v>3413530</v>
      </c>
      <c r="B4540" s="1">
        <v>2023</v>
      </c>
      <c r="C4540" s="1" t="s">
        <v>1387</v>
      </c>
      <c r="D4540" s="2" t="s">
        <v>1318</v>
      </c>
      <c r="E4540" s="7">
        <v>11734751</v>
      </c>
      <c r="F4540" s="5">
        <v>3413530</v>
      </c>
    </row>
    <row r="4541" spans="1:6" x14ac:dyDescent="0.25">
      <c r="A4541" s="5">
        <v>3413560</v>
      </c>
      <c r="B4541" s="1">
        <v>2015</v>
      </c>
      <c r="C4541" s="1" t="s">
        <v>1387</v>
      </c>
      <c r="D4541" s="1" t="s">
        <v>82</v>
      </c>
      <c r="E4541" s="8">
        <v>971845</v>
      </c>
      <c r="F4541" s="5">
        <v>3413560</v>
      </c>
    </row>
    <row r="4542" spans="1:6" x14ac:dyDescent="0.25">
      <c r="A4542" s="5">
        <v>3413560</v>
      </c>
      <c r="B4542" s="1">
        <v>2016</v>
      </c>
      <c r="C4542" s="1" t="s">
        <v>1387</v>
      </c>
      <c r="D4542" s="1" t="s">
        <v>82</v>
      </c>
      <c r="E4542" s="8">
        <v>1421530</v>
      </c>
      <c r="F4542" s="5">
        <v>3413560</v>
      </c>
    </row>
    <row r="4543" spans="1:6" x14ac:dyDescent="0.25">
      <c r="A4543" s="5">
        <v>3413560</v>
      </c>
      <c r="B4543" s="1">
        <v>2017</v>
      </c>
      <c r="C4543" s="1" t="s">
        <v>1387</v>
      </c>
      <c r="D4543" s="1" t="s">
        <v>82</v>
      </c>
      <c r="E4543" s="8">
        <v>2057647</v>
      </c>
      <c r="F4543" s="5">
        <v>3413560</v>
      </c>
    </row>
    <row r="4544" spans="1:6" x14ac:dyDescent="0.25">
      <c r="A4544" s="5">
        <v>3413560</v>
      </c>
      <c r="B4544" s="1">
        <v>2018</v>
      </c>
      <c r="C4544" s="1" t="s">
        <v>1387</v>
      </c>
      <c r="D4544" s="1" t="s">
        <v>761</v>
      </c>
      <c r="E4544" s="8">
        <v>2776087</v>
      </c>
      <c r="F4544" s="5">
        <v>3413560</v>
      </c>
    </row>
    <row r="4545" spans="1:6" x14ac:dyDescent="0.25">
      <c r="A4545" s="5">
        <v>3413560</v>
      </c>
      <c r="B4545" s="1">
        <v>2019</v>
      </c>
      <c r="C4545" s="1" t="s">
        <v>1387</v>
      </c>
      <c r="D4545" s="1" t="s">
        <v>761</v>
      </c>
      <c r="E4545" s="8">
        <v>3611771</v>
      </c>
      <c r="F4545" s="5">
        <v>3413560</v>
      </c>
    </row>
    <row r="4546" spans="1:6" ht="20" x14ac:dyDescent="0.25">
      <c r="A4546" s="5">
        <v>3413560</v>
      </c>
      <c r="B4546" s="1">
        <v>2020</v>
      </c>
      <c r="C4546" s="1" t="s">
        <v>1387</v>
      </c>
      <c r="D4546" s="2" t="s">
        <v>761</v>
      </c>
      <c r="E4546" s="7">
        <v>3994422</v>
      </c>
      <c r="F4546" s="5">
        <v>3413560</v>
      </c>
    </row>
    <row r="4547" spans="1:6" ht="20" x14ac:dyDescent="0.25">
      <c r="A4547" s="5">
        <v>3413560</v>
      </c>
      <c r="B4547" s="1">
        <v>2021</v>
      </c>
      <c r="C4547" s="1" t="s">
        <v>1387</v>
      </c>
      <c r="D4547" s="3" t="s">
        <v>761</v>
      </c>
      <c r="E4547" s="7">
        <v>5581162</v>
      </c>
      <c r="F4547" s="5">
        <v>3413560</v>
      </c>
    </row>
    <row r="4548" spans="1:6" ht="20" x14ac:dyDescent="0.25">
      <c r="A4548" s="5">
        <v>3413560</v>
      </c>
      <c r="B4548" s="1">
        <v>2022</v>
      </c>
      <c r="C4548" s="1" t="s">
        <v>1387</v>
      </c>
      <c r="D4548" s="2" t="s">
        <v>761</v>
      </c>
      <c r="E4548" s="7">
        <v>7939470</v>
      </c>
      <c r="F4548" s="5">
        <v>3413560</v>
      </c>
    </row>
    <row r="4549" spans="1:6" ht="20" x14ac:dyDescent="0.25">
      <c r="A4549" s="5">
        <v>3413560</v>
      </c>
      <c r="B4549" s="1">
        <v>2023</v>
      </c>
      <c r="C4549" s="1" t="s">
        <v>1387</v>
      </c>
      <c r="D4549" s="2" t="s">
        <v>761</v>
      </c>
      <c r="E4549" s="7">
        <v>7698592</v>
      </c>
      <c r="F4549" s="5">
        <v>3413560</v>
      </c>
    </row>
    <row r="4550" spans="1:6" x14ac:dyDescent="0.25">
      <c r="A4550" s="5">
        <v>3413590</v>
      </c>
      <c r="B4550" s="1">
        <v>2015</v>
      </c>
      <c r="C4550" s="1" t="s">
        <v>1387</v>
      </c>
      <c r="D4550" s="1" t="s">
        <v>83</v>
      </c>
      <c r="E4550" s="8">
        <v>1305309</v>
      </c>
      <c r="F4550" s="5">
        <v>3413590</v>
      </c>
    </row>
    <row r="4551" spans="1:6" x14ac:dyDescent="0.25">
      <c r="A4551" s="5">
        <v>3413590</v>
      </c>
      <c r="B4551" s="1">
        <v>2016</v>
      </c>
      <c r="C4551" s="1" t="s">
        <v>1387</v>
      </c>
      <c r="D4551" s="1" t="s">
        <v>83</v>
      </c>
      <c r="E4551" s="8">
        <v>1940721</v>
      </c>
      <c r="F4551" s="5">
        <v>3413590</v>
      </c>
    </row>
    <row r="4552" spans="1:6" x14ac:dyDescent="0.25">
      <c r="A4552" s="5">
        <v>3413590</v>
      </c>
      <c r="B4552" s="1">
        <v>2017</v>
      </c>
      <c r="C4552" s="1" t="s">
        <v>1387</v>
      </c>
      <c r="D4552" s="1" t="s">
        <v>83</v>
      </c>
      <c r="E4552" s="8">
        <v>2755385</v>
      </c>
      <c r="F4552" s="5">
        <v>3413590</v>
      </c>
    </row>
    <row r="4553" spans="1:6" x14ac:dyDescent="0.25">
      <c r="A4553" s="5">
        <v>3413590</v>
      </c>
      <c r="B4553" s="1">
        <v>2018</v>
      </c>
      <c r="C4553" s="1" t="s">
        <v>1387</v>
      </c>
      <c r="D4553" s="1" t="s">
        <v>762</v>
      </c>
      <c r="E4553" s="8">
        <v>3617212</v>
      </c>
      <c r="F4553" s="5">
        <v>3413590</v>
      </c>
    </row>
    <row r="4554" spans="1:6" x14ac:dyDescent="0.25">
      <c r="A4554" s="5">
        <v>3413590</v>
      </c>
      <c r="B4554" s="1">
        <v>2019</v>
      </c>
      <c r="C4554" s="1" t="s">
        <v>1387</v>
      </c>
      <c r="D4554" s="1" t="s">
        <v>762</v>
      </c>
      <c r="E4554" s="8">
        <v>4765457</v>
      </c>
      <c r="F4554" s="5">
        <v>3413590</v>
      </c>
    </row>
    <row r="4555" spans="1:6" ht="20" x14ac:dyDescent="0.25">
      <c r="A4555" s="5">
        <v>3413590</v>
      </c>
      <c r="B4555" s="1">
        <v>2020</v>
      </c>
      <c r="C4555" s="1" t="s">
        <v>1387</v>
      </c>
      <c r="D4555" s="2" t="s">
        <v>762</v>
      </c>
      <c r="E4555" s="7">
        <v>5501014</v>
      </c>
      <c r="F4555" s="5">
        <v>3413590</v>
      </c>
    </row>
    <row r="4556" spans="1:6" ht="20" x14ac:dyDescent="0.25">
      <c r="A4556" s="5">
        <v>3413590</v>
      </c>
      <c r="B4556" s="1">
        <v>2021</v>
      </c>
      <c r="C4556" s="1" t="s">
        <v>1387</v>
      </c>
      <c r="D4556" s="3" t="s">
        <v>762</v>
      </c>
      <c r="E4556" s="7">
        <v>7045775</v>
      </c>
      <c r="F4556" s="5">
        <v>3413590</v>
      </c>
    </row>
    <row r="4557" spans="1:6" ht="20" x14ac:dyDescent="0.25">
      <c r="A4557" s="5">
        <v>3413590</v>
      </c>
      <c r="B4557" s="1">
        <v>2022</v>
      </c>
      <c r="C4557" s="1" t="s">
        <v>1387</v>
      </c>
      <c r="D4557" s="2" t="s">
        <v>762</v>
      </c>
      <c r="E4557" s="7">
        <v>10108913</v>
      </c>
      <c r="F4557" s="5">
        <v>3413590</v>
      </c>
    </row>
    <row r="4558" spans="1:6" ht="20" x14ac:dyDescent="0.25">
      <c r="A4558" s="5">
        <v>3413590</v>
      </c>
      <c r="B4558" s="1">
        <v>2023</v>
      </c>
      <c r="C4558" s="1" t="s">
        <v>1387</v>
      </c>
      <c r="D4558" s="2" t="s">
        <v>762</v>
      </c>
      <c r="E4558" s="7">
        <v>9957867</v>
      </c>
      <c r="F4558" s="5">
        <v>3413590</v>
      </c>
    </row>
    <row r="4559" spans="1:6" x14ac:dyDescent="0.25">
      <c r="A4559" s="5">
        <v>3413620</v>
      </c>
      <c r="B4559" s="1">
        <v>2015</v>
      </c>
      <c r="C4559" s="1" t="s">
        <v>1387</v>
      </c>
      <c r="D4559" s="1" t="s">
        <v>136</v>
      </c>
      <c r="E4559" s="8">
        <v>616046</v>
      </c>
      <c r="F4559" s="5">
        <v>3413620</v>
      </c>
    </row>
    <row r="4560" spans="1:6" x14ac:dyDescent="0.25">
      <c r="A4560" s="5">
        <v>3413620</v>
      </c>
      <c r="B4560" s="1">
        <v>2016</v>
      </c>
      <c r="C4560" s="1" t="s">
        <v>1387</v>
      </c>
      <c r="D4560" s="1" t="s">
        <v>136</v>
      </c>
      <c r="E4560" s="8">
        <v>888688</v>
      </c>
      <c r="F4560" s="5">
        <v>3413620</v>
      </c>
    </row>
    <row r="4561" spans="1:6" x14ac:dyDescent="0.25">
      <c r="A4561" s="5">
        <v>3413620</v>
      </c>
      <c r="B4561" s="1">
        <v>2017</v>
      </c>
      <c r="C4561" s="1" t="s">
        <v>1387</v>
      </c>
      <c r="D4561" s="1" t="s">
        <v>136</v>
      </c>
      <c r="E4561" s="8">
        <v>1273484</v>
      </c>
      <c r="F4561" s="5">
        <v>3413620</v>
      </c>
    </row>
    <row r="4562" spans="1:6" x14ac:dyDescent="0.25">
      <c r="A4562" s="5">
        <v>3413620</v>
      </c>
      <c r="B4562" s="1">
        <v>2018</v>
      </c>
      <c r="C4562" s="1" t="s">
        <v>1387</v>
      </c>
      <c r="D4562" s="1" t="s">
        <v>817</v>
      </c>
      <c r="E4562" s="8">
        <v>1807998</v>
      </c>
      <c r="F4562" s="5">
        <v>3413620</v>
      </c>
    </row>
    <row r="4563" spans="1:6" x14ac:dyDescent="0.25">
      <c r="A4563" s="5">
        <v>3413620</v>
      </c>
      <c r="B4563" s="1">
        <v>2019</v>
      </c>
      <c r="C4563" s="1" t="s">
        <v>1387</v>
      </c>
      <c r="D4563" s="1" t="s">
        <v>817</v>
      </c>
      <c r="E4563" s="8">
        <v>2461930</v>
      </c>
      <c r="F4563" s="5">
        <v>3413620</v>
      </c>
    </row>
    <row r="4564" spans="1:6" ht="20" x14ac:dyDescent="0.25">
      <c r="A4564" s="5">
        <v>3413620</v>
      </c>
      <c r="B4564" s="1">
        <v>2020</v>
      </c>
      <c r="C4564" s="1" t="s">
        <v>1387</v>
      </c>
      <c r="D4564" s="2" t="s">
        <v>817</v>
      </c>
      <c r="E4564" s="7">
        <v>2812753</v>
      </c>
      <c r="F4564" s="5">
        <v>3413620</v>
      </c>
    </row>
    <row r="4565" spans="1:6" ht="20" x14ac:dyDescent="0.25">
      <c r="A4565" s="5">
        <v>3413620</v>
      </c>
      <c r="B4565" s="1">
        <v>2021</v>
      </c>
      <c r="C4565" s="1" t="s">
        <v>1387</v>
      </c>
      <c r="D4565" s="3" t="s">
        <v>817</v>
      </c>
      <c r="E4565" s="7">
        <v>3676510</v>
      </c>
      <c r="F4565" s="5">
        <v>3413620</v>
      </c>
    </row>
    <row r="4566" spans="1:6" ht="20" x14ac:dyDescent="0.25">
      <c r="A4566" s="5">
        <v>3413620</v>
      </c>
      <c r="B4566" s="1">
        <v>2022</v>
      </c>
      <c r="C4566" s="1" t="s">
        <v>1387</v>
      </c>
      <c r="D4566" s="2" t="s">
        <v>817</v>
      </c>
      <c r="E4566" s="7">
        <v>5279933</v>
      </c>
      <c r="F4566" s="5">
        <v>3413620</v>
      </c>
    </row>
    <row r="4567" spans="1:6" ht="20" x14ac:dyDescent="0.25">
      <c r="A4567" s="5">
        <v>3413620</v>
      </c>
      <c r="B4567" s="1">
        <v>2023</v>
      </c>
      <c r="C4567" s="1" t="s">
        <v>1387</v>
      </c>
      <c r="D4567" s="2" t="s">
        <v>817</v>
      </c>
      <c r="E4567" s="7">
        <v>5119093</v>
      </c>
      <c r="F4567" s="5">
        <v>3413620</v>
      </c>
    </row>
    <row r="4568" spans="1:6" x14ac:dyDescent="0.25">
      <c r="A4568" s="5">
        <v>3413650</v>
      </c>
      <c r="B4568" s="1">
        <v>2015</v>
      </c>
      <c r="C4568" s="1" t="s">
        <v>1387</v>
      </c>
      <c r="D4568" s="1" t="s">
        <v>486</v>
      </c>
      <c r="E4568" s="8">
        <v>1936816</v>
      </c>
      <c r="F4568" s="5">
        <v>3413650</v>
      </c>
    </row>
    <row r="4569" spans="1:6" x14ac:dyDescent="0.25">
      <c r="A4569" s="5">
        <v>3413650</v>
      </c>
      <c r="B4569" s="1">
        <v>2016</v>
      </c>
      <c r="C4569" s="1" t="s">
        <v>1387</v>
      </c>
      <c r="D4569" s="1" t="s">
        <v>486</v>
      </c>
      <c r="E4569" s="8">
        <v>2835740</v>
      </c>
      <c r="F4569" s="5">
        <v>3413650</v>
      </c>
    </row>
    <row r="4570" spans="1:6" x14ac:dyDescent="0.25">
      <c r="A4570" s="5">
        <v>3413650</v>
      </c>
      <c r="B4570" s="1">
        <v>2017</v>
      </c>
      <c r="C4570" s="1" t="s">
        <v>1387</v>
      </c>
      <c r="D4570" s="1" t="s">
        <v>486</v>
      </c>
      <c r="E4570" s="8">
        <v>3884786</v>
      </c>
      <c r="F4570" s="5">
        <v>3413650</v>
      </c>
    </row>
    <row r="4571" spans="1:6" x14ac:dyDescent="0.25">
      <c r="A4571" s="5">
        <v>3413650</v>
      </c>
      <c r="B4571" s="1">
        <v>2018</v>
      </c>
      <c r="C4571" s="1" t="s">
        <v>1387</v>
      </c>
      <c r="D4571" s="1" t="s">
        <v>1178</v>
      </c>
      <c r="E4571" s="8">
        <v>5445630</v>
      </c>
      <c r="F4571" s="5">
        <v>3413650</v>
      </c>
    </row>
    <row r="4572" spans="1:6" x14ac:dyDescent="0.25">
      <c r="A4572" s="5">
        <v>3413650</v>
      </c>
      <c r="B4572" s="1">
        <v>2019</v>
      </c>
      <c r="C4572" s="1" t="s">
        <v>1387</v>
      </c>
      <c r="D4572" s="1" t="s">
        <v>1178</v>
      </c>
      <c r="E4572" s="8">
        <v>7196136</v>
      </c>
      <c r="F4572" s="5">
        <v>3413650</v>
      </c>
    </row>
    <row r="4573" spans="1:6" ht="20" x14ac:dyDescent="0.25">
      <c r="A4573" s="5">
        <v>3413650</v>
      </c>
      <c r="B4573" s="1">
        <v>2020</v>
      </c>
      <c r="C4573" s="1" t="s">
        <v>1387</v>
      </c>
      <c r="D4573" s="2" t="s">
        <v>1178</v>
      </c>
      <c r="E4573" s="7">
        <v>7930784</v>
      </c>
      <c r="F4573" s="5">
        <v>3413650</v>
      </c>
    </row>
    <row r="4574" spans="1:6" ht="20" x14ac:dyDescent="0.25">
      <c r="A4574" s="5">
        <v>3413650</v>
      </c>
      <c r="B4574" s="1">
        <v>2021</v>
      </c>
      <c r="C4574" s="1" t="s">
        <v>1387</v>
      </c>
      <c r="D4574" s="3" t="s">
        <v>1178</v>
      </c>
      <c r="E4574" s="7">
        <v>10516284</v>
      </c>
      <c r="F4574" s="5">
        <v>3413650</v>
      </c>
    </row>
    <row r="4575" spans="1:6" ht="20" x14ac:dyDescent="0.25">
      <c r="A4575" s="5">
        <v>3413650</v>
      </c>
      <c r="B4575" s="1">
        <v>2022</v>
      </c>
      <c r="C4575" s="1" t="s">
        <v>1387</v>
      </c>
      <c r="D4575" s="2" t="s">
        <v>1178</v>
      </c>
      <c r="E4575" s="7">
        <v>14350046</v>
      </c>
      <c r="F4575" s="5">
        <v>3413650</v>
      </c>
    </row>
    <row r="4576" spans="1:6" ht="20" x14ac:dyDescent="0.25">
      <c r="A4576" s="5">
        <v>3413650</v>
      </c>
      <c r="B4576" s="1">
        <v>2023</v>
      </c>
      <c r="C4576" s="1" t="s">
        <v>1387</v>
      </c>
      <c r="D4576" s="2" t="s">
        <v>1178</v>
      </c>
      <c r="E4576" s="7">
        <v>13941107</v>
      </c>
      <c r="F4576" s="5">
        <v>3413650</v>
      </c>
    </row>
    <row r="4577" spans="1:6" x14ac:dyDescent="0.25">
      <c r="A4577" s="5">
        <v>3413680</v>
      </c>
      <c r="B4577" s="1">
        <v>2015</v>
      </c>
      <c r="C4577" s="1" t="s">
        <v>1387</v>
      </c>
      <c r="D4577" s="1" t="s">
        <v>415</v>
      </c>
      <c r="E4577" s="8">
        <v>1229467</v>
      </c>
      <c r="F4577" s="5">
        <v>3413680</v>
      </c>
    </row>
    <row r="4578" spans="1:6" x14ac:dyDescent="0.25">
      <c r="A4578" s="5">
        <v>3413680</v>
      </c>
      <c r="B4578" s="1">
        <v>2016</v>
      </c>
      <c r="C4578" s="1" t="s">
        <v>1387</v>
      </c>
      <c r="D4578" s="1" t="s">
        <v>415</v>
      </c>
      <c r="E4578" s="8">
        <v>1803982</v>
      </c>
      <c r="F4578" s="5">
        <v>3413680</v>
      </c>
    </row>
    <row r="4579" spans="1:6" x14ac:dyDescent="0.25">
      <c r="A4579" s="5">
        <v>3413680</v>
      </c>
      <c r="B4579" s="1">
        <v>2017</v>
      </c>
      <c r="C4579" s="1" t="s">
        <v>1387</v>
      </c>
      <c r="D4579" s="1" t="s">
        <v>415</v>
      </c>
      <c r="E4579" s="8">
        <v>2539998</v>
      </c>
      <c r="F4579" s="5">
        <v>3413680</v>
      </c>
    </row>
    <row r="4580" spans="1:6" x14ac:dyDescent="0.25">
      <c r="A4580" s="5">
        <v>3413680</v>
      </c>
      <c r="B4580" s="1">
        <v>2018</v>
      </c>
      <c r="C4580" s="1" t="s">
        <v>1387</v>
      </c>
      <c r="D4580" s="1" t="s">
        <v>1107</v>
      </c>
      <c r="E4580" s="8">
        <v>3328414</v>
      </c>
      <c r="F4580" s="5">
        <v>3413680</v>
      </c>
    </row>
    <row r="4581" spans="1:6" x14ac:dyDescent="0.25">
      <c r="A4581" s="5">
        <v>3413680</v>
      </c>
      <c r="B4581" s="1">
        <v>2019</v>
      </c>
      <c r="C4581" s="1" t="s">
        <v>1387</v>
      </c>
      <c r="D4581" s="1" t="s">
        <v>1107</v>
      </c>
      <c r="E4581" s="8">
        <v>4361919</v>
      </c>
      <c r="F4581" s="5">
        <v>3413680</v>
      </c>
    </row>
    <row r="4582" spans="1:6" ht="20" x14ac:dyDescent="0.25">
      <c r="A4582" s="5">
        <v>3413680</v>
      </c>
      <c r="B4582" s="1">
        <v>2020</v>
      </c>
      <c r="C4582" s="1" t="s">
        <v>1387</v>
      </c>
      <c r="D4582" s="2" t="s">
        <v>1107</v>
      </c>
      <c r="E4582" s="7">
        <v>4931090</v>
      </c>
      <c r="F4582" s="5">
        <v>3413680</v>
      </c>
    </row>
    <row r="4583" spans="1:6" ht="20" x14ac:dyDescent="0.25">
      <c r="A4583" s="5">
        <v>3413680</v>
      </c>
      <c r="B4583" s="1">
        <v>2021</v>
      </c>
      <c r="C4583" s="1" t="s">
        <v>1387</v>
      </c>
      <c r="D4583" s="3" t="s">
        <v>1107</v>
      </c>
      <c r="E4583" s="7">
        <v>6300564</v>
      </c>
      <c r="F4583" s="5">
        <v>3413680</v>
      </c>
    </row>
    <row r="4584" spans="1:6" ht="20" x14ac:dyDescent="0.25">
      <c r="A4584" s="5">
        <v>3413680</v>
      </c>
      <c r="B4584" s="1">
        <v>2022</v>
      </c>
      <c r="C4584" s="1" t="s">
        <v>1387</v>
      </c>
      <c r="D4584" s="2" t="s">
        <v>1107</v>
      </c>
      <c r="E4584" s="7">
        <v>8633510</v>
      </c>
      <c r="F4584" s="5">
        <v>3413680</v>
      </c>
    </row>
    <row r="4585" spans="1:6" ht="20" x14ac:dyDescent="0.25">
      <c r="A4585" s="5">
        <v>3413680</v>
      </c>
      <c r="B4585" s="1">
        <v>2023</v>
      </c>
      <c r="C4585" s="1" t="s">
        <v>1387</v>
      </c>
      <c r="D4585" s="2" t="s">
        <v>1107</v>
      </c>
      <c r="E4585" s="7">
        <v>8357798</v>
      </c>
      <c r="F4585" s="5">
        <v>3413680</v>
      </c>
    </row>
    <row r="4586" spans="1:6" x14ac:dyDescent="0.25">
      <c r="A4586" s="5">
        <v>3413710</v>
      </c>
      <c r="B4586" s="1">
        <v>2015</v>
      </c>
      <c r="C4586" s="1" t="s">
        <v>1387</v>
      </c>
      <c r="D4586" s="1" t="s">
        <v>349</v>
      </c>
      <c r="E4586" s="8">
        <v>758601</v>
      </c>
      <c r="F4586" s="5">
        <v>3413710</v>
      </c>
    </row>
    <row r="4587" spans="1:6" x14ac:dyDescent="0.25">
      <c r="A4587" s="5">
        <v>3413710</v>
      </c>
      <c r="B4587" s="1">
        <v>2016</v>
      </c>
      <c r="C4587" s="1" t="s">
        <v>1387</v>
      </c>
      <c r="D4587" s="1" t="s">
        <v>349</v>
      </c>
      <c r="E4587" s="8">
        <v>1109921</v>
      </c>
      <c r="F4587" s="5">
        <v>3413710</v>
      </c>
    </row>
    <row r="4588" spans="1:6" x14ac:dyDescent="0.25">
      <c r="A4588" s="5">
        <v>3413710</v>
      </c>
      <c r="B4588" s="1">
        <v>2017</v>
      </c>
      <c r="C4588" s="1" t="s">
        <v>1387</v>
      </c>
      <c r="D4588" s="1" t="s">
        <v>349</v>
      </c>
      <c r="E4588" s="8">
        <v>1502040</v>
      </c>
      <c r="F4588" s="5">
        <v>3413710</v>
      </c>
    </row>
    <row r="4589" spans="1:6" x14ac:dyDescent="0.25">
      <c r="A4589" s="5">
        <v>3413710</v>
      </c>
      <c r="B4589" s="1">
        <v>2018</v>
      </c>
      <c r="C4589" s="1" t="s">
        <v>1387</v>
      </c>
      <c r="D4589" s="1" t="s">
        <v>1041</v>
      </c>
      <c r="E4589" s="8">
        <v>2026484</v>
      </c>
      <c r="F4589" s="5">
        <v>3413710</v>
      </c>
    </row>
    <row r="4590" spans="1:6" x14ac:dyDescent="0.25">
      <c r="A4590" s="5">
        <v>3413710</v>
      </c>
      <c r="B4590" s="1">
        <v>2019</v>
      </c>
      <c r="C4590" s="1" t="s">
        <v>1387</v>
      </c>
      <c r="D4590" s="1" t="s">
        <v>1041</v>
      </c>
      <c r="E4590" s="8">
        <v>2655114</v>
      </c>
      <c r="F4590" s="5">
        <v>3413710</v>
      </c>
    </row>
    <row r="4591" spans="1:6" ht="20" x14ac:dyDescent="0.25">
      <c r="A4591" s="5">
        <v>3413710</v>
      </c>
      <c r="B4591" s="1">
        <v>2020</v>
      </c>
      <c r="C4591" s="1" t="s">
        <v>1387</v>
      </c>
      <c r="D4591" s="2" t="s">
        <v>1041</v>
      </c>
      <c r="E4591" s="7">
        <v>2942945</v>
      </c>
      <c r="F4591" s="5">
        <v>3413710</v>
      </c>
    </row>
    <row r="4592" spans="1:6" ht="20" x14ac:dyDescent="0.25">
      <c r="A4592" s="5">
        <v>3413710</v>
      </c>
      <c r="B4592" s="1">
        <v>2021</v>
      </c>
      <c r="C4592" s="1" t="s">
        <v>1387</v>
      </c>
      <c r="D4592" s="3" t="s">
        <v>1041</v>
      </c>
      <c r="E4592" s="7">
        <v>3976248</v>
      </c>
      <c r="F4592" s="5">
        <v>3413710</v>
      </c>
    </row>
    <row r="4593" spans="1:6" ht="20" x14ac:dyDescent="0.25">
      <c r="A4593" s="5">
        <v>3413710</v>
      </c>
      <c r="B4593" s="1">
        <v>2022</v>
      </c>
      <c r="C4593" s="1" t="s">
        <v>1387</v>
      </c>
      <c r="D4593" s="2" t="s">
        <v>1041</v>
      </c>
      <c r="E4593" s="7">
        <v>5515767</v>
      </c>
      <c r="F4593" s="5">
        <v>3413710</v>
      </c>
    </row>
    <row r="4594" spans="1:6" ht="20" x14ac:dyDescent="0.25">
      <c r="A4594" s="5">
        <v>3413710</v>
      </c>
      <c r="B4594" s="1">
        <v>2023</v>
      </c>
      <c r="C4594" s="1" t="s">
        <v>1387</v>
      </c>
      <c r="D4594" s="2" t="s">
        <v>1041</v>
      </c>
      <c r="E4594" s="7">
        <v>5420223</v>
      </c>
      <c r="F4594" s="5">
        <v>3413710</v>
      </c>
    </row>
    <row r="4595" spans="1:6" x14ac:dyDescent="0.25">
      <c r="A4595" s="5">
        <v>3413740</v>
      </c>
      <c r="B4595" s="1">
        <v>2015</v>
      </c>
      <c r="C4595" s="1" t="s">
        <v>1387</v>
      </c>
      <c r="D4595" s="1" t="s">
        <v>438</v>
      </c>
      <c r="E4595" s="8">
        <v>346249</v>
      </c>
      <c r="F4595" s="5">
        <v>3413740</v>
      </c>
    </row>
    <row r="4596" spans="1:6" x14ac:dyDescent="0.25">
      <c r="A4596" s="5">
        <v>3413740</v>
      </c>
      <c r="B4596" s="1">
        <v>2016</v>
      </c>
      <c r="C4596" s="1" t="s">
        <v>1387</v>
      </c>
      <c r="D4596" s="1" t="s">
        <v>438</v>
      </c>
      <c r="E4596" s="8">
        <v>470239</v>
      </c>
      <c r="F4596" s="5">
        <v>3413740</v>
      </c>
    </row>
    <row r="4597" spans="1:6" x14ac:dyDescent="0.25">
      <c r="A4597" s="5">
        <v>3413740</v>
      </c>
      <c r="B4597" s="1">
        <v>2017</v>
      </c>
      <c r="C4597" s="1" t="s">
        <v>1387</v>
      </c>
      <c r="D4597" s="1" t="s">
        <v>438</v>
      </c>
      <c r="E4597" s="8">
        <v>683905</v>
      </c>
      <c r="F4597" s="5">
        <v>3413740</v>
      </c>
    </row>
    <row r="4598" spans="1:6" x14ac:dyDescent="0.25">
      <c r="A4598" s="5">
        <v>3413740</v>
      </c>
      <c r="B4598" s="1">
        <v>2018</v>
      </c>
      <c r="C4598" s="1" t="s">
        <v>1387</v>
      </c>
      <c r="D4598" s="1" t="s">
        <v>1130</v>
      </c>
      <c r="E4598" s="8">
        <v>990435</v>
      </c>
      <c r="F4598" s="5">
        <v>3413740</v>
      </c>
    </row>
    <row r="4599" spans="1:6" x14ac:dyDescent="0.25">
      <c r="A4599" s="5">
        <v>3413740</v>
      </c>
      <c r="B4599" s="1">
        <v>2019</v>
      </c>
      <c r="C4599" s="1" t="s">
        <v>1387</v>
      </c>
      <c r="D4599" s="1" t="s">
        <v>1130</v>
      </c>
      <c r="E4599" s="8">
        <v>1391451</v>
      </c>
      <c r="F4599" s="5">
        <v>3413740</v>
      </c>
    </row>
    <row r="4600" spans="1:6" ht="20" x14ac:dyDescent="0.25">
      <c r="A4600" s="5">
        <v>3413740</v>
      </c>
      <c r="B4600" s="1">
        <v>2020</v>
      </c>
      <c r="C4600" s="1" t="s">
        <v>1387</v>
      </c>
      <c r="D4600" s="2" t="s">
        <v>1130</v>
      </c>
      <c r="E4600" s="7">
        <v>1637001</v>
      </c>
      <c r="F4600" s="5">
        <v>3413740</v>
      </c>
    </row>
    <row r="4601" spans="1:6" ht="20" x14ac:dyDescent="0.25">
      <c r="A4601" s="5">
        <v>3413740</v>
      </c>
      <c r="B4601" s="1">
        <v>2021</v>
      </c>
      <c r="C4601" s="1" t="s">
        <v>1387</v>
      </c>
      <c r="D4601" s="3" t="s">
        <v>1130</v>
      </c>
      <c r="E4601" s="7">
        <v>2278903</v>
      </c>
      <c r="F4601" s="5">
        <v>3413740</v>
      </c>
    </row>
    <row r="4602" spans="1:6" ht="20" x14ac:dyDescent="0.25">
      <c r="A4602" s="5">
        <v>3413740</v>
      </c>
      <c r="B4602" s="1">
        <v>2022</v>
      </c>
      <c r="C4602" s="1" t="s">
        <v>1387</v>
      </c>
      <c r="D4602" s="2" t="s">
        <v>1130</v>
      </c>
      <c r="E4602" s="7">
        <v>3389606</v>
      </c>
      <c r="F4602" s="5">
        <v>3413740</v>
      </c>
    </row>
    <row r="4603" spans="1:6" ht="20" x14ac:dyDescent="0.25">
      <c r="A4603" s="5">
        <v>3413740</v>
      </c>
      <c r="B4603" s="1">
        <v>2023</v>
      </c>
      <c r="C4603" s="1" t="s">
        <v>1387</v>
      </c>
      <c r="D4603" s="2" t="s">
        <v>1130</v>
      </c>
      <c r="E4603" s="7">
        <v>3559669</v>
      </c>
      <c r="F4603" s="5">
        <v>3413740</v>
      </c>
    </row>
    <row r="4604" spans="1:6" x14ac:dyDescent="0.25">
      <c r="A4604" s="5">
        <v>3413750</v>
      </c>
      <c r="B4604" s="1">
        <v>2015</v>
      </c>
      <c r="C4604" s="1" t="s">
        <v>1387</v>
      </c>
      <c r="D4604" s="1" t="s">
        <v>440</v>
      </c>
      <c r="E4604" s="8">
        <v>507662</v>
      </c>
      <c r="F4604" s="5">
        <v>3413750</v>
      </c>
    </row>
    <row r="4605" spans="1:6" x14ac:dyDescent="0.25">
      <c r="A4605" s="5">
        <v>3413750</v>
      </c>
      <c r="B4605" s="1">
        <v>2016</v>
      </c>
      <c r="C4605" s="1" t="s">
        <v>1387</v>
      </c>
      <c r="D4605" s="1" t="s">
        <v>440</v>
      </c>
      <c r="E4605" s="8">
        <v>777256</v>
      </c>
      <c r="F4605" s="5">
        <v>3413750</v>
      </c>
    </row>
    <row r="4606" spans="1:6" x14ac:dyDescent="0.25">
      <c r="A4606" s="5">
        <v>3413750</v>
      </c>
      <c r="B4606" s="1">
        <v>2017</v>
      </c>
      <c r="C4606" s="1" t="s">
        <v>1387</v>
      </c>
      <c r="D4606" s="1" t="s">
        <v>440</v>
      </c>
      <c r="E4606" s="8">
        <v>1108277</v>
      </c>
      <c r="F4606" s="5">
        <v>3413750</v>
      </c>
    </row>
    <row r="4607" spans="1:6" x14ac:dyDescent="0.25">
      <c r="A4607" s="5">
        <v>3413750</v>
      </c>
      <c r="B4607" s="1">
        <v>2018</v>
      </c>
      <c r="C4607" s="1" t="s">
        <v>1387</v>
      </c>
      <c r="D4607" s="1" t="s">
        <v>1132</v>
      </c>
      <c r="E4607" s="8">
        <v>1501219</v>
      </c>
      <c r="F4607" s="5">
        <v>3413750</v>
      </c>
    </row>
    <row r="4608" spans="1:6" x14ac:dyDescent="0.25">
      <c r="A4608" s="5">
        <v>3413750</v>
      </c>
      <c r="B4608" s="1">
        <v>2019</v>
      </c>
      <c r="C4608" s="1" t="s">
        <v>1387</v>
      </c>
      <c r="D4608" s="1" t="s">
        <v>1132</v>
      </c>
      <c r="E4608" s="8">
        <v>2041365</v>
      </c>
      <c r="F4608" s="5">
        <v>3413750</v>
      </c>
    </row>
    <row r="4609" spans="1:6" ht="20" x14ac:dyDescent="0.25">
      <c r="A4609" s="5">
        <v>3413750</v>
      </c>
      <c r="B4609" s="1">
        <v>2020</v>
      </c>
      <c r="C4609" s="1" t="s">
        <v>1387</v>
      </c>
      <c r="D4609" s="2" t="s">
        <v>1132</v>
      </c>
      <c r="E4609" s="7">
        <v>2312421</v>
      </c>
      <c r="F4609" s="5">
        <v>3413750</v>
      </c>
    </row>
    <row r="4610" spans="1:6" ht="20" x14ac:dyDescent="0.25">
      <c r="A4610" s="5">
        <v>3413750</v>
      </c>
      <c r="B4610" s="1">
        <v>2021</v>
      </c>
      <c r="C4610" s="1" t="s">
        <v>1387</v>
      </c>
      <c r="D4610" s="3" t="s">
        <v>1132</v>
      </c>
      <c r="E4610" s="7">
        <v>3016523</v>
      </c>
      <c r="F4610" s="5">
        <v>3413750</v>
      </c>
    </row>
    <row r="4611" spans="1:6" ht="20" x14ac:dyDescent="0.25">
      <c r="A4611" s="5">
        <v>3413750</v>
      </c>
      <c r="B4611" s="1">
        <v>2022</v>
      </c>
      <c r="C4611" s="1" t="s">
        <v>1387</v>
      </c>
      <c r="D4611" s="2" t="s">
        <v>1132</v>
      </c>
      <c r="E4611" s="7">
        <v>4160485</v>
      </c>
      <c r="F4611" s="5">
        <v>3413750</v>
      </c>
    </row>
    <row r="4612" spans="1:6" ht="20" x14ac:dyDescent="0.25">
      <c r="A4612" s="5">
        <v>3413750</v>
      </c>
      <c r="B4612" s="1">
        <v>2023</v>
      </c>
      <c r="C4612" s="1" t="s">
        <v>1387</v>
      </c>
      <c r="D4612" s="2" t="s">
        <v>1132</v>
      </c>
      <c r="E4612" s="7">
        <v>4236182</v>
      </c>
      <c r="F4612" s="5">
        <v>3413750</v>
      </c>
    </row>
    <row r="4613" spans="1:6" x14ac:dyDescent="0.25">
      <c r="A4613" s="5">
        <v>3413770</v>
      </c>
      <c r="B4613" s="1">
        <v>2015</v>
      </c>
      <c r="C4613" s="1" t="s">
        <v>1387</v>
      </c>
      <c r="D4613" s="1" t="s">
        <v>84</v>
      </c>
      <c r="E4613" s="8">
        <v>840185</v>
      </c>
      <c r="F4613" s="5">
        <v>3413770</v>
      </c>
    </row>
    <row r="4614" spans="1:6" x14ac:dyDescent="0.25">
      <c r="A4614" s="5">
        <v>3413770</v>
      </c>
      <c r="B4614" s="1">
        <v>2016</v>
      </c>
      <c r="C4614" s="1" t="s">
        <v>1387</v>
      </c>
      <c r="D4614" s="1" t="s">
        <v>84</v>
      </c>
      <c r="E4614" s="8">
        <v>1264306</v>
      </c>
      <c r="F4614" s="5">
        <v>3413770</v>
      </c>
    </row>
    <row r="4615" spans="1:6" x14ac:dyDescent="0.25">
      <c r="A4615" s="5">
        <v>3413770</v>
      </c>
      <c r="B4615" s="1">
        <v>2017</v>
      </c>
      <c r="C4615" s="1" t="s">
        <v>1387</v>
      </c>
      <c r="D4615" s="1" t="s">
        <v>84</v>
      </c>
      <c r="E4615" s="8">
        <v>1782957</v>
      </c>
      <c r="F4615" s="5">
        <v>3413770</v>
      </c>
    </row>
    <row r="4616" spans="1:6" x14ac:dyDescent="0.25">
      <c r="A4616" s="5">
        <v>3413770</v>
      </c>
      <c r="B4616" s="1">
        <v>2018</v>
      </c>
      <c r="C4616" s="1" t="s">
        <v>1387</v>
      </c>
      <c r="D4616" s="1" t="s">
        <v>763</v>
      </c>
      <c r="E4616" s="8">
        <v>2486327</v>
      </c>
      <c r="F4616" s="5">
        <v>3413770</v>
      </c>
    </row>
    <row r="4617" spans="1:6" x14ac:dyDescent="0.25">
      <c r="A4617" s="5">
        <v>3413770</v>
      </c>
      <c r="B4617" s="1">
        <v>2019</v>
      </c>
      <c r="C4617" s="1" t="s">
        <v>1387</v>
      </c>
      <c r="D4617" s="1" t="s">
        <v>763</v>
      </c>
      <c r="E4617" s="8">
        <v>3275288</v>
      </c>
      <c r="F4617" s="5">
        <v>3413770</v>
      </c>
    </row>
    <row r="4618" spans="1:6" ht="20" x14ac:dyDescent="0.25">
      <c r="A4618" s="5">
        <v>3413770</v>
      </c>
      <c r="B4618" s="1">
        <v>2020</v>
      </c>
      <c r="C4618" s="1" t="s">
        <v>1387</v>
      </c>
      <c r="D4618" s="2" t="s">
        <v>763</v>
      </c>
      <c r="E4618" s="7">
        <v>3551907</v>
      </c>
      <c r="F4618" s="5">
        <v>3413770</v>
      </c>
    </row>
    <row r="4619" spans="1:6" ht="20" x14ac:dyDescent="0.25">
      <c r="A4619" s="5">
        <v>3413770</v>
      </c>
      <c r="B4619" s="1">
        <v>2021</v>
      </c>
      <c r="C4619" s="1" t="s">
        <v>1387</v>
      </c>
      <c r="D4619" s="3" t="s">
        <v>763</v>
      </c>
      <c r="E4619" s="7">
        <v>4592982</v>
      </c>
      <c r="F4619" s="5">
        <v>3413770</v>
      </c>
    </row>
    <row r="4620" spans="1:6" ht="20" x14ac:dyDescent="0.25">
      <c r="A4620" s="5">
        <v>3413770</v>
      </c>
      <c r="B4620" s="1">
        <v>2022</v>
      </c>
      <c r="C4620" s="1" t="s">
        <v>1387</v>
      </c>
      <c r="D4620" s="2" t="s">
        <v>763</v>
      </c>
      <c r="E4620" s="7">
        <v>6375935</v>
      </c>
      <c r="F4620" s="5">
        <v>3413770</v>
      </c>
    </row>
    <row r="4621" spans="1:6" ht="20" x14ac:dyDescent="0.25">
      <c r="A4621" s="5">
        <v>3413770</v>
      </c>
      <c r="B4621" s="1">
        <v>2023</v>
      </c>
      <c r="C4621" s="1" t="s">
        <v>1387</v>
      </c>
      <c r="D4621" s="2" t="s">
        <v>763</v>
      </c>
      <c r="E4621" s="7">
        <v>6454274</v>
      </c>
      <c r="F4621" s="5">
        <v>3413770</v>
      </c>
    </row>
    <row r="4622" spans="1:6" x14ac:dyDescent="0.25">
      <c r="A4622" s="5">
        <v>3413800</v>
      </c>
      <c r="B4622" s="1">
        <v>2015</v>
      </c>
      <c r="C4622" s="1" t="s">
        <v>1387</v>
      </c>
      <c r="D4622" s="1" t="s">
        <v>85</v>
      </c>
      <c r="E4622" s="8">
        <v>881577</v>
      </c>
      <c r="F4622" s="5">
        <v>3413800</v>
      </c>
    </row>
    <row r="4623" spans="1:6" x14ac:dyDescent="0.25">
      <c r="A4623" s="5">
        <v>3413800</v>
      </c>
      <c r="B4623" s="1">
        <v>2016</v>
      </c>
      <c r="C4623" s="1" t="s">
        <v>1387</v>
      </c>
      <c r="D4623" s="1" t="s">
        <v>85</v>
      </c>
      <c r="E4623" s="8">
        <v>1358080</v>
      </c>
      <c r="F4623" s="5">
        <v>3413800</v>
      </c>
    </row>
    <row r="4624" spans="1:6" x14ac:dyDescent="0.25">
      <c r="A4624" s="5">
        <v>3413800</v>
      </c>
      <c r="B4624" s="1">
        <v>2017</v>
      </c>
      <c r="C4624" s="1" t="s">
        <v>1387</v>
      </c>
      <c r="D4624" s="1" t="s">
        <v>85</v>
      </c>
      <c r="E4624" s="8">
        <v>1976454</v>
      </c>
      <c r="F4624" s="5">
        <v>3413800</v>
      </c>
    </row>
    <row r="4625" spans="1:6" x14ac:dyDescent="0.25">
      <c r="A4625" s="5">
        <v>3413800</v>
      </c>
      <c r="B4625" s="1">
        <v>2018</v>
      </c>
      <c r="C4625" s="1" t="s">
        <v>1387</v>
      </c>
      <c r="D4625" s="1" t="s">
        <v>764</v>
      </c>
      <c r="E4625" s="8">
        <v>2730063</v>
      </c>
      <c r="F4625" s="5">
        <v>3413800</v>
      </c>
    </row>
    <row r="4626" spans="1:6" x14ac:dyDescent="0.25">
      <c r="A4626" s="5">
        <v>3413800</v>
      </c>
      <c r="B4626" s="1">
        <v>2019</v>
      </c>
      <c r="C4626" s="1" t="s">
        <v>1387</v>
      </c>
      <c r="D4626" s="1" t="s">
        <v>764</v>
      </c>
      <c r="E4626" s="8">
        <v>3347037</v>
      </c>
      <c r="F4626" s="5">
        <v>3413800</v>
      </c>
    </row>
    <row r="4627" spans="1:6" ht="20" x14ac:dyDescent="0.25">
      <c r="A4627" s="5">
        <v>3413800</v>
      </c>
      <c r="B4627" s="1">
        <v>2020</v>
      </c>
      <c r="C4627" s="1" t="s">
        <v>1387</v>
      </c>
      <c r="D4627" s="2" t="s">
        <v>764</v>
      </c>
      <c r="E4627" s="7">
        <v>3731085</v>
      </c>
      <c r="F4627" s="5">
        <v>3413800</v>
      </c>
    </row>
    <row r="4628" spans="1:6" ht="20" x14ac:dyDescent="0.25">
      <c r="A4628" s="5">
        <v>3413800</v>
      </c>
      <c r="B4628" s="1">
        <v>2021</v>
      </c>
      <c r="C4628" s="1" t="s">
        <v>1387</v>
      </c>
      <c r="D4628" s="3" t="s">
        <v>764</v>
      </c>
      <c r="E4628" s="7">
        <v>4822268</v>
      </c>
      <c r="F4628" s="5">
        <v>3413800</v>
      </c>
    </row>
    <row r="4629" spans="1:6" ht="20" x14ac:dyDescent="0.25">
      <c r="A4629" s="5">
        <v>3413800</v>
      </c>
      <c r="B4629" s="1">
        <v>2022</v>
      </c>
      <c r="C4629" s="1" t="s">
        <v>1387</v>
      </c>
      <c r="D4629" s="2" t="s">
        <v>764</v>
      </c>
      <c r="E4629" s="7">
        <v>6979574</v>
      </c>
      <c r="F4629" s="5">
        <v>3413800</v>
      </c>
    </row>
    <row r="4630" spans="1:6" ht="20" x14ac:dyDescent="0.25">
      <c r="A4630" s="5">
        <v>3413800</v>
      </c>
      <c r="B4630" s="1">
        <v>2023</v>
      </c>
      <c r="C4630" s="1" t="s">
        <v>1387</v>
      </c>
      <c r="D4630" s="2" t="s">
        <v>764</v>
      </c>
      <c r="E4630" s="7">
        <v>7402612</v>
      </c>
      <c r="F4630" s="5">
        <v>3413800</v>
      </c>
    </row>
    <row r="4631" spans="1:6" x14ac:dyDescent="0.25">
      <c r="A4631" s="5">
        <v>3413830</v>
      </c>
      <c r="B4631" s="1">
        <v>2015</v>
      </c>
      <c r="C4631" s="1" t="s">
        <v>1387</v>
      </c>
      <c r="D4631" s="1" t="s">
        <v>86</v>
      </c>
      <c r="E4631" s="8">
        <v>2381938</v>
      </c>
      <c r="F4631" s="5">
        <v>3413830</v>
      </c>
    </row>
    <row r="4632" spans="1:6" x14ac:dyDescent="0.25">
      <c r="A4632" s="5">
        <v>3413830</v>
      </c>
      <c r="B4632" s="1">
        <v>2016</v>
      </c>
      <c r="C4632" s="1" t="s">
        <v>1387</v>
      </c>
      <c r="D4632" s="1" t="s">
        <v>86</v>
      </c>
      <c r="E4632" s="8">
        <v>3507454</v>
      </c>
      <c r="F4632" s="5">
        <v>3413830</v>
      </c>
    </row>
    <row r="4633" spans="1:6" x14ac:dyDescent="0.25">
      <c r="A4633" s="5">
        <v>3413830</v>
      </c>
      <c r="B4633" s="1">
        <v>2017</v>
      </c>
      <c r="C4633" s="1" t="s">
        <v>1387</v>
      </c>
      <c r="D4633" s="1" t="s">
        <v>86</v>
      </c>
      <c r="E4633" s="8">
        <v>5006526</v>
      </c>
      <c r="F4633" s="5">
        <v>3413830</v>
      </c>
    </row>
    <row r="4634" spans="1:6" x14ac:dyDescent="0.25">
      <c r="A4634" s="5">
        <v>3413830</v>
      </c>
      <c r="B4634" s="1">
        <v>2018</v>
      </c>
      <c r="C4634" s="1" t="s">
        <v>1387</v>
      </c>
      <c r="D4634" s="1" t="s">
        <v>765</v>
      </c>
      <c r="E4634" s="8">
        <v>6485759</v>
      </c>
      <c r="F4634" s="5">
        <v>3413830</v>
      </c>
    </row>
    <row r="4635" spans="1:6" x14ac:dyDescent="0.25">
      <c r="A4635" s="5">
        <v>3413830</v>
      </c>
      <c r="B4635" s="1">
        <v>2019</v>
      </c>
      <c r="C4635" s="1" t="s">
        <v>1387</v>
      </c>
      <c r="D4635" s="1" t="s">
        <v>765</v>
      </c>
      <c r="E4635" s="8">
        <v>8895962</v>
      </c>
      <c r="F4635" s="5">
        <v>3413830</v>
      </c>
    </row>
    <row r="4636" spans="1:6" ht="20" x14ac:dyDescent="0.25">
      <c r="A4636" s="5">
        <v>3413830</v>
      </c>
      <c r="B4636" s="1">
        <v>2020</v>
      </c>
      <c r="C4636" s="1" t="s">
        <v>1387</v>
      </c>
      <c r="D4636" s="2" t="s">
        <v>765</v>
      </c>
      <c r="E4636" s="7">
        <v>10110938</v>
      </c>
      <c r="F4636" s="5">
        <v>3413830</v>
      </c>
    </row>
    <row r="4637" spans="1:6" ht="20" x14ac:dyDescent="0.25">
      <c r="A4637" s="5">
        <v>3413830</v>
      </c>
      <c r="B4637" s="1">
        <v>2021</v>
      </c>
      <c r="C4637" s="1" t="s">
        <v>1387</v>
      </c>
      <c r="D4637" s="3" t="s">
        <v>765</v>
      </c>
      <c r="E4637" s="7">
        <v>13117147</v>
      </c>
      <c r="F4637" s="5">
        <v>3413830</v>
      </c>
    </row>
    <row r="4638" spans="1:6" ht="20" x14ac:dyDescent="0.25">
      <c r="A4638" s="5">
        <v>3413830</v>
      </c>
      <c r="B4638" s="1">
        <v>2022</v>
      </c>
      <c r="C4638" s="1" t="s">
        <v>1387</v>
      </c>
      <c r="D4638" s="2" t="s">
        <v>765</v>
      </c>
      <c r="E4638" s="7">
        <v>18726536</v>
      </c>
      <c r="F4638" s="5">
        <v>3413830</v>
      </c>
    </row>
    <row r="4639" spans="1:6" ht="20" x14ac:dyDescent="0.25">
      <c r="A4639" s="5">
        <v>3413830</v>
      </c>
      <c r="B4639" s="1">
        <v>2023</v>
      </c>
      <c r="C4639" s="1" t="s">
        <v>1387</v>
      </c>
      <c r="D4639" s="2" t="s">
        <v>765</v>
      </c>
      <c r="E4639" s="7">
        <v>18448059</v>
      </c>
      <c r="F4639" s="5">
        <v>3413830</v>
      </c>
    </row>
    <row r="4640" spans="1:6" x14ac:dyDescent="0.25">
      <c r="A4640" s="5">
        <v>3413860</v>
      </c>
      <c r="B4640" s="1">
        <v>2015</v>
      </c>
      <c r="C4640" s="1" t="s">
        <v>1387</v>
      </c>
      <c r="D4640" s="1" t="s">
        <v>543</v>
      </c>
      <c r="E4640" s="8">
        <v>472552</v>
      </c>
      <c r="F4640" s="5">
        <v>3413860</v>
      </c>
    </row>
    <row r="4641" spans="1:6" x14ac:dyDescent="0.25">
      <c r="A4641" s="5">
        <v>3413860</v>
      </c>
      <c r="B4641" s="1">
        <v>2016</v>
      </c>
      <c r="C4641" s="1" t="s">
        <v>1387</v>
      </c>
      <c r="D4641" s="1" t="s">
        <v>543</v>
      </c>
      <c r="E4641" s="8">
        <v>646723</v>
      </c>
      <c r="F4641" s="5">
        <v>3413860</v>
      </c>
    </row>
    <row r="4642" spans="1:6" x14ac:dyDescent="0.25">
      <c r="A4642" s="5">
        <v>3413860</v>
      </c>
      <c r="B4642" s="1">
        <v>2017</v>
      </c>
      <c r="C4642" s="1" t="s">
        <v>1387</v>
      </c>
      <c r="D4642" s="1" t="s">
        <v>543</v>
      </c>
      <c r="E4642" s="8">
        <v>1052378</v>
      </c>
      <c r="F4642" s="5">
        <v>3413860</v>
      </c>
    </row>
    <row r="4643" spans="1:6" x14ac:dyDescent="0.25">
      <c r="A4643" s="5">
        <v>3413860</v>
      </c>
      <c r="B4643" s="1">
        <v>2018</v>
      </c>
      <c r="C4643" s="1" t="s">
        <v>1387</v>
      </c>
      <c r="D4643" s="1" t="s">
        <v>1235</v>
      </c>
      <c r="E4643" s="8">
        <v>1333131</v>
      </c>
      <c r="F4643" s="5">
        <v>3413860</v>
      </c>
    </row>
    <row r="4644" spans="1:6" x14ac:dyDescent="0.25">
      <c r="A4644" s="5">
        <v>3413860</v>
      </c>
      <c r="B4644" s="1">
        <v>2019</v>
      </c>
      <c r="C4644" s="1" t="s">
        <v>1387</v>
      </c>
      <c r="D4644" s="1" t="s">
        <v>1235</v>
      </c>
      <c r="E4644" s="8">
        <v>1880651</v>
      </c>
      <c r="F4644" s="5">
        <v>3413860</v>
      </c>
    </row>
    <row r="4645" spans="1:6" ht="20" x14ac:dyDescent="0.25">
      <c r="A4645" s="5">
        <v>3413860</v>
      </c>
      <c r="B4645" s="1">
        <v>2020</v>
      </c>
      <c r="C4645" s="1" t="s">
        <v>1387</v>
      </c>
      <c r="D4645" s="2" t="s">
        <v>1235</v>
      </c>
      <c r="E4645" s="7">
        <v>2093816</v>
      </c>
      <c r="F4645" s="5">
        <v>3413860</v>
      </c>
    </row>
    <row r="4646" spans="1:6" ht="20" x14ac:dyDescent="0.25">
      <c r="A4646" s="5">
        <v>3413860</v>
      </c>
      <c r="B4646" s="1">
        <v>2021</v>
      </c>
      <c r="C4646" s="1" t="s">
        <v>1387</v>
      </c>
      <c r="D4646" s="3" t="s">
        <v>1235</v>
      </c>
      <c r="E4646" s="7">
        <v>2582049</v>
      </c>
      <c r="F4646" s="5">
        <v>3413860</v>
      </c>
    </row>
    <row r="4647" spans="1:6" ht="20" x14ac:dyDescent="0.25">
      <c r="A4647" s="5">
        <v>3413860</v>
      </c>
      <c r="B4647" s="1">
        <v>2022</v>
      </c>
      <c r="C4647" s="1" t="s">
        <v>1387</v>
      </c>
      <c r="D4647" s="2" t="s">
        <v>1235</v>
      </c>
      <c r="E4647" s="7">
        <v>3865630</v>
      </c>
      <c r="F4647" s="5">
        <v>3413860</v>
      </c>
    </row>
    <row r="4648" spans="1:6" ht="20" x14ac:dyDescent="0.25">
      <c r="A4648" s="5">
        <v>3413860</v>
      </c>
      <c r="B4648" s="1">
        <v>2023</v>
      </c>
      <c r="C4648" s="1" t="s">
        <v>1387</v>
      </c>
      <c r="D4648" s="2" t="s">
        <v>1235</v>
      </c>
      <c r="E4648" s="7">
        <v>3938296</v>
      </c>
      <c r="F4648" s="5">
        <v>3413860</v>
      </c>
    </row>
    <row r="4649" spans="1:6" x14ac:dyDescent="0.25">
      <c r="A4649" s="5">
        <v>3413890</v>
      </c>
      <c r="B4649" s="1">
        <v>2015</v>
      </c>
      <c r="C4649" s="1" t="s">
        <v>1387</v>
      </c>
      <c r="D4649" s="1" t="s">
        <v>88</v>
      </c>
      <c r="E4649" s="8">
        <v>428549</v>
      </c>
      <c r="F4649" s="5">
        <v>3413890</v>
      </c>
    </row>
    <row r="4650" spans="1:6" x14ac:dyDescent="0.25">
      <c r="A4650" s="5">
        <v>3413890</v>
      </c>
      <c r="B4650" s="1">
        <v>2016</v>
      </c>
      <c r="C4650" s="1" t="s">
        <v>1387</v>
      </c>
      <c r="D4650" s="1" t="s">
        <v>88</v>
      </c>
      <c r="E4650" s="8">
        <v>625846</v>
      </c>
      <c r="F4650" s="5">
        <v>3413890</v>
      </c>
    </row>
    <row r="4651" spans="1:6" x14ac:dyDescent="0.25">
      <c r="A4651" s="5">
        <v>3413890</v>
      </c>
      <c r="B4651" s="1">
        <v>2017</v>
      </c>
      <c r="C4651" s="1" t="s">
        <v>1387</v>
      </c>
      <c r="D4651" s="1" t="s">
        <v>88</v>
      </c>
      <c r="E4651" s="8">
        <v>840566</v>
      </c>
      <c r="F4651" s="5">
        <v>3413890</v>
      </c>
    </row>
    <row r="4652" spans="1:6" x14ac:dyDescent="0.25">
      <c r="A4652" s="5">
        <v>3413890</v>
      </c>
      <c r="B4652" s="1">
        <v>2018</v>
      </c>
      <c r="C4652" s="1" t="s">
        <v>1387</v>
      </c>
      <c r="D4652" s="1" t="s">
        <v>767</v>
      </c>
      <c r="E4652" s="8">
        <v>1155482</v>
      </c>
      <c r="F4652" s="5">
        <v>3413890</v>
      </c>
    </row>
    <row r="4653" spans="1:6" x14ac:dyDescent="0.25">
      <c r="A4653" s="5">
        <v>3413890</v>
      </c>
      <c r="B4653" s="1">
        <v>2019</v>
      </c>
      <c r="C4653" s="1" t="s">
        <v>1387</v>
      </c>
      <c r="D4653" s="1" t="s">
        <v>767</v>
      </c>
      <c r="E4653" s="8">
        <v>1545760</v>
      </c>
      <c r="F4653" s="5">
        <v>3413890</v>
      </c>
    </row>
    <row r="4654" spans="1:6" ht="20" x14ac:dyDescent="0.25">
      <c r="A4654" s="5">
        <v>3413890</v>
      </c>
      <c r="B4654" s="1">
        <v>2020</v>
      </c>
      <c r="C4654" s="1" t="s">
        <v>1387</v>
      </c>
      <c r="D4654" s="2" t="s">
        <v>767</v>
      </c>
      <c r="E4654" s="7">
        <v>1636138</v>
      </c>
      <c r="F4654" s="5">
        <v>3413890</v>
      </c>
    </row>
    <row r="4655" spans="1:6" ht="20" x14ac:dyDescent="0.25">
      <c r="A4655" s="5">
        <v>3413890</v>
      </c>
      <c r="B4655" s="1">
        <v>2021</v>
      </c>
      <c r="C4655" s="1" t="s">
        <v>1387</v>
      </c>
      <c r="D4655" s="3" t="s">
        <v>767</v>
      </c>
      <c r="E4655" s="7">
        <v>2285633</v>
      </c>
      <c r="F4655" s="5">
        <v>3413890</v>
      </c>
    </row>
    <row r="4656" spans="1:6" ht="20" x14ac:dyDescent="0.25">
      <c r="A4656" s="5">
        <v>3413890</v>
      </c>
      <c r="B4656" s="1">
        <v>2022</v>
      </c>
      <c r="C4656" s="1" t="s">
        <v>1387</v>
      </c>
      <c r="D4656" s="2" t="s">
        <v>767</v>
      </c>
      <c r="E4656" s="7">
        <v>3223614</v>
      </c>
      <c r="F4656" s="5">
        <v>3413890</v>
      </c>
    </row>
    <row r="4657" spans="1:6" ht="20" x14ac:dyDescent="0.25">
      <c r="A4657" s="5">
        <v>3413890</v>
      </c>
      <c r="B4657" s="1">
        <v>2023</v>
      </c>
      <c r="C4657" s="1" t="s">
        <v>1387</v>
      </c>
      <c r="D4657" s="2" t="s">
        <v>767</v>
      </c>
      <c r="E4657" s="7">
        <v>3276030</v>
      </c>
      <c r="F4657" s="5">
        <v>3413890</v>
      </c>
    </row>
    <row r="4658" spans="1:6" x14ac:dyDescent="0.25">
      <c r="A4658" s="5">
        <v>3413950</v>
      </c>
      <c r="B4658" s="1">
        <v>2015</v>
      </c>
      <c r="C4658" s="1" t="s">
        <v>1387</v>
      </c>
      <c r="D4658" s="1" t="s">
        <v>89</v>
      </c>
      <c r="E4658" s="8">
        <v>471975</v>
      </c>
      <c r="F4658" s="5">
        <v>3413950</v>
      </c>
    </row>
    <row r="4659" spans="1:6" x14ac:dyDescent="0.25">
      <c r="A4659" s="5">
        <v>3413950</v>
      </c>
      <c r="B4659" s="1">
        <v>2016</v>
      </c>
      <c r="C4659" s="1" t="s">
        <v>1387</v>
      </c>
      <c r="D4659" s="1" t="s">
        <v>89</v>
      </c>
      <c r="E4659" s="8">
        <v>722338</v>
      </c>
      <c r="F4659" s="5">
        <v>3413950</v>
      </c>
    </row>
    <row r="4660" spans="1:6" x14ac:dyDescent="0.25">
      <c r="A4660" s="5">
        <v>3413950</v>
      </c>
      <c r="B4660" s="1">
        <v>2017</v>
      </c>
      <c r="C4660" s="1" t="s">
        <v>1387</v>
      </c>
      <c r="D4660" s="1" t="s">
        <v>89</v>
      </c>
      <c r="E4660" s="8">
        <v>1027554</v>
      </c>
      <c r="F4660" s="5">
        <v>3413950</v>
      </c>
    </row>
    <row r="4661" spans="1:6" x14ac:dyDescent="0.25">
      <c r="A4661" s="5">
        <v>3413950</v>
      </c>
      <c r="B4661" s="1">
        <v>2018</v>
      </c>
      <c r="C4661" s="1" t="s">
        <v>1387</v>
      </c>
      <c r="D4661" s="1" t="s">
        <v>768</v>
      </c>
      <c r="E4661" s="8">
        <v>1379406</v>
      </c>
      <c r="F4661" s="5">
        <v>3413950</v>
      </c>
    </row>
    <row r="4662" spans="1:6" x14ac:dyDescent="0.25">
      <c r="A4662" s="5">
        <v>3413950</v>
      </c>
      <c r="B4662" s="1">
        <v>2019</v>
      </c>
      <c r="C4662" s="1" t="s">
        <v>1387</v>
      </c>
      <c r="D4662" s="1" t="s">
        <v>768</v>
      </c>
      <c r="E4662" s="8">
        <v>1889604</v>
      </c>
      <c r="F4662" s="5">
        <v>3413950</v>
      </c>
    </row>
    <row r="4663" spans="1:6" ht="20" x14ac:dyDescent="0.25">
      <c r="A4663" s="5">
        <v>3413950</v>
      </c>
      <c r="B4663" s="1">
        <v>2020</v>
      </c>
      <c r="C4663" s="1" t="s">
        <v>1387</v>
      </c>
      <c r="D4663" s="2" t="s">
        <v>768</v>
      </c>
      <c r="E4663" s="7">
        <v>2099735</v>
      </c>
      <c r="F4663" s="5">
        <v>3413950</v>
      </c>
    </row>
    <row r="4664" spans="1:6" ht="20" x14ac:dyDescent="0.25">
      <c r="A4664" s="5">
        <v>3413950</v>
      </c>
      <c r="B4664" s="1">
        <v>2021</v>
      </c>
      <c r="C4664" s="1" t="s">
        <v>1387</v>
      </c>
      <c r="D4664" s="3" t="s">
        <v>768</v>
      </c>
      <c r="E4664" s="7">
        <v>2733639</v>
      </c>
      <c r="F4664" s="5">
        <v>3413950</v>
      </c>
    </row>
    <row r="4665" spans="1:6" ht="20" x14ac:dyDescent="0.25">
      <c r="A4665" s="5">
        <v>3413950</v>
      </c>
      <c r="B4665" s="1">
        <v>2022</v>
      </c>
      <c r="C4665" s="1" t="s">
        <v>1387</v>
      </c>
      <c r="D4665" s="2" t="s">
        <v>768</v>
      </c>
      <c r="E4665" s="7">
        <v>3904066</v>
      </c>
      <c r="F4665" s="5">
        <v>3413950</v>
      </c>
    </row>
    <row r="4666" spans="1:6" ht="20" x14ac:dyDescent="0.25">
      <c r="A4666" s="5">
        <v>3413950</v>
      </c>
      <c r="B4666" s="1">
        <v>2023</v>
      </c>
      <c r="C4666" s="1" t="s">
        <v>1387</v>
      </c>
      <c r="D4666" s="2" t="s">
        <v>768</v>
      </c>
      <c r="E4666" s="7">
        <v>4001145</v>
      </c>
      <c r="F4666" s="5">
        <v>3413950</v>
      </c>
    </row>
    <row r="4667" spans="1:6" x14ac:dyDescent="0.25">
      <c r="A4667" s="5">
        <v>3413980</v>
      </c>
      <c r="B4667" s="1">
        <v>2015</v>
      </c>
      <c r="C4667" s="1" t="s">
        <v>1387</v>
      </c>
      <c r="D4667" s="1" t="s">
        <v>487</v>
      </c>
      <c r="E4667" s="8">
        <v>121560</v>
      </c>
      <c r="F4667" s="5">
        <v>3413980</v>
      </c>
    </row>
    <row r="4668" spans="1:6" x14ac:dyDescent="0.25">
      <c r="A4668" s="5">
        <v>3413980</v>
      </c>
      <c r="B4668" s="1">
        <v>2016</v>
      </c>
      <c r="C4668" s="1" t="s">
        <v>1387</v>
      </c>
      <c r="D4668" s="1" t="s">
        <v>487</v>
      </c>
      <c r="E4668" s="8">
        <v>152819</v>
      </c>
      <c r="F4668" s="5">
        <v>3413980</v>
      </c>
    </row>
    <row r="4669" spans="1:6" x14ac:dyDescent="0.25">
      <c r="A4669" s="5">
        <v>3413980</v>
      </c>
      <c r="B4669" s="1">
        <v>2017</v>
      </c>
      <c r="C4669" s="1" t="s">
        <v>1387</v>
      </c>
      <c r="D4669" s="1" t="s">
        <v>487</v>
      </c>
      <c r="E4669" s="8">
        <v>230911</v>
      </c>
      <c r="F4669" s="5">
        <v>3413980</v>
      </c>
    </row>
    <row r="4670" spans="1:6" x14ac:dyDescent="0.25">
      <c r="A4670" s="5">
        <v>3413980</v>
      </c>
      <c r="B4670" s="1">
        <v>2018</v>
      </c>
      <c r="C4670" s="1" t="s">
        <v>1387</v>
      </c>
      <c r="D4670" s="1" t="s">
        <v>1179</v>
      </c>
      <c r="E4670" s="8">
        <v>286766</v>
      </c>
      <c r="F4670" s="5">
        <v>3413980</v>
      </c>
    </row>
    <row r="4671" spans="1:6" x14ac:dyDescent="0.25">
      <c r="A4671" s="5">
        <v>3413980</v>
      </c>
      <c r="B4671" s="1">
        <v>2019</v>
      </c>
      <c r="C4671" s="1" t="s">
        <v>1387</v>
      </c>
      <c r="D4671" s="1" t="s">
        <v>1179</v>
      </c>
      <c r="E4671" s="8">
        <v>431425</v>
      </c>
      <c r="F4671" s="5">
        <v>3413980</v>
      </c>
    </row>
    <row r="4672" spans="1:6" ht="20" x14ac:dyDescent="0.25">
      <c r="A4672" s="5">
        <v>3413980</v>
      </c>
      <c r="B4672" s="1">
        <v>2020</v>
      </c>
      <c r="C4672" s="1" t="s">
        <v>1387</v>
      </c>
      <c r="D4672" s="2" t="s">
        <v>1179</v>
      </c>
      <c r="E4672" s="7">
        <v>490570</v>
      </c>
      <c r="F4672" s="5">
        <v>3413980</v>
      </c>
    </row>
    <row r="4673" spans="1:6" ht="20" x14ac:dyDescent="0.25">
      <c r="A4673" s="5">
        <v>3413980</v>
      </c>
      <c r="B4673" s="1">
        <v>2021</v>
      </c>
      <c r="C4673" s="1" t="s">
        <v>1387</v>
      </c>
      <c r="D4673" s="3" t="s">
        <v>1179</v>
      </c>
      <c r="E4673" s="7">
        <v>618055</v>
      </c>
      <c r="F4673" s="5">
        <v>3413980</v>
      </c>
    </row>
    <row r="4674" spans="1:6" ht="20" x14ac:dyDescent="0.25">
      <c r="A4674" s="5">
        <v>3413980</v>
      </c>
      <c r="B4674" s="1">
        <v>2022</v>
      </c>
      <c r="C4674" s="1" t="s">
        <v>1387</v>
      </c>
      <c r="D4674" s="2" t="s">
        <v>1179</v>
      </c>
      <c r="E4674" s="7">
        <v>876820</v>
      </c>
      <c r="F4674" s="5">
        <v>3413980</v>
      </c>
    </row>
    <row r="4675" spans="1:6" ht="20" x14ac:dyDescent="0.25">
      <c r="A4675" s="5">
        <v>3413980</v>
      </c>
      <c r="B4675" s="1">
        <v>2023</v>
      </c>
      <c r="C4675" s="1" t="s">
        <v>1387</v>
      </c>
      <c r="D4675" s="2" t="s">
        <v>1179</v>
      </c>
      <c r="E4675" s="7">
        <v>945821</v>
      </c>
      <c r="F4675" s="5">
        <v>3413980</v>
      </c>
    </row>
    <row r="4676" spans="1:6" x14ac:dyDescent="0.25">
      <c r="A4676" s="5">
        <v>3414010</v>
      </c>
      <c r="B4676" s="1">
        <v>2015</v>
      </c>
      <c r="C4676" s="1" t="s">
        <v>1387</v>
      </c>
      <c r="D4676" s="1" t="s">
        <v>139</v>
      </c>
      <c r="E4676" s="8">
        <v>515036</v>
      </c>
      <c r="F4676" s="5">
        <v>3414010</v>
      </c>
    </row>
    <row r="4677" spans="1:6" x14ac:dyDescent="0.25">
      <c r="A4677" s="5">
        <v>3414010</v>
      </c>
      <c r="B4677" s="1">
        <v>2016</v>
      </c>
      <c r="C4677" s="1" t="s">
        <v>1387</v>
      </c>
      <c r="D4677" s="1" t="s">
        <v>139</v>
      </c>
      <c r="E4677" s="8">
        <v>763609</v>
      </c>
      <c r="F4677" s="5">
        <v>3414010</v>
      </c>
    </row>
    <row r="4678" spans="1:6" x14ac:dyDescent="0.25">
      <c r="A4678" s="5">
        <v>3414010</v>
      </c>
      <c r="B4678" s="1">
        <v>2017</v>
      </c>
      <c r="C4678" s="1" t="s">
        <v>1387</v>
      </c>
      <c r="D4678" s="1" t="s">
        <v>139</v>
      </c>
      <c r="E4678" s="8">
        <v>1068649</v>
      </c>
      <c r="F4678" s="5">
        <v>3414010</v>
      </c>
    </row>
    <row r="4679" spans="1:6" x14ac:dyDescent="0.25">
      <c r="A4679" s="5">
        <v>3414010</v>
      </c>
      <c r="B4679" s="1">
        <v>2018</v>
      </c>
      <c r="C4679" s="1" t="s">
        <v>1387</v>
      </c>
      <c r="D4679" s="1" t="s">
        <v>820</v>
      </c>
      <c r="E4679" s="8">
        <v>1425705</v>
      </c>
      <c r="F4679" s="5">
        <v>3414010</v>
      </c>
    </row>
    <row r="4680" spans="1:6" x14ac:dyDescent="0.25">
      <c r="A4680" s="5">
        <v>3414010</v>
      </c>
      <c r="B4680" s="1">
        <v>2019</v>
      </c>
      <c r="C4680" s="1" t="s">
        <v>1387</v>
      </c>
      <c r="D4680" s="1" t="s">
        <v>820</v>
      </c>
      <c r="E4680" s="8">
        <v>1906139</v>
      </c>
      <c r="F4680" s="5">
        <v>3414010</v>
      </c>
    </row>
    <row r="4681" spans="1:6" ht="20" x14ac:dyDescent="0.25">
      <c r="A4681" s="5">
        <v>3414010</v>
      </c>
      <c r="B4681" s="1">
        <v>2020</v>
      </c>
      <c r="C4681" s="1" t="s">
        <v>1387</v>
      </c>
      <c r="D4681" s="2" t="s">
        <v>820</v>
      </c>
      <c r="E4681" s="7">
        <v>2189193</v>
      </c>
      <c r="F4681" s="5">
        <v>3414010</v>
      </c>
    </row>
    <row r="4682" spans="1:6" ht="20" x14ac:dyDescent="0.25">
      <c r="A4682" s="5">
        <v>3414010</v>
      </c>
      <c r="B4682" s="1">
        <v>2021</v>
      </c>
      <c r="C4682" s="1" t="s">
        <v>1387</v>
      </c>
      <c r="D4682" s="3" t="s">
        <v>820</v>
      </c>
      <c r="E4682" s="7">
        <v>2884124</v>
      </c>
      <c r="F4682" s="5">
        <v>3414010</v>
      </c>
    </row>
    <row r="4683" spans="1:6" ht="20" x14ac:dyDescent="0.25">
      <c r="A4683" s="5">
        <v>3414010</v>
      </c>
      <c r="B4683" s="1">
        <v>2022</v>
      </c>
      <c r="C4683" s="1" t="s">
        <v>1387</v>
      </c>
      <c r="D4683" s="2" t="s">
        <v>820</v>
      </c>
      <c r="E4683" s="7">
        <v>4167471</v>
      </c>
      <c r="F4683" s="5">
        <v>3414010</v>
      </c>
    </row>
    <row r="4684" spans="1:6" ht="20" x14ac:dyDescent="0.25">
      <c r="A4684" s="5">
        <v>3414010</v>
      </c>
      <c r="B4684" s="1">
        <v>2023</v>
      </c>
      <c r="C4684" s="1" t="s">
        <v>1387</v>
      </c>
      <c r="D4684" s="2" t="s">
        <v>820</v>
      </c>
      <c r="E4684" s="7">
        <v>4184887</v>
      </c>
      <c r="F4684" s="5">
        <v>3414010</v>
      </c>
    </row>
    <row r="4685" spans="1:6" x14ac:dyDescent="0.25">
      <c r="A4685" s="5">
        <v>3414040</v>
      </c>
      <c r="B4685" s="1">
        <v>2015</v>
      </c>
      <c r="C4685" s="1" t="s">
        <v>1387</v>
      </c>
      <c r="D4685" s="1" t="s">
        <v>140</v>
      </c>
      <c r="E4685" s="8">
        <v>100302</v>
      </c>
      <c r="F4685" s="5">
        <v>3414040</v>
      </c>
    </row>
    <row r="4686" spans="1:6" x14ac:dyDescent="0.25">
      <c r="A4686" s="5">
        <v>3414040</v>
      </c>
      <c r="B4686" s="1">
        <v>2016</v>
      </c>
      <c r="C4686" s="1" t="s">
        <v>1387</v>
      </c>
      <c r="D4686" s="1" t="s">
        <v>140</v>
      </c>
      <c r="E4686" s="8">
        <v>153771</v>
      </c>
      <c r="F4686" s="5">
        <v>3414040</v>
      </c>
    </row>
    <row r="4687" spans="1:6" x14ac:dyDescent="0.25">
      <c r="A4687" s="5">
        <v>3414040</v>
      </c>
      <c r="B4687" s="1">
        <v>2017</v>
      </c>
      <c r="C4687" s="1" t="s">
        <v>1387</v>
      </c>
      <c r="D4687" s="1" t="s">
        <v>140</v>
      </c>
      <c r="E4687" s="8">
        <v>230212</v>
      </c>
      <c r="F4687" s="5">
        <v>3414040</v>
      </c>
    </row>
    <row r="4688" spans="1:6" x14ac:dyDescent="0.25">
      <c r="A4688" s="5">
        <v>3414040</v>
      </c>
      <c r="B4688" s="1">
        <v>2018</v>
      </c>
      <c r="C4688" s="1" t="s">
        <v>1387</v>
      </c>
      <c r="D4688" s="1" t="s">
        <v>821</v>
      </c>
      <c r="E4688" s="8">
        <v>326257</v>
      </c>
      <c r="F4688" s="5">
        <v>3414040</v>
      </c>
    </row>
    <row r="4689" spans="1:6" x14ac:dyDescent="0.25">
      <c r="A4689" s="5">
        <v>3414040</v>
      </c>
      <c r="B4689" s="1">
        <v>2019</v>
      </c>
      <c r="C4689" s="1" t="s">
        <v>1387</v>
      </c>
      <c r="D4689" s="1" t="s">
        <v>821</v>
      </c>
      <c r="E4689" s="8">
        <v>415623</v>
      </c>
      <c r="F4689" s="5">
        <v>3414040</v>
      </c>
    </row>
    <row r="4690" spans="1:6" ht="20" x14ac:dyDescent="0.25">
      <c r="A4690" s="5">
        <v>3414040</v>
      </c>
      <c r="B4690" s="1">
        <v>2020</v>
      </c>
      <c r="C4690" s="1" t="s">
        <v>1387</v>
      </c>
      <c r="D4690" s="2" t="s">
        <v>821</v>
      </c>
      <c r="E4690" s="7">
        <v>440990</v>
      </c>
      <c r="F4690" s="5">
        <v>3414040</v>
      </c>
    </row>
    <row r="4691" spans="1:6" ht="20" x14ac:dyDescent="0.25">
      <c r="A4691" s="5">
        <v>3414040</v>
      </c>
      <c r="B4691" s="1">
        <v>2021</v>
      </c>
      <c r="C4691" s="1" t="s">
        <v>1387</v>
      </c>
      <c r="D4691" s="3" t="s">
        <v>821</v>
      </c>
      <c r="E4691" s="7">
        <v>583361</v>
      </c>
      <c r="F4691" s="5">
        <v>3414040</v>
      </c>
    </row>
    <row r="4692" spans="1:6" ht="20" x14ac:dyDescent="0.25">
      <c r="A4692" s="5">
        <v>3414040</v>
      </c>
      <c r="B4692" s="1">
        <v>2022</v>
      </c>
      <c r="C4692" s="1" t="s">
        <v>1387</v>
      </c>
      <c r="D4692" s="2" t="s">
        <v>821</v>
      </c>
      <c r="E4692" s="7">
        <v>868376</v>
      </c>
      <c r="F4692" s="5">
        <v>3414040</v>
      </c>
    </row>
    <row r="4693" spans="1:6" ht="20" x14ac:dyDescent="0.25">
      <c r="A4693" s="5">
        <v>3414040</v>
      </c>
      <c r="B4693" s="1">
        <v>2023</v>
      </c>
      <c r="C4693" s="1" t="s">
        <v>1387</v>
      </c>
      <c r="D4693" s="2" t="s">
        <v>821</v>
      </c>
      <c r="E4693" s="7">
        <v>898815</v>
      </c>
      <c r="F4693" s="5">
        <v>3414040</v>
      </c>
    </row>
    <row r="4694" spans="1:6" x14ac:dyDescent="0.25">
      <c r="A4694" s="5">
        <v>3414070</v>
      </c>
      <c r="B4694" s="1">
        <v>2015</v>
      </c>
      <c r="C4694" s="1" t="s">
        <v>1387</v>
      </c>
      <c r="D4694" s="1" t="s">
        <v>90</v>
      </c>
      <c r="E4694" s="8">
        <v>183502</v>
      </c>
      <c r="F4694" s="5">
        <v>3414070</v>
      </c>
    </row>
    <row r="4695" spans="1:6" x14ac:dyDescent="0.25">
      <c r="A4695" s="5">
        <v>3414070</v>
      </c>
      <c r="B4695" s="1">
        <v>2016</v>
      </c>
      <c r="C4695" s="1" t="s">
        <v>1387</v>
      </c>
      <c r="D4695" s="1" t="s">
        <v>90</v>
      </c>
      <c r="E4695" s="8">
        <v>289930</v>
      </c>
      <c r="F4695" s="5">
        <v>3414070</v>
      </c>
    </row>
    <row r="4696" spans="1:6" x14ac:dyDescent="0.25">
      <c r="A4696" s="5">
        <v>3414070</v>
      </c>
      <c r="B4696" s="1">
        <v>2017</v>
      </c>
      <c r="C4696" s="1" t="s">
        <v>1387</v>
      </c>
      <c r="D4696" s="1" t="s">
        <v>90</v>
      </c>
      <c r="E4696" s="8">
        <v>437425</v>
      </c>
      <c r="F4696" s="5">
        <v>3414070</v>
      </c>
    </row>
    <row r="4697" spans="1:6" x14ac:dyDescent="0.25">
      <c r="A4697" s="5">
        <v>3414070</v>
      </c>
      <c r="B4697" s="1">
        <v>2018</v>
      </c>
      <c r="C4697" s="1" t="s">
        <v>1387</v>
      </c>
      <c r="D4697" s="1" t="s">
        <v>769</v>
      </c>
      <c r="E4697" s="8">
        <v>566040</v>
      </c>
      <c r="F4697" s="5">
        <v>3414070</v>
      </c>
    </row>
    <row r="4698" spans="1:6" x14ac:dyDescent="0.25">
      <c r="A4698" s="5">
        <v>3414070</v>
      </c>
      <c r="B4698" s="1">
        <v>2019</v>
      </c>
      <c r="C4698" s="1" t="s">
        <v>1387</v>
      </c>
      <c r="D4698" s="1" t="s">
        <v>769</v>
      </c>
      <c r="E4698" s="8">
        <v>780836</v>
      </c>
      <c r="F4698" s="5">
        <v>3414070</v>
      </c>
    </row>
    <row r="4699" spans="1:6" ht="20" x14ac:dyDescent="0.25">
      <c r="A4699" s="5">
        <v>3414070</v>
      </c>
      <c r="B4699" s="1">
        <v>2020</v>
      </c>
      <c r="C4699" s="1" t="s">
        <v>1387</v>
      </c>
      <c r="D4699" s="2" t="s">
        <v>769</v>
      </c>
      <c r="E4699" s="7">
        <v>881938</v>
      </c>
      <c r="F4699" s="5">
        <v>3414070</v>
      </c>
    </row>
    <row r="4700" spans="1:6" ht="20" x14ac:dyDescent="0.25">
      <c r="A4700" s="5">
        <v>3414070</v>
      </c>
      <c r="B4700" s="1">
        <v>2021</v>
      </c>
      <c r="C4700" s="1" t="s">
        <v>1387</v>
      </c>
      <c r="D4700" s="3" t="s">
        <v>769</v>
      </c>
      <c r="E4700" s="7">
        <v>1161488</v>
      </c>
      <c r="F4700" s="5">
        <v>3414070</v>
      </c>
    </row>
    <row r="4701" spans="1:6" ht="20" x14ac:dyDescent="0.25">
      <c r="A4701" s="5">
        <v>3414070</v>
      </c>
      <c r="B4701" s="1">
        <v>2022</v>
      </c>
      <c r="C4701" s="1" t="s">
        <v>1387</v>
      </c>
      <c r="D4701" s="2" t="s">
        <v>769</v>
      </c>
      <c r="E4701" s="7">
        <v>1698847</v>
      </c>
      <c r="F4701" s="5">
        <v>3414070</v>
      </c>
    </row>
    <row r="4702" spans="1:6" ht="20" x14ac:dyDescent="0.25">
      <c r="A4702" s="5">
        <v>3414070</v>
      </c>
      <c r="B4702" s="1">
        <v>2023</v>
      </c>
      <c r="C4702" s="1" t="s">
        <v>1387</v>
      </c>
      <c r="D4702" s="2" t="s">
        <v>769</v>
      </c>
      <c r="E4702" s="7">
        <v>1732490</v>
      </c>
      <c r="F4702" s="5">
        <v>3414070</v>
      </c>
    </row>
    <row r="4703" spans="1:6" x14ac:dyDescent="0.25">
      <c r="A4703" s="5">
        <v>3414100</v>
      </c>
      <c r="B4703" s="1">
        <v>2015</v>
      </c>
      <c r="C4703" s="1" t="s">
        <v>1387</v>
      </c>
      <c r="D4703" s="1" t="s">
        <v>488</v>
      </c>
      <c r="E4703" s="8">
        <v>167757</v>
      </c>
      <c r="F4703" s="5">
        <v>3414100</v>
      </c>
    </row>
    <row r="4704" spans="1:6" x14ac:dyDescent="0.25">
      <c r="A4704" s="5">
        <v>3414100</v>
      </c>
      <c r="B4704" s="1">
        <v>2016</v>
      </c>
      <c r="C4704" s="1" t="s">
        <v>1387</v>
      </c>
      <c r="D4704" s="1" t="s">
        <v>488</v>
      </c>
      <c r="E4704" s="8">
        <v>218272</v>
      </c>
      <c r="F4704" s="5">
        <v>3414100</v>
      </c>
    </row>
    <row r="4705" spans="1:6" x14ac:dyDescent="0.25">
      <c r="A4705" s="5">
        <v>3414100</v>
      </c>
      <c r="B4705" s="1">
        <v>2017</v>
      </c>
      <c r="C4705" s="1" t="s">
        <v>1387</v>
      </c>
      <c r="D4705" s="1" t="s">
        <v>488</v>
      </c>
      <c r="E4705" s="8">
        <v>340395</v>
      </c>
      <c r="F4705" s="5">
        <v>3414100</v>
      </c>
    </row>
    <row r="4706" spans="1:6" x14ac:dyDescent="0.25">
      <c r="A4706" s="5">
        <v>3414100</v>
      </c>
      <c r="B4706" s="1">
        <v>2018</v>
      </c>
      <c r="C4706" s="1" t="s">
        <v>1387</v>
      </c>
      <c r="D4706" s="1" t="s">
        <v>1180</v>
      </c>
      <c r="E4706" s="8">
        <v>477858</v>
      </c>
      <c r="F4706" s="5">
        <v>3414100</v>
      </c>
    </row>
    <row r="4707" spans="1:6" x14ac:dyDescent="0.25">
      <c r="A4707" s="5">
        <v>3414100</v>
      </c>
      <c r="B4707" s="1">
        <v>2019</v>
      </c>
      <c r="C4707" s="1" t="s">
        <v>1387</v>
      </c>
      <c r="D4707" s="1" t="s">
        <v>1180</v>
      </c>
      <c r="E4707" s="8">
        <v>656050</v>
      </c>
      <c r="F4707" s="5">
        <v>3414100</v>
      </c>
    </row>
    <row r="4708" spans="1:6" ht="20" x14ac:dyDescent="0.25">
      <c r="A4708" s="5">
        <v>3414100</v>
      </c>
      <c r="B4708" s="1">
        <v>2020</v>
      </c>
      <c r="C4708" s="1" t="s">
        <v>1387</v>
      </c>
      <c r="D4708" s="2" t="s">
        <v>1180</v>
      </c>
      <c r="E4708" s="7">
        <v>745590</v>
      </c>
      <c r="F4708" s="5">
        <v>3414100</v>
      </c>
    </row>
    <row r="4709" spans="1:6" ht="20" x14ac:dyDescent="0.25">
      <c r="A4709" s="5">
        <v>3414100</v>
      </c>
      <c r="B4709" s="1">
        <v>2021</v>
      </c>
      <c r="C4709" s="1" t="s">
        <v>1387</v>
      </c>
      <c r="D4709" s="3" t="s">
        <v>1180</v>
      </c>
      <c r="E4709" s="7">
        <v>1089202</v>
      </c>
      <c r="F4709" s="5">
        <v>3414100</v>
      </c>
    </row>
    <row r="4710" spans="1:6" ht="20" x14ac:dyDescent="0.25">
      <c r="A4710" s="5">
        <v>3414100</v>
      </c>
      <c r="B4710" s="1">
        <v>2022</v>
      </c>
      <c r="C4710" s="1" t="s">
        <v>1387</v>
      </c>
      <c r="D4710" s="2" t="s">
        <v>1180</v>
      </c>
      <c r="E4710" s="7">
        <v>1585267</v>
      </c>
      <c r="F4710" s="5">
        <v>3414100</v>
      </c>
    </row>
    <row r="4711" spans="1:6" ht="20" x14ac:dyDescent="0.25">
      <c r="A4711" s="5">
        <v>3414100</v>
      </c>
      <c r="B4711" s="1">
        <v>2023</v>
      </c>
      <c r="C4711" s="1" t="s">
        <v>1387</v>
      </c>
      <c r="D4711" s="2" t="s">
        <v>1180</v>
      </c>
      <c r="E4711" s="7">
        <v>1607233</v>
      </c>
      <c r="F4711" s="5">
        <v>3414100</v>
      </c>
    </row>
    <row r="4712" spans="1:6" x14ac:dyDescent="0.25">
      <c r="A4712" s="5">
        <v>3414130</v>
      </c>
      <c r="B4712" s="1">
        <v>2015</v>
      </c>
      <c r="C4712" s="1" t="s">
        <v>1387</v>
      </c>
      <c r="D4712" s="1" t="s">
        <v>489</v>
      </c>
      <c r="E4712" s="8">
        <v>1024644</v>
      </c>
      <c r="F4712" s="5">
        <v>3414130</v>
      </c>
    </row>
    <row r="4713" spans="1:6" x14ac:dyDescent="0.25">
      <c r="A4713" s="5">
        <v>3414130</v>
      </c>
      <c r="B4713" s="1">
        <v>2016</v>
      </c>
      <c r="C4713" s="1" t="s">
        <v>1387</v>
      </c>
      <c r="D4713" s="1" t="s">
        <v>489</v>
      </c>
      <c r="E4713" s="8">
        <v>1506837</v>
      </c>
      <c r="F4713" s="5">
        <v>3414130</v>
      </c>
    </row>
    <row r="4714" spans="1:6" x14ac:dyDescent="0.25">
      <c r="A4714" s="5">
        <v>3414130</v>
      </c>
      <c r="B4714" s="1">
        <v>2017</v>
      </c>
      <c r="C4714" s="1" t="s">
        <v>1387</v>
      </c>
      <c r="D4714" s="1" t="s">
        <v>489</v>
      </c>
      <c r="E4714" s="8">
        <v>2156692</v>
      </c>
      <c r="F4714" s="5">
        <v>3414130</v>
      </c>
    </row>
    <row r="4715" spans="1:6" x14ac:dyDescent="0.25">
      <c r="A4715" s="5">
        <v>3414130</v>
      </c>
      <c r="B4715" s="1">
        <v>2018</v>
      </c>
      <c r="C4715" s="1" t="s">
        <v>1387</v>
      </c>
      <c r="D4715" s="1" t="s">
        <v>1181</v>
      </c>
      <c r="E4715" s="8">
        <v>2958815</v>
      </c>
      <c r="F4715" s="5">
        <v>3414130</v>
      </c>
    </row>
    <row r="4716" spans="1:6" x14ac:dyDescent="0.25">
      <c r="A4716" s="5">
        <v>3414130</v>
      </c>
      <c r="B4716" s="1">
        <v>2019</v>
      </c>
      <c r="C4716" s="1" t="s">
        <v>1387</v>
      </c>
      <c r="D4716" s="1" t="s">
        <v>1181</v>
      </c>
      <c r="E4716" s="8">
        <v>3920879</v>
      </c>
      <c r="F4716" s="5">
        <v>3414130</v>
      </c>
    </row>
    <row r="4717" spans="1:6" ht="20" x14ac:dyDescent="0.25">
      <c r="A4717" s="5">
        <v>3414130</v>
      </c>
      <c r="B4717" s="1">
        <v>2020</v>
      </c>
      <c r="C4717" s="1" t="s">
        <v>1387</v>
      </c>
      <c r="D4717" s="2" t="s">
        <v>1181</v>
      </c>
      <c r="E4717" s="7">
        <v>4341329</v>
      </c>
      <c r="F4717" s="5">
        <v>3414130</v>
      </c>
    </row>
    <row r="4718" spans="1:6" ht="20" x14ac:dyDescent="0.25">
      <c r="A4718" s="5">
        <v>3414130</v>
      </c>
      <c r="B4718" s="1">
        <v>2021</v>
      </c>
      <c r="C4718" s="1" t="s">
        <v>1387</v>
      </c>
      <c r="D4718" s="3" t="s">
        <v>1181</v>
      </c>
      <c r="E4718" s="7">
        <v>5545396</v>
      </c>
      <c r="F4718" s="5">
        <v>3414130</v>
      </c>
    </row>
    <row r="4719" spans="1:6" ht="20" x14ac:dyDescent="0.25">
      <c r="A4719" s="5">
        <v>3414130</v>
      </c>
      <c r="B4719" s="1">
        <v>2022</v>
      </c>
      <c r="C4719" s="1" t="s">
        <v>1387</v>
      </c>
      <c r="D4719" s="2" t="s">
        <v>1181</v>
      </c>
      <c r="E4719" s="7">
        <v>8070148</v>
      </c>
      <c r="F4719" s="5">
        <v>3414130</v>
      </c>
    </row>
    <row r="4720" spans="1:6" ht="20" x14ac:dyDescent="0.25">
      <c r="A4720" s="5">
        <v>3414130</v>
      </c>
      <c r="B4720" s="1">
        <v>2023</v>
      </c>
      <c r="C4720" s="1" t="s">
        <v>1387</v>
      </c>
      <c r="D4720" s="2" t="s">
        <v>1181</v>
      </c>
      <c r="E4720" s="7">
        <v>8159627</v>
      </c>
      <c r="F4720" s="5">
        <v>3414130</v>
      </c>
    </row>
    <row r="4721" spans="1:6" x14ac:dyDescent="0.25">
      <c r="A4721" s="5">
        <v>3414160</v>
      </c>
      <c r="B4721" s="1">
        <v>2015</v>
      </c>
      <c r="C4721" s="1" t="s">
        <v>1387</v>
      </c>
      <c r="D4721" s="1" t="s">
        <v>91</v>
      </c>
      <c r="E4721" s="8">
        <v>961</v>
      </c>
      <c r="F4721" s="5">
        <v>3414160</v>
      </c>
    </row>
    <row r="4722" spans="1:6" x14ac:dyDescent="0.25">
      <c r="A4722" s="5">
        <v>3414160</v>
      </c>
      <c r="B4722" s="1">
        <v>2016</v>
      </c>
      <c r="C4722" s="1" t="s">
        <v>1387</v>
      </c>
      <c r="D4722" s="1" t="s">
        <v>91</v>
      </c>
      <c r="E4722" s="8">
        <v>1438</v>
      </c>
      <c r="F4722" s="5">
        <v>3414160</v>
      </c>
    </row>
    <row r="4723" spans="1:6" x14ac:dyDescent="0.25">
      <c r="A4723" s="5">
        <v>3414160</v>
      </c>
      <c r="B4723" s="1">
        <v>2017</v>
      </c>
      <c r="C4723" s="1" t="s">
        <v>1387</v>
      </c>
      <c r="D4723" s="1" t="s">
        <v>91</v>
      </c>
      <c r="E4723" s="8">
        <v>2038</v>
      </c>
      <c r="F4723" s="5">
        <v>3414160</v>
      </c>
    </row>
    <row r="4724" spans="1:6" x14ac:dyDescent="0.25">
      <c r="A4724" s="5">
        <v>3414160</v>
      </c>
      <c r="B4724" s="1">
        <v>2018</v>
      </c>
      <c r="C4724" s="1" t="s">
        <v>1387</v>
      </c>
      <c r="D4724" s="1" t="s">
        <v>770</v>
      </c>
      <c r="E4724" s="8">
        <v>2764</v>
      </c>
      <c r="F4724" s="5">
        <v>3414160</v>
      </c>
    </row>
    <row r="4725" spans="1:6" x14ac:dyDescent="0.25">
      <c r="A4725" s="5">
        <v>3414160</v>
      </c>
      <c r="B4725" s="1">
        <v>2019</v>
      </c>
      <c r="C4725" s="1" t="s">
        <v>1387</v>
      </c>
      <c r="D4725" s="1" t="s">
        <v>770</v>
      </c>
      <c r="E4725" s="8">
        <v>3716</v>
      </c>
      <c r="F4725" s="5">
        <v>3414160</v>
      </c>
    </row>
    <row r="4726" spans="1:6" ht="20" x14ac:dyDescent="0.25">
      <c r="A4726" s="5">
        <v>3414160</v>
      </c>
      <c r="B4726" s="1">
        <v>2020</v>
      </c>
      <c r="C4726" s="1" t="s">
        <v>1387</v>
      </c>
      <c r="D4726" s="2" t="s">
        <v>770</v>
      </c>
      <c r="E4726" s="7">
        <v>4241</v>
      </c>
      <c r="F4726" s="5">
        <v>3414160</v>
      </c>
    </row>
    <row r="4727" spans="1:6" ht="20" x14ac:dyDescent="0.25">
      <c r="A4727" s="5">
        <v>3414160</v>
      </c>
      <c r="B4727" s="1">
        <v>2021</v>
      </c>
      <c r="C4727" s="1" t="s">
        <v>1387</v>
      </c>
      <c r="D4727" s="3" t="s">
        <v>770</v>
      </c>
      <c r="E4727" s="7">
        <v>5527</v>
      </c>
      <c r="F4727" s="5">
        <v>3414160</v>
      </c>
    </row>
    <row r="4728" spans="1:6" ht="20" x14ac:dyDescent="0.25">
      <c r="A4728" s="5">
        <v>3414160</v>
      </c>
      <c r="B4728" s="1">
        <v>2022</v>
      </c>
      <c r="C4728" s="1" t="s">
        <v>1387</v>
      </c>
      <c r="D4728" s="2" t="s">
        <v>770</v>
      </c>
      <c r="E4728" s="7">
        <v>7942</v>
      </c>
      <c r="F4728" s="5">
        <v>3414160</v>
      </c>
    </row>
    <row r="4729" spans="1:6" ht="20" x14ac:dyDescent="0.25">
      <c r="A4729" s="5">
        <v>3414160</v>
      </c>
      <c r="B4729" s="1">
        <v>2023</v>
      </c>
      <c r="C4729" s="1" t="s">
        <v>1387</v>
      </c>
      <c r="D4729" s="2" t="s">
        <v>770</v>
      </c>
      <c r="E4729" s="7">
        <v>8022</v>
      </c>
      <c r="F4729" s="5">
        <v>3414160</v>
      </c>
    </row>
    <row r="4730" spans="1:6" x14ac:dyDescent="0.25">
      <c r="A4730" s="5">
        <v>3414220</v>
      </c>
      <c r="B4730" s="1">
        <v>2015</v>
      </c>
      <c r="C4730" s="1" t="s">
        <v>1387</v>
      </c>
      <c r="D4730" s="1" t="s">
        <v>441</v>
      </c>
      <c r="E4730" s="8">
        <v>33102</v>
      </c>
      <c r="F4730" s="5">
        <v>3414220</v>
      </c>
    </row>
    <row r="4731" spans="1:6" x14ac:dyDescent="0.25">
      <c r="A4731" s="5">
        <v>3414220</v>
      </c>
      <c r="B4731" s="1">
        <v>2016</v>
      </c>
      <c r="C4731" s="1" t="s">
        <v>1387</v>
      </c>
      <c r="D4731" s="1" t="s">
        <v>441</v>
      </c>
      <c r="E4731" s="8">
        <v>49491</v>
      </c>
      <c r="F4731" s="5">
        <v>3414220</v>
      </c>
    </row>
    <row r="4732" spans="1:6" x14ac:dyDescent="0.25">
      <c r="A4732" s="5">
        <v>3414220</v>
      </c>
      <c r="B4732" s="1">
        <v>2017</v>
      </c>
      <c r="C4732" s="1" t="s">
        <v>1387</v>
      </c>
      <c r="D4732" s="1" t="s">
        <v>441</v>
      </c>
      <c r="E4732" s="8">
        <v>81984</v>
      </c>
      <c r="F4732" s="5">
        <v>3414220</v>
      </c>
    </row>
    <row r="4733" spans="1:6" x14ac:dyDescent="0.25">
      <c r="A4733" s="5">
        <v>3414220</v>
      </c>
      <c r="B4733" s="1">
        <v>2018</v>
      </c>
      <c r="C4733" s="1" t="s">
        <v>1387</v>
      </c>
      <c r="D4733" s="1" t="s">
        <v>1133</v>
      </c>
      <c r="E4733" s="8">
        <v>125787</v>
      </c>
      <c r="F4733" s="5">
        <v>3414220</v>
      </c>
    </row>
    <row r="4734" spans="1:6" x14ac:dyDescent="0.25">
      <c r="A4734" s="5">
        <v>3414220</v>
      </c>
      <c r="B4734" s="1">
        <v>2019</v>
      </c>
      <c r="C4734" s="1" t="s">
        <v>1387</v>
      </c>
      <c r="D4734" s="1" t="s">
        <v>1133</v>
      </c>
      <c r="E4734" s="8">
        <v>165842</v>
      </c>
      <c r="F4734" s="5">
        <v>3414220</v>
      </c>
    </row>
    <row r="4735" spans="1:6" ht="20" x14ac:dyDescent="0.25">
      <c r="A4735" s="5">
        <v>3414220</v>
      </c>
      <c r="B4735" s="1">
        <v>2020</v>
      </c>
      <c r="C4735" s="1" t="s">
        <v>1387</v>
      </c>
      <c r="D4735" s="2" t="s">
        <v>1133</v>
      </c>
      <c r="E4735" s="7">
        <v>184047</v>
      </c>
      <c r="F4735" s="5">
        <v>3414220</v>
      </c>
    </row>
    <row r="4736" spans="1:6" ht="20" x14ac:dyDescent="0.25">
      <c r="A4736" s="5">
        <v>3414220</v>
      </c>
      <c r="B4736" s="1">
        <v>2021</v>
      </c>
      <c r="C4736" s="1" t="s">
        <v>1387</v>
      </c>
      <c r="D4736" s="3" t="s">
        <v>1133</v>
      </c>
      <c r="E4736" s="7">
        <v>253698</v>
      </c>
      <c r="F4736" s="5">
        <v>3414220</v>
      </c>
    </row>
    <row r="4737" spans="1:6" ht="20" x14ac:dyDescent="0.25">
      <c r="A4737" s="5">
        <v>3414220</v>
      </c>
      <c r="B4737" s="1">
        <v>2022</v>
      </c>
      <c r="C4737" s="1" t="s">
        <v>1387</v>
      </c>
      <c r="D4737" s="2" t="s">
        <v>1133</v>
      </c>
      <c r="E4737" s="7">
        <v>289173</v>
      </c>
      <c r="F4737" s="5">
        <v>3414220</v>
      </c>
    </row>
    <row r="4738" spans="1:6" ht="20" x14ac:dyDescent="0.25">
      <c r="A4738" s="5">
        <v>3414220</v>
      </c>
      <c r="B4738" s="1">
        <v>2023</v>
      </c>
      <c r="C4738" s="1" t="s">
        <v>1387</v>
      </c>
      <c r="D4738" s="2" t="s">
        <v>1133</v>
      </c>
      <c r="E4738" s="7">
        <v>276451</v>
      </c>
      <c r="F4738" s="5">
        <v>3414220</v>
      </c>
    </row>
    <row r="4739" spans="1:6" x14ac:dyDescent="0.25">
      <c r="A4739" s="5">
        <v>3414250</v>
      </c>
      <c r="B4739" s="1">
        <v>2015</v>
      </c>
      <c r="C4739" s="1" t="s">
        <v>1387</v>
      </c>
      <c r="D4739" s="1" t="s">
        <v>263</v>
      </c>
      <c r="E4739" s="8">
        <v>200714</v>
      </c>
      <c r="F4739" s="5">
        <v>3414250</v>
      </c>
    </row>
    <row r="4740" spans="1:6" x14ac:dyDescent="0.25">
      <c r="A4740" s="5">
        <v>3414250</v>
      </c>
      <c r="B4740" s="1">
        <v>2016</v>
      </c>
      <c r="C4740" s="1" t="s">
        <v>1387</v>
      </c>
      <c r="D4740" s="1" t="s">
        <v>263</v>
      </c>
      <c r="E4740" s="8">
        <v>277803</v>
      </c>
      <c r="F4740" s="5">
        <v>3414250</v>
      </c>
    </row>
    <row r="4741" spans="1:6" x14ac:dyDescent="0.25">
      <c r="A4741" s="5">
        <v>3414250</v>
      </c>
      <c r="B4741" s="1">
        <v>2017</v>
      </c>
      <c r="C4741" s="1" t="s">
        <v>1387</v>
      </c>
      <c r="D4741" s="1" t="s">
        <v>263</v>
      </c>
      <c r="E4741" s="8">
        <v>401121</v>
      </c>
      <c r="F4741" s="5">
        <v>3414250</v>
      </c>
    </row>
    <row r="4742" spans="1:6" x14ac:dyDescent="0.25">
      <c r="A4742" s="5">
        <v>3414250</v>
      </c>
      <c r="B4742" s="1">
        <v>2018</v>
      </c>
      <c r="C4742" s="1" t="s">
        <v>1387</v>
      </c>
      <c r="D4742" s="1" t="s">
        <v>953</v>
      </c>
      <c r="E4742" s="8">
        <v>498580</v>
      </c>
      <c r="F4742" s="5">
        <v>3414250</v>
      </c>
    </row>
    <row r="4743" spans="1:6" x14ac:dyDescent="0.25">
      <c r="A4743" s="5">
        <v>3414250</v>
      </c>
      <c r="B4743" s="1">
        <v>2019</v>
      </c>
      <c r="C4743" s="1" t="s">
        <v>1387</v>
      </c>
      <c r="D4743" s="1" t="s">
        <v>953</v>
      </c>
      <c r="E4743" s="8">
        <v>659370</v>
      </c>
      <c r="F4743" s="5">
        <v>3414250</v>
      </c>
    </row>
    <row r="4744" spans="1:6" ht="20" x14ac:dyDescent="0.25">
      <c r="A4744" s="5">
        <v>3414250</v>
      </c>
      <c r="B4744" s="1">
        <v>2020</v>
      </c>
      <c r="C4744" s="1" t="s">
        <v>1387</v>
      </c>
      <c r="D4744" s="2" t="s">
        <v>953</v>
      </c>
      <c r="E4744" s="7">
        <v>690535</v>
      </c>
      <c r="F4744" s="5">
        <v>3414250</v>
      </c>
    </row>
    <row r="4745" spans="1:6" ht="20" x14ac:dyDescent="0.25">
      <c r="A4745" s="5">
        <v>3414250</v>
      </c>
      <c r="B4745" s="1">
        <v>2021</v>
      </c>
      <c r="C4745" s="1" t="s">
        <v>1387</v>
      </c>
      <c r="D4745" s="3" t="s">
        <v>953</v>
      </c>
      <c r="E4745" s="7">
        <v>954591</v>
      </c>
      <c r="F4745" s="5">
        <v>3414250</v>
      </c>
    </row>
    <row r="4746" spans="1:6" ht="20" x14ac:dyDescent="0.25">
      <c r="A4746" s="5">
        <v>3414250</v>
      </c>
      <c r="B4746" s="1">
        <v>2022</v>
      </c>
      <c r="C4746" s="1" t="s">
        <v>1387</v>
      </c>
      <c r="D4746" s="2" t="s">
        <v>953</v>
      </c>
      <c r="E4746" s="7">
        <v>1449982</v>
      </c>
      <c r="F4746" s="5">
        <v>3414250</v>
      </c>
    </row>
    <row r="4747" spans="1:6" ht="20" x14ac:dyDescent="0.25">
      <c r="A4747" s="5">
        <v>3414250</v>
      </c>
      <c r="B4747" s="1">
        <v>2023</v>
      </c>
      <c r="C4747" s="1" t="s">
        <v>1387</v>
      </c>
      <c r="D4747" s="2" t="s">
        <v>953</v>
      </c>
      <c r="E4747" s="7">
        <v>1511292</v>
      </c>
      <c r="F4747" s="5">
        <v>3414250</v>
      </c>
    </row>
    <row r="4748" spans="1:6" x14ac:dyDescent="0.25">
      <c r="A4748" s="5">
        <v>3414280</v>
      </c>
      <c r="B4748" s="1">
        <v>2015</v>
      </c>
      <c r="C4748" s="1" t="s">
        <v>1387</v>
      </c>
      <c r="D4748" s="1" t="s">
        <v>626</v>
      </c>
      <c r="E4748" s="8">
        <v>989337</v>
      </c>
      <c r="F4748" s="5">
        <v>3414280</v>
      </c>
    </row>
    <row r="4749" spans="1:6" x14ac:dyDescent="0.25">
      <c r="A4749" s="5">
        <v>3414280</v>
      </c>
      <c r="B4749" s="1">
        <v>2016</v>
      </c>
      <c r="C4749" s="1" t="s">
        <v>1387</v>
      </c>
      <c r="D4749" s="1" t="s">
        <v>626</v>
      </c>
      <c r="E4749" s="8">
        <v>1478091</v>
      </c>
      <c r="F4749" s="5">
        <v>3414280</v>
      </c>
    </row>
    <row r="4750" spans="1:6" x14ac:dyDescent="0.25">
      <c r="A4750" s="5">
        <v>3414280</v>
      </c>
      <c r="B4750" s="1">
        <v>2017</v>
      </c>
      <c r="C4750" s="1" t="s">
        <v>1387</v>
      </c>
      <c r="D4750" s="1" t="s">
        <v>626</v>
      </c>
      <c r="E4750" s="8">
        <v>2123456</v>
      </c>
      <c r="F4750" s="5">
        <v>3414280</v>
      </c>
    </row>
    <row r="4751" spans="1:6" x14ac:dyDescent="0.25">
      <c r="A4751" s="5">
        <v>3414280</v>
      </c>
      <c r="B4751" s="1">
        <v>2018</v>
      </c>
      <c r="C4751" s="1" t="s">
        <v>1387</v>
      </c>
      <c r="D4751" s="1" t="s">
        <v>1319</v>
      </c>
      <c r="E4751" s="8">
        <v>2854723</v>
      </c>
      <c r="F4751" s="5">
        <v>3414280</v>
      </c>
    </row>
    <row r="4752" spans="1:6" x14ac:dyDescent="0.25">
      <c r="A4752" s="5">
        <v>3414280</v>
      </c>
      <c r="B4752" s="1">
        <v>2019</v>
      </c>
      <c r="C4752" s="1" t="s">
        <v>1387</v>
      </c>
      <c r="D4752" s="1" t="s">
        <v>1319</v>
      </c>
      <c r="E4752" s="8">
        <v>3840890</v>
      </c>
      <c r="F4752" s="5">
        <v>3414280</v>
      </c>
    </row>
    <row r="4753" spans="1:6" ht="20" x14ac:dyDescent="0.25">
      <c r="A4753" s="5">
        <v>3414280</v>
      </c>
      <c r="B4753" s="1">
        <v>2020</v>
      </c>
      <c r="C4753" s="1" t="s">
        <v>1387</v>
      </c>
      <c r="D4753" s="2" t="s">
        <v>1319</v>
      </c>
      <c r="E4753" s="7">
        <v>4279681</v>
      </c>
      <c r="F4753" s="5">
        <v>3414280</v>
      </c>
    </row>
    <row r="4754" spans="1:6" ht="20" x14ac:dyDescent="0.25">
      <c r="A4754" s="5">
        <v>3414280</v>
      </c>
      <c r="B4754" s="1">
        <v>2021</v>
      </c>
      <c r="C4754" s="1" t="s">
        <v>1387</v>
      </c>
      <c r="D4754" s="3" t="s">
        <v>1319</v>
      </c>
      <c r="E4754" s="7">
        <v>5533131</v>
      </c>
      <c r="F4754" s="5">
        <v>3414280</v>
      </c>
    </row>
    <row r="4755" spans="1:6" ht="20" x14ac:dyDescent="0.25">
      <c r="A4755" s="5">
        <v>3414280</v>
      </c>
      <c r="B4755" s="1">
        <v>2022</v>
      </c>
      <c r="C4755" s="1" t="s">
        <v>1387</v>
      </c>
      <c r="D4755" s="2" t="s">
        <v>1319</v>
      </c>
      <c r="E4755" s="7">
        <v>8416355</v>
      </c>
      <c r="F4755" s="5">
        <v>3414280</v>
      </c>
    </row>
    <row r="4756" spans="1:6" ht="20" x14ac:dyDescent="0.25">
      <c r="A4756" s="5">
        <v>3414280</v>
      </c>
      <c r="B4756" s="1">
        <v>2023</v>
      </c>
      <c r="C4756" s="1" t="s">
        <v>1387</v>
      </c>
      <c r="D4756" s="2" t="s">
        <v>1319</v>
      </c>
      <c r="E4756" s="7">
        <v>8384595</v>
      </c>
      <c r="F4756" s="5">
        <v>3414280</v>
      </c>
    </row>
    <row r="4757" spans="1:6" x14ac:dyDescent="0.25">
      <c r="A4757" s="5">
        <v>3414310</v>
      </c>
      <c r="B4757" s="1">
        <v>2015</v>
      </c>
      <c r="C4757" s="1" t="s">
        <v>1387</v>
      </c>
      <c r="D4757" s="1" t="s">
        <v>627</v>
      </c>
      <c r="E4757" s="8">
        <v>743172</v>
      </c>
      <c r="F4757" s="5">
        <v>3414310</v>
      </c>
    </row>
    <row r="4758" spans="1:6" x14ac:dyDescent="0.25">
      <c r="A4758" s="5">
        <v>3414310</v>
      </c>
      <c r="B4758" s="1">
        <v>2016</v>
      </c>
      <c r="C4758" s="1" t="s">
        <v>1387</v>
      </c>
      <c r="D4758" s="1" t="s">
        <v>627</v>
      </c>
      <c r="E4758" s="8">
        <v>1135723</v>
      </c>
      <c r="F4758" s="5">
        <v>3414310</v>
      </c>
    </row>
    <row r="4759" spans="1:6" x14ac:dyDescent="0.25">
      <c r="A4759" s="5">
        <v>3414310</v>
      </c>
      <c r="B4759" s="1">
        <v>2017</v>
      </c>
      <c r="C4759" s="1" t="s">
        <v>1387</v>
      </c>
      <c r="D4759" s="1" t="s">
        <v>627</v>
      </c>
      <c r="E4759" s="8">
        <v>1701555</v>
      </c>
      <c r="F4759" s="5">
        <v>3414310</v>
      </c>
    </row>
    <row r="4760" spans="1:6" x14ac:dyDescent="0.25">
      <c r="A4760" s="5">
        <v>3414310</v>
      </c>
      <c r="B4760" s="1">
        <v>2018</v>
      </c>
      <c r="C4760" s="1" t="s">
        <v>1387</v>
      </c>
      <c r="D4760" s="1" t="s">
        <v>1320</v>
      </c>
      <c r="E4760" s="8">
        <v>2265350</v>
      </c>
      <c r="F4760" s="5">
        <v>3414310</v>
      </c>
    </row>
    <row r="4761" spans="1:6" x14ac:dyDescent="0.25">
      <c r="A4761" s="5">
        <v>3414310</v>
      </c>
      <c r="B4761" s="1">
        <v>2019</v>
      </c>
      <c r="C4761" s="1" t="s">
        <v>1387</v>
      </c>
      <c r="D4761" s="1" t="s">
        <v>1320</v>
      </c>
      <c r="E4761" s="8">
        <v>3063998</v>
      </c>
      <c r="F4761" s="5">
        <v>3414310</v>
      </c>
    </row>
    <row r="4762" spans="1:6" ht="20" x14ac:dyDescent="0.25">
      <c r="A4762" s="5">
        <v>3414310</v>
      </c>
      <c r="B4762" s="1">
        <v>2020</v>
      </c>
      <c r="C4762" s="1" t="s">
        <v>1387</v>
      </c>
      <c r="D4762" s="2" t="s">
        <v>1320</v>
      </c>
      <c r="E4762" s="7">
        <v>3490955</v>
      </c>
      <c r="F4762" s="5">
        <v>3414310</v>
      </c>
    </row>
    <row r="4763" spans="1:6" ht="20" x14ac:dyDescent="0.25">
      <c r="A4763" s="5">
        <v>3414310</v>
      </c>
      <c r="B4763" s="1">
        <v>2021</v>
      </c>
      <c r="C4763" s="1" t="s">
        <v>1387</v>
      </c>
      <c r="D4763" s="3" t="s">
        <v>1320</v>
      </c>
      <c r="E4763" s="7">
        <v>4497422</v>
      </c>
      <c r="F4763" s="5">
        <v>3414310</v>
      </c>
    </row>
    <row r="4764" spans="1:6" ht="20" x14ac:dyDescent="0.25">
      <c r="A4764" s="5">
        <v>3414310</v>
      </c>
      <c r="B4764" s="1">
        <v>2022</v>
      </c>
      <c r="C4764" s="1" t="s">
        <v>1387</v>
      </c>
      <c r="D4764" s="2" t="s">
        <v>1320</v>
      </c>
      <c r="E4764" s="7">
        <v>6359254</v>
      </c>
      <c r="F4764" s="5">
        <v>3414310</v>
      </c>
    </row>
    <row r="4765" spans="1:6" ht="20" x14ac:dyDescent="0.25">
      <c r="A4765" s="5">
        <v>3414310</v>
      </c>
      <c r="B4765" s="1">
        <v>2023</v>
      </c>
      <c r="C4765" s="1" t="s">
        <v>1387</v>
      </c>
      <c r="D4765" s="2" t="s">
        <v>1320</v>
      </c>
      <c r="E4765" s="7">
        <v>6229386</v>
      </c>
      <c r="F4765" s="5">
        <v>3414310</v>
      </c>
    </row>
    <row r="4766" spans="1:6" x14ac:dyDescent="0.25">
      <c r="A4766" s="5">
        <v>3414340</v>
      </c>
      <c r="B4766" s="1">
        <v>2015</v>
      </c>
      <c r="C4766" s="1" t="s">
        <v>1387</v>
      </c>
      <c r="D4766" s="1" t="s">
        <v>490</v>
      </c>
      <c r="E4766" s="8">
        <v>1525599</v>
      </c>
      <c r="F4766" s="5">
        <v>3414340</v>
      </c>
    </row>
    <row r="4767" spans="1:6" x14ac:dyDescent="0.25">
      <c r="A4767" s="5">
        <v>3414340</v>
      </c>
      <c r="B4767" s="1">
        <v>2016</v>
      </c>
      <c r="C4767" s="1" t="s">
        <v>1387</v>
      </c>
      <c r="D4767" s="1" t="s">
        <v>490</v>
      </c>
      <c r="E4767" s="8">
        <v>2268888</v>
      </c>
      <c r="F4767" s="5">
        <v>3414340</v>
      </c>
    </row>
    <row r="4768" spans="1:6" x14ac:dyDescent="0.25">
      <c r="A4768" s="5">
        <v>3414340</v>
      </c>
      <c r="B4768" s="1">
        <v>2017</v>
      </c>
      <c r="C4768" s="1" t="s">
        <v>1387</v>
      </c>
      <c r="D4768" s="1" t="s">
        <v>490</v>
      </c>
      <c r="E4768" s="8">
        <v>3155710</v>
      </c>
      <c r="F4768" s="5">
        <v>3414340</v>
      </c>
    </row>
    <row r="4769" spans="1:6" x14ac:dyDescent="0.25">
      <c r="A4769" s="5">
        <v>3414340</v>
      </c>
      <c r="B4769" s="1">
        <v>2018</v>
      </c>
      <c r="C4769" s="1" t="s">
        <v>1387</v>
      </c>
      <c r="D4769" s="1" t="s">
        <v>1182</v>
      </c>
      <c r="E4769" s="8">
        <v>4108774</v>
      </c>
      <c r="F4769" s="5">
        <v>3414340</v>
      </c>
    </row>
    <row r="4770" spans="1:6" x14ac:dyDescent="0.25">
      <c r="A4770" s="5">
        <v>3414340</v>
      </c>
      <c r="B4770" s="1">
        <v>2019</v>
      </c>
      <c r="C4770" s="1" t="s">
        <v>1387</v>
      </c>
      <c r="D4770" s="1" t="s">
        <v>1182</v>
      </c>
      <c r="E4770" s="8">
        <v>5683703</v>
      </c>
      <c r="F4770" s="5">
        <v>3414340</v>
      </c>
    </row>
    <row r="4771" spans="1:6" ht="20" x14ac:dyDescent="0.25">
      <c r="A4771" s="5">
        <v>3414340</v>
      </c>
      <c r="B4771" s="1">
        <v>2020</v>
      </c>
      <c r="C4771" s="1" t="s">
        <v>1387</v>
      </c>
      <c r="D4771" s="2" t="s">
        <v>1182</v>
      </c>
      <c r="E4771" s="7">
        <v>6079409</v>
      </c>
      <c r="F4771" s="5">
        <v>3414340</v>
      </c>
    </row>
    <row r="4772" spans="1:6" ht="20" x14ac:dyDescent="0.25">
      <c r="A4772" s="5">
        <v>3414340</v>
      </c>
      <c r="B4772" s="1">
        <v>2021</v>
      </c>
      <c r="C4772" s="1" t="s">
        <v>1387</v>
      </c>
      <c r="D4772" s="3" t="s">
        <v>1182</v>
      </c>
      <c r="E4772" s="7">
        <v>8043051</v>
      </c>
      <c r="F4772" s="5">
        <v>3414340</v>
      </c>
    </row>
    <row r="4773" spans="1:6" ht="20" x14ac:dyDescent="0.25">
      <c r="A4773" s="5">
        <v>3414340</v>
      </c>
      <c r="B4773" s="1">
        <v>2022</v>
      </c>
      <c r="C4773" s="1" t="s">
        <v>1387</v>
      </c>
      <c r="D4773" s="2" t="s">
        <v>1182</v>
      </c>
      <c r="E4773" s="7">
        <v>11494444</v>
      </c>
      <c r="F4773" s="5">
        <v>3414340</v>
      </c>
    </row>
    <row r="4774" spans="1:6" ht="20" x14ac:dyDescent="0.25">
      <c r="A4774" s="5">
        <v>3414340</v>
      </c>
      <c r="B4774" s="1">
        <v>2023</v>
      </c>
      <c r="C4774" s="1" t="s">
        <v>1387</v>
      </c>
      <c r="D4774" s="2" t="s">
        <v>1182</v>
      </c>
      <c r="E4774" s="7">
        <v>11039022</v>
      </c>
      <c r="F4774" s="5">
        <v>3414340</v>
      </c>
    </row>
    <row r="4775" spans="1:6" x14ac:dyDescent="0.25">
      <c r="A4775" s="5">
        <v>3414370</v>
      </c>
      <c r="B4775" s="1">
        <v>2015</v>
      </c>
      <c r="C4775" s="1" t="s">
        <v>1387</v>
      </c>
      <c r="D4775" s="1" t="s">
        <v>442</v>
      </c>
      <c r="E4775" s="8">
        <v>341373</v>
      </c>
      <c r="F4775" s="5">
        <v>3414370</v>
      </c>
    </row>
    <row r="4776" spans="1:6" x14ac:dyDescent="0.25">
      <c r="A4776" s="5">
        <v>3414370</v>
      </c>
      <c r="B4776" s="1">
        <v>2016</v>
      </c>
      <c r="C4776" s="1" t="s">
        <v>1387</v>
      </c>
      <c r="D4776" s="1" t="s">
        <v>442</v>
      </c>
      <c r="E4776" s="8">
        <v>511295</v>
      </c>
      <c r="F4776" s="5">
        <v>3414370</v>
      </c>
    </row>
    <row r="4777" spans="1:6" x14ac:dyDescent="0.25">
      <c r="A4777" s="5">
        <v>3414370</v>
      </c>
      <c r="B4777" s="1">
        <v>2017</v>
      </c>
      <c r="C4777" s="1" t="s">
        <v>1387</v>
      </c>
      <c r="D4777" s="1" t="s">
        <v>442</v>
      </c>
      <c r="E4777" s="8">
        <v>747858</v>
      </c>
      <c r="F4777" s="5">
        <v>3414370</v>
      </c>
    </row>
    <row r="4778" spans="1:6" x14ac:dyDescent="0.25">
      <c r="A4778" s="5">
        <v>3414370</v>
      </c>
      <c r="B4778" s="1">
        <v>2018</v>
      </c>
      <c r="C4778" s="1" t="s">
        <v>1387</v>
      </c>
      <c r="D4778" s="1" t="s">
        <v>1134</v>
      </c>
      <c r="E4778" s="8">
        <v>1076417</v>
      </c>
      <c r="F4778" s="5">
        <v>3414370</v>
      </c>
    </row>
    <row r="4779" spans="1:6" x14ac:dyDescent="0.25">
      <c r="A4779" s="5">
        <v>3414370</v>
      </c>
      <c r="B4779" s="1">
        <v>2019</v>
      </c>
      <c r="C4779" s="1" t="s">
        <v>1387</v>
      </c>
      <c r="D4779" s="1" t="s">
        <v>1134</v>
      </c>
      <c r="E4779" s="8">
        <v>1445585</v>
      </c>
      <c r="F4779" s="5">
        <v>3414370</v>
      </c>
    </row>
    <row r="4780" spans="1:6" ht="20" x14ac:dyDescent="0.25">
      <c r="A4780" s="5">
        <v>3414370</v>
      </c>
      <c r="B4780" s="1">
        <v>2020</v>
      </c>
      <c r="C4780" s="1" t="s">
        <v>1387</v>
      </c>
      <c r="D4780" s="2" t="s">
        <v>1134</v>
      </c>
      <c r="E4780" s="7">
        <v>1666088</v>
      </c>
      <c r="F4780" s="5">
        <v>3414370</v>
      </c>
    </row>
    <row r="4781" spans="1:6" ht="20" x14ac:dyDescent="0.25">
      <c r="A4781" s="5">
        <v>3414370</v>
      </c>
      <c r="B4781" s="1">
        <v>2021</v>
      </c>
      <c r="C4781" s="1" t="s">
        <v>1387</v>
      </c>
      <c r="D4781" s="3" t="s">
        <v>1134</v>
      </c>
      <c r="E4781" s="7">
        <v>2379109</v>
      </c>
      <c r="F4781" s="5">
        <v>3414370</v>
      </c>
    </row>
    <row r="4782" spans="1:6" ht="20" x14ac:dyDescent="0.25">
      <c r="A4782" s="5">
        <v>3414370</v>
      </c>
      <c r="B4782" s="1">
        <v>2022</v>
      </c>
      <c r="C4782" s="1" t="s">
        <v>1387</v>
      </c>
      <c r="D4782" s="2" t="s">
        <v>1134</v>
      </c>
      <c r="E4782" s="7">
        <v>3150776</v>
      </c>
      <c r="F4782" s="5">
        <v>3414370</v>
      </c>
    </row>
    <row r="4783" spans="1:6" ht="20" x14ac:dyDescent="0.25">
      <c r="A4783" s="5">
        <v>3414370</v>
      </c>
      <c r="B4783" s="1">
        <v>2023</v>
      </c>
      <c r="C4783" s="1" t="s">
        <v>1387</v>
      </c>
      <c r="D4783" s="2" t="s">
        <v>1134</v>
      </c>
      <c r="E4783" s="7">
        <v>3191423</v>
      </c>
      <c r="F4783" s="5">
        <v>3414370</v>
      </c>
    </row>
    <row r="4784" spans="1:6" x14ac:dyDescent="0.25">
      <c r="A4784" s="5">
        <v>3414400</v>
      </c>
      <c r="B4784" s="1">
        <v>2015</v>
      </c>
      <c r="C4784" s="1" t="s">
        <v>1387</v>
      </c>
      <c r="D4784" s="1" t="s">
        <v>443</v>
      </c>
      <c r="E4784" s="8">
        <v>399153</v>
      </c>
      <c r="F4784" s="5">
        <v>3414400</v>
      </c>
    </row>
    <row r="4785" spans="1:6" x14ac:dyDescent="0.25">
      <c r="A4785" s="5">
        <v>3414400</v>
      </c>
      <c r="B4785" s="1">
        <v>2016</v>
      </c>
      <c r="C4785" s="1" t="s">
        <v>1387</v>
      </c>
      <c r="D4785" s="1" t="s">
        <v>443</v>
      </c>
      <c r="E4785" s="8">
        <v>611143</v>
      </c>
      <c r="F4785" s="5">
        <v>3414400</v>
      </c>
    </row>
    <row r="4786" spans="1:6" x14ac:dyDescent="0.25">
      <c r="A4786" s="5">
        <v>3414400</v>
      </c>
      <c r="B4786" s="1">
        <v>2017</v>
      </c>
      <c r="C4786" s="1" t="s">
        <v>1387</v>
      </c>
      <c r="D4786" s="1" t="s">
        <v>443</v>
      </c>
      <c r="E4786" s="8">
        <v>854605</v>
      </c>
      <c r="F4786" s="5">
        <v>3414400</v>
      </c>
    </row>
    <row r="4787" spans="1:6" x14ac:dyDescent="0.25">
      <c r="A4787" s="5">
        <v>3414400</v>
      </c>
      <c r="B4787" s="1">
        <v>2018</v>
      </c>
      <c r="C4787" s="1" t="s">
        <v>1387</v>
      </c>
      <c r="D4787" s="1" t="s">
        <v>1135</v>
      </c>
      <c r="E4787" s="8">
        <v>1155821</v>
      </c>
      <c r="F4787" s="5">
        <v>3414400</v>
      </c>
    </row>
    <row r="4788" spans="1:6" x14ac:dyDescent="0.25">
      <c r="A4788" s="5">
        <v>3414400</v>
      </c>
      <c r="B4788" s="1">
        <v>2019</v>
      </c>
      <c r="C4788" s="1" t="s">
        <v>1387</v>
      </c>
      <c r="D4788" s="1" t="s">
        <v>1135</v>
      </c>
      <c r="E4788" s="8">
        <v>1601217</v>
      </c>
      <c r="F4788" s="5">
        <v>3414400</v>
      </c>
    </row>
    <row r="4789" spans="1:6" ht="20" x14ac:dyDescent="0.25">
      <c r="A4789" s="5">
        <v>3414400</v>
      </c>
      <c r="B4789" s="1">
        <v>2020</v>
      </c>
      <c r="C4789" s="1" t="s">
        <v>1387</v>
      </c>
      <c r="D4789" s="2" t="s">
        <v>1135</v>
      </c>
      <c r="E4789" s="7">
        <v>1720484</v>
      </c>
      <c r="F4789" s="5">
        <v>3414400</v>
      </c>
    </row>
    <row r="4790" spans="1:6" ht="20" x14ac:dyDescent="0.25">
      <c r="A4790" s="5">
        <v>3414400</v>
      </c>
      <c r="B4790" s="1">
        <v>2021</v>
      </c>
      <c r="C4790" s="1" t="s">
        <v>1387</v>
      </c>
      <c r="D4790" s="3" t="s">
        <v>1135</v>
      </c>
      <c r="E4790" s="7">
        <v>2339467</v>
      </c>
      <c r="F4790" s="5">
        <v>3414400</v>
      </c>
    </row>
    <row r="4791" spans="1:6" ht="20" x14ac:dyDescent="0.25">
      <c r="A4791" s="5">
        <v>3414400</v>
      </c>
      <c r="B4791" s="1">
        <v>2022</v>
      </c>
      <c r="C4791" s="1" t="s">
        <v>1387</v>
      </c>
      <c r="D4791" s="2" t="s">
        <v>1135</v>
      </c>
      <c r="E4791" s="7">
        <v>3248969</v>
      </c>
      <c r="F4791" s="5">
        <v>3414400</v>
      </c>
    </row>
    <row r="4792" spans="1:6" ht="20" x14ac:dyDescent="0.25">
      <c r="A4792" s="5">
        <v>3414400</v>
      </c>
      <c r="B4792" s="1">
        <v>2023</v>
      </c>
      <c r="C4792" s="1" t="s">
        <v>1387</v>
      </c>
      <c r="D4792" s="2" t="s">
        <v>1135</v>
      </c>
      <c r="E4792" s="7">
        <v>3151084</v>
      </c>
      <c r="F4792" s="5">
        <v>3414400</v>
      </c>
    </row>
    <row r="4793" spans="1:6" x14ac:dyDescent="0.25">
      <c r="A4793" s="5">
        <v>3414430</v>
      </c>
      <c r="B4793" s="1">
        <v>2015</v>
      </c>
      <c r="C4793" s="1" t="s">
        <v>1387</v>
      </c>
      <c r="D4793" s="1" t="s">
        <v>187</v>
      </c>
      <c r="E4793" s="8">
        <v>287914</v>
      </c>
      <c r="F4793" s="5">
        <v>3414430</v>
      </c>
    </row>
    <row r="4794" spans="1:6" x14ac:dyDescent="0.25">
      <c r="A4794" s="5">
        <v>3414430</v>
      </c>
      <c r="B4794" s="1">
        <v>2016</v>
      </c>
      <c r="C4794" s="1" t="s">
        <v>1387</v>
      </c>
      <c r="D4794" s="1" t="s">
        <v>187</v>
      </c>
      <c r="E4794" s="8">
        <v>392555</v>
      </c>
      <c r="F4794" s="5">
        <v>3414430</v>
      </c>
    </row>
    <row r="4795" spans="1:6" x14ac:dyDescent="0.25">
      <c r="A4795" s="5">
        <v>3414430</v>
      </c>
      <c r="B4795" s="1">
        <v>2017</v>
      </c>
      <c r="C4795" s="1" t="s">
        <v>1387</v>
      </c>
      <c r="D4795" s="1" t="s">
        <v>187</v>
      </c>
      <c r="E4795" s="8">
        <v>576816</v>
      </c>
      <c r="F4795" s="5">
        <v>3414430</v>
      </c>
    </row>
    <row r="4796" spans="1:6" x14ac:dyDescent="0.25">
      <c r="A4796" s="5">
        <v>3414430</v>
      </c>
      <c r="B4796" s="1">
        <v>2018</v>
      </c>
      <c r="C4796" s="1" t="s">
        <v>1387</v>
      </c>
      <c r="D4796" s="1" t="s">
        <v>870</v>
      </c>
      <c r="E4796" s="8">
        <v>737299</v>
      </c>
      <c r="F4796" s="5">
        <v>3414430</v>
      </c>
    </row>
    <row r="4797" spans="1:6" x14ac:dyDescent="0.25">
      <c r="A4797" s="5">
        <v>3414430</v>
      </c>
      <c r="B4797" s="1">
        <v>2019</v>
      </c>
      <c r="C4797" s="1" t="s">
        <v>1387</v>
      </c>
      <c r="D4797" s="1" t="s">
        <v>870</v>
      </c>
      <c r="E4797" s="8">
        <v>1032970</v>
      </c>
      <c r="F4797" s="5">
        <v>3414430</v>
      </c>
    </row>
    <row r="4798" spans="1:6" ht="20" x14ac:dyDescent="0.25">
      <c r="A4798" s="5">
        <v>3414430</v>
      </c>
      <c r="B4798" s="1">
        <v>2020</v>
      </c>
      <c r="C4798" s="1" t="s">
        <v>1387</v>
      </c>
      <c r="D4798" s="2" t="s">
        <v>870</v>
      </c>
      <c r="E4798" s="7">
        <v>1198220</v>
      </c>
      <c r="F4798" s="5">
        <v>3414430</v>
      </c>
    </row>
    <row r="4799" spans="1:6" ht="20" x14ac:dyDescent="0.25">
      <c r="A4799" s="5">
        <v>3414430</v>
      </c>
      <c r="B4799" s="1">
        <v>2021</v>
      </c>
      <c r="C4799" s="1" t="s">
        <v>1387</v>
      </c>
      <c r="D4799" s="3" t="s">
        <v>870</v>
      </c>
      <c r="E4799" s="7">
        <v>1544945</v>
      </c>
      <c r="F4799" s="5">
        <v>3414430</v>
      </c>
    </row>
    <row r="4800" spans="1:6" ht="20" x14ac:dyDescent="0.25">
      <c r="A4800" s="5">
        <v>3414430</v>
      </c>
      <c r="B4800" s="1">
        <v>2022</v>
      </c>
      <c r="C4800" s="1" t="s">
        <v>1387</v>
      </c>
      <c r="D4800" s="2" t="s">
        <v>870</v>
      </c>
      <c r="E4800" s="7">
        <v>2183056</v>
      </c>
      <c r="F4800" s="5">
        <v>3414430</v>
      </c>
    </row>
    <row r="4801" spans="1:6" ht="20" x14ac:dyDescent="0.25">
      <c r="A4801" s="5">
        <v>3414430</v>
      </c>
      <c r="B4801" s="1">
        <v>2023</v>
      </c>
      <c r="C4801" s="1" t="s">
        <v>1387</v>
      </c>
      <c r="D4801" s="2" t="s">
        <v>870</v>
      </c>
      <c r="E4801" s="7">
        <v>2161025</v>
      </c>
      <c r="F4801" s="5">
        <v>3414430</v>
      </c>
    </row>
    <row r="4802" spans="1:6" x14ac:dyDescent="0.25">
      <c r="A4802" s="5">
        <v>3414460</v>
      </c>
      <c r="B4802" s="1">
        <v>2015</v>
      </c>
      <c r="C4802" s="1" t="s">
        <v>1387</v>
      </c>
      <c r="D4802" s="1" t="s">
        <v>92</v>
      </c>
      <c r="E4802" s="8">
        <v>999825</v>
      </c>
      <c r="F4802" s="5">
        <v>3414460</v>
      </c>
    </row>
    <row r="4803" spans="1:6" x14ac:dyDescent="0.25">
      <c r="A4803" s="5">
        <v>3414460</v>
      </c>
      <c r="B4803" s="1">
        <v>2016</v>
      </c>
      <c r="C4803" s="1" t="s">
        <v>1387</v>
      </c>
      <c r="D4803" s="1" t="s">
        <v>92</v>
      </c>
      <c r="E4803" s="8">
        <v>1444143</v>
      </c>
      <c r="F4803" s="5">
        <v>3414460</v>
      </c>
    </row>
    <row r="4804" spans="1:6" x14ac:dyDescent="0.25">
      <c r="A4804" s="5">
        <v>3414460</v>
      </c>
      <c r="B4804" s="1">
        <v>2017</v>
      </c>
      <c r="C4804" s="1" t="s">
        <v>1387</v>
      </c>
      <c r="D4804" s="1" t="s">
        <v>92</v>
      </c>
      <c r="E4804" s="8">
        <v>2026595</v>
      </c>
      <c r="F4804" s="5">
        <v>3414460</v>
      </c>
    </row>
    <row r="4805" spans="1:6" x14ac:dyDescent="0.25">
      <c r="A4805" s="5">
        <v>3414460</v>
      </c>
      <c r="B4805" s="1">
        <v>2018</v>
      </c>
      <c r="C4805" s="1" t="s">
        <v>1387</v>
      </c>
      <c r="D4805" s="1" t="s">
        <v>771</v>
      </c>
      <c r="E4805" s="8">
        <v>2830566</v>
      </c>
      <c r="F4805" s="5">
        <v>3414460</v>
      </c>
    </row>
    <row r="4806" spans="1:6" x14ac:dyDescent="0.25">
      <c r="A4806" s="5">
        <v>3414460</v>
      </c>
      <c r="B4806" s="1">
        <v>2019</v>
      </c>
      <c r="C4806" s="1" t="s">
        <v>1387</v>
      </c>
      <c r="D4806" s="1" t="s">
        <v>771</v>
      </c>
      <c r="E4806" s="8">
        <v>3678449</v>
      </c>
      <c r="F4806" s="5">
        <v>3414460</v>
      </c>
    </row>
    <row r="4807" spans="1:6" ht="20" x14ac:dyDescent="0.25">
      <c r="A4807" s="5">
        <v>3414460</v>
      </c>
      <c r="B4807" s="1">
        <v>2020</v>
      </c>
      <c r="C4807" s="1" t="s">
        <v>1387</v>
      </c>
      <c r="D4807" s="2" t="s">
        <v>771</v>
      </c>
      <c r="E4807" s="7">
        <v>4119413</v>
      </c>
      <c r="F4807" s="5">
        <v>3414460</v>
      </c>
    </row>
    <row r="4808" spans="1:6" ht="20" x14ac:dyDescent="0.25">
      <c r="A4808" s="5">
        <v>3414460</v>
      </c>
      <c r="B4808" s="1">
        <v>2021</v>
      </c>
      <c r="C4808" s="1" t="s">
        <v>1387</v>
      </c>
      <c r="D4808" s="3" t="s">
        <v>771</v>
      </c>
      <c r="E4808" s="7">
        <v>5418888</v>
      </c>
      <c r="F4808" s="5">
        <v>3414460</v>
      </c>
    </row>
    <row r="4809" spans="1:6" ht="20" x14ac:dyDescent="0.25">
      <c r="A4809" s="5">
        <v>3414460</v>
      </c>
      <c r="B4809" s="1">
        <v>2022</v>
      </c>
      <c r="C4809" s="1" t="s">
        <v>1387</v>
      </c>
      <c r="D4809" s="2" t="s">
        <v>771</v>
      </c>
      <c r="E4809" s="7">
        <v>7853950</v>
      </c>
      <c r="F4809" s="5">
        <v>3414460</v>
      </c>
    </row>
    <row r="4810" spans="1:6" ht="20" x14ac:dyDescent="0.25">
      <c r="A4810" s="5">
        <v>3414460</v>
      </c>
      <c r="B4810" s="1">
        <v>2023</v>
      </c>
      <c r="C4810" s="1" t="s">
        <v>1387</v>
      </c>
      <c r="D4810" s="2" t="s">
        <v>771</v>
      </c>
      <c r="E4810" s="7">
        <v>7776767</v>
      </c>
      <c r="F4810" s="5">
        <v>3414460</v>
      </c>
    </row>
    <row r="4811" spans="1:6" x14ac:dyDescent="0.25">
      <c r="A4811" s="5">
        <v>3414490</v>
      </c>
      <c r="B4811" s="1">
        <v>2015</v>
      </c>
      <c r="C4811" s="1" t="s">
        <v>1387</v>
      </c>
      <c r="D4811" s="1" t="s">
        <v>93</v>
      </c>
      <c r="E4811" s="8">
        <v>670740</v>
      </c>
      <c r="F4811" s="5">
        <v>3414490</v>
      </c>
    </row>
    <row r="4812" spans="1:6" x14ac:dyDescent="0.25">
      <c r="A4812" s="5">
        <v>3414490</v>
      </c>
      <c r="B4812" s="1">
        <v>2016</v>
      </c>
      <c r="C4812" s="1" t="s">
        <v>1387</v>
      </c>
      <c r="D4812" s="1" t="s">
        <v>93</v>
      </c>
      <c r="E4812" s="8">
        <v>997765</v>
      </c>
      <c r="F4812" s="5">
        <v>3414490</v>
      </c>
    </row>
    <row r="4813" spans="1:6" x14ac:dyDescent="0.25">
      <c r="A4813" s="5">
        <v>3414490</v>
      </c>
      <c r="B4813" s="1">
        <v>2017</v>
      </c>
      <c r="C4813" s="1" t="s">
        <v>1387</v>
      </c>
      <c r="D4813" s="1" t="s">
        <v>93</v>
      </c>
      <c r="E4813" s="8">
        <v>1419146</v>
      </c>
      <c r="F4813" s="5">
        <v>3414490</v>
      </c>
    </row>
    <row r="4814" spans="1:6" x14ac:dyDescent="0.25">
      <c r="A4814" s="5">
        <v>3414490</v>
      </c>
      <c r="B4814" s="1">
        <v>2018</v>
      </c>
      <c r="C4814" s="1" t="s">
        <v>1387</v>
      </c>
      <c r="D4814" s="1" t="s">
        <v>772</v>
      </c>
      <c r="E4814" s="8">
        <v>1840718</v>
      </c>
      <c r="F4814" s="5">
        <v>3414490</v>
      </c>
    </row>
    <row r="4815" spans="1:6" x14ac:dyDescent="0.25">
      <c r="A4815" s="5">
        <v>3414490</v>
      </c>
      <c r="B4815" s="1">
        <v>2019</v>
      </c>
      <c r="C4815" s="1" t="s">
        <v>1387</v>
      </c>
      <c r="D4815" s="1" t="s">
        <v>772</v>
      </c>
      <c r="E4815" s="8">
        <v>2578961</v>
      </c>
      <c r="F4815" s="5">
        <v>3414490</v>
      </c>
    </row>
    <row r="4816" spans="1:6" ht="20" x14ac:dyDescent="0.25">
      <c r="A4816" s="5">
        <v>3414490</v>
      </c>
      <c r="B4816" s="1">
        <v>2020</v>
      </c>
      <c r="C4816" s="1" t="s">
        <v>1387</v>
      </c>
      <c r="D4816" s="2" t="s">
        <v>772</v>
      </c>
      <c r="E4816" s="7">
        <v>2808784</v>
      </c>
      <c r="F4816" s="5">
        <v>3414490</v>
      </c>
    </row>
    <row r="4817" spans="1:6" ht="20" x14ac:dyDescent="0.25">
      <c r="A4817" s="5">
        <v>3414490</v>
      </c>
      <c r="B4817" s="1">
        <v>2021</v>
      </c>
      <c r="C4817" s="1" t="s">
        <v>1387</v>
      </c>
      <c r="D4817" s="3" t="s">
        <v>772</v>
      </c>
      <c r="E4817" s="7">
        <v>3654289</v>
      </c>
      <c r="F4817" s="5">
        <v>3414490</v>
      </c>
    </row>
    <row r="4818" spans="1:6" ht="20" x14ac:dyDescent="0.25">
      <c r="A4818" s="5">
        <v>3414490</v>
      </c>
      <c r="B4818" s="1">
        <v>2022</v>
      </c>
      <c r="C4818" s="1" t="s">
        <v>1387</v>
      </c>
      <c r="D4818" s="2" t="s">
        <v>772</v>
      </c>
      <c r="E4818" s="7">
        <v>5229841</v>
      </c>
      <c r="F4818" s="5">
        <v>3414490</v>
      </c>
    </row>
    <row r="4819" spans="1:6" ht="20" x14ac:dyDescent="0.25">
      <c r="A4819" s="5">
        <v>3414490</v>
      </c>
      <c r="B4819" s="1">
        <v>2023</v>
      </c>
      <c r="C4819" s="1" t="s">
        <v>1387</v>
      </c>
      <c r="D4819" s="2" t="s">
        <v>772</v>
      </c>
      <c r="E4819" s="7">
        <v>5198984</v>
      </c>
      <c r="F4819" s="5">
        <v>3414490</v>
      </c>
    </row>
    <row r="4820" spans="1:6" x14ac:dyDescent="0.25">
      <c r="A4820" s="5">
        <v>3414520</v>
      </c>
      <c r="B4820" s="1">
        <v>2015</v>
      </c>
      <c r="C4820" s="1" t="s">
        <v>1387</v>
      </c>
      <c r="D4820" s="1" t="s">
        <v>94</v>
      </c>
      <c r="E4820" s="8">
        <v>112962</v>
      </c>
      <c r="F4820" s="5">
        <v>3414520</v>
      </c>
    </row>
    <row r="4821" spans="1:6" x14ac:dyDescent="0.25">
      <c r="A4821" s="5">
        <v>3414520</v>
      </c>
      <c r="B4821" s="1">
        <v>2016</v>
      </c>
      <c r="C4821" s="1" t="s">
        <v>1387</v>
      </c>
      <c r="D4821" s="1" t="s">
        <v>94</v>
      </c>
      <c r="E4821" s="8">
        <v>160176</v>
      </c>
      <c r="F4821" s="5">
        <v>3414520</v>
      </c>
    </row>
    <row r="4822" spans="1:6" x14ac:dyDescent="0.25">
      <c r="A4822" s="5">
        <v>3414520</v>
      </c>
      <c r="B4822" s="1">
        <v>2017</v>
      </c>
      <c r="C4822" s="1" t="s">
        <v>1387</v>
      </c>
      <c r="D4822" s="1" t="s">
        <v>94</v>
      </c>
      <c r="E4822" s="8">
        <v>204698</v>
      </c>
      <c r="F4822" s="5">
        <v>3414520</v>
      </c>
    </row>
    <row r="4823" spans="1:6" x14ac:dyDescent="0.25">
      <c r="A4823" s="5">
        <v>3414520</v>
      </c>
      <c r="B4823" s="1">
        <v>2018</v>
      </c>
      <c r="C4823" s="1" t="s">
        <v>1387</v>
      </c>
      <c r="D4823" s="1" t="s">
        <v>773</v>
      </c>
      <c r="E4823" s="8">
        <v>297480</v>
      </c>
      <c r="F4823" s="5">
        <v>3414520</v>
      </c>
    </row>
    <row r="4824" spans="1:6" x14ac:dyDescent="0.25">
      <c r="A4824" s="5">
        <v>3414520</v>
      </c>
      <c r="B4824" s="1">
        <v>2019</v>
      </c>
      <c r="C4824" s="1" t="s">
        <v>1387</v>
      </c>
      <c r="D4824" s="1" t="s">
        <v>773</v>
      </c>
      <c r="E4824" s="8">
        <v>370557</v>
      </c>
      <c r="F4824" s="5">
        <v>3414520</v>
      </c>
    </row>
    <row r="4825" spans="1:6" ht="20" x14ac:dyDescent="0.25">
      <c r="A4825" s="5">
        <v>3414520</v>
      </c>
      <c r="B4825" s="1">
        <v>2020</v>
      </c>
      <c r="C4825" s="1" t="s">
        <v>1387</v>
      </c>
      <c r="D4825" s="2" t="s">
        <v>773</v>
      </c>
      <c r="E4825" s="7">
        <v>373672</v>
      </c>
      <c r="F4825" s="5">
        <v>3414520</v>
      </c>
    </row>
    <row r="4826" spans="1:6" ht="20" x14ac:dyDescent="0.25">
      <c r="A4826" s="5">
        <v>3414520</v>
      </c>
      <c r="B4826" s="1">
        <v>2021</v>
      </c>
      <c r="C4826" s="1" t="s">
        <v>1387</v>
      </c>
      <c r="D4826" s="3" t="s">
        <v>773</v>
      </c>
      <c r="E4826" s="7">
        <v>498134</v>
      </c>
      <c r="F4826" s="5">
        <v>3414520</v>
      </c>
    </row>
    <row r="4827" spans="1:6" ht="20" x14ac:dyDescent="0.25">
      <c r="A4827" s="5">
        <v>3414520</v>
      </c>
      <c r="B4827" s="1">
        <v>2022</v>
      </c>
      <c r="C4827" s="1" t="s">
        <v>1387</v>
      </c>
      <c r="D4827" s="2" t="s">
        <v>773</v>
      </c>
      <c r="E4827" s="7">
        <v>699141</v>
      </c>
      <c r="F4827" s="5">
        <v>3414520</v>
      </c>
    </row>
    <row r="4828" spans="1:6" ht="20" x14ac:dyDescent="0.25">
      <c r="A4828" s="5">
        <v>3414520</v>
      </c>
      <c r="B4828" s="1">
        <v>2023</v>
      </c>
      <c r="C4828" s="1" t="s">
        <v>1387</v>
      </c>
      <c r="D4828" s="2" t="s">
        <v>773</v>
      </c>
      <c r="E4828" s="7">
        <v>646019</v>
      </c>
      <c r="F4828" s="5">
        <v>3414520</v>
      </c>
    </row>
    <row r="4829" spans="1:6" x14ac:dyDescent="0.25">
      <c r="A4829" s="5">
        <v>3414550</v>
      </c>
      <c r="B4829" s="1">
        <v>2015</v>
      </c>
      <c r="C4829" s="1" t="s">
        <v>1387</v>
      </c>
      <c r="D4829" s="1" t="s">
        <v>558</v>
      </c>
      <c r="E4829" s="8">
        <v>572543</v>
      </c>
      <c r="F4829" s="5">
        <v>3414550</v>
      </c>
    </row>
    <row r="4830" spans="1:6" x14ac:dyDescent="0.25">
      <c r="A4830" s="5">
        <v>3414550</v>
      </c>
      <c r="B4830" s="1">
        <v>2016</v>
      </c>
      <c r="C4830" s="1" t="s">
        <v>1387</v>
      </c>
      <c r="D4830" s="1" t="s">
        <v>558</v>
      </c>
      <c r="E4830" s="8">
        <v>818172</v>
      </c>
      <c r="F4830" s="5">
        <v>3414550</v>
      </c>
    </row>
    <row r="4831" spans="1:6" x14ac:dyDescent="0.25">
      <c r="A4831" s="5">
        <v>3414550</v>
      </c>
      <c r="B4831" s="1">
        <v>2017</v>
      </c>
      <c r="C4831" s="1" t="s">
        <v>1387</v>
      </c>
      <c r="D4831" s="1" t="s">
        <v>558</v>
      </c>
      <c r="E4831" s="8">
        <v>1091355</v>
      </c>
      <c r="F4831" s="5">
        <v>3414550</v>
      </c>
    </row>
    <row r="4832" spans="1:6" x14ac:dyDescent="0.25">
      <c r="A4832" s="5">
        <v>3414550</v>
      </c>
      <c r="B4832" s="1">
        <v>2018</v>
      </c>
      <c r="C4832" s="1" t="s">
        <v>1387</v>
      </c>
      <c r="D4832" s="1" t="s">
        <v>1250</v>
      </c>
      <c r="E4832" s="8">
        <v>1456575</v>
      </c>
      <c r="F4832" s="5">
        <v>3414550</v>
      </c>
    </row>
    <row r="4833" spans="1:6" x14ac:dyDescent="0.25">
      <c r="A4833" s="5">
        <v>3414550</v>
      </c>
      <c r="B4833" s="1">
        <v>2019</v>
      </c>
      <c r="C4833" s="1" t="s">
        <v>1387</v>
      </c>
      <c r="D4833" s="1" t="s">
        <v>1250</v>
      </c>
      <c r="E4833" s="8">
        <v>1993138</v>
      </c>
      <c r="F4833" s="5">
        <v>3414550</v>
      </c>
    </row>
    <row r="4834" spans="1:6" ht="20" x14ac:dyDescent="0.25">
      <c r="A4834" s="5">
        <v>3414550</v>
      </c>
      <c r="B4834" s="1">
        <v>2020</v>
      </c>
      <c r="C4834" s="1" t="s">
        <v>1387</v>
      </c>
      <c r="D4834" s="2" t="s">
        <v>1250</v>
      </c>
      <c r="E4834" s="7">
        <v>2125806</v>
      </c>
      <c r="F4834" s="5">
        <v>3414550</v>
      </c>
    </row>
    <row r="4835" spans="1:6" ht="20" x14ac:dyDescent="0.25">
      <c r="A4835" s="5">
        <v>3414550</v>
      </c>
      <c r="B4835" s="1">
        <v>2021</v>
      </c>
      <c r="C4835" s="1" t="s">
        <v>1387</v>
      </c>
      <c r="D4835" s="3" t="s">
        <v>1250</v>
      </c>
      <c r="E4835" s="7">
        <v>2674299</v>
      </c>
      <c r="F4835" s="5">
        <v>3414550</v>
      </c>
    </row>
    <row r="4836" spans="1:6" ht="20" x14ac:dyDescent="0.25">
      <c r="A4836" s="5">
        <v>3414550</v>
      </c>
      <c r="B4836" s="1">
        <v>2022</v>
      </c>
      <c r="C4836" s="1" t="s">
        <v>1387</v>
      </c>
      <c r="D4836" s="2" t="s">
        <v>1250</v>
      </c>
      <c r="E4836" s="7">
        <v>3791684</v>
      </c>
      <c r="F4836" s="5">
        <v>3414550</v>
      </c>
    </row>
    <row r="4837" spans="1:6" ht="20" x14ac:dyDescent="0.25">
      <c r="A4837" s="5">
        <v>3414550</v>
      </c>
      <c r="B4837" s="1">
        <v>2023</v>
      </c>
      <c r="C4837" s="1" t="s">
        <v>1387</v>
      </c>
      <c r="D4837" s="2" t="s">
        <v>1250</v>
      </c>
      <c r="E4837" s="7">
        <v>3550237</v>
      </c>
      <c r="F4837" s="5">
        <v>3414550</v>
      </c>
    </row>
    <row r="4838" spans="1:6" x14ac:dyDescent="0.25">
      <c r="A4838" s="5">
        <v>3414580</v>
      </c>
      <c r="B4838" s="1">
        <v>2015</v>
      </c>
      <c r="C4838" s="1" t="s">
        <v>1387</v>
      </c>
      <c r="D4838" s="1" t="s">
        <v>560</v>
      </c>
      <c r="E4838" s="8">
        <v>167019</v>
      </c>
      <c r="F4838" s="5">
        <v>3414580</v>
      </c>
    </row>
    <row r="4839" spans="1:6" x14ac:dyDescent="0.25">
      <c r="A4839" s="5">
        <v>3414580</v>
      </c>
      <c r="B4839" s="1">
        <v>2016</v>
      </c>
      <c r="C4839" s="1" t="s">
        <v>1387</v>
      </c>
      <c r="D4839" s="1" t="s">
        <v>560</v>
      </c>
      <c r="E4839" s="8">
        <v>253509</v>
      </c>
      <c r="F4839" s="5">
        <v>3414580</v>
      </c>
    </row>
    <row r="4840" spans="1:6" x14ac:dyDescent="0.25">
      <c r="A4840" s="5">
        <v>3414580</v>
      </c>
      <c r="B4840" s="1">
        <v>2017</v>
      </c>
      <c r="C4840" s="1" t="s">
        <v>1387</v>
      </c>
      <c r="D4840" s="1" t="s">
        <v>560</v>
      </c>
      <c r="E4840" s="8">
        <v>341515</v>
      </c>
      <c r="F4840" s="5">
        <v>3414580</v>
      </c>
    </row>
    <row r="4841" spans="1:6" x14ac:dyDescent="0.25">
      <c r="A4841" s="5">
        <v>3414580</v>
      </c>
      <c r="B4841" s="1">
        <v>2018</v>
      </c>
      <c r="C4841" s="1" t="s">
        <v>1387</v>
      </c>
      <c r="D4841" s="1" t="s">
        <v>1252</v>
      </c>
      <c r="E4841" s="8">
        <v>484548</v>
      </c>
      <c r="F4841" s="5">
        <v>3414580</v>
      </c>
    </row>
    <row r="4842" spans="1:6" x14ac:dyDescent="0.25">
      <c r="A4842" s="5">
        <v>3414580</v>
      </c>
      <c r="B4842" s="1">
        <v>2019</v>
      </c>
      <c r="C4842" s="1" t="s">
        <v>1387</v>
      </c>
      <c r="D4842" s="1" t="s">
        <v>1252</v>
      </c>
      <c r="E4842" s="8">
        <v>646312</v>
      </c>
      <c r="F4842" s="5">
        <v>3414580</v>
      </c>
    </row>
    <row r="4843" spans="1:6" ht="20" x14ac:dyDescent="0.25">
      <c r="A4843" s="5">
        <v>3414580</v>
      </c>
      <c r="B4843" s="1">
        <v>2020</v>
      </c>
      <c r="C4843" s="1" t="s">
        <v>1387</v>
      </c>
      <c r="D4843" s="2" t="s">
        <v>1252</v>
      </c>
      <c r="E4843" s="7">
        <v>709052</v>
      </c>
      <c r="F4843" s="5">
        <v>3414580</v>
      </c>
    </row>
    <row r="4844" spans="1:6" ht="20" x14ac:dyDescent="0.25">
      <c r="A4844" s="5">
        <v>3414580</v>
      </c>
      <c r="B4844" s="1">
        <v>2021</v>
      </c>
      <c r="C4844" s="1" t="s">
        <v>1387</v>
      </c>
      <c r="D4844" s="3" t="s">
        <v>1252</v>
      </c>
      <c r="E4844" s="7">
        <v>947775</v>
      </c>
      <c r="F4844" s="5">
        <v>3414580</v>
      </c>
    </row>
    <row r="4845" spans="1:6" ht="20" x14ac:dyDescent="0.25">
      <c r="A4845" s="5">
        <v>3414580</v>
      </c>
      <c r="B4845" s="1">
        <v>2022</v>
      </c>
      <c r="C4845" s="1" t="s">
        <v>1387</v>
      </c>
      <c r="D4845" s="2" t="s">
        <v>1252</v>
      </c>
      <c r="E4845" s="7">
        <v>1401613</v>
      </c>
      <c r="F4845" s="5">
        <v>3414580</v>
      </c>
    </row>
    <row r="4846" spans="1:6" ht="20" x14ac:dyDescent="0.25">
      <c r="A4846" s="5">
        <v>3414580</v>
      </c>
      <c r="B4846" s="1">
        <v>2023</v>
      </c>
      <c r="C4846" s="1" t="s">
        <v>1387</v>
      </c>
      <c r="D4846" s="2" t="s">
        <v>1252</v>
      </c>
      <c r="E4846" s="7">
        <v>1411913</v>
      </c>
      <c r="F4846" s="5">
        <v>3414580</v>
      </c>
    </row>
    <row r="4847" spans="1:6" x14ac:dyDescent="0.25">
      <c r="A4847" s="5">
        <v>3414610</v>
      </c>
      <c r="B4847" s="1">
        <v>2015</v>
      </c>
      <c r="C4847" s="1" t="s">
        <v>1387</v>
      </c>
      <c r="D4847" s="1" t="s">
        <v>600</v>
      </c>
      <c r="E4847" s="8">
        <v>62691</v>
      </c>
      <c r="F4847" s="5">
        <v>3414610</v>
      </c>
    </row>
    <row r="4848" spans="1:6" x14ac:dyDescent="0.25">
      <c r="A4848" s="5">
        <v>3414610</v>
      </c>
      <c r="B4848" s="1">
        <v>2017</v>
      </c>
      <c r="C4848" s="1" t="s">
        <v>1387</v>
      </c>
      <c r="D4848" s="1" t="s">
        <v>678</v>
      </c>
      <c r="E4848" s="8">
        <v>115949</v>
      </c>
      <c r="F4848" s="5">
        <v>3414610</v>
      </c>
    </row>
    <row r="4849" spans="1:6" x14ac:dyDescent="0.25">
      <c r="A4849" s="5">
        <v>3414610</v>
      </c>
      <c r="B4849" s="1">
        <v>2018</v>
      </c>
      <c r="C4849" s="1" t="s">
        <v>1387</v>
      </c>
      <c r="D4849" s="1" t="s">
        <v>1293</v>
      </c>
      <c r="E4849" s="8">
        <v>156801</v>
      </c>
      <c r="F4849" s="5">
        <v>3414610</v>
      </c>
    </row>
    <row r="4850" spans="1:6" x14ac:dyDescent="0.25">
      <c r="A4850" s="5">
        <v>3414610</v>
      </c>
      <c r="B4850" s="1">
        <v>2019</v>
      </c>
      <c r="C4850" s="1" t="s">
        <v>1387</v>
      </c>
      <c r="D4850" s="1" t="s">
        <v>1293</v>
      </c>
      <c r="E4850" s="8">
        <v>227683</v>
      </c>
      <c r="F4850" s="5">
        <v>3414610</v>
      </c>
    </row>
    <row r="4851" spans="1:6" ht="20" x14ac:dyDescent="0.25">
      <c r="A4851" s="5">
        <v>3414610</v>
      </c>
      <c r="B4851" s="1">
        <v>2020</v>
      </c>
      <c r="C4851" s="1" t="s">
        <v>1387</v>
      </c>
      <c r="D4851" s="2" t="s">
        <v>1293</v>
      </c>
      <c r="E4851" s="7">
        <v>253283</v>
      </c>
      <c r="F4851" s="5">
        <v>3414610</v>
      </c>
    </row>
    <row r="4852" spans="1:6" ht="20" x14ac:dyDescent="0.25">
      <c r="A4852" s="5">
        <v>3414610</v>
      </c>
      <c r="B4852" s="1">
        <v>2021</v>
      </c>
      <c r="C4852" s="1" t="s">
        <v>1387</v>
      </c>
      <c r="D4852" s="3" t="s">
        <v>1293</v>
      </c>
      <c r="E4852" s="7">
        <v>282521</v>
      </c>
      <c r="F4852" s="5">
        <v>3414610</v>
      </c>
    </row>
    <row r="4853" spans="1:6" ht="20" x14ac:dyDescent="0.25">
      <c r="A4853" s="5">
        <v>3414610</v>
      </c>
      <c r="B4853" s="1">
        <v>2022</v>
      </c>
      <c r="C4853" s="1" t="s">
        <v>1387</v>
      </c>
      <c r="D4853" s="2" t="s">
        <v>1293</v>
      </c>
      <c r="E4853" s="7">
        <v>251073</v>
      </c>
      <c r="F4853" s="5">
        <v>3414610</v>
      </c>
    </row>
    <row r="4854" spans="1:6" ht="20" x14ac:dyDescent="0.25">
      <c r="A4854" s="5">
        <v>3414610</v>
      </c>
      <c r="B4854" s="1">
        <v>2023</v>
      </c>
      <c r="C4854" s="1" t="s">
        <v>1387</v>
      </c>
      <c r="D4854" s="2" t="s">
        <v>1293</v>
      </c>
      <c r="E4854" s="7">
        <v>391846</v>
      </c>
      <c r="F4854" s="5">
        <v>3414610</v>
      </c>
    </row>
    <row r="4855" spans="1:6" x14ac:dyDescent="0.25">
      <c r="A4855" s="5">
        <v>3414640</v>
      </c>
      <c r="B4855" s="1">
        <v>2015</v>
      </c>
      <c r="C4855" s="1" t="s">
        <v>1387</v>
      </c>
      <c r="D4855" s="1" t="s">
        <v>393</v>
      </c>
      <c r="E4855" s="8">
        <v>1851506</v>
      </c>
      <c r="F4855" s="5">
        <v>3414640</v>
      </c>
    </row>
    <row r="4856" spans="1:6" x14ac:dyDescent="0.25">
      <c r="A4856" s="5">
        <v>3414640</v>
      </c>
      <c r="B4856" s="1">
        <v>2016</v>
      </c>
      <c r="C4856" s="1" t="s">
        <v>1387</v>
      </c>
      <c r="D4856" s="1" t="s">
        <v>393</v>
      </c>
      <c r="E4856" s="8">
        <v>2698178</v>
      </c>
      <c r="F4856" s="5">
        <v>3414640</v>
      </c>
    </row>
    <row r="4857" spans="1:6" x14ac:dyDescent="0.25">
      <c r="A4857" s="5">
        <v>3414640</v>
      </c>
      <c r="B4857" s="1">
        <v>2017</v>
      </c>
      <c r="C4857" s="1" t="s">
        <v>1387</v>
      </c>
      <c r="D4857" s="1" t="s">
        <v>393</v>
      </c>
      <c r="E4857" s="8">
        <v>4068044</v>
      </c>
      <c r="F4857" s="5">
        <v>3414640</v>
      </c>
    </row>
    <row r="4858" spans="1:6" x14ac:dyDescent="0.25">
      <c r="A4858" s="5">
        <v>3414640</v>
      </c>
      <c r="B4858" s="1">
        <v>2018</v>
      </c>
      <c r="C4858" s="1" t="s">
        <v>1387</v>
      </c>
      <c r="D4858" s="1" t="s">
        <v>1085</v>
      </c>
      <c r="E4858" s="8">
        <v>5569904</v>
      </c>
      <c r="F4858" s="5">
        <v>3414640</v>
      </c>
    </row>
    <row r="4859" spans="1:6" x14ac:dyDescent="0.25">
      <c r="A4859" s="5">
        <v>3414640</v>
      </c>
      <c r="B4859" s="1">
        <v>2019</v>
      </c>
      <c r="C4859" s="1" t="s">
        <v>1387</v>
      </c>
      <c r="D4859" s="1" t="s">
        <v>1085</v>
      </c>
      <c r="E4859" s="8">
        <v>7339975</v>
      </c>
      <c r="F4859" s="5">
        <v>3414640</v>
      </c>
    </row>
    <row r="4860" spans="1:6" ht="20" x14ac:dyDescent="0.25">
      <c r="A4860" s="5">
        <v>3414640</v>
      </c>
      <c r="B4860" s="1">
        <v>2020</v>
      </c>
      <c r="C4860" s="1" t="s">
        <v>1387</v>
      </c>
      <c r="D4860" s="2" t="s">
        <v>1085</v>
      </c>
      <c r="E4860" s="7">
        <v>8700396</v>
      </c>
      <c r="F4860" s="5">
        <v>3414640</v>
      </c>
    </row>
    <row r="4861" spans="1:6" ht="20" x14ac:dyDescent="0.25">
      <c r="A4861" s="5">
        <v>3414640</v>
      </c>
      <c r="B4861" s="1">
        <v>2021</v>
      </c>
      <c r="C4861" s="1" t="s">
        <v>1387</v>
      </c>
      <c r="D4861" s="3" t="s">
        <v>1085</v>
      </c>
      <c r="E4861" s="7">
        <v>11353589</v>
      </c>
      <c r="F4861" s="5">
        <v>3414640</v>
      </c>
    </row>
    <row r="4862" spans="1:6" ht="20" x14ac:dyDescent="0.25">
      <c r="A4862" s="5">
        <v>3414640</v>
      </c>
      <c r="B4862" s="1">
        <v>2022</v>
      </c>
      <c r="C4862" s="1" t="s">
        <v>1387</v>
      </c>
      <c r="D4862" s="2" t="s">
        <v>1085</v>
      </c>
      <c r="E4862" s="7">
        <v>16587011</v>
      </c>
      <c r="F4862" s="5">
        <v>3414640</v>
      </c>
    </row>
    <row r="4863" spans="1:6" ht="20" x14ac:dyDescent="0.25">
      <c r="A4863" s="5">
        <v>3414640</v>
      </c>
      <c r="B4863" s="1">
        <v>2023</v>
      </c>
      <c r="C4863" s="1" t="s">
        <v>1387</v>
      </c>
      <c r="D4863" s="2" t="s">
        <v>1085</v>
      </c>
      <c r="E4863" s="7">
        <v>16892023</v>
      </c>
      <c r="F4863" s="5">
        <v>3414640</v>
      </c>
    </row>
    <row r="4864" spans="1:6" x14ac:dyDescent="0.25">
      <c r="A4864" s="5">
        <v>3414670</v>
      </c>
      <c r="B4864" s="1">
        <v>2015</v>
      </c>
      <c r="C4864" s="1" t="s">
        <v>1387</v>
      </c>
      <c r="D4864" s="1" t="s">
        <v>628</v>
      </c>
      <c r="E4864" s="8">
        <v>1779154</v>
      </c>
      <c r="F4864" s="5">
        <v>3414670</v>
      </c>
    </row>
    <row r="4865" spans="1:6" x14ac:dyDescent="0.25">
      <c r="A4865" s="5">
        <v>3414670</v>
      </c>
      <c r="B4865" s="1">
        <v>2016</v>
      </c>
      <c r="C4865" s="1" t="s">
        <v>1387</v>
      </c>
      <c r="D4865" s="1" t="s">
        <v>628</v>
      </c>
      <c r="E4865" s="8">
        <v>2614592</v>
      </c>
      <c r="F4865" s="5">
        <v>3414670</v>
      </c>
    </row>
    <row r="4866" spans="1:6" x14ac:dyDescent="0.25">
      <c r="A4866" s="5">
        <v>3414670</v>
      </c>
      <c r="B4866" s="1">
        <v>2017</v>
      </c>
      <c r="C4866" s="1" t="s">
        <v>1387</v>
      </c>
      <c r="D4866" s="1" t="s">
        <v>628</v>
      </c>
      <c r="E4866" s="8">
        <v>3707352</v>
      </c>
      <c r="F4866" s="5">
        <v>3414670</v>
      </c>
    </row>
    <row r="4867" spans="1:6" x14ac:dyDescent="0.25">
      <c r="A4867" s="5">
        <v>3414670</v>
      </c>
      <c r="B4867" s="1">
        <v>2018</v>
      </c>
      <c r="C4867" s="1" t="s">
        <v>1387</v>
      </c>
      <c r="D4867" s="1" t="s">
        <v>1321</v>
      </c>
      <c r="E4867" s="8">
        <v>4980130</v>
      </c>
      <c r="F4867" s="5">
        <v>3414670</v>
      </c>
    </row>
    <row r="4868" spans="1:6" x14ac:dyDescent="0.25">
      <c r="A4868" s="5">
        <v>3414670</v>
      </c>
      <c r="B4868" s="1">
        <v>2019</v>
      </c>
      <c r="C4868" s="1" t="s">
        <v>1387</v>
      </c>
      <c r="D4868" s="1" t="s">
        <v>1321</v>
      </c>
      <c r="E4868" s="8">
        <v>6863225</v>
      </c>
      <c r="F4868" s="5">
        <v>3414670</v>
      </c>
    </row>
    <row r="4869" spans="1:6" ht="20" x14ac:dyDescent="0.25">
      <c r="A4869" s="5">
        <v>3414670</v>
      </c>
      <c r="B4869" s="1">
        <v>2020</v>
      </c>
      <c r="C4869" s="1" t="s">
        <v>1387</v>
      </c>
      <c r="D4869" s="2" t="s">
        <v>1321</v>
      </c>
      <c r="E4869" s="7">
        <v>7966826</v>
      </c>
      <c r="F4869" s="5">
        <v>3414670</v>
      </c>
    </row>
    <row r="4870" spans="1:6" ht="20" x14ac:dyDescent="0.25">
      <c r="A4870" s="5">
        <v>3414670</v>
      </c>
      <c r="B4870" s="1">
        <v>2021</v>
      </c>
      <c r="C4870" s="1" t="s">
        <v>1387</v>
      </c>
      <c r="D4870" s="3" t="s">
        <v>1321</v>
      </c>
      <c r="E4870" s="7">
        <v>10067187</v>
      </c>
      <c r="F4870" s="5">
        <v>3414670</v>
      </c>
    </row>
    <row r="4871" spans="1:6" ht="20" x14ac:dyDescent="0.25">
      <c r="A4871" s="5">
        <v>3414670</v>
      </c>
      <c r="B4871" s="1">
        <v>2022</v>
      </c>
      <c r="C4871" s="1" t="s">
        <v>1387</v>
      </c>
      <c r="D4871" s="2" t="s">
        <v>1321</v>
      </c>
      <c r="E4871" s="7">
        <v>14706695</v>
      </c>
      <c r="F4871" s="5">
        <v>3414670</v>
      </c>
    </row>
    <row r="4872" spans="1:6" ht="20" x14ac:dyDescent="0.25">
      <c r="A4872" s="5">
        <v>3414670</v>
      </c>
      <c r="B4872" s="1">
        <v>2023</v>
      </c>
      <c r="C4872" s="1" t="s">
        <v>1387</v>
      </c>
      <c r="D4872" s="2" t="s">
        <v>1321</v>
      </c>
      <c r="E4872" s="7">
        <v>14952647</v>
      </c>
      <c r="F4872" s="5">
        <v>3414670</v>
      </c>
    </row>
    <row r="4873" spans="1:6" x14ac:dyDescent="0.25">
      <c r="A4873" s="5">
        <v>3414730</v>
      </c>
      <c r="B4873" s="1">
        <v>2015</v>
      </c>
      <c r="C4873" s="1" t="s">
        <v>1387</v>
      </c>
      <c r="D4873" s="1" t="s">
        <v>444</v>
      </c>
      <c r="E4873" s="8">
        <v>77067</v>
      </c>
      <c r="F4873" s="5">
        <v>3414730</v>
      </c>
    </row>
    <row r="4874" spans="1:6" x14ac:dyDescent="0.25">
      <c r="A4874" s="5">
        <v>3414730</v>
      </c>
      <c r="B4874" s="1">
        <v>2016</v>
      </c>
      <c r="C4874" s="1" t="s">
        <v>1387</v>
      </c>
      <c r="D4874" s="1" t="s">
        <v>444</v>
      </c>
      <c r="E4874" s="8">
        <v>117150</v>
      </c>
      <c r="F4874" s="5">
        <v>3414730</v>
      </c>
    </row>
    <row r="4875" spans="1:6" x14ac:dyDescent="0.25">
      <c r="A4875" s="5">
        <v>3414730</v>
      </c>
      <c r="B4875" s="1">
        <v>2017</v>
      </c>
      <c r="C4875" s="1" t="s">
        <v>1387</v>
      </c>
      <c r="D4875" s="1" t="s">
        <v>444</v>
      </c>
      <c r="E4875" s="8">
        <v>166850</v>
      </c>
      <c r="F4875" s="5">
        <v>3414730</v>
      </c>
    </row>
    <row r="4876" spans="1:6" x14ac:dyDescent="0.25">
      <c r="A4876" s="5">
        <v>3414730</v>
      </c>
      <c r="B4876" s="1">
        <v>2018</v>
      </c>
      <c r="C4876" s="1" t="s">
        <v>1387</v>
      </c>
      <c r="D4876" s="1" t="s">
        <v>1136</v>
      </c>
      <c r="E4876" s="8">
        <v>218530</v>
      </c>
      <c r="F4876" s="5">
        <v>3414730</v>
      </c>
    </row>
    <row r="4877" spans="1:6" x14ac:dyDescent="0.25">
      <c r="A4877" s="5">
        <v>3414730</v>
      </c>
      <c r="B4877" s="1">
        <v>2019</v>
      </c>
      <c r="C4877" s="1" t="s">
        <v>1387</v>
      </c>
      <c r="D4877" s="1" t="s">
        <v>1136</v>
      </c>
      <c r="E4877" s="8">
        <v>252891</v>
      </c>
      <c r="F4877" s="5">
        <v>3414730</v>
      </c>
    </row>
    <row r="4878" spans="1:6" ht="20" x14ac:dyDescent="0.25">
      <c r="A4878" s="5">
        <v>3414730</v>
      </c>
      <c r="B4878" s="1">
        <v>2020</v>
      </c>
      <c r="C4878" s="1" t="s">
        <v>1387</v>
      </c>
      <c r="D4878" s="2" t="s">
        <v>1136</v>
      </c>
      <c r="E4878" s="7">
        <v>307978</v>
      </c>
      <c r="F4878" s="5">
        <v>3414730</v>
      </c>
    </row>
    <row r="4879" spans="1:6" ht="20" x14ac:dyDescent="0.25">
      <c r="A4879" s="5">
        <v>3414730</v>
      </c>
      <c r="B4879" s="1">
        <v>2021</v>
      </c>
      <c r="C4879" s="1" t="s">
        <v>1387</v>
      </c>
      <c r="D4879" s="3" t="s">
        <v>1136</v>
      </c>
      <c r="E4879" s="7">
        <v>441888</v>
      </c>
      <c r="F4879" s="5">
        <v>3414730</v>
      </c>
    </row>
    <row r="4880" spans="1:6" ht="20" x14ac:dyDescent="0.25">
      <c r="A4880" s="5">
        <v>3414730</v>
      </c>
      <c r="B4880" s="1">
        <v>2022</v>
      </c>
      <c r="C4880" s="1" t="s">
        <v>1387</v>
      </c>
      <c r="D4880" s="2" t="s">
        <v>1136</v>
      </c>
      <c r="E4880" s="7">
        <v>635242</v>
      </c>
      <c r="F4880" s="5">
        <v>3414730</v>
      </c>
    </row>
    <row r="4881" spans="1:6" ht="20" x14ac:dyDescent="0.25">
      <c r="A4881" s="5">
        <v>3414730</v>
      </c>
      <c r="B4881" s="1">
        <v>2023</v>
      </c>
      <c r="C4881" s="1" t="s">
        <v>1387</v>
      </c>
      <c r="D4881" s="2" t="s">
        <v>1136</v>
      </c>
      <c r="E4881" s="7">
        <v>713455</v>
      </c>
      <c r="F4881" s="5">
        <v>3414730</v>
      </c>
    </row>
    <row r="4882" spans="1:6" x14ac:dyDescent="0.25">
      <c r="A4882" s="5">
        <v>3414790</v>
      </c>
      <c r="B4882" s="1">
        <v>2015</v>
      </c>
      <c r="C4882" s="1" t="s">
        <v>1387</v>
      </c>
      <c r="D4882" s="1" t="s">
        <v>517</v>
      </c>
      <c r="E4882" s="8">
        <v>76538</v>
      </c>
      <c r="F4882" s="5">
        <v>3414790</v>
      </c>
    </row>
    <row r="4883" spans="1:6" x14ac:dyDescent="0.25">
      <c r="A4883" s="5">
        <v>3414790</v>
      </c>
      <c r="B4883" s="1">
        <v>2016</v>
      </c>
      <c r="C4883" s="1" t="s">
        <v>1387</v>
      </c>
      <c r="D4883" s="1" t="s">
        <v>517</v>
      </c>
      <c r="E4883" s="8">
        <v>111706</v>
      </c>
      <c r="F4883" s="5">
        <v>3414790</v>
      </c>
    </row>
    <row r="4884" spans="1:6" x14ac:dyDescent="0.25">
      <c r="A4884" s="5">
        <v>3414790</v>
      </c>
      <c r="B4884" s="1">
        <v>2017</v>
      </c>
      <c r="C4884" s="1" t="s">
        <v>1387</v>
      </c>
      <c r="D4884" s="1" t="s">
        <v>517</v>
      </c>
      <c r="E4884" s="8">
        <v>173368</v>
      </c>
      <c r="F4884" s="5">
        <v>3414790</v>
      </c>
    </row>
    <row r="4885" spans="1:6" x14ac:dyDescent="0.25">
      <c r="A4885" s="5">
        <v>3414790</v>
      </c>
      <c r="B4885" s="1">
        <v>2018</v>
      </c>
      <c r="C4885" s="1" t="s">
        <v>1387</v>
      </c>
      <c r="D4885" s="1" t="s">
        <v>1209</v>
      </c>
      <c r="E4885" s="8">
        <v>253004</v>
      </c>
      <c r="F4885" s="5">
        <v>3414790</v>
      </c>
    </row>
    <row r="4886" spans="1:6" x14ac:dyDescent="0.25">
      <c r="A4886" s="5">
        <v>3414790</v>
      </c>
      <c r="B4886" s="1">
        <v>2019</v>
      </c>
      <c r="C4886" s="1" t="s">
        <v>1387</v>
      </c>
      <c r="D4886" s="1" t="s">
        <v>1209</v>
      </c>
      <c r="E4886" s="8">
        <v>327898</v>
      </c>
      <c r="F4886" s="5">
        <v>3414790</v>
      </c>
    </row>
    <row r="4887" spans="1:6" ht="20" x14ac:dyDescent="0.25">
      <c r="A4887" s="5">
        <v>3414790</v>
      </c>
      <c r="B4887" s="1">
        <v>2020</v>
      </c>
      <c r="C4887" s="1" t="s">
        <v>1387</v>
      </c>
      <c r="D4887" s="2" t="s">
        <v>1209</v>
      </c>
      <c r="E4887" s="7">
        <v>382369</v>
      </c>
      <c r="F4887" s="5">
        <v>3414790</v>
      </c>
    </row>
    <row r="4888" spans="1:6" ht="20" x14ac:dyDescent="0.25">
      <c r="A4888" s="5">
        <v>3414790</v>
      </c>
      <c r="B4888" s="1">
        <v>2021</v>
      </c>
      <c r="C4888" s="1" t="s">
        <v>1387</v>
      </c>
      <c r="D4888" s="3" t="s">
        <v>1209</v>
      </c>
      <c r="E4888" s="7">
        <v>483226</v>
      </c>
      <c r="F4888" s="5">
        <v>3414790</v>
      </c>
    </row>
    <row r="4889" spans="1:6" ht="20" x14ac:dyDescent="0.25">
      <c r="A4889" s="5">
        <v>3414790</v>
      </c>
      <c r="B4889" s="1">
        <v>2022</v>
      </c>
      <c r="C4889" s="1" t="s">
        <v>1387</v>
      </c>
      <c r="D4889" s="2" t="s">
        <v>1209</v>
      </c>
      <c r="E4889" s="7">
        <v>718373</v>
      </c>
      <c r="F4889" s="5">
        <v>3414790</v>
      </c>
    </row>
    <row r="4890" spans="1:6" ht="20" x14ac:dyDescent="0.25">
      <c r="A4890" s="5">
        <v>3414790</v>
      </c>
      <c r="B4890" s="1">
        <v>2023</v>
      </c>
      <c r="C4890" s="1" t="s">
        <v>1387</v>
      </c>
      <c r="D4890" s="2" t="s">
        <v>1209</v>
      </c>
      <c r="E4890" s="7">
        <v>776492</v>
      </c>
      <c r="F4890" s="5">
        <v>3414790</v>
      </c>
    </row>
    <row r="4891" spans="1:6" x14ac:dyDescent="0.25">
      <c r="A4891" s="5">
        <v>3414820</v>
      </c>
      <c r="B4891" s="1">
        <v>2015</v>
      </c>
      <c r="C4891" s="1" t="s">
        <v>1387</v>
      </c>
      <c r="D4891" s="1" t="s">
        <v>518</v>
      </c>
      <c r="E4891" s="8">
        <v>1351</v>
      </c>
      <c r="F4891" s="5">
        <v>3414820</v>
      </c>
    </row>
    <row r="4892" spans="1:6" x14ac:dyDescent="0.25">
      <c r="A4892" s="5">
        <v>3414820</v>
      </c>
      <c r="B4892" s="1">
        <v>2016</v>
      </c>
      <c r="C4892" s="1" t="s">
        <v>1387</v>
      </c>
      <c r="D4892" s="1" t="s">
        <v>518</v>
      </c>
      <c r="E4892" s="8">
        <v>1979</v>
      </c>
      <c r="F4892" s="5">
        <v>3414820</v>
      </c>
    </row>
    <row r="4893" spans="1:6" x14ac:dyDescent="0.25">
      <c r="A4893" s="5">
        <v>3414820</v>
      </c>
      <c r="B4893" s="1">
        <v>2017</v>
      </c>
      <c r="C4893" s="1" t="s">
        <v>1387</v>
      </c>
      <c r="D4893" s="1" t="s">
        <v>518</v>
      </c>
      <c r="E4893" s="8">
        <v>2862</v>
      </c>
      <c r="F4893" s="5">
        <v>3414820</v>
      </c>
    </row>
    <row r="4894" spans="1:6" x14ac:dyDescent="0.25">
      <c r="A4894" s="5">
        <v>3414820</v>
      </c>
      <c r="B4894" s="1">
        <v>2018</v>
      </c>
      <c r="C4894" s="1" t="s">
        <v>1387</v>
      </c>
      <c r="D4894" s="1" t="s">
        <v>1210</v>
      </c>
      <c r="E4894" s="8">
        <v>3805</v>
      </c>
      <c r="F4894" s="5">
        <v>3414820</v>
      </c>
    </row>
    <row r="4895" spans="1:6" x14ac:dyDescent="0.25">
      <c r="A4895" s="5">
        <v>3414820</v>
      </c>
      <c r="B4895" s="1">
        <v>2019</v>
      </c>
      <c r="C4895" s="1" t="s">
        <v>1387</v>
      </c>
      <c r="D4895" s="1" t="s">
        <v>1210</v>
      </c>
      <c r="E4895" s="8">
        <v>4966</v>
      </c>
      <c r="F4895" s="5">
        <v>3414820</v>
      </c>
    </row>
    <row r="4896" spans="1:6" ht="20" x14ac:dyDescent="0.25">
      <c r="A4896" s="5">
        <v>3414820</v>
      </c>
      <c r="B4896" s="1">
        <v>2020</v>
      </c>
      <c r="C4896" s="1" t="s">
        <v>1387</v>
      </c>
      <c r="D4896" s="2" t="s">
        <v>1210</v>
      </c>
      <c r="E4896" s="7">
        <v>5498</v>
      </c>
      <c r="F4896" s="5">
        <v>3414820</v>
      </c>
    </row>
    <row r="4897" spans="1:6" ht="20" x14ac:dyDescent="0.25">
      <c r="A4897" s="5">
        <v>3414820</v>
      </c>
      <c r="B4897" s="1">
        <v>2021</v>
      </c>
      <c r="C4897" s="1" t="s">
        <v>1387</v>
      </c>
      <c r="D4897" s="3" t="s">
        <v>1210</v>
      </c>
      <c r="E4897" s="7">
        <v>6957</v>
      </c>
      <c r="F4897" s="5">
        <v>3414820</v>
      </c>
    </row>
    <row r="4898" spans="1:6" ht="20" x14ac:dyDescent="0.25">
      <c r="A4898" s="5">
        <v>3414820</v>
      </c>
      <c r="B4898" s="1">
        <v>2022</v>
      </c>
      <c r="C4898" s="1" t="s">
        <v>1387</v>
      </c>
      <c r="D4898" s="2" t="s">
        <v>1210</v>
      </c>
      <c r="E4898" s="7">
        <v>9695</v>
      </c>
      <c r="F4898" s="5">
        <v>3414820</v>
      </c>
    </row>
    <row r="4899" spans="1:6" ht="20" x14ac:dyDescent="0.25">
      <c r="A4899" s="5">
        <v>3414820</v>
      </c>
      <c r="B4899" s="1">
        <v>2023</v>
      </c>
      <c r="C4899" s="1" t="s">
        <v>1387</v>
      </c>
      <c r="D4899" s="2" t="s">
        <v>1210</v>
      </c>
      <c r="E4899" s="7">
        <v>9507</v>
      </c>
      <c r="F4899" s="5">
        <v>3414820</v>
      </c>
    </row>
    <row r="4900" spans="1:6" x14ac:dyDescent="0.25">
      <c r="A4900" s="5">
        <v>3414850</v>
      </c>
      <c r="B4900" s="1">
        <v>2015</v>
      </c>
      <c r="C4900" s="1" t="s">
        <v>1387</v>
      </c>
      <c r="D4900" s="1" t="s">
        <v>319</v>
      </c>
      <c r="E4900" s="8">
        <v>771279</v>
      </c>
      <c r="F4900" s="5">
        <v>3414850</v>
      </c>
    </row>
    <row r="4901" spans="1:6" x14ac:dyDescent="0.25">
      <c r="A4901" s="5">
        <v>3414850</v>
      </c>
      <c r="B4901" s="1">
        <v>2016</v>
      </c>
      <c r="C4901" s="1" t="s">
        <v>1387</v>
      </c>
      <c r="D4901" s="1" t="s">
        <v>319</v>
      </c>
      <c r="E4901" s="8">
        <v>1187394</v>
      </c>
      <c r="F4901" s="5">
        <v>3414850</v>
      </c>
    </row>
    <row r="4902" spans="1:6" x14ac:dyDescent="0.25">
      <c r="A4902" s="5">
        <v>3414850</v>
      </c>
      <c r="B4902" s="1">
        <v>2017</v>
      </c>
      <c r="C4902" s="1" t="s">
        <v>1387</v>
      </c>
      <c r="D4902" s="1" t="s">
        <v>319</v>
      </c>
      <c r="E4902" s="8">
        <v>1663395</v>
      </c>
      <c r="F4902" s="5">
        <v>3414850</v>
      </c>
    </row>
    <row r="4903" spans="1:6" x14ac:dyDescent="0.25">
      <c r="A4903" s="5">
        <v>3414850</v>
      </c>
      <c r="B4903" s="1">
        <v>2018</v>
      </c>
      <c r="C4903" s="1" t="s">
        <v>1387</v>
      </c>
      <c r="D4903" s="1" t="s">
        <v>1012</v>
      </c>
      <c r="E4903" s="8">
        <v>2239233</v>
      </c>
      <c r="F4903" s="5">
        <v>3414850</v>
      </c>
    </row>
    <row r="4904" spans="1:6" x14ac:dyDescent="0.25">
      <c r="A4904" s="5">
        <v>3414850</v>
      </c>
      <c r="B4904" s="1">
        <v>2019</v>
      </c>
      <c r="C4904" s="1" t="s">
        <v>1387</v>
      </c>
      <c r="D4904" s="1" t="s">
        <v>1012</v>
      </c>
      <c r="E4904" s="8">
        <v>2966519</v>
      </c>
      <c r="F4904" s="5">
        <v>3414850</v>
      </c>
    </row>
    <row r="4905" spans="1:6" ht="20" x14ac:dyDescent="0.25">
      <c r="A4905" s="5">
        <v>3414850</v>
      </c>
      <c r="B4905" s="1">
        <v>2020</v>
      </c>
      <c r="C4905" s="1" t="s">
        <v>1387</v>
      </c>
      <c r="D4905" s="2" t="s">
        <v>1012</v>
      </c>
      <c r="E4905" s="7">
        <v>3429089</v>
      </c>
      <c r="F4905" s="5">
        <v>3414850</v>
      </c>
    </row>
    <row r="4906" spans="1:6" ht="20" x14ac:dyDescent="0.25">
      <c r="A4906" s="5">
        <v>3414850</v>
      </c>
      <c r="B4906" s="1">
        <v>2021</v>
      </c>
      <c r="C4906" s="1" t="s">
        <v>1387</v>
      </c>
      <c r="D4906" s="3" t="s">
        <v>1012</v>
      </c>
      <c r="E4906" s="7">
        <v>4479395</v>
      </c>
      <c r="F4906" s="5">
        <v>3414850</v>
      </c>
    </row>
    <row r="4907" spans="1:6" ht="20" x14ac:dyDescent="0.25">
      <c r="A4907" s="5">
        <v>3414850</v>
      </c>
      <c r="B4907" s="1">
        <v>2022</v>
      </c>
      <c r="C4907" s="1" t="s">
        <v>1387</v>
      </c>
      <c r="D4907" s="2" t="s">
        <v>1012</v>
      </c>
      <c r="E4907" s="7">
        <v>6416781</v>
      </c>
      <c r="F4907" s="5">
        <v>3414850</v>
      </c>
    </row>
    <row r="4908" spans="1:6" ht="20" x14ac:dyDescent="0.25">
      <c r="A4908" s="5">
        <v>3414850</v>
      </c>
      <c r="B4908" s="1">
        <v>2023</v>
      </c>
      <c r="C4908" s="1" t="s">
        <v>1387</v>
      </c>
      <c r="D4908" s="2" t="s">
        <v>1012</v>
      </c>
      <c r="E4908" s="7">
        <v>6193971</v>
      </c>
      <c r="F4908" s="5">
        <v>3414850</v>
      </c>
    </row>
    <row r="4909" spans="1:6" x14ac:dyDescent="0.25">
      <c r="A4909" s="5">
        <v>3414880</v>
      </c>
      <c r="B4909" s="1">
        <v>2015</v>
      </c>
      <c r="C4909" s="1" t="s">
        <v>1387</v>
      </c>
      <c r="D4909" s="1" t="s">
        <v>141</v>
      </c>
      <c r="E4909" s="8">
        <v>310103</v>
      </c>
      <c r="F4909" s="5">
        <v>3414880</v>
      </c>
    </row>
    <row r="4910" spans="1:6" x14ac:dyDescent="0.25">
      <c r="A4910" s="5">
        <v>3414880</v>
      </c>
      <c r="B4910" s="1">
        <v>2016</v>
      </c>
      <c r="C4910" s="1" t="s">
        <v>1387</v>
      </c>
      <c r="D4910" s="1" t="s">
        <v>141</v>
      </c>
      <c r="E4910" s="8">
        <v>453679</v>
      </c>
      <c r="F4910" s="5">
        <v>3414880</v>
      </c>
    </row>
    <row r="4911" spans="1:6" x14ac:dyDescent="0.25">
      <c r="A4911" s="5">
        <v>3414880</v>
      </c>
      <c r="B4911" s="1">
        <v>2017</v>
      </c>
      <c r="C4911" s="1" t="s">
        <v>1387</v>
      </c>
      <c r="D4911" s="1" t="s">
        <v>141</v>
      </c>
      <c r="E4911" s="8">
        <v>620884</v>
      </c>
      <c r="F4911" s="5">
        <v>3414880</v>
      </c>
    </row>
    <row r="4912" spans="1:6" x14ac:dyDescent="0.25">
      <c r="A4912" s="5">
        <v>3414880</v>
      </c>
      <c r="B4912" s="1">
        <v>2018</v>
      </c>
      <c r="C4912" s="1" t="s">
        <v>1387</v>
      </c>
      <c r="D4912" s="1" t="s">
        <v>822</v>
      </c>
      <c r="E4912" s="8">
        <v>846351</v>
      </c>
      <c r="F4912" s="5">
        <v>3414880</v>
      </c>
    </row>
    <row r="4913" spans="1:6" x14ac:dyDescent="0.25">
      <c r="A4913" s="5">
        <v>3414880</v>
      </c>
      <c r="B4913" s="1">
        <v>2019</v>
      </c>
      <c r="C4913" s="1" t="s">
        <v>1387</v>
      </c>
      <c r="D4913" s="1" t="s">
        <v>822</v>
      </c>
      <c r="E4913" s="8">
        <v>1176517</v>
      </c>
      <c r="F4913" s="5">
        <v>3414880</v>
      </c>
    </row>
    <row r="4914" spans="1:6" ht="20" x14ac:dyDescent="0.25">
      <c r="A4914" s="5">
        <v>3414880</v>
      </c>
      <c r="B4914" s="1">
        <v>2020</v>
      </c>
      <c r="C4914" s="1" t="s">
        <v>1387</v>
      </c>
      <c r="D4914" s="2" t="s">
        <v>822</v>
      </c>
      <c r="E4914" s="7">
        <v>1291244</v>
      </c>
      <c r="F4914" s="5">
        <v>3414880</v>
      </c>
    </row>
    <row r="4915" spans="1:6" ht="20" x14ac:dyDescent="0.25">
      <c r="A4915" s="5">
        <v>3414880</v>
      </c>
      <c r="B4915" s="1">
        <v>2021</v>
      </c>
      <c r="C4915" s="1" t="s">
        <v>1387</v>
      </c>
      <c r="D4915" s="3" t="s">
        <v>822</v>
      </c>
      <c r="E4915" s="7">
        <v>1687667</v>
      </c>
      <c r="F4915" s="5">
        <v>3414880</v>
      </c>
    </row>
    <row r="4916" spans="1:6" ht="20" x14ac:dyDescent="0.25">
      <c r="A4916" s="5">
        <v>3414880</v>
      </c>
      <c r="B4916" s="1">
        <v>2022</v>
      </c>
      <c r="C4916" s="1" t="s">
        <v>1387</v>
      </c>
      <c r="D4916" s="2" t="s">
        <v>822</v>
      </c>
      <c r="E4916" s="7">
        <v>2362775</v>
      </c>
      <c r="F4916" s="5">
        <v>3414880</v>
      </c>
    </row>
    <row r="4917" spans="1:6" ht="20" x14ac:dyDescent="0.25">
      <c r="A4917" s="5">
        <v>3414880</v>
      </c>
      <c r="B4917" s="1">
        <v>2023</v>
      </c>
      <c r="C4917" s="1" t="s">
        <v>1387</v>
      </c>
      <c r="D4917" s="2" t="s">
        <v>822</v>
      </c>
      <c r="E4917" s="7">
        <v>2228277</v>
      </c>
      <c r="F4917" s="5">
        <v>3414880</v>
      </c>
    </row>
    <row r="4918" spans="1:6" x14ac:dyDescent="0.25">
      <c r="A4918" s="5">
        <v>3414940</v>
      </c>
      <c r="B4918" s="1">
        <v>2015</v>
      </c>
      <c r="C4918" s="1" t="s">
        <v>1387</v>
      </c>
      <c r="D4918" s="1" t="s">
        <v>445</v>
      </c>
      <c r="E4918" s="8">
        <v>288753</v>
      </c>
      <c r="F4918" s="5">
        <v>3414940</v>
      </c>
    </row>
    <row r="4919" spans="1:6" x14ac:dyDescent="0.25">
      <c r="A4919" s="5">
        <v>3414940</v>
      </c>
      <c r="B4919" s="1">
        <v>2016</v>
      </c>
      <c r="C4919" s="1" t="s">
        <v>1387</v>
      </c>
      <c r="D4919" s="1" t="s">
        <v>445</v>
      </c>
      <c r="E4919" s="8">
        <v>426726</v>
      </c>
      <c r="F4919" s="5">
        <v>3414940</v>
      </c>
    </row>
    <row r="4920" spans="1:6" x14ac:dyDescent="0.25">
      <c r="A4920" s="5">
        <v>3414940</v>
      </c>
      <c r="B4920" s="1">
        <v>2017</v>
      </c>
      <c r="C4920" s="1" t="s">
        <v>1387</v>
      </c>
      <c r="D4920" s="1" t="s">
        <v>445</v>
      </c>
      <c r="E4920" s="8">
        <v>621651</v>
      </c>
      <c r="F4920" s="5">
        <v>3414940</v>
      </c>
    </row>
    <row r="4921" spans="1:6" x14ac:dyDescent="0.25">
      <c r="A4921" s="5">
        <v>3414940</v>
      </c>
      <c r="B4921" s="1">
        <v>2018</v>
      </c>
      <c r="C4921" s="1" t="s">
        <v>1387</v>
      </c>
      <c r="D4921" s="1" t="s">
        <v>1137</v>
      </c>
      <c r="E4921" s="8">
        <v>821052</v>
      </c>
      <c r="F4921" s="5">
        <v>3414940</v>
      </c>
    </row>
    <row r="4922" spans="1:6" x14ac:dyDescent="0.25">
      <c r="A4922" s="5">
        <v>3414940</v>
      </c>
      <c r="B4922" s="1">
        <v>2019</v>
      </c>
      <c r="C4922" s="1" t="s">
        <v>1387</v>
      </c>
      <c r="D4922" s="1" t="s">
        <v>1137</v>
      </c>
      <c r="E4922" s="8">
        <v>1120537</v>
      </c>
      <c r="F4922" s="5">
        <v>3414940</v>
      </c>
    </row>
    <row r="4923" spans="1:6" ht="20" x14ac:dyDescent="0.25">
      <c r="A4923" s="5">
        <v>3414940</v>
      </c>
      <c r="B4923" s="1">
        <v>2020</v>
      </c>
      <c r="C4923" s="1" t="s">
        <v>1387</v>
      </c>
      <c r="D4923" s="2" t="s">
        <v>1137</v>
      </c>
      <c r="E4923" s="7">
        <v>1255214</v>
      </c>
      <c r="F4923" s="5">
        <v>3414940</v>
      </c>
    </row>
    <row r="4924" spans="1:6" ht="20" x14ac:dyDescent="0.25">
      <c r="A4924" s="5">
        <v>3414940</v>
      </c>
      <c r="B4924" s="1">
        <v>2021</v>
      </c>
      <c r="C4924" s="1" t="s">
        <v>1387</v>
      </c>
      <c r="D4924" s="3" t="s">
        <v>1137</v>
      </c>
      <c r="E4924" s="7">
        <v>1593039</v>
      </c>
      <c r="F4924" s="5">
        <v>3414940</v>
      </c>
    </row>
    <row r="4925" spans="1:6" ht="20" x14ac:dyDescent="0.25">
      <c r="A4925" s="5">
        <v>3414940</v>
      </c>
      <c r="B4925" s="1">
        <v>2022</v>
      </c>
      <c r="C4925" s="1" t="s">
        <v>1387</v>
      </c>
      <c r="D4925" s="2" t="s">
        <v>1137</v>
      </c>
      <c r="E4925" s="7">
        <v>2207016</v>
      </c>
      <c r="F4925" s="5">
        <v>3414940</v>
      </c>
    </row>
    <row r="4926" spans="1:6" ht="20" x14ac:dyDescent="0.25">
      <c r="A4926" s="5">
        <v>3414940</v>
      </c>
      <c r="B4926" s="1">
        <v>2023</v>
      </c>
      <c r="C4926" s="1" t="s">
        <v>1387</v>
      </c>
      <c r="D4926" s="2" t="s">
        <v>1137</v>
      </c>
      <c r="E4926" s="7">
        <v>2090983</v>
      </c>
      <c r="F4926" s="5">
        <v>3414940</v>
      </c>
    </row>
    <row r="4927" spans="1:6" x14ac:dyDescent="0.25">
      <c r="A4927" s="5">
        <v>3414970</v>
      </c>
      <c r="B4927" s="1">
        <v>2015</v>
      </c>
      <c r="C4927" s="1" t="s">
        <v>1387</v>
      </c>
      <c r="D4927" s="1" t="s">
        <v>446</v>
      </c>
      <c r="E4927" s="8">
        <v>188810</v>
      </c>
      <c r="F4927" s="5">
        <v>3414970</v>
      </c>
    </row>
    <row r="4928" spans="1:6" x14ac:dyDescent="0.25">
      <c r="A4928" s="5">
        <v>3414970</v>
      </c>
      <c r="B4928" s="1">
        <v>2016</v>
      </c>
      <c r="C4928" s="1" t="s">
        <v>1387</v>
      </c>
      <c r="D4928" s="1" t="s">
        <v>446</v>
      </c>
      <c r="E4928" s="8">
        <v>267814</v>
      </c>
      <c r="F4928" s="5">
        <v>3414970</v>
      </c>
    </row>
    <row r="4929" spans="1:6" x14ac:dyDescent="0.25">
      <c r="A4929" s="5">
        <v>3414970</v>
      </c>
      <c r="B4929" s="1">
        <v>2017</v>
      </c>
      <c r="C4929" s="1" t="s">
        <v>1387</v>
      </c>
      <c r="D4929" s="1" t="s">
        <v>446</v>
      </c>
      <c r="E4929" s="8">
        <v>396678</v>
      </c>
      <c r="F4929" s="5">
        <v>3414970</v>
      </c>
    </row>
    <row r="4930" spans="1:6" x14ac:dyDescent="0.25">
      <c r="A4930" s="5">
        <v>3414970</v>
      </c>
      <c r="B4930" s="1">
        <v>2018</v>
      </c>
      <c r="C4930" s="1" t="s">
        <v>1387</v>
      </c>
      <c r="D4930" s="1" t="s">
        <v>1138</v>
      </c>
      <c r="E4930" s="8">
        <v>555039</v>
      </c>
      <c r="F4930" s="5">
        <v>3414970</v>
      </c>
    </row>
    <row r="4931" spans="1:6" x14ac:dyDescent="0.25">
      <c r="A4931" s="5">
        <v>3414970</v>
      </c>
      <c r="B4931" s="1">
        <v>2019</v>
      </c>
      <c r="C4931" s="1" t="s">
        <v>1387</v>
      </c>
      <c r="D4931" s="1" t="s">
        <v>1138</v>
      </c>
      <c r="E4931" s="8">
        <v>718301</v>
      </c>
      <c r="F4931" s="5">
        <v>3414970</v>
      </c>
    </row>
    <row r="4932" spans="1:6" ht="20" x14ac:dyDescent="0.25">
      <c r="A4932" s="5">
        <v>3414970</v>
      </c>
      <c r="B4932" s="1">
        <v>2020</v>
      </c>
      <c r="C4932" s="1" t="s">
        <v>1387</v>
      </c>
      <c r="D4932" s="2" t="s">
        <v>1138</v>
      </c>
      <c r="E4932" s="7">
        <v>798781</v>
      </c>
      <c r="F4932" s="5">
        <v>3414970</v>
      </c>
    </row>
    <row r="4933" spans="1:6" ht="20" x14ac:dyDescent="0.25">
      <c r="A4933" s="5">
        <v>3414970</v>
      </c>
      <c r="B4933" s="1">
        <v>2021</v>
      </c>
      <c r="C4933" s="1" t="s">
        <v>1387</v>
      </c>
      <c r="D4933" s="3" t="s">
        <v>1138</v>
      </c>
      <c r="E4933" s="7">
        <v>1119978</v>
      </c>
      <c r="F4933" s="5">
        <v>3414970</v>
      </c>
    </row>
    <row r="4934" spans="1:6" ht="20" x14ac:dyDescent="0.25">
      <c r="A4934" s="5">
        <v>3414970</v>
      </c>
      <c r="B4934" s="1">
        <v>2022</v>
      </c>
      <c r="C4934" s="1" t="s">
        <v>1387</v>
      </c>
      <c r="D4934" s="2" t="s">
        <v>1138</v>
      </c>
      <c r="E4934" s="7">
        <v>1581442</v>
      </c>
      <c r="F4934" s="5">
        <v>3414970</v>
      </c>
    </row>
    <row r="4935" spans="1:6" ht="20" x14ac:dyDescent="0.25">
      <c r="A4935" s="5">
        <v>3414970</v>
      </c>
      <c r="B4935" s="1">
        <v>2023</v>
      </c>
      <c r="C4935" s="1" t="s">
        <v>1387</v>
      </c>
      <c r="D4935" s="2" t="s">
        <v>1138</v>
      </c>
      <c r="E4935" s="7">
        <v>1641601</v>
      </c>
      <c r="F4935" s="5">
        <v>3414970</v>
      </c>
    </row>
    <row r="4936" spans="1:6" x14ac:dyDescent="0.25">
      <c r="A4936" s="5">
        <v>3415000</v>
      </c>
      <c r="B4936" s="1">
        <v>2015</v>
      </c>
      <c r="C4936" s="1" t="s">
        <v>1387</v>
      </c>
      <c r="D4936" s="1" t="s">
        <v>188</v>
      </c>
      <c r="E4936" s="8">
        <v>164874</v>
      </c>
      <c r="F4936" s="5">
        <v>3415000</v>
      </c>
    </row>
    <row r="4937" spans="1:6" x14ac:dyDescent="0.25">
      <c r="A4937" s="5">
        <v>3415000</v>
      </c>
      <c r="B4937" s="1">
        <v>2016</v>
      </c>
      <c r="C4937" s="1" t="s">
        <v>1387</v>
      </c>
      <c r="D4937" s="1" t="s">
        <v>188</v>
      </c>
      <c r="E4937" s="8">
        <v>241412</v>
      </c>
      <c r="F4937" s="5">
        <v>3415000</v>
      </c>
    </row>
    <row r="4938" spans="1:6" x14ac:dyDescent="0.25">
      <c r="A4938" s="5">
        <v>3415000</v>
      </c>
      <c r="B4938" s="1">
        <v>2017</v>
      </c>
      <c r="C4938" s="1" t="s">
        <v>1387</v>
      </c>
      <c r="D4938" s="1" t="s">
        <v>188</v>
      </c>
      <c r="E4938" s="8">
        <v>359790</v>
      </c>
      <c r="F4938" s="5">
        <v>3415000</v>
      </c>
    </row>
    <row r="4939" spans="1:6" x14ac:dyDescent="0.25">
      <c r="A4939" s="5">
        <v>3415000</v>
      </c>
      <c r="B4939" s="1">
        <v>2018</v>
      </c>
      <c r="C4939" s="1" t="s">
        <v>1387</v>
      </c>
      <c r="D4939" s="1" t="s">
        <v>871</v>
      </c>
      <c r="E4939" s="8">
        <v>474739</v>
      </c>
      <c r="F4939" s="5">
        <v>3415000</v>
      </c>
    </row>
    <row r="4940" spans="1:6" x14ac:dyDescent="0.25">
      <c r="A4940" s="5">
        <v>3415000</v>
      </c>
      <c r="B4940" s="1">
        <v>2019</v>
      </c>
      <c r="C4940" s="1" t="s">
        <v>1387</v>
      </c>
      <c r="D4940" s="1" t="s">
        <v>871</v>
      </c>
      <c r="E4940" s="8">
        <v>690618</v>
      </c>
      <c r="F4940" s="5">
        <v>3415000</v>
      </c>
    </row>
    <row r="4941" spans="1:6" ht="20" x14ac:dyDescent="0.25">
      <c r="A4941" s="5">
        <v>3415000</v>
      </c>
      <c r="B4941" s="1">
        <v>2020</v>
      </c>
      <c r="C4941" s="1" t="s">
        <v>1387</v>
      </c>
      <c r="D4941" s="2" t="s">
        <v>871</v>
      </c>
      <c r="E4941" s="7">
        <v>793504</v>
      </c>
      <c r="F4941" s="5">
        <v>3415000</v>
      </c>
    </row>
    <row r="4942" spans="1:6" ht="20" x14ac:dyDescent="0.25">
      <c r="A4942" s="5">
        <v>3415000</v>
      </c>
      <c r="B4942" s="1">
        <v>2021</v>
      </c>
      <c r="C4942" s="1" t="s">
        <v>1387</v>
      </c>
      <c r="D4942" s="3" t="s">
        <v>871</v>
      </c>
      <c r="E4942" s="7">
        <v>1031327</v>
      </c>
      <c r="F4942" s="5">
        <v>3415000</v>
      </c>
    </row>
    <row r="4943" spans="1:6" ht="20" x14ac:dyDescent="0.25">
      <c r="A4943" s="5">
        <v>3415000</v>
      </c>
      <c r="B4943" s="1">
        <v>2022</v>
      </c>
      <c r="C4943" s="1" t="s">
        <v>1387</v>
      </c>
      <c r="D4943" s="2" t="s">
        <v>871</v>
      </c>
      <c r="E4943" s="7">
        <v>1403840</v>
      </c>
      <c r="F4943" s="5">
        <v>3415000</v>
      </c>
    </row>
    <row r="4944" spans="1:6" ht="20" x14ac:dyDescent="0.25">
      <c r="A4944" s="5">
        <v>3415000</v>
      </c>
      <c r="B4944" s="1">
        <v>2023</v>
      </c>
      <c r="C4944" s="1" t="s">
        <v>1387</v>
      </c>
      <c r="D4944" s="2" t="s">
        <v>871</v>
      </c>
      <c r="E4944" s="7">
        <v>1389359</v>
      </c>
      <c r="F4944" s="5">
        <v>3415000</v>
      </c>
    </row>
    <row r="4945" spans="1:6" x14ac:dyDescent="0.25">
      <c r="A4945" s="5">
        <v>3415030</v>
      </c>
      <c r="B4945" s="1">
        <v>2015</v>
      </c>
      <c r="C4945" s="1" t="s">
        <v>1387</v>
      </c>
      <c r="D4945" s="1" t="s">
        <v>23</v>
      </c>
      <c r="E4945" s="8">
        <v>384914</v>
      </c>
      <c r="F4945" s="5">
        <v>3415030</v>
      </c>
    </row>
    <row r="4946" spans="1:6" x14ac:dyDescent="0.25">
      <c r="A4946" s="5">
        <v>3415030</v>
      </c>
      <c r="B4946" s="1">
        <v>2016</v>
      </c>
      <c r="C4946" s="1" t="s">
        <v>1387</v>
      </c>
      <c r="D4946" s="1" t="s">
        <v>23</v>
      </c>
      <c r="E4946" s="8">
        <v>550291</v>
      </c>
      <c r="F4946" s="5">
        <v>3415030</v>
      </c>
    </row>
    <row r="4947" spans="1:6" x14ac:dyDescent="0.25">
      <c r="A4947" s="5">
        <v>3415030</v>
      </c>
      <c r="B4947" s="1">
        <v>2017</v>
      </c>
      <c r="C4947" s="1" t="s">
        <v>1387</v>
      </c>
      <c r="D4947" s="1" t="s">
        <v>23</v>
      </c>
      <c r="E4947" s="8">
        <v>842756</v>
      </c>
      <c r="F4947" s="5">
        <v>3415030</v>
      </c>
    </row>
    <row r="4948" spans="1:6" x14ac:dyDescent="0.25">
      <c r="A4948" s="5">
        <v>3415030</v>
      </c>
      <c r="B4948" s="1">
        <v>2018</v>
      </c>
      <c r="C4948" s="1" t="s">
        <v>1387</v>
      </c>
      <c r="D4948" s="1" t="s">
        <v>702</v>
      </c>
      <c r="E4948" s="8">
        <v>1065279</v>
      </c>
      <c r="F4948" s="5">
        <v>3415030</v>
      </c>
    </row>
    <row r="4949" spans="1:6" x14ac:dyDescent="0.25">
      <c r="A4949" s="5">
        <v>3415030</v>
      </c>
      <c r="B4949" s="1">
        <v>2019</v>
      </c>
      <c r="C4949" s="1" t="s">
        <v>1387</v>
      </c>
      <c r="D4949" s="1" t="s">
        <v>702</v>
      </c>
      <c r="E4949" s="8">
        <v>1419061</v>
      </c>
      <c r="F4949" s="5">
        <v>3415030</v>
      </c>
    </row>
    <row r="4950" spans="1:6" ht="20" x14ac:dyDescent="0.25">
      <c r="A4950" s="5">
        <v>3415030</v>
      </c>
      <c r="B4950" s="1">
        <v>2020</v>
      </c>
      <c r="C4950" s="1" t="s">
        <v>1387</v>
      </c>
      <c r="D4950" s="2" t="s">
        <v>702</v>
      </c>
      <c r="E4950" s="7">
        <v>1648212</v>
      </c>
      <c r="F4950" s="5">
        <v>3415030</v>
      </c>
    </row>
    <row r="4951" spans="1:6" ht="20" x14ac:dyDescent="0.25">
      <c r="A4951" s="5">
        <v>3415030</v>
      </c>
      <c r="B4951" s="1">
        <v>2021</v>
      </c>
      <c r="C4951" s="1" t="s">
        <v>1387</v>
      </c>
      <c r="D4951" s="3" t="s">
        <v>702</v>
      </c>
      <c r="E4951" s="7">
        <v>2134944</v>
      </c>
      <c r="F4951" s="5">
        <v>3415030</v>
      </c>
    </row>
    <row r="4952" spans="1:6" ht="20" x14ac:dyDescent="0.25">
      <c r="A4952" s="5">
        <v>3415030</v>
      </c>
      <c r="B4952" s="1">
        <v>2022</v>
      </c>
      <c r="C4952" s="1" t="s">
        <v>1387</v>
      </c>
      <c r="D4952" s="2" t="s">
        <v>702</v>
      </c>
      <c r="E4952" s="7">
        <v>3007507</v>
      </c>
      <c r="F4952" s="5">
        <v>3415030</v>
      </c>
    </row>
    <row r="4953" spans="1:6" ht="20" x14ac:dyDescent="0.25">
      <c r="A4953" s="5">
        <v>3415030</v>
      </c>
      <c r="B4953" s="1">
        <v>2023</v>
      </c>
      <c r="C4953" s="1" t="s">
        <v>1387</v>
      </c>
      <c r="D4953" s="2" t="s">
        <v>702</v>
      </c>
      <c r="E4953" s="7">
        <v>2912496</v>
      </c>
      <c r="F4953" s="5">
        <v>3415030</v>
      </c>
    </row>
    <row r="4954" spans="1:6" x14ac:dyDescent="0.25">
      <c r="A4954" s="5">
        <v>3415060</v>
      </c>
      <c r="B4954" s="1">
        <v>2015</v>
      </c>
      <c r="C4954" s="1" t="s">
        <v>1387</v>
      </c>
      <c r="D4954" s="1" t="s">
        <v>576</v>
      </c>
      <c r="E4954" s="8">
        <v>262697</v>
      </c>
      <c r="F4954" s="5">
        <v>3415060</v>
      </c>
    </row>
    <row r="4955" spans="1:6" x14ac:dyDescent="0.25">
      <c r="A4955" s="5">
        <v>3415060</v>
      </c>
      <c r="B4955" s="1">
        <v>2016</v>
      </c>
      <c r="C4955" s="1" t="s">
        <v>1387</v>
      </c>
      <c r="D4955" s="1" t="s">
        <v>576</v>
      </c>
      <c r="E4955" s="8">
        <v>379840</v>
      </c>
      <c r="F4955" s="5">
        <v>3415060</v>
      </c>
    </row>
    <row r="4956" spans="1:6" x14ac:dyDescent="0.25">
      <c r="A4956" s="5">
        <v>3415060</v>
      </c>
      <c r="B4956" s="1">
        <v>2017</v>
      </c>
      <c r="C4956" s="1" t="s">
        <v>1387</v>
      </c>
      <c r="D4956" s="1" t="s">
        <v>576</v>
      </c>
      <c r="E4956" s="8">
        <v>598316</v>
      </c>
      <c r="F4956" s="5">
        <v>3415060</v>
      </c>
    </row>
    <row r="4957" spans="1:6" x14ac:dyDescent="0.25">
      <c r="A4957" s="5">
        <v>3415060</v>
      </c>
      <c r="B4957" s="1">
        <v>2018</v>
      </c>
      <c r="C4957" s="1" t="s">
        <v>1387</v>
      </c>
      <c r="D4957" s="1" t="s">
        <v>1268</v>
      </c>
      <c r="E4957" s="8">
        <v>786643</v>
      </c>
      <c r="F4957" s="5">
        <v>3415060</v>
      </c>
    </row>
    <row r="4958" spans="1:6" x14ac:dyDescent="0.25">
      <c r="A4958" s="5">
        <v>3415060</v>
      </c>
      <c r="B4958" s="1">
        <v>2019</v>
      </c>
      <c r="C4958" s="1" t="s">
        <v>1387</v>
      </c>
      <c r="D4958" s="1" t="s">
        <v>1268</v>
      </c>
      <c r="E4958" s="8">
        <v>1093102</v>
      </c>
      <c r="F4958" s="5">
        <v>3415060</v>
      </c>
    </row>
    <row r="4959" spans="1:6" ht="20" x14ac:dyDescent="0.25">
      <c r="A4959" s="5">
        <v>3415060</v>
      </c>
      <c r="B4959" s="1">
        <v>2020</v>
      </c>
      <c r="C4959" s="1" t="s">
        <v>1387</v>
      </c>
      <c r="D4959" s="2" t="s">
        <v>1268</v>
      </c>
      <c r="E4959" s="7">
        <v>1276840</v>
      </c>
      <c r="F4959" s="5">
        <v>3415060</v>
      </c>
    </row>
    <row r="4960" spans="1:6" ht="20" x14ac:dyDescent="0.25">
      <c r="A4960" s="5">
        <v>3415060</v>
      </c>
      <c r="B4960" s="1">
        <v>2021</v>
      </c>
      <c r="C4960" s="1" t="s">
        <v>1387</v>
      </c>
      <c r="D4960" s="3" t="s">
        <v>1268</v>
      </c>
      <c r="E4960" s="7">
        <v>1641643</v>
      </c>
      <c r="F4960" s="5">
        <v>3415060</v>
      </c>
    </row>
    <row r="4961" spans="1:6" ht="20" x14ac:dyDescent="0.25">
      <c r="A4961" s="5">
        <v>3415060</v>
      </c>
      <c r="B4961" s="1">
        <v>2022</v>
      </c>
      <c r="C4961" s="1" t="s">
        <v>1387</v>
      </c>
      <c r="D4961" s="2" t="s">
        <v>1268</v>
      </c>
      <c r="E4961" s="7">
        <v>2274733</v>
      </c>
      <c r="F4961" s="5">
        <v>3415060</v>
      </c>
    </row>
    <row r="4962" spans="1:6" ht="20" x14ac:dyDescent="0.25">
      <c r="A4962" s="5">
        <v>3415060</v>
      </c>
      <c r="B4962" s="1">
        <v>2023</v>
      </c>
      <c r="C4962" s="1" t="s">
        <v>1387</v>
      </c>
      <c r="D4962" s="2" t="s">
        <v>1268</v>
      </c>
      <c r="E4962" s="7">
        <v>2283012</v>
      </c>
      <c r="F4962" s="5">
        <v>3415060</v>
      </c>
    </row>
    <row r="4963" spans="1:6" x14ac:dyDescent="0.25">
      <c r="A4963" s="5">
        <v>3415090</v>
      </c>
      <c r="B4963" s="1">
        <v>2015</v>
      </c>
      <c r="C4963" s="1" t="s">
        <v>1387</v>
      </c>
      <c r="D4963" s="1" t="s">
        <v>578</v>
      </c>
      <c r="E4963" s="8">
        <v>925506</v>
      </c>
      <c r="F4963" s="5">
        <v>3415090</v>
      </c>
    </row>
    <row r="4964" spans="1:6" x14ac:dyDescent="0.25">
      <c r="A4964" s="5">
        <v>3415090</v>
      </c>
      <c r="B4964" s="1">
        <v>2016</v>
      </c>
      <c r="C4964" s="1" t="s">
        <v>1387</v>
      </c>
      <c r="D4964" s="1" t="s">
        <v>578</v>
      </c>
      <c r="E4964" s="8">
        <v>1326226</v>
      </c>
      <c r="F4964" s="5">
        <v>3415090</v>
      </c>
    </row>
    <row r="4965" spans="1:6" x14ac:dyDescent="0.25">
      <c r="A4965" s="5">
        <v>3415090</v>
      </c>
      <c r="B4965" s="1">
        <v>2017</v>
      </c>
      <c r="C4965" s="1" t="s">
        <v>1387</v>
      </c>
      <c r="D4965" s="1" t="s">
        <v>578</v>
      </c>
      <c r="E4965" s="8">
        <v>1885836</v>
      </c>
      <c r="F4965" s="5">
        <v>3415090</v>
      </c>
    </row>
    <row r="4966" spans="1:6" x14ac:dyDescent="0.25">
      <c r="A4966" s="5">
        <v>3415090</v>
      </c>
      <c r="B4966" s="1">
        <v>2018</v>
      </c>
      <c r="C4966" s="1" t="s">
        <v>1387</v>
      </c>
      <c r="D4966" s="1" t="s">
        <v>1270</v>
      </c>
      <c r="E4966" s="8">
        <v>2604223</v>
      </c>
      <c r="F4966" s="5">
        <v>3415090</v>
      </c>
    </row>
    <row r="4967" spans="1:6" x14ac:dyDescent="0.25">
      <c r="A4967" s="5">
        <v>3415090</v>
      </c>
      <c r="B4967" s="1">
        <v>2019</v>
      </c>
      <c r="C4967" s="1" t="s">
        <v>1387</v>
      </c>
      <c r="D4967" s="1" t="s">
        <v>1270</v>
      </c>
      <c r="E4967" s="8">
        <v>3432686</v>
      </c>
      <c r="F4967" s="5">
        <v>3415090</v>
      </c>
    </row>
    <row r="4968" spans="1:6" ht="20" x14ac:dyDescent="0.25">
      <c r="A4968" s="5">
        <v>3415090</v>
      </c>
      <c r="B4968" s="1">
        <v>2020</v>
      </c>
      <c r="C4968" s="1" t="s">
        <v>1387</v>
      </c>
      <c r="D4968" s="2" t="s">
        <v>1270</v>
      </c>
      <c r="E4968" s="7">
        <v>3802465</v>
      </c>
      <c r="F4968" s="5">
        <v>3415090</v>
      </c>
    </row>
    <row r="4969" spans="1:6" ht="20" x14ac:dyDescent="0.25">
      <c r="A4969" s="5">
        <v>3415090</v>
      </c>
      <c r="B4969" s="1">
        <v>2021</v>
      </c>
      <c r="C4969" s="1" t="s">
        <v>1387</v>
      </c>
      <c r="D4969" s="3" t="s">
        <v>1270</v>
      </c>
      <c r="E4969" s="7">
        <v>4910184</v>
      </c>
      <c r="F4969" s="5">
        <v>3415090</v>
      </c>
    </row>
    <row r="4970" spans="1:6" ht="20" x14ac:dyDescent="0.25">
      <c r="A4970" s="5">
        <v>3415090</v>
      </c>
      <c r="B4970" s="1">
        <v>2022</v>
      </c>
      <c r="C4970" s="1" t="s">
        <v>1387</v>
      </c>
      <c r="D4970" s="2" t="s">
        <v>1270</v>
      </c>
      <c r="E4970" s="7">
        <v>7478318</v>
      </c>
      <c r="F4970" s="5">
        <v>3415090</v>
      </c>
    </row>
    <row r="4971" spans="1:6" ht="20" x14ac:dyDescent="0.25">
      <c r="A4971" s="5">
        <v>3415090</v>
      </c>
      <c r="B4971" s="1">
        <v>2023</v>
      </c>
      <c r="C4971" s="1" t="s">
        <v>1387</v>
      </c>
      <c r="D4971" s="2" t="s">
        <v>1270</v>
      </c>
      <c r="E4971" s="7">
        <v>7068217</v>
      </c>
      <c r="F4971" s="5">
        <v>3415090</v>
      </c>
    </row>
    <row r="4972" spans="1:6" x14ac:dyDescent="0.25">
      <c r="A4972" s="5">
        <v>3415120</v>
      </c>
      <c r="B4972" s="1">
        <v>2015</v>
      </c>
      <c r="C4972" s="1" t="s">
        <v>1387</v>
      </c>
      <c r="D4972" s="1" t="s">
        <v>394</v>
      </c>
      <c r="E4972" s="8">
        <v>378888</v>
      </c>
      <c r="F4972" s="5">
        <v>3415120</v>
      </c>
    </row>
    <row r="4973" spans="1:6" x14ac:dyDescent="0.25">
      <c r="A4973" s="5">
        <v>3415120</v>
      </c>
      <c r="B4973" s="1">
        <v>2016</v>
      </c>
      <c r="C4973" s="1" t="s">
        <v>1387</v>
      </c>
      <c r="D4973" s="1" t="s">
        <v>394</v>
      </c>
      <c r="E4973" s="8">
        <v>564397</v>
      </c>
      <c r="F4973" s="5">
        <v>3415120</v>
      </c>
    </row>
    <row r="4974" spans="1:6" x14ac:dyDescent="0.25">
      <c r="A4974" s="5">
        <v>3415120</v>
      </c>
      <c r="B4974" s="1">
        <v>2017</v>
      </c>
      <c r="C4974" s="1" t="s">
        <v>1387</v>
      </c>
      <c r="D4974" s="1" t="s">
        <v>394</v>
      </c>
      <c r="E4974" s="8">
        <v>805883</v>
      </c>
      <c r="F4974" s="5">
        <v>3415120</v>
      </c>
    </row>
    <row r="4975" spans="1:6" x14ac:dyDescent="0.25">
      <c r="A4975" s="5">
        <v>3415120</v>
      </c>
      <c r="B4975" s="1">
        <v>2018</v>
      </c>
      <c r="C4975" s="1" t="s">
        <v>1387</v>
      </c>
      <c r="D4975" s="1" t="s">
        <v>1086</v>
      </c>
      <c r="E4975" s="8">
        <v>1082959</v>
      </c>
      <c r="F4975" s="5">
        <v>3415120</v>
      </c>
    </row>
    <row r="4976" spans="1:6" x14ac:dyDescent="0.25">
      <c r="A4976" s="5">
        <v>3415120</v>
      </c>
      <c r="B4976" s="1">
        <v>2019</v>
      </c>
      <c r="C4976" s="1" t="s">
        <v>1387</v>
      </c>
      <c r="D4976" s="1" t="s">
        <v>1086</v>
      </c>
      <c r="E4976" s="8">
        <v>1433121</v>
      </c>
      <c r="F4976" s="5">
        <v>3415120</v>
      </c>
    </row>
    <row r="4977" spans="1:6" ht="20" x14ac:dyDescent="0.25">
      <c r="A4977" s="5">
        <v>3415120</v>
      </c>
      <c r="B4977" s="1">
        <v>2020</v>
      </c>
      <c r="C4977" s="1" t="s">
        <v>1387</v>
      </c>
      <c r="D4977" s="2" t="s">
        <v>1086</v>
      </c>
      <c r="E4977" s="7">
        <v>1542989</v>
      </c>
      <c r="F4977" s="5">
        <v>3415120</v>
      </c>
    </row>
    <row r="4978" spans="1:6" ht="20" x14ac:dyDescent="0.25">
      <c r="A4978" s="5">
        <v>3415120</v>
      </c>
      <c r="B4978" s="1">
        <v>2021</v>
      </c>
      <c r="C4978" s="1" t="s">
        <v>1387</v>
      </c>
      <c r="D4978" s="3" t="s">
        <v>1086</v>
      </c>
      <c r="E4978" s="7">
        <v>2066605</v>
      </c>
      <c r="F4978" s="5">
        <v>3415120</v>
      </c>
    </row>
    <row r="4979" spans="1:6" ht="20" x14ac:dyDescent="0.25">
      <c r="A4979" s="5">
        <v>3415120</v>
      </c>
      <c r="B4979" s="1">
        <v>2022</v>
      </c>
      <c r="C4979" s="1" t="s">
        <v>1387</v>
      </c>
      <c r="D4979" s="2" t="s">
        <v>1086</v>
      </c>
      <c r="E4979" s="7">
        <v>2967339</v>
      </c>
      <c r="F4979" s="5">
        <v>3415120</v>
      </c>
    </row>
    <row r="4980" spans="1:6" ht="20" x14ac:dyDescent="0.25">
      <c r="A4980" s="5">
        <v>3415120</v>
      </c>
      <c r="B4980" s="1">
        <v>2023</v>
      </c>
      <c r="C4980" s="1" t="s">
        <v>1387</v>
      </c>
      <c r="D4980" s="2" t="s">
        <v>1086</v>
      </c>
      <c r="E4980" s="7">
        <v>3011277</v>
      </c>
      <c r="F4980" s="5">
        <v>3415120</v>
      </c>
    </row>
    <row r="4981" spans="1:6" x14ac:dyDescent="0.25">
      <c r="A4981" s="5">
        <v>3415180</v>
      </c>
      <c r="B4981" s="1">
        <v>2015</v>
      </c>
      <c r="C4981" s="1" t="s">
        <v>1387</v>
      </c>
      <c r="D4981" s="1" t="s">
        <v>579</v>
      </c>
      <c r="E4981" s="8">
        <v>168234</v>
      </c>
      <c r="F4981" s="5">
        <v>3415180</v>
      </c>
    </row>
    <row r="4982" spans="1:6" x14ac:dyDescent="0.25">
      <c r="A4982" s="5">
        <v>3415180</v>
      </c>
      <c r="B4982" s="1">
        <v>2016</v>
      </c>
      <c r="C4982" s="1" t="s">
        <v>1387</v>
      </c>
      <c r="D4982" s="1" t="s">
        <v>579</v>
      </c>
      <c r="E4982" s="8">
        <v>258846</v>
      </c>
      <c r="F4982" s="5">
        <v>3415180</v>
      </c>
    </row>
    <row r="4983" spans="1:6" x14ac:dyDescent="0.25">
      <c r="A4983" s="5">
        <v>3415180</v>
      </c>
      <c r="B4983" s="1">
        <v>2017</v>
      </c>
      <c r="C4983" s="1" t="s">
        <v>1387</v>
      </c>
      <c r="D4983" s="1" t="s">
        <v>579</v>
      </c>
      <c r="E4983" s="8">
        <v>373296</v>
      </c>
      <c r="F4983" s="5">
        <v>3415180</v>
      </c>
    </row>
    <row r="4984" spans="1:6" x14ac:dyDescent="0.25">
      <c r="A4984" s="5">
        <v>3415180</v>
      </c>
      <c r="B4984" s="1">
        <v>2018</v>
      </c>
      <c r="C4984" s="1" t="s">
        <v>1387</v>
      </c>
      <c r="D4984" s="1" t="s">
        <v>1271</v>
      </c>
      <c r="E4984" s="8">
        <v>506515</v>
      </c>
      <c r="F4984" s="5">
        <v>3415180</v>
      </c>
    </row>
    <row r="4985" spans="1:6" x14ac:dyDescent="0.25">
      <c r="A4985" s="5">
        <v>3415180</v>
      </c>
      <c r="B4985" s="1">
        <v>2019</v>
      </c>
      <c r="C4985" s="1" t="s">
        <v>1387</v>
      </c>
      <c r="D4985" s="1" t="s">
        <v>1271</v>
      </c>
      <c r="E4985" s="8">
        <v>627528</v>
      </c>
      <c r="F4985" s="5">
        <v>3415180</v>
      </c>
    </row>
    <row r="4986" spans="1:6" ht="20" x14ac:dyDescent="0.25">
      <c r="A4986" s="5">
        <v>3415180</v>
      </c>
      <c r="B4986" s="1">
        <v>2020</v>
      </c>
      <c r="C4986" s="1" t="s">
        <v>1387</v>
      </c>
      <c r="D4986" s="2" t="s">
        <v>1271</v>
      </c>
      <c r="E4986" s="7">
        <v>697118</v>
      </c>
      <c r="F4986" s="5">
        <v>3415180</v>
      </c>
    </row>
    <row r="4987" spans="1:6" ht="20" x14ac:dyDescent="0.25">
      <c r="A4987" s="5">
        <v>3415180</v>
      </c>
      <c r="B4987" s="1">
        <v>2021</v>
      </c>
      <c r="C4987" s="1" t="s">
        <v>1387</v>
      </c>
      <c r="D4987" s="3" t="s">
        <v>1271</v>
      </c>
      <c r="E4987" s="7">
        <v>874662</v>
      </c>
      <c r="F4987" s="5">
        <v>3415180</v>
      </c>
    </row>
    <row r="4988" spans="1:6" ht="20" x14ac:dyDescent="0.25">
      <c r="A4988" s="5">
        <v>3415180</v>
      </c>
      <c r="B4988" s="1">
        <v>2022</v>
      </c>
      <c r="C4988" s="1" t="s">
        <v>1387</v>
      </c>
      <c r="D4988" s="2" t="s">
        <v>1271</v>
      </c>
      <c r="E4988" s="7">
        <v>1236531</v>
      </c>
      <c r="F4988" s="5">
        <v>3415180</v>
      </c>
    </row>
    <row r="4989" spans="1:6" ht="20" x14ac:dyDescent="0.25">
      <c r="A4989" s="5">
        <v>3415180</v>
      </c>
      <c r="B4989" s="1">
        <v>2023</v>
      </c>
      <c r="C4989" s="1" t="s">
        <v>1387</v>
      </c>
      <c r="D4989" s="2" t="s">
        <v>1271</v>
      </c>
      <c r="E4989" s="7">
        <v>1247583</v>
      </c>
      <c r="F4989" s="5">
        <v>3415180</v>
      </c>
    </row>
    <row r="4990" spans="1:6" x14ac:dyDescent="0.25">
      <c r="A4990" s="5">
        <v>3415210</v>
      </c>
      <c r="B4990" s="1">
        <v>2015</v>
      </c>
      <c r="C4990" s="1" t="s">
        <v>1387</v>
      </c>
      <c r="D4990" s="1" t="s">
        <v>395</v>
      </c>
      <c r="E4990" s="8">
        <v>2816571</v>
      </c>
      <c r="F4990" s="5">
        <v>3415210</v>
      </c>
    </row>
    <row r="4991" spans="1:6" x14ac:dyDescent="0.25">
      <c r="A4991" s="5">
        <v>3415210</v>
      </c>
      <c r="B4991" s="1">
        <v>2016</v>
      </c>
      <c r="C4991" s="1" t="s">
        <v>1387</v>
      </c>
      <c r="D4991" s="1" t="s">
        <v>395</v>
      </c>
      <c r="E4991" s="8">
        <v>4213451</v>
      </c>
      <c r="F4991" s="5">
        <v>3415210</v>
      </c>
    </row>
    <row r="4992" spans="1:6" x14ac:dyDescent="0.25">
      <c r="A4992" s="5">
        <v>3415210</v>
      </c>
      <c r="B4992" s="1">
        <v>2017</v>
      </c>
      <c r="C4992" s="1" t="s">
        <v>1387</v>
      </c>
      <c r="D4992" s="1" t="s">
        <v>395</v>
      </c>
      <c r="E4992" s="8">
        <v>5940156</v>
      </c>
      <c r="F4992" s="5">
        <v>3415210</v>
      </c>
    </row>
    <row r="4993" spans="1:6" x14ac:dyDescent="0.25">
      <c r="A4993" s="5">
        <v>3415210</v>
      </c>
      <c r="B4993" s="1">
        <v>2018</v>
      </c>
      <c r="C4993" s="1" t="s">
        <v>1387</v>
      </c>
      <c r="D4993" s="1" t="s">
        <v>1087</v>
      </c>
      <c r="E4993" s="8">
        <v>8237768</v>
      </c>
      <c r="F4993" s="5">
        <v>3415210</v>
      </c>
    </row>
    <row r="4994" spans="1:6" x14ac:dyDescent="0.25">
      <c r="A4994" s="5">
        <v>3415210</v>
      </c>
      <c r="B4994" s="1">
        <v>2019</v>
      </c>
      <c r="C4994" s="1" t="s">
        <v>1387</v>
      </c>
      <c r="D4994" s="1" t="s">
        <v>1087</v>
      </c>
      <c r="E4994" s="8">
        <v>10945989</v>
      </c>
      <c r="F4994" s="5">
        <v>3415210</v>
      </c>
    </row>
    <row r="4995" spans="1:6" ht="20" x14ac:dyDescent="0.25">
      <c r="A4995" s="5">
        <v>3415210</v>
      </c>
      <c r="B4995" s="1">
        <v>2020</v>
      </c>
      <c r="C4995" s="1" t="s">
        <v>1387</v>
      </c>
      <c r="D4995" s="2" t="s">
        <v>1087</v>
      </c>
      <c r="E4995" s="7">
        <v>12294990</v>
      </c>
      <c r="F4995" s="5">
        <v>3415210</v>
      </c>
    </row>
    <row r="4996" spans="1:6" ht="20" x14ac:dyDescent="0.25">
      <c r="A4996" s="5">
        <v>3415210</v>
      </c>
      <c r="B4996" s="1">
        <v>2021</v>
      </c>
      <c r="C4996" s="1" t="s">
        <v>1387</v>
      </c>
      <c r="D4996" s="3" t="s">
        <v>1087</v>
      </c>
      <c r="E4996" s="7">
        <v>15956349</v>
      </c>
      <c r="F4996" s="5">
        <v>3415210</v>
      </c>
    </row>
    <row r="4997" spans="1:6" ht="20" x14ac:dyDescent="0.25">
      <c r="A4997" s="5">
        <v>3415210</v>
      </c>
      <c r="B4997" s="1">
        <v>2022</v>
      </c>
      <c r="C4997" s="1" t="s">
        <v>1387</v>
      </c>
      <c r="D4997" s="2" t="s">
        <v>1087</v>
      </c>
      <c r="E4997" s="7">
        <v>23570041</v>
      </c>
      <c r="F4997" s="5">
        <v>3415210</v>
      </c>
    </row>
    <row r="4998" spans="1:6" ht="20" x14ac:dyDescent="0.25">
      <c r="A4998" s="5">
        <v>3415210</v>
      </c>
      <c r="B4998" s="1">
        <v>2023</v>
      </c>
      <c r="C4998" s="1" t="s">
        <v>1387</v>
      </c>
      <c r="D4998" s="2" t="s">
        <v>1087</v>
      </c>
      <c r="E4998" s="7">
        <v>22994099</v>
      </c>
      <c r="F4998" s="5">
        <v>3415210</v>
      </c>
    </row>
    <row r="4999" spans="1:6" x14ac:dyDescent="0.25">
      <c r="A4999" s="5">
        <v>3415240</v>
      </c>
      <c r="B4999" s="1">
        <v>2015</v>
      </c>
      <c r="C4999" s="1" t="s">
        <v>1387</v>
      </c>
      <c r="D4999" s="1" t="s">
        <v>95</v>
      </c>
      <c r="E4999" s="8">
        <v>107130</v>
      </c>
      <c r="F4999" s="5">
        <v>3415240</v>
      </c>
    </row>
    <row r="5000" spans="1:6" x14ac:dyDescent="0.25">
      <c r="A5000" s="5">
        <v>3415240</v>
      </c>
      <c r="B5000" s="1">
        <v>2016</v>
      </c>
      <c r="C5000" s="1" t="s">
        <v>1387</v>
      </c>
      <c r="D5000" s="1" t="s">
        <v>95</v>
      </c>
      <c r="E5000" s="8">
        <v>144716</v>
      </c>
      <c r="F5000" s="5">
        <v>3415240</v>
      </c>
    </row>
    <row r="5001" spans="1:6" x14ac:dyDescent="0.25">
      <c r="A5001" s="5">
        <v>3415240</v>
      </c>
      <c r="B5001" s="1">
        <v>2017</v>
      </c>
      <c r="C5001" s="1" t="s">
        <v>1387</v>
      </c>
      <c r="D5001" s="1" t="s">
        <v>95</v>
      </c>
      <c r="E5001" s="8">
        <v>211748</v>
      </c>
      <c r="F5001" s="5">
        <v>3415240</v>
      </c>
    </row>
    <row r="5002" spans="1:6" x14ac:dyDescent="0.25">
      <c r="A5002" s="5">
        <v>3415240</v>
      </c>
      <c r="B5002" s="1">
        <v>2018</v>
      </c>
      <c r="C5002" s="1" t="s">
        <v>1387</v>
      </c>
      <c r="D5002" s="1" t="s">
        <v>775</v>
      </c>
      <c r="E5002" s="8">
        <v>285320</v>
      </c>
      <c r="F5002" s="5">
        <v>3415240</v>
      </c>
    </row>
    <row r="5003" spans="1:6" x14ac:dyDescent="0.25">
      <c r="A5003" s="5">
        <v>3415240</v>
      </c>
      <c r="B5003" s="1">
        <v>2019</v>
      </c>
      <c r="C5003" s="1" t="s">
        <v>1387</v>
      </c>
      <c r="D5003" s="1" t="s">
        <v>775</v>
      </c>
      <c r="E5003" s="8">
        <v>376165</v>
      </c>
      <c r="F5003" s="5">
        <v>3415240</v>
      </c>
    </row>
    <row r="5004" spans="1:6" ht="20" x14ac:dyDescent="0.25">
      <c r="A5004" s="5">
        <v>3415240</v>
      </c>
      <c r="B5004" s="1">
        <v>2020</v>
      </c>
      <c r="C5004" s="1" t="s">
        <v>1387</v>
      </c>
      <c r="D5004" s="2" t="s">
        <v>775</v>
      </c>
      <c r="E5004" s="7">
        <v>457568</v>
      </c>
      <c r="F5004" s="5">
        <v>3415240</v>
      </c>
    </row>
    <row r="5005" spans="1:6" ht="20" x14ac:dyDescent="0.25">
      <c r="A5005" s="5">
        <v>3415240</v>
      </c>
      <c r="B5005" s="1">
        <v>2021</v>
      </c>
      <c r="C5005" s="1" t="s">
        <v>1387</v>
      </c>
      <c r="D5005" s="3" t="s">
        <v>775</v>
      </c>
      <c r="E5005" s="7">
        <v>610502</v>
      </c>
      <c r="F5005" s="5">
        <v>3415240</v>
      </c>
    </row>
    <row r="5006" spans="1:6" ht="20" x14ac:dyDescent="0.25">
      <c r="A5006" s="5">
        <v>3415240</v>
      </c>
      <c r="B5006" s="1">
        <v>2022</v>
      </c>
      <c r="C5006" s="1" t="s">
        <v>1387</v>
      </c>
      <c r="D5006" s="2" t="s">
        <v>775</v>
      </c>
      <c r="E5006" s="7">
        <v>828174</v>
      </c>
      <c r="F5006" s="5">
        <v>3415240</v>
      </c>
    </row>
    <row r="5007" spans="1:6" ht="20" x14ac:dyDescent="0.25">
      <c r="A5007" s="5">
        <v>3415240</v>
      </c>
      <c r="B5007" s="1">
        <v>2023</v>
      </c>
      <c r="C5007" s="1" t="s">
        <v>1387</v>
      </c>
      <c r="D5007" s="2" t="s">
        <v>775</v>
      </c>
      <c r="E5007" s="7">
        <v>967683</v>
      </c>
      <c r="F5007" s="5">
        <v>3415240</v>
      </c>
    </row>
    <row r="5008" spans="1:6" x14ac:dyDescent="0.25">
      <c r="A5008" s="5">
        <v>3415270</v>
      </c>
      <c r="B5008" s="1">
        <v>2015</v>
      </c>
      <c r="C5008" s="1" t="s">
        <v>1387</v>
      </c>
      <c r="D5008" s="1" t="s">
        <v>293</v>
      </c>
      <c r="E5008" s="8">
        <v>99007</v>
      </c>
      <c r="F5008" s="5">
        <v>3415270</v>
      </c>
    </row>
    <row r="5009" spans="1:6" x14ac:dyDescent="0.25">
      <c r="A5009" s="5">
        <v>3415270</v>
      </c>
      <c r="B5009" s="1">
        <v>2016</v>
      </c>
      <c r="C5009" s="1" t="s">
        <v>1387</v>
      </c>
      <c r="D5009" s="1" t="s">
        <v>293</v>
      </c>
      <c r="E5009" s="8">
        <v>153472</v>
      </c>
      <c r="F5009" s="5">
        <v>3415270</v>
      </c>
    </row>
    <row r="5010" spans="1:6" x14ac:dyDescent="0.25">
      <c r="A5010" s="5">
        <v>3415270</v>
      </c>
      <c r="B5010" s="1">
        <v>2017</v>
      </c>
      <c r="C5010" s="1" t="s">
        <v>1387</v>
      </c>
      <c r="D5010" s="1" t="s">
        <v>293</v>
      </c>
      <c r="E5010" s="8">
        <v>205912</v>
      </c>
      <c r="F5010" s="5">
        <v>3415270</v>
      </c>
    </row>
    <row r="5011" spans="1:6" x14ac:dyDescent="0.25">
      <c r="A5011" s="5">
        <v>3415270</v>
      </c>
      <c r="B5011" s="1">
        <v>2018</v>
      </c>
      <c r="C5011" s="1" t="s">
        <v>1387</v>
      </c>
      <c r="D5011" s="1" t="s">
        <v>983</v>
      </c>
      <c r="E5011" s="8">
        <v>297447</v>
      </c>
      <c r="F5011" s="5">
        <v>3415270</v>
      </c>
    </row>
    <row r="5012" spans="1:6" x14ac:dyDescent="0.25">
      <c r="A5012" s="5">
        <v>3415270</v>
      </c>
      <c r="B5012" s="1">
        <v>2019</v>
      </c>
      <c r="C5012" s="1" t="s">
        <v>1387</v>
      </c>
      <c r="D5012" s="1" t="s">
        <v>983</v>
      </c>
      <c r="E5012" s="8">
        <v>385583</v>
      </c>
      <c r="F5012" s="5">
        <v>3415270</v>
      </c>
    </row>
    <row r="5013" spans="1:6" ht="20" x14ac:dyDescent="0.25">
      <c r="A5013" s="5">
        <v>3415270</v>
      </c>
      <c r="B5013" s="1">
        <v>2020</v>
      </c>
      <c r="C5013" s="1" t="s">
        <v>1387</v>
      </c>
      <c r="D5013" s="2" t="s">
        <v>983</v>
      </c>
      <c r="E5013" s="7">
        <v>445941</v>
      </c>
      <c r="F5013" s="5">
        <v>3415270</v>
      </c>
    </row>
    <row r="5014" spans="1:6" ht="20" x14ac:dyDescent="0.25">
      <c r="A5014" s="5">
        <v>3415270</v>
      </c>
      <c r="B5014" s="1">
        <v>2021</v>
      </c>
      <c r="C5014" s="1" t="s">
        <v>1387</v>
      </c>
      <c r="D5014" s="3" t="s">
        <v>983</v>
      </c>
      <c r="E5014" s="7">
        <v>528127</v>
      </c>
      <c r="F5014" s="5">
        <v>3415270</v>
      </c>
    </row>
    <row r="5015" spans="1:6" ht="20" x14ac:dyDescent="0.25">
      <c r="A5015" s="5">
        <v>3415270</v>
      </c>
      <c r="B5015" s="1">
        <v>2022</v>
      </c>
      <c r="C5015" s="1" t="s">
        <v>1387</v>
      </c>
      <c r="D5015" s="2" t="s">
        <v>983</v>
      </c>
      <c r="E5015" s="7">
        <v>742264</v>
      </c>
      <c r="F5015" s="5">
        <v>3415270</v>
      </c>
    </row>
    <row r="5016" spans="1:6" ht="20" x14ac:dyDescent="0.25">
      <c r="A5016" s="5">
        <v>3415270</v>
      </c>
      <c r="B5016" s="1">
        <v>2023</v>
      </c>
      <c r="C5016" s="1" t="s">
        <v>1387</v>
      </c>
      <c r="D5016" s="2" t="s">
        <v>983</v>
      </c>
      <c r="E5016" s="7">
        <v>692343</v>
      </c>
      <c r="F5016" s="5">
        <v>3415270</v>
      </c>
    </row>
    <row r="5017" spans="1:6" x14ac:dyDescent="0.25">
      <c r="A5017" s="5">
        <v>3415330</v>
      </c>
      <c r="B5017" s="1">
        <v>2015</v>
      </c>
      <c r="C5017" s="1" t="s">
        <v>1387</v>
      </c>
      <c r="D5017" s="1" t="s">
        <v>265</v>
      </c>
      <c r="E5017" s="8">
        <v>2651467</v>
      </c>
      <c r="F5017" s="5">
        <v>3415330</v>
      </c>
    </row>
    <row r="5018" spans="1:6" x14ac:dyDescent="0.25">
      <c r="A5018" s="5">
        <v>3415330</v>
      </c>
      <c r="B5018" s="1">
        <v>2016</v>
      </c>
      <c r="C5018" s="1" t="s">
        <v>1387</v>
      </c>
      <c r="D5018" s="1" t="s">
        <v>265</v>
      </c>
      <c r="E5018" s="8">
        <v>3820356</v>
      </c>
      <c r="F5018" s="5">
        <v>3415330</v>
      </c>
    </row>
    <row r="5019" spans="1:6" x14ac:dyDescent="0.25">
      <c r="A5019" s="5">
        <v>3415330</v>
      </c>
      <c r="B5019" s="1">
        <v>2017</v>
      </c>
      <c r="C5019" s="1" t="s">
        <v>1387</v>
      </c>
      <c r="D5019" s="1" t="s">
        <v>265</v>
      </c>
      <c r="E5019" s="8">
        <v>5409767</v>
      </c>
      <c r="F5019" s="5">
        <v>3415330</v>
      </c>
    </row>
    <row r="5020" spans="1:6" x14ac:dyDescent="0.25">
      <c r="A5020" s="5">
        <v>3415330</v>
      </c>
      <c r="B5020" s="1">
        <v>2018</v>
      </c>
      <c r="C5020" s="1" t="s">
        <v>1387</v>
      </c>
      <c r="D5020" s="1" t="s">
        <v>955</v>
      </c>
      <c r="E5020" s="8">
        <v>7140442</v>
      </c>
      <c r="F5020" s="5">
        <v>3415330</v>
      </c>
    </row>
    <row r="5021" spans="1:6" x14ac:dyDescent="0.25">
      <c r="A5021" s="5">
        <v>3415330</v>
      </c>
      <c r="B5021" s="1">
        <v>2019</v>
      </c>
      <c r="C5021" s="1" t="s">
        <v>1387</v>
      </c>
      <c r="D5021" s="1" t="s">
        <v>955</v>
      </c>
      <c r="E5021" s="8">
        <v>9336259</v>
      </c>
      <c r="F5021" s="5">
        <v>3415330</v>
      </c>
    </row>
    <row r="5022" spans="1:6" ht="20" x14ac:dyDescent="0.25">
      <c r="A5022" s="5">
        <v>3415330</v>
      </c>
      <c r="B5022" s="1">
        <v>2020</v>
      </c>
      <c r="C5022" s="1" t="s">
        <v>1387</v>
      </c>
      <c r="D5022" s="2" t="s">
        <v>955</v>
      </c>
      <c r="E5022" s="7">
        <v>10529546</v>
      </c>
      <c r="F5022" s="5">
        <v>3415330</v>
      </c>
    </row>
    <row r="5023" spans="1:6" ht="20" x14ac:dyDescent="0.25">
      <c r="A5023" s="5">
        <v>3415330</v>
      </c>
      <c r="B5023" s="1">
        <v>2021</v>
      </c>
      <c r="C5023" s="1" t="s">
        <v>1387</v>
      </c>
      <c r="D5023" s="3" t="s">
        <v>955</v>
      </c>
      <c r="E5023" s="7">
        <v>13503991</v>
      </c>
      <c r="F5023" s="5">
        <v>3415330</v>
      </c>
    </row>
    <row r="5024" spans="1:6" ht="20" x14ac:dyDescent="0.25">
      <c r="A5024" s="5">
        <v>3415330</v>
      </c>
      <c r="B5024" s="1">
        <v>2022</v>
      </c>
      <c r="C5024" s="1" t="s">
        <v>1387</v>
      </c>
      <c r="D5024" s="2" t="s">
        <v>955</v>
      </c>
      <c r="E5024" s="7">
        <v>20275856</v>
      </c>
      <c r="F5024" s="5">
        <v>3415330</v>
      </c>
    </row>
    <row r="5025" spans="1:6" ht="20" x14ac:dyDescent="0.25">
      <c r="A5025" s="5">
        <v>3415330</v>
      </c>
      <c r="B5025" s="1">
        <v>2023</v>
      </c>
      <c r="C5025" s="1" t="s">
        <v>1387</v>
      </c>
      <c r="D5025" s="2" t="s">
        <v>955</v>
      </c>
      <c r="E5025" s="7">
        <v>20443070</v>
      </c>
      <c r="F5025" s="5">
        <v>3415330</v>
      </c>
    </row>
    <row r="5026" spans="1:6" x14ac:dyDescent="0.25">
      <c r="A5026" s="5">
        <v>3415360</v>
      </c>
      <c r="B5026" s="1">
        <v>2015</v>
      </c>
      <c r="C5026" s="1" t="s">
        <v>1387</v>
      </c>
      <c r="D5026" s="1" t="s">
        <v>396</v>
      </c>
      <c r="E5026" s="8">
        <v>1339935</v>
      </c>
      <c r="F5026" s="5">
        <v>3415360</v>
      </c>
    </row>
    <row r="5027" spans="1:6" x14ac:dyDescent="0.25">
      <c r="A5027" s="5">
        <v>3415360</v>
      </c>
      <c r="B5027" s="1">
        <v>2016</v>
      </c>
      <c r="C5027" s="1" t="s">
        <v>1387</v>
      </c>
      <c r="D5027" s="1" t="s">
        <v>396</v>
      </c>
      <c r="E5027" s="8">
        <v>2004439</v>
      </c>
      <c r="F5027" s="5">
        <v>3415360</v>
      </c>
    </row>
    <row r="5028" spans="1:6" x14ac:dyDescent="0.25">
      <c r="A5028" s="5">
        <v>3415360</v>
      </c>
      <c r="B5028" s="1">
        <v>2017</v>
      </c>
      <c r="C5028" s="1" t="s">
        <v>1387</v>
      </c>
      <c r="D5028" s="1" t="s">
        <v>396</v>
      </c>
      <c r="E5028" s="8">
        <v>2828720</v>
      </c>
      <c r="F5028" s="5">
        <v>3415360</v>
      </c>
    </row>
    <row r="5029" spans="1:6" x14ac:dyDescent="0.25">
      <c r="A5029" s="5">
        <v>3415360</v>
      </c>
      <c r="B5029" s="1">
        <v>2018</v>
      </c>
      <c r="C5029" s="1" t="s">
        <v>1387</v>
      </c>
      <c r="D5029" s="1" t="s">
        <v>1088</v>
      </c>
      <c r="E5029" s="8">
        <v>3871390</v>
      </c>
      <c r="F5029" s="5">
        <v>3415360</v>
      </c>
    </row>
    <row r="5030" spans="1:6" x14ac:dyDescent="0.25">
      <c r="A5030" s="5">
        <v>3415360</v>
      </c>
      <c r="B5030" s="1">
        <v>2019</v>
      </c>
      <c r="C5030" s="1" t="s">
        <v>1387</v>
      </c>
      <c r="D5030" s="1" t="s">
        <v>1088</v>
      </c>
      <c r="E5030" s="8">
        <v>5068889</v>
      </c>
      <c r="F5030" s="5">
        <v>3415360</v>
      </c>
    </row>
    <row r="5031" spans="1:6" ht="20" x14ac:dyDescent="0.25">
      <c r="A5031" s="5">
        <v>3415360</v>
      </c>
      <c r="B5031" s="1">
        <v>2020</v>
      </c>
      <c r="C5031" s="1" t="s">
        <v>1387</v>
      </c>
      <c r="D5031" s="2" t="s">
        <v>1088</v>
      </c>
      <c r="E5031" s="7">
        <v>5784215</v>
      </c>
      <c r="F5031" s="5">
        <v>3415360</v>
      </c>
    </row>
    <row r="5032" spans="1:6" ht="20" x14ac:dyDescent="0.25">
      <c r="A5032" s="5">
        <v>3415360</v>
      </c>
      <c r="B5032" s="1">
        <v>2021</v>
      </c>
      <c r="C5032" s="1" t="s">
        <v>1387</v>
      </c>
      <c r="D5032" s="3" t="s">
        <v>1088</v>
      </c>
      <c r="E5032" s="7">
        <v>7551834</v>
      </c>
      <c r="F5032" s="5">
        <v>3415360</v>
      </c>
    </row>
    <row r="5033" spans="1:6" ht="20" x14ac:dyDescent="0.25">
      <c r="A5033" s="5">
        <v>3415360</v>
      </c>
      <c r="B5033" s="1">
        <v>2022</v>
      </c>
      <c r="C5033" s="1" t="s">
        <v>1387</v>
      </c>
      <c r="D5033" s="2" t="s">
        <v>1088</v>
      </c>
      <c r="E5033" s="7">
        <v>10566539</v>
      </c>
      <c r="F5033" s="5">
        <v>3415360</v>
      </c>
    </row>
    <row r="5034" spans="1:6" ht="20" x14ac:dyDescent="0.25">
      <c r="A5034" s="5">
        <v>3415360</v>
      </c>
      <c r="B5034" s="1">
        <v>2023</v>
      </c>
      <c r="C5034" s="1" t="s">
        <v>1387</v>
      </c>
      <c r="D5034" s="2" t="s">
        <v>1088</v>
      </c>
      <c r="E5034" s="7">
        <v>10387166</v>
      </c>
      <c r="F5034" s="5">
        <v>3415360</v>
      </c>
    </row>
    <row r="5035" spans="1:6" x14ac:dyDescent="0.25">
      <c r="A5035" s="5">
        <v>3415390</v>
      </c>
      <c r="B5035" s="1">
        <v>2015</v>
      </c>
      <c r="C5035" s="1" t="s">
        <v>1387</v>
      </c>
      <c r="D5035" s="1" t="s">
        <v>397</v>
      </c>
      <c r="E5035" s="8">
        <v>668053</v>
      </c>
      <c r="F5035" s="5">
        <v>3415390</v>
      </c>
    </row>
    <row r="5036" spans="1:6" x14ac:dyDescent="0.25">
      <c r="A5036" s="5">
        <v>3415390</v>
      </c>
      <c r="B5036" s="1">
        <v>2016</v>
      </c>
      <c r="C5036" s="1" t="s">
        <v>1387</v>
      </c>
      <c r="D5036" s="1" t="s">
        <v>397</v>
      </c>
      <c r="E5036" s="8">
        <v>1013347</v>
      </c>
      <c r="F5036" s="5">
        <v>3415390</v>
      </c>
    </row>
    <row r="5037" spans="1:6" x14ac:dyDescent="0.25">
      <c r="A5037" s="5">
        <v>3415390</v>
      </c>
      <c r="B5037" s="1">
        <v>2017</v>
      </c>
      <c r="C5037" s="1" t="s">
        <v>1387</v>
      </c>
      <c r="D5037" s="1" t="s">
        <v>397</v>
      </c>
      <c r="E5037" s="8">
        <v>1462959</v>
      </c>
      <c r="F5037" s="5">
        <v>3415390</v>
      </c>
    </row>
    <row r="5038" spans="1:6" x14ac:dyDescent="0.25">
      <c r="A5038" s="5">
        <v>3415390</v>
      </c>
      <c r="B5038" s="1">
        <v>2018</v>
      </c>
      <c r="C5038" s="1" t="s">
        <v>1387</v>
      </c>
      <c r="D5038" s="1" t="s">
        <v>1089</v>
      </c>
      <c r="E5038" s="8">
        <v>1928764</v>
      </c>
      <c r="F5038" s="5">
        <v>3415390</v>
      </c>
    </row>
    <row r="5039" spans="1:6" x14ac:dyDescent="0.25">
      <c r="A5039" s="5">
        <v>3415390</v>
      </c>
      <c r="B5039" s="1">
        <v>2019</v>
      </c>
      <c r="C5039" s="1" t="s">
        <v>1387</v>
      </c>
      <c r="D5039" s="1" t="s">
        <v>1089</v>
      </c>
      <c r="E5039" s="8">
        <v>2637475</v>
      </c>
      <c r="F5039" s="5">
        <v>3415390</v>
      </c>
    </row>
    <row r="5040" spans="1:6" ht="20" x14ac:dyDescent="0.25">
      <c r="A5040" s="5">
        <v>3415390</v>
      </c>
      <c r="B5040" s="1">
        <v>2020</v>
      </c>
      <c r="C5040" s="1" t="s">
        <v>1387</v>
      </c>
      <c r="D5040" s="2" t="s">
        <v>1089</v>
      </c>
      <c r="E5040" s="7">
        <v>2899344</v>
      </c>
      <c r="F5040" s="5">
        <v>3415390</v>
      </c>
    </row>
    <row r="5041" spans="1:6" ht="20" x14ac:dyDescent="0.25">
      <c r="A5041" s="5">
        <v>3415390</v>
      </c>
      <c r="B5041" s="1">
        <v>2021</v>
      </c>
      <c r="C5041" s="1" t="s">
        <v>1387</v>
      </c>
      <c r="D5041" s="3" t="s">
        <v>1089</v>
      </c>
      <c r="E5041" s="7">
        <v>4011476</v>
      </c>
      <c r="F5041" s="5">
        <v>3415390</v>
      </c>
    </row>
    <row r="5042" spans="1:6" ht="20" x14ac:dyDescent="0.25">
      <c r="A5042" s="5">
        <v>3415390</v>
      </c>
      <c r="B5042" s="1">
        <v>2022</v>
      </c>
      <c r="C5042" s="1" t="s">
        <v>1387</v>
      </c>
      <c r="D5042" s="2" t="s">
        <v>1089</v>
      </c>
      <c r="E5042" s="7">
        <v>6071689</v>
      </c>
      <c r="F5042" s="5">
        <v>3415390</v>
      </c>
    </row>
    <row r="5043" spans="1:6" ht="20" x14ac:dyDescent="0.25">
      <c r="A5043" s="5">
        <v>3415390</v>
      </c>
      <c r="B5043" s="1">
        <v>2023</v>
      </c>
      <c r="C5043" s="1" t="s">
        <v>1387</v>
      </c>
      <c r="D5043" s="2" t="s">
        <v>1089</v>
      </c>
      <c r="E5043" s="7">
        <v>6049712</v>
      </c>
      <c r="F5043" s="5">
        <v>3415390</v>
      </c>
    </row>
    <row r="5044" spans="1:6" x14ac:dyDescent="0.25">
      <c r="A5044" s="5">
        <v>3415420</v>
      </c>
      <c r="B5044" s="1">
        <v>2015</v>
      </c>
      <c r="C5044" s="1" t="s">
        <v>1387</v>
      </c>
      <c r="D5044" s="1" t="s">
        <v>142</v>
      </c>
      <c r="E5044" s="8">
        <v>309163</v>
      </c>
      <c r="F5044" s="5">
        <v>3415420</v>
      </c>
    </row>
    <row r="5045" spans="1:6" x14ac:dyDescent="0.25">
      <c r="A5045" s="5">
        <v>3415420</v>
      </c>
      <c r="B5045" s="1">
        <v>2016</v>
      </c>
      <c r="C5045" s="1" t="s">
        <v>1387</v>
      </c>
      <c r="D5045" s="1" t="s">
        <v>142</v>
      </c>
      <c r="E5045" s="8">
        <v>452990</v>
      </c>
      <c r="F5045" s="5">
        <v>3415420</v>
      </c>
    </row>
    <row r="5046" spans="1:6" x14ac:dyDescent="0.25">
      <c r="A5046" s="5">
        <v>3415420</v>
      </c>
      <c r="B5046" s="1">
        <v>2017</v>
      </c>
      <c r="C5046" s="1" t="s">
        <v>1387</v>
      </c>
      <c r="D5046" s="1" t="s">
        <v>142</v>
      </c>
      <c r="E5046" s="8">
        <v>633901</v>
      </c>
      <c r="F5046" s="5">
        <v>3415420</v>
      </c>
    </row>
    <row r="5047" spans="1:6" x14ac:dyDescent="0.25">
      <c r="A5047" s="5">
        <v>3415420</v>
      </c>
      <c r="B5047" s="1">
        <v>2018</v>
      </c>
      <c r="C5047" s="1" t="s">
        <v>1387</v>
      </c>
      <c r="D5047" s="1" t="s">
        <v>823</v>
      </c>
      <c r="E5047" s="8">
        <v>841618</v>
      </c>
      <c r="F5047" s="5">
        <v>3415420</v>
      </c>
    </row>
    <row r="5048" spans="1:6" x14ac:dyDescent="0.25">
      <c r="A5048" s="5">
        <v>3415420</v>
      </c>
      <c r="B5048" s="1">
        <v>2019</v>
      </c>
      <c r="C5048" s="1" t="s">
        <v>1387</v>
      </c>
      <c r="D5048" s="1" t="s">
        <v>823</v>
      </c>
      <c r="E5048" s="8">
        <v>1088709</v>
      </c>
      <c r="F5048" s="5">
        <v>3415420</v>
      </c>
    </row>
    <row r="5049" spans="1:6" ht="20" x14ac:dyDescent="0.25">
      <c r="A5049" s="5">
        <v>3415420</v>
      </c>
      <c r="B5049" s="1">
        <v>2020</v>
      </c>
      <c r="C5049" s="1" t="s">
        <v>1387</v>
      </c>
      <c r="D5049" s="2" t="s">
        <v>823</v>
      </c>
      <c r="E5049" s="7">
        <v>1300295</v>
      </c>
      <c r="F5049" s="5">
        <v>3415420</v>
      </c>
    </row>
    <row r="5050" spans="1:6" ht="20" x14ac:dyDescent="0.25">
      <c r="A5050" s="5">
        <v>3415420</v>
      </c>
      <c r="B5050" s="1">
        <v>2021</v>
      </c>
      <c r="C5050" s="1" t="s">
        <v>1387</v>
      </c>
      <c r="D5050" s="3" t="s">
        <v>823</v>
      </c>
      <c r="E5050" s="7">
        <v>1610152</v>
      </c>
      <c r="F5050" s="5">
        <v>3415420</v>
      </c>
    </row>
    <row r="5051" spans="1:6" ht="20" x14ac:dyDescent="0.25">
      <c r="A5051" s="5">
        <v>3415420</v>
      </c>
      <c r="B5051" s="1">
        <v>2022</v>
      </c>
      <c r="C5051" s="1" t="s">
        <v>1387</v>
      </c>
      <c r="D5051" s="2" t="s">
        <v>823</v>
      </c>
      <c r="E5051" s="7">
        <v>2238199</v>
      </c>
      <c r="F5051" s="5">
        <v>3415420</v>
      </c>
    </row>
    <row r="5052" spans="1:6" ht="20" x14ac:dyDescent="0.25">
      <c r="A5052" s="5">
        <v>3415420</v>
      </c>
      <c r="B5052" s="1">
        <v>2023</v>
      </c>
      <c r="C5052" s="1" t="s">
        <v>1387</v>
      </c>
      <c r="D5052" s="2" t="s">
        <v>823</v>
      </c>
      <c r="E5052" s="7">
        <v>2271444</v>
      </c>
      <c r="F5052" s="5">
        <v>3415420</v>
      </c>
    </row>
    <row r="5053" spans="1:6" x14ac:dyDescent="0.25">
      <c r="A5053" s="5">
        <v>3415450</v>
      </c>
      <c r="B5053" s="1">
        <v>2015</v>
      </c>
      <c r="C5053" s="1" t="s">
        <v>1387</v>
      </c>
      <c r="D5053" s="1" t="s">
        <v>274</v>
      </c>
      <c r="E5053" s="8">
        <v>609693</v>
      </c>
      <c r="F5053" s="5">
        <v>3415450</v>
      </c>
    </row>
    <row r="5054" spans="1:6" x14ac:dyDescent="0.25">
      <c r="A5054" s="5">
        <v>3415450</v>
      </c>
      <c r="B5054" s="1">
        <v>2016</v>
      </c>
      <c r="C5054" s="1" t="s">
        <v>1387</v>
      </c>
      <c r="D5054" s="1" t="s">
        <v>274</v>
      </c>
      <c r="E5054" s="8">
        <v>920898</v>
      </c>
      <c r="F5054" s="5">
        <v>3415450</v>
      </c>
    </row>
    <row r="5055" spans="1:6" x14ac:dyDescent="0.25">
      <c r="A5055" s="5">
        <v>3415450</v>
      </c>
      <c r="B5055" s="1">
        <v>2017</v>
      </c>
      <c r="C5055" s="1" t="s">
        <v>1387</v>
      </c>
      <c r="D5055" s="1" t="s">
        <v>274</v>
      </c>
      <c r="E5055" s="8">
        <v>1268189</v>
      </c>
      <c r="F5055" s="5">
        <v>3415450</v>
      </c>
    </row>
    <row r="5056" spans="1:6" x14ac:dyDescent="0.25">
      <c r="A5056" s="5">
        <v>3415450</v>
      </c>
      <c r="B5056" s="1">
        <v>2018</v>
      </c>
      <c r="C5056" s="1" t="s">
        <v>1387</v>
      </c>
      <c r="D5056" s="1" t="s">
        <v>964</v>
      </c>
      <c r="E5056" s="8">
        <v>1705617</v>
      </c>
      <c r="F5056" s="5">
        <v>3415450</v>
      </c>
    </row>
    <row r="5057" spans="1:6" x14ac:dyDescent="0.25">
      <c r="A5057" s="5">
        <v>3415450</v>
      </c>
      <c r="B5057" s="1">
        <v>2019</v>
      </c>
      <c r="C5057" s="1" t="s">
        <v>1387</v>
      </c>
      <c r="D5057" s="1" t="s">
        <v>964</v>
      </c>
      <c r="E5057" s="8">
        <v>2293044</v>
      </c>
      <c r="F5057" s="5">
        <v>3415450</v>
      </c>
    </row>
    <row r="5058" spans="1:6" ht="20" x14ac:dyDescent="0.25">
      <c r="A5058" s="5">
        <v>3415450</v>
      </c>
      <c r="B5058" s="1">
        <v>2020</v>
      </c>
      <c r="C5058" s="1" t="s">
        <v>1387</v>
      </c>
      <c r="D5058" s="2" t="s">
        <v>964</v>
      </c>
      <c r="E5058" s="7">
        <v>2561939</v>
      </c>
      <c r="F5058" s="5">
        <v>3415450</v>
      </c>
    </row>
    <row r="5059" spans="1:6" ht="20" x14ac:dyDescent="0.25">
      <c r="A5059" s="5">
        <v>3415450</v>
      </c>
      <c r="B5059" s="1">
        <v>2021</v>
      </c>
      <c r="C5059" s="1" t="s">
        <v>1387</v>
      </c>
      <c r="D5059" s="3" t="s">
        <v>964</v>
      </c>
      <c r="E5059" s="7">
        <v>3255989</v>
      </c>
      <c r="F5059" s="5">
        <v>3415450</v>
      </c>
    </row>
    <row r="5060" spans="1:6" ht="20" x14ac:dyDescent="0.25">
      <c r="A5060" s="5">
        <v>3415450</v>
      </c>
      <c r="B5060" s="1">
        <v>2022</v>
      </c>
      <c r="C5060" s="1" t="s">
        <v>1387</v>
      </c>
      <c r="D5060" s="2" t="s">
        <v>964</v>
      </c>
      <c r="E5060" s="7">
        <v>4561404</v>
      </c>
      <c r="F5060" s="5">
        <v>3415450</v>
      </c>
    </row>
    <row r="5061" spans="1:6" ht="20" x14ac:dyDescent="0.25">
      <c r="A5061" s="5">
        <v>3415450</v>
      </c>
      <c r="B5061" s="1">
        <v>2023</v>
      </c>
      <c r="C5061" s="1" t="s">
        <v>1387</v>
      </c>
      <c r="D5061" s="2" t="s">
        <v>964</v>
      </c>
      <c r="E5061" s="7">
        <v>4468924</v>
      </c>
      <c r="F5061" s="5">
        <v>3415450</v>
      </c>
    </row>
    <row r="5062" spans="1:6" x14ac:dyDescent="0.25">
      <c r="A5062" s="5">
        <v>3415480</v>
      </c>
      <c r="B5062" s="1">
        <v>2015</v>
      </c>
      <c r="C5062" s="1" t="s">
        <v>1387</v>
      </c>
      <c r="D5062" s="1" t="s">
        <v>519</v>
      </c>
      <c r="E5062" s="8">
        <v>1158665</v>
      </c>
      <c r="F5062" s="5">
        <v>3415480</v>
      </c>
    </row>
    <row r="5063" spans="1:6" x14ac:dyDescent="0.25">
      <c r="A5063" s="5">
        <v>3415480</v>
      </c>
      <c r="B5063" s="1">
        <v>2016</v>
      </c>
      <c r="C5063" s="1" t="s">
        <v>1387</v>
      </c>
      <c r="D5063" s="1" t="s">
        <v>519</v>
      </c>
      <c r="E5063" s="8">
        <v>1727065</v>
      </c>
      <c r="F5063" s="5">
        <v>3415480</v>
      </c>
    </row>
    <row r="5064" spans="1:6" x14ac:dyDescent="0.25">
      <c r="A5064" s="5">
        <v>3415480</v>
      </c>
      <c r="B5064" s="1">
        <v>2017</v>
      </c>
      <c r="C5064" s="1" t="s">
        <v>1387</v>
      </c>
      <c r="D5064" s="1" t="s">
        <v>519</v>
      </c>
      <c r="E5064" s="8">
        <v>2395534</v>
      </c>
      <c r="F5064" s="5">
        <v>3415480</v>
      </c>
    </row>
    <row r="5065" spans="1:6" x14ac:dyDescent="0.25">
      <c r="A5065" s="5">
        <v>3415480</v>
      </c>
      <c r="B5065" s="1">
        <v>2018</v>
      </c>
      <c r="C5065" s="1" t="s">
        <v>1387</v>
      </c>
      <c r="D5065" s="1" t="s">
        <v>1211</v>
      </c>
      <c r="E5065" s="8">
        <v>3270171</v>
      </c>
      <c r="F5065" s="5">
        <v>3415480</v>
      </c>
    </row>
    <row r="5066" spans="1:6" x14ac:dyDescent="0.25">
      <c r="A5066" s="5">
        <v>3415480</v>
      </c>
      <c r="B5066" s="1">
        <v>2019</v>
      </c>
      <c r="C5066" s="1" t="s">
        <v>1387</v>
      </c>
      <c r="D5066" s="1" t="s">
        <v>1211</v>
      </c>
      <c r="E5066" s="8">
        <v>4276379</v>
      </c>
      <c r="F5066" s="5">
        <v>3415480</v>
      </c>
    </row>
    <row r="5067" spans="1:6" ht="20" x14ac:dyDescent="0.25">
      <c r="A5067" s="5">
        <v>3415480</v>
      </c>
      <c r="B5067" s="1">
        <v>2020</v>
      </c>
      <c r="C5067" s="1" t="s">
        <v>1387</v>
      </c>
      <c r="D5067" s="2" t="s">
        <v>1211</v>
      </c>
      <c r="E5067" s="7">
        <v>4727259</v>
      </c>
      <c r="F5067" s="5">
        <v>3415480</v>
      </c>
    </row>
    <row r="5068" spans="1:6" ht="20" x14ac:dyDescent="0.25">
      <c r="A5068" s="5">
        <v>3415480</v>
      </c>
      <c r="B5068" s="1">
        <v>2021</v>
      </c>
      <c r="C5068" s="1" t="s">
        <v>1387</v>
      </c>
      <c r="D5068" s="3" t="s">
        <v>1211</v>
      </c>
      <c r="E5068" s="7">
        <v>6094615</v>
      </c>
      <c r="F5068" s="5">
        <v>3415480</v>
      </c>
    </row>
    <row r="5069" spans="1:6" ht="20" x14ac:dyDescent="0.25">
      <c r="A5069" s="5">
        <v>3415480</v>
      </c>
      <c r="B5069" s="1">
        <v>2022</v>
      </c>
      <c r="C5069" s="1" t="s">
        <v>1387</v>
      </c>
      <c r="D5069" s="2" t="s">
        <v>1211</v>
      </c>
      <c r="E5069" s="7">
        <v>8805896</v>
      </c>
      <c r="F5069" s="5">
        <v>3415480</v>
      </c>
    </row>
    <row r="5070" spans="1:6" ht="20" x14ac:dyDescent="0.25">
      <c r="A5070" s="5">
        <v>3415480</v>
      </c>
      <c r="B5070" s="1">
        <v>2023</v>
      </c>
      <c r="C5070" s="1" t="s">
        <v>1387</v>
      </c>
      <c r="D5070" s="2" t="s">
        <v>1211</v>
      </c>
      <c r="E5070" s="7">
        <v>9046184</v>
      </c>
      <c r="F5070" s="5">
        <v>3415480</v>
      </c>
    </row>
    <row r="5071" spans="1:6" x14ac:dyDescent="0.25">
      <c r="A5071" s="5">
        <v>3415510</v>
      </c>
      <c r="B5071" s="1">
        <v>2015</v>
      </c>
      <c r="C5071" s="1" t="s">
        <v>1387</v>
      </c>
      <c r="D5071" s="1" t="s">
        <v>601</v>
      </c>
      <c r="E5071" s="8">
        <v>1350421</v>
      </c>
      <c r="F5071" s="5">
        <v>3415510</v>
      </c>
    </row>
    <row r="5072" spans="1:6" x14ac:dyDescent="0.25">
      <c r="A5072" s="5">
        <v>3415510</v>
      </c>
      <c r="B5072" s="1">
        <v>2016</v>
      </c>
      <c r="C5072" s="1" t="s">
        <v>1387</v>
      </c>
      <c r="D5072" s="1" t="s">
        <v>601</v>
      </c>
      <c r="E5072" s="8">
        <v>2032761</v>
      </c>
      <c r="F5072" s="5">
        <v>3415510</v>
      </c>
    </row>
    <row r="5073" spans="1:6" x14ac:dyDescent="0.25">
      <c r="A5073" s="5">
        <v>3415510</v>
      </c>
      <c r="B5073" s="1">
        <v>2017</v>
      </c>
      <c r="C5073" s="1" t="s">
        <v>1387</v>
      </c>
      <c r="D5073" s="1" t="s">
        <v>601</v>
      </c>
      <c r="E5073" s="8">
        <v>2868229</v>
      </c>
      <c r="F5073" s="5">
        <v>3415510</v>
      </c>
    </row>
    <row r="5074" spans="1:6" x14ac:dyDescent="0.25">
      <c r="A5074" s="5">
        <v>3415510</v>
      </c>
      <c r="B5074" s="1">
        <v>2018</v>
      </c>
      <c r="C5074" s="1" t="s">
        <v>1387</v>
      </c>
      <c r="D5074" s="1" t="s">
        <v>1294</v>
      </c>
      <c r="E5074" s="8">
        <v>3820900</v>
      </c>
      <c r="F5074" s="5">
        <v>3415510</v>
      </c>
    </row>
    <row r="5075" spans="1:6" x14ac:dyDescent="0.25">
      <c r="A5075" s="5">
        <v>3415510</v>
      </c>
      <c r="B5075" s="1">
        <v>2019</v>
      </c>
      <c r="C5075" s="1" t="s">
        <v>1387</v>
      </c>
      <c r="D5075" s="1" t="s">
        <v>1294</v>
      </c>
      <c r="E5075" s="8">
        <v>5202538</v>
      </c>
      <c r="F5075" s="5">
        <v>3415510</v>
      </c>
    </row>
    <row r="5076" spans="1:6" ht="20" x14ac:dyDescent="0.25">
      <c r="A5076" s="5">
        <v>3415510</v>
      </c>
      <c r="B5076" s="1">
        <v>2020</v>
      </c>
      <c r="C5076" s="1" t="s">
        <v>1387</v>
      </c>
      <c r="D5076" s="2" t="s">
        <v>1294</v>
      </c>
      <c r="E5076" s="7">
        <v>5994991</v>
      </c>
      <c r="F5076" s="5">
        <v>3415510</v>
      </c>
    </row>
    <row r="5077" spans="1:6" ht="20" x14ac:dyDescent="0.25">
      <c r="A5077" s="5">
        <v>3415510</v>
      </c>
      <c r="B5077" s="1">
        <v>2021</v>
      </c>
      <c r="C5077" s="1" t="s">
        <v>1387</v>
      </c>
      <c r="D5077" s="3" t="s">
        <v>1294</v>
      </c>
      <c r="E5077" s="7">
        <v>7682952</v>
      </c>
      <c r="F5077" s="5">
        <v>3415510</v>
      </c>
    </row>
    <row r="5078" spans="1:6" ht="20" x14ac:dyDescent="0.25">
      <c r="A5078" s="5">
        <v>3415510</v>
      </c>
      <c r="B5078" s="1">
        <v>2022</v>
      </c>
      <c r="C5078" s="1" t="s">
        <v>1387</v>
      </c>
      <c r="D5078" s="2" t="s">
        <v>1294</v>
      </c>
      <c r="E5078" s="7">
        <v>11213826</v>
      </c>
      <c r="F5078" s="5">
        <v>3415510</v>
      </c>
    </row>
    <row r="5079" spans="1:6" ht="20" x14ac:dyDescent="0.25">
      <c r="A5079" s="5">
        <v>3415510</v>
      </c>
      <c r="B5079" s="1">
        <v>2023</v>
      </c>
      <c r="C5079" s="1" t="s">
        <v>1387</v>
      </c>
      <c r="D5079" s="2" t="s">
        <v>1294</v>
      </c>
      <c r="E5079" s="7">
        <v>11523997</v>
      </c>
      <c r="F5079" s="5">
        <v>3415510</v>
      </c>
    </row>
    <row r="5080" spans="1:6" x14ac:dyDescent="0.25">
      <c r="A5080" s="5">
        <v>3415540</v>
      </c>
      <c r="B5080" s="1">
        <v>2015</v>
      </c>
      <c r="C5080" s="1" t="s">
        <v>1387</v>
      </c>
      <c r="D5080" s="1" t="s">
        <v>398</v>
      </c>
      <c r="E5080" s="8">
        <v>650987</v>
      </c>
      <c r="F5080" s="5">
        <v>3415540</v>
      </c>
    </row>
    <row r="5081" spans="1:6" x14ac:dyDescent="0.25">
      <c r="A5081" s="5">
        <v>3415540</v>
      </c>
      <c r="B5081" s="1">
        <v>2016</v>
      </c>
      <c r="C5081" s="1" t="s">
        <v>1387</v>
      </c>
      <c r="D5081" s="1" t="s">
        <v>398</v>
      </c>
      <c r="E5081" s="8">
        <v>936905</v>
      </c>
      <c r="F5081" s="5">
        <v>3415540</v>
      </c>
    </row>
    <row r="5082" spans="1:6" x14ac:dyDescent="0.25">
      <c r="A5082" s="5">
        <v>3415540</v>
      </c>
      <c r="B5082" s="1">
        <v>2017</v>
      </c>
      <c r="C5082" s="1" t="s">
        <v>1387</v>
      </c>
      <c r="D5082" s="1" t="s">
        <v>398</v>
      </c>
      <c r="E5082" s="8">
        <v>1290790</v>
      </c>
      <c r="F5082" s="5">
        <v>3415540</v>
      </c>
    </row>
    <row r="5083" spans="1:6" x14ac:dyDescent="0.25">
      <c r="A5083" s="5">
        <v>3415540</v>
      </c>
      <c r="B5083" s="1">
        <v>2018</v>
      </c>
      <c r="C5083" s="1" t="s">
        <v>1387</v>
      </c>
      <c r="D5083" s="1" t="s">
        <v>1090</v>
      </c>
      <c r="E5083" s="8">
        <v>1711571</v>
      </c>
      <c r="F5083" s="5">
        <v>3415540</v>
      </c>
    </row>
    <row r="5084" spans="1:6" x14ac:dyDescent="0.25">
      <c r="A5084" s="5">
        <v>3415540</v>
      </c>
      <c r="B5084" s="1">
        <v>2019</v>
      </c>
      <c r="C5084" s="1" t="s">
        <v>1387</v>
      </c>
      <c r="D5084" s="1" t="s">
        <v>1090</v>
      </c>
      <c r="E5084" s="8">
        <v>2191731</v>
      </c>
      <c r="F5084" s="5">
        <v>3415540</v>
      </c>
    </row>
    <row r="5085" spans="1:6" ht="20" x14ac:dyDescent="0.25">
      <c r="A5085" s="5">
        <v>3415540</v>
      </c>
      <c r="B5085" s="1">
        <v>2020</v>
      </c>
      <c r="C5085" s="1" t="s">
        <v>1387</v>
      </c>
      <c r="D5085" s="2" t="s">
        <v>1090</v>
      </c>
      <c r="E5085" s="7">
        <v>2445215</v>
      </c>
      <c r="F5085" s="5">
        <v>3415540</v>
      </c>
    </row>
    <row r="5086" spans="1:6" ht="20" x14ac:dyDescent="0.25">
      <c r="A5086" s="5">
        <v>3415540</v>
      </c>
      <c r="B5086" s="1">
        <v>2021</v>
      </c>
      <c r="C5086" s="1" t="s">
        <v>1387</v>
      </c>
      <c r="D5086" s="3" t="s">
        <v>1090</v>
      </c>
      <c r="E5086" s="7">
        <v>3183413</v>
      </c>
      <c r="F5086" s="5">
        <v>3415540</v>
      </c>
    </row>
    <row r="5087" spans="1:6" ht="20" x14ac:dyDescent="0.25">
      <c r="A5087" s="5">
        <v>3415540</v>
      </c>
      <c r="B5087" s="1">
        <v>2022</v>
      </c>
      <c r="C5087" s="1" t="s">
        <v>1387</v>
      </c>
      <c r="D5087" s="2" t="s">
        <v>1090</v>
      </c>
      <c r="E5087" s="7">
        <v>4300745</v>
      </c>
      <c r="F5087" s="5">
        <v>3415540</v>
      </c>
    </row>
    <row r="5088" spans="1:6" ht="20" x14ac:dyDescent="0.25">
      <c r="A5088" s="5">
        <v>3415540</v>
      </c>
      <c r="B5088" s="1">
        <v>2023</v>
      </c>
      <c r="C5088" s="1" t="s">
        <v>1387</v>
      </c>
      <c r="D5088" s="2" t="s">
        <v>1090</v>
      </c>
      <c r="E5088" s="7">
        <v>4342934</v>
      </c>
      <c r="F5088" s="5">
        <v>3415540</v>
      </c>
    </row>
    <row r="5089" spans="1:6" x14ac:dyDescent="0.25">
      <c r="A5089" s="5">
        <v>3415570</v>
      </c>
      <c r="B5089" s="1">
        <v>2015</v>
      </c>
      <c r="C5089" s="1" t="s">
        <v>1387</v>
      </c>
      <c r="D5089" s="1" t="s">
        <v>447</v>
      </c>
      <c r="E5089" s="8">
        <v>116039</v>
      </c>
      <c r="F5089" s="5">
        <v>3415570</v>
      </c>
    </row>
    <row r="5090" spans="1:6" x14ac:dyDescent="0.25">
      <c r="A5090" s="5">
        <v>3415570</v>
      </c>
      <c r="B5090" s="1">
        <v>2016</v>
      </c>
      <c r="C5090" s="1" t="s">
        <v>1387</v>
      </c>
      <c r="D5090" s="1" t="s">
        <v>447</v>
      </c>
      <c r="E5090" s="8">
        <v>201324</v>
      </c>
      <c r="F5090" s="5">
        <v>3415570</v>
      </c>
    </row>
    <row r="5091" spans="1:6" x14ac:dyDescent="0.25">
      <c r="A5091" s="5">
        <v>3415570</v>
      </c>
      <c r="B5091" s="1">
        <v>2017</v>
      </c>
      <c r="C5091" s="1" t="s">
        <v>1387</v>
      </c>
      <c r="D5091" s="1" t="s">
        <v>447</v>
      </c>
      <c r="E5091" s="8">
        <v>246756</v>
      </c>
      <c r="F5091" s="5">
        <v>3415570</v>
      </c>
    </row>
    <row r="5092" spans="1:6" x14ac:dyDescent="0.25">
      <c r="A5092" s="5">
        <v>3415570</v>
      </c>
      <c r="B5092" s="1">
        <v>2018</v>
      </c>
      <c r="C5092" s="1" t="s">
        <v>1387</v>
      </c>
      <c r="D5092" s="1" t="s">
        <v>1139</v>
      </c>
      <c r="E5092" s="8">
        <v>350731</v>
      </c>
      <c r="F5092" s="5">
        <v>3415570</v>
      </c>
    </row>
    <row r="5093" spans="1:6" x14ac:dyDescent="0.25">
      <c r="A5093" s="5">
        <v>3415570</v>
      </c>
      <c r="B5093" s="1">
        <v>2019</v>
      </c>
      <c r="C5093" s="1" t="s">
        <v>1387</v>
      </c>
      <c r="D5093" s="1" t="s">
        <v>1139</v>
      </c>
      <c r="E5093" s="8">
        <v>398078</v>
      </c>
      <c r="F5093" s="5">
        <v>3415570</v>
      </c>
    </row>
    <row r="5094" spans="1:6" ht="20" x14ac:dyDescent="0.25">
      <c r="A5094" s="5">
        <v>3415570</v>
      </c>
      <c r="B5094" s="1">
        <v>2020</v>
      </c>
      <c r="C5094" s="1" t="s">
        <v>1387</v>
      </c>
      <c r="D5094" s="2" t="s">
        <v>1139</v>
      </c>
      <c r="E5094" s="7">
        <v>499785</v>
      </c>
      <c r="F5094" s="5">
        <v>3415570</v>
      </c>
    </row>
    <row r="5095" spans="1:6" ht="20" x14ac:dyDescent="0.25">
      <c r="A5095" s="5">
        <v>3415570</v>
      </c>
      <c r="B5095" s="1">
        <v>2021</v>
      </c>
      <c r="C5095" s="1" t="s">
        <v>1387</v>
      </c>
      <c r="D5095" s="3" t="s">
        <v>1139</v>
      </c>
      <c r="E5095" s="7">
        <v>702230</v>
      </c>
      <c r="F5095" s="5">
        <v>3415570</v>
      </c>
    </row>
    <row r="5096" spans="1:6" ht="20" x14ac:dyDescent="0.25">
      <c r="A5096" s="5">
        <v>3415570</v>
      </c>
      <c r="B5096" s="1">
        <v>2022</v>
      </c>
      <c r="C5096" s="1" t="s">
        <v>1387</v>
      </c>
      <c r="D5096" s="2" t="s">
        <v>1139</v>
      </c>
      <c r="E5096" s="7">
        <v>770436</v>
      </c>
      <c r="F5096" s="5">
        <v>3415570</v>
      </c>
    </row>
    <row r="5097" spans="1:6" ht="20" x14ac:dyDescent="0.25">
      <c r="A5097" s="5">
        <v>3415570</v>
      </c>
      <c r="B5097" s="1">
        <v>2023</v>
      </c>
      <c r="C5097" s="1" t="s">
        <v>1387</v>
      </c>
      <c r="D5097" s="2" t="s">
        <v>1139</v>
      </c>
      <c r="E5097" s="7">
        <v>789094</v>
      </c>
      <c r="F5097" s="5">
        <v>3415570</v>
      </c>
    </row>
    <row r="5098" spans="1:6" x14ac:dyDescent="0.25">
      <c r="A5098" s="5">
        <v>3415600</v>
      </c>
      <c r="B5098" s="1">
        <v>2015</v>
      </c>
      <c r="C5098" s="1" t="s">
        <v>1387</v>
      </c>
      <c r="D5098" s="1" t="s">
        <v>448</v>
      </c>
      <c r="E5098" s="8">
        <v>121695</v>
      </c>
      <c r="F5098" s="5">
        <v>3415600</v>
      </c>
    </row>
    <row r="5099" spans="1:6" x14ac:dyDescent="0.25">
      <c r="A5099" s="5">
        <v>3415600</v>
      </c>
      <c r="B5099" s="1">
        <v>2016</v>
      </c>
      <c r="C5099" s="1" t="s">
        <v>1387</v>
      </c>
      <c r="D5099" s="1" t="s">
        <v>448</v>
      </c>
      <c r="E5099" s="8">
        <v>181625</v>
      </c>
      <c r="F5099" s="5">
        <v>3415600</v>
      </c>
    </row>
    <row r="5100" spans="1:6" x14ac:dyDescent="0.25">
      <c r="A5100" s="5">
        <v>3415600</v>
      </c>
      <c r="B5100" s="1">
        <v>2017</v>
      </c>
      <c r="C5100" s="1" t="s">
        <v>1387</v>
      </c>
      <c r="D5100" s="1" t="s">
        <v>448</v>
      </c>
      <c r="E5100" s="8">
        <v>241610</v>
      </c>
      <c r="F5100" s="5">
        <v>3415600</v>
      </c>
    </row>
    <row r="5101" spans="1:6" x14ac:dyDescent="0.25">
      <c r="A5101" s="5">
        <v>3415600</v>
      </c>
      <c r="B5101" s="1">
        <v>2018</v>
      </c>
      <c r="C5101" s="1" t="s">
        <v>1387</v>
      </c>
      <c r="D5101" s="1" t="s">
        <v>1140</v>
      </c>
      <c r="E5101" s="8">
        <v>352600</v>
      </c>
      <c r="F5101" s="5">
        <v>3415600</v>
      </c>
    </row>
    <row r="5102" spans="1:6" x14ac:dyDescent="0.25">
      <c r="A5102" s="5">
        <v>3415600</v>
      </c>
      <c r="B5102" s="1">
        <v>2019</v>
      </c>
      <c r="C5102" s="1" t="s">
        <v>1387</v>
      </c>
      <c r="D5102" s="1" t="s">
        <v>1140</v>
      </c>
      <c r="E5102" s="8">
        <v>504301</v>
      </c>
      <c r="F5102" s="5">
        <v>3415600</v>
      </c>
    </row>
    <row r="5103" spans="1:6" ht="20" x14ac:dyDescent="0.25">
      <c r="A5103" s="5">
        <v>3415600</v>
      </c>
      <c r="B5103" s="1">
        <v>2020</v>
      </c>
      <c r="C5103" s="1" t="s">
        <v>1387</v>
      </c>
      <c r="D5103" s="2" t="s">
        <v>1140</v>
      </c>
      <c r="E5103" s="7">
        <v>543273</v>
      </c>
      <c r="F5103" s="5">
        <v>3415600</v>
      </c>
    </row>
    <row r="5104" spans="1:6" ht="20" x14ac:dyDescent="0.25">
      <c r="A5104" s="5">
        <v>3415600</v>
      </c>
      <c r="B5104" s="1">
        <v>2021</v>
      </c>
      <c r="C5104" s="1" t="s">
        <v>1387</v>
      </c>
      <c r="D5104" s="3" t="s">
        <v>1140</v>
      </c>
      <c r="E5104" s="7">
        <v>690663</v>
      </c>
      <c r="F5104" s="5">
        <v>3415600</v>
      </c>
    </row>
    <row r="5105" spans="1:6" ht="20" x14ac:dyDescent="0.25">
      <c r="A5105" s="5">
        <v>3415600</v>
      </c>
      <c r="B5105" s="1">
        <v>2022</v>
      </c>
      <c r="C5105" s="1" t="s">
        <v>1387</v>
      </c>
      <c r="D5105" s="2" t="s">
        <v>1140</v>
      </c>
      <c r="E5105" s="7">
        <v>1054637</v>
      </c>
      <c r="F5105" s="5">
        <v>3415600</v>
      </c>
    </row>
    <row r="5106" spans="1:6" ht="20" x14ac:dyDescent="0.25">
      <c r="A5106" s="5">
        <v>3415600</v>
      </c>
      <c r="B5106" s="1">
        <v>2023</v>
      </c>
      <c r="C5106" s="1" t="s">
        <v>1387</v>
      </c>
      <c r="D5106" s="2" t="s">
        <v>1140</v>
      </c>
      <c r="E5106" s="7">
        <v>1103588</v>
      </c>
      <c r="F5106" s="5">
        <v>3415600</v>
      </c>
    </row>
    <row r="5107" spans="1:6" x14ac:dyDescent="0.25">
      <c r="A5107" s="5">
        <v>3415630</v>
      </c>
      <c r="B5107" s="1">
        <v>2015</v>
      </c>
      <c r="C5107" s="1" t="s">
        <v>1387</v>
      </c>
      <c r="D5107" s="1" t="s">
        <v>629</v>
      </c>
      <c r="E5107" s="8">
        <v>788272</v>
      </c>
      <c r="F5107" s="5">
        <v>3415630</v>
      </c>
    </row>
    <row r="5108" spans="1:6" x14ac:dyDescent="0.25">
      <c r="A5108" s="5">
        <v>3415630</v>
      </c>
      <c r="B5108" s="1">
        <v>2016</v>
      </c>
      <c r="C5108" s="1" t="s">
        <v>1387</v>
      </c>
      <c r="D5108" s="1" t="s">
        <v>629</v>
      </c>
      <c r="E5108" s="8">
        <v>1171211</v>
      </c>
      <c r="F5108" s="5">
        <v>3415630</v>
      </c>
    </row>
    <row r="5109" spans="1:6" x14ac:dyDescent="0.25">
      <c r="A5109" s="5">
        <v>3415630</v>
      </c>
      <c r="B5109" s="1">
        <v>2017</v>
      </c>
      <c r="C5109" s="1" t="s">
        <v>1387</v>
      </c>
      <c r="D5109" s="1" t="s">
        <v>629</v>
      </c>
      <c r="E5109" s="8">
        <v>1665245</v>
      </c>
      <c r="F5109" s="5">
        <v>3415630</v>
      </c>
    </row>
    <row r="5110" spans="1:6" x14ac:dyDescent="0.25">
      <c r="A5110" s="5">
        <v>3415630</v>
      </c>
      <c r="B5110" s="1">
        <v>2018</v>
      </c>
      <c r="C5110" s="1" t="s">
        <v>1387</v>
      </c>
      <c r="D5110" s="1" t="s">
        <v>1322</v>
      </c>
      <c r="E5110" s="8">
        <v>2202311</v>
      </c>
      <c r="F5110" s="5">
        <v>3415630</v>
      </c>
    </row>
    <row r="5111" spans="1:6" x14ac:dyDescent="0.25">
      <c r="A5111" s="5">
        <v>3415630</v>
      </c>
      <c r="B5111" s="1">
        <v>2019</v>
      </c>
      <c r="C5111" s="1" t="s">
        <v>1387</v>
      </c>
      <c r="D5111" s="1" t="s">
        <v>1322</v>
      </c>
      <c r="E5111" s="8">
        <v>2942607</v>
      </c>
      <c r="F5111" s="5">
        <v>3415630</v>
      </c>
    </row>
    <row r="5112" spans="1:6" ht="20" x14ac:dyDescent="0.25">
      <c r="A5112" s="5">
        <v>3415630</v>
      </c>
      <c r="B5112" s="1">
        <v>2020</v>
      </c>
      <c r="C5112" s="1" t="s">
        <v>1387</v>
      </c>
      <c r="D5112" s="2" t="s">
        <v>1322</v>
      </c>
      <c r="E5112" s="7">
        <v>3409424</v>
      </c>
      <c r="F5112" s="5">
        <v>3415630</v>
      </c>
    </row>
    <row r="5113" spans="1:6" ht="20" x14ac:dyDescent="0.25">
      <c r="A5113" s="5">
        <v>3415630</v>
      </c>
      <c r="B5113" s="1">
        <v>2021</v>
      </c>
      <c r="C5113" s="1" t="s">
        <v>1387</v>
      </c>
      <c r="D5113" s="3" t="s">
        <v>1322</v>
      </c>
      <c r="E5113" s="7">
        <v>4264438</v>
      </c>
      <c r="F5113" s="5">
        <v>3415630</v>
      </c>
    </row>
    <row r="5114" spans="1:6" ht="20" x14ac:dyDescent="0.25">
      <c r="A5114" s="5">
        <v>3415630</v>
      </c>
      <c r="B5114" s="1">
        <v>2022</v>
      </c>
      <c r="C5114" s="1" t="s">
        <v>1387</v>
      </c>
      <c r="D5114" s="2" t="s">
        <v>1322</v>
      </c>
      <c r="E5114" s="7">
        <v>5925861</v>
      </c>
      <c r="F5114" s="5">
        <v>3415630</v>
      </c>
    </row>
    <row r="5115" spans="1:6" ht="20" x14ac:dyDescent="0.25">
      <c r="A5115" s="5">
        <v>3415630</v>
      </c>
      <c r="B5115" s="1">
        <v>2023</v>
      </c>
      <c r="C5115" s="1" t="s">
        <v>1387</v>
      </c>
      <c r="D5115" s="2" t="s">
        <v>1322</v>
      </c>
      <c r="E5115" s="7">
        <v>5951270</v>
      </c>
      <c r="F5115" s="5">
        <v>3415630</v>
      </c>
    </row>
    <row r="5116" spans="1:6" x14ac:dyDescent="0.25">
      <c r="A5116" s="5">
        <v>3415660</v>
      </c>
      <c r="B5116" s="1">
        <v>2015</v>
      </c>
      <c r="C5116" s="1" t="s">
        <v>1387</v>
      </c>
      <c r="D5116" s="1" t="s">
        <v>143</v>
      </c>
      <c r="E5116" s="8">
        <v>113933</v>
      </c>
      <c r="F5116" s="5">
        <v>3415660</v>
      </c>
    </row>
    <row r="5117" spans="1:6" x14ac:dyDescent="0.25">
      <c r="A5117" s="5">
        <v>3415660</v>
      </c>
      <c r="B5117" s="1">
        <v>2016</v>
      </c>
      <c r="C5117" s="1" t="s">
        <v>1387</v>
      </c>
      <c r="D5117" s="1" t="s">
        <v>143</v>
      </c>
      <c r="E5117" s="8">
        <v>164429</v>
      </c>
      <c r="F5117" s="5">
        <v>3415660</v>
      </c>
    </row>
    <row r="5118" spans="1:6" x14ac:dyDescent="0.25">
      <c r="A5118" s="5">
        <v>3415660</v>
      </c>
      <c r="B5118" s="1">
        <v>2017</v>
      </c>
      <c r="C5118" s="1" t="s">
        <v>1387</v>
      </c>
      <c r="D5118" s="1" t="s">
        <v>143</v>
      </c>
      <c r="E5118" s="8">
        <v>222832</v>
      </c>
      <c r="F5118" s="5">
        <v>3415660</v>
      </c>
    </row>
    <row r="5119" spans="1:6" x14ac:dyDescent="0.25">
      <c r="A5119" s="5">
        <v>3415660</v>
      </c>
      <c r="B5119" s="1">
        <v>2018</v>
      </c>
      <c r="C5119" s="1" t="s">
        <v>1387</v>
      </c>
      <c r="D5119" s="1" t="s">
        <v>824</v>
      </c>
      <c r="E5119" s="8">
        <v>296752</v>
      </c>
      <c r="F5119" s="5">
        <v>3415660</v>
      </c>
    </row>
    <row r="5120" spans="1:6" x14ac:dyDescent="0.25">
      <c r="A5120" s="5">
        <v>3415660</v>
      </c>
      <c r="B5120" s="1">
        <v>2019</v>
      </c>
      <c r="C5120" s="1" t="s">
        <v>1387</v>
      </c>
      <c r="D5120" s="1" t="s">
        <v>824</v>
      </c>
      <c r="E5120" s="8">
        <v>397971</v>
      </c>
      <c r="F5120" s="5">
        <v>3415660</v>
      </c>
    </row>
    <row r="5121" spans="1:6" ht="20" x14ac:dyDescent="0.25">
      <c r="A5121" s="5">
        <v>3415660</v>
      </c>
      <c r="B5121" s="1">
        <v>2020</v>
      </c>
      <c r="C5121" s="1" t="s">
        <v>1387</v>
      </c>
      <c r="D5121" s="2" t="s">
        <v>824</v>
      </c>
      <c r="E5121" s="7">
        <v>422097</v>
      </c>
      <c r="F5121" s="5">
        <v>3415660</v>
      </c>
    </row>
    <row r="5122" spans="1:6" ht="20" x14ac:dyDescent="0.25">
      <c r="A5122" s="5">
        <v>3415660</v>
      </c>
      <c r="B5122" s="1">
        <v>2021</v>
      </c>
      <c r="C5122" s="1" t="s">
        <v>1387</v>
      </c>
      <c r="D5122" s="3" t="s">
        <v>824</v>
      </c>
      <c r="E5122" s="7">
        <v>460095</v>
      </c>
      <c r="F5122" s="5">
        <v>3415660</v>
      </c>
    </row>
    <row r="5123" spans="1:6" ht="20" x14ac:dyDescent="0.25">
      <c r="A5123" s="5">
        <v>3415660</v>
      </c>
      <c r="B5123" s="1">
        <v>2022</v>
      </c>
      <c r="C5123" s="1" t="s">
        <v>1387</v>
      </c>
      <c r="D5123" s="2" t="s">
        <v>824</v>
      </c>
      <c r="E5123" s="7">
        <v>615966</v>
      </c>
      <c r="F5123" s="5">
        <v>3415660</v>
      </c>
    </row>
    <row r="5124" spans="1:6" ht="20" x14ac:dyDescent="0.25">
      <c r="A5124" s="5">
        <v>3415660</v>
      </c>
      <c r="B5124" s="1">
        <v>2023</v>
      </c>
      <c r="C5124" s="1" t="s">
        <v>1387</v>
      </c>
      <c r="D5124" s="2" t="s">
        <v>824</v>
      </c>
      <c r="E5124" s="7">
        <v>651410</v>
      </c>
      <c r="F5124" s="5">
        <v>3415660</v>
      </c>
    </row>
    <row r="5125" spans="1:6" x14ac:dyDescent="0.25">
      <c r="A5125" s="5">
        <v>3415690</v>
      </c>
      <c r="B5125" s="1">
        <v>2015</v>
      </c>
      <c r="C5125" s="1" t="s">
        <v>1387</v>
      </c>
      <c r="D5125" s="1" t="s">
        <v>520</v>
      </c>
      <c r="E5125" s="8">
        <v>795842</v>
      </c>
      <c r="F5125" s="5">
        <v>3415690</v>
      </c>
    </row>
    <row r="5126" spans="1:6" x14ac:dyDescent="0.25">
      <c r="A5126" s="5">
        <v>3415690</v>
      </c>
      <c r="B5126" s="1">
        <v>2016</v>
      </c>
      <c r="C5126" s="1" t="s">
        <v>1387</v>
      </c>
      <c r="D5126" s="1" t="s">
        <v>520</v>
      </c>
      <c r="E5126" s="8">
        <v>1131329</v>
      </c>
      <c r="F5126" s="5">
        <v>3415690</v>
      </c>
    </row>
    <row r="5127" spans="1:6" x14ac:dyDescent="0.25">
      <c r="A5127" s="5">
        <v>3415690</v>
      </c>
      <c r="B5127" s="1">
        <v>2017</v>
      </c>
      <c r="C5127" s="1" t="s">
        <v>1387</v>
      </c>
      <c r="D5127" s="1" t="s">
        <v>520</v>
      </c>
      <c r="E5127" s="8">
        <v>1527732</v>
      </c>
      <c r="F5127" s="5">
        <v>3415690</v>
      </c>
    </row>
    <row r="5128" spans="1:6" x14ac:dyDescent="0.25">
      <c r="A5128" s="5">
        <v>3415690</v>
      </c>
      <c r="B5128" s="1">
        <v>2018</v>
      </c>
      <c r="C5128" s="1" t="s">
        <v>1387</v>
      </c>
      <c r="D5128" s="1" t="s">
        <v>1212</v>
      </c>
      <c r="E5128" s="8">
        <v>2019229</v>
      </c>
      <c r="F5128" s="5">
        <v>3415690</v>
      </c>
    </row>
    <row r="5129" spans="1:6" x14ac:dyDescent="0.25">
      <c r="A5129" s="5">
        <v>3415690</v>
      </c>
      <c r="B5129" s="1">
        <v>2019</v>
      </c>
      <c r="C5129" s="1" t="s">
        <v>1387</v>
      </c>
      <c r="D5129" s="1" t="s">
        <v>1212</v>
      </c>
      <c r="E5129" s="8">
        <v>2628233</v>
      </c>
      <c r="F5129" s="5">
        <v>3415690</v>
      </c>
    </row>
    <row r="5130" spans="1:6" ht="20" x14ac:dyDescent="0.25">
      <c r="A5130" s="5">
        <v>3415690</v>
      </c>
      <c r="B5130" s="1">
        <v>2020</v>
      </c>
      <c r="C5130" s="1" t="s">
        <v>1387</v>
      </c>
      <c r="D5130" s="2" t="s">
        <v>1212</v>
      </c>
      <c r="E5130" s="7">
        <v>2922656</v>
      </c>
      <c r="F5130" s="5">
        <v>3415690</v>
      </c>
    </row>
    <row r="5131" spans="1:6" ht="20" x14ac:dyDescent="0.25">
      <c r="A5131" s="5">
        <v>3415690</v>
      </c>
      <c r="B5131" s="1">
        <v>2021</v>
      </c>
      <c r="C5131" s="1" t="s">
        <v>1387</v>
      </c>
      <c r="D5131" s="3" t="s">
        <v>1212</v>
      </c>
      <c r="E5131" s="7">
        <v>4120731</v>
      </c>
      <c r="F5131" s="5">
        <v>3415690</v>
      </c>
    </row>
    <row r="5132" spans="1:6" ht="20" x14ac:dyDescent="0.25">
      <c r="A5132" s="5">
        <v>3415690</v>
      </c>
      <c r="B5132" s="1">
        <v>2022</v>
      </c>
      <c r="C5132" s="1" t="s">
        <v>1387</v>
      </c>
      <c r="D5132" s="2" t="s">
        <v>1212</v>
      </c>
      <c r="E5132" s="7">
        <v>5778104</v>
      </c>
      <c r="F5132" s="5">
        <v>3415690</v>
      </c>
    </row>
    <row r="5133" spans="1:6" ht="20" x14ac:dyDescent="0.25">
      <c r="A5133" s="5">
        <v>3415690</v>
      </c>
      <c r="B5133" s="1">
        <v>2023</v>
      </c>
      <c r="C5133" s="1" t="s">
        <v>1387</v>
      </c>
      <c r="D5133" s="2" t="s">
        <v>1212</v>
      </c>
      <c r="E5133" s="7">
        <v>5390185</v>
      </c>
      <c r="F5133" s="5">
        <v>3415690</v>
      </c>
    </row>
    <row r="5134" spans="1:6" x14ac:dyDescent="0.25">
      <c r="A5134" s="5">
        <v>3415720</v>
      </c>
      <c r="B5134" s="1">
        <v>2015</v>
      </c>
      <c r="C5134" s="1" t="s">
        <v>1387</v>
      </c>
      <c r="D5134" s="1" t="s">
        <v>602</v>
      </c>
      <c r="E5134" s="8">
        <v>101171</v>
      </c>
      <c r="F5134" s="5">
        <v>3415720</v>
      </c>
    </row>
    <row r="5135" spans="1:6" x14ac:dyDescent="0.25">
      <c r="A5135" s="5">
        <v>3415720</v>
      </c>
      <c r="B5135" s="1">
        <v>2016</v>
      </c>
      <c r="C5135" s="1" t="s">
        <v>1387</v>
      </c>
      <c r="D5135" s="1" t="s">
        <v>602</v>
      </c>
      <c r="E5135" s="8">
        <v>149074</v>
      </c>
      <c r="F5135" s="5">
        <v>3415720</v>
      </c>
    </row>
    <row r="5136" spans="1:6" x14ac:dyDescent="0.25">
      <c r="A5136" s="5">
        <v>3415720</v>
      </c>
      <c r="B5136" s="1">
        <v>2017</v>
      </c>
      <c r="C5136" s="1" t="s">
        <v>1387</v>
      </c>
      <c r="D5136" s="1" t="s">
        <v>602</v>
      </c>
      <c r="E5136" s="8">
        <v>232785</v>
      </c>
      <c r="F5136" s="5">
        <v>3415720</v>
      </c>
    </row>
    <row r="5137" spans="1:6" x14ac:dyDescent="0.25">
      <c r="A5137" s="5">
        <v>3415720</v>
      </c>
      <c r="B5137" s="1">
        <v>2018</v>
      </c>
      <c r="C5137" s="1" t="s">
        <v>1387</v>
      </c>
      <c r="D5137" s="1" t="s">
        <v>1295</v>
      </c>
      <c r="E5137" s="8">
        <v>329536</v>
      </c>
      <c r="F5137" s="5">
        <v>3415720</v>
      </c>
    </row>
    <row r="5138" spans="1:6" x14ac:dyDescent="0.25">
      <c r="A5138" s="5">
        <v>3415720</v>
      </c>
      <c r="B5138" s="1">
        <v>2019</v>
      </c>
      <c r="C5138" s="1" t="s">
        <v>1387</v>
      </c>
      <c r="D5138" s="1" t="s">
        <v>1295</v>
      </c>
      <c r="E5138" s="8">
        <v>466036</v>
      </c>
      <c r="F5138" s="5">
        <v>3415720</v>
      </c>
    </row>
    <row r="5139" spans="1:6" ht="20" x14ac:dyDescent="0.25">
      <c r="A5139" s="5">
        <v>3415720</v>
      </c>
      <c r="B5139" s="1">
        <v>2020</v>
      </c>
      <c r="C5139" s="1" t="s">
        <v>1387</v>
      </c>
      <c r="D5139" s="2" t="s">
        <v>1295</v>
      </c>
      <c r="E5139" s="7">
        <v>501818</v>
      </c>
      <c r="F5139" s="5">
        <v>3415720</v>
      </c>
    </row>
    <row r="5140" spans="1:6" ht="20" x14ac:dyDescent="0.25">
      <c r="A5140" s="5">
        <v>3415720</v>
      </c>
      <c r="B5140" s="1">
        <v>2021</v>
      </c>
      <c r="C5140" s="1" t="s">
        <v>1387</v>
      </c>
      <c r="D5140" s="3" t="s">
        <v>1295</v>
      </c>
      <c r="E5140" s="7">
        <v>654402</v>
      </c>
      <c r="F5140" s="5">
        <v>3415720</v>
      </c>
    </row>
    <row r="5141" spans="1:6" ht="20" x14ac:dyDescent="0.25">
      <c r="A5141" s="5">
        <v>3415720</v>
      </c>
      <c r="B5141" s="1">
        <v>2022</v>
      </c>
      <c r="C5141" s="1" t="s">
        <v>1387</v>
      </c>
      <c r="D5141" s="2" t="s">
        <v>1295</v>
      </c>
      <c r="E5141" s="7">
        <v>994699</v>
      </c>
      <c r="F5141" s="5">
        <v>3415720</v>
      </c>
    </row>
    <row r="5142" spans="1:6" ht="20" x14ac:dyDescent="0.25">
      <c r="A5142" s="5">
        <v>3415720</v>
      </c>
      <c r="B5142" s="1">
        <v>2023</v>
      </c>
      <c r="C5142" s="1" t="s">
        <v>1387</v>
      </c>
      <c r="D5142" s="2" t="s">
        <v>1295</v>
      </c>
      <c r="E5142" s="7">
        <v>916928</v>
      </c>
      <c r="F5142" s="5">
        <v>3415720</v>
      </c>
    </row>
    <row r="5143" spans="1:6" x14ac:dyDescent="0.25">
      <c r="A5143" s="5">
        <v>3415750</v>
      </c>
      <c r="B5143" s="1">
        <v>2015</v>
      </c>
      <c r="C5143" s="1" t="s">
        <v>1387</v>
      </c>
      <c r="D5143" s="1" t="s">
        <v>603</v>
      </c>
      <c r="E5143" s="8">
        <v>167775</v>
      </c>
      <c r="F5143" s="5">
        <v>3415750</v>
      </c>
    </row>
    <row r="5144" spans="1:6" x14ac:dyDescent="0.25">
      <c r="A5144" s="5">
        <v>3415750</v>
      </c>
      <c r="B5144" s="1">
        <v>2016</v>
      </c>
      <c r="C5144" s="1" t="s">
        <v>1387</v>
      </c>
      <c r="D5144" s="1" t="s">
        <v>603</v>
      </c>
      <c r="E5144" s="8">
        <v>242804</v>
      </c>
      <c r="F5144" s="5">
        <v>3415750</v>
      </c>
    </row>
    <row r="5145" spans="1:6" x14ac:dyDescent="0.25">
      <c r="A5145" s="5">
        <v>3415750</v>
      </c>
      <c r="B5145" s="1">
        <v>2017</v>
      </c>
      <c r="C5145" s="1" t="s">
        <v>1387</v>
      </c>
      <c r="D5145" s="1" t="s">
        <v>603</v>
      </c>
      <c r="E5145" s="8">
        <v>339396</v>
      </c>
      <c r="F5145" s="5">
        <v>3415750</v>
      </c>
    </row>
    <row r="5146" spans="1:6" x14ac:dyDescent="0.25">
      <c r="A5146" s="5">
        <v>3415750</v>
      </c>
      <c r="B5146" s="1">
        <v>2018</v>
      </c>
      <c r="C5146" s="1" t="s">
        <v>1387</v>
      </c>
      <c r="D5146" s="1" t="s">
        <v>1296</v>
      </c>
      <c r="E5146" s="8">
        <v>427026</v>
      </c>
      <c r="F5146" s="5">
        <v>3415750</v>
      </c>
    </row>
    <row r="5147" spans="1:6" x14ac:dyDescent="0.25">
      <c r="A5147" s="5">
        <v>3415750</v>
      </c>
      <c r="B5147" s="1">
        <v>2019</v>
      </c>
      <c r="C5147" s="1" t="s">
        <v>1387</v>
      </c>
      <c r="D5147" s="1" t="s">
        <v>1296</v>
      </c>
      <c r="E5147" s="8">
        <v>553284</v>
      </c>
      <c r="F5147" s="5">
        <v>3415750</v>
      </c>
    </row>
    <row r="5148" spans="1:6" ht="20" x14ac:dyDescent="0.25">
      <c r="A5148" s="5">
        <v>3415750</v>
      </c>
      <c r="B5148" s="1">
        <v>2020</v>
      </c>
      <c r="C5148" s="1" t="s">
        <v>1387</v>
      </c>
      <c r="D5148" s="2" t="s">
        <v>1296</v>
      </c>
      <c r="E5148" s="7">
        <v>606298</v>
      </c>
      <c r="F5148" s="5">
        <v>3415750</v>
      </c>
    </row>
    <row r="5149" spans="1:6" ht="20" x14ac:dyDescent="0.25">
      <c r="A5149" s="5">
        <v>3415750</v>
      </c>
      <c r="B5149" s="1">
        <v>2021</v>
      </c>
      <c r="C5149" s="1" t="s">
        <v>1387</v>
      </c>
      <c r="D5149" s="3" t="s">
        <v>1296</v>
      </c>
      <c r="E5149" s="7">
        <v>759325</v>
      </c>
      <c r="F5149" s="5">
        <v>3415750</v>
      </c>
    </row>
    <row r="5150" spans="1:6" ht="20" x14ac:dyDescent="0.25">
      <c r="A5150" s="5">
        <v>3415750</v>
      </c>
      <c r="B5150" s="1">
        <v>2022</v>
      </c>
      <c r="C5150" s="1" t="s">
        <v>1387</v>
      </c>
      <c r="D5150" s="2" t="s">
        <v>1296</v>
      </c>
      <c r="E5150" s="7">
        <v>1021627</v>
      </c>
      <c r="F5150" s="5">
        <v>3415750</v>
      </c>
    </row>
    <row r="5151" spans="1:6" ht="20" x14ac:dyDescent="0.25">
      <c r="A5151" s="5">
        <v>3415750</v>
      </c>
      <c r="B5151" s="1">
        <v>2023</v>
      </c>
      <c r="C5151" s="1" t="s">
        <v>1387</v>
      </c>
      <c r="D5151" s="2" t="s">
        <v>1296</v>
      </c>
      <c r="E5151" s="7">
        <v>1048877</v>
      </c>
      <c r="F5151" s="5">
        <v>3415750</v>
      </c>
    </row>
    <row r="5152" spans="1:6" x14ac:dyDescent="0.25">
      <c r="A5152" s="5">
        <v>3415780</v>
      </c>
      <c r="B5152" s="1">
        <v>2015</v>
      </c>
      <c r="C5152" s="1" t="s">
        <v>1387</v>
      </c>
      <c r="D5152" s="1" t="s">
        <v>351</v>
      </c>
      <c r="E5152" s="8">
        <v>19467</v>
      </c>
      <c r="F5152" s="5">
        <v>3415780</v>
      </c>
    </row>
    <row r="5153" spans="1:6" x14ac:dyDescent="0.25">
      <c r="A5153" s="5">
        <v>3415780</v>
      </c>
      <c r="B5153" s="1">
        <v>2016</v>
      </c>
      <c r="C5153" s="1" t="s">
        <v>1387</v>
      </c>
      <c r="D5153" s="1" t="s">
        <v>351</v>
      </c>
      <c r="E5153" s="8">
        <v>28923</v>
      </c>
      <c r="F5153" s="5">
        <v>3415780</v>
      </c>
    </row>
    <row r="5154" spans="1:6" x14ac:dyDescent="0.25">
      <c r="A5154" s="5">
        <v>3415780</v>
      </c>
      <c r="B5154" s="1">
        <v>2017</v>
      </c>
      <c r="C5154" s="1" t="s">
        <v>1387</v>
      </c>
      <c r="D5154" s="1" t="s">
        <v>351</v>
      </c>
      <c r="E5154" s="8">
        <v>38367</v>
      </c>
      <c r="F5154" s="5">
        <v>3415780</v>
      </c>
    </row>
    <row r="5155" spans="1:6" x14ac:dyDescent="0.25">
      <c r="A5155" s="5">
        <v>3415810</v>
      </c>
      <c r="B5155" s="1">
        <v>2015</v>
      </c>
      <c r="C5155" s="1" t="s">
        <v>1387</v>
      </c>
      <c r="D5155" s="1" t="s">
        <v>206</v>
      </c>
      <c r="E5155" s="8">
        <v>55782</v>
      </c>
      <c r="F5155" s="5">
        <v>3415810</v>
      </c>
    </row>
    <row r="5156" spans="1:6" x14ac:dyDescent="0.25">
      <c r="A5156" s="5">
        <v>3415810</v>
      </c>
      <c r="B5156" s="1">
        <v>2016</v>
      </c>
      <c r="C5156" s="1" t="s">
        <v>1387</v>
      </c>
      <c r="D5156" s="1" t="s">
        <v>206</v>
      </c>
      <c r="E5156" s="8">
        <v>76720</v>
      </c>
      <c r="F5156" s="5">
        <v>3415810</v>
      </c>
    </row>
    <row r="5157" spans="1:6" x14ac:dyDescent="0.25">
      <c r="A5157" s="5">
        <v>3415810</v>
      </c>
      <c r="B5157" s="1">
        <v>2017</v>
      </c>
      <c r="C5157" s="1" t="s">
        <v>1387</v>
      </c>
      <c r="D5157" s="1" t="s">
        <v>206</v>
      </c>
      <c r="E5157" s="8">
        <v>108049</v>
      </c>
      <c r="F5157" s="5">
        <v>3415810</v>
      </c>
    </row>
    <row r="5158" spans="1:6" x14ac:dyDescent="0.25">
      <c r="A5158" s="5">
        <v>3415810</v>
      </c>
      <c r="B5158" s="1">
        <v>2018</v>
      </c>
      <c r="C5158" s="1" t="s">
        <v>1387</v>
      </c>
      <c r="D5158" s="1" t="s">
        <v>890</v>
      </c>
      <c r="E5158" s="8">
        <v>141673</v>
      </c>
      <c r="F5158" s="5">
        <v>3415810</v>
      </c>
    </row>
    <row r="5159" spans="1:6" x14ac:dyDescent="0.25">
      <c r="A5159" s="5">
        <v>3415810</v>
      </c>
      <c r="B5159" s="1">
        <v>2019</v>
      </c>
      <c r="C5159" s="1" t="s">
        <v>1387</v>
      </c>
      <c r="D5159" s="1" t="s">
        <v>890</v>
      </c>
      <c r="E5159" s="8">
        <v>173895</v>
      </c>
      <c r="F5159" s="5">
        <v>3415810</v>
      </c>
    </row>
    <row r="5160" spans="1:6" ht="20" x14ac:dyDescent="0.25">
      <c r="A5160" s="5">
        <v>3415810</v>
      </c>
      <c r="B5160" s="1">
        <v>2020</v>
      </c>
      <c r="C5160" s="1" t="s">
        <v>1387</v>
      </c>
      <c r="D5160" s="2" t="s">
        <v>890</v>
      </c>
      <c r="E5160" s="7">
        <v>190587</v>
      </c>
      <c r="F5160" s="5">
        <v>3415810</v>
      </c>
    </row>
    <row r="5161" spans="1:6" ht="20" x14ac:dyDescent="0.25">
      <c r="A5161" s="5">
        <v>3415810</v>
      </c>
      <c r="B5161" s="1">
        <v>2021</v>
      </c>
      <c r="C5161" s="1" t="s">
        <v>1387</v>
      </c>
      <c r="D5161" s="3" t="s">
        <v>890</v>
      </c>
      <c r="E5161" s="7">
        <v>220828</v>
      </c>
      <c r="F5161" s="5">
        <v>3415810</v>
      </c>
    </row>
    <row r="5162" spans="1:6" ht="20" x14ac:dyDescent="0.25">
      <c r="A5162" s="5">
        <v>3415810</v>
      </c>
      <c r="B5162" s="1">
        <v>2022</v>
      </c>
      <c r="C5162" s="1" t="s">
        <v>1387</v>
      </c>
      <c r="D5162" s="2" t="s">
        <v>890</v>
      </c>
      <c r="E5162" s="7">
        <v>331042</v>
      </c>
      <c r="F5162" s="5">
        <v>3415810</v>
      </c>
    </row>
    <row r="5163" spans="1:6" ht="20" x14ac:dyDescent="0.25">
      <c r="A5163" s="5">
        <v>3415810</v>
      </c>
      <c r="B5163" s="1">
        <v>2023</v>
      </c>
      <c r="C5163" s="1" t="s">
        <v>1387</v>
      </c>
      <c r="D5163" s="2" t="s">
        <v>890</v>
      </c>
      <c r="E5163" s="7">
        <v>320016</v>
      </c>
      <c r="F5163" s="5">
        <v>3415810</v>
      </c>
    </row>
    <row r="5164" spans="1:6" x14ac:dyDescent="0.25">
      <c r="A5164" s="5">
        <v>3415840</v>
      </c>
      <c r="B5164" s="1">
        <v>2015</v>
      </c>
      <c r="C5164" s="1" t="s">
        <v>1387</v>
      </c>
      <c r="D5164" s="1" t="s">
        <v>225</v>
      </c>
      <c r="E5164" s="8">
        <v>42383</v>
      </c>
      <c r="F5164" s="5">
        <v>3415840</v>
      </c>
    </row>
    <row r="5165" spans="1:6" x14ac:dyDescent="0.25">
      <c r="A5165" s="5">
        <v>3415840</v>
      </c>
      <c r="B5165" s="1">
        <v>2016</v>
      </c>
      <c r="C5165" s="1" t="s">
        <v>1387</v>
      </c>
      <c r="D5165" s="1" t="s">
        <v>225</v>
      </c>
      <c r="E5165" s="8">
        <v>63761</v>
      </c>
      <c r="F5165" s="5">
        <v>3415840</v>
      </c>
    </row>
    <row r="5166" spans="1:6" x14ac:dyDescent="0.25">
      <c r="A5166" s="5">
        <v>3415840</v>
      </c>
      <c r="B5166" s="1">
        <v>2017</v>
      </c>
      <c r="C5166" s="1" t="s">
        <v>1387</v>
      </c>
      <c r="D5166" s="1" t="s">
        <v>225</v>
      </c>
      <c r="E5166" s="8">
        <v>91497</v>
      </c>
      <c r="F5166" s="5">
        <v>3415840</v>
      </c>
    </row>
    <row r="5167" spans="1:6" x14ac:dyDescent="0.25">
      <c r="A5167" s="5">
        <v>3415840</v>
      </c>
      <c r="B5167" s="1">
        <v>2018</v>
      </c>
      <c r="C5167" s="1" t="s">
        <v>1387</v>
      </c>
      <c r="D5167" s="1" t="s">
        <v>911</v>
      </c>
      <c r="E5167" s="8">
        <v>122467</v>
      </c>
      <c r="F5167" s="5">
        <v>3415840</v>
      </c>
    </row>
    <row r="5168" spans="1:6" x14ac:dyDescent="0.25">
      <c r="A5168" s="5">
        <v>3415840</v>
      </c>
      <c r="B5168" s="1">
        <v>2019</v>
      </c>
      <c r="C5168" s="1" t="s">
        <v>1387</v>
      </c>
      <c r="D5168" s="1" t="s">
        <v>911</v>
      </c>
      <c r="E5168" s="8">
        <v>168196</v>
      </c>
      <c r="F5168" s="5">
        <v>3415840</v>
      </c>
    </row>
    <row r="5169" spans="1:6" ht="20" x14ac:dyDescent="0.25">
      <c r="A5169" s="5">
        <v>3415840</v>
      </c>
      <c r="B5169" s="1">
        <v>2020</v>
      </c>
      <c r="C5169" s="1" t="s">
        <v>1387</v>
      </c>
      <c r="D5169" s="2" t="s">
        <v>911</v>
      </c>
      <c r="E5169" s="7">
        <v>196226</v>
      </c>
      <c r="F5169" s="5">
        <v>3415840</v>
      </c>
    </row>
    <row r="5170" spans="1:6" ht="20" x14ac:dyDescent="0.25">
      <c r="A5170" s="5">
        <v>3415840</v>
      </c>
      <c r="B5170" s="1">
        <v>2021</v>
      </c>
      <c r="C5170" s="1" t="s">
        <v>1387</v>
      </c>
      <c r="D5170" s="3" t="s">
        <v>911</v>
      </c>
      <c r="E5170" s="7">
        <v>263959</v>
      </c>
      <c r="F5170" s="5">
        <v>3415840</v>
      </c>
    </row>
    <row r="5171" spans="1:6" ht="20" x14ac:dyDescent="0.25">
      <c r="A5171" s="5">
        <v>3415840</v>
      </c>
      <c r="B5171" s="1">
        <v>2022</v>
      </c>
      <c r="C5171" s="1" t="s">
        <v>1387</v>
      </c>
      <c r="D5171" s="2" t="s">
        <v>911</v>
      </c>
      <c r="E5171" s="7">
        <v>380284</v>
      </c>
      <c r="F5171" s="5">
        <v>3415840</v>
      </c>
    </row>
    <row r="5172" spans="1:6" ht="20" x14ac:dyDescent="0.25">
      <c r="A5172" s="5">
        <v>3415840</v>
      </c>
      <c r="B5172" s="1">
        <v>2023</v>
      </c>
      <c r="C5172" s="1" t="s">
        <v>1387</v>
      </c>
      <c r="D5172" s="2" t="s">
        <v>911</v>
      </c>
      <c r="E5172" s="7">
        <v>288917</v>
      </c>
      <c r="F5172" s="5">
        <v>3415840</v>
      </c>
    </row>
    <row r="5173" spans="1:6" x14ac:dyDescent="0.25">
      <c r="A5173" s="5">
        <v>3415870</v>
      </c>
      <c r="B5173" s="1">
        <v>2015</v>
      </c>
      <c r="C5173" s="1" t="s">
        <v>1387</v>
      </c>
      <c r="D5173" s="1" t="s">
        <v>190</v>
      </c>
      <c r="E5173" s="8">
        <v>302930</v>
      </c>
      <c r="F5173" s="5">
        <v>3415870</v>
      </c>
    </row>
    <row r="5174" spans="1:6" x14ac:dyDescent="0.25">
      <c r="A5174" s="5">
        <v>3415870</v>
      </c>
      <c r="B5174" s="1">
        <v>2016</v>
      </c>
      <c r="C5174" s="1" t="s">
        <v>1387</v>
      </c>
      <c r="D5174" s="1" t="s">
        <v>190</v>
      </c>
      <c r="E5174" s="8">
        <v>442103</v>
      </c>
      <c r="F5174" s="5">
        <v>3415870</v>
      </c>
    </row>
    <row r="5175" spans="1:6" x14ac:dyDescent="0.25">
      <c r="A5175" s="5">
        <v>3415870</v>
      </c>
      <c r="B5175" s="1">
        <v>2017</v>
      </c>
      <c r="C5175" s="1" t="s">
        <v>1387</v>
      </c>
      <c r="D5175" s="1" t="s">
        <v>190</v>
      </c>
      <c r="E5175" s="8">
        <v>624988</v>
      </c>
      <c r="F5175" s="5">
        <v>3415870</v>
      </c>
    </row>
    <row r="5176" spans="1:6" x14ac:dyDescent="0.25">
      <c r="A5176" s="5">
        <v>3415870</v>
      </c>
      <c r="B5176" s="1">
        <v>2018</v>
      </c>
      <c r="C5176" s="1" t="s">
        <v>1387</v>
      </c>
      <c r="D5176" s="1" t="s">
        <v>873</v>
      </c>
      <c r="E5176" s="8">
        <v>910845</v>
      </c>
      <c r="F5176" s="5">
        <v>3415870</v>
      </c>
    </row>
    <row r="5177" spans="1:6" x14ac:dyDescent="0.25">
      <c r="A5177" s="5">
        <v>3415870</v>
      </c>
      <c r="B5177" s="1">
        <v>2019</v>
      </c>
      <c r="C5177" s="1" t="s">
        <v>1387</v>
      </c>
      <c r="D5177" s="1" t="s">
        <v>873</v>
      </c>
      <c r="E5177" s="8">
        <v>1220221</v>
      </c>
      <c r="F5177" s="5">
        <v>3415870</v>
      </c>
    </row>
    <row r="5178" spans="1:6" ht="20" x14ac:dyDescent="0.25">
      <c r="A5178" s="5">
        <v>3415870</v>
      </c>
      <c r="B5178" s="1">
        <v>2020</v>
      </c>
      <c r="C5178" s="1" t="s">
        <v>1387</v>
      </c>
      <c r="D5178" s="2" t="s">
        <v>873</v>
      </c>
      <c r="E5178" s="7">
        <v>1361533</v>
      </c>
      <c r="F5178" s="5">
        <v>3415870</v>
      </c>
    </row>
    <row r="5179" spans="1:6" ht="20" x14ac:dyDescent="0.25">
      <c r="A5179" s="5">
        <v>3415870</v>
      </c>
      <c r="B5179" s="1">
        <v>2021</v>
      </c>
      <c r="C5179" s="1" t="s">
        <v>1387</v>
      </c>
      <c r="D5179" s="3" t="s">
        <v>873</v>
      </c>
      <c r="E5179" s="7">
        <v>1673049</v>
      </c>
      <c r="F5179" s="5">
        <v>3415870</v>
      </c>
    </row>
    <row r="5180" spans="1:6" ht="20" x14ac:dyDescent="0.25">
      <c r="A5180" s="5">
        <v>3415870</v>
      </c>
      <c r="B5180" s="1">
        <v>2022</v>
      </c>
      <c r="C5180" s="1" t="s">
        <v>1387</v>
      </c>
      <c r="D5180" s="2" t="s">
        <v>873</v>
      </c>
      <c r="E5180" s="7">
        <v>2351020</v>
      </c>
      <c r="F5180" s="5">
        <v>3415870</v>
      </c>
    </row>
    <row r="5181" spans="1:6" ht="20" x14ac:dyDescent="0.25">
      <c r="A5181" s="5">
        <v>3415870</v>
      </c>
      <c r="B5181" s="1">
        <v>2023</v>
      </c>
      <c r="C5181" s="1" t="s">
        <v>1387</v>
      </c>
      <c r="D5181" s="2" t="s">
        <v>873</v>
      </c>
      <c r="E5181" s="7">
        <v>2326278</v>
      </c>
      <c r="F5181" s="5">
        <v>3415870</v>
      </c>
    </row>
    <row r="5182" spans="1:6" x14ac:dyDescent="0.25">
      <c r="A5182" s="5">
        <v>3415900</v>
      </c>
      <c r="B5182" s="1">
        <v>2015</v>
      </c>
      <c r="C5182" s="1" t="s">
        <v>1387</v>
      </c>
      <c r="D5182" s="1" t="s">
        <v>630</v>
      </c>
      <c r="E5182" s="8">
        <v>1696542</v>
      </c>
      <c r="F5182" s="5">
        <v>3415900</v>
      </c>
    </row>
    <row r="5183" spans="1:6" x14ac:dyDescent="0.25">
      <c r="A5183" s="5">
        <v>3415900</v>
      </c>
      <c r="B5183" s="1">
        <v>2016</v>
      </c>
      <c r="C5183" s="1" t="s">
        <v>1387</v>
      </c>
      <c r="D5183" s="1" t="s">
        <v>630</v>
      </c>
      <c r="E5183" s="8">
        <v>2495962</v>
      </c>
      <c r="F5183" s="5">
        <v>3415900</v>
      </c>
    </row>
    <row r="5184" spans="1:6" x14ac:dyDescent="0.25">
      <c r="A5184" s="5">
        <v>3415900</v>
      </c>
      <c r="B5184" s="1">
        <v>2017</v>
      </c>
      <c r="C5184" s="1" t="s">
        <v>1387</v>
      </c>
      <c r="D5184" s="1" t="s">
        <v>630</v>
      </c>
      <c r="E5184" s="8">
        <v>3515706</v>
      </c>
      <c r="F5184" s="5">
        <v>3415900</v>
      </c>
    </row>
    <row r="5185" spans="1:6" x14ac:dyDescent="0.25">
      <c r="A5185" s="5">
        <v>3415900</v>
      </c>
      <c r="B5185" s="1">
        <v>2018</v>
      </c>
      <c r="C5185" s="1" t="s">
        <v>1387</v>
      </c>
      <c r="D5185" s="1" t="s">
        <v>1323</v>
      </c>
      <c r="E5185" s="8">
        <v>4892809</v>
      </c>
      <c r="F5185" s="5">
        <v>3415900</v>
      </c>
    </row>
    <row r="5186" spans="1:6" x14ac:dyDescent="0.25">
      <c r="A5186" s="5">
        <v>3415900</v>
      </c>
      <c r="B5186" s="1">
        <v>2019</v>
      </c>
      <c r="C5186" s="1" t="s">
        <v>1387</v>
      </c>
      <c r="D5186" s="1" t="s">
        <v>1323</v>
      </c>
      <c r="E5186" s="8">
        <v>6374803</v>
      </c>
      <c r="F5186" s="5">
        <v>3415900</v>
      </c>
    </row>
    <row r="5187" spans="1:6" ht="20" x14ac:dyDescent="0.25">
      <c r="A5187" s="5">
        <v>3415900</v>
      </c>
      <c r="B5187" s="1">
        <v>2020</v>
      </c>
      <c r="C5187" s="1" t="s">
        <v>1387</v>
      </c>
      <c r="D5187" s="2" t="s">
        <v>1323</v>
      </c>
      <c r="E5187" s="7">
        <v>7125431</v>
      </c>
      <c r="F5187" s="5">
        <v>3415900</v>
      </c>
    </row>
    <row r="5188" spans="1:6" ht="20" x14ac:dyDescent="0.25">
      <c r="A5188" s="5">
        <v>3415900</v>
      </c>
      <c r="B5188" s="1">
        <v>2021</v>
      </c>
      <c r="C5188" s="1" t="s">
        <v>1387</v>
      </c>
      <c r="D5188" s="3" t="s">
        <v>1323</v>
      </c>
      <c r="E5188" s="7">
        <v>8939277</v>
      </c>
      <c r="F5188" s="5">
        <v>3415900</v>
      </c>
    </row>
    <row r="5189" spans="1:6" ht="20" x14ac:dyDescent="0.25">
      <c r="A5189" s="5">
        <v>3415900</v>
      </c>
      <c r="B5189" s="1">
        <v>2022</v>
      </c>
      <c r="C5189" s="1" t="s">
        <v>1387</v>
      </c>
      <c r="D5189" s="2" t="s">
        <v>1323</v>
      </c>
      <c r="E5189" s="7">
        <v>13147594</v>
      </c>
      <c r="F5189" s="5">
        <v>3415900</v>
      </c>
    </row>
    <row r="5190" spans="1:6" ht="20" x14ac:dyDescent="0.25">
      <c r="A5190" s="5">
        <v>3415900</v>
      </c>
      <c r="B5190" s="1">
        <v>2023</v>
      </c>
      <c r="C5190" s="1" t="s">
        <v>1387</v>
      </c>
      <c r="D5190" s="2" t="s">
        <v>1323</v>
      </c>
      <c r="E5190" s="7">
        <v>12739650</v>
      </c>
      <c r="F5190" s="5">
        <v>3415900</v>
      </c>
    </row>
    <row r="5191" spans="1:6" x14ac:dyDescent="0.25">
      <c r="A5191" s="5">
        <v>3415930</v>
      </c>
      <c r="B5191" s="1">
        <v>2015</v>
      </c>
      <c r="C5191" s="1" t="s">
        <v>1387</v>
      </c>
      <c r="D5191" s="1" t="s">
        <v>606</v>
      </c>
      <c r="E5191" s="8">
        <v>280062</v>
      </c>
      <c r="F5191" s="5">
        <v>3415930</v>
      </c>
    </row>
    <row r="5192" spans="1:6" x14ac:dyDescent="0.25">
      <c r="A5192" s="5">
        <v>3415930</v>
      </c>
      <c r="B5192" s="1">
        <v>2016</v>
      </c>
      <c r="C5192" s="1" t="s">
        <v>1387</v>
      </c>
      <c r="D5192" s="1" t="s">
        <v>606</v>
      </c>
      <c r="E5192" s="8">
        <v>444036</v>
      </c>
      <c r="F5192" s="5">
        <v>3415930</v>
      </c>
    </row>
    <row r="5193" spans="1:6" x14ac:dyDescent="0.25">
      <c r="A5193" s="5">
        <v>3415930</v>
      </c>
      <c r="B5193" s="1">
        <v>2017</v>
      </c>
      <c r="C5193" s="1" t="s">
        <v>1387</v>
      </c>
      <c r="D5193" s="1" t="s">
        <v>606</v>
      </c>
      <c r="E5193" s="8">
        <v>623966</v>
      </c>
      <c r="F5193" s="5">
        <v>3415930</v>
      </c>
    </row>
    <row r="5194" spans="1:6" x14ac:dyDescent="0.25">
      <c r="A5194" s="5">
        <v>3415930</v>
      </c>
      <c r="B5194" s="1">
        <v>2018</v>
      </c>
      <c r="C5194" s="1" t="s">
        <v>1387</v>
      </c>
      <c r="D5194" s="1" t="s">
        <v>1299</v>
      </c>
      <c r="E5194" s="8">
        <v>808771</v>
      </c>
      <c r="F5194" s="5">
        <v>3415930</v>
      </c>
    </row>
    <row r="5195" spans="1:6" x14ac:dyDescent="0.25">
      <c r="A5195" s="5">
        <v>3415930</v>
      </c>
      <c r="B5195" s="1">
        <v>2019</v>
      </c>
      <c r="C5195" s="1" t="s">
        <v>1387</v>
      </c>
      <c r="D5195" s="1" t="s">
        <v>1299</v>
      </c>
      <c r="E5195" s="8">
        <v>1072798</v>
      </c>
      <c r="F5195" s="5">
        <v>3415930</v>
      </c>
    </row>
    <row r="5196" spans="1:6" ht="20" x14ac:dyDescent="0.25">
      <c r="A5196" s="5">
        <v>3415930</v>
      </c>
      <c r="B5196" s="1">
        <v>2020</v>
      </c>
      <c r="C5196" s="1" t="s">
        <v>1387</v>
      </c>
      <c r="D5196" s="2" t="s">
        <v>1299</v>
      </c>
      <c r="E5196" s="7">
        <v>1206497</v>
      </c>
      <c r="F5196" s="5">
        <v>3415930</v>
      </c>
    </row>
    <row r="5197" spans="1:6" ht="20" x14ac:dyDescent="0.25">
      <c r="A5197" s="5">
        <v>3415930</v>
      </c>
      <c r="B5197" s="1">
        <v>2021</v>
      </c>
      <c r="C5197" s="1" t="s">
        <v>1387</v>
      </c>
      <c r="D5197" s="3" t="s">
        <v>1299</v>
      </c>
      <c r="E5197" s="7">
        <v>1563686</v>
      </c>
      <c r="F5197" s="5">
        <v>3415930</v>
      </c>
    </row>
    <row r="5198" spans="1:6" ht="20" x14ac:dyDescent="0.25">
      <c r="A5198" s="5">
        <v>3415930</v>
      </c>
      <c r="B5198" s="1">
        <v>2022</v>
      </c>
      <c r="C5198" s="1" t="s">
        <v>1387</v>
      </c>
      <c r="D5198" s="2" t="s">
        <v>1299</v>
      </c>
      <c r="E5198" s="7">
        <v>2217764</v>
      </c>
      <c r="F5198" s="5">
        <v>3415930</v>
      </c>
    </row>
    <row r="5199" spans="1:6" ht="20" x14ac:dyDescent="0.25">
      <c r="A5199" s="5">
        <v>3415930</v>
      </c>
      <c r="B5199" s="1">
        <v>2023</v>
      </c>
      <c r="C5199" s="1" t="s">
        <v>1387</v>
      </c>
      <c r="D5199" s="2" t="s">
        <v>1299</v>
      </c>
      <c r="E5199" s="7">
        <v>2197942</v>
      </c>
      <c r="F5199" s="5">
        <v>3415930</v>
      </c>
    </row>
    <row r="5200" spans="1:6" x14ac:dyDescent="0.25">
      <c r="A5200" s="5">
        <v>3415960</v>
      </c>
      <c r="B5200" s="1">
        <v>2015</v>
      </c>
      <c r="C5200" s="1" t="s">
        <v>1387</v>
      </c>
      <c r="D5200" s="1" t="s">
        <v>607</v>
      </c>
      <c r="E5200" s="8">
        <v>532179</v>
      </c>
      <c r="F5200" s="5">
        <v>3415960</v>
      </c>
    </row>
    <row r="5201" spans="1:6" x14ac:dyDescent="0.25">
      <c r="A5201" s="5">
        <v>3415960</v>
      </c>
      <c r="B5201" s="1">
        <v>2016</v>
      </c>
      <c r="C5201" s="1" t="s">
        <v>1387</v>
      </c>
      <c r="D5201" s="1" t="s">
        <v>607</v>
      </c>
      <c r="E5201" s="8">
        <v>770858</v>
      </c>
      <c r="F5201" s="5">
        <v>3415960</v>
      </c>
    </row>
    <row r="5202" spans="1:6" x14ac:dyDescent="0.25">
      <c r="A5202" s="5">
        <v>3415960</v>
      </c>
      <c r="B5202" s="1">
        <v>2017</v>
      </c>
      <c r="C5202" s="1" t="s">
        <v>1387</v>
      </c>
      <c r="D5202" s="1" t="s">
        <v>607</v>
      </c>
      <c r="E5202" s="8">
        <v>1102867</v>
      </c>
      <c r="F5202" s="5">
        <v>3415960</v>
      </c>
    </row>
    <row r="5203" spans="1:6" x14ac:dyDescent="0.25">
      <c r="A5203" s="5">
        <v>3415960</v>
      </c>
      <c r="B5203" s="1">
        <v>2018</v>
      </c>
      <c r="C5203" s="1" t="s">
        <v>1387</v>
      </c>
      <c r="D5203" s="1" t="s">
        <v>1300</v>
      </c>
      <c r="E5203" s="8">
        <v>1484571</v>
      </c>
      <c r="F5203" s="5">
        <v>3415960</v>
      </c>
    </row>
    <row r="5204" spans="1:6" x14ac:dyDescent="0.25">
      <c r="A5204" s="5">
        <v>3415960</v>
      </c>
      <c r="B5204" s="1">
        <v>2019</v>
      </c>
      <c r="C5204" s="1" t="s">
        <v>1387</v>
      </c>
      <c r="D5204" s="1" t="s">
        <v>1300</v>
      </c>
      <c r="E5204" s="8">
        <v>1920165</v>
      </c>
      <c r="F5204" s="5">
        <v>3415960</v>
      </c>
    </row>
    <row r="5205" spans="1:6" ht="20" x14ac:dyDescent="0.25">
      <c r="A5205" s="5">
        <v>3415960</v>
      </c>
      <c r="B5205" s="1">
        <v>2020</v>
      </c>
      <c r="C5205" s="1" t="s">
        <v>1387</v>
      </c>
      <c r="D5205" s="2" t="s">
        <v>1300</v>
      </c>
      <c r="E5205" s="7">
        <v>2150972</v>
      </c>
      <c r="F5205" s="5">
        <v>3415960</v>
      </c>
    </row>
    <row r="5206" spans="1:6" ht="20" x14ac:dyDescent="0.25">
      <c r="A5206" s="5">
        <v>3415960</v>
      </c>
      <c r="B5206" s="1">
        <v>2021</v>
      </c>
      <c r="C5206" s="1" t="s">
        <v>1387</v>
      </c>
      <c r="D5206" s="3" t="s">
        <v>1300</v>
      </c>
      <c r="E5206" s="7">
        <v>2814899</v>
      </c>
      <c r="F5206" s="5">
        <v>3415960</v>
      </c>
    </row>
    <row r="5207" spans="1:6" ht="20" x14ac:dyDescent="0.25">
      <c r="A5207" s="5">
        <v>3415960</v>
      </c>
      <c r="B5207" s="1">
        <v>2022</v>
      </c>
      <c r="C5207" s="1" t="s">
        <v>1387</v>
      </c>
      <c r="D5207" s="2" t="s">
        <v>1300</v>
      </c>
      <c r="E5207" s="7">
        <v>3669768</v>
      </c>
      <c r="F5207" s="5">
        <v>3415960</v>
      </c>
    </row>
    <row r="5208" spans="1:6" ht="20" x14ac:dyDescent="0.25">
      <c r="A5208" s="5">
        <v>3415960</v>
      </c>
      <c r="B5208" s="1">
        <v>2023</v>
      </c>
      <c r="C5208" s="1" t="s">
        <v>1387</v>
      </c>
      <c r="D5208" s="2" t="s">
        <v>1300</v>
      </c>
      <c r="E5208" s="7">
        <v>3518736</v>
      </c>
      <c r="F5208" s="5">
        <v>3415960</v>
      </c>
    </row>
    <row r="5209" spans="1:6" x14ac:dyDescent="0.25">
      <c r="A5209" s="5">
        <v>3415990</v>
      </c>
      <c r="B5209" s="1">
        <v>2015</v>
      </c>
      <c r="C5209" s="1" t="s">
        <v>1387</v>
      </c>
      <c r="D5209" s="1" t="s">
        <v>294</v>
      </c>
      <c r="E5209" s="8">
        <v>472937</v>
      </c>
      <c r="F5209" s="5">
        <v>3415990</v>
      </c>
    </row>
    <row r="5210" spans="1:6" x14ac:dyDescent="0.25">
      <c r="A5210" s="5">
        <v>3415990</v>
      </c>
      <c r="B5210" s="1">
        <v>2016</v>
      </c>
      <c r="C5210" s="1" t="s">
        <v>1387</v>
      </c>
      <c r="D5210" s="1" t="s">
        <v>294</v>
      </c>
      <c r="E5210" s="8">
        <v>700291</v>
      </c>
      <c r="F5210" s="5">
        <v>3415990</v>
      </c>
    </row>
    <row r="5211" spans="1:6" x14ac:dyDescent="0.25">
      <c r="A5211" s="5">
        <v>3415990</v>
      </c>
      <c r="B5211" s="1">
        <v>2017</v>
      </c>
      <c r="C5211" s="1" t="s">
        <v>1387</v>
      </c>
      <c r="D5211" s="1" t="s">
        <v>294</v>
      </c>
      <c r="E5211" s="8">
        <v>1024897</v>
      </c>
      <c r="F5211" s="5">
        <v>3415990</v>
      </c>
    </row>
    <row r="5212" spans="1:6" x14ac:dyDescent="0.25">
      <c r="A5212" s="5">
        <v>3415990</v>
      </c>
      <c r="B5212" s="1">
        <v>2018</v>
      </c>
      <c r="C5212" s="1" t="s">
        <v>1387</v>
      </c>
      <c r="D5212" s="1" t="s">
        <v>984</v>
      </c>
      <c r="E5212" s="8">
        <v>1475625</v>
      </c>
      <c r="F5212" s="5">
        <v>3415990</v>
      </c>
    </row>
    <row r="5213" spans="1:6" x14ac:dyDescent="0.25">
      <c r="A5213" s="5">
        <v>3415990</v>
      </c>
      <c r="B5213" s="1">
        <v>2019</v>
      </c>
      <c r="C5213" s="1" t="s">
        <v>1387</v>
      </c>
      <c r="D5213" s="1" t="s">
        <v>984</v>
      </c>
      <c r="E5213" s="8">
        <v>1939552</v>
      </c>
      <c r="F5213" s="5">
        <v>3415990</v>
      </c>
    </row>
    <row r="5214" spans="1:6" ht="20" x14ac:dyDescent="0.25">
      <c r="A5214" s="5">
        <v>3415990</v>
      </c>
      <c r="B5214" s="1">
        <v>2020</v>
      </c>
      <c r="C5214" s="1" t="s">
        <v>1387</v>
      </c>
      <c r="D5214" s="2" t="s">
        <v>984</v>
      </c>
      <c r="E5214" s="7">
        <v>2261194</v>
      </c>
      <c r="F5214" s="5">
        <v>3415990</v>
      </c>
    </row>
    <row r="5215" spans="1:6" ht="20" x14ac:dyDescent="0.25">
      <c r="A5215" s="5">
        <v>3415990</v>
      </c>
      <c r="B5215" s="1">
        <v>2021</v>
      </c>
      <c r="C5215" s="1" t="s">
        <v>1387</v>
      </c>
      <c r="D5215" s="3" t="s">
        <v>984</v>
      </c>
      <c r="E5215" s="7">
        <v>2929712</v>
      </c>
      <c r="F5215" s="5">
        <v>3415990</v>
      </c>
    </row>
    <row r="5216" spans="1:6" ht="20" x14ac:dyDescent="0.25">
      <c r="A5216" s="5">
        <v>3415990</v>
      </c>
      <c r="B5216" s="1">
        <v>2022</v>
      </c>
      <c r="C5216" s="1" t="s">
        <v>1387</v>
      </c>
      <c r="D5216" s="2" t="s">
        <v>984</v>
      </c>
      <c r="E5216" s="7">
        <v>4226631</v>
      </c>
      <c r="F5216" s="5">
        <v>3415990</v>
      </c>
    </row>
    <row r="5217" spans="1:6" ht="20" x14ac:dyDescent="0.25">
      <c r="A5217" s="5">
        <v>3415990</v>
      </c>
      <c r="B5217" s="1">
        <v>2023</v>
      </c>
      <c r="C5217" s="1" t="s">
        <v>1387</v>
      </c>
      <c r="D5217" s="2" t="s">
        <v>984</v>
      </c>
      <c r="E5217" s="7">
        <v>4310944</v>
      </c>
      <c r="F5217" s="5">
        <v>3415990</v>
      </c>
    </row>
    <row r="5218" spans="1:6" x14ac:dyDescent="0.25">
      <c r="A5218" s="5">
        <v>3416020</v>
      </c>
      <c r="B5218" s="1">
        <v>2015</v>
      </c>
      <c r="C5218" s="1" t="s">
        <v>1387</v>
      </c>
      <c r="D5218" s="1" t="s">
        <v>144</v>
      </c>
      <c r="E5218" s="8">
        <v>283757</v>
      </c>
      <c r="F5218" s="5">
        <v>3416020</v>
      </c>
    </row>
    <row r="5219" spans="1:6" x14ac:dyDescent="0.25">
      <c r="A5219" s="5">
        <v>3416020</v>
      </c>
      <c r="B5219" s="1">
        <v>2016</v>
      </c>
      <c r="C5219" s="1" t="s">
        <v>1387</v>
      </c>
      <c r="D5219" s="1" t="s">
        <v>144</v>
      </c>
      <c r="E5219" s="8">
        <v>455932</v>
      </c>
      <c r="F5219" s="5">
        <v>3416020</v>
      </c>
    </row>
    <row r="5220" spans="1:6" x14ac:dyDescent="0.25">
      <c r="A5220" s="5">
        <v>3416020</v>
      </c>
      <c r="B5220" s="1">
        <v>2017</v>
      </c>
      <c r="C5220" s="1" t="s">
        <v>1387</v>
      </c>
      <c r="D5220" s="1" t="s">
        <v>144</v>
      </c>
      <c r="E5220" s="8">
        <v>634235</v>
      </c>
      <c r="F5220" s="5">
        <v>3416020</v>
      </c>
    </row>
    <row r="5221" spans="1:6" x14ac:dyDescent="0.25">
      <c r="A5221" s="5">
        <v>3416020</v>
      </c>
      <c r="B5221" s="1">
        <v>2018</v>
      </c>
      <c r="C5221" s="1" t="s">
        <v>1387</v>
      </c>
      <c r="D5221" s="1" t="s">
        <v>825</v>
      </c>
      <c r="E5221" s="8">
        <v>751715</v>
      </c>
      <c r="F5221" s="5">
        <v>3416020</v>
      </c>
    </row>
    <row r="5222" spans="1:6" x14ac:dyDescent="0.25">
      <c r="A5222" s="5">
        <v>3416020</v>
      </c>
      <c r="B5222" s="1">
        <v>2019</v>
      </c>
      <c r="C5222" s="1" t="s">
        <v>1387</v>
      </c>
      <c r="D5222" s="1" t="s">
        <v>825</v>
      </c>
      <c r="E5222" s="8">
        <v>1093670</v>
      </c>
      <c r="F5222" s="5">
        <v>3416020</v>
      </c>
    </row>
    <row r="5223" spans="1:6" ht="20" x14ac:dyDescent="0.25">
      <c r="A5223" s="5">
        <v>3416020</v>
      </c>
      <c r="B5223" s="1">
        <v>2020</v>
      </c>
      <c r="C5223" s="1" t="s">
        <v>1387</v>
      </c>
      <c r="D5223" s="2" t="s">
        <v>825</v>
      </c>
      <c r="E5223" s="7">
        <v>1233833</v>
      </c>
      <c r="F5223" s="5">
        <v>3416020</v>
      </c>
    </row>
    <row r="5224" spans="1:6" ht="20" x14ac:dyDescent="0.25">
      <c r="A5224" s="5">
        <v>3416020</v>
      </c>
      <c r="B5224" s="1">
        <v>2021</v>
      </c>
      <c r="C5224" s="1" t="s">
        <v>1387</v>
      </c>
      <c r="D5224" s="3" t="s">
        <v>825</v>
      </c>
      <c r="E5224" s="7">
        <v>1541645</v>
      </c>
      <c r="F5224" s="5">
        <v>3416020</v>
      </c>
    </row>
    <row r="5225" spans="1:6" ht="20" x14ac:dyDescent="0.25">
      <c r="A5225" s="5">
        <v>3416020</v>
      </c>
      <c r="B5225" s="1">
        <v>2022</v>
      </c>
      <c r="C5225" s="1" t="s">
        <v>1387</v>
      </c>
      <c r="D5225" s="2" t="s">
        <v>825</v>
      </c>
      <c r="E5225" s="7">
        <v>2006150</v>
      </c>
      <c r="F5225" s="5">
        <v>3416020</v>
      </c>
    </row>
    <row r="5226" spans="1:6" ht="20" x14ac:dyDescent="0.25">
      <c r="A5226" s="5">
        <v>3416020</v>
      </c>
      <c r="B5226" s="1">
        <v>2023</v>
      </c>
      <c r="C5226" s="1" t="s">
        <v>1387</v>
      </c>
      <c r="D5226" s="2" t="s">
        <v>825</v>
      </c>
      <c r="E5226" s="7">
        <v>1833575</v>
      </c>
      <c r="F5226" s="5">
        <v>3416020</v>
      </c>
    </row>
    <row r="5227" spans="1:6" x14ac:dyDescent="0.25">
      <c r="A5227" s="5">
        <v>3416080</v>
      </c>
      <c r="B5227" s="1">
        <v>2015</v>
      </c>
      <c r="C5227" s="1" t="s">
        <v>1387</v>
      </c>
      <c r="D5227" s="1" t="s">
        <v>96</v>
      </c>
      <c r="E5227" s="8">
        <v>1865318</v>
      </c>
      <c r="F5227" s="5">
        <v>3416080</v>
      </c>
    </row>
    <row r="5228" spans="1:6" x14ac:dyDescent="0.25">
      <c r="A5228" s="5">
        <v>3416080</v>
      </c>
      <c r="B5228" s="1">
        <v>2016</v>
      </c>
      <c r="C5228" s="1" t="s">
        <v>1387</v>
      </c>
      <c r="D5228" s="1" t="s">
        <v>96</v>
      </c>
      <c r="E5228" s="8">
        <v>2603332</v>
      </c>
      <c r="F5228" s="5">
        <v>3416080</v>
      </c>
    </row>
    <row r="5229" spans="1:6" x14ac:dyDescent="0.25">
      <c r="A5229" s="5">
        <v>3416080</v>
      </c>
      <c r="B5229" s="1">
        <v>2017</v>
      </c>
      <c r="C5229" s="1" t="s">
        <v>1387</v>
      </c>
      <c r="D5229" s="1" t="s">
        <v>96</v>
      </c>
      <c r="E5229" s="8">
        <v>3908952</v>
      </c>
      <c r="F5229" s="5">
        <v>3416080</v>
      </c>
    </row>
    <row r="5230" spans="1:6" x14ac:dyDescent="0.25">
      <c r="A5230" s="5">
        <v>3416080</v>
      </c>
      <c r="B5230" s="1">
        <v>2018</v>
      </c>
      <c r="C5230" s="1" t="s">
        <v>1387</v>
      </c>
      <c r="D5230" s="1" t="s">
        <v>776</v>
      </c>
      <c r="E5230" s="8">
        <v>5242366</v>
      </c>
      <c r="F5230" s="5">
        <v>3416080</v>
      </c>
    </row>
    <row r="5231" spans="1:6" x14ac:dyDescent="0.25">
      <c r="A5231" s="5">
        <v>3416080</v>
      </c>
      <c r="B5231" s="1">
        <v>2019</v>
      </c>
      <c r="C5231" s="1" t="s">
        <v>1387</v>
      </c>
      <c r="D5231" s="1" t="s">
        <v>776</v>
      </c>
      <c r="E5231" s="8">
        <v>6727056</v>
      </c>
      <c r="F5231" s="5">
        <v>3416080</v>
      </c>
    </row>
    <row r="5232" spans="1:6" ht="20" x14ac:dyDescent="0.25">
      <c r="A5232" s="5">
        <v>3416080</v>
      </c>
      <c r="B5232" s="1">
        <v>2020</v>
      </c>
      <c r="C5232" s="1" t="s">
        <v>1387</v>
      </c>
      <c r="D5232" s="2" t="s">
        <v>776</v>
      </c>
      <c r="E5232" s="7">
        <v>7764806</v>
      </c>
      <c r="F5232" s="5">
        <v>3416080</v>
      </c>
    </row>
    <row r="5233" spans="1:6" ht="20" x14ac:dyDescent="0.25">
      <c r="A5233" s="5">
        <v>3416080</v>
      </c>
      <c r="B5233" s="1">
        <v>2021</v>
      </c>
      <c r="C5233" s="1" t="s">
        <v>1387</v>
      </c>
      <c r="D5233" s="3" t="s">
        <v>776</v>
      </c>
      <c r="E5233" s="7">
        <v>9895235</v>
      </c>
      <c r="F5233" s="5">
        <v>3416080</v>
      </c>
    </row>
    <row r="5234" spans="1:6" ht="20" x14ac:dyDescent="0.25">
      <c r="A5234" s="5">
        <v>3416080</v>
      </c>
      <c r="B5234" s="1">
        <v>2022</v>
      </c>
      <c r="C5234" s="1" t="s">
        <v>1387</v>
      </c>
      <c r="D5234" s="2" t="s">
        <v>776</v>
      </c>
      <c r="E5234" s="7">
        <v>14257332</v>
      </c>
      <c r="F5234" s="5">
        <v>3416080</v>
      </c>
    </row>
    <row r="5235" spans="1:6" ht="20" x14ac:dyDescent="0.25">
      <c r="A5235" s="5">
        <v>3416080</v>
      </c>
      <c r="B5235" s="1">
        <v>2023</v>
      </c>
      <c r="C5235" s="1" t="s">
        <v>1387</v>
      </c>
      <c r="D5235" s="2" t="s">
        <v>776</v>
      </c>
      <c r="E5235" s="7">
        <v>14567651</v>
      </c>
      <c r="F5235" s="5">
        <v>3416080</v>
      </c>
    </row>
    <row r="5236" spans="1:6" x14ac:dyDescent="0.25">
      <c r="A5236" s="5">
        <v>3416110</v>
      </c>
      <c r="B5236" s="1">
        <v>2015</v>
      </c>
      <c r="C5236" s="1" t="s">
        <v>1387</v>
      </c>
      <c r="D5236" s="1" t="s">
        <v>98</v>
      </c>
      <c r="E5236" s="8">
        <v>1502534</v>
      </c>
      <c r="F5236" s="5">
        <v>3416110</v>
      </c>
    </row>
    <row r="5237" spans="1:6" x14ac:dyDescent="0.25">
      <c r="A5237" s="5">
        <v>3416110</v>
      </c>
      <c r="B5237" s="1">
        <v>2016</v>
      </c>
      <c r="C5237" s="1" t="s">
        <v>1387</v>
      </c>
      <c r="D5237" s="1" t="s">
        <v>98</v>
      </c>
      <c r="E5237" s="8">
        <v>2228958</v>
      </c>
      <c r="F5237" s="5">
        <v>3416110</v>
      </c>
    </row>
    <row r="5238" spans="1:6" x14ac:dyDescent="0.25">
      <c r="A5238" s="5">
        <v>3416110</v>
      </c>
      <c r="B5238" s="1">
        <v>2017</v>
      </c>
      <c r="C5238" s="1" t="s">
        <v>1387</v>
      </c>
      <c r="D5238" s="1" t="s">
        <v>98</v>
      </c>
      <c r="E5238" s="8">
        <v>3100481</v>
      </c>
      <c r="F5238" s="5">
        <v>3416110</v>
      </c>
    </row>
    <row r="5239" spans="1:6" x14ac:dyDescent="0.25">
      <c r="A5239" s="5">
        <v>3416110</v>
      </c>
      <c r="B5239" s="1">
        <v>2018</v>
      </c>
      <c r="C5239" s="1" t="s">
        <v>1387</v>
      </c>
      <c r="D5239" s="1" t="s">
        <v>778</v>
      </c>
      <c r="E5239" s="8">
        <v>4247616</v>
      </c>
      <c r="F5239" s="5">
        <v>3416110</v>
      </c>
    </row>
    <row r="5240" spans="1:6" x14ac:dyDescent="0.25">
      <c r="A5240" s="5">
        <v>3416110</v>
      </c>
      <c r="B5240" s="1">
        <v>2019</v>
      </c>
      <c r="C5240" s="1" t="s">
        <v>1387</v>
      </c>
      <c r="D5240" s="1" t="s">
        <v>778</v>
      </c>
      <c r="E5240" s="8">
        <v>5770487</v>
      </c>
      <c r="F5240" s="5">
        <v>3416110</v>
      </c>
    </row>
    <row r="5241" spans="1:6" ht="20" x14ac:dyDescent="0.25">
      <c r="A5241" s="5">
        <v>3416110</v>
      </c>
      <c r="B5241" s="1">
        <v>2020</v>
      </c>
      <c r="C5241" s="1" t="s">
        <v>1387</v>
      </c>
      <c r="D5241" s="2" t="s">
        <v>778</v>
      </c>
      <c r="E5241" s="7">
        <v>6310143</v>
      </c>
      <c r="F5241" s="5">
        <v>3416110</v>
      </c>
    </row>
    <row r="5242" spans="1:6" ht="20" x14ac:dyDescent="0.25">
      <c r="A5242" s="5">
        <v>3416110</v>
      </c>
      <c r="B5242" s="1">
        <v>2021</v>
      </c>
      <c r="C5242" s="1" t="s">
        <v>1387</v>
      </c>
      <c r="D5242" s="3" t="s">
        <v>778</v>
      </c>
      <c r="E5242" s="7">
        <v>8274056</v>
      </c>
      <c r="F5242" s="5">
        <v>3416110</v>
      </c>
    </row>
    <row r="5243" spans="1:6" ht="20" x14ac:dyDescent="0.25">
      <c r="A5243" s="5">
        <v>3416110</v>
      </c>
      <c r="B5243" s="1">
        <v>2022</v>
      </c>
      <c r="C5243" s="1" t="s">
        <v>1387</v>
      </c>
      <c r="D5243" s="2" t="s">
        <v>778</v>
      </c>
      <c r="E5243" s="7">
        <v>12014042</v>
      </c>
      <c r="F5243" s="5">
        <v>3416110</v>
      </c>
    </row>
    <row r="5244" spans="1:6" ht="20" x14ac:dyDescent="0.25">
      <c r="A5244" s="5">
        <v>3416110</v>
      </c>
      <c r="B5244" s="1">
        <v>2023</v>
      </c>
      <c r="C5244" s="1" t="s">
        <v>1387</v>
      </c>
      <c r="D5244" s="2" t="s">
        <v>778</v>
      </c>
      <c r="E5244" s="7">
        <v>12191321</v>
      </c>
      <c r="F5244" s="5">
        <v>3416110</v>
      </c>
    </row>
    <row r="5245" spans="1:6" x14ac:dyDescent="0.25">
      <c r="A5245" s="5">
        <v>3416170</v>
      </c>
      <c r="B5245" s="1">
        <v>2015</v>
      </c>
      <c r="C5245" s="1" t="s">
        <v>1387</v>
      </c>
      <c r="D5245" s="1" t="s">
        <v>352</v>
      </c>
      <c r="E5245" s="8">
        <v>304333</v>
      </c>
      <c r="F5245" s="5">
        <v>3416170</v>
      </c>
    </row>
    <row r="5246" spans="1:6" x14ac:dyDescent="0.25">
      <c r="A5246" s="5">
        <v>3416170</v>
      </c>
      <c r="B5246" s="1">
        <v>2016</v>
      </c>
      <c r="C5246" s="1" t="s">
        <v>1387</v>
      </c>
      <c r="D5246" s="1" t="s">
        <v>352</v>
      </c>
      <c r="E5246" s="8">
        <v>444305</v>
      </c>
      <c r="F5246" s="5">
        <v>3416170</v>
      </c>
    </row>
    <row r="5247" spans="1:6" x14ac:dyDescent="0.25">
      <c r="A5247" s="5">
        <v>3416170</v>
      </c>
      <c r="B5247" s="1">
        <v>2017</v>
      </c>
      <c r="C5247" s="1" t="s">
        <v>1387</v>
      </c>
      <c r="D5247" s="1" t="s">
        <v>352</v>
      </c>
      <c r="E5247" s="8">
        <v>627669</v>
      </c>
      <c r="F5247" s="5">
        <v>3416170</v>
      </c>
    </row>
    <row r="5248" spans="1:6" x14ac:dyDescent="0.25">
      <c r="A5248" s="5">
        <v>3416170</v>
      </c>
      <c r="B5248" s="1">
        <v>2018</v>
      </c>
      <c r="C5248" s="1" t="s">
        <v>1387</v>
      </c>
      <c r="D5248" s="1" t="s">
        <v>1043</v>
      </c>
      <c r="E5248" s="8">
        <v>859561</v>
      </c>
      <c r="F5248" s="5">
        <v>3416170</v>
      </c>
    </row>
    <row r="5249" spans="1:6" x14ac:dyDescent="0.25">
      <c r="A5249" s="5">
        <v>3416170</v>
      </c>
      <c r="B5249" s="1">
        <v>2019</v>
      </c>
      <c r="C5249" s="1" t="s">
        <v>1387</v>
      </c>
      <c r="D5249" s="1" t="s">
        <v>1043</v>
      </c>
      <c r="E5249" s="8">
        <v>1085723</v>
      </c>
      <c r="F5249" s="5">
        <v>3416170</v>
      </c>
    </row>
    <row r="5250" spans="1:6" ht="20" x14ac:dyDescent="0.25">
      <c r="A5250" s="5">
        <v>3416170</v>
      </c>
      <c r="B5250" s="1">
        <v>2020</v>
      </c>
      <c r="C5250" s="1" t="s">
        <v>1387</v>
      </c>
      <c r="D5250" s="2" t="s">
        <v>1043</v>
      </c>
      <c r="E5250" s="7">
        <v>1210577</v>
      </c>
      <c r="F5250" s="5">
        <v>3416170</v>
      </c>
    </row>
    <row r="5251" spans="1:6" ht="20" x14ac:dyDescent="0.25">
      <c r="A5251" s="5">
        <v>3416170</v>
      </c>
      <c r="B5251" s="1">
        <v>2021</v>
      </c>
      <c r="C5251" s="1" t="s">
        <v>1387</v>
      </c>
      <c r="D5251" s="3" t="s">
        <v>1043</v>
      </c>
      <c r="E5251" s="7">
        <v>1462202</v>
      </c>
      <c r="F5251" s="5">
        <v>3416170</v>
      </c>
    </row>
    <row r="5252" spans="1:6" ht="20" x14ac:dyDescent="0.25">
      <c r="A5252" s="5">
        <v>3416170</v>
      </c>
      <c r="B5252" s="1">
        <v>2022</v>
      </c>
      <c r="C5252" s="1" t="s">
        <v>1387</v>
      </c>
      <c r="D5252" s="2" t="s">
        <v>1043</v>
      </c>
      <c r="E5252" s="7">
        <v>2169582</v>
      </c>
      <c r="F5252" s="5">
        <v>3416170</v>
      </c>
    </row>
    <row r="5253" spans="1:6" ht="20" x14ac:dyDescent="0.25">
      <c r="A5253" s="5">
        <v>3416170</v>
      </c>
      <c r="B5253" s="1">
        <v>2023</v>
      </c>
      <c r="C5253" s="1" t="s">
        <v>1387</v>
      </c>
      <c r="D5253" s="2" t="s">
        <v>1043</v>
      </c>
      <c r="E5253" s="7">
        <v>2112853</v>
      </c>
      <c r="F5253" s="5">
        <v>3416170</v>
      </c>
    </row>
    <row r="5254" spans="1:6" x14ac:dyDescent="0.25">
      <c r="A5254" s="5">
        <v>3416200</v>
      </c>
      <c r="B5254" s="1">
        <v>2015</v>
      </c>
      <c r="C5254" s="1" t="s">
        <v>1387</v>
      </c>
      <c r="D5254" s="1" t="s">
        <v>449</v>
      </c>
      <c r="E5254" s="8">
        <v>575755</v>
      </c>
      <c r="F5254" s="5">
        <v>3416200</v>
      </c>
    </row>
    <row r="5255" spans="1:6" x14ac:dyDescent="0.25">
      <c r="A5255" s="5">
        <v>3416200</v>
      </c>
      <c r="B5255" s="1">
        <v>2016</v>
      </c>
      <c r="C5255" s="1" t="s">
        <v>1387</v>
      </c>
      <c r="D5255" s="1" t="s">
        <v>449</v>
      </c>
      <c r="E5255" s="8">
        <v>807588</v>
      </c>
      <c r="F5255" s="5">
        <v>3416200</v>
      </c>
    </row>
    <row r="5256" spans="1:6" x14ac:dyDescent="0.25">
      <c r="A5256" s="5">
        <v>3416200</v>
      </c>
      <c r="B5256" s="1">
        <v>2017</v>
      </c>
      <c r="C5256" s="1" t="s">
        <v>1387</v>
      </c>
      <c r="D5256" s="1" t="s">
        <v>449</v>
      </c>
      <c r="E5256" s="8">
        <v>1111073</v>
      </c>
      <c r="F5256" s="5">
        <v>3416200</v>
      </c>
    </row>
    <row r="5257" spans="1:6" x14ac:dyDescent="0.25">
      <c r="A5257" s="5">
        <v>3416200</v>
      </c>
      <c r="B5257" s="1">
        <v>2018</v>
      </c>
      <c r="C5257" s="1" t="s">
        <v>1387</v>
      </c>
      <c r="D5257" s="1" t="s">
        <v>1141</v>
      </c>
      <c r="E5257" s="8">
        <v>1462944</v>
      </c>
      <c r="F5257" s="5">
        <v>3416200</v>
      </c>
    </row>
    <row r="5258" spans="1:6" x14ac:dyDescent="0.25">
      <c r="A5258" s="5">
        <v>3416200</v>
      </c>
      <c r="B5258" s="1">
        <v>2019</v>
      </c>
      <c r="C5258" s="1" t="s">
        <v>1387</v>
      </c>
      <c r="D5258" s="1" t="s">
        <v>1141</v>
      </c>
      <c r="E5258" s="8">
        <v>2103269</v>
      </c>
      <c r="F5258" s="5">
        <v>3416200</v>
      </c>
    </row>
    <row r="5259" spans="1:6" ht="20" x14ac:dyDescent="0.25">
      <c r="A5259" s="5">
        <v>3416200</v>
      </c>
      <c r="B5259" s="1">
        <v>2020</v>
      </c>
      <c r="C5259" s="1" t="s">
        <v>1387</v>
      </c>
      <c r="D5259" s="2" t="s">
        <v>1141</v>
      </c>
      <c r="E5259" s="7">
        <v>2439580</v>
      </c>
      <c r="F5259" s="5">
        <v>3416200</v>
      </c>
    </row>
    <row r="5260" spans="1:6" ht="20" x14ac:dyDescent="0.25">
      <c r="A5260" s="5">
        <v>3416200</v>
      </c>
      <c r="B5260" s="1">
        <v>2021</v>
      </c>
      <c r="C5260" s="1" t="s">
        <v>1387</v>
      </c>
      <c r="D5260" s="3" t="s">
        <v>1141</v>
      </c>
      <c r="E5260" s="7">
        <v>3131816</v>
      </c>
      <c r="F5260" s="5">
        <v>3416200</v>
      </c>
    </row>
    <row r="5261" spans="1:6" ht="20" x14ac:dyDescent="0.25">
      <c r="A5261" s="5">
        <v>3416200</v>
      </c>
      <c r="B5261" s="1">
        <v>2022</v>
      </c>
      <c r="C5261" s="1" t="s">
        <v>1387</v>
      </c>
      <c r="D5261" s="2" t="s">
        <v>1141</v>
      </c>
      <c r="E5261" s="7">
        <v>4476606</v>
      </c>
      <c r="F5261" s="5">
        <v>3416200</v>
      </c>
    </row>
    <row r="5262" spans="1:6" ht="20" x14ac:dyDescent="0.25">
      <c r="A5262" s="5">
        <v>3416200</v>
      </c>
      <c r="B5262" s="1">
        <v>2023</v>
      </c>
      <c r="C5262" s="1" t="s">
        <v>1387</v>
      </c>
      <c r="D5262" s="2" t="s">
        <v>1141</v>
      </c>
      <c r="E5262" s="7">
        <v>4336088</v>
      </c>
      <c r="F5262" s="5">
        <v>3416200</v>
      </c>
    </row>
    <row r="5263" spans="1:6" x14ac:dyDescent="0.25">
      <c r="A5263" s="5">
        <v>3416230</v>
      </c>
      <c r="B5263" s="1">
        <v>2015</v>
      </c>
      <c r="C5263" s="1" t="s">
        <v>1387</v>
      </c>
      <c r="D5263" s="1" t="s">
        <v>521</v>
      </c>
      <c r="E5263" s="8">
        <v>4759903</v>
      </c>
      <c r="F5263" s="5">
        <v>3416230</v>
      </c>
    </row>
    <row r="5264" spans="1:6" x14ac:dyDescent="0.25">
      <c r="A5264" s="5">
        <v>3416230</v>
      </c>
      <c r="B5264" s="1">
        <v>2016</v>
      </c>
      <c r="C5264" s="1" t="s">
        <v>1387</v>
      </c>
      <c r="D5264" s="1" t="s">
        <v>521</v>
      </c>
      <c r="E5264" s="8">
        <v>7144637</v>
      </c>
      <c r="F5264" s="5">
        <v>3416230</v>
      </c>
    </row>
    <row r="5265" spans="1:6" x14ac:dyDescent="0.25">
      <c r="A5265" s="5">
        <v>3416230</v>
      </c>
      <c r="B5265" s="1">
        <v>2017</v>
      </c>
      <c r="C5265" s="1" t="s">
        <v>1387</v>
      </c>
      <c r="D5265" s="1" t="s">
        <v>521</v>
      </c>
      <c r="E5265" s="8">
        <v>10133368</v>
      </c>
      <c r="F5265" s="5">
        <v>3416230</v>
      </c>
    </row>
    <row r="5266" spans="1:6" x14ac:dyDescent="0.25">
      <c r="A5266" s="5">
        <v>3416230</v>
      </c>
      <c r="B5266" s="1">
        <v>2018</v>
      </c>
      <c r="C5266" s="1" t="s">
        <v>1387</v>
      </c>
      <c r="D5266" s="1" t="s">
        <v>1213</v>
      </c>
      <c r="E5266" s="8">
        <v>13685387</v>
      </c>
      <c r="F5266" s="5">
        <v>3416230</v>
      </c>
    </row>
    <row r="5267" spans="1:6" x14ac:dyDescent="0.25">
      <c r="A5267" s="5">
        <v>3416230</v>
      </c>
      <c r="B5267" s="1">
        <v>2019</v>
      </c>
      <c r="C5267" s="1" t="s">
        <v>1387</v>
      </c>
      <c r="D5267" s="1" t="s">
        <v>1213</v>
      </c>
      <c r="E5267" s="8">
        <v>17942364</v>
      </c>
      <c r="F5267" s="5">
        <v>3416230</v>
      </c>
    </row>
    <row r="5268" spans="1:6" ht="20" x14ac:dyDescent="0.25">
      <c r="A5268" s="5">
        <v>3416230</v>
      </c>
      <c r="B5268" s="1">
        <v>2020</v>
      </c>
      <c r="C5268" s="1" t="s">
        <v>1387</v>
      </c>
      <c r="D5268" s="2" t="s">
        <v>1213</v>
      </c>
      <c r="E5268" s="7">
        <v>20081808</v>
      </c>
      <c r="F5268" s="5">
        <v>3416230</v>
      </c>
    </row>
    <row r="5269" spans="1:6" ht="20" x14ac:dyDescent="0.25">
      <c r="A5269" s="5">
        <v>3416230</v>
      </c>
      <c r="B5269" s="1">
        <v>2021</v>
      </c>
      <c r="C5269" s="1" t="s">
        <v>1387</v>
      </c>
      <c r="D5269" s="3" t="s">
        <v>1213</v>
      </c>
      <c r="E5269" s="7">
        <v>25840947</v>
      </c>
      <c r="F5269" s="5">
        <v>3416230</v>
      </c>
    </row>
    <row r="5270" spans="1:6" ht="20" x14ac:dyDescent="0.25">
      <c r="A5270" s="5">
        <v>3416230</v>
      </c>
      <c r="B5270" s="1">
        <v>2022</v>
      </c>
      <c r="C5270" s="1" t="s">
        <v>1387</v>
      </c>
      <c r="D5270" s="2" t="s">
        <v>1213</v>
      </c>
      <c r="E5270" s="7">
        <v>35431570</v>
      </c>
      <c r="F5270" s="5">
        <v>3416230</v>
      </c>
    </row>
    <row r="5271" spans="1:6" ht="20" x14ac:dyDescent="0.25">
      <c r="A5271" s="5">
        <v>3416230</v>
      </c>
      <c r="B5271" s="1">
        <v>2023</v>
      </c>
      <c r="C5271" s="1" t="s">
        <v>1387</v>
      </c>
      <c r="D5271" s="2" t="s">
        <v>1213</v>
      </c>
      <c r="E5271" s="7">
        <v>34143265</v>
      </c>
      <c r="F5271" s="5">
        <v>3416230</v>
      </c>
    </row>
    <row r="5272" spans="1:6" x14ac:dyDescent="0.25">
      <c r="A5272" s="5">
        <v>3416260</v>
      </c>
      <c r="B5272" s="1">
        <v>2015</v>
      </c>
      <c r="C5272" s="1" t="s">
        <v>1387</v>
      </c>
      <c r="D5272" s="1" t="s">
        <v>544</v>
      </c>
      <c r="E5272" s="8">
        <v>357763</v>
      </c>
      <c r="F5272" s="5">
        <v>3416260</v>
      </c>
    </row>
    <row r="5273" spans="1:6" x14ac:dyDescent="0.25">
      <c r="A5273" s="5">
        <v>3416260</v>
      </c>
      <c r="B5273" s="1">
        <v>2016</v>
      </c>
      <c r="C5273" s="1" t="s">
        <v>1387</v>
      </c>
      <c r="D5273" s="1" t="s">
        <v>544</v>
      </c>
      <c r="E5273" s="8">
        <v>536201</v>
      </c>
      <c r="F5273" s="5">
        <v>3416260</v>
      </c>
    </row>
    <row r="5274" spans="1:6" x14ac:dyDescent="0.25">
      <c r="A5274" s="5">
        <v>3416260</v>
      </c>
      <c r="B5274" s="1">
        <v>2017</v>
      </c>
      <c r="C5274" s="1" t="s">
        <v>1387</v>
      </c>
      <c r="D5274" s="1" t="s">
        <v>544</v>
      </c>
      <c r="E5274" s="8">
        <v>788291</v>
      </c>
      <c r="F5274" s="5">
        <v>3416260</v>
      </c>
    </row>
    <row r="5275" spans="1:6" x14ac:dyDescent="0.25">
      <c r="A5275" s="5">
        <v>3416260</v>
      </c>
      <c r="B5275" s="1">
        <v>2018</v>
      </c>
      <c r="C5275" s="1" t="s">
        <v>1387</v>
      </c>
      <c r="D5275" s="1" t="s">
        <v>1236</v>
      </c>
      <c r="E5275" s="8">
        <v>963810</v>
      </c>
      <c r="F5275" s="5">
        <v>3416260</v>
      </c>
    </row>
    <row r="5276" spans="1:6" x14ac:dyDescent="0.25">
      <c r="A5276" s="5">
        <v>3416260</v>
      </c>
      <c r="B5276" s="1">
        <v>2019</v>
      </c>
      <c r="C5276" s="1" t="s">
        <v>1387</v>
      </c>
      <c r="D5276" s="1" t="s">
        <v>1236</v>
      </c>
      <c r="E5276" s="8">
        <v>1279935</v>
      </c>
      <c r="F5276" s="5">
        <v>3416260</v>
      </c>
    </row>
    <row r="5277" spans="1:6" ht="20" x14ac:dyDescent="0.25">
      <c r="A5277" s="5">
        <v>3416260</v>
      </c>
      <c r="B5277" s="1">
        <v>2020</v>
      </c>
      <c r="C5277" s="1" t="s">
        <v>1387</v>
      </c>
      <c r="D5277" s="2" t="s">
        <v>1236</v>
      </c>
      <c r="E5277" s="7">
        <v>1322266</v>
      </c>
      <c r="F5277" s="5">
        <v>3416260</v>
      </c>
    </row>
    <row r="5278" spans="1:6" ht="20" x14ac:dyDescent="0.25">
      <c r="A5278" s="5">
        <v>3416260</v>
      </c>
      <c r="B5278" s="1">
        <v>2021</v>
      </c>
      <c r="C5278" s="1" t="s">
        <v>1387</v>
      </c>
      <c r="D5278" s="3" t="s">
        <v>1236</v>
      </c>
      <c r="E5278" s="7">
        <v>1704195</v>
      </c>
      <c r="F5278" s="5">
        <v>3416260</v>
      </c>
    </row>
    <row r="5279" spans="1:6" ht="20" x14ac:dyDescent="0.25">
      <c r="A5279" s="5">
        <v>3416260</v>
      </c>
      <c r="B5279" s="1">
        <v>2022</v>
      </c>
      <c r="C5279" s="1" t="s">
        <v>1387</v>
      </c>
      <c r="D5279" s="2" t="s">
        <v>1236</v>
      </c>
      <c r="E5279" s="7">
        <v>2536550</v>
      </c>
      <c r="F5279" s="5">
        <v>3416260</v>
      </c>
    </row>
    <row r="5280" spans="1:6" ht="20" x14ac:dyDescent="0.25">
      <c r="A5280" s="5">
        <v>3416260</v>
      </c>
      <c r="B5280" s="1">
        <v>2023</v>
      </c>
      <c r="C5280" s="1" t="s">
        <v>1387</v>
      </c>
      <c r="D5280" s="2" t="s">
        <v>1236</v>
      </c>
      <c r="E5280" s="7">
        <v>2436625</v>
      </c>
      <c r="F5280" s="5">
        <v>3416260</v>
      </c>
    </row>
    <row r="5281" spans="1:6" x14ac:dyDescent="0.25">
      <c r="A5281" s="5">
        <v>3416290</v>
      </c>
      <c r="B5281" s="1">
        <v>2015</v>
      </c>
      <c r="C5281" s="1" t="s">
        <v>1387</v>
      </c>
      <c r="D5281" s="1" t="s">
        <v>369</v>
      </c>
      <c r="E5281" s="8">
        <v>4561484</v>
      </c>
      <c r="F5281" s="5">
        <v>3416290</v>
      </c>
    </row>
    <row r="5282" spans="1:6" x14ac:dyDescent="0.25">
      <c r="A5282" s="5">
        <v>3416290</v>
      </c>
      <c r="B5282" s="1">
        <v>2016</v>
      </c>
      <c r="C5282" s="1" t="s">
        <v>1387</v>
      </c>
      <c r="D5282" s="1" t="s">
        <v>369</v>
      </c>
      <c r="E5282" s="8">
        <v>7097059</v>
      </c>
      <c r="F5282" s="5">
        <v>3416290</v>
      </c>
    </row>
    <row r="5283" spans="1:6" x14ac:dyDescent="0.25">
      <c r="A5283" s="5">
        <v>3416290</v>
      </c>
      <c r="B5283" s="1">
        <v>2017</v>
      </c>
      <c r="C5283" s="1" t="s">
        <v>1387</v>
      </c>
      <c r="D5283" s="1" t="s">
        <v>369</v>
      </c>
      <c r="E5283" s="8">
        <v>10095393</v>
      </c>
      <c r="F5283" s="5">
        <v>3416290</v>
      </c>
    </row>
    <row r="5284" spans="1:6" x14ac:dyDescent="0.25">
      <c r="A5284" s="5">
        <v>3416290</v>
      </c>
      <c r="B5284" s="1">
        <v>2018</v>
      </c>
      <c r="C5284" s="1" t="s">
        <v>1387</v>
      </c>
      <c r="D5284" s="1" t="s">
        <v>1060</v>
      </c>
      <c r="E5284" s="8">
        <v>12880799</v>
      </c>
      <c r="F5284" s="5">
        <v>3416290</v>
      </c>
    </row>
    <row r="5285" spans="1:6" x14ac:dyDescent="0.25">
      <c r="A5285" s="5">
        <v>3416290</v>
      </c>
      <c r="B5285" s="1">
        <v>2019</v>
      </c>
      <c r="C5285" s="1" t="s">
        <v>1387</v>
      </c>
      <c r="D5285" s="1" t="s">
        <v>1060</v>
      </c>
      <c r="E5285" s="8">
        <v>16348615</v>
      </c>
      <c r="F5285" s="5">
        <v>3416290</v>
      </c>
    </row>
    <row r="5286" spans="1:6" ht="20" x14ac:dyDescent="0.25">
      <c r="A5286" s="5">
        <v>3416290</v>
      </c>
      <c r="B5286" s="1">
        <v>2020</v>
      </c>
      <c r="C5286" s="1" t="s">
        <v>1387</v>
      </c>
      <c r="D5286" s="2" t="s">
        <v>1060</v>
      </c>
      <c r="E5286" s="7">
        <v>18426518</v>
      </c>
      <c r="F5286" s="5">
        <v>3416290</v>
      </c>
    </row>
    <row r="5287" spans="1:6" ht="20" x14ac:dyDescent="0.25">
      <c r="A5287" s="5">
        <v>3416290</v>
      </c>
      <c r="B5287" s="1">
        <v>2021</v>
      </c>
      <c r="C5287" s="1" t="s">
        <v>1387</v>
      </c>
      <c r="D5287" s="3" t="s">
        <v>1060</v>
      </c>
      <c r="E5287" s="7">
        <v>23829497</v>
      </c>
      <c r="F5287" s="5">
        <v>3416290</v>
      </c>
    </row>
    <row r="5288" spans="1:6" ht="20" x14ac:dyDescent="0.25">
      <c r="A5288" s="5">
        <v>3416290</v>
      </c>
      <c r="B5288" s="1">
        <v>2022</v>
      </c>
      <c r="C5288" s="1" t="s">
        <v>1387</v>
      </c>
      <c r="D5288" s="2" t="s">
        <v>1060</v>
      </c>
      <c r="E5288" s="7">
        <v>35708777</v>
      </c>
      <c r="F5288" s="5">
        <v>3416290</v>
      </c>
    </row>
    <row r="5289" spans="1:6" ht="20" x14ac:dyDescent="0.25">
      <c r="A5289" s="5">
        <v>3416290</v>
      </c>
      <c r="B5289" s="1">
        <v>2023</v>
      </c>
      <c r="C5289" s="1" t="s">
        <v>1387</v>
      </c>
      <c r="D5289" s="2" t="s">
        <v>1060</v>
      </c>
      <c r="E5289" s="7">
        <v>36182105</v>
      </c>
      <c r="F5289" s="5">
        <v>3416290</v>
      </c>
    </row>
    <row r="5290" spans="1:6" x14ac:dyDescent="0.25">
      <c r="A5290" s="5">
        <v>3416320</v>
      </c>
      <c r="B5290" s="1">
        <v>2015</v>
      </c>
      <c r="C5290" s="1" t="s">
        <v>1387</v>
      </c>
      <c r="D5290" s="1" t="s">
        <v>522</v>
      </c>
      <c r="E5290" s="8">
        <v>106274</v>
      </c>
      <c r="F5290" s="5">
        <v>3416320</v>
      </c>
    </row>
    <row r="5291" spans="1:6" x14ac:dyDescent="0.25">
      <c r="A5291" s="5">
        <v>3416320</v>
      </c>
      <c r="B5291" s="1">
        <v>2016</v>
      </c>
      <c r="C5291" s="1" t="s">
        <v>1387</v>
      </c>
      <c r="D5291" s="1" t="s">
        <v>522</v>
      </c>
      <c r="E5291" s="8">
        <v>146466</v>
      </c>
      <c r="F5291" s="5">
        <v>3416320</v>
      </c>
    </row>
    <row r="5292" spans="1:6" x14ac:dyDescent="0.25">
      <c r="A5292" s="5">
        <v>3416320</v>
      </c>
      <c r="B5292" s="1">
        <v>2017</v>
      </c>
      <c r="C5292" s="1" t="s">
        <v>1387</v>
      </c>
      <c r="D5292" s="1" t="s">
        <v>522</v>
      </c>
      <c r="E5292" s="8">
        <v>198879</v>
      </c>
      <c r="F5292" s="5">
        <v>3416320</v>
      </c>
    </row>
    <row r="5293" spans="1:6" x14ac:dyDescent="0.25">
      <c r="A5293" s="5">
        <v>3416320</v>
      </c>
      <c r="B5293" s="1">
        <v>2018</v>
      </c>
      <c r="C5293" s="1" t="s">
        <v>1387</v>
      </c>
      <c r="D5293" s="1" t="s">
        <v>1214</v>
      </c>
      <c r="E5293" s="8">
        <v>270930</v>
      </c>
      <c r="F5293" s="5">
        <v>3416320</v>
      </c>
    </row>
    <row r="5294" spans="1:6" x14ac:dyDescent="0.25">
      <c r="A5294" s="5">
        <v>3416320</v>
      </c>
      <c r="B5294" s="1">
        <v>2019</v>
      </c>
      <c r="C5294" s="1" t="s">
        <v>1387</v>
      </c>
      <c r="D5294" s="1" t="s">
        <v>1214</v>
      </c>
      <c r="E5294" s="8">
        <v>364166</v>
      </c>
      <c r="F5294" s="5">
        <v>3416320</v>
      </c>
    </row>
    <row r="5295" spans="1:6" ht="20" x14ac:dyDescent="0.25">
      <c r="A5295" s="5">
        <v>3416320</v>
      </c>
      <c r="B5295" s="1">
        <v>2020</v>
      </c>
      <c r="C5295" s="1" t="s">
        <v>1387</v>
      </c>
      <c r="D5295" s="2" t="s">
        <v>1214</v>
      </c>
      <c r="E5295" s="7">
        <v>458052</v>
      </c>
      <c r="F5295" s="5">
        <v>3416320</v>
      </c>
    </row>
    <row r="5296" spans="1:6" ht="20" x14ac:dyDescent="0.25">
      <c r="A5296" s="5">
        <v>3416320</v>
      </c>
      <c r="B5296" s="1">
        <v>2021</v>
      </c>
      <c r="C5296" s="1" t="s">
        <v>1387</v>
      </c>
      <c r="D5296" s="3" t="s">
        <v>1214</v>
      </c>
      <c r="E5296" s="7">
        <v>627391</v>
      </c>
      <c r="F5296" s="5">
        <v>3416320</v>
      </c>
    </row>
    <row r="5297" spans="1:6" ht="20" x14ac:dyDescent="0.25">
      <c r="A5297" s="5">
        <v>3416320</v>
      </c>
      <c r="B5297" s="1">
        <v>2022</v>
      </c>
      <c r="C5297" s="1" t="s">
        <v>1387</v>
      </c>
      <c r="D5297" s="2" t="s">
        <v>1214</v>
      </c>
      <c r="E5297" s="7">
        <v>969681</v>
      </c>
      <c r="F5297" s="5">
        <v>3416320</v>
      </c>
    </row>
    <row r="5298" spans="1:6" ht="20" x14ac:dyDescent="0.25">
      <c r="A5298" s="5">
        <v>3416320</v>
      </c>
      <c r="B5298" s="1">
        <v>2023</v>
      </c>
      <c r="C5298" s="1" t="s">
        <v>1387</v>
      </c>
      <c r="D5298" s="2" t="s">
        <v>1214</v>
      </c>
      <c r="E5298" s="7">
        <v>965313</v>
      </c>
      <c r="F5298" s="5">
        <v>3416320</v>
      </c>
    </row>
    <row r="5299" spans="1:6" x14ac:dyDescent="0.25">
      <c r="A5299" s="5">
        <v>3416350</v>
      </c>
      <c r="B5299" s="1">
        <v>2015</v>
      </c>
      <c r="C5299" s="1" t="s">
        <v>1387</v>
      </c>
      <c r="D5299" s="1" t="s">
        <v>450</v>
      </c>
      <c r="E5299" s="8">
        <v>230883</v>
      </c>
      <c r="F5299" s="5">
        <v>3416350</v>
      </c>
    </row>
    <row r="5300" spans="1:6" x14ac:dyDescent="0.25">
      <c r="A5300" s="5">
        <v>3416350</v>
      </c>
      <c r="B5300" s="1">
        <v>2016</v>
      </c>
      <c r="C5300" s="1" t="s">
        <v>1387</v>
      </c>
      <c r="D5300" s="1" t="s">
        <v>450</v>
      </c>
      <c r="E5300" s="8">
        <v>318163</v>
      </c>
      <c r="F5300" s="5">
        <v>3416350</v>
      </c>
    </row>
    <row r="5301" spans="1:6" x14ac:dyDescent="0.25">
      <c r="A5301" s="5">
        <v>3416350</v>
      </c>
      <c r="B5301" s="1">
        <v>2017</v>
      </c>
      <c r="C5301" s="1" t="s">
        <v>1387</v>
      </c>
      <c r="D5301" s="1" t="s">
        <v>450</v>
      </c>
      <c r="E5301" s="8">
        <v>432906</v>
      </c>
      <c r="F5301" s="5">
        <v>3416350</v>
      </c>
    </row>
    <row r="5302" spans="1:6" x14ac:dyDescent="0.25">
      <c r="A5302" s="5">
        <v>3416350</v>
      </c>
      <c r="B5302" s="1">
        <v>2018</v>
      </c>
      <c r="C5302" s="1" t="s">
        <v>1387</v>
      </c>
      <c r="D5302" s="1" t="s">
        <v>1142</v>
      </c>
      <c r="E5302" s="8">
        <v>592737</v>
      </c>
      <c r="F5302" s="5">
        <v>3416350</v>
      </c>
    </row>
    <row r="5303" spans="1:6" x14ac:dyDescent="0.25">
      <c r="A5303" s="5">
        <v>3416350</v>
      </c>
      <c r="B5303" s="1">
        <v>2019</v>
      </c>
      <c r="C5303" s="1" t="s">
        <v>1387</v>
      </c>
      <c r="D5303" s="1" t="s">
        <v>1142</v>
      </c>
      <c r="E5303" s="8">
        <v>793843</v>
      </c>
      <c r="F5303" s="5">
        <v>3416350</v>
      </c>
    </row>
    <row r="5304" spans="1:6" ht="20" x14ac:dyDescent="0.25">
      <c r="A5304" s="5">
        <v>3416350</v>
      </c>
      <c r="B5304" s="1">
        <v>2020</v>
      </c>
      <c r="C5304" s="1" t="s">
        <v>1387</v>
      </c>
      <c r="D5304" s="2" t="s">
        <v>1142</v>
      </c>
      <c r="E5304" s="7">
        <v>911390</v>
      </c>
      <c r="F5304" s="5">
        <v>3416350</v>
      </c>
    </row>
    <row r="5305" spans="1:6" ht="20" x14ac:dyDescent="0.25">
      <c r="A5305" s="5">
        <v>3416350</v>
      </c>
      <c r="B5305" s="1">
        <v>2021</v>
      </c>
      <c r="C5305" s="1" t="s">
        <v>1387</v>
      </c>
      <c r="D5305" s="3" t="s">
        <v>1142</v>
      </c>
      <c r="E5305" s="7">
        <v>1161691</v>
      </c>
      <c r="F5305" s="5">
        <v>3416350</v>
      </c>
    </row>
    <row r="5306" spans="1:6" ht="20" x14ac:dyDescent="0.25">
      <c r="A5306" s="5">
        <v>3416350</v>
      </c>
      <c r="B5306" s="1">
        <v>2022</v>
      </c>
      <c r="C5306" s="1" t="s">
        <v>1387</v>
      </c>
      <c r="D5306" s="2" t="s">
        <v>1142</v>
      </c>
      <c r="E5306" s="7">
        <v>1604944</v>
      </c>
      <c r="F5306" s="5">
        <v>3416350</v>
      </c>
    </row>
    <row r="5307" spans="1:6" ht="20" x14ac:dyDescent="0.25">
      <c r="A5307" s="5">
        <v>3416350</v>
      </c>
      <c r="B5307" s="1">
        <v>2023</v>
      </c>
      <c r="C5307" s="1" t="s">
        <v>1387</v>
      </c>
      <c r="D5307" s="2" t="s">
        <v>1142</v>
      </c>
      <c r="E5307" s="7">
        <v>1535408</v>
      </c>
      <c r="F5307" s="5">
        <v>3416350</v>
      </c>
    </row>
    <row r="5308" spans="1:6" x14ac:dyDescent="0.25">
      <c r="A5308" s="5">
        <v>3416380</v>
      </c>
      <c r="B5308" s="1">
        <v>2015</v>
      </c>
      <c r="C5308" s="1" t="s">
        <v>1387</v>
      </c>
      <c r="D5308" s="1" t="s">
        <v>321</v>
      </c>
      <c r="E5308" s="8">
        <v>3695612</v>
      </c>
      <c r="F5308" s="5">
        <v>3416380</v>
      </c>
    </row>
    <row r="5309" spans="1:6" x14ac:dyDescent="0.25">
      <c r="A5309" s="5">
        <v>3416380</v>
      </c>
      <c r="B5309" s="1">
        <v>2016</v>
      </c>
      <c r="C5309" s="1" t="s">
        <v>1387</v>
      </c>
      <c r="D5309" s="1" t="s">
        <v>321</v>
      </c>
      <c r="E5309" s="8">
        <v>5580888</v>
      </c>
      <c r="F5309" s="5">
        <v>3416380</v>
      </c>
    </row>
    <row r="5310" spans="1:6" x14ac:dyDescent="0.25">
      <c r="A5310" s="5">
        <v>3416380</v>
      </c>
      <c r="B5310" s="1">
        <v>2017</v>
      </c>
      <c r="C5310" s="1" t="s">
        <v>1387</v>
      </c>
      <c r="D5310" s="1" t="s">
        <v>321</v>
      </c>
      <c r="E5310" s="8">
        <v>7707926</v>
      </c>
      <c r="F5310" s="5">
        <v>3416380</v>
      </c>
    </row>
    <row r="5311" spans="1:6" x14ac:dyDescent="0.25">
      <c r="A5311" s="5">
        <v>3416380</v>
      </c>
      <c r="B5311" s="1">
        <v>2018</v>
      </c>
      <c r="C5311" s="1" t="s">
        <v>1387</v>
      </c>
      <c r="D5311" s="1" t="s">
        <v>1014</v>
      </c>
      <c r="E5311" s="8">
        <v>11333766</v>
      </c>
      <c r="F5311" s="5">
        <v>3416380</v>
      </c>
    </row>
    <row r="5312" spans="1:6" x14ac:dyDescent="0.25">
      <c r="A5312" s="5">
        <v>3416380</v>
      </c>
      <c r="B5312" s="1">
        <v>2019</v>
      </c>
      <c r="C5312" s="1" t="s">
        <v>1387</v>
      </c>
      <c r="D5312" s="1" t="s">
        <v>1014</v>
      </c>
      <c r="E5312" s="8">
        <v>15487250</v>
      </c>
      <c r="F5312" s="5">
        <v>3416380</v>
      </c>
    </row>
    <row r="5313" spans="1:6" ht="20" x14ac:dyDescent="0.25">
      <c r="A5313" s="5">
        <v>3416380</v>
      </c>
      <c r="B5313" s="1">
        <v>2020</v>
      </c>
      <c r="C5313" s="1" t="s">
        <v>1387</v>
      </c>
      <c r="D5313" s="2" t="s">
        <v>1014</v>
      </c>
      <c r="E5313" s="7">
        <v>17927846</v>
      </c>
      <c r="F5313" s="5">
        <v>3416380</v>
      </c>
    </row>
    <row r="5314" spans="1:6" ht="20" x14ac:dyDescent="0.25">
      <c r="A5314" s="5">
        <v>3416380</v>
      </c>
      <c r="B5314" s="1">
        <v>2021</v>
      </c>
      <c r="C5314" s="1" t="s">
        <v>1387</v>
      </c>
      <c r="D5314" s="3" t="s">
        <v>1014</v>
      </c>
      <c r="E5314" s="7">
        <v>22717955</v>
      </c>
      <c r="F5314" s="5">
        <v>3416380</v>
      </c>
    </row>
    <row r="5315" spans="1:6" ht="20" x14ac:dyDescent="0.25">
      <c r="A5315" s="5">
        <v>3416380</v>
      </c>
      <c r="B5315" s="1">
        <v>2022</v>
      </c>
      <c r="C5315" s="1" t="s">
        <v>1387</v>
      </c>
      <c r="D5315" s="2" t="s">
        <v>1014</v>
      </c>
      <c r="E5315" s="7">
        <v>34860154</v>
      </c>
      <c r="F5315" s="5">
        <v>3416380</v>
      </c>
    </row>
    <row r="5316" spans="1:6" ht="20" x14ac:dyDescent="0.25">
      <c r="A5316" s="5">
        <v>3416380</v>
      </c>
      <c r="B5316" s="1">
        <v>2023</v>
      </c>
      <c r="C5316" s="1" t="s">
        <v>1387</v>
      </c>
      <c r="D5316" s="2" t="s">
        <v>1014</v>
      </c>
      <c r="E5316" s="7">
        <v>34973742</v>
      </c>
      <c r="F5316" s="5">
        <v>3416380</v>
      </c>
    </row>
    <row r="5317" spans="1:6" x14ac:dyDescent="0.25">
      <c r="A5317" s="5">
        <v>3416400</v>
      </c>
      <c r="B5317" s="1">
        <v>2015</v>
      </c>
      <c r="C5317" s="1" t="s">
        <v>1387</v>
      </c>
      <c r="D5317" s="1" t="s">
        <v>631</v>
      </c>
      <c r="E5317" s="8">
        <v>483964</v>
      </c>
      <c r="F5317" s="5">
        <v>3416400</v>
      </c>
    </row>
    <row r="5318" spans="1:6" x14ac:dyDescent="0.25">
      <c r="A5318" s="5">
        <v>3416400</v>
      </c>
      <c r="B5318" s="1">
        <v>2016</v>
      </c>
      <c r="C5318" s="1" t="s">
        <v>1387</v>
      </c>
      <c r="D5318" s="1" t="s">
        <v>631</v>
      </c>
      <c r="E5318" s="8">
        <v>706169</v>
      </c>
      <c r="F5318" s="5">
        <v>3416400</v>
      </c>
    </row>
    <row r="5319" spans="1:6" x14ac:dyDescent="0.25">
      <c r="A5319" s="5">
        <v>3416400</v>
      </c>
      <c r="B5319" s="1">
        <v>2017</v>
      </c>
      <c r="C5319" s="1" t="s">
        <v>1387</v>
      </c>
      <c r="D5319" s="1" t="s">
        <v>631</v>
      </c>
      <c r="E5319" s="8">
        <v>932819</v>
      </c>
      <c r="F5319" s="5">
        <v>3416400</v>
      </c>
    </row>
    <row r="5320" spans="1:6" x14ac:dyDescent="0.25">
      <c r="A5320" s="5">
        <v>3416400</v>
      </c>
      <c r="B5320" s="1">
        <v>2018</v>
      </c>
      <c r="C5320" s="1" t="s">
        <v>1387</v>
      </c>
      <c r="D5320" s="1" t="s">
        <v>1324</v>
      </c>
      <c r="E5320" s="8">
        <v>1278794</v>
      </c>
      <c r="F5320" s="5">
        <v>3416400</v>
      </c>
    </row>
    <row r="5321" spans="1:6" x14ac:dyDescent="0.25">
      <c r="A5321" s="5">
        <v>3416400</v>
      </c>
      <c r="B5321" s="1">
        <v>2019</v>
      </c>
      <c r="C5321" s="1" t="s">
        <v>1387</v>
      </c>
      <c r="D5321" s="1" t="s">
        <v>1324</v>
      </c>
      <c r="E5321" s="8">
        <v>1640029</v>
      </c>
      <c r="F5321" s="5">
        <v>3416400</v>
      </c>
    </row>
    <row r="5322" spans="1:6" ht="20" x14ac:dyDescent="0.25">
      <c r="A5322" s="5">
        <v>3416400</v>
      </c>
      <c r="B5322" s="1">
        <v>2020</v>
      </c>
      <c r="C5322" s="1" t="s">
        <v>1387</v>
      </c>
      <c r="D5322" s="2" t="s">
        <v>1324</v>
      </c>
      <c r="E5322" s="7">
        <v>1728281</v>
      </c>
      <c r="F5322" s="5">
        <v>3416400</v>
      </c>
    </row>
    <row r="5323" spans="1:6" ht="20" x14ac:dyDescent="0.25">
      <c r="A5323" s="5">
        <v>3416400</v>
      </c>
      <c r="B5323" s="1">
        <v>2021</v>
      </c>
      <c r="C5323" s="1" t="s">
        <v>1387</v>
      </c>
      <c r="D5323" s="3" t="s">
        <v>1324</v>
      </c>
      <c r="E5323" s="7">
        <v>2255773</v>
      </c>
      <c r="F5323" s="5">
        <v>3416400</v>
      </c>
    </row>
    <row r="5324" spans="1:6" ht="20" x14ac:dyDescent="0.25">
      <c r="A5324" s="5">
        <v>3416400</v>
      </c>
      <c r="B5324" s="1">
        <v>2022</v>
      </c>
      <c r="C5324" s="1" t="s">
        <v>1387</v>
      </c>
      <c r="D5324" s="2" t="s">
        <v>1324</v>
      </c>
      <c r="E5324" s="7">
        <v>3098938</v>
      </c>
      <c r="F5324" s="5">
        <v>3416400</v>
      </c>
    </row>
    <row r="5325" spans="1:6" ht="20" x14ac:dyDescent="0.25">
      <c r="A5325" s="5">
        <v>3416400</v>
      </c>
      <c r="B5325" s="1">
        <v>2023</v>
      </c>
      <c r="C5325" s="1" t="s">
        <v>1387</v>
      </c>
      <c r="D5325" s="2" t="s">
        <v>1324</v>
      </c>
      <c r="E5325" s="7">
        <v>2851117</v>
      </c>
      <c r="F5325" s="5">
        <v>3416400</v>
      </c>
    </row>
    <row r="5326" spans="1:6" x14ac:dyDescent="0.25">
      <c r="A5326" s="5">
        <v>3416440</v>
      </c>
      <c r="B5326" s="1">
        <v>2015</v>
      </c>
      <c r="C5326" s="1" t="s">
        <v>1387</v>
      </c>
      <c r="D5326" s="1" t="s">
        <v>353</v>
      </c>
      <c r="E5326" s="8">
        <v>197606</v>
      </c>
      <c r="F5326" s="5">
        <v>3416440</v>
      </c>
    </row>
    <row r="5327" spans="1:6" x14ac:dyDescent="0.25">
      <c r="A5327" s="5">
        <v>3416440</v>
      </c>
      <c r="B5327" s="1">
        <v>2016</v>
      </c>
      <c r="C5327" s="1" t="s">
        <v>1387</v>
      </c>
      <c r="D5327" s="1" t="s">
        <v>353</v>
      </c>
      <c r="E5327" s="8">
        <v>285964</v>
      </c>
      <c r="F5327" s="5">
        <v>3416440</v>
      </c>
    </row>
    <row r="5328" spans="1:6" x14ac:dyDescent="0.25">
      <c r="A5328" s="5">
        <v>3416440</v>
      </c>
      <c r="B5328" s="1">
        <v>2017</v>
      </c>
      <c r="C5328" s="1" t="s">
        <v>1387</v>
      </c>
      <c r="D5328" s="1" t="s">
        <v>353</v>
      </c>
      <c r="E5328" s="8">
        <v>410341</v>
      </c>
      <c r="F5328" s="5">
        <v>3416440</v>
      </c>
    </row>
    <row r="5329" spans="1:6" x14ac:dyDescent="0.25">
      <c r="A5329" s="5">
        <v>3416440</v>
      </c>
      <c r="B5329" s="1">
        <v>2018</v>
      </c>
      <c r="C5329" s="1" t="s">
        <v>1387</v>
      </c>
      <c r="D5329" s="1" t="s">
        <v>1044</v>
      </c>
      <c r="E5329" s="8">
        <v>539622</v>
      </c>
      <c r="F5329" s="5">
        <v>3416440</v>
      </c>
    </row>
    <row r="5330" spans="1:6" x14ac:dyDescent="0.25">
      <c r="A5330" s="5">
        <v>3416440</v>
      </c>
      <c r="B5330" s="1">
        <v>2019</v>
      </c>
      <c r="C5330" s="1" t="s">
        <v>1387</v>
      </c>
      <c r="D5330" s="1" t="s">
        <v>1044</v>
      </c>
      <c r="E5330" s="8">
        <v>755040</v>
      </c>
      <c r="F5330" s="5">
        <v>3416440</v>
      </c>
    </row>
    <row r="5331" spans="1:6" ht="20" x14ac:dyDescent="0.25">
      <c r="A5331" s="5">
        <v>3416440</v>
      </c>
      <c r="B5331" s="1">
        <v>2020</v>
      </c>
      <c r="C5331" s="1" t="s">
        <v>1387</v>
      </c>
      <c r="D5331" s="2" t="s">
        <v>1044</v>
      </c>
      <c r="E5331" s="7">
        <v>851111</v>
      </c>
      <c r="F5331" s="5">
        <v>3416440</v>
      </c>
    </row>
    <row r="5332" spans="1:6" ht="20" x14ac:dyDescent="0.25">
      <c r="A5332" s="5">
        <v>3416440</v>
      </c>
      <c r="B5332" s="1">
        <v>2021</v>
      </c>
      <c r="C5332" s="1" t="s">
        <v>1387</v>
      </c>
      <c r="D5332" s="3" t="s">
        <v>1044</v>
      </c>
      <c r="E5332" s="7">
        <v>1064405</v>
      </c>
      <c r="F5332" s="5">
        <v>3416440</v>
      </c>
    </row>
    <row r="5333" spans="1:6" ht="20" x14ac:dyDescent="0.25">
      <c r="A5333" s="5">
        <v>3416440</v>
      </c>
      <c r="B5333" s="1">
        <v>2022</v>
      </c>
      <c r="C5333" s="1" t="s">
        <v>1387</v>
      </c>
      <c r="D5333" s="2" t="s">
        <v>1044</v>
      </c>
      <c r="E5333" s="7">
        <v>1445975</v>
      </c>
      <c r="F5333" s="5">
        <v>3416440</v>
      </c>
    </row>
    <row r="5334" spans="1:6" ht="20" x14ac:dyDescent="0.25">
      <c r="A5334" s="5">
        <v>3416440</v>
      </c>
      <c r="B5334" s="1">
        <v>2023</v>
      </c>
      <c r="C5334" s="1" t="s">
        <v>1387</v>
      </c>
      <c r="D5334" s="2" t="s">
        <v>1044</v>
      </c>
      <c r="E5334" s="7">
        <v>1421539</v>
      </c>
      <c r="F5334" s="5">
        <v>3416440</v>
      </c>
    </row>
    <row r="5335" spans="1:6" x14ac:dyDescent="0.25">
      <c r="A5335" s="5">
        <v>3416470</v>
      </c>
      <c r="B5335" s="1">
        <v>2015</v>
      </c>
      <c r="C5335" s="1" t="s">
        <v>1387</v>
      </c>
      <c r="D5335" s="1" t="s">
        <v>494</v>
      </c>
      <c r="E5335" s="8">
        <v>1017014</v>
      </c>
      <c r="F5335" s="5">
        <v>3416470</v>
      </c>
    </row>
    <row r="5336" spans="1:6" x14ac:dyDescent="0.25">
      <c r="A5336" s="5">
        <v>3416470</v>
      </c>
      <c r="B5336" s="1">
        <v>2016</v>
      </c>
      <c r="C5336" s="1" t="s">
        <v>1387</v>
      </c>
      <c r="D5336" s="1" t="s">
        <v>494</v>
      </c>
      <c r="E5336" s="8">
        <v>1519408</v>
      </c>
      <c r="F5336" s="5">
        <v>3416470</v>
      </c>
    </row>
    <row r="5337" spans="1:6" x14ac:dyDescent="0.25">
      <c r="A5337" s="5">
        <v>3416470</v>
      </c>
      <c r="B5337" s="1">
        <v>2017</v>
      </c>
      <c r="C5337" s="1" t="s">
        <v>1387</v>
      </c>
      <c r="D5337" s="1" t="s">
        <v>494</v>
      </c>
      <c r="E5337" s="8">
        <v>2090422</v>
      </c>
      <c r="F5337" s="5">
        <v>3416470</v>
      </c>
    </row>
    <row r="5338" spans="1:6" x14ac:dyDescent="0.25">
      <c r="A5338" s="5">
        <v>3416470</v>
      </c>
      <c r="B5338" s="1">
        <v>2018</v>
      </c>
      <c r="C5338" s="1" t="s">
        <v>1387</v>
      </c>
      <c r="D5338" s="1" t="s">
        <v>1186</v>
      </c>
      <c r="E5338" s="8">
        <v>2898104</v>
      </c>
      <c r="F5338" s="5">
        <v>3416470</v>
      </c>
    </row>
    <row r="5339" spans="1:6" x14ac:dyDescent="0.25">
      <c r="A5339" s="5">
        <v>3416470</v>
      </c>
      <c r="B5339" s="1">
        <v>2019</v>
      </c>
      <c r="C5339" s="1" t="s">
        <v>1387</v>
      </c>
      <c r="D5339" s="1" t="s">
        <v>1186</v>
      </c>
      <c r="E5339" s="8">
        <v>3831495</v>
      </c>
      <c r="F5339" s="5">
        <v>3416470</v>
      </c>
    </row>
    <row r="5340" spans="1:6" ht="20" x14ac:dyDescent="0.25">
      <c r="A5340" s="5">
        <v>3416470</v>
      </c>
      <c r="B5340" s="1">
        <v>2020</v>
      </c>
      <c r="C5340" s="1" t="s">
        <v>1387</v>
      </c>
      <c r="D5340" s="2" t="s">
        <v>1186</v>
      </c>
      <c r="E5340" s="7">
        <v>4346385</v>
      </c>
      <c r="F5340" s="5">
        <v>3416470</v>
      </c>
    </row>
    <row r="5341" spans="1:6" ht="20" x14ac:dyDescent="0.25">
      <c r="A5341" s="5">
        <v>3416470</v>
      </c>
      <c r="B5341" s="1">
        <v>2021</v>
      </c>
      <c r="C5341" s="1" t="s">
        <v>1387</v>
      </c>
      <c r="D5341" s="3" t="s">
        <v>1186</v>
      </c>
      <c r="E5341" s="7">
        <v>6023957</v>
      </c>
      <c r="F5341" s="5">
        <v>3416470</v>
      </c>
    </row>
    <row r="5342" spans="1:6" ht="20" x14ac:dyDescent="0.25">
      <c r="A5342" s="5">
        <v>3416470</v>
      </c>
      <c r="B5342" s="1">
        <v>2022</v>
      </c>
      <c r="C5342" s="1" t="s">
        <v>1387</v>
      </c>
      <c r="D5342" s="2" t="s">
        <v>1186</v>
      </c>
      <c r="E5342" s="7">
        <v>8582274</v>
      </c>
      <c r="F5342" s="5">
        <v>3416470</v>
      </c>
    </row>
    <row r="5343" spans="1:6" ht="20" x14ac:dyDescent="0.25">
      <c r="A5343" s="5">
        <v>3416470</v>
      </c>
      <c r="B5343" s="1">
        <v>2023</v>
      </c>
      <c r="C5343" s="1" t="s">
        <v>1387</v>
      </c>
      <c r="D5343" s="2" t="s">
        <v>1186</v>
      </c>
      <c r="E5343" s="7">
        <v>8731359</v>
      </c>
      <c r="F5343" s="5">
        <v>3416470</v>
      </c>
    </row>
    <row r="5344" spans="1:6" x14ac:dyDescent="0.25">
      <c r="A5344" s="5">
        <v>3416500</v>
      </c>
      <c r="B5344" s="1">
        <v>2015</v>
      </c>
      <c r="C5344" s="1" t="s">
        <v>1387</v>
      </c>
      <c r="D5344" s="1" t="s">
        <v>634</v>
      </c>
      <c r="E5344" s="8">
        <v>2752240</v>
      </c>
      <c r="F5344" s="5">
        <v>3416500</v>
      </c>
    </row>
    <row r="5345" spans="1:6" x14ac:dyDescent="0.25">
      <c r="A5345" s="5">
        <v>3416500</v>
      </c>
      <c r="B5345" s="1">
        <v>2016</v>
      </c>
      <c r="C5345" s="1" t="s">
        <v>1387</v>
      </c>
      <c r="D5345" s="1" t="s">
        <v>634</v>
      </c>
      <c r="E5345" s="8">
        <v>4199670</v>
      </c>
      <c r="F5345" s="5">
        <v>3416500</v>
      </c>
    </row>
    <row r="5346" spans="1:6" x14ac:dyDescent="0.25">
      <c r="A5346" s="5">
        <v>3416500</v>
      </c>
      <c r="B5346" s="1">
        <v>2017</v>
      </c>
      <c r="C5346" s="1" t="s">
        <v>1387</v>
      </c>
      <c r="D5346" s="1" t="s">
        <v>634</v>
      </c>
      <c r="E5346" s="8">
        <v>5821344</v>
      </c>
      <c r="F5346" s="5">
        <v>3416500</v>
      </c>
    </row>
    <row r="5347" spans="1:6" x14ac:dyDescent="0.25">
      <c r="A5347" s="5">
        <v>3416500</v>
      </c>
      <c r="B5347" s="1">
        <v>2018</v>
      </c>
      <c r="C5347" s="1" t="s">
        <v>1387</v>
      </c>
      <c r="D5347" s="1" t="s">
        <v>1327</v>
      </c>
      <c r="E5347" s="8">
        <v>8028215</v>
      </c>
      <c r="F5347" s="5">
        <v>3416500</v>
      </c>
    </row>
    <row r="5348" spans="1:6" x14ac:dyDescent="0.25">
      <c r="A5348" s="5">
        <v>3416500</v>
      </c>
      <c r="B5348" s="1">
        <v>2019</v>
      </c>
      <c r="C5348" s="1" t="s">
        <v>1387</v>
      </c>
      <c r="D5348" s="1" t="s">
        <v>1327</v>
      </c>
      <c r="E5348" s="8">
        <v>10824853</v>
      </c>
      <c r="F5348" s="5">
        <v>3416500</v>
      </c>
    </row>
    <row r="5349" spans="1:6" ht="20" x14ac:dyDescent="0.25">
      <c r="A5349" s="5">
        <v>3416500</v>
      </c>
      <c r="B5349" s="1">
        <v>2020</v>
      </c>
      <c r="C5349" s="1" t="s">
        <v>1387</v>
      </c>
      <c r="D5349" s="2" t="s">
        <v>1327</v>
      </c>
      <c r="E5349" s="7">
        <v>12309184</v>
      </c>
      <c r="F5349" s="5">
        <v>3416500</v>
      </c>
    </row>
    <row r="5350" spans="1:6" ht="20" x14ac:dyDescent="0.25">
      <c r="A5350" s="5">
        <v>3416500</v>
      </c>
      <c r="B5350" s="1">
        <v>2021</v>
      </c>
      <c r="C5350" s="1" t="s">
        <v>1387</v>
      </c>
      <c r="D5350" s="3" t="s">
        <v>1327</v>
      </c>
      <c r="E5350" s="7">
        <v>15171409</v>
      </c>
      <c r="F5350" s="5">
        <v>3416500</v>
      </c>
    </row>
    <row r="5351" spans="1:6" ht="20" x14ac:dyDescent="0.25">
      <c r="A5351" s="5">
        <v>3416500</v>
      </c>
      <c r="B5351" s="1">
        <v>2022</v>
      </c>
      <c r="C5351" s="1" t="s">
        <v>1387</v>
      </c>
      <c r="D5351" s="2" t="s">
        <v>1327</v>
      </c>
      <c r="E5351" s="7">
        <v>21895554</v>
      </c>
      <c r="F5351" s="5">
        <v>3416500</v>
      </c>
    </row>
    <row r="5352" spans="1:6" ht="20" x14ac:dyDescent="0.25">
      <c r="A5352" s="5">
        <v>3416500</v>
      </c>
      <c r="B5352" s="1">
        <v>2023</v>
      </c>
      <c r="C5352" s="1" t="s">
        <v>1387</v>
      </c>
      <c r="D5352" s="2" t="s">
        <v>1327</v>
      </c>
      <c r="E5352" s="7">
        <v>21020044</v>
      </c>
      <c r="F5352" s="5">
        <v>3416500</v>
      </c>
    </row>
    <row r="5353" spans="1:6" x14ac:dyDescent="0.25">
      <c r="A5353" s="5">
        <v>3416530</v>
      </c>
      <c r="B5353" s="1">
        <v>2015</v>
      </c>
      <c r="C5353" s="1" t="s">
        <v>1387</v>
      </c>
      <c r="D5353" s="1" t="s">
        <v>226</v>
      </c>
      <c r="E5353" s="8">
        <v>328901</v>
      </c>
      <c r="F5353" s="5">
        <v>3416530</v>
      </c>
    </row>
    <row r="5354" spans="1:6" x14ac:dyDescent="0.25">
      <c r="A5354" s="5">
        <v>3416530</v>
      </c>
      <c r="B5354" s="1">
        <v>2016</v>
      </c>
      <c r="C5354" s="1" t="s">
        <v>1387</v>
      </c>
      <c r="D5354" s="1" t="s">
        <v>226</v>
      </c>
      <c r="E5354" s="8">
        <v>458685</v>
      </c>
      <c r="F5354" s="5">
        <v>3416530</v>
      </c>
    </row>
    <row r="5355" spans="1:6" x14ac:dyDescent="0.25">
      <c r="A5355" s="5">
        <v>3416530</v>
      </c>
      <c r="B5355" s="1">
        <v>2017</v>
      </c>
      <c r="C5355" s="1" t="s">
        <v>1387</v>
      </c>
      <c r="D5355" s="1" t="s">
        <v>226</v>
      </c>
      <c r="E5355" s="8">
        <v>646876</v>
      </c>
      <c r="F5355" s="5">
        <v>3416530</v>
      </c>
    </row>
    <row r="5356" spans="1:6" x14ac:dyDescent="0.25">
      <c r="A5356" s="5">
        <v>3416530</v>
      </c>
      <c r="B5356" s="1">
        <v>2018</v>
      </c>
      <c r="C5356" s="1" t="s">
        <v>1387</v>
      </c>
      <c r="D5356" s="1" t="s">
        <v>912</v>
      </c>
      <c r="E5356" s="8">
        <v>917887</v>
      </c>
      <c r="F5356" s="5">
        <v>3416530</v>
      </c>
    </row>
    <row r="5357" spans="1:6" x14ac:dyDescent="0.25">
      <c r="A5357" s="5">
        <v>3416530</v>
      </c>
      <c r="B5357" s="1">
        <v>2019</v>
      </c>
      <c r="C5357" s="1" t="s">
        <v>1387</v>
      </c>
      <c r="D5357" s="1" t="s">
        <v>912</v>
      </c>
      <c r="E5357" s="8">
        <v>1223175</v>
      </c>
      <c r="F5357" s="5">
        <v>3416530</v>
      </c>
    </row>
    <row r="5358" spans="1:6" ht="20" x14ac:dyDescent="0.25">
      <c r="A5358" s="5">
        <v>3416530</v>
      </c>
      <c r="B5358" s="1">
        <v>2020</v>
      </c>
      <c r="C5358" s="1" t="s">
        <v>1387</v>
      </c>
      <c r="D5358" s="2" t="s">
        <v>912</v>
      </c>
      <c r="E5358" s="7">
        <v>1354415</v>
      </c>
      <c r="F5358" s="5">
        <v>3416530</v>
      </c>
    </row>
    <row r="5359" spans="1:6" ht="20" x14ac:dyDescent="0.25">
      <c r="A5359" s="5">
        <v>3416530</v>
      </c>
      <c r="B5359" s="1">
        <v>2021</v>
      </c>
      <c r="C5359" s="1" t="s">
        <v>1387</v>
      </c>
      <c r="D5359" s="3" t="s">
        <v>912</v>
      </c>
      <c r="E5359" s="7">
        <v>1685110</v>
      </c>
      <c r="F5359" s="5">
        <v>3416530</v>
      </c>
    </row>
    <row r="5360" spans="1:6" ht="20" x14ac:dyDescent="0.25">
      <c r="A5360" s="5">
        <v>3416530</v>
      </c>
      <c r="B5360" s="1">
        <v>2022</v>
      </c>
      <c r="C5360" s="1" t="s">
        <v>1387</v>
      </c>
      <c r="D5360" s="2" t="s">
        <v>912</v>
      </c>
      <c r="E5360" s="7">
        <v>2514046</v>
      </c>
      <c r="F5360" s="5">
        <v>3416530</v>
      </c>
    </row>
    <row r="5361" spans="1:6" ht="20" x14ac:dyDescent="0.25">
      <c r="A5361" s="5">
        <v>3416530</v>
      </c>
      <c r="B5361" s="1">
        <v>2023</v>
      </c>
      <c r="C5361" s="1" t="s">
        <v>1387</v>
      </c>
      <c r="D5361" s="2" t="s">
        <v>912</v>
      </c>
      <c r="E5361" s="7">
        <v>2610153</v>
      </c>
      <c r="F5361" s="5">
        <v>3416530</v>
      </c>
    </row>
    <row r="5362" spans="1:6" x14ac:dyDescent="0.25">
      <c r="A5362" s="5">
        <v>3416560</v>
      </c>
      <c r="B5362" s="1">
        <v>2015</v>
      </c>
      <c r="C5362" s="1" t="s">
        <v>1387</v>
      </c>
      <c r="D5362" s="1" t="s">
        <v>451</v>
      </c>
      <c r="E5362" s="8">
        <v>828580</v>
      </c>
      <c r="F5362" s="5">
        <v>3416560</v>
      </c>
    </row>
    <row r="5363" spans="1:6" x14ac:dyDescent="0.25">
      <c r="A5363" s="5">
        <v>3416560</v>
      </c>
      <c r="B5363" s="1">
        <v>2016</v>
      </c>
      <c r="C5363" s="1" t="s">
        <v>1387</v>
      </c>
      <c r="D5363" s="1" t="s">
        <v>451</v>
      </c>
      <c r="E5363" s="8">
        <v>1246761</v>
      </c>
      <c r="F5363" s="5">
        <v>3416560</v>
      </c>
    </row>
    <row r="5364" spans="1:6" x14ac:dyDescent="0.25">
      <c r="A5364" s="5">
        <v>3416560</v>
      </c>
      <c r="B5364" s="1">
        <v>2017</v>
      </c>
      <c r="C5364" s="1" t="s">
        <v>1387</v>
      </c>
      <c r="D5364" s="1" t="s">
        <v>451</v>
      </c>
      <c r="E5364" s="8">
        <v>1811502</v>
      </c>
      <c r="F5364" s="5">
        <v>3416560</v>
      </c>
    </row>
    <row r="5365" spans="1:6" x14ac:dyDescent="0.25">
      <c r="A5365" s="5">
        <v>3416560</v>
      </c>
      <c r="B5365" s="1">
        <v>2018</v>
      </c>
      <c r="C5365" s="1" t="s">
        <v>1387</v>
      </c>
      <c r="D5365" s="1" t="s">
        <v>1143</v>
      </c>
      <c r="E5365" s="8">
        <v>2400981</v>
      </c>
      <c r="F5365" s="5">
        <v>3416560</v>
      </c>
    </row>
    <row r="5366" spans="1:6" x14ac:dyDescent="0.25">
      <c r="A5366" s="5">
        <v>3416560</v>
      </c>
      <c r="B5366" s="1">
        <v>2019</v>
      </c>
      <c r="C5366" s="1" t="s">
        <v>1387</v>
      </c>
      <c r="D5366" s="1" t="s">
        <v>1143</v>
      </c>
      <c r="E5366" s="8">
        <v>3166872</v>
      </c>
      <c r="F5366" s="5">
        <v>3416560</v>
      </c>
    </row>
    <row r="5367" spans="1:6" ht="20" x14ac:dyDescent="0.25">
      <c r="A5367" s="5">
        <v>3416560</v>
      </c>
      <c r="B5367" s="1">
        <v>2020</v>
      </c>
      <c r="C5367" s="1" t="s">
        <v>1387</v>
      </c>
      <c r="D5367" s="2" t="s">
        <v>1143</v>
      </c>
      <c r="E5367" s="7">
        <v>3576158</v>
      </c>
      <c r="F5367" s="5">
        <v>3416560</v>
      </c>
    </row>
    <row r="5368" spans="1:6" ht="20" x14ac:dyDescent="0.25">
      <c r="A5368" s="5">
        <v>3416560</v>
      </c>
      <c r="B5368" s="1">
        <v>2021</v>
      </c>
      <c r="C5368" s="1" t="s">
        <v>1387</v>
      </c>
      <c r="D5368" s="3" t="s">
        <v>1143</v>
      </c>
      <c r="E5368" s="7">
        <v>4480965</v>
      </c>
      <c r="F5368" s="5">
        <v>3416560</v>
      </c>
    </row>
    <row r="5369" spans="1:6" ht="20" x14ac:dyDescent="0.25">
      <c r="A5369" s="5">
        <v>3416560</v>
      </c>
      <c r="B5369" s="1">
        <v>2022</v>
      </c>
      <c r="C5369" s="1" t="s">
        <v>1387</v>
      </c>
      <c r="D5369" s="2" t="s">
        <v>1143</v>
      </c>
      <c r="E5369" s="7">
        <v>6148144</v>
      </c>
      <c r="F5369" s="5">
        <v>3416560</v>
      </c>
    </row>
    <row r="5370" spans="1:6" ht="20" x14ac:dyDescent="0.25">
      <c r="A5370" s="5">
        <v>3416560</v>
      </c>
      <c r="B5370" s="1">
        <v>2023</v>
      </c>
      <c r="C5370" s="1" t="s">
        <v>1387</v>
      </c>
      <c r="D5370" s="2" t="s">
        <v>1143</v>
      </c>
      <c r="E5370" s="7">
        <v>5899814</v>
      </c>
      <c r="F5370" s="5">
        <v>3416560</v>
      </c>
    </row>
    <row r="5371" spans="1:6" x14ac:dyDescent="0.25">
      <c r="A5371" s="5">
        <v>3416590</v>
      </c>
      <c r="B5371" s="1">
        <v>2015</v>
      </c>
      <c r="C5371" s="1" t="s">
        <v>1387</v>
      </c>
      <c r="D5371" s="1" t="s">
        <v>561</v>
      </c>
      <c r="E5371" s="8">
        <v>116301</v>
      </c>
      <c r="F5371" s="5">
        <v>3416590</v>
      </c>
    </row>
    <row r="5372" spans="1:6" x14ac:dyDescent="0.25">
      <c r="A5372" s="5">
        <v>3416590</v>
      </c>
      <c r="B5372" s="1">
        <v>2016</v>
      </c>
      <c r="C5372" s="1" t="s">
        <v>1387</v>
      </c>
      <c r="D5372" s="1" t="s">
        <v>561</v>
      </c>
      <c r="E5372" s="8">
        <v>182916</v>
      </c>
      <c r="F5372" s="5">
        <v>3416590</v>
      </c>
    </row>
    <row r="5373" spans="1:6" x14ac:dyDescent="0.25">
      <c r="A5373" s="5">
        <v>3416590</v>
      </c>
      <c r="B5373" s="1">
        <v>2017</v>
      </c>
      <c r="C5373" s="1" t="s">
        <v>1387</v>
      </c>
      <c r="D5373" s="1" t="s">
        <v>561</v>
      </c>
      <c r="E5373" s="8">
        <v>254768</v>
      </c>
      <c r="F5373" s="5">
        <v>3416590</v>
      </c>
    </row>
    <row r="5374" spans="1:6" x14ac:dyDescent="0.25">
      <c r="A5374" s="5">
        <v>3416590</v>
      </c>
      <c r="B5374" s="1">
        <v>2018</v>
      </c>
      <c r="C5374" s="1" t="s">
        <v>1387</v>
      </c>
      <c r="D5374" s="1" t="s">
        <v>1253</v>
      </c>
      <c r="E5374" s="8">
        <v>354126</v>
      </c>
      <c r="F5374" s="5">
        <v>3416590</v>
      </c>
    </row>
    <row r="5375" spans="1:6" x14ac:dyDescent="0.25">
      <c r="A5375" s="5">
        <v>3416590</v>
      </c>
      <c r="B5375" s="1">
        <v>2019</v>
      </c>
      <c r="C5375" s="1" t="s">
        <v>1387</v>
      </c>
      <c r="D5375" s="1" t="s">
        <v>1253</v>
      </c>
      <c r="E5375" s="8">
        <v>467002</v>
      </c>
      <c r="F5375" s="5">
        <v>3416590</v>
      </c>
    </row>
    <row r="5376" spans="1:6" ht="20" x14ac:dyDescent="0.25">
      <c r="A5376" s="5">
        <v>3416590</v>
      </c>
      <c r="B5376" s="1">
        <v>2020</v>
      </c>
      <c r="C5376" s="1" t="s">
        <v>1387</v>
      </c>
      <c r="D5376" s="2" t="s">
        <v>1253</v>
      </c>
      <c r="E5376" s="7">
        <v>553671</v>
      </c>
      <c r="F5376" s="5">
        <v>3416590</v>
      </c>
    </row>
    <row r="5377" spans="1:6" ht="20" x14ac:dyDescent="0.25">
      <c r="A5377" s="5">
        <v>3416590</v>
      </c>
      <c r="B5377" s="1">
        <v>2021</v>
      </c>
      <c r="C5377" s="1" t="s">
        <v>1387</v>
      </c>
      <c r="D5377" s="3" t="s">
        <v>1253</v>
      </c>
      <c r="E5377" s="7">
        <v>694999</v>
      </c>
      <c r="F5377" s="5">
        <v>3416590</v>
      </c>
    </row>
    <row r="5378" spans="1:6" ht="20" x14ac:dyDescent="0.25">
      <c r="A5378" s="5">
        <v>3416590</v>
      </c>
      <c r="B5378" s="1">
        <v>2022</v>
      </c>
      <c r="C5378" s="1" t="s">
        <v>1387</v>
      </c>
      <c r="D5378" s="2" t="s">
        <v>1253</v>
      </c>
      <c r="E5378" s="7">
        <v>925473</v>
      </c>
      <c r="F5378" s="5">
        <v>3416590</v>
      </c>
    </row>
    <row r="5379" spans="1:6" ht="20" x14ac:dyDescent="0.25">
      <c r="A5379" s="5">
        <v>3416590</v>
      </c>
      <c r="B5379" s="1">
        <v>2023</v>
      </c>
      <c r="C5379" s="1" t="s">
        <v>1387</v>
      </c>
      <c r="D5379" s="2" t="s">
        <v>1253</v>
      </c>
      <c r="E5379" s="7">
        <v>1004081</v>
      </c>
      <c r="F5379" s="5">
        <v>3416590</v>
      </c>
    </row>
    <row r="5380" spans="1:6" x14ac:dyDescent="0.25">
      <c r="A5380" s="5">
        <v>3416620</v>
      </c>
      <c r="B5380" s="1">
        <v>2015</v>
      </c>
      <c r="C5380" s="1" t="s">
        <v>1387</v>
      </c>
      <c r="D5380" s="1" t="s">
        <v>99</v>
      </c>
      <c r="E5380" s="8">
        <v>479510</v>
      </c>
      <c r="F5380" s="5">
        <v>3416620</v>
      </c>
    </row>
    <row r="5381" spans="1:6" x14ac:dyDescent="0.25">
      <c r="A5381" s="5">
        <v>3416620</v>
      </c>
      <c r="B5381" s="1">
        <v>2016</v>
      </c>
      <c r="C5381" s="1" t="s">
        <v>1387</v>
      </c>
      <c r="D5381" s="1" t="s">
        <v>99</v>
      </c>
      <c r="E5381" s="8">
        <v>705560</v>
      </c>
      <c r="F5381" s="5">
        <v>3416620</v>
      </c>
    </row>
    <row r="5382" spans="1:6" x14ac:dyDescent="0.25">
      <c r="A5382" s="5">
        <v>3416620</v>
      </c>
      <c r="B5382" s="1">
        <v>2017</v>
      </c>
      <c r="C5382" s="1" t="s">
        <v>1387</v>
      </c>
      <c r="D5382" s="1" t="s">
        <v>99</v>
      </c>
      <c r="E5382" s="8">
        <v>1041798</v>
      </c>
      <c r="F5382" s="5">
        <v>3416620</v>
      </c>
    </row>
    <row r="5383" spans="1:6" x14ac:dyDescent="0.25">
      <c r="A5383" s="5">
        <v>3416620</v>
      </c>
      <c r="B5383" s="1">
        <v>2018</v>
      </c>
      <c r="C5383" s="1" t="s">
        <v>1387</v>
      </c>
      <c r="D5383" s="1" t="s">
        <v>779</v>
      </c>
      <c r="E5383" s="8">
        <v>1406464</v>
      </c>
      <c r="F5383" s="5">
        <v>3416620</v>
      </c>
    </row>
    <row r="5384" spans="1:6" x14ac:dyDescent="0.25">
      <c r="A5384" s="5">
        <v>3416620</v>
      </c>
      <c r="B5384" s="1">
        <v>2019</v>
      </c>
      <c r="C5384" s="1" t="s">
        <v>1387</v>
      </c>
      <c r="D5384" s="1" t="s">
        <v>779</v>
      </c>
      <c r="E5384" s="8">
        <v>1847948</v>
      </c>
      <c r="F5384" s="5">
        <v>3416620</v>
      </c>
    </row>
    <row r="5385" spans="1:6" ht="20" x14ac:dyDescent="0.25">
      <c r="A5385" s="5">
        <v>3416620</v>
      </c>
      <c r="B5385" s="1">
        <v>2020</v>
      </c>
      <c r="C5385" s="1" t="s">
        <v>1387</v>
      </c>
      <c r="D5385" s="2" t="s">
        <v>779</v>
      </c>
      <c r="E5385" s="7">
        <v>2133605</v>
      </c>
      <c r="F5385" s="5">
        <v>3416620</v>
      </c>
    </row>
    <row r="5386" spans="1:6" ht="20" x14ac:dyDescent="0.25">
      <c r="A5386" s="5">
        <v>3416620</v>
      </c>
      <c r="B5386" s="1">
        <v>2021</v>
      </c>
      <c r="C5386" s="1" t="s">
        <v>1387</v>
      </c>
      <c r="D5386" s="3" t="s">
        <v>779</v>
      </c>
      <c r="E5386" s="7">
        <v>2723358</v>
      </c>
      <c r="F5386" s="5">
        <v>3416620</v>
      </c>
    </row>
    <row r="5387" spans="1:6" ht="20" x14ac:dyDescent="0.25">
      <c r="A5387" s="5">
        <v>3416620</v>
      </c>
      <c r="B5387" s="1">
        <v>2022</v>
      </c>
      <c r="C5387" s="1" t="s">
        <v>1387</v>
      </c>
      <c r="D5387" s="2" t="s">
        <v>779</v>
      </c>
      <c r="E5387" s="7">
        <v>3866503</v>
      </c>
      <c r="F5387" s="5">
        <v>3416620</v>
      </c>
    </row>
    <row r="5388" spans="1:6" ht="20" x14ac:dyDescent="0.25">
      <c r="A5388" s="5">
        <v>3416620</v>
      </c>
      <c r="B5388" s="1">
        <v>2023</v>
      </c>
      <c r="C5388" s="1" t="s">
        <v>1387</v>
      </c>
      <c r="D5388" s="2" t="s">
        <v>779</v>
      </c>
      <c r="E5388" s="7">
        <v>3978966</v>
      </c>
      <c r="F5388" s="5">
        <v>3416620</v>
      </c>
    </row>
    <row r="5389" spans="1:6" x14ac:dyDescent="0.25">
      <c r="A5389" s="5">
        <v>3416650</v>
      </c>
      <c r="B5389" s="1">
        <v>2015</v>
      </c>
      <c r="C5389" s="1" t="s">
        <v>1387</v>
      </c>
      <c r="D5389" s="1" t="s">
        <v>207</v>
      </c>
      <c r="E5389" s="8">
        <v>524475</v>
      </c>
      <c r="F5389" s="5">
        <v>3416650</v>
      </c>
    </row>
    <row r="5390" spans="1:6" x14ac:dyDescent="0.25">
      <c r="A5390" s="5">
        <v>3416650</v>
      </c>
      <c r="B5390" s="1">
        <v>2016</v>
      </c>
      <c r="C5390" s="1" t="s">
        <v>1387</v>
      </c>
      <c r="D5390" s="1" t="s">
        <v>207</v>
      </c>
      <c r="E5390" s="8">
        <v>754655</v>
      </c>
      <c r="F5390" s="5">
        <v>3416650</v>
      </c>
    </row>
    <row r="5391" spans="1:6" x14ac:dyDescent="0.25">
      <c r="A5391" s="5">
        <v>3416650</v>
      </c>
      <c r="B5391" s="1">
        <v>2017</v>
      </c>
      <c r="C5391" s="1" t="s">
        <v>1387</v>
      </c>
      <c r="D5391" s="1" t="s">
        <v>207</v>
      </c>
      <c r="E5391" s="8">
        <v>1115113</v>
      </c>
      <c r="F5391" s="5">
        <v>3416650</v>
      </c>
    </row>
    <row r="5392" spans="1:6" x14ac:dyDescent="0.25">
      <c r="A5392" s="5">
        <v>3416650</v>
      </c>
      <c r="B5392" s="1">
        <v>2018</v>
      </c>
      <c r="C5392" s="1" t="s">
        <v>1387</v>
      </c>
      <c r="D5392" s="1" t="s">
        <v>891</v>
      </c>
      <c r="E5392" s="8">
        <v>1512833</v>
      </c>
      <c r="F5392" s="5">
        <v>3416650</v>
      </c>
    </row>
    <row r="5393" spans="1:6" x14ac:dyDescent="0.25">
      <c r="A5393" s="5">
        <v>3416650</v>
      </c>
      <c r="B5393" s="1">
        <v>2019</v>
      </c>
      <c r="C5393" s="1" t="s">
        <v>1387</v>
      </c>
      <c r="D5393" s="1" t="s">
        <v>891</v>
      </c>
      <c r="E5393" s="8">
        <v>2050317</v>
      </c>
      <c r="F5393" s="5">
        <v>3416650</v>
      </c>
    </row>
    <row r="5394" spans="1:6" ht="20" x14ac:dyDescent="0.25">
      <c r="A5394" s="5">
        <v>3416650</v>
      </c>
      <c r="B5394" s="1">
        <v>2020</v>
      </c>
      <c r="C5394" s="1" t="s">
        <v>1387</v>
      </c>
      <c r="D5394" s="2" t="s">
        <v>891</v>
      </c>
      <c r="E5394" s="7">
        <v>2247572</v>
      </c>
      <c r="F5394" s="5">
        <v>3416650</v>
      </c>
    </row>
    <row r="5395" spans="1:6" ht="20" x14ac:dyDescent="0.25">
      <c r="A5395" s="5">
        <v>3416650</v>
      </c>
      <c r="B5395" s="1">
        <v>2021</v>
      </c>
      <c r="C5395" s="1" t="s">
        <v>1387</v>
      </c>
      <c r="D5395" s="3" t="s">
        <v>891</v>
      </c>
      <c r="E5395" s="7">
        <v>2904126</v>
      </c>
      <c r="F5395" s="5">
        <v>3416650</v>
      </c>
    </row>
    <row r="5396" spans="1:6" ht="20" x14ac:dyDescent="0.25">
      <c r="A5396" s="5">
        <v>3416650</v>
      </c>
      <c r="B5396" s="1">
        <v>2022</v>
      </c>
      <c r="C5396" s="1" t="s">
        <v>1387</v>
      </c>
      <c r="D5396" s="2" t="s">
        <v>891</v>
      </c>
      <c r="E5396" s="7">
        <v>3937624</v>
      </c>
      <c r="F5396" s="5">
        <v>3416650</v>
      </c>
    </row>
    <row r="5397" spans="1:6" ht="20" x14ac:dyDescent="0.25">
      <c r="A5397" s="5">
        <v>3416650</v>
      </c>
      <c r="B5397" s="1">
        <v>2023</v>
      </c>
      <c r="C5397" s="1" t="s">
        <v>1387</v>
      </c>
      <c r="D5397" s="2" t="s">
        <v>891</v>
      </c>
      <c r="E5397" s="7">
        <v>3718442</v>
      </c>
      <c r="F5397" s="5">
        <v>3416650</v>
      </c>
    </row>
    <row r="5398" spans="1:6" x14ac:dyDescent="0.25">
      <c r="A5398" s="5">
        <v>3416680</v>
      </c>
      <c r="B5398" s="1">
        <v>2015</v>
      </c>
      <c r="C5398" s="1" t="s">
        <v>1387</v>
      </c>
      <c r="D5398" s="1" t="s">
        <v>24</v>
      </c>
      <c r="E5398" s="8">
        <v>363137</v>
      </c>
      <c r="F5398" s="5">
        <v>3416680</v>
      </c>
    </row>
    <row r="5399" spans="1:6" x14ac:dyDescent="0.25">
      <c r="A5399" s="5">
        <v>3416680</v>
      </c>
      <c r="B5399" s="1">
        <v>2016</v>
      </c>
      <c r="C5399" s="1" t="s">
        <v>1387</v>
      </c>
      <c r="D5399" s="1" t="s">
        <v>24</v>
      </c>
      <c r="E5399" s="8">
        <v>528737</v>
      </c>
      <c r="F5399" s="5">
        <v>3416680</v>
      </c>
    </row>
    <row r="5400" spans="1:6" x14ac:dyDescent="0.25">
      <c r="A5400" s="5">
        <v>3416680</v>
      </c>
      <c r="B5400" s="1">
        <v>2017</v>
      </c>
      <c r="C5400" s="1" t="s">
        <v>1387</v>
      </c>
      <c r="D5400" s="1" t="s">
        <v>24</v>
      </c>
      <c r="E5400" s="8">
        <v>736084</v>
      </c>
      <c r="F5400" s="5">
        <v>3416680</v>
      </c>
    </row>
    <row r="5401" spans="1:6" x14ac:dyDescent="0.25">
      <c r="A5401" s="5">
        <v>3416680</v>
      </c>
      <c r="B5401" s="1">
        <v>2018</v>
      </c>
      <c r="C5401" s="1" t="s">
        <v>1387</v>
      </c>
      <c r="D5401" s="1" t="s">
        <v>703</v>
      </c>
      <c r="E5401" s="8">
        <v>981295</v>
      </c>
      <c r="F5401" s="5">
        <v>3416680</v>
      </c>
    </row>
    <row r="5402" spans="1:6" x14ac:dyDescent="0.25">
      <c r="A5402" s="5">
        <v>3416680</v>
      </c>
      <c r="B5402" s="1">
        <v>2019</v>
      </c>
      <c r="C5402" s="1" t="s">
        <v>1387</v>
      </c>
      <c r="D5402" s="1" t="s">
        <v>703</v>
      </c>
      <c r="E5402" s="8">
        <v>1305925</v>
      </c>
      <c r="F5402" s="5">
        <v>3416680</v>
      </c>
    </row>
    <row r="5403" spans="1:6" ht="20" x14ac:dyDescent="0.25">
      <c r="A5403" s="5">
        <v>3416680</v>
      </c>
      <c r="B5403" s="1">
        <v>2020</v>
      </c>
      <c r="C5403" s="1" t="s">
        <v>1387</v>
      </c>
      <c r="D5403" s="2" t="s">
        <v>703</v>
      </c>
      <c r="E5403" s="7">
        <v>1404390</v>
      </c>
      <c r="F5403" s="5">
        <v>3416680</v>
      </c>
    </row>
    <row r="5404" spans="1:6" ht="20" x14ac:dyDescent="0.25">
      <c r="A5404" s="5">
        <v>3416680</v>
      </c>
      <c r="B5404" s="1">
        <v>2021</v>
      </c>
      <c r="C5404" s="1" t="s">
        <v>1387</v>
      </c>
      <c r="D5404" s="3" t="s">
        <v>703</v>
      </c>
      <c r="E5404" s="7">
        <v>1887906</v>
      </c>
      <c r="F5404" s="5">
        <v>3416680</v>
      </c>
    </row>
    <row r="5405" spans="1:6" ht="20" x14ac:dyDescent="0.25">
      <c r="A5405" s="5">
        <v>3416680</v>
      </c>
      <c r="B5405" s="1">
        <v>2022</v>
      </c>
      <c r="C5405" s="1" t="s">
        <v>1387</v>
      </c>
      <c r="D5405" s="2" t="s">
        <v>703</v>
      </c>
      <c r="E5405" s="7">
        <v>2650558</v>
      </c>
      <c r="F5405" s="5">
        <v>3416680</v>
      </c>
    </row>
    <row r="5406" spans="1:6" ht="20" x14ac:dyDescent="0.25">
      <c r="A5406" s="5">
        <v>3416680</v>
      </c>
      <c r="B5406" s="1">
        <v>2023</v>
      </c>
      <c r="C5406" s="1" t="s">
        <v>1387</v>
      </c>
      <c r="D5406" s="2" t="s">
        <v>703</v>
      </c>
      <c r="E5406" s="7">
        <v>2544016</v>
      </c>
      <c r="F5406" s="5">
        <v>3416680</v>
      </c>
    </row>
    <row r="5407" spans="1:6" x14ac:dyDescent="0.25">
      <c r="A5407" s="5">
        <v>3416710</v>
      </c>
      <c r="B5407" s="1">
        <v>2015</v>
      </c>
      <c r="C5407" s="1" t="s">
        <v>1387</v>
      </c>
      <c r="D5407" s="1" t="s">
        <v>609</v>
      </c>
      <c r="E5407" s="8">
        <v>1657302</v>
      </c>
      <c r="F5407" s="5">
        <v>3416710</v>
      </c>
    </row>
    <row r="5408" spans="1:6" x14ac:dyDescent="0.25">
      <c r="A5408" s="5">
        <v>3416710</v>
      </c>
      <c r="B5408" s="1">
        <v>2016</v>
      </c>
      <c r="C5408" s="1" t="s">
        <v>1387</v>
      </c>
      <c r="D5408" s="1" t="s">
        <v>609</v>
      </c>
      <c r="E5408" s="8">
        <v>2290838</v>
      </c>
      <c r="F5408" s="5">
        <v>3416710</v>
      </c>
    </row>
    <row r="5409" spans="1:6" x14ac:dyDescent="0.25">
      <c r="A5409" s="5">
        <v>3416710</v>
      </c>
      <c r="B5409" s="1">
        <v>2017</v>
      </c>
      <c r="C5409" s="1" t="s">
        <v>1387</v>
      </c>
      <c r="D5409" s="1" t="s">
        <v>609</v>
      </c>
      <c r="E5409" s="8">
        <v>3310735</v>
      </c>
      <c r="F5409" s="5">
        <v>3416710</v>
      </c>
    </row>
    <row r="5410" spans="1:6" x14ac:dyDescent="0.25">
      <c r="A5410" s="5">
        <v>3416710</v>
      </c>
      <c r="B5410" s="1">
        <v>2018</v>
      </c>
      <c r="C5410" s="1" t="s">
        <v>1387</v>
      </c>
      <c r="D5410" s="1" t="s">
        <v>1302</v>
      </c>
      <c r="E5410" s="8">
        <v>4347345</v>
      </c>
      <c r="F5410" s="5">
        <v>3416710</v>
      </c>
    </row>
    <row r="5411" spans="1:6" x14ac:dyDescent="0.25">
      <c r="A5411" s="5">
        <v>3416710</v>
      </c>
      <c r="B5411" s="1">
        <v>2019</v>
      </c>
      <c r="C5411" s="1" t="s">
        <v>1387</v>
      </c>
      <c r="D5411" s="1" t="s">
        <v>1302</v>
      </c>
      <c r="E5411" s="8">
        <v>5520215</v>
      </c>
      <c r="F5411" s="5">
        <v>3416710</v>
      </c>
    </row>
    <row r="5412" spans="1:6" ht="20" x14ac:dyDescent="0.25">
      <c r="A5412" s="5">
        <v>3416710</v>
      </c>
      <c r="B5412" s="1">
        <v>2020</v>
      </c>
      <c r="C5412" s="1" t="s">
        <v>1387</v>
      </c>
      <c r="D5412" s="2" t="s">
        <v>1302</v>
      </c>
      <c r="E5412" s="7">
        <v>6146975</v>
      </c>
      <c r="F5412" s="5">
        <v>3416710</v>
      </c>
    </row>
    <row r="5413" spans="1:6" ht="20" x14ac:dyDescent="0.25">
      <c r="A5413" s="5">
        <v>3416710</v>
      </c>
      <c r="B5413" s="1">
        <v>2021</v>
      </c>
      <c r="C5413" s="1" t="s">
        <v>1387</v>
      </c>
      <c r="D5413" s="3" t="s">
        <v>1302</v>
      </c>
      <c r="E5413" s="7">
        <v>7924325</v>
      </c>
      <c r="F5413" s="5">
        <v>3416710</v>
      </c>
    </row>
    <row r="5414" spans="1:6" ht="20" x14ac:dyDescent="0.25">
      <c r="A5414" s="5">
        <v>3416710</v>
      </c>
      <c r="B5414" s="1">
        <v>2022</v>
      </c>
      <c r="C5414" s="1" t="s">
        <v>1387</v>
      </c>
      <c r="D5414" s="2" t="s">
        <v>1302</v>
      </c>
      <c r="E5414" s="7">
        <v>10442807</v>
      </c>
      <c r="F5414" s="5">
        <v>3416710</v>
      </c>
    </row>
    <row r="5415" spans="1:6" ht="20" x14ac:dyDescent="0.25">
      <c r="A5415" s="5">
        <v>3416710</v>
      </c>
      <c r="B5415" s="1">
        <v>2023</v>
      </c>
      <c r="C5415" s="1" t="s">
        <v>1387</v>
      </c>
      <c r="D5415" s="2" t="s">
        <v>1302</v>
      </c>
      <c r="E5415" s="7">
        <v>9914638</v>
      </c>
      <c r="F5415" s="5">
        <v>3416710</v>
      </c>
    </row>
    <row r="5416" spans="1:6" x14ac:dyDescent="0.25">
      <c r="A5416" s="5">
        <v>3416740</v>
      </c>
      <c r="B5416" s="1">
        <v>2015</v>
      </c>
      <c r="C5416" s="1" t="s">
        <v>1387</v>
      </c>
      <c r="D5416" s="1" t="s">
        <v>268</v>
      </c>
      <c r="E5416" s="8">
        <v>793169</v>
      </c>
      <c r="F5416" s="5">
        <v>3416740</v>
      </c>
    </row>
    <row r="5417" spans="1:6" x14ac:dyDescent="0.25">
      <c r="A5417" s="5">
        <v>3416740</v>
      </c>
      <c r="B5417" s="1">
        <v>2016</v>
      </c>
      <c r="C5417" s="1" t="s">
        <v>1387</v>
      </c>
      <c r="D5417" s="1" t="s">
        <v>268</v>
      </c>
      <c r="E5417" s="8">
        <v>1255331</v>
      </c>
      <c r="F5417" s="5">
        <v>3416740</v>
      </c>
    </row>
    <row r="5418" spans="1:6" x14ac:dyDescent="0.25">
      <c r="A5418" s="5">
        <v>3416740</v>
      </c>
      <c r="B5418" s="1">
        <v>2017</v>
      </c>
      <c r="C5418" s="1" t="s">
        <v>1387</v>
      </c>
      <c r="D5418" s="1" t="s">
        <v>268</v>
      </c>
      <c r="E5418" s="8">
        <v>1732463</v>
      </c>
      <c r="F5418" s="5">
        <v>3416740</v>
      </c>
    </row>
    <row r="5419" spans="1:6" x14ac:dyDescent="0.25">
      <c r="A5419" s="5">
        <v>3416740</v>
      </c>
      <c r="B5419" s="1">
        <v>2018</v>
      </c>
      <c r="C5419" s="1" t="s">
        <v>1387</v>
      </c>
      <c r="D5419" s="1" t="s">
        <v>958</v>
      </c>
      <c r="E5419" s="8">
        <v>2323654</v>
      </c>
      <c r="F5419" s="5">
        <v>3416740</v>
      </c>
    </row>
    <row r="5420" spans="1:6" x14ac:dyDescent="0.25">
      <c r="A5420" s="5">
        <v>3416740</v>
      </c>
      <c r="B5420" s="1">
        <v>2019</v>
      </c>
      <c r="C5420" s="1" t="s">
        <v>1387</v>
      </c>
      <c r="D5420" s="1" t="s">
        <v>958</v>
      </c>
      <c r="E5420" s="8">
        <v>3113082</v>
      </c>
      <c r="F5420" s="5">
        <v>3416740</v>
      </c>
    </row>
    <row r="5421" spans="1:6" ht="20" x14ac:dyDescent="0.25">
      <c r="A5421" s="5">
        <v>3416740</v>
      </c>
      <c r="B5421" s="1">
        <v>2020</v>
      </c>
      <c r="C5421" s="1" t="s">
        <v>1387</v>
      </c>
      <c r="D5421" s="2" t="s">
        <v>958</v>
      </c>
      <c r="E5421" s="7">
        <v>3408449</v>
      </c>
      <c r="F5421" s="5">
        <v>3416740</v>
      </c>
    </row>
    <row r="5422" spans="1:6" ht="20" x14ac:dyDescent="0.25">
      <c r="A5422" s="5">
        <v>3416740</v>
      </c>
      <c r="B5422" s="1">
        <v>2021</v>
      </c>
      <c r="C5422" s="1" t="s">
        <v>1387</v>
      </c>
      <c r="D5422" s="3" t="s">
        <v>958</v>
      </c>
      <c r="E5422" s="7">
        <v>4631166</v>
      </c>
      <c r="F5422" s="5">
        <v>3416740</v>
      </c>
    </row>
    <row r="5423" spans="1:6" ht="20" x14ac:dyDescent="0.25">
      <c r="A5423" s="5">
        <v>3416740</v>
      </c>
      <c r="B5423" s="1">
        <v>2022</v>
      </c>
      <c r="C5423" s="1" t="s">
        <v>1387</v>
      </c>
      <c r="D5423" s="2" t="s">
        <v>958</v>
      </c>
      <c r="E5423" s="7">
        <v>6725514</v>
      </c>
      <c r="F5423" s="5">
        <v>3416740</v>
      </c>
    </row>
    <row r="5424" spans="1:6" ht="20" x14ac:dyDescent="0.25">
      <c r="A5424" s="5">
        <v>3416740</v>
      </c>
      <c r="B5424" s="1">
        <v>2023</v>
      </c>
      <c r="C5424" s="1" t="s">
        <v>1387</v>
      </c>
      <c r="D5424" s="2" t="s">
        <v>958</v>
      </c>
      <c r="E5424" s="7">
        <v>6649210</v>
      </c>
      <c r="F5424" s="5">
        <v>3416740</v>
      </c>
    </row>
    <row r="5425" spans="1:6" x14ac:dyDescent="0.25">
      <c r="A5425" s="5">
        <v>3416800</v>
      </c>
      <c r="B5425" s="1">
        <v>2015</v>
      </c>
      <c r="C5425" s="1" t="s">
        <v>1387</v>
      </c>
      <c r="D5425" s="1" t="s">
        <v>227</v>
      </c>
      <c r="E5425" s="8">
        <v>3768411</v>
      </c>
      <c r="F5425" s="5">
        <v>3416800</v>
      </c>
    </row>
    <row r="5426" spans="1:6" x14ac:dyDescent="0.25">
      <c r="A5426" s="5">
        <v>3416800</v>
      </c>
      <c r="B5426" s="1">
        <v>2016</v>
      </c>
      <c r="C5426" s="1" t="s">
        <v>1387</v>
      </c>
      <c r="D5426" s="1" t="s">
        <v>227</v>
      </c>
      <c r="E5426" s="8">
        <v>5576656</v>
      </c>
      <c r="F5426" s="5">
        <v>3416800</v>
      </c>
    </row>
    <row r="5427" spans="1:6" x14ac:dyDescent="0.25">
      <c r="A5427" s="5">
        <v>3416800</v>
      </c>
      <c r="B5427" s="1">
        <v>2017</v>
      </c>
      <c r="C5427" s="1" t="s">
        <v>1387</v>
      </c>
      <c r="D5427" s="1" t="s">
        <v>227</v>
      </c>
      <c r="E5427" s="8">
        <v>7639721</v>
      </c>
      <c r="F5427" s="5">
        <v>3416800</v>
      </c>
    </row>
    <row r="5428" spans="1:6" x14ac:dyDescent="0.25">
      <c r="A5428" s="5">
        <v>3416800</v>
      </c>
      <c r="B5428" s="1">
        <v>2018</v>
      </c>
      <c r="C5428" s="1" t="s">
        <v>1387</v>
      </c>
      <c r="D5428" s="1" t="s">
        <v>913</v>
      </c>
      <c r="E5428" s="8">
        <v>10002854</v>
      </c>
      <c r="F5428" s="5">
        <v>3416800</v>
      </c>
    </row>
    <row r="5429" spans="1:6" x14ac:dyDescent="0.25">
      <c r="A5429" s="5">
        <v>3416800</v>
      </c>
      <c r="B5429" s="1">
        <v>2019</v>
      </c>
      <c r="C5429" s="1" t="s">
        <v>1387</v>
      </c>
      <c r="D5429" s="1" t="s">
        <v>913</v>
      </c>
      <c r="E5429" s="8">
        <v>12980172</v>
      </c>
      <c r="F5429" s="5">
        <v>3416800</v>
      </c>
    </row>
    <row r="5430" spans="1:6" ht="20" x14ac:dyDescent="0.25">
      <c r="A5430" s="5">
        <v>3416800</v>
      </c>
      <c r="B5430" s="1">
        <v>2020</v>
      </c>
      <c r="C5430" s="1" t="s">
        <v>1387</v>
      </c>
      <c r="D5430" s="2" t="s">
        <v>913</v>
      </c>
      <c r="E5430" s="7">
        <v>14257783</v>
      </c>
      <c r="F5430" s="5">
        <v>3416800</v>
      </c>
    </row>
    <row r="5431" spans="1:6" ht="20" x14ac:dyDescent="0.25">
      <c r="A5431" s="5">
        <v>3416800</v>
      </c>
      <c r="B5431" s="1">
        <v>2021</v>
      </c>
      <c r="C5431" s="1" t="s">
        <v>1387</v>
      </c>
      <c r="D5431" s="3" t="s">
        <v>913</v>
      </c>
      <c r="E5431" s="7">
        <v>17235998</v>
      </c>
      <c r="F5431" s="5">
        <v>3416800</v>
      </c>
    </row>
    <row r="5432" spans="1:6" ht="20" x14ac:dyDescent="0.25">
      <c r="A5432" s="5">
        <v>3416800</v>
      </c>
      <c r="B5432" s="1">
        <v>2022</v>
      </c>
      <c r="C5432" s="1" t="s">
        <v>1387</v>
      </c>
      <c r="D5432" s="2" t="s">
        <v>913</v>
      </c>
      <c r="E5432" s="7">
        <v>24416538</v>
      </c>
      <c r="F5432" s="5">
        <v>3416800</v>
      </c>
    </row>
    <row r="5433" spans="1:6" ht="20" x14ac:dyDescent="0.25">
      <c r="A5433" s="5">
        <v>3416800</v>
      </c>
      <c r="B5433" s="1">
        <v>2023</v>
      </c>
      <c r="C5433" s="1" t="s">
        <v>1387</v>
      </c>
      <c r="D5433" s="2" t="s">
        <v>913</v>
      </c>
      <c r="E5433" s="7">
        <v>24492402</v>
      </c>
      <c r="F5433" s="5">
        <v>3416800</v>
      </c>
    </row>
    <row r="5434" spans="1:6" x14ac:dyDescent="0.25">
      <c r="A5434" s="5">
        <v>3416830</v>
      </c>
      <c r="B5434" s="1">
        <v>2015</v>
      </c>
      <c r="C5434" s="1" t="s">
        <v>1387</v>
      </c>
      <c r="D5434" s="1" t="s">
        <v>191</v>
      </c>
      <c r="E5434" s="8">
        <v>1242535</v>
      </c>
      <c r="F5434" s="5">
        <v>3416830</v>
      </c>
    </row>
    <row r="5435" spans="1:6" x14ac:dyDescent="0.25">
      <c r="A5435" s="5">
        <v>3416830</v>
      </c>
      <c r="B5435" s="1">
        <v>2016</v>
      </c>
      <c r="C5435" s="1" t="s">
        <v>1387</v>
      </c>
      <c r="D5435" s="1" t="s">
        <v>191</v>
      </c>
      <c r="E5435" s="8">
        <v>1805215</v>
      </c>
      <c r="F5435" s="5">
        <v>3416830</v>
      </c>
    </row>
    <row r="5436" spans="1:6" x14ac:dyDescent="0.25">
      <c r="A5436" s="5">
        <v>3416830</v>
      </c>
      <c r="B5436" s="1">
        <v>2017</v>
      </c>
      <c r="C5436" s="1" t="s">
        <v>1387</v>
      </c>
      <c r="D5436" s="1" t="s">
        <v>191</v>
      </c>
      <c r="E5436" s="8">
        <v>2425508</v>
      </c>
      <c r="F5436" s="5">
        <v>3416830</v>
      </c>
    </row>
    <row r="5437" spans="1:6" x14ac:dyDescent="0.25">
      <c r="A5437" s="5">
        <v>3416830</v>
      </c>
      <c r="B5437" s="1">
        <v>2018</v>
      </c>
      <c r="C5437" s="1" t="s">
        <v>1387</v>
      </c>
      <c r="D5437" s="1" t="s">
        <v>875</v>
      </c>
      <c r="E5437" s="8">
        <v>3181819</v>
      </c>
      <c r="F5437" s="5">
        <v>3416830</v>
      </c>
    </row>
    <row r="5438" spans="1:6" x14ac:dyDescent="0.25">
      <c r="A5438" s="5">
        <v>3416830</v>
      </c>
      <c r="B5438" s="1">
        <v>2019</v>
      </c>
      <c r="C5438" s="1" t="s">
        <v>1387</v>
      </c>
      <c r="D5438" s="1" t="s">
        <v>875</v>
      </c>
      <c r="E5438" s="8">
        <v>4258342</v>
      </c>
      <c r="F5438" s="5">
        <v>3416830</v>
      </c>
    </row>
    <row r="5439" spans="1:6" ht="20" x14ac:dyDescent="0.25">
      <c r="A5439" s="5">
        <v>3416830</v>
      </c>
      <c r="B5439" s="1">
        <v>2020</v>
      </c>
      <c r="C5439" s="1" t="s">
        <v>1387</v>
      </c>
      <c r="D5439" s="2" t="s">
        <v>875</v>
      </c>
      <c r="E5439" s="7">
        <v>4731188</v>
      </c>
      <c r="F5439" s="5">
        <v>3416830</v>
      </c>
    </row>
    <row r="5440" spans="1:6" ht="20" x14ac:dyDescent="0.25">
      <c r="A5440" s="5">
        <v>3416830</v>
      </c>
      <c r="B5440" s="1">
        <v>2021</v>
      </c>
      <c r="C5440" s="1" t="s">
        <v>1387</v>
      </c>
      <c r="D5440" s="3" t="s">
        <v>875</v>
      </c>
      <c r="E5440" s="7">
        <v>6098464</v>
      </c>
      <c r="F5440" s="5">
        <v>3416830</v>
      </c>
    </row>
    <row r="5441" spans="1:6" ht="20" x14ac:dyDescent="0.25">
      <c r="A5441" s="5">
        <v>3416830</v>
      </c>
      <c r="B5441" s="1">
        <v>2022</v>
      </c>
      <c r="C5441" s="1" t="s">
        <v>1387</v>
      </c>
      <c r="D5441" s="2" t="s">
        <v>875</v>
      </c>
      <c r="E5441" s="7">
        <v>8648582</v>
      </c>
      <c r="F5441" s="5">
        <v>3416830</v>
      </c>
    </row>
    <row r="5442" spans="1:6" ht="20" x14ac:dyDescent="0.25">
      <c r="A5442" s="5">
        <v>3416830</v>
      </c>
      <c r="B5442" s="1">
        <v>2023</v>
      </c>
      <c r="C5442" s="1" t="s">
        <v>1387</v>
      </c>
      <c r="D5442" s="2" t="s">
        <v>875</v>
      </c>
      <c r="E5442" s="7">
        <v>8458343</v>
      </c>
      <c r="F5442" s="5">
        <v>3416830</v>
      </c>
    </row>
    <row r="5443" spans="1:6" x14ac:dyDescent="0.25">
      <c r="A5443" s="5">
        <v>3416860</v>
      </c>
      <c r="B5443" s="1">
        <v>2015</v>
      </c>
      <c r="C5443" s="1" t="s">
        <v>1387</v>
      </c>
      <c r="D5443" s="1" t="s">
        <v>100</v>
      </c>
      <c r="E5443" s="8">
        <v>662463</v>
      </c>
      <c r="F5443" s="5">
        <v>3416860</v>
      </c>
    </row>
    <row r="5444" spans="1:6" x14ac:dyDescent="0.25">
      <c r="A5444" s="5">
        <v>3416860</v>
      </c>
      <c r="B5444" s="1">
        <v>2016</v>
      </c>
      <c r="C5444" s="1" t="s">
        <v>1387</v>
      </c>
      <c r="D5444" s="1" t="s">
        <v>100</v>
      </c>
      <c r="E5444" s="8">
        <v>970655</v>
      </c>
      <c r="F5444" s="5">
        <v>3416860</v>
      </c>
    </row>
    <row r="5445" spans="1:6" x14ac:dyDescent="0.25">
      <c r="A5445" s="5">
        <v>3416860</v>
      </c>
      <c r="B5445" s="1">
        <v>2017</v>
      </c>
      <c r="C5445" s="1" t="s">
        <v>1387</v>
      </c>
      <c r="D5445" s="1" t="s">
        <v>100</v>
      </c>
      <c r="E5445" s="8">
        <v>1434678</v>
      </c>
      <c r="F5445" s="5">
        <v>3416860</v>
      </c>
    </row>
    <row r="5446" spans="1:6" x14ac:dyDescent="0.25">
      <c r="A5446" s="5">
        <v>3416860</v>
      </c>
      <c r="B5446" s="1">
        <v>2018</v>
      </c>
      <c r="C5446" s="1" t="s">
        <v>1387</v>
      </c>
      <c r="D5446" s="1" t="s">
        <v>780</v>
      </c>
      <c r="E5446" s="8">
        <v>1905580</v>
      </c>
      <c r="F5446" s="5">
        <v>3416860</v>
      </c>
    </row>
    <row r="5447" spans="1:6" x14ac:dyDescent="0.25">
      <c r="A5447" s="5">
        <v>3416860</v>
      </c>
      <c r="B5447" s="1">
        <v>2019</v>
      </c>
      <c r="C5447" s="1" t="s">
        <v>1387</v>
      </c>
      <c r="D5447" s="1" t="s">
        <v>780</v>
      </c>
      <c r="E5447" s="8">
        <v>2524206</v>
      </c>
      <c r="F5447" s="5">
        <v>3416860</v>
      </c>
    </row>
    <row r="5448" spans="1:6" ht="20" x14ac:dyDescent="0.25">
      <c r="A5448" s="5">
        <v>3416860</v>
      </c>
      <c r="B5448" s="1">
        <v>2020</v>
      </c>
      <c r="C5448" s="1" t="s">
        <v>1387</v>
      </c>
      <c r="D5448" s="2" t="s">
        <v>780</v>
      </c>
      <c r="E5448" s="7">
        <v>2828060</v>
      </c>
      <c r="F5448" s="5">
        <v>3416860</v>
      </c>
    </row>
    <row r="5449" spans="1:6" ht="20" x14ac:dyDescent="0.25">
      <c r="A5449" s="5">
        <v>3416860</v>
      </c>
      <c r="B5449" s="1">
        <v>2021</v>
      </c>
      <c r="C5449" s="1" t="s">
        <v>1387</v>
      </c>
      <c r="D5449" s="3" t="s">
        <v>780</v>
      </c>
      <c r="E5449" s="7">
        <v>3739262</v>
      </c>
      <c r="F5449" s="5">
        <v>3416860</v>
      </c>
    </row>
    <row r="5450" spans="1:6" ht="20" x14ac:dyDescent="0.25">
      <c r="A5450" s="5">
        <v>3416860</v>
      </c>
      <c r="B5450" s="1">
        <v>2022</v>
      </c>
      <c r="C5450" s="1" t="s">
        <v>1387</v>
      </c>
      <c r="D5450" s="2" t="s">
        <v>780</v>
      </c>
      <c r="E5450" s="7">
        <v>5164242</v>
      </c>
      <c r="F5450" s="5">
        <v>3416860</v>
      </c>
    </row>
    <row r="5451" spans="1:6" ht="20" x14ac:dyDescent="0.25">
      <c r="A5451" s="5">
        <v>3416860</v>
      </c>
      <c r="B5451" s="1">
        <v>2023</v>
      </c>
      <c r="C5451" s="1" t="s">
        <v>1387</v>
      </c>
      <c r="D5451" s="2" t="s">
        <v>780</v>
      </c>
      <c r="E5451" s="7">
        <v>5285152</v>
      </c>
      <c r="F5451" s="5">
        <v>3416860</v>
      </c>
    </row>
    <row r="5452" spans="1:6" x14ac:dyDescent="0.25">
      <c r="A5452" s="5">
        <v>3416870</v>
      </c>
      <c r="B5452" s="1">
        <v>2015</v>
      </c>
      <c r="C5452" s="1" t="s">
        <v>1387</v>
      </c>
      <c r="D5452" s="1" t="s">
        <v>610</v>
      </c>
      <c r="E5452" s="8">
        <v>337385</v>
      </c>
      <c r="F5452" s="5">
        <v>3416870</v>
      </c>
    </row>
    <row r="5453" spans="1:6" x14ac:dyDescent="0.25">
      <c r="A5453" s="5">
        <v>3416870</v>
      </c>
      <c r="B5453" s="1">
        <v>2016</v>
      </c>
      <c r="C5453" s="1" t="s">
        <v>1387</v>
      </c>
      <c r="D5453" s="1" t="s">
        <v>610</v>
      </c>
      <c r="E5453" s="8">
        <v>473519</v>
      </c>
      <c r="F5453" s="5">
        <v>3416870</v>
      </c>
    </row>
    <row r="5454" spans="1:6" x14ac:dyDescent="0.25">
      <c r="A5454" s="5">
        <v>3416870</v>
      </c>
      <c r="B5454" s="1">
        <v>2017</v>
      </c>
      <c r="C5454" s="1" t="s">
        <v>1387</v>
      </c>
      <c r="D5454" s="1" t="s">
        <v>610</v>
      </c>
      <c r="E5454" s="8">
        <v>629793</v>
      </c>
      <c r="F5454" s="5">
        <v>3416870</v>
      </c>
    </row>
    <row r="5455" spans="1:6" x14ac:dyDescent="0.25">
      <c r="A5455" s="5">
        <v>3416870</v>
      </c>
      <c r="B5455" s="1">
        <v>2018</v>
      </c>
      <c r="C5455" s="1" t="s">
        <v>1387</v>
      </c>
      <c r="D5455" s="1" t="s">
        <v>1303</v>
      </c>
      <c r="E5455" s="8">
        <v>887168</v>
      </c>
      <c r="F5455" s="5">
        <v>3416870</v>
      </c>
    </row>
    <row r="5456" spans="1:6" x14ac:dyDescent="0.25">
      <c r="A5456" s="5">
        <v>3416870</v>
      </c>
      <c r="B5456" s="1">
        <v>2019</v>
      </c>
      <c r="C5456" s="1" t="s">
        <v>1387</v>
      </c>
      <c r="D5456" s="1" t="s">
        <v>1303</v>
      </c>
      <c r="E5456" s="8">
        <v>1184410</v>
      </c>
      <c r="F5456" s="5">
        <v>3416870</v>
      </c>
    </row>
    <row r="5457" spans="1:6" ht="20" x14ac:dyDescent="0.25">
      <c r="A5457" s="5">
        <v>3416870</v>
      </c>
      <c r="B5457" s="1">
        <v>2020</v>
      </c>
      <c r="C5457" s="1" t="s">
        <v>1387</v>
      </c>
      <c r="D5457" s="2" t="s">
        <v>1303</v>
      </c>
      <c r="E5457" s="7">
        <v>1324433</v>
      </c>
      <c r="F5457" s="5">
        <v>3416870</v>
      </c>
    </row>
    <row r="5458" spans="1:6" ht="20" x14ac:dyDescent="0.25">
      <c r="A5458" s="5">
        <v>3416870</v>
      </c>
      <c r="B5458" s="1">
        <v>2021</v>
      </c>
      <c r="C5458" s="1" t="s">
        <v>1387</v>
      </c>
      <c r="D5458" s="3" t="s">
        <v>1303</v>
      </c>
      <c r="E5458" s="7">
        <v>1728632</v>
      </c>
      <c r="F5458" s="5">
        <v>3416870</v>
      </c>
    </row>
    <row r="5459" spans="1:6" ht="20" x14ac:dyDescent="0.25">
      <c r="A5459" s="5">
        <v>3416870</v>
      </c>
      <c r="B5459" s="1">
        <v>2022</v>
      </c>
      <c r="C5459" s="1" t="s">
        <v>1387</v>
      </c>
      <c r="D5459" s="2" t="s">
        <v>1303</v>
      </c>
      <c r="E5459" s="7">
        <v>2348956</v>
      </c>
      <c r="F5459" s="5">
        <v>3416870</v>
      </c>
    </row>
    <row r="5460" spans="1:6" ht="20" x14ac:dyDescent="0.25">
      <c r="A5460" s="5">
        <v>3416870</v>
      </c>
      <c r="B5460" s="1">
        <v>2023</v>
      </c>
      <c r="C5460" s="1" t="s">
        <v>1387</v>
      </c>
      <c r="D5460" s="2" t="s">
        <v>1303</v>
      </c>
      <c r="E5460" s="7">
        <v>2290654</v>
      </c>
      <c r="F5460" s="5">
        <v>3416870</v>
      </c>
    </row>
    <row r="5461" spans="1:6" x14ac:dyDescent="0.25">
      <c r="A5461" s="5">
        <v>3416890</v>
      </c>
      <c r="B5461" s="1">
        <v>2015</v>
      </c>
      <c r="C5461" s="1" t="s">
        <v>1387</v>
      </c>
      <c r="D5461" s="1" t="s">
        <v>452</v>
      </c>
      <c r="E5461" s="8">
        <v>1507089</v>
      </c>
      <c r="F5461" s="5">
        <v>3416890</v>
      </c>
    </row>
    <row r="5462" spans="1:6" x14ac:dyDescent="0.25">
      <c r="A5462" s="5">
        <v>3416890</v>
      </c>
      <c r="B5462" s="1">
        <v>2016</v>
      </c>
      <c r="C5462" s="1" t="s">
        <v>1387</v>
      </c>
      <c r="D5462" s="1" t="s">
        <v>452</v>
      </c>
      <c r="E5462" s="8">
        <v>2252644</v>
      </c>
      <c r="F5462" s="5">
        <v>3416890</v>
      </c>
    </row>
    <row r="5463" spans="1:6" x14ac:dyDescent="0.25">
      <c r="A5463" s="5">
        <v>3416890</v>
      </c>
      <c r="B5463" s="1">
        <v>2017</v>
      </c>
      <c r="C5463" s="1" t="s">
        <v>1387</v>
      </c>
      <c r="D5463" s="1" t="s">
        <v>452</v>
      </c>
      <c r="E5463" s="8">
        <v>3325652</v>
      </c>
      <c r="F5463" s="5">
        <v>3416890</v>
      </c>
    </row>
    <row r="5464" spans="1:6" x14ac:dyDescent="0.25">
      <c r="A5464" s="5">
        <v>3416890</v>
      </c>
      <c r="B5464" s="1">
        <v>2018</v>
      </c>
      <c r="C5464" s="1" t="s">
        <v>1387</v>
      </c>
      <c r="D5464" s="1" t="s">
        <v>1144</v>
      </c>
      <c r="E5464" s="8">
        <v>4410141</v>
      </c>
      <c r="F5464" s="5">
        <v>3416890</v>
      </c>
    </row>
    <row r="5465" spans="1:6" x14ac:dyDescent="0.25">
      <c r="A5465" s="5">
        <v>3416890</v>
      </c>
      <c r="B5465" s="1">
        <v>2019</v>
      </c>
      <c r="C5465" s="1" t="s">
        <v>1387</v>
      </c>
      <c r="D5465" s="1" t="s">
        <v>1144</v>
      </c>
      <c r="E5465" s="8">
        <v>5721103</v>
      </c>
      <c r="F5465" s="5">
        <v>3416890</v>
      </c>
    </row>
    <row r="5466" spans="1:6" ht="20" x14ac:dyDescent="0.25">
      <c r="A5466" s="5">
        <v>3416890</v>
      </c>
      <c r="B5466" s="1">
        <v>2020</v>
      </c>
      <c r="C5466" s="1" t="s">
        <v>1387</v>
      </c>
      <c r="D5466" s="2" t="s">
        <v>1144</v>
      </c>
      <c r="E5466" s="7">
        <v>6531284</v>
      </c>
      <c r="F5466" s="5">
        <v>3416890</v>
      </c>
    </row>
    <row r="5467" spans="1:6" ht="20" x14ac:dyDescent="0.25">
      <c r="A5467" s="5">
        <v>3416890</v>
      </c>
      <c r="B5467" s="1">
        <v>2021</v>
      </c>
      <c r="C5467" s="1" t="s">
        <v>1387</v>
      </c>
      <c r="D5467" s="3" t="s">
        <v>1144</v>
      </c>
      <c r="E5467" s="7">
        <v>8423224</v>
      </c>
      <c r="F5467" s="5">
        <v>3416890</v>
      </c>
    </row>
    <row r="5468" spans="1:6" ht="20" x14ac:dyDescent="0.25">
      <c r="A5468" s="5">
        <v>3416890</v>
      </c>
      <c r="B5468" s="1">
        <v>2022</v>
      </c>
      <c r="C5468" s="1" t="s">
        <v>1387</v>
      </c>
      <c r="D5468" s="2" t="s">
        <v>1144</v>
      </c>
      <c r="E5468" s="7">
        <v>12173238</v>
      </c>
      <c r="F5468" s="5">
        <v>3416890</v>
      </c>
    </row>
    <row r="5469" spans="1:6" ht="20" x14ac:dyDescent="0.25">
      <c r="A5469" s="5">
        <v>3416890</v>
      </c>
      <c r="B5469" s="1">
        <v>2023</v>
      </c>
      <c r="C5469" s="1" t="s">
        <v>1387</v>
      </c>
      <c r="D5469" s="2" t="s">
        <v>1144</v>
      </c>
      <c r="E5469" s="7">
        <v>11994541</v>
      </c>
      <c r="F5469" s="5">
        <v>3416890</v>
      </c>
    </row>
    <row r="5470" spans="1:6" x14ac:dyDescent="0.25">
      <c r="A5470" s="5">
        <v>3416920</v>
      </c>
      <c r="B5470" s="1">
        <v>2015</v>
      </c>
      <c r="C5470" s="1" t="s">
        <v>1387</v>
      </c>
      <c r="D5470" s="1" t="s">
        <v>101</v>
      </c>
      <c r="E5470" s="8">
        <v>399292</v>
      </c>
      <c r="F5470" s="5">
        <v>3416920</v>
      </c>
    </row>
    <row r="5471" spans="1:6" x14ac:dyDescent="0.25">
      <c r="A5471" s="5">
        <v>3416920</v>
      </c>
      <c r="B5471" s="1">
        <v>2016</v>
      </c>
      <c r="C5471" s="1" t="s">
        <v>1387</v>
      </c>
      <c r="D5471" s="1" t="s">
        <v>101</v>
      </c>
      <c r="E5471" s="8">
        <v>585120</v>
      </c>
      <c r="F5471" s="5">
        <v>3416920</v>
      </c>
    </row>
    <row r="5472" spans="1:6" x14ac:dyDescent="0.25">
      <c r="A5472" s="5">
        <v>3416920</v>
      </c>
      <c r="B5472" s="1">
        <v>2017</v>
      </c>
      <c r="C5472" s="1" t="s">
        <v>1387</v>
      </c>
      <c r="D5472" s="1" t="s">
        <v>101</v>
      </c>
      <c r="E5472" s="8">
        <v>835656</v>
      </c>
      <c r="F5472" s="5">
        <v>3416920</v>
      </c>
    </row>
    <row r="5473" spans="1:6" x14ac:dyDescent="0.25">
      <c r="A5473" s="5">
        <v>3416920</v>
      </c>
      <c r="B5473" s="1">
        <v>2018</v>
      </c>
      <c r="C5473" s="1" t="s">
        <v>1387</v>
      </c>
      <c r="D5473" s="1" t="s">
        <v>781</v>
      </c>
      <c r="E5473" s="8">
        <v>1099005</v>
      </c>
      <c r="F5473" s="5">
        <v>3416920</v>
      </c>
    </row>
    <row r="5474" spans="1:6" x14ac:dyDescent="0.25">
      <c r="A5474" s="5">
        <v>3416920</v>
      </c>
      <c r="B5474" s="1">
        <v>2019</v>
      </c>
      <c r="C5474" s="1" t="s">
        <v>1387</v>
      </c>
      <c r="D5474" s="1" t="s">
        <v>781</v>
      </c>
      <c r="E5474" s="8">
        <v>1514765</v>
      </c>
      <c r="F5474" s="5">
        <v>3416920</v>
      </c>
    </row>
    <row r="5475" spans="1:6" ht="20" x14ac:dyDescent="0.25">
      <c r="A5475" s="5">
        <v>3416920</v>
      </c>
      <c r="B5475" s="1">
        <v>2020</v>
      </c>
      <c r="C5475" s="1" t="s">
        <v>1387</v>
      </c>
      <c r="D5475" s="2" t="s">
        <v>781</v>
      </c>
      <c r="E5475" s="7">
        <v>1691099</v>
      </c>
      <c r="F5475" s="5">
        <v>3416920</v>
      </c>
    </row>
    <row r="5476" spans="1:6" ht="20" x14ac:dyDescent="0.25">
      <c r="A5476" s="5">
        <v>3416920</v>
      </c>
      <c r="B5476" s="1">
        <v>2021</v>
      </c>
      <c r="C5476" s="1" t="s">
        <v>1387</v>
      </c>
      <c r="D5476" s="3" t="s">
        <v>781</v>
      </c>
      <c r="E5476" s="7">
        <v>2184426</v>
      </c>
      <c r="F5476" s="5">
        <v>3416920</v>
      </c>
    </row>
    <row r="5477" spans="1:6" ht="20" x14ac:dyDescent="0.25">
      <c r="A5477" s="5">
        <v>3416920</v>
      </c>
      <c r="B5477" s="1">
        <v>2022</v>
      </c>
      <c r="C5477" s="1" t="s">
        <v>1387</v>
      </c>
      <c r="D5477" s="2" t="s">
        <v>781</v>
      </c>
      <c r="E5477" s="7">
        <v>3105115</v>
      </c>
      <c r="F5477" s="5">
        <v>3416920</v>
      </c>
    </row>
    <row r="5478" spans="1:6" ht="20" x14ac:dyDescent="0.25">
      <c r="A5478" s="5">
        <v>3416920</v>
      </c>
      <c r="B5478" s="1">
        <v>2023</v>
      </c>
      <c r="C5478" s="1" t="s">
        <v>1387</v>
      </c>
      <c r="D5478" s="2" t="s">
        <v>781</v>
      </c>
      <c r="E5478" s="7">
        <v>3122575</v>
      </c>
      <c r="F5478" s="5">
        <v>3416920</v>
      </c>
    </row>
    <row r="5479" spans="1:6" x14ac:dyDescent="0.25">
      <c r="A5479" s="5">
        <v>3416950</v>
      </c>
      <c r="B5479" s="1">
        <v>2015</v>
      </c>
      <c r="C5479" s="1" t="s">
        <v>1387</v>
      </c>
      <c r="D5479" s="1" t="s">
        <v>545</v>
      </c>
      <c r="E5479" s="8">
        <v>420533</v>
      </c>
      <c r="F5479" s="5">
        <v>3416950</v>
      </c>
    </row>
    <row r="5480" spans="1:6" x14ac:dyDescent="0.25">
      <c r="A5480" s="5">
        <v>3416950</v>
      </c>
      <c r="B5480" s="1">
        <v>2016</v>
      </c>
      <c r="C5480" s="1" t="s">
        <v>1387</v>
      </c>
      <c r="D5480" s="1" t="s">
        <v>545</v>
      </c>
      <c r="E5480" s="8">
        <v>601572</v>
      </c>
      <c r="F5480" s="5">
        <v>3416950</v>
      </c>
    </row>
    <row r="5481" spans="1:6" x14ac:dyDescent="0.25">
      <c r="A5481" s="5">
        <v>3416950</v>
      </c>
      <c r="B5481" s="1">
        <v>2017</v>
      </c>
      <c r="C5481" s="1" t="s">
        <v>1387</v>
      </c>
      <c r="D5481" s="1" t="s">
        <v>545</v>
      </c>
      <c r="E5481" s="8">
        <v>827445</v>
      </c>
      <c r="F5481" s="5">
        <v>3416950</v>
      </c>
    </row>
    <row r="5482" spans="1:6" x14ac:dyDescent="0.25">
      <c r="A5482" s="5">
        <v>3416950</v>
      </c>
      <c r="B5482" s="1">
        <v>2018</v>
      </c>
      <c r="C5482" s="1" t="s">
        <v>1387</v>
      </c>
      <c r="D5482" s="1" t="s">
        <v>1237</v>
      </c>
      <c r="E5482" s="8">
        <v>1121243</v>
      </c>
      <c r="F5482" s="5">
        <v>3416950</v>
      </c>
    </row>
    <row r="5483" spans="1:6" x14ac:dyDescent="0.25">
      <c r="A5483" s="5">
        <v>3416950</v>
      </c>
      <c r="B5483" s="1">
        <v>2019</v>
      </c>
      <c r="C5483" s="1" t="s">
        <v>1387</v>
      </c>
      <c r="D5483" s="1" t="s">
        <v>1237</v>
      </c>
      <c r="E5483" s="8">
        <v>1494262</v>
      </c>
      <c r="F5483" s="5">
        <v>3416950</v>
      </c>
    </row>
    <row r="5484" spans="1:6" ht="20" x14ac:dyDescent="0.25">
      <c r="A5484" s="5">
        <v>3416950</v>
      </c>
      <c r="B5484" s="1">
        <v>2020</v>
      </c>
      <c r="C5484" s="1" t="s">
        <v>1387</v>
      </c>
      <c r="D5484" s="2" t="s">
        <v>1237</v>
      </c>
      <c r="E5484" s="7">
        <v>1730215</v>
      </c>
      <c r="F5484" s="5">
        <v>3416950</v>
      </c>
    </row>
    <row r="5485" spans="1:6" ht="20" x14ac:dyDescent="0.25">
      <c r="A5485" s="5">
        <v>3416950</v>
      </c>
      <c r="B5485" s="1">
        <v>2021</v>
      </c>
      <c r="C5485" s="1" t="s">
        <v>1387</v>
      </c>
      <c r="D5485" s="3" t="s">
        <v>1237</v>
      </c>
      <c r="E5485" s="7">
        <v>2266449</v>
      </c>
      <c r="F5485" s="5">
        <v>3416950</v>
      </c>
    </row>
    <row r="5486" spans="1:6" ht="20" x14ac:dyDescent="0.25">
      <c r="A5486" s="5">
        <v>3416950</v>
      </c>
      <c r="B5486" s="1">
        <v>2022</v>
      </c>
      <c r="C5486" s="1" t="s">
        <v>1387</v>
      </c>
      <c r="D5486" s="2" t="s">
        <v>1237</v>
      </c>
      <c r="E5486" s="7">
        <v>2986592</v>
      </c>
      <c r="F5486" s="5">
        <v>3416950</v>
      </c>
    </row>
    <row r="5487" spans="1:6" ht="20" x14ac:dyDescent="0.25">
      <c r="A5487" s="5">
        <v>3416950</v>
      </c>
      <c r="B5487" s="1">
        <v>2023</v>
      </c>
      <c r="C5487" s="1" t="s">
        <v>1387</v>
      </c>
      <c r="D5487" s="2" t="s">
        <v>1237</v>
      </c>
      <c r="E5487" s="7">
        <v>3105593</v>
      </c>
      <c r="F5487" s="5">
        <v>3416950</v>
      </c>
    </row>
    <row r="5488" spans="1:6" x14ac:dyDescent="0.25">
      <c r="A5488" s="5">
        <v>3416970</v>
      </c>
      <c r="B5488" s="1">
        <v>2015</v>
      </c>
      <c r="C5488" s="1" t="s">
        <v>1387</v>
      </c>
      <c r="D5488" s="1" t="s">
        <v>658</v>
      </c>
      <c r="E5488" s="8">
        <v>695548</v>
      </c>
      <c r="F5488" s="5">
        <v>3416970</v>
      </c>
    </row>
    <row r="5489" spans="1:6" x14ac:dyDescent="0.25">
      <c r="A5489" s="5">
        <v>3416970</v>
      </c>
      <c r="B5489" s="1">
        <v>2016</v>
      </c>
      <c r="C5489" s="1" t="s">
        <v>1387</v>
      </c>
      <c r="D5489" s="1" t="s">
        <v>658</v>
      </c>
      <c r="E5489" s="8">
        <v>1054445</v>
      </c>
      <c r="F5489" s="5">
        <v>3416970</v>
      </c>
    </row>
    <row r="5490" spans="1:6" x14ac:dyDescent="0.25">
      <c r="A5490" s="5">
        <v>3416970</v>
      </c>
      <c r="B5490" s="1">
        <v>2017</v>
      </c>
      <c r="C5490" s="1" t="s">
        <v>1387</v>
      </c>
      <c r="D5490" s="1" t="s">
        <v>658</v>
      </c>
      <c r="E5490" s="8">
        <v>1484442</v>
      </c>
      <c r="F5490" s="5">
        <v>3416970</v>
      </c>
    </row>
    <row r="5491" spans="1:6" x14ac:dyDescent="0.25">
      <c r="A5491" s="5">
        <v>3416970</v>
      </c>
      <c r="B5491" s="1">
        <v>2018</v>
      </c>
      <c r="C5491" s="1" t="s">
        <v>1387</v>
      </c>
      <c r="D5491" s="1" t="s">
        <v>1351</v>
      </c>
      <c r="E5491" s="8">
        <v>2005859</v>
      </c>
      <c r="F5491" s="5">
        <v>3416970</v>
      </c>
    </row>
    <row r="5492" spans="1:6" x14ac:dyDescent="0.25">
      <c r="A5492" s="5">
        <v>3416970</v>
      </c>
      <c r="B5492" s="1">
        <v>2019</v>
      </c>
      <c r="C5492" s="1" t="s">
        <v>1387</v>
      </c>
      <c r="D5492" s="1" t="s">
        <v>1351</v>
      </c>
      <c r="E5492" s="8">
        <v>2724658</v>
      </c>
      <c r="F5492" s="5">
        <v>3416970</v>
      </c>
    </row>
    <row r="5493" spans="1:6" ht="20" x14ac:dyDescent="0.25">
      <c r="A5493" s="5">
        <v>3416970</v>
      </c>
      <c r="B5493" s="1">
        <v>2020</v>
      </c>
      <c r="C5493" s="1" t="s">
        <v>1387</v>
      </c>
      <c r="D5493" s="2" t="s">
        <v>1351</v>
      </c>
      <c r="E5493" s="7">
        <v>3026114</v>
      </c>
      <c r="F5493" s="5">
        <v>3416970</v>
      </c>
    </row>
    <row r="5494" spans="1:6" ht="20" x14ac:dyDescent="0.25">
      <c r="A5494" s="5">
        <v>3416970</v>
      </c>
      <c r="B5494" s="1">
        <v>2021</v>
      </c>
      <c r="C5494" s="1" t="s">
        <v>1387</v>
      </c>
      <c r="D5494" s="3" t="s">
        <v>1351</v>
      </c>
      <c r="E5494" s="7">
        <v>3879523</v>
      </c>
      <c r="F5494" s="5">
        <v>3416970</v>
      </c>
    </row>
    <row r="5495" spans="1:6" ht="20" x14ac:dyDescent="0.25">
      <c r="A5495" s="5">
        <v>3416970</v>
      </c>
      <c r="B5495" s="1">
        <v>2022</v>
      </c>
      <c r="C5495" s="1" t="s">
        <v>1387</v>
      </c>
      <c r="D5495" s="2" t="s">
        <v>1351</v>
      </c>
      <c r="E5495" s="7">
        <v>5628456</v>
      </c>
      <c r="F5495" s="5">
        <v>3416970</v>
      </c>
    </row>
    <row r="5496" spans="1:6" ht="20" x14ac:dyDescent="0.25">
      <c r="A5496" s="5">
        <v>3416970</v>
      </c>
      <c r="B5496" s="1">
        <v>2023</v>
      </c>
      <c r="C5496" s="1" t="s">
        <v>1387</v>
      </c>
      <c r="D5496" s="2" t="s">
        <v>1351</v>
      </c>
      <c r="E5496" s="7">
        <v>5482635</v>
      </c>
      <c r="F5496" s="5">
        <v>3416970</v>
      </c>
    </row>
    <row r="5497" spans="1:6" x14ac:dyDescent="0.25">
      <c r="A5497" s="5">
        <v>3416980</v>
      </c>
      <c r="B5497" s="1">
        <v>2015</v>
      </c>
      <c r="C5497" s="1" t="s">
        <v>1387</v>
      </c>
      <c r="D5497" s="1" t="s">
        <v>580</v>
      </c>
      <c r="E5497" s="8">
        <v>1006920</v>
      </c>
      <c r="F5497" s="5">
        <v>3416980</v>
      </c>
    </row>
    <row r="5498" spans="1:6" x14ac:dyDescent="0.25">
      <c r="A5498" s="5">
        <v>3416980</v>
      </c>
      <c r="B5498" s="1">
        <v>2016</v>
      </c>
      <c r="C5498" s="1" t="s">
        <v>1387</v>
      </c>
      <c r="D5498" s="1" t="s">
        <v>580</v>
      </c>
      <c r="E5498" s="8">
        <v>1474383</v>
      </c>
      <c r="F5498" s="5">
        <v>3416980</v>
      </c>
    </row>
    <row r="5499" spans="1:6" x14ac:dyDescent="0.25">
      <c r="A5499" s="5">
        <v>3416980</v>
      </c>
      <c r="B5499" s="1">
        <v>2017</v>
      </c>
      <c r="C5499" s="1" t="s">
        <v>1387</v>
      </c>
      <c r="D5499" s="1" t="s">
        <v>580</v>
      </c>
      <c r="E5499" s="8">
        <v>2072167</v>
      </c>
      <c r="F5499" s="5">
        <v>3416980</v>
      </c>
    </row>
    <row r="5500" spans="1:6" x14ac:dyDescent="0.25">
      <c r="A5500" s="5">
        <v>3416980</v>
      </c>
      <c r="B5500" s="1">
        <v>2018</v>
      </c>
      <c r="C5500" s="1" t="s">
        <v>1387</v>
      </c>
      <c r="D5500" s="1" t="s">
        <v>1273</v>
      </c>
      <c r="E5500" s="8">
        <v>2826384</v>
      </c>
      <c r="F5500" s="5">
        <v>3416980</v>
      </c>
    </row>
    <row r="5501" spans="1:6" x14ac:dyDescent="0.25">
      <c r="A5501" s="5">
        <v>3416980</v>
      </c>
      <c r="B5501" s="1">
        <v>2019</v>
      </c>
      <c r="C5501" s="1" t="s">
        <v>1387</v>
      </c>
      <c r="D5501" s="1" t="s">
        <v>1273</v>
      </c>
      <c r="E5501" s="8">
        <v>3814992</v>
      </c>
      <c r="F5501" s="5">
        <v>3416980</v>
      </c>
    </row>
    <row r="5502" spans="1:6" ht="20" x14ac:dyDescent="0.25">
      <c r="A5502" s="5">
        <v>3416980</v>
      </c>
      <c r="B5502" s="1">
        <v>2020</v>
      </c>
      <c r="C5502" s="1" t="s">
        <v>1387</v>
      </c>
      <c r="D5502" s="2" t="s">
        <v>1273</v>
      </c>
      <c r="E5502" s="7">
        <v>4137145</v>
      </c>
      <c r="F5502" s="5">
        <v>3416980</v>
      </c>
    </row>
    <row r="5503" spans="1:6" ht="20" x14ac:dyDescent="0.25">
      <c r="A5503" s="5">
        <v>3416980</v>
      </c>
      <c r="B5503" s="1">
        <v>2021</v>
      </c>
      <c r="C5503" s="1" t="s">
        <v>1387</v>
      </c>
      <c r="D5503" s="3" t="s">
        <v>1273</v>
      </c>
      <c r="E5503" s="7">
        <v>5340793</v>
      </c>
      <c r="F5503" s="5">
        <v>3416980</v>
      </c>
    </row>
    <row r="5504" spans="1:6" ht="20" x14ac:dyDescent="0.25">
      <c r="A5504" s="5">
        <v>3416980</v>
      </c>
      <c r="B5504" s="1">
        <v>2022</v>
      </c>
      <c r="C5504" s="1" t="s">
        <v>1387</v>
      </c>
      <c r="D5504" s="2" t="s">
        <v>1273</v>
      </c>
      <c r="E5504" s="7">
        <v>7616978</v>
      </c>
      <c r="F5504" s="5">
        <v>3416980</v>
      </c>
    </row>
    <row r="5505" spans="1:6" ht="20" x14ac:dyDescent="0.25">
      <c r="A5505" s="5">
        <v>3416980</v>
      </c>
      <c r="B5505" s="1">
        <v>2023</v>
      </c>
      <c r="C5505" s="1" t="s">
        <v>1387</v>
      </c>
      <c r="D5505" s="2" t="s">
        <v>1273</v>
      </c>
      <c r="E5505" s="7">
        <v>7493520</v>
      </c>
      <c r="F5505" s="5">
        <v>3416980</v>
      </c>
    </row>
    <row r="5506" spans="1:6" x14ac:dyDescent="0.25">
      <c r="A5506" s="5">
        <v>3417010</v>
      </c>
      <c r="B5506" s="1">
        <v>2015</v>
      </c>
      <c r="C5506" s="1" t="s">
        <v>1387</v>
      </c>
      <c r="D5506" s="1" t="s">
        <v>659</v>
      </c>
      <c r="E5506" s="8">
        <v>196864</v>
      </c>
      <c r="F5506" s="5">
        <v>3417010</v>
      </c>
    </row>
    <row r="5507" spans="1:6" x14ac:dyDescent="0.25">
      <c r="A5507" s="5">
        <v>3417010</v>
      </c>
      <c r="B5507" s="1">
        <v>2016</v>
      </c>
      <c r="C5507" s="1" t="s">
        <v>1387</v>
      </c>
      <c r="D5507" s="1" t="s">
        <v>659</v>
      </c>
      <c r="E5507" s="8">
        <v>303241</v>
      </c>
      <c r="F5507" s="5">
        <v>3417010</v>
      </c>
    </row>
    <row r="5508" spans="1:6" x14ac:dyDescent="0.25">
      <c r="A5508" s="5">
        <v>3417010</v>
      </c>
      <c r="B5508" s="1">
        <v>2017</v>
      </c>
      <c r="C5508" s="1" t="s">
        <v>1387</v>
      </c>
      <c r="D5508" s="1" t="s">
        <v>659</v>
      </c>
      <c r="E5508" s="8">
        <v>407995</v>
      </c>
      <c r="F5508" s="5">
        <v>3417010</v>
      </c>
    </row>
    <row r="5509" spans="1:6" x14ac:dyDescent="0.25">
      <c r="A5509" s="5">
        <v>3417010</v>
      </c>
      <c r="B5509" s="1">
        <v>2018</v>
      </c>
      <c r="C5509" s="1" t="s">
        <v>1387</v>
      </c>
      <c r="D5509" s="1" t="s">
        <v>1352</v>
      </c>
      <c r="E5509" s="8">
        <v>503989</v>
      </c>
      <c r="F5509" s="5">
        <v>3417010</v>
      </c>
    </row>
    <row r="5510" spans="1:6" x14ac:dyDescent="0.25">
      <c r="A5510" s="5">
        <v>3417010</v>
      </c>
      <c r="B5510" s="1">
        <v>2019</v>
      </c>
      <c r="C5510" s="1" t="s">
        <v>1387</v>
      </c>
      <c r="D5510" s="1" t="s">
        <v>1352</v>
      </c>
      <c r="E5510" s="8">
        <v>671857</v>
      </c>
      <c r="F5510" s="5">
        <v>3417010</v>
      </c>
    </row>
    <row r="5511" spans="1:6" ht="20" x14ac:dyDescent="0.25">
      <c r="A5511" s="5">
        <v>3417010</v>
      </c>
      <c r="B5511" s="1">
        <v>2020</v>
      </c>
      <c r="C5511" s="1" t="s">
        <v>1387</v>
      </c>
      <c r="D5511" s="2" t="s">
        <v>1352</v>
      </c>
      <c r="E5511" s="7">
        <v>821539</v>
      </c>
      <c r="F5511" s="5">
        <v>3417010</v>
      </c>
    </row>
    <row r="5512" spans="1:6" ht="20" x14ac:dyDescent="0.25">
      <c r="A5512" s="5">
        <v>3417010</v>
      </c>
      <c r="B5512" s="1">
        <v>2021</v>
      </c>
      <c r="C5512" s="1" t="s">
        <v>1387</v>
      </c>
      <c r="D5512" s="3" t="s">
        <v>1352</v>
      </c>
      <c r="E5512" s="7">
        <v>1026310</v>
      </c>
      <c r="F5512" s="5">
        <v>3417010</v>
      </c>
    </row>
    <row r="5513" spans="1:6" ht="20" x14ac:dyDescent="0.25">
      <c r="A5513" s="5">
        <v>3417010</v>
      </c>
      <c r="B5513" s="1">
        <v>2022</v>
      </c>
      <c r="C5513" s="1" t="s">
        <v>1387</v>
      </c>
      <c r="D5513" s="2" t="s">
        <v>1352</v>
      </c>
      <c r="E5513" s="7">
        <v>1422539</v>
      </c>
      <c r="F5513" s="5">
        <v>3417010</v>
      </c>
    </row>
    <row r="5514" spans="1:6" ht="20" x14ac:dyDescent="0.25">
      <c r="A5514" s="5">
        <v>3417010</v>
      </c>
      <c r="B5514" s="1">
        <v>2023</v>
      </c>
      <c r="C5514" s="1" t="s">
        <v>1387</v>
      </c>
      <c r="D5514" s="2" t="s">
        <v>1352</v>
      </c>
      <c r="E5514" s="7">
        <v>1397002</v>
      </c>
      <c r="F5514" s="5">
        <v>3417010</v>
      </c>
    </row>
    <row r="5515" spans="1:6" x14ac:dyDescent="0.25">
      <c r="A5515" s="5">
        <v>3417040</v>
      </c>
      <c r="B5515" s="1">
        <v>2015</v>
      </c>
      <c r="C5515" s="1" t="s">
        <v>1387</v>
      </c>
      <c r="D5515" s="1" t="s">
        <v>145</v>
      </c>
      <c r="E5515" s="8">
        <v>13821</v>
      </c>
      <c r="F5515" s="5">
        <v>3417040</v>
      </c>
    </row>
    <row r="5516" spans="1:6" x14ac:dyDescent="0.25">
      <c r="A5516" s="5">
        <v>3417040</v>
      </c>
      <c r="B5516" s="1">
        <v>2016</v>
      </c>
      <c r="C5516" s="1" t="s">
        <v>1387</v>
      </c>
      <c r="D5516" s="1" t="s">
        <v>145</v>
      </c>
      <c r="E5516" s="8">
        <v>20732</v>
      </c>
      <c r="F5516" s="5">
        <v>3417040</v>
      </c>
    </row>
    <row r="5517" spans="1:6" x14ac:dyDescent="0.25">
      <c r="A5517" s="5">
        <v>3417040</v>
      </c>
      <c r="B5517" s="1">
        <v>2017</v>
      </c>
      <c r="C5517" s="1" t="s">
        <v>1387</v>
      </c>
      <c r="D5517" s="1" t="s">
        <v>145</v>
      </c>
      <c r="E5517" s="8">
        <v>33684</v>
      </c>
      <c r="F5517" s="5">
        <v>3417040</v>
      </c>
    </row>
    <row r="5518" spans="1:6" x14ac:dyDescent="0.25">
      <c r="A5518" s="5">
        <v>3417040</v>
      </c>
      <c r="B5518" s="1">
        <v>2018</v>
      </c>
      <c r="C5518" s="1" t="s">
        <v>1387</v>
      </c>
      <c r="D5518" s="1" t="s">
        <v>826</v>
      </c>
      <c r="E5518" s="8">
        <v>12376</v>
      </c>
      <c r="F5518" s="5">
        <v>3417040</v>
      </c>
    </row>
    <row r="5519" spans="1:6" x14ac:dyDescent="0.25">
      <c r="A5519" s="5">
        <v>3417070</v>
      </c>
      <c r="B5519" s="1">
        <v>2015</v>
      </c>
      <c r="C5519" s="1" t="s">
        <v>1387</v>
      </c>
      <c r="D5519" s="1" t="s">
        <v>295</v>
      </c>
      <c r="E5519" s="8">
        <v>2851748</v>
      </c>
      <c r="F5519" s="5">
        <v>3417070</v>
      </c>
    </row>
    <row r="5520" spans="1:6" x14ac:dyDescent="0.25">
      <c r="A5520" s="5">
        <v>3417070</v>
      </c>
      <c r="B5520" s="1">
        <v>2016</v>
      </c>
      <c r="C5520" s="1" t="s">
        <v>1387</v>
      </c>
      <c r="D5520" s="1" t="s">
        <v>295</v>
      </c>
      <c r="E5520" s="8">
        <v>4578742</v>
      </c>
      <c r="F5520" s="5">
        <v>3417070</v>
      </c>
    </row>
    <row r="5521" spans="1:6" x14ac:dyDescent="0.25">
      <c r="A5521" s="5">
        <v>3417070</v>
      </c>
      <c r="B5521" s="1">
        <v>2017</v>
      </c>
      <c r="C5521" s="1" t="s">
        <v>1387</v>
      </c>
      <c r="D5521" s="1" t="s">
        <v>295</v>
      </c>
      <c r="E5521" s="8">
        <v>6392918</v>
      </c>
      <c r="F5521" s="5">
        <v>3417070</v>
      </c>
    </row>
    <row r="5522" spans="1:6" x14ac:dyDescent="0.25">
      <c r="A5522" s="5">
        <v>3417070</v>
      </c>
      <c r="B5522" s="1">
        <v>2018</v>
      </c>
      <c r="C5522" s="1" t="s">
        <v>1387</v>
      </c>
      <c r="D5522" s="1" t="s">
        <v>985</v>
      </c>
      <c r="E5522" s="8">
        <v>8427199</v>
      </c>
      <c r="F5522" s="5">
        <v>3417070</v>
      </c>
    </row>
    <row r="5523" spans="1:6" x14ac:dyDescent="0.25">
      <c r="A5523" s="5">
        <v>3417070</v>
      </c>
      <c r="B5523" s="1">
        <v>2019</v>
      </c>
      <c r="C5523" s="1" t="s">
        <v>1387</v>
      </c>
      <c r="D5523" s="1" t="s">
        <v>1364</v>
      </c>
      <c r="E5523" s="8">
        <v>11007524</v>
      </c>
      <c r="F5523" s="5">
        <v>3417070</v>
      </c>
    </row>
    <row r="5524" spans="1:6" ht="20" x14ac:dyDescent="0.25">
      <c r="A5524" s="5">
        <v>3417070</v>
      </c>
      <c r="B5524" s="1">
        <v>2020</v>
      </c>
      <c r="C5524" s="1" t="s">
        <v>1387</v>
      </c>
      <c r="D5524" s="2" t="s">
        <v>985</v>
      </c>
      <c r="E5524" s="7">
        <v>12392928</v>
      </c>
      <c r="F5524" s="5">
        <v>3417070</v>
      </c>
    </row>
    <row r="5525" spans="1:6" ht="20" x14ac:dyDescent="0.25">
      <c r="A5525" s="5">
        <v>3417070</v>
      </c>
      <c r="B5525" s="1">
        <v>2021</v>
      </c>
      <c r="C5525" s="1" t="s">
        <v>1387</v>
      </c>
      <c r="D5525" s="3" t="s">
        <v>985</v>
      </c>
      <c r="E5525" s="7">
        <v>15977680</v>
      </c>
      <c r="F5525" s="5">
        <v>3417070</v>
      </c>
    </row>
    <row r="5526" spans="1:6" ht="20" x14ac:dyDescent="0.25">
      <c r="A5526" s="5">
        <v>3417070</v>
      </c>
      <c r="B5526" s="1">
        <v>2022</v>
      </c>
      <c r="C5526" s="1" t="s">
        <v>1387</v>
      </c>
      <c r="D5526" s="2" t="s">
        <v>985</v>
      </c>
      <c r="E5526" s="7">
        <v>22324223</v>
      </c>
      <c r="F5526" s="5">
        <v>3417070</v>
      </c>
    </row>
    <row r="5527" spans="1:6" ht="20" x14ac:dyDescent="0.25">
      <c r="A5527" s="5">
        <v>3417070</v>
      </c>
      <c r="B5527" s="1">
        <v>2023</v>
      </c>
      <c r="C5527" s="1" t="s">
        <v>1387</v>
      </c>
      <c r="D5527" s="2" t="s">
        <v>985</v>
      </c>
      <c r="E5527" s="7">
        <v>21955842</v>
      </c>
      <c r="F5527" s="5">
        <v>3417070</v>
      </c>
    </row>
    <row r="5528" spans="1:6" x14ac:dyDescent="0.25">
      <c r="A5528" s="5">
        <v>3417100</v>
      </c>
      <c r="B5528" s="1">
        <v>2015</v>
      </c>
      <c r="C5528" s="1" t="s">
        <v>1387</v>
      </c>
      <c r="D5528" s="1" t="s">
        <v>368</v>
      </c>
      <c r="E5528" s="8">
        <v>904589</v>
      </c>
      <c r="F5528" s="5">
        <v>3417100</v>
      </c>
    </row>
    <row r="5529" spans="1:6" x14ac:dyDescent="0.25">
      <c r="A5529" s="5">
        <v>3417100</v>
      </c>
      <c r="B5529" s="1">
        <v>2016</v>
      </c>
      <c r="C5529" s="1" t="s">
        <v>1387</v>
      </c>
      <c r="D5529" s="1" t="s">
        <v>368</v>
      </c>
      <c r="E5529" s="8">
        <v>1364981</v>
      </c>
      <c r="F5529" s="5">
        <v>3417100</v>
      </c>
    </row>
    <row r="5530" spans="1:6" x14ac:dyDescent="0.25">
      <c r="A5530" s="5">
        <v>3417100</v>
      </c>
      <c r="B5530" s="1">
        <v>2017</v>
      </c>
      <c r="C5530" s="1" t="s">
        <v>1387</v>
      </c>
      <c r="D5530" s="1" t="s">
        <v>368</v>
      </c>
      <c r="E5530" s="8">
        <v>1971099</v>
      </c>
      <c r="F5530" s="5">
        <v>3417100</v>
      </c>
    </row>
    <row r="5531" spans="1:6" x14ac:dyDescent="0.25">
      <c r="A5531" s="5">
        <v>3417100</v>
      </c>
      <c r="B5531" s="1">
        <v>2018</v>
      </c>
      <c r="C5531" s="1" t="s">
        <v>1387</v>
      </c>
      <c r="D5531" s="1" t="s">
        <v>1059</v>
      </c>
      <c r="E5531" s="8">
        <v>2618911</v>
      </c>
      <c r="F5531" s="5">
        <v>3417100</v>
      </c>
    </row>
    <row r="5532" spans="1:6" x14ac:dyDescent="0.25">
      <c r="A5532" s="5">
        <v>3417100</v>
      </c>
      <c r="B5532" s="1">
        <v>2019</v>
      </c>
      <c r="C5532" s="1" t="s">
        <v>1387</v>
      </c>
      <c r="D5532" s="1" t="s">
        <v>1059</v>
      </c>
      <c r="E5532" s="8">
        <v>3495328</v>
      </c>
      <c r="F5532" s="5">
        <v>3417100</v>
      </c>
    </row>
    <row r="5533" spans="1:6" ht="20" x14ac:dyDescent="0.25">
      <c r="A5533" s="5">
        <v>3417100</v>
      </c>
      <c r="B5533" s="1">
        <v>2020</v>
      </c>
      <c r="C5533" s="1" t="s">
        <v>1387</v>
      </c>
      <c r="D5533" s="2" t="s">
        <v>1059</v>
      </c>
      <c r="E5533" s="7">
        <v>4057349</v>
      </c>
      <c r="F5533" s="5">
        <v>3417100</v>
      </c>
    </row>
    <row r="5534" spans="1:6" ht="20" x14ac:dyDescent="0.25">
      <c r="A5534" s="5">
        <v>3417100</v>
      </c>
      <c r="B5534" s="1">
        <v>2021</v>
      </c>
      <c r="C5534" s="1" t="s">
        <v>1387</v>
      </c>
      <c r="D5534" s="3" t="s">
        <v>1059</v>
      </c>
      <c r="E5534" s="7">
        <v>5209611</v>
      </c>
      <c r="F5534" s="5">
        <v>3417100</v>
      </c>
    </row>
    <row r="5535" spans="1:6" ht="20" x14ac:dyDescent="0.25">
      <c r="A5535" s="5">
        <v>3417100</v>
      </c>
      <c r="B5535" s="1">
        <v>2022</v>
      </c>
      <c r="C5535" s="1" t="s">
        <v>1387</v>
      </c>
      <c r="D5535" s="2" t="s">
        <v>1059</v>
      </c>
      <c r="E5535" s="7">
        <v>7855003</v>
      </c>
      <c r="F5535" s="5">
        <v>3417100</v>
      </c>
    </row>
    <row r="5536" spans="1:6" ht="20" x14ac:dyDescent="0.25">
      <c r="A5536" s="5">
        <v>3417100</v>
      </c>
      <c r="B5536" s="1">
        <v>2023</v>
      </c>
      <c r="C5536" s="1" t="s">
        <v>1387</v>
      </c>
      <c r="D5536" s="2" t="s">
        <v>1059</v>
      </c>
      <c r="E5536" s="7">
        <v>8063217</v>
      </c>
      <c r="F5536" s="5">
        <v>3417100</v>
      </c>
    </row>
    <row r="5537" spans="1:6" x14ac:dyDescent="0.25">
      <c r="A5537" s="5">
        <v>3417130</v>
      </c>
      <c r="B5537" s="1">
        <v>2015</v>
      </c>
      <c r="C5537" s="1" t="s">
        <v>1387</v>
      </c>
      <c r="D5537" s="1" t="s">
        <v>491</v>
      </c>
      <c r="E5537" s="8">
        <v>956553</v>
      </c>
      <c r="F5537" s="5">
        <v>3417130</v>
      </c>
    </row>
    <row r="5538" spans="1:6" x14ac:dyDescent="0.25">
      <c r="A5538" s="5">
        <v>3417130</v>
      </c>
      <c r="B5538" s="1">
        <v>2016</v>
      </c>
      <c r="C5538" s="1" t="s">
        <v>1387</v>
      </c>
      <c r="D5538" s="1" t="s">
        <v>491</v>
      </c>
      <c r="E5538" s="8">
        <v>1429272</v>
      </c>
      <c r="F5538" s="5">
        <v>3417130</v>
      </c>
    </row>
    <row r="5539" spans="1:6" x14ac:dyDescent="0.25">
      <c r="A5539" s="5">
        <v>3417130</v>
      </c>
      <c r="B5539" s="1">
        <v>2017</v>
      </c>
      <c r="C5539" s="1" t="s">
        <v>1387</v>
      </c>
      <c r="D5539" s="1" t="s">
        <v>491</v>
      </c>
      <c r="E5539" s="8">
        <v>1949217</v>
      </c>
      <c r="F5539" s="5">
        <v>3417130</v>
      </c>
    </row>
    <row r="5540" spans="1:6" x14ac:dyDescent="0.25">
      <c r="A5540" s="5">
        <v>3417130</v>
      </c>
      <c r="B5540" s="1">
        <v>2018</v>
      </c>
      <c r="C5540" s="1" t="s">
        <v>1387</v>
      </c>
      <c r="D5540" s="1" t="s">
        <v>1183</v>
      </c>
      <c r="E5540" s="8">
        <v>2727061</v>
      </c>
      <c r="F5540" s="5">
        <v>3417130</v>
      </c>
    </row>
    <row r="5541" spans="1:6" x14ac:dyDescent="0.25">
      <c r="A5541" s="5">
        <v>3417130</v>
      </c>
      <c r="B5541" s="1">
        <v>2019</v>
      </c>
      <c r="C5541" s="1" t="s">
        <v>1387</v>
      </c>
      <c r="D5541" s="1" t="s">
        <v>1183</v>
      </c>
      <c r="E5541" s="8">
        <v>3627189</v>
      </c>
      <c r="F5541" s="5">
        <v>3417130</v>
      </c>
    </row>
    <row r="5542" spans="1:6" ht="20" x14ac:dyDescent="0.25">
      <c r="A5542" s="5">
        <v>3417130</v>
      </c>
      <c r="B5542" s="1">
        <v>2020</v>
      </c>
      <c r="C5542" s="1" t="s">
        <v>1387</v>
      </c>
      <c r="D5542" s="2" t="s">
        <v>1183</v>
      </c>
      <c r="E5542" s="7">
        <v>3983989</v>
      </c>
      <c r="F5542" s="5">
        <v>3417130</v>
      </c>
    </row>
    <row r="5543" spans="1:6" ht="20" x14ac:dyDescent="0.25">
      <c r="A5543" s="5">
        <v>3417130</v>
      </c>
      <c r="B5543" s="1">
        <v>2021</v>
      </c>
      <c r="C5543" s="1" t="s">
        <v>1387</v>
      </c>
      <c r="D5543" s="3" t="s">
        <v>1183</v>
      </c>
      <c r="E5543" s="7">
        <v>5106275</v>
      </c>
      <c r="F5543" s="5">
        <v>3417130</v>
      </c>
    </row>
    <row r="5544" spans="1:6" ht="20" x14ac:dyDescent="0.25">
      <c r="A5544" s="5">
        <v>3417130</v>
      </c>
      <c r="B5544" s="1">
        <v>2022</v>
      </c>
      <c r="C5544" s="1" t="s">
        <v>1387</v>
      </c>
      <c r="D5544" s="2" t="s">
        <v>1183</v>
      </c>
      <c r="E5544" s="7">
        <v>7084835</v>
      </c>
      <c r="F5544" s="5">
        <v>3417130</v>
      </c>
    </row>
    <row r="5545" spans="1:6" ht="20" x14ac:dyDescent="0.25">
      <c r="A5545" s="5">
        <v>3417130</v>
      </c>
      <c r="B5545" s="1">
        <v>2023</v>
      </c>
      <c r="C5545" s="1" t="s">
        <v>1387</v>
      </c>
      <c r="D5545" s="2" t="s">
        <v>1183</v>
      </c>
      <c r="E5545" s="7">
        <v>7061924</v>
      </c>
      <c r="F5545" s="5">
        <v>3417130</v>
      </c>
    </row>
    <row r="5546" spans="1:6" x14ac:dyDescent="0.25">
      <c r="A5546" s="5">
        <v>3417160</v>
      </c>
      <c r="B5546" s="1">
        <v>2015</v>
      </c>
      <c r="C5546" s="1" t="s">
        <v>1387</v>
      </c>
      <c r="D5546" s="1" t="s">
        <v>660</v>
      </c>
      <c r="E5546" s="8">
        <v>227987</v>
      </c>
      <c r="F5546" s="5">
        <v>3417160</v>
      </c>
    </row>
    <row r="5547" spans="1:6" x14ac:dyDescent="0.25">
      <c r="A5547" s="5">
        <v>3417160</v>
      </c>
      <c r="B5547" s="1">
        <v>2016</v>
      </c>
      <c r="C5547" s="1" t="s">
        <v>1387</v>
      </c>
      <c r="D5547" s="1" t="s">
        <v>660</v>
      </c>
      <c r="E5547" s="8">
        <v>321121</v>
      </c>
      <c r="F5547" s="5">
        <v>3417160</v>
      </c>
    </row>
    <row r="5548" spans="1:6" x14ac:dyDescent="0.25">
      <c r="A5548" s="5">
        <v>3417160</v>
      </c>
      <c r="B5548" s="1">
        <v>2017</v>
      </c>
      <c r="C5548" s="1" t="s">
        <v>1387</v>
      </c>
      <c r="D5548" s="1" t="s">
        <v>660</v>
      </c>
      <c r="E5548" s="8">
        <v>471037</v>
      </c>
      <c r="F5548" s="5">
        <v>3417160</v>
      </c>
    </row>
    <row r="5549" spans="1:6" x14ac:dyDescent="0.25">
      <c r="A5549" s="5">
        <v>3417160</v>
      </c>
      <c r="B5549" s="1">
        <v>2018</v>
      </c>
      <c r="C5549" s="1" t="s">
        <v>1387</v>
      </c>
      <c r="D5549" s="1" t="s">
        <v>1353</v>
      </c>
      <c r="E5549" s="8">
        <v>596720</v>
      </c>
      <c r="F5549" s="5">
        <v>3417160</v>
      </c>
    </row>
    <row r="5550" spans="1:6" x14ac:dyDescent="0.25">
      <c r="A5550" s="5">
        <v>3417160</v>
      </c>
      <c r="B5550" s="1">
        <v>2019</v>
      </c>
      <c r="C5550" s="1" t="s">
        <v>1387</v>
      </c>
      <c r="D5550" s="1" t="s">
        <v>1353</v>
      </c>
      <c r="E5550" s="8">
        <v>771598</v>
      </c>
      <c r="F5550" s="5">
        <v>3417160</v>
      </c>
    </row>
    <row r="5551" spans="1:6" ht="20" x14ac:dyDescent="0.25">
      <c r="A5551" s="5">
        <v>3417160</v>
      </c>
      <c r="B5551" s="1">
        <v>2020</v>
      </c>
      <c r="C5551" s="1" t="s">
        <v>1387</v>
      </c>
      <c r="D5551" s="2" t="s">
        <v>1353</v>
      </c>
      <c r="E5551" s="7">
        <v>838518</v>
      </c>
      <c r="F5551" s="5">
        <v>3417160</v>
      </c>
    </row>
    <row r="5552" spans="1:6" ht="20" x14ac:dyDescent="0.25">
      <c r="A5552" s="5">
        <v>3417160</v>
      </c>
      <c r="B5552" s="1">
        <v>2021</v>
      </c>
      <c r="C5552" s="1" t="s">
        <v>1387</v>
      </c>
      <c r="D5552" s="3" t="s">
        <v>1353</v>
      </c>
      <c r="E5552" s="7">
        <v>1101753</v>
      </c>
      <c r="F5552" s="5">
        <v>3417160</v>
      </c>
    </row>
    <row r="5553" spans="1:6" ht="20" x14ac:dyDescent="0.25">
      <c r="A5553" s="5">
        <v>3417160</v>
      </c>
      <c r="B5553" s="1">
        <v>2022</v>
      </c>
      <c r="C5553" s="1" t="s">
        <v>1387</v>
      </c>
      <c r="D5553" s="2" t="s">
        <v>1353</v>
      </c>
      <c r="E5553" s="7">
        <v>1535932</v>
      </c>
      <c r="F5553" s="5">
        <v>3417160</v>
      </c>
    </row>
    <row r="5554" spans="1:6" ht="20" x14ac:dyDescent="0.25">
      <c r="A5554" s="5">
        <v>3417160</v>
      </c>
      <c r="B5554" s="1">
        <v>2023</v>
      </c>
      <c r="C5554" s="1" t="s">
        <v>1387</v>
      </c>
      <c r="D5554" s="2" t="s">
        <v>1353</v>
      </c>
      <c r="E5554" s="7">
        <v>1518652</v>
      </c>
      <c r="F5554" s="5">
        <v>3417160</v>
      </c>
    </row>
    <row r="5555" spans="1:6" x14ac:dyDescent="0.25">
      <c r="A5555" s="5">
        <v>3417190</v>
      </c>
      <c r="B5555" s="1">
        <v>2015</v>
      </c>
      <c r="C5555" s="1" t="s">
        <v>1387</v>
      </c>
      <c r="D5555" s="1" t="s">
        <v>581</v>
      </c>
      <c r="E5555" s="8">
        <v>243398</v>
      </c>
      <c r="F5555" s="5">
        <v>3417190</v>
      </c>
    </row>
    <row r="5556" spans="1:6" x14ac:dyDescent="0.25">
      <c r="A5556" s="5">
        <v>3417190</v>
      </c>
      <c r="B5556" s="1">
        <v>2016</v>
      </c>
      <c r="C5556" s="1" t="s">
        <v>1387</v>
      </c>
      <c r="D5556" s="1" t="s">
        <v>581</v>
      </c>
      <c r="E5556" s="8">
        <v>366181</v>
      </c>
      <c r="F5556" s="5">
        <v>3417190</v>
      </c>
    </row>
    <row r="5557" spans="1:6" x14ac:dyDescent="0.25">
      <c r="A5557" s="5">
        <v>3417190</v>
      </c>
      <c r="B5557" s="1">
        <v>2017</v>
      </c>
      <c r="C5557" s="1" t="s">
        <v>1387</v>
      </c>
      <c r="D5557" s="1" t="s">
        <v>581</v>
      </c>
      <c r="E5557" s="8">
        <v>537167</v>
      </c>
      <c r="F5557" s="5">
        <v>3417190</v>
      </c>
    </row>
    <row r="5558" spans="1:6" x14ac:dyDescent="0.25">
      <c r="A5558" s="5">
        <v>3417190</v>
      </c>
      <c r="B5558" s="1">
        <v>2018</v>
      </c>
      <c r="C5558" s="1" t="s">
        <v>1387</v>
      </c>
      <c r="D5558" s="1" t="s">
        <v>1274</v>
      </c>
      <c r="E5558" s="8">
        <v>734670</v>
      </c>
      <c r="F5558" s="5">
        <v>3417190</v>
      </c>
    </row>
    <row r="5559" spans="1:6" x14ac:dyDescent="0.25">
      <c r="A5559" s="5">
        <v>3417190</v>
      </c>
      <c r="B5559" s="1">
        <v>2019</v>
      </c>
      <c r="C5559" s="1" t="s">
        <v>1387</v>
      </c>
      <c r="D5559" s="1" t="s">
        <v>1274</v>
      </c>
      <c r="E5559" s="8">
        <v>952208</v>
      </c>
      <c r="F5559" s="5">
        <v>3417190</v>
      </c>
    </row>
    <row r="5560" spans="1:6" ht="20" x14ac:dyDescent="0.25">
      <c r="A5560" s="5">
        <v>3417190</v>
      </c>
      <c r="B5560" s="1">
        <v>2020</v>
      </c>
      <c r="C5560" s="1" t="s">
        <v>1387</v>
      </c>
      <c r="D5560" s="2" t="s">
        <v>1274</v>
      </c>
      <c r="E5560" s="7">
        <v>1046342</v>
      </c>
      <c r="F5560" s="5">
        <v>3417190</v>
      </c>
    </row>
    <row r="5561" spans="1:6" ht="20" x14ac:dyDescent="0.25">
      <c r="A5561" s="5">
        <v>3417190</v>
      </c>
      <c r="B5561" s="1">
        <v>2021</v>
      </c>
      <c r="C5561" s="1" t="s">
        <v>1387</v>
      </c>
      <c r="D5561" s="3" t="s">
        <v>1274</v>
      </c>
      <c r="E5561" s="7">
        <v>1284331</v>
      </c>
      <c r="F5561" s="5">
        <v>3417190</v>
      </c>
    </row>
    <row r="5562" spans="1:6" ht="20" x14ac:dyDescent="0.25">
      <c r="A5562" s="5">
        <v>3417190</v>
      </c>
      <c r="B5562" s="1">
        <v>2022</v>
      </c>
      <c r="C5562" s="1" t="s">
        <v>1387</v>
      </c>
      <c r="D5562" s="2" t="s">
        <v>1274</v>
      </c>
      <c r="E5562" s="7">
        <v>2022960</v>
      </c>
      <c r="F5562" s="5">
        <v>3417190</v>
      </c>
    </row>
    <row r="5563" spans="1:6" ht="20" x14ac:dyDescent="0.25">
      <c r="A5563" s="5">
        <v>3417190</v>
      </c>
      <c r="B5563" s="1">
        <v>2023</v>
      </c>
      <c r="C5563" s="1" t="s">
        <v>1387</v>
      </c>
      <c r="D5563" s="2" t="s">
        <v>1274</v>
      </c>
      <c r="E5563" s="7">
        <v>2104470</v>
      </c>
      <c r="F5563" s="5">
        <v>3417190</v>
      </c>
    </row>
    <row r="5564" spans="1:6" x14ac:dyDescent="0.25">
      <c r="A5564" s="5">
        <v>3417220</v>
      </c>
      <c r="B5564" s="1">
        <v>2015</v>
      </c>
      <c r="C5564" s="1" t="s">
        <v>1387</v>
      </c>
      <c r="D5564" s="1" t="s">
        <v>582</v>
      </c>
      <c r="E5564" s="8">
        <v>870296</v>
      </c>
      <c r="F5564" s="5">
        <v>3417220</v>
      </c>
    </row>
    <row r="5565" spans="1:6" x14ac:dyDescent="0.25">
      <c r="A5565" s="5">
        <v>3417220</v>
      </c>
      <c r="B5565" s="1">
        <v>2016</v>
      </c>
      <c r="C5565" s="1" t="s">
        <v>1387</v>
      </c>
      <c r="D5565" s="1" t="s">
        <v>582</v>
      </c>
      <c r="E5565" s="8">
        <v>1294465</v>
      </c>
      <c r="F5565" s="5">
        <v>3417220</v>
      </c>
    </row>
    <row r="5566" spans="1:6" x14ac:dyDescent="0.25">
      <c r="A5566" s="5">
        <v>3417220</v>
      </c>
      <c r="B5566" s="1">
        <v>2017</v>
      </c>
      <c r="C5566" s="1" t="s">
        <v>1387</v>
      </c>
      <c r="D5566" s="1" t="s">
        <v>582</v>
      </c>
      <c r="E5566" s="8">
        <v>1784205</v>
      </c>
      <c r="F5566" s="5">
        <v>3417220</v>
      </c>
    </row>
    <row r="5567" spans="1:6" x14ac:dyDescent="0.25">
      <c r="A5567" s="5">
        <v>3417220</v>
      </c>
      <c r="B5567" s="1">
        <v>2018</v>
      </c>
      <c r="C5567" s="1" t="s">
        <v>1387</v>
      </c>
      <c r="D5567" s="1" t="s">
        <v>1275</v>
      </c>
      <c r="E5567" s="8">
        <v>2459580</v>
      </c>
      <c r="F5567" s="5">
        <v>3417220</v>
      </c>
    </row>
    <row r="5568" spans="1:6" x14ac:dyDescent="0.25">
      <c r="A5568" s="5">
        <v>3417220</v>
      </c>
      <c r="B5568" s="1">
        <v>2019</v>
      </c>
      <c r="C5568" s="1" t="s">
        <v>1387</v>
      </c>
      <c r="D5568" s="1" t="s">
        <v>1275</v>
      </c>
      <c r="E5568" s="8">
        <v>3176291</v>
      </c>
      <c r="F5568" s="5">
        <v>3417220</v>
      </c>
    </row>
    <row r="5569" spans="1:6" ht="20" x14ac:dyDescent="0.25">
      <c r="A5569" s="5">
        <v>3417220</v>
      </c>
      <c r="B5569" s="1">
        <v>2020</v>
      </c>
      <c r="C5569" s="1" t="s">
        <v>1387</v>
      </c>
      <c r="D5569" s="2" t="s">
        <v>1275</v>
      </c>
      <c r="E5569" s="7">
        <v>3549082</v>
      </c>
      <c r="F5569" s="5">
        <v>3417220</v>
      </c>
    </row>
    <row r="5570" spans="1:6" ht="20" x14ac:dyDescent="0.25">
      <c r="A5570" s="5">
        <v>3417220</v>
      </c>
      <c r="B5570" s="1">
        <v>2021</v>
      </c>
      <c r="C5570" s="1" t="s">
        <v>1387</v>
      </c>
      <c r="D5570" s="3" t="s">
        <v>1275</v>
      </c>
      <c r="E5570" s="7">
        <v>4499303</v>
      </c>
      <c r="F5570" s="5">
        <v>3417220</v>
      </c>
    </row>
    <row r="5571" spans="1:6" ht="20" x14ac:dyDescent="0.25">
      <c r="A5571" s="5">
        <v>3417220</v>
      </c>
      <c r="B5571" s="1">
        <v>2022</v>
      </c>
      <c r="C5571" s="1" t="s">
        <v>1387</v>
      </c>
      <c r="D5571" s="2" t="s">
        <v>1275</v>
      </c>
      <c r="E5571" s="7">
        <v>6464335</v>
      </c>
      <c r="F5571" s="5">
        <v>3417220</v>
      </c>
    </row>
    <row r="5572" spans="1:6" ht="20" x14ac:dyDescent="0.25">
      <c r="A5572" s="5">
        <v>3417220</v>
      </c>
      <c r="B5572" s="1">
        <v>2023</v>
      </c>
      <c r="C5572" s="1" t="s">
        <v>1387</v>
      </c>
      <c r="D5572" s="2" t="s">
        <v>1275</v>
      </c>
      <c r="E5572" s="7">
        <v>6445978</v>
      </c>
      <c r="F5572" s="5">
        <v>3417220</v>
      </c>
    </row>
    <row r="5573" spans="1:6" x14ac:dyDescent="0.25">
      <c r="A5573" s="5">
        <v>3417250</v>
      </c>
      <c r="B5573" s="1">
        <v>2015</v>
      </c>
      <c r="C5573" s="1" t="s">
        <v>1387</v>
      </c>
      <c r="D5573" s="1" t="s">
        <v>192</v>
      </c>
      <c r="E5573" s="8">
        <v>316292</v>
      </c>
      <c r="F5573" s="5">
        <v>3417250</v>
      </c>
    </row>
    <row r="5574" spans="1:6" x14ac:dyDescent="0.25">
      <c r="A5574" s="5">
        <v>3417250</v>
      </c>
      <c r="B5574" s="1">
        <v>2016</v>
      </c>
      <c r="C5574" s="1" t="s">
        <v>1387</v>
      </c>
      <c r="D5574" s="1" t="s">
        <v>192</v>
      </c>
      <c r="E5574" s="8">
        <v>507960</v>
      </c>
      <c r="F5574" s="5">
        <v>3417250</v>
      </c>
    </row>
    <row r="5575" spans="1:6" x14ac:dyDescent="0.25">
      <c r="A5575" s="5">
        <v>3417250</v>
      </c>
      <c r="B5575" s="1">
        <v>2017</v>
      </c>
      <c r="C5575" s="1" t="s">
        <v>1387</v>
      </c>
      <c r="D5575" s="1" t="s">
        <v>192</v>
      </c>
      <c r="E5575" s="8">
        <v>712587</v>
      </c>
      <c r="F5575" s="5">
        <v>3417250</v>
      </c>
    </row>
    <row r="5576" spans="1:6" x14ac:dyDescent="0.25">
      <c r="A5576" s="5">
        <v>3417250</v>
      </c>
      <c r="B5576" s="1">
        <v>2018</v>
      </c>
      <c r="C5576" s="1" t="s">
        <v>1387</v>
      </c>
      <c r="D5576" s="1" t="s">
        <v>876</v>
      </c>
      <c r="E5576" s="8">
        <v>1009784</v>
      </c>
      <c r="F5576" s="5">
        <v>3417250</v>
      </c>
    </row>
    <row r="5577" spans="1:6" x14ac:dyDescent="0.25">
      <c r="A5577" s="5">
        <v>3417250</v>
      </c>
      <c r="B5577" s="1">
        <v>2019</v>
      </c>
      <c r="C5577" s="1" t="s">
        <v>1387</v>
      </c>
      <c r="D5577" s="1" t="s">
        <v>876</v>
      </c>
      <c r="E5577" s="8">
        <v>1320067</v>
      </c>
      <c r="F5577" s="5">
        <v>3417250</v>
      </c>
    </row>
    <row r="5578" spans="1:6" ht="20" x14ac:dyDescent="0.25">
      <c r="A5578" s="5">
        <v>3417250</v>
      </c>
      <c r="B5578" s="1">
        <v>2020</v>
      </c>
      <c r="C5578" s="1" t="s">
        <v>1387</v>
      </c>
      <c r="D5578" s="2" t="s">
        <v>876</v>
      </c>
      <c r="E5578" s="7">
        <v>1352884</v>
      </c>
      <c r="F5578" s="5">
        <v>3417250</v>
      </c>
    </row>
    <row r="5579" spans="1:6" ht="20" x14ac:dyDescent="0.25">
      <c r="A5579" s="5">
        <v>3417250</v>
      </c>
      <c r="B5579" s="1">
        <v>2021</v>
      </c>
      <c r="C5579" s="1" t="s">
        <v>1387</v>
      </c>
      <c r="D5579" s="3" t="s">
        <v>876</v>
      </c>
      <c r="E5579" s="7">
        <v>1915646</v>
      </c>
      <c r="F5579" s="5">
        <v>3417250</v>
      </c>
    </row>
    <row r="5580" spans="1:6" ht="20" x14ac:dyDescent="0.25">
      <c r="A5580" s="5">
        <v>3417250</v>
      </c>
      <c r="B5580" s="1">
        <v>2022</v>
      </c>
      <c r="C5580" s="1" t="s">
        <v>1387</v>
      </c>
      <c r="D5580" s="2" t="s">
        <v>876</v>
      </c>
      <c r="E5580" s="7">
        <v>2800103</v>
      </c>
      <c r="F5580" s="5">
        <v>3417250</v>
      </c>
    </row>
    <row r="5581" spans="1:6" ht="20" x14ac:dyDescent="0.25">
      <c r="A5581" s="5">
        <v>3417250</v>
      </c>
      <c r="B5581" s="1">
        <v>2023</v>
      </c>
      <c r="C5581" s="1" t="s">
        <v>1387</v>
      </c>
      <c r="D5581" s="2" t="s">
        <v>876</v>
      </c>
      <c r="E5581" s="7">
        <v>2760496</v>
      </c>
      <c r="F5581" s="5">
        <v>3417250</v>
      </c>
    </row>
    <row r="5582" spans="1:6" x14ac:dyDescent="0.25">
      <c r="A5582" s="5">
        <v>3417280</v>
      </c>
      <c r="B5582" s="1">
        <v>2015</v>
      </c>
      <c r="C5582" s="1" t="s">
        <v>1387</v>
      </c>
      <c r="D5582" s="1" t="s">
        <v>546</v>
      </c>
      <c r="E5582" s="8">
        <v>3423773</v>
      </c>
      <c r="F5582" s="5">
        <v>3417280</v>
      </c>
    </row>
    <row r="5583" spans="1:6" x14ac:dyDescent="0.25">
      <c r="A5583" s="5">
        <v>3417280</v>
      </c>
      <c r="B5583" s="1">
        <v>2016</v>
      </c>
      <c r="C5583" s="1" t="s">
        <v>1387</v>
      </c>
      <c r="D5583" s="1" t="s">
        <v>546</v>
      </c>
      <c r="E5583" s="8">
        <v>5048383</v>
      </c>
      <c r="F5583" s="5">
        <v>3417280</v>
      </c>
    </row>
    <row r="5584" spans="1:6" x14ac:dyDescent="0.25">
      <c r="A5584" s="5">
        <v>3417280</v>
      </c>
      <c r="B5584" s="1">
        <v>2017</v>
      </c>
      <c r="C5584" s="1" t="s">
        <v>1387</v>
      </c>
      <c r="D5584" s="1" t="s">
        <v>546</v>
      </c>
      <c r="E5584" s="8">
        <v>7099931</v>
      </c>
      <c r="F5584" s="5">
        <v>3417280</v>
      </c>
    </row>
    <row r="5585" spans="1:6" x14ac:dyDescent="0.25">
      <c r="A5585" s="5">
        <v>3417280</v>
      </c>
      <c r="B5585" s="1">
        <v>2018</v>
      </c>
      <c r="C5585" s="1" t="s">
        <v>1387</v>
      </c>
      <c r="D5585" s="1" t="s">
        <v>1238</v>
      </c>
      <c r="E5585" s="8">
        <v>9744094</v>
      </c>
      <c r="F5585" s="5">
        <v>3417280</v>
      </c>
    </row>
    <row r="5586" spans="1:6" x14ac:dyDescent="0.25">
      <c r="A5586" s="5">
        <v>3417280</v>
      </c>
      <c r="B5586" s="1">
        <v>2019</v>
      </c>
      <c r="C5586" s="1" t="s">
        <v>1387</v>
      </c>
      <c r="D5586" s="1" t="s">
        <v>1238</v>
      </c>
      <c r="E5586" s="8">
        <v>12598684</v>
      </c>
      <c r="F5586" s="5">
        <v>3417280</v>
      </c>
    </row>
    <row r="5587" spans="1:6" ht="20" x14ac:dyDescent="0.25">
      <c r="A5587" s="5">
        <v>3417280</v>
      </c>
      <c r="B5587" s="1">
        <v>2020</v>
      </c>
      <c r="C5587" s="1" t="s">
        <v>1387</v>
      </c>
      <c r="D5587" s="2" t="s">
        <v>1238</v>
      </c>
      <c r="E5587" s="7">
        <v>14375331</v>
      </c>
      <c r="F5587" s="5">
        <v>3417280</v>
      </c>
    </row>
    <row r="5588" spans="1:6" ht="20" x14ac:dyDescent="0.25">
      <c r="A5588" s="5">
        <v>3417280</v>
      </c>
      <c r="B5588" s="1">
        <v>2021</v>
      </c>
      <c r="C5588" s="1" t="s">
        <v>1387</v>
      </c>
      <c r="D5588" s="3" t="s">
        <v>1238</v>
      </c>
      <c r="E5588" s="7">
        <v>18667538</v>
      </c>
      <c r="F5588" s="5">
        <v>3417280</v>
      </c>
    </row>
    <row r="5589" spans="1:6" ht="20" x14ac:dyDescent="0.25">
      <c r="A5589" s="5">
        <v>3417280</v>
      </c>
      <c r="B5589" s="1">
        <v>2022</v>
      </c>
      <c r="C5589" s="1" t="s">
        <v>1387</v>
      </c>
      <c r="D5589" s="2" t="s">
        <v>1238</v>
      </c>
      <c r="E5589" s="7">
        <v>27005565</v>
      </c>
      <c r="F5589" s="5">
        <v>3417280</v>
      </c>
    </row>
    <row r="5590" spans="1:6" ht="20" x14ac:dyDescent="0.25">
      <c r="A5590" s="5">
        <v>3417280</v>
      </c>
      <c r="B5590" s="1">
        <v>2023</v>
      </c>
      <c r="C5590" s="1" t="s">
        <v>1387</v>
      </c>
      <c r="D5590" s="2" t="s">
        <v>1238</v>
      </c>
      <c r="E5590" s="7">
        <v>27195793</v>
      </c>
      <c r="F5590" s="5">
        <v>3417280</v>
      </c>
    </row>
    <row r="5591" spans="1:6" x14ac:dyDescent="0.25">
      <c r="A5591" s="5">
        <v>3417310</v>
      </c>
      <c r="B5591" s="1">
        <v>2015</v>
      </c>
      <c r="C5591" s="1" t="s">
        <v>1387</v>
      </c>
      <c r="D5591" s="1" t="s">
        <v>323</v>
      </c>
      <c r="E5591" s="8">
        <v>480867</v>
      </c>
      <c r="F5591" s="5">
        <v>3417310</v>
      </c>
    </row>
    <row r="5592" spans="1:6" x14ac:dyDescent="0.25">
      <c r="A5592" s="5">
        <v>3417310</v>
      </c>
      <c r="B5592" s="1">
        <v>2016</v>
      </c>
      <c r="C5592" s="1" t="s">
        <v>1387</v>
      </c>
      <c r="D5592" s="1" t="s">
        <v>323</v>
      </c>
      <c r="E5592" s="8">
        <v>713337</v>
      </c>
      <c r="F5592" s="5">
        <v>3417310</v>
      </c>
    </row>
    <row r="5593" spans="1:6" x14ac:dyDescent="0.25">
      <c r="A5593" s="5">
        <v>3417310</v>
      </c>
      <c r="B5593" s="1">
        <v>2017</v>
      </c>
      <c r="C5593" s="1" t="s">
        <v>1387</v>
      </c>
      <c r="D5593" s="1" t="s">
        <v>323</v>
      </c>
      <c r="E5593" s="8">
        <v>950648</v>
      </c>
      <c r="F5593" s="5">
        <v>3417310</v>
      </c>
    </row>
    <row r="5594" spans="1:6" x14ac:dyDescent="0.25">
      <c r="A5594" s="5">
        <v>3417310</v>
      </c>
      <c r="B5594" s="1">
        <v>2018</v>
      </c>
      <c r="C5594" s="1" t="s">
        <v>1387</v>
      </c>
      <c r="D5594" s="1" t="s">
        <v>1016</v>
      </c>
      <c r="E5594" s="8">
        <v>1359100</v>
      </c>
      <c r="F5594" s="5">
        <v>3417310</v>
      </c>
    </row>
    <row r="5595" spans="1:6" x14ac:dyDescent="0.25">
      <c r="A5595" s="5">
        <v>3417310</v>
      </c>
      <c r="B5595" s="1">
        <v>2019</v>
      </c>
      <c r="C5595" s="1" t="s">
        <v>1387</v>
      </c>
      <c r="D5595" s="1" t="s">
        <v>1016</v>
      </c>
      <c r="E5595" s="8">
        <v>1826845</v>
      </c>
      <c r="F5595" s="5">
        <v>3417310</v>
      </c>
    </row>
    <row r="5596" spans="1:6" ht="20" x14ac:dyDescent="0.25">
      <c r="A5596" s="5">
        <v>3417310</v>
      </c>
      <c r="B5596" s="1">
        <v>2020</v>
      </c>
      <c r="C5596" s="1" t="s">
        <v>1387</v>
      </c>
      <c r="D5596" s="2" t="s">
        <v>1016</v>
      </c>
      <c r="E5596" s="7">
        <v>2024529</v>
      </c>
      <c r="F5596" s="5">
        <v>3417310</v>
      </c>
    </row>
    <row r="5597" spans="1:6" ht="20" x14ac:dyDescent="0.25">
      <c r="A5597" s="5">
        <v>3417310</v>
      </c>
      <c r="B5597" s="1">
        <v>2021</v>
      </c>
      <c r="C5597" s="1" t="s">
        <v>1387</v>
      </c>
      <c r="D5597" s="3" t="s">
        <v>1016</v>
      </c>
      <c r="E5597" s="7">
        <v>2752851</v>
      </c>
      <c r="F5597" s="5">
        <v>3417310</v>
      </c>
    </row>
    <row r="5598" spans="1:6" ht="20" x14ac:dyDescent="0.25">
      <c r="A5598" s="5">
        <v>3417310</v>
      </c>
      <c r="B5598" s="1">
        <v>2022</v>
      </c>
      <c r="C5598" s="1" t="s">
        <v>1387</v>
      </c>
      <c r="D5598" s="2" t="s">
        <v>1016</v>
      </c>
      <c r="E5598" s="7">
        <v>3913249</v>
      </c>
      <c r="F5598" s="5">
        <v>3417310</v>
      </c>
    </row>
    <row r="5599" spans="1:6" ht="20" x14ac:dyDescent="0.25">
      <c r="A5599" s="5">
        <v>3417310</v>
      </c>
      <c r="B5599" s="1">
        <v>2023</v>
      </c>
      <c r="C5599" s="1" t="s">
        <v>1387</v>
      </c>
      <c r="D5599" s="2" t="s">
        <v>1016</v>
      </c>
      <c r="E5599" s="7">
        <v>3746281</v>
      </c>
      <c r="F5599" s="5">
        <v>3417310</v>
      </c>
    </row>
    <row r="5600" spans="1:6" x14ac:dyDescent="0.25">
      <c r="A5600" s="5">
        <v>3417340</v>
      </c>
      <c r="B5600" s="1">
        <v>2015</v>
      </c>
      <c r="C5600" s="1" t="s">
        <v>1387</v>
      </c>
      <c r="D5600" s="1" t="s">
        <v>296</v>
      </c>
      <c r="E5600" s="8">
        <v>74574</v>
      </c>
      <c r="F5600" s="5">
        <v>3417340</v>
      </c>
    </row>
    <row r="5601" spans="1:6" x14ac:dyDescent="0.25">
      <c r="A5601" s="5">
        <v>3417340</v>
      </c>
      <c r="B5601" s="1">
        <v>2016</v>
      </c>
      <c r="C5601" s="1" t="s">
        <v>1387</v>
      </c>
      <c r="D5601" s="1" t="s">
        <v>296</v>
      </c>
      <c r="E5601" s="8">
        <v>106351</v>
      </c>
      <c r="F5601" s="5">
        <v>3417340</v>
      </c>
    </row>
    <row r="5602" spans="1:6" x14ac:dyDescent="0.25">
      <c r="A5602" s="5">
        <v>3417340</v>
      </c>
      <c r="B5602" s="1">
        <v>2017</v>
      </c>
      <c r="C5602" s="1" t="s">
        <v>1387</v>
      </c>
      <c r="D5602" s="1" t="s">
        <v>296</v>
      </c>
      <c r="E5602" s="8">
        <v>158939</v>
      </c>
      <c r="F5602" s="5">
        <v>3417340</v>
      </c>
    </row>
    <row r="5603" spans="1:6" x14ac:dyDescent="0.25">
      <c r="A5603" s="5">
        <v>3417340</v>
      </c>
      <c r="B5603" s="1">
        <v>2018</v>
      </c>
      <c r="C5603" s="1" t="s">
        <v>1387</v>
      </c>
      <c r="D5603" s="1" t="s">
        <v>986</v>
      </c>
      <c r="E5603" s="8">
        <v>212043</v>
      </c>
      <c r="F5603" s="5">
        <v>3417340</v>
      </c>
    </row>
    <row r="5604" spans="1:6" x14ac:dyDescent="0.25">
      <c r="A5604" s="5">
        <v>3417340</v>
      </c>
      <c r="B5604" s="1">
        <v>2019</v>
      </c>
      <c r="C5604" s="1" t="s">
        <v>1387</v>
      </c>
      <c r="D5604" s="1" t="s">
        <v>986</v>
      </c>
      <c r="E5604" s="8">
        <v>276387</v>
      </c>
      <c r="F5604" s="5">
        <v>3417340</v>
      </c>
    </row>
    <row r="5605" spans="1:6" ht="20" x14ac:dyDescent="0.25">
      <c r="A5605" s="5">
        <v>3417340</v>
      </c>
      <c r="B5605" s="1">
        <v>2020</v>
      </c>
      <c r="C5605" s="1" t="s">
        <v>1387</v>
      </c>
      <c r="D5605" s="2" t="s">
        <v>986</v>
      </c>
      <c r="E5605" s="7">
        <v>289808</v>
      </c>
      <c r="F5605" s="5">
        <v>3417340</v>
      </c>
    </row>
    <row r="5606" spans="1:6" ht="20" x14ac:dyDescent="0.25">
      <c r="A5606" s="5">
        <v>3417340</v>
      </c>
      <c r="B5606" s="1">
        <v>2021</v>
      </c>
      <c r="C5606" s="1" t="s">
        <v>1387</v>
      </c>
      <c r="D5606" s="3" t="s">
        <v>986</v>
      </c>
      <c r="E5606" s="7">
        <v>377639</v>
      </c>
      <c r="F5606" s="5">
        <v>3417340</v>
      </c>
    </row>
    <row r="5607" spans="1:6" ht="20" x14ac:dyDescent="0.25">
      <c r="A5607" s="5">
        <v>3417340</v>
      </c>
      <c r="B5607" s="1">
        <v>2022</v>
      </c>
      <c r="C5607" s="1" t="s">
        <v>1387</v>
      </c>
      <c r="D5607" s="2" t="s">
        <v>986</v>
      </c>
      <c r="E5607" s="7">
        <v>535195</v>
      </c>
      <c r="F5607" s="5">
        <v>3417340</v>
      </c>
    </row>
    <row r="5608" spans="1:6" ht="20" x14ac:dyDescent="0.25">
      <c r="A5608" s="5">
        <v>3417340</v>
      </c>
      <c r="B5608" s="1">
        <v>2023</v>
      </c>
      <c r="C5608" s="1" t="s">
        <v>1387</v>
      </c>
      <c r="D5608" s="2" t="s">
        <v>986</v>
      </c>
      <c r="E5608" s="7">
        <v>536443</v>
      </c>
      <c r="F5608" s="5">
        <v>3417340</v>
      </c>
    </row>
    <row r="5609" spans="1:6" x14ac:dyDescent="0.25">
      <c r="A5609" s="5">
        <v>3417370</v>
      </c>
      <c r="B5609" s="1">
        <v>2015</v>
      </c>
      <c r="C5609" s="1" t="s">
        <v>1387</v>
      </c>
      <c r="D5609" s="1" t="s">
        <v>354</v>
      </c>
      <c r="E5609" s="8">
        <v>100197</v>
      </c>
      <c r="F5609" s="5">
        <v>3417370</v>
      </c>
    </row>
    <row r="5610" spans="1:6" x14ac:dyDescent="0.25">
      <c r="A5610" s="5">
        <v>3417370</v>
      </c>
      <c r="B5610" s="1">
        <v>2016</v>
      </c>
      <c r="C5610" s="1" t="s">
        <v>1387</v>
      </c>
      <c r="D5610" s="1" t="s">
        <v>354</v>
      </c>
      <c r="E5610" s="8">
        <v>141422</v>
      </c>
      <c r="F5610" s="5">
        <v>3417370</v>
      </c>
    </row>
    <row r="5611" spans="1:6" x14ac:dyDescent="0.25">
      <c r="A5611" s="5">
        <v>3417370</v>
      </c>
      <c r="B5611" s="1">
        <v>2017</v>
      </c>
      <c r="C5611" s="1" t="s">
        <v>1387</v>
      </c>
      <c r="D5611" s="1" t="s">
        <v>354</v>
      </c>
      <c r="E5611" s="8">
        <v>182535</v>
      </c>
      <c r="F5611" s="5">
        <v>3417370</v>
      </c>
    </row>
    <row r="5612" spans="1:6" x14ac:dyDescent="0.25">
      <c r="A5612" s="5">
        <v>3417400</v>
      </c>
      <c r="B5612" s="1">
        <v>2015</v>
      </c>
      <c r="C5612" s="1" t="s">
        <v>1387</v>
      </c>
      <c r="D5612" s="1" t="s">
        <v>208</v>
      </c>
      <c r="E5612" s="8">
        <v>26732</v>
      </c>
      <c r="F5612" s="5">
        <v>3417400</v>
      </c>
    </row>
    <row r="5613" spans="1:6" x14ac:dyDescent="0.25">
      <c r="A5613" s="5">
        <v>3417400</v>
      </c>
      <c r="B5613" s="1">
        <v>2016</v>
      </c>
      <c r="C5613" s="1" t="s">
        <v>1387</v>
      </c>
      <c r="D5613" s="1" t="s">
        <v>208</v>
      </c>
      <c r="E5613" s="8">
        <v>45241</v>
      </c>
      <c r="F5613" s="5">
        <v>3417400</v>
      </c>
    </row>
    <row r="5614" spans="1:6" x14ac:dyDescent="0.25">
      <c r="A5614" s="5">
        <v>3417400</v>
      </c>
      <c r="B5614" s="1">
        <v>2017</v>
      </c>
      <c r="C5614" s="1" t="s">
        <v>1387</v>
      </c>
      <c r="D5614" s="1" t="s">
        <v>208</v>
      </c>
      <c r="E5614" s="8">
        <v>65382</v>
      </c>
      <c r="F5614" s="5">
        <v>3417400</v>
      </c>
    </row>
    <row r="5615" spans="1:6" x14ac:dyDescent="0.25">
      <c r="A5615" s="5">
        <v>3417400</v>
      </c>
      <c r="B5615" s="1">
        <v>2018</v>
      </c>
      <c r="C5615" s="1" t="s">
        <v>1387</v>
      </c>
      <c r="D5615" s="1" t="s">
        <v>892</v>
      </c>
      <c r="E5615" s="8">
        <v>86937</v>
      </c>
      <c r="F5615" s="5">
        <v>3417400</v>
      </c>
    </row>
    <row r="5616" spans="1:6" x14ac:dyDescent="0.25">
      <c r="A5616" s="5">
        <v>3417400</v>
      </c>
      <c r="B5616" s="1">
        <v>2019</v>
      </c>
      <c r="C5616" s="1" t="s">
        <v>1387</v>
      </c>
      <c r="D5616" s="1" t="s">
        <v>892</v>
      </c>
      <c r="E5616" s="8">
        <v>128650</v>
      </c>
      <c r="F5616" s="5">
        <v>3417400</v>
      </c>
    </row>
    <row r="5617" spans="1:6" ht="20" x14ac:dyDescent="0.25">
      <c r="A5617" s="5">
        <v>3417400</v>
      </c>
      <c r="B5617" s="1">
        <v>2020</v>
      </c>
      <c r="C5617" s="1" t="s">
        <v>1387</v>
      </c>
      <c r="D5617" s="2" t="s">
        <v>892</v>
      </c>
      <c r="E5617" s="7">
        <v>128758</v>
      </c>
      <c r="F5617" s="5">
        <v>3417400</v>
      </c>
    </row>
    <row r="5618" spans="1:6" ht="20" x14ac:dyDescent="0.25">
      <c r="A5618" s="5">
        <v>3417400</v>
      </c>
      <c r="B5618" s="1">
        <v>2021</v>
      </c>
      <c r="C5618" s="1" t="s">
        <v>1387</v>
      </c>
      <c r="D5618" s="3" t="s">
        <v>892</v>
      </c>
      <c r="E5618" s="7">
        <v>175129</v>
      </c>
      <c r="F5618" s="5">
        <v>3417400</v>
      </c>
    </row>
    <row r="5619" spans="1:6" ht="20" x14ac:dyDescent="0.25">
      <c r="A5619" s="5">
        <v>3417400</v>
      </c>
      <c r="B5619" s="1">
        <v>2022</v>
      </c>
      <c r="C5619" s="1" t="s">
        <v>1387</v>
      </c>
      <c r="D5619" s="2" t="s">
        <v>892</v>
      </c>
      <c r="E5619" s="7">
        <v>248760</v>
      </c>
      <c r="F5619" s="5">
        <v>3417400</v>
      </c>
    </row>
    <row r="5620" spans="1:6" ht="20" x14ac:dyDescent="0.25">
      <c r="A5620" s="5">
        <v>3417400</v>
      </c>
      <c r="B5620" s="1">
        <v>2023</v>
      </c>
      <c r="C5620" s="1" t="s">
        <v>1387</v>
      </c>
      <c r="D5620" s="2" t="s">
        <v>892</v>
      </c>
      <c r="E5620" s="7">
        <v>271395</v>
      </c>
      <c r="F5620" s="5">
        <v>3417400</v>
      </c>
    </row>
    <row r="5621" spans="1:6" x14ac:dyDescent="0.25">
      <c r="A5621" s="5">
        <v>3417430</v>
      </c>
      <c r="B5621" s="1">
        <v>2015</v>
      </c>
      <c r="C5621" s="1" t="s">
        <v>1387</v>
      </c>
      <c r="D5621" s="1" t="s">
        <v>297</v>
      </c>
      <c r="E5621" s="8">
        <v>962706</v>
      </c>
      <c r="F5621" s="5">
        <v>3417430</v>
      </c>
    </row>
    <row r="5622" spans="1:6" x14ac:dyDescent="0.25">
      <c r="A5622" s="5">
        <v>3417430</v>
      </c>
      <c r="B5622" s="1">
        <v>2016</v>
      </c>
      <c r="C5622" s="1" t="s">
        <v>1387</v>
      </c>
      <c r="D5622" s="1" t="s">
        <v>297</v>
      </c>
      <c r="E5622" s="8">
        <v>1442758</v>
      </c>
      <c r="F5622" s="5">
        <v>3417430</v>
      </c>
    </row>
    <row r="5623" spans="1:6" x14ac:dyDescent="0.25">
      <c r="A5623" s="5">
        <v>3417430</v>
      </c>
      <c r="B5623" s="1">
        <v>2017</v>
      </c>
      <c r="C5623" s="1" t="s">
        <v>1387</v>
      </c>
      <c r="D5623" s="1" t="s">
        <v>297</v>
      </c>
      <c r="E5623" s="8">
        <v>2084366</v>
      </c>
      <c r="F5623" s="5">
        <v>3417430</v>
      </c>
    </row>
    <row r="5624" spans="1:6" x14ac:dyDescent="0.25">
      <c r="A5624" s="5">
        <v>3417430</v>
      </c>
      <c r="B5624" s="1">
        <v>2018</v>
      </c>
      <c r="C5624" s="1" t="s">
        <v>1387</v>
      </c>
      <c r="D5624" s="1" t="s">
        <v>987</v>
      </c>
      <c r="E5624" s="8">
        <v>2794573</v>
      </c>
      <c r="F5624" s="5">
        <v>3417430</v>
      </c>
    </row>
    <row r="5625" spans="1:6" x14ac:dyDescent="0.25">
      <c r="A5625" s="5">
        <v>3417430</v>
      </c>
      <c r="B5625" s="1">
        <v>2019</v>
      </c>
      <c r="C5625" s="1" t="s">
        <v>1387</v>
      </c>
      <c r="D5625" s="1" t="s">
        <v>987</v>
      </c>
      <c r="E5625" s="8">
        <v>3843925</v>
      </c>
      <c r="F5625" s="5">
        <v>3417430</v>
      </c>
    </row>
    <row r="5626" spans="1:6" ht="20" x14ac:dyDescent="0.25">
      <c r="A5626" s="5">
        <v>3417430</v>
      </c>
      <c r="B5626" s="1">
        <v>2020</v>
      </c>
      <c r="C5626" s="1" t="s">
        <v>1387</v>
      </c>
      <c r="D5626" s="2" t="s">
        <v>987</v>
      </c>
      <c r="E5626" s="7">
        <v>4300228</v>
      </c>
      <c r="F5626" s="5">
        <v>3417430</v>
      </c>
    </row>
    <row r="5627" spans="1:6" ht="20" x14ac:dyDescent="0.25">
      <c r="A5627" s="5">
        <v>3417430</v>
      </c>
      <c r="B5627" s="1">
        <v>2021</v>
      </c>
      <c r="C5627" s="1" t="s">
        <v>1387</v>
      </c>
      <c r="D5627" s="3" t="s">
        <v>987</v>
      </c>
      <c r="E5627" s="7">
        <v>5645692</v>
      </c>
      <c r="F5627" s="5">
        <v>3417430</v>
      </c>
    </row>
    <row r="5628" spans="1:6" ht="20" x14ac:dyDescent="0.25">
      <c r="A5628" s="5">
        <v>3417430</v>
      </c>
      <c r="B5628" s="1">
        <v>2022</v>
      </c>
      <c r="C5628" s="1" t="s">
        <v>1387</v>
      </c>
      <c r="D5628" s="2" t="s">
        <v>987</v>
      </c>
      <c r="E5628" s="7">
        <v>8145802</v>
      </c>
      <c r="F5628" s="5">
        <v>3417430</v>
      </c>
    </row>
    <row r="5629" spans="1:6" ht="20" x14ac:dyDescent="0.25">
      <c r="A5629" s="5">
        <v>3417430</v>
      </c>
      <c r="B5629" s="1">
        <v>2023</v>
      </c>
      <c r="C5629" s="1" t="s">
        <v>1387</v>
      </c>
      <c r="D5629" s="2" t="s">
        <v>987</v>
      </c>
      <c r="E5629" s="7">
        <v>8179024</v>
      </c>
      <c r="F5629" s="5">
        <v>3417430</v>
      </c>
    </row>
    <row r="5630" spans="1:6" x14ac:dyDescent="0.25">
      <c r="A5630" s="5">
        <v>3417460</v>
      </c>
      <c r="B5630" s="1">
        <v>2015</v>
      </c>
      <c r="C5630" s="1" t="s">
        <v>1387</v>
      </c>
      <c r="D5630" s="1" t="s">
        <v>270</v>
      </c>
      <c r="E5630" s="8">
        <v>730692</v>
      </c>
      <c r="F5630" s="5">
        <v>3417460</v>
      </c>
    </row>
    <row r="5631" spans="1:6" x14ac:dyDescent="0.25">
      <c r="A5631" s="5">
        <v>3417460</v>
      </c>
      <c r="B5631" s="1">
        <v>2016</v>
      </c>
      <c r="C5631" s="1" t="s">
        <v>1387</v>
      </c>
      <c r="D5631" s="1" t="s">
        <v>270</v>
      </c>
      <c r="E5631" s="8">
        <v>1138121</v>
      </c>
      <c r="F5631" s="5">
        <v>3417460</v>
      </c>
    </row>
    <row r="5632" spans="1:6" x14ac:dyDescent="0.25">
      <c r="A5632" s="5">
        <v>3417460</v>
      </c>
      <c r="B5632" s="1">
        <v>2017</v>
      </c>
      <c r="C5632" s="1" t="s">
        <v>1387</v>
      </c>
      <c r="D5632" s="1" t="s">
        <v>270</v>
      </c>
      <c r="E5632" s="8">
        <v>1501247</v>
      </c>
      <c r="F5632" s="5">
        <v>3417460</v>
      </c>
    </row>
    <row r="5633" spans="1:6" x14ac:dyDescent="0.25">
      <c r="A5633" s="5">
        <v>3417460</v>
      </c>
      <c r="B5633" s="1">
        <v>2018</v>
      </c>
      <c r="C5633" s="1" t="s">
        <v>1387</v>
      </c>
      <c r="D5633" s="1" t="s">
        <v>960</v>
      </c>
      <c r="E5633" s="8">
        <v>2132268</v>
      </c>
      <c r="F5633" s="5">
        <v>3417460</v>
      </c>
    </row>
    <row r="5634" spans="1:6" x14ac:dyDescent="0.25">
      <c r="A5634" s="5">
        <v>3417460</v>
      </c>
      <c r="B5634" s="1">
        <v>2019</v>
      </c>
      <c r="C5634" s="1" t="s">
        <v>1387</v>
      </c>
      <c r="D5634" s="1" t="s">
        <v>960</v>
      </c>
      <c r="E5634" s="8">
        <v>2855509</v>
      </c>
      <c r="F5634" s="5">
        <v>3417460</v>
      </c>
    </row>
    <row r="5635" spans="1:6" ht="20" x14ac:dyDescent="0.25">
      <c r="A5635" s="5">
        <v>3417460</v>
      </c>
      <c r="B5635" s="1">
        <v>2020</v>
      </c>
      <c r="C5635" s="1" t="s">
        <v>1387</v>
      </c>
      <c r="D5635" s="2" t="s">
        <v>960</v>
      </c>
      <c r="E5635" s="7">
        <v>3190154</v>
      </c>
      <c r="F5635" s="5">
        <v>3417460</v>
      </c>
    </row>
    <row r="5636" spans="1:6" ht="20" x14ac:dyDescent="0.25">
      <c r="A5636" s="5">
        <v>3417460</v>
      </c>
      <c r="B5636" s="1">
        <v>2021</v>
      </c>
      <c r="C5636" s="1" t="s">
        <v>1387</v>
      </c>
      <c r="D5636" s="3" t="s">
        <v>960</v>
      </c>
      <c r="E5636" s="7">
        <v>4205139</v>
      </c>
      <c r="F5636" s="5">
        <v>3417460</v>
      </c>
    </row>
    <row r="5637" spans="1:6" ht="20" x14ac:dyDescent="0.25">
      <c r="A5637" s="5">
        <v>3417460</v>
      </c>
      <c r="B5637" s="1">
        <v>2022</v>
      </c>
      <c r="C5637" s="1" t="s">
        <v>1387</v>
      </c>
      <c r="D5637" s="2" t="s">
        <v>960</v>
      </c>
      <c r="E5637" s="7">
        <v>5990638</v>
      </c>
      <c r="F5637" s="5">
        <v>3417460</v>
      </c>
    </row>
    <row r="5638" spans="1:6" ht="20" x14ac:dyDescent="0.25">
      <c r="A5638" s="5">
        <v>3417460</v>
      </c>
      <c r="B5638" s="1">
        <v>2023</v>
      </c>
      <c r="C5638" s="1" t="s">
        <v>1387</v>
      </c>
      <c r="D5638" s="2" t="s">
        <v>960</v>
      </c>
      <c r="E5638" s="7">
        <v>6071876</v>
      </c>
      <c r="F5638" s="5">
        <v>3417460</v>
      </c>
    </row>
    <row r="5639" spans="1:6" x14ac:dyDescent="0.25">
      <c r="A5639" s="5">
        <v>3417490</v>
      </c>
      <c r="B5639" s="1">
        <v>2015</v>
      </c>
      <c r="C5639" s="1" t="s">
        <v>1387</v>
      </c>
      <c r="D5639" s="1" t="s">
        <v>453</v>
      </c>
      <c r="E5639" s="8">
        <v>220749</v>
      </c>
      <c r="F5639" s="5">
        <v>3417490</v>
      </c>
    </row>
    <row r="5640" spans="1:6" x14ac:dyDescent="0.25">
      <c r="A5640" s="5">
        <v>3417490</v>
      </c>
      <c r="B5640" s="1">
        <v>2016</v>
      </c>
      <c r="C5640" s="1" t="s">
        <v>1387</v>
      </c>
      <c r="D5640" s="1" t="s">
        <v>453</v>
      </c>
      <c r="E5640" s="8">
        <v>337408</v>
      </c>
      <c r="F5640" s="5">
        <v>3417490</v>
      </c>
    </row>
    <row r="5641" spans="1:6" x14ac:dyDescent="0.25">
      <c r="A5641" s="5">
        <v>3417490</v>
      </c>
      <c r="B5641" s="1">
        <v>2017</v>
      </c>
      <c r="C5641" s="1" t="s">
        <v>1387</v>
      </c>
      <c r="D5641" s="1" t="s">
        <v>453</v>
      </c>
      <c r="E5641" s="8">
        <v>480332</v>
      </c>
      <c r="F5641" s="5">
        <v>3417490</v>
      </c>
    </row>
    <row r="5642" spans="1:6" x14ac:dyDescent="0.25">
      <c r="A5642" s="5">
        <v>3417490</v>
      </c>
      <c r="B5642" s="1">
        <v>2018</v>
      </c>
      <c r="C5642" s="1" t="s">
        <v>1387</v>
      </c>
      <c r="D5642" s="1" t="s">
        <v>1145</v>
      </c>
      <c r="E5642" s="8">
        <v>639468</v>
      </c>
      <c r="F5642" s="5">
        <v>3417490</v>
      </c>
    </row>
    <row r="5643" spans="1:6" x14ac:dyDescent="0.25">
      <c r="A5643" s="5">
        <v>3417490</v>
      </c>
      <c r="B5643" s="1">
        <v>2019</v>
      </c>
      <c r="C5643" s="1" t="s">
        <v>1387</v>
      </c>
      <c r="D5643" s="1" t="s">
        <v>1145</v>
      </c>
      <c r="E5643" s="8">
        <v>877208</v>
      </c>
      <c r="F5643" s="5">
        <v>3417490</v>
      </c>
    </row>
    <row r="5644" spans="1:6" ht="20" x14ac:dyDescent="0.25">
      <c r="A5644" s="5">
        <v>3417490</v>
      </c>
      <c r="B5644" s="1">
        <v>2020</v>
      </c>
      <c r="C5644" s="1" t="s">
        <v>1387</v>
      </c>
      <c r="D5644" s="2" t="s">
        <v>1145</v>
      </c>
      <c r="E5644" s="7">
        <v>969767</v>
      </c>
      <c r="F5644" s="5">
        <v>3417490</v>
      </c>
    </row>
    <row r="5645" spans="1:6" ht="20" x14ac:dyDescent="0.25">
      <c r="A5645" s="5">
        <v>3417490</v>
      </c>
      <c r="B5645" s="1">
        <v>2021</v>
      </c>
      <c r="C5645" s="1" t="s">
        <v>1387</v>
      </c>
      <c r="D5645" s="3" t="s">
        <v>1145</v>
      </c>
      <c r="E5645" s="7">
        <v>1220180</v>
      </c>
      <c r="F5645" s="5">
        <v>3417490</v>
      </c>
    </row>
    <row r="5646" spans="1:6" ht="20" x14ac:dyDescent="0.25">
      <c r="A5646" s="5">
        <v>3417490</v>
      </c>
      <c r="B5646" s="1">
        <v>2022</v>
      </c>
      <c r="C5646" s="1" t="s">
        <v>1387</v>
      </c>
      <c r="D5646" s="2" t="s">
        <v>1145</v>
      </c>
      <c r="E5646" s="7">
        <v>1677955</v>
      </c>
      <c r="F5646" s="5">
        <v>3417490</v>
      </c>
    </row>
    <row r="5647" spans="1:6" ht="20" x14ac:dyDescent="0.25">
      <c r="A5647" s="5">
        <v>3417490</v>
      </c>
      <c r="B5647" s="1">
        <v>2023</v>
      </c>
      <c r="C5647" s="1" t="s">
        <v>1387</v>
      </c>
      <c r="D5647" s="2" t="s">
        <v>1145</v>
      </c>
      <c r="E5647" s="7">
        <v>1739853</v>
      </c>
      <c r="F5647" s="5">
        <v>3417490</v>
      </c>
    </row>
    <row r="5648" spans="1:6" x14ac:dyDescent="0.25">
      <c r="A5648" s="5">
        <v>3417500</v>
      </c>
      <c r="B5648" s="1">
        <v>2015</v>
      </c>
      <c r="C5648" s="1" t="s">
        <v>1387</v>
      </c>
      <c r="D5648" s="1" t="s">
        <v>432</v>
      </c>
      <c r="E5648" s="8">
        <v>1059132</v>
      </c>
      <c r="F5648" s="5">
        <v>3417500</v>
      </c>
    </row>
    <row r="5649" spans="1:6" x14ac:dyDescent="0.25">
      <c r="A5649" s="5">
        <v>3417500</v>
      </c>
      <c r="B5649" s="1">
        <v>2016</v>
      </c>
      <c r="C5649" s="1" t="s">
        <v>1387</v>
      </c>
      <c r="D5649" s="1" t="s">
        <v>432</v>
      </c>
      <c r="E5649" s="8">
        <v>1505826</v>
      </c>
      <c r="F5649" s="5">
        <v>3417500</v>
      </c>
    </row>
    <row r="5650" spans="1:6" x14ac:dyDescent="0.25">
      <c r="A5650" s="5">
        <v>3417500</v>
      </c>
      <c r="B5650" s="1">
        <v>2017</v>
      </c>
      <c r="C5650" s="1" t="s">
        <v>1387</v>
      </c>
      <c r="D5650" s="1" t="s">
        <v>432</v>
      </c>
      <c r="E5650" s="8">
        <v>2140138</v>
      </c>
      <c r="F5650" s="5">
        <v>3417500</v>
      </c>
    </row>
    <row r="5651" spans="1:6" x14ac:dyDescent="0.25">
      <c r="A5651" s="5">
        <v>3417500</v>
      </c>
      <c r="B5651" s="1">
        <v>2018</v>
      </c>
      <c r="C5651" s="1" t="s">
        <v>1387</v>
      </c>
      <c r="D5651" s="1" t="s">
        <v>1124</v>
      </c>
      <c r="E5651" s="8">
        <v>2888996</v>
      </c>
      <c r="F5651" s="5">
        <v>3417500</v>
      </c>
    </row>
    <row r="5652" spans="1:6" x14ac:dyDescent="0.25">
      <c r="A5652" s="5">
        <v>3417500</v>
      </c>
      <c r="B5652" s="1">
        <v>2019</v>
      </c>
      <c r="C5652" s="1" t="s">
        <v>1387</v>
      </c>
      <c r="D5652" s="1" t="s">
        <v>1124</v>
      </c>
      <c r="E5652" s="8">
        <v>3839733</v>
      </c>
      <c r="F5652" s="5">
        <v>3417500</v>
      </c>
    </row>
    <row r="5653" spans="1:6" ht="20" x14ac:dyDescent="0.25">
      <c r="A5653" s="5">
        <v>3417500</v>
      </c>
      <c r="B5653" s="1">
        <v>2020</v>
      </c>
      <c r="C5653" s="1" t="s">
        <v>1387</v>
      </c>
      <c r="D5653" s="2" t="s">
        <v>1124</v>
      </c>
      <c r="E5653" s="7">
        <v>4212186</v>
      </c>
      <c r="F5653" s="5">
        <v>3417500</v>
      </c>
    </row>
    <row r="5654" spans="1:6" ht="20" x14ac:dyDescent="0.25">
      <c r="A5654" s="5">
        <v>3417500</v>
      </c>
      <c r="B5654" s="1">
        <v>2021</v>
      </c>
      <c r="C5654" s="1" t="s">
        <v>1387</v>
      </c>
      <c r="D5654" s="3" t="s">
        <v>1124</v>
      </c>
      <c r="E5654" s="7">
        <v>5407088</v>
      </c>
      <c r="F5654" s="5">
        <v>3417500</v>
      </c>
    </row>
    <row r="5655" spans="1:6" ht="20" x14ac:dyDescent="0.25">
      <c r="A5655" s="5">
        <v>3417500</v>
      </c>
      <c r="B5655" s="1">
        <v>2022</v>
      </c>
      <c r="C5655" s="1" t="s">
        <v>1387</v>
      </c>
      <c r="D5655" s="2" t="s">
        <v>1124</v>
      </c>
      <c r="E5655" s="7">
        <v>7716423</v>
      </c>
      <c r="F5655" s="5">
        <v>3417500</v>
      </c>
    </row>
    <row r="5656" spans="1:6" ht="20" x14ac:dyDescent="0.25">
      <c r="A5656" s="5">
        <v>3417500</v>
      </c>
      <c r="B5656" s="1">
        <v>2023</v>
      </c>
      <c r="C5656" s="1" t="s">
        <v>1387</v>
      </c>
      <c r="D5656" s="2" t="s">
        <v>1124</v>
      </c>
      <c r="E5656" s="7">
        <v>7584096</v>
      </c>
      <c r="F5656" s="5">
        <v>3417500</v>
      </c>
    </row>
    <row r="5657" spans="1:6" x14ac:dyDescent="0.25">
      <c r="A5657" s="5">
        <v>3417520</v>
      </c>
      <c r="B5657" s="1">
        <v>2015</v>
      </c>
      <c r="C5657" s="1" t="s">
        <v>1387</v>
      </c>
      <c r="D5657" s="1" t="s">
        <v>547</v>
      </c>
      <c r="E5657" s="8">
        <v>1533902</v>
      </c>
      <c r="F5657" s="5">
        <v>3417520</v>
      </c>
    </row>
    <row r="5658" spans="1:6" x14ac:dyDescent="0.25">
      <c r="A5658" s="5">
        <v>3417520</v>
      </c>
      <c r="B5658" s="1">
        <v>2016</v>
      </c>
      <c r="C5658" s="1" t="s">
        <v>1387</v>
      </c>
      <c r="D5658" s="1" t="s">
        <v>547</v>
      </c>
      <c r="E5658" s="8">
        <v>2294139</v>
      </c>
      <c r="F5658" s="5">
        <v>3417520</v>
      </c>
    </row>
    <row r="5659" spans="1:6" x14ac:dyDescent="0.25">
      <c r="A5659" s="5">
        <v>3417520</v>
      </c>
      <c r="B5659" s="1">
        <v>2017</v>
      </c>
      <c r="C5659" s="1" t="s">
        <v>1387</v>
      </c>
      <c r="D5659" s="1" t="s">
        <v>547</v>
      </c>
      <c r="E5659" s="8">
        <v>3192100</v>
      </c>
      <c r="F5659" s="5">
        <v>3417520</v>
      </c>
    </row>
    <row r="5660" spans="1:6" x14ac:dyDescent="0.25">
      <c r="A5660" s="5">
        <v>3417520</v>
      </c>
      <c r="B5660" s="1">
        <v>2018</v>
      </c>
      <c r="C5660" s="1" t="s">
        <v>1387</v>
      </c>
      <c r="D5660" s="1" t="s">
        <v>1239</v>
      </c>
      <c r="E5660" s="8">
        <v>4405383</v>
      </c>
      <c r="F5660" s="5">
        <v>3417520</v>
      </c>
    </row>
    <row r="5661" spans="1:6" x14ac:dyDescent="0.25">
      <c r="A5661" s="5">
        <v>3417520</v>
      </c>
      <c r="B5661" s="1">
        <v>2019</v>
      </c>
      <c r="C5661" s="1" t="s">
        <v>1387</v>
      </c>
      <c r="D5661" s="1" t="s">
        <v>1239</v>
      </c>
      <c r="E5661" s="8">
        <v>5846263</v>
      </c>
      <c r="F5661" s="5">
        <v>3417520</v>
      </c>
    </row>
    <row r="5662" spans="1:6" ht="20" x14ac:dyDescent="0.25">
      <c r="A5662" s="5">
        <v>3417520</v>
      </c>
      <c r="B5662" s="1">
        <v>2020</v>
      </c>
      <c r="C5662" s="1" t="s">
        <v>1387</v>
      </c>
      <c r="D5662" s="2" t="s">
        <v>1239</v>
      </c>
      <c r="E5662" s="7">
        <v>6628217</v>
      </c>
      <c r="F5662" s="5">
        <v>3417520</v>
      </c>
    </row>
    <row r="5663" spans="1:6" ht="20" x14ac:dyDescent="0.25">
      <c r="A5663" s="5">
        <v>3417520</v>
      </c>
      <c r="B5663" s="1">
        <v>2021</v>
      </c>
      <c r="C5663" s="1" t="s">
        <v>1387</v>
      </c>
      <c r="D5663" s="3" t="s">
        <v>1239</v>
      </c>
      <c r="E5663" s="7">
        <v>8392855</v>
      </c>
      <c r="F5663" s="5">
        <v>3417520</v>
      </c>
    </row>
    <row r="5664" spans="1:6" ht="20" x14ac:dyDescent="0.25">
      <c r="A5664" s="5">
        <v>3417520</v>
      </c>
      <c r="B5664" s="1">
        <v>2022</v>
      </c>
      <c r="C5664" s="1" t="s">
        <v>1387</v>
      </c>
      <c r="D5664" s="2" t="s">
        <v>1239</v>
      </c>
      <c r="E5664" s="7">
        <v>11590556</v>
      </c>
      <c r="F5664" s="5">
        <v>3417520</v>
      </c>
    </row>
    <row r="5665" spans="1:6" ht="20" x14ac:dyDescent="0.25">
      <c r="A5665" s="5">
        <v>3417520</v>
      </c>
      <c r="B5665" s="1">
        <v>2023</v>
      </c>
      <c r="C5665" s="1" t="s">
        <v>1387</v>
      </c>
      <c r="D5665" s="2" t="s">
        <v>1239</v>
      </c>
      <c r="E5665" s="7">
        <v>10932426</v>
      </c>
      <c r="F5665" s="5">
        <v>3417520</v>
      </c>
    </row>
    <row r="5666" spans="1:6" x14ac:dyDescent="0.25">
      <c r="A5666" s="5">
        <v>3417550</v>
      </c>
      <c r="B5666" s="1">
        <v>2015</v>
      </c>
      <c r="C5666" s="1" t="s">
        <v>1387</v>
      </c>
      <c r="D5666" s="1" t="s">
        <v>492</v>
      </c>
      <c r="E5666" s="8">
        <v>1146415</v>
      </c>
      <c r="F5666" s="5">
        <v>3417550</v>
      </c>
    </row>
    <row r="5667" spans="1:6" x14ac:dyDescent="0.25">
      <c r="A5667" s="5">
        <v>3417550</v>
      </c>
      <c r="B5667" s="1">
        <v>2016</v>
      </c>
      <c r="C5667" s="1" t="s">
        <v>1387</v>
      </c>
      <c r="D5667" s="1" t="s">
        <v>492</v>
      </c>
      <c r="E5667" s="8">
        <v>1648372</v>
      </c>
      <c r="F5667" s="5">
        <v>3417550</v>
      </c>
    </row>
    <row r="5668" spans="1:6" x14ac:dyDescent="0.25">
      <c r="A5668" s="5">
        <v>3417550</v>
      </c>
      <c r="B5668" s="1">
        <v>2017</v>
      </c>
      <c r="C5668" s="1" t="s">
        <v>1387</v>
      </c>
      <c r="D5668" s="1" t="s">
        <v>492</v>
      </c>
      <c r="E5668" s="8">
        <v>2197158</v>
      </c>
      <c r="F5668" s="5">
        <v>3417550</v>
      </c>
    </row>
    <row r="5669" spans="1:6" x14ac:dyDescent="0.25">
      <c r="A5669" s="5">
        <v>3417550</v>
      </c>
      <c r="B5669" s="1">
        <v>2018</v>
      </c>
      <c r="C5669" s="1" t="s">
        <v>1387</v>
      </c>
      <c r="D5669" s="1" t="s">
        <v>1184</v>
      </c>
      <c r="E5669" s="8">
        <v>3044540</v>
      </c>
      <c r="F5669" s="5">
        <v>3417550</v>
      </c>
    </row>
    <row r="5670" spans="1:6" x14ac:dyDescent="0.25">
      <c r="A5670" s="5">
        <v>3417550</v>
      </c>
      <c r="B5670" s="1">
        <v>2019</v>
      </c>
      <c r="C5670" s="1" t="s">
        <v>1387</v>
      </c>
      <c r="D5670" s="1" t="s">
        <v>1184</v>
      </c>
      <c r="E5670" s="8">
        <v>3915622</v>
      </c>
      <c r="F5670" s="5">
        <v>3417550</v>
      </c>
    </row>
    <row r="5671" spans="1:6" ht="20" x14ac:dyDescent="0.25">
      <c r="A5671" s="5">
        <v>3417550</v>
      </c>
      <c r="B5671" s="1">
        <v>2020</v>
      </c>
      <c r="C5671" s="1" t="s">
        <v>1387</v>
      </c>
      <c r="D5671" s="2" t="s">
        <v>1184</v>
      </c>
      <c r="E5671" s="7">
        <v>4246984</v>
      </c>
      <c r="F5671" s="5">
        <v>3417550</v>
      </c>
    </row>
    <row r="5672" spans="1:6" ht="20" x14ac:dyDescent="0.25">
      <c r="A5672" s="5">
        <v>3417550</v>
      </c>
      <c r="B5672" s="1">
        <v>2021</v>
      </c>
      <c r="C5672" s="1" t="s">
        <v>1387</v>
      </c>
      <c r="D5672" s="3" t="s">
        <v>1184</v>
      </c>
      <c r="E5672" s="7">
        <v>5274115</v>
      </c>
      <c r="F5672" s="5">
        <v>3417550</v>
      </c>
    </row>
    <row r="5673" spans="1:6" ht="20" x14ac:dyDescent="0.25">
      <c r="A5673" s="5">
        <v>3417550</v>
      </c>
      <c r="B5673" s="1">
        <v>2022</v>
      </c>
      <c r="C5673" s="1" t="s">
        <v>1387</v>
      </c>
      <c r="D5673" s="2" t="s">
        <v>1184</v>
      </c>
      <c r="E5673" s="7">
        <v>7693224</v>
      </c>
      <c r="F5673" s="5">
        <v>3417550</v>
      </c>
    </row>
    <row r="5674" spans="1:6" ht="20" x14ac:dyDescent="0.25">
      <c r="A5674" s="5">
        <v>3417550</v>
      </c>
      <c r="B5674" s="1">
        <v>2023</v>
      </c>
      <c r="C5674" s="1" t="s">
        <v>1387</v>
      </c>
      <c r="D5674" s="2" t="s">
        <v>1184</v>
      </c>
      <c r="E5674" s="7">
        <v>7397794</v>
      </c>
      <c r="F5674" s="5">
        <v>3417550</v>
      </c>
    </row>
    <row r="5675" spans="1:6" x14ac:dyDescent="0.25">
      <c r="A5675" s="5">
        <v>3417580</v>
      </c>
      <c r="B5675" s="1">
        <v>2015</v>
      </c>
      <c r="C5675" s="1" t="s">
        <v>1387</v>
      </c>
      <c r="D5675" s="1" t="s">
        <v>324</v>
      </c>
      <c r="E5675" s="8">
        <v>2964228</v>
      </c>
      <c r="F5675" s="5">
        <v>3417580</v>
      </c>
    </row>
    <row r="5676" spans="1:6" x14ac:dyDescent="0.25">
      <c r="A5676" s="5">
        <v>3417580</v>
      </c>
      <c r="B5676" s="1">
        <v>2016</v>
      </c>
      <c r="C5676" s="1" t="s">
        <v>1387</v>
      </c>
      <c r="D5676" s="1" t="s">
        <v>324</v>
      </c>
      <c r="E5676" s="8">
        <v>4492249</v>
      </c>
      <c r="F5676" s="5">
        <v>3417580</v>
      </c>
    </row>
    <row r="5677" spans="1:6" x14ac:dyDescent="0.25">
      <c r="A5677" s="5">
        <v>3417580</v>
      </c>
      <c r="B5677" s="1">
        <v>2017</v>
      </c>
      <c r="C5677" s="1" t="s">
        <v>1387</v>
      </c>
      <c r="D5677" s="1" t="s">
        <v>324</v>
      </c>
      <c r="E5677" s="8">
        <v>6333807</v>
      </c>
      <c r="F5677" s="5">
        <v>3417580</v>
      </c>
    </row>
    <row r="5678" spans="1:6" x14ac:dyDescent="0.25">
      <c r="A5678" s="5">
        <v>3417580</v>
      </c>
      <c r="B5678" s="1">
        <v>2018</v>
      </c>
      <c r="C5678" s="1" t="s">
        <v>1387</v>
      </c>
      <c r="D5678" s="1" t="s">
        <v>1017</v>
      </c>
      <c r="E5678" s="8">
        <v>7993947</v>
      </c>
      <c r="F5678" s="5">
        <v>3417580</v>
      </c>
    </row>
    <row r="5679" spans="1:6" x14ac:dyDescent="0.25">
      <c r="A5679" s="5">
        <v>3417580</v>
      </c>
      <c r="B5679" s="1">
        <v>2019</v>
      </c>
      <c r="C5679" s="1" t="s">
        <v>1387</v>
      </c>
      <c r="D5679" s="1" t="s">
        <v>1017</v>
      </c>
      <c r="E5679" s="8">
        <v>10675756</v>
      </c>
      <c r="F5679" s="5">
        <v>3417580</v>
      </c>
    </row>
    <row r="5680" spans="1:6" ht="20" x14ac:dyDescent="0.25">
      <c r="A5680" s="5">
        <v>3417580</v>
      </c>
      <c r="B5680" s="1">
        <v>2020</v>
      </c>
      <c r="C5680" s="1" t="s">
        <v>1387</v>
      </c>
      <c r="D5680" s="2" t="s">
        <v>1017</v>
      </c>
      <c r="E5680" s="7">
        <v>12036470</v>
      </c>
      <c r="F5680" s="5">
        <v>3417580</v>
      </c>
    </row>
    <row r="5681" spans="1:6" ht="20" x14ac:dyDescent="0.25">
      <c r="A5681" s="5">
        <v>3417580</v>
      </c>
      <c r="B5681" s="1">
        <v>2021</v>
      </c>
      <c r="C5681" s="1" t="s">
        <v>1387</v>
      </c>
      <c r="D5681" s="3" t="s">
        <v>1017</v>
      </c>
      <c r="E5681" s="7">
        <v>15386277</v>
      </c>
      <c r="F5681" s="5">
        <v>3417580</v>
      </c>
    </row>
    <row r="5682" spans="1:6" ht="20" x14ac:dyDescent="0.25">
      <c r="A5682" s="5">
        <v>3417580</v>
      </c>
      <c r="B5682" s="1">
        <v>2022</v>
      </c>
      <c r="C5682" s="1" t="s">
        <v>1387</v>
      </c>
      <c r="D5682" s="2" t="s">
        <v>1017</v>
      </c>
      <c r="E5682" s="7">
        <v>21646147</v>
      </c>
      <c r="F5682" s="5">
        <v>3417580</v>
      </c>
    </row>
    <row r="5683" spans="1:6" ht="20" x14ac:dyDescent="0.25">
      <c r="A5683" s="5">
        <v>3417580</v>
      </c>
      <c r="B5683" s="1">
        <v>2023</v>
      </c>
      <c r="C5683" s="1" t="s">
        <v>1387</v>
      </c>
      <c r="D5683" s="2" t="s">
        <v>1017</v>
      </c>
      <c r="E5683" s="7">
        <v>21326310</v>
      </c>
      <c r="F5683" s="5">
        <v>3417580</v>
      </c>
    </row>
    <row r="5684" spans="1:6" x14ac:dyDescent="0.25">
      <c r="A5684" s="5">
        <v>3417610</v>
      </c>
      <c r="B5684" s="1">
        <v>2015</v>
      </c>
      <c r="C5684" s="1" t="s">
        <v>1387</v>
      </c>
      <c r="D5684" s="1" t="s">
        <v>271</v>
      </c>
      <c r="E5684" s="8">
        <v>3214637</v>
      </c>
      <c r="F5684" s="5">
        <v>3417610</v>
      </c>
    </row>
    <row r="5685" spans="1:6" x14ac:dyDescent="0.25">
      <c r="A5685" s="5">
        <v>3417610</v>
      </c>
      <c r="B5685" s="1">
        <v>2016</v>
      </c>
      <c r="C5685" s="1" t="s">
        <v>1387</v>
      </c>
      <c r="D5685" s="1" t="s">
        <v>271</v>
      </c>
      <c r="E5685" s="8">
        <v>4874075</v>
      </c>
      <c r="F5685" s="5">
        <v>3417610</v>
      </c>
    </row>
    <row r="5686" spans="1:6" x14ac:dyDescent="0.25">
      <c r="A5686" s="5">
        <v>3417610</v>
      </c>
      <c r="B5686" s="1">
        <v>2017</v>
      </c>
      <c r="C5686" s="1" t="s">
        <v>1387</v>
      </c>
      <c r="D5686" s="1" t="s">
        <v>271</v>
      </c>
      <c r="E5686" s="8">
        <v>7170939</v>
      </c>
      <c r="F5686" s="5">
        <v>3417610</v>
      </c>
    </row>
    <row r="5687" spans="1:6" x14ac:dyDescent="0.25">
      <c r="A5687" s="5">
        <v>3417610</v>
      </c>
      <c r="B5687" s="1">
        <v>2018</v>
      </c>
      <c r="C5687" s="1" t="s">
        <v>1387</v>
      </c>
      <c r="D5687" s="1" t="s">
        <v>961</v>
      </c>
      <c r="E5687" s="8">
        <v>9428819</v>
      </c>
      <c r="F5687" s="5">
        <v>3417610</v>
      </c>
    </row>
    <row r="5688" spans="1:6" x14ac:dyDescent="0.25">
      <c r="A5688" s="5">
        <v>3417610</v>
      </c>
      <c r="B5688" s="1">
        <v>2019</v>
      </c>
      <c r="C5688" s="1" t="s">
        <v>1387</v>
      </c>
      <c r="D5688" s="1" t="s">
        <v>961</v>
      </c>
      <c r="E5688" s="8">
        <v>12018320</v>
      </c>
      <c r="F5688" s="5">
        <v>3417610</v>
      </c>
    </row>
    <row r="5689" spans="1:6" ht="20" x14ac:dyDescent="0.25">
      <c r="A5689" s="5">
        <v>3417610</v>
      </c>
      <c r="B5689" s="1">
        <v>2020</v>
      </c>
      <c r="C5689" s="1" t="s">
        <v>1387</v>
      </c>
      <c r="D5689" s="2" t="s">
        <v>961</v>
      </c>
      <c r="E5689" s="7">
        <v>14654342</v>
      </c>
      <c r="F5689" s="5">
        <v>3417610</v>
      </c>
    </row>
    <row r="5690" spans="1:6" ht="20" x14ac:dyDescent="0.25">
      <c r="A5690" s="5">
        <v>3417610</v>
      </c>
      <c r="B5690" s="1">
        <v>2021</v>
      </c>
      <c r="C5690" s="1" t="s">
        <v>1387</v>
      </c>
      <c r="D5690" s="3" t="s">
        <v>961</v>
      </c>
      <c r="E5690" s="7">
        <v>18960828</v>
      </c>
      <c r="F5690" s="5">
        <v>3417610</v>
      </c>
    </row>
    <row r="5691" spans="1:6" ht="20" x14ac:dyDescent="0.25">
      <c r="A5691" s="5">
        <v>3417610</v>
      </c>
      <c r="B5691" s="1">
        <v>2022</v>
      </c>
      <c r="C5691" s="1" t="s">
        <v>1387</v>
      </c>
      <c r="D5691" s="2" t="s">
        <v>961</v>
      </c>
      <c r="E5691" s="7">
        <v>27313204</v>
      </c>
      <c r="F5691" s="5">
        <v>3417610</v>
      </c>
    </row>
    <row r="5692" spans="1:6" ht="20" x14ac:dyDescent="0.25">
      <c r="A5692" s="5">
        <v>3417610</v>
      </c>
      <c r="B5692" s="1">
        <v>2023</v>
      </c>
      <c r="C5692" s="1" t="s">
        <v>1387</v>
      </c>
      <c r="D5692" s="2" t="s">
        <v>961</v>
      </c>
      <c r="E5692" s="7">
        <v>25971468</v>
      </c>
      <c r="F5692" s="5">
        <v>3417610</v>
      </c>
    </row>
    <row r="5693" spans="1:6" x14ac:dyDescent="0.25">
      <c r="A5693" s="5">
        <v>3417640</v>
      </c>
      <c r="B5693" s="1">
        <v>2015</v>
      </c>
      <c r="C5693" s="1" t="s">
        <v>1387</v>
      </c>
      <c r="D5693" s="1" t="s">
        <v>548</v>
      </c>
      <c r="E5693" s="8">
        <v>371904</v>
      </c>
      <c r="F5693" s="5">
        <v>3417640</v>
      </c>
    </row>
    <row r="5694" spans="1:6" x14ac:dyDescent="0.25">
      <c r="A5694" s="5">
        <v>3417640</v>
      </c>
      <c r="B5694" s="1">
        <v>2016</v>
      </c>
      <c r="C5694" s="1" t="s">
        <v>1387</v>
      </c>
      <c r="D5694" s="1" t="s">
        <v>548</v>
      </c>
      <c r="E5694" s="8">
        <v>555524</v>
      </c>
      <c r="F5694" s="5">
        <v>3417640</v>
      </c>
    </row>
    <row r="5695" spans="1:6" x14ac:dyDescent="0.25">
      <c r="A5695" s="5">
        <v>3417640</v>
      </c>
      <c r="B5695" s="1">
        <v>2017</v>
      </c>
      <c r="C5695" s="1" t="s">
        <v>1387</v>
      </c>
      <c r="D5695" s="1" t="s">
        <v>548</v>
      </c>
      <c r="E5695" s="8">
        <v>753765</v>
      </c>
      <c r="F5695" s="5">
        <v>3417640</v>
      </c>
    </row>
    <row r="5696" spans="1:6" x14ac:dyDescent="0.25">
      <c r="A5696" s="5">
        <v>3417640</v>
      </c>
      <c r="B5696" s="1">
        <v>2018</v>
      </c>
      <c r="C5696" s="1" t="s">
        <v>1387</v>
      </c>
      <c r="D5696" s="1" t="s">
        <v>1240</v>
      </c>
      <c r="E5696" s="8">
        <v>1074252</v>
      </c>
      <c r="F5696" s="5">
        <v>3417640</v>
      </c>
    </row>
    <row r="5697" spans="1:6" x14ac:dyDescent="0.25">
      <c r="A5697" s="5">
        <v>3417640</v>
      </c>
      <c r="B5697" s="1">
        <v>2019</v>
      </c>
      <c r="C5697" s="1" t="s">
        <v>1387</v>
      </c>
      <c r="D5697" s="1" t="s">
        <v>1240</v>
      </c>
      <c r="E5697" s="8">
        <v>1478648</v>
      </c>
      <c r="F5697" s="5">
        <v>3417640</v>
      </c>
    </row>
    <row r="5698" spans="1:6" ht="20" x14ac:dyDescent="0.25">
      <c r="A5698" s="5">
        <v>3417640</v>
      </c>
      <c r="B5698" s="1">
        <v>2020</v>
      </c>
      <c r="C5698" s="1" t="s">
        <v>1387</v>
      </c>
      <c r="D5698" s="2" t="s">
        <v>1240</v>
      </c>
      <c r="E5698" s="7">
        <v>1701574</v>
      </c>
      <c r="F5698" s="5">
        <v>3417640</v>
      </c>
    </row>
    <row r="5699" spans="1:6" ht="20" x14ac:dyDescent="0.25">
      <c r="A5699" s="5">
        <v>3417640</v>
      </c>
      <c r="B5699" s="1">
        <v>2021</v>
      </c>
      <c r="C5699" s="1" t="s">
        <v>1387</v>
      </c>
      <c r="D5699" s="3" t="s">
        <v>1240</v>
      </c>
      <c r="E5699" s="7">
        <v>2240605</v>
      </c>
      <c r="F5699" s="5">
        <v>3417640</v>
      </c>
    </row>
    <row r="5700" spans="1:6" ht="20" x14ac:dyDescent="0.25">
      <c r="A5700" s="5">
        <v>3417640</v>
      </c>
      <c r="B5700" s="1">
        <v>2022</v>
      </c>
      <c r="C5700" s="1" t="s">
        <v>1387</v>
      </c>
      <c r="D5700" s="2" t="s">
        <v>1240</v>
      </c>
      <c r="E5700" s="7">
        <v>3346525</v>
      </c>
      <c r="F5700" s="5">
        <v>3417640</v>
      </c>
    </row>
    <row r="5701" spans="1:6" ht="20" x14ac:dyDescent="0.25">
      <c r="A5701" s="5">
        <v>3417640</v>
      </c>
      <c r="B5701" s="1">
        <v>2023</v>
      </c>
      <c r="C5701" s="1" t="s">
        <v>1387</v>
      </c>
      <c r="D5701" s="2" t="s">
        <v>1240</v>
      </c>
      <c r="E5701" s="7">
        <v>3391312</v>
      </c>
      <c r="F5701" s="5">
        <v>3417640</v>
      </c>
    </row>
    <row r="5702" spans="1:6" x14ac:dyDescent="0.25">
      <c r="A5702" s="5">
        <v>3417700</v>
      </c>
      <c r="B5702" s="1">
        <v>2015</v>
      </c>
      <c r="C5702" s="1" t="s">
        <v>1387</v>
      </c>
      <c r="D5702" s="1" t="s">
        <v>371</v>
      </c>
      <c r="E5702" s="8">
        <v>3704521</v>
      </c>
      <c r="F5702" s="5">
        <v>3417700</v>
      </c>
    </row>
    <row r="5703" spans="1:6" x14ac:dyDescent="0.25">
      <c r="A5703" s="5">
        <v>3417700</v>
      </c>
      <c r="B5703" s="1">
        <v>2016</v>
      </c>
      <c r="C5703" s="1" t="s">
        <v>1387</v>
      </c>
      <c r="D5703" s="1" t="s">
        <v>371</v>
      </c>
      <c r="E5703" s="8">
        <v>5476146</v>
      </c>
      <c r="F5703" s="5">
        <v>3417700</v>
      </c>
    </row>
    <row r="5704" spans="1:6" x14ac:dyDescent="0.25">
      <c r="A5704" s="5">
        <v>3417700</v>
      </c>
      <c r="B5704" s="1">
        <v>2017</v>
      </c>
      <c r="C5704" s="1" t="s">
        <v>1387</v>
      </c>
      <c r="D5704" s="1" t="s">
        <v>371</v>
      </c>
      <c r="E5704" s="8">
        <v>7626195</v>
      </c>
      <c r="F5704" s="5">
        <v>3417700</v>
      </c>
    </row>
    <row r="5705" spans="1:6" x14ac:dyDescent="0.25">
      <c r="A5705" s="5">
        <v>3417700</v>
      </c>
      <c r="B5705" s="1">
        <v>2018</v>
      </c>
      <c r="C5705" s="1" t="s">
        <v>1387</v>
      </c>
      <c r="D5705" s="1" t="s">
        <v>1063</v>
      </c>
      <c r="E5705" s="8">
        <v>10178908</v>
      </c>
      <c r="F5705" s="5">
        <v>3417700</v>
      </c>
    </row>
    <row r="5706" spans="1:6" x14ac:dyDescent="0.25">
      <c r="A5706" s="5">
        <v>3417700</v>
      </c>
      <c r="B5706" s="1">
        <v>2019</v>
      </c>
      <c r="C5706" s="1" t="s">
        <v>1387</v>
      </c>
      <c r="D5706" s="1" t="s">
        <v>1063</v>
      </c>
      <c r="E5706" s="8">
        <v>13533191</v>
      </c>
      <c r="F5706" s="5">
        <v>3417700</v>
      </c>
    </row>
    <row r="5707" spans="1:6" ht="20" x14ac:dyDescent="0.25">
      <c r="A5707" s="5">
        <v>3417700</v>
      </c>
      <c r="B5707" s="1">
        <v>2020</v>
      </c>
      <c r="C5707" s="1" t="s">
        <v>1387</v>
      </c>
      <c r="D5707" s="2" t="s">
        <v>1063</v>
      </c>
      <c r="E5707" s="7">
        <v>15531593</v>
      </c>
      <c r="F5707" s="5">
        <v>3417700</v>
      </c>
    </row>
    <row r="5708" spans="1:6" ht="20" x14ac:dyDescent="0.25">
      <c r="A5708" s="5">
        <v>3417700</v>
      </c>
      <c r="B5708" s="1">
        <v>2021</v>
      </c>
      <c r="C5708" s="1" t="s">
        <v>1387</v>
      </c>
      <c r="D5708" s="3" t="s">
        <v>1063</v>
      </c>
      <c r="E5708" s="7">
        <v>20330088</v>
      </c>
      <c r="F5708" s="5">
        <v>3417700</v>
      </c>
    </row>
    <row r="5709" spans="1:6" ht="20" x14ac:dyDescent="0.25">
      <c r="A5709" s="5">
        <v>3417700</v>
      </c>
      <c r="B5709" s="1">
        <v>2022</v>
      </c>
      <c r="C5709" s="1" t="s">
        <v>1387</v>
      </c>
      <c r="D5709" s="2" t="s">
        <v>1063</v>
      </c>
      <c r="E5709" s="7">
        <v>28568400</v>
      </c>
      <c r="F5709" s="5">
        <v>3417700</v>
      </c>
    </row>
    <row r="5710" spans="1:6" ht="20" x14ac:dyDescent="0.25">
      <c r="A5710" s="5">
        <v>3417700</v>
      </c>
      <c r="B5710" s="1">
        <v>2023</v>
      </c>
      <c r="C5710" s="1" t="s">
        <v>1387</v>
      </c>
      <c r="D5710" s="2" t="s">
        <v>1063</v>
      </c>
      <c r="E5710" s="7">
        <v>28025402</v>
      </c>
      <c r="F5710" s="5">
        <v>3417700</v>
      </c>
    </row>
    <row r="5711" spans="1:6" x14ac:dyDescent="0.25">
      <c r="A5711" s="5">
        <v>3417730</v>
      </c>
      <c r="B5711" s="1">
        <v>2015</v>
      </c>
      <c r="C5711" s="1" t="s">
        <v>1387</v>
      </c>
      <c r="D5711" s="1" t="s">
        <v>146</v>
      </c>
      <c r="E5711" s="8">
        <v>303051</v>
      </c>
      <c r="F5711" s="5">
        <v>3417730</v>
      </c>
    </row>
    <row r="5712" spans="1:6" x14ac:dyDescent="0.25">
      <c r="A5712" s="5">
        <v>3417730</v>
      </c>
      <c r="B5712" s="1">
        <v>2016</v>
      </c>
      <c r="C5712" s="1" t="s">
        <v>1387</v>
      </c>
      <c r="D5712" s="1" t="s">
        <v>146</v>
      </c>
      <c r="E5712" s="8">
        <v>459678</v>
      </c>
      <c r="F5712" s="5">
        <v>3417730</v>
      </c>
    </row>
    <row r="5713" spans="1:6" x14ac:dyDescent="0.25">
      <c r="A5713" s="5">
        <v>3417730</v>
      </c>
      <c r="B5713" s="1">
        <v>2017</v>
      </c>
      <c r="C5713" s="1" t="s">
        <v>1387</v>
      </c>
      <c r="D5713" s="1" t="s">
        <v>146</v>
      </c>
      <c r="E5713" s="8">
        <v>605327</v>
      </c>
      <c r="F5713" s="5">
        <v>3417730</v>
      </c>
    </row>
    <row r="5714" spans="1:6" x14ac:dyDescent="0.25">
      <c r="A5714" s="5">
        <v>3417730</v>
      </c>
      <c r="B5714" s="1">
        <v>2018</v>
      </c>
      <c r="C5714" s="1" t="s">
        <v>1387</v>
      </c>
      <c r="D5714" s="1" t="s">
        <v>827</v>
      </c>
      <c r="E5714" s="8">
        <v>831099</v>
      </c>
      <c r="F5714" s="5">
        <v>3417730</v>
      </c>
    </row>
    <row r="5715" spans="1:6" x14ac:dyDescent="0.25">
      <c r="A5715" s="5">
        <v>3417730</v>
      </c>
      <c r="B5715" s="1">
        <v>2019</v>
      </c>
      <c r="C5715" s="1" t="s">
        <v>1387</v>
      </c>
      <c r="D5715" s="1" t="s">
        <v>827</v>
      </c>
      <c r="E5715" s="8">
        <v>1158109</v>
      </c>
      <c r="F5715" s="5">
        <v>3417730</v>
      </c>
    </row>
    <row r="5716" spans="1:6" ht="20" x14ac:dyDescent="0.25">
      <c r="A5716" s="5">
        <v>3417730</v>
      </c>
      <c r="B5716" s="1">
        <v>2020</v>
      </c>
      <c r="C5716" s="1" t="s">
        <v>1387</v>
      </c>
      <c r="D5716" s="2" t="s">
        <v>827</v>
      </c>
      <c r="E5716" s="7">
        <v>1285484</v>
      </c>
      <c r="F5716" s="5">
        <v>3417730</v>
      </c>
    </row>
    <row r="5717" spans="1:6" ht="20" x14ac:dyDescent="0.25">
      <c r="A5717" s="5">
        <v>3417730</v>
      </c>
      <c r="B5717" s="1">
        <v>2021</v>
      </c>
      <c r="C5717" s="1" t="s">
        <v>1387</v>
      </c>
      <c r="D5717" s="3" t="s">
        <v>827</v>
      </c>
      <c r="E5717" s="7">
        <v>1662342</v>
      </c>
      <c r="F5717" s="5">
        <v>3417730</v>
      </c>
    </row>
    <row r="5718" spans="1:6" ht="20" x14ac:dyDescent="0.25">
      <c r="A5718" s="5">
        <v>3417730</v>
      </c>
      <c r="B5718" s="1">
        <v>2022</v>
      </c>
      <c r="C5718" s="1" t="s">
        <v>1387</v>
      </c>
      <c r="D5718" s="2" t="s">
        <v>827</v>
      </c>
      <c r="E5718" s="7">
        <v>2570368</v>
      </c>
      <c r="F5718" s="5">
        <v>3417730</v>
      </c>
    </row>
    <row r="5719" spans="1:6" ht="20" x14ac:dyDescent="0.25">
      <c r="A5719" s="5">
        <v>3417730</v>
      </c>
      <c r="B5719" s="1">
        <v>2023</v>
      </c>
      <c r="C5719" s="1" t="s">
        <v>1387</v>
      </c>
      <c r="D5719" s="2" t="s">
        <v>827</v>
      </c>
      <c r="E5719" s="7">
        <v>2530342</v>
      </c>
      <c r="F5719" s="5">
        <v>3417730</v>
      </c>
    </row>
    <row r="5720" spans="1:6" x14ac:dyDescent="0.25">
      <c r="A5720" s="5">
        <v>3417760</v>
      </c>
      <c r="B5720" s="1">
        <v>2015</v>
      </c>
      <c r="C5720" s="1" t="s">
        <v>1387</v>
      </c>
      <c r="D5720" s="1" t="s">
        <v>635</v>
      </c>
      <c r="E5720" s="8">
        <v>2455822</v>
      </c>
      <c r="F5720" s="5">
        <v>3417760</v>
      </c>
    </row>
    <row r="5721" spans="1:6" x14ac:dyDescent="0.25">
      <c r="A5721" s="5">
        <v>3417760</v>
      </c>
      <c r="B5721" s="1">
        <v>2016</v>
      </c>
      <c r="C5721" s="1" t="s">
        <v>1387</v>
      </c>
      <c r="D5721" s="1" t="s">
        <v>635</v>
      </c>
      <c r="E5721" s="8">
        <v>3576626</v>
      </c>
      <c r="F5721" s="5">
        <v>3417760</v>
      </c>
    </row>
    <row r="5722" spans="1:6" x14ac:dyDescent="0.25">
      <c r="A5722" s="5">
        <v>3417760</v>
      </c>
      <c r="B5722" s="1">
        <v>2017</v>
      </c>
      <c r="C5722" s="1" t="s">
        <v>1387</v>
      </c>
      <c r="D5722" s="1" t="s">
        <v>635</v>
      </c>
      <c r="E5722" s="8">
        <v>5057161</v>
      </c>
      <c r="F5722" s="5">
        <v>3417760</v>
      </c>
    </row>
    <row r="5723" spans="1:6" x14ac:dyDescent="0.25">
      <c r="A5723" s="5">
        <v>3417760</v>
      </c>
      <c r="B5723" s="1">
        <v>2018</v>
      </c>
      <c r="C5723" s="1" t="s">
        <v>1387</v>
      </c>
      <c r="D5723" s="1" t="s">
        <v>1328</v>
      </c>
      <c r="E5723" s="8">
        <v>6749888</v>
      </c>
      <c r="F5723" s="5">
        <v>3417760</v>
      </c>
    </row>
    <row r="5724" spans="1:6" x14ac:dyDescent="0.25">
      <c r="A5724" s="5">
        <v>3417760</v>
      </c>
      <c r="B5724" s="1">
        <v>2019</v>
      </c>
      <c r="C5724" s="1" t="s">
        <v>1387</v>
      </c>
      <c r="D5724" s="1" t="s">
        <v>1328</v>
      </c>
      <c r="E5724" s="8">
        <v>9193677</v>
      </c>
      <c r="F5724" s="5">
        <v>3417760</v>
      </c>
    </row>
    <row r="5725" spans="1:6" ht="20" x14ac:dyDescent="0.25">
      <c r="A5725" s="5">
        <v>3417760</v>
      </c>
      <c r="B5725" s="1">
        <v>2020</v>
      </c>
      <c r="C5725" s="1" t="s">
        <v>1387</v>
      </c>
      <c r="D5725" s="2" t="s">
        <v>1328</v>
      </c>
      <c r="E5725" s="7">
        <v>10117795</v>
      </c>
      <c r="F5725" s="5">
        <v>3417760</v>
      </c>
    </row>
    <row r="5726" spans="1:6" ht="20" x14ac:dyDescent="0.25">
      <c r="A5726" s="5">
        <v>3417760</v>
      </c>
      <c r="B5726" s="1">
        <v>2021</v>
      </c>
      <c r="C5726" s="1" t="s">
        <v>1387</v>
      </c>
      <c r="D5726" s="3" t="s">
        <v>1328</v>
      </c>
      <c r="E5726" s="7">
        <v>13034422</v>
      </c>
      <c r="F5726" s="5">
        <v>3417760</v>
      </c>
    </row>
    <row r="5727" spans="1:6" ht="20" x14ac:dyDescent="0.25">
      <c r="A5727" s="5">
        <v>3417760</v>
      </c>
      <c r="B5727" s="1">
        <v>2022</v>
      </c>
      <c r="C5727" s="1" t="s">
        <v>1387</v>
      </c>
      <c r="D5727" s="2" t="s">
        <v>1328</v>
      </c>
      <c r="E5727" s="7">
        <v>18634089</v>
      </c>
      <c r="F5727" s="5">
        <v>3417760</v>
      </c>
    </row>
    <row r="5728" spans="1:6" ht="20" x14ac:dyDescent="0.25">
      <c r="A5728" s="5">
        <v>3417760</v>
      </c>
      <c r="B5728" s="1">
        <v>2023</v>
      </c>
      <c r="C5728" s="1" t="s">
        <v>1387</v>
      </c>
      <c r="D5728" s="2" t="s">
        <v>1328</v>
      </c>
      <c r="E5728" s="7">
        <v>18638577</v>
      </c>
      <c r="F5728" s="5">
        <v>3417760</v>
      </c>
    </row>
    <row r="5729" spans="1:6" x14ac:dyDescent="0.25">
      <c r="A5729" s="5">
        <v>3417790</v>
      </c>
      <c r="B5729" s="1">
        <v>2015</v>
      </c>
      <c r="C5729" s="1" t="s">
        <v>1387</v>
      </c>
      <c r="D5729" s="1" t="s">
        <v>298</v>
      </c>
      <c r="E5729" s="8">
        <v>139024</v>
      </c>
      <c r="F5729" s="5">
        <v>3417790</v>
      </c>
    </row>
    <row r="5730" spans="1:6" x14ac:dyDescent="0.25">
      <c r="A5730" s="5">
        <v>3417790</v>
      </c>
      <c r="B5730" s="1">
        <v>2016</v>
      </c>
      <c r="C5730" s="1" t="s">
        <v>1387</v>
      </c>
      <c r="D5730" s="1" t="s">
        <v>298</v>
      </c>
      <c r="E5730" s="8">
        <v>204918</v>
      </c>
      <c r="F5730" s="5">
        <v>3417790</v>
      </c>
    </row>
    <row r="5731" spans="1:6" x14ac:dyDescent="0.25">
      <c r="A5731" s="5">
        <v>3417790</v>
      </c>
      <c r="B5731" s="1">
        <v>2017</v>
      </c>
      <c r="C5731" s="1" t="s">
        <v>1387</v>
      </c>
      <c r="D5731" s="1" t="s">
        <v>298</v>
      </c>
      <c r="E5731" s="8">
        <v>291322</v>
      </c>
      <c r="F5731" s="5">
        <v>3417790</v>
      </c>
    </row>
    <row r="5732" spans="1:6" x14ac:dyDescent="0.25">
      <c r="A5732" s="5">
        <v>3417790</v>
      </c>
      <c r="B5732" s="1">
        <v>2018</v>
      </c>
      <c r="C5732" s="1" t="s">
        <v>1387</v>
      </c>
      <c r="D5732" s="1" t="s">
        <v>988</v>
      </c>
      <c r="E5732" s="8">
        <v>372929</v>
      </c>
      <c r="F5732" s="5">
        <v>3417790</v>
      </c>
    </row>
    <row r="5733" spans="1:6" x14ac:dyDescent="0.25">
      <c r="A5733" s="5">
        <v>3417790</v>
      </c>
      <c r="B5733" s="1">
        <v>2019</v>
      </c>
      <c r="C5733" s="1" t="s">
        <v>1387</v>
      </c>
      <c r="D5733" s="1" t="s">
        <v>988</v>
      </c>
      <c r="E5733" s="8">
        <v>491666</v>
      </c>
      <c r="F5733" s="5">
        <v>3417790</v>
      </c>
    </row>
    <row r="5734" spans="1:6" ht="20" x14ac:dyDescent="0.25">
      <c r="A5734" s="5">
        <v>3417790</v>
      </c>
      <c r="B5734" s="1">
        <v>2020</v>
      </c>
      <c r="C5734" s="1" t="s">
        <v>1387</v>
      </c>
      <c r="D5734" s="2" t="s">
        <v>988</v>
      </c>
      <c r="E5734" s="7">
        <v>545081</v>
      </c>
      <c r="F5734" s="5">
        <v>3417790</v>
      </c>
    </row>
    <row r="5735" spans="1:6" ht="20" x14ac:dyDescent="0.25">
      <c r="A5735" s="5">
        <v>3417790</v>
      </c>
      <c r="B5735" s="1">
        <v>2021</v>
      </c>
      <c r="C5735" s="1" t="s">
        <v>1387</v>
      </c>
      <c r="D5735" s="3" t="s">
        <v>988</v>
      </c>
      <c r="E5735" s="7">
        <v>739525</v>
      </c>
      <c r="F5735" s="5">
        <v>3417790</v>
      </c>
    </row>
    <row r="5736" spans="1:6" ht="20" x14ac:dyDescent="0.25">
      <c r="A5736" s="5">
        <v>3417790</v>
      </c>
      <c r="B5736" s="1">
        <v>2022</v>
      </c>
      <c r="C5736" s="1" t="s">
        <v>1387</v>
      </c>
      <c r="D5736" s="2" t="s">
        <v>988</v>
      </c>
      <c r="E5736" s="7">
        <v>1047110</v>
      </c>
      <c r="F5736" s="5">
        <v>3417790</v>
      </c>
    </row>
    <row r="5737" spans="1:6" ht="20" x14ac:dyDescent="0.25">
      <c r="A5737" s="5">
        <v>3417790</v>
      </c>
      <c r="B5737" s="1">
        <v>2023</v>
      </c>
      <c r="C5737" s="1" t="s">
        <v>1387</v>
      </c>
      <c r="D5737" s="2" t="s">
        <v>988</v>
      </c>
      <c r="E5737" s="7">
        <v>1054911</v>
      </c>
      <c r="F5737" s="5">
        <v>3417790</v>
      </c>
    </row>
    <row r="5738" spans="1:6" x14ac:dyDescent="0.25">
      <c r="A5738" s="5">
        <v>3417820</v>
      </c>
      <c r="B5738" s="1">
        <v>2015</v>
      </c>
      <c r="C5738" s="1" t="s">
        <v>1387</v>
      </c>
      <c r="D5738" s="1" t="s">
        <v>102</v>
      </c>
      <c r="E5738" s="8">
        <v>1060928</v>
      </c>
      <c r="F5738" s="5">
        <v>3417820</v>
      </c>
    </row>
    <row r="5739" spans="1:6" x14ac:dyDescent="0.25">
      <c r="A5739" s="5">
        <v>3417820</v>
      </c>
      <c r="B5739" s="1">
        <v>2016</v>
      </c>
      <c r="C5739" s="1" t="s">
        <v>1387</v>
      </c>
      <c r="D5739" s="1" t="s">
        <v>102</v>
      </c>
      <c r="E5739" s="8">
        <v>1628429</v>
      </c>
      <c r="F5739" s="5">
        <v>3417820</v>
      </c>
    </row>
    <row r="5740" spans="1:6" x14ac:dyDescent="0.25">
      <c r="A5740" s="5">
        <v>3417820</v>
      </c>
      <c r="B5740" s="1">
        <v>2017</v>
      </c>
      <c r="C5740" s="1" t="s">
        <v>1387</v>
      </c>
      <c r="D5740" s="1" t="s">
        <v>102</v>
      </c>
      <c r="E5740" s="8">
        <v>2227782</v>
      </c>
      <c r="F5740" s="5">
        <v>3417820</v>
      </c>
    </row>
    <row r="5741" spans="1:6" x14ac:dyDescent="0.25">
      <c r="A5741" s="5">
        <v>3417820</v>
      </c>
      <c r="B5741" s="1">
        <v>2018</v>
      </c>
      <c r="C5741" s="1" t="s">
        <v>1387</v>
      </c>
      <c r="D5741" s="1" t="s">
        <v>782</v>
      </c>
      <c r="E5741" s="8">
        <v>3212426</v>
      </c>
      <c r="F5741" s="5">
        <v>3417820</v>
      </c>
    </row>
    <row r="5742" spans="1:6" x14ac:dyDescent="0.25">
      <c r="A5742" s="5">
        <v>3417820</v>
      </c>
      <c r="B5742" s="1">
        <v>2019</v>
      </c>
      <c r="C5742" s="1" t="s">
        <v>1387</v>
      </c>
      <c r="D5742" s="1" t="s">
        <v>782</v>
      </c>
      <c r="E5742" s="8">
        <v>4405544</v>
      </c>
      <c r="F5742" s="5">
        <v>3417820</v>
      </c>
    </row>
    <row r="5743" spans="1:6" ht="20" x14ac:dyDescent="0.25">
      <c r="A5743" s="5">
        <v>3417820</v>
      </c>
      <c r="B5743" s="1">
        <v>2020</v>
      </c>
      <c r="C5743" s="1" t="s">
        <v>1387</v>
      </c>
      <c r="D5743" s="2" t="s">
        <v>782</v>
      </c>
      <c r="E5743" s="7">
        <v>5190774</v>
      </c>
      <c r="F5743" s="5">
        <v>3417820</v>
      </c>
    </row>
    <row r="5744" spans="1:6" ht="20" x14ac:dyDescent="0.25">
      <c r="A5744" s="5">
        <v>3417820</v>
      </c>
      <c r="B5744" s="1">
        <v>2021</v>
      </c>
      <c r="C5744" s="1" t="s">
        <v>1387</v>
      </c>
      <c r="D5744" s="3" t="s">
        <v>782</v>
      </c>
      <c r="E5744" s="7">
        <v>6627529</v>
      </c>
      <c r="F5744" s="5">
        <v>3417820</v>
      </c>
    </row>
    <row r="5745" spans="1:6" ht="20" x14ac:dyDescent="0.25">
      <c r="A5745" s="5">
        <v>3417820</v>
      </c>
      <c r="B5745" s="1">
        <v>2022</v>
      </c>
      <c r="C5745" s="1" t="s">
        <v>1387</v>
      </c>
      <c r="D5745" s="2" t="s">
        <v>782</v>
      </c>
      <c r="E5745" s="7">
        <v>9403534</v>
      </c>
      <c r="F5745" s="5">
        <v>3417820</v>
      </c>
    </row>
    <row r="5746" spans="1:6" ht="20" x14ac:dyDescent="0.25">
      <c r="A5746" s="5">
        <v>3417820</v>
      </c>
      <c r="B5746" s="1">
        <v>2023</v>
      </c>
      <c r="C5746" s="1" t="s">
        <v>1387</v>
      </c>
      <c r="D5746" s="2" t="s">
        <v>782</v>
      </c>
      <c r="E5746" s="7">
        <v>9407654</v>
      </c>
      <c r="F5746" s="5">
        <v>3417820</v>
      </c>
    </row>
    <row r="5747" spans="1:6" x14ac:dyDescent="0.25">
      <c r="A5747" s="5">
        <v>3417850</v>
      </c>
      <c r="B5747" s="1">
        <v>2015</v>
      </c>
      <c r="C5747" s="1" t="s">
        <v>1387</v>
      </c>
      <c r="D5747" s="1" t="s">
        <v>25</v>
      </c>
      <c r="E5747" s="8">
        <v>81881</v>
      </c>
      <c r="F5747" s="5">
        <v>3417850</v>
      </c>
    </row>
    <row r="5748" spans="1:6" x14ac:dyDescent="0.25">
      <c r="A5748" s="5">
        <v>3417850</v>
      </c>
      <c r="B5748" s="1">
        <v>2016</v>
      </c>
      <c r="C5748" s="1" t="s">
        <v>1387</v>
      </c>
      <c r="D5748" s="1" t="s">
        <v>25</v>
      </c>
      <c r="E5748" s="8">
        <v>120927</v>
      </c>
      <c r="F5748" s="5">
        <v>3417850</v>
      </c>
    </row>
    <row r="5749" spans="1:6" x14ac:dyDescent="0.25">
      <c r="A5749" s="5">
        <v>3417850</v>
      </c>
      <c r="B5749" s="1">
        <v>2017</v>
      </c>
      <c r="C5749" s="1" t="s">
        <v>1387</v>
      </c>
      <c r="D5749" s="1" t="s">
        <v>25</v>
      </c>
      <c r="E5749" s="8">
        <v>142986</v>
      </c>
      <c r="F5749" s="5">
        <v>3417850</v>
      </c>
    </row>
    <row r="5750" spans="1:6" x14ac:dyDescent="0.25">
      <c r="A5750" s="5">
        <v>3417850</v>
      </c>
      <c r="B5750" s="1">
        <v>2018</v>
      </c>
      <c r="C5750" s="1" t="s">
        <v>1387</v>
      </c>
      <c r="D5750" s="1" t="s">
        <v>704</v>
      </c>
      <c r="E5750" s="8">
        <v>193516</v>
      </c>
      <c r="F5750" s="5">
        <v>3417850</v>
      </c>
    </row>
    <row r="5751" spans="1:6" x14ac:dyDescent="0.25">
      <c r="A5751" s="5">
        <v>3417850</v>
      </c>
      <c r="B5751" s="1">
        <v>2019</v>
      </c>
      <c r="C5751" s="1" t="s">
        <v>1387</v>
      </c>
      <c r="D5751" s="1" t="s">
        <v>704</v>
      </c>
      <c r="E5751" s="8">
        <v>233048</v>
      </c>
      <c r="F5751" s="5">
        <v>3417850</v>
      </c>
    </row>
    <row r="5752" spans="1:6" ht="20" x14ac:dyDescent="0.25">
      <c r="A5752" s="5">
        <v>3417850</v>
      </c>
      <c r="B5752" s="1">
        <v>2020</v>
      </c>
      <c r="C5752" s="1" t="s">
        <v>1387</v>
      </c>
      <c r="D5752" s="2" t="s">
        <v>704</v>
      </c>
      <c r="E5752" s="7">
        <v>261302</v>
      </c>
      <c r="F5752" s="5">
        <v>3417850</v>
      </c>
    </row>
    <row r="5753" spans="1:6" ht="20" x14ac:dyDescent="0.25">
      <c r="A5753" s="5">
        <v>3417850</v>
      </c>
      <c r="B5753" s="1">
        <v>2021</v>
      </c>
      <c r="C5753" s="1" t="s">
        <v>1387</v>
      </c>
      <c r="D5753" s="3" t="s">
        <v>704</v>
      </c>
      <c r="E5753" s="7">
        <v>344182</v>
      </c>
      <c r="F5753" s="5">
        <v>3417850</v>
      </c>
    </row>
    <row r="5754" spans="1:6" ht="20" x14ac:dyDescent="0.25">
      <c r="A5754" s="5">
        <v>3417850</v>
      </c>
      <c r="B5754" s="1">
        <v>2022</v>
      </c>
      <c r="C5754" s="1" t="s">
        <v>1387</v>
      </c>
      <c r="D5754" s="2" t="s">
        <v>704</v>
      </c>
      <c r="E5754" s="7">
        <v>484619</v>
      </c>
      <c r="F5754" s="5">
        <v>3417850</v>
      </c>
    </row>
    <row r="5755" spans="1:6" ht="20" x14ac:dyDescent="0.25">
      <c r="A5755" s="5">
        <v>3417850</v>
      </c>
      <c r="B5755" s="1">
        <v>2023</v>
      </c>
      <c r="C5755" s="1" t="s">
        <v>1387</v>
      </c>
      <c r="D5755" s="2" t="s">
        <v>704</v>
      </c>
      <c r="E5755" s="7">
        <v>457714</v>
      </c>
      <c r="F5755" s="5">
        <v>3417850</v>
      </c>
    </row>
    <row r="5756" spans="1:6" x14ac:dyDescent="0.25">
      <c r="A5756" s="5">
        <v>3417880</v>
      </c>
      <c r="B5756" s="1">
        <v>2015</v>
      </c>
      <c r="C5756" s="1" t="s">
        <v>1387</v>
      </c>
      <c r="D5756" s="1" t="s">
        <v>493</v>
      </c>
      <c r="E5756" s="8">
        <v>266641</v>
      </c>
      <c r="F5756" s="5">
        <v>3417880</v>
      </c>
    </row>
    <row r="5757" spans="1:6" x14ac:dyDescent="0.25">
      <c r="A5757" s="5">
        <v>3417880</v>
      </c>
      <c r="B5757" s="1">
        <v>2016</v>
      </c>
      <c r="C5757" s="1" t="s">
        <v>1387</v>
      </c>
      <c r="D5757" s="1" t="s">
        <v>493</v>
      </c>
      <c r="E5757" s="8">
        <v>426953</v>
      </c>
      <c r="F5757" s="5">
        <v>3417880</v>
      </c>
    </row>
    <row r="5758" spans="1:6" x14ac:dyDescent="0.25">
      <c r="A5758" s="5">
        <v>3417880</v>
      </c>
      <c r="B5758" s="1">
        <v>2017</v>
      </c>
      <c r="C5758" s="1" t="s">
        <v>1387</v>
      </c>
      <c r="D5758" s="1" t="s">
        <v>493</v>
      </c>
      <c r="E5758" s="8">
        <v>627380</v>
      </c>
      <c r="F5758" s="5">
        <v>3417880</v>
      </c>
    </row>
    <row r="5759" spans="1:6" x14ac:dyDescent="0.25">
      <c r="A5759" s="5">
        <v>3417880</v>
      </c>
      <c r="B5759" s="1">
        <v>2018</v>
      </c>
      <c r="C5759" s="1" t="s">
        <v>1387</v>
      </c>
      <c r="D5759" s="1" t="s">
        <v>1185</v>
      </c>
      <c r="E5759" s="8">
        <v>841210</v>
      </c>
      <c r="F5759" s="5">
        <v>3417880</v>
      </c>
    </row>
    <row r="5760" spans="1:6" x14ac:dyDescent="0.25">
      <c r="A5760" s="5">
        <v>3417880</v>
      </c>
      <c r="B5760" s="1">
        <v>2019</v>
      </c>
      <c r="C5760" s="1" t="s">
        <v>1387</v>
      </c>
      <c r="D5760" s="1" t="s">
        <v>1185</v>
      </c>
      <c r="E5760" s="8">
        <v>1135020</v>
      </c>
      <c r="F5760" s="5">
        <v>3417880</v>
      </c>
    </row>
    <row r="5761" spans="1:6" ht="20" x14ac:dyDescent="0.25">
      <c r="A5761" s="5">
        <v>3417880</v>
      </c>
      <c r="B5761" s="1">
        <v>2020</v>
      </c>
      <c r="C5761" s="1" t="s">
        <v>1387</v>
      </c>
      <c r="D5761" s="2" t="s">
        <v>1185</v>
      </c>
      <c r="E5761" s="7">
        <v>1262488</v>
      </c>
      <c r="F5761" s="5">
        <v>3417880</v>
      </c>
    </row>
    <row r="5762" spans="1:6" ht="20" x14ac:dyDescent="0.25">
      <c r="A5762" s="5">
        <v>3417880</v>
      </c>
      <c r="B5762" s="1">
        <v>2021</v>
      </c>
      <c r="C5762" s="1" t="s">
        <v>1387</v>
      </c>
      <c r="D5762" s="3" t="s">
        <v>1185</v>
      </c>
      <c r="E5762" s="7">
        <v>1571618</v>
      </c>
      <c r="F5762" s="5">
        <v>3417880</v>
      </c>
    </row>
    <row r="5763" spans="1:6" ht="20" x14ac:dyDescent="0.25">
      <c r="A5763" s="5">
        <v>3417880</v>
      </c>
      <c r="B5763" s="1">
        <v>2022</v>
      </c>
      <c r="C5763" s="1" t="s">
        <v>1387</v>
      </c>
      <c r="D5763" s="2" t="s">
        <v>1185</v>
      </c>
      <c r="E5763" s="7">
        <v>2249600</v>
      </c>
      <c r="F5763" s="5">
        <v>3417880</v>
      </c>
    </row>
    <row r="5764" spans="1:6" ht="20" x14ac:dyDescent="0.25">
      <c r="A5764" s="5">
        <v>3417880</v>
      </c>
      <c r="B5764" s="1">
        <v>2023</v>
      </c>
      <c r="C5764" s="1" t="s">
        <v>1387</v>
      </c>
      <c r="D5764" s="2" t="s">
        <v>1185</v>
      </c>
      <c r="E5764" s="7">
        <v>2188860</v>
      </c>
      <c r="F5764" s="5">
        <v>3417880</v>
      </c>
    </row>
    <row r="5765" spans="1:6" x14ac:dyDescent="0.25">
      <c r="A5765" s="5">
        <v>3417910</v>
      </c>
      <c r="B5765" s="1">
        <v>2015</v>
      </c>
      <c r="C5765" s="1" t="s">
        <v>1387</v>
      </c>
      <c r="D5765" s="1" t="s">
        <v>661</v>
      </c>
      <c r="E5765" s="8">
        <v>132076</v>
      </c>
      <c r="F5765" s="5">
        <v>3417910</v>
      </c>
    </row>
    <row r="5766" spans="1:6" x14ac:dyDescent="0.25">
      <c r="A5766" s="5">
        <v>3417910</v>
      </c>
      <c r="B5766" s="1">
        <v>2016</v>
      </c>
      <c r="C5766" s="1" t="s">
        <v>1387</v>
      </c>
      <c r="D5766" s="1" t="s">
        <v>661</v>
      </c>
      <c r="E5766" s="8">
        <v>210370</v>
      </c>
      <c r="F5766" s="5">
        <v>3417910</v>
      </c>
    </row>
    <row r="5767" spans="1:6" x14ac:dyDescent="0.25">
      <c r="A5767" s="5">
        <v>3417910</v>
      </c>
      <c r="B5767" s="1">
        <v>2017</v>
      </c>
      <c r="C5767" s="1" t="s">
        <v>1387</v>
      </c>
      <c r="D5767" s="1" t="s">
        <v>661</v>
      </c>
      <c r="E5767" s="8">
        <v>292588</v>
      </c>
      <c r="F5767" s="5">
        <v>3417910</v>
      </c>
    </row>
    <row r="5768" spans="1:6" x14ac:dyDescent="0.25">
      <c r="A5768" s="5">
        <v>3417910</v>
      </c>
      <c r="B5768" s="1">
        <v>2018</v>
      </c>
      <c r="C5768" s="1" t="s">
        <v>1387</v>
      </c>
      <c r="D5768" s="1" t="s">
        <v>1354</v>
      </c>
      <c r="E5768" s="8">
        <v>391001</v>
      </c>
      <c r="F5768" s="5">
        <v>3417910</v>
      </c>
    </row>
    <row r="5769" spans="1:6" x14ac:dyDescent="0.25">
      <c r="A5769" s="5">
        <v>3417910</v>
      </c>
      <c r="B5769" s="1">
        <v>2019</v>
      </c>
      <c r="C5769" s="1" t="s">
        <v>1387</v>
      </c>
      <c r="D5769" s="1" t="s">
        <v>1354</v>
      </c>
      <c r="E5769" s="8">
        <v>526179</v>
      </c>
      <c r="F5769" s="5">
        <v>3417910</v>
      </c>
    </row>
    <row r="5770" spans="1:6" ht="20" x14ac:dyDescent="0.25">
      <c r="A5770" s="5">
        <v>3417910</v>
      </c>
      <c r="B5770" s="1">
        <v>2020</v>
      </c>
      <c r="C5770" s="1" t="s">
        <v>1387</v>
      </c>
      <c r="D5770" s="2" t="s">
        <v>1354</v>
      </c>
      <c r="E5770" s="7">
        <v>609838</v>
      </c>
      <c r="F5770" s="5">
        <v>3417910</v>
      </c>
    </row>
    <row r="5771" spans="1:6" ht="20" x14ac:dyDescent="0.25">
      <c r="A5771" s="5">
        <v>3417910</v>
      </c>
      <c r="B5771" s="1">
        <v>2021</v>
      </c>
      <c r="C5771" s="1" t="s">
        <v>1387</v>
      </c>
      <c r="D5771" s="3" t="s">
        <v>1354</v>
      </c>
      <c r="E5771" s="7">
        <v>750842</v>
      </c>
      <c r="F5771" s="5">
        <v>3417910</v>
      </c>
    </row>
    <row r="5772" spans="1:6" ht="20" x14ac:dyDescent="0.25">
      <c r="A5772" s="5">
        <v>3417910</v>
      </c>
      <c r="B5772" s="1">
        <v>2022</v>
      </c>
      <c r="C5772" s="1" t="s">
        <v>1387</v>
      </c>
      <c r="D5772" s="2" t="s">
        <v>1354</v>
      </c>
      <c r="E5772" s="7">
        <v>928972</v>
      </c>
      <c r="F5772" s="5">
        <v>3417910</v>
      </c>
    </row>
    <row r="5773" spans="1:6" ht="20" x14ac:dyDescent="0.25">
      <c r="A5773" s="5">
        <v>3417910</v>
      </c>
      <c r="B5773" s="1">
        <v>2023</v>
      </c>
      <c r="C5773" s="1" t="s">
        <v>1387</v>
      </c>
      <c r="D5773" s="2" t="s">
        <v>1354</v>
      </c>
      <c r="E5773" s="7">
        <v>971859</v>
      </c>
      <c r="F5773" s="5">
        <v>3417910</v>
      </c>
    </row>
    <row r="5774" spans="1:6" x14ac:dyDescent="0.25">
      <c r="A5774" s="5">
        <v>3417920</v>
      </c>
      <c r="B5774" s="1">
        <v>2015</v>
      </c>
      <c r="C5774" s="1" t="s">
        <v>1387</v>
      </c>
      <c r="D5774" s="1" t="s">
        <v>657</v>
      </c>
      <c r="E5774" s="8">
        <v>187774</v>
      </c>
      <c r="F5774" s="5">
        <v>3417920</v>
      </c>
    </row>
    <row r="5775" spans="1:6" x14ac:dyDescent="0.25">
      <c r="A5775" s="5">
        <v>3417920</v>
      </c>
      <c r="B5775" s="1">
        <v>2016</v>
      </c>
      <c r="C5775" s="1" t="s">
        <v>1387</v>
      </c>
      <c r="D5775" s="1" t="s">
        <v>657</v>
      </c>
      <c r="E5775" s="8">
        <v>279494</v>
      </c>
      <c r="F5775" s="5">
        <v>3417920</v>
      </c>
    </row>
    <row r="5776" spans="1:6" x14ac:dyDescent="0.25">
      <c r="A5776" s="5">
        <v>3417920</v>
      </c>
      <c r="B5776" s="1">
        <v>2017</v>
      </c>
      <c r="C5776" s="1" t="s">
        <v>1387</v>
      </c>
      <c r="D5776" s="1" t="s">
        <v>657</v>
      </c>
      <c r="E5776" s="8">
        <v>383271</v>
      </c>
      <c r="F5776" s="5">
        <v>3417920</v>
      </c>
    </row>
    <row r="5777" spans="1:6" x14ac:dyDescent="0.25">
      <c r="A5777" s="5">
        <v>3417920</v>
      </c>
      <c r="B5777" s="1">
        <v>2018</v>
      </c>
      <c r="C5777" s="1" t="s">
        <v>1387</v>
      </c>
      <c r="D5777" s="1" t="s">
        <v>1350</v>
      </c>
      <c r="E5777" s="8">
        <v>508242</v>
      </c>
      <c r="F5777" s="5">
        <v>3417920</v>
      </c>
    </row>
    <row r="5778" spans="1:6" x14ac:dyDescent="0.25">
      <c r="A5778" s="5">
        <v>3417920</v>
      </c>
      <c r="B5778" s="1">
        <v>2019</v>
      </c>
      <c r="C5778" s="1" t="s">
        <v>1387</v>
      </c>
      <c r="D5778" s="1" t="s">
        <v>1350</v>
      </c>
      <c r="E5778" s="8">
        <v>708827</v>
      </c>
      <c r="F5778" s="5">
        <v>3417920</v>
      </c>
    </row>
    <row r="5779" spans="1:6" ht="20" x14ac:dyDescent="0.25">
      <c r="A5779" s="5">
        <v>3417920</v>
      </c>
      <c r="B5779" s="1">
        <v>2020</v>
      </c>
      <c r="C5779" s="1" t="s">
        <v>1387</v>
      </c>
      <c r="D5779" s="2" t="s">
        <v>1350</v>
      </c>
      <c r="E5779" s="7">
        <v>733271</v>
      </c>
      <c r="F5779" s="5">
        <v>3417920</v>
      </c>
    </row>
    <row r="5780" spans="1:6" ht="20" x14ac:dyDescent="0.25">
      <c r="A5780" s="5">
        <v>3417920</v>
      </c>
      <c r="B5780" s="1">
        <v>2021</v>
      </c>
      <c r="C5780" s="1" t="s">
        <v>1387</v>
      </c>
      <c r="D5780" s="3" t="s">
        <v>1350</v>
      </c>
      <c r="E5780" s="7">
        <v>904893</v>
      </c>
      <c r="F5780" s="5">
        <v>3417920</v>
      </c>
    </row>
    <row r="5781" spans="1:6" ht="20" x14ac:dyDescent="0.25">
      <c r="A5781" s="5">
        <v>3417920</v>
      </c>
      <c r="B5781" s="1">
        <v>2022</v>
      </c>
      <c r="C5781" s="1" t="s">
        <v>1387</v>
      </c>
      <c r="D5781" s="2" t="s">
        <v>1350</v>
      </c>
      <c r="E5781" s="7">
        <v>1334069</v>
      </c>
      <c r="F5781" s="5">
        <v>3417920</v>
      </c>
    </row>
    <row r="5782" spans="1:6" ht="20" x14ac:dyDescent="0.25">
      <c r="A5782" s="5">
        <v>3417920</v>
      </c>
      <c r="B5782" s="1">
        <v>2023</v>
      </c>
      <c r="C5782" s="1" t="s">
        <v>1387</v>
      </c>
      <c r="D5782" s="2" t="s">
        <v>1350</v>
      </c>
      <c r="E5782" s="7">
        <v>1410003</v>
      </c>
      <c r="F5782" s="5">
        <v>3417920</v>
      </c>
    </row>
    <row r="5783" spans="1:6" x14ac:dyDescent="0.25">
      <c r="A5783" s="5">
        <v>3417940</v>
      </c>
      <c r="B5783" s="1">
        <v>2015</v>
      </c>
      <c r="C5783" s="1" t="s">
        <v>1387</v>
      </c>
      <c r="D5783" s="1" t="s">
        <v>209</v>
      </c>
      <c r="E5783" s="8">
        <v>443031</v>
      </c>
      <c r="F5783" s="5">
        <v>3417940</v>
      </c>
    </row>
    <row r="5784" spans="1:6" x14ac:dyDescent="0.25">
      <c r="A5784" s="5">
        <v>3417940</v>
      </c>
      <c r="B5784" s="1">
        <v>2016</v>
      </c>
      <c r="C5784" s="1" t="s">
        <v>1387</v>
      </c>
      <c r="D5784" s="1" t="s">
        <v>209</v>
      </c>
      <c r="E5784" s="8">
        <v>634925</v>
      </c>
      <c r="F5784" s="5">
        <v>3417940</v>
      </c>
    </row>
    <row r="5785" spans="1:6" x14ac:dyDescent="0.25">
      <c r="A5785" s="5">
        <v>3417940</v>
      </c>
      <c r="B5785" s="1">
        <v>2017</v>
      </c>
      <c r="C5785" s="1" t="s">
        <v>1387</v>
      </c>
      <c r="D5785" s="1" t="s">
        <v>209</v>
      </c>
      <c r="E5785" s="8">
        <v>904430</v>
      </c>
      <c r="F5785" s="5">
        <v>3417940</v>
      </c>
    </row>
    <row r="5786" spans="1:6" x14ac:dyDescent="0.25">
      <c r="A5786" s="5">
        <v>3417940</v>
      </c>
      <c r="B5786" s="1">
        <v>2018</v>
      </c>
      <c r="C5786" s="1" t="s">
        <v>1387</v>
      </c>
      <c r="D5786" s="1" t="s">
        <v>893</v>
      </c>
      <c r="E5786" s="8">
        <v>1228098</v>
      </c>
      <c r="F5786" s="5">
        <v>3417940</v>
      </c>
    </row>
    <row r="5787" spans="1:6" x14ac:dyDescent="0.25">
      <c r="A5787" s="5">
        <v>3417940</v>
      </c>
      <c r="B5787" s="1">
        <v>2019</v>
      </c>
      <c r="C5787" s="1" t="s">
        <v>1387</v>
      </c>
      <c r="D5787" s="1" t="s">
        <v>893</v>
      </c>
      <c r="E5787" s="8">
        <v>1617195</v>
      </c>
      <c r="F5787" s="5">
        <v>3417940</v>
      </c>
    </row>
    <row r="5788" spans="1:6" ht="20" x14ac:dyDescent="0.25">
      <c r="A5788" s="5">
        <v>3417940</v>
      </c>
      <c r="B5788" s="1">
        <v>2020</v>
      </c>
      <c r="C5788" s="1" t="s">
        <v>1387</v>
      </c>
      <c r="D5788" s="2" t="s">
        <v>893</v>
      </c>
      <c r="E5788" s="7">
        <v>1766640</v>
      </c>
      <c r="F5788" s="5">
        <v>3417940</v>
      </c>
    </row>
    <row r="5789" spans="1:6" ht="20" x14ac:dyDescent="0.25">
      <c r="A5789" s="5">
        <v>3417940</v>
      </c>
      <c r="B5789" s="1">
        <v>2021</v>
      </c>
      <c r="C5789" s="1" t="s">
        <v>1387</v>
      </c>
      <c r="D5789" s="3" t="s">
        <v>893</v>
      </c>
      <c r="E5789" s="7">
        <v>2159072</v>
      </c>
      <c r="F5789" s="5">
        <v>3417940</v>
      </c>
    </row>
    <row r="5790" spans="1:6" ht="20" x14ac:dyDescent="0.25">
      <c r="A5790" s="5">
        <v>3417940</v>
      </c>
      <c r="B5790" s="1">
        <v>2022</v>
      </c>
      <c r="C5790" s="1" t="s">
        <v>1387</v>
      </c>
      <c r="D5790" s="2" t="s">
        <v>893</v>
      </c>
      <c r="E5790" s="7">
        <v>3258223</v>
      </c>
      <c r="F5790" s="5">
        <v>3417940</v>
      </c>
    </row>
    <row r="5791" spans="1:6" ht="20" x14ac:dyDescent="0.25">
      <c r="A5791" s="5">
        <v>3417940</v>
      </c>
      <c r="B5791" s="1">
        <v>2023</v>
      </c>
      <c r="C5791" s="1" t="s">
        <v>1387</v>
      </c>
      <c r="D5791" s="2" t="s">
        <v>893</v>
      </c>
      <c r="E5791" s="7">
        <v>3009610</v>
      </c>
      <c r="F5791" s="5">
        <v>3417940</v>
      </c>
    </row>
    <row r="5792" spans="1:6" x14ac:dyDescent="0.25">
      <c r="A5792" s="5">
        <v>3417970</v>
      </c>
      <c r="B5792" s="1">
        <v>2015</v>
      </c>
      <c r="C5792" s="1" t="s">
        <v>1387</v>
      </c>
      <c r="D5792" s="1" t="s">
        <v>210</v>
      </c>
      <c r="E5792" s="8">
        <v>136882</v>
      </c>
      <c r="F5792" s="5">
        <v>3417970</v>
      </c>
    </row>
    <row r="5793" spans="1:6" x14ac:dyDescent="0.25">
      <c r="A5793" s="5">
        <v>3417970</v>
      </c>
      <c r="B5793" s="1">
        <v>2016</v>
      </c>
      <c r="C5793" s="1" t="s">
        <v>1387</v>
      </c>
      <c r="D5793" s="1" t="s">
        <v>210</v>
      </c>
      <c r="E5793" s="8">
        <v>203657</v>
      </c>
      <c r="F5793" s="5">
        <v>3417970</v>
      </c>
    </row>
    <row r="5794" spans="1:6" x14ac:dyDescent="0.25">
      <c r="A5794" s="5">
        <v>3417970</v>
      </c>
      <c r="B5794" s="1">
        <v>2017</v>
      </c>
      <c r="C5794" s="1" t="s">
        <v>1387</v>
      </c>
      <c r="D5794" s="1" t="s">
        <v>210</v>
      </c>
      <c r="E5794" s="8">
        <v>289416</v>
      </c>
      <c r="F5794" s="5">
        <v>3417970</v>
      </c>
    </row>
    <row r="5795" spans="1:6" x14ac:dyDescent="0.25">
      <c r="A5795" s="5">
        <v>3417970</v>
      </c>
      <c r="B5795" s="1">
        <v>2018</v>
      </c>
      <c r="C5795" s="1" t="s">
        <v>1387</v>
      </c>
      <c r="D5795" s="1" t="s">
        <v>894</v>
      </c>
      <c r="E5795" s="8">
        <v>382511</v>
      </c>
      <c r="F5795" s="5">
        <v>3417970</v>
      </c>
    </row>
    <row r="5796" spans="1:6" x14ac:dyDescent="0.25">
      <c r="A5796" s="5">
        <v>3417970</v>
      </c>
      <c r="B5796" s="1">
        <v>2019</v>
      </c>
      <c r="C5796" s="1" t="s">
        <v>1387</v>
      </c>
      <c r="D5796" s="1" t="s">
        <v>894</v>
      </c>
      <c r="E5796" s="8">
        <v>497918</v>
      </c>
      <c r="F5796" s="5">
        <v>3417970</v>
      </c>
    </row>
    <row r="5797" spans="1:6" ht="20" x14ac:dyDescent="0.25">
      <c r="A5797" s="5">
        <v>3417970</v>
      </c>
      <c r="B5797" s="1">
        <v>2020</v>
      </c>
      <c r="C5797" s="1" t="s">
        <v>1387</v>
      </c>
      <c r="D5797" s="2" t="s">
        <v>894</v>
      </c>
      <c r="E5797" s="7">
        <v>618775</v>
      </c>
      <c r="F5797" s="5">
        <v>3417970</v>
      </c>
    </row>
    <row r="5798" spans="1:6" ht="20" x14ac:dyDescent="0.25">
      <c r="A5798" s="5">
        <v>3417970</v>
      </c>
      <c r="B5798" s="1">
        <v>2021</v>
      </c>
      <c r="C5798" s="1" t="s">
        <v>1387</v>
      </c>
      <c r="D5798" s="3" t="s">
        <v>894</v>
      </c>
      <c r="E5798" s="7">
        <v>820234</v>
      </c>
      <c r="F5798" s="5">
        <v>3417970</v>
      </c>
    </row>
    <row r="5799" spans="1:6" ht="20" x14ac:dyDescent="0.25">
      <c r="A5799" s="5">
        <v>3417970</v>
      </c>
      <c r="B5799" s="1">
        <v>2022</v>
      </c>
      <c r="C5799" s="1" t="s">
        <v>1387</v>
      </c>
      <c r="D5799" s="2" t="s">
        <v>894</v>
      </c>
      <c r="E5799" s="7">
        <v>1174285</v>
      </c>
      <c r="F5799" s="5">
        <v>3417970</v>
      </c>
    </row>
    <row r="5800" spans="1:6" ht="20" x14ac:dyDescent="0.25">
      <c r="A5800" s="5">
        <v>3417970</v>
      </c>
      <c r="B5800" s="1">
        <v>2023</v>
      </c>
      <c r="C5800" s="1" t="s">
        <v>1387</v>
      </c>
      <c r="D5800" s="2" t="s">
        <v>894</v>
      </c>
      <c r="E5800" s="7">
        <v>1288593</v>
      </c>
      <c r="F5800" s="5">
        <v>3417970</v>
      </c>
    </row>
    <row r="5801" spans="1:6" x14ac:dyDescent="0.25">
      <c r="A5801" s="5">
        <v>3418000</v>
      </c>
      <c r="B5801" s="1">
        <v>2015</v>
      </c>
      <c r="C5801" s="1" t="s">
        <v>1387</v>
      </c>
      <c r="D5801" s="1" t="s">
        <v>147</v>
      </c>
      <c r="E5801" s="8">
        <v>1424549</v>
      </c>
      <c r="F5801" s="5">
        <v>3418000</v>
      </c>
    </row>
    <row r="5802" spans="1:6" x14ac:dyDescent="0.25">
      <c r="A5802" s="5">
        <v>3418000</v>
      </c>
      <c r="B5802" s="1">
        <v>2016</v>
      </c>
      <c r="C5802" s="1" t="s">
        <v>1387</v>
      </c>
      <c r="D5802" s="1" t="s">
        <v>147</v>
      </c>
      <c r="E5802" s="8">
        <v>2074616</v>
      </c>
      <c r="F5802" s="5">
        <v>3418000</v>
      </c>
    </row>
    <row r="5803" spans="1:6" x14ac:dyDescent="0.25">
      <c r="A5803" s="5">
        <v>3418000</v>
      </c>
      <c r="B5803" s="1">
        <v>2017</v>
      </c>
      <c r="C5803" s="1" t="s">
        <v>1387</v>
      </c>
      <c r="D5803" s="1" t="s">
        <v>147</v>
      </c>
      <c r="E5803" s="8">
        <v>2824880</v>
      </c>
      <c r="F5803" s="5">
        <v>3418000</v>
      </c>
    </row>
    <row r="5804" spans="1:6" x14ac:dyDescent="0.25">
      <c r="A5804" s="5">
        <v>3418000</v>
      </c>
      <c r="B5804" s="1">
        <v>2018</v>
      </c>
      <c r="C5804" s="1" t="s">
        <v>1387</v>
      </c>
      <c r="D5804" s="1" t="s">
        <v>828</v>
      </c>
      <c r="E5804" s="8">
        <v>3564037</v>
      </c>
      <c r="F5804" s="5">
        <v>3418000</v>
      </c>
    </row>
    <row r="5805" spans="1:6" x14ac:dyDescent="0.25">
      <c r="A5805" s="5">
        <v>3418000</v>
      </c>
      <c r="B5805" s="1">
        <v>2019</v>
      </c>
      <c r="C5805" s="1" t="s">
        <v>1387</v>
      </c>
      <c r="D5805" s="1" t="s">
        <v>828</v>
      </c>
      <c r="E5805" s="8">
        <v>4565652</v>
      </c>
      <c r="F5805" s="5">
        <v>3418000</v>
      </c>
    </row>
    <row r="5806" spans="1:6" ht="20" x14ac:dyDescent="0.25">
      <c r="A5806" s="5">
        <v>3418000</v>
      </c>
      <c r="B5806" s="1">
        <v>2020</v>
      </c>
      <c r="C5806" s="1" t="s">
        <v>1387</v>
      </c>
      <c r="D5806" s="2" t="s">
        <v>828</v>
      </c>
      <c r="E5806" s="7">
        <v>5340043</v>
      </c>
      <c r="F5806" s="5">
        <v>3418000</v>
      </c>
    </row>
    <row r="5807" spans="1:6" ht="20" x14ac:dyDescent="0.25">
      <c r="A5807" s="5">
        <v>3418000</v>
      </c>
      <c r="B5807" s="1">
        <v>2021</v>
      </c>
      <c r="C5807" s="1" t="s">
        <v>1387</v>
      </c>
      <c r="D5807" s="3" t="s">
        <v>828</v>
      </c>
      <c r="E5807" s="7">
        <v>6470197</v>
      </c>
      <c r="F5807" s="5">
        <v>3418000</v>
      </c>
    </row>
    <row r="5808" spans="1:6" ht="20" x14ac:dyDescent="0.25">
      <c r="A5808" s="5">
        <v>3418000</v>
      </c>
      <c r="B5808" s="1">
        <v>2022</v>
      </c>
      <c r="C5808" s="1" t="s">
        <v>1387</v>
      </c>
      <c r="D5808" s="2" t="s">
        <v>828</v>
      </c>
      <c r="E5808" s="7">
        <v>9184527</v>
      </c>
      <c r="F5808" s="5">
        <v>3418000</v>
      </c>
    </row>
    <row r="5809" spans="1:6" ht="20" x14ac:dyDescent="0.25">
      <c r="A5809" s="5">
        <v>3418000</v>
      </c>
      <c r="B5809" s="1">
        <v>2023</v>
      </c>
      <c r="C5809" s="1" t="s">
        <v>1387</v>
      </c>
      <c r="D5809" s="2" t="s">
        <v>828</v>
      </c>
      <c r="E5809" s="7">
        <v>8736260</v>
      </c>
      <c r="F5809" s="5">
        <v>3418000</v>
      </c>
    </row>
    <row r="5810" spans="1:6" x14ac:dyDescent="0.25">
      <c r="A5810" s="5">
        <v>3418030</v>
      </c>
      <c r="B5810" s="1">
        <v>2015</v>
      </c>
      <c r="C5810" s="1" t="s">
        <v>1387</v>
      </c>
      <c r="D5810" s="1" t="s">
        <v>636</v>
      </c>
      <c r="E5810" s="8">
        <v>68183</v>
      </c>
      <c r="F5810" s="5">
        <v>3418030</v>
      </c>
    </row>
    <row r="5811" spans="1:6" x14ac:dyDescent="0.25">
      <c r="A5811" s="5">
        <v>3418030</v>
      </c>
      <c r="B5811" s="1">
        <v>2016</v>
      </c>
      <c r="C5811" s="1" t="s">
        <v>1387</v>
      </c>
      <c r="D5811" s="1" t="s">
        <v>636</v>
      </c>
      <c r="E5811" s="8">
        <v>98028</v>
      </c>
      <c r="F5811" s="5">
        <v>3418030</v>
      </c>
    </row>
    <row r="5812" spans="1:6" x14ac:dyDescent="0.25">
      <c r="A5812" s="5">
        <v>3418030</v>
      </c>
      <c r="B5812" s="1">
        <v>2017</v>
      </c>
      <c r="C5812" s="1" t="s">
        <v>1387</v>
      </c>
      <c r="D5812" s="1" t="s">
        <v>636</v>
      </c>
      <c r="E5812" s="8">
        <v>114649</v>
      </c>
      <c r="F5812" s="5">
        <v>3418030</v>
      </c>
    </row>
    <row r="5813" spans="1:6" x14ac:dyDescent="0.25">
      <c r="A5813" s="5">
        <v>3418030</v>
      </c>
      <c r="B5813" s="1">
        <v>2018</v>
      </c>
      <c r="C5813" s="1" t="s">
        <v>1387</v>
      </c>
      <c r="D5813" s="1" t="s">
        <v>1329</v>
      </c>
      <c r="E5813" s="8">
        <v>169805</v>
      </c>
      <c r="F5813" s="5">
        <v>3418030</v>
      </c>
    </row>
    <row r="5814" spans="1:6" x14ac:dyDescent="0.25">
      <c r="A5814" s="5">
        <v>3418030</v>
      </c>
      <c r="B5814" s="1">
        <v>2019</v>
      </c>
      <c r="C5814" s="1" t="s">
        <v>1387</v>
      </c>
      <c r="D5814" s="1" t="s">
        <v>1329</v>
      </c>
      <c r="E5814" s="8">
        <v>230360</v>
      </c>
      <c r="F5814" s="5">
        <v>3418030</v>
      </c>
    </row>
    <row r="5815" spans="1:6" ht="20" x14ac:dyDescent="0.25">
      <c r="A5815" s="5">
        <v>3418030</v>
      </c>
      <c r="B5815" s="1">
        <v>2020</v>
      </c>
      <c r="C5815" s="1" t="s">
        <v>1387</v>
      </c>
      <c r="D5815" s="2" t="s">
        <v>1329</v>
      </c>
      <c r="E5815" s="7">
        <v>237334</v>
      </c>
      <c r="F5815" s="5">
        <v>3418030</v>
      </c>
    </row>
    <row r="5816" spans="1:6" ht="20" x14ac:dyDescent="0.25">
      <c r="A5816" s="5">
        <v>3418030</v>
      </c>
      <c r="B5816" s="1">
        <v>2021</v>
      </c>
      <c r="C5816" s="1" t="s">
        <v>1387</v>
      </c>
      <c r="D5816" s="3" t="s">
        <v>1329</v>
      </c>
      <c r="E5816" s="7">
        <v>360512</v>
      </c>
      <c r="F5816" s="5">
        <v>3418030</v>
      </c>
    </row>
    <row r="5817" spans="1:6" ht="20" x14ac:dyDescent="0.25">
      <c r="A5817" s="5">
        <v>3418030</v>
      </c>
      <c r="B5817" s="1">
        <v>2022</v>
      </c>
      <c r="C5817" s="1" t="s">
        <v>1387</v>
      </c>
      <c r="D5817" s="2" t="s">
        <v>1329</v>
      </c>
      <c r="E5817" s="7">
        <v>546523</v>
      </c>
      <c r="F5817" s="5">
        <v>3418030</v>
      </c>
    </row>
    <row r="5818" spans="1:6" ht="20" x14ac:dyDescent="0.25">
      <c r="A5818" s="5">
        <v>3418030</v>
      </c>
      <c r="B5818" s="1">
        <v>2023</v>
      </c>
      <c r="C5818" s="1" t="s">
        <v>1387</v>
      </c>
      <c r="D5818" s="2" t="s">
        <v>1329</v>
      </c>
      <c r="E5818" s="7">
        <v>559670</v>
      </c>
      <c r="F5818" s="5">
        <v>3418030</v>
      </c>
    </row>
    <row r="5819" spans="1:6" x14ac:dyDescent="0.25">
      <c r="A5819" s="5">
        <v>3418040</v>
      </c>
      <c r="B5819" s="1">
        <v>2015</v>
      </c>
      <c r="C5819" s="1" t="s">
        <v>1387</v>
      </c>
      <c r="D5819" s="1" t="s">
        <v>632</v>
      </c>
      <c r="E5819" s="8">
        <v>512772</v>
      </c>
      <c r="F5819" s="5">
        <v>3418040</v>
      </c>
    </row>
    <row r="5820" spans="1:6" x14ac:dyDescent="0.25">
      <c r="A5820" s="5">
        <v>3418040</v>
      </c>
      <c r="B5820" s="1">
        <v>2016</v>
      </c>
      <c r="C5820" s="1" t="s">
        <v>1387</v>
      </c>
      <c r="D5820" s="1" t="s">
        <v>632</v>
      </c>
      <c r="E5820" s="8">
        <v>721610</v>
      </c>
      <c r="F5820" s="5">
        <v>3418040</v>
      </c>
    </row>
    <row r="5821" spans="1:6" x14ac:dyDescent="0.25">
      <c r="A5821" s="5">
        <v>3418040</v>
      </c>
      <c r="B5821" s="1">
        <v>2017</v>
      </c>
      <c r="C5821" s="1" t="s">
        <v>1387</v>
      </c>
      <c r="D5821" s="1" t="s">
        <v>632</v>
      </c>
      <c r="E5821" s="8">
        <v>1091717</v>
      </c>
      <c r="F5821" s="5">
        <v>3418040</v>
      </c>
    </row>
    <row r="5822" spans="1:6" x14ac:dyDescent="0.25">
      <c r="A5822" s="5">
        <v>3418040</v>
      </c>
      <c r="B5822" s="1">
        <v>2018</v>
      </c>
      <c r="C5822" s="1" t="s">
        <v>1387</v>
      </c>
      <c r="D5822" s="1" t="s">
        <v>1325</v>
      </c>
      <c r="E5822" s="8">
        <v>1591339</v>
      </c>
      <c r="F5822" s="5">
        <v>3418040</v>
      </c>
    </row>
    <row r="5823" spans="1:6" x14ac:dyDescent="0.25">
      <c r="A5823" s="5">
        <v>3418040</v>
      </c>
      <c r="B5823" s="1">
        <v>2019</v>
      </c>
      <c r="C5823" s="1" t="s">
        <v>1387</v>
      </c>
      <c r="D5823" s="1" t="s">
        <v>1325</v>
      </c>
      <c r="E5823" s="8">
        <v>2071694</v>
      </c>
      <c r="F5823" s="5">
        <v>3418040</v>
      </c>
    </row>
    <row r="5824" spans="1:6" ht="20" x14ac:dyDescent="0.25">
      <c r="A5824" s="5">
        <v>3418040</v>
      </c>
      <c r="B5824" s="1">
        <v>2020</v>
      </c>
      <c r="C5824" s="1" t="s">
        <v>1387</v>
      </c>
      <c r="D5824" s="2" t="s">
        <v>1325</v>
      </c>
      <c r="E5824" s="7">
        <v>2408842</v>
      </c>
      <c r="F5824" s="5">
        <v>3418040</v>
      </c>
    </row>
    <row r="5825" spans="1:6" ht="20" x14ac:dyDescent="0.25">
      <c r="A5825" s="5">
        <v>3418040</v>
      </c>
      <c r="B5825" s="1">
        <v>2021</v>
      </c>
      <c r="C5825" s="1" t="s">
        <v>1387</v>
      </c>
      <c r="D5825" s="3" t="s">
        <v>1325</v>
      </c>
      <c r="E5825" s="7">
        <v>3045362</v>
      </c>
      <c r="F5825" s="5">
        <v>3418040</v>
      </c>
    </row>
    <row r="5826" spans="1:6" ht="20" x14ac:dyDescent="0.25">
      <c r="A5826" s="5">
        <v>3418040</v>
      </c>
      <c r="B5826" s="1">
        <v>2022</v>
      </c>
      <c r="C5826" s="1" t="s">
        <v>1387</v>
      </c>
      <c r="D5826" s="2" t="s">
        <v>1325</v>
      </c>
      <c r="E5826" s="7">
        <v>4557492</v>
      </c>
      <c r="F5826" s="5">
        <v>3418040</v>
      </c>
    </row>
    <row r="5827" spans="1:6" ht="20" x14ac:dyDescent="0.25">
      <c r="A5827" s="5">
        <v>3418040</v>
      </c>
      <c r="B5827" s="1">
        <v>2023</v>
      </c>
      <c r="C5827" s="1" t="s">
        <v>1387</v>
      </c>
      <c r="D5827" s="2" t="s">
        <v>1325</v>
      </c>
      <c r="E5827" s="7">
        <v>4397128</v>
      </c>
      <c r="F5827" s="5">
        <v>3418040</v>
      </c>
    </row>
    <row r="5828" spans="1:6" x14ac:dyDescent="0.25">
      <c r="A5828" s="5">
        <v>3418060</v>
      </c>
      <c r="B5828" s="1">
        <v>2015</v>
      </c>
      <c r="C5828" s="1" t="s">
        <v>1387</v>
      </c>
      <c r="D5828" s="1" t="s">
        <v>193</v>
      </c>
      <c r="E5828" s="8">
        <v>1987987</v>
      </c>
      <c r="F5828" s="5">
        <v>3418060</v>
      </c>
    </row>
    <row r="5829" spans="1:6" x14ac:dyDescent="0.25">
      <c r="A5829" s="5">
        <v>3418060</v>
      </c>
      <c r="B5829" s="1">
        <v>2016</v>
      </c>
      <c r="C5829" s="1" t="s">
        <v>1387</v>
      </c>
      <c r="D5829" s="1" t="s">
        <v>193</v>
      </c>
      <c r="E5829" s="8">
        <v>2942541</v>
      </c>
      <c r="F5829" s="5">
        <v>3418060</v>
      </c>
    </row>
    <row r="5830" spans="1:6" x14ac:dyDescent="0.25">
      <c r="A5830" s="5">
        <v>3418060</v>
      </c>
      <c r="B5830" s="1">
        <v>2017</v>
      </c>
      <c r="C5830" s="1" t="s">
        <v>1387</v>
      </c>
      <c r="D5830" s="1" t="s">
        <v>193</v>
      </c>
      <c r="E5830" s="8">
        <v>4462405</v>
      </c>
      <c r="F5830" s="5">
        <v>3418060</v>
      </c>
    </row>
    <row r="5831" spans="1:6" x14ac:dyDescent="0.25">
      <c r="A5831" s="5">
        <v>3418060</v>
      </c>
      <c r="B5831" s="1">
        <v>2018</v>
      </c>
      <c r="C5831" s="1" t="s">
        <v>1387</v>
      </c>
      <c r="D5831" s="1" t="s">
        <v>877</v>
      </c>
      <c r="E5831" s="8">
        <v>5924662</v>
      </c>
      <c r="F5831" s="5">
        <v>3418060</v>
      </c>
    </row>
    <row r="5832" spans="1:6" x14ac:dyDescent="0.25">
      <c r="A5832" s="5">
        <v>3418060</v>
      </c>
      <c r="B5832" s="1">
        <v>2019</v>
      </c>
      <c r="C5832" s="1" t="s">
        <v>1387</v>
      </c>
      <c r="D5832" s="1" t="s">
        <v>877</v>
      </c>
      <c r="E5832" s="8">
        <v>7618523</v>
      </c>
      <c r="F5832" s="5">
        <v>3418060</v>
      </c>
    </row>
    <row r="5833" spans="1:6" ht="20" x14ac:dyDescent="0.25">
      <c r="A5833" s="5">
        <v>3418060</v>
      </c>
      <c r="B5833" s="1">
        <v>2020</v>
      </c>
      <c r="C5833" s="1" t="s">
        <v>1387</v>
      </c>
      <c r="D5833" s="2" t="s">
        <v>877</v>
      </c>
      <c r="E5833" s="7">
        <v>8769750</v>
      </c>
      <c r="F5833" s="5">
        <v>3418060</v>
      </c>
    </row>
    <row r="5834" spans="1:6" ht="20" x14ac:dyDescent="0.25">
      <c r="A5834" s="5">
        <v>3418060</v>
      </c>
      <c r="B5834" s="1">
        <v>2021</v>
      </c>
      <c r="C5834" s="1" t="s">
        <v>1387</v>
      </c>
      <c r="D5834" s="3" t="s">
        <v>877</v>
      </c>
      <c r="E5834" s="7">
        <v>10879916</v>
      </c>
      <c r="F5834" s="5">
        <v>3418060</v>
      </c>
    </row>
    <row r="5835" spans="1:6" ht="20" x14ac:dyDescent="0.25">
      <c r="A5835" s="5">
        <v>3418060</v>
      </c>
      <c r="B5835" s="1">
        <v>2022</v>
      </c>
      <c r="C5835" s="1" t="s">
        <v>1387</v>
      </c>
      <c r="D5835" s="2" t="s">
        <v>877</v>
      </c>
      <c r="E5835" s="7">
        <v>15293302</v>
      </c>
      <c r="F5835" s="5">
        <v>3418060</v>
      </c>
    </row>
    <row r="5836" spans="1:6" ht="20" x14ac:dyDescent="0.25">
      <c r="A5836" s="5">
        <v>3418060</v>
      </c>
      <c r="B5836" s="1">
        <v>2023</v>
      </c>
      <c r="C5836" s="1" t="s">
        <v>1387</v>
      </c>
      <c r="D5836" s="2" t="s">
        <v>877</v>
      </c>
      <c r="E5836" s="7">
        <v>14686451</v>
      </c>
      <c r="F5836" s="5">
        <v>3418060</v>
      </c>
    </row>
    <row r="5837" spans="1:6" x14ac:dyDescent="0.25">
      <c r="A5837" s="5">
        <v>3418090</v>
      </c>
      <c r="B5837" s="1">
        <v>2015</v>
      </c>
      <c r="C5837" s="1" t="s">
        <v>1387</v>
      </c>
      <c r="D5837" s="1" t="s">
        <v>211</v>
      </c>
      <c r="E5837" s="8">
        <v>93915</v>
      </c>
      <c r="F5837" s="5">
        <v>3418090</v>
      </c>
    </row>
    <row r="5838" spans="1:6" x14ac:dyDescent="0.25">
      <c r="A5838" s="5">
        <v>3418090</v>
      </c>
      <c r="B5838" s="1">
        <v>2016</v>
      </c>
      <c r="C5838" s="1" t="s">
        <v>1387</v>
      </c>
      <c r="D5838" s="1" t="s">
        <v>211</v>
      </c>
      <c r="E5838" s="8">
        <v>136361</v>
      </c>
      <c r="F5838" s="5">
        <v>3418090</v>
      </c>
    </row>
    <row r="5839" spans="1:6" x14ac:dyDescent="0.25">
      <c r="A5839" s="5">
        <v>3418090</v>
      </c>
      <c r="B5839" s="1">
        <v>2017</v>
      </c>
      <c r="C5839" s="1" t="s">
        <v>1387</v>
      </c>
      <c r="D5839" s="1" t="s">
        <v>211</v>
      </c>
      <c r="E5839" s="8">
        <v>182093</v>
      </c>
      <c r="F5839" s="5">
        <v>3418090</v>
      </c>
    </row>
    <row r="5840" spans="1:6" x14ac:dyDescent="0.25">
      <c r="A5840" s="5">
        <v>3418090</v>
      </c>
      <c r="B5840" s="1">
        <v>2018</v>
      </c>
      <c r="C5840" s="1" t="s">
        <v>1387</v>
      </c>
      <c r="D5840" s="1" t="s">
        <v>895</v>
      </c>
      <c r="E5840" s="8">
        <v>223769</v>
      </c>
      <c r="F5840" s="5">
        <v>3418090</v>
      </c>
    </row>
    <row r="5841" spans="1:6" x14ac:dyDescent="0.25">
      <c r="A5841" s="5">
        <v>3418090</v>
      </c>
      <c r="B5841" s="1">
        <v>2019</v>
      </c>
      <c r="C5841" s="1" t="s">
        <v>1387</v>
      </c>
      <c r="D5841" s="1" t="s">
        <v>895</v>
      </c>
      <c r="E5841" s="8">
        <v>302062</v>
      </c>
      <c r="F5841" s="5">
        <v>3418090</v>
      </c>
    </row>
    <row r="5842" spans="1:6" ht="20" x14ac:dyDescent="0.25">
      <c r="A5842" s="5">
        <v>3418090</v>
      </c>
      <c r="B5842" s="1">
        <v>2020</v>
      </c>
      <c r="C5842" s="1" t="s">
        <v>1387</v>
      </c>
      <c r="D5842" s="2" t="s">
        <v>895</v>
      </c>
      <c r="E5842" s="7">
        <v>354650</v>
      </c>
      <c r="F5842" s="5">
        <v>3418090</v>
      </c>
    </row>
    <row r="5843" spans="1:6" ht="20" x14ac:dyDescent="0.25">
      <c r="A5843" s="5">
        <v>3418090</v>
      </c>
      <c r="B5843" s="1">
        <v>2021</v>
      </c>
      <c r="C5843" s="1" t="s">
        <v>1387</v>
      </c>
      <c r="D5843" s="3" t="s">
        <v>895</v>
      </c>
      <c r="E5843" s="7">
        <v>515495</v>
      </c>
      <c r="F5843" s="5">
        <v>3418090</v>
      </c>
    </row>
    <row r="5844" spans="1:6" ht="20" x14ac:dyDescent="0.25">
      <c r="A5844" s="5">
        <v>3418090</v>
      </c>
      <c r="B5844" s="1">
        <v>2022</v>
      </c>
      <c r="C5844" s="1" t="s">
        <v>1387</v>
      </c>
      <c r="D5844" s="2" t="s">
        <v>895</v>
      </c>
      <c r="E5844" s="7">
        <v>709417</v>
      </c>
      <c r="F5844" s="5">
        <v>3418090</v>
      </c>
    </row>
    <row r="5845" spans="1:6" ht="20" x14ac:dyDescent="0.25">
      <c r="A5845" s="5">
        <v>3418090</v>
      </c>
      <c r="B5845" s="1">
        <v>2023</v>
      </c>
      <c r="C5845" s="1" t="s">
        <v>1387</v>
      </c>
      <c r="D5845" s="2" t="s">
        <v>895</v>
      </c>
      <c r="E5845" s="7">
        <v>715473</v>
      </c>
      <c r="F5845" s="5">
        <v>3418090</v>
      </c>
    </row>
    <row r="5846" spans="1:6" x14ac:dyDescent="0.25">
      <c r="A5846" s="5">
        <v>3418120</v>
      </c>
      <c r="B5846" s="1">
        <v>2015</v>
      </c>
      <c r="C5846" s="1" t="s">
        <v>1387</v>
      </c>
      <c r="D5846" s="1" t="s">
        <v>399</v>
      </c>
      <c r="E5846" s="8">
        <v>5137942</v>
      </c>
      <c r="F5846" s="5">
        <v>3418120</v>
      </c>
    </row>
    <row r="5847" spans="1:6" x14ac:dyDescent="0.25">
      <c r="A5847" s="5">
        <v>3418120</v>
      </c>
      <c r="B5847" s="1">
        <v>2016</v>
      </c>
      <c r="C5847" s="1" t="s">
        <v>1387</v>
      </c>
      <c r="D5847" s="1" t="s">
        <v>399</v>
      </c>
      <c r="E5847" s="8">
        <v>7828307</v>
      </c>
      <c r="F5847" s="5">
        <v>3418120</v>
      </c>
    </row>
    <row r="5848" spans="1:6" x14ac:dyDescent="0.25">
      <c r="A5848" s="5">
        <v>3418120</v>
      </c>
      <c r="B5848" s="1">
        <v>2017</v>
      </c>
      <c r="C5848" s="1" t="s">
        <v>1387</v>
      </c>
      <c r="D5848" s="1" t="s">
        <v>399</v>
      </c>
      <c r="E5848" s="8">
        <v>11105300</v>
      </c>
      <c r="F5848" s="5">
        <v>3418120</v>
      </c>
    </row>
    <row r="5849" spans="1:6" x14ac:dyDescent="0.25">
      <c r="A5849" s="5">
        <v>3418120</v>
      </c>
      <c r="B5849" s="1">
        <v>2018</v>
      </c>
      <c r="C5849" s="1" t="s">
        <v>1387</v>
      </c>
      <c r="D5849" s="1" t="s">
        <v>1091</v>
      </c>
      <c r="E5849" s="8">
        <v>15058073</v>
      </c>
      <c r="F5849" s="5">
        <v>3418120</v>
      </c>
    </row>
    <row r="5850" spans="1:6" x14ac:dyDescent="0.25">
      <c r="A5850" s="5">
        <v>3418120</v>
      </c>
      <c r="B5850" s="1">
        <v>2019</v>
      </c>
      <c r="C5850" s="1" t="s">
        <v>1387</v>
      </c>
      <c r="D5850" s="1" t="s">
        <v>1091</v>
      </c>
      <c r="E5850" s="8">
        <v>20008619</v>
      </c>
      <c r="F5850" s="5">
        <v>3418120</v>
      </c>
    </row>
    <row r="5851" spans="1:6" ht="20" x14ac:dyDescent="0.25">
      <c r="A5851" s="5">
        <v>3418120</v>
      </c>
      <c r="B5851" s="1">
        <v>2020</v>
      </c>
      <c r="C5851" s="1" t="s">
        <v>1387</v>
      </c>
      <c r="D5851" s="2" t="s">
        <v>1091</v>
      </c>
      <c r="E5851" s="7">
        <v>22611983</v>
      </c>
      <c r="F5851" s="5">
        <v>3418120</v>
      </c>
    </row>
    <row r="5852" spans="1:6" ht="20" x14ac:dyDescent="0.25">
      <c r="A5852" s="5">
        <v>3418120</v>
      </c>
      <c r="B5852" s="1">
        <v>2021</v>
      </c>
      <c r="C5852" s="1" t="s">
        <v>1387</v>
      </c>
      <c r="D5852" s="3" t="s">
        <v>1091</v>
      </c>
      <c r="E5852" s="7">
        <v>29788820</v>
      </c>
      <c r="F5852" s="5">
        <v>3418120</v>
      </c>
    </row>
    <row r="5853" spans="1:6" ht="20" x14ac:dyDescent="0.25">
      <c r="A5853" s="5">
        <v>3418120</v>
      </c>
      <c r="B5853" s="1">
        <v>2022</v>
      </c>
      <c r="C5853" s="1" t="s">
        <v>1387</v>
      </c>
      <c r="D5853" s="2" t="s">
        <v>1091</v>
      </c>
      <c r="E5853" s="7">
        <v>43127618</v>
      </c>
      <c r="F5853" s="5">
        <v>3418120</v>
      </c>
    </row>
    <row r="5854" spans="1:6" ht="20" x14ac:dyDescent="0.25">
      <c r="A5854" s="5">
        <v>3418120</v>
      </c>
      <c r="B5854" s="1">
        <v>2023</v>
      </c>
      <c r="C5854" s="1" t="s">
        <v>1387</v>
      </c>
      <c r="D5854" s="2" t="s">
        <v>1091</v>
      </c>
      <c r="E5854" s="7">
        <v>43396292</v>
      </c>
      <c r="F5854" s="5">
        <v>3418120</v>
      </c>
    </row>
    <row r="5855" spans="1:6" x14ac:dyDescent="0.25">
      <c r="A5855" s="5">
        <v>3418150</v>
      </c>
      <c r="B5855" s="1">
        <v>2015</v>
      </c>
      <c r="C5855" s="1" t="s">
        <v>1387</v>
      </c>
      <c r="D5855" s="1" t="s">
        <v>299</v>
      </c>
      <c r="E5855" s="8">
        <v>572946</v>
      </c>
      <c r="F5855" s="5">
        <v>3418150</v>
      </c>
    </row>
    <row r="5856" spans="1:6" x14ac:dyDescent="0.25">
      <c r="A5856" s="5">
        <v>3418150</v>
      </c>
      <c r="B5856" s="1">
        <v>2016</v>
      </c>
      <c r="C5856" s="1" t="s">
        <v>1387</v>
      </c>
      <c r="D5856" s="1" t="s">
        <v>299</v>
      </c>
      <c r="E5856" s="8">
        <v>859360</v>
      </c>
      <c r="F5856" s="5">
        <v>3418150</v>
      </c>
    </row>
    <row r="5857" spans="1:6" x14ac:dyDescent="0.25">
      <c r="A5857" s="5">
        <v>3418150</v>
      </c>
      <c r="B5857" s="1">
        <v>2017</v>
      </c>
      <c r="C5857" s="1" t="s">
        <v>1387</v>
      </c>
      <c r="D5857" s="1" t="s">
        <v>299</v>
      </c>
      <c r="E5857" s="8">
        <v>1178825</v>
      </c>
      <c r="F5857" s="5">
        <v>3418150</v>
      </c>
    </row>
    <row r="5858" spans="1:6" x14ac:dyDescent="0.25">
      <c r="A5858" s="5">
        <v>3418150</v>
      </c>
      <c r="B5858" s="1">
        <v>2018</v>
      </c>
      <c r="C5858" s="1" t="s">
        <v>1387</v>
      </c>
      <c r="D5858" s="1" t="s">
        <v>989</v>
      </c>
      <c r="E5858" s="8">
        <v>1582167</v>
      </c>
      <c r="F5858" s="5">
        <v>3418150</v>
      </c>
    </row>
    <row r="5859" spans="1:6" x14ac:dyDescent="0.25">
      <c r="A5859" s="5">
        <v>3418150</v>
      </c>
      <c r="B5859" s="1">
        <v>2019</v>
      </c>
      <c r="C5859" s="1" t="s">
        <v>1387</v>
      </c>
      <c r="D5859" s="1" t="s">
        <v>989</v>
      </c>
      <c r="E5859" s="8">
        <v>2099086</v>
      </c>
      <c r="F5859" s="5">
        <v>3418150</v>
      </c>
    </row>
    <row r="5860" spans="1:6" ht="20" x14ac:dyDescent="0.25">
      <c r="A5860" s="5">
        <v>3418150</v>
      </c>
      <c r="B5860" s="1">
        <v>2020</v>
      </c>
      <c r="C5860" s="1" t="s">
        <v>1387</v>
      </c>
      <c r="D5860" s="2" t="s">
        <v>989</v>
      </c>
      <c r="E5860" s="7">
        <v>2401189</v>
      </c>
      <c r="F5860" s="5">
        <v>3418150</v>
      </c>
    </row>
    <row r="5861" spans="1:6" ht="20" x14ac:dyDescent="0.25">
      <c r="A5861" s="5">
        <v>3418150</v>
      </c>
      <c r="B5861" s="1">
        <v>2021</v>
      </c>
      <c r="C5861" s="1" t="s">
        <v>1387</v>
      </c>
      <c r="D5861" s="3" t="s">
        <v>989</v>
      </c>
      <c r="E5861" s="7">
        <v>2990169</v>
      </c>
      <c r="F5861" s="5">
        <v>3418150</v>
      </c>
    </row>
    <row r="5862" spans="1:6" ht="20" x14ac:dyDescent="0.25">
      <c r="A5862" s="5">
        <v>3418150</v>
      </c>
      <c r="B5862" s="1">
        <v>2022</v>
      </c>
      <c r="C5862" s="1" t="s">
        <v>1387</v>
      </c>
      <c r="D5862" s="2" t="s">
        <v>989</v>
      </c>
      <c r="E5862" s="7">
        <v>4282255</v>
      </c>
      <c r="F5862" s="5">
        <v>3418150</v>
      </c>
    </row>
    <row r="5863" spans="1:6" ht="20" x14ac:dyDescent="0.25">
      <c r="A5863" s="5">
        <v>3418150</v>
      </c>
      <c r="B5863" s="1">
        <v>2023</v>
      </c>
      <c r="C5863" s="1" t="s">
        <v>1387</v>
      </c>
      <c r="D5863" s="2" t="s">
        <v>989</v>
      </c>
      <c r="E5863" s="7">
        <v>4706520</v>
      </c>
      <c r="F5863" s="5">
        <v>3418150</v>
      </c>
    </row>
    <row r="5864" spans="1:6" x14ac:dyDescent="0.25">
      <c r="A5864" s="5">
        <v>3418180</v>
      </c>
      <c r="B5864" s="1">
        <v>2015</v>
      </c>
      <c r="C5864" s="1" t="s">
        <v>1387</v>
      </c>
      <c r="D5864" s="1" t="s">
        <v>300</v>
      </c>
      <c r="E5864" s="8">
        <v>88326</v>
      </c>
      <c r="F5864" s="5">
        <v>3418180</v>
      </c>
    </row>
    <row r="5865" spans="1:6" x14ac:dyDescent="0.25">
      <c r="A5865" s="5">
        <v>3418180</v>
      </c>
      <c r="B5865" s="1">
        <v>2016</v>
      </c>
      <c r="C5865" s="1" t="s">
        <v>1387</v>
      </c>
      <c r="D5865" s="1" t="s">
        <v>300</v>
      </c>
      <c r="E5865" s="8">
        <v>130141</v>
      </c>
      <c r="F5865" s="5">
        <v>3418180</v>
      </c>
    </row>
    <row r="5866" spans="1:6" x14ac:dyDescent="0.25">
      <c r="A5866" s="5">
        <v>3418180</v>
      </c>
      <c r="B5866" s="1">
        <v>2017</v>
      </c>
      <c r="C5866" s="1" t="s">
        <v>1387</v>
      </c>
      <c r="D5866" s="1" t="s">
        <v>300</v>
      </c>
      <c r="E5866" s="8">
        <v>184212</v>
      </c>
      <c r="F5866" s="5">
        <v>3418180</v>
      </c>
    </row>
    <row r="5867" spans="1:6" x14ac:dyDescent="0.25">
      <c r="A5867" s="5">
        <v>3418180</v>
      </c>
      <c r="B5867" s="1">
        <v>2018</v>
      </c>
      <c r="C5867" s="1" t="s">
        <v>1387</v>
      </c>
      <c r="D5867" s="1" t="s">
        <v>990</v>
      </c>
      <c r="E5867" s="8">
        <v>247071</v>
      </c>
      <c r="F5867" s="5">
        <v>3418180</v>
      </c>
    </row>
    <row r="5868" spans="1:6" x14ac:dyDescent="0.25">
      <c r="A5868" s="5">
        <v>3418180</v>
      </c>
      <c r="B5868" s="1">
        <v>2019</v>
      </c>
      <c r="C5868" s="1" t="s">
        <v>1387</v>
      </c>
      <c r="D5868" s="1" t="s">
        <v>990</v>
      </c>
      <c r="E5868" s="8">
        <v>341818</v>
      </c>
      <c r="F5868" s="5">
        <v>3418180</v>
      </c>
    </row>
    <row r="5869" spans="1:6" ht="20" x14ac:dyDescent="0.25">
      <c r="A5869" s="5">
        <v>3418180</v>
      </c>
      <c r="B5869" s="1">
        <v>2020</v>
      </c>
      <c r="C5869" s="1" t="s">
        <v>1387</v>
      </c>
      <c r="D5869" s="2" t="s">
        <v>990</v>
      </c>
      <c r="E5869" s="7">
        <v>381684</v>
      </c>
      <c r="F5869" s="5">
        <v>3418180</v>
      </c>
    </row>
    <row r="5870" spans="1:6" ht="20" x14ac:dyDescent="0.25">
      <c r="A5870" s="5">
        <v>3418180</v>
      </c>
      <c r="B5870" s="1">
        <v>2021</v>
      </c>
      <c r="C5870" s="1" t="s">
        <v>1387</v>
      </c>
      <c r="D5870" s="3" t="s">
        <v>990</v>
      </c>
      <c r="E5870" s="7">
        <v>464092</v>
      </c>
      <c r="F5870" s="5">
        <v>3418180</v>
      </c>
    </row>
    <row r="5871" spans="1:6" ht="20" x14ac:dyDescent="0.25">
      <c r="A5871" s="5">
        <v>3418180</v>
      </c>
      <c r="B5871" s="1">
        <v>2022</v>
      </c>
      <c r="C5871" s="1" t="s">
        <v>1387</v>
      </c>
      <c r="D5871" s="2" t="s">
        <v>990</v>
      </c>
      <c r="E5871" s="7">
        <v>672196</v>
      </c>
      <c r="F5871" s="5">
        <v>3418180</v>
      </c>
    </row>
    <row r="5872" spans="1:6" ht="20" x14ac:dyDescent="0.25">
      <c r="A5872" s="5">
        <v>3418180</v>
      </c>
      <c r="B5872" s="1">
        <v>2023</v>
      </c>
      <c r="C5872" s="1" t="s">
        <v>1387</v>
      </c>
      <c r="D5872" s="2" t="s">
        <v>990</v>
      </c>
      <c r="E5872" s="7">
        <v>681390</v>
      </c>
      <c r="F5872" s="5">
        <v>3418180</v>
      </c>
    </row>
    <row r="5873" spans="1:6" x14ac:dyDescent="0.25">
      <c r="A5873" s="5">
        <v>3418210</v>
      </c>
      <c r="B5873" s="1">
        <v>2015</v>
      </c>
      <c r="C5873" s="1" t="s">
        <v>1387</v>
      </c>
      <c r="D5873" s="1" t="s">
        <v>103</v>
      </c>
      <c r="E5873" s="8">
        <v>312913</v>
      </c>
      <c r="F5873" s="5">
        <v>3418210</v>
      </c>
    </row>
    <row r="5874" spans="1:6" x14ac:dyDescent="0.25">
      <c r="A5874" s="5">
        <v>3418210</v>
      </c>
      <c r="B5874" s="1">
        <v>2016</v>
      </c>
      <c r="C5874" s="1" t="s">
        <v>1387</v>
      </c>
      <c r="D5874" s="1" t="s">
        <v>103</v>
      </c>
      <c r="E5874" s="8">
        <v>496166</v>
      </c>
      <c r="F5874" s="5">
        <v>3418210</v>
      </c>
    </row>
    <row r="5875" spans="1:6" x14ac:dyDescent="0.25">
      <c r="A5875" s="5">
        <v>3418210</v>
      </c>
      <c r="B5875" s="1">
        <v>2017</v>
      </c>
      <c r="C5875" s="1" t="s">
        <v>1387</v>
      </c>
      <c r="D5875" s="1" t="s">
        <v>103</v>
      </c>
      <c r="E5875" s="8">
        <v>675294</v>
      </c>
      <c r="F5875" s="5">
        <v>3418210</v>
      </c>
    </row>
    <row r="5876" spans="1:6" x14ac:dyDescent="0.25">
      <c r="A5876" s="5">
        <v>3418210</v>
      </c>
      <c r="B5876" s="1">
        <v>2018</v>
      </c>
      <c r="C5876" s="1" t="s">
        <v>1387</v>
      </c>
      <c r="D5876" s="1" t="s">
        <v>783</v>
      </c>
      <c r="E5876" s="8">
        <v>922015</v>
      </c>
      <c r="F5876" s="5">
        <v>3418210</v>
      </c>
    </row>
    <row r="5877" spans="1:6" x14ac:dyDescent="0.25">
      <c r="A5877" s="5">
        <v>3418210</v>
      </c>
      <c r="B5877" s="1">
        <v>2019</v>
      </c>
      <c r="C5877" s="1" t="s">
        <v>1387</v>
      </c>
      <c r="D5877" s="1" t="s">
        <v>783</v>
      </c>
      <c r="E5877" s="8">
        <v>1244016</v>
      </c>
      <c r="F5877" s="5">
        <v>3418210</v>
      </c>
    </row>
    <row r="5878" spans="1:6" ht="20" x14ac:dyDescent="0.25">
      <c r="A5878" s="5">
        <v>3418210</v>
      </c>
      <c r="B5878" s="1">
        <v>2020</v>
      </c>
      <c r="C5878" s="1" t="s">
        <v>1387</v>
      </c>
      <c r="D5878" s="2" t="s">
        <v>783</v>
      </c>
      <c r="E5878" s="7">
        <v>1367053</v>
      </c>
      <c r="F5878" s="5">
        <v>3418210</v>
      </c>
    </row>
    <row r="5879" spans="1:6" ht="20" x14ac:dyDescent="0.25">
      <c r="A5879" s="5">
        <v>3418210</v>
      </c>
      <c r="B5879" s="1">
        <v>2021</v>
      </c>
      <c r="C5879" s="1" t="s">
        <v>1387</v>
      </c>
      <c r="D5879" s="3" t="s">
        <v>783</v>
      </c>
      <c r="E5879" s="7">
        <v>1796542</v>
      </c>
      <c r="F5879" s="5">
        <v>3418210</v>
      </c>
    </row>
    <row r="5880" spans="1:6" ht="20" x14ac:dyDescent="0.25">
      <c r="A5880" s="5">
        <v>3418210</v>
      </c>
      <c r="B5880" s="1">
        <v>2022</v>
      </c>
      <c r="C5880" s="1" t="s">
        <v>1387</v>
      </c>
      <c r="D5880" s="2" t="s">
        <v>783</v>
      </c>
      <c r="E5880" s="7">
        <v>2619421</v>
      </c>
      <c r="F5880" s="5">
        <v>3418210</v>
      </c>
    </row>
    <row r="5881" spans="1:6" ht="20" x14ac:dyDescent="0.25">
      <c r="A5881" s="5">
        <v>3418210</v>
      </c>
      <c r="B5881" s="1">
        <v>2023</v>
      </c>
      <c r="C5881" s="1" t="s">
        <v>1387</v>
      </c>
      <c r="D5881" s="2" t="s">
        <v>783</v>
      </c>
      <c r="E5881" s="7">
        <v>2572823</v>
      </c>
      <c r="F5881" s="5">
        <v>3418210</v>
      </c>
    </row>
    <row r="5882" spans="1:6" x14ac:dyDescent="0.25">
      <c r="A5882" s="5">
        <v>3418240</v>
      </c>
      <c r="B5882" s="1">
        <v>2015</v>
      </c>
      <c r="C5882" s="1" t="s">
        <v>1387</v>
      </c>
      <c r="D5882" s="1" t="s">
        <v>148</v>
      </c>
      <c r="E5882" s="8">
        <v>41643</v>
      </c>
      <c r="F5882" s="5">
        <v>3418240</v>
      </c>
    </row>
    <row r="5883" spans="1:6" x14ac:dyDescent="0.25">
      <c r="A5883" s="5">
        <v>3418240</v>
      </c>
      <c r="B5883" s="1">
        <v>2016</v>
      </c>
      <c r="C5883" s="1" t="s">
        <v>1387</v>
      </c>
      <c r="D5883" s="1" t="s">
        <v>148</v>
      </c>
      <c r="E5883" s="8">
        <v>67145</v>
      </c>
      <c r="F5883" s="5">
        <v>3418240</v>
      </c>
    </row>
    <row r="5884" spans="1:6" x14ac:dyDescent="0.25">
      <c r="A5884" s="5">
        <v>3418240</v>
      </c>
      <c r="B5884" s="1">
        <v>2017</v>
      </c>
      <c r="C5884" s="1" t="s">
        <v>1387</v>
      </c>
      <c r="D5884" s="1" t="s">
        <v>148</v>
      </c>
      <c r="E5884" s="8">
        <v>100516</v>
      </c>
      <c r="F5884" s="5">
        <v>3418240</v>
      </c>
    </row>
    <row r="5885" spans="1:6" x14ac:dyDescent="0.25">
      <c r="A5885" s="5">
        <v>3418240</v>
      </c>
      <c r="B5885" s="1">
        <v>2018</v>
      </c>
      <c r="C5885" s="1" t="s">
        <v>1387</v>
      </c>
      <c r="D5885" s="1" t="s">
        <v>829</v>
      </c>
      <c r="E5885" s="8">
        <v>136659</v>
      </c>
      <c r="F5885" s="5">
        <v>3418240</v>
      </c>
    </row>
    <row r="5886" spans="1:6" x14ac:dyDescent="0.25">
      <c r="A5886" s="5">
        <v>3418240</v>
      </c>
      <c r="B5886" s="1">
        <v>2019</v>
      </c>
      <c r="C5886" s="1" t="s">
        <v>1387</v>
      </c>
      <c r="D5886" s="1" t="s">
        <v>829</v>
      </c>
      <c r="E5886" s="8">
        <v>190453</v>
      </c>
      <c r="F5886" s="5">
        <v>3418240</v>
      </c>
    </row>
    <row r="5887" spans="1:6" ht="20" x14ac:dyDescent="0.25">
      <c r="A5887" s="5">
        <v>3418240</v>
      </c>
      <c r="B5887" s="1">
        <v>2020</v>
      </c>
      <c r="C5887" s="1" t="s">
        <v>1387</v>
      </c>
      <c r="D5887" s="2" t="s">
        <v>829</v>
      </c>
      <c r="E5887" s="7">
        <v>241442</v>
      </c>
      <c r="F5887" s="5">
        <v>3418240</v>
      </c>
    </row>
    <row r="5888" spans="1:6" ht="20" x14ac:dyDescent="0.25">
      <c r="A5888" s="5">
        <v>3418240</v>
      </c>
      <c r="B5888" s="1">
        <v>2021</v>
      </c>
      <c r="C5888" s="1" t="s">
        <v>1387</v>
      </c>
      <c r="D5888" s="3" t="s">
        <v>829</v>
      </c>
      <c r="E5888" s="7">
        <v>307626</v>
      </c>
      <c r="F5888" s="5">
        <v>3418240</v>
      </c>
    </row>
    <row r="5889" spans="1:6" ht="20" x14ac:dyDescent="0.25">
      <c r="A5889" s="5">
        <v>3418240</v>
      </c>
      <c r="B5889" s="1">
        <v>2022</v>
      </c>
      <c r="C5889" s="1" t="s">
        <v>1387</v>
      </c>
      <c r="D5889" s="2" t="s">
        <v>829</v>
      </c>
      <c r="E5889" s="7">
        <v>473810</v>
      </c>
      <c r="F5889" s="5">
        <v>3418240</v>
      </c>
    </row>
    <row r="5890" spans="1:6" ht="20" x14ac:dyDescent="0.25">
      <c r="A5890" s="5">
        <v>3418240</v>
      </c>
      <c r="B5890" s="1">
        <v>2023</v>
      </c>
      <c r="C5890" s="1" t="s">
        <v>1387</v>
      </c>
      <c r="D5890" s="2" t="s">
        <v>829</v>
      </c>
      <c r="E5890" s="7">
        <v>465585</v>
      </c>
      <c r="F5890" s="5">
        <v>3418240</v>
      </c>
    </row>
    <row r="5891" spans="1:6" x14ac:dyDescent="0.25">
      <c r="A5891" s="5">
        <v>3418270</v>
      </c>
      <c r="B5891" s="1">
        <v>2015</v>
      </c>
      <c r="C5891" s="1" t="s">
        <v>1387</v>
      </c>
      <c r="D5891" s="1" t="s">
        <v>194</v>
      </c>
      <c r="E5891" s="8">
        <v>115620</v>
      </c>
      <c r="F5891" s="5">
        <v>3418270</v>
      </c>
    </row>
    <row r="5892" spans="1:6" x14ac:dyDescent="0.25">
      <c r="A5892" s="5">
        <v>3418270</v>
      </c>
      <c r="B5892" s="1">
        <v>2016</v>
      </c>
      <c r="C5892" s="1" t="s">
        <v>1387</v>
      </c>
      <c r="D5892" s="1" t="s">
        <v>194</v>
      </c>
      <c r="E5892" s="8">
        <v>139767</v>
      </c>
      <c r="F5892" s="5">
        <v>3418270</v>
      </c>
    </row>
    <row r="5893" spans="1:6" x14ac:dyDescent="0.25">
      <c r="A5893" s="5">
        <v>3418270</v>
      </c>
      <c r="B5893" s="1">
        <v>2017</v>
      </c>
      <c r="C5893" s="1" t="s">
        <v>1387</v>
      </c>
      <c r="D5893" s="1" t="s">
        <v>194</v>
      </c>
      <c r="E5893" s="8">
        <v>217040</v>
      </c>
      <c r="F5893" s="5">
        <v>3418270</v>
      </c>
    </row>
    <row r="5894" spans="1:6" x14ac:dyDescent="0.25">
      <c r="A5894" s="5">
        <v>3418270</v>
      </c>
      <c r="B5894" s="1">
        <v>2018</v>
      </c>
      <c r="C5894" s="1" t="s">
        <v>1387</v>
      </c>
      <c r="D5894" s="1" t="s">
        <v>878</v>
      </c>
      <c r="E5894" s="8">
        <v>311571</v>
      </c>
      <c r="F5894" s="5">
        <v>3418270</v>
      </c>
    </row>
    <row r="5895" spans="1:6" x14ac:dyDescent="0.25">
      <c r="A5895" s="5">
        <v>3418270</v>
      </c>
      <c r="B5895" s="1">
        <v>2019</v>
      </c>
      <c r="C5895" s="1" t="s">
        <v>1387</v>
      </c>
      <c r="D5895" s="1" t="s">
        <v>878</v>
      </c>
      <c r="E5895" s="8">
        <v>415580</v>
      </c>
      <c r="F5895" s="5">
        <v>3418270</v>
      </c>
    </row>
    <row r="5896" spans="1:6" ht="20" x14ac:dyDescent="0.25">
      <c r="A5896" s="5">
        <v>3418270</v>
      </c>
      <c r="B5896" s="1">
        <v>2020</v>
      </c>
      <c r="C5896" s="1" t="s">
        <v>1387</v>
      </c>
      <c r="D5896" s="2" t="s">
        <v>878</v>
      </c>
      <c r="E5896" s="7">
        <v>527686</v>
      </c>
      <c r="F5896" s="5">
        <v>3418270</v>
      </c>
    </row>
    <row r="5897" spans="1:6" ht="20" x14ac:dyDescent="0.25">
      <c r="A5897" s="5">
        <v>3418270</v>
      </c>
      <c r="B5897" s="1">
        <v>2021</v>
      </c>
      <c r="C5897" s="1" t="s">
        <v>1387</v>
      </c>
      <c r="D5897" s="3" t="s">
        <v>878</v>
      </c>
      <c r="E5897" s="7">
        <v>701876</v>
      </c>
      <c r="F5897" s="5">
        <v>3418270</v>
      </c>
    </row>
    <row r="5898" spans="1:6" ht="20" x14ac:dyDescent="0.25">
      <c r="A5898" s="5">
        <v>3418270</v>
      </c>
      <c r="B5898" s="1">
        <v>2022</v>
      </c>
      <c r="C5898" s="1" t="s">
        <v>1387</v>
      </c>
      <c r="D5898" s="2" t="s">
        <v>878</v>
      </c>
      <c r="E5898" s="7">
        <v>979355</v>
      </c>
      <c r="F5898" s="5">
        <v>3418270</v>
      </c>
    </row>
    <row r="5899" spans="1:6" ht="20" x14ac:dyDescent="0.25">
      <c r="A5899" s="5">
        <v>3418270</v>
      </c>
      <c r="B5899" s="1">
        <v>2023</v>
      </c>
      <c r="C5899" s="1" t="s">
        <v>1387</v>
      </c>
      <c r="D5899" s="2" t="s">
        <v>878</v>
      </c>
      <c r="E5899" s="7">
        <v>1028900</v>
      </c>
      <c r="F5899" s="5">
        <v>3418270</v>
      </c>
    </row>
    <row r="5900" spans="1:6" x14ac:dyDescent="0.25">
      <c r="A5900" s="5">
        <v>3418300</v>
      </c>
      <c r="B5900" s="1">
        <v>2015</v>
      </c>
      <c r="C5900" s="1" t="s">
        <v>1387</v>
      </c>
      <c r="D5900" s="1" t="s">
        <v>104</v>
      </c>
      <c r="E5900" s="8">
        <v>347325</v>
      </c>
      <c r="F5900" s="5">
        <v>3418300</v>
      </c>
    </row>
    <row r="5901" spans="1:6" x14ac:dyDescent="0.25">
      <c r="A5901" s="5">
        <v>3418300</v>
      </c>
      <c r="B5901" s="1">
        <v>2016</v>
      </c>
      <c r="C5901" s="1" t="s">
        <v>1387</v>
      </c>
      <c r="D5901" s="1" t="s">
        <v>104</v>
      </c>
      <c r="E5901" s="8">
        <v>519879</v>
      </c>
      <c r="F5901" s="5">
        <v>3418300</v>
      </c>
    </row>
    <row r="5902" spans="1:6" x14ac:dyDescent="0.25">
      <c r="A5902" s="5">
        <v>3418300</v>
      </c>
      <c r="B5902" s="1">
        <v>2017</v>
      </c>
      <c r="C5902" s="1" t="s">
        <v>1387</v>
      </c>
      <c r="D5902" s="1" t="s">
        <v>104</v>
      </c>
      <c r="E5902" s="8">
        <v>707907</v>
      </c>
      <c r="F5902" s="5">
        <v>3418300</v>
      </c>
    </row>
    <row r="5903" spans="1:6" x14ac:dyDescent="0.25">
      <c r="A5903" s="5">
        <v>3418300</v>
      </c>
      <c r="B5903" s="1">
        <v>2018</v>
      </c>
      <c r="C5903" s="1" t="s">
        <v>1387</v>
      </c>
      <c r="D5903" s="1" t="s">
        <v>784</v>
      </c>
      <c r="E5903" s="8">
        <v>1051940</v>
      </c>
      <c r="F5903" s="5">
        <v>3418300</v>
      </c>
    </row>
    <row r="5904" spans="1:6" x14ac:dyDescent="0.25">
      <c r="A5904" s="5">
        <v>3418300</v>
      </c>
      <c r="B5904" s="1">
        <v>2019</v>
      </c>
      <c r="C5904" s="1" t="s">
        <v>1387</v>
      </c>
      <c r="D5904" s="1" t="s">
        <v>784</v>
      </c>
      <c r="E5904" s="8">
        <v>1422779</v>
      </c>
      <c r="F5904" s="5">
        <v>3418300</v>
      </c>
    </row>
    <row r="5905" spans="1:6" ht="20" x14ac:dyDescent="0.25">
      <c r="A5905" s="5">
        <v>3418300</v>
      </c>
      <c r="B5905" s="1">
        <v>2020</v>
      </c>
      <c r="C5905" s="1" t="s">
        <v>1387</v>
      </c>
      <c r="D5905" s="2" t="s">
        <v>784</v>
      </c>
      <c r="E5905" s="7">
        <v>1686500</v>
      </c>
      <c r="F5905" s="5">
        <v>3418300</v>
      </c>
    </row>
    <row r="5906" spans="1:6" ht="20" x14ac:dyDescent="0.25">
      <c r="A5906" s="5">
        <v>3418300</v>
      </c>
      <c r="B5906" s="1">
        <v>2021</v>
      </c>
      <c r="C5906" s="1" t="s">
        <v>1387</v>
      </c>
      <c r="D5906" s="3" t="s">
        <v>784</v>
      </c>
      <c r="E5906" s="7">
        <v>2256722</v>
      </c>
      <c r="F5906" s="5">
        <v>3418300</v>
      </c>
    </row>
    <row r="5907" spans="1:6" ht="20" x14ac:dyDescent="0.25">
      <c r="A5907" s="5">
        <v>3418300</v>
      </c>
      <c r="B5907" s="1">
        <v>2022</v>
      </c>
      <c r="C5907" s="1" t="s">
        <v>1387</v>
      </c>
      <c r="D5907" s="2" t="s">
        <v>784</v>
      </c>
      <c r="E5907" s="7">
        <v>3162436</v>
      </c>
      <c r="F5907" s="5">
        <v>3418300</v>
      </c>
    </row>
    <row r="5908" spans="1:6" ht="20" x14ac:dyDescent="0.25">
      <c r="A5908" s="5">
        <v>3418300</v>
      </c>
      <c r="B5908" s="1">
        <v>2023</v>
      </c>
      <c r="C5908" s="1" t="s">
        <v>1387</v>
      </c>
      <c r="D5908" s="2" t="s">
        <v>784</v>
      </c>
      <c r="E5908" s="7">
        <v>3172222</v>
      </c>
      <c r="F5908" s="5">
        <v>3418300</v>
      </c>
    </row>
    <row r="5909" spans="1:6" x14ac:dyDescent="0.25">
      <c r="A5909" s="5">
        <v>3418330</v>
      </c>
      <c r="B5909" s="1">
        <v>2015</v>
      </c>
      <c r="C5909" s="1" t="s">
        <v>1387</v>
      </c>
      <c r="D5909" s="1" t="s">
        <v>562</v>
      </c>
      <c r="E5909" s="8">
        <v>560501</v>
      </c>
      <c r="F5909" s="5">
        <v>3418330</v>
      </c>
    </row>
    <row r="5910" spans="1:6" x14ac:dyDescent="0.25">
      <c r="A5910" s="5">
        <v>3418330</v>
      </c>
      <c r="B5910" s="1">
        <v>2016</v>
      </c>
      <c r="C5910" s="1" t="s">
        <v>1387</v>
      </c>
      <c r="D5910" s="1" t="s">
        <v>562</v>
      </c>
      <c r="E5910" s="8">
        <v>824470</v>
      </c>
      <c r="F5910" s="5">
        <v>3418330</v>
      </c>
    </row>
    <row r="5911" spans="1:6" x14ac:dyDescent="0.25">
      <c r="A5911" s="5">
        <v>3418330</v>
      </c>
      <c r="B5911" s="1">
        <v>2017</v>
      </c>
      <c r="C5911" s="1" t="s">
        <v>1387</v>
      </c>
      <c r="D5911" s="1" t="s">
        <v>562</v>
      </c>
      <c r="E5911" s="8">
        <v>1179808</v>
      </c>
      <c r="F5911" s="5">
        <v>3418330</v>
      </c>
    </row>
    <row r="5912" spans="1:6" x14ac:dyDescent="0.25">
      <c r="A5912" s="5">
        <v>3418330</v>
      </c>
      <c r="B5912" s="1">
        <v>2018</v>
      </c>
      <c r="C5912" s="1" t="s">
        <v>1387</v>
      </c>
      <c r="D5912" s="1" t="s">
        <v>1254</v>
      </c>
      <c r="E5912" s="8">
        <v>1547610</v>
      </c>
      <c r="F5912" s="5">
        <v>3418330</v>
      </c>
    </row>
    <row r="5913" spans="1:6" x14ac:dyDescent="0.25">
      <c r="A5913" s="5">
        <v>3418330</v>
      </c>
      <c r="B5913" s="1">
        <v>2019</v>
      </c>
      <c r="C5913" s="1" t="s">
        <v>1387</v>
      </c>
      <c r="D5913" s="1" t="s">
        <v>1254</v>
      </c>
      <c r="E5913" s="8">
        <v>1950322</v>
      </c>
      <c r="F5913" s="5">
        <v>3418330</v>
      </c>
    </row>
    <row r="5914" spans="1:6" ht="20" x14ac:dyDescent="0.25">
      <c r="A5914" s="5">
        <v>3418330</v>
      </c>
      <c r="B5914" s="1">
        <v>2020</v>
      </c>
      <c r="C5914" s="1" t="s">
        <v>1387</v>
      </c>
      <c r="D5914" s="2" t="s">
        <v>1254</v>
      </c>
      <c r="E5914" s="7">
        <v>2102553</v>
      </c>
      <c r="F5914" s="5">
        <v>3418330</v>
      </c>
    </row>
    <row r="5915" spans="1:6" ht="20" x14ac:dyDescent="0.25">
      <c r="A5915" s="5">
        <v>3418330</v>
      </c>
      <c r="B5915" s="1">
        <v>2021</v>
      </c>
      <c r="C5915" s="1" t="s">
        <v>1387</v>
      </c>
      <c r="D5915" s="3" t="s">
        <v>1254</v>
      </c>
      <c r="E5915" s="7">
        <v>2605770</v>
      </c>
      <c r="F5915" s="5">
        <v>3418330</v>
      </c>
    </row>
    <row r="5916" spans="1:6" ht="20" x14ac:dyDescent="0.25">
      <c r="A5916" s="5">
        <v>3418330</v>
      </c>
      <c r="B5916" s="1">
        <v>2022</v>
      </c>
      <c r="C5916" s="1" t="s">
        <v>1387</v>
      </c>
      <c r="D5916" s="2" t="s">
        <v>1254</v>
      </c>
      <c r="E5916" s="7">
        <v>3765244</v>
      </c>
      <c r="F5916" s="5">
        <v>3418330</v>
      </c>
    </row>
    <row r="5917" spans="1:6" ht="20" x14ac:dyDescent="0.25">
      <c r="A5917" s="5">
        <v>3418330</v>
      </c>
      <c r="B5917" s="1">
        <v>2023</v>
      </c>
      <c r="C5917" s="1" t="s">
        <v>1387</v>
      </c>
      <c r="D5917" s="2" t="s">
        <v>1254</v>
      </c>
      <c r="E5917" s="7">
        <v>3694644</v>
      </c>
      <c r="F5917" s="5">
        <v>3418330</v>
      </c>
    </row>
    <row r="5918" spans="1:6" x14ac:dyDescent="0.25">
      <c r="A5918" s="5">
        <v>3418360</v>
      </c>
      <c r="B5918" s="1">
        <v>2015</v>
      </c>
      <c r="C5918" s="1" t="s">
        <v>1387</v>
      </c>
      <c r="D5918" s="1" t="s">
        <v>105</v>
      </c>
      <c r="E5918" s="8">
        <v>935324</v>
      </c>
      <c r="F5918" s="5">
        <v>3418360</v>
      </c>
    </row>
    <row r="5919" spans="1:6" x14ac:dyDescent="0.25">
      <c r="A5919" s="5">
        <v>3418360</v>
      </c>
      <c r="B5919" s="1">
        <v>2016</v>
      </c>
      <c r="C5919" s="1" t="s">
        <v>1387</v>
      </c>
      <c r="D5919" s="1" t="s">
        <v>105</v>
      </c>
      <c r="E5919" s="8">
        <v>1390774</v>
      </c>
      <c r="F5919" s="5">
        <v>3418360</v>
      </c>
    </row>
    <row r="5920" spans="1:6" x14ac:dyDescent="0.25">
      <c r="A5920" s="5">
        <v>3418360</v>
      </c>
      <c r="B5920" s="1">
        <v>2017</v>
      </c>
      <c r="C5920" s="1" t="s">
        <v>1387</v>
      </c>
      <c r="D5920" s="1" t="s">
        <v>105</v>
      </c>
      <c r="E5920" s="8">
        <v>1928442</v>
      </c>
      <c r="F5920" s="5">
        <v>3418360</v>
      </c>
    </row>
    <row r="5921" spans="1:6" x14ac:dyDescent="0.25">
      <c r="A5921" s="5">
        <v>3418360</v>
      </c>
      <c r="B5921" s="1">
        <v>2018</v>
      </c>
      <c r="C5921" s="1" t="s">
        <v>1387</v>
      </c>
      <c r="D5921" s="1" t="s">
        <v>785</v>
      </c>
      <c r="E5921" s="8">
        <v>2578551</v>
      </c>
      <c r="F5921" s="5">
        <v>3418360</v>
      </c>
    </row>
    <row r="5922" spans="1:6" x14ac:dyDescent="0.25">
      <c r="A5922" s="5">
        <v>3418360</v>
      </c>
      <c r="B5922" s="1">
        <v>2019</v>
      </c>
      <c r="C5922" s="1" t="s">
        <v>1387</v>
      </c>
      <c r="D5922" s="1" t="s">
        <v>785</v>
      </c>
      <c r="E5922" s="8">
        <v>3361879</v>
      </c>
      <c r="F5922" s="5">
        <v>3418360</v>
      </c>
    </row>
    <row r="5923" spans="1:6" ht="20" x14ac:dyDescent="0.25">
      <c r="A5923" s="5">
        <v>3418360</v>
      </c>
      <c r="B5923" s="1">
        <v>2020</v>
      </c>
      <c r="C5923" s="1" t="s">
        <v>1387</v>
      </c>
      <c r="D5923" s="2" t="s">
        <v>785</v>
      </c>
      <c r="E5923" s="7">
        <v>3802074</v>
      </c>
      <c r="F5923" s="5">
        <v>3418360</v>
      </c>
    </row>
    <row r="5924" spans="1:6" ht="20" x14ac:dyDescent="0.25">
      <c r="A5924" s="5">
        <v>3418360</v>
      </c>
      <c r="B5924" s="1">
        <v>2021</v>
      </c>
      <c r="C5924" s="1" t="s">
        <v>1387</v>
      </c>
      <c r="D5924" s="3" t="s">
        <v>785</v>
      </c>
      <c r="E5924" s="7">
        <v>4811746</v>
      </c>
      <c r="F5924" s="5">
        <v>3418360</v>
      </c>
    </row>
    <row r="5925" spans="1:6" ht="20" x14ac:dyDescent="0.25">
      <c r="A5925" s="5">
        <v>3418360</v>
      </c>
      <c r="B5925" s="1">
        <v>2022</v>
      </c>
      <c r="C5925" s="1" t="s">
        <v>1387</v>
      </c>
      <c r="D5925" s="2" t="s">
        <v>785</v>
      </c>
      <c r="E5925" s="7">
        <v>6787862</v>
      </c>
      <c r="F5925" s="5">
        <v>3418360</v>
      </c>
    </row>
    <row r="5926" spans="1:6" ht="20" x14ac:dyDescent="0.25">
      <c r="A5926" s="5">
        <v>3418360</v>
      </c>
      <c r="B5926" s="1">
        <v>2023</v>
      </c>
      <c r="C5926" s="1" t="s">
        <v>1387</v>
      </c>
      <c r="D5926" s="2" t="s">
        <v>785</v>
      </c>
      <c r="E5926" s="7">
        <v>6815361</v>
      </c>
      <c r="F5926" s="5">
        <v>3418360</v>
      </c>
    </row>
    <row r="5927" spans="1:6" x14ac:dyDescent="0.25">
      <c r="A5927" s="5">
        <v>3480180</v>
      </c>
      <c r="B5927" s="1">
        <v>2015</v>
      </c>
      <c r="C5927" s="1" t="s">
        <v>1387</v>
      </c>
      <c r="D5927" s="1" t="s">
        <v>384</v>
      </c>
      <c r="E5927" s="8">
        <v>700061</v>
      </c>
      <c r="F5927" s="5">
        <v>3480180</v>
      </c>
    </row>
    <row r="5928" spans="1:6" x14ac:dyDescent="0.25">
      <c r="A5928" s="5">
        <v>3480180</v>
      </c>
      <c r="B5928" s="1">
        <v>2016</v>
      </c>
      <c r="C5928" s="1" t="s">
        <v>1387</v>
      </c>
      <c r="D5928" s="1" t="s">
        <v>384</v>
      </c>
      <c r="E5928" s="8">
        <v>1031400</v>
      </c>
      <c r="F5928" s="5">
        <v>3480180</v>
      </c>
    </row>
    <row r="5929" spans="1:6" x14ac:dyDescent="0.25">
      <c r="A5929" s="5">
        <v>3480180</v>
      </c>
      <c r="B5929" s="1">
        <v>2017</v>
      </c>
      <c r="C5929" s="1" t="s">
        <v>1387</v>
      </c>
      <c r="D5929" s="1" t="s">
        <v>384</v>
      </c>
      <c r="E5929" s="8">
        <v>1499723</v>
      </c>
      <c r="F5929" s="5">
        <v>3480180</v>
      </c>
    </row>
    <row r="5930" spans="1:6" x14ac:dyDescent="0.25">
      <c r="A5930" s="5">
        <v>3480180</v>
      </c>
      <c r="B5930" s="1">
        <v>2018</v>
      </c>
      <c r="C5930" s="1" t="s">
        <v>1387</v>
      </c>
      <c r="D5930" s="1" t="s">
        <v>1070</v>
      </c>
      <c r="E5930" s="8">
        <v>2068386</v>
      </c>
      <c r="F5930" s="5">
        <v>3480180</v>
      </c>
    </row>
    <row r="5931" spans="1:6" x14ac:dyDescent="0.25">
      <c r="A5931" s="5">
        <v>3480180</v>
      </c>
      <c r="B5931" s="1">
        <v>2019</v>
      </c>
      <c r="C5931" s="1" t="s">
        <v>1387</v>
      </c>
      <c r="D5931" s="1" t="s">
        <v>1070</v>
      </c>
      <c r="E5931" s="8">
        <v>2865579</v>
      </c>
      <c r="F5931" s="5">
        <v>3480180</v>
      </c>
    </row>
    <row r="5932" spans="1:6" ht="20" x14ac:dyDescent="0.25">
      <c r="A5932" s="5">
        <v>3480180</v>
      </c>
      <c r="B5932" s="1">
        <v>2020</v>
      </c>
      <c r="C5932" s="1" t="s">
        <v>1387</v>
      </c>
      <c r="D5932" s="2" t="s">
        <v>1070</v>
      </c>
      <c r="E5932" s="7">
        <v>3162923</v>
      </c>
      <c r="F5932" s="5">
        <v>3480180</v>
      </c>
    </row>
    <row r="5933" spans="1:6" ht="20" x14ac:dyDescent="0.25">
      <c r="A5933" s="5">
        <v>3480180</v>
      </c>
      <c r="B5933" s="1">
        <v>2021</v>
      </c>
      <c r="C5933" s="1" t="s">
        <v>1387</v>
      </c>
      <c r="D5933" s="3" t="s">
        <v>1070</v>
      </c>
      <c r="E5933" s="7">
        <v>4213992</v>
      </c>
      <c r="F5933" s="5">
        <v>3480180</v>
      </c>
    </row>
    <row r="5934" spans="1:6" ht="20" x14ac:dyDescent="0.25">
      <c r="A5934" s="5">
        <v>3480180</v>
      </c>
      <c r="B5934" s="1">
        <v>2022</v>
      </c>
      <c r="C5934" s="1" t="s">
        <v>1387</v>
      </c>
      <c r="D5934" s="2" t="s">
        <v>1070</v>
      </c>
      <c r="E5934" s="7">
        <v>5817679</v>
      </c>
      <c r="F5934" s="5">
        <v>3480180</v>
      </c>
    </row>
    <row r="5935" spans="1:6" ht="20" x14ac:dyDescent="0.25">
      <c r="A5935" s="5">
        <v>3480180</v>
      </c>
      <c r="B5935" s="1">
        <v>2023</v>
      </c>
      <c r="C5935" s="1" t="s">
        <v>1387</v>
      </c>
      <c r="D5935" s="2" t="s">
        <v>1070</v>
      </c>
      <c r="E5935" s="7">
        <v>5890978</v>
      </c>
      <c r="F5935" s="5">
        <v>3480180</v>
      </c>
    </row>
    <row r="5936" spans="1:6" x14ac:dyDescent="0.25">
      <c r="A5936" s="5">
        <v>3480200</v>
      </c>
      <c r="B5936" s="1">
        <v>2015</v>
      </c>
      <c r="C5936" s="1" t="s">
        <v>1387</v>
      </c>
      <c r="D5936" s="1" t="s">
        <v>362</v>
      </c>
      <c r="E5936" s="8">
        <v>830229</v>
      </c>
      <c r="F5936" s="5">
        <v>3480200</v>
      </c>
    </row>
    <row r="5937" spans="1:6" x14ac:dyDescent="0.25">
      <c r="A5937" s="5">
        <v>3480200</v>
      </c>
      <c r="B5937" s="1">
        <v>2016</v>
      </c>
      <c r="C5937" s="1" t="s">
        <v>1387</v>
      </c>
      <c r="D5937" s="1" t="s">
        <v>362</v>
      </c>
      <c r="E5937" s="8">
        <v>1197727</v>
      </c>
      <c r="F5937" s="5">
        <v>3480200</v>
      </c>
    </row>
    <row r="5938" spans="1:6" x14ac:dyDescent="0.25">
      <c r="A5938" s="5">
        <v>3480200</v>
      </c>
      <c r="B5938" s="1">
        <v>2017</v>
      </c>
      <c r="C5938" s="1" t="s">
        <v>1387</v>
      </c>
      <c r="D5938" s="1" t="s">
        <v>362</v>
      </c>
      <c r="E5938" s="8">
        <v>1688729</v>
      </c>
      <c r="F5938" s="5">
        <v>3480200</v>
      </c>
    </row>
    <row r="5939" spans="1:6" x14ac:dyDescent="0.25">
      <c r="A5939" s="5">
        <v>3480200</v>
      </c>
      <c r="B5939" s="1">
        <v>2018</v>
      </c>
      <c r="C5939" s="1" t="s">
        <v>1387</v>
      </c>
      <c r="D5939" s="1" t="s">
        <v>1053</v>
      </c>
      <c r="E5939" s="8">
        <v>2103116</v>
      </c>
      <c r="F5939" s="5">
        <v>3480200</v>
      </c>
    </row>
    <row r="5940" spans="1:6" x14ac:dyDescent="0.25">
      <c r="A5940" s="5">
        <v>3480200</v>
      </c>
      <c r="B5940" s="1">
        <v>2019</v>
      </c>
      <c r="C5940" s="1" t="s">
        <v>1387</v>
      </c>
      <c r="D5940" s="1" t="s">
        <v>1053</v>
      </c>
      <c r="E5940" s="8">
        <v>2778028</v>
      </c>
      <c r="F5940" s="5">
        <v>3480200</v>
      </c>
    </row>
    <row r="5941" spans="1:6" ht="20" x14ac:dyDescent="0.25">
      <c r="A5941" s="5">
        <v>3480200</v>
      </c>
      <c r="B5941" s="1">
        <v>2020</v>
      </c>
      <c r="C5941" s="1" t="s">
        <v>1387</v>
      </c>
      <c r="D5941" s="2" t="s">
        <v>1053</v>
      </c>
      <c r="E5941" s="7">
        <v>3108117</v>
      </c>
      <c r="F5941" s="5">
        <v>3480200</v>
      </c>
    </row>
    <row r="5942" spans="1:6" ht="20" x14ac:dyDescent="0.25">
      <c r="A5942" s="5">
        <v>3480200</v>
      </c>
      <c r="B5942" s="1">
        <v>2021</v>
      </c>
      <c r="C5942" s="1" t="s">
        <v>1387</v>
      </c>
      <c r="D5942" s="3" t="s">
        <v>1053</v>
      </c>
      <c r="E5942" s="7">
        <v>3879380</v>
      </c>
      <c r="F5942" s="5">
        <v>3480200</v>
      </c>
    </row>
    <row r="5943" spans="1:6" ht="20" x14ac:dyDescent="0.25">
      <c r="A5943" s="5">
        <v>3480200</v>
      </c>
      <c r="B5943" s="1">
        <v>2022</v>
      </c>
      <c r="C5943" s="1" t="s">
        <v>1387</v>
      </c>
      <c r="D5943" s="2" t="s">
        <v>1053</v>
      </c>
      <c r="E5943" s="7">
        <v>5758348</v>
      </c>
      <c r="F5943" s="5">
        <v>3480200</v>
      </c>
    </row>
    <row r="5944" spans="1:6" ht="20" x14ac:dyDescent="0.25">
      <c r="A5944" s="5">
        <v>3480200</v>
      </c>
      <c r="B5944" s="1">
        <v>2023</v>
      </c>
      <c r="C5944" s="1" t="s">
        <v>1387</v>
      </c>
      <c r="D5944" s="2" t="s">
        <v>1053</v>
      </c>
      <c r="E5944" s="7">
        <v>5470779</v>
      </c>
      <c r="F5944" s="5">
        <v>3480200</v>
      </c>
    </row>
    <row r="5945" spans="1:6" x14ac:dyDescent="0.25">
      <c r="A5945" s="5">
        <v>3480240</v>
      </c>
      <c r="B5945" s="1">
        <v>2015</v>
      </c>
      <c r="C5945" s="1" t="s">
        <v>1387</v>
      </c>
      <c r="D5945" s="1" t="s">
        <v>663</v>
      </c>
      <c r="E5945" s="8">
        <v>152612</v>
      </c>
      <c r="F5945" s="5">
        <v>3480240</v>
      </c>
    </row>
    <row r="5946" spans="1:6" x14ac:dyDescent="0.25">
      <c r="A5946" s="5">
        <v>3480240</v>
      </c>
      <c r="B5946" s="1">
        <v>2016</v>
      </c>
      <c r="C5946" s="1" t="s">
        <v>1387</v>
      </c>
      <c r="D5946" s="1" t="s">
        <v>663</v>
      </c>
      <c r="E5946" s="8">
        <v>200283</v>
      </c>
      <c r="F5946" s="5">
        <v>3480240</v>
      </c>
    </row>
    <row r="5947" spans="1:6" x14ac:dyDescent="0.25">
      <c r="A5947" s="5">
        <v>3480240</v>
      </c>
      <c r="B5947" s="1">
        <v>2017</v>
      </c>
      <c r="C5947" s="1" t="s">
        <v>1387</v>
      </c>
      <c r="D5947" s="1" t="s">
        <v>663</v>
      </c>
      <c r="E5947" s="8">
        <v>340639</v>
      </c>
      <c r="F5947" s="5">
        <v>3480240</v>
      </c>
    </row>
    <row r="5948" spans="1:6" x14ac:dyDescent="0.25">
      <c r="A5948" s="5">
        <v>3480240</v>
      </c>
      <c r="B5948" s="1">
        <v>2018</v>
      </c>
      <c r="C5948" s="1" t="s">
        <v>1387</v>
      </c>
      <c r="D5948" s="1" t="s">
        <v>1356</v>
      </c>
      <c r="E5948" s="8">
        <v>529012</v>
      </c>
      <c r="F5948" s="5">
        <v>3480240</v>
      </c>
    </row>
    <row r="5949" spans="1:6" x14ac:dyDescent="0.25">
      <c r="A5949" s="5">
        <v>3480240</v>
      </c>
      <c r="B5949" s="1">
        <v>2019</v>
      </c>
      <c r="C5949" s="1" t="s">
        <v>1387</v>
      </c>
      <c r="D5949" s="1" t="s">
        <v>1356</v>
      </c>
      <c r="E5949" s="8">
        <v>686679</v>
      </c>
      <c r="F5949" s="5">
        <v>3480240</v>
      </c>
    </row>
    <row r="5950" spans="1:6" ht="20" x14ac:dyDescent="0.25">
      <c r="A5950" s="5">
        <v>3480240</v>
      </c>
      <c r="B5950" s="1">
        <v>2020</v>
      </c>
      <c r="C5950" s="1" t="s">
        <v>1387</v>
      </c>
      <c r="D5950" s="2" t="s">
        <v>1356</v>
      </c>
      <c r="E5950" s="7">
        <v>702403</v>
      </c>
      <c r="F5950" s="5">
        <v>3480240</v>
      </c>
    </row>
    <row r="5951" spans="1:6" ht="20" x14ac:dyDescent="0.25">
      <c r="A5951" s="5">
        <v>3480240</v>
      </c>
      <c r="B5951" s="1">
        <v>2021</v>
      </c>
      <c r="C5951" s="1" t="s">
        <v>1387</v>
      </c>
      <c r="D5951" s="3" t="s">
        <v>1356</v>
      </c>
      <c r="E5951" s="7">
        <v>883845</v>
      </c>
      <c r="F5951" s="5">
        <v>3480240</v>
      </c>
    </row>
    <row r="5952" spans="1:6" ht="20" x14ac:dyDescent="0.25">
      <c r="A5952" s="5">
        <v>3480240</v>
      </c>
      <c r="B5952" s="1">
        <v>2022</v>
      </c>
      <c r="C5952" s="1" t="s">
        <v>1387</v>
      </c>
      <c r="D5952" s="2" t="s">
        <v>1356</v>
      </c>
      <c r="E5952" s="7">
        <v>1147066</v>
      </c>
      <c r="F5952" s="5">
        <v>3480240</v>
      </c>
    </row>
    <row r="5953" spans="1:6" ht="20" x14ac:dyDescent="0.25">
      <c r="A5953" s="5">
        <v>3480240</v>
      </c>
      <c r="B5953" s="1">
        <v>2023</v>
      </c>
      <c r="C5953" s="1" t="s">
        <v>1387</v>
      </c>
      <c r="D5953" s="2" t="s">
        <v>1356</v>
      </c>
      <c r="E5953" s="7">
        <v>946915</v>
      </c>
      <c r="F5953" s="5">
        <v>3480240</v>
      </c>
    </row>
    <row r="5954" spans="1:6" x14ac:dyDescent="0.25">
      <c r="A5954" s="5">
        <v>3480260</v>
      </c>
      <c r="B5954" s="1">
        <v>2015</v>
      </c>
      <c r="C5954" s="1" t="s">
        <v>1387</v>
      </c>
      <c r="D5954" s="1" t="s">
        <v>475</v>
      </c>
      <c r="E5954" s="8">
        <v>176962</v>
      </c>
      <c r="F5954" s="5">
        <v>3480260</v>
      </c>
    </row>
    <row r="5955" spans="1:6" x14ac:dyDescent="0.25">
      <c r="A5955" s="5">
        <v>3480260</v>
      </c>
      <c r="B5955" s="1">
        <v>2016</v>
      </c>
      <c r="C5955" s="1" t="s">
        <v>1387</v>
      </c>
      <c r="D5955" s="1" t="s">
        <v>475</v>
      </c>
      <c r="E5955" s="8">
        <v>261955</v>
      </c>
      <c r="F5955" s="5">
        <v>3480260</v>
      </c>
    </row>
    <row r="5956" spans="1:6" x14ac:dyDescent="0.25">
      <c r="A5956" s="5">
        <v>3480260</v>
      </c>
      <c r="B5956" s="1">
        <v>2017</v>
      </c>
      <c r="C5956" s="1" t="s">
        <v>1387</v>
      </c>
      <c r="D5956" s="1" t="s">
        <v>475</v>
      </c>
      <c r="E5956" s="8">
        <v>348310</v>
      </c>
      <c r="F5956" s="5">
        <v>3480260</v>
      </c>
    </row>
    <row r="5957" spans="1:6" x14ac:dyDescent="0.25">
      <c r="A5957" s="5">
        <v>3480260</v>
      </c>
      <c r="B5957" s="1">
        <v>2018</v>
      </c>
      <c r="C5957" s="1" t="s">
        <v>1387</v>
      </c>
      <c r="D5957" s="1" t="s">
        <v>1167</v>
      </c>
      <c r="E5957" s="8">
        <v>436995</v>
      </c>
      <c r="F5957" s="5">
        <v>3480260</v>
      </c>
    </row>
    <row r="5958" spans="1:6" x14ac:dyDescent="0.25">
      <c r="A5958" s="5">
        <v>3480260</v>
      </c>
      <c r="B5958" s="1">
        <v>2019</v>
      </c>
      <c r="C5958" s="1" t="s">
        <v>1387</v>
      </c>
      <c r="D5958" s="1" t="s">
        <v>1167</v>
      </c>
      <c r="E5958" s="8">
        <v>557321</v>
      </c>
      <c r="F5958" s="5">
        <v>3480260</v>
      </c>
    </row>
    <row r="5959" spans="1:6" ht="20" x14ac:dyDescent="0.25">
      <c r="A5959" s="5">
        <v>3480260</v>
      </c>
      <c r="B5959" s="1">
        <v>2020</v>
      </c>
      <c r="C5959" s="1" t="s">
        <v>1387</v>
      </c>
      <c r="D5959" s="2" t="s">
        <v>1167</v>
      </c>
      <c r="E5959" s="7">
        <v>601560</v>
      </c>
      <c r="F5959" s="5">
        <v>3480260</v>
      </c>
    </row>
    <row r="5960" spans="1:6" ht="20" x14ac:dyDescent="0.25">
      <c r="A5960" s="5">
        <v>3480260</v>
      </c>
      <c r="B5960" s="1">
        <v>2021</v>
      </c>
      <c r="C5960" s="1" t="s">
        <v>1387</v>
      </c>
      <c r="D5960" s="3" t="s">
        <v>1167</v>
      </c>
      <c r="E5960" s="7">
        <v>736289</v>
      </c>
      <c r="F5960" s="5">
        <v>3480260</v>
      </c>
    </row>
    <row r="5961" spans="1:6" ht="20" x14ac:dyDescent="0.25">
      <c r="A5961" s="5">
        <v>3480260</v>
      </c>
      <c r="B5961" s="1">
        <v>2022</v>
      </c>
      <c r="C5961" s="1" t="s">
        <v>1387</v>
      </c>
      <c r="D5961" s="2" t="s">
        <v>1167</v>
      </c>
      <c r="E5961" s="7">
        <v>1026507</v>
      </c>
      <c r="F5961" s="5">
        <v>3480260</v>
      </c>
    </row>
    <row r="5962" spans="1:6" ht="20" x14ac:dyDescent="0.25">
      <c r="A5962" s="5">
        <v>3480260</v>
      </c>
      <c r="B5962" s="1">
        <v>2023</v>
      </c>
      <c r="C5962" s="1" t="s">
        <v>1387</v>
      </c>
      <c r="D5962" s="2" t="s">
        <v>1167</v>
      </c>
      <c r="E5962" s="7">
        <v>910240</v>
      </c>
      <c r="F5962" s="5">
        <v>3480260</v>
      </c>
    </row>
    <row r="5963" spans="1:6" x14ac:dyDescent="0.25">
      <c r="A5963" s="5">
        <v>3480280</v>
      </c>
      <c r="B5963" s="1">
        <v>2015</v>
      </c>
      <c r="C5963" s="1" t="s">
        <v>1387</v>
      </c>
      <c r="D5963" s="1" t="s">
        <v>575</v>
      </c>
      <c r="E5963" s="8">
        <v>136336</v>
      </c>
      <c r="F5963" s="5">
        <v>3480280</v>
      </c>
    </row>
    <row r="5964" spans="1:6" x14ac:dyDescent="0.25">
      <c r="A5964" s="5">
        <v>3480280</v>
      </c>
      <c r="B5964" s="1">
        <v>2016</v>
      </c>
      <c r="C5964" s="1" t="s">
        <v>1387</v>
      </c>
      <c r="D5964" s="1" t="s">
        <v>575</v>
      </c>
      <c r="E5964" s="8">
        <v>212922</v>
      </c>
      <c r="F5964" s="5">
        <v>3480280</v>
      </c>
    </row>
    <row r="5965" spans="1:6" x14ac:dyDescent="0.25">
      <c r="A5965" s="5">
        <v>3480280</v>
      </c>
      <c r="B5965" s="1">
        <v>2017</v>
      </c>
      <c r="C5965" s="1" t="s">
        <v>1387</v>
      </c>
      <c r="D5965" s="1" t="s">
        <v>575</v>
      </c>
      <c r="E5965" s="8">
        <v>321966</v>
      </c>
      <c r="F5965" s="5">
        <v>3480280</v>
      </c>
    </row>
    <row r="5966" spans="1:6" x14ac:dyDescent="0.25">
      <c r="A5966" s="5">
        <v>3480280</v>
      </c>
      <c r="B5966" s="1">
        <v>2018</v>
      </c>
      <c r="C5966" s="1" t="s">
        <v>1387</v>
      </c>
      <c r="D5966" s="1" t="s">
        <v>1267</v>
      </c>
      <c r="E5966" s="8">
        <v>391383</v>
      </c>
      <c r="F5966" s="5">
        <v>3480280</v>
      </c>
    </row>
    <row r="5967" spans="1:6" x14ac:dyDescent="0.25">
      <c r="A5967" s="5">
        <v>3480280</v>
      </c>
      <c r="B5967" s="1">
        <v>2019</v>
      </c>
      <c r="C5967" s="1" t="s">
        <v>1387</v>
      </c>
      <c r="D5967" s="1" t="s">
        <v>1267</v>
      </c>
      <c r="E5967" s="8">
        <v>540045</v>
      </c>
      <c r="F5967" s="5">
        <v>3480280</v>
      </c>
    </row>
    <row r="5968" spans="1:6" ht="20" x14ac:dyDescent="0.25">
      <c r="A5968" s="5">
        <v>3480280</v>
      </c>
      <c r="B5968" s="1">
        <v>2020</v>
      </c>
      <c r="C5968" s="1" t="s">
        <v>1387</v>
      </c>
      <c r="D5968" s="2" t="s">
        <v>1267</v>
      </c>
      <c r="E5968" s="7">
        <v>586693</v>
      </c>
      <c r="F5968" s="5">
        <v>3480280</v>
      </c>
    </row>
    <row r="5969" spans="1:6" ht="20" x14ac:dyDescent="0.25">
      <c r="A5969" s="5">
        <v>3480280</v>
      </c>
      <c r="B5969" s="1">
        <v>2021</v>
      </c>
      <c r="C5969" s="1" t="s">
        <v>1387</v>
      </c>
      <c r="D5969" s="3" t="s">
        <v>1267</v>
      </c>
      <c r="E5969" s="7">
        <v>778990</v>
      </c>
      <c r="F5969" s="5">
        <v>3480280</v>
      </c>
    </row>
    <row r="5970" spans="1:6" ht="20" x14ac:dyDescent="0.25">
      <c r="A5970" s="5">
        <v>3480280</v>
      </c>
      <c r="B5970" s="1">
        <v>2022</v>
      </c>
      <c r="C5970" s="1" t="s">
        <v>1387</v>
      </c>
      <c r="D5970" s="2" t="s">
        <v>1267</v>
      </c>
      <c r="E5970" s="7">
        <v>1028413</v>
      </c>
      <c r="F5970" s="5">
        <v>3480280</v>
      </c>
    </row>
    <row r="5971" spans="1:6" ht="20" x14ac:dyDescent="0.25">
      <c r="A5971" s="5">
        <v>3480280</v>
      </c>
      <c r="B5971" s="1">
        <v>2023</v>
      </c>
      <c r="C5971" s="1" t="s">
        <v>1387</v>
      </c>
      <c r="D5971" s="2" t="s">
        <v>1267</v>
      </c>
      <c r="E5971" s="7">
        <v>879481</v>
      </c>
      <c r="F5971" s="5">
        <v>3480280</v>
      </c>
    </row>
    <row r="5972" spans="1:6" x14ac:dyDescent="0.25">
      <c r="A5972" s="5">
        <v>3480300</v>
      </c>
      <c r="B5972" s="1">
        <v>2015</v>
      </c>
      <c r="C5972" s="1" t="s">
        <v>1387</v>
      </c>
      <c r="D5972" s="1" t="s">
        <v>237</v>
      </c>
      <c r="E5972" s="8">
        <v>437870</v>
      </c>
      <c r="F5972" s="5">
        <v>3480300</v>
      </c>
    </row>
    <row r="5973" spans="1:6" x14ac:dyDescent="0.25">
      <c r="A5973" s="5">
        <v>3480300</v>
      </c>
      <c r="B5973" s="1">
        <v>2016</v>
      </c>
      <c r="C5973" s="1" t="s">
        <v>1387</v>
      </c>
      <c r="D5973" s="1" t="s">
        <v>237</v>
      </c>
      <c r="E5973" s="8">
        <v>573846</v>
      </c>
      <c r="F5973" s="5">
        <v>3480300</v>
      </c>
    </row>
    <row r="5974" spans="1:6" x14ac:dyDescent="0.25">
      <c r="A5974" s="5">
        <v>3480300</v>
      </c>
      <c r="B5974" s="1">
        <v>2017</v>
      </c>
      <c r="C5974" s="1" t="s">
        <v>1387</v>
      </c>
      <c r="D5974" s="1" t="s">
        <v>237</v>
      </c>
      <c r="E5974" s="8">
        <v>718062</v>
      </c>
      <c r="F5974" s="5">
        <v>3480300</v>
      </c>
    </row>
    <row r="5975" spans="1:6" x14ac:dyDescent="0.25">
      <c r="A5975" s="5">
        <v>3480300</v>
      </c>
      <c r="B5975" s="1">
        <v>2018</v>
      </c>
      <c r="C5975" s="1" t="s">
        <v>1387</v>
      </c>
      <c r="D5975" s="1" t="s">
        <v>923</v>
      </c>
      <c r="E5975" s="8">
        <v>907371</v>
      </c>
      <c r="F5975" s="5">
        <v>3480300</v>
      </c>
    </row>
    <row r="5976" spans="1:6" x14ac:dyDescent="0.25">
      <c r="A5976" s="5">
        <v>3480300</v>
      </c>
      <c r="B5976" s="1">
        <v>2019</v>
      </c>
      <c r="C5976" s="1" t="s">
        <v>1387</v>
      </c>
      <c r="D5976" s="1" t="s">
        <v>923</v>
      </c>
      <c r="E5976" s="8">
        <v>1256444</v>
      </c>
      <c r="F5976" s="5">
        <v>3480300</v>
      </c>
    </row>
    <row r="5977" spans="1:6" ht="20" x14ac:dyDescent="0.25">
      <c r="A5977" s="5">
        <v>3480300</v>
      </c>
      <c r="B5977" s="1">
        <v>2020</v>
      </c>
      <c r="C5977" s="1" t="s">
        <v>1387</v>
      </c>
      <c r="D5977" s="2" t="s">
        <v>923</v>
      </c>
      <c r="E5977" s="7">
        <v>1417559</v>
      </c>
      <c r="F5977" s="5">
        <v>3480300</v>
      </c>
    </row>
    <row r="5978" spans="1:6" ht="20" x14ac:dyDescent="0.25">
      <c r="A5978" s="5">
        <v>3480300</v>
      </c>
      <c r="B5978" s="1">
        <v>2021</v>
      </c>
      <c r="C5978" s="1" t="s">
        <v>1387</v>
      </c>
      <c r="D5978" s="3" t="s">
        <v>923</v>
      </c>
      <c r="E5978" s="7">
        <v>1465666</v>
      </c>
      <c r="F5978" s="5">
        <v>3480300</v>
      </c>
    </row>
    <row r="5979" spans="1:6" ht="20" x14ac:dyDescent="0.25">
      <c r="A5979" s="5">
        <v>3480300</v>
      </c>
      <c r="B5979" s="1">
        <v>2022</v>
      </c>
      <c r="C5979" s="1" t="s">
        <v>1387</v>
      </c>
      <c r="D5979" s="2" t="s">
        <v>923</v>
      </c>
      <c r="E5979" s="7">
        <v>1899004</v>
      </c>
      <c r="F5979" s="5">
        <v>3480300</v>
      </c>
    </row>
    <row r="5980" spans="1:6" ht="20" x14ac:dyDescent="0.25">
      <c r="A5980" s="5">
        <v>3480300</v>
      </c>
      <c r="B5980" s="1">
        <v>2023</v>
      </c>
      <c r="C5980" s="1" t="s">
        <v>1387</v>
      </c>
      <c r="D5980" s="2" t="s">
        <v>923</v>
      </c>
      <c r="E5980" s="7">
        <v>1842760</v>
      </c>
      <c r="F5980" s="5">
        <v>3480300</v>
      </c>
    </row>
    <row r="5981" spans="1:6" x14ac:dyDescent="0.25">
      <c r="A5981" s="5">
        <v>3480320</v>
      </c>
      <c r="B5981" s="1">
        <v>2015</v>
      </c>
      <c r="C5981" s="1" t="s">
        <v>1387</v>
      </c>
      <c r="D5981" s="1" t="s">
        <v>604</v>
      </c>
      <c r="E5981" s="8">
        <v>62394</v>
      </c>
      <c r="F5981" s="5">
        <v>3480320</v>
      </c>
    </row>
    <row r="5982" spans="1:6" x14ac:dyDescent="0.25">
      <c r="A5982" s="5">
        <v>3480320</v>
      </c>
      <c r="B5982" s="1">
        <v>2016</v>
      </c>
      <c r="C5982" s="1" t="s">
        <v>1387</v>
      </c>
      <c r="D5982" s="1" t="s">
        <v>604</v>
      </c>
      <c r="E5982" s="8">
        <v>97753</v>
      </c>
      <c r="F5982" s="5">
        <v>3480320</v>
      </c>
    </row>
    <row r="5983" spans="1:6" x14ac:dyDescent="0.25">
      <c r="A5983" s="5">
        <v>3480320</v>
      </c>
      <c r="B5983" s="1">
        <v>2017</v>
      </c>
      <c r="C5983" s="1" t="s">
        <v>1387</v>
      </c>
      <c r="D5983" s="1" t="s">
        <v>604</v>
      </c>
      <c r="E5983" s="8">
        <v>149534</v>
      </c>
      <c r="F5983" s="5">
        <v>3480320</v>
      </c>
    </row>
    <row r="5984" spans="1:6" x14ac:dyDescent="0.25">
      <c r="A5984" s="5">
        <v>3480320</v>
      </c>
      <c r="B5984" s="1">
        <v>2018</v>
      </c>
      <c r="C5984" s="1" t="s">
        <v>1387</v>
      </c>
      <c r="D5984" s="1" t="s">
        <v>1297</v>
      </c>
      <c r="E5984" s="8">
        <v>191053</v>
      </c>
      <c r="F5984" s="5">
        <v>3480320</v>
      </c>
    </row>
    <row r="5985" spans="1:6" x14ac:dyDescent="0.25">
      <c r="A5985" s="5">
        <v>3480320</v>
      </c>
      <c r="B5985" s="1">
        <v>2019</v>
      </c>
      <c r="C5985" s="1" t="s">
        <v>1387</v>
      </c>
      <c r="D5985" s="1" t="s">
        <v>1297</v>
      </c>
      <c r="E5985" s="8">
        <v>248566</v>
      </c>
      <c r="F5985" s="5">
        <v>3480320</v>
      </c>
    </row>
    <row r="5986" spans="1:6" ht="20" x14ac:dyDescent="0.25">
      <c r="A5986" s="5">
        <v>3480320</v>
      </c>
      <c r="B5986" s="1">
        <v>2020</v>
      </c>
      <c r="C5986" s="1" t="s">
        <v>1387</v>
      </c>
      <c r="D5986" s="2" t="s">
        <v>1297</v>
      </c>
      <c r="E5986" s="7">
        <v>309050</v>
      </c>
      <c r="F5986" s="5">
        <v>3480320</v>
      </c>
    </row>
    <row r="5987" spans="1:6" ht="20" x14ac:dyDescent="0.25">
      <c r="A5987" s="5">
        <v>3480320</v>
      </c>
      <c r="B5987" s="1">
        <v>2021</v>
      </c>
      <c r="C5987" s="1" t="s">
        <v>1387</v>
      </c>
      <c r="D5987" s="3" t="s">
        <v>1297</v>
      </c>
      <c r="E5987" s="7">
        <v>427357</v>
      </c>
      <c r="F5987" s="5">
        <v>3480320</v>
      </c>
    </row>
    <row r="5988" spans="1:6" ht="20" x14ac:dyDescent="0.25">
      <c r="A5988" s="5">
        <v>3480320</v>
      </c>
      <c r="B5988" s="1">
        <v>2022</v>
      </c>
      <c r="C5988" s="1" t="s">
        <v>1387</v>
      </c>
      <c r="D5988" s="2" t="s">
        <v>1297</v>
      </c>
      <c r="E5988" s="7">
        <v>615403</v>
      </c>
      <c r="F5988" s="5">
        <v>3480320</v>
      </c>
    </row>
    <row r="5989" spans="1:6" ht="20" x14ac:dyDescent="0.25">
      <c r="A5989" s="5">
        <v>3480320</v>
      </c>
      <c r="B5989" s="1">
        <v>2023</v>
      </c>
      <c r="C5989" s="1" t="s">
        <v>1387</v>
      </c>
      <c r="D5989" s="2" t="s">
        <v>1297</v>
      </c>
      <c r="E5989" s="7">
        <v>613584</v>
      </c>
      <c r="F5989" s="5">
        <v>3480320</v>
      </c>
    </row>
    <row r="5990" spans="1:6" x14ac:dyDescent="0.25">
      <c r="A5990" s="5">
        <v>3480340</v>
      </c>
      <c r="B5990" s="1">
        <v>2015</v>
      </c>
      <c r="C5990" s="1" t="s">
        <v>1387</v>
      </c>
      <c r="D5990" s="1" t="s">
        <v>158</v>
      </c>
      <c r="E5990" s="8">
        <v>203054</v>
      </c>
      <c r="F5990" s="5">
        <v>3480340</v>
      </c>
    </row>
    <row r="5991" spans="1:6" x14ac:dyDescent="0.25">
      <c r="A5991" s="5">
        <v>3480340</v>
      </c>
      <c r="B5991" s="1">
        <v>2016</v>
      </c>
      <c r="C5991" s="1" t="s">
        <v>1387</v>
      </c>
      <c r="D5991" s="1" t="s">
        <v>158</v>
      </c>
      <c r="E5991" s="8">
        <v>269188</v>
      </c>
      <c r="F5991" s="5">
        <v>3480340</v>
      </c>
    </row>
    <row r="5992" spans="1:6" x14ac:dyDescent="0.25">
      <c r="A5992" s="5">
        <v>3480340</v>
      </c>
      <c r="B5992" s="1">
        <v>2017</v>
      </c>
      <c r="C5992" s="1" t="s">
        <v>1387</v>
      </c>
      <c r="D5992" s="1" t="s">
        <v>158</v>
      </c>
      <c r="E5992" s="8">
        <v>420505</v>
      </c>
      <c r="F5992" s="5">
        <v>3480340</v>
      </c>
    </row>
    <row r="5993" spans="1:6" x14ac:dyDescent="0.25">
      <c r="A5993" s="5">
        <v>3480340</v>
      </c>
      <c r="B5993" s="1">
        <v>2018</v>
      </c>
      <c r="C5993" s="1" t="s">
        <v>1387</v>
      </c>
      <c r="D5993" s="1" t="s">
        <v>839</v>
      </c>
      <c r="E5993" s="8">
        <v>626007</v>
      </c>
      <c r="F5993" s="5">
        <v>3480340</v>
      </c>
    </row>
    <row r="5994" spans="1:6" x14ac:dyDescent="0.25">
      <c r="A5994" s="5">
        <v>3480340</v>
      </c>
      <c r="B5994" s="1">
        <v>2019</v>
      </c>
      <c r="C5994" s="1" t="s">
        <v>1387</v>
      </c>
      <c r="D5994" s="1" t="s">
        <v>839</v>
      </c>
      <c r="E5994" s="8">
        <v>956626</v>
      </c>
      <c r="F5994" s="5">
        <v>3480340</v>
      </c>
    </row>
    <row r="5995" spans="1:6" ht="20" x14ac:dyDescent="0.25">
      <c r="A5995" s="5">
        <v>3480340</v>
      </c>
      <c r="B5995" s="1">
        <v>2020</v>
      </c>
      <c r="C5995" s="1" t="s">
        <v>1387</v>
      </c>
      <c r="D5995" s="2" t="s">
        <v>839</v>
      </c>
      <c r="E5995" s="7">
        <v>1213704</v>
      </c>
      <c r="F5995" s="5">
        <v>3480340</v>
      </c>
    </row>
    <row r="5996" spans="1:6" ht="20" x14ac:dyDescent="0.25">
      <c r="A5996" s="5">
        <v>3480340</v>
      </c>
      <c r="B5996" s="1">
        <v>2021</v>
      </c>
      <c r="C5996" s="1" t="s">
        <v>1387</v>
      </c>
      <c r="D5996" s="3" t="s">
        <v>839</v>
      </c>
      <c r="E5996" s="7">
        <v>1665189</v>
      </c>
      <c r="F5996" s="5">
        <v>3480340</v>
      </c>
    </row>
    <row r="5997" spans="1:6" ht="20" x14ac:dyDescent="0.25">
      <c r="A5997" s="5">
        <v>3480340</v>
      </c>
      <c r="B5997" s="1">
        <v>2022</v>
      </c>
      <c r="C5997" s="1" t="s">
        <v>1387</v>
      </c>
      <c r="D5997" s="2" t="s">
        <v>839</v>
      </c>
      <c r="E5997" s="7">
        <v>2529865</v>
      </c>
      <c r="F5997" s="5">
        <v>3480340</v>
      </c>
    </row>
    <row r="5998" spans="1:6" ht="20" x14ac:dyDescent="0.25">
      <c r="A5998" s="5">
        <v>3480340</v>
      </c>
      <c r="B5998" s="1">
        <v>2023</v>
      </c>
      <c r="C5998" s="1" t="s">
        <v>1387</v>
      </c>
      <c r="D5998" s="2" t="s">
        <v>839</v>
      </c>
      <c r="E5998" s="7">
        <v>2660825</v>
      </c>
      <c r="F5998" s="5">
        <v>3480340</v>
      </c>
    </row>
    <row r="5999" spans="1:6" x14ac:dyDescent="0.25">
      <c r="A5999" s="5">
        <v>3480360</v>
      </c>
      <c r="B5999" s="1">
        <v>2015</v>
      </c>
      <c r="C5999" s="1" t="s">
        <v>1387</v>
      </c>
      <c r="D5999" s="1" t="s">
        <v>341</v>
      </c>
      <c r="E5999" s="8">
        <v>125010</v>
      </c>
      <c r="F5999" s="5">
        <v>3480360</v>
      </c>
    </row>
    <row r="6000" spans="1:6" x14ac:dyDescent="0.25">
      <c r="A6000" s="5">
        <v>3480360</v>
      </c>
      <c r="B6000" s="1">
        <v>2016</v>
      </c>
      <c r="C6000" s="1" t="s">
        <v>1387</v>
      </c>
      <c r="D6000" s="1" t="s">
        <v>341</v>
      </c>
      <c r="E6000" s="8">
        <v>184430</v>
      </c>
      <c r="F6000" s="5">
        <v>3480360</v>
      </c>
    </row>
    <row r="6001" spans="1:6" x14ac:dyDescent="0.25">
      <c r="A6001" s="5">
        <v>3480360</v>
      </c>
      <c r="B6001" s="1">
        <v>2017</v>
      </c>
      <c r="C6001" s="1" t="s">
        <v>1387</v>
      </c>
      <c r="D6001" s="1" t="s">
        <v>341</v>
      </c>
      <c r="E6001" s="8">
        <v>255327</v>
      </c>
      <c r="F6001" s="5">
        <v>3480360</v>
      </c>
    </row>
    <row r="6002" spans="1:6" x14ac:dyDescent="0.25">
      <c r="A6002" s="5">
        <v>3480360</v>
      </c>
      <c r="B6002" s="1">
        <v>2018</v>
      </c>
      <c r="C6002" s="1" t="s">
        <v>1387</v>
      </c>
      <c r="D6002" s="1" t="s">
        <v>1034</v>
      </c>
      <c r="E6002" s="8">
        <v>329298</v>
      </c>
      <c r="F6002" s="5">
        <v>3480360</v>
      </c>
    </row>
    <row r="6003" spans="1:6" x14ac:dyDescent="0.25">
      <c r="A6003" s="5">
        <v>3480360</v>
      </c>
      <c r="B6003" s="1">
        <v>2019</v>
      </c>
      <c r="C6003" s="1" t="s">
        <v>1387</v>
      </c>
      <c r="D6003" s="1" t="s">
        <v>1034</v>
      </c>
      <c r="E6003" s="8">
        <v>379300</v>
      </c>
      <c r="F6003" s="5">
        <v>3480360</v>
      </c>
    </row>
    <row r="6004" spans="1:6" ht="20" x14ac:dyDescent="0.25">
      <c r="A6004" s="5">
        <v>3480360</v>
      </c>
      <c r="B6004" s="1">
        <v>2020</v>
      </c>
      <c r="C6004" s="1" t="s">
        <v>1387</v>
      </c>
      <c r="D6004" s="2" t="s">
        <v>1034</v>
      </c>
      <c r="E6004" s="7">
        <v>387246</v>
      </c>
      <c r="F6004" s="5">
        <v>3480360</v>
      </c>
    </row>
    <row r="6005" spans="1:6" ht="20" x14ac:dyDescent="0.25">
      <c r="A6005" s="5">
        <v>3480360</v>
      </c>
      <c r="B6005" s="1">
        <v>2021</v>
      </c>
      <c r="C6005" s="1" t="s">
        <v>1387</v>
      </c>
      <c r="D6005" s="3" t="s">
        <v>1034</v>
      </c>
      <c r="E6005" s="7">
        <v>408532</v>
      </c>
      <c r="F6005" s="5">
        <v>3480360</v>
      </c>
    </row>
    <row r="6006" spans="1:6" ht="20" x14ac:dyDescent="0.25">
      <c r="A6006" s="5">
        <v>3480360</v>
      </c>
      <c r="B6006" s="1">
        <v>2022</v>
      </c>
      <c r="C6006" s="1" t="s">
        <v>1387</v>
      </c>
      <c r="D6006" s="2" t="s">
        <v>1034</v>
      </c>
      <c r="E6006" s="7">
        <v>536705</v>
      </c>
      <c r="F6006" s="5">
        <v>3480360</v>
      </c>
    </row>
    <row r="6007" spans="1:6" ht="20" x14ac:dyDescent="0.25">
      <c r="A6007" s="5">
        <v>3480360</v>
      </c>
      <c r="B6007" s="1">
        <v>2023</v>
      </c>
      <c r="C6007" s="1" t="s">
        <v>1387</v>
      </c>
      <c r="D6007" s="2" t="s">
        <v>1034</v>
      </c>
      <c r="E6007" s="7">
        <v>487501</v>
      </c>
      <c r="F6007" s="5">
        <v>3480360</v>
      </c>
    </row>
    <row r="6008" spans="1:6" x14ac:dyDescent="0.25">
      <c r="A6008" s="5">
        <v>3480361</v>
      </c>
      <c r="B6008" s="1">
        <v>2015</v>
      </c>
      <c r="C6008" s="1" t="s">
        <v>1387</v>
      </c>
      <c r="D6008" s="1" t="s">
        <v>559</v>
      </c>
      <c r="E6008" s="8">
        <v>266850</v>
      </c>
      <c r="F6008" s="5">
        <v>3480361</v>
      </c>
    </row>
    <row r="6009" spans="1:6" x14ac:dyDescent="0.25">
      <c r="A6009" s="5">
        <v>3480361</v>
      </c>
      <c r="B6009" s="1">
        <v>2016</v>
      </c>
      <c r="C6009" s="1" t="s">
        <v>1387</v>
      </c>
      <c r="D6009" s="1" t="s">
        <v>559</v>
      </c>
      <c r="E6009" s="8">
        <v>340539</v>
      </c>
      <c r="F6009" s="5">
        <v>3480361</v>
      </c>
    </row>
    <row r="6010" spans="1:6" x14ac:dyDescent="0.25">
      <c r="A6010" s="5">
        <v>3480361</v>
      </c>
      <c r="B6010" s="1">
        <v>2017</v>
      </c>
      <c r="C6010" s="1" t="s">
        <v>1387</v>
      </c>
      <c r="D6010" s="1" t="s">
        <v>559</v>
      </c>
      <c r="E6010" s="8">
        <v>523664</v>
      </c>
      <c r="F6010" s="5">
        <v>3480361</v>
      </c>
    </row>
    <row r="6011" spans="1:6" x14ac:dyDescent="0.25">
      <c r="A6011" s="5">
        <v>3480361</v>
      </c>
      <c r="B6011" s="1">
        <v>2018</v>
      </c>
      <c r="C6011" s="1" t="s">
        <v>1387</v>
      </c>
      <c r="D6011" s="1" t="s">
        <v>1251</v>
      </c>
      <c r="E6011" s="8">
        <v>761421</v>
      </c>
      <c r="F6011" s="5">
        <v>3480361</v>
      </c>
    </row>
    <row r="6012" spans="1:6" x14ac:dyDescent="0.25">
      <c r="A6012" s="5">
        <v>3480361</v>
      </c>
      <c r="B6012" s="1">
        <v>2019</v>
      </c>
      <c r="C6012" s="1" t="s">
        <v>1387</v>
      </c>
      <c r="D6012" s="1" t="s">
        <v>1251</v>
      </c>
      <c r="E6012" s="8">
        <v>937790</v>
      </c>
      <c r="F6012" s="5">
        <v>3480361</v>
      </c>
    </row>
    <row r="6013" spans="1:6" ht="20" x14ac:dyDescent="0.25">
      <c r="A6013" s="5">
        <v>3480361</v>
      </c>
      <c r="B6013" s="1">
        <v>2020</v>
      </c>
      <c r="C6013" s="1" t="s">
        <v>1387</v>
      </c>
      <c r="D6013" s="2" t="s">
        <v>1251</v>
      </c>
      <c r="E6013" s="7">
        <v>1123408</v>
      </c>
      <c r="F6013" s="5">
        <v>3480361</v>
      </c>
    </row>
    <row r="6014" spans="1:6" ht="20" x14ac:dyDescent="0.25">
      <c r="A6014" s="5">
        <v>3480361</v>
      </c>
      <c r="B6014" s="1">
        <v>2021</v>
      </c>
      <c r="C6014" s="1" t="s">
        <v>1387</v>
      </c>
      <c r="D6014" s="3" t="s">
        <v>1251</v>
      </c>
      <c r="E6014" s="7">
        <v>1473410</v>
      </c>
      <c r="F6014" s="5">
        <v>3480361</v>
      </c>
    </row>
    <row r="6015" spans="1:6" ht="20" x14ac:dyDescent="0.25">
      <c r="A6015" s="5">
        <v>3480361</v>
      </c>
      <c r="B6015" s="1">
        <v>2022</v>
      </c>
      <c r="C6015" s="1" t="s">
        <v>1387</v>
      </c>
      <c r="D6015" s="2" t="s">
        <v>1251</v>
      </c>
      <c r="E6015" s="7">
        <v>2137722</v>
      </c>
      <c r="F6015" s="5">
        <v>3480361</v>
      </c>
    </row>
    <row r="6016" spans="1:6" ht="20" x14ac:dyDescent="0.25">
      <c r="A6016" s="5">
        <v>3480361</v>
      </c>
      <c r="B6016" s="1">
        <v>2023</v>
      </c>
      <c r="C6016" s="1" t="s">
        <v>1387</v>
      </c>
      <c r="D6016" s="2" t="s">
        <v>1251</v>
      </c>
      <c r="E6016" s="7">
        <v>2042030</v>
      </c>
      <c r="F6016" s="5">
        <v>3480361</v>
      </c>
    </row>
    <row r="6017" spans="1:6" x14ac:dyDescent="0.25">
      <c r="A6017" s="5">
        <v>3480362</v>
      </c>
      <c r="B6017" s="1">
        <v>2015</v>
      </c>
      <c r="C6017" s="1" t="s">
        <v>1387</v>
      </c>
      <c r="D6017" s="1" t="s">
        <v>656</v>
      </c>
      <c r="E6017" s="8">
        <v>47665</v>
      </c>
      <c r="F6017" s="5">
        <v>3480362</v>
      </c>
    </row>
    <row r="6018" spans="1:6" x14ac:dyDescent="0.25">
      <c r="A6018" s="5">
        <v>3480362</v>
      </c>
      <c r="B6018" s="1">
        <v>2016</v>
      </c>
      <c r="C6018" s="1" t="s">
        <v>1387</v>
      </c>
      <c r="D6018" s="1" t="s">
        <v>656</v>
      </c>
      <c r="E6018" s="8">
        <v>94138</v>
      </c>
      <c r="F6018" s="5">
        <v>3480362</v>
      </c>
    </row>
    <row r="6019" spans="1:6" x14ac:dyDescent="0.25">
      <c r="A6019" s="5">
        <v>3480362</v>
      </c>
      <c r="B6019" s="1">
        <v>2017</v>
      </c>
      <c r="C6019" s="1" t="s">
        <v>1387</v>
      </c>
      <c r="D6019" s="1" t="s">
        <v>656</v>
      </c>
      <c r="E6019" s="8">
        <v>143680</v>
      </c>
      <c r="F6019" s="5">
        <v>3480362</v>
      </c>
    </row>
    <row r="6020" spans="1:6" x14ac:dyDescent="0.25">
      <c r="A6020" s="5">
        <v>3480362</v>
      </c>
      <c r="B6020" s="1">
        <v>2018</v>
      </c>
      <c r="C6020" s="1" t="s">
        <v>1387</v>
      </c>
      <c r="D6020" s="1" t="s">
        <v>1349</v>
      </c>
      <c r="E6020" s="8">
        <v>193894</v>
      </c>
      <c r="F6020" s="5">
        <v>3480362</v>
      </c>
    </row>
    <row r="6021" spans="1:6" x14ac:dyDescent="0.25">
      <c r="A6021" s="5">
        <v>3480362</v>
      </c>
      <c r="B6021" s="1">
        <v>2019</v>
      </c>
      <c r="C6021" s="1" t="s">
        <v>1387</v>
      </c>
      <c r="D6021" s="1" t="s">
        <v>1349</v>
      </c>
      <c r="E6021" s="8">
        <v>206865</v>
      </c>
      <c r="F6021" s="5">
        <v>3480362</v>
      </c>
    </row>
    <row r="6022" spans="1:6" ht="20" x14ac:dyDescent="0.25">
      <c r="A6022" s="5">
        <v>3480362</v>
      </c>
      <c r="B6022" s="1">
        <v>2020</v>
      </c>
      <c r="C6022" s="1" t="s">
        <v>1387</v>
      </c>
      <c r="D6022" s="2" t="s">
        <v>1349</v>
      </c>
      <c r="E6022" s="7">
        <v>148801</v>
      </c>
      <c r="F6022" s="5">
        <v>3480362</v>
      </c>
    </row>
    <row r="6023" spans="1:6" ht="20" x14ac:dyDescent="0.25">
      <c r="A6023" s="5">
        <v>3480362</v>
      </c>
      <c r="B6023" s="1">
        <v>2021</v>
      </c>
      <c r="C6023" s="1" t="s">
        <v>1387</v>
      </c>
      <c r="D6023" s="3" t="s">
        <v>1349</v>
      </c>
      <c r="E6023" s="7">
        <v>38736</v>
      </c>
      <c r="F6023" s="5">
        <v>3480362</v>
      </c>
    </row>
    <row r="6024" spans="1:6" ht="20" x14ac:dyDescent="0.25">
      <c r="A6024" s="5">
        <v>3480362</v>
      </c>
      <c r="B6024" s="1">
        <v>2022</v>
      </c>
      <c r="C6024" s="1" t="s">
        <v>1387</v>
      </c>
      <c r="D6024" s="2" t="s">
        <v>1349</v>
      </c>
      <c r="E6024" s="7">
        <v>55420</v>
      </c>
      <c r="F6024" s="5">
        <v>3480362</v>
      </c>
    </row>
    <row r="6025" spans="1:6" x14ac:dyDescent="0.25">
      <c r="A6025" s="5">
        <v>3480363</v>
      </c>
      <c r="B6025" s="1">
        <v>2015</v>
      </c>
      <c r="C6025" s="1" t="s">
        <v>1387</v>
      </c>
      <c r="D6025" s="1" t="s">
        <v>282</v>
      </c>
      <c r="E6025" s="8">
        <v>701859</v>
      </c>
      <c r="F6025" s="5">
        <v>3480363</v>
      </c>
    </row>
    <row r="6026" spans="1:6" x14ac:dyDescent="0.25">
      <c r="A6026" s="5">
        <v>3480363</v>
      </c>
      <c r="B6026" s="1">
        <v>2016</v>
      </c>
      <c r="C6026" s="1" t="s">
        <v>1387</v>
      </c>
      <c r="D6026" s="1" t="s">
        <v>282</v>
      </c>
      <c r="E6026" s="8">
        <v>1078653</v>
      </c>
      <c r="F6026" s="5">
        <v>3480363</v>
      </c>
    </row>
    <row r="6027" spans="1:6" x14ac:dyDescent="0.25">
      <c r="A6027" s="5">
        <v>3480363</v>
      </c>
      <c r="B6027" s="1">
        <v>2017</v>
      </c>
      <c r="C6027" s="1" t="s">
        <v>1387</v>
      </c>
      <c r="D6027" s="1" t="s">
        <v>282</v>
      </c>
      <c r="E6027" s="8">
        <v>1533979</v>
      </c>
      <c r="F6027" s="5">
        <v>3480363</v>
      </c>
    </row>
    <row r="6028" spans="1:6" x14ac:dyDescent="0.25">
      <c r="A6028" s="5">
        <v>3480363</v>
      </c>
      <c r="B6028" s="1">
        <v>2018</v>
      </c>
      <c r="C6028" s="1" t="s">
        <v>1387</v>
      </c>
      <c r="D6028" s="1" t="s">
        <v>972</v>
      </c>
      <c r="E6028" s="8">
        <v>1973655</v>
      </c>
      <c r="F6028" s="5">
        <v>3480363</v>
      </c>
    </row>
    <row r="6029" spans="1:6" x14ac:dyDescent="0.25">
      <c r="A6029" s="5">
        <v>3480363</v>
      </c>
      <c r="B6029" s="1">
        <v>2019</v>
      </c>
      <c r="C6029" s="1" t="s">
        <v>1387</v>
      </c>
      <c r="D6029" s="1" t="s">
        <v>972</v>
      </c>
      <c r="E6029" s="8">
        <v>2744754</v>
      </c>
      <c r="F6029" s="5">
        <v>3480363</v>
      </c>
    </row>
    <row r="6030" spans="1:6" ht="20" x14ac:dyDescent="0.25">
      <c r="A6030" s="5">
        <v>3480363</v>
      </c>
      <c r="B6030" s="1">
        <v>2020</v>
      </c>
      <c r="C6030" s="1" t="s">
        <v>1387</v>
      </c>
      <c r="D6030" s="2" t="s">
        <v>972</v>
      </c>
      <c r="E6030" s="7">
        <v>2991531</v>
      </c>
      <c r="F6030" s="5">
        <v>3480363</v>
      </c>
    </row>
    <row r="6031" spans="1:6" ht="20" x14ac:dyDescent="0.25">
      <c r="A6031" s="5">
        <v>3480363</v>
      </c>
      <c r="B6031" s="1">
        <v>2021</v>
      </c>
      <c r="C6031" s="1" t="s">
        <v>1387</v>
      </c>
      <c r="D6031" s="3" t="s">
        <v>972</v>
      </c>
      <c r="E6031" s="7">
        <v>3842386</v>
      </c>
      <c r="F6031" s="5">
        <v>3480363</v>
      </c>
    </row>
    <row r="6032" spans="1:6" ht="20" x14ac:dyDescent="0.25">
      <c r="A6032" s="5">
        <v>3480363</v>
      </c>
      <c r="B6032" s="1">
        <v>2022</v>
      </c>
      <c r="C6032" s="1" t="s">
        <v>1387</v>
      </c>
      <c r="D6032" s="2" t="s">
        <v>972</v>
      </c>
      <c r="E6032" s="7">
        <v>5308712</v>
      </c>
      <c r="F6032" s="5">
        <v>3480363</v>
      </c>
    </row>
    <row r="6033" spans="1:6" ht="20" x14ac:dyDescent="0.25">
      <c r="A6033" s="5">
        <v>3480363</v>
      </c>
      <c r="B6033" s="1">
        <v>2023</v>
      </c>
      <c r="C6033" s="1" t="s">
        <v>1387</v>
      </c>
      <c r="D6033" s="2" t="s">
        <v>972</v>
      </c>
      <c r="E6033" s="7">
        <v>5213476</v>
      </c>
      <c r="F6033" s="5">
        <v>3480363</v>
      </c>
    </row>
    <row r="6034" spans="1:6" x14ac:dyDescent="0.25">
      <c r="A6034" s="5">
        <v>3480364</v>
      </c>
      <c r="B6034" s="1">
        <v>2015</v>
      </c>
      <c r="C6034" s="1" t="s">
        <v>1387</v>
      </c>
      <c r="D6034" s="1" t="s">
        <v>538</v>
      </c>
      <c r="E6034" s="8">
        <v>96915</v>
      </c>
      <c r="F6034" s="5">
        <v>3480364</v>
      </c>
    </row>
    <row r="6035" spans="1:6" x14ac:dyDescent="0.25">
      <c r="A6035" s="5">
        <v>3480364</v>
      </c>
      <c r="B6035" s="1">
        <v>2016</v>
      </c>
      <c r="C6035" s="1" t="s">
        <v>1387</v>
      </c>
      <c r="D6035" s="1" t="s">
        <v>538</v>
      </c>
      <c r="E6035" s="8">
        <v>142549</v>
      </c>
      <c r="F6035" s="5">
        <v>3480364</v>
      </c>
    </row>
    <row r="6036" spans="1:6" x14ac:dyDescent="0.25">
      <c r="A6036" s="5">
        <v>3480364</v>
      </c>
      <c r="B6036" s="1">
        <v>2017</v>
      </c>
      <c r="C6036" s="1" t="s">
        <v>1387</v>
      </c>
      <c r="D6036" s="1" t="s">
        <v>538</v>
      </c>
      <c r="E6036" s="8">
        <v>189828</v>
      </c>
      <c r="F6036" s="5">
        <v>3480364</v>
      </c>
    </row>
    <row r="6037" spans="1:6" x14ac:dyDescent="0.25">
      <c r="A6037" s="5">
        <v>3480364</v>
      </c>
      <c r="B6037" s="1">
        <v>2018</v>
      </c>
      <c r="C6037" s="1" t="s">
        <v>1387</v>
      </c>
      <c r="D6037" s="1" t="s">
        <v>1230</v>
      </c>
      <c r="E6037" s="8">
        <v>236077</v>
      </c>
      <c r="F6037" s="5">
        <v>3480364</v>
      </c>
    </row>
    <row r="6038" spans="1:6" x14ac:dyDescent="0.25">
      <c r="A6038" s="5">
        <v>3480364</v>
      </c>
      <c r="B6038" s="1">
        <v>2019</v>
      </c>
      <c r="C6038" s="1" t="s">
        <v>1387</v>
      </c>
      <c r="D6038" s="1" t="s">
        <v>1230</v>
      </c>
      <c r="E6038" s="8">
        <v>274089</v>
      </c>
      <c r="F6038" s="5">
        <v>3480364</v>
      </c>
    </row>
    <row r="6039" spans="1:6" ht="20" x14ac:dyDescent="0.25">
      <c r="A6039" s="5">
        <v>3480364</v>
      </c>
      <c r="B6039" s="1">
        <v>2020</v>
      </c>
      <c r="C6039" s="1" t="s">
        <v>1387</v>
      </c>
      <c r="D6039" s="2" t="s">
        <v>1230</v>
      </c>
      <c r="E6039" s="7">
        <v>335909</v>
      </c>
      <c r="F6039" s="5">
        <v>3480364</v>
      </c>
    </row>
    <row r="6040" spans="1:6" ht="20" x14ac:dyDescent="0.25">
      <c r="A6040" s="5">
        <v>3480364</v>
      </c>
      <c r="B6040" s="1">
        <v>2021</v>
      </c>
      <c r="C6040" s="1" t="s">
        <v>1387</v>
      </c>
      <c r="D6040" s="3" t="s">
        <v>1230</v>
      </c>
      <c r="E6040" s="7">
        <v>978435</v>
      </c>
      <c r="F6040" s="5">
        <v>3480364</v>
      </c>
    </row>
    <row r="6041" spans="1:6" ht="20" x14ac:dyDescent="0.25">
      <c r="A6041" s="5">
        <v>3480364</v>
      </c>
      <c r="B6041" s="1">
        <v>2022</v>
      </c>
      <c r="C6041" s="1" t="s">
        <v>1387</v>
      </c>
      <c r="D6041" s="2" t="s">
        <v>1230</v>
      </c>
      <c r="E6041" s="7">
        <v>1721424</v>
      </c>
      <c r="F6041" s="5">
        <v>3480364</v>
      </c>
    </row>
    <row r="6042" spans="1:6" ht="20" x14ac:dyDescent="0.25">
      <c r="A6042" s="5">
        <v>3480364</v>
      </c>
      <c r="B6042" s="1">
        <v>2023</v>
      </c>
      <c r="C6042" s="1" t="s">
        <v>1387</v>
      </c>
      <c r="D6042" s="2" t="s">
        <v>1230</v>
      </c>
      <c r="E6042" s="7">
        <v>1739592</v>
      </c>
      <c r="F6042" s="5">
        <v>3480364</v>
      </c>
    </row>
    <row r="6043" spans="1:6" x14ac:dyDescent="0.25">
      <c r="B6043"/>
      <c r="C6043"/>
      <c r="D6043"/>
      <c r="E6043"/>
    </row>
    <row r="6044" spans="1:6" x14ac:dyDescent="0.25">
      <c r="B6044"/>
      <c r="C6044" s="7">
        <v>2015</v>
      </c>
      <c r="D6044" s="12">
        <f>SUMIF(B2:B6042,C6044,E2:E6042)</f>
        <v>536107750</v>
      </c>
      <c r="E6044"/>
    </row>
    <row r="6045" spans="1:6" x14ac:dyDescent="0.25">
      <c r="B6045"/>
      <c r="C6045" s="7">
        <v>2016</v>
      </c>
      <c r="D6045" s="7"/>
      <c r="E6045"/>
    </row>
    <row r="6046" spans="1:6" x14ac:dyDescent="0.25">
      <c r="B6046"/>
      <c r="C6046" s="7">
        <v>2017</v>
      </c>
      <c r="D6046" s="7"/>
      <c r="E6046"/>
    </row>
    <row r="6047" spans="1:6" x14ac:dyDescent="0.25">
      <c r="B6047"/>
      <c r="C6047" s="7">
        <v>2018</v>
      </c>
      <c r="D6047" s="7"/>
      <c r="E6047"/>
    </row>
    <row r="6048" spans="1:6" x14ac:dyDescent="0.25">
      <c r="B6048"/>
      <c r="C6048" s="7">
        <v>2019</v>
      </c>
      <c r="D6048" s="7"/>
      <c r="E6048"/>
    </row>
    <row r="6049" spans="2:5" x14ac:dyDescent="0.25">
      <c r="B6049"/>
      <c r="C6049" s="7">
        <v>2020</v>
      </c>
      <c r="D6049" s="7"/>
      <c r="E6049"/>
    </row>
    <row r="6050" spans="2:5" x14ac:dyDescent="0.25">
      <c r="B6050"/>
      <c r="C6050" s="7">
        <v>2021</v>
      </c>
      <c r="D6050" s="7"/>
      <c r="E6050"/>
    </row>
    <row r="6051" spans="2:5" x14ac:dyDescent="0.25">
      <c r="B6051"/>
      <c r="C6051" s="7">
        <v>2022</v>
      </c>
      <c r="D6051" s="7"/>
      <c r="E6051"/>
    </row>
    <row r="6052" spans="2:5" x14ac:dyDescent="0.25">
      <c r="B6052"/>
      <c r="C6052" s="1"/>
      <c r="D6052"/>
      <c r="E6052"/>
    </row>
    <row r="6053" spans="2:5" x14ac:dyDescent="0.25">
      <c r="B6053"/>
      <c r="C6053"/>
      <c r="D6053"/>
      <c r="E6053"/>
    </row>
    <row r="6054" spans="2:5" x14ac:dyDescent="0.25">
      <c r="B6054"/>
      <c r="C6054"/>
      <c r="D6054"/>
      <c r="E6054"/>
    </row>
    <row r="6055" spans="2:5" x14ac:dyDescent="0.25">
      <c r="B6055"/>
      <c r="C6055"/>
      <c r="D6055"/>
      <c r="E6055"/>
    </row>
    <row r="6056" spans="2:5" x14ac:dyDescent="0.25">
      <c r="B6056"/>
      <c r="C6056"/>
      <c r="D6056"/>
      <c r="E6056"/>
    </row>
    <row r="6057" spans="2:5" x14ac:dyDescent="0.25">
      <c r="B6057"/>
      <c r="C6057"/>
      <c r="D6057"/>
      <c r="E6057"/>
    </row>
    <row r="6058" spans="2:5" x14ac:dyDescent="0.25">
      <c r="B6058"/>
      <c r="C6058"/>
      <c r="D6058"/>
      <c r="E6058"/>
    </row>
    <row r="6059" spans="2:5" x14ac:dyDescent="0.25">
      <c r="B6059"/>
      <c r="C6059"/>
      <c r="D6059"/>
      <c r="E6059"/>
    </row>
    <row r="6060" spans="2:5" x14ac:dyDescent="0.25">
      <c r="B6060"/>
      <c r="C6060"/>
      <c r="D6060"/>
      <c r="E6060"/>
    </row>
    <row r="6061" spans="2:5" x14ac:dyDescent="0.25">
      <c r="B6061"/>
      <c r="C6061"/>
      <c r="D6061"/>
      <c r="E6061"/>
    </row>
    <row r="6062" spans="2:5" x14ac:dyDescent="0.25">
      <c r="B6062"/>
      <c r="C6062"/>
      <c r="D6062"/>
      <c r="E6062"/>
    </row>
    <row r="6063" spans="2:5" x14ac:dyDescent="0.25">
      <c r="B6063"/>
      <c r="C6063"/>
      <c r="D6063"/>
      <c r="E6063"/>
    </row>
    <row r="6064" spans="2:5" x14ac:dyDescent="0.25">
      <c r="B6064"/>
      <c r="C6064"/>
      <c r="D6064"/>
      <c r="E6064"/>
    </row>
    <row r="6065" spans="2:5" x14ac:dyDescent="0.25">
      <c r="B6065"/>
      <c r="C6065"/>
      <c r="D6065"/>
      <c r="E6065"/>
    </row>
    <row r="6066" spans="2:5" x14ac:dyDescent="0.25">
      <c r="B6066"/>
      <c r="C6066"/>
      <c r="D6066"/>
      <c r="E6066"/>
    </row>
    <row r="6067" spans="2:5" x14ac:dyDescent="0.25">
      <c r="B6067"/>
      <c r="C6067"/>
      <c r="D6067"/>
      <c r="E6067"/>
    </row>
    <row r="6068" spans="2:5" x14ac:dyDescent="0.25">
      <c r="B6068"/>
      <c r="C6068"/>
      <c r="D6068"/>
      <c r="E6068"/>
    </row>
    <row r="6069" spans="2:5" x14ac:dyDescent="0.25">
      <c r="B6069"/>
      <c r="C6069"/>
      <c r="D6069"/>
      <c r="E6069"/>
    </row>
    <row r="6070" spans="2:5" x14ac:dyDescent="0.25">
      <c r="B6070"/>
      <c r="C6070"/>
      <c r="D6070"/>
      <c r="E6070"/>
    </row>
    <row r="6071" spans="2:5" x14ac:dyDescent="0.25">
      <c r="B6071"/>
      <c r="C6071"/>
      <c r="D6071"/>
      <c r="E6071"/>
    </row>
    <row r="6072" spans="2:5" x14ac:dyDescent="0.25">
      <c r="B6072"/>
      <c r="C6072"/>
      <c r="D6072"/>
      <c r="E6072"/>
    </row>
    <row r="6073" spans="2:5" x14ac:dyDescent="0.25">
      <c r="B6073"/>
      <c r="C6073"/>
      <c r="D6073"/>
      <c r="E6073"/>
    </row>
    <row r="6074" spans="2:5" x14ac:dyDescent="0.25">
      <c r="B6074"/>
      <c r="C6074"/>
      <c r="D6074"/>
      <c r="E6074"/>
    </row>
    <row r="6075" spans="2:5" x14ac:dyDescent="0.25">
      <c r="B6075"/>
      <c r="C6075"/>
      <c r="D6075"/>
      <c r="E6075"/>
    </row>
    <row r="6076" spans="2:5" x14ac:dyDescent="0.25">
      <c r="B6076"/>
      <c r="C6076"/>
      <c r="D6076"/>
      <c r="E6076"/>
    </row>
    <row r="6077" spans="2:5" x14ac:dyDescent="0.25">
      <c r="B6077"/>
      <c r="C6077"/>
      <c r="D6077"/>
      <c r="E6077"/>
    </row>
    <row r="6078" spans="2:5" x14ac:dyDescent="0.25">
      <c r="B6078"/>
      <c r="C6078"/>
      <c r="D6078"/>
      <c r="E6078"/>
    </row>
    <row r="6079" spans="2:5" x14ac:dyDescent="0.25">
      <c r="B6079"/>
      <c r="C6079"/>
      <c r="D6079"/>
      <c r="E6079"/>
    </row>
    <row r="6080" spans="2:5" x14ac:dyDescent="0.25">
      <c r="B6080"/>
      <c r="C6080"/>
      <c r="D6080"/>
      <c r="E6080"/>
    </row>
    <row r="6081" spans="2:5" x14ac:dyDescent="0.25">
      <c r="B6081"/>
      <c r="C6081"/>
      <c r="D6081"/>
      <c r="E6081"/>
    </row>
    <row r="6082" spans="2:5" x14ac:dyDescent="0.25">
      <c r="B6082"/>
      <c r="C6082"/>
      <c r="D6082"/>
      <c r="E6082"/>
    </row>
    <row r="6083" spans="2:5" x14ac:dyDescent="0.25">
      <c r="B6083"/>
      <c r="C6083"/>
      <c r="D6083"/>
      <c r="E6083"/>
    </row>
    <row r="6084" spans="2:5" x14ac:dyDescent="0.25">
      <c r="B6084"/>
      <c r="C6084"/>
      <c r="D6084"/>
      <c r="E6084"/>
    </row>
    <row r="6085" spans="2:5" x14ac:dyDescent="0.25">
      <c r="B6085"/>
      <c r="C6085"/>
      <c r="D6085"/>
      <c r="E6085"/>
    </row>
    <row r="6086" spans="2:5" x14ac:dyDescent="0.25">
      <c r="B6086"/>
      <c r="C6086"/>
      <c r="D6086"/>
      <c r="E6086"/>
    </row>
    <row r="6087" spans="2:5" x14ac:dyDescent="0.25">
      <c r="B6087"/>
      <c r="C6087"/>
      <c r="D6087"/>
      <c r="E6087"/>
    </row>
    <row r="6088" spans="2:5" x14ac:dyDescent="0.25">
      <c r="B6088"/>
      <c r="C6088"/>
      <c r="D6088"/>
      <c r="E6088"/>
    </row>
    <row r="6089" spans="2:5" x14ac:dyDescent="0.25">
      <c r="B6089"/>
      <c r="C6089"/>
      <c r="D6089"/>
      <c r="E6089"/>
    </row>
    <row r="6090" spans="2:5" x14ac:dyDescent="0.25">
      <c r="B6090"/>
      <c r="C6090"/>
      <c r="D6090"/>
      <c r="E6090"/>
    </row>
    <row r="6091" spans="2:5" x14ac:dyDescent="0.25">
      <c r="B6091"/>
      <c r="C6091"/>
      <c r="D6091"/>
      <c r="E6091"/>
    </row>
    <row r="6092" spans="2:5" x14ac:dyDescent="0.25">
      <c r="B6092"/>
      <c r="C6092"/>
      <c r="D6092"/>
      <c r="E6092"/>
    </row>
    <row r="6093" spans="2:5" x14ac:dyDescent="0.25">
      <c r="B6093"/>
      <c r="C6093"/>
      <c r="D6093"/>
      <c r="E6093"/>
    </row>
    <row r="6094" spans="2:5" x14ac:dyDescent="0.25">
      <c r="B6094"/>
      <c r="C6094"/>
      <c r="D6094"/>
      <c r="E6094"/>
    </row>
    <row r="6095" spans="2:5" x14ac:dyDescent="0.25">
      <c r="B6095"/>
      <c r="C6095"/>
      <c r="D6095"/>
      <c r="E6095"/>
    </row>
    <row r="6096" spans="2:5" x14ac:dyDescent="0.25">
      <c r="B6096"/>
      <c r="C6096"/>
      <c r="D6096"/>
      <c r="E6096"/>
    </row>
    <row r="6097" spans="1:6" x14ac:dyDescent="0.25">
      <c r="A6097" s="6"/>
      <c r="B6097"/>
      <c r="C6097"/>
      <c r="D6097"/>
      <c r="E6097"/>
      <c r="F6097" s="6"/>
    </row>
    <row r="6098" spans="1:6" x14ac:dyDescent="0.25">
      <c r="A6098" s="6"/>
      <c r="B6098"/>
      <c r="C6098"/>
      <c r="D6098"/>
      <c r="E6098"/>
      <c r="F6098" s="6"/>
    </row>
    <row r="6099" spans="1:6" x14ac:dyDescent="0.25">
      <c r="A6099" s="6"/>
      <c r="B6099"/>
      <c r="C6099"/>
      <c r="D6099"/>
      <c r="E6099"/>
      <c r="F6099" s="6"/>
    </row>
    <row r="6100" spans="1:6" x14ac:dyDescent="0.25">
      <c r="A6100" s="6"/>
      <c r="B6100"/>
      <c r="C6100"/>
      <c r="D6100"/>
      <c r="E6100"/>
      <c r="F6100" s="6"/>
    </row>
    <row r="6101" spans="1:6" x14ac:dyDescent="0.25">
      <c r="A6101" s="6"/>
      <c r="B6101"/>
      <c r="C6101"/>
      <c r="D6101"/>
      <c r="E6101"/>
      <c r="F6101" s="6"/>
    </row>
    <row r="6102" spans="1:6" x14ac:dyDescent="0.25">
      <c r="A6102" s="6"/>
      <c r="B6102"/>
      <c r="C6102"/>
      <c r="D6102"/>
      <c r="E6102"/>
      <c r="F6102" s="6"/>
    </row>
    <row r="6103" spans="1:6" x14ac:dyDescent="0.25">
      <c r="A6103" s="6"/>
      <c r="B6103"/>
      <c r="C6103"/>
      <c r="D6103"/>
      <c r="E6103"/>
      <c r="F6103" s="6"/>
    </row>
    <row r="6104" spans="1:6" x14ac:dyDescent="0.25">
      <c r="A6104" s="6"/>
      <c r="B6104"/>
      <c r="C6104"/>
      <c r="D6104"/>
      <c r="E6104"/>
      <c r="F6104" s="6"/>
    </row>
    <row r="6105" spans="1:6" x14ac:dyDescent="0.25">
      <c r="A6105" s="6"/>
      <c r="B6105"/>
      <c r="C6105"/>
      <c r="D6105"/>
      <c r="E6105"/>
      <c r="F6105" s="6"/>
    </row>
    <row r="6106" spans="1:6" x14ac:dyDescent="0.25">
      <c r="B6106"/>
      <c r="C6106"/>
      <c r="D6106"/>
      <c r="E6106"/>
    </row>
    <row r="6107" spans="1:6" x14ac:dyDescent="0.25">
      <c r="B6107"/>
      <c r="C6107"/>
      <c r="D6107"/>
      <c r="E6107"/>
    </row>
    <row r="6108" spans="1:6" x14ac:dyDescent="0.25">
      <c r="B6108"/>
      <c r="C6108"/>
      <c r="D6108"/>
      <c r="E6108"/>
    </row>
    <row r="6109" spans="1:6" x14ac:dyDescent="0.25">
      <c r="B6109"/>
      <c r="C6109"/>
      <c r="D6109"/>
      <c r="E6109"/>
    </row>
    <row r="6110" spans="1:6" x14ac:dyDescent="0.25">
      <c r="B6110"/>
      <c r="C6110"/>
      <c r="D6110"/>
      <c r="E6110"/>
    </row>
    <row r="6111" spans="1:6" x14ac:dyDescent="0.25">
      <c r="B6111"/>
      <c r="C6111"/>
      <c r="D6111"/>
      <c r="E6111"/>
    </row>
    <row r="6112" spans="1:6" x14ac:dyDescent="0.25">
      <c r="B6112"/>
      <c r="C6112"/>
      <c r="D6112"/>
      <c r="E6112"/>
    </row>
    <row r="6113" spans="2:5" x14ac:dyDescent="0.25">
      <c r="B6113"/>
      <c r="C6113"/>
      <c r="D6113"/>
      <c r="E6113"/>
    </row>
    <row r="6114" spans="2:5" x14ac:dyDescent="0.25">
      <c r="B6114"/>
      <c r="C6114"/>
      <c r="D6114"/>
      <c r="E6114"/>
    </row>
    <row r="6115" spans="2:5" x14ac:dyDescent="0.25">
      <c r="B6115"/>
      <c r="C6115"/>
      <c r="D6115"/>
      <c r="E6115"/>
    </row>
    <row r="6116" spans="2:5" x14ac:dyDescent="0.25">
      <c r="B6116"/>
      <c r="C6116"/>
      <c r="D6116"/>
      <c r="E6116"/>
    </row>
    <row r="6117" spans="2:5" x14ac:dyDescent="0.25">
      <c r="B6117"/>
      <c r="C6117"/>
      <c r="D6117"/>
      <c r="E6117"/>
    </row>
    <row r="6118" spans="2:5" x14ac:dyDescent="0.25">
      <c r="B6118"/>
      <c r="C6118"/>
      <c r="D6118"/>
      <c r="E6118"/>
    </row>
    <row r="6119" spans="2:5" x14ac:dyDescent="0.25">
      <c r="B6119"/>
      <c r="C6119"/>
      <c r="D6119"/>
      <c r="E6119"/>
    </row>
    <row r="6120" spans="2:5" x14ac:dyDescent="0.25">
      <c r="B6120"/>
      <c r="C6120"/>
      <c r="D6120"/>
      <c r="E6120"/>
    </row>
    <row r="6121" spans="2:5" x14ac:dyDescent="0.25">
      <c r="B6121"/>
      <c r="C6121"/>
      <c r="D6121"/>
      <c r="E6121"/>
    </row>
    <row r="6122" spans="2:5" x14ac:dyDescent="0.25">
      <c r="B6122"/>
      <c r="C6122"/>
      <c r="D6122"/>
      <c r="E6122"/>
    </row>
    <row r="6123" spans="2:5" x14ac:dyDescent="0.25">
      <c r="B6123"/>
      <c r="C6123"/>
      <c r="D6123"/>
      <c r="E6123"/>
    </row>
    <row r="6124" spans="2:5" x14ac:dyDescent="0.25">
      <c r="B6124"/>
      <c r="C6124"/>
      <c r="D6124"/>
      <c r="E6124"/>
    </row>
    <row r="6125" spans="2:5" x14ac:dyDescent="0.25">
      <c r="B6125"/>
      <c r="C6125"/>
      <c r="D6125"/>
      <c r="E6125"/>
    </row>
    <row r="6126" spans="2:5" x14ac:dyDescent="0.25">
      <c r="B6126"/>
      <c r="C6126"/>
      <c r="D6126"/>
      <c r="E6126"/>
    </row>
    <row r="6127" spans="2:5" x14ac:dyDescent="0.25">
      <c r="B6127"/>
      <c r="C6127"/>
      <c r="D6127"/>
      <c r="E6127"/>
    </row>
    <row r="6128" spans="2:5" x14ac:dyDescent="0.25">
      <c r="B6128"/>
      <c r="C6128"/>
      <c r="D6128"/>
      <c r="E6128"/>
    </row>
    <row r="6129" spans="2:5" x14ac:dyDescent="0.25">
      <c r="B6129"/>
      <c r="C6129"/>
      <c r="D6129"/>
      <c r="E6129"/>
    </row>
    <row r="6130" spans="2:5" x14ac:dyDescent="0.25">
      <c r="B6130"/>
      <c r="C6130"/>
      <c r="D6130"/>
      <c r="E6130"/>
    </row>
    <row r="6131" spans="2:5" x14ac:dyDescent="0.25">
      <c r="B6131"/>
      <c r="C6131"/>
      <c r="D6131"/>
      <c r="E6131"/>
    </row>
    <row r="6132" spans="2:5" x14ac:dyDescent="0.25">
      <c r="B6132"/>
      <c r="C6132"/>
      <c r="D6132"/>
      <c r="E6132"/>
    </row>
    <row r="6133" spans="2:5" x14ac:dyDescent="0.25">
      <c r="B6133"/>
      <c r="C6133"/>
      <c r="D6133"/>
      <c r="E6133"/>
    </row>
    <row r="6134" spans="2:5" x14ac:dyDescent="0.25">
      <c r="B6134"/>
      <c r="C6134"/>
      <c r="D6134"/>
      <c r="E6134"/>
    </row>
    <row r="6135" spans="2:5" x14ac:dyDescent="0.25">
      <c r="B6135"/>
      <c r="C6135"/>
      <c r="D6135"/>
      <c r="E6135"/>
    </row>
    <row r="6136" spans="2:5" x14ac:dyDescent="0.25">
      <c r="B6136"/>
      <c r="C6136"/>
      <c r="D6136"/>
      <c r="E6136"/>
    </row>
    <row r="6137" spans="2:5" x14ac:dyDescent="0.25">
      <c r="B6137"/>
      <c r="C6137"/>
      <c r="D6137"/>
      <c r="E6137"/>
    </row>
    <row r="6138" spans="2:5" x14ac:dyDescent="0.25">
      <c r="B6138"/>
      <c r="C6138"/>
      <c r="D6138"/>
      <c r="E6138"/>
    </row>
    <row r="6139" spans="2:5" x14ac:dyDescent="0.25">
      <c r="B6139"/>
      <c r="C6139"/>
      <c r="D6139"/>
      <c r="E6139"/>
    </row>
    <row r="6140" spans="2:5" x14ac:dyDescent="0.25">
      <c r="B6140"/>
      <c r="C6140"/>
      <c r="D6140"/>
      <c r="E6140"/>
    </row>
    <row r="6141" spans="2:5" x14ac:dyDescent="0.25">
      <c r="B6141"/>
      <c r="C6141"/>
      <c r="D6141"/>
      <c r="E6141"/>
    </row>
    <row r="6142" spans="2:5" x14ac:dyDescent="0.25">
      <c r="B6142"/>
      <c r="C6142"/>
      <c r="D6142"/>
      <c r="E6142"/>
    </row>
    <row r="6143" spans="2:5" x14ac:dyDescent="0.25">
      <c r="B6143"/>
      <c r="C6143"/>
      <c r="D6143"/>
      <c r="E6143"/>
    </row>
    <row r="6144" spans="2:5" x14ac:dyDescent="0.25">
      <c r="B6144"/>
      <c r="C6144"/>
      <c r="D6144"/>
      <c r="E6144"/>
    </row>
    <row r="6145" spans="2:5" x14ac:dyDescent="0.25">
      <c r="B6145"/>
      <c r="C6145"/>
      <c r="D6145"/>
      <c r="E6145"/>
    </row>
    <row r="6146" spans="2:5" x14ac:dyDescent="0.25">
      <c r="B6146"/>
      <c r="C6146"/>
      <c r="D6146"/>
      <c r="E6146"/>
    </row>
    <row r="6147" spans="2:5" x14ac:dyDescent="0.25">
      <c r="B6147"/>
      <c r="C6147"/>
      <c r="D6147"/>
      <c r="E6147"/>
    </row>
    <row r="6148" spans="2:5" x14ac:dyDescent="0.25">
      <c r="B6148"/>
      <c r="C6148"/>
      <c r="D6148"/>
      <c r="E6148"/>
    </row>
    <row r="6149" spans="2:5" x14ac:dyDescent="0.25">
      <c r="B6149"/>
      <c r="C6149"/>
      <c r="D6149"/>
      <c r="E6149"/>
    </row>
    <row r="6150" spans="2:5" x14ac:dyDescent="0.25">
      <c r="B6150"/>
      <c r="C6150"/>
      <c r="D6150"/>
      <c r="E6150"/>
    </row>
    <row r="6151" spans="2:5" x14ac:dyDescent="0.25">
      <c r="B6151"/>
      <c r="C6151"/>
      <c r="D6151"/>
      <c r="E6151"/>
    </row>
    <row r="6152" spans="2:5" x14ac:dyDescent="0.25">
      <c r="B6152"/>
      <c r="C6152"/>
      <c r="D6152"/>
      <c r="E6152"/>
    </row>
    <row r="6153" spans="2:5" x14ac:dyDescent="0.25">
      <c r="B6153"/>
      <c r="C6153"/>
      <c r="D6153"/>
      <c r="E6153"/>
    </row>
    <row r="6154" spans="2:5" x14ac:dyDescent="0.25">
      <c r="B6154"/>
      <c r="C6154"/>
      <c r="D6154"/>
      <c r="E6154"/>
    </row>
    <row r="6155" spans="2:5" x14ac:dyDescent="0.25">
      <c r="B6155"/>
      <c r="C6155"/>
      <c r="D6155"/>
      <c r="E6155"/>
    </row>
    <row r="6156" spans="2:5" x14ac:dyDescent="0.25">
      <c r="B6156"/>
      <c r="C6156"/>
      <c r="D6156"/>
      <c r="E6156"/>
    </row>
    <row r="6157" spans="2:5" x14ac:dyDescent="0.25">
      <c r="B6157"/>
      <c r="C6157"/>
      <c r="D6157"/>
      <c r="E6157"/>
    </row>
    <row r="6158" spans="2:5" x14ac:dyDescent="0.25">
      <c r="B6158"/>
      <c r="C6158"/>
      <c r="D6158"/>
      <c r="E6158"/>
    </row>
    <row r="6159" spans="2:5" x14ac:dyDescent="0.25">
      <c r="B6159"/>
      <c r="C6159"/>
      <c r="D6159"/>
      <c r="E6159"/>
    </row>
    <row r="6160" spans="2:5" x14ac:dyDescent="0.25">
      <c r="B6160"/>
      <c r="C6160"/>
      <c r="D6160"/>
      <c r="E6160"/>
    </row>
    <row r="6161" spans="2:5" x14ac:dyDescent="0.25">
      <c r="B6161"/>
      <c r="C6161"/>
      <c r="D6161"/>
      <c r="E6161"/>
    </row>
    <row r="6162" spans="2:5" x14ac:dyDescent="0.25">
      <c r="B6162"/>
      <c r="C6162"/>
      <c r="D6162"/>
      <c r="E6162"/>
    </row>
    <row r="6163" spans="2:5" x14ac:dyDescent="0.25">
      <c r="B6163"/>
      <c r="C6163"/>
      <c r="D6163"/>
      <c r="E6163"/>
    </row>
    <row r="6164" spans="2:5" x14ac:dyDescent="0.25">
      <c r="B6164"/>
      <c r="C6164"/>
      <c r="D6164"/>
      <c r="E6164"/>
    </row>
    <row r="6165" spans="2:5" x14ac:dyDescent="0.25">
      <c r="B6165"/>
      <c r="C6165"/>
      <c r="D6165"/>
      <c r="E6165"/>
    </row>
    <row r="6166" spans="2:5" x14ac:dyDescent="0.25">
      <c r="B6166"/>
      <c r="C6166"/>
      <c r="D6166"/>
      <c r="E6166"/>
    </row>
    <row r="6167" spans="2:5" x14ac:dyDescent="0.25">
      <c r="B6167"/>
      <c r="C6167"/>
      <c r="D6167"/>
      <c r="E6167"/>
    </row>
    <row r="6168" spans="2:5" x14ac:dyDescent="0.25">
      <c r="B6168"/>
      <c r="C6168"/>
      <c r="D6168"/>
      <c r="E6168"/>
    </row>
    <row r="6169" spans="2:5" x14ac:dyDescent="0.25">
      <c r="B6169"/>
      <c r="C6169"/>
      <c r="D6169"/>
      <c r="E6169"/>
    </row>
    <row r="6170" spans="2:5" x14ac:dyDescent="0.25">
      <c r="B6170"/>
      <c r="C6170"/>
      <c r="D6170"/>
      <c r="E6170"/>
    </row>
    <row r="6171" spans="2:5" x14ac:dyDescent="0.25">
      <c r="B6171"/>
      <c r="C6171"/>
      <c r="D6171"/>
      <c r="E6171"/>
    </row>
    <row r="6172" spans="2:5" x14ac:dyDescent="0.25">
      <c r="B6172"/>
      <c r="C6172"/>
      <c r="D6172"/>
      <c r="E6172"/>
    </row>
    <row r="6173" spans="2:5" x14ac:dyDescent="0.25">
      <c r="B6173"/>
      <c r="C6173"/>
      <c r="D6173"/>
      <c r="E6173"/>
    </row>
    <row r="6174" spans="2:5" x14ac:dyDescent="0.25">
      <c r="B6174"/>
      <c r="C6174"/>
      <c r="D6174"/>
      <c r="E6174"/>
    </row>
    <row r="6175" spans="2:5" x14ac:dyDescent="0.25">
      <c r="B6175"/>
      <c r="C6175"/>
      <c r="D6175"/>
      <c r="E6175"/>
    </row>
    <row r="6176" spans="2:5" x14ac:dyDescent="0.25">
      <c r="B6176"/>
      <c r="C6176"/>
      <c r="D6176"/>
      <c r="E6176"/>
    </row>
    <row r="6177" spans="2:5" x14ac:dyDescent="0.25">
      <c r="B6177"/>
      <c r="C6177"/>
      <c r="D6177"/>
      <c r="E6177"/>
    </row>
    <row r="6178" spans="2:5" x14ac:dyDescent="0.25">
      <c r="B6178"/>
      <c r="C6178"/>
      <c r="D6178"/>
      <c r="E6178"/>
    </row>
    <row r="6179" spans="2:5" x14ac:dyDescent="0.25">
      <c r="B6179"/>
      <c r="C6179"/>
      <c r="D6179"/>
      <c r="E6179"/>
    </row>
    <row r="6180" spans="2:5" x14ac:dyDescent="0.25">
      <c r="B6180"/>
      <c r="C6180"/>
      <c r="D6180"/>
      <c r="E6180"/>
    </row>
    <row r="6181" spans="2:5" x14ac:dyDescent="0.25">
      <c r="B6181"/>
      <c r="C6181"/>
      <c r="D6181"/>
      <c r="E6181"/>
    </row>
    <row r="6182" spans="2:5" x14ac:dyDescent="0.25">
      <c r="B6182"/>
      <c r="C6182"/>
      <c r="D6182"/>
      <c r="E6182"/>
    </row>
    <row r="6183" spans="2:5" x14ac:dyDescent="0.25">
      <c r="B6183"/>
      <c r="C6183"/>
      <c r="D6183"/>
      <c r="E6183"/>
    </row>
    <row r="6184" spans="2:5" x14ac:dyDescent="0.25">
      <c r="B6184"/>
      <c r="C6184"/>
      <c r="D6184"/>
      <c r="E6184"/>
    </row>
    <row r="6185" spans="2:5" x14ac:dyDescent="0.25">
      <c r="B6185"/>
      <c r="C6185"/>
      <c r="D6185"/>
      <c r="E6185"/>
    </row>
    <row r="6186" spans="2:5" x14ac:dyDescent="0.25">
      <c r="B6186"/>
      <c r="C6186"/>
      <c r="D6186"/>
      <c r="E6186"/>
    </row>
    <row r="6187" spans="2:5" x14ac:dyDescent="0.25">
      <c r="B6187"/>
      <c r="C6187"/>
      <c r="D6187"/>
      <c r="E6187"/>
    </row>
    <row r="6188" spans="2:5" x14ac:dyDescent="0.25">
      <c r="B6188"/>
      <c r="C6188"/>
      <c r="D6188"/>
      <c r="E6188"/>
    </row>
    <row r="6189" spans="2:5" x14ac:dyDescent="0.25">
      <c r="B6189"/>
      <c r="C6189"/>
      <c r="D6189"/>
      <c r="E6189"/>
    </row>
    <row r="6190" spans="2:5" x14ac:dyDescent="0.25">
      <c r="B6190"/>
      <c r="C6190"/>
      <c r="D6190"/>
      <c r="E6190"/>
    </row>
    <row r="6191" spans="2:5" x14ac:dyDescent="0.25">
      <c r="B6191"/>
      <c r="C6191"/>
      <c r="D6191"/>
      <c r="E6191"/>
    </row>
    <row r="6192" spans="2:5" x14ac:dyDescent="0.25">
      <c r="B6192"/>
      <c r="C6192"/>
      <c r="D6192"/>
      <c r="E6192"/>
    </row>
    <row r="6193" spans="2:5" x14ac:dyDescent="0.25">
      <c r="B6193"/>
      <c r="C6193"/>
      <c r="D6193"/>
      <c r="E6193"/>
    </row>
    <row r="6194" spans="2:5" x14ac:dyDescent="0.25">
      <c r="B6194"/>
      <c r="C6194"/>
      <c r="D6194"/>
      <c r="E6194"/>
    </row>
    <row r="6195" spans="2:5" x14ac:dyDescent="0.25">
      <c r="B6195"/>
      <c r="C6195"/>
      <c r="D6195"/>
      <c r="E6195"/>
    </row>
    <row r="6196" spans="2:5" x14ac:dyDescent="0.25">
      <c r="B6196"/>
      <c r="C6196"/>
      <c r="D6196"/>
      <c r="E6196"/>
    </row>
    <row r="6197" spans="2:5" x14ac:dyDescent="0.25">
      <c r="B6197"/>
      <c r="C6197"/>
      <c r="D6197"/>
      <c r="E6197"/>
    </row>
    <row r="6198" spans="2:5" x14ac:dyDescent="0.25">
      <c r="B6198"/>
      <c r="C6198"/>
      <c r="D6198"/>
      <c r="E6198"/>
    </row>
    <row r="6199" spans="2:5" x14ac:dyDescent="0.25">
      <c r="B6199"/>
      <c r="C6199"/>
      <c r="D6199"/>
      <c r="E6199"/>
    </row>
    <row r="6200" spans="2:5" x14ac:dyDescent="0.25">
      <c r="B6200"/>
      <c r="C6200"/>
      <c r="D6200"/>
      <c r="E6200"/>
    </row>
    <row r="6201" spans="2:5" x14ac:dyDescent="0.25">
      <c r="B6201"/>
      <c r="C6201"/>
      <c r="D6201"/>
      <c r="E6201"/>
    </row>
    <row r="6202" spans="2:5" x14ac:dyDescent="0.25">
      <c r="B6202"/>
      <c r="C6202"/>
      <c r="D6202"/>
      <c r="E6202"/>
    </row>
    <row r="6203" spans="2:5" x14ac:dyDescent="0.25">
      <c r="B6203"/>
      <c r="C6203"/>
      <c r="D6203"/>
      <c r="E6203"/>
    </row>
    <row r="6204" spans="2:5" x14ac:dyDescent="0.25">
      <c r="B6204"/>
      <c r="C6204"/>
      <c r="D6204"/>
      <c r="E6204"/>
    </row>
    <row r="6205" spans="2:5" x14ac:dyDescent="0.25">
      <c r="B6205"/>
      <c r="C6205"/>
      <c r="D6205"/>
      <c r="E6205"/>
    </row>
    <row r="6206" spans="2:5" x14ac:dyDescent="0.25">
      <c r="B6206"/>
      <c r="C6206"/>
      <c r="D6206"/>
      <c r="E6206"/>
    </row>
    <row r="6207" spans="2:5" x14ac:dyDescent="0.25">
      <c r="B6207"/>
      <c r="C6207"/>
      <c r="D6207"/>
      <c r="E6207"/>
    </row>
    <row r="6208" spans="2:5" x14ac:dyDescent="0.25">
      <c r="B6208"/>
      <c r="C6208"/>
      <c r="D6208"/>
      <c r="E6208"/>
    </row>
    <row r="6209" spans="2:5" x14ac:dyDescent="0.25">
      <c r="B6209"/>
      <c r="C6209"/>
      <c r="D6209"/>
      <c r="E6209"/>
    </row>
    <row r="6210" spans="2:5" x14ac:dyDescent="0.25">
      <c r="B6210"/>
      <c r="C6210"/>
      <c r="D6210"/>
      <c r="E6210"/>
    </row>
    <row r="6211" spans="2:5" x14ac:dyDescent="0.25">
      <c r="B6211"/>
      <c r="C6211"/>
      <c r="D6211"/>
      <c r="E6211"/>
    </row>
    <row r="6212" spans="2:5" x14ac:dyDescent="0.25">
      <c r="B6212"/>
      <c r="C6212"/>
      <c r="D6212"/>
      <c r="E6212"/>
    </row>
    <row r="6213" spans="2:5" x14ac:dyDescent="0.25">
      <c r="B6213"/>
      <c r="C6213"/>
      <c r="D6213"/>
      <c r="E6213"/>
    </row>
    <row r="6214" spans="2:5" x14ac:dyDescent="0.25">
      <c r="B6214"/>
      <c r="C6214"/>
      <c r="D6214"/>
      <c r="E6214"/>
    </row>
    <row r="6215" spans="2:5" x14ac:dyDescent="0.25">
      <c r="B6215"/>
      <c r="C6215"/>
      <c r="D6215"/>
      <c r="E6215"/>
    </row>
    <row r="6216" spans="2:5" x14ac:dyDescent="0.25">
      <c r="B6216"/>
      <c r="C6216"/>
      <c r="D6216"/>
      <c r="E6216"/>
    </row>
    <row r="6217" spans="2:5" x14ac:dyDescent="0.25">
      <c r="B6217"/>
      <c r="C6217"/>
      <c r="D6217"/>
      <c r="E6217"/>
    </row>
    <row r="6218" spans="2:5" x14ac:dyDescent="0.25">
      <c r="B6218"/>
      <c r="C6218"/>
      <c r="D6218"/>
      <c r="E6218"/>
    </row>
    <row r="6219" spans="2:5" x14ac:dyDescent="0.25">
      <c r="B6219"/>
      <c r="C6219"/>
      <c r="D6219"/>
      <c r="E6219"/>
    </row>
    <row r="6220" spans="2:5" x14ac:dyDescent="0.25">
      <c r="B6220"/>
      <c r="C6220"/>
      <c r="D6220"/>
      <c r="E6220"/>
    </row>
    <row r="6221" spans="2:5" x14ac:dyDescent="0.25">
      <c r="B6221"/>
      <c r="C6221"/>
      <c r="D6221"/>
      <c r="E6221"/>
    </row>
    <row r="6222" spans="2:5" x14ac:dyDescent="0.25">
      <c r="B6222"/>
      <c r="C6222"/>
      <c r="D6222"/>
      <c r="E6222"/>
    </row>
    <row r="6223" spans="2:5" x14ac:dyDescent="0.25">
      <c r="B6223"/>
      <c r="C6223"/>
      <c r="D6223"/>
      <c r="E6223"/>
    </row>
    <row r="6224" spans="2:5" x14ac:dyDescent="0.25">
      <c r="B6224"/>
      <c r="C6224"/>
      <c r="D6224"/>
      <c r="E6224"/>
    </row>
    <row r="6225" spans="2:5" x14ac:dyDescent="0.25">
      <c r="B6225"/>
      <c r="C6225"/>
      <c r="D6225"/>
      <c r="E6225"/>
    </row>
    <row r="6226" spans="2:5" x14ac:dyDescent="0.25">
      <c r="B6226"/>
      <c r="C6226"/>
      <c r="D6226"/>
      <c r="E6226"/>
    </row>
    <row r="6227" spans="2:5" x14ac:dyDescent="0.25">
      <c r="B6227"/>
      <c r="C6227"/>
      <c r="D6227"/>
      <c r="E6227"/>
    </row>
    <row r="6228" spans="2:5" x14ac:dyDescent="0.25">
      <c r="B6228"/>
      <c r="C6228"/>
      <c r="D6228"/>
      <c r="E6228"/>
    </row>
    <row r="6229" spans="2:5" x14ac:dyDescent="0.25">
      <c r="B6229"/>
      <c r="C6229"/>
      <c r="D6229"/>
      <c r="E6229"/>
    </row>
    <row r="6230" spans="2:5" x14ac:dyDescent="0.25">
      <c r="B6230"/>
      <c r="C6230"/>
      <c r="D6230"/>
      <c r="E6230"/>
    </row>
    <row r="6231" spans="2:5" x14ac:dyDescent="0.25">
      <c r="B6231"/>
      <c r="C6231"/>
      <c r="D6231"/>
      <c r="E6231"/>
    </row>
    <row r="6232" spans="2:5" x14ac:dyDescent="0.25">
      <c r="B6232"/>
      <c r="C6232"/>
      <c r="D6232"/>
      <c r="E6232"/>
    </row>
    <row r="6233" spans="2:5" x14ac:dyDescent="0.25">
      <c r="B6233"/>
      <c r="C6233"/>
      <c r="D6233"/>
      <c r="E6233"/>
    </row>
    <row r="6234" spans="2:5" x14ac:dyDescent="0.25">
      <c r="B6234"/>
      <c r="C6234"/>
      <c r="D6234"/>
      <c r="E6234"/>
    </row>
    <row r="6235" spans="2:5" x14ac:dyDescent="0.25">
      <c r="B6235"/>
      <c r="C6235"/>
      <c r="D6235"/>
      <c r="E6235"/>
    </row>
    <row r="6236" spans="2:5" x14ac:dyDescent="0.25">
      <c r="B6236"/>
      <c r="C6236"/>
      <c r="D6236"/>
      <c r="E6236"/>
    </row>
    <row r="6237" spans="2:5" x14ac:dyDescent="0.25">
      <c r="B6237"/>
      <c r="C6237"/>
      <c r="D6237"/>
      <c r="E6237"/>
    </row>
    <row r="6238" spans="2:5" x14ac:dyDescent="0.25">
      <c r="B6238"/>
      <c r="C6238"/>
      <c r="D6238"/>
      <c r="E6238"/>
    </row>
    <row r="6239" spans="2:5" x14ac:dyDescent="0.25">
      <c r="B6239"/>
      <c r="C6239"/>
      <c r="D6239"/>
      <c r="E6239"/>
    </row>
    <row r="6240" spans="2:5" x14ac:dyDescent="0.25">
      <c r="B6240"/>
      <c r="C6240"/>
      <c r="D6240"/>
      <c r="E6240"/>
    </row>
    <row r="6241" spans="2:5" x14ac:dyDescent="0.25">
      <c r="B6241"/>
      <c r="C6241"/>
      <c r="D6241"/>
      <c r="E6241"/>
    </row>
    <row r="6242" spans="2:5" x14ac:dyDescent="0.25">
      <c r="B6242"/>
      <c r="C6242"/>
      <c r="D6242"/>
      <c r="E6242"/>
    </row>
    <row r="6243" spans="2:5" x14ac:dyDescent="0.25">
      <c r="B6243"/>
      <c r="C6243"/>
      <c r="D6243"/>
      <c r="E6243"/>
    </row>
    <row r="6244" spans="2:5" x14ac:dyDescent="0.25">
      <c r="B6244"/>
      <c r="C6244"/>
      <c r="D6244"/>
      <c r="E6244"/>
    </row>
    <row r="6245" spans="2:5" x14ac:dyDescent="0.25">
      <c r="B6245"/>
      <c r="C6245"/>
      <c r="D6245"/>
      <c r="E6245"/>
    </row>
    <row r="6246" spans="2:5" x14ac:dyDescent="0.25">
      <c r="B6246"/>
      <c r="C6246"/>
      <c r="D6246"/>
      <c r="E6246"/>
    </row>
    <row r="6247" spans="2:5" x14ac:dyDescent="0.25">
      <c r="B6247"/>
      <c r="C6247"/>
      <c r="D6247"/>
      <c r="E6247"/>
    </row>
    <row r="6248" spans="2:5" x14ac:dyDescent="0.25">
      <c r="B6248"/>
      <c r="C6248"/>
      <c r="D6248"/>
      <c r="E6248"/>
    </row>
    <row r="6249" spans="2:5" x14ac:dyDescent="0.25">
      <c r="B6249"/>
      <c r="C6249"/>
      <c r="D6249"/>
      <c r="E6249"/>
    </row>
    <row r="6250" spans="2:5" x14ac:dyDescent="0.25">
      <c r="B6250"/>
      <c r="C6250"/>
      <c r="D6250"/>
      <c r="E6250"/>
    </row>
    <row r="6251" spans="2:5" x14ac:dyDescent="0.25">
      <c r="B6251"/>
      <c r="C6251"/>
      <c r="D6251"/>
      <c r="E6251"/>
    </row>
    <row r="6252" spans="2:5" x14ac:dyDescent="0.25">
      <c r="B6252"/>
      <c r="C6252"/>
      <c r="D6252"/>
      <c r="E6252"/>
    </row>
    <row r="6253" spans="2:5" x14ac:dyDescent="0.25">
      <c r="B6253"/>
      <c r="C6253"/>
      <c r="D6253"/>
      <c r="E6253"/>
    </row>
    <row r="6254" spans="2:5" x14ac:dyDescent="0.25">
      <c r="B6254"/>
      <c r="C6254"/>
      <c r="D6254"/>
      <c r="E6254"/>
    </row>
    <row r="6255" spans="2:5" x14ac:dyDescent="0.25">
      <c r="B6255"/>
      <c r="C6255"/>
      <c r="D6255"/>
      <c r="E6255"/>
    </row>
    <row r="6256" spans="2:5" x14ac:dyDescent="0.25">
      <c r="B6256"/>
      <c r="C6256"/>
      <c r="D6256"/>
      <c r="E6256"/>
    </row>
    <row r="6257" spans="2:5" x14ac:dyDescent="0.25">
      <c r="B6257"/>
      <c r="C6257"/>
      <c r="D6257"/>
      <c r="E6257"/>
    </row>
    <row r="6258" spans="2:5" x14ac:dyDescent="0.25">
      <c r="B6258"/>
      <c r="C6258"/>
      <c r="D6258"/>
      <c r="E6258"/>
    </row>
    <row r="6259" spans="2:5" x14ac:dyDescent="0.25">
      <c r="B6259"/>
      <c r="C6259"/>
      <c r="D6259"/>
      <c r="E6259"/>
    </row>
    <row r="6260" spans="2:5" x14ac:dyDescent="0.25">
      <c r="B6260"/>
      <c r="C6260"/>
      <c r="D6260"/>
      <c r="E6260"/>
    </row>
    <row r="6261" spans="2:5" x14ac:dyDescent="0.25">
      <c r="B6261"/>
      <c r="C6261"/>
      <c r="D6261"/>
      <c r="E6261"/>
    </row>
    <row r="6262" spans="2:5" x14ac:dyDescent="0.25">
      <c r="B6262"/>
      <c r="C6262"/>
      <c r="D6262"/>
      <c r="E6262"/>
    </row>
    <row r="6263" spans="2:5" x14ac:dyDescent="0.25">
      <c r="B6263"/>
      <c r="C6263"/>
      <c r="D6263"/>
      <c r="E6263"/>
    </row>
    <row r="6264" spans="2:5" x14ac:dyDescent="0.25">
      <c r="B6264"/>
      <c r="C6264"/>
      <c r="D6264"/>
      <c r="E6264"/>
    </row>
    <row r="6265" spans="2:5" x14ac:dyDescent="0.25">
      <c r="B6265"/>
      <c r="C6265"/>
      <c r="D6265"/>
      <c r="E6265"/>
    </row>
    <row r="6266" spans="2:5" x14ac:dyDescent="0.25">
      <c r="B6266"/>
      <c r="C6266"/>
      <c r="D6266"/>
      <c r="E6266"/>
    </row>
    <row r="6267" spans="2:5" x14ac:dyDescent="0.25">
      <c r="B6267"/>
      <c r="C6267"/>
      <c r="D6267"/>
      <c r="E6267"/>
    </row>
    <row r="6268" spans="2:5" x14ac:dyDescent="0.25">
      <c r="B6268"/>
      <c r="C6268"/>
      <c r="D6268"/>
      <c r="E6268"/>
    </row>
    <row r="6269" spans="2:5" x14ac:dyDescent="0.25">
      <c r="B6269"/>
      <c r="C6269"/>
      <c r="D6269"/>
      <c r="E6269"/>
    </row>
    <row r="6270" spans="2:5" x14ac:dyDescent="0.25">
      <c r="B6270"/>
      <c r="C6270"/>
      <c r="D6270"/>
      <c r="E6270"/>
    </row>
    <row r="6271" spans="2:5" x14ac:dyDescent="0.25">
      <c r="B6271"/>
      <c r="C6271"/>
      <c r="D6271"/>
      <c r="E6271"/>
    </row>
    <row r="6272" spans="2:5" x14ac:dyDescent="0.25">
      <c r="B6272"/>
      <c r="C6272"/>
      <c r="D6272"/>
      <c r="E6272"/>
    </row>
    <row r="6273" spans="2:5" x14ac:dyDescent="0.25">
      <c r="B6273"/>
      <c r="C6273"/>
      <c r="D6273"/>
      <c r="E6273"/>
    </row>
    <row r="6274" spans="2:5" x14ac:dyDescent="0.25">
      <c r="B6274"/>
      <c r="C6274"/>
      <c r="D6274"/>
      <c r="E6274"/>
    </row>
    <row r="6275" spans="2:5" x14ac:dyDescent="0.25">
      <c r="B6275"/>
      <c r="C6275"/>
      <c r="D6275"/>
      <c r="E6275"/>
    </row>
    <row r="6276" spans="2:5" x14ac:dyDescent="0.25">
      <c r="B6276"/>
      <c r="C6276"/>
      <c r="D6276"/>
      <c r="E6276"/>
    </row>
    <row r="6277" spans="2:5" x14ac:dyDescent="0.25">
      <c r="B6277"/>
      <c r="C6277"/>
      <c r="D6277"/>
      <c r="E6277"/>
    </row>
    <row r="6278" spans="2:5" x14ac:dyDescent="0.25">
      <c r="B6278"/>
      <c r="C6278"/>
      <c r="D6278"/>
      <c r="E6278"/>
    </row>
    <row r="6279" spans="2:5" x14ac:dyDescent="0.25">
      <c r="B6279"/>
      <c r="C6279"/>
      <c r="D6279"/>
      <c r="E6279"/>
    </row>
    <row r="6280" spans="2:5" x14ac:dyDescent="0.25">
      <c r="B6280"/>
      <c r="C6280"/>
      <c r="D6280"/>
      <c r="E6280"/>
    </row>
    <row r="6281" spans="2:5" x14ac:dyDescent="0.25">
      <c r="B6281"/>
      <c r="C6281"/>
      <c r="D6281"/>
      <c r="E6281"/>
    </row>
    <row r="6282" spans="2:5" x14ac:dyDescent="0.25">
      <c r="B6282"/>
      <c r="C6282"/>
      <c r="D6282"/>
      <c r="E6282"/>
    </row>
    <row r="6283" spans="2:5" x14ac:dyDescent="0.25">
      <c r="B6283"/>
      <c r="C6283"/>
      <c r="D6283"/>
      <c r="E6283"/>
    </row>
    <row r="6284" spans="2:5" x14ac:dyDescent="0.25">
      <c r="B6284"/>
      <c r="C6284"/>
      <c r="D6284"/>
      <c r="E6284"/>
    </row>
    <row r="6285" spans="2:5" x14ac:dyDescent="0.25">
      <c r="B6285"/>
      <c r="C6285"/>
      <c r="D6285"/>
      <c r="E6285"/>
    </row>
    <row r="6286" spans="2:5" x14ac:dyDescent="0.25">
      <c r="B6286"/>
      <c r="C6286"/>
      <c r="D6286"/>
      <c r="E6286"/>
    </row>
    <row r="6287" spans="2:5" x14ac:dyDescent="0.25">
      <c r="B6287"/>
      <c r="C6287"/>
      <c r="D6287"/>
      <c r="E6287"/>
    </row>
    <row r="6288" spans="2:5" x14ac:dyDescent="0.25">
      <c r="B6288"/>
      <c r="C6288"/>
      <c r="D6288"/>
      <c r="E6288"/>
    </row>
    <row r="6289" spans="2:5" x14ac:dyDescent="0.25">
      <c r="B6289"/>
      <c r="C6289"/>
      <c r="D6289"/>
      <c r="E6289"/>
    </row>
    <row r="6290" spans="2:5" x14ac:dyDescent="0.25">
      <c r="B6290"/>
      <c r="C6290"/>
      <c r="D6290"/>
      <c r="E6290"/>
    </row>
    <row r="6291" spans="2:5" x14ac:dyDescent="0.25">
      <c r="B6291"/>
      <c r="C6291"/>
      <c r="D6291"/>
      <c r="E6291"/>
    </row>
    <row r="6292" spans="2:5" x14ac:dyDescent="0.25">
      <c r="B6292"/>
      <c r="C6292"/>
      <c r="D6292"/>
      <c r="E6292"/>
    </row>
    <row r="6293" spans="2:5" x14ac:dyDescent="0.25">
      <c r="B6293"/>
      <c r="C6293"/>
      <c r="D6293"/>
      <c r="E6293"/>
    </row>
    <row r="6294" spans="2:5" x14ac:dyDescent="0.25">
      <c r="B6294"/>
      <c r="C6294"/>
      <c r="D6294"/>
      <c r="E6294"/>
    </row>
    <row r="6295" spans="2:5" x14ac:dyDescent="0.25">
      <c r="B6295"/>
      <c r="C6295"/>
      <c r="D6295"/>
      <c r="E6295"/>
    </row>
    <row r="6296" spans="2:5" x14ac:dyDescent="0.25">
      <c r="B6296"/>
      <c r="C6296"/>
      <c r="D6296"/>
      <c r="E6296"/>
    </row>
    <row r="6297" spans="2:5" x14ac:dyDescent="0.25">
      <c r="B6297"/>
      <c r="C6297"/>
      <c r="D6297"/>
      <c r="E6297"/>
    </row>
    <row r="6298" spans="2:5" x14ac:dyDescent="0.25">
      <c r="B6298"/>
      <c r="C6298"/>
      <c r="D6298"/>
      <c r="E6298"/>
    </row>
    <row r="6299" spans="2:5" x14ac:dyDescent="0.25">
      <c r="B6299"/>
      <c r="C6299"/>
      <c r="D6299"/>
      <c r="E6299"/>
    </row>
    <row r="6300" spans="2:5" x14ac:dyDescent="0.25">
      <c r="B6300"/>
      <c r="C6300"/>
      <c r="D6300"/>
      <c r="E6300"/>
    </row>
    <row r="6301" spans="2:5" x14ac:dyDescent="0.25">
      <c r="B6301"/>
      <c r="C6301"/>
      <c r="D6301"/>
      <c r="E6301"/>
    </row>
    <row r="6302" spans="2:5" x14ac:dyDescent="0.25">
      <c r="B6302"/>
      <c r="C6302"/>
      <c r="D6302"/>
      <c r="E6302"/>
    </row>
    <row r="6303" spans="2:5" x14ac:dyDescent="0.25">
      <c r="B6303"/>
      <c r="C6303"/>
      <c r="D6303"/>
      <c r="E6303"/>
    </row>
    <row r="6304" spans="2:5" x14ac:dyDescent="0.25">
      <c r="B6304"/>
      <c r="C6304"/>
      <c r="D6304"/>
      <c r="E6304"/>
    </row>
    <row r="6305" spans="2:5" x14ac:dyDescent="0.25">
      <c r="B6305"/>
      <c r="C6305"/>
      <c r="D6305"/>
      <c r="E6305"/>
    </row>
    <row r="6306" spans="2:5" x14ac:dyDescent="0.25">
      <c r="B6306"/>
      <c r="C6306"/>
      <c r="D6306"/>
      <c r="E6306"/>
    </row>
    <row r="6307" spans="2:5" x14ac:dyDescent="0.25">
      <c r="B6307"/>
      <c r="C6307"/>
      <c r="D6307"/>
      <c r="E6307"/>
    </row>
    <row r="6308" spans="2:5" x14ac:dyDescent="0.25">
      <c r="B6308"/>
      <c r="C6308"/>
      <c r="D6308"/>
      <c r="E6308"/>
    </row>
    <row r="6309" spans="2:5" x14ac:dyDescent="0.25">
      <c r="B6309"/>
      <c r="C6309"/>
      <c r="D6309"/>
      <c r="E6309"/>
    </row>
    <row r="6310" spans="2:5" x14ac:dyDescent="0.25">
      <c r="B6310"/>
      <c r="C6310"/>
      <c r="D6310"/>
      <c r="E6310"/>
    </row>
    <row r="6311" spans="2:5" x14ac:dyDescent="0.25">
      <c r="B6311"/>
      <c r="C6311"/>
      <c r="D6311"/>
      <c r="E6311"/>
    </row>
    <row r="6312" spans="2:5" x14ac:dyDescent="0.25">
      <c r="B6312"/>
      <c r="C6312"/>
      <c r="D6312"/>
      <c r="E6312"/>
    </row>
    <row r="6313" spans="2:5" x14ac:dyDescent="0.25">
      <c r="B6313"/>
      <c r="C6313"/>
      <c r="D6313"/>
      <c r="E6313"/>
    </row>
    <row r="6314" spans="2:5" x14ac:dyDescent="0.25">
      <c r="B6314"/>
      <c r="C6314"/>
      <c r="D6314"/>
      <c r="E6314"/>
    </row>
    <row r="6315" spans="2:5" x14ac:dyDescent="0.25">
      <c r="B6315"/>
      <c r="C6315"/>
      <c r="D6315"/>
      <c r="E6315"/>
    </row>
    <row r="6316" spans="2:5" x14ac:dyDescent="0.25">
      <c r="B6316"/>
      <c r="C6316"/>
      <c r="D6316"/>
      <c r="E6316"/>
    </row>
    <row r="6317" spans="2:5" x14ac:dyDescent="0.25">
      <c r="B6317"/>
      <c r="C6317"/>
      <c r="D6317"/>
      <c r="E6317"/>
    </row>
    <row r="6318" spans="2:5" x14ac:dyDescent="0.25">
      <c r="B6318"/>
      <c r="C6318"/>
      <c r="D6318"/>
      <c r="E6318"/>
    </row>
    <row r="6319" spans="2:5" x14ac:dyDescent="0.25">
      <c r="B6319"/>
      <c r="C6319"/>
      <c r="D6319"/>
      <c r="E6319"/>
    </row>
    <row r="6320" spans="2:5" x14ac:dyDescent="0.25">
      <c r="B6320"/>
      <c r="C6320"/>
      <c r="D6320"/>
      <c r="E6320"/>
    </row>
    <row r="6321" spans="2:5" x14ac:dyDescent="0.25">
      <c r="B6321"/>
      <c r="C6321"/>
      <c r="D6321"/>
      <c r="E6321"/>
    </row>
    <row r="6322" spans="2:5" x14ac:dyDescent="0.25">
      <c r="B6322"/>
      <c r="C6322"/>
      <c r="D6322"/>
      <c r="E6322"/>
    </row>
    <row r="6323" spans="2:5" x14ac:dyDescent="0.25">
      <c r="B6323"/>
      <c r="C6323"/>
      <c r="D6323"/>
      <c r="E6323"/>
    </row>
    <row r="6324" spans="2:5" x14ac:dyDescent="0.25">
      <c r="B6324"/>
      <c r="C6324"/>
      <c r="D6324"/>
      <c r="E6324"/>
    </row>
    <row r="6325" spans="2:5" x14ac:dyDescent="0.25">
      <c r="B6325"/>
      <c r="C6325"/>
      <c r="D6325"/>
      <c r="E6325"/>
    </row>
    <row r="6326" spans="2:5" x14ac:dyDescent="0.25">
      <c r="B6326"/>
      <c r="C6326"/>
      <c r="D6326"/>
      <c r="E6326"/>
    </row>
    <row r="6327" spans="2:5" x14ac:dyDescent="0.25">
      <c r="B6327"/>
      <c r="C6327"/>
      <c r="D6327"/>
      <c r="E6327"/>
    </row>
    <row r="6328" spans="2:5" x14ac:dyDescent="0.25">
      <c r="B6328"/>
      <c r="C6328"/>
      <c r="D6328"/>
      <c r="E6328"/>
    </row>
    <row r="6329" spans="2:5" x14ac:dyDescent="0.25">
      <c r="B6329"/>
      <c r="C6329"/>
      <c r="D6329"/>
      <c r="E6329"/>
    </row>
    <row r="6330" spans="2:5" x14ac:dyDescent="0.25">
      <c r="B6330"/>
      <c r="C6330"/>
      <c r="D6330"/>
      <c r="E6330"/>
    </row>
    <row r="6331" spans="2:5" x14ac:dyDescent="0.25">
      <c r="B6331"/>
      <c r="C6331"/>
      <c r="D6331"/>
      <c r="E6331"/>
    </row>
    <row r="6332" spans="2:5" x14ac:dyDescent="0.25">
      <c r="B6332"/>
      <c r="C6332"/>
      <c r="D6332"/>
      <c r="E6332"/>
    </row>
    <row r="6333" spans="2:5" x14ac:dyDescent="0.25">
      <c r="B6333"/>
      <c r="C6333"/>
      <c r="D6333"/>
      <c r="E6333"/>
    </row>
    <row r="6334" spans="2:5" x14ac:dyDescent="0.25">
      <c r="B6334"/>
      <c r="C6334"/>
      <c r="D6334"/>
      <c r="E6334"/>
    </row>
    <row r="6335" spans="2:5" x14ac:dyDescent="0.25">
      <c r="B6335"/>
      <c r="C6335"/>
      <c r="D6335"/>
      <c r="E6335"/>
    </row>
    <row r="6336" spans="2:5" x14ac:dyDescent="0.25">
      <c r="B6336"/>
      <c r="C6336"/>
      <c r="D6336"/>
      <c r="E6336"/>
    </row>
    <row r="6337" spans="2:5" x14ac:dyDescent="0.25">
      <c r="B6337"/>
      <c r="C6337"/>
      <c r="D6337"/>
      <c r="E6337"/>
    </row>
    <row r="6338" spans="2:5" x14ac:dyDescent="0.25">
      <c r="B6338"/>
      <c r="C6338"/>
      <c r="D6338"/>
      <c r="E6338"/>
    </row>
    <row r="6339" spans="2:5" x14ac:dyDescent="0.25">
      <c r="B6339"/>
      <c r="C6339"/>
      <c r="D6339"/>
      <c r="E6339"/>
    </row>
    <row r="6340" spans="2:5" x14ac:dyDescent="0.25">
      <c r="B6340"/>
      <c r="C6340"/>
      <c r="D6340"/>
      <c r="E6340"/>
    </row>
    <row r="6341" spans="2:5" x14ac:dyDescent="0.25">
      <c r="B6341"/>
      <c r="C6341"/>
      <c r="D6341"/>
      <c r="E6341"/>
    </row>
    <row r="6342" spans="2:5" x14ac:dyDescent="0.25">
      <c r="B6342"/>
      <c r="C6342"/>
      <c r="D6342"/>
      <c r="E6342"/>
    </row>
    <row r="6343" spans="2:5" x14ac:dyDescent="0.25">
      <c r="B6343"/>
      <c r="C6343"/>
      <c r="D6343"/>
      <c r="E6343"/>
    </row>
    <row r="6344" spans="2:5" x14ac:dyDescent="0.25">
      <c r="B6344"/>
      <c r="C6344"/>
      <c r="D6344"/>
      <c r="E6344"/>
    </row>
    <row r="6345" spans="2:5" x14ac:dyDescent="0.25">
      <c r="B6345"/>
      <c r="C6345"/>
      <c r="D6345"/>
      <c r="E6345"/>
    </row>
    <row r="6346" spans="2:5" x14ac:dyDescent="0.25">
      <c r="B6346"/>
      <c r="C6346"/>
      <c r="D6346"/>
      <c r="E6346"/>
    </row>
    <row r="6347" spans="2:5" x14ac:dyDescent="0.25">
      <c r="B6347"/>
      <c r="C6347"/>
      <c r="D6347"/>
      <c r="E6347"/>
    </row>
    <row r="6348" spans="2:5" x14ac:dyDescent="0.25">
      <c r="B6348"/>
      <c r="C6348"/>
      <c r="D6348"/>
      <c r="E6348"/>
    </row>
    <row r="6349" spans="2:5" x14ac:dyDescent="0.25">
      <c r="B6349"/>
      <c r="C6349"/>
      <c r="D6349"/>
      <c r="E6349"/>
    </row>
    <row r="6350" spans="2:5" x14ac:dyDescent="0.25">
      <c r="B6350"/>
      <c r="C6350"/>
      <c r="D6350"/>
      <c r="E6350"/>
    </row>
    <row r="6351" spans="2:5" x14ac:dyDescent="0.25">
      <c r="B6351"/>
      <c r="C6351"/>
      <c r="D6351"/>
      <c r="E6351"/>
    </row>
    <row r="6352" spans="2:5" x14ac:dyDescent="0.25">
      <c r="B6352"/>
      <c r="C6352"/>
      <c r="D6352"/>
      <c r="E6352"/>
    </row>
    <row r="6353" spans="2:5" x14ac:dyDescent="0.25">
      <c r="B6353"/>
      <c r="C6353"/>
      <c r="D6353"/>
      <c r="E6353"/>
    </row>
    <row r="6354" spans="2:5" x14ac:dyDescent="0.25">
      <c r="B6354"/>
      <c r="C6354"/>
      <c r="D6354"/>
      <c r="E6354"/>
    </row>
    <row r="6355" spans="2:5" x14ac:dyDescent="0.25">
      <c r="B6355"/>
      <c r="C6355"/>
      <c r="D6355"/>
      <c r="E6355"/>
    </row>
    <row r="6356" spans="2:5" x14ac:dyDescent="0.25">
      <c r="B6356"/>
      <c r="C6356"/>
      <c r="D6356"/>
      <c r="E6356"/>
    </row>
    <row r="6357" spans="2:5" x14ac:dyDescent="0.25">
      <c r="B6357"/>
      <c r="C6357"/>
      <c r="D6357"/>
      <c r="E6357"/>
    </row>
    <row r="6358" spans="2:5" x14ac:dyDescent="0.25">
      <c r="B6358"/>
      <c r="C6358"/>
      <c r="D6358"/>
      <c r="E6358"/>
    </row>
    <row r="6359" spans="2:5" x14ac:dyDescent="0.25">
      <c r="B6359"/>
      <c r="C6359"/>
      <c r="D6359"/>
      <c r="E6359"/>
    </row>
    <row r="6360" spans="2:5" x14ac:dyDescent="0.25">
      <c r="B6360"/>
      <c r="C6360"/>
      <c r="D6360"/>
      <c r="E6360"/>
    </row>
    <row r="6361" spans="2:5" x14ac:dyDescent="0.25">
      <c r="B6361"/>
      <c r="C6361"/>
      <c r="D6361"/>
      <c r="E6361"/>
    </row>
    <row r="6362" spans="2:5" x14ac:dyDescent="0.25">
      <c r="B6362"/>
      <c r="C6362"/>
      <c r="D6362"/>
      <c r="E6362"/>
    </row>
    <row r="6363" spans="2:5" x14ac:dyDescent="0.25">
      <c r="B6363"/>
      <c r="C6363"/>
      <c r="D6363"/>
      <c r="E6363"/>
    </row>
    <row r="6364" spans="2:5" x14ac:dyDescent="0.25">
      <c r="B6364"/>
      <c r="C6364"/>
      <c r="D6364"/>
      <c r="E6364"/>
    </row>
    <row r="6365" spans="2:5" x14ac:dyDescent="0.25">
      <c r="B6365"/>
      <c r="C6365"/>
      <c r="D6365"/>
      <c r="E6365"/>
    </row>
    <row r="6366" spans="2:5" x14ac:dyDescent="0.25">
      <c r="B6366"/>
      <c r="C6366"/>
      <c r="D6366"/>
      <c r="E6366"/>
    </row>
    <row r="6367" spans="2:5" x14ac:dyDescent="0.25">
      <c r="B6367"/>
      <c r="C6367"/>
      <c r="D6367"/>
      <c r="E6367"/>
    </row>
    <row r="6368" spans="2:5" x14ac:dyDescent="0.25">
      <c r="B6368"/>
      <c r="C6368"/>
      <c r="D6368"/>
      <c r="E6368"/>
    </row>
    <row r="6369" spans="2:5" x14ac:dyDescent="0.25">
      <c r="B6369"/>
      <c r="C6369"/>
      <c r="D6369"/>
      <c r="E6369"/>
    </row>
    <row r="6370" spans="2:5" x14ac:dyDescent="0.25">
      <c r="B6370"/>
      <c r="C6370"/>
      <c r="D6370"/>
      <c r="E6370"/>
    </row>
    <row r="6371" spans="2:5" x14ac:dyDescent="0.25">
      <c r="B6371"/>
      <c r="C6371"/>
      <c r="D6371"/>
      <c r="E6371"/>
    </row>
    <row r="6372" spans="2:5" x14ac:dyDescent="0.25">
      <c r="B6372"/>
      <c r="C6372"/>
      <c r="D6372"/>
      <c r="E6372"/>
    </row>
    <row r="6373" spans="2:5" x14ac:dyDescent="0.25">
      <c r="B6373"/>
      <c r="C6373"/>
      <c r="D6373"/>
      <c r="E6373"/>
    </row>
    <row r="6374" spans="2:5" x14ac:dyDescent="0.25">
      <c r="B6374"/>
      <c r="C6374"/>
      <c r="D6374"/>
      <c r="E6374"/>
    </row>
    <row r="6375" spans="2:5" x14ac:dyDescent="0.25">
      <c r="B6375"/>
      <c r="C6375"/>
      <c r="D6375"/>
      <c r="E6375"/>
    </row>
    <row r="6376" spans="2:5" x14ac:dyDescent="0.25">
      <c r="B6376"/>
      <c r="C6376"/>
      <c r="D6376"/>
      <c r="E6376"/>
    </row>
    <row r="6377" spans="2:5" x14ac:dyDescent="0.25">
      <c r="B6377"/>
      <c r="C6377"/>
      <c r="D6377"/>
      <c r="E6377"/>
    </row>
    <row r="6378" spans="2:5" x14ac:dyDescent="0.25">
      <c r="B6378"/>
      <c r="C6378"/>
      <c r="D6378"/>
      <c r="E6378"/>
    </row>
    <row r="6379" spans="2:5" x14ac:dyDescent="0.25">
      <c r="B6379"/>
      <c r="C6379"/>
      <c r="D6379"/>
      <c r="E6379"/>
    </row>
    <row r="6380" spans="2:5" x14ac:dyDescent="0.25">
      <c r="B6380"/>
      <c r="C6380"/>
      <c r="D6380"/>
      <c r="E6380"/>
    </row>
    <row r="6381" spans="2:5" x14ac:dyDescent="0.25">
      <c r="B6381"/>
      <c r="C6381"/>
      <c r="D6381"/>
      <c r="E6381"/>
    </row>
    <row r="6382" spans="2:5" x14ac:dyDescent="0.25">
      <c r="B6382"/>
      <c r="C6382"/>
      <c r="D6382"/>
      <c r="E6382"/>
    </row>
    <row r="6383" spans="2:5" x14ac:dyDescent="0.25">
      <c r="B6383"/>
      <c r="C6383"/>
      <c r="D6383"/>
      <c r="E6383"/>
    </row>
    <row r="6384" spans="2:5" x14ac:dyDescent="0.25">
      <c r="B6384"/>
      <c r="C6384"/>
      <c r="D6384"/>
      <c r="E6384"/>
    </row>
    <row r="6385" spans="2:5" x14ac:dyDescent="0.25">
      <c r="B6385"/>
      <c r="C6385"/>
      <c r="D6385"/>
      <c r="E6385"/>
    </row>
    <row r="6386" spans="2:5" x14ac:dyDescent="0.25">
      <c r="B6386"/>
      <c r="C6386"/>
      <c r="D6386"/>
      <c r="E6386"/>
    </row>
    <row r="6387" spans="2:5" x14ac:dyDescent="0.25">
      <c r="B6387"/>
      <c r="C6387"/>
      <c r="D6387"/>
      <c r="E6387"/>
    </row>
    <row r="6388" spans="2:5" x14ac:dyDescent="0.25">
      <c r="B6388"/>
      <c r="C6388"/>
      <c r="D6388"/>
      <c r="E6388"/>
    </row>
    <row r="6389" spans="2:5" x14ac:dyDescent="0.25">
      <c r="B6389"/>
      <c r="C6389"/>
      <c r="D6389"/>
      <c r="E6389"/>
    </row>
    <row r="6390" spans="2:5" x14ac:dyDescent="0.25">
      <c r="B6390"/>
      <c r="C6390"/>
      <c r="D6390"/>
      <c r="E6390"/>
    </row>
    <row r="6391" spans="2:5" x14ac:dyDescent="0.25">
      <c r="B6391"/>
      <c r="C6391"/>
      <c r="D6391"/>
      <c r="E6391"/>
    </row>
    <row r="6392" spans="2:5" x14ac:dyDescent="0.25">
      <c r="B6392"/>
      <c r="C6392"/>
      <c r="D6392"/>
      <c r="E6392"/>
    </row>
    <row r="6393" spans="2:5" x14ac:dyDescent="0.25">
      <c r="B6393"/>
      <c r="C6393"/>
      <c r="D6393"/>
      <c r="E6393"/>
    </row>
    <row r="6394" spans="2:5" x14ac:dyDescent="0.25">
      <c r="B6394"/>
      <c r="C6394"/>
      <c r="D6394"/>
      <c r="E6394"/>
    </row>
    <row r="6395" spans="2:5" x14ac:dyDescent="0.25">
      <c r="B6395"/>
      <c r="C6395"/>
      <c r="D6395"/>
      <c r="E6395"/>
    </row>
    <row r="6396" spans="2:5" x14ac:dyDescent="0.25">
      <c r="B6396"/>
      <c r="C6396"/>
      <c r="D6396"/>
      <c r="E6396"/>
    </row>
    <row r="6397" spans="2:5" x14ac:dyDescent="0.25">
      <c r="B6397"/>
      <c r="C6397"/>
      <c r="D6397"/>
      <c r="E6397"/>
    </row>
    <row r="6398" spans="2:5" x14ac:dyDescent="0.25">
      <c r="B6398"/>
      <c r="C6398"/>
      <c r="D6398"/>
      <c r="E6398"/>
    </row>
    <row r="6399" spans="2:5" x14ac:dyDescent="0.25">
      <c r="B6399"/>
      <c r="C6399"/>
      <c r="D6399"/>
      <c r="E6399"/>
    </row>
    <row r="6400" spans="2:5" x14ac:dyDescent="0.25">
      <c r="B6400"/>
      <c r="C6400"/>
      <c r="D6400"/>
      <c r="E6400"/>
    </row>
    <row r="6401" spans="2:5" x14ac:dyDescent="0.25">
      <c r="B6401"/>
      <c r="C6401"/>
      <c r="D6401"/>
      <c r="E6401"/>
    </row>
    <row r="6402" spans="2:5" x14ac:dyDescent="0.25">
      <c r="B6402"/>
      <c r="C6402"/>
      <c r="D6402"/>
      <c r="E6402"/>
    </row>
    <row r="6403" spans="2:5" x14ac:dyDescent="0.25">
      <c r="B6403"/>
      <c r="C6403"/>
      <c r="D6403"/>
      <c r="E6403"/>
    </row>
    <row r="6404" spans="2:5" x14ac:dyDescent="0.25">
      <c r="B6404"/>
      <c r="C6404"/>
      <c r="D6404"/>
      <c r="E6404"/>
    </row>
    <row r="6405" spans="2:5" x14ac:dyDescent="0.25">
      <c r="B6405"/>
      <c r="C6405"/>
      <c r="D6405"/>
      <c r="E6405"/>
    </row>
    <row r="6406" spans="2:5" x14ac:dyDescent="0.25">
      <c r="B6406"/>
      <c r="C6406"/>
      <c r="D6406"/>
      <c r="E6406"/>
    </row>
    <row r="6407" spans="2:5" x14ac:dyDescent="0.25">
      <c r="B6407"/>
      <c r="C6407"/>
      <c r="D6407"/>
      <c r="E6407"/>
    </row>
    <row r="6408" spans="2:5" x14ac:dyDescent="0.25">
      <c r="B6408"/>
      <c r="C6408"/>
      <c r="D6408"/>
      <c r="E6408"/>
    </row>
    <row r="6409" spans="2:5" x14ac:dyDescent="0.25">
      <c r="B6409"/>
      <c r="C6409"/>
      <c r="D6409"/>
      <c r="E6409"/>
    </row>
    <row r="6410" spans="2:5" x14ac:dyDescent="0.25">
      <c r="B6410"/>
      <c r="C6410"/>
      <c r="D6410"/>
      <c r="E6410"/>
    </row>
    <row r="6411" spans="2:5" x14ac:dyDescent="0.25">
      <c r="B6411"/>
      <c r="C6411"/>
      <c r="D6411"/>
      <c r="E6411"/>
    </row>
    <row r="6412" spans="2:5" x14ac:dyDescent="0.25">
      <c r="B6412"/>
      <c r="C6412"/>
      <c r="D6412"/>
      <c r="E6412"/>
    </row>
    <row r="6413" spans="2:5" x14ac:dyDescent="0.25">
      <c r="B6413"/>
      <c r="C6413"/>
      <c r="D6413"/>
      <c r="E6413"/>
    </row>
    <row r="6414" spans="2:5" x14ac:dyDescent="0.25">
      <c r="B6414"/>
      <c r="C6414"/>
      <c r="D6414"/>
      <c r="E6414"/>
    </row>
    <row r="6415" spans="2:5" x14ac:dyDescent="0.25">
      <c r="B6415"/>
      <c r="C6415"/>
      <c r="D6415"/>
      <c r="E6415"/>
    </row>
    <row r="6416" spans="2:5" x14ac:dyDescent="0.25">
      <c r="B6416"/>
      <c r="C6416"/>
      <c r="D6416"/>
      <c r="E6416"/>
    </row>
    <row r="6417" spans="2:5" x14ac:dyDescent="0.25">
      <c r="B6417"/>
      <c r="C6417"/>
      <c r="D6417"/>
      <c r="E6417"/>
    </row>
    <row r="6418" spans="2:5" x14ac:dyDescent="0.25">
      <c r="B6418"/>
      <c r="C6418"/>
      <c r="D6418"/>
      <c r="E6418"/>
    </row>
    <row r="6419" spans="2:5" x14ac:dyDescent="0.25">
      <c r="B6419"/>
      <c r="C6419"/>
      <c r="D6419"/>
      <c r="E6419"/>
    </row>
    <row r="6420" spans="2:5" x14ac:dyDescent="0.25">
      <c r="B6420"/>
      <c r="C6420"/>
      <c r="D6420"/>
      <c r="E6420"/>
    </row>
    <row r="6421" spans="2:5" x14ac:dyDescent="0.25">
      <c r="B6421"/>
      <c r="C6421"/>
      <c r="D6421"/>
      <c r="E6421"/>
    </row>
    <row r="6422" spans="2:5" x14ac:dyDescent="0.25">
      <c r="B6422"/>
      <c r="C6422"/>
      <c r="D6422"/>
      <c r="E6422"/>
    </row>
    <row r="6423" spans="2:5" x14ac:dyDescent="0.25">
      <c r="B6423"/>
      <c r="C6423"/>
      <c r="D6423"/>
      <c r="E6423"/>
    </row>
    <row r="6424" spans="2:5" x14ac:dyDescent="0.25">
      <c r="B6424"/>
      <c r="C6424"/>
      <c r="D6424"/>
      <c r="E6424"/>
    </row>
    <row r="6425" spans="2:5" x14ac:dyDescent="0.25">
      <c r="B6425"/>
      <c r="C6425"/>
      <c r="D6425"/>
      <c r="E6425"/>
    </row>
    <row r="6426" spans="2:5" x14ac:dyDescent="0.25">
      <c r="B6426"/>
      <c r="C6426"/>
      <c r="D6426"/>
      <c r="E6426"/>
    </row>
    <row r="6427" spans="2:5" x14ac:dyDescent="0.25">
      <c r="B6427"/>
      <c r="C6427"/>
      <c r="D6427"/>
      <c r="E6427"/>
    </row>
    <row r="6428" spans="2:5" x14ac:dyDescent="0.25">
      <c r="B6428"/>
      <c r="C6428"/>
      <c r="D6428"/>
      <c r="E6428"/>
    </row>
    <row r="6429" spans="2:5" x14ac:dyDescent="0.25">
      <c r="B6429"/>
      <c r="C6429"/>
      <c r="D6429"/>
      <c r="E6429"/>
    </row>
    <row r="6430" spans="2:5" x14ac:dyDescent="0.25">
      <c r="B6430"/>
      <c r="C6430"/>
      <c r="D6430"/>
      <c r="E6430"/>
    </row>
    <row r="6431" spans="2:5" x14ac:dyDescent="0.25">
      <c r="B6431"/>
      <c r="C6431"/>
      <c r="D6431"/>
      <c r="E6431"/>
    </row>
    <row r="6432" spans="2:5" x14ac:dyDescent="0.25">
      <c r="B6432"/>
      <c r="C6432"/>
      <c r="D6432"/>
      <c r="E6432"/>
    </row>
    <row r="6433" spans="2:5" x14ac:dyDescent="0.25">
      <c r="B6433"/>
      <c r="C6433"/>
      <c r="D6433"/>
      <c r="E6433"/>
    </row>
    <row r="6434" spans="2:5" x14ac:dyDescent="0.25">
      <c r="B6434"/>
      <c r="C6434"/>
      <c r="D6434"/>
      <c r="E6434"/>
    </row>
    <row r="6435" spans="2:5" x14ac:dyDescent="0.25">
      <c r="B6435"/>
      <c r="C6435"/>
      <c r="D6435"/>
      <c r="E6435"/>
    </row>
    <row r="6436" spans="2:5" x14ac:dyDescent="0.25">
      <c r="B6436"/>
      <c r="C6436"/>
      <c r="D6436"/>
      <c r="E6436"/>
    </row>
    <row r="6437" spans="2:5" x14ac:dyDescent="0.25">
      <c r="B6437"/>
      <c r="C6437"/>
      <c r="D6437"/>
      <c r="E6437"/>
    </row>
    <row r="6438" spans="2:5" x14ac:dyDescent="0.25">
      <c r="B6438"/>
      <c r="C6438"/>
      <c r="D6438"/>
      <c r="E6438"/>
    </row>
    <row r="6439" spans="2:5" x14ac:dyDescent="0.25">
      <c r="B6439"/>
      <c r="C6439"/>
      <c r="D6439"/>
      <c r="E6439"/>
    </row>
    <row r="6440" spans="2:5" x14ac:dyDescent="0.25">
      <c r="B6440"/>
      <c r="C6440"/>
      <c r="D6440"/>
      <c r="E6440"/>
    </row>
    <row r="6441" spans="2:5" x14ac:dyDescent="0.25">
      <c r="B6441"/>
      <c r="C6441"/>
      <c r="D6441"/>
      <c r="E6441"/>
    </row>
    <row r="6442" spans="2:5" x14ac:dyDescent="0.25">
      <c r="B6442"/>
      <c r="C6442"/>
      <c r="D6442"/>
      <c r="E6442"/>
    </row>
    <row r="6443" spans="2:5" x14ac:dyDescent="0.25">
      <c r="B6443"/>
      <c r="C6443"/>
      <c r="D6443"/>
      <c r="E6443"/>
    </row>
    <row r="6444" spans="2:5" x14ac:dyDescent="0.25">
      <c r="B6444"/>
      <c r="C6444"/>
      <c r="D6444"/>
      <c r="E6444"/>
    </row>
    <row r="6445" spans="2:5" x14ac:dyDescent="0.25">
      <c r="B6445"/>
      <c r="C6445"/>
      <c r="D6445"/>
      <c r="E6445"/>
    </row>
    <row r="6446" spans="2:5" x14ac:dyDescent="0.25">
      <c r="B6446"/>
      <c r="C6446"/>
      <c r="D6446"/>
      <c r="E6446"/>
    </row>
    <row r="6447" spans="2:5" x14ac:dyDescent="0.25">
      <c r="B6447"/>
      <c r="C6447"/>
      <c r="D6447"/>
      <c r="E6447"/>
    </row>
    <row r="6448" spans="2:5" x14ac:dyDescent="0.25">
      <c r="B6448"/>
      <c r="C6448"/>
      <c r="D6448"/>
      <c r="E6448"/>
    </row>
    <row r="6449" spans="2:5" x14ac:dyDescent="0.25">
      <c r="B6449"/>
      <c r="C6449"/>
      <c r="D6449"/>
      <c r="E6449"/>
    </row>
    <row r="6450" spans="2:5" x14ac:dyDescent="0.25">
      <c r="B6450"/>
      <c r="C6450"/>
      <c r="D6450"/>
      <c r="E6450"/>
    </row>
    <row r="6451" spans="2:5" x14ac:dyDescent="0.25">
      <c r="B6451"/>
      <c r="C6451"/>
      <c r="D6451"/>
      <c r="E6451"/>
    </row>
    <row r="6452" spans="2:5" x14ac:dyDescent="0.25">
      <c r="B6452"/>
      <c r="C6452"/>
      <c r="D6452"/>
      <c r="E6452"/>
    </row>
    <row r="6453" spans="2:5" x14ac:dyDescent="0.25">
      <c r="B6453"/>
      <c r="C6453"/>
      <c r="D6453"/>
      <c r="E6453"/>
    </row>
    <row r="6454" spans="2:5" x14ac:dyDescent="0.25">
      <c r="B6454"/>
      <c r="C6454"/>
      <c r="D6454"/>
      <c r="E6454"/>
    </row>
    <row r="6455" spans="2:5" x14ac:dyDescent="0.25">
      <c r="B6455"/>
      <c r="C6455"/>
      <c r="D6455"/>
      <c r="E6455"/>
    </row>
    <row r="6456" spans="2:5" x14ac:dyDescent="0.25">
      <c r="B6456"/>
      <c r="C6456"/>
      <c r="D6456"/>
      <c r="E6456"/>
    </row>
    <row r="6457" spans="2:5" x14ac:dyDescent="0.25">
      <c r="B6457"/>
      <c r="C6457"/>
      <c r="D6457"/>
      <c r="E6457"/>
    </row>
    <row r="6458" spans="2:5" x14ac:dyDescent="0.25">
      <c r="B6458"/>
      <c r="C6458"/>
      <c r="D6458"/>
      <c r="E6458"/>
    </row>
    <row r="6459" spans="2:5" x14ac:dyDescent="0.25">
      <c r="B6459"/>
      <c r="C6459"/>
      <c r="D6459"/>
      <c r="E6459"/>
    </row>
    <row r="6460" spans="2:5" x14ac:dyDescent="0.25">
      <c r="B6460"/>
      <c r="C6460"/>
      <c r="D6460"/>
      <c r="E6460"/>
    </row>
    <row r="6461" spans="2:5" x14ac:dyDescent="0.25">
      <c r="B6461"/>
      <c r="C6461"/>
      <c r="D6461"/>
      <c r="E6461"/>
    </row>
    <row r="6462" spans="2:5" x14ac:dyDescent="0.25">
      <c r="B6462"/>
      <c r="C6462"/>
      <c r="D6462"/>
      <c r="E6462"/>
    </row>
    <row r="6463" spans="2:5" x14ac:dyDescent="0.25">
      <c r="B6463"/>
      <c r="C6463"/>
      <c r="D6463"/>
      <c r="E6463"/>
    </row>
    <row r="6464" spans="2:5" x14ac:dyDescent="0.25">
      <c r="B6464"/>
      <c r="C6464"/>
      <c r="D6464"/>
      <c r="E6464"/>
    </row>
    <row r="6465" spans="2:5" x14ac:dyDescent="0.25">
      <c r="B6465"/>
      <c r="C6465"/>
      <c r="D6465"/>
      <c r="E6465"/>
    </row>
    <row r="6466" spans="2:5" x14ac:dyDescent="0.25">
      <c r="B6466"/>
      <c r="C6466"/>
      <c r="D6466"/>
      <c r="E6466"/>
    </row>
    <row r="6467" spans="2:5" x14ac:dyDescent="0.25">
      <c r="B6467"/>
      <c r="C6467"/>
      <c r="D6467"/>
      <c r="E6467"/>
    </row>
    <row r="6468" spans="2:5" x14ac:dyDescent="0.25">
      <c r="B6468"/>
      <c r="C6468"/>
      <c r="D6468"/>
      <c r="E6468"/>
    </row>
    <row r="6469" spans="2:5" x14ac:dyDescent="0.25">
      <c r="B6469"/>
      <c r="C6469"/>
      <c r="D6469"/>
      <c r="E6469"/>
    </row>
    <row r="6470" spans="2:5" x14ac:dyDescent="0.25">
      <c r="B6470"/>
      <c r="C6470"/>
      <c r="D6470"/>
      <c r="E6470"/>
    </row>
    <row r="6471" spans="2:5" x14ac:dyDescent="0.25">
      <c r="B6471"/>
      <c r="C6471"/>
      <c r="D6471"/>
      <c r="E6471"/>
    </row>
    <row r="6472" spans="2:5" x14ac:dyDescent="0.25">
      <c r="B6472"/>
      <c r="C6472"/>
      <c r="D6472"/>
      <c r="E6472"/>
    </row>
    <row r="6473" spans="2:5" x14ac:dyDescent="0.25">
      <c r="B6473"/>
      <c r="C6473"/>
      <c r="D6473"/>
      <c r="E6473"/>
    </row>
    <row r="6474" spans="2:5" x14ac:dyDescent="0.25">
      <c r="B6474"/>
      <c r="C6474"/>
      <c r="D6474"/>
      <c r="E6474"/>
    </row>
    <row r="6475" spans="2:5" x14ac:dyDescent="0.25">
      <c r="B6475"/>
      <c r="C6475"/>
      <c r="D6475"/>
      <c r="E6475"/>
    </row>
    <row r="6476" spans="2:5" x14ac:dyDescent="0.25">
      <c r="B6476"/>
      <c r="C6476"/>
      <c r="D6476"/>
      <c r="E6476"/>
    </row>
    <row r="6477" spans="2:5" x14ac:dyDescent="0.25">
      <c r="B6477"/>
      <c r="C6477"/>
      <c r="D6477"/>
      <c r="E6477"/>
    </row>
    <row r="6478" spans="2:5" x14ac:dyDescent="0.25">
      <c r="B6478"/>
      <c r="C6478"/>
      <c r="D6478"/>
      <c r="E6478"/>
    </row>
    <row r="6479" spans="2:5" x14ac:dyDescent="0.25">
      <c r="B6479"/>
      <c r="C6479"/>
      <c r="D6479"/>
      <c r="E6479"/>
    </row>
    <row r="6480" spans="2:5" x14ac:dyDescent="0.25">
      <c r="B6480"/>
      <c r="C6480"/>
      <c r="D6480"/>
      <c r="E6480"/>
    </row>
    <row r="6481" spans="2:5" x14ac:dyDescent="0.25">
      <c r="B6481"/>
      <c r="C6481"/>
      <c r="D6481"/>
      <c r="E6481"/>
    </row>
    <row r="6482" spans="2:5" x14ac:dyDescent="0.25">
      <c r="B6482"/>
      <c r="C6482"/>
      <c r="D6482"/>
      <c r="E6482"/>
    </row>
    <row r="6483" spans="2:5" x14ac:dyDescent="0.25">
      <c r="B6483"/>
      <c r="C6483"/>
      <c r="D6483"/>
      <c r="E6483"/>
    </row>
    <row r="6484" spans="2:5" x14ac:dyDescent="0.25">
      <c r="B6484"/>
      <c r="C6484"/>
      <c r="D6484"/>
      <c r="E6484"/>
    </row>
    <row r="6485" spans="2:5" x14ac:dyDescent="0.25">
      <c r="B6485"/>
      <c r="C6485"/>
      <c r="D6485"/>
      <c r="E6485"/>
    </row>
    <row r="6486" spans="2:5" x14ac:dyDescent="0.25">
      <c r="B6486"/>
      <c r="C6486"/>
      <c r="D6486"/>
      <c r="E6486"/>
    </row>
    <row r="6487" spans="2:5" x14ac:dyDescent="0.25">
      <c r="B6487"/>
      <c r="C6487"/>
      <c r="D6487"/>
      <c r="E6487"/>
    </row>
    <row r="6488" spans="2:5" x14ac:dyDescent="0.25">
      <c r="B6488"/>
      <c r="C6488"/>
      <c r="D6488"/>
      <c r="E6488"/>
    </row>
    <row r="6489" spans="2:5" x14ac:dyDescent="0.25">
      <c r="B6489"/>
      <c r="C6489"/>
      <c r="D6489"/>
      <c r="E6489"/>
    </row>
    <row r="6490" spans="2:5" x14ac:dyDescent="0.25">
      <c r="B6490"/>
      <c r="C6490"/>
      <c r="D6490"/>
      <c r="E6490"/>
    </row>
    <row r="6491" spans="2:5" x14ac:dyDescent="0.25">
      <c r="B6491"/>
      <c r="C6491"/>
      <c r="D6491"/>
      <c r="E6491"/>
    </row>
    <row r="6492" spans="2:5" x14ac:dyDescent="0.25">
      <c r="B6492"/>
      <c r="C6492"/>
      <c r="D6492"/>
      <c r="E6492"/>
    </row>
    <row r="6493" spans="2:5" x14ac:dyDescent="0.25">
      <c r="B6493"/>
      <c r="C6493"/>
      <c r="D6493"/>
      <c r="E6493"/>
    </row>
    <row r="6494" spans="2:5" x14ac:dyDescent="0.25">
      <c r="B6494"/>
      <c r="C6494"/>
      <c r="D6494"/>
      <c r="E6494"/>
    </row>
    <row r="6495" spans="2:5" x14ac:dyDescent="0.25">
      <c r="B6495"/>
      <c r="C6495"/>
      <c r="D6495"/>
      <c r="E6495"/>
    </row>
    <row r="6496" spans="2:5" x14ac:dyDescent="0.25">
      <c r="B6496"/>
      <c r="C6496"/>
      <c r="D6496"/>
      <c r="E6496"/>
    </row>
    <row r="6497" spans="2:5" x14ac:dyDescent="0.25">
      <c r="B6497"/>
      <c r="C6497"/>
      <c r="D6497"/>
      <c r="E6497"/>
    </row>
    <row r="6498" spans="2:5" x14ac:dyDescent="0.25">
      <c r="B6498"/>
      <c r="C6498"/>
      <c r="D6498"/>
      <c r="E6498"/>
    </row>
    <row r="6499" spans="2:5" x14ac:dyDescent="0.25">
      <c r="B6499"/>
      <c r="C6499"/>
      <c r="D6499"/>
      <c r="E6499"/>
    </row>
    <row r="6500" spans="2:5" x14ac:dyDescent="0.25">
      <c r="B6500"/>
      <c r="C6500"/>
      <c r="D6500"/>
      <c r="E6500"/>
    </row>
    <row r="6501" spans="2:5" x14ac:dyDescent="0.25">
      <c r="B6501"/>
      <c r="C6501"/>
      <c r="D6501"/>
      <c r="E6501"/>
    </row>
    <row r="6502" spans="2:5" x14ac:dyDescent="0.25">
      <c r="B6502"/>
      <c r="C6502"/>
      <c r="D6502"/>
      <c r="E6502"/>
    </row>
    <row r="6503" spans="2:5" x14ac:dyDescent="0.25">
      <c r="B6503"/>
      <c r="C6503"/>
      <c r="D6503"/>
      <c r="E6503"/>
    </row>
    <row r="6504" spans="2:5" x14ac:dyDescent="0.25">
      <c r="B6504"/>
      <c r="C6504"/>
      <c r="D6504"/>
      <c r="E6504"/>
    </row>
    <row r="6505" spans="2:5" x14ac:dyDescent="0.25">
      <c r="B6505"/>
      <c r="C6505"/>
      <c r="D6505"/>
      <c r="E6505"/>
    </row>
    <row r="6506" spans="2:5" x14ac:dyDescent="0.25">
      <c r="B6506"/>
      <c r="C6506"/>
      <c r="D6506"/>
      <c r="E6506"/>
    </row>
    <row r="6507" spans="2:5" x14ac:dyDescent="0.25">
      <c r="B6507"/>
      <c r="C6507"/>
      <c r="D6507"/>
      <c r="E6507"/>
    </row>
    <row r="6508" spans="2:5" x14ac:dyDescent="0.25">
      <c r="B6508"/>
      <c r="C6508"/>
      <c r="D6508"/>
      <c r="E6508"/>
    </row>
    <row r="6509" spans="2:5" x14ac:dyDescent="0.25">
      <c r="B6509"/>
      <c r="C6509"/>
      <c r="D6509"/>
      <c r="E6509"/>
    </row>
    <row r="6510" spans="2:5" x14ac:dyDescent="0.25">
      <c r="B6510"/>
      <c r="C6510"/>
      <c r="D6510"/>
      <c r="E6510"/>
    </row>
    <row r="6511" spans="2:5" x14ac:dyDescent="0.25">
      <c r="B6511"/>
      <c r="C6511"/>
      <c r="D6511"/>
      <c r="E6511"/>
    </row>
    <row r="6512" spans="2:5" x14ac:dyDescent="0.25">
      <c r="B6512"/>
      <c r="C6512"/>
      <c r="D6512"/>
      <c r="E6512"/>
    </row>
    <row r="6513" spans="2:5" x14ac:dyDescent="0.25">
      <c r="B6513"/>
      <c r="C6513"/>
      <c r="D6513"/>
      <c r="E6513"/>
    </row>
    <row r="6514" spans="2:5" x14ac:dyDescent="0.25">
      <c r="B6514"/>
      <c r="C6514"/>
      <c r="D6514"/>
      <c r="E6514"/>
    </row>
    <row r="6515" spans="2:5" x14ac:dyDescent="0.25">
      <c r="B6515"/>
      <c r="C6515"/>
      <c r="D6515"/>
      <c r="E6515"/>
    </row>
    <row r="6516" spans="2:5" x14ac:dyDescent="0.25">
      <c r="B6516"/>
      <c r="C6516"/>
      <c r="D6516"/>
      <c r="E6516"/>
    </row>
    <row r="6517" spans="2:5" x14ac:dyDescent="0.25">
      <c r="B6517"/>
      <c r="C6517"/>
      <c r="D6517"/>
      <c r="E6517"/>
    </row>
    <row r="6518" spans="2:5" x14ac:dyDescent="0.25">
      <c r="B6518"/>
      <c r="C6518"/>
      <c r="D6518"/>
      <c r="E6518"/>
    </row>
    <row r="6519" spans="2:5" x14ac:dyDescent="0.25">
      <c r="B6519"/>
      <c r="C6519"/>
      <c r="D6519"/>
      <c r="E6519"/>
    </row>
    <row r="6520" spans="2:5" x14ac:dyDescent="0.25">
      <c r="B6520"/>
      <c r="C6520"/>
      <c r="D6520"/>
      <c r="E6520"/>
    </row>
    <row r="6521" spans="2:5" x14ac:dyDescent="0.25">
      <c r="B6521"/>
      <c r="C6521"/>
      <c r="D6521"/>
      <c r="E6521"/>
    </row>
    <row r="6522" spans="2:5" x14ac:dyDescent="0.25">
      <c r="B6522"/>
      <c r="C6522"/>
      <c r="D6522"/>
      <c r="E6522"/>
    </row>
    <row r="6523" spans="2:5" x14ac:dyDescent="0.25">
      <c r="B6523"/>
      <c r="C6523"/>
      <c r="D6523"/>
      <c r="E6523"/>
    </row>
    <row r="6524" spans="2:5" x14ac:dyDescent="0.25">
      <c r="B6524"/>
      <c r="C6524"/>
      <c r="D6524"/>
      <c r="E6524"/>
    </row>
    <row r="6525" spans="2:5" x14ac:dyDescent="0.25">
      <c r="B6525"/>
      <c r="C6525"/>
      <c r="D6525"/>
      <c r="E6525"/>
    </row>
    <row r="6526" spans="2:5" x14ac:dyDescent="0.25">
      <c r="B6526"/>
      <c r="C6526"/>
      <c r="D6526"/>
      <c r="E6526"/>
    </row>
    <row r="6527" spans="2:5" x14ac:dyDescent="0.25">
      <c r="B6527"/>
      <c r="C6527"/>
      <c r="D6527"/>
      <c r="E6527"/>
    </row>
    <row r="6528" spans="2:5" x14ac:dyDescent="0.25">
      <c r="B6528"/>
      <c r="C6528"/>
      <c r="D6528"/>
      <c r="E6528"/>
    </row>
    <row r="6529" spans="2:5" x14ac:dyDescent="0.25">
      <c r="B6529"/>
      <c r="C6529"/>
      <c r="D6529"/>
      <c r="E6529"/>
    </row>
    <row r="6530" spans="2:5" x14ac:dyDescent="0.25">
      <c r="B6530"/>
      <c r="C6530"/>
      <c r="D6530"/>
      <c r="E6530"/>
    </row>
    <row r="6531" spans="2:5" x14ac:dyDescent="0.25">
      <c r="B6531"/>
      <c r="C6531"/>
      <c r="D6531"/>
      <c r="E6531"/>
    </row>
    <row r="6532" spans="2:5" x14ac:dyDescent="0.25">
      <c r="B6532"/>
      <c r="C6532"/>
      <c r="D6532"/>
      <c r="E6532"/>
    </row>
    <row r="6533" spans="2:5" x14ac:dyDescent="0.25">
      <c r="B6533"/>
      <c r="C6533"/>
      <c r="D6533"/>
      <c r="E6533"/>
    </row>
    <row r="6534" spans="2:5" x14ac:dyDescent="0.25">
      <c r="B6534"/>
      <c r="C6534"/>
      <c r="D6534"/>
      <c r="E6534"/>
    </row>
    <row r="6535" spans="2:5" x14ac:dyDescent="0.25">
      <c r="B6535"/>
      <c r="C6535"/>
      <c r="D6535"/>
      <c r="E6535"/>
    </row>
    <row r="6536" spans="2:5" x14ac:dyDescent="0.25">
      <c r="B6536"/>
      <c r="C6536"/>
      <c r="D6536"/>
      <c r="E6536"/>
    </row>
    <row r="6537" spans="2:5" x14ac:dyDescent="0.25">
      <c r="B6537"/>
      <c r="C6537"/>
      <c r="D6537"/>
      <c r="E6537"/>
    </row>
    <row r="6538" spans="2:5" x14ac:dyDescent="0.25">
      <c r="B6538"/>
      <c r="C6538"/>
      <c r="D6538"/>
      <c r="E6538"/>
    </row>
    <row r="6539" spans="2:5" x14ac:dyDescent="0.25">
      <c r="B6539"/>
      <c r="C6539"/>
      <c r="D6539"/>
      <c r="E6539"/>
    </row>
    <row r="6540" spans="2:5" x14ac:dyDescent="0.25">
      <c r="B6540"/>
      <c r="C6540"/>
      <c r="D6540"/>
      <c r="E6540"/>
    </row>
    <row r="6541" spans="2:5" x14ac:dyDescent="0.25">
      <c r="B6541"/>
      <c r="C6541"/>
      <c r="D6541"/>
      <c r="E6541"/>
    </row>
    <row r="6542" spans="2:5" x14ac:dyDescent="0.25">
      <c r="B6542"/>
      <c r="C6542"/>
      <c r="D6542"/>
      <c r="E6542"/>
    </row>
    <row r="6543" spans="2:5" x14ac:dyDescent="0.25">
      <c r="B6543"/>
      <c r="C6543"/>
      <c r="D6543"/>
      <c r="E6543"/>
    </row>
    <row r="6544" spans="2:5" x14ac:dyDescent="0.25">
      <c r="B6544"/>
      <c r="C6544"/>
      <c r="D6544"/>
      <c r="E6544"/>
    </row>
    <row r="6545" spans="2:5" x14ac:dyDescent="0.25">
      <c r="B6545"/>
      <c r="C6545"/>
      <c r="D6545"/>
      <c r="E6545"/>
    </row>
    <row r="6546" spans="2:5" x14ac:dyDescent="0.25">
      <c r="B6546"/>
      <c r="C6546"/>
      <c r="D6546"/>
      <c r="E6546"/>
    </row>
    <row r="6547" spans="2:5" x14ac:dyDescent="0.25">
      <c r="B6547"/>
      <c r="C6547"/>
      <c r="D6547"/>
      <c r="E6547"/>
    </row>
    <row r="6548" spans="2:5" x14ac:dyDescent="0.25">
      <c r="B6548"/>
      <c r="C6548"/>
      <c r="D6548"/>
      <c r="E6548"/>
    </row>
    <row r="6549" spans="2:5" x14ac:dyDescent="0.25">
      <c r="B6549"/>
      <c r="C6549"/>
      <c r="D6549"/>
      <c r="E6549"/>
    </row>
    <row r="6550" spans="2:5" x14ac:dyDescent="0.25">
      <c r="B6550"/>
      <c r="C6550"/>
      <c r="D6550"/>
      <c r="E6550"/>
    </row>
    <row r="6551" spans="2:5" x14ac:dyDescent="0.25">
      <c r="B6551"/>
      <c r="C6551"/>
      <c r="D6551"/>
      <c r="E6551"/>
    </row>
    <row r="6552" spans="2:5" x14ac:dyDescent="0.25">
      <c r="B6552"/>
      <c r="C6552"/>
      <c r="D6552"/>
      <c r="E6552"/>
    </row>
    <row r="6553" spans="2:5" x14ac:dyDescent="0.25">
      <c r="B6553"/>
      <c r="C6553"/>
      <c r="D6553"/>
      <c r="E6553"/>
    </row>
    <row r="6554" spans="2:5" x14ac:dyDescent="0.25">
      <c r="B6554"/>
      <c r="C6554"/>
      <c r="D6554"/>
      <c r="E6554"/>
    </row>
    <row r="6555" spans="2:5" x14ac:dyDescent="0.25">
      <c r="B6555"/>
      <c r="C6555"/>
      <c r="D6555"/>
      <c r="E6555"/>
    </row>
    <row r="6556" spans="2:5" x14ac:dyDescent="0.25">
      <c r="B6556"/>
      <c r="C6556"/>
      <c r="D6556"/>
      <c r="E6556"/>
    </row>
    <row r="6557" spans="2:5" x14ac:dyDescent="0.25">
      <c r="B6557"/>
      <c r="C6557"/>
      <c r="D6557"/>
      <c r="E6557"/>
    </row>
    <row r="6558" spans="2:5" x14ac:dyDescent="0.25">
      <c r="B6558"/>
      <c r="C6558"/>
      <c r="D6558"/>
      <c r="E6558"/>
    </row>
    <row r="6559" spans="2:5" x14ac:dyDescent="0.25">
      <c r="B6559"/>
      <c r="C6559"/>
      <c r="D6559"/>
      <c r="E6559"/>
    </row>
    <row r="6560" spans="2:5" x14ac:dyDescent="0.25">
      <c r="B6560"/>
      <c r="C6560"/>
      <c r="D6560"/>
      <c r="E6560"/>
    </row>
    <row r="6561" spans="2:5" x14ac:dyDescent="0.25">
      <c r="B6561"/>
      <c r="C6561"/>
      <c r="D6561"/>
      <c r="E6561"/>
    </row>
    <row r="6562" spans="2:5" x14ac:dyDescent="0.25">
      <c r="B6562"/>
      <c r="C6562"/>
      <c r="D6562"/>
      <c r="E6562"/>
    </row>
    <row r="6563" spans="2:5" x14ac:dyDescent="0.25">
      <c r="B6563"/>
      <c r="C6563"/>
      <c r="D6563"/>
      <c r="E6563"/>
    </row>
    <row r="6564" spans="2:5" x14ac:dyDescent="0.25">
      <c r="B6564"/>
      <c r="C6564"/>
      <c r="D6564"/>
      <c r="E6564"/>
    </row>
    <row r="6565" spans="2:5" x14ac:dyDescent="0.25">
      <c r="B6565"/>
      <c r="C6565"/>
      <c r="D6565"/>
      <c r="E6565"/>
    </row>
    <row r="6566" spans="2:5" x14ac:dyDescent="0.25">
      <c r="B6566"/>
      <c r="C6566"/>
      <c r="D6566"/>
      <c r="E6566"/>
    </row>
    <row r="6567" spans="2:5" x14ac:dyDescent="0.25">
      <c r="B6567"/>
      <c r="C6567"/>
      <c r="D6567"/>
      <c r="E6567"/>
    </row>
    <row r="6568" spans="2:5" x14ac:dyDescent="0.25">
      <c r="B6568"/>
      <c r="C6568"/>
      <c r="D6568"/>
      <c r="E6568"/>
    </row>
    <row r="6569" spans="2:5" x14ac:dyDescent="0.25">
      <c r="B6569"/>
      <c r="C6569"/>
      <c r="D6569"/>
      <c r="E6569"/>
    </row>
    <row r="6570" spans="2:5" x14ac:dyDescent="0.25">
      <c r="B6570"/>
      <c r="C6570"/>
      <c r="D6570"/>
      <c r="E6570"/>
    </row>
    <row r="6571" spans="2:5" x14ac:dyDescent="0.25">
      <c r="B6571"/>
      <c r="C6571"/>
      <c r="D6571"/>
      <c r="E6571"/>
    </row>
    <row r="6572" spans="2:5" x14ac:dyDescent="0.25">
      <c r="B6572"/>
      <c r="C6572"/>
      <c r="D6572"/>
      <c r="E6572"/>
    </row>
    <row r="6573" spans="2:5" x14ac:dyDescent="0.25">
      <c r="B6573"/>
      <c r="C6573"/>
      <c r="D6573"/>
      <c r="E6573"/>
    </row>
    <row r="6574" spans="2:5" x14ac:dyDescent="0.25">
      <c r="B6574"/>
      <c r="C6574"/>
      <c r="D6574"/>
      <c r="E6574"/>
    </row>
    <row r="6575" spans="2:5" x14ac:dyDescent="0.25">
      <c r="B6575"/>
      <c r="C6575"/>
      <c r="D6575"/>
      <c r="E6575"/>
    </row>
    <row r="6576" spans="2:5" x14ac:dyDescent="0.25">
      <c r="B6576"/>
      <c r="C6576"/>
      <c r="D6576"/>
      <c r="E6576"/>
    </row>
    <row r="6577" spans="2:5" x14ac:dyDescent="0.25">
      <c r="B6577"/>
      <c r="C6577"/>
      <c r="D6577"/>
      <c r="E6577"/>
    </row>
    <row r="6578" spans="2:5" x14ac:dyDescent="0.25">
      <c r="B6578"/>
      <c r="C6578"/>
      <c r="D6578"/>
      <c r="E6578"/>
    </row>
    <row r="6579" spans="2:5" x14ac:dyDescent="0.25">
      <c r="B6579"/>
      <c r="C6579"/>
      <c r="D6579"/>
      <c r="E6579"/>
    </row>
    <row r="6580" spans="2:5" x14ac:dyDescent="0.25">
      <c r="B6580"/>
      <c r="C6580"/>
      <c r="D6580"/>
      <c r="E6580"/>
    </row>
    <row r="6581" spans="2:5" x14ac:dyDescent="0.25">
      <c r="B6581"/>
      <c r="C6581"/>
      <c r="D6581"/>
      <c r="E6581"/>
    </row>
    <row r="6582" spans="2:5" x14ac:dyDescent="0.25">
      <c r="B6582"/>
      <c r="C6582"/>
      <c r="D6582"/>
      <c r="E6582"/>
    </row>
    <row r="6583" spans="2:5" x14ac:dyDescent="0.25">
      <c r="B6583"/>
      <c r="C6583"/>
      <c r="D6583"/>
      <c r="E6583"/>
    </row>
    <row r="6584" spans="2:5" x14ac:dyDescent="0.25">
      <c r="B6584"/>
      <c r="C6584"/>
      <c r="D6584"/>
      <c r="E6584"/>
    </row>
    <row r="6585" spans="2:5" x14ac:dyDescent="0.25">
      <c r="B6585"/>
      <c r="C6585"/>
      <c r="D6585"/>
      <c r="E6585"/>
    </row>
    <row r="6586" spans="2:5" x14ac:dyDescent="0.25">
      <c r="B6586"/>
      <c r="C6586"/>
      <c r="D6586"/>
      <c r="E6586"/>
    </row>
    <row r="6587" spans="2:5" x14ac:dyDescent="0.25">
      <c r="B6587"/>
      <c r="C6587"/>
      <c r="D6587"/>
      <c r="E6587"/>
    </row>
    <row r="6588" spans="2:5" x14ac:dyDescent="0.25">
      <c r="B6588"/>
      <c r="C6588"/>
      <c r="D6588"/>
      <c r="E6588"/>
    </row>
    <row r="6589" spans="2:5" x14ac:dyDescent="0.25">
      <c r="B6589"/>
      <c r="C6589"/>
      <c r="D6589"/>
      <c r="E6589"/>
    </row>
    <row r="6590" spans="2:5" x14ac:dyDescent="0.25">
      <c r="B6590"/>
      <c r="C6590"/>
      <c r="D6590"/>
      <c r="E6590"/>
    </row>
    <row r="6591" spans="2:5" x14ac:dyDescent="0.25">
      <c r="B6591"/>
      <c r="C6591"/>
      <c r="D6591"/>
      <c r="E6591"/>
    </row>
    <row r="6592" spans="2:5" x14ac:dyDescent="0.25">
      <c r="B6592"/>
      <c r="C6592"/>
      <c r="D6592"/>
      <c r="E6592"/>
    </row>
    <row r="6593" spans="2:5" x14ac:dyDescent="0.25">
      <c r="B6593"/>
      <c r="C6593"/>
      <c r="D6593"/>
      <c r="E6593"/>
    </row>
    <row r="6594" spans="2:5" x14ac:dyDescent="0.25">
      <c r="B6594"/>
      <c r="C6594"/>
      <c r="D6594"/>
      <c r="E6594"/>
    </row>
    <row r="6595" spans="2:5" x14ac:dyDescent="0.25">
      <c r="B6595"/>
      <c r="C6595"/>
      <c r="D6595"/>
      <c r="E6595"/>
    </row>
    <row r="6596" spans="2:5" x14ac:dyDescent="0.25">
      <c r="B6596"/>
      <c r="C6596"/>
      <c r="D6596"/>
      <c r="E6596"/>
    </row>
    <row r="6597" spans="2:5" x14ac:dyDescent="0.25">
      <c r="B6597"/>
      <c r="C6597"/>
      <c r="D6597"/>
      <c r="E6597"/>
    </row>
    <row r="6598" spans="2:5" x14ac:dyDescent="0.25">
      <c r="B6598"/>
      <c r="C6598"/>
      <c r="D6598"/>
      <c r="E6598"/>
    </row>
    <row r="6599" spans="2:5" x14ac:dyDescent="0.25">
      <c r="B6599"/>
      <c r="C6599"/>
      <c r="D6599"/>
      <c r="E6599"/>
    </row>
    <row r="6600" spans="2:5" x14ac:dyDescent="0.25">
      <c r="B6600"/>
      <c r="C6600"/>
      <c r="D6600"/>
      <c r="E6600"/>
    </row>
    <row r="6601" spans="2:5" x14ac:dyDescent="0.25">
      <c r="B6601"/>
      <c r="C6601"/>
      <c r="D6601"/>
      <c r="E6601"/>
    </row>
    <row r="6602" spans="2:5" x14ac:dyDescent="0.25">
      <c r="B6602"/>
      <c r="C6602"/>
      <c r="D6602"/>
      <c r="E6602"/>
    </row>
    <row r="6603" spans="2:5" x14ac:dyDescent="0.25">
      <c r="B6603"/>
      <c r="C6603"/>
      <c r="D6603"/>
      <c r="E6603"/>
    </row>
    <row r="6604" spans="2:5" x14ac:dyDescent="0.25">
      <c r="B6604"/>
      <c r="C6604"/>
      <c r="D6604"/>
      <c r="E6604"/>
    </row>
    <row r="6605" spans="2:5" x14ac:dyDescent="0.25">
      <c r="B6605"/>
      <c r="C6605"/>
      <c r="D6605"/>
      <c r="E6605"/>
    </row>
    <row r="6606" spans="2:5" x14ac:dyDescent="0.25">
      <c r="B6606"/>
      <c r="C6606"/>
      <c r="D6606"/>
      <c r="E6606"/>
    </row>
    <row r="6607" spans="2:5" x14ac:dyDescent="0.25">
      <c r="B6607"/>
      <c r="C6607"/>
      <c r="D6607"/>
      <c r="E6607"/>
    </row>
    <row r="6608" spans="2:5" x14ac:dyDescent="0.25">
      <c r="B6608"/>
      <c r="C6608"/>
      <c r="D6608"/>
      <c r="E6608"/>
    </row>
    <row r="6609" spans="2:5" x14ac:dyDescent="0.25">
      <c r="B6609"/>
      <c r="C6609"/>
      <c r="D6609"/>
      <c r="E6609"/>
    </row>
    <row r="6610" spans="2:5" x14ac:dyDescent="0.25">
      <c r="B6610"/>
      <c r="C6610"/>
      <c r="D6610"/>
      <c r="E6610"/>
    </row>
    <row r="6611" spans="2:5" x14ac:dyDescent="0.25">
      <c r="B6611"/>
      <c r="C6611"/>
      <c r="D6611"/>
      <c r="E6611"/>
    </row>
    <row r="6612" spans="2:5" x14ac:dyDescent="0.25">
      <c r="B6612"/>
      <c r="C6612"/>
      <c r="D6612"/>
      <c r="E6612"/>
    </row>
    <row r="6613" spans="2:5" x14ac:dyDescent="0.25">
      <c r="B6613"/>
      <c r="C6613"/>
      <c r="D6613"/>
      <c r="E6613"/>
    </row>
    <row r="6614" spans="2:5" x14ac:dyDescent="0.25">
      <c r="B6614"/>
      <c r="C6614"/>
      <c r="D6614"/>
      <c r="E6614"/>
    </row>
    <row r="6615" spans="2:5" x14ac:dyDescent="0.25">
      <c r="B6615"/>
      <c r="C6615"/>
      <c r="D6615"/>
      <c r="E6615"/>
    </row>
    <row r="6616" spans="2:5" x14ac:dyDescent="0.25">
      <c r="B6616"/>
      <c r="C6616"/>
      <c r="D6616"/>
      <c r="E6616"/>
    </row>
    <row r="6617" spans="2:5" x14ac:dyDescent="0.25">
      <c r="B6617"/>
      <c r="C6617"/>
      <c r="D6617"/>
      <c r="E6617"/>
    </row>
    <row r="6618" spans="2:5" x14ac:dyDescent="0.25">
      <c r="B6618"/>
      <c r="C6618"/>
      <c r="D6618"/>
      <c r="E6618"/>
    </row>
    <row r="6619" spans="2:5" x14ac:dyDescent="0.25">
      <c r="B6619"/>
      <c r="C6619"/>
      <c r="D6619"/>
      <c r="E6619"/>
    </row>
    <row r="6620" spans="2:5" x14ac:dyDescent="0.25">
      <c r="B6620"/>
      <c r="C6620"/>
      <c r="D6620"/>
      <c r="E6620"/>
    </row>
    <row r="6621" spans="2:5" x14ac:dyDescent="0.25">
      <c r="B6621"/>
      <c r="C6621"/>
      <c r="D6621"/>
      <c r="E6621"/>
    </row>
    <row r="6622" spans="2:5" x14ac:dyDescent="0.25">
      <c r="B6622"/>
      <c r="C6622"/>
      <c r="D6622"/>
      <c r="E6622"/>
    </row>
    <row r="6623" spans="2:5" x14ac:dyDescent="0.25">
      <c r="B6623"/>
      <c r="C6623"/>
      <c r="D6623"/>
      <c r="E6623"/>
    </row>
    <row r="6624" spans="2:5" x14ac:dyDescent="0.25">
      <c r="B6624"/>
      <c r="C6624"/>
      <c r="D6624"/>
      <c r="E6624"/>
    </row>
    <row r="6625" spans="2:5" x14ac:dyDescent="0.25">
      <c r="B6625"/>
      <c r="C6625"/>
      <c r="D6625"/>
      <c r="E6625"/>
    </row>
    <row r="6626" spans="2:5" x14ac:dyDescent="0.25">
      <c r="B6626"/>
      <c r="C6626"/>
      <c r="D6626"/>
      <c r="E6626"/>
    </row>
    <row r="6627" spans="2:5" x14ac:dyDescent="0.25">
      <c r="B6627"/>
      <c r="C6627"/>
      <c r="D6627"/>
      <c r="E6627"/>
    </row>
    <row r="6628" spans="2:5" x14ac:dyDescent="0.25">
      <c r="B6628"/>
      <c r="C6628"/>
      <c r="D6628"/>
      <c r="E6628"/>
    </row>
    <row r="6629" spans="2:5" x14ac:dyDescent="0.25">
      <c r="B6629"/>
      <c r="C6629"/>
      <c r="D6629"/>
      <c r="E6629"/>
    </row>
    <row r="6630" spans="2:5" x14ac:dyDescent="0.25">
      <c r="B6630"/>
      <c r="C6630"/>
      <c r="D6630"/>
      <c r="E6630"/>
    </row>
    <row r="6631" spans="2:5" x14ac:dyDescent="0.25">
      <c r="B6631"/>
      <c r="C6631"/>
      <c r="D6631"/>
      <c r="E6631"/>
    </row>
    <row r="6632" spans="2:5" x14ac:dyDescent="0.25">
      <c r="B6632"/>
      <c r="C6632"/>
      <c r="D6632"/>
      <c r="E6632"/>
    </row>
    <row r="6633" spans="2:5" x14ac:dyDescent="0.25">
      <c r="B6633"/>
      <c r="C6633"/>
      <c r="D6633"/>
      <c r="E6633"/>
    </row>
    <row r="6634" spans="2:5" x14ac:dyDescent="0.25">
      <c r="B6634"/>
      <c r="C6634"/>
      <c r="D6634"/>
      <c r="E6634"/>
    </row>
    <row r="6635" spans="2:5" x14ac:dyDescent="0.25">
      <c r="B6635"/>
      <c r="C6635"/>
      <c r="D6635"/>
      <c r="E6635"/>
    </row>
    <row r="6636" spans="2:5" x14ac:dyDescent="0.25">
      <c r="B6636"/>
      <c r="C6636"/>
      <c r="D6636"/>
      <c r="E6636"/>
    </row>
    <row r="6637" spans="2:5" x14ac:dyDescent="0.25">
      <c r="B6637"/>
      <c r="C6637"/>
      <c r="D6637"/>
      <c r="E6637"/>
    </row>
    <row r="6638" spans="2:5" x14ac:dyDescent="0.25">
      <c r="B6638"/>
      <c r="C6638"/>
      <c r="D6638"/>
      <c r="E6638"/>
    </row>
    <row r="6639" spans="2:5" x14ac:dyDescent="0.25">
      <c r="B6639"/>
      <c r="C6639"/>
      <c r="D6639"/>
      <c r="E6639"/>
    </row>
    <row r="6640" spans="2:5" x14ac:dyDescent="0.25">
      <c r="B6640"/>
      <c r="C6640"/>
      <c r="D6640"/>
      <c r="E6640"/>
    </row>
    <row r="6641" spans="2:5" x14ac:dyDescent="0.25">
      <c r="B6641"/>
      <c r="C6641"/>
      <c r="D6641"/>
      <c r="E6641"/>
    </row>
    <row r="6642" spans="2:5" x14ac:dyDescent="0.25">
      <c r="B6642"/>
      <c r="C6642"/>
      <c r="D6642"/>
      <c r="E6642"/>
    </row>
    <row r="6643" spans="2:5" x14ac:dyDescent="0.25">
      <c r="B6643"/>
      <c r="C6643"/>
      <c r="D6643"/>
      <c r="E6643"/>
    </row>
    <row r="6644" spans="2:5" x14ac:dyDescent="0.25">
      <c r="B6644"/>
      <c r="C6644"/>
      <c r="D6644"/>
      <c r="E6644"/>
    </row>
    <row r="6645" spans="2:5" x14ac:dyDescent="0.25">
      <c r="B6645"/>
      <c r="C6645"/>
      <c r="D6645"/>
      <c r="E6645"/>
    </row>
    <row r="6646" spans="2:5" x14ac:dyDescent="0.25">
      <c r="B6646"/>
      <c r="C6646"/>
      <c r="D6646"/>
      <c r="E6646"/>
    </row>
    <row r="6647" spans="2:5" x14ac:dyDescent="0.25">
      <c r="B6647"/>
      <c r="C6647"/>
      <c r="D6647"/>
      <c r="E6647"/>
    </row>
    <row r="6648" spans="2:5" x14ac:dyDescent="0.25">
      <c r="B6648"/>
      <c r="C6648"/>
      <c r="D6648"/>
      <c r="E6648"/>
    </row>
    <row r="6649" spans="2:5" x14ac:dyDescent="0.25">
      <c r="B6649"/>
      <c r="C6649"/>
      <c r="D6649"/>
      <c r="E6649"/>
    </row>
    <row r="6650" spans="2:5" x14ac:dyDescent="0.25">
      <c r="B6650"/>
      <c r="C6650"/>
      <c r="D6650"/>
      <c r="E6650"/>
    </row>
    <row r="6651" spans="2:5" x14ac:dyDescent="0.25">
      <c r="B6651"/>
      <c r="C6651"/>
      <c r="D6651"/>
      <c r="E6651"/>
    </row>
    <row r="6652" spans="2:5" x14ac:dyDescent="0.25">
      <c r="B6652"/>
      <c r="C6652"/>
      <c r="D6652"/>
      <c r="E6652"/>
    </row>
    <row r="6653" spans="2:5" x14ac:dyDescent="0.25">
      <c r="B6653"/>
      <c r="C6653"/>
      <c r="D6653"/>
      <c r="E6653"/>
    </row>
    <row r="6654" spans="2:5" x14ac:dyDescent="0.25">
      <c r="B6654"/>
      <c r="C6654"/>
      <c r="D6654"/>
      <c r="E6654"/>
    </row>
    <row r="6655" spans="2:5" x14ac:dyDescent="0.25">
      <c r="B6655"/>
      <c r="C6655"/>
      <c r="D6655"/>
      <c r="E6655"/>
    </row>
    <row r="6656" spans="2:5" x14ac:dyDescent="0.25">
      <c r="B6656"/>
      <c r="C6656"/>
      <c r="D6656"/>
      <c r="E6656"/>
    </row>
    <row r="6657" spans="2:5" x14ac:dyDescent="0.25">
      <c r="B6657"/>
      <c r="C6657"/>
      <c r="D6657"/>
      <c r="E6657"/>
    </row>
    <row r="6658" spans="2:5" x14ac:dyDescent="0.25">
      <c r="B6658"/>
      <c r="C6658"/>
      <c r="D6658"/>
      <c r="E6658"/>
    </row>
    <row r="6659" spans="2:5" x14ac:dyDescent="0.25">
      <c r="B6659"/>
      <c r="C6659"/>
      <c r="D6659"/>
      <c r="E6659"/>
    </row>
    <row r="6660" spans="2:5" x14ac:dyDescent="0.25">
      <c r="B6660"/>
      <c r="C6660"/>
      <c r="D6660"/>
      <c r="E6660"/>
    </row>
    <row r="6661" spans="2:5" x14ac:dyDescent="0.25">
      <c r="B6661"/>
      <c r="C6661"/>
      <c r="D6661"/>
      <c r="E6661"/>
    </row>
    <row r="6662" spans="2:5" x14ac:dyDescent="0.25">
      <c r="B6662"/>
      <c r="C6662"/>
      <c r="D6662"/>
      <c r="E6662"/>
    </row>
    <row r="6663" spans="2:5" x14ac:dyDescent="0.25">
      <c r="B6663"/>
      <c r="C6663"/>
      <c r="D6663"/>
      <c r="E6663"/>
    </row>
    <row r="6664" spans="2:5" x14ac:dyDescent="0.25">
      <c r="B6664"/>
      <c r="C6664"/>
      <c r="D6664"/>
      <c r="E6664"/>
    </row>
    <row r="6665" spans="2:5" x14ac:dyDescent="0.25">
      <c r="B6665"/>
      <c r="C6665"/>
      <c r="D6665"/>
      <c r="E6665"/>
    </row>
    <row r="6666" spans="2:5" x14ac:dyDescent="0.25">
      <c r="B6666"/>
      <c r="C6666"/>
      <c r="D6666"/>
      <c r="E6666"/>
    </row>
    <row r="6667" spans="2:5" x14ac:dyDescent="0.25">
      <c r="B6667"/>
      <c r="C6667"/>
      <c r="D6667"/>
      <c r="E6667"/>
    </row>
    <row r="6668" spans="2:5" x14ac:dyDescent="0.25">
      <c r="B6668"/>
      <c r="C6668"/>
      <c r="D6668"/>
      <c r="E6668"/>
    </row>
    <row r="6669" spans="2:5" x14ac:dyDescent="0.25">
      <c r="B6669"/>
      <c r="C6669"/>
      <c r="D6669"/>
      <c r="E6669"/>
    </row>
    <row r="6670" spans="2:5" x14ac:dyDescent="0.25">
      <c r="B6670"/>
      <c r="C6670"/>
      <c r="D6670"/>
      <c r="E6670"/>
    </row>
    <row r="6671" spans="2:5" x14ac:dyDescent="0.25">
      <c r="B6671"/>
      <c r="C6671"/>
      <c r="D6671"/>
      <c r="E6671"/>
    </row>
    <row r="6672" spans="2:5" x14ac:dyDescent="0.25">
      <c r="B6672"/>
      <c r="C6672"/>
      <c r="D6672"/>
      <c r="E6672"/>
    </row>
    <row r="6673" spans="2:5" x14ac:dyDescent="0.25">
      <c r="B6673"/>
      <c r="C6673"/>
      <c r="D6673"/>
      <c r="E6673"/>
    </row>
    <row r="6674" spans="2:5" x14ac:dyDescent="0.25">
      <c r="B6674"/>
      <c r="C6674"/>
      <c r="D6674"/>
      <c r="E6674"/>
    </row>
    <row r="6675" spans="2:5" x14ac:dyDescent="0.25">
      <c r="B6675"/>
      <c r="C6675"/>
      <c r="D6675"/>
      <c r="E6675"/>
    </row>
    <row r="6676" spans="2:5" x14ac:dyDescent="0.25">
      <c r="B6676"/>
      <c r="C6676"/>
      <c r="D6676"/>
      <c r="E6676"/>
    </row>
    <row r="6677" spans="2:5" x14ac:dyDescent="0.25">
      <c r="B6677"/>
      <c r="C6677"/>
      <c r="D6677"/>
      <c r="E6677"/>
    </row>
    <row r="6678" spans="2:5" x14ac:dyDescent="0.25">
      <c r="B6678"/>
      <c r="C6678"/>
      <c r="D6678"/>
      <c r="E6678"/>
    </row>
    <row r="6679" spans="2:5" x14ac:dyDescent="0.25">
      <c r="B6679"/>
      <c r="C6679"/>
      <c r="D6679"/>
      <c r="E6679"/>
    </row>
    <row r="6680" spans="2:5" x14ac:dyDescent="0.25">
      <c r="B6680"/>
      <c r="C6680"/>
      <c r="D6680"/>
      <c r="E6680"/>
    </row>
    <row r="6681" spans="2:5" x14ac:dyDescent="0.25">
      <c r="B6681"/>
      <c r="C6681"/>
      <c r="D6681"/>
      <c r="E6681"/>
    </row>
    <row r="6682" spans="2:5" x14ac:dyDescent="0.25">
      <c r="B6682"/>
      <c r="C6682"/>
      <c r="D6682"/>
      <c r="E6682"/>
    </row>
    <row r="6683" spans="2:5" x14ac:dyDescent="0.25">
      <c r="B6683"/>
      <c r="C6683"/>
      <c r="D6683"/>
      <c r="E6683"/>
    </row>
    <row r="6684" spans="2:5" x14ac:dyDescent="0.25">
      <c r="B6684"/>
      <c r="C6684"/>
      <c r="D6684"/>
      <c r="E6684"/>
    </row>
    <row r="6685" spans="2:5" x14ac:dyDescent="0.25">
      <c r="B6685"/>
      <c r="C6685"/>
      <c r="D6685"/>
      <c r="E6685"/>
    </row>
    <row r="6686" spans="2:5" x14ac:dyDescent="0.25">
      <c r="B6686"/>
      <c r="C6686"/>
      <c r="D6686"/>
      <c r="E6686"/>
    </row>
    <row r="6687" spans="2:5" x14ac:dyDescent="0.25">
      <c r="B6687"/>
      <c r="C6687"/>
      <c r="D6687"/>
      <c r="E6687"/>
    </row>
    <row r="6688" spans="2:5" x14ac:dyDescent="0.25">
      <c r="B6688"/>
      <c r="C6688"/>
      <c r="D6688"/>
      <c r="E6688"/>
    </row>
    <row r="6689" spans="2:5" x14ac:dyDescent="0.25">
      <c r="B6689"/>
      <c r="C6689"/>
      <c r="D6689"/>
      <c r="E6689"/>
    </row>
    <row r="6690" spans="2:5" x14ac:dyDescent="0.25">
      <c r="B6690"/>
      <c r="C6690"/>
      <c r="D6690"/>
      <c r="E6690"/>
    </row>
    <row r="6691" spans="2:5" x14ac:dyDescent="0.25">
      <c r="B6691"/>
      <c r="C6691"/>
      <c r="D6691"/>
      <c r="E6691"/>
    </row>
    <row r="6692" spans="2:5" x14ac:dyDescent="0.25">
      <c r="B6692"/>
      <c r="C6692"/>
      <c r="D6692"/>
      <c r="E6692"/>
    </row>
    <row r="6693" spans="2:5" x14ac:dyDescent="0.25">
      <c r="B6693"/>
      <c r="C6693"/>
      <c r="D6693"/>
      <c r="E6693"/>
    </row>
    <row r="6694" spans="2:5" x14ac:dyDescent="0.25">
      <c r="B6694"/>
      <c r="C6694"/>
      <c r="D6694"/>
      <c r="E6694"/>
    </row>
    <row r="6695" spans="2:5" x14ac:dyDescent="0.25">
      <c r="B6695"/>
      <c r="C6695"/>
      <c r="D6695"/>
      <c r="E6695"/>
    </row>
    <row r="6696" spans="2:5" x14ac:dyDescent="0.25">
      <c r="B6696"/>
      <c r="C6696"/>
      <c r="D6696"/>
      <c r="E6696"/>
    </row>
    <row r="6697" spans="2:5" x14ac:dyDescent="0.25">
      <c r="B6697"/>
      <c r="C6697"/>
      <c r="D6697"/>
      <c r="E6697"/>
    </row>
    <row r="6698" spans="2:5" x14ac:dyDescent="0.25">
      <c r="B6698"/>
      <c r="C6698"/>
      <c r="D6698"/>
      <c r="E6698"/>
    </row>
    <row r="6699" spans="2:5" x14ac:dyDescent="0.25">
      <c r="B6699"/>
      <c r="C6699"/>
      <c r="D6699"/>
      <c r="E6699"/>
    </row>
    <row r="6700" spans="2:5" x14ac:dyDescent="0.25">
      <c r="B6700"/>
      <c r="C6700"/>
      <c r="D6700"/>
      <c r="E6700"/>
    </row>
    <row r="6701" spans="2:5" x14ac:dyDescent="0.25">
      <c r="B6701"/>
      <c r="C6701"/>
      <c r="D6701"/>
      <c r="E6701"/>
    </row>
    <row r="6702" spans="2:5" x14ac:dyDescent="0.25">
      <c r="B6702"/>
      <c r="C6702"/>
      <c r="D6702"/>
      <c r="E6702"/>
    </row>
    <row r="6703" spans="2:5" x14ac:dyDescent="0.25">
      <c r="B6703"/>
      <c r="C6703"/>
      <c r="D6703"/>
      <c r="E6703"/>
    </row>
    <row r="6704" spans="2:5" x14ac:dyDescent="0.25">
      <c r="B6704"/>
      <c r="C6704"/>
      <c r="D6704"/>
      <c r="E6704"/>
    </row>
    <row r="6705" spans="2:5" x14ac:dyDescent="0.25">
      <c r="B6705"/>
      <c r="C6705"/>
      <c r="D6705"/>
      <c r="E6705"/>
    </row>
    <row r="6706" spans="2:5" x14ac:dyDescent="0.25">
      <c r="B6706"/>
      <c r="C6706"/>
      <c r="D6706"/>
      <c r="E6706"/>
    </row>
    <row r="6707" spans="2:5" x14ac:dyDescent="0.25">
      <c r="B6707"/>
      <c r="C6707"/>
      <c r="D6707"/>
      <c r="E6707"/>
    </row>
    <row r="6708" spans="2:5" x14ac:dyDescent="0.25">
      <c r="B6708"/>
      <c r="C6708"/>
      <c r="D6708"/>
      <c r="E6708"/>
    </row>
    <row r="6709" spans="2:5" x14ac:dyDescent="0.25">
      <c r="B6709"/>
      <c r="C6709"/>
      <c r="D6709"/>
      <c r="E6709"/>
    </row>
    <row r="6710" spans="2:5" x14ac:dyDescent="0.25">
      <c r="B6710"/>
      <c r="C6710"/>
      <c r="D6710"/>
      <c r="E6710"/>
    </row>
    <row r="6711" spans="2:5" x14ac:dyDescent="0.25">
      <c r="B6711"/>
      <c r="C6711"/>
      <c r="D6711"/>
      <c r="E6711"/>
    </row>
    <row r="6712" spans="2:5" x14ac:dyDescent="0.25">
      <c r="B6712"/>
      <c r="C6712"/>
      <c r="D6712"/>
      <c r="E6712"/>
    </row>
    <row r="6713" spans="2:5" x14ac:dyDescent="0.25">
      <c r="B6713"/>
      <c r="C6713"/>
      <c r="D6713"/>
      <c r="E6713"/>
    </row>
    <row r="6714" spans="2:5" x14ac:dyDescent="0.25">
      <c r="B6714"/>
      <c r="C6714"/>
      <c r="D6714"/>
      <c r="E6714"/>
    </row>
    <row r="6715" spans="2:5" x14ac:dyDescent="0.25">
      <c r="B6715"/>
      <c r="C6715"/>
      <c r="D6715"/>
      <c r="E6715"/>
    </row>
    <row r="6716" spans="2:5" x14ac:dyDescent="0.25">
      <c r="B6716"/>
      <c r="C6716"/>
      <c r="D6716"/>
      <c r="E6716"/>
    </row>
    <row r="6717" spans="2:5" x14ac:dyDescent="0.25">
      <c r="B6717"/>
      <c r="C6717"/>
      <c r="D6717"/>
      <c r="E6717"/>
    </row>
    <row r="6718" spans="2:5" x14ac:dyDescent="0.25">
      <c r="B6718"/>
      <c r="C6718"/>
      <c r="D6718"/>
      <c r="E6718"/>
    </row>
    <row r="6719" spans="2:5" x14ac:dyDescent="0.25">
      <c r="B6719"/>
      <c r="C6719"/>
      <c r="D6719"/>
      <c r="E6719"/>
    </row>
    <row r="6720" spans="2:5" x14ac:dyDescent="0.25">
      <c r="B6720"/>
      <c r="C6720"/>
      <c r="D6720"/>
      <c r="E6720"/>
    </row>
    <row r="6721" spans="2:5" x14ac:dyDescent="0.25">
      <c r="B6721"/>
      <c r="C6721"/>
      <c r="D6721"/>
      <c r="E6721"/>
    </row>
    <row r="6722" spans="2:5" x14ac:dyDescent="0.25">
      <c r="B6722"/>
      <c r="C6722"/>
      <c r="D6722"/>
      <c r="E6722"/>
    </row>
    <row r="6723" spans="2:5" x14ac:dyDescent="0.25">
      <c r="B6723"/>
      <c r="C6723"/>
      <c r="D6723"/>
      <c r="E6723"/>
    </row>
    <row r="6724" spans="2:5" x14ac:dyDescent="0.25">
      <c r="C6724"/>
    </row>
    <row r="6725" spans="2:5" x14ac:dyDescent="0.25">
      <c r="C6725"/>
    </row>
    <row r="6726" spans="2:5" x14ac:dyDescent="0.25">
      <c r="C6726"/>
    </row>
    <row r="6727" spans="2:5" x14ac:dyDescent="0.25">
      <c r="C6727"/>
    </row>
    <row r="6728" spans="2:5" x14ac:dyDescent="0.25">
      <c r="C6728"/>
    </row>
    <row r="6729" spans="2:5" x14ac:dyDescent="0.25">
      <c r="C6729"/>
    </row>
    <row r="6730" spans="2:5" x14ac:dyDescent="0.25">
      <c r="C6730"/>
    </row>
    <row r="6731" spans="2:5" x14ac:dyDescent="0.25">
      <c r="C6731"/>
    </row>
    <row r="6732" spans="2:5" x14ac:dyDescent="0.25">
      <c r="C6732"/>
    </row>
    <row r="6733" spans="2:5" x14ac:dyDescent="0.25">
      <c r="C6733"/>
    </row>
    <row r="6734" spans="2:5" x14ac:dyDescent="0.25">
      <c r="C6734"/>
    </row>
    <row r="6735" spans="2:5" x14ac:dyDescent="0.25">
      <c r="C6735"/>
    </row>
    <row r="6736" spans="2:5" x14ac:dyDescent="0.25">
      <c r="C6736"/>
    </row>
    <row r="6737" spans="3:3" x14ac:dyDescent="0.25">
      <c r="C6737"/>
    </row>
    <row r="6738" spans="3:3" x14ac:dyDescent="0.25">
      <c r="C6738"/>
    </row>
    <row r="6739" spans="3:3" x14ac:dyDescent="0.25">
      <c r="C6739"/>
    </row>
    <row r="6740" spans="3:3" x14ac:dyDescent="0.25">
      <c r="C6740"/>
    </row>
    <row r="6741" spans="3:3" x14ac:dyDescent="0.25">
      <c r="C6741"/>
    </row>
    <row r="6742" spans="3:3" x14ac:dyDescent="0.25">
      <c r="C6742"/>
    </row>
    <row r="6743" spans="3:3" x14ac:dyDescent="0.25">
      <c r="C6743"/>
    </row>
    <row r="6744" spans="3:3" x14ac:dyDescent="0.25">
      <c r="C6744"/>
    </row>
    <row r="6745" spans="3:3" x14ac:dyDescent="0.25">
      <c r="C6745"/>
    </row>
    <row r="6746" spans="3:3" x14ac:dyDescent="0.25">
      <c r="C6746"/>
    </row>
    <row r="6747" spans="3:3" x14ac:dyDescent="0.25">
      <c r="C6747"/>
    </row>
    <row r="6748" spans="3:3" x14ac:dyDescent="0.25">
      <c r="C6748"/>
    </row>
    <row r="6749" spans="3:3" x14ac:dyDescent="0.25">
      <c r="C6749"/>
    </row>
    <row r="6750" spans="3:3" x14ac:dyDescent="0.25">
      <c r="C6750"/>
    </row>
    <row r="6751" spans="3:3" x14ac:dyDescent="0.25">
      <c r="C6751"/>
    </row>
    <row r="6752" spans="3:3" x14ac:dyDescent="0.25">
      <c r="C6752"/>
    </row>
    <row r="6753" spans="3:3" x14ac:dyDescent="0.25">
      <c r="C6753"/>
    </row>
    <row r="6754" spans="3:3" x14ac:dyDescent="0.25">
      <c r="C6754"/>
    </row>
    <row r="6755" spans="3:3" x14ac:dyDescent="0.25">
      <c r="C6755"/>
    </row>
    <row r="6756" spans="3:3" x14ac:dyDescent="0.25">
      <c r="C6756"/>
    </row>
    <row r="6757" spans="3:3" x14ac:dyDescent="0.25">
      <c r="C6757"/>
    </row>
    <row r="6758" spans="3:3" x14ac:dyDescent="0.25">
      <c r="C6758"/>
    </row>
    <row r="6759" spans="3:3" x14ac:dyDescent="0.25">
      <c r="C6759"/>
    </row>
    <row r="6760" spans="3:3" x14ac:dyDescent="0.25">
      <c r="C6760"/>
    </row>
    <row r="6761" spans="3:3" x14ac:dyDescent="0.25">
      <c r="C6761"/>
    </row>
    <row r="6762" spans="3:3" x14ac:dyDescent="0.25">
      <c r="C6762"/>
    </row>
    <row r="6763" spans="3:3" x14ac:dyDescent="0.25">
      <c r="C6763"/>
    </row>
    <row r="6764" spans="3:3" x14ac:dyDescent="0.25">
      <c r="C6764"/>
    </row>
    <row r="6765" spans="3:3" x14ac:dyDescent="0.25">
      <c r="C6765"/>
    </row>
    <row r="6766" spans="3:3" x14ac:dyDescent="0.25">
      <c r="C6766"/>
    </row>
    <row r="6767" spans="3:3" x14ac:dyDescent="0.25">
      <c r="C6767"/>
    </row>
    <row r="6768" spans="3:3" x14ac:dyDescent="0.25">
      <c r="C6768"/>
    </row>
    <row r="6769" spans="3:3" x14ac:dyDescent="0.25">
      <c r="C6769"/>
    </row>
    <row r="6770" spans="3:3" x14ac:dyDescent="0.25">
      <c r="C6770"/>
    </row>
    <row r="6771" spans="3:3" x14ac:dyDescent="0.25">
      <c r="C6771"/>
    </row>
    <row r="6772" spans="3:3" x14ac:dyDescent="0.25">
      <c r="C6772"/>
    </row>
    <row r="6773" spans="3:3" x14ac:dyDescent="0.25">
      <c r="C6773"/>
    </row>
    <row r="6774" spans="3:3" x14ac:dyDescent="0.25">
      <c r="C6774"/>
    </row>
    <row r="6775" spans="3:3" x14ac:dyDescent="0.25">
      <c r="C6775"/>
    </row>
    <row r="6776" spans="3:3" x14ac:dyDescent="0.25">
      <c r="C6776"/>
    </row>
    <row r="6777" spans="3:3" x14ac:dyDescent="0.25">
      <c r="C6777"/>
    </row>
    <row r="6778" spans="3:3" x14ac:dyDescent="0.25">
      <c r="C6778"/>
    </row>
    <row r="6779" spans="3:3" x14ac:dyDescent="0.25">
      <c r="C6779"/>
    </row>
    <row r="6780" spans="3:3" x14ac:dyDescent="0.25">
      <c r="C6780"/>
    </row>
    <row r="6781" spans="3:3" x14ac:dyDescent="0.25">
      <c r="C6781"/>
    </row>
    <row r="6782" spans="3:3" x14ac:dyDescent="0.25">
      <c r="C6782"/>
    </row>
    <row r="6783" spans="3:3" x14ac:dyDescent="0.25">
      <c r="C6783"/>
    </row>
    <row r="6784" spans="3:3" x14ac:dyDescent="0.25">
      <c r="C6784"/>
    </row>
    <row r="6785" spans="3:3" x14ac:dyDescent="0.25">
      <c r="C6785"/>
    </row>
    <row r="6786" spans="3:3" x14ac:dyDescent="0.25">
      <c r="C6786"/>
    </row>
    <row r="6787" spans="3:3" x14ac:dyDescent="0.25">
      <c r="C6787"/>
    </row>
    <row r="6788" spans="3:3" x14ac:dyDescent="0.25">
      <c r="C6788"/>
    </row>
    <row r="6789" spans="3:3" x14ac:dyDescent="0.25">
      <c r="C6789"/>
    </row>
    <row r="6790" spans="3:3" x14ac:dyDescent="0.25">
      <c r="C6790"/>
    </row>
    <row r="6791" spans="3:3" x14ac:dyDescent="0.25">
      <c r="C6791"/>
    </row>
    <row r="6792" spans="3:3" x14ac:dyDescent="0.25">
      <c r="C6792"/>
    </row>
    <row r="6793" spans="3:3" x14ac:dyDescent="0.25">
      <c r="C6793"/>
    </row>
    <row r="6794" spans="3:3" x14ac:dyDescent="0.25">
      <c r="C6794"/>
    </row>
    <row r="6795" spans="3:3" x14ac:dyDescent="0.25">
      <c r="C6795"/>
    </row>
    <row r="6796" spans="3:3" x14ac:dyDescent="0.25">
      <c r="C6796"/>
    </row>
    <row r="6797" spans="3:3" x14ac:dyDescent="0.25">
      <c r="C6797"/>
    </row>
    <row r="6798" spans="3:3" x14ac:dyDescent="0.25">
      <c r="C6798"/>
    </row>
    <row r="6799" spans="3:3" x14ac:dyDescent="0.25">
      <c r="C6799"/>
    </row>
    <row r="6800" spans="3:3" x14ac:dyDescent="0.25">
      <c r="C6800"/>
    </row>
    <row r="6801" spans="3:3" x14ac:dyDescent="0.25">
      <c r="C6801"/>
    </row>
    <row r="6802" spans="3:3" x14ac:dyDescent="0.25">
      <c r="C6802"/>
    </row>
    <row r="6803" spans="3:3" x14ac:dyDescent="0.25">
      <c r="C6803"/>
    </row>
    <row r="6804" spans="3:3" x14ac:dyDescent="0.25">
      <c r="C6804"/>
    </row>
    <row r="6805" spans="3:3" x14ac:dyDescent="0.25">
      <c r="C6805"/>
    </row>
    <row r="6806" spans="3:3" x14ac:dyDescent="0.25">
      <c r="C6806"/>
    </row>
    <row r="6807" spans="3:3" x14ac:dyDescent="0.25">
      <c r="C6807"/>
    </row>
    <row r="6808" spans="3:3" x14ac:dyDescent="0.25">
      <c r="C6808"/>
    </row>
    <row r="6809" spans="3:3" x14ac:dyDescent="0.25">
      <c r="C6809"/>
    </row>
    <row r="6810" spans="3:3" x14ac:dyDescent="0.25">
      <c r="C6810"/>
    </row>
    <row r="6811" spans="3:3" x14ac:dyDescent="0.25">
      <c r="C6811"/>
    </row>
    <row r="6812" spans="3:3" x14ac:dyDescent="0.25">
      <c r="C6812"/>
    </row>
    <row r="6813" spans="3:3" x14ac:dyDescent="0.25">
      <c r="C6813"/>
    </row>
    <row r="6814" spans="3:3" x14ac:dyDescent="0.25">
      <c r="C6814"/>
    </row>
    <row r="6815" spans="3:3" x14ac:dyDescent="0.25">
      <c r="C6815"/>
    </row>
    <row r="6816" spans="3:3" x14ac:dyDescent="0.25">
      <c r="C6816"/>
    </row>
    <row r="6817" spans="3:3" x14ac:dyDescent="0.25">
      <c r="C6817"/>
    </row>
    <row r="6818" spans="3:3" x14ac:dyDescent="0.25">
      <c r="C6818"/>
    </row>
    <row r="6819" spans="3:3" x14ac:dyDescent="0.25">
      <c r="C6819"/>
    </row>
    <row r="6820" spans="3:3" x14ac:dyDescent="0.25">
      <c r="C6820"/>
    </row>
    <row r="6821" spans="3:3" x14ac:dyDescent="0.25">
      <c r="C6821"/>
    </row>
    <row r="6822" spans="3:3" x14ac:dyDescent="0.25">
      <c r="C6822"/>
    </row>
    <row r="6823" spans="3:3" x14ac:dyDescent="0.25">
      <c r="C6823"/>
    </row>
    <row r="6824" spans="3:3" x14ac:dyDescent="0.25">
      <c r="C6824"/>
    </row>
    <row r="6825" spans="3:3" x14ac:dyDescent="0.25">
      <c r="C6825"/>
    </row>
    <row r="6826" spans="3:3" x14ac:dyDescent="0.25">
      <c r="C6826"/>
    </row>
    <row r="6827" spans="3:3" x14ac:dyDescent="0.25">
      <c r="C6827"/>
    </row>
    <row r="6828" spans="3:3" x14ac:dyDescent="0.25">
      <c r="C6828"/>
    </row>
    <row r="6829" spans="3:3" x14ac:dyDescent="0.25">
      <c r="C6829"/>
    </row>
    <row r="6830" spans="3:3" x14ac:dyDescent="0.25">
      <c r="C6830"/>
    </row>
    <row r="6831" spans="3:3" x14ac:dyDescent="0.25">
      <c r="C6831"/>
    </row>
    <row r="6832" spans="3:3" x14ac:dyDescent="0.25">
      <c r="C6832"/>
    </row>
    <row r="6833" spans="3:3" x14ac:dyDescent="0.25">
      <c r="C6833"/>
    </row>
    <row r="6834" spans="3:3" x14ac:dyDescent="0.25">
      <c r="C6834"/>
    </row>
    <row r="6835" spans="3:3" x14ac:dyDescent="0.25">
      <c r="C6835"/>
    </row>
    <row r="6836" spans="3:3" x14ac:dyDescent="0.25">
      <c r="C6836"/>
    </row>
    <row r="6837" spans="3:3" x14ac:dyDescent="0.25">
      <c r="C6837"/>
    </row>
    <row r="6838" spans="3:3" x14ac:dyDescent="0.25">
      <c r="C6838"/>
    </row>
    <row r="6839" spans="3:3" x14ac:dyDescent="0.25">
      <c r="C6839"/>
    </row>
    <row r="6840" spans="3:3" x14ac:dyDescent="0.25">
      <c r="C6840"/>
    </row>
    <row r="6841" spans="3:3" x14ac:dyDescent="0.25">
      <c r="C6841"/>
    </row>
    <row r="6842" spans="3:3" x14ac:dyDescent="0.25">
      <c r="C6842"/>
    </row>
    <row r="6843" spans="3:3" x14ac:dyDescent="0.25">
      <c r="C6843"/>
    </row>
    <row r="6844" spans="3:3" x14ac:dyDescent="0.25">
      <c r="C6844"/>
    </row>
    <row r="6845" spans="3:3" x14ac:dyDescent="0.25">
      <c r="C6845"/>
    </row>
    <row r="6846" spans="3:3" x14ac:dyDescent="0.25">
      <c r="C6846"/>
    </row>
    <row r="6847" spans="3:3" x14ac:dyDescent="0.25">
      <c r="C6847"/>
    </row>
    <row r="6848" spans="3:3" x14ac:dyDescent="0.25">
      <c r="C6848"/>
    </row>
    <row r="6849" spans="3:3" x14ac:dyDescent="0.25">
      <c r="C6849"/>
    </row>
    <row r="6850" spans="3:3" x14ac:dyDescent="0.25">
      <c r="C6850"/>
    </row>
    <row r="6851" spans="3:3" x14ac:dyDescent="0.25">
      <c r="C6851"/>
    </row>
    <row r="6852" spans="3:3" x14ac:dyDescent="0.25">
      <c r="C6852"/>
    </row>
    <row r="6853" spans="3:3" x14ac:dyDescent="0.25">
      <c r="C6853"/>
    </row>
    <row r="6854" spans="3:3" x14ac:dyDescent="0.25">
      <c r="C6854"/>
    </row>
    <row r="6855" spans="3:3" x14ac:dyDescent="0.25">
      <c r="C6855"/>
    </row>
    <row r="6856" spans="3:3" x14ac:dyDescent="0.25">
      <c r="C6856"/>
    </row>
    <row r="6857" spans="3:3" x14ac:dyDescent="0.25">
      <c r="C6857"/>
    </row>
    <row r="6858" spans="3:3" x14ac:dyDescent="0.25">
      <c r="C6858"/>
    </row>
    <row r="6859" spans="3:3" x14ac:dyDescent="0.25">
      <c r="C6859"/>
    </row>
    <row r="6860" spans="3:3" x14ac:dyDescent="0.25">
      <c r="C6860"/>
    </row>
    <row r="6861" spans="3:3" x14ac:dyDescent="0.25">
      <c r="C6861"/>
    </row>
    <row r="6862" spans="3:3" x14ac:dyDescent="0.25">
      <c r="C6862"/>
    </row>
    <row r="6863" spans="3:3" x14ac:dyDescent="0.25">
      <c r="C6863"/>
    </row>
    <row r="6864" spans="3:3" x14ac:dyDescent="0.25">
      <c r="C6864"/>
    </row>
    <row r="6865" spans="3:3" x14ac:dyDescent="0.25">
      <c r="C6865"/>
    </row>
    <row r="6866" spans="3:3" x14ac:dyDescent="0.25">
      <c r="C6866"/>
    </row>
    <row r="6867" spans="3:3" x14ac:dyDescent="0.25">
      <c r="C6867"/>
    </row>
    <row r="6868" spans="3:3" x14ac:dyDescent="0.25">
      <c r="C6868"/>
    </row>
    <row r="6869" spans="3:3" x14ac:dyDescent="0.25">
      <c r="C6869"/>
    </row>
    <row r="6870" spans="3:3" x14ac:dyDescent="0.25">
      <c r="C6870"/>
    </row>
    <row r="6871" spans="3:3" x14ac:dyDescent="0.25">
      <c r="C6871"/>
    </row>
    <row r="6872" spans="3:3" x14ac:dyDescent="0.25">
      <c r="C6872"/>
    </row>
    <row r="6873" spans="3:3" x14ac:dyDescent="0.25">
      <c r="C6873"/>
    </row>
    <row r="6874" spans="3:3" x14ac:dyDescent="0.25">
      <c r="C6874"/>
    </row>
    <row r="6875" spans="3:3" x14ac:dyDescent="0.25">
      <c r="C6875"/>
    </row>
    <row r="6876" spans="3:3" x14ac:dyDescent="0.25">
      <c r="C6876"/>
    </row>
    <row r="6877" spans="3:3" x14ac:dyDescent="0.25">
      <c r="C6877"/>
    </row>
    <row r="6878" spans="3:3" x14ac:dyDescent="0.25">
      <c r="C6878"/>
    </row>
    <row r="6879" spans="3:3" x14ac:dyDescent="0.25">
      <c r="C6879"/>
    </row>
    <row r="6880" spans="3:3" x14ac:dyDescent="0.25">
      <c r="C6880"/>
    </row>
    <row r="6881" spans="3:3" x14ac:dyDescent="0.25">
      <c r="C6881"/>
    </row>
    <row r="6882" spans="3:3" x14ac:dyDescent="0.25">
      <c r="C6882"/>
    </row>
    <row r="6883" spans="3:3" x14ac:dyDescent="0.25">
      <c r="C6883"/>
    </row>
    <row r="6884" spans="3:3" x14ac:dyDescent="0.25">
      <c r="C6884"/>
    </row>
    <row r="6885" spans="3:3" x14ac:dyDescent="0.25">
      <c r="C6885"/>
    </row>
    <row r="6886" spans="3:3" x14ac:dyDescent="0.25">
      <c r="C6886"/>
    </row>
    <row r="6887" spans="3:3" x14ac:dyDescent="0.25">
      <c r="C6887"/>
    </row>
    <row r="6888" spans="3:3" x14ac:dyDescent="0.25">
      <c r="C6888"/>
    </row>
    <row r="6889" spans="3:3" x14ac:dyDescent="0.25">
      <c r="C6889"/>
    </row>
    <row r="6890" spans="3:3" x14ac:dyDescent="0.25">
      <c r="C6890"/>
    </row>
    <row r="6891" spans="3:3" x14ac:dyDescent="0.25">
      <c r="C6891"/>
    </row>
    <row r="6892" spans="3:3" x14ac:dyDescent="0.25">
      <c r="C6892"/>
    </row>
    <row r="6893" spans="3:3" x14ac:dyDescent="0.25">
      <c r="C6893"/>
    </row>
    <row r="6894" spans="3:3" x14ac:dyDescent="0.25">
      <c r="C6894"/>
    </row>
    <row r="6895" spans="3:3" x14ac:dyDescent="0.25">
      <c r="C6895"/>
    </row>
    <row r="6896" spans="3:3" x14ac:dyDescent="0.25">
      <c r="C6896"/>
    </row>
    <row r="6897" spans="3:3" x14ac:dyDescent="0.25">
      <c r="C6897"/>
    </row>
    <row r="6898" spans="3:3" x14ac:dyDescent="0.25">
      <c r="C6898"/>
    </row>
    <row r="6899" spans="3:3" x14ac:dyDescent="0.25">
      <c r="C6899"/>
    </row>
    <row r="6900" spans="3:3" x14ac:dyDescent="0.25">
      <c r="C6900"/>
    </row>
    <row r="6901" spans="3:3" x14ac:dyDescent="0.25">
      <c r="C6901"/>
    </row>
    <row r="6902" spans="3:3" x14ac:dyDescent="0.25">
      <c r="C6902"/>
    </row>
    <row r="6903" spans="3:3" x14ac:dyDescent="0.25">
      <c r="C6903"/>
    </row>
    <row r="6904" spans="3:3" x14ac:dyDescent="0.25">
      <c r="C6904"/>
    </row>
    <row r="6905" spans="3:3" x14ac:dyDescent="0.25">
      <c r="C6905"/>
    </row>
    <row r="6906" spans="3:3" x14ac:dyDescent="0.25">
      <c r="C6906"/>
    </row>
    <row r="6907" spans="3:3" x14ac:dyDescent="0.25">
      <c r="C6907"/>
    </row>
    <row r="6908" spans="3:3" x14ac:dyDescent="0.25">
      <c r="C6908"/>
    </row>
    <row r="6909" spans="3:3" x14ac:dyDescent="0.25">
      <c r="C6909"/>
    </row>
    <row r="6910" spans="3:3" x14ac:dyDescent="0.25">
      <c r="C6910"/>
    </row>
    <row r="6911" spans="3:3" x14ac:dyDescent="0.25">
      <c r="C6911"/>
    </row>
    <row r="6912" spans="3:3" x14ac:dyDescent="0.25">
      <c r="C6912"/>
    </row>
    <row r="6913" spans="3:3" x14ac:dyDescent="0.25">
      <c r="C6913"/>
    </row>
    <row r="6914" spans="3:3" x14ac:dyDescent="0.25">
      <c r="C6914"/>
    </row>
    <row r="6915" spans="3:3" x14ac:dyDescent="0.25">
      <c r="C6915"/>
    </row>
    <row r="6916" spans="3:3" x14ac:dyDescent="0.25">
      <c r="C6916"/>
    </row>
    <row r="6917" spans="3:3" x14ac:dyDescent="0.25">
      <c r="C6917"/>
    </row>
    <row r="6918" spans="3:3" x14ac:dyDescent="0.25">
      <c r="C6918"/>
    </row>
    <row r="6919" spans="3:3" x14ac:dyDescent="0.25">
      <c r="C6919"/>
    </row>
    <row r="6920" spans="3:3" x14ac:dyDescent="0.25">
      <c r="C6920"/>
    </row>
    <row r="6921" spans="3:3" x14ac:dyDescent="0.25">
      <c r="C6921"/>
    </row>
    <row r="6922" spans="3:3" x14ac:dyDescent="0.25">
      <c r="C6922"/>
    </row>
    <row r="6923" spans="3:3" x14ac:dyDescent="0.25">
      <c r="C6923"/>
    </row>
    <row r="6924" spans="3:3" x14ac:dyDescent="0.25">
      <c r="C6924"/>
    </row>
    <row r="6925" spans="3:3" x14ac:dyDescent="0.25">
      <c r="C6925"/>
    </row>
    <row r="6926" spans="3:3" x14ac:dyDescent="0.25">
      <c r="C6926"/>
    </row>
    <row r="6927" spans="3:3" x14ac:dyDescent="0.25">
      <c r="C6927"/>
    </row>
    <row r="6928" spans="3:3" x14ac:dyDescent="0.25">
      <c r="C6928"/>
    </row>
    <row r="6929" spans="3:3" x14ac:dyDescent="0.25">
      <c r="C6929"/>
    </row>
    <row r="6930" spans="3:3" x14ac:dyDescent="0.25">
      <c r="C6930"/>
    </row>
    <row r="6931" spans="3:3" x14ac:dyDescent="0.25">
      <c r="C6931"/>
    </row>
    <row r="6932" spans="3:3" x14ac:dyDescent="0.25">
      <c r="C6932"/>
    </row>
    <row r="6933" spans="3:3" x14ac:dyDescent="0.25">
      <c r="C6933"/>
    </row>
    <row r="6934" spans="3:3" x14ac:dyDescent="0.25">
      <c r="C6934"/>
    </row>
    <row r="6935" spans="3:3" x14ac:dyDescent="0.25">
      <c r="C6935"/>
    </row>
    <row r="6936" spans="3:3" x14ac:dyDescent="0.25">
      <c r="C6936"/>
    </row>
    <row r="6937" spans="3:3" x14ac:dyDescent="0.25">
      <c r="C6937"/>
    </row>
    <row r="6938" spans="3:3" x14ac:dyDescent="0.25">
      <c r="C6938"/>
    </row>
    <row r="6939" spans="3:3" x14ac:dyDescent="0.25">
      <c r="C6939"/>
    </row>
    <row r="6940" spans="3:3" x14ac:dyDescent="0.25">
      <c r="C6940"/>
    </row>
    <row r="6941" spans="3:3" x14ac:dyDescent="0.25">
      <c r="C6941"/>
    </row>
    <row r="6942" spans="3:3" x14ac:dyDescent="0.25">
      <c r="C6942"/>
    </row>
    <row r="6943" spans="3:3" x14ac:dyDescent="0.25">
      <c r="C6943"/>
    </row>
    <row r="6944" spans="3:3" x14ac:dyDescent="0.25">
      <c r="C6944"/>
    </row>
    <row r="6945" spans="3:3" x14ac:dyDescent="0.25">
      <c r="C6945"/>
    </row>
    <row r="6946" spans="3:3" x14ac:dyDescent="0.25">
      <c r="C6946"/>
    </row>
    <row r="6947" spans="3:3" x14ac:dyDescent="0.25">
      <c r="C6947"/>
    </row>
    <row r="6948" spans="3:3" x14ac:dyDescent="0.25">
      <c r="C6948"/>
    </row>
    <row r="6949" spans="3:3" x14ac:dyDescent="0.25">
      <c r="C6949"/>
    </row>
    <row r="6950" spans="3:3" x14ac:dyDescent="0.25">
      <c r="C6950"/>
    </row>
    <row r="6951" spans="3:3" x14ac:dyDescent="0.25">
      <c r="C6951"/>
    </row>
    <row r="6952" spans="3:3" x14ac:dyDescent="0.25">
      <c r="C6952"/>
    </row>
    <row r="6953" spans="3:3" x14ac:dyDescent="0.25">
      <c r="C6953"/>
    </row>
    <row r="6954" spans="3:3" x14ac:dyDescent="0.25">
      <c r="C6954"/>
    </row>
    <row r="6955" spans="3:3" x14ac:dyDescent="0.25">
      <c r="C6955"/>
    </row>
    <row r="6956" spans="3:3" x14ac:dyDescent="0.25">
      <c r="C6956"/>
    </row>
    <row r="6957" spans="3:3" x14ac:dyDescent="0.25">
      <c r="C6957"/>
    </row>
    <row r="6958" spans="3:3" x14ac:dyDescent="0.25">
      <c r="C6958"/>
    </row>
    <row r="6959" spans="3:3" x14ac:dyDescent="0.25">
      <c r="C6959"/>
    </row>
    <row r="6960" spans="3:3" x14ac:dyDescent="0.25">
      <c r="C6960"/>
    </row>
    <row r="6961" spans="3:3" x14ac:dyDescent="0.25">
      <c r="C6961"/>
    </row>
    <row r="6962" spans="3:3" x14ac:dyDescent="0.25">
      <c r="C6962"/>
    </row>
    <row r="6963" spans="3:3" x14ac:dyDescent="0.25">
      <c r="C6963"/>
    </row>
    <row r="6964" spans="3:3" x14ac:dyDescent="0.25">
      <c r="C6964"/>
    </row>
    <row r="6965" spans="3:3" x14ac:dyDescent="0.25">
      <c r="C6965"/>
    </row>
    <row r="6966" spans="3:3" x14ac:dyDescent="0.25">
      <c r="C6966"/>
    </row>
    <row r="6967" spans="3:3" x14ac:dyDescent="0.25">
      <c r="C6967"/>
    </row>
    <row r="6968" spans="3:3" x14ac:dyDescent="0.25">
      <c r="C6968"/>
    </row>
    <row r="6969" spans="3:3" x14ac:dyDescent="0.25">
      <c r="C6969"/>
    </row>
    <row r="6970" spans="3:3" x14ac:dyDescent="0.25">
      <c r="C6970"/>
    </row>
    <row r="6971" spans="3:3" x14ac:dyDescent="0.25">
      <c r="C6971"/>
    </row>
    <row r="6972" spans="3:3" x14ac:dyDescent="0.25">
      <c r="C6972"/>
    </row>
    <row r="6973" spans="3:3" x14ac:dyDescent="0.25">
      <c r="C6973"/>
    </row>
    <row r="6974" spans="3:3" x14ac:dyDescent="0.25">
      <c r="C6974"/>
    </row>
    <row r="6975" spans="3:3" x14ac:dyDescent="0.25">
      <c r="C6975"/>
    </row>
    <row r="6976" spans="3:3" x14ac:dyDescent="0.25">
      <c r="C6976"/>
    </row>
    <row r="6977" spans="3:3" x14ac:dyDescent="0.25">
      <c r="C6977"/>
    </row>
    <row r="6978" spans="3:3" x14ac:dyDescent="0.25">
      <c r="C6978"/>
    </row>
    <row r="6979" spans="3:3" x14ac:dyDescent="0.25">
      <c r="C6979"/>
    </row>
    <row r="6980" spans="3:3" x14ac:dyDescent="0.25">
      <c r="C6980"/>
    </row>
    <row r="6981" spans="3:3" x14ac:dyDescent="0.25">
      <c r="C6981"/>
    </row>
    <row r="6982" spans="3:3" x14ac:dyDescent="0.25">
      <c r="C6982"/>
    </row>
    <row r="6983" spans="3:3" x14ac:dyDescent="0.25">
      <c r="C6983"/>
    </row>
    <row r="6984" spans="3:3" x14ac:dyDescent="0.25">
      <c r="C6984"/>
    </row>
    <row r="6985" spans="3:3" x14ac:dyDescent="0.25">
      <c r="C6985"/>
    </row>
    <row r="6986" spans="3:3" x14ac:dyDescent="0.25">
      <c r="C6986"/>
    </row>
    <row r="6987" spans="3:3" x14ac:dyDescent="0.25">
      <c r="C6987"/>
    </row>
    <row r="6988" spans="3:3" x14ac:dyDescent="0.25">
      <c r="C6988"/>
    </row>
    <row r="6989" spans="3:3" x14ac:dyDescent="0.25">
      <c r="C6989"/>
    </row>
    <row r="6990" spans="3:3" x14ac:dyDescent="0.25">
      <c r="C6990"/>
    </row>
    <row r="6991" spans="3:3" x14ac:dyDescent="0.25">
      <c r="C6991"/>
    </row>
    <row r="6992" spans="3:3" x14ac:dyDescent="0.25">
      <c r="C6992"/>
    </row>
    <row r="6993" spans="3:3" x14ac:dyDescent="0.25">
      <c r="C6993"/>
    </row>
    <row r="6994" spans="3:3" x14ac:dyDescent="0.25">
      <c r="C6994"/>
    </row>
    <row r="6995" spans="3:3" x14ac:dyDescent="0.25">
      <c r="C6995"/>
    </row>
    <row r="6996" spans="3:3" x14ac:dyDescent="0.25">
      <c r="C6996"/>
    </row>
    <row r="6997" spans="3:3" x14ac:dyDescent="0.25">
      <c r="C6997"/>
    </row>
    <row r="6998" spans="3:3" x14ac:dyDescent="0.25">
      <c r="C6998"/>
    </row>
    <row r="6999" spans="3:3" x14ac:dyDescent="0.25">
      <c r="C6999"/>
    </row>
    <row r="7000" spans="3:3" x14ac:dyDescent="0.25">
      <c r="C7000"/>
    </row>
    <row r="7001" spans="3:3" x14ac:dyDescent="0.25">
      <c r="C7001"/>
    </row>
    <row r="7002" spans="3:3" x14ac:dyDescent="0.25">
      <c r="C7002"/>
    </row>
    <row r="7003" spans="3:3" x14ac:dyDescent="0.25">
      <c r="C7003"/>
    </row>
    <row r="7004" spans="3:3" x14ac:dyDescent="0.25">
      <c r="C7004"/>
    </row>
    <row r="7005" spans="3:3" x14ac:dyDescent="0.25">
      <c r="C7005"/>
    </row>
    <row r="7006" spans="3:3" x14ac:dyDescent="0.25">
      <c r="C7006"/>
    </row>
    <row r="7007" spans="3:3" x14ac:dyDescent="0.25">
      <c r="C7007"/>
    </row>
    <row r="7008" spans="3:3" x14ac:dyDescent="0.25">
      <c r="C7008"/>
    </row>
    <row r="7009" spans="3:3" x14ac:dyDescent="0.25">
      <c r="C7009"/>
    </row>
    <row r="7010" spans="3:3" x14ac:dyDescent="0.25">
      <c r="C7010"/>
    </row>
    <row r="7011" spans="3:3" x14ac:dyDescent="0.25">
      <c r="C7011"/>
    </row>
    <row r="7012" spans="3:3" x14ac:dyDescent="0.25">
      <c r="C7012"/>
    </row>
    <row r="7013" spans="3:3" x14ac:dyDescent="0.25">
      <c r="C7013"/>
    </row>
    <row r="7014" spans="3:3" x14ac:dyDescent="0.25">
      <c r="C7014"/>
    </row>
    <row r="7015" spans="3:3" x14ac:dyDescent="0.25">
      <c r="C7015"/>
    </row>
    <row r="7016" spans="3:3" x14ac:dyDescent="0.25">
      <c r="C7016"/>
    </row>
    <row r="7017" spans="3:3" x14ac:dyDescent="0.25">
      <c r="C7017"/>
    </row>
    <row r="7018" spans="3:3" x14ac:dyDescent="0.25">
      <c r="C7018"/>
    </row>
    <row r="7019" spans="3:3" x14ac:dyDescent="0.25">
      <c r="C7019"/>
    </row>
    <row r="7020" spans="3:3" x14ac:dyDescent="0.25">
      <c r="C7020"/>
    </row>
    <row r="7021" spans="3:3" x14ac:dyDescent="0.25">
      <c r="C7021"/>
    </row>
    <row r="7022" spans="3:3" x14ac:dyDescent="0.25">
      <c r="C7022"/>
    </row>
    <row r="7023" spans="3:3" x14ac:dyDescent="0.25">
      <c r="C7023"/>
    </row>
    <row r="7024" spans="3:3" x14ac:dyDescent="0.25">
      <c r="C7024"/>
    </row>
    <row r="7025" spans="3:3" x14ac:dyDescent="0.25">
      <c r="C7025"/>
    </row>
    <row r="7026" spans="3:3" x14ac:dyDescent="0.25">
      <c r="C7026"/>
    </row>
    <row r="7027" spans="3:3" x14ac:dyDescent="0.25">
      <c r="C7027"/>
    </row>
    <row r="7028" spans="3:3" x14ac:dyDescent="0.25">
      <c r="C7028"/>
    </row>
    <row r="7029" spans="3:3" x14ac:dyDescent="0.25">
      <c r="C7029"/>
    </row>
    <row r="7030" spans="3:3" x14ac:dyDescent="0.25">
      <c r="C7030"/>
    </row>
    <row r="7031" spans="3:3" x14ac:dyDescent="0.25">
      <c r="C7031"/>
    </row>
    <row r="7032" spans="3:3" x14ac:dyDescent="0.25">
      <c r="C7032"/>
    </row>
    <row r="7033" spans="3:3" x14ac:dyDescent="0.25">
      <c r="C7033"/>
    </row>
    <row r="7034" spans="3:3" x14ac:dyDescent="0.25">
      <c r="C7034"/>
    </row>
    <row r="7035" spans="3:3" x14ac:dyDescent="0.25">
      <c r="C7035"/>
    </row>
    <row r="7036" spans="3:3" x14ac:dyDescent="0.25">
      <c r="C7036"/>
    </row>
    <row r="7037" spans="3:3" x14ac:dyDescent="0.25">
      <c r="C7037"/>
    </row>
    <row r="7038" spans="3:3" x14ac:dyDescent="0.25">
      <c r="C7038"/>
    </row>
    <row r="7039" spans="3:3" x14ac:dyDescent="0.25">
      <c r="C7039"/>
    </row>
    <row r="7040" spans="3:3" x14ac:dyDescent="0.25">
      <c r="C7040"/>
    </row>
    <row r="7041" spans="3:3" x14ac:dyDescent="0.25">
      <c r="C7041"/>
    </row>
    <row r="7042" spans="3:3" x14ac:dyDescent="0.25">
      <c r="C7042"/>
    </row>
    <row r="7043" spans="3:3" x14ac:dyDescent="0.25">
      <c r="C7043"/>
    </row>
    <row r="7044" spans="3:3" x14ac:dyDescent="0.25">
      <c r="C7044"/>
    </row>
    <row r="7045" spans="3:3" x14ac:dyDescent="0.25">
      <c r="C7045"/>
    </row>
    <row r="7046" spans="3:3" x14ac:dyDescent="0.25">
      <c r="C7046"/>
    </row>
    <row r="7047" spans="3:3" x14ac:dyDescent="0.25">
      <c r="C7047"/>
    </row>
    <row r="7048" spans="3:3" x14ac:dyDescent="0.25">
      <c r="C7048"/>
    </row>
    <row r="7049" spans="3:3" x14ac:dyDescent="0.25">
      <c r="C7049"/>
    </row>
    <row r="7050" spans="3:3" x14ac:dyDescent="0.25">
      <c r="C7050"/>
    </row>
    <row r="7051" spans="3:3" x14ac:dyDescent="0.25">
      <c r="C7051"/>
    </row>
    <row r="7052" spans="3:3" x14ac:dyDescent="0.25">
      <c r="C7052"/>
    </row>
    <row r="7053" spans="3:3" x14ac:dyDescent="0.25">
      <c r="C7053"/>
    </row>
    <row r="7054" spans="3:3" x14ac:dyDescent="0.25">
      <c r="C7054"/>
    </row>
    <row r="7055" spans="3:3" x14ac:dyDescent="0.25">
      <c r="C7055"/>
    </row>
    <row r="7056" spans="3:3" x14ac:dyDescent="0.25">
      <c r="C7056"/>
    </row>
    <row r="7057" spans="3:3" x14ac:dyDescent="0.25">
      <c r="C7057"/>
    </row>
    <row r="7058" spans="3:3" x14ac:dyDescent="0.25">
      <c r="C7058"/>
    </row>
    <row r="7059" spans="3:3" x14ac:dyDescent="0.25">
      <c r="C7059"/>
    </row>
    <row r="7060" spans="3:3" x14ac:dyDescent="0.25">
      <c r="C7060"/>
    </row>
    <row r="7061" spans="3:3" x14ac:dyDescent="0.25">
      <c r="C7061"/>
    </row>
    <row r="7062" spans="3:3" x14ac:dyDescent="0.25">
      <c r="C7062"/>
    </row>
    <row r="7063" spans="3:3" x14ac:dyDescent="0.25">
      <c r="C7063"/>
    </row>
    <row r="7064" spans="3:3" x14ac:dyDescent="0.25">
      <c r="C7064"/>
    </row>
    <row r="7065" spans="3:3" x14ac:dyDescent="0.25">
      <c r="C7065"/>
    </row>
    <row r="7066" spans="3:3" x14ac:dyDescent="0.25">
      <c r="C7066"/>
    </row>
    <row r="7067" spans="3:3" x14ac:dyDescent="0.25">
      <c r="C7067"/>
    </row>
    <row r="7068" spans="3:3" x14ac:dyDescent="0.25">
      <c r="C7068"/>
    </row>
    <row r="7069" spans="3:3" x14ac:dyDescent="0.25">
      <c r="C7069"/>
    </row>
    <row r="7070" spans="3:3" x14ac:dyDescent="0.25">
      <c r="C7070"/>
    </row>
    <row r="7071" spans="3:3" x14ac:dyDescent="0.25">
      <c r="C7071"/>
    </row>
    <row r="7072" spans="3:3" x14ac:dyDescent="0.25">
      <c r="C7072"/>
    </row>
    <row r="7073" spans="3:3" x14ac:dyDescent="0.25">
      <c r="C7073"/>
    </row>
    <row r="7074" spans="3:3" x14ac:dyDescent="0.25">
      <c r="C7074"/>
    </row>
    <row r="7075" spans="3:3" x14ac:dyDescent="0.25">
      <c r="C7075"/>
    </row>
    <row r="7076" spans="3:3" x14ac:dyDescent="0.25">
      <c r="C7076"/>
    </row>
    <row r="7077" spans="3:3" x14ac:dyDescent="0.25">
      <c r="C7077"/>
    </row>
    <row r="7078" spans="3:3" x14ac:dyDescent="0.25">
      <c r="C7078"/>
    </row>
    <row r="7079" spans="3:3" x14ac:dyDescent="0.25">
      <c r="C7079"/>
    </row>
    <row r="7080" spans="3:3" x14ac:dyDescent="0.25">
      <c r="C7080"/>
    </row>
    <row r="7081" spans="3:3" x14ac:dyDescent="0.25">
      <c r="C7081"/>
    </row>
    <row r="7082" spans="3:3" x14ac:dyDescent="0.25">
      <c r="C7082"/>
    </row>
    <row r="7083" spans="3:3" x14ac:dyDescent="0.25">
      <c r="C7083"/>
    </row>
    <row r="7084" spans="3:3" x14ac:dyDescent="0.25">
      <c r="C7084"/>
    </row>
    <row r="7085" spans="3:3" x14ac:dyDescent="0.25">
      <c r="C7085"/>
    </row>
    <row r="7086" spans="3:3" x14ac:dyDescent="0.25">
      <c r="C7086"/>
    </row>
    <row r="7087" spans="3:3" x14ac:dyDescent="0.25">
      <c r="C7087"/>
    </row>
    <row r="7088" spans="3:3" x14ac:dyDescent="0.25">
      <c r="C7088"/>
    </row>
    <row r="7089" spans="3:3" x14ac:dyDescent="0.25">
      <c r="C7089"/>
    </row>
    <row r="7090" spans="3:3" x14ac:dyDescent="0.25">
      <c r="C7090"/>
    </row>
    <row r="7091" spans="3:3" x14ac:dyDescent="0.25">
      <c r="C7091"/>
    </row>
    <row r="7092" spans="3:3" x14ac:dyDescent="0.25">
      <c r="C7092"/>
    </row>
    <row r="7093" spans="3:3" x14ac:dyDescent="0.25">
      <c r="C7093"/>
    </row>
    <row r="7094" spans="3:3" x14ac:dyDescent="0.25">
      <c r="C7094"/>
    </row>
    <row r="7095" spans="3:3" x14ac:dyDescent="0.25">
      <c r="C7095"/>
    </row>
    <row r="7096" spans="3:3" x14ac:dyDescent="0.25">
      <c r="C7096"/>
    </row>
    <row r="7097" spans="3:3" x14ac:dyDescent="0.25">
      <c r="C7097"/>
    </row>
    <row r="7098" spans="3:3" x14ac:dyDescent="0.25">
      <c r="C7098"/>
    </row>
    <row r="7099" spans="3:3" x14ac:dyDescent="0.25">
      <c r="C7099"/>
    </row>
    <row r="7100" spans="3:3" x14ac:dyDescent="0.25">
      <c r="C7100"/>
    </row>
    <row r="7101" spans="3:3" x14ac:dyDescent="0.25">
      <c r="C7101"/>
    </row>
    <row r="7102" spans="3:3" x14ac:dyDescent="0.25">
      <c r="C7102"/>
    </row>
    <row r="7103" spans="3:3" x14ac:dyDescent="0.25">
      <c r="C7103"/>
    </row>
    <row r="7104" spans="3:3" x14ac:dyDescent="0.25">
      <c r="C7104"/>
    </row>
    <row r="7105" spans="3:3" x14ac:dyDescent="0.25">
      <c r="C7105"/>
    </row>
    <row r="7106" spans="3:3" x14ac:dyDescent="0.25">
      <c r="C7106"/>
    </row>
    <row r="7107" spans="3:3" x14ac:dyDescent="0.25">
      <c r="C7107"/>
    </row>
    <row r="7108" spans="3:3" x14ac:dyDescent="0.25">
      <c r="C7108"/>
    </row>
    <row r="7109" spans="3:3" x14ac:dyDescent="0.25">
      <c r="C7109"/>
    </row>
    <row r="7110" spans="3:3" x14ac:dyDescent="0.25">
      <c r="C7110"/>
    </row>
    <row r="7111" spans="3:3" x14ac:dyDescent="0.25">
      <c r="C7111"/>
    </row>
    <row r="7112" spans="3:3" x14ac:dyDescent="0.25">
      <c r="C7112"/>
    </row>
    <row r="7113" spans="3:3" x14ac:dyDescent="0.25">
      <c r="C7113"/>
    </row>
    <row r="7114" spans="3:3" x14ac:dyDescent="0.25">
      <c r="C7114"/>
    </row>
    <row r="7115" spans="3:3" x14ac:dyDescent="0.25">
      <c r="C7115"/>
    </row>
    <row r="7116" spans="3:3" x14ac:dyDescent="0.25">
      <c r="C7116"/>
    </row>
    <row r="7117" spans="3:3" x14ac:dyDescent="0.25">
      <c r="C7117"/>
    </row>
    <row r="7118" spans="3:3" x14ac:dyDescent="0.25">
      <c r="C7118"/>
    </row>
    <row r="7119" spans="3:3" x14ac:dyDescent="0.25">
      <c r="C7119"/>
    </row>
    <row r="7120" spans="3:3" x14ac:dyDescent="0.25">
      <c r="C7120"/>
    </row>
    <row r="7121" spans="3:3" x14ac:dyDescent="0.25">
      <c r="C7121"/>
    </row>
    <row r="7122" spans="3:3" x14ac:dyDescent="0.25">
      <c r="C7122"/>
    </row>
    <row r="7123" spans="3:3" x14ac:dyDescent="0.25">
      <c r="C7123"/>
    </row>
    <row r="7124" spans="3:3" x14ac:dyDescent="0.25">
      <c r="C7124"/>
    </row>
    <row r="7125" spans="3:3" x14ac:dyDescent="0.25">
      <c r="C7125"/>
    </row>
    <row r="7126" spans="3:3" x14ac:dyDescent="0.25">
      <c r="C7126"/>
    </row>
    <row r="7127" spans="3:3" x14ac:dyDescent="0.25">
      <c r="C7127"/>
    </row>
    <row r="7128" spans="3:3" x14ac:dyDescent="0.25">
      <c r="C7128"/>
    </row>
    <row r="7129" spans="3:3" x14ac:dyDescent="0.25">
      <c r="C7129"/>
    </row>
    <row r="7130" spans="3:3" x14ac:dyDescent="0.25">
      <c r="C7130"/>
    </row>
    <row r="7131" spans="3:3" x14ac:dyDescent="0.25">
      <c r="C7131"/>
    </row>
    <row r="7132" spans="3:3" x14ac:dyDescent="0.25">
      <c r="C7132"/>
    </row>
    <row r="7133" spans="3:3" x14ac:dyDescent="0.25">
      <c r="C7133"/>
    </row>
    <row r="7134" spans="3:3" x14ac:dyDescent="0.25">
      <c r="C7134"/>
    </row>
    <row r="7135" spans="3:3" x14ac:dyDescent="0.25">
      <c r="C7135"/>
    </row>
    <row r="7136" spans="3:3" x14ac:dyDescent="0.25">
      <c r="C7136"/>
    </row>
    <row r="7137" spans="3:3" x14ac:dyDescent="0.25">
      <c r="C7137"/>
    </row>
    <row r="7138" spans="3:3" x14ac:dyDescent="0.25">
      <c r="C7138"/>
    </row>
    <row r="7139" spans="3:3" x14ac:dyDescent="0.25">
      <c r="C7139"/>
    </row>
    <row r="7140" spans="3:3" x14ac:dyDescent="0.25">
      <c r="C7140"/>
    </row>
    <row r="7141" spans="3:3" x14ac:dyDescent="0.25">
      <c r="C7141"/>
    </row>
    <row r="7142" spans="3:3" x14ac:dyDescent="0.25">
      <c r="C7142"/>
    </row>
    <row r="7143" spans="3:3" x14ac:dyDescent="0.25">
      <c r="C7143"/>
    </row>
    <row r="7144" spans="3:3" x14ac:dyDescent="0.25">
      <c r="C7144"/>
    </row>
    <row r="7145" spans="3:3" x14ac:dyDescent="0.25">
      <c r="C7145"/>
    </row>
    <row r="7146" spans="3:3" x14ac:dyDescent="0.25">
      <c r="C7146"/>
    </row>
    <row r="7147" spans="3:3" x14ac:dyDescent="0.25">
      <c r="C7147"/>
    </row>
    <row r="7148" spans="3:3" x14ac:dyDescent="0.25">
      <c r="C7148"/>
    </row>
    <row r="7149" spans="3:3" x14ac:dyDescent="0.25">
      <c r="C7149"/>
    </row>
    <row r="7150" spans="3:3" x14ac:dyDescent="0.25">
      <c r="C7150"/>
    </row>
    <row r="7151" spans="3:3" x14ac:dyDescent="0.25">
      <c r="C7151"/>
    </row>
    <row r="7152" spans="3:3" x14ac:dyDescent="0.25">
      <c r="C7152"/>
    </row>
    <row r="7153" spans="3:3" x14ac:dyDescent="0.25">
      <c r="C7153"/>
    </row>
    <row r="7154" spans="3:3" x14ac:dyDescent="0.25">
      <c r="C7154"/>
    </row>
    <row r="7155" spans="3:3" x14ac:dyDescent="0.25">
      <c r="C7155"/>
    </row>
    <row r="7156" spans="3:3" x14ac:dyDescent="0.25">
      <c r="C7156"/>
    </row>
    <row r="7157" spans="3:3" x14ac:dyDescent="0.25">
      <c r="C7157"/>
    </row>
    <row r="7158" spans="3:3" x14ac:dyDescent="0.25">
      <c r="C7158"/>
    </row>
    <row r="7159" spans="3:3" x14ac:dyDescent="0.25">
      <c r="C7159"/>
    </row>
    <row r="7160" spans="3:3" x14ac:dyDescent="0.25">
      <c r="C7160"/>
    </row>
    <row r="7161" spans="3:3" x14ac:dyDescent="0.25">
      <c r="C7161"/>
    </row>
    <row r="7162" spans="3:3" x14ac:dyDescent="0.25">
      <c r="C7162"/>
    </row>
    <row r="7163" spans="3:3" x14ac:dyDescent="0.25">
      <c r="C7163"/>
    </row>
    <row r="7164" spans="3:3" x14ac:dyDescent="0.25">
      <c r="C7164"/>
    </row>
    <row r="7165" spans="3:3" x14ac:dyDescent="0.25">
      <c r="C7165"/>
    </row>
    <row r="7166" spans="3:3" x14ac:dyDescent="0.25">
      <c r="C7166"/>
    </row>
    <row r="7167" spans="3:3" x14ac:dyDescent="0.25">
      <c r="C7167"/>
    </row>
    <row r="7168" spans="3:3" x14ac:dyDescent="0.25">
      <c r="C7168"/>
    </row>
    <row r="7169" spans="3:3" x14ac:dyDescent="0.25">
      <c r="C7169"/>
    </row>
    <row r="7170" spans="3:3" x14ac:dyDescent="0.25">
      <c r="C7170"/>
    </row>
    <row r="7171" spans="3:3" x14ac:dyDescent="0.25">
      <c r="C7171"/>
    </row>
    <row r="7172" spans="3:3" x14ac:dyDescent="0.25">
      <c r="C7172"/>
    </row>
    <row r="7173" spans="3:3" x14ac:dyDescent="0.25">
      <c r="C7173"/>
    </row>
    <row r="7174" spans="3:3" x14ac:dyDescent="0.25">
      <c r="C7174"/>
    </row>
    <row r="7175" spans="3:3" x14ac:dyDescent="0.25">
      <c r="C7175"/>
    </row>
    <row r="7176" spans="3:3" x14ac:dyDescent="0.25">
      <c r="C7176"/>
    </row>
    <row r="7177" spans="3:3" x14ac:dyDescent="0.25">
      <c r="C7177"/>
    </row>
    <row r="7178" spans="3:3" x14ac:dyDescent="0.25">
      <c r="C7178"/>
    </row>
    <row r="7179" spans="3:3" x14ac:dyDescent="0.25">
      <c r="C7179"/>
    </row>
    <row r="7180" spans="3:3" x14ac:dyDescent="0.25">
      <c r="C7180"/>
    </row>
    <row r="7181" spans="3:3" x14ac:dyDescent="0.25">
      <c r="C7181"/>
    </row>
    <row r="7182" spans="3:3" x14ac:dyDescent="0.25">
      <c r="C7182"/>
    </row>
    <row r="7183" spans="3:3" x14ac:dyDescent="0.25">
      <c r="C7183"/>
    </row>
    <row r="7184" spans="3:3" x14ac:dyDescent="0.25">
      <c r="C7184"/>
    </row>
    <row r="7185" spans="3:3" x14ac:dyDescent="0.25">
      <c r="C7185"/>
    </row>
    <row r="7186" spans="3:3" x14ac:dyDescent="0.25">
      <c r="C7186"/>
    </row>
    <row r="7187" spans="3:3" x14ac:dyDescent="0.25">
      <c r="C7187"/>
    </row>
    <row r="7188" spans="3:3" x14ac:dyDescent="0.25">
      <c r="C7188"/>
    </row>
    <row r="7189" spans="3:3" x14ac:dyDescent="0.25">
      <c r="C7189"/>
    </row>
    <row r="7190" spans="3:3" x14ac:dyDescent="0.25">
      <c r="C7190"/>
    </row>
    <row r="7191" spans="3:3" x14ac:dyDescent="0.25">
      <c r="C7191"/>
    </row>
    <row r="7192" spans="3:3" x14ac:dyDescent="0.25">
      <c r="C7192"/>
    </row>
    <row r="7193" spans="3:3" x14ac:dyDescent="0.25">
      <c r="C7193"/>
    </row>
    <row r="7194" spans="3:3" x14ac:dyDescent="0.25">
      <c r="C7194"/>
    </row>
    <row r="7195" spans="3:3" x14ac:dyDescent="0.25">
      <c r="C7195"/>
    </row>
    <row r="7196" spans="3:3" x14ac:dyDescent="0.25">
      <c r="C7196"/>
    </row>
    <row r="7197" spans="3:3" x14ac:dyDescent="0.25">
      <c r="C7197"/>
    </row>
    <row r="7198" spans="3:3" x14ac:dyDescent="0.25">
      <c r="C7198"/>
    </row>
    <row r="7199" spans="3:3" x14ac:dyDescent="0.25">
      <c r="C7199"/>
    </row>
    <row r="7200" spans="3:3" x14ac:dyDescent="0.25">
      <c r="C7200"/>
    </row>
    <row r="7201" spans="3:3" x14ac:dyDescent="0.25">
      <c r="C7201"/>
    </row>
    <row r="7202" spans="3:3" x14ac:dyDescent="0.25">
      <c r="C7202"/>
    </row>
    <row r="7203" spans="3:3" x14ac:dyDescent="0.25">
      <c r="C7203"/>
    </row>
    <row r="7204" spans="3:3" x14ac:dyDescent="0.25">
      <c r="C7204"/>
    </row>
    <row r="7205" spans="3:3" x14ac:dyDescent="0.25">
      <c r="C7205"/>
    </row>
    <row r="7206" spans="3:3" x14ac:dyDescent="0.25">
      <c r="C7206"/>
    </row>
    <row r="7207" spans="3:3" x14ac:dyDescent="0.25">
      <c r="C7207"/>
    </row>
    <row r="7208" spans="3:3" x14ac:dyDescent="0.25">
      <c r="C7208"/>
    </row>
    <row r="7209" spans="3:3" x14ac:dyDescent="0.25">
      <c r="C7209"/>
    </row>
    <row r="7210" spans="3:3" x14ac:dyDescent="0.25">
      <c r="C7210"/>
    </row>
    <row r="7211" spans="3:3" x14ac:dyDescent="0.25">
      <c r="C7211"/>
    </row>
    <row r="7212" spans="3:3" x14ac:dyDescent="0.25">
      <c r="C7212"/>
    </row>
    <row r="7213" spans="3:3" x14ac:dyDescent="0.25">
      <c r="C7213"/>
    </row>
    <row r="7214" spans="3:3" x14ac:dyDescent="0.25">
      <c r="C7214"/>
    </row>
    <row r="7215" spans="3:3" x14ac:dyDescent="0.25">
      <c r="C7215"/>
    </row>
    <row r="7216" spans="3:3" x14ac:dyDescent="0.25">
      <c r="C7216"/>
    </row>
    <row r="7217" spans="3:3" x14ac:dyDescent="0.25">
      <c r="C7217"/>
    </row>
    <row r="7218" spans="3:3" x14ac:dyDescent="0.25">
      <c r="C7218"/>
    </row>
    <row r="7219" spans="3:3" x14ac:dyDescent="0.25">
      <c r="C7219"/>
    </row>
    <row r="7220" spans="3:3" x14ac:dyDescent="0.25">
      <c r="C7220"/>
    </row>
    <row r="7221" spans="3:3" x14ac:dyDescent="0.25">
      <c r="C7221"/>
    </row>
    <row r="7222" spans="3:3" x14ac:dyDescent="0.25">
      <c r="C7222"/>
    </row>
    <row r="7223" spans="3:3" x14ac:dyDescent="0.25">
      <c r="C7223"/>
    </row>
    <row r="7224" spans="3:3" x14ac:dyDescent="0.25">
      <c r="C7224"/>
    </row>
    <row r="7225" spans="3:3" x14ac:dyDescent="0.25">
      <c r="C7225"/>
    </row>
    <row r="7226" spans="3:3" x14ac:dyDescent="0.25">
      <c r="C7226"/>
    </row>
    <row r="7227" spans="3:3" x14ac:dyDescent="0.25">
      <c r="C7227"/>
    </row>
    <row r="7228" spans="3:3" x14ac:dyDescent="0.25">
      <c r="C7228"/>
    </row>
    <row r="7229" spans="3:3" x14ac:dyDescent="0.25">
      <c r="C7229"/>
    </row>
    <row r="7230" spans="3:3" x14ac:dyDescent="0.25">
      <c r="C7230"/>
    </row>
    <row r="7231" spans="3:3" x14ac:dyDescent="0.25">
      <c r="C7231"/>
    </row>
    <row r="7232" spans="3:3" x14ac:dyDescent="0.25">
      <c r="C7232"/>
    </row>
    <row r="7233" spans="3:3" x14ac:dyDescent="0.25">
      <c r="C7233"/>
    </row>
    <row r="7234" spans="3:3" x14ac:dyDescent="0.25">
      <c r="C7234"/>
    </row>
    <row r="7235" spans="3:3" x14ac:dyDescent="0.25">
      <c r="C7235"/>
    </row>
    <row r="7236" spans="3:3" x14ac:dyDescent="0.25">
      <c r="C7236"/>
    </row>
    <row r="7237" spans="3:3" x14ac:dyDescent="0.25">
      <c r="C7237"/>
    </row>
    <row r="7238" spans="3:3" x14ac:dyDescent="0.25">
      <c r="C7238"/>
    </row>
    <row r="7239" spans="3:3" x14ac:dyDescent="0.25">
      <c r="C7239"/>
    </row>
    <row r="7240" spans="3:3" x14ac:dyDescent="0.25">
      <c r="C7240"/>
    </row>
    <row r="7241" spans="3:3" x14ac:dyDescent="0.25">
      <c r="C7241"/>
    </row>
    <row r="7242" spans="3:3" x14ac:dyDescent="0.25">
      <c r="C7242"/>
    </row>
    <row r="7243" spans="3:3" x14ac:dyDescent="0.25">
      <c r="C7243"/>
    </row>
    <row r="7244" spans="3:3" x14ac:dyDescent="0.25">
      <c r="C7244"/>
    </row>
    <row r="7245" spans="3:3" x14ac:dyDescent="0.25">
      <c r="C7245"/>
    </row>
    <row r="7246" spans="3:3" x14ac:dyDescent="0.25">
      <c r="C7246"/>
    </row>
    <row r="7247" spans="3:3" x14ac:dyDescent="0.25">
      <c r="C7247"/>
    </row>
    <row r="7248" spans="3:3" x14ac:dyDescent="0.25">
      <c r="C7248"/>
    </row>
    <row r="7249" spans="3:3" x14ac:dyDescent="0.25">
      <c r="C7249"/>
    </row>
    <row r="7250" spans="3:3" x14ac:dyDescent="0.25">
      <c r="C7250"/>
    </row>
    <row r="7251" spans="3:3" x14ac:dyDescent="0.25">
      <c r="C7251"/>
    </row>
    <row r="7252" spans="3:3" x14ac:dyDescent="0.25">
      <c r="C7252"/>
    </row>
    <row r="7253" spans="3:3" x14ac:dyDescent="0.25">
      <c r="C7253"/>
    </row>
    <row r="7254" spans="3:3" x14ac:dyDescent="0.25">
      <c r="C7254"/>
    </row>
    <row r="7255" spans="3:3" x14ac:dyDescent="0.25">
      <c r="C7255"/>
    </row>
    <row r="7256" spans="3:3" x14ac:dyDescent="0.25">
      <c r="C7256"/>
    </row>
    <row r="7257" spans="3:3" x14ac:dyDescent="0.25">
      <c r="C7257"/>
    </row>
    <row r="7258" spans="3:3" x14ac:dyDescent="0.25">
      <c r="C7258"/>
    </row>
    <row r="7259" spans="3:3" x14ac:dyDescent="0.25">
      <c r="C7259"/>
    </row>
    <row r="7260" spans="3:3" x14ac:dyDescent="0.25">
      <c r="C7260"/>
    </row>
    <row r="7261" spans="3:3" x14ac:dyDescent="0.25">
      <c r="C7261"/>
    </row>
    <row r="7262" spans="3:3" x14ac:dyDescent="0.25">
      <c r="C7262"/>
    </row>
    <row r="7263" spans="3:3" x14ac:dyDescent="0.25">
      <c r="C7263"/>
    </row>
    <row r="7264" spans="3:3" x14ac:dyDescent="0.25">
      <c r="C7264"/>
    </row>
    <row r="7265" spans="3:3" x14ac:dyDescent="0.25">
      <c r="C7265"/>
    </row>
    <row r="7266" spans="3:3" x14ac:dyDescent="0.25">
      <c r="C7266"/>
    </row>
    <row r="7267" spans="3:3" x14ac:dyDescent="0.25">
      <c r="C7267"/>
    </row>
    <row r="7268" spans="3:3" x14ac:dyDescent="0.25">
      <c r="C7268"/>
    </row>
    <row r="7269" spans="3:3" x14ac:dyDescent="0.25">
      <c r="C7269"/>
    </row>
    <row r="7270" spans="3:3" x14ac:dyDescent="0.25">
      <c r="C7270"/>
    </row>
    <row r="7271" spans="3:3" x14ac:dyDescent="0.25">
      <c r="C7271"/>
    </row>
    <row r="7272" spans="3:3" x14ac:dyDescent="0.25">
      <c r="C7272"/>
    </row>
    <row r="7273" spans="3:3" x14ac:dyDescent="0.25">
      <c r="C7273"/>
    </row>
    <row r="7274" spans="3:3" x14ac:dyDescent="0.25">
      <c r="C7274"/>
    </row>
    <row r="7275" spans="3:3" x14ac:dyDescent="0.25">
      <c r="C7275"/>
    </row>
    <row r="7276" spans="3:3" x14ac:dyDescent="0.25">
      <c r="C7276"/>
    </row>
    <row r="7277" spans="3:3" x14ac:dyDescent="0.25">
      <c r="C7277"/>
    </row>
    <row r="7278" spans="3:3" x14ac:dyDescent="0.25">
      <c r="C7278"/>
    </row>
    <row r="7279" spans="3:3" x14ac:dyDescent="0.25">
      <c r="C7279"/>
    </row>
    <row r="7280" spans="3:3" x14ac:dyDescent="0.25">
      <c r="C7280"/>
    </row>
    <row r="7281" spans="3:3" x14ac:dyDescent="0.25">
      <c r="C7281"/>
    </row>
    <row r="7282" spans="3:3" x14ac:dyDescent="0.25">
      <c r="C7282"/>
    </row>
    <row r="7283" spans="3:3" x14ac:dyDescent="0.25">
      <c r="C7283"/>
    </row>
    <row r="7284" spans="3:3" x14ac:dyDescent="0.25">
      <c r="C7284"/>
    </row>
    <row r="7285" spans="3:3" x14ac:dyDescent="0.25">
      <c r="C7285"/>
    </row>
    <row r="7286" spans="3:3" x14ac:dyDescent="0.25">
      <c r="C7286"/>
    </row>
    <row r="7287" spans="3:3" x14ac:dyDescent="0.25">
      <c r="C7287"/>
    </row>
    <row r="7288" spans="3:3" x14ac:dyDescent="0.25">
      <c r="C7288"/>
    </row>
    <row r="7289" spans="3:3" x14ac:dyDescent="0.25">
      <c r="C7289"/>
    </row>
    <row r="7290" spans="3:3" x14ac:dyDescent="0.25">
      <c r="C7290"/>
    </row>
    <row r="7291" spans="3:3" x14ac:dyDescent="0.25">
      <c r="C7291"/>
    </row>
    <row r="7292" spans="3:3" x14ac:dyDescent="0.25">
      <c r="C7292"/>
    </row>
    <row r="7293" spans="3:3" x14ac:dyDescent="0.25">
      <c r="C7293"/>
    </row>
    <row r="7294" spans="3:3" x14ac:dyDescent="0.25">
      <c r="C7294"/>
    </row>
    <row r="7295" spans="3:3" x14ac:dyDescent="0.25">
      <c r="C7295"/>
    </row>
    <row r="7296" spans="3:3" x14ac:dyDescent="0.25">
      <c r="C7296"/>
    </row>
    <row r="7297" spans="3:3" x14ac:dyDescent="0.25">
      <c r="C7297"/>
    </row>
    <row r="7298" spans="3:3" x14ac:dyDescent="0.25">
      <c r="C7298"/>
    </row>
    <row r="7299" spans="3:3" x14ac:dyDescent="0.25">
      <c r="C7299"/>
    </row>
    <row r="7300" spans="3:3" x14ac:dyDescent="0.25">
      <c r="C7300"/>
    </row>
    <row r="7301" spans="3:3" x14ac:dyDescent="0.25">
      <c r="C7301"/>
    </row>
    <row r="7302" spans="3:3" x14ac:dyDescent="0.25">
      <c r="C7302"/>
    </row>
    <row r="7303" spans="3:3" x14ac:dyDescent="0.25">
      <c r="C7303"/>
    </row>
    <row r="7304" spans="3:3" x14ac:dyDescent="0.25">
      <c r="C7304"/>
    </row>
    <row r="7305" spans="3:3" x14ac:dyDescent="0.25">
      <c r="C7305"/>
    </row>
    <row r="7306" spans="3:3" x14ac:dyDescent="0.25">
      <c r="C7306"/>
    </row>
    <row r="7307" spans="3:3" x14ac:dyDescent="0.25">
      <c r="C7307"/>
    </row>
    <row r="7308" spans="3:3" x14ac:dyDescent="0.25">
      <c r="C7308"/>
    </row>
    <row r="7309" spans="3:3" x14ac:dyDescent="0.25">
      <c r="C7309"/>
    </row>
    <row r="7310" spans="3:3" x14ac:dyDescent="0.25">
      <c r="C7310"/>
    </row>
    <row r="7311" spans="3:3" x14ac:dyDescent="0.25">
      <c r="C7311"/>
    </row>
    <row r="7312" spans="3:3" x14ac:dyDescent="0.25">
      <c r="C7312"/>
    </row>
    <row r="7313" spans="3:3" x14ac:dyDescent="0.25">
      <c r="C7313"/>
    </row>
    <row r="7314" spans="3:3" x14ac:dyDescent="0.25">
      <c r="C7314"/>
    </row>
    <row r="7315" spans="3:3" x14ac:dyDescent="0.25">
      <c r="C7315"/>
    </row>
    <row r="7316" spans="3:3" x14ac:dyDescent="0.25">
      <c r="C7316"/>
    </row>
    <row r="7317" spans="3:3" x14ac:dyDescent="0.25">
      <c r="C7317"/>
    </row>
    <row r="7318" spans="3:3" x14ac:dyDescent="0.25">
      <c r="C7318"/>
    </row>
    <row r="7319" spans="3:3" x14ac:dyDescent="0.25">
      <c r="C7319"/>
    </row>
    <row r="7320" spans="3:3" x14ac:dyDescent="0.25">
      <c r="C7320"/>
    </row>
    <row r="7321" spans="3:3" x14ac:dyDescent="0.25">
      <c r="C7321"/>
    </row>
    <row r="7322" spans="3:3" x14ac:dyDescent="0.25">
      <c r="C7322"/>
    </row>
    <row r="7323" spans="3:3" x14ac:dyDescent="0.25">
      <c r="C7323"/>
    </row>
    <row r="7324" spans="3:3" x14ac:dyDescent="0.25">
      <c r="C7324"/>
    </row>
    <row r="7325" spans="3:3" x14ac:dyDescent="0.25">
      <c r="C7325"/>
    </row>
    <row r="7326" spans="3:3" x14ac:dyDescent="0.25">
      <c r="C7326"/>
    </row>
    <row r="7327" spans="3:3" x14ac:dyDescent="0.25">
      <c r="C7327"/>
    </row>
    <row r="7328" spans="3:3" x14ac:dyDescent="0.25">
      <c r="C7328"/>
    </row>
    <row r="7329" spans="3:3" x14ac:dyDescent="0.25">
      <c r="C7329"/>
    </row>
    <row r="7330" spans="3:3" x14ac:dyDescent="0.25">
      <c r="C7330"/>
    </row>
    <row r="7331" spans="3:3" x14ac:dyDescent="0.25">
      <c r="C7331"/>
    </row>
    <row r="7332" spans="3:3" x14ac:dyDescent="0.25">
      <c r="C7332"/>
    </row>
    <row r="7333" spans="3:3" x14ac:dyDescent="0.25">
      <c r="C7333"/>
    </row>
    <row r="7334" spans="3:3" x14ac:dyDescent="0.25">
      <c r="C7334"/>
    </row>
    <row r="7335" spans="3:3" x14ac:dyDescent="0.25">
      <c r="C7335"/>
    </row>
    <row r="7336" spans="3:3" x14ac:dyDescent="0.25">
      <c r="C7336"/>
    </row>
    <row r="7337" spans="3:3" x14ac:dyDescent="0.25">
      <c r="C7337"/>
    </row>
    <row r="7338" spans="3:3" x14ac:dyDescent="0.25">
      <c r="C7338"/>
    </row>
    <row r="7339" spans="3:3" x14ac:dyDescent="0.25">
      <c r="C7339"/>
    </row>
    <row r="7340" spans="3:3" x14ac:dyDescent="0.25">
      <c r="C7340"/>
    </row>
    <row r="7341" spans="3:3" x14ac:dyDescent="0.25">
      <c r="C7341"/>
    </row>
    <row r="7342" spans="3:3" x14ac:dyDescent="0.25">
      <c r="C7342"/>
    </row>
    <row r="7343" spans="3:3" x14ac:dyDescent="0.25">
      <c r="C7343"/>
    </row>
    <row r="7344" spans="3:3" x14ac:dyDescent="0.25">
      <c r="C7344"/>
    </row>
    <row r="7345" spans="3:3" x14ac:dyDescent="0.25">
      <c r="C7345"/>
    </row>
    <row r="7346" spans="3:3" x14ac:dyDescent="0.25">
      <c r="C7346"/>
    </row>
    <row r="7347" spans="3:3" x14ac:dyDescent="0.25">
      <c r="C7347"/>
    </row>
    <row r="7348" spans="3:3" x14ac:dyDescent="0.25">
      <c r="C7348"/>
    </row>
    <row r="7349" spans="3:3" x14ac:dyDescent="0.25">
      <c r="C7349"/>
    </row>
    <row r="7350" spans="3:3" x14ac:dyDescent="0.25">
      <c r="C7350"/>
    </row>
    <row r="7351" spans="3:3" x14ac:dyDescent="0.25">
      <c r="C7351"/>
    </row>
    <row r="7352" spans="3:3" x14ac:dyDescent="0.25">
      <c r="C7352"/>
    </row>
    <row r="7353" spans="3:3" x14ac:dyDescent="0.25">
      <c r="C7353"/>
    </row>
    <row r="7354" spans="3:3" x14ac:dyDescent="0.25">
      <c r="C7354"/>
    </row>
    <row r="7355" spans="3:3" x14ac:dyDescent="0.25">
      <c r="C7355"/>
    </row>
    <row r="7356" spans="3:3" x14ac:dyDescent="0.25">
      <c r="C7356"/>
    </row>
    <row r="7357" spans="3:3" x14ac:dyDescent="0.25">
      <c r="C7357"/>
    </row>
    <row r="7358" spans="3:3" x14ac:dyDescent="0.25">
      <c r="C7358"/>
    </row>
    <row r="7359" spans="3:3" x14ac:dyDescent="0.25">
      <c r="C7359"/>
    </row>
    <row r="7360" spans="3:3" x14ac:dyDescent="0.25">
      <c r="C7360"/>
    </row>
    <row r="7361" spans="3:3" x14ac:dyDescent="0.25">
      <c r="C7361"/>
    </row>
    <row r="7362" spans="3:3" x14ac:dyDescent="0.25">
      <c r="C7362"/>
    </row>
    <row r="7363" spans="3:3" x14ac:dyDescent="0.25">
      <c r="C7363"/>
    </row>
    <row r="7364" spans="3:3" x14ac:dyDescent="0.25">
      <c r="C7364"/>
    </row>
    <row r="7365" spans="3:3" x14ac:dyDescent="0.25">
      <c r="C7365"/>
    </row>
    <row r="7366" spans="3:3" x14ac:dyDescent="0.25">
      <c r="C7366"/>
    </row>
    <row r="7367" spans="3:3" x14ac:dyDescent="0.25">
      <c r="C7367"/>
    </row>
    <row r="7368" spans="3:3" x14ac:dyDescent="0.25">
      <c r="C7368"/>
    </row>
    <row r="7369" spans="3:3" x14ac:dyDescent="0.25">
      <c r="C7369"/>
    </row>
    <row r="7370" spans="3:3" x14ac:dyDescent="0.25">
      <c r="C7370"/>
    </row>
    <row r="7371" spans="3:3" x14ac:dyDescent="0.25">
      <c r="C7371"/>
    </row>
    <row r="7372" spans="3:3" x14ac:dyDescent="0.25">
      <c r="C7372"/>
    </row>
    <row r="7373" spans="3:3" x14ac:dyDescent="0.25">
      <c r="C7373"/>
    </row>
    <row r="7374" spans="3:3" x14ac:dyDescent="0.25">
      <c r="C7374"/>
    </row>
    <row r="7375" spans="3:3" x14ac:dyDescent="0.25">
      <c r="C7375"/>
    </row>
    <row r="7376" spans="3:3" x14ac:dyDescent="0.25">
      <c r="C7376"/>
    </row>
    <row r="7377" spans="3:3" x14ac:dyDescent="0.25">
      <c r="C7377"/>
    </row>
    <row r="7378" spans="3:3" x14ac:dyDescent="0.25">
      <c r="C7378"/>
    </row>
    <row r="7379" spans="3:3" x14ac:dyDescent="0.25">
      <c r="C7379"/>
    </row>
    <row r="7380" spans="3:3" x14ac:dyDescent="0.25">
      <c r="C7380"/>
    </row>
    <row r="7381" spans="3:3" x14ac:dyDescent="0.25">
      <c r="C7381"/>
    </row>
    <row r="7382" spans="3:3" x14ac:dyDescent="0.25">
      <c r="C7382"/>
    </row>
    <row r="7383" spans="3:3" x14ac:dyDescent="0.25">
      <c r="C7383"/>
    </row>
    <row r="7384" spans="3:3" x14ac:dyDescent="0.25">
      <c r="C7384"/>
    </row>
    <row r="7385" spans="3:3" x14ac:dyDescent="0.25">
      <c r="C7385"/>
    </row>
    <row r="7386" spans="3:3" x14ac:dyDescent="0.25">
      <c r="C7386"/>
    </row>
    <row r="7387" spans="3:3" x14ac:dyDescent="0.25">
      <c r="C7387"/>
    </row>
    <row r="7388" spans="3:3" x14ac:dyDescent="0.25">
      <c r="C7388"/>
    </row>
    <row r="7389" spans="3:3" x14ac:dyDescent="0.25">
      <c r="C7389"/>
    </row>
    <row r="7390" spans="3:3" x14ac:dyDescent="0.25">
      <c r="C7390"/>
    </row>
    <row r="7391" spans="3:3" x14ac:dyDescent="0.25">
      <c r="C7391"/>
    </row>
    <row r="7392" spans="3:3" x14ac:dyDescent="0.25">
      <c r="C7392"/>
    </row>
    <row r="7393" spans="3:3" x14ac:dyDescent="0.25">
      <c r="C7393"/>
    </row>
    <row r="7394" spans="3:3" x14ac:dyDescent="0.25">
      <c r="C7394"/>
    </row>
    <row r="7395" spans="3:3" x14ac:dyDescent="0.25">
      <c r="C7395"/>
    </row>
    <row r="7396" spans="3:3" x14ac:dyDescent="0.25">
      <c r="C7396"/>
    </row>
    <row r="7397" spans="3:3" x14ac:dyDescent="0.25">
      <c r="C7397"/>
    </row>
    <row r="7398" spans="3:3" x14ac:dyDescent="0.25">
      <c r="C7398"/>
    </row>
    <row r="7399" spans="3:3" x14ac:dyDescent="0.25">
      <c r="C7399"/>
    </row>
    <row r="7400" spans="3:3" x14ac:dyDescent="0.25">
      <c r="C7400"/>
    </row>
    <row r="7401" spans="3:3" x14ac:dyDescent="0.25">
      <c r="C7401"/>
    </row>
    <row r="7402" spans="3:3" x14ac:dyDescent="0.25">
      <c r="C7402"/>
    </row>
    <row r="7403" spans="3:3" x14ac:dyDescent="0.25">
      <c r="C7403"/>
    </row>
    <row r="7404" spans="3:3" x14ac:dyDescent="0.25">
      <c r="C7404"/>
    </row>
    <row r="7405" spans="3:3" x14ac:dyDescent="0.25">
      <c r="C7405"/>
    </row>
    <row r="7406" spans="3:3" x14ac:dyDescent="0.25">
      <c r="C7406"/>
    </row>
    <row r="7407" spans="3:3" x14ac:dyDescent="0.25">
      <c r="C7407"/>
    </row>
    <row r="7408" spans="3:3" x14ac:dyDescent="0.25">
      <c r="C7408"/>
    </row>
    <row r="7409" spans="3:3" x14ac:dyDescent="0.25">
      <c r="C7409"/>
    </row>
    <row r="7410" spans="3:3" x14ac:dyDescent="0.25">
      <c r="C7410"/>
    </row>
    <row r="7411" spans="3:3" x14ac:dyDescent="0.25">
      <c r="C7411"/>
    </row>
    <row r="7412" spans="3:3" x14ac:dyDescent="0.25">
      <c r="C7412"/>
    </row>
    <row r="7413" spans="3:3" x14ac:dyDescent="0.25">
      <c r="C7413"/>
    </row>
    <row r="7414" spans="3:3" x14ac:dyDescent="0.25">
      <c r="C7414"/>
    </row>
    <row r="7415" spans="3:3" x14ac:dyDescent="0.25">
      <c r="C7415"/>
    </row>
    <row r="7416" spans="3:3" x14ac:dyDescent="0.25">
      <c r="C7416"/>
    </row>
    <row r="7417" spans="3:3" x14ac:dyDescent="0.25">
      <c r="C7417"/>
    </row>
    <row r="7418" spans="3:3" x14ac:dyDescent="0.25">
      <c r="C7418"/>
    </row>
    <row r="7419" spans="3:3" x14ac:dyDescent="0.25">
      <c r="C7419"/>
    </row>
    <row r="7420" spans="3:3" x14ac:dyDescent="0.25">
      <c r="C7420"/>
    </row>
    <row r="7421" spans="3:3" x14ac:dyDescent="0.25">
      <c r="C7421"/>
    </row>
    <row r="7422" spans="3:3" x14ac:dyDescent="0.25">
      <c r="C7422"/>
    </row>
    <row r="7423" spans="3:3" x14ac:dyDescent="0.25">
      <c r="C7423"/>
    </row>
    <row r="7424" spans="3:3" x14ac:dyDescent="0.25">
      <c r="C7424"/>
    </row>
    <row r="7425" spans="3:3" x14ac:dyDescent="0.25">
      <c r="C7425"/>
    </row>
    <row r="7426" spans="3:3" x14ac:dyDescent="0.25">
      <c r="C7426"/>
    </row>
    <row r="7427" spans="3:3" x14ac:dyDescent="0.25">
      <c r="C7427"/>
    </row>
    <row r="7428" spans="3:3" x14ac:dyDescent="0.25">
      <c r="C7428"/>
    </row>
    <row r="7429" spans="3:3" x14ac:dyDescent="0.25">
      <c r="C7429"/>
    </row>
    <row r="7430" spans="3:3" x14ac:dyDescent="0.25">
      <c r="C7430"/>
    </row>
    <row r="7431" spans="3:3" x14ac:dyDescent="0.25">
      <c r="C7431"/>
    </row>
    <row r="7432" spans="3:3" x14ac:dyDescent="0.25">
      <c r="C7432"/>
    </row>
    <row r="7433" spans="3:3" x14ac:dyDescent="0.25">
      <c r="C7433"/>
    </row>
    <row r="7434" spans="3:3" x14ac:dyDescent="0.25">
      <c r="C7434"/>
    </row>
    <row r="7435" spans="3:3" x14ac:dyDescent="0.25">
      <c r="C7435"/>
    </row>
    <row r="7436" spans="3:3" x14ac:dyDescent="0.25">
      <c r="C7436"/>
    </row>
    <row r="7437" spans="3:3" x14ac:dyDescent="0.25">
      <c r="C7437"/>
    </row>
    <row r="7438" spans="3:3" x14ac:dyDescent="0.25">
      <c r="C7438"/>
    </row>
    <row r="7439" spans="3:3" x14ac:dyDescent="0.25">
      <c r="C7439"/>
    </row>
    <row r="7440" spans="3:3" x14ac:dyDescent="0.25">
      <c r="C7440"/>
    </row>
    <row r="7441" spans="3:3" x14ac:dyDescent="0.25">
      <c r="C7441"/>
    </row>
    <row r="7442" spans="3:3" x14ac:dyDescent="0.25">
      <c r="C7442"/>
    </row>
    <row r="7443" spans="3:3" x14ac:dyDescent="0.25">
      <c r="C7443"/>
    </row>
    <row r="7444" spans="3:3" x14ac:dyDescent="0.25">
      <c r="C7444"/>
    </row>
    <row r="7445" spans="3:3" x14ac:dyDescent="0.25">
      <c r="C7445"/>
    </row>
    <row r="7446" spans="3:3" x14ac:dyDescent="0.25">
      <c r="C7446"/>
    </row>
    <row r="7447" spans="3:3" x14ac:dyDescent="0.25">
      <c r="C7447"/>
    </row>
    <row r="7448" spans="3:3" x14ac:dyDescent="0.25">
      <c r="C7448"/>
    </row>
    <row r="7449" spans="3:3" x14ac:dyDescent="0.25">
      <c r="C7449"/>
    </row>
    <row r="7450" spans="3:3" x14ac:dyDescent="0.25">
      <c r="C7450"/>
    </row>
    <row r="7451" spans="3:3" x14ac:dyDescent="0.25">
      <c r="C7451"/>
    </row>
    <row r="7452" spans="3:3" x14ac:dyDescent="0.25">
      <c r="C7452"/>
    </row>
    <row r="7453" spans="3:3" x14ac:dyDescent="0.25">
      <c r="C7453"/>
    </row>
    <row r="7454" spans="3:3" x14ac:dyDescent="0.25">
      <c r="C7454"/>
    </row>
    <row r="7455" spans="3:3" x14ac:dyDescent="0.25">
      <c r="C7455"/>
    </row>
    <row r="7456" spans="3:3" x14ac:dyDescent="0.25">
      <c r="C7456"/>
    </row>
    <row r="7457" spans="3:3" x14ac:dyDescent="0.25">
      <c r="C7457"/>
    </row>
    <row r="7458" spans="3:3" x14ac:dyDescent="0.25">
      <c r="C7458"/>
    </row>
    <row r="7459" spans="3:3" x14ac:dyDescent="0.25">
      <c r="C7459"/>
    </row>
    <row r="7460" spans="3:3" x14ac:dyDescent="0.25">
      <c r="C7460"/>
    </row>
    <row r="7461" spans="3:3" x14ac:dyDescent="0.25">
      <c r="C7461"/>
    </row>
    <row r="7462" spans="3:3" x14ac:dyDescent="0.25">
      <c r="C7462"/>
    </row>
    <row r="7463" spans="3:3" x14ac:dyDescent="0.25">
      <c r="C7463"/>
    </row>
    <row r="7464" spans="3:3" x14ac:dyDescent="0.25">
      <c r="C7464"/>
    </row>
    <row r="7465" spans="3:3" x14ac:dyDescent="0.25">
      <c r="C7465"/>
    </row>
    <row r="7466" spans="3:3" x14ac:dyDescent="0.25">
      <c r="C7466"/>
    </row>
    <row r="7467" spans="3:3" x14ac:dyDescent="0.25">
      <c r="C7467"/>
    </row>
    <row r="7468" spans="3:3" x14ac:dyDescent="0.25">
      <c r="C7468"/>
    </row>
    <row r="7469" spans="3:3" x14ac:dyDescent="0.25">
      <c r="C7469"/>
    </row>
    <row r="7470" spans="3:3" x14ac:dyDescent="0.25">
      <c r="C7470"/>
    </row>
    <row r="7471" spans="3:3" x14ac:dyDescent="0.25">
      <c r="C7471"/>
    </row>
    <row r="7472" spans="3:3" x14ac:dyDescent="0.25">
      <c r="C7472"/>
    </row>
    <row r="7473" spans="3:3" x14ac:dyDescent="0.25">
      <c r="C7473"/>
    </row>
    <row r="7474" spans="3:3" x14ac:dyDescent="0.25">
      <c r="C7474"/>
    </row>
    <row r="7475" spans="3:3" x14ac:dyDescent="0.25">
      <c r="C7475"/>
    </row>
    <row r="7476" spans="3:3" x14ac:dyDescent="0.25">
      <c r="C7476"/>
    </row>
    <row r="7477" spans="3:3" x14ac:dyDescent="0.25">
      <c r="C7477"/>
    </row>
    <row r="7478" spans="3:3" x14ac:dyDescent="0.25">
      <c r="C7478"/>
    </row>
    <row r="7479" spans="3:3" x14ac:dyDescent="0.25">
      <c r="C7479"/>
    </row>
    <row r="7480" spans="3:3" x14ac:dyDescent="0.25">
      <c r="C7480"/>
    </row>
    <row r="7481" spans="3:3" x14ac:dyDescent="0.25">
      <c r="C7481"/>
    </row>
    <row r="7482" spans="3:3" x14ac:dyDescent="0.25">
      <c r="C7482"/>
    </row>
    <row r="7483" spans="3:3" x14ac:dyDescent="0.25">
      <c r="C7483"/>
    </row>
    <row r="7484" spans="3:3" x14ac:dyDescent="0.25">
      <c r="C7484"/>
    </row>
    <row r="7485" spans="3:3" x14ac:dyDescent="0.25">
      <c r="C7485"/>
    </row>
    <row r="7486" spans="3:3" x14ac:dyDescent="0.25">
      <c r="C7486"/>
    </row>
    <row r="7487" spans="3:3" x14ac:dyDescent="0.25">
      <c r="C7487"/>
    </row>
    <row r="7488" spans="3:3" x14ac:dyDescent="0.25">
      <c r="C7488"/>
    </row>
    <row r="7489" spans="3:3" x14ac:dyDescent="0.25">
      <c r="C7489"/>
    </row>
    <row r="7490" spans="3:3" x14ac:dyDescent="0.25">
      <c r="C7490"/>
    </row>
    <row r="7491" spans="3:3" x14ac:dyDescent="0.25">
      <c r="C7491"/>
    </row>
    <row r="7492" spans="3:3" x14ac:dyDescent="0.25">
      <c r="C7492"/>
    </row>
    <row r="7493" spans="3:3" x14ac:dyDescent="0.25">
      <c r="C7493"/>
    </row>
    <row r="7494" spans="3:3" x14ac:dyDescent="0.25">
      <c r="C7494"/>
    </row>
    <row r="7495" spans="3:3" x14ac:dyDescent="0.25">
      <c r="C7495"/>
    </row>
    <row r="7496" spans="3:3" x14ac:dyDescent="0.25">
      <c r="C7496"/>
    </row>
    <row r="7497" spans="3:3" x14ac:dyDescent="0.25">
      <c r="C7497"/>
    </row>
    <row r="7498" spans="3:3" x14ac:dyDescent="0.25">
      <c r="C7498"/>
    </row>
    <row r="7499" spans="3:3" x14ac:dyDescent="0.25">
      <c r="C7499"/>
    </row>
    <row r="7500" spans="3:3" x14ac:dyDescent="0.25">
      <c r="C7500"/>
    </row>
    <row r="7501" spans="3:3" x14ac:dyDescent="0.25">
      <c r="C7501"/>
    </row>
    <row r="7502" spans="3:3" x14ac:dyDescent="0.25">
      <c r="C7502"/>
    </row>
    <row r="7503" spans="3:3" x14ac:dyDescent="0.25">
      <c r="C7503"/>
    </row>
    <row r="7504" spans="3:3" x14ac:dyDescent="0.25">
      <c r="C7504"/>
    </row>
    <row r="7505" spans="3:3" x14ac:dyDescent="0.25">
      <c r="C7505"/>
    </row>
    <row r="7506" spans="3:3" x14ac:dyDescent="0.25">
      <c r="C7506"/>
    </row>
    <row r="7507" spans="3:3" x14ac:dyDescent="0.25">
      <c r="C7507"/>
    </row>
    <row r="7508" spans="3:3" x14ac:dyDescent="0.25">
      <c r="C7508"/>
    </row>
    <row r="7509" spans="3:3" x14ac:dyDescent="0.25">
      <c r="C7509"/>
    </row>
    <row r="7510" spans="3:3" x14ac:dyDescent="0.25">
      <c r="C7510"/>
    </row>
    <row r="7511" spans="3:3" x14ac:dyDescent="0.25">
      <c r="C7511"/>
    </row>
    <row r="7512" spans="3:3" x14ac:dyDescent="0.25">
      <c r="C7512"/>
    </row>
    <row r="7513" spans="3:3" x14ac:dyDescent="0.25">
      <c r="C7513"/>
    </row>
    <row r="7514" spans="3:3" x14ac:dyDescent="0.25">
      <c r="C7514"/>
    </row>
    <row r="7515" spans="3:3" x14ac:dyDescent="0.25">
      <c r="C7515"/>
    </row>
    <row r="7516" spans="3:3" x14ac:dyDescent="0.25">
      <c r="C7516"/>
    </row>
    <row r="7517" spans="3:3" x14ac:dyDescent="0.25">
      <c r="C7517"/>
    </row>
    <row r="7518" spans="3:3" x14ac:dyDescent="0.25">
      <c r="C7518"/>
    </row>
    <row r="7519" spans="3:3" x14ac:dyDescent="0.25">
      <c r="C7519"/>
    </row>
    <row r="7520" spans="3:3" x14ac:dyDescent="0.25">
      <c r="C7520"/>
    </row>
    <row r="7521" spans="3:3" x14ac:dyDescent="0.25">
      <c r="C7521"/>
    </row>
    <row r="7522" spans="3:3" x14ac:dyDescent="0.25">
      <c r="C7522"/>
    </row>
    <row r="7523" spans="3:3" x14ac:dyDescent="0.25">
      <c r="C7523"/>
    </row>
    <row r="7524" spans="3:3" x14ac:dyDescent="0.25">
      <c r="C7524"/>
    </row>
    <row r="7525" spans="3:3" x14ac:dyDescent="0.25">
      <c r="C7525"/>
    </row>
    <row r="7526" spans="3:3" x14ac:dyDescent="0.25">
      <c r="C7526"/>
    </row>
    <row r="7527" spans="3:3" x14ac:dyDescent="0.25">
      <c r="C7527"/>
    </row>
    <row r="7528" spans="3:3" x14ac:dyDescent="0.25">
      <c r="C7528"/>
    </row>
    <row r="7529" spans="3:3" x14ac:dyDescent="0.25">
      <c r="C7529"/>
    </row>
    <row r="7530" spans="3:3" x14ac:dyDescent="0.25">
      <c r="C7530"/>
    </row>
    <row r="7531" spans="3:3" x14ac:dyDescent="0.25">
      <c r="C7531"/>
    </row>
    <row r="7532" spans="3:3" x14ac:dyDescent="0.25">
      <c r="C7532"/>
    </row>
    <row r="7533" spans="3:3" x14ac:dyDescent="0.25">
      <c r="C7533"/>
    </row>
    <row r="7534" spans="3:3" x14ac:dyDescent="0.25">
      <c r="C7534"/>
    </row>
    <row r="7535" spans="3:3" x14ac:dyDescent="0.25">
      <c r="C7535"/>
    </row>
    <row r="7536" spans="3:3" x14ac:dyDescent="0.25">
      <c r="C7536"/>
    </row>
    <row r="7537" spans="3:3" x14ac:dyDescent="0.25">
      <c r="C7537"/>
    </row>
    <row r="7538" spans="3:3" x14ac:dyDescent="0.25">
      <c r="C7538"/>
    </row>
    <row r="7539" spans="3:3" x14ac:dyDescent="0.25">
      <c r="C7539"/>
    </row>
    <row r="7540" spans="3:3" x14ac:dyDescent="0.25">
      <c r="C7540"/>
    </row>
    <row r="7541" spans="3:3" x14ac:dyDescent="0.25">
      <c r="C7541"/>
    </row>
    <row r="7542" spans="3:3" x14ac:dyDescent="0.25">
      <c r="C7542"/>
    </row>
    <row r="7543" spans="3:3" x14ac:dyDescent="0.25">
      <c r="C7543"/>
    </row>
    <row r="7544" spans="3:3" x14ac:dyDescent="0.25">
      <c r="C7544"/>
    </row>
    <row r="7545" spans="3:3" x14ac:dyDescent="0.25">
      <c r="C7545"/>
    </row>
    <row r="7546" spans="3:3" x14ac:dyDescent="0.25">
      <c r="C7546"/>
    </row>
    <row r="7547" spans="3:3" x14ac:dyDescent="0.25">
      <c r="C7547"/>
    </row>
    <row r="7548" spans="3:3" x14ac:dyDescent="0.25">
      <c r="C7548"/>
    </row>
    <row r="7549" spans="3:3" x14ac:dyDescent="0.25">
      <c r="C7549"/>
    </row>
    <row r="7550" spans="3:3" x14ac:dyDescent="0.25">
      <c r="C7550"/>
    </row>
    <row r="7551" spans="3:3" x14ac:dyDescent="0.25">
      <c r="C7551"/>
    </row>
    <row r="7552" spans="3:3" x14ac:dyDescent="0.25">
      <c r="C7552"/>
    </row>
    <row r="7553" spans="3:3" x14ac:dyDescent="0.25">
      <c r="C7553"/>
    </row>
    <row r="7554" spans="3:3" x14ac:dyDescent="0.25">
      <c r="C7554"/>
    </row>
    <row r="7555" spans="3:3" x14ac:dyDescent="0.25">
      <c r="C7555"/>
    </row>
    <row r="7556" spans="3:3" x14ac:dyDescent="0.25">
      <c r="C7556"/>
    </row>
    <row r="7557" spans="3:3" x14ac:dyDescent="0.25">
      <c r="C7557"/>
    </row>
    <row r="7558" spans="3:3" x14ac:dyDescent="0.25">
      <c r="C7558"/>
    </row>
    <row r="7559" spans="3:3" x14ac:dyDescent="0.25">
      <c r="C7559"/>
    </row>
    <row r="7560" spans="3:3" x14ac:dyDescent="0.25">
      <c r="C7560"/>
    </row>
    <row r="7561" spans="3:3" x14ac:dyDescent="0.25">
      <c r="C7561"/>
    </row>
    <row r="7562" spans="3:3" x14ac:dyDescent="0.25">
      <c r="C7562"/>
    </row>
    <row r="7563" spans="3:3" x14ac:dyDescent="0.25">
      <c r="C7563"/>
    </row>
    <row r="7564" spans="3:3" x14ac:dyDescent="0.25">
      <c r="C7564"/>
    </row>
    <row r="7565" spans="3:3" x14ac:dyDescent="0.25">
      <c r="C7565"/>
    </row>
    <row r="7566" spans="3:3" x14ac:dyDescent="0.25">
      <c r="C7566"/>
    </row>
    <row r="7567" spans="3:3" x14ac:dyDescent="0.25">
      <c r="C7567"/>
    </row>
    <row r="7568" spans="3:3" x14ac:dyDescent="0.25">
      <c r="C7568"/>
    </row>
    <row r="7569" spans="3:3" x14ac:dyDescent="0.25">
      <c r="C7569"/>
    </row>
    <row r="7570" spans="3:3" x14ac:dyDescent="0.25">
      <c r="C7570"/>
    </row>
    <row r="7571" spans="3:3" x14ac:dyDescent="0.25">
      <c r="C7571"/>
    </row>
    <row r="7572" spans="3:3" x14ac:dyDescent="0.25">
      <c r="C7572"/>
    </row>
    <row r="7573" spans="3:3" x14ac:dyDescent="0.25">
      <c r="C7573"/>
    </row>
    <row r="7574" spans="3:3" x14ac:dyDescent="0.25">
      <c r="C7574"/>
    </row>
    <row r="7575" spans="3:3" x14ac:dyDescent="0.25">
      <c r="C7575"/>
    </row>
    <row r="7576" spans="3:3" x14ac:dyDescent="0.25">
      <c r="C7576"/>
    </row>
    <row r="7577" spans="3:3" x14ac:dyDescent="0.25">
      <c r="C7577"/>
    </row>
    <row r="7578" spans="3:3" x14ac:dyDescent="0.25">
      <c r="C7578"/>
    </row>
    <row r="7579" spans="3:3" x14ac:dyDescent="0.25">
      <c r="C7579"/>
    </row>
    <row r="7580" spans="3:3" x14ac:dyDescent="0.25">
      <c r="C7580"/>
    </row>
    <row r="7581" spans="3:3" x14ac:dyDescent="0.25">
      <c r="C7581"/>
    </row>
    <row r="7582" spans="3:3" x14ac:dyDescent="0.25">
      <c r="C7582"/>
    </row>
    <row r="7583" spans="3:3" x14ac:dyDescent="0.25">
      <c r="C7583"/>
    </row>
    <row r="7584" spans="3:3" x14ac:dyDescent="0.25">
      <c r="C7584"/>
    </row>
    <row r="7585" spans="3:3" x14ac:dyDescent="0.25">
      <c r="C7585"/>
    </row>
    <row r="7586" spans="3:3" x14ac:dyDescent="0.25">
      <c r="C7586"/>
    </row>
    <row r="7587" spans="3:3" x14ac:dyDescent="0.25">
      <c r="C7587"/>
    </row>
    <row r="7588" spans="3:3" x14ac:dyDescent="0.25">
      <c r="C7588"/>
    </row>
    <row r="7589" spans="3:3" x14ac:dyDescent="0.25">
      <c r="C7589"/>
    </row>
    <row r="7590" spans="3:3" x14ac:dyDescent="0.25">
      <c r="C7590"/>
    </row>
    <row r="7591" spans="3:3" x14ac:dyDescent="0.25">
      <c r="C7591"/>
    </row>
    <row r="7592" spans="3:3" x14ac:dyDescent="0.25">
      <c r="C7592"/>
    </row>
    <row r="7593" spans="3:3" x14ac:dyDescent="0.25">
      <c r="C7593"/>
    </row>
    <row r="7594" spans="3:3" x14ac:dyDescent="0.25">
      <c r="C7594"/>
    </row>
    <row r="7595" spans="3:3" x14ac:dyDescent="0.25">
      <c r="C7595"/>
    </row>
    <row r="7596" spans="3:3" x14ac:dyDescent="0.25">
      <c r="C7596"/>
    </row>
    <row r="7597" spans="3:3" x14ac:dyDescent="0.25">
      <c r="C7597"/>
    </row>
    <row r="7598" spans="3:3" x14ac:dyDescent="0.25">
      <c r="C7598"/>
    </row>
    <row r="7599" spans="3:3" x14ac:dyDescent="0.25">
      <c r="C7599"/>
    </row>
    <row r="7600" spans="3:3" x14ac:dyDescent="0.25">
      <c r="C7600"/>
    </row>
    <row r="7601" spans="3:3" x14ac:dyDescent="0.25">
      <c r="C7601"/>
    </row>
    <row r="7602" spans="3:3" x14ac:dyDescent="0.25">
      <c r="C7602"/>
    </row>
    <row r="7603" spans="3:3" x14ac:dyDescent="0.25">
      <c r="C7603"/>
    </row>
    <row r="7604" spans="3:3" x14ac:dyDescent="0.25">
      <c r="C7604"/>
    </row>
    <row r="7605" spans="3:3" x14ac:dyDescent="0.25">
      <c r="C7605"/>
    </row>
    <row r="7606" spans="3:3" x14ac:dyDescent="0.25">
      <c r="C7606"/>
    </row>
    <row r="7607" spans="3:3" x14ac:dyDescent="0.25">
      <c r="C7607"/>
    </row>
    <row r="7608" spans="3:3" x14ac:dyDescent="0.25">
      <c r="C7608"/>
    </row>
    <row r="7609" spans="3:3" x14ac:dyDescent="0.25">
      <c r="C7609"/>
    </row>
    <row r="7610" spans="3:3" x14ac:dyDescent="0.25">
      <c r="C7610"/>
    </row>
    <row r="7611" spans="3:3" x14ac:dyDescent="0.25">
      <c r="C7611"/>
    </row>
    <row r="7612" spans="3:3" x14ac:dyDescent="0.25">
      <c r="C7612"/>
    </row>
    <row r="7613" spans="3:3" x14ac:dyDescent="0.25">
      <c r="C7613"/>
    </row>
    <row r="7614" spans="3:3" x14ac:dyDescent="0.25">
      <c r="C7614"/>
    </row>
    <row r="7615" spans="3:3" x14ac:dyDescent="0.25">
      <c r="C7615"/>
    </row>
    <row r="7616" spans="3:3" x14ac:dyDescent="0.25">
      <c r="C7616"/>
    </row>
    <row r="7617" spans="3:3" x14ac:dyDescent="0.25">
      <c r="C7617"/>
    </row>
    <row r="7618" spans="3:3" x14ac:dyDescent="0.25">
      <c r="C7618"/>
    </row>
    <row r="7619" spans="3:3" x14ac:dyDescent="0.25">
      <c r="C7619"/>
    </row>
    <row r="7620" spans="3:3" x14ac:dyDescent="0.25">
      <c r="C7620"/>
    </row>
    <row r="7621" spans="3:3" x14ac:dyDescent="0.25">
      <c r="C7621"/>
    </row>
    <row r="7622" spans="3:3" x14ac:dyDescent="0.25">
      <c r="C7622"/>
    </row>
    <row r="7623" spans="3:3" x14ac:dyDescent="0.25">
      <c r="C7623"/>
    </row>
    <row r="7624" spans="3:3" x14ac:dyDescent="0.25">
      <c r="C7624"/>
    </row>
    <row r="7625" spans="3:3" x14ac:dyDescent="0.25">
      <c r="C7625"/>
    </row>
    <row r="7626" spans="3:3" x14ac:dyDescent="0.25">
      <c r="C7626"/>
    </row>
    <row r="7627" spans="3:3" x14ac:dyDescent="0.25">
      <c r="C7627"/>
    </row>
    <row r="7628" spans="3:3" x14ac:dyDescent="0.25">
      <c r="C7628"/>
    </row>
    <row r="7629" spans="3:3" x14ac:dyDescent="0.25">
      <c r="C7629"/>
    </row>
    <row r="7630" spans="3:3" x14ac:dyDescent="0.25">
      <c r="C7630"/>
    </row>
    <row r="7631" spans="3:3" x14ac:dyDescent="0.25">
      <c r="C7631"/>
    </row>
    <row r="7632" spans="3:3" x14ac:dyDescent="0.25">
      <c r="C7632"/>
    </row>
    <row r="7633" spans="3:3" x14ac:dyDescent="0.25">
      <c r="C7633"/>
    </row>
    <row r="7634" spans="3:3" x14ac:dyDescent="0.25">
      <c r="C7634"/>
    </row>
    <row r="7635" spans="3:3" x14ac:dyDescent="0.25">
      <c r="C7635"/>
    </row>
    <row r="7636" spans="3:3" x14ac:dyDescent="0.25">
      <c r="C7636"/>
    </row>
    <row r="7637" spans="3:3" x14ac:dyDescent="0.25">
      <c r="C7637"/>
    </row>
    <row r="7638" spans="3:3" x14ac:dyDescent="0.25">
      <c r="C7638"/>
    </row>
    <row r="7639" spans="3:3" x14ac:dyDescent="0.25">
      <c r="C7639"/>
    </row>
    <row r="7640" spans="3:3" x14ac:dyDescent="0.25">
      <c r="C7640"/>
    </row>
    <row r="7641" spans="3:3" x14ac:dyDescent="0.25">
      <c r="C7641"/>
    </row>
    <row r="7642" spans="3:3" x14ac:dyDescent="0.25">
      <c r="C7642"/>
    </row>
    <row r="7643" spans="3:3" x14ac:dyDescent="0.25">
      <c r="C7643"/>
    </row>
    <row r="7644" spans="3:3" x14ac:dyDescent="0.25">
      <c r="C7644"/>
    </row>
    <row r="7645" spans="3:3" x14ac:dyDescent="0.25">
      <c r="C7645"/>
    </row>
    <row r="7646" spans="3:3" x14ac:dyDescent="0.25">
      <c r="C7646"/>
    </row>
    <row r="7647" spans="3:3" x14ac:dyDescent="0.25">
      <c r="C7647"/>
    </row>
    <row r="7648" spans="3:3" x14ac:dyDescent="0.25">
      <c r="C7648"/>
    </row>
    <row r="7649" spans="3:3" x14ac:dyDescent="0.25">
      <c r="C7649"/>
    </row>
    <row r="7650" spans="3:3" x14ac:dyDescent="0.25">
      <c r="C7650"/>
    </row>
    <row r="7651" spans="3:3" x14ac:dyDescent="0.25">
      <c r="C7651"/>
    </row>
    <row r="7652" spans="3:3" x14ac:dyDescent="0.25">
      <c r="C7652"/>
    </row>
    <row r="7653" spans="3:3" x14ac:dyDescent="0.25">
      <c r="C7653"/>
    </row>
    <row r="7654" spans="3:3" x14ac:dyDescent="0.25">
      <c r="C7654"/>
    </row>
    <row r="7655" spans="3:3" x14ac:dyDescent="0.25">
      <c r="C7655"/>
    </row>
    <row r="7656" spans="3:3" x14ac:dyDescent="0.25">
      <c r="C7656"/>
    </row>
    <row r="7657" spans="3:3" x14ac:dyDescent="0.25">
      <c r="C7657"/>
    </row>
    <row r="7658" spans="3:3" x14ac:dyDescent="0.25">
      <c r="C7658"/>
    </row>
    <row r="7659" spans="3:3" x14ac:dyDescent="0.25">
      <c r="C7659"/>
    </row>
    <row r="7660" spans="3:3" x14ac:dyDescent="0.25">
      <c r="C7660"/>
    </row>
    <row r="7661" spans="3:3" x14ac:dyDescent="0.25">
      <c r="C7661"/>
    </row>
    <row r="7662" spans="3:3" x14ac:dyDescent="0.25">
      <c r="C7662"/>
    </row>
    <row r="7663" spans="3:3" x14ac:dyDescent="0.25">
      <c r="C7663"/>
    </row>
    <row r="7664" spans="3:3" x14ac:dyDescent="0.25">
      <c r="C7664"/>
    </row>
    <row r="7665" spans="3:3" x14ac:dyDescent="0.25">
      <c r="C7665"/>
    </row>
    <row r="7666" spans="3:3" x14ac:dyDescent="0.25">
      <c r="C7666"/>
    </row>
    <row r="7667" spans="3:3" x14ac:dyDescent="0.25">
      <c r="C7667"/>
    </row>
    <row r="7668" spans="3:3" x14ac:dyDescent="0.25">
      <c r="C7668"/>
    </row>
    <row r="7669" spans="3:3" x14ac:dyDescent="0.25">
      <c r="C7669"/>
    </row>
    <row r="7670" spans="3:3" x14ac:dyDescent="0.25">
      <c r="C7670"/>
    </row>
    <row r="7671" spans="3:3" x14ac:dyDescent="0.25">
      <c r="C7671"/>
    </row>
    <row r="7672" spans="3:3" x14ac:dyDescent="0.25">
      <c r="C7672"/>
    </row>
    <row r="7673" spans="3:3" x14ac:dyDescent="0.25">
      <c r="C7673"/>
    </row>
    <row r="7674" spans="3:3" x14ac:dyDescent="0.25">
      <c r="C7674"/>
    </row>
    <row r="7675" spans="3:3" x14ac:dyDescent="0.25">
      <c r="C7675"/>
    </row>
    <row r="7676" spans="3:3" x14ac:dyDescent="0.25">
      <c r="C7676"/>
    </row>
    <row r="7677" spans="3:3" x14ac:dyDescent="0.25">
      <c r="C7677"/>
    </row>
    <row r="7678" spans="3:3" x14ac:dyDescent="0.25">
      <c r="C7678"/>
    </row>
    <row r="7679" spans="3:3" x14ac:dyDescent="0.25">
      <c r="C7679"/>
    </row>
    <row r="7680" spans="3:3" x14ac:dyDescent="0.25">
      <c r="C7680"/>
    </row>
    <row r="7681" spans="3:3" x14ac:dyDescent="0.25">
      <c r="C7681"/>
    </row>
    <row r="7682" spans="3:3" x14ac:dyDescent="0.25">
      <c r="C7682"/>
    </row>
    <row r="7683" spans="3:3" x14ac:dyDescent="0.25">
      <c r="C7683"/>
    </row>
    <row r="7684" spans="3:3" x14ac:dyDescent="0.25">
      <c r="C7684"/>
    </row>
    <row r="7685" spans="3:3" x14ac:dyDescent="0.25">
      <c r="C7685"/>
    </row>
    <row r="7686" spans="3:3" x14ac:dyDescent="0.25">
      <c r="C7686"/>
    </row>
    <row r="7687" spans="3:3" x14ac:dyDescent="0.25">
      <c r="C7687"/>
    </row>
    <row r="7688" spans="3:3" x14ac:dyDescent="0.25">
      <c r="C7688"/>
    </row>
    <row r="7689" spans="3:3" x14ac:dyDescent="0.25">
      <c r="C7689"/>
    </row>
    <row r="7690" spans="3:3" x14ac:dyDescent="0.25">
      <c r="C7690"/>
    </row>
    <row r="7691" spans="3:3" x14ac:dyDescent="0.25">
      <c r="C7691"/>
    </row>
    <row r="7692" spans="3:3" x14ac:dyDescent="0.25">
      <c r="C7692"/>
    </row>
    <row r="7693" spans="3:3" x14ac:dyDescent="0.25">
      <c r="C7693"/>
    </row>
    <row r="7694" spans="3:3" x14ac:dyDescent="0.25">
      <c r="C7694"/>
    </row>
    <row r="7695" spans="3:3" x14ac:dyDescent="0.25">
      <c r="C7695"/>
    </row>
    <row r="7696" spans="3:3" x14ac:dyDescent="0.25">
      <c r="C7696"/>
    </row>
    <row r="7697" spans="3:3" x14ac:dyDescent="0.25">
      <c r="C7697"/>
    </row>
    <row r="7698" spans="3:3" x14ac:dyDescent="0.25">
      <c r="C7698"/>
    </row>
    <row r="7699" spans="3:3" x14ac:dyDescent="0.25">
      <c r="C7699"/>
    </row>
    <row r="7700" spans="3:3" x14ac:dyDescent="0.25">
      <c r="C7700"/>
    </row>
    <row r="7701" spans="3:3" x14ac:dyDescent="0.25">
      <c r="C7701"/>
    </row>
    <row r="7702" spans="3:3" x14ac:dyDescent="0.25">
      <c r="C7702"/>
    </row>
    <row r="7703" spans="3:3" x14ac:dyDescent="0.25">
      <c r="C7703"/>
    </row>
    <row r="7704" spans="3:3" x14ac:dyDescent="0.25">
      <c r="C7704"/>
    </row>
    <row r="7705" spans="3:3" x14ac:dyDescent="0.25">
      <c r="C7705"/>
    </row>
    <row r="7706" spans="3:3" x14ac:dyDescent="0.25">
      <c r="C7706"/>
    </row>
    <row r="7707" spans="3:3" x14ac:dyDescent="0.25">
      <c r="C7707"/>
    </row>
    <row r="7708" spans="3:3" x14ac:dyDescent="0.25">
      <c r="C7708"/>
    </row>
    <row r="7709" spans="3:3" x14ac:dyDescent="0.25">
      <c r="C7709"/>
    </row>
    <row r="7710" spans="3:3" x14ac:dyDescent="0.25">
      <c r="C7710"/>
    </row>
    <row r="7711" spans="3:3" x14ac:dyDescent="0.25">
      <c r="C7711"/>
    </row>
    <row r="7712" spans="3:3" x14ac:dyDescent="0.25">
      <c r="C7712"/>
    </row>
    <row r="7713" spans="3:3" x14ac:dyDescent="0.25">
      <c r="C7713"/>
    </row>
    <row r="7714" spans="3:3" x14ac:dyDescent="0.25">
      <c r="C7714"/>
    </row>
    <row r="7715" spans="3:3" x14ac:dyDescent="0.25">
      <c r="C7715"/>
    </row>
    <row r="7716" spans="3:3" x14ac:dyDescent="0.25">
      <c r="C7716"/>
    </row>
    <row r="7717" spans="3:3" x14ac:dyDescent="0.25">
      <c r="C7717"/>
    </row>
    <row r="7718" spans="3:3" x14ac:dyDescent="0.25">
      <c r="C7718"/>
    </row>
    <row r="7719" spans="3:3" x14ac:dyDescent="0.25">
      <c r="C7719"/>
    </row>
    <row r="7720" spans="3:3" x14ac:dyDescent="0.25">
      <c r="C7720"/>
    </row>
    <row r="7721" spans="3:3" x14ac:dyDescent="0.25">
      <c r="C7721"/>
    </row>
    <row r="7722" spans="3:3" x14ac:dyDescent="0.25">
      <c r="C7722"/>
    </row>
    <row r="7723" spans="3:3" x14ac:dyDescent="0.25">
      <c r="C7723"/>
    </row>
    <row r="7724" spans="3:3" x14ac:dyDescent="0.25">
      <c r="C7724"/>
    </row>
    <row r="7725" spans="3:3" x14ac:dyDescent="0.25">
      <c r="C7725"/>
    </row>
    <row r="7726" spans="3:3" x14ac:dyDescent="0.25">
      <c r="C7726"/>
    </row>
    <row r="7727" spans="3:3" x14ac:dyDescent="0.25">
      <c r="C7727"/>
    </row>
    <row r="7728" spans="3:3" x14ac:dyDescent="0.25">
      <c r="C7728"/>
    </row>
    <row r="7729" spans="3:3" x14ac:dyDescent="0.25">
      <c r="C7729"/>
    </row>
    <row r="7730" spans="3:3" x14ac:dyDescent="0.25">
      <c r="C7730"/>
    </row>
    <row r="7731" spans="3:3" x14ac:dyDescent="0.25">
      <c r="C7731"/>
    </row>
    <row r="7732" spans="3:3" x14ac:dyDescent="0.25">
      <c r="C7732"/>
    </row>
    <row r="7733" spans="3:3" x14ac:dyDescent="0.25">
      <c r="C7733"/>
    </row>
    <row r="7734" spans="3:3" x14ac:dyDescent="0.25">
      <c r="C7734"/>
    </row>
    <row r="7735" spans="3:3" x14ac:dyDescent="0.25">
      <c r="C7735"/>
    </row>
    <row r="7736" spans="3:3" x14ac:dyDescent="0.25">
      <c r="C7736"/>
    </row>
    <row r="7737" spans="3:3" x14ac:dyDescent="0.25">
      <c r="C7737"/>
    </row>
    <row r="7738" spans="3:3" x14ac:dyDescent="0.25">
      <c r="C7738"/>
    </row>
    <row r="7739" spans="3:3" x14ac:dyDescent="0.25">
      <c r="C7739"/>
    </row>
    <row r="7740" spans="3:3" x14ac:dyDescent="0.25">
      <c r="C7740"/>
    </row>
    <row r="7741" spans="3:3" x14ac:dyDescent="0.25">
      <c r="C7741"/>
    </row>
    <row r="7742" spans="3:3" x14ac:dyDescent="0.25">
      <c r="C7742"/>
    </row>
    <row r="7743" spans="3:3" x14ac:dyDescent="0.25">
      <c r="C7743"/>
    </row>
    <row r="7744" spans="3:3" x14ac:dyDescent="0.25">
      <c r="C7744"/>
    </row>
    <row r="7745" spans="3:3" x14ac:dyDescent="0.25">
      <c r="C7745"/>
    </row>
    <row r="7746" spans="3:3" x14ac:dyDescent="0.25">
      <c r="C7746"/>
    </row>
    <row r="7747" spans="3:3" x14ac:dyDescent="0.25">
      <c r="C7747"/>
    </row>
    <row r="7748" spans="3:3" x14ac:dyDescent="0.25">
      <c r="C7748"/>
    </row>
    <row r="7749" spans="3:3" x14ac:dyDescent="0.25">
      <c r="C7749"/>
    </row>
    <row r="7750" spans="3:3" x14ac:dyDescent="0.25">
      <c r="C7750"/>
    </row>
    <row r="7751" spans="3:3" x14ac:dyDescent="0.25">
      <c r="C7751"/>
    </row>
    <row r="7752" spans="3:3" x14ac:dyDescent="0.25">
      <c r="C7752"/>
    </row>
    <row r="7753" spans="3:3" x14ac:dyDescent="0.25">
      <c r="C7753"/>
    </row>
    <row r="7754" spans="3:3" x14ac:dyDescent="0.25">
      <c r="C7754"/>
    </row>
    <row r="7755" spans="3:3" x14ac:dyDescent="0.25">
      <c r="C7755"/>
    </row>
    <row r="7756" spans="3:3" x14ac:dyDescent="0.25">
      <c r="C7756"/>
    </row>
    <row r="7757" spans="3:3" x14ac:dyDescent="0.25">
      <c r="C7757"/>
    </row>
    <row r="7758" spans="3:3" x14ac:dyDescent="0.25">
      <c r="C7758"/>
    </row>
    <row r="7759" spans="3:3" x14ac:dyDescent="0.25">
      <c r="C7759"/>
    </row>
    <row r="7760" spans="3:3" x14ac:dyDescent="0.25">
      <c r="C7760"/>
    </row>
    <row r="7761" spans="3:3" x14ac:dyDescent="0.25">
      <c r="C7761"/>
    </row>
    <row r="7762" spans="3:3" x14ac:dyDescent="0.25">
      <c r="C7762"/>
    </row>
    <row r="7763" spans="3:3" x14ac:dyDescent="0.25">
      <c r="C7763"/>
    </row>
    <row r="7764" spans="3:3" x14ac:dyDescent="0.25">
      <c r="C7764"/>
    </row>
    <row r="7765" spans="3:3" x14ac:dyDescent="0.25">
      <c r="C7765"/>
    </row>
    <row r="7766" spans="3:3" x14ac:dyDescent="0.25">
      <c r="C7766"/>
    </row>
    <row r="7767" spans="3:3" x14ac:dyDescent="0.25">
      <c r="C7767"/>
    </row>
    <row r="7768" spans="3:3" x14ac:dyDescent="0.25">
      <c r="C7768"/>
    </row>
    <row r="7769" spans="3:3" x14ac:dyDescent="0.25">
      <c r="C7769"/>
    </row>
    <row r="7770" spans="3:3" x14ac:dyDescent="0.25">
      <c r="C7770"/>
    </row>
    <row r="7771" spans="3:3" x14ac:dyDescent="0.25">
      <c r="C7771"/>
    </row>
    <row r="7772" spans="3:3" x14ac:dyDescent="0.25">
      <c r="C7772"/>
    </row>
    <row r="7773" spans="3:3" x14ac:dyDescent="0.25">
      <c r="C7773"/>
    </row>
    <row r="7774" spans="3:3" x14ac:dyDescent="0.25">
      <c r="C7774"/>
    </row>
    <row r="7775" spans="3:3" x14ac:dyDescent="0.25">
      <c r="C7775"/>
    </row>
    <row r="7776" spans="3:3" x14ac:dyDescent="0.25">
      <c r="C7776"/>
    </row>
    <row r="7777" spans="3:3" x14ac:dyDescent="0.25">
      <c r="C7777"/>
    </row>
    <row r="7778" spans="3:3" x14ac:dyDescent="0.25">
      <c r="C7778"/>
    </row>
    <row r="7779" spans="3:3" x14ac:dyDescent="0.25">
      <c r="C7779"/>
    </row>
    <row r="7780" spans="3:3" x14ac:dyDescent="0.25">
      <c r="C7780"/>
    </row>
    <row r="7781" spans="3:3" x14ac:dyDescent="0.25">
      <c r="C7781"/>
    </row>
    <row r="7782" spans="3:3" x14ac:dyDescent="0.25">
      <c r="C7782"/>
    </row>
    <row r="7783" spans="3:3" x14ac:dyDescent="0.25">
      <c r="C7783"/>
    </row>
    <row r="7784" spans="3:3" x14ac:dyDescent="0.25">
      <c r="C7784"/>
    </row>
    <row r="7785" spans="3:3" x14ac:dyDescent="0.25">
      <c r="C7785"/>
    </row>
    <row r="7786" spans="3:3" x14ac:dyDescent="0.25">
      <c r="C7786"/>
    </row>
    <row r="7787" spans="3:3" x14ac:dyDescent="0.25">
      <c r="C7787"/>
    </row>
    <row r="7788" spans="3:3" x14ac:dyDescent="0.25">
      <c r="C7788"/>
    </row>
    <row r="7789" spans="3:3" x14ac:dyDescent="0.25">
      <c r="C7789"/>
    </row>
    <row r="7790" spans="3:3" x14ac:dyDescent="0.25">
      <c r="C7790"/>
    </row>
    <row r="7791" spans="3:3" x14ac:dyDescent="0.25">
      <c r="C7791"/>
    </row>
    <row r="7792" spans="3:3" x14ac:dyDescent="0.25">
      <c r="C7792"/>
    </row>
    <row r="7793" spans="3:3" x14ac:dyDescent="0.25">
      <c r="C7793"/>
    </row>
    <row r="7794" spans="3:3" x14ac:dyDescent="0.25">
      <c r="C7794"/>
    </row>
    <row r="7795" spans="3:3" x14ac:dyDescent="0.25">
      <c r="C7795"/>
    </row>
    <row r="7796" spans="3:3" x14ac:dyDescent="0.25">
      <c r="C7796"/>
    </row>
    <row r="7797" spans="3:3" x14ac:dyDescent="0.25">
      <c r="C7797"/>
    </row>
    <row r="7798" spans="3:3" x14ac:dyDescent="0.25">
      <c r="C7798"/>
    </row>
    <row r="7799" spans="3:3" x14ac:dyDescent="0.25">
      <c r="C7799"/>
    </row>
    <row r="7800" spans="3:3" x14ac:dyDescent="0.25">
      <c r="C7800"/>
    </row>
    <row r="7801" spans="3:3" x14ac:dyDescent="0.25">
      <c r="C7801"/>
    </row>
    <row r="7802" spans="3:3" x14ac:dyDescent="0.25">
      <c r="C7802"/>
    </row>
    <row r="7803" spans="3:3" x14ac:dyDescent="0.25">
      <c r="C7803"/>
    </row>
    <row r="7804" spans="3:3" x14ac:dyDescent="0.25">
      <c r="C7804"/>
    </row>
    <row r="7805" spans="3:3" x14ac:dyDescent="0.25">
      <c r="C7805"/>
    </row>
    <row r="7806" spans="3:3" x14ac:dyDescent="0.25">
      <c r="C7806"/>
    </row>
    <row r="7807" spans="3:3" x14ac:dyDescent="0.25">
      <c r="C7807"/>
    </row>
    <row r="7808" spans="3:3" x14ac:dyDescent="0.25">
      <c r="C7808"/>
    </row>
    <row r="7809" spans="3:3" x14ac:dyDescent="0.25">
      <c r="C7809"/>
    </row>
    <row r="7810" spans="3:3" x14ac:dyDescent="0.25">
      <c r="C7810"/>
    </row>
    <row r="7811" spans="3:3" x14ac:dyDescent="0.25">
      <c r="C7811"/>
    </row>
    <row r="7812" spans="3:3" x14ac:dyDescent="0.25">
      <c r="C7812"/>
    </row>
    <row r="7813" spans="3:3" x14ac:dyDescent="0.25">
      <c r="C7813"/>
    </row>
    <row r="7814" spans="3:3" x14ac:dyDescent="0.25">
      <c r="C7814"/>
    </row>
    <row r="7815" spans="3:3" x14ac:dyDescent="0.25">
      <c r="C7815"/>
    </row>
    <row r="7816" spans="3:3" x14ac:dyDescent="0.25">
      <c r="C7816"/>
    </row>
    <row r="7817" spans="3:3" x14ac:dyDescent="0.25">
      <c r="C7817"/>
    </row>
    <row r="7818" spans="3:3" x14ac:dyDescent="0.25">
      <c r="C7818"/>
    </row>
    <row r="7819" spans="3:3" x14ac:dyDescent="0.25">
      <c r="C7819"/>
    </row>
    <row r="7820" spans="3:3" x14ac:dyDescent="0.25">
      <c r="C7820"/>
    </row>
    <row r="7821" spans="3:3" x14ac:dyDescent="0.25">
      <c r="C7821"/>
    </row>
    <row r="7822" spans="3:3" x14ac:dyDescent="0.25">
      <c r="C7822"/>
    </row>
    <row r="7823" spans="3:3" x14ac:dyDescent="0.25">
      <c r="C7823"/>
    </row>
    <row r="7824" spans="3:3" x14ac:dyDescent="0.25">
      <c r="C7824"/>
    </row>
    <row r="7825" spans="3:3" x14ac:dyDescent="0.25">
      <c r="C7825"/>
    </row>
    <row r="7826" spans="3:3" x14ac:dyDescent="0.25">
      <c r="C7826"/>
    </row>
    <row r="7827" spans="3:3" x14ac:dyDescent="0.25">
      <c r="C7827"/>
    </row>
    <row r="7828" spans="3:3" x14ac:dyDescent="0.25">
      <c r="C7828"/>
    </row>
    <row r="7829" spans="3:3" x14ac:dyDescent="0.25">
      <c r="C7829"/>
    </row>
    <row r="7830" spans="3:3" x14ac:dyDescent="0.25">
      <c r="C7830"/>
    </row>
    <row r="7831" spans="3:3" x14ac:dyDescent="0.25">
      <c r="C7831"/>
    </row>
    <row r="7832" spans="3:3" x14ac:dyDescent="0.25">
      <c r="C7832"/>
    </row>
    <row r="7833" spans="3:3" x14ac:dyDescent="0.25">
      <c r="C7833"/>
    </row>
    <row r="7834" spans="3:3" x14ac:dyDescent="0.25">
      <c r="C7834"/>
    </row>
    <row r="7835" spans="3:3" x14ac:dyDescent="0.25">
      <c r="C7835"/>
    </row>
    <row r="7836" spans="3:3" x14ac:dyDescent="0.25">
      <c r="C7836"/>
    </row>
    <row r="7837" spans="3:3" x14ac:dyDescent="0.25">
      <c r="C7837"/>
    </row>
    <row r="7838" spans="3:3" x14ac:dyDescent="0.25">
      <c r="C7838"/>
    </row>
    <row r="7839" spans="3:3" x14ac:dyDescent="0.25">
      <c r="C7839"/>
    </row>
    <row r="7840" spans="3:3" x14ac:dyDescent="0.25">
      <c r="C7840"/>
    </row>
    <row r="7841" spans="3:3" x14ac:dyDescent="0.25">
      <c r="C7841"/>
    </row>
    <row r="7842" spans="3:3" x14ac:dyDescent="0.25">
      <c r="C7842"/>
    </row>
    <row r="7843" spans="3:3" x14ac:dyDescent="0.25">
      <c r="C7843"/>
    </row>
    <row r="7844" spans="3:3" x14ac:dyDescent="0.25">
      <c r="C7844"/>
    </row>
    <row r="7845" spans="3:3" x14ac:dyDescent="0.25">
      <c r="C7845"/>
    </row>
    <row r="7846" spans="3:3" x14ac:dyDescent="0.25">
      <c r="C7846"/>
    </row>
    <row r="7847" spans="3:3" x14ac:dyDescent="0.25">
      <c r="C7847"/>
    </row>
    <row r="7848" spans="3:3" x14ac:dyDescent="0.25">
      <c r="C7848"/>
    </row>
    <row r="7849" spans="3:3" x14ac:dyDescent="0.25">
      <c r="C7849"/>
    </row>
    <row r="7850" spans="3:3" x14ac:dyDescent="0.25">
      <c r="C7850"/>
    </row>
    <row r="7851" spans="3:3" x14ac:dyDescent="0.25">
      <c r="C7851"/>
    </row>
    <row r="7852" spans="3:3" x14ac:dyDescent="0.25">
      <c r="C7852"/>
    </row>
    <row r="7853" spans="3:3" x14ac:dyDescent="0.25">
      <c r="C7853"/>
    </row>
    <row r="7854" spans="3:3" x14ac:dyDescent="0.25">
      <c r="C7854"/>
    </row>
    <row r="7855" spans="3:3" x14ac:dyDescent="0.25">
      <c r="C7855"/>
    </row>
    <row r="7856" spans="3:3" x14ac:dyDescent="0.25">
      <c r="C7856"/>
    </row>
    <row r="7857" spans="3:3" x14ac:dyDescent="0.25">
      <c r="C7857"/>
    </row>
    <row r="7858" spans="3:3" x14ac:dyDescent="0.25">
      <c r="C7858"/>
    </row>
    <row r="7859" spans="3:3" x14ac:dyDescent="0.25">
      <c r="C7859"/>
    </row>
    <row r="7860" spans="3:3" x14ac:dyDescent="0.25">
      <c r="C7860"/>
    </row>
    <row r="7861" spans="3:3" x14ac:dyDescent="0.25">
      <c r="C7861"/>
    </row>
    <row r="7862" spans="3:3" x14ac:dyDescent="0.25">
      <c r="C7862"/>
    </row>
    <row r="7863" spans="3:3" x14ac:dyDescent="0.25">
      <c r="C7863"/>
    </row>
    <row r="7864" spans="3:3" x14ac:dyDescent="0.25">
      <c r="C7864"/>
    </row>
    <row r="7865" spans="3:3" x14ac:dyDescent="0.25">
      <c r="C7865"/>
    </row>
    <row r="7866" spans="3:3" x14ac:dyDescent="0.25">
      <c r="C7866"/>
    </row>
    <row r="7867" spans="3:3" x14ac:dyDescent="0.25">
      <c r="C7867"/>
    </row>
    <row r="7868" spans="3:3" x14ac:dyDescent="0.25">
      <c r="C7868"/>
    </row>
    <row r="7869" spans="3:3" x14ac:dyDescent="0.25">
      <c r="C7869"/>
    </row>
    <row r="7870" spans="3:3" x14ac:dyDescent="0.25">
      <c r="C7870"/>
    </row>
    <row r="7871" spans="3:3" x14ac:dyDescent="0.25">
      <c r="C7871"/>
    </row>
    <row r="7872" spans="3:3" x14ac:dyDescent="0.25">
      <c r="C7872"/>
    </row>
    <row r="7873" spans="3:3" x14ac:dyDescent="0.25">
      <c r="C7873"/>
    </row>
    <row r="7874" spans="3:3" x14ac:dyDescent="0.25">
      <c r="C7874"/>
    </row>
    <row r="7875" spans="3:3" x14ac:dyDescent="0.25">
      <c r="C7875"/>
    </row>
    <row r="7876" spans="3:3" x14ac:dyDescent="0.25">
      <c r="C7876"/>
    </row>
    <row r="7877" spans="3:3" x14ac:dyDescent="0.25">
      <c r="C7877"/>
    </row>
    <row r="7878" spans="3:3" x14ac:dyDescent="0.25">
      <c r="C7878"/>
    </row>
    <row r="7879" spans="3:3" x14ac:dyDescent="0.25">
      <c r="C7879"/>
    </row>
    <row r="7880" spans="3:3" x14ac:dyDescent="0.25">
      <c r="C7880"/>
    </row>
    <row r="7881" spans="3:3" x14ac:dyDescent="0.25">
      <c r="C7881"/>
    </row>
    <row r="7882" spans="3:3" x14ac:dyDescent="0.25">
      <c r="C7882"/>
    </row>
    <row r="7883" spans="3:3" x14ac:dyDescent="0.25">
      <c r="C7883"/>
    </row>
    <row r="7884" spans="3:3" x14ac:dyDescent="0.25">
      <c r="C7884"/>
    </row>
    <row r="7885" spans="3:3" x14ac:dyDescent="0.25">
      <c r="C7885"/>
    </row>
    <row r="7886" spans="3:3" x14ac:dyDescent="0.25">
      <c r="C7886"/>
    </row>
    <row r="7887" spans="3:3" x14ac:dyDescent="0.25">
      <c r="C7887"/>
    </row>
    <row r="7888" spans="3:3" x14ac:dyDescent="0.25">
      <c r="C7888"/>
    </row>
    <row r="7889" spans="3:3" x14ac:dyDescent="0.25">
      <c r="C7889"/>
    </row>
    <row r="7890" spans="3:3" x14ac:dyDescent="0.25">
      <c r="C7890"/>
    </row>
    <row r="7891" spans="3:3" x14ac:dyDescent="0.25">
      <c r="C7891"/>
    </row>
    <row r="7892" spans="3:3" x14ac:dyDescent="0.25">
      <c r="C7892"/>
    </row>
    <row r="7893" spans="3:3" x14ac:dyDescent="0.25">
      <c r="C7893"/>
    </row>
    <row r="7894" spans="3:3" x14ac:dyDescent="0.25">
      <c r="C7894"/>
    </row>
    <row r="7895" spans="3:3" x14ac:dyDescent="0.25">
      <c r="C7895"/>
    </row>
    <row r="7896" spans="3:3" x14ac:dyDescent="0.25">
      <c r="C7896"/>
    </row>
    <row r="7897" spans="3:3" x14ac:dyDescent="0.25">
      <c r="C7897"/>
    </row>
    <row r="7898" spans="3:3" x14ac:dyDescent="0.25">
      <c r="C7898"/>
    </row>
    <row r="7899" spans="3:3" x14ac:dyDescent="0.25">
      <c r="C7899"/>
    </row>
    <row r="7900" spans="3:3" x14ac:dyDescent="0.25">
      <c r="C7900"/>
    </row>
    <row r="7901" spans="3:3" x14ac:dyDescent="0.25">
      <c r="C7901"/>
    </row>
    <row r="7902" spans="3:3" x14ac:dyDescent="0.25">
      <c r="C7902"/>
    </row>
    <row r="7903" spans="3:3" x14ac:dyDescent="0.25">
      <c r="C7903"/>
    </row>
    <row r="7904" spans="3:3" x14ac:dyDescent="0.25">
      <c r="C7904"/>
    </row>
    <row r="7905" spans="3:3" x14ac:dyDescent="0.25">
      <c r="C7905"/>
    </row>
    <row r="7906" spans="3:3" x14ac:dyDescent="0.25">
      <c r="C7906"/>
    </row>
    <row r="7907" spans="3:3" x14ac:dyDescent="0.25">
      <c r="C7907"/>
    </row>
    <row r="7908" spans="3:3" x14ac:dyDescent="0.25">
      <c r="C7908"/>
    </row>
    <row r="7909" spans="3:3" x14ac:dyDescent="0.25">
      <c r="C7909"/>
    </row>
    <row r="7910" spans="3:3" x14ac:dyDescent="0.25">
      <c r="C7910"/>
    </row>
    <row r="7911" spans="3:3" x14ac:dyDescent="0.25">
      <c r="C7911"/>
    </row>
    <row r="7912" spans="3:3" x14ac:dyDescent="0.25">
      <c r="C7912"/>
    </row>
    <row r="7913" spans="3:3" x14ac:dyDescent="0.25">
      <c r="C7913"/>
    </row>
    <row r="7914" spans="3:3" x14ac:dyDescent="0.25">
      <c r="C7914"/>
    </row>
    <row r="7915" spans="3:3" x14ac:dyDescent="0.25">
      <c r="C7915"/>
    </row>
    <row r="7916" spans="3:3" x14ac:dyDescent="0.25">
      <c r="C7916"/>
    </row>
    <row r="7917" spans="3:3" x14ac:dyDescent="0.25">
      <c r="C7917"/>
    </row>
    <row r="7918" spans="3:3" x14ac:dyDescent="0.25">
      <c r="C7918"/>
    </row>
    <row r="7919" spans="3:3" x14ac:dyDescent="0.25">
      <c r="C7919"/>
    </row>
    <row r="7920" spans="3:3" x14ac:dyDescent="0.25">
      <c r="C7920"/>
    </row>
    <row r="7921" spans="3:3" x14ac:dyDescent="0.25">
      <c r="C7921"/>
    </row>
    <row r="7922" spans="3:3" x14ac:dyDescent="0.25">
      <c r="C7922"/>
    </row>
    <row r="7923" spans="3:3" x14ac:dyDescent="0.25">
      <c r="C7923"/>
    </row>
    <row r="7924" spans="3:3" x14ac:dyDescent="0.25">
      <c r="C7924"/>
    </row>
    <row r="7925" spans="3:3" x14ac:dyDescent="0.25">
      <c r="C7925"/>
    </row>
    <row r="7926" spans="3:3" x14ac:dyDescent="0.25">
      <c r="C7926"/>
    </row>
    <row r="7927" spans="3:3" x14ac:dyDescent="0.25">
      <c r="C7927"/>
    </row>
    <row r="7928" spans="3:3" x14ac:dyDescent="0.25">
      <c r="C7928"/>
    </row>
    <row r="7929" spans="3:3" x14ac:dyDescent="0.25">
      <c r="C7929"/>
    </row>
    <row r="7930" spans="3:3" x14ac:dyDescent="0.25">
      <c r="C7930"/>
    </row>
    <row r="7931" spans="3:3" x14ac:dyDescent="0.25">
      <c r="C7931"/>
    </row>
    <row r="7932" spans="3:3" x14ac:dyDescent="0.25">
      <c r="C7932"/>
    </row>
    <row r="7933" spans="3:3" x14ac:dyDescent="0.25">
      <c r="C7933"/>
    </row>
    <row r="7934" spans="3:3" x14ac:dyDescent="0.25">
      <c r="C7934"/>
    </row>
    <row r="7935" spans="3:3" x14ac:dyDescent="0.25">
      <c r="C7935"/>
    </row>
    <row r="7936" spans="3:3" x14ac:dyDescent="0.25">
      <c r="C7936"/>
    </row>
    <row r="7937" spans="3:3" x14ac:dyDescent="0.25">
      <c r="C7937"/>
    </row>
    <row r="7938" spans="3:3" x14ac:dyDescent="0.25">
      <c r="C7938"/>
    </row>
    <row r="7939" spans="3:3" x14ac:dyDescent="0.25">
      <c r="C7939"/>
    </row>
    <row r="7940" spans="3:3" x14ac:dyDescent="0.25">
      <c r="C7940"/>
    </row>
    <row r="7941" spans="3:3" x14ac:dyDescent="0.25">
      <c r="C7941"/>
    </row>
    <row r="7942" spans="3:3" x14ac:dyDescent="0.25">
      <c r="C7942"/>
    </row>
    <row r="7943" spans="3:3" x14ac:dyDescent="0.25">
      <c r="C7943"/>
    </row>
    <row r="7944" spans="3:3" x14ac:dyDescent="0.25">
      <c r="C7944"/>
    </row>
    <row r="7945" spans="3:3" x14ac:dyDescent="0.25">
      <c r="C7945"/>
    </row>
    <row r="7946" spans="3:3" x14ac:dyDescent="0.25">
      <c r="C7946"/>
    </row>
    <row r="7947" spans="3:3" x14ac:dyDescent="0.25">
      <c r="C7947"/>
    </row>
    <row r="7948" spans="3:3" x14ac:dyDescent="0.25">
      <c r="C7948"/>
    </row>
    <row r="7949" spans="3:3" x14ac:dyDescent="0.25">
      <c r="C7949"/>
    </row>
    <row r="7950" spans="3:3" x14ac:dyDescent="0.25">
      <c r="C7950"/>
    </row>
    <row r="7951" spans="3:3" x14ac:dyDescent="0.25">
      <c r="C7951"/>
    </row>
    <row r="7952" spans="3:3" x14ac:dyDescent="0.25">
      <c r="C7952"/>
    </row>
    <row r="7953" spans="3:3" x14ac:dyDescent="0.25">
      <c r="C7953"/>
    </row>
    <row r="7954" spans="3:3" x14ac:dyDescent="0.25">
      <c r="C7954"/>
    </row>
    <row r="7955" spans="3:3" x14ac:dyDescent="0.25">
      <c r="C7955"/>
    </row>
    <row r="7956" spans="3:3" x14ac:dyDescent="0.25">
      <c r="C7956"/>
    </row>
    <row r="7957" spans="3:3" x14ac:dyDescent="0.25">
      <c r="C7957"/>
    </row>
    <row r="7958" spans="3:3" x14ac:dyDescent="0.25">
      <c r="C7958"/>
    </row>
    <row r="7959" spans="3:3" x14ac:dyDescent="0.25">
      <c r="C7959"/>
    </row>
    <row r="7960" spans="3:3" x14ac:dyDescent="0.25">
      <c r="C7960"/>
    </row>
    <row r="7961" spans="3:3" x14ac:dyDescent="0.25">
      <c r="C7961"/>
    </row>
    <row r="7962" spans="3:3" x14ac:dyDescent="0.25">
      <c r="C7962"/>
    </row>
    <row r="7963" spans="3:3" x14ac:dyDescent="0.25">
      <c r="C7963"/>
    </row>
    <row r="7964" spans="3:3" x14ac:dyDescent="0.25">
      <c r="C7964"/>
    </row>
    <row r="7965" spans="3:3" x14ac:dyDescent="0.25">
      <c r="C7965"/>
    </row>
    <row r="7966" spans="3:3" x14ac:dyDescent="0.25">
      <c r="C7966"/>
    </row>
    <row r="7967" spans="3:3" x14ac:dyDescent="0.25">
      <c r="C7967"/>
    </row>
    <row r="7968" spans="3:3" x14ac:dyDescent="0.25">
      <c r="C7968"/>
    </row>
    <row r="7969" spans="3:3" x14ac:dyDescent="0.25">
      <c r="C7969"/>
    </row>
    <row r="7970" spans="3:3" x14ac:dyDescent="0.25">
      <c r="C7970"/>
    </row>
    <row r="7971" spans="3:3" x14ac:dyDescent="0.25">
      <c r="C7971"/>
    </row>
    <row r="7972" spans="3:3" x14ac:dyDescent="0.25">
      <c r="C7972"/>
    </row>
    <row r="7973" spans="3:3" x14ac:dyDescent="0.25">
      <c r="C7973"/>
    </row>
    <row r="7974" spans="3:3" x14ac:dyDescent="0.25">
      <c r="C7974"/>
    </row>
    <row r="7975" spans="3:3" x14ac:dyDescent="0.25">
      <c r="C7975"/>
    </row>
    <row r="7976" spans="3:3" x14ac:dyDescent="0.25">
      <c r="C7976"/>
    </row>
    <row r="7977" spans="3:3" x14ac:dyDescent="0.25">
      <c r="C7977"/>
    </row>
    <row r="7978" spans="3:3" x14ac:dyDescent="0.25">
      <c r="C7978"/>
    </row>
    <row r="7979" spans="3:3" x14ac:dyDescent="0.25">
      <c r="C7979"/>
    </row>
    <row r="7980" spans="3:3" x14ac:dyDescent="0.25">
      <c r="C7980"/>
    </row>
    <row r="7981" spans="3:3" x14ac:dyDescent="0.25">
      <c r="C7981"/>
    </row>
    <row r="7982" spans="3:3" x14ac:dyDescent="0.25">
      <c r="C7982"/>
    </row>
    <row r="7983" spans="3:3" x14ac:dyDescent="0.25">
      <c r="C7983"/>
    </row>
    <row r="7984" spans="3:3" x14ac:dyDescent="0.25">
      <c r="C7984"/>
    </row>
    <row r="7985" spans="3:3" x14ac:dyDescent="0.25">
      <c r="C7985"/>
    </row>
    <row r="7986" spans="3:3" x14ac:dyDescent="0.25">
      <c r="C7986"/>
    </row>
    <row r="7987" spans="3:3" x14ac:dyDescent="0.25">
      <c r="C7987"/>
    </row>
    <row r="7988" spans="3:3" x14ac:dyDescent="0.25">
      <c r="C7988"/>
    </row>
    <row r="7989" spans="3:3" x14ac:dyDescent="0.25">
      <c r="C7989"/>
    </row>
    <row r="7990" spans="3:3" x14ac:dyDescent="0.25">
      <c r="C7990"/>
    </row>
    <row r="7991" spans="3:3" x14ac:dyDescent="0.25">
      <c r="C7991"/>
    </row>
    <row r="7992" spans="3:3" x14ac:dyDescent="0.25">
      <c r="C7992"/>
    </row>
    <row r="7993" spans="3:3" x14ac:dyDescent="0.25">
      <c r="C7993"/>
    </row>
    <row r="7994" spans="3:3" x14ac:dyDescent="0.25">
      <c r="C7994"/>
    </row>
    <row r="7995" spans="3:3" x14ac:dyDescent="0.25">
      <c r="C7995"/>
    </row>
    <row r="7996" spans="3:3" x14ac:dyDescent="0.25">
      <c r="C7996"/>
    </row>
    <row r="7997" spans="3:3" x14ac:dyDescent="0.25">
      <c r="C7997"/>
    </row>
    <row r="7998" spans="3:3" x14ac:dyDescent="0.25">
      <c r="C7998"/>
    </row>
    <row r="7999" spans="3:3" x14ac:dyDescent="0.25">
      <c r="C7999"/>
    </row>
    <row r="8000" spans="3:3" x14ac:dyDescent="0.25">
      <c r="C8000"/>
    </row>
    <row r="8001" spans="3:3" x14ac:dyDescent="0.25">
      <c r="C8001"/>
    </row>
    <row r="8002" spans="3:3" x14ac:dyDescent="0.25">
      <c r="C8002"/>
    </row>
    <row r="8003" spans="3:3" x14ac:dyDescent="0.25">
      <c r="C8003"/>
    </row>
    <row r="8004" spans="3:3" x14ac:dyDescent="0.25">
      <c r="C8004"/>
    </row>
    <row r="8005" spans="3:3" x14ac:dyDescent="0.25">
      <c r="C8005"/>
    </row>
    <row r="8006" spans="3:3" x14ac:dyDescent="0.25">
      <c r="C8006"/>
    </row>
    <row r="8007" spans="3:3" x14ac:dyDescent="0.25">
      <c r="C8007"/>
    </row>
    <row r="8008" spans="3:3" x14ac:dyDescent="0.25">
      <c r="C8008"/>
    </row>
    <row r="8009" spans="3:3" x14ac:dyDescent="0.25">
      <c r="C8009"/>
    </row>
    <row r="8010" spans="3:3" x14ac:dyDescent="0.25">
      <c r="C8010"/>
    </row>
    <row r="8011" spans="3:3" x14ac:dyDescent="0.25">
      <c r="C8011"/>
    </row>
    <row r="8012" spans="3:3" x14ac:dyDescent="0.25">
      <c r="C8012"/>
    </row>
    <row r="8013" spans="3:3" x14ac:dyDescent="0.25">
      <c r="C8013"/>
    </row>
    <row r="8014" spans="3:3" x14ac:dyDescent="0.25">
      <c r="C8014"/>
    </row>
    <row r="8015" spans="3:3" x14ac:dyDescent="0.25">
      <c r="C8015"/>
    </row>
    <row r="8016" spans="3:3" x14ac:dyDescent="0.25">
      <c r="C8016"/>
    </row>
    <row r="8017" spans="3:3" x14ac:dyDescent="0.25">
      <c r="C8017"/>
    </row>
    <row r="8018" spans="3:3" x14ac:dyDescent="0.25">
      <c r="C8018"/>
    </row>
    <row r="8019" spans="3:3" x14ac:dyDescent="0.25">
      <c r="C8019"/>
    </row>
    <row r="8020" spans="3:3" x14ac:dyDescent="0.25">
      <c r="C8020"/>
    </row>
    <row r="8021" spans="3:3" x14ac:dyDescent="0.25">
      <c r="C8021"/>
    </row>
    <row r="8022" spans="3:3" x14ac:dyDescent="0.25">
      <c r="C8022"/>
    </row>
    <row r="8023" spans="3:3" x14ac:dyDescent="0.25">
      <c r="C8023"/>
    </row>
    <row r="8024" spans="3:3" x14ac:dyDescent="0.25">
      <c r="C8024"/>
    </row>
    <row r="8025" spans="3:3" x14ac:dyDescent="0.25">
      <c r="C8025"/>
    </row>
    <row r="8026" spans="3:3" x14ac:dyDescent="0.25">
      <c r="C8026"/>
    </row>
    <row r="8027" spans="3:3" x14ac:dyDescent="0.25">
      <c r="C8027"/>
    </row>
    <row r="8028" spans="3:3" x14ac:dyDescent="0.25">
      <c r="C8028"/>
    </row>
    <row r="8029" spans="3:3" x14ac:dyDescent="0.25">
      <c r="C8029"/>
    </row>
    <row r="8030" spans="3:3" x14ac:dyDescent="0.25">
      <c r="C8030"/>
    </row>
    <row r="8031" spans="3:3" x14ac:dyDescent="0.25">
      <c r="C8031"/>
    </row>
    <row r="8032" spans="3:3" x14ac:dyDescent="0.25">
      <c r="C8032"/>
    </row>
    <row r="8033" spans="3:3" x14ac:dyDescent="0.25">
      <c r="C8033"/>
    </row>
    <row r="8034" spans="3:3" x14ac:dyDescent="0.25">
      <c r="C8034"/>
    </row>
    <row r="8035" spans="3:3" x14ac:dyDescent="0.25">
      <c r="C8035"/>
    </row>
    <row r="8036" spans="3:3" x14ac:dyDescent="0.25">
      <c r="C8036"/>
    </row>
    <row r="8037" spans="3:3" x14ac:dyDescent="0.25">
      <c r="C8037"/>
    </row>
    <row r="8038" spans="3:3" x14ac:dyDescent="0.25">
      <c r="C8038"/>
    </row>
    <row r="8039" spans="3:3" x14ac:dyDescent="0.25">
      <c r="C8039"/>
    </row>
    <row r="8040" spans="3:3" x14ac:dyDescent="0.25">
      <c r="C8040"/>
    </row>
    <row r="8041" spans="3:3" x14ac:dyDescent="0.25">
      <c r="C8041"/>
    </row>
    <row r="8042" spans="3:3" x14ac:dyDescent="0.25">
      <c r="C8042"/>
    </row>
    <row r="8043" spans="3:3" x14ac:dyDescent="0.25">
      <c r="C8043"/>
    </row>
    <row r="8044" spans="3:3" x14ac:dyDescent="0.25">
      <c r="C8044"/>
    </row>
    <row r="8045" spans="3:3" x14ac:dyDescent="0.25">
      <c r="C8045"/>
    </row>
    <row r="8046" spans="3:3" x14ac:dyDescent="0.25">
      <c r="C8046"/>
    </row>
    <row r="8047" spans="3:3" x14ac:dyDescent="0.25">
      <c r="C8047"/>
    </row>
    <row r="8048" spans="3:3" x14ac:dyDescent="0.25">
      <c r="C8048"/>
    </row>
    <row r="8049" spans="3:3" x14ac:dyDescent="0.25">
      <c r="C8049"/>
    </row>
    <row r="8050" spans="3:3" x14ac:dyDescent="0.25">
      <c r="C8050"/>
    </row>
    <row r="8051" spans="3:3" x14ac:dyDescent="0.25">
      <c r="C8051"/>
    </row>
    <row r="8052" spans="3:3" x14ac:dyDescent="0.25">
      <c r="C8052"/>
    </row>
    <row r="8053" spans="3:3" x14ac:dyDescent="0.25">
      <c r="C8053"/>
    </row>
    <row r="8054" spans="3:3" x14ac:dyDescent="0.25">
      <c r="C8054"/>
    </row>
    <row r="8055" spans="3:3" x14ac:dyDescent="0.25">
      <c r="C8055"/>
    </row>
    <row r="8056" spans="3:3" x14ac:dyDescent="0.25">
      <c r="C8056"/>
    </row>
    <row r="8057" spans="3:3" x14ac:dyDescent="0.25">
      <c r="C8057"/>
    </row>
    <row r="8058" spans="3:3" x14ac:dyDescent="0.25">
      <c r="C8058"/>
    </row>
    <row r="8059" spans="3:3" x14ac:dyDescent="0.25">
      <c r="C8059"/>
    </row>
    <row r="8060" spans="3:3" x14ac:dyDescent="0.25">
      <c r="C8060"/>
    </row>
    <row r="8061" spans="3:3" x14ac:dyDescent="0.25">
      <c r="C8061"/>
    </row>
    <row r="8062" spans="3:3" x14ac:dyDescent="0.25">
      <c r="C8062"/>
    </row>
    <row r="8063" spans="3:3" x14ac:dyDescent="0.25">
      <c r="C8063"/>
    </row>
    <row r="8064" spans="3:3" x14ac:dyDescent="0.25">
      <c r="C8064"/>
    </row>
    <row r="8065" spans="3:3" x14ac:dyDescent="0.25">
      <c r="C8065"/>
    </row>
    <row r="8066" spans="3:3" x14ac:dyDescent="0.25">
      <c r="C8066"/>
    </row>
    <row r="8067" spans="3:3" x14ac:dyDescent="0.25">
      <c r="C8067"/>
    </row>
    <row r="8068" spans="3:3" x14ac:dyDescent="0.25">
      <c r="C8068"/>
    </row>
    <row r="8069" spans="3:3" x14ac:dyDescent="0.25">
      <c r="C8069"/>
    </row>
    <row r="8070" spans="3:3" x14ac:dyDescent="0.25">
      <c r="C8070"/>
    </row>
    <row r="8071" spans="3:3" x14ac:dyDescent="0.25">
      <c r="C8071"/>
    </row>
    <row r="8072" spans="3:3" x14ac:dyDescent="0.25">
      <c r="C8072"/>
    </row>
    <row r="8073" spans="3:3" x14ac:dyDescent="0.25">
      <c r="C8073"/>
    </row>
    <row r="8074" spans="3:3" x14ac:dyDescent="0.25">
      <c r="C8074"/>
    </row>
    <row r="8075" spans="3:3" x14ac:dyDescent="0.25">
      <c r="C8075"/>
    </row>
    <row r="8076" spans="3:3" x14ac:dyDescent="0.25">
      <c r="C8076"/>
    </row>
    <row r="8077" spans="3:3" x14ac:dyDescent="0.25">
      <c r="C8077"/>
    </row>
    <row r="8078" spans="3:3" x14ac:dyDescent="0.25">
      <c r="C8078"/>
    </row>
    <row r="8079" spans="3:3" x14ac:dyDescent="0.25">
      <c r="C8079"/>
    </row>
    <row r="8080" spans="3:3" x14ac:dyDescent="0.25">
      <c r="C8080"/>
    </row>
    <row r="8081" spans="3:3" x14ac:dyDescent="0.25">
      <c r="C8081"/>
    </row>
    <row r="8082" spans="3:3" x14ac:dyDescent="0.25">
      <c r="C8082"/>
    </row>
    <row r="8083" spans="3:3" x14ac:dyDescent="0.25">
      <c r="C8083"/>
    </row>
    <row r="8084" spans="3:3" x14ac:dyDescent="0.25">
      <c r="C8084"/>
    </row>
    <row r="8085" spans="3:3" x14ac:dyDescent="0.25">
      <c r="C8085"/>
    </row>
    <row r="8086" spans="3:3" x14ac:dyDescent="0.25">
      <c r="C8086"/>
    </row>
    <row r="8087" spans="3:3" x14ac:dyDescent="0.25">
      <c r="C8087"/>
    </row>
    <row r="8088" spans="3:3" x14ac:dyDescent="0.25">
      <c r="C8088"/>
    </row>
    <row r="8089" spans="3:3" x14ac:dyDescent="0.25">
      <c r="C8089"/>
    </row>
    <row r="8090" spans="3:3" x14ac:dyDescent="0.25">
      <c r="C8090"/>
    </row>
    <row r="8091" spans="3:3" x14ac:dyDescent="0.25">
      <c r="C8091"/>
    </row>
    <row r="8092" spans="3:3" x14ac:dyDescent="0.25">
      <c r="C8092"/>
    </row>
    <row r="8093" spans="3:3" x14ac:dyDescent="0.25">
      <c r="C8093"/>
    </row>
    <row r="8094" spans="3:3" x14ac:dyDescent="0.25">
      <c r="C8094"/>
    </row>
    <row r="8095" spans="3:3" x14ac:dyDescent="0.25">
      <c r="C8095"/>
    </row>
    <row r="8096" spans="3:3" x14ac:dyDescent="0.25">
      <c r="C8096"/>
    </row>
    <row r="8097" spans="3:3" x14ac:dyDescent="0.25">
      <c r="C8097"/>
    </row>
    <row r="8098" spans="3:3" x14ac:dyDescent="0.25">
      <c r="C8098"/>
    </row>
    <row r="8099" spans="3:3" x14ac:dyDescent="0.25">
      <c r="C8099"/>
    </row>
    <row r="8100" spans="3:3" x14ac:dyDescent="0.25">
      <c r="C8100"/>
    </row>
    <row r="8101" spans="3:3" x14ac:dyDescent="0.25">
      <c r="C8101"/>
    </row>
    <row r="8102" spans="3:3" x14ac:dyDescent="0.25">
      <c r="C8102"/>
    </row>
    <row r="8103" spans="3:3" x14ac:dyDescent="0.25">
      <c r="C8103"/>
    </row>
    <row r="8104" spans="3:3" x14ac:dyDescent="0.25">
      <c r="C8104"/>
    </row>
    <row r="8105" spans="3:3" x14ac:dyDescent="0.25">
      <c r="C8105"/>
    </row>
    <row r="8106" spans="3:3" x14ac:dyDescent="0.25">
      <c r="C8106"/>
    </row>
    <row r="8107" spans="3:3" x14ac:dyDescent="0.25">
      <c r="C8107"/>
    </row>
    <row r="8108" spans="3:3" x14ac:dyDescent="0.25">
      <c r="C8108"/>
    </row>
    <row r="8109" spans="3:3" x14ac:dyDescent="0.25">
      <c r="C8109"/>
    </row>
    <row r="8110" spans="3:3" x14ac:dyDescent="0.25">
      <c r="C8110"/>
    </row>
    <row r="8111" spans="3:3" x14ac:dyDescent="0.25">
      <c r="C8111"/>
    </row>
    <row r="8112" spans="3:3" x14ac:dyDescent="0.25">
      <c r="C8112"/>
    </row>
    <row r="8113" spans="3:3" x14ac:dyDescent="0.25">
      <c r="C8113"/>
    </row>
    <row r="8114" spans="3:3" x14ac:dyDescent="0.25">
      <c r="C8114"/>
    </row>
    <row r="8115" spans="3:3" x14ac:dyDescent="0.25">
      <c r="C8115"/>
    </row>
    <row r="8116" spans="3:3" x14ac:dyDescent="0.25">
      <c r="C8116"/>
    </row>
    <row r="8117" spans="3:3" x14ac:dyDescent="0.25">
      <c r="C8117"/>
    </row>
    <row r="8118" spans="3:3" x14ac:dyDescent="0.25">
      <c r="C8118"/>
    </row>
    <row r="8119" spans="3:3" x14ac:dyDescent="0.25">
      <c r="C8119"/>
    </row>
    <row r="8120" spans="3:3" x14ac:dyDescent="0.25">
      <c r="C8120"/>
    </row>
    <row r="8121" spans="3:3" x14ac:dyDescent="0.25">
      <c r="C8121"/>
    </row>
    <row r="8122" spans="3:3" x14ac:dyDescent="0.25">
      <c r="C8122"/>
    </row>
    <row r="8123" spans="3:3" x14ac:dyDescent="0.25">
      <c r="C8123"/>
    </row>
    <row r="8124" spans="3:3" x14ac:dyDescent="0.25">
      <c r="C8124"/>
    </row>
    <row r="8125" spans="3:3" x14ac:dyDescent="0.25">
      <c r="C8125"/>
    </row>
    <row r="8126" spans="3:3" x14ac:dyDescent="0.25">
      <c r="C8126"/>
    </row>
    <row r="8127" spans="3:3" x14ac:dyDescent="0.25">
      <c r="C8127"/>
    </row>
    <row r="8128" spans="3:3" x14ac:dyDescent="0.25">
      <c r="C8128"/>
    </row>
    <row r="8129" spans="3:3" x14ac:dyDescent="0.25">
      <c r="C8129"/>
    </row>
    <row r="8130" spans="3:3" x14ac:dyDescent="0.25">
      <c r="C8130"/>
    </row>
    <row r="8131" spans="3:3" x14ac:dyDescent="0.25">
      <c r="C8131"/>
    </row>
    <row r="8132" spans="3:3" x14ac:dyDescent="0.25">
      <c r="C8132"/>
    </row>
    <row r="8133" spans="3:3" x14ac:dyDescent="0.25">
      <c r="C8133"/>
    </row>
    <row r="8134" spans="3:3" x14ac:dyDescent="0.25">
      <c r="C8134"/>
    </row>
    <row r="8135" spans="3:3" x14ac:dyDescent="0.25">
      <c r="C8135"/>
    </row>
    <row r="8136" spans="3:3" x14ac:dyDescent="0.25">
      <c r="C8136"/>
    </row>
    <row r="8137" spans="3:3" x14ac:dyDescent="0.25">
      <c r="C8137"/>
    </row>
    <row r="8138" spans="3:3" x14ac:dyDescent="0.25">
      <c r="C8138"/>
    </row>
    <row r="8139" spans="3:3" x14ac:dyDescent="0.25">
      <c r="C8139"/>
    </row>
    <row r="8140" spans="3:3" x14ac:dyDescent="0.25">
      <c r="C8140"/>
    </row>
    <row r="8141" spans="3:3" x14ac:dyDescent="0.25">
      <c r="C8141"/>
    </row>
    <row r="8142" spans="3:3" x14ac:dyDescent="0.25">
      <c r="C8142"/>
    </row>
    <row r="8143" spans="3:3" x14ac:dyDescent="0.25">
      <c r="C8143"/>
    </row>
    <row r="8144" spans="3:3" x14ac:dyDescent="0.25">
      <c r="C8144"/>
    </row>
    <row r="8145" spans="3:3" x14ac:dyDescent="0.25">
      <c r="C8145"/>
    </row>
    <row r="8146" spans="3:3" x14ac:dyDescent="0.25">
      <c r="C8146"/>
    </row>
    <row r="8147" spans="3:3" x14ac:dyDescent="0.25">
      <c r="C8147"/>
    </row>
    <row r="8148" spans="3:3" x14ac:dyDescent="0.25">
      <c r="C8148"/>
    </row>
    <row r="8149" spans="3:3" x14ac:dyDescent="0.25">
      <c r="C8149"/>
    </row>
    <row r="8150" spans="3:3" x14ac:dyDescent="0.25">
      <c r="C8150"/>
    </row>
    <row r="8151" spans="3:3" x14ac:dyDescent="0.25">
      <c r="C8151"/>
    </row>
    <row r="8152" spans="3:3" x14ac:dyDescent="0.25">
      <c r="C8152"/>
    </row>
    <row r="8153" spans="3:3" x14ac:dyDescent="0.25">
      <c r="C8153"/>
    </row>
    <row r="8154" spans="3:3" x14ac:dyDescent="0.25">
      <c r="C8154"/>
    </row>
    <row r="8155" spans="3:3" x14ac:dyDescent="0.25">
      <c r="C8155"/>
    </row>
    <row r="8156" spans="3:3" x14ac:dyDescent="0.25">
      <c r="C8156"/>
    </row>
    <row r="8157" spans="3:3" x14ac:dyDescent="0.25">
      <c r="C8157"/>
    </row>
    <row r="8158" spans="3:3" x14ac:dyDescent="0.25">
      <c r="C8158"/>
    </row>
    <row r="8159" spans="3:3" x14ac:dyDescent="0.25">
      <c r="C8159"/>
    </row>
    <row r="8160" spans="3:3" x14ac:dyDescent="0.25">
      <c r="C8160"/>
    </row>
    <row r="8161" spans="3:3" x14ac:dyDescent="0.25">
      <c r="C8161"/>
    </row>
    <row r="8162" spans="3:3" x14ac:dyDescent="0.25">
      <c r="C8162"/>
    </row>
    <row r="8163" spans="3:3" x14ac:dyDescent="0.25">
      <c r="C8163"/>
    </row>
    <row r="8164" spans="3:3" x14ac:dyDescent="0.25">
      <c r="C8164"/>
    </row>
    <row r="8165" spans="3:3" x14ac:dyDescent="0.25">
      <c r="C8165"/>
    </row>
    <row r="8166" spans="3:3" x14ac:dyDescent="0.25">
      <c r="C8166"/>
    </row>
    <row r="8167" spans="3:3" x14ac:dyDescent="0.25">
      <c r="C8167"/>
    </row>
    <row r="8168" spans="3:3" x14ac:dyDescent="0.25">
      <c r="C8168"/>
    </row>
    <row r="8169" spans="3:3" x14ac:dyDescent="0.25">
      <c r="C8169"/>
    </row>
    <row r="8170" spans="3:3" x14ac:dyDescent="0.25">
      <c r="C8170"/>
    </row>
    <row r="8171" spans="3:3" x14ac:dyDescent="0.25">
      <c r="C8171"/>
    </row>
    <row r="8172" spans="3:3" x14ac:dyDescent="0.25">
      <c r="C8172"/>
    </row>
    <row r="8173" spans="3:3" x14ac:dyDescent="0.25">
      <c r="C8173"/>
    </row>
    <row r="8174" spans="3:3" x14ac:dyDescent="0.25">
      <c r="C8174"/>
    </row>
    <row r="8175" spans="3:3" x14ac:dyDescent="0.25">
      <c r="C8175"/>
    </row>
    <row r="8176" spans="3:3" x14ac:dyDescent="0.25">
      <c r="C8176"/>
    </row>
    <row r="8177" spans="3:3" x14ac:dyDescent="0.25">
      <c r="C8177"/>
    </row>
    <row r="8178" spans="3:3" x14ac:dyDescent="0.25">
      <c r="C8178"/>
    </row>
    <row r="8179" spans="3:3" x14ac:dyDescent="0.25">
      <c r="C8179"/>
    </row>
    <row r="8180" spans="3:3" x14ac:dyDescent="0.25">
      <c r="C8180"/>
    </row>
    <row r="8181" spans="3:3" x14ac:dyDescent="0.25">
      <c r="C8181"/>
    </row>
    <row r="8182" spans="3:3" x14ac:dyDescent="0.25">
      <c r="C8182"/>
    </row>
    <row r="8183" spans="3:3" x14ac:dyDescent="0.25">
      <c r="C8183"/>
    </row>
    <row r="8184" spans="3:3" x14ac:dyDescent="0.25">
      <c r="C8184"/>
    </row>
    <row r="8185" spans="3:3" x14ac:dyDescent="0.25">
      <c r="C8185"/>
    </row>
    <row r="8186" spans="3:3" x14ac:dyDescent="0.25">
      <c r="C8186"/>
    </row>
    <row r="8187" spans="3:3" x14ac:dyDescent="0.25">
      <c r="C8187"/>
    </row>
    <row r="8188" spans="3:3" x14ac:dyDescent="0.25">
      <c r="C8188"/>
    </row>
    <row r="8189" spans="3:3" x14ac:dyDescent="0.25">
      <c r="C8189"/>
    </row>
    <row r="8190" spans="3:3" x14ac:dyDescent="0.25">
      <c r="C8190"/>
    </row>
    <row r="8191" spans="3:3" x14ac:dyDescent="0.25">
      <c r="C8191"/>
    </row>
    <row r="8192" spans="3:3" x14ac:dyDescent="0.25">
      <c r="C8192"/>
    </row>
    <row r="8193" spans="3:3" x14ac:dyDescent="0.25">
      <c r="C8193"/>
    </row>
    <row r="8194" spans="3:3" x14ac:dyDescent="0.25">
      <c r="C8194"/>
    </row>
    <row r="8195" spans="3:3" x14ac:dyDescent="0.25">
      <c r="C8195"/>
    </row>
    <row r="8196" spans="3:3" x14ac:dyDescent="0.25">
      <c r="C8196"/>
    </row>
    <row r="8197" spans="3:3" x14ac:dyDescent="0.25">
      <c r="C8197"/>
    </row>
    <row r="8198" spans="3:3" x14ac:dyDescent="0.25">
      <c r="C8198"/>
    </row>
    <row r="8199" spans="3:3" x14ac:dyDescent="0.25">
      <c r="C8199"/>
    </row>
    <row r="8200" spans="3:3" x14ac:dyDescent="0.25">
      <c r="C8200"/>
    </row>
    <row r="8201" spans="3:3" x14ac:dyDescent="0.25">
      <c r="C8201"/>
    </row>
    <row r="8202" spans="3:3" x14ac:dyDescent="0.25">
      <c r="C8202"/>
    </row>
    <row r="8203" spans="3:3" x14ac:dyDescent="0.25">
      <c r="C8203"/>
    </row>
    <row r="8204" spans="3:3" x14ac:dyDescent="0.25">
      <c r="C8204"/>
    </row>
    <row r="8205" spans="3:3" x14ac:dyDescent="0.25">
      <c r="C8205"/>
    </row>
    <row r="8206" spans="3:3" x14ac:dyDescent="0.25">
      <c r="C8206"/>
    </row>
    <row r="8207" spans="3:3" x14ac:dyDescent="0.25">
      <c r="C8207"/>
    </row>
    <row r="8208" spans="3:3" x14ac:dyDescent="0.25">
      <c r="C8208"/>
    </row>
    <row r="8209" spans="3:3" x14ac:dyDescent="0.25">
      <c r="C8209"/>
    </row>
    <row r="8210" spans="3:3" x14ac:dyDescent="0.25">
      <c r="C8210"/>
    </row>
    <row r="8211" spans="3:3" x14ac:dyDescent="0.25">
      <c r="C8211"/>
    </row>
    <row r="8212" spans="3:3" x14ac:dyDescent="0.25">
      <c r="C8212"/>
    </row>
    <row r="8213" spans="3:3" x14ac:dyDescent="0.25">
      <c r="C8213"/>
    </row>
    <row r="8214" spans="3:3" x14ac:dyDescent="0.25">
      <c r="C8214"/>
    </row>
    <row r="8215" spans="3:3" x14ac:dyDescent="0.25">
      <c r="C8215"/>
    </row>
    <row r="8216" spans="3:3" x14ac:dyDescent="0.25">
      <c r="C8216"/>
    </row>
    <row r="8217" spans="3:3" x14ac:dyDescent="0.25">
      <c r="C8217"/>
    </row>
    <row r="8218" spans="3:3" x14ac:dyDescent="0.25">
      <c r="C8218"/>
    </row>
    <row r="8219" spans="3:3" x14ac:dyDescent="0.25">
      <c r="C8219"/>
    </row>
    <row r="8220" spans="3:3" x14ac:dyDescent="0.25">
      <c r="C8220"/>
    </row>
    <row r="8221" spans="3:3" x14ac:dyDescent="0.25">
      <c r="C8221"/>
    </row>
    <row r="8222" spans="3:3" x14ac:dyDescent="0.25">
      <c r="C8222"/>
    </row>
    <row r="8223" spans="3:3" x14ac:dyDescent="0.25">
      <c r="C8223"/>
    </row>
    <row r="8224" spans="3:3" x14ac:dyDescent="0.25">
      <c r="C8224"/>
    </row>
    <row r="8225" spans="3:3" x14ac:dyDescent="0.25">
      <c r="C8225"/>
    </row>
    <row r="8226" spans="3:3" x14ac:dyDescent="0.25">
      <c r="C8226"/>
    </row>
    <row r="8227" spans="3:3" x14ac:dyDescent="0.25">
      <c r="C8227"/>
    </row>
    <row r="8228" spans="3:3" x14ac:dyDescent="0.25">
      <c r="C8228"/>
    </row>
    <row r="8229" spans="3:3" x14ac:dyDescent="0.25">
      <c r="C8229"/>
    </row>
    <row r="8230" spans="3:3" x14ac:dyDescent="0.25">
      <c r="C8230"/>
    </row>
    <row r="8231" spans="3:3" x14ac:dyDescent="0.25">
      <c r="C8231"/>
    </row>
    <row r="8232" spans="3:3" x14ac:dyDescent="0.25">
      <c r="C8232"/>
    </row>
    <row r="8233" spans="3:3" x14ac:dyDescent="0.25">
      <c r="C8233"/>
    </row>
    <row r="8234" spans="3:3" x14ac:dyDescent="0.25">
      <c r="C8234"/>
    </row>
    <row r="8235" spans="3:3" x14ac:dyDescent="0.25">
      <c r="C8235"/>
    </row>
    <row r="8236" spans="3:3" x14ac:dyDescent="0.25">
      <c r="C8236"/>
    </row>
    <row r="8237" spans="3:3" x14ac:dyDescent="0.25">
      <c r="C8237"/>
    </row>
    <row r="8238" spans="3:3" x14ac:dyDescent="0.25">
      <c r="C8238"/>
    </row>
    <row r="8239" spans="3:3" x14ac:dyDescent="0.25">
      <c r="C8239"/>
    </row>
    <row r="8240" spans="3:3" x14ac:dyDescent="0.25">
      <c r="C8240"/>
    </row>
    <row r="8241" spans="3:3" x14ac:dyDescent="0.25">
      <c r="C8241"/>
    </row>
    <row r="8242" spans="3:3" x14ac:dyDescent="0.25">
      <c r="C8242"/>
    </row>
    <row r="8243" spans="3:3" x14ac:dyDescent="0.25">
      <c r="C8243"/>
    </row>
    <row r="8244" spans="3:3" x14ac:dyDescent="0.25">
      <c r="C8244"/>
    </row>
    <row r="8245" spans="3:3" x14ac:dyDescent="0.25">
      <c r="C8245"/>
    </row>
    <row r="8246" spans="3:3" x14ac:dyDescent="0.25">
      <c r="C8246"/>
    </row>
    <row r="8247" spans="3:3" x14ac:dyDescent="0.25">
      <c r="C8247"/>
    </row>
    <row r="8248" spans="3:3" x14ac:dyDescent="0.25">
      <c r="C8248"/>
    </row>
    <row r="8249" spans="3:3" x14ac:dyDescent="0.25">
      <c r="C8249"/>
    </row>
    <row r="8250" spans="3:3" x14ac:dyDescent="0.25">
      <c r="C8250"/>
    </row>
    <row r="8251" spans="3:3" x14ac:dyDescent="0.25">
      <c r="C8251"/>
    </row>
    <row r="8252" spans="3:3" x14ac:dyDescent="0.25">
      <c r="C8252"/>
    </row>
    <row r="8253" spans="3:3" x14ac:dyDescent="0.25">
      <c r="C8253"/>
    </row>
    <row r="8254" spans="3:3" x14ac:dyDescent="0.25">
      <c r="C8254"/>
    </row>
    <row r="8255" spans="3:3" x14ac:dyDescent="0.25">
      <c r="C8255"/>
    </row>
    <row r="8256" spans="3:3" x14ac:dyDescent="0.25">
      <c r="C8256"/>
    </row>
    <row r="8257" spans="3:3" x14ac:dyDescent="0.25">
      <c r="C8257"/>
    </row>
    <row r="8258" spans="3:3" x14ac:dyDescent="0.25">
      <c r="C8258"/>
    </row>
    <row r="8259" spans="3:3" x14ac:dyDescent="0.25">
      <c r="C8259"/>
    </row>
    <row r="8260" spans="3:3" x14ac:dyDescent="0.25">
      <c r="C8260"/>
    </row>
    <row r="8261" spans="3:3" x14ac:dyDescent="0.25">
      <c r="C8261"/>
    </row>
    <row r="8262" spans="3:3" x14ac:dyDescent="0.25">
      <c r="C8262"/>
    </row>
    <row r="8263" spans="3:3" x14ac:dyDescent="0.25">
      <c r="C8263"/>
    </row>
    <row r="8264" spans="3:3" x14ac:dyDescent="0.25">
      <c r="C8264"/>
    </row>
    <row r="8265" spans="3:3" x14ac:dyDescent="0.25">
      <c r="C8265"/>
    </row>
    <row r="8266" spans="3:3" x14ac:dyDescent="0.25">
      <c r="C8266"/>
    </row>
    <row r="8267" spans="3:3" x14ac:dyDescent="0.25">
      <c r="C8267"/>
    </row>
    <row r="8268" spans="3:3" x14ac:dyDescent="0.25">
      <c r="C8268"/>
    </row>
    <row r="8269" spans="3:3" x14ac:dyDescent="0.25">
      <c r="C8269"/>
    </row>
    <row r="8270" spans="3:3" x14ac:dyDescent="0.25">
      <c r="C8270"/>
    </row>
    <row r="8271" spans="3:3" x14ac:dyDescent="0.25">
      <c r="C8271"/>
    </row>
    <row r="8272" spans="3:3" x14ac:dyDescent="0.25">
      <c r="C8272"/>
    </row>
    <row r="8273" spans="3:3" x14ac:dyDescent="0.25">
      <c r="C8273"/>
    </row>
    <row r="8274" spans="3:3" x14ac:dyDescent="0.25">
      <c r="C8274"/>
    </row>
    <row r="8275" spans="3:3" x14ac:dyDescent="0.25">
      <c r="C8275"/>
    </row>
    <row r="8276" spans="3:3" x14ac:dyDescent="0.25">
      <c r="C8276"/>
    </row>
    <row r="8277" spans="3:3" x14ac:dyDescent="0.25">
      <c r="C8277"/>
    </row>
    <row r="8278" spans="3:3" x14ac:dyDescent="0.25">
      <c r="C8278"/>
    </row>
    <row r="8279" spans="3:3" x14ac:dyDescent="0.25">
      <c r="C8279"/>
    </row>
    <row r="8280" spans="3:3" x14ac:dyDescent="0.25">
      <c r="C8280"/>
    </row>
    <row r="8281" spans="3:3" x14ac:dyDescent="0.25">
      <c r="C8281"/>
    </row>
    <row r="8282" spans="3:3" x14ac:dyDescent="0.25">
      <c r="C8282"/>
    </row>
    <row r="8283" spans="3:3" x14ac:dyDescent="0.25">
      <c r="C8283"/>
    </row>
    <row r="8284" spans="3:3" x14ac:dyDescent="0.25">
      <c r="C8284"/>
    </row>
    <row r="8285" spans="3:3" x14ac:dyDescent="0.25">
      <c r="C8285"/>
    </row>
    <row r="8286" spans="3:3" x14ac:dyDescent="0.25">
      <c r="C8286"/>
    </row>
    <row r="8287" spans="3:3" x14ac:dyDescent="0.25">
      <c r="C8287"/>
    </row>
    <row r="8288" spans="3:3" x14ac:dyDescent="0.25">
      <c r="C8288"/>
    </row>
    <row r="8289" spans="3:3" x14ac:dyDescent="0.25">
      <c r="C8289"/>
    </row>
    <row r="8290" spans="3:3" x14ac:dyDescent="0.25">
      <c r="C8290"/>
    </row>
    <row r="8291" spans="3:3" x14ac:dyDescent="0.25">
      <c r="C8291"/>
    </row>
    <row r="8292" spans="3:3" x14ac:dyDescent="0.25">
      <c r="C8292"/>
    </row>
    <row r="8293" spans="3:3" x14ac:dyDescent="0.25">
      <c r="C8293"/>
    </row>
    <row r="8294" spans="3:3" x14ac:dyDescent="0.25">
      <c r="C8294"/>
    </row>
    <row r="8295" spans="3:3" x14ac:dyDescent="0.25">
      <c r="C8295"/>
    </row>
    <row r="8296" spans="3:3" x14ac:dyDescent="0.25">
      <c r="C8296"/>
    </row>
    <row r="8297" spans="3:3" x14ac:dyDescent="0.25">
      <c r="C8297"/>
    </row>
    <row r="8298" spans="3:3" x14ac:dyDescent="0.25">
      <c r="C8298"/>
    </row>
    <row r="8299" spans="3:3" x14ac:dyDescent="0.25">
      <c r="C8299"/>
    </row>
    <row r="8300" spans="3:3" x14ac:dyDescent="0.25">
      <c r="C8300"/>
    </row>
    <row r="8301" spans="3:3" x14ac:dyDescent="0.25">
      <c r="C8301"/>
    </row>
    <row r="8302" spans="3:3" x14ac:dyDescent="0.25">
      <c r="C8302"/>
    </row>
    <row r="8303" spans="3:3" x14ac:dyDescent="0.25">
      <c r="C8303"/>
    </row>
    <row r="8304" spans="3:3" x14ac:dyDescent="0.25">
      <c r="C8304"/>
    </row>
    <row r="8305" spans="3:3" x14ac:dyDescent="0.25">
      <c r="C8305"/>
    </row>
    <row r="8306" spans="3:3" x14ac:dyDescent="0.25">
      <c r="C8306"/>
    </row>
    <row r="8307" spans="3:3" x14ac:dyDescent="0.25">
      <c r="C8307"/>
    </row>
    <row r="8308" spans="3:3" x14ac:dyDescent="0.25">
      <c r="C8308"/>
    </row>
    <row r="8309" spans="3:3" x14ac:dyDescent="0.25">
      <c r="C8309"/>
    </row>
    <row r="8310" spans="3:3" x14ac:dyDescent="0.25">
      <c r="C8310"/>
    </row>
    <row r="8311" spans="3:3" x14ac:dyDescent="0.25">
      <c r="C8311"/>
    </row>
    <row r="8312" spans="3:3" x14ac:dyDescent="0.25">
      <c r="C8312"/>
    </row>
    <row r="8313" spans="3:3" x14ac:dyDescent="0.25">
      <c r="C8313"/>
    </row>
    <row r="8314" spans="3:3" x14ac:dyDescent="0.25">
      <c r="C8314"/>
    </row>
    <row r="8315" spans="3:3" x14ac:dyDescent="0.25">
      <c r="C8315"/>
    </row>
    <row r="8316" spans="3:3" x14ac:dyDescent="0.25">
      <c r="C8316"/>
    </row>
    <row r="8317" spans="3:3" x14ac:dyDescent="0.25">
      <c r="C8317"/>
    </row>
    <row r="8318" spans="3:3" x14ac:dyDescent="0.25">
      <c r="C8318"/>
    </row>
    <row r="8319" spans="3:3" x14ac:dyDescent="0.25">
      <c r="C8319"/>
    </row>
    <row r="8320" spans="3:3" x14ac:dyDescent="0.25">
      <c r="C8320"/>
    </row>
    <row r="8321" spans="3:3" x14ac:dyDescent="0.25">
      <c r="C8321"/>
    </row>
    <row r="8322" spans="3:3" x14ac:dyDescent="0.25">
      <c r="C8322"/>
    </row>
    <row r="8323" spans="3:3" x14ac:dyDescent="0.25">
      <c r="C8323"/>
    </row>
    <row r="8324" spans="3:3" x14ac:dyDescent="0.25">
      <c r="C8324"/>
    </row>
    <row r="8325" spans="3:3" x14ac:dyDescent="0.25">
      <c r="C8325"/>
    </row>
    <row r="8326" spans="3:3" x14ac:dyDescent="0.25">
      <c r="C8326"/>
    </row>
    <row r="8327" spans="3:3" x14ac:dyDescent="0.25">
      <c r="C8327"/>
    </row>
    <row r="8328" spans="3:3" x14ac:dyDescent="0.25">
      <c r="C8328"/>
    </row>
    <row r="8329" spans="3:3" x14ac:dyDescent="0.25">
      <c r="C8329"/>
    </row>
    <row r="8330" spans="3:3" x14ac:dyDescent="0.25">
      <c r="C8330"/>
    </row>
    <row r="8331" spans="3:3" x14ac:dyDescent="0.25">
      <c r="C8331"/>
    </row>
    <row r="8332" spans="3:3" x14ac:dyDescent="0.25">
      <c r="C8332"/>
    </row>
    <row r="8333" spans="3:3" x14ac:dyDescent="0.25">
      <c r="C8333"/>
    </row>
    <row r="8334" spans="3:3" x14ac:dyDescent="0.25">
      <c r="C8334"/>
    </row>
    <row r="8335" spans="3:3" x14ac:dyDescent="0.25">
      <c r="C8335"/>
    </row>
    <row r="8336" spans="3:3" x14ac:dyDescent="0.25">
      <c r="C8336"/>
    </row>
    <row r="8337" spans="3:3" x14ac:dyDescent="0.25">
      <c r="C8337"/>
    </row>
    <row r="8338" spans="3:3" x14ac:dyDescent="0.25">
      <c r="C8338"/>
    </row>
    <row r="8339" spans="3:3" x14ac:dyDescent="0.25">
      <c r="C8339"/>
    </row>
    <row r="8340" spans="3:3" x14ac:dyDescent="0.25">
      <c r="C8340"/>
    </row>
    <row r="8341" spans="3:3" x14ac:dyDescent="0.25">
      <c r="C8341"/>
    </row>
    <row r="8342" spans="3:3" x14ac:dyDescent="0.25">
      <c r="C8342"/>
    </row>
    <row r="8343" spans="3:3" x14ac:dyDescent="0.25">
      <c r="C8343"/>
    </row>
    <row r="8344" spans="3:3" x14ac:dyDescent="0.25">
      <c r="C8344"/>
    </row>
    <row r="8345" spans="3:3" x14ac:dyDescent="0.25">
      <c r="C8345"/>
    </row>
    <row r="8346" spans="3:3" x14ac:dyDescent="0.25">
      <c r="C8346"/>
    </row>
    <row r="8347" spans="3:3" x14ac:dyDescent="0.25">
      <c r="C8347"/>
    </row>
    <row r="8348" spans="3:3" x14ac:dyDescent="0.25">
      <c r="C8348"/>
    </row>
    <row r="8349" spans="3:3" x14ac:dyDescent="0.25">
      <c r="C8349"/>
    </row>
    <row r="8350" spans="3:3" x14ac:dyDescent="0.25">
      <c r="C8350"/>
    </row>
    <row r="8351" spans="3:3" x14ac:dyDescent="0.25">
      <c r="C8351"/>
    </row>
    <row r="8352" spans="3:3" x14ac:dyDescent="0.25">
      <c r="C8352"/>
    </row>
    <row r="8353" spans="3:3" x14ac:dyDescent="0.25">
      <c r="C8353"/>
    </row>
    <row r="8354" spans="3:3" x14ac:dyDescent="0.25">
      <c r="C8354"/>
    </row>
    <row r="8355" spans="3:3" x14ac:dyDescent="0.25">
      <c r="C8355"/>
    </row>
    <row r="8356" spans="3:3" x14ac:dyDescent="0.25">
      <c r="C8356"/>
    </row>
    <row r="8357" spans="3:3" x14ac:dyDescent="0.25">
      <c r="C8357"/>
    </row>
    <row r="8358" spans="3:3" x14ac:dyDescent="0.25">
      <c r="C8358"/>
    </row>
    <row r="8359" spans="3:3" x14ac:dyDescent="0.25">
      <c r="C8359"/>
    </row>
    <row r="8360" spans="3:3" x14ac:dyDescent="0.25">
      <c r="C8360"/>
    </row>
    <row r="8361" spans="3:3" x14ac:dyDescent="0.25">
      <c r="C8361"/>
    </row>
    <row r="8362" spans="3:3" x14ac:dyDescent="0.25">
      <c r="C8362"/>
    </row>
    <row r="8363" spans="3:3" x14ac:dyDescent="0.25">
      <c r="C8363"/>
    </row>
    <row r="8364" spans="3:3" x14ac:dyDescent="0.25">
      <c r="C8364"/>
    </row>
    <row r="8365" spans="3:3" x14ac:dyDescent="0.25">
      <c r="C8365"/>
    </row>
    <row r="8366" spans="3:3" x14ac:dyDescent="0.25">
      <c r="C8366"/>
    </row>
    <row r="8367" spans="3:3" x14ac:dyDescent="0.25">
      <c r="C8367"/>
    </row>
    <row r="8368" spans="3:3" x14ac:dyDescent="0.25">
      <c r="C8368"/>
    </row>
    <row r="8369" spans="3:3" x14ac:dyDescent="0.25">
      <c r="C8369"/>
    </row>
    <row r="8370" spans="3:3" x14ac:dyDescent="0.25">
      <c r="C8370"/>
    </row>
    <row r="8371" spans="3:3" x14ac:dyDescent="0.25">
      <c r="C8371"/>
    </row>
    <row r="8372" spans="3:3" x14ac:dyDescent="0.25">
      <c r="C8372"/>
    </row>
    <row r="8373" spans="3:3" x14ac:dyDescent="0.25">
      <c r="C8373"/>
    </row>
    <row r="8374" spans="3:3" x14ac:dyDescent="0.25">
      <c r="C8374"/>
    </row>
    <row r="8375" spans="3:3" x14ac:dyDescent="0.25">
      <c r="C8375"/>
    </row>
    <row r="8376" spans="3:3" x14ac:dyDescent="0.25">
      <c r="C8376"/>
    </row>
    <row r="8377" spans="3:3" x14ac:dyDescent="0.25">
      <c r="C8377"/>
    </row>
    <row r="8378" spans="3:3" x14ac:dyDescent="0.25">
      <c r="C8378"/>
    </row>
    <row r="8379" spans="3:3" x14ac:dyDescent="0.25">
      <c r="C8379"/>
    </row>
    <row r="8380" spans="3:3" x14ac:dyDescent="0.25">
      <c r="C8380"/>
    </row>
    <row r="8381" spans="3:3" x14ac:dyDescent="0.25">
      <c r="C8381"/>
    </row>
    <row r="8382" spans="3:3" x14ac:dyDescent="0.25">
      <c r="C8382"/>
    </row>
    <row r="8383" spans="3:3" x14ac:dyDescent="0.25">
      <c r="C8383"/>
    </row>
    <row r="8384" spans="3:3" x14ac:dyDescent="0.25">
      <c r="C8384"/>
    </row>
    <row r="8385" spans="3:3" x14ac:dyDescent="0.25">
      <c r="C8385"/>
    </row>
    <row r="8386" spans="3:3" x14ac:dyDescent="0.25">
      <c r="C8386"/>
    </row>
    <row r="8387" spans="3:3" x14ac:dyDescent="0.25">
      <c r="C8387"/>
    </row>
    <row r="8388" spans="3:3" x14ac:dyDescent="0.25">
      <c r="C8388"/>
    </row>
    <row r="8389" spans="3:3" x14ac:dyDescent="0.25">
      <c r="C8389"/>
    </row>
    <row r="8390" spans="3:3" x14ac:dyDescent="0.25">
      <c r="C8390"/>
    </row>
    <row r="8391" spans="3:3" x14ac:dyDescent="0.25">
      <c r="C8391"/>
    </row>
    <row r="8392" spans="3:3" x14ac:dyDescent="0.25">
      <c r="C8392"/>
    </row>
    <row r="8393" spans="3:3" x14ac:dyDescent="0.25">
      <c r="C8393"/>
    </row>
    <row r="8394" spans="3:3" x14ac:dyDescent="0.25">
      <c r="C8394"/>
    </row>
    <row r="8395" spans="3:3" x14ac:dyDescent="0.25">
      <c r="C8395"/>
    </row>
    <row r="8396" spans="3:3" x14ac:dyDescent="0.25">
      <c r="C8396"/>
    </row>
    <row r="8397" spans="3:3" x14ac:dyDescent="0.25">
      <c r="C8397"/>
    </row>
    <row r="8398" spans="3:3" x14ac:dyDescent="0.25">
      <c r="C8398"/>
    </row>
    <row r="8399" spans="3:3" x14ac:dyDescent="0.25">
      <c r="C8399"/>
    </row>
    <row r="8400" spans="3:3" x14ac:dyDescent="0.25">
      <c r="C8400"/>
    </row>
    <row r="8401" spans="3:3" x14ac:dyDescent="0.25">
      <c r="C8401"/>
    </row>
    <row r="8402" spans="3:3" x14ac:dyDescent="0.25">
      <c r="C8402"/>
    </row>
    <row r="8403" spans="3:3" x14ac:dyDescent="0.25">
      <c r="C8403"/>
    </row>
    <row r="8404" spans="3:3" x14ac:dyDescent="0.25">
      <c r="C8404"/>
    </row>
    <row r="8405" spans="3:3" x14ac:dyDescent="0.25">
      <c r="C8405"/>
    </row>
    <row r="8406" spans="3:3" x14ac:dyDescent="0.25">
      <c r="C8406"/>
    </row>
    <row r="8407" spans="3:3" x14ac:dyDescent="0.25">
      <c r="C8407"/>
    </row>
    <row r="8408" spans="3:3" x14ac:dyDescent="0.25">
      <c r="C8408"/>
    </row>
    <row r="8409" spans="3:3" x14ac:dyDescent="0.25">
      <c r="C8409"/>
    </row>
    <row r="8410" spans="3:3" x14ac:dyDescent="0.25">
      <c r="C8410"/>
    </row>
    <row r="8411" spans="3:3" x14ac:dyDescent="0.25">
      <c r="C8411"/>
    </row>
    <row r="8412" spans="3:3" x14ac:dyDescent="0.25">
      <c r="C8412"/>
    </row>
    <row r="8413" spans="3:3" x14ac:dyDescent="0.25">
      <c r="C8413"/>
    </row>
    <row r="8414" spans="3:3" x14ac:dyDescent="0.25">
      <c r="C8414"/>
    </row>
    <row r="8415" spans="3:3" x14ac:dyDescent="0.25">
      <c r="C8415"/>
    </row>
    <row r="8416" spans="3:3" x14ac:dyDescent="0.25">
      <c r="C8416"/>
    </row>
    <row r="8417" spans="3:3" x14ac:dyDescent="0.25">
      <c r="C8417"/>
    </row>
    <row r="8418" spans="3:3" x14ac:dyDescent="0.25">
      <c r="C8418"/>
    </row>
    <row r="8419" spans="3:3" x14ac:dyDescent="0.25">
      <c r="C8419"/>
    </row>
    <row r="8420" spans="3:3" x14ac:dyDescent="0.25">
      <c r="C8420"/>
    </row>
    <row r="8421" spans="3:3" x14ac:dyDescent="0.25">
      <c r="C8421"/>
    </row>
    <row r="8422" spans="3:3" x14ac:dyDescent="0.25">
      <c r="C8422"/>
    </row>
    <row r="8423" spans="3:3" x14ac:dyDescent="0.25">
      <c r="C8423"/>
    </row>
    <row r="8424" spans="3:3" x14ac:dyDescent="0.25">
      <c r="C8424"/>
    </row>
    <row r="8425" spans="3:3" x14ac:dyDescent="0.25">
      <c r="C8425"/>
    </row>
    <row r="8426" spans="3:3" x14ac:dyDescent="0.25">
      <c r="C8426"/>
    </row>
    <row r="8427" spans="3:3" x14ac:dyDescent="0.25">
      <c r="C8427"/>
    </row>
    <row r="8428" spans="3:3" x14ac:dyDescent="0.25">
      <c r="C8428"/>
    </row>
    <row r="8429" spans="3:3" x14ac:dyDescent="0.25">
      <c r="C8429"/>
    </row>
    <row r="8430" spans="3:3" x14ac:dyDescent="0.25">
      <c r="C8430"/>
    </row>
    <row r="8431" spans="3:3" x14ac:dyDescent="0.25">
      <c r="C8431"/>
    </row>
    <row r="8432" spans="3:3" x14ac:dyDescent="0.25">
      <c r="C8432"/>
    </row>
    <row r="8433" spans="3:3" x14ac:dyDescent="0.25">
      <c r="C8433"/>
    </row>
    <row r="8434" spans="3:3" x14ac:dyDescent="0.25">
      <c r="C8434"/>
    </row>
    <row r="8435" spans="3:3" x14ac:dyDescent="0.25">
      <c r="C8435"/>
    </row>
    <row r="8436" spans="3:3" x14ac:dyDescent="0.25">
      <c r="C8436"/>
    </row>
    <row r="8437" spans="3:3" x14ac:dyDescent="0.25">
      <c r="C8437"/>
    </row>
    <row r="8438" spans="3:3" x14ac:dyDescent="0.25">
      <c r="C8438"/>
    </row>
    <row r="8439" spans="3:3" x14ac:dyDescent="0.25">
      <c r="C8439"/>
    </row>
    <row r="8440" spans="3:3" x14ac:dyDescent="0.25">
      <c r="C8440"/>
    </row>
    <row r="8441" spans="3:3" x14ac:dyDescent="0.25">
      <c r="C8441"/>
    </row>
    <row r="8442" spans="3:3" x14ac:dyDescent="0.25">
      <c r="C8442"/>
    </row>
    <row r="8443" spans="3:3" x14ac:dyDescent="0.25">
      <c r="C8443"/>
    </row>
    <row r="8444" spans="3:3" x14ac:dyDescent="0.25">
      <c r="C8444"/>
    </row>
    <row r="8445" spans="3:3" x14ac:dyDescent="0.25">
      <c r="C8445"/>
    </row>
    <row r="8446" spans="3:3" x14ac:dyDescent="0.25">
      <c r="C8446"/>
    </row>
    <row r="8447" spans="3:3" x14ac:dyDescent="0.25">
      <c r="C8447"/>
    </row>
    <row r="8448" spans="3:3" x14ac:dyDescent="0.25">
      <c r="C8448"/>
    </row>
    <row r="8449" spans="3:3" x14ac:dyDescent="0.25">
      <c r="C8449"/>
    </row>
    <row r="8450" spans="3:3" x14ac:dyDescent="0.25">
      <c r="C8450"/>
    </row>
    <row r="8451" spans="3:3" x14ac:dyDescent="0.25">
      <c r="C8451"/>
    </row>
    <row r="8452" spans="3:3" x14ac:dyDescent="0.25">
      <c r="C8452"/>
    </row>
    <row r="8453" spans="3:3" x14ac:dyDescent="0.25">
      <c r="C8453"/>
    </row>
    <row r="8454" spans="3:3" x14ac:dyDescent="0.25">
      <c r="C8454"/>
    </row>
    <row r="8455" spans="3:3" x14ac:dyDescent="0.25">
      <c r="C8455"/>
    </row>
    <row r="8456" spans="3:3" x14ac:dyDescent="0.25">
      <c r="C8456"/>
    </row>
    <row r="8457" spans="3:3" x14ac:dyDescent="0.25">
      <c r="C8457"/>
    </row>
    <row r="8458" spans="3:3" x14ac:dyDescent="0.25">
      <c r="C8458"/>
    </row>
    <row r="8459" spans="3:3" x14ac:dyDescent="0.25">
      <c r="C8459"/>
    </row>
    <row r="8460" spans="3:3" x14ac:dyDescent="0.25">
      <c r="C8460"/>
    </row>
    <row r="8461" spans="3:3" x14ac:dyDescent="0.25">
      <c r="C8461"/>
    </row>
    <row r="8462" spans="3:3" x14ac:dyDescent="0.25">
      <c r="C8462"/>
    </row>
    <row r="8463" spans="3:3" x14ac:dyDescent="0.25">
      <c r="C8463"/>
    </row>
    <row r="8464" spans="3:3" x14ac:dyDescent="0.25">
      <c r="C8464"/>
    </row>
    <row r="8465" spans="3:3" x14ac:dyDescent="0.25">
      <c r="C8465"/>
    </row>
    <row r="8466" spans="3:3" x14ac:dyDescent="0.25">
      <c r="C8466"/>
    </row>
    <row r="8467" spans="3:3" x14ac:dyDescent="0.25">
      <c r="C8467"/>
    </row>
    <row r="8468" spans="3:3" x14ac:dyDescent="0.25">
      <c r="C8468"/>
    </row>
    <row r="8469" spans="3:3" x14ac:dyDescent="0.25">
      <c r="C8469"/>
    </row>
    <row r="8470" spans="3:3" x14ac:dyDescent="0.25">
      <c r="C8470"/>
    </row>
    <row r="8471" spans="3:3" x14ac:dyDescent="0.25">
      <c r="C8471"/>
    </row>
    <row r="8472" spans="3:3" x14ac:dyDescent="0.25">
      <c r="C8472"/>
    </row>
    <row r="8473" spans="3:3" x14ac:dyDescent="0.25">
      <c r="C8473"/>
    </row>
    <row r="8474" spans="3:3" x14ac:dyDescent="0.25">
      <c r="C8474"/>
    </row>
    <row r="8475" spans="3:3" x14ac:dyDescent="0.25">
      <c r="C8475"/>
    </row>
    <row r="8476" spans="3:3" x14ac:dyDescent="0.25">
      <c r="C8476"/>
    </row>
    <row r="8477" spans="3:3" x14ac:dyDescent="0.25">
      <c r="C8477"/>
    </row>
    <row r="8478" spans="3:3" x14ac:dyDescent="0.25">
      <c r="C8478"/>
    </row>
    <row r="8479" spans="3:3" x14ac:dyDescent="0.25">
      <c r="C8479"/>
    </row>
    <row r="8480" spans="3:3" x14ac:dyDescent="0.25">
      <c r="C8480"/>
    </row>
    <row r="8481" spans="3:3" x14ac:dyDescent="0.25">
      <c r="C8481"/>
    </row>
    <row r="8482" spans="3:3" x14ac:dyDescent="0.25">
      <c r="C8482"/>
    </row>
    <row r="8483" spans="3:3" x14ac:dyDescent="0.25">
      <c r="C8483"/>
    </row>
    <row r="8484" spans="3:3" x14ac:dyDescent="0.25">
      <c r="C8484"/>
    </row>
    <row r="8485" spans="3:3" x14ac:dyDescent="0.25">
      <c r="C8485"/>
    </row>
    <row r="8486" spans="3:3" x14ac:dyDescent="0.25">
      <c r="C8486"/>
    </row>
    <row r="8487" spans="3:3" x14ac:dyDescent="0.25">
      <c r="C8487"/>
    </row>
    <row r="8488" spans="3:3" x14ac:dyDescent="0.25">
      <c r="C8488"/>
    </row>
    <row r="8489" spans="3:3" x14ac:dyDescent="0.25">
      <c r="C8489"/>
    </row>
    <row r="8490" spans="3:3" x14ac:dyDescent="0.25">
      <c r="C8490"/>
    </row>
    <row r="8491" spans="3:3" x14ac:dyDescent="0.25">
      <c r="C8491"/>
    </row>
    <row r="8492" spans="3:3" x14ac:dyDescent="0.25">
      <c r="C8492"/>
    </row>
    <row r="8493" spans="3:3" x14ac:dyDescent="0.25">
      <c r="C8493"/>
    </row>
    <row r="8494" spans="3:3" x14ac:dyDescent="0.25">
      <c r="C8494"/>
    </row>
    <row r="8495" spans="3:3" x14ac:dyDescent="0.25">
      <c r="C8495"/>
    </row>
    <row r="8496" spans="3:3" x14ac:dyDescent="0.25">
      <c r="C8496"/>
    </row>
    <row r="8497" spans="3:3" x14ac:dyDescent="0.25">
      <c r="C8497"/>
    </row>
    <row r="8498" spans="3:3" x14ac:dyDescent="0.25">
      <c r="C8498"/>
    </row>
    <row r="8499" spans="3:3" x14ac:dyDescent="0.25">
      <c r="C8499"/>
    </row>
    <row r="8500" spans="3:3" x14ac:dyDescent="0.25">
      <c r="C8500"/>
    </row>
    <row r="8501" spans="3:3" x14ac:dyDescent="0.25">
      <c r="C8501"/>
    </row>
    <row r="8502" spans="3:3" x14ac:dyDescent="0.25">
      <c r="C8502"/>
    </row>
    <row r="8503" spans="3:3" x14ac:dyDescent="0.25">
      <c r="C8503"/>
    </row>
    <row r="8504" spans="3:3" x14ac:dyDescent="0.25">
      <c r="C8504"/>
    </row>
    <row r="8505" spans="3:3" x14ac:dyDescent="0.25">
      <c r="C8505"/>
    </row>
    <row r="8506" spans="3:3" x14ac:dyDescent="0.25">
      <c r="C8506"/>
    </row>
    <row r="8507" spans="3:3" x14ac:dyDescent="0.25">
      <c r="C8507"/>
    </row>
    <row r="8508" spans="3:3" x14ac:dyDescent="0.25">
      <c r="C8508"/>
    </row>
    <row r="8509" spans="3:3" x14ac:dyDescent="0.25">
      <c r="C8509"/>
    </row>
    <row r="8510" spans="3:3" x14ac:dyDescent="0.25">
      <c r="C8510"/>
    </row>
    <row r="8511" spans="3:3" x14ac:dyDescent="0.25">
      <c r="C8511"/>
    </row>
    <row r="8512" spans="3:3" x14ac:dyDescent="0.25">
      <c r="C8512"/>
    </row>
    <row r="8513" spans="3:3" x14ac:dyDescent="0.25">
      <c r="C8513"/>
    </row>
    <row r="8514" spans="3:3" x14ac:dyDescent="0.25">
      <c r="C8514"/>
    </row>
    <row r="8515" spans="3:3" x14ac:dyDescent="0.25">
      <c r="C8515"/>
    </row>
    <row r="8516" spans="3:3" x14ac:dyDescent="0.25">
      <c r="C8516"/>
    </row>
    <row r="8517" spans="3:3" x14ac:dyDescent="0.25">
      <c r="C8517"/>
    </row>
    <row r="8518" spans="3:3" x14ac:dyDescent="0.25">
      <c r="C8518"/>
    </row>
    <row r="8519" spans="3:3" x14ac:dyDescent="0.25">
      <c r="C8519"/>
    </row>
    <row r="8520" spans="3:3" x14ac:dyDescent="0.25">
      <c r="C8520"/>
    </row>
    <row r="8521" spans="3:3" x14ac:dyDescent="0.25">
      <c r="C8521"/>
    </row>
    <row r="8522" spans="3:3" x14ac:dyDescent="0.25">
      <c r="C8522"/>
    </row>
    <row r="8523" spans="3:3" x14ac:dyDescent="0.25">
      <c r="C8523"/>
    </row>
    <row r="8524" spans="3:3" x14ac:dyDescent="0.25">
      <c r="C8524"/>
    </row>
    <row r="8525" spans="3:3" x14ac:dyDescent="0.25">
      <c r="C8525"/>
    </row>
    <row r="8526" spans="3:3" x14ac:dyDescent="0.25">
      <c r="C8526"/>
    </row>
    <row r="8527" spans="3:3" x14ac:dyDescent="0.25">
      <c r="C8527"/>
    </row>
    <row r="8528" spans="3:3" x14ac:dyDescent="0.25">
      <c r="C8528"/>
    </row>
    <row r="8529" spans="3:3" x14ac:dyDescent="0.25">
      <c r="C8529"/>
    </row>
    <row r="8530" spans="3:3" x14ac:dyDescent="0.25">
      <c r="C8530"/>
    </row>
    <row r="8531" spans="3:3" x14ac:dyDescent="0.25">
      <c r="C8531"/>
    </row>
    <row r="8532" spans="3:3" x14ac:dyDescent="0.25">
      <c r="C8532"/>
    </row>
    <row r="8533" spans="3:3" x14ac:dyDescent="0.25">
      <c r="C8533"/>
    </row>
    <row r="8534" spans="3:3" x14ac:dyDescent="0.25">
      <c r="C8534"/>
    </row>
    <row r="8535" spans="3:3" x14ac:dyDescent="0.25">
      <c r="C8535"/>
    </row>
    <row r="8536" spans="3:3" x14ac:dyDescent="0.25">
      <c r="C8536"/>
    </row>
    <row r="8537" spans="3:3" x14ac:dyDescent="0.25">
      <c r="C8537"/>
    </row>
    <row r="8538" spans="3:3" x14ac:dyDescent="0.25">
      <c r="C8538"/>
    </row>
    <row r="8539" spans="3:3" x14ac:dyDescent="0.25">
      <c r="C8539"/>
    </row>
    <row r="8540" spans="3:3" x14ac:dyDescent="0.25">
      <c r="C8540"/>
    </row>
    <row r="8541" spans="3:3" x14ac:dyDescent="0.25">
      <c r="C8541"/>
    </row>
    <row r="8542" spans="3:3" x14ac:dyDescent="0.25">
      <c r="C8542"/>
    </row>
    <row r="8543" spans="3:3" x14ac:dyDescent="0.25">
      <c r="C8543"/>
    </row>
    <row r="8544" spans="3:3" x14ac:dyDescent="0.25">
      <c r="C8544"/>
    </row>
    <row r="8545" spans="3:3" x14ac:dyDescent="0.25">
      <c r="C8545"/>
    </row>
    <row r="8546" spans="3:3" x14ac:dyDescent="0.25">
      <c r="C8546"/>
    </row>
    <row r="8547" spans="3:3" x14ac:dyDescent="0.25">
      <c r="C8547"/>
    </row>
    <row r="8548" spans="3:3" x14ac:dyDescent="0.25">
      <c r="C8548"/>
    </row>
    <row r="8549" spans="3:3" x14ac:dyDescent="0.25">
      <c r="C8549"/>
    </row>
    <row r="8550" spans="3:3" x14ac:dyDescent="0.25">
      <c r="C8550"/>
    </row>
    <row r="8551" spans="3:3" x14ac:dyDescent="0.25">
      <c r="C8551"/>
    </row>
    <row r="8552" spans="3:3" x14ac:dyDescent="0.25">
      <c r="C8552"/>
    </row>
    <row r="8553" spans="3:3" x14ac:dyDescent="0.25">
      <c r="C8553"/>
    </row>
    <row r="8554" spans="3:3" x14ac:dyDescent="0.25">
      <c r="C8554"/>
    </row>
    <row r="8555" spans="3:3" x14ac:dyDescent="0.25">
      <c r="C8555"/>
    </row>
    <row r="8556" spans="3:3" x14ac:dyDescent="0.25">
      <c r="C8556"/>
    </row>
    <row r="8557" spans="3:3" x14ac:dyDescent="0.25">
      <c r="C8557"/>
    </row>
    <row r="8558" spans="3:3" x14ac:dyDescent="0.25">
      <c r="C8558"/>
    </row>
    <row r="8559" spans="3:3" x14ac:dyDescent="0.25">
      <c r="C8559"/>
    </row>
    <row r="8560" spans="3:3" x14ac:dyDescent="0.25">
      <c r="C8560"/>
    </row>
    <row r="8561" spans="3:3" x14ac:dyDescent="0.25">
      <c r="C8561"/>
    </row>
    <row r="8562" spans="3:3" x14ac:dyDescent="0.25">
      <c r="C8562"/>
    </row>
    <row r="8563" spans="3:3" x14ac:dyDescent="0.25">
      <c r="C8563"/>
    </row>
    <row r="8564" spans="3:3" x14ac:dyDescent="0.25">
      <c r="C8564"/>
    </row>
    <row r="8565" spans="3:3" x14ac:dyDescent="0.25">
      <c r="C8565"/>
    </row>
    <row r="8566" spans="3:3" x14ac:dyDescent="0.25">
      <c r="C8566"/>
    </row>
    <row r="8567" spans="3:3" x14ac:dyDescent="0.25">
      <c r="C8567"/>
    </row>
    <row r="8568" spans="3:3" x14ac:dyDescent="0.25">
      <c r="C8568"/>
    </row>
    <row r="8569" spans="3:3" x14ac:dyDescent="0.25">
      <c r="C8569"/>
    </row>
    <row r="8570" spans="3:3" x14ac:dyDescent="0.25">
      <c r="C8570"/>
    </row>
    <row r="8571" spans="3:3" x14ac:dyDescent="0.25">
      <c r="C8571"/>
    </row>
    <row r="8572" spans="3:3" x14ac:dyDescent="0.25">
      <c r="C8572"/>
    </row>
    <row r="8573" spans="3:3" x14ac:dyDescent="0.25">
      <c r="C8573"/>
    </row>
    <row r="8574" spans="3:3" x14ac:dyDescent="0.25">
      <c r="C8574"/>
    </row>
    <row r="8575" spans="3:3" x14ac:dyDescent="0.25">
      <c r="C8575"/>
    </row>
    <row r="8576" spans="3:3" x14ac:dyDescent="0.25">
      <c r="C8576"/>
    </row>
    <row r="8577" spans="3:3" x14ac:dyDescent="0.25">
      <c r="C8577"/>
    </row>
    <row r="8578" spans="3:3" x14ac:dyDescent="0.25">
      <c r="C8578"/>
    </row>
    <row r="8579" spans="3:3" x14ac:dyDescent="0.25">
      <c r="C8579"/>
    </row>
    <row r="8580" spans="3:3" x14ac:dyDescent="0.25">
      <c r="C8580"/>
    </row>
    <row r="8581" spans="3:3" x14ac:dyDescent="0.25">
      <c r="C8581"/>
    </row>
    <row r="8582" spans="3:3" x14ac:dyDescent="0.25">
      <c r="C8582"/>
    </row>
    <row r="8583" spans="3:3" x14ac:dyDescent="0.25">
      <c r="C8583"/>
    </row>
    <row r="8584" spans="3:3" x14ac:dyDescent="0.25">
      <c r="C8584"/>
    </row>
    <row r="8585" spans="3:3" x14ac:dyDescent="0.25">
      <c r="C8585"/>
    </row>
    <row r="8586" spans="3:3" x14ac:dyDescent="0.25">
      <c r="C8586"/>
    </row>
    <row r="8587" spans="3:3" x14ac:dyDescent="0.25">
      <c r="C8587"/>
    </row>
    <row r="8588" spans="3:3" x14ac:dyDescent="0.25">
      <c r="C8588"/>
    </row>
    <row r="8589" spans="3:3" x14ac:dyDescent="0.25">
      <c r="C8589"/>
    </row>
    <row r="8590" spans="3:3" x14ac:dyDescent="0.25">
      <c r="C8590"/>
    </row>
    <row r="8591" spans="3:3" x14ac:dyDescent="0.25">
      <c r="C8591"/>
    </row>
    <row r="8592" spans="3:3" x14ac:dyDescent="0.25">
      <c r="C8592"/>
    </row>
    <row r="8593" spans="3:3" x14ac:dyDescent="0.25">
      <c r="C8593"/>
    </row>
    <row r="8594" spans="3:3" x14ac:dyDescent="0.25">
      <c r="C8594"/>
    </row>
    <row r="8595" spans="3:3" x14ac:dyDescent="0.25">
      <c r="C8595"/>
    </row>
    <row r="8596" spans="3:3" x14ac:dyDescent="0.25">
      <c r="C8596"/>
    </row>
    <row r="8597" spans="3:3" x14ac:dyDescent="0.25">
      <c r="C8597"/>
    </row>
    <row r="8598" spans="3:3" x14ac:dyDescent="0.25">
      <c r="C8598"/>
    </row>
    <row r="8599" spans="3:3" x14ac:dyDescent="0.25">
      <c r="C8599"/>
    </row>
    <row r="8600" spans="3:3" x14ac:dyDescent="0.25">
      <c r="C8600"/>
    </row>
    <row r="8601" spans="3:3" x14ac:dyDescent="0.25">
      <c r="C8601"/>
    </row>
    <row r="8602" spans="3:3" x14ac:dyDescent="0.25">
      <c r="C8602"/>
    </row>
    <row r="8603" spans="3:3" x14ac:dyDescent="0.25">
      <c r="C8603"/>
    </row>
    <row r="8604" spans="3:3" x14ac:dyDescent="0.25">
      <c r="C8604"/>
    </row>
    <row r="8605" spans="3:3" x14ac:dyDescent="0.25">
      <c r="C8605"/>
    </row>
    <row r="8606" spans="3:3" x14ac:dyDescent="0.25">
      <c r="C8606"/>
    </row>
    <row r="8607" spans="3:3" x14ac:dyDescent="0.25">
      <c r="C8607"/>
    </row>
    <row r="8608" spans="3:3" x14ac:dyDescent="0.25">
      <c r="C8608"/>
    </row>
    <row r="8609" spans="3:3" x14ac:dyDescent="0.25">
      <c r="C8609"/>
    </row>
    <row r="8610" spans="3:3" x14ac:dyDescent="0.25">
      <c r="C8610"/>
    </row>
    <row r="8611" spans="3:3" x14ac:dyDescent="0.25">
      <c r="C8611"/>
    </row>
    <row r="8612" spans="3:3" x14ac:dyDescent="0.25">
      <c r="C8612"/>
    </row>
    <row r="8613" spans="3:3" x14ac:dyDescent="0.25">
      <c r="C8613"/>
    </row>
    <row r="8614" spans="3:3" x14ac:dyDescent="0.25">
      <c r="C8614"/>
    </row>
    <row r="8615" spans="3:3" x14ac:dyDescent="0.25">
      <c r="C8615"/>
    </row>
    <row r="8616" spans="3:3" x14ac:dyDescent="0.25">
      <c r="C8616"/>
    </row>
    <row r="8617" spans="3:3" x14ac:dyDescent="0.25">
      <c r="C8617"/>
    </row>
    <row r="8618" spans="3:3" x14ac:dyDescent="0.25">
      <c r="C8618"/>
    </row>
    <row r="8619" spans="3:3" x14ac:dyDescent="0.25">
      <c r="C8619"/>
    </row>
    <row r="8620" spans="3:3" x14ac:dyDescent="0.25">
      <c r="C8620"/>
    </row>
    <row r="8621" spans="3:3" x14ac:dyDescent="0.25">
      <c r="C8621"/>
    </row>
    <row r="8622" spans="3:3" x14ac:dyDescent="0.25">
      <c r="C8622"/>
    </row>
    <row r="8623" spans="3:3" x14ac:dyDescent="0.25">
      <c r="C8623"/>
    </row>
    <row r="8624" spans="3:3" x14ac:dyDescent="0.25">
      <c r="C8624"/>
    </row>
    <row r="8625" spans="3:3" x14ac:dyDescent="0.25">
      <c r="C8625"/>
    </row>
    <row r="8626" spans="3:3" x14ac:dyDescent="0.25">
      <c r="C8626"/>
    </row>
    <row r="8627" spans="3:3" x14ac:dyDescent="0.25">
      <c r="C8627"/>
    </row>
    <row r="8628" spans="3:3" x14ac:dyDescent="0.25">
      <c r="C8628"/>
    </row>
    <row r="8629" spans="3:3" x14ac:dyDescent="0.25">
      <c r="C8629"/>
    </row>
    <row r="8630" spans="3:3" x14ac:dyDescent="0.25">
      <c r="C8630"/>
    </row>
    <row r="8631" spans="3:3" x14ac:dyDescent="0.25">
      <c r="C8631"/>
    </row>
    <row r="8632" spans="3:3" x14ac:dyDescent="0.25">
      <c r="C8632"/>
    </row>
    <row r="8633" spans="3:3" x14ac:dyDescent="0.25">
      <c r="C8633"/>
    </row>
    <row r="8634" spans="3:3" x14ac:dyDescent="0.25">
      <c r="C8634"/>
    </row>
    <row r="8635" spans="3:3" x14ac:dyDescent="0.25">
      <c r="C8635"/>
    </row>
    <row r="8636" spans="3:3" x14ac:dyDescent="0.25">
      <c r="C8636"/>
    </row>
    <row r="8637" spans="3:3" x14ac:dyDescent="0.25">
      <c r="C8637"/>
    </row>
    <row r="8638" spans="3:3" x14ac:dyDescent="0.25">
      <c r="C8638"/>
    </row>
    <row r="8639" spans="3:3" x14ac:dyDescent="0.25">
      <c r="C8639"/>
    </row>
    <row r="8640" spans="3:3" x14ac:dyDescent="0.25">
      <c r="C8640"/>
    </row>
    <row r="8641" spans="3:3" x14ac:dyDescent="0.25">
      <c r="C8641"/>
    </row>
    <row r="8642" spans="3:3" x14ac:dyDescent="0.25">
      <c r="C8642"/>
    </row>
    <row r="8643" spans="3:3" x14ac:dyDescent="0.25">
      <c r="C8643"/>
    </row>
    <row r="8644" spans="3:3" x14ac:dyDescent="0.25">
      <c r="C8644"/>
    </row>
    <row r="8645" spans="3:3" x14ac:dyDescent="0.25">
      <c r="C8645"/>
    </row>
    <row r="8646" spans="3:3" x14ac:dyDescent="0.25">
      <c r="C8646"/>
    </row>
    <row r="8647" spans="3:3" x14ac:dyDescent="0.25">
      <c r="C8647"/>
    </row>
    <row r="8648" spans="3:3" x14ac:dyDescent="0.25">
      <c r="C8648"/>
    </row>
    <row r="8649" spans="3:3" x14ac:dyDescent="0.25">
      <c r="C8649"/>
    </row>
    <row r="8650" spans="3:3" x14ac:dyDescent="0.25">
      <c r="C8650"/>
    </row>
    <row r="8651" spans="3:3" x14ac:dyDescent="0.25">
      <c r="C8651"/>
    </row>
    <row r="8652" spans="3:3" x14ac:dyDescent="0.25">
      <c r="C8652"/>
    </row>
    <row r="8653" spans="3:3" x14ac:dyDescent="0.25">
      <c r="C8653"/>
    </row>
    <row r="8654" spans="3:3" x14ac:dyDescent="0.25">
      <c r="C8654"/>
    </row>
    <row r="8655" spans="3:3" x14ac:dyDescent="0.25">
      <c r="C8655"/>
    </row>
    <row r="8656" spans="3:3" x14ac:dyDescent="0.25">
      <c r="C8656"/>
    </row>
    <row r="8657" spans="3:3" x14ac:dyDescent="0.25">
      <c r="C8657"/>
    </row>
    <row r="8658" spans="3:3" x14ac:dyDescent="0.25">
      <c r="C8658"/>
    </row>
    <row r="8659" spans="3:3" x14ac:dyDescent="0.25">
      <c r="C8659"/>
    </row>
    <row r="8660" spans="3:3" x14ac:dyDescent="0.25">
      <c r="C8660"/>
    </row>
    <row r="8661" spans="3:3" x14ac:dyDescent="0.25">
      <c r="C8661"/>
    </row>
    <row r="8662" spans="3:3" x14ac:dyDescent="0.25">
      <c r="C8662"/>
    </row>
    <row r="8663" spans="3:3" x14ac:dyDescent="0.25">
      <c r="C8663"/>
    </row>
    <row r="8664" spans="3:3" x14ac:dyDescent="0.25">
      <c r="C8664"/>
    </row>
    <row r="8665" spans="3:3" x14ac:dyDescent="0.25">
      <c r="C8665"/>
    </row>
    <row r="8666" spans="3:3" x14ac:dyDescent="0.25">
      <c r="C8666"/>
    </row>
    <row r="8667" spans="3:3" x14ac:dyDescent="0.25">
      <c r="C8667"/>
    </row>
    <row r="8668" spans="3:3" x14ac:dyDescent="0.25">
      <c r="C8668"/>
    </row>
    <row r="8669" spans="3:3" x14ac:dyDescent="0.25">
      <c r="C8669"/>
    </row>
    <row r="8670" spans="3:3" x14ac:dyDescent="0.25">
      <c r="C8670"/>
    </row>
    <row r="8671" spans="3:3" x14ac:dyDescent="0.25">
      <c r="C8671"/>
    </row>
    <row r="8672" spans="3:3" x14ac:dyDescent="0.25">
      <c r="C8672"/>
    </row>
    <row r="8673" spans="3:3" x14ac:dyDescent="0.25">
      <c r="C8673"/>
    </row>
    <row r="8674" spans="3:3" x14ac:dyDescent="0.25">
      <c r="C8674"/>
    </row>
    <row r="8675" spans="3:3" x14ac:dyDescent="0.25">
      <c r="C8675"/>
    </row>
    <row r="8676" spans="3:3" x14ac:dyDescent="0.25">
      <c r="C8676"/>
    </row>
    <row r="8677" spans="3:3" x14ac:dyDescent="0.25">
      <c r="C8677"/>
    </row>
    <row r="8678" spans="3:3" x14ac:dyDescent="0.25">
      <c r="C8678"/>
    </row>
    <row r="8679" spans="3:3" x14ac:dyDescent="0.25">
      <c r="C8679"/>
    </row>
    <row r="8680" spans="3:3" x14ac:dyDescent="0.25">
      <c r="C8680"/>
    </row>
    <row r="8681" spans="3:3" x14ac:dyDescent="0.25">
      <c r="C8681"/>
    </row>
    <row r="8682" spans="3:3" x14ac:dyDescent="0.25">
      <c r="C8682"/>
    </row>
    <row r="8683" spans="3:3" x14ac:dyDescent="0.25">
      <c r="C8683"/>
    </row>
    <row r="8684" spans="3:3" x14ac:dyDescent="0.25">
      <c r="C8684"/>
    </row>
    <row r="8685" spans="3:3" x14ac:dyDescent="0.25">
      <c r="C8685"/>
    </row>
    <row r="8686" spans="3:3" x14ac:dyDescent="0.25">
      <c r="C8686"/>
    </row>
    <row r="8687" spans="3:3" x14ac:dyDescent="0.25">
      <c r="C8687"/>
    </row>
    <row r="8688" spans="3:3" x14ac:dyDescent="0.25">
      <c r="C8688"/>
    </row>
    <row r="8689" spans="3:3" x14ac:dyDescent="0.25">
      <c r="C8689"/>
    </row>
    <row r="8690" spans="3:3" x14ac:dyDescent="0.25">
      <c r="C8690"/>
    </row>
    <row r="8691" spans="3:3" x14ac:dyDescent="0.25">
      <c r="C8691"/>
    </row>
    <row r="8692" spans="3:3" x14ac:dyDescent="0.25">
      <c r="C8692"/>
    </row>
    <row r="8693" spans="3:3" x14ac:dyDescent="0.25">
      <c r="C8693"/>
    </row>
    <row r="8694" spans="3:3" x14ac:dyDescent="0.25">
      <c r="C8694"/>
    </row>
    <row r="8695" spans="3:3" x14ac:dyDescent="0.25">
      <c r="C8695"/>
    </row>
    <row r="8696" spans="3:3" x14ac:dyDescent="0.25">
      <c r="C8696"/>
    </row>
    <row r="8697" spans="3:3" x14ac:dyDescent="0.25">
      <c r="C8697"/>
    </row>
    <row r="8698" spans="3:3" x14ac:dyDescent="0.25">
      <c r="C8698"/>
    </row>
    <row r="8699" spans="3:3" x14ac:dyDescent="0.25">
      <c r="C8699"/>
    </row>
    <row r="8700" spans="3:3" x14ac:dyDescent="0.25">
      <c r="C8700"/>
    </row>
    <row r="8701" spans="3:3" x14ac:dyDescent="0.25">
      <c r="C8701"/>
    </row>
    <row r="8702" spans="3:3" x14ac:dyDescent="0.25">
      <c r="C8702"/>
    </row>
    <row r="8703" spans="3:3" x14ac:dyDescent="0.25">
      <c r="C8703"/>
    </row>
    <row r="8704" spans="3:3" x14ac:dyDescent="0.25">
      <c r="C8704"/>
    </row>
    <row r="8705" spans="3:3" x14ac:dyDescent="0.25">
      <c r="C8705"/>
    </row>
    <row r="8706" spans="3:3" x14ac:dyDescent="0.25">
      <c r="C8706"/>
    </row>
    <row r="8707" spans="3:3" x14ac:dyDescent="0.25">
      <c r="C8707"/>
    </row>
    <row r="8708" spans="3:3" x14ac:dyDescent="0.25">
      <c r="C8708"/>
    </row>
    <row r="8709" spans="3:3" x14ac:dyDescent="0.25">
      <c r="C8709"/>
    </row>
    <row r="8710" spans="3:3" x14ac:dyDescent="0.25">
      <c r="C8710"/>
    </row>
    <row r="8711" spans="3:3" x14ac:dyDescent="0.25">
      <c r="C8711"/>
    </row>
    <row r="8712" spans="3:3" x14ac:dyDescent="0.25">
      <c r="C8712"/>
    </row>
    <row r="8713" spans="3:3" x14ac:dyDescent="0.25">
      <c r="C8713"/>
    </row>
    <row r="8714" spans="3:3" x14ac:dyDescent="0.25">
      <c r="C8714"/>
    </row>
    <row r="8715" spans="3:3" x14ac:dyDescent="0.25">
      <c r="C8715"/>
    </row>
    <row r="8716" spans="3:3" x14ac:dyDescent="0.25">
      <c r="C8716"/>
    </row>
    <row r="8717" spans="3:3" x14ac:dyDescent="0.25">
      <c r="C8717"/>
    </row>
    <row r="8718" spans="3:3" x14ac:dyDescent="0.25">
      <c r="C8718"/>
    </row>
    <row r="8719" spans="3:3" x14ac:dyDescent="0.25">
      <c r="C8719"/>
    </row>
    <row r="8720" spans="3:3" x14ac:dyDescent="0.25">
      <c r="C8720"/>
    </row>
    <row r="8721" spans="3:3" x14ac:dyDescent="0.25">
      <c r="C8721"/>
    </row>
    <row r="8722" spans="3:3" x14ac:dyDescent="0.25">
      <c r="C8722"/>
    </row>
    <row r="8723" spans="3:3" x14ac:dyDescent="0.25">
      <c r="C8723"/>
    </row>
    <row r="8724" spans="3:3" x14ac:dyDescent="0.25">
      <c r="C8724"/>
    </row>
    <row r="8725" spans="3:3" x14ac:dyDescent="0.25">
      <c r="C8725"/>
    </row>
    <row r="8726" spans="3:3" x14ac:dyDescent="0.25">
      <c r="C8726"/>
    </row>
    <row r="8727" spans="3:3" x14ac:dyDescent="0.25">
      <c r="C8727"/>
    </row>
    <row r="8728" spans="3:3" x14ac:dyDescent="0.25">
      <c r="C8728"/>
    </row>
    <row r="8729" spans="3:3" x14ac:dyDescent="0.25">
      <c r="C8729"/>
    </row>
    <row r="8730" spans="3:3" x14ac:dyDescent="0.25">
      <c r="C8730"/>
    </row>
    <row r="8731" spans="3:3" x14ac:dyDescent="0.25">
      <c r="C8731"/>
    </row>
    <row r="8732" spans="3:3" x14ac:dyDescent="0.25">
      <c r="C8732"/>
    </row>
    <row r="8733" spans="3:3" x14ac:dyDescent="0.25">
      <c r="C8733"/>
    </row>
    <row r="8734" spans="3:3" x14ac:dyDescent="0.25">
      <c r="C8734"/>
    </row>
    <row r="8735" spans="3:3" x14ac:dyDescent="0.25">
      <c r="C8735"/>
    </row>
    <row r="8736" spans="3:3" x14ac:dyDescent="0.25">
      <c r="C8736"/>
    </row>
    <row r="8737" spans="3:3" x14ac:dyDescent="0.25">
      <c r="C8737"/>
    </row>
    <row r="8738" spans="3:3" x14ac:dyDescent="0.25">
      <c r="C8738"/>
    </row>
    <row r="8739" spans="3:3" x14ac:dyDescent="0.25">
      <c r="C8739"/>
    </row>
    <row r="8740" spans="3:3" x14ac:dyDescent="0.25">
      <c r="C8740"/>
    </row>
    <row r="8741" spans="3:3" x14ac:dyDescent="0.25">
      <c r="C8741"/>
    </row>
    <row r="8742" spans="3:3" x14ac:dyDescent="0.25">
      <c r="C8742"/>
    </row>
    <row r="8743" spans="3:3" x14ac:dyDescent="0.25">
      <c r="C8743"/>
    </row>
    <row r="8744" spans="3:3" x14ac:dyDescent="0.25">
      <c r="C8744"/>
    </row>
    <row r="8745" spans="3:3" x14ac:dyDescent="0.25">
      <c r="C8745"/>
    </row>
    <row r="8746" spans="3:3" x14ac:dyDescent="0.25">
      <c r="C8746"/>
    </row>
    <row r="8747" spans="3:3" x14ac:dyDescent="0.25">
      <c r="C8747"/>
    </row>
    <row r="8748" spans="3:3" x14ac:dyDescent="0.25">
      <c r="C8748"/>
    </row>
    <row r="8749" spans="3:3" x14ac:dyDescent="0.25">
      <c r="C8749"/>
    </row>
    <row r="8750" spans="3:3" x14ac:dyDescent="0.25">
      <c r="C8750"/>
    </row>
    <row r="8751" spans="3:3" x14ac:dyDescent="0.25">
      <c r="C8751"/>
    </row>
    <row r="8752" spans="3:3" x14ac:dyDescent="0.25">
      <c r="C8752"/>
    </row>
    <row r="8753" spans="3:3" x14ac:dyDescent="0.25">
      <c r="C8753"/>
    </row>
    <row r="8754" spans="3:3" x14ac:dyDescent="0.25">
      <c r="C8754"/>
    </row>
    <row r="8755" spans="3:3" x14ac:dyDescent="0.25">
      <c r="C8755"/>
    </row>
    <row r="8756" spans="3:3" x14ac:dyDescent="0.25">
      <c r="C8756"/>
    </row>
    <row r="8757" spans="3:3" x14ac:dyDescent="0.25">
      <c r="C8757"/>
    </row>
    <row r="8758" spans="3:3" x14ac:dyDescent="0.25">
      <c r="C8758"/>
    </row>
    <row r="8759" spans="3:3" x14ac:dyDescent="0.25">
      <c r="C8759"/>
    </row>
    <row r="8760" spans="3:3" x14ac:dyDescent="0.25">
      <c r="C8760"/>
    </row>
    <row r="8761" spans="3:3" x14ac:dyDescent="0.25">
      <c r="C8761"/>
    </row>
    <row r="8762" spans="3:3" x14ac:dyDescent="0.25">
      <c r="C8762"/>
    </row>
    <row r="8763" spans="3:3" x14ac:dyDescent="0.25">
      <c r="C8763"/>
    </row>
    <row r="8764" spans="3:3" x14ac:dyDescent="0.25">
      <c r="C8764"/>
    </row>
    <row r="8765" spans="3:3" x14ac:dyDescent="0.25">
      <c r="C8765"/>
    </row>
    <row r="8766" spans="3:3" x14ac:dyDescent="0.25">
      <c r="C8766"/>
    </row>
    <row r="8767" spans="3:3" x14ac:dyDescent="0.25">
      <c r="C8767"/>
    </row>
    <row r="8768" spans="3:3" x14ac:dyDescent="0.25">
      <c r="C8768"/>
    </row>
    <row r="8769" spans="3:3" x14ac:dyDescent="0.25">
      <c r="C8769"/>
    </row>
    <row r="8770" spans="3:3" x14ac:dyDescent="0.25">
      <c r="C8770"/>
    </row>
    <row r="8771" spans="3:3" x14ac:dyDescent="0.25">
      <c r="C8771"/>
    </row>
    <row r="8772" spans="3:3" x14ac:dyDescent="0.25">
      <c r="C8772"/>
    </row>
    <row r="8773" spans="3:3" x14ac:dyDescent="0.25">
      <c r="C8773"/>
    </row>
    <row r="8774" spans="3:3" x14ac:dyDescent="0.25">
      <c r="C8774"/>
    </row>
    <row r="8775" spans="3:3" x14ac:dyDescent="0.25">
      <c r="C8775"/>
    </row>
    <row r="8776" spans="3:3" x14ac:dyDescent="0.25">
      <c r="C8776"/>
    </row>
    <row r="8777" spans="3:3" x14ac:dyDescent="0.25">
      <c r="C8777"/>
    </row>
    <row r="8778" spans="3:3" x14ac:dyDescent="0.25">
      <c r="C8778"/>
    </row>
    <row r="8779" spans="3:3" x14ac:dyDescent="0.25">
      <c r="C8779"/>
    </row>
    <row r="8780" spans="3:3" x14ac:dyDescent="0.25">
      <c r="C8780"/>
    </row>
    <row r="8781" spans="3:3" x14ac:dyDescent="0.25">
      <c r="C8781"/>
    </row>
    <row r="8782" spans="3:3" x14ac:dyDescent="0.25">
      <c r="C8782"/>
    </row>
    <row r="8783" spans="3:3" x14ac:dyDescent="0.25">
      <c r="C8783"/>
    </row>
    <row r="8784" spans="3:3" x14ac:dyDescent="0.25">
      <c r="C8784"/>
    </row>
    <row r="8785" spans="3:3" x14ac:dyDescent="0.25">
      <c r="C8785"/>
    </row>
    <row r="8786" spans="3:3" x14ac:dyDescent="0.25">
      <c r="C8786"/>
    </row>
    <row r="8787" spans="3:3" x14ac:dyDescent="0.25">
      <c r="C8787"/>
    </row>
    <row r="8788" spans="3:3" x14ac:dyDescent="0.25">
      <c r="C8788"/>
    </row>
    <row r="8789" spans="3:3" x14ac:dyDescent="0.25">
      <c r="C8789"/>
    </row>
    <row r="8790" spans="3:3" x14ac:dyDescent="0.25">
      <c r="C8790"/>
    </row>
    <row r="8791" spans="3:3" x14ac:dyDescent="0.25">
      <c r="C8791"/>
    </row>
    <row r="8792" spans="3:3" x14ac:dyDescent="0.25">
      <c r="C8792"/>
    </row>
    <row r="8793" spans="3:3" x14ac:dyDescent="0.25">
      <c r="C8793"/>
    </row>
    <row r="8794" spans="3:3" x14ac:dyDescent="0.25">
      <c r="C8794"/>
    </row>
    <row r="8795" spans="3:3" x14ac:dyDescent="0.25">
      <c r="C8795"/>
    </row>
    <row r="8796" spans="3:3" x14ac:dyDescent="0.25">
      <c r="C8796"/>
    </row>
    <row r="8797" spans="3:3" x14ac:dyDescent="0.25">
      <c r="C8797"/>
    </row>
    <row r="8798" spans="3:3" x14ac:dyDescent="0.25">
      <c r="C8798"/>
    </row>
    <row r="8799" spans="3:3" x14ac:dyDescent="0.25">
      <c r="C8799"/>
    </row>
    <row r="8800" spans="3:3" x14ac:dyDescent="0.25">
      <c r="C8800"/>
    </row>
    <row r="8801" spans="3:3" x14ac:dyDescent="0.25">
      <c r="C8801"/>
    </row>
    <row r="8802" spans="3:3" x14ac:dyDescent="0.25">
      <c r="C8802"/>
    </row>
    <row r="8803" spans="3:3" x14ac:dyDescent="0.25">
      <c r="C8803"/>
    </row>
    <row r="8804" spans="3:3" x14ac:dyDescent="0.25">
      <c r="C8804"/>
    </row>
    <row r="8805" spans="3:3" x14ac:dyDescent="0.25">
      <c r="C8805"/>
    </row>
    <row r="8806" spans="3:3" x14ac:dyDescent="0.25">
      <c r="C8806"/>
    </row>
    <row r="8807" spans="3:3" x14ac:dyDescent="0.25">
      <c r="C8807"/>
    </row>
    <row r="8808" spans="3:3" x14ac:dyDescent="0.25">
      <c r="C8808"/>
    </row>
    <row r="8809" spans="3:3" x14ac:dyDescent="0.25">
      <c r="C8809"/>
    </row>
    <row r="8810" spans="3:3" x14ac:dyDescent="0.25">
      <c r="C8810"/>
    </row>
    <row r="8811" spans="3:3" x14ac:dyDescent="0.25">
      <c r="C8811"/>
    </row>
    <row r="8812" spans="3:3" x14ac:dyDescent="0.25">
      <c r="C8812"/>
    </row>
    <row r="8813" spans="3:3" x14ac:dyDescent="0.25">
      <c r="C8813"/>
    </row>
    <row r="8814" spans="3:3" x14ac:dyDescent="0.25">
      <c r="C8814"/>
    </row>
    <row r="8815" spans="3:3" x14ac:dyDescent="0.25">
      <c r="C8815"/>
    </row>
    <row r="8816" spans="3:3" x14ac:dyDescent="0.25">
      <c r="C8816"/>
    </row>
    <row r="8817" spans="3:3" x14ac:dyDescent="0.25">
      <c r="C8817"/>
    </row>
    <row r="8818" spans="3:3" x14ac:dyDescent="0.25">
      <c r="C8818"/>
    </row>
    <row r="8819" spans="3:3" x14ac:dyDescent="0.25">
      <c r="C8819"/>
    </row>
    <row r="8820" spans="3:3" x14ac:dyDescent="0.25">
      <c r="C8820"/>
    </row>
    <row r="8821" spans="3:3" x14ac:dyDescent="0.25">
      <c r="C8821"/>
    </row>
    <row r="8822" spans="3:3" x14ac:dyDescent="0.25">
      <c r="C8822"/>
    </row>
    <row r="8823" spans="3:3" x14ac:dyDescent="0.25">
      <c r="C8823"/>
    </row>
    <row r="8824" spans="3:3" x14ac:dyDescent="0.25">
      <c r="C8824"/>
    </row>
    <row r="8825" spans="3:3" x14ac:dyDescent="0.25">
      <c r="C8825"/>
    </row>
    <row r="8826" spans="3:3" x14ac:dyDescent="0.25">
      <c r="C8826"/>
    </row>
    <row r="8827" spans="3:3" x14ac:dyDescent="0.25">
      <c r="C8827"/>
    </row>
    <row r="8828" spans="3:3" x14ac:dyDescent="0.25">
      <c r="C8828"/>
    </row>
    <row r="8829" spans="3:3" x14ac:dyDescent="0.25">
      <c r="C8829"/>
    </row>
    <row r="8830" spans="3:3" x14ac:dyDescent="0.25">
      <c r="C8830"/>
    </row>
    <row r="8831" spans="3:3" x14ac:dyDescent="0.25">
      <c r="C8831"/>
    </row>
    <row r="8832" spans="3:3" x14ac:dyDescent="0.25">
      <c r="C8832"/>
    </row>
    <row r="8833" spans="3:3" x14ac:dyDescent="0.25">
      <c r="C8833"/>
    </row>
    <row r="8834" spans="3:3" x14ac:dyDescent="0.25">
      <c r="C8834"/>
    </row>
    <row r="8835" spans="3:3" x14ac:dyDescent="0.25">
      <c r="C8835"/>
    </row>
    <row r="8836" spans="3:3" x14ac:dyDescent="0.25">
      <c r="C8836"/>
    </row>
    <row r="8837" spans="3:3" x14ac:dyDescent="0.25">
      <c r="C8837"/>
    </row>
    <row r="8838" spans="3:3" x14ac:dyDescent="0.25">
      <c r="C8838"/>
    </row>
    <row r="8839" spans="3:3" x14ac:dyDescent="0.25">
      <c r="C8839"/>
    </row>
    <row r="8840" spans="3:3" x14ac:dyDescent="0.25">
      <c r="C8840"/>
    </row>
    <row r="8841" spans="3:3" x14ac:dyDescent="0.25">
      <c r="C8841"/>
    </row>
    <row r="8842" spans="3:3" x14ac:dyDescent="0.25">
      <c r="C8842"/>
    </row>
    <row r="8843" spans="3:3" x14ac:dyDescent="0.25">
      <c r="C8843"/>
    </row>
    <row r="8844" spans="3:3" x14ac:dyDescent="0.25">
      <c r="C8844"/>
    </row>
    <row r="8845" spans="3:3" x14ac:dyDescent="0.25">
      <c r="C8845"/>
    </row>
    <row r="8846" spans="3:3" x14ac:dyDescent="0.25">
      <c r="C8846"/>
    </row>
    <row r="8847" spans="3:3" x14ac:dyDescent="0.25">
      <c r="C8847"/>
    </row>
    <row r="8848" spans="3:3" x14ac:dyDescent="0.25">
      <c r="C8848"/>
    </row>
    <row r="8849" spans="3:3" x14ac:dyDescent="0.25">
      <c r="C8849"/>
    </row>
    <row r="8850" spans="3:3" x14ac:dyDescent="0.25">
      <c r="C8850"/>
    </row>
    <row r="8851" spans="3:3" x14ac:dyDescent="0.25">
      <c r="C8851"/>
    </row>
    <row r="8852" spans="3:3" x14ac:dyDescent="0.25">
      <c r="C8852"/>
    </row>
    <row r="8853" spans="3:3" x14ac:dyDescent="0.25">
      <c r="C8853"/>
    </row>
    <row r="8854" spans="3:3" x14ac:dyDescent="0.25">
      <c r="C8854"/>
    </row>
    <row r="8855" spans="3:3" x14ac:dyDescent="0.25">
      <c r="C8855"/>
    </row>
    <row r="8856" spans="3:3" x14ac:dyDescent="0.25">
      <c r="C8856"/>
    </row>
    <row r="8857" spans="3:3" x14ac:dyDescent="0.25">
      <c r="C8857"/>
    </row>
    <row r="8858" spans="3:3" x14ac:dyDescent="0.25">
      <c r="C8858"/>
    </row>
    <row r="8859" spans="3:3" x14ac:dyDescent="0.25">
      <c r="C8859"/>
    </row>
    <row r="8860" spans="3:3" x14ac:dyDescent="0.25">
      <c r="C8860"/>
    </row>
    <row r="8861" spans="3:3" x14ac:dyDescent="0.25">
      <c r="C8861"/>
    </row>
    <row r="8862" spans="3:3" x14ac:dyDescent="0.25">
      <c r="C8862"/>
    </row>
    <row r="8863" spans="3:3" x14ac:dyDescent="0.25">
      <c r="C8863"/>
    </row>
    <row r="8864" spans="3:3" x14ac:dyDescent="0.25">
      <c r="C8864"/>
    </row>
    <row r="8865" spans="3:3" x14ac:dyDescent="0.25">
      <c r="C8865"/>
    </row>
    <row r="8866" spans="3:3" x14ac:dyDescent="0.25">
      <c r="C8866"/>
    </row>
    <row r="8867" spans="3:3" x14ac:dyDescent="0.25">
      <c r="C8867"/>
    </row>
    <row r="8868" spans="3:3" x14ac:dyDescent="0.25">
      <c r="C8868"/>
    </row>
    <row r="8869" spans="3:3" x14ac:dyDescent="0.25">
      <c r="C8869"/>
    </row>
    <row r="8870" spans="3:3" x14ac:dyDescent="0.25">
      <c r="C8870"/>
    </row>
    <row r="8871" spans="3:3" x14ac:dyDescent="0.25">
      <c r="C8871"/>
    </row>
    <row r="8872" spans="3:3" x14ac:dyDescent="0.25">
      <c r="C8872"/>
    </row>
    <row r="8873" spans="3:3" x14ac:dyDescent="0.25">
      <c r="C8873"/>
    </row>
    <row r="8874" spans="3:3" x14ac:dyDescent="0.25">
      <c r="C8874"/>
    </row>
    <row r="8875" spans="3:3" x14ac:dyDescent="0.25">
      <c r="C8875"/>
    </row>
    <row r="8876" spans="3:3" x14ac:dyDescent="0.25">
      <c r="C8876"/>
    </row>
    <row r="8877" spans="3:3" x14ac:dyDescent="0.25">
      <c r="C8877"/>
    </row>
    <row r="8878" spans="3:3" x14ac:dyDescent="0.25">
      <c r="C8878"/>
    </row>
    <row r="8879" spans="3:3" x14ac:dyDescent="0.25">
      <c r="C8879"/>
    </row>
    <row r="8880" spans="3:3" x14ac:dyDescent="0.25">
      <c r="C8880"/>
    </row>
    <row r="8881" spans="3:3" x14ac:dyDescent="0.25">
      <c r="C8881"/>
    </row>
    <row r="8882" spans="3:3" x14ac:dyDescent="0.25">
      <c r="C8882"/>
    </row>
    <row r="8883" spans="3:3" x14ac:dyDescent="0.25">
      <c r="C8883"/>
    </row>
    <row r="8884" spans="3:3" x14ac:dyDescent="0.25">
      <c r="C8884"/>
    </row>
    <row r="8885" spans="3:3" x14ac:dyDescent="0.25">
      <c r="C8885"/>
    </row>
    <row r="8886" spans="3:3" x14ac:dyDescent="0.25">
      <c r="C8886"/>
    </row>
    <row r="8887" spans="3:3" x14ac:dyDescent="0.25">
      <c r="C8887"/>
    </row>
    <row r="8888" spans="3:3" x14ac:dyDescent="0.25">
      <c r="C8888"/>
    </row>
    <row r="8889" spans="3:3" x14ac:dyDescent="0.25">
      <c r="C8889"/>
    </row>
    <row r="8890" spans="3:3" x14ac:dyDescent="0.25">
      <c r="C8890"/>
    </row>
    <row r="8891" spans="3:3" x14ac:dyDescent="0.25">
      <c r="C8891"/>
    </row>
    <row r="8892" spans="3:3" x14ac:dyDescent="0.25">
      <c r="C8892"/>
    </row>
    <row r="8893" spans="3:3" x14ac:dyDescent="0.25">
      <c r="C8893"/>
    </row>
    <row r="8894" spans="3:3" x14ac:dyDescent="0.25">
      <c r="C8894"/>
    </row>
    <row r="8895" spans="3:3" x14ac:dyDescent="0.25">
      <c r="C8895"/>
    </row>
    <row r="8896" spans="3:3" x14ac:dyDescent="0.25">
      <c r="C8896"/>
    </row>
    <row r="8897" spans="3:3" x14ac:dyDescent="0.25">
      <c r="C8897"/>
    </row>
    <row r="8898" spans="3:3" x14ac:dyDescent="0.25">
      <c r="C8898"/>
    </row>
    <row r="8899" spans="3:3" x14ac:dyDescent="0.25">
      <c r="C8899"/>
    </row>
    <row r="8900" spans="3:3" x14ac:dyDescent="0.25">
      <c r="C8900"/>
    </row>
    <row r="8901" spans="3:3" x14ac:dyDescent="0.25">
      <c r="C8901"/>
    </row>
    <row r="8902" spans="3:3" x14ac:dyDescent="0.25">
      <c r="C8902"/>
    </row>
    <row r="8903" spans="3:3" x14ac:dyDescent="0.25">
      <c r="C8903"/>
    </row>
    <row r="8904" spans="3:3" x14ac:dyDescent="0.25">
      <c r="C8904"/>
    </row>
    <row r="8905" spans="3:3" x14ac:dyDescent="0.25">
      <c r="C8905"/>
    </row>
    <row r="8906" spans="3:3" x14ac:dyDescent="0.25">
      <c r="C8906"/>
    </row>
    <row r="8907" spans="3:3" x14ac:dyDescent="0.25">
      <c r="C8907"/>
    </row>
    <row r="8908" spans="3:3" x14ac:dyDescent="0.25">
      <c r="C8908"/>
    </row>
    <row r="8909" spans="3:3" x14ac:dyDescent="0.25">
      <c r="C8909"/>
    </row>
    <row r="8910" spans="3:3" x14ac:dyDescent="0.25">
      <c r="C8910"/>
    </row>
    <row r="8911" spans="3:3" x14ac:dyDescent="0.25">
      <c r="C8911"/>
    </row>
    <row r="8912" spans="3:3" x14ac:dyDescent="0.25">
      <c r="C8912"/>
    </row>
    <row r="8913" spans="3:3" x14ac:dyDescent="0.25">
      <c r="C8913"/>
    </row>
    <row r="8914" spans="3:3" x14ac:dyDescent="0.25">
      <c r="C8914"/>
    </row>
    <row r="8915" spans="3:3" x14ac:dyDescent="0.25">
      <c r="C8915"/>
    </row>
    <row r="8916" spans="3:3" x14ac:dyDescent="0.25">
      <c r="C8916"/>
    </row>
    <row r="8917" spans="3:3" x14ac:dyDescent="0.25">
      <c r="C8917"/>
    </row>
    <row r="8918" spans="3:3" x14ac:dyDescent="0.25">
      <c r="C8918"/>
    </row>
    <row r="8919" spans="3:3" x14ac:dyDescent="0.25">
      <c r="C8919"/>
    </row>
    <row r="8920" spans="3:3" x14ac:dyDescent="0.25">
      <c r="C8920"/>
    </row>
    <row r="8921" spans="3:3" x14ac:dyDescent="0.25">
      <c r="C8921"/>
    </row>
    <row r="8922" spans="3:3" x14ac:dyDescent="0.25">
      <c r="C8922"/>
    </row>
    <row r="8923" spans="3:3" x14ac:dyDescent="0.25">
      <c r="C8923"/>
    </row>
    <row r="8924" spans="3:3" x14ac:dyDescent="0.25">
      <c r="C8924"/>
    </row>
    <row r="8925" spans="3:3" x14ac:dyDescent="0.25">
      <c r="C8925"/>
    </row>
    <row r="8926" spans="3:3" x14ac:dyDescent="0.25">
      <c r="C8926"/>
    </row>
    <row r="8927" spans="3:3" x14ac:dyDescent="0.25">
      <c r="C8927"/>
    </row>
    <row r="8928" spans="3:3" x14ac:dyDescent="0.25">
      <c r="C8928"/>
    </row>
    <row r="8929" spans="3:3" x14ac:dyDescent="0.25">
      <c r="C8929"/>
    </row>
    <row r="8930" spans="3:3" x14ac:dyDescent="0.25">
      <c r="C8930"/>
    </row>
    <row r="8931" spans="3:3" x14ac:dyDescent="0.25">
      <c r="C8931"/>
    </row>
    <row r="8932" spans="3:3" x14ac:dyDescent="0.25">
      <c r="C8932"/>
    </row>
    <row r="8933" spans="3:3" x14ac:dyDescent="0.25">
      <c r="C8933"/>
    </row>
    <row r="8934" spans="3:3" x14ac:dyDescent="0.25">
      <c r="C8934"/>
    </row>
    <row r="8935" spans="3:3" x14ac:dyDescent="0.25">
      <c r="C8935"/>
    </row>
    <row r="8936" spans="3:3" x14ac:dyDescent="0.25">
      <c r="C8936"/>
    </row>
    <row r="8937" spans="3:3" x14ac:dyDescent="0.25">
      <c r="C8937"/>
    </row>
    <row r="8938" spans="3:3" x14ac:dyDescent="0.25">
      <c r="C8938"/>
    </row>
    <row r="8939" spans="3:3" x14ac:dyDescent="0.25">
      <c r="C8939"/>
    </row>
    <row r="8940" spans="3:3" x14ac:dyDescent="0.25">
      <c r="C8940"/>
    </row>
    <row r="8941" spans="3:3" x14ac:dyDescent="0.25">
      <c r="C8941"/>
    </row>
    <row r="8942" spans="3:3" x14ac:dyDescent="0.25">
      <c r="C8942"/>
    </row>
    <row r="8943" spans="3:3" x14ac:dyDescent="0.25">
      <c r="C8943"/>
    </row>
    <row r="8944" spans="3:3" x14ac:dyDescent="0.25">
      <c r="C8944"/>
    </row>
    <row r="8945" spans="3:3" x14ac:dyDescent="0.25">
      <c r="C8945"/>
    </row>
    <row r="8946" spans="3:3" x14ac:dyDescent="0.25">
      <c r="C8946"/>
    </row>
    <row r="8947" spans="3:3" x14ac:dyDescent="0.25">
      <c r="C8947"/>
    </row>
    <row r="8948" spans="3:3" x14ac:dyDescent="0.25">
      <c r="C8948"/>
    </row>
    <row r="8949" spans="3:3" x14ac:dyDescent="0.25">
      <c r="C8949"/>
    </row>
    <row r="8950" spans="3:3" x14ac:dyDescent="0.25">
      <c r="C8950"/>
    </row>
    <row r="8951" spans="3:3" x14ac:dyDescent="0.25">
      <c r="C8951"/>
    </row>
    <row r="8952" spans="3:3" x14ac:dyDescent="0.25">
      <c r="C8952"/>
    </row>
    <row r="8953" spans="3:3" x14ac:dyDescent="0.25">
      <c r="C8953"/>
    </row>
    <row r="8954" spans="3:3" x14ac:dyDescent="0.25">
      <c r="C8954"/>
    </row>
    <row r="8955" spans="3:3" x14ac:dyDescent="0.25">
      <c r="C8955"/>
    </row>
    <row r="8956" spans="3:3" x14ac:dyDescent="0.25">
      <c r="C8956"/>
    </row>
    <row r="8957" spans="3:3" x14ac:dyDescent="0.25">
      <c r="C8957"/>
    </row>
    <row r="8958" spans="3:3" x14ac:dyDescent="0.25">
      <c r="C8958"/>
    </row>
    <row r="8959" spans="3:3" x14ac:dyDescent="0.25">
      <c r="C8959"/>
    </row>
    <row r="8960" spans="3:3" x14ac:dyDescent="0.25">
      <c r="C8960"/>
    </row>
    <row r="8961" spans="3:3" x14ac:dyDescent="0.25">
      <c r="C8961"/>
    </row>
    <row r="8962" spans="3:3" x14ac:dyDescent="0.25">
      <c r="C8962"/>
    </row>
    <row r="8963" spans="3:3" x14ac:dyDescent="0.25">
      <c r="C8963"/>
    </row>
    <row r="8964" spans="3:3" x14ac:dyDescent="0.25">
      <c r="C8964"/>
    </row>
    <row r="8965" spans="3:3" x14ac:dyDescent="0.25">
      <c r="C8965"/>
    </row>
    <row r="8966" spans="3:3" x14ac:dyDescent="0.25">
      <c r="C8966"/>
    </row>
    <row r="8967" spans="3:3" x14ac:dyDescent="0.25">
      <c r="C8967"/>
    </row>
    <row r="8968" spans="3:3" x14ac:dyDescent="0.25">
      <c r="C8968"/>
    </row>
    <row r="8969" spans="3:3" x14ac:dyDescent="0.25">
      <c r="C8969"/>
    </row>
    <row r="8970" spans="3:3" x14ac:dyDescent="0.25">
      <c r="C8970"/>
    </row>
    <row r="8971" spans="3:3" x14ac:dyDescent="0.25">
      <c r="C8971"/>
    </row>
    <row r="8972" spans="3:3" x14ac:dyDescent="0.25">
      <c r="C8972"/>
    </row>
    <row r="8973" spans="3:3" x14ac:dyDescent="0.25">
      <c r="C8973"/>
    </row>
    <row r="8974" spans="3:3" x14ac:dyDescent="0.25">
      <c r="C8974"/>
    </row>
    <row r="8975" spans="3:3" x14ac:dyDescent="0.25">
      <c r="C8975"/>
    </row>
    <row r="8976" spans="3:3" x14ac:dyDescent="0.25">
      <c r="C8976"/>
    </row>
    <row r="8977" spans="3:3" x14ac:dyDescent="0.25">
      <c r="C8977"/>
    </row>
    <row r="8978" spans="3:3" x14ac:dyDescent="0.25">
      <c r="C8978"/>
    </row>
    <row r="8979" spans="3:3" x14ac:dyDescent="0.25">
      <c r="C8979"/>
    </row>
    <row r="8980" spans="3:3" x14ac:dyDescent="0.25">
      <c r="C8980"/>
    </row>
    <row r="8981" spans="3:3" x14ac:dyDescent="0.25">
      <c r="C8981"/>
    </row>
    <row r="8982" spans="3:3" x14ac:dyDescent="0.25">
      <c r="C8982"/>
    </row>
    <row r="8983" spans="3:3" x14ac:dyDescent="0.25">
      <c r="C8983"/>
    </row>
    <row r="8984" spans="3:3" x14ac:dyDescent="0.25">
      <c r="C8984"/>
    </row>
    <row r="8985" spans="3:3" x14ac:dyDescent="0.25">
      <c r="C8985"/>
    </row>
    <row r="8986" spans="3:3" x14ac:dyDescent="0.25">
      <c r="C8986"/>
    </row>
    <row r="8987" spans="3:3" x14ac:dyDescent="0.25">
      <c r="C8987"/>
    </row>
    <row r="8988" spans="3:3" x14ac:dyDescent="0.25">
      <c r="C8988"/>
    </row>
    <row r="8989" spans="3:3" x14ac:dyDescent="0.25">
      <c r="C8989"/>
    </row>
    <row r="8990" spans="3:3" x14ac:dyDescent="0.25">
      <c r="C8990"/>
    </row>
    <row r="8991" spans="3:3" x14ac:dyDescent="0.25">
      <c r="C8991"/>
    </row>
    <row r="8992" spans="3:3" x14ac:dyDescent="0.25">
      <c r="C8992"/>
    </row>
    <row r="8993" spans="3:3" x14ac:dyDescent="0.25">
      <c r="C8993"/>
    </row>
    <row r="8994" spans="3:3" x14ac:dyDescent="0.25">
      <c r="C8994"/>
    </row>
    <row r="8995" spans="3:3" x14ac:dyDescent="0.25">
      <c r="C8995"/>
    </row>
    <row r="8996" spans="3:3" x14ac:dyDescent="0.25">
      <c r="C8996"/>
    </row>
    <row r="8997" spans="3:3" x14ac:dyDescent="0.25">
      <c r="C8997"/>
    </row>
    <row r="8998" spans="3:3" x14ac:dyDescent="0.25">
      <c r="C8998"/>
    </row>
    <row r="8999" spans="3:3" x14ac:dyDescent="0.25">
      <c r="C8999"/>
    </row>
    <row r="9000" spans="3:3" x14ac:dyDescent="0.25">
      <c r="C9000"/>
    </row>
    <row r="9001" spans="3:3" x14ac:dyDescent="0.25">
      <c r="C9001"/>
    </row>
    <row r="9002" spans="3:3" x14ac:dyDescent="0.25">
      <c r="C9002"/>
    </row>
    <row r="9003" spans="3:3" x14ac:dyDescent="0.25">
      <c r="C9003"/>
    </row>
    <row r="9004" spans="3:3" x14ac:dyDescent="0.25">
      <c r="C9004"/>
    </row>
    <row r="9005" spans="3:3" x14ac:dyDescent="0.25">
      <c r="C9005"/>
    </row>
    <row r="9006" spans="3:3" x14ac:dyDescent="0.25">
      <c r="C9006"/>
    </row>
    <row r="9007" spans="3:3" x14ac:dyDescent="0.25">
      <c r="C9007"/>
    </row>
    <row r="9008" spans="3:3" x14ac:dyDescent="0.25">
      <c r="C9008"/>
    </row>
    <row r="9009" spans="3:3" x14ac:dyDescent="0.25">
      <c r="C9009"/>
    </row>
    <row r="9010" spans="3:3" x14ac:dyDescent="0.25">
      <c r="C9010"/>
    </row>
    <row r="9011" spans="3:3" x14ac:dyDescent="0.25">
      <c r="C9011"/>
    </row>
    <row r="9012" spans="3:3" x14ac:dyDescent="0.25">
      <c r="C9012"/>
    </row>
    <row r="9013" spans="3:3" x14ac:dyDescent="0.25">
      <c r="C9013"/>
    </row>
    <row r="9014" spans="3:3" x14ac:dyDescent="0.25">
      <c r="C9014"/>
    </row>
    <row r="9015" spans="3:3" x14ac:dyDescent="0.25">
      <c r="C9015"/>
    </row>
    <row r="9016" spans="3:3" x14ac:dyDescent="0.25">
      <c r="C9016"/>
    </row>
    <row r="9017" spans="3:3" x14ac:dyDescent="0.25">
      <c r="C9017"/>
    </row>
    <row r="9018" spans="3:3" x14ac:dyDescent="0.25">
      <c r="C9018"/>
    </row>
    <row r="9019" spans="3:3" x14ac:dyDescent="0.25">
      <c r="C9019"/>
    </row>
    <row r="9020" spans="3:3" x14ac:dyDescent="0.25">
      <c r="C9020"/>
    </row>
    <row r="9021" spans="3:3" x14ac:dyDescent="0.25">
      <c r="C9021"/>
    </row>
    <row r="9022" spans="3:3" x14ac:dyDescent="0.25">
      <c r="C9022"/>
    </row>
    <row r="9023" spans="3:3" x14ac:dyDescent="0.25">
      <c r="C9023"/>
    </row>
    <row r="9024" spans="3:3" x14ac:dyDescent="0.25">
      <c r="C9024"/>
    </row>
    <row r="9025" spans="3:3" x14ac:dyDescent="0.25">
      <c r="C9025"/>
    </row>
    <row r="9026" spans="3:3" x14ac:dyDescent="0.25">
      <c r="C9026"/>
    </row>
    <row r="9027" spans="3:3" x14ac:dyDescent="0.25">
      <c r="C9027"/>
    </row>
    <row r="9028" spans="3:3" x14ac:dyDescent="0.25">
      <c r="C9028"/>
    </row>
    <row r="9029" spans="3:3" x14ac:dyDescent="0.25">
      <c r="C9029"/>
    </row>
    <row r="9030" spans="3:3" x14ac:dyDescent="0.25">
      <c r="C9030"/>
    </row>
    <row r="9031" spans="3:3" x14ac:dyDescent="0.25">
      <c r="C9031"/>
    </row>
    <row r="9032" spans="3:3" x14ac:dyDescent="0.25">
      <c r="C9032"/>
    </row>
    <row r="9033" spans="3:3" x14ac:dyDescent="0.25">
      <c r="C9033"/>
    </row>
    <row r="9034" spans="3:3" x14ac:dyDescent="0.25">
      <c r="C9034"/>
    </row>
    <row r="9035" spans="3:3" x14ac:dyDescent="0.25">
      <c r="C9035"/>
    </row>
    <row r="9036" spans="3:3" x14ac:dyDescent="0.25">
      <c r="C9036"/>
    </row>
    <row r="9037" spans="3:3" x14ac:dyDescent="0.25">
      <c r="C9037"/>
    </row>
    <row r="9038" spans="3:3" x14ac:dyDescent="0.25">
      <c r="C9038"/>
    </row>
    <row r="9039" spans="3:3" x14ac:dyDescent="0.25">
      <c r="C9039"/>
    </row>
    <row r="9040" spans="3:3" x14ac:dyDescent="0.25">
      <c r="C9040"/>
    </row>
    <row r="9041" spans="3:3" x14ac:dyDescent="0.25">
      <c r="C9041"/>
    </row>
    <row r="9042" spans="3:3" x14ac:dyDescent="0.25">
      <c r="C9042"/>
    </row>
    <row r="9043" spans="3:3" x14ac:dyDescent="0.25">
      <c r="C9043"/>
    </row>
    <row r="9044" spans="3:3" x14ac:dyDescent="0.25">
      <c r="C9044"/>
    </row>
    <row r="9045" spans="3:3" x14ac:dyDescent="0.25">
      <c r="C9045"/>
    </row>
    <row r="9046" spans="3:3" x14ac:dyDescent="0.25">
      <c r="C9046"/>
    </row>
    <row r="9047" spans="3:3" x14ac:dyDescent="0.25">
      <c r="C9047"/>
    </row>
    <row r="9048" spans="3:3" x14ac:dyDescent="0.25">
      <c r="C9048"/>
    </row>
    <row r="9049" spans="3:3" x14ac:dyDescent="0.25">
      <c r="C9049"/>
    </row>
    <row r="9050" spans="3:3" x14ac:dyDescent="0.25">
      <c r="C9050"/>
    </row>
    <row r="9051" spans="3:3" x14ac:dyDescent="0.25">
      <c r="C9051"/>
    </row>
    <row r="9052" spans="3:3" x14ac:dyDescent="0.25">
      <c r="C9052"/>
    </row>
    <row r="9053" spans="3:3" x14ac:dyDescent="0.25">
      <c r="C9053"/>
    </row>
    <row r="9054" spans="3:3" x14ac:dyDescent="0.25">
      <c r="C9054"/>
    </row>
    <row r="9055" spans="3:3" x14ac:dyDescent="0.25">
      <c r="C9055"/>
    </row>
    <row r="9056" spans="3:3" x14ac:dyDescent="0.25">
      <c r="C9056"/>
    </row>
    <row r="9057" spans="3:3" x14ac:dyDescent="0.25">
      <c r="C9057"/>
    </row>
    <row r="9058" spans="3:3" x14ac:dyDescent="0.25">
      <c r="C9058"/>
    </row>
    <row r="9059" spans="3:3" x14ac:dyDescent="0.25">
      <c r="C9059"/>
    </row>
    <row r="9060" spans="3:3" x14ac:dyDescent="0.25">
      <c r="C9060"/>
    </row>
    <row r="9061" spans="3:3" x14ac:dyDescent="0.25">
      <c r="C9061"/>
    </row>
    <row r="9062" spans="3:3" x14ac:dyDescent="0.25">
      <c r="C9062"/>
    </row>
    <row r="9063" spans="3:3" x14ac:dyDescent="0.25">
      <c r="C9063"/>
    </row>
    <row r="9064" spans="3:3" x14ac:dyDescent="0.25">
      <c r="C9064"/>
    </row>
    <row r="9065" spans="3:3" x14ac:dyDescent="0.25">
      <c r="C9065"/>
    </row>
    <row r="9066" spans="3:3" x14ac:dyDescent="0.25">
      <c r="C9066"/>
    </row>
    <row r="9067" spans="3:3" x14ac:dyDescent="0.25">
      <c r="C9067"/>
    </row>
    <row r="9068" spans="3:3" x14ac:dyDescent="0.25">
      <c r="C9068"/>
    </row>
    <row r="9069" spans="3:3" x14ac:dyDescent="0.25">
      <c r="C9069"/>
    </row>
    <row r="9070" spans="3:3" x14ac:dyDescent="0.25">
      <c r="C9070"/>
    </row>
    <row r="9071" spans="3:3" x14ac:dyDescent="0.25">
      <c r="C9071"/>
    </row>
    <row r="9072" spans="3:3" x14ac:dyDescent="0.25">
      <c r="C9072"/>
    </row>
    <row r="9073" spans="3:3" x14ac:dyDescent="0.25">
      <c r="C9073"/>
    </row>
    <row r="9074" spans="3:3" x14ac:dyDescent="0.25">
      <c r="C9074"/>
    </row>
    <row r="9075" spans="3:3" x14ac:dyDescent="0.25">
      <c r="C9075"/>
    </row>
    <row r="9076" spans="3:3" x14ac:dyDescent="0.25">
      <c r="C9076"/>
    </row>
    <row r="9077" spans="3:3" x14ac:dyDescent="0.25">
      <c r="C9077"/>
    </row>
    <row r="9078" spans="3:3" x14ac:dyDescent="0.25">
      <c r="C9078"/>
    </row>
    <row r="9079" spans="3:3" x14ac:dyDescent="0.25">
      <c r="C9079"/>
    </row>
    <row r="9080" spans="3:3" x14ac:dyDescent="0.25">
      <c r="C9080"/>
    </row>
    <row r="9081" spans="3:3" x14ac:dyDescent="0.25">
      <c r="C9081"/>
    </row>
    <row r="9082" spans="3:3" x14ac:dyDescent="0.25">
      <c r="C9082"/>
    </row>
    <row r="9083" spans="3:3" x14ac:dyDescent="0.25">
      <c r="C9083"/>
    </row>
    <row r="9084" spans="3:3" x14ac:dyDescent="0.25">
      <c r="C9084"/>
    </row>
    <row r="9085" spans="3:3" x14ac:dyDescent="0.25">
      <c r="C9085"/>
    </row>
    <row r="9086" spans="3:3" x14ac:dyDescent="0.25">
      <c r="C9086"/>
    </row>
    <row r="9087" spans="3:3" x14ac:dyDescent="0.25">
      <c r="C9087"/>
    </row>
    <row r="9088" spans="3:3" x14ac:dyDescent="0.25">
      <c r="C9088"/>
    </row>
    <row r="9089" spans="3:3" x14ac:dyDescent="0.25">
      <c r="C9089"/>
    </row>
    <row r="9090" spans="3:3" x14ac:dyDescent="0.25">
      <c r="C9090"/>
    </row>
    <row r="9091" spans="3:3" x14ac:dyDescent="0.25">
      <c r="C9091"/>
    </row>
    <row r="9092" spans="3:3" x14ac:dyDescent="0.25">
      <c r="C9092"/>
    </row>
    <row r="9093" spans="3:3" x14ac:dyDescent="0.25">
      <c r="C9093"/>
    </row>
    <row r="9094" spans="3:3" x14ac:dyDescent="0.25">
      <c r="C9094"/>
    </row>
    <row r="9095" spans="3:3" x14ac:dyDescent="0.25">
      <c r="C9095"/>
    </row>
    <row r="9096" spans="3:3" x14ac:dyDescent="0.25">
      <c r="C9096"/>
    </row>
    <row r="9097" spans="3:3" x14ac:dyDescent="0.25">
      <c r="C9097"/>
    </row>
    <row r="9098" spans="3:3" x14ac:dyDescent="0.25">
      <c r="C9098"/>
    </row>
    <row r="9099" spans="3:3" x14ac:dyDescent="0.25">
      <c r="C9099"/>
    </row>
    <row r="9100" spans="3:3" x14ac:dyDescent="0.25">
      <c r="C9100"/>
    </row>
    <row r="9101" spans="3:3" x14ac:dyDescent="0.25">
      <c r="C9101"/>
    </row>
    <row r="9102" spans="3:3" x14ac:dyDescent="0.25">
      <c r="C9102"/>
    </row>
    <row r="9103" spans="3:3" x14ac:dyDescent="0.25">
      <c r="C9103"/>
    </row>
    <row r="9104" spans="3:3" x14ac:dyDescent="0.25">
      <c r="C9104"/>
    </row>
    <row r="9105" spans="3:3" x14ac:dyDescent="0.25">
      <c r="C9105"/>
    </row>
    <row r="9106" spans="3:3" x14ac:dyDescent="0.25">
      <c r="C9106"/>
    </row>
    <row r="9107" spans="3:3" x14ac:dyDescent="0.25">
      <c r="C9107"/>
    </row>
    <row r="9108" spans="3:3" x14ac:dyDescent="0.25">
      <c r="C9108"/>
    </row>
    <row r="9109" spans="3:3" x14ac:dyDescent="0.25">
      <c r="C9109"/>
    </row>
    <row r="9110" spans="3:3" x14ac:dyDescent="0.25">
      <c r="C9110"/>
    </row>
    <row r="9111" spans="3:3" x14ac:dyDescent="0.25">
      <c r="C9111"/>
    </row>
    <row r="9112" spans="3:3" x14ac:dyDescent="0.25">
      <c r="C9112"/>
    </row>
    <row r="9113" spans="3:3" x14ac:dyDescent="0.25">
      <c r="C9113"/>
    </row>
    <row r="9114" spans="3:3" x14ac:dyDescent="0.25">
      <c r="C9114"/>
    </row>
    <row r="9115" spans="3:3" x14ac:dyDescent="0.25">
      <c r="C9115"/>
    </row>
    <row r="9116" spans="3:3" x14ac:dyDescent="0.25">
      <c r="C9116"/>
    </row>
    <row r="9117" spans="3:3" x14ac:dyDescent="0.25">
      <c r="C9117"/>
    </row>
    <row r="9118" spans="3:3" x14ac:dyDescent="0.25">
      <c r="C9118"/>
    </row>
    <row r="9119" spans="3:3" x14ac:dyDescent="0.25">
      <c r="C9119"/>
    </row>
    <row r="9120" spans="3:3" x14ac:dyDescent="0.25">
      <c r="C9120"/>
    </row>
    <row r="9121" spans="3:3" x14ac:dyDescent="0.25">
      <c r="C9121"/>
    </row>
    <row r="9122" spans="3:3" x14ac:dyDescent="0.25">
      <c r="C9122"/>
    </row>
    <row r="9123" spans="3:3" x14ac:dyDescent="0.25">
      <c r="C9123"/>
    </row>
    <row r="9124" spans="3:3" x14ac:dyDescent="0.25">
      <c r="C9124"/>
    </row>
    <row r="9125" spans="3:3" x14ac:dyDescent="0.25">
      <c r="C9125"/>
    </row>
    <row r="9126" spans="3:3" x14ac:dyDescent="0.25">
      <c r="C9126"/>
    </row>
    <row r="9127" spans="3:3" x14ac:dyDescent="0.25">
      <c r="C9127"/>
    </row>
    <row r="9128" spans="3:3" x14ac:dyDescent="0.25">
      <c r="C9128"/>
    </row>
    <row r="9129" spans="3:3" x14ac:dyDescent="0.25">
      <c r="C9129"/>
    </row>
    <row r="9130" spans="3:3" x14ac:dyDescent="0.25">
      <c r="C9130"/>
    </row>
    <row r="9131" spans="3:3" x14ac:dyDescent="0.25">
      <c r="C9131"/>
    </row>
    <row r="9132" spans="3:3" x14ac:dyDescent="0.25">
      <c r="C9132"/>
    </row>
    <row r="9133" spans="3:3" x14ac:dyDescent="0.25">
      <c r="C9133"/>
    </row>
    <row r="9134" spans="3:3" x14ac:dyDescent="0.25">
      <c r="C9134"/>
    </row>
    <row r="9135" spans="3:3" x14ac:dyDescent="0.25">
      <c r="C9135"/>
    </row>
    <row r="9136" spans="3:3" x14ac:dyDescent="0.25">
      <c r="C9136"/>
    </row>
    <row r="9137" spans="3:3" x14ac:dyDescent="0.25">
      <c r="C9137"/>
    </row>
    <row r="9138" spans="3:3" x14ac:dyDescent="0.25">
      <c r="C9138"/>
    </row>
    <row r="9139" spans="3:3" x14ac:dyDescent="0.25">
      <c r="C9139"/>
    </row>
    <row r="9140" spans="3:3" x14ac:dyDescent="0.25">
      <c r="C9140"/>
    </row>
    <row r="9141" spans="3:3" x14ac:dyDescent="0.25">
      <c r="C9141"/>
    </row>
    <row r="9142" spans="3:3" x14ac:dyDescent="0.25">
      <c r="C9142"/>
    </row>
    <row r="9143" spans="3:3" x14ac:dyDescent="0.25">
      <c r="C9143"/>
    </row>
    <row r="9144" spans="3:3" x14ac:dyDescent="0.25">
      <c r="C9144"/>
    </row>
    <row r="9145" spans="3:3" x14ac:dyDescent="0.25">
      <c r="C9145"/>
    </row>
    <row r="9146" spans="3:3" x14ac:dyDescent="0.25">
      <c r="C9146"/>
    </row>
    <row r="9147" spans="3:3" x14ac:dyDescent="0.25">
      <c r="C9147"/>
    </row>
    <row r="9148" spans="3:3" x14ac:dyDescent="0.25">
      <c r="C9148"/>
    </row>
    <row r="9149" spans="3:3" x14ac:dyDescent="0.25">
      <c r="C9149"/>
    </row>
    <row r="9150" spans="3:3" x14ac:dyDescent="0.25">
      <c r="C9150"/>
    </row>
    <row r="9151" spans="3:3" x14ac:dyDescent="0.25">
      <c r="C9151"/>
    </row>
    <row r="9152" spans="3:3" x14ac:dyDescent="0.25">
      <c r="C9152"/>
    </row>
    <row r="9153" spans="3:3" x14ac:dyDescent="0.25">
      <c r="C9153"/>
    </row>
    <row r="9154" spans="3:3" x14ac:dyDescent="0.25">
      <c r="C9154"/>
    </row>
    <row r="9155" spans="3:3" x14ac:dyDescent="0.25">
      <c r="C9155"/>
    </row>
    <row r="9156" spans="3:3" x14ac:dyDescent="0.25">
      <c r="C9156"/>
    </row>
    <row r="9157" spans="3:3" x14ac:dyDescent="0.25">
      <c r="C9157"/>
    </row>
    <row r="9158" spans="3:3" x14ac:dyDescent="0.25">
      <c r="C9158"/>
    </row>
    <row r="9159" spans="3:3" x14ac:dyDescent="0.25">
      <c r="C9159"/>
    </row>
    <row r="9160" spans="3:3" x14ac:dyDescent="0.25">
      <c r="C9160"/>
    </row>
    <row r="9161" spans="3:3" x14ac:dyDescent="0.25">
      <c r="C9161"/>
    </row>
    <row r="9162" spans="3:3" x14ac:dyDescent="0.25">
      <c r="C9162"/>
    </row>
    <row r="9163" spans="3:3" x14ac:dyDescent="0.25">
      <c r="C9163"/>
    </row>
    <row r="9164" spans="3:3" x14ac:dyDescent="0.25">
      <c r="C9164"/>
    </row>
    <row r="9165" spans="3:3" x14ac:dyDescent="0.25">
      <c r="C9165"/>
    </row>
    <row r="9166" spans="3:3" x14ac:dyDescent="0.25">
      <c r="C9166"/>
    </row>
    <row r="9167" spans="3:3" x14ac:dyDescent="0.25">
      <c r="C9167"/>
    </row>
    <row r="9168" spans="3:3" x14ac:dyDescent="0.25">
      <c r="C9168"/>
    </row>
    <row r="9169" spans="3:3" x14ac:dyDescent="0.25">
      <c r="C9169"/>
    </row>
    <row r="9170" spans="3:3" x14ac:dyDescent="0.25">
      <c r="C9170"/>
    </row>
    <row r="9171" spans="3:3" x14ac:dyDescent="0.25">
      <c r="C9171"/>
    </row>
    <row r="9172" spans="3:3" x14ac:dyDescent="0.25">
      <c r="C9172"/>
    </row>
    <row r="9173" spans="3:3" x14ac:dyDescent="0.25">
      <c r="C9173"/>
    </row>
    <row r="9174" spans="3:3" x14ac:dyDescent="0.25">
      <c r="C9174"/>
    </row>
    <row r="9175" spans="3:3" x14ac:dyDescent="0.25">
      <c r="C9175"/>
    </row>
    <row r="9176" spans="3:3" x14ac:dyDescent="0.25">
      <c r="C9176"/>
    </row>
    <row r="9177" spans="3:3" x14ac:dyDescent="0.25">
      <c r="C9177"/>
    </row>
    <row r="9178" spans="3:3" x14ac:dyDescent="0.25">
      <c r="C9178"/>
    </row>
    <row r="9179" spans="3:3" x14ac:dyDescent="0.25">
      <c r="C9179"/>
    </row>
    <row r="9180" spans="3:3" x14ac:dyDescent="0.25">
      <c r="C9180"/>
    </row>
    <row r="9181" spans="3:3" x14ac:dyDescent="0.25">
      <c r="C9181"/>
    </row>
    <row r="9182" spans="3:3" x14ac:dyDescent="0.25">
      <c r="C9182"/>
    </row>
    <row r="9183" spans="3:3" x14ac:dyDescent="0.25">
      <c r="C9183"/>
    </row>
    <row r="9184" spans="3:3" x14ac:dyDescent="0.25">
      <c r="C9184"/>
    </row>
    <row r="9185" spans="3:3" x14ac:dyDescent="0.25">
      <c r="C9185"/>
    </row>
    <row r="9186" spans="3:3" x14ac:dyDescent="0.25">
      <c r="C9186"/>
    </row>
    <row r="9187" spans="3:3" x14ac:dyDescent="0.25">
      <c r="C9187"/>
    </row>
    <row r="9188" spans="3:3" x14ac:dyDescent="0.25">
      <c r="C9188"/>
    </row>
    <row r="9189" spans="3:3" x14ac:dyDescent="0.25">
      <c r="C9189"/>
    </row>
    <row r="9190" spans="3:3" x14ac:dyDescent="0.25">
      <c r="C9190"/>
    </row>
    <row r="9191" spans="3:3" x14ac:dyDescent="0.25">
      <c r="C9191"/>
    </row>
    <row r="9192" spans="3:3" x14ac:dyDescent="0.25">
      <c r="C9192"/>
    </row>
    <row r="9193" spans="3:3" x14ac:dyDescent="0.25">
      <c r="C9193"/>
    </row>
    <row r="9194" spans="3:3" x14ac:dyDescent="0.25">
      <c r="C9194"/>
    </row>
    <row r="9195" spans="3:3" x14ac:dyDescent="0.25">
      <c r="C9195"/>
    </row>
    <row r="9196" spans="3:3" x14ac:dyDescent="0.25">
      <c r="C9196"/>
    </row>
    <row r="9197" spans="3:3" x14ac:dyDescent="0.25">
      <c r="C9197"/>
    </row>
    <row r="9198" spans="3:3" x14ac:dyDescent="0.25">
      <c r="C9198"/>
    </row>
    <row r="9199" spans="3:3" x14ac:dyDescent="0.25">
      <c r="C9199"/>
    </row>
    <row r="9200" spans="3:3" x14ac:dyDescent="0.25">
      <c r="C9200"/>
    </row>
    <row r="9201" spans="3:3" x14ac:dyDescent="0.25">
      <c r="C9201"/>
    </row>
    <row r="9202" spans="3:3" x14ac:dyDescent="0.25">
      <c r="C9202"/>
    </row>
    <row r="9203" spans="3:3" x14ac:dyDescent="0.25">
      <c r="C9203"/>
    </row>
    <row r="9204" spans="3:3" x14ac:dyDescent="0.25">
      <c r="C9204"/>
    </row>
    <row r="9205" spans="3:3" x14ac:dyDescent="0.25">
      <c r="C9205"/>
    </row>
    <row r="9206" spans="3:3" x14ac:dyDescent="0.25">
      <c r="C9206"/>
    </row>
    <row r="9207" spans="3:3" x14ac:dyDescent="0.25">
      <c r="C9207"/>
    </row>
    <row r="9208" spans="3:3" x14ac:dyDescent="0.25">
      <c r="C9208"/>
    </row>
    <row r="9209" spans="3:3" x14ac:dyDescent="0.25">
      <c r="C9209"/>
    </row>
    <row r="9210" spans="3:3" x14ac:dyDescent="0.25">
      <c r="C9210"/>
    </row>
    <row r="9211" spans="3:3" x14ac:dyDescent="0.25">
      <c r="C9211"/>
    </row>
    <row r="9212" spans="3:3" x14ac:dyDescent="0.25">
      <c r="C9212"/>
    </row>
    <row r="9213" spans="3:3" x14ac:dyDescent="0.25">
      <c r="C9213"/>
    </row>
    <row r="9214" spans="3:3" x14ac:dyDescent="0.25">
      <c r="C9214"/>
    </row>
    <row r="9215" spans="3:3" x14ac:dyDescent="0.25">
      <c r="C9215"/>
    </row>
    <row r="9216" spans="3:3" x14ac:dyDescent="0.25">
      <c r="C9216"/>
    </row>
    <row r="9217" spans="3:3" x14ac:dyDescent="0.25">
      <c r="C9217"/>
    </row>
    <row r="9218" spans="3:3" x14ac:dyDescent="0.25">
      <c r="C9218"/>
    </row>
    <row r="9219" spans="3:3" x14ac:dyDescent="0.25">
      <c r="C9219"/>
    </row>
    <row r="9220" spans="3:3" x14ac:dyDescent="0.25">
      <c r="C9220"/>
    </row>
    <row r="9221" spans="3:3" x14ac:dyDescent="0.25">
      <c r="C9221"/>
    </row>
    <row r="9222" spans="3:3" x14ac:dyDescent="0.25">
      <c r="C9222"/>
    </row>
    <row r="9223" spans="3:3" x14ac:dyDescent="0.25">
      <c r="C9223"/>
    </row>
    <row r="9224" spans="3:3" x14ac:dyDescent="0.25">
      <c r="C9224"/>
    </row>
    <row r="9225" spans="3:3" x14ac:dyDescent="0.25">
      <c r="C9225"/>
    </row>
    <row r="9226" spans="3:3" x14ac:dyDescent="0.25">
      <c r="C9226"/>
    </row>
    <row r="9227" spans="3:3" x14ac:dyDescent="0.25">
      <c r="C9227"/>
    </row>
    <row r="9228" spans="3:3" x14ac:dyDescent="0.25">
      <c r="C9228"/>
    </row>
    <row r="9229" spans="3:3" x14ac:dyDescent="0.25">
      <c r="C9229"/>
    </row>
    <row r="9230" spans="3:3" x14ac:dyDescent="0.25">
      <c r="C9230"/>
    </row>
    <row r="9231" spans="3:3" x14ac:dyDescent="0.25">
      <c r="C9231"/>
    </row>
    <row r="9232" spans="3:3" x14ac:dyDescent="0.25">
      <c r="C9232"/>
    </row>
    <row r="9233" spans="3:3" x14ac:dyDescent="0.25">
      <c r="C9233"/>
    </row>
    <row r="9234" spans="3:3" x14ac:dyDescent="0.25">
      <c r="C9234"/>
    </row>
    <row r="9235" spans="3:3" x14ac:dyDescent="0.25">
      <c r="C9235"/>
    </row>
    <row r="9236" spans="3:3" x14ac:dyDescent="0.25">
      <c r="C9236"/>
    </row>
    <row r="9237" spans="3:3" x14ac:dyDescent="0.25">
      <c r="C9237"/>
    </row>
    <row r="9238" spans="3:3" x14ac:dyDescent="0.25">
      <c r="C9238"/>
    </row>
    <row r="9239" spans="3:3" x14ac:dyDescent="0.25">
      <c r="C9239"/>
    </row>
    <row r="9240" spans="3:3" x14ac:dyDescent="0.25">
      <c r="C9240"/>
    </row>
    <row r="9241" spans="3:3" x14ac:dyDescent="0.25">
      <c r="C9241"/>
    </row>
    <row r="9242" spans="3:3" x14ac:dyDescent="0.25">
      <c r="C9242"/>
    </row>
    <row r="9243" spans="3:3" x14ac:dyDescent="0.25">
      <c r="C9243"/>
    </row>
    <row r="9244" spans="3:3" x14ac:dyDescent="0.25">
      <c r="C9244"/>
    </row>
    <row r="9245" spans="3:3" x14ac:dyDescent="0.25">
      <c r="C9245"/>
    </row>
    <row r="9246" spans="3:3" x14ac:dyDescent="0.25">
      <c r="C9246"/>
    </row>
    <row r="9247" spans="3:3" x14ac:dyDescent="0.25">
      <c r="C9247"/>
    </row>
    <row r="9248" spans="3:3" x14ac:dyDescent="0.25">
      <c r="C9248"/>
    </row>
    <row r="9249" spans="3:3" x14ac:dyDescent="0.25">
      <c r="C9249"/>
    </row>
    <row r="9250" spans="3:3" x14ac:dyDescent="0.25">
      <c r="C9250"/>
    </row>
    <row r="9251" spans="3:3" x14ac:dyDescent="0.25">
      <c r="C9251"/>
    </row>
    <row r="9252" spans="3:3" x14ac:dyDescent="0.25">
      <c r="C9252"/>
    </row>
    <row r="9253" spans="3:3" x14ac:dyDescent="0.25">
      <c r="C9253"/>
    </row>
    <row r="9254" spans="3:3" x14ac:dyDescent="0.25">
      <c r="C9254"/>
    </row>
    <row r="9255" spans="3:3" x14ac:dyDescent="0.25">
      <c r="C9255"/>
    </row>
    <row r="9256" spans="3:3" x14ac:dyDescent="0.25">
      <c r="C9256"/>
    </row>
    <row r="9257" spans="3:3" x14ac:dyDescent="0.25">
      <c r="C9257"/>
    </row>
    <row r="9258" spans="3:3" x14ac:dyDescent="0.25">
      <c r="C9258"/>
    </row>
    <row r="9259" spans="3:3" x14ac:dyDescent="0.25">
      <c r="C9259"/>
    </row>
    <row r="9260" spans="3:3" x14ac:dyDescent="0.25">
      <c r="C9260"/>
    </row>
    <row r="9261" spans="3:3" x14ac:dyDescent="0.25">
      <c r="C9261"/>
    </row>
    <row r="9262" spans="3:3" x14ac:dyDescent="0.25">
      <c r="C9262"/>
    </row>
    <row r="9263" spans="3:3" x14ac:dyDescent="0.25">
      <c r="C9263"/>
    </row>
    <row r="9264" spans="3:3" x14ac:dyDescent="0.25">
      <c r="C9264"/>
    </row>
    <row r="9265" spans="3:3" x14ac:dyDescent="0.25">
      <c r="C9265"/>
    </row>
    <row r="9266" spans="3:3" x14ac:dyDescent="0.25">
      <c r="C9266"/>
    </row>
    <row r="9267" spans="3:3" x14ac:dyDescent="0.25">
      <c r="C9267"/>
    </row>
    <row r="9268" spans="3:3" x14ac:dyDescent="0.25">
      <c r="C9268"/>
    </row>
    <row r="9269" spans="3:3" x14ac:dyDescent="0.25">
      <c r="C9269"/>
    </row>
    <row r="9270" spans="3:3" x14ac:dyDescent="0.25">
      <c r="C9270"/>
    </row>
    <row r="9271" spans="3:3" x14ac:dyDescent="0.25">
      <c r="C9271"/>
    </row>
    <row r="9272" spans="3:3" x14ac:dyDescent="0.25">
      <c r="C9272"/>
    </row>
    <row r="9273" spans="3:3" x14ac:dyDescent="0.25">
      <c r="C9273"/>
    </row>
    <row r="9274" spans="3:3" x14ac:dyDescent="0.25">
      <c r="C9274"/>
    </row>
    <row r="9275" spans="3:3" x14ac:dyDescent="0.25">
      <c r="C9275"/>
    </row>
    <row r="9276" spans="3:3" x14ac:dyDescent="0.25">
      <c r="C9276"/>
    </row>
    <row r="9277" spans="3:3" x14ac:dyDescent="0.25">
      <c r="C9277"/>
    </row>
    <row r="9278" spans="3:3" x14ac:dyDescent="0.25">
      <c r="C9278"/>
    </row>
    <row r="9279" spans="3:3" x14ac:dyDescent="0.25">
      <c r="C9279"/>
    </row>
    <row r="9280" spans="3:3" x14ac:dyDescent="0.25">
      <c r="C9280"/>
    </row>
    <row r="9281" spans="3:3" x14ac:dyDescent="0.25">
      <c r="C9281"/>
    </row>
    <row r="9282" spans="3:3" x14ac:dyDescent="0.25">
      <c r="C9282"/>
    </row>
    <row r="9283" spans="3:3" x14ac:dyDescent="0.25">
      <c r="C9283"/>
    </row>
    <row r="9284" spans="3:3" x14ac:dyDescent="0.25">
      <c r="C9284"/>
    </row>
    <row r="9285" spans="3:3" x14ac:dyDescent="0.25">
      <c r="C9285"/>
    </row>
    <row r="9286" spans="3:3" x14ac:dyDescent="0.25">
      <c r="C9286"/>
    </row>
    <row r="9287" spans="3:3" x14ac:dyDescent="0.25">
      <c r="C9287"/>
    </row>
    <row r="9288" spans="3:3" x14ac:dyDescent="0.25">
      <c r="C9288"/>
    </row>
    <row r="9289" spans="3:3" x14ac:dyDescent="0.25">
      <c r="C9289"/>
    </row>
    <row r="9290" spans="3:3" x14ac:dyDescent="0.25">
      <c r="C9290"/>
    </row>
    <row r="9291" spans="3:3" x14ac:dyDescent="0.25">
      <c r="C9291"/>
    </row>
    <row r="9292" spans="3:3" x14ac:dyDescent="0.25">
      <c r="C9292"/>
    </row>
    <row r="9293" spans="3:3" x14ac:dyDescent="0.25">
      <c r="C9293"/>
    </row>
    <row r="9294" spans="3:3" x14ac:dyDescent="0.25">
      <c r="C9294"/>
    </row>
    <row r="9295" spans="3:3" x14ac:dyDescent="0.25">
      <c r="C9295"/>
    </row>
    <row r="9296" spans="3:3" x14ac:dyDescent="0.25">
      <c r="C9296"/>
    </row>
    <row r="9297" spans="3:3" x14ac:dyDescent="0.25">
      <c r="C9297"/>
    </row>
    <row r="9298" spans="3:3" x14ac:dyDescent="0.25">
      <c r="C9298"/>
    </row>
    <row r="9299" spans="3:3" x14ac:dyDescent="0.25">
      <c r="C9299"/>
    </row>
    <row r="9300" spans="3:3" x14ac:dyDescent="0.25">
      <c r="C9300"/>
    </row>
    <row r="9301" spans="3:3" x14ac:dyDescent="0.25">
      <c r="C9301"/>
    </row>
    <row r="9302" spans="3:3" x14ac:dyDescent="0.25">
      <c r="C9302"/>
    </row>
    <row r="9303" spans="3:3" x14ac:dyDescent="0.25">
      <c r="C9303"/>
    </row>
    <row r="9304" spans="3:3" x14ac:dyDescent="0.25">
      <c r="C9304"/>
    </row>
    <row r="9305" spans="3:3" x14ac:dyDescent="0.25">
      <c r="C9305"/>
    </row>
    <row r="9306" spans="3:3" x14ac:dyDescent="0.25">
      <c r="C9306"/>
    </row>
    <row r="9307" spans="3:3" x14ac:dyDescent="0.25">
      <c r="C9307"/>
    </row>
    <row r="9308" spans="3:3" x14ac:dyDescent="0.25">
      <c r="C9308"/>
    </row>
    <row r="9309" spans="3:3" x14ac:dyDescent="0.25">
      <c r="C9309"/>
    </row>
    <row r="9310" spans="3:3" x14ac:dyDescent="0.25">
      <c r="C9310"/>
    </row>
    <row r="9311" spans="3:3" x14ac:dyDescent="0.25">
      <c r="C9311"/>
    </row>
    <row r="9312" spans="3:3" x14ac:dyDescent="0.25">
      <c r="C9312"/>
    </row>
    <row r="9313" spans="3:3" x14ac:dyDescent="0.25">
      <c r="C9313"/>
    </row>
    <row r="9314" spans="3:3" x14ac:dyDescent="0.25">
      <c r="C9314"/>
    </row>
    <row r="9315" spans="3:3" x14ac:dyDescent="0.25">
      <c r="C9315"/>
    </row>
    <row r="9316" spans="3:3" x14ac:dyDescent="0.25">
      <c r="C9316"/>
    </row>
    <row r="9317" spans="3:3" x14ac:dyDescent="0.25">
      <c r="C9317"/>
    </row>
    <row r="9318" spans="3:3" x14ac:dyDescent="0.25">
      <c r="C9318"/>
    </row>
    <row r="9319" spans="3:3" x14ac:dyDescent="0.25">
      <c r="C9319"/>
    </row>
    <row r="9320" spans="3:3" x14ac:dyDescent="0.25">
      <c r="C9320"/>
    </row>
    <row r="9321" spans="3:3" x14ac:dyDescent="0.25">
      <c r="C9321"/>
    </row>
    <row r="9322" spans="3:3" x14ac:dyDescent="0.25">
      <c r="C9322"/>
    </row>
    <row r="9323" spans="3:3" x14ac:dyDescent="0.25">
      <c r="C9323"/>
    </row>
    <row r="9324" spans="3:3" x14ac:dyDescent="0.25">
      <c r="C9324"/>
    </row>
    <row r="9325" spans="3:3" x14ac:dyDescent="0.25">
      <c r="C9325"/>
    </row>
    <row r="9326" spans="3:3" x14ac:dyDescent="0.25">
      <c r="C9326"/>
    </row>
    <row r="9327" spans="3:3" x14ac:dyDescent="0.25">
      <c r="C9327"/>
    </row>
    <row r="9328" spans="3:3" x14ac:dyDescent="0.25">
      <c r="C9328"/>
    </row>
    <row r="9329" spans="3:3" x14ac:dyDescent="0.25">
      <c r="C9329"/>
    </row>
    <row r="9330" spans="3:3" x14ac:dyDescent="0.25">
      <c r="C9330"/>
    </row>
    <row r="9331" spans="3:3" x14ac:dyDescent="0.25">
      <c r="C9331"/>
    </row>
    <row r="9332" spans="3:3" x14ac:dyDescent="0.25">
      <c r="C9332"/>
    </row>
    <row r="9333" spans="3:3" x14ac:dyDescent="0.25">
      <c r="C9333"/>
    </row>
    <row r="9334" spans="3:3" x14ac:dyDescent="0.25">
      <c r="C9334"/>
    </row>
    <row r="9335" spans="3:3" x14ac:dyDescent="0.25">
      <c r="C9335"/>
    </row>
    <row r="9336" spans="3:3" x14ac:dyDescent="0.25">
      <c r="C9336"/>
    </row>
    <row r="9337" spans="3:3" x14ac:dyDescent="0.25">
      <c r="C9337"/>
    </row>
    <row r="9338" spans="3:3" x14ac:dyDescent="0.25">
      <c r="C9338"/>
    </row>
    <row r="9339" spans="3:3" x14ac:dyDescent="0.25">
      <c r="C9339"/>
    </row>
    <row r="9340" spans="3:3" x14ac:dyDescent="0.25">
      <c r="C9340"/>
    </row>
    <row r="9341" spans="3:3" x14ac:dyDescent="0.25">
      <c r="C9341"/>
    </row>
    <row r="9342" spans="3:3" x14ac:dyDescent="0.25">
      <c r="C9342"/>
    </row>
    <row r="9343" spans="3:3" x14ac:dyDescent="0.25">
      <c r="C9343"/>
    </row>
    <row r="9344" spans="3:3" x14ac:dyDescent="0.25">
      <c r="C9344"/>
    </row>
    <row r="9345" spans="3:3" x14ac:dyDescent="0.25">
      <c r="C9345"/>
    </row>
    <row r="9346" spans="3:3" x14ac:dyDescent="0.25">
      <c r="C9346"/>
    </row>
    <row r="9347" spans="3:3" x14ac:dyDescent="0.25">
      <c r="C9347"/>
    </row>
    <row r="9348" spans="3:3" x14ac:dyDescent="0.25">
      <c r="C9348"/>
    </row>
    <row r="9349" spans="3:3" x14ac:dyDescent="0.25">
      <c r="C9349"/>
    </row>
    <row r="9350" spans="3:3" x14ac:dyDescent="0.25">
      <c r="C9350"/>
    </row>
    <row r="9351" spans="3:3" x14ac:dyDescent="0.25">
      <c r="C9351"/>
    </row>
    <row r="9352" spans="3:3" x14ac:dyDescent="0.25">
      <c r="C9352"/>
    </row>
    <row r="9353" spans="3:3" x14ac:dyDescent="0.25">
      <c r="C9353"/>
    </row>
    <row r="9354" spans="3:3" x14ac:dyDescent="0.25">
      <c r="C9354"/>
    </row>
    <row r="9355" spans="3:3" x14ac:dyDescent="0.25">
      <c r="C9355"/>
    </row>
    <row r="9356" spans="3:3" x14ac:dyDescent="0.25">
      <c r="C9356"/>
    </row>
    <row r="9357" spans="3:3" x14ac:dyDescent="0.25">
      <c r="C9357"/>
    </row>
    <row r="9358" spans="3:3" x14ac:dyDescent="0.25">
      <c r="C9358"/>
    </row>
    <row r="9359" spans="3:3" x14ac:dyDescent="0.25">
      <c r="C9359"/>
    </row>
    <row r="9360" spans="3:3" x14ac:dyDescent="0.25">
      <c r="C9360"/>
    </row>
    <row r="9361" spans="3:3" x14ac:dyDescent="0.25">
      <c r="C9361"/>
    </row>
    <row r="9362" spans="3:3" x14ac:dyDescent="0.25">
      <c r="C9362"/>
    </row>
    <row r="9363" spans="3:3" x14ac:dyDescent="0.25">
      <c r="C9363"/>
    </row>
    <row r="9364" spans="3:3" x14ac:dyDescent="0.25">
      <c r="C9364"/>
    </row>
    <row r="9365" spans="3:3" x14ac:dyDescent="0.25">
      <c r="C9365"/>
    </row>
    <row r="9366" spans="3:3" x14ac:dyDescent="0.25">
      <c r="C9366"/>
    </row>
    <row r="9367" spans="3:3" x14ac:dyDescent="0.25">
      <c r="C9367"/>
    </row>
    <row r="9368" spans="3:3" x14ac:dyDescent="0.25">
      <c r="C9368"/>
    </row>
    <row r="9369" spans="3:3" x14ac:dyDescent="0.25">
      <c r="C9369"/>
    </row>
    <row r="9370" spans="3:3" x14ac:dyDescent="0.25">
      <c r="C9370"/>
    </row>
    <row r="9371" spans="3:3" x14ac:dyDescent="0.25">
      <c r="C9371"/>
    </row>
    <row r="9372" spans="3:3" x14ac:dyDescent="0.25">
      <c r="C9372"/>
    </row>
    <row r="9373" spans="3:3" x14ac:dyDescent="0.25">
      <c r="C9373"/>
    </row>
    <row r="9374" spans="3:3" x14ac:dyDescent="0.25">
      <c r="C9374"/>
    </row>
    <row r="9375" spans="3:3" x14ac:dyDescent="0.25">
      <c r="C9375"/>
    </row>
    <row r="9376" spans="3:3" x14ac:dyDescent="0.25">
      <c r="C9376"/>
    </row>
    <row r="9377" spans="3:3" x14ac:dyDescent="0.25">
      <c r="C9377"/>
    </row>
    <row r="9378" spans="3:3" x14ac:dyDescent="0.25">
      <c r="C9378"/>
    </row>
    <row r="9379" spans="3:3" x14ac:dyDescent="0.25">
      <c r="C9379"/>
    </row>
    <row r="9380" spans="3:3" x14ac:dyDescent="0.25">
      <c r="C9380"/>
    </row>
    <row r="9381" spans="3:3" x14ac:dyDescent="0.25">
      <c r="C9381"/>
    </row>
    <row r="9382" spans="3:3" x14ac:dyDescent="0.25">
      <c r="C9382"/>
    </row>
    <row r="9383" spans="3:3" x14ac:dyDescent="0.25">
      <c r="C9383"/>
    </row>
    <row r="9384" spans="3:3" x14ac:dyDescent="0.25">
      <c r="C9384"/>
    </row>
    <row r="9385" spans="3:3" x14ac:dyDescent="0.25">
      <c r="C9385"/>
    </row>
    <row r="9386" spans="3:3" x14ac:dyDescent="0.25">
      <c r="C9386"/>
    </row>
    <row r="9387" spans="3:3" x14ac:dyDescent="0.25">
      <c r="C9387"/>
    </row>
    <row r="9388" spans="3:3" x14ac:dyDescent="0.25">
      <c r="C9388"/>
    </row>
    <row r="9389" spans="3:3" x14ac:dyDescent="0.25">
      <c r="C9389"/>
    </row>
    <row r="9390" spans="3:3" x14ac:dyDescent="0.25">
      <c r="C9390"/>
    </row>
    <row r="9391" spans="3:3" x14ac:dyDescent="0.25">
      <c r="C9391"/>
    </row>
    <row r="9392" spans="3:3" x14ac:dyDescent="0.25">
      <c r="C9392"/>
    </row>
    <row r="9393" spans="3:3" x14ac:dyDescent="0.25">
      <c r="C9393"/>
    </row>
    <row r="9394" spans="3:3" x14ac:dyDescent="0.25">
      <c r="C9394"/>
    </row>
    <row r="9395" spans="3:3" x14ac:dyDescent="0.25">
      <c r="C9395"/>
    </row>
    <row r="9396" spans="3:3" x14ac:dyDescent="0.25">
      <c r="C9396"/>
    </row>
    <row r="9397" spans="3:3" x14ac:dyDescent="0.25">
      <c r="C9397"/>
    </row>
    <row r="9398" spans="3:3" x14ac:dyDescent="0.25">
      <c r="C9398"/>
    </row>
    <row r="9399" spans="3:3" x14ac:dyDescent="0.25">
      <c r="C9399"/>
    </row>
    <row r="9400" spans="3:3" x14ac:dyDescent="0.25">
      <c r="C9400"/>
    </row>
    <row r="9401" spans="3:3" x14ac:dyDescent="0.25">
      <c r="C9401"/>
    </row>
    <row r="9402" spans="3:3" x14ac:dyDescent="0.25">
      <c r="C9402"/>
    </row>
    <row r="9403" spans="3:3" x14ac:dyDescent="0.25">
      <c r="C9403"/>
    </row>
    <row r="9404" spans="3:3" x14ac:dyDescent="0.25">
      <c r="C9404"/>
    </row>
    <row r="9405" spans="3:3" x14ac:dyDescent="0.25">
      <c r="C9405"/>
    </row>
    <row r="9406" spans="3:3" x14ac:dyDescent="0.25">
      <c r="C9406"/>
    </row>
    <row r="9407" spans="3:3" x14ac:dyDescent="0.25">
      <c r="C9407"/>
    </row>
    <row r="9408" spans="3:3" x14ac:dyDescent="0.25">
      <c r="C9408"/>
    </row>
    <row r="9409" spans="3:3" x14ac:dyDescent="0.25">
      <c r="C9409"/>
    </row>
    <row r="9410" spans="3:3" x14ac:dyDescent="0.25">
      <c r="C9410"/>
    </row>
    <row r="9411" spans="3:3" x14ac:dyDescent="0.25">
      <c r="C9411"/>
    </row>
    <row r="9412" spans="3:3" x14ac:dyDescent="0.25">
      <c r="C9412"/>
    </row>
    <row r="9413" spans="3:3" x14ac:dyDescent="0.25">
      <c r="C9413"/>
    </row>
    <row r="9414" spans="3:3" x14ac:dyDescent="0.25">
      <c r="C9414"/>
    </row>
    <row r="9415" spans="3:3" x14ac:dyDescent="0.25">
      <c r="C9415"/>
    </row>
    <row r="9416" spans="3:3" x14ac:dyDescent="0.25">
      <c r="C9416"/>
    </row>
    <row r="9417" spans="3:3" x14ac:dyDescent="0.25">
      <c r="C9417"/>
    </row>
    <row r="9418" spans="3:3" x14ac:dyDescent="0.25">
      <c r="C9418"/>
    </row>
    <row r="9419" spans="3:3" x14ac:dyDescent="0.25">
      <c r="C9419"/>
    </row>
    <row r="9420" spans="3:3" x14ac:dyDescent="0.25">
      <c r="C9420"/>
    </row>
    <row r="9421" spans="3:3" x14ac:dyDescent="0.25">
      <c r="C9421"/>
    </row>
    <row r="9422" spans="3:3" x14ac:dyDescent="0.25">
      <c r="C9422"/>
    </row>
    <row r="9423" spans="3:3" x14ac:dyDescent="0.25">
      <c r="C9423"/>
    </row>
    <row r="9424" spans="3:3" x14ac:dyDescent="0.25">
      <c r="C9424"/>
    </row>
    <row r="9425" spans="3:3" x14ac:dyDescent="0.25">
      <c r="C9425"/>
    </row>
    <row r="9426" spans="3:3" x14ac:dyDescent="0.25">
      <c r="C9426"/>
    </row>
    <row r="9427" spans="3:3" x14ac:dyDescent="0.25">
      <c r="C9427"/>
    </row>
    <row r="9428" spans="3:3" x14ac:dyDescent="0.25">
      <c r="C9428"/>
    </row>
    <row r="9429" spans="3:3" x14ac:dyDescent="0.25">
      <c r="C9429"/>
    </row>
    <row r="9430" spans="3:3" x14ac:dyDescent="0.25">
      <c r="C9430"/>
    </row>
    <row r="9431" spans="3:3" x14ac:dyDescent="0.25">
      <c r="C9431"/>
    </row>
    <row r="9432" spans="3:3" x14ac:dyDescent="0.25">
      <c r="C9432"/>
    </row>
    <row r="9433" spans="3:3" x14ac:dyDescent="0.25">
      <c r="C9433"/>
    </row>
    <row r="9434" spans="3:3" x14ac:dyDescent="0.25">
      <c r="C9434"/>
    </row>
    <row r="9435" spans="3:3" x14ac:dyDescent="0.25">
      <c r="C9435"/>
    </row>
    <row r="9436" spans="3:3" x14ac:dyDescent="0.25">
      <c r="C9436"/>
    </row>
    <row r="9437" spans="3:3" x14ac:dyDescent="0.25">
      <c r="C9437"/>
    </row>
    <row r="9438" spans="3:3" x14ac:dyDescent="0.25">
      <c r="C9438"/>
    </row>
    <row r="9439" spans="3:3" x14ac:dyDescent="0.25">
      <c r="C9439"/>
    </row>
    <row r="9440" spans="3:3" x14ac:dyDescent="0.25">
      <c r="C9440"/>
    </row>
    <row r="9441" spans="3:3" x14ac:dyDescent="0.25">
      <c r="C9441"/>
    </row>
    <row r="9442" spans="3:3" x14ac:dyDescent="0.25">
      <c r="C9442"/>
    </row>
    <row r="9443" spans="3:3" x14ac:dyDescent="0.25">
      <c r="C9443"/>
    </row>
    <row r="9444" spans="3:3" x14ac:dyDescent="0.25">
      <c r="C9444"/>
    </row>
    <row r="9445" spans="3:3" x14ac:dyDescent="0.25">
      <c r="C9445"/>
    </row>
    <row r="9446" spans="3:3" x14ac:dyDescent="0.25">
      <c r="C9446"/>
    </row>
    <row r="9447" spans="3:3" x14ac:dyDescent="0.25">
      <c r="C9447"/>
    </row>
    <row r="9448" spans="3:3" x14ac:dyDescent="0.25">
      <c r="C9448"/>
    </row>
    <row r="9449" spans="3:3" x14ac:dyDescent="0.25">
      <c r="C9449"/>
    </row>
    <row r="9450" spans="3:3" x14ac:dyDescent="0.25">
      <c r="C9450"/>
    </row>
    <row r="9451" spans="3:3" x14ac:dyDescent="0.25">
      <c r="C9451"/>
    </row>
    <row r="9452" spans="3:3" x14ac:dyDescent="0.25">
      <c r="C9452"/>
    </row>
    <row r="9453" spans="3:3" x14ac:dyDescent="0.25">
      <c r="C9453"/>
    </row>
    <row r="9454" spans="3:3" x14ac:dyDescent="0.25">
      <c r="C9454"/>
    </row>
    <row r="9455" spans="3:3" x14ac:dyDescent="0.25">
      <c r="C9455"/>
    </row>
    <row r="9456" spans="3:3" x14ac:dyDescent="0.25">
      <c r="C9456"/>
    </row>
    <row r="9457" spans="3:3" x14ac:dyDescent="0.25">
      <c r="C9457"/>
    </row>
    <row r="9458" spans="3:3" x14ac:dyDescent="0.25">
      <c r="C9458"/>
    </row>
    <row r="9459" spans="3:3" x14ac:dyDescent="0.25">
      <c r="C9459"/>
    </row>
    <row r="9460" spans="3:3" x14ac:dyDescent="0.25">
      <c r="C9460"/>
    </row>
    <row r="9461" spans="3:3" x14ac:dyDescent="0.25">
      <c r="C9461"/>
    </row>
    <row r="9462" spans="3:3" x14ac:dyDescent="0.25">
      <c r="C9462"/>
    </row>
    <row r="9463" spans="3:3" x14ac:dyDescent="0.25">
      <c r="C9463"/>
    </row>
    <row r="9464" spans="3:3" x14ac:dyDescent="0.25">
      <c r="C9464"/>
    </row>
    <row r="9465" spans="3:3" x14ac:dyDescent="0.25">
      <c r="C9465"/>
    </row>
    <row r="9466" spans="3:3" x14ac:dyDescent="0.25">
      <c r="C9466"/>
    </row>
    <row r="9467" spans="3:3" x14ac:dyDescent="0.25">
      <c r="C9467"/>
    </row>
    <row r="9468" spans="3:3" x14ac:dyDescent="0.25">
      <c r="C9468"/>
    </row>
    <row r="9469" spans="3:3" x14ac:dyDescent="0.25">
      <c r="C9469"/>
    </row>
    <row r="9470" spans="3:3" x14ac:dyDescent="0.25">
      <c r="C9470"/>
    </row>
    <row r="9471" spans="3:3" x14ac:dyDescent="0.25">
      <c r="C9471"/>
    </row>
    <row r="9472" spans="3:3" x14ac:dyDescent="0.25">
      <c r="C9472"/>
    </row>
    <row r="9473" spans="3:3" x14ac:dyDescent="0.25">
      <c r="C9473"/>
    </row>
    <row r="9474" spans="3:3" x14ac:dyDescent="0.25">
      <c r="C9474"/>
    </row>
    <row r="9475" spans="3:3" x14ac:dyDescent="0.25">
      <c r="C9475"/>
    </row>
    <row r="9476" spans="3:3" x14ac:dyDescent="0.25">
      <c r="C9476"/>
    </row>
    <row r="9477" spans="3:3" x14ac:dyDescent="0.25">
      <c r="C9477"/>
    </row>
    <row r="9478" spans="3:3" x14ac:dyDescent="0.25">
      <c r="C9478"/>
    </row>
    <row r="9479" spans="3:3" x14ac:dyDescent="0.25">
      <c r="C9479"/>
    </row>
    <row r="9480" spans="3:3" x14ac:dyDescent="0.25">
      <c r="C9480"/>
    </row>
    <row r="9481" spans="3:3" x14ac:dyDescent="0.25">
      <c r="C9481"/>
    </row>
    <row r="9482" spans="3:3" x14ac:dyDescent="0.25">
      <c r="C9482"/>
    </row>
    <row r="9483" spans="3:3" x14ac:dyDescent="0.25">
      <c r="C9483"/>
    </row>
    <row r="9484" spans="3:3" x14ac:dyDescent="0.25">
      <c r="C9484"/>
    </row>
    <row r="9485" spans="3:3" x14ac:dyDescent="0.25">
      <c r="C9485"/>
    </row>
    <row r="9486" spans="3:3" x14ac:dyDescent="0.25">
      <c r="C9486"/>
    </row>
    <row r="9487" spans="3:3" x14ac:dyDescent="0.25">
      <c r="C9487"/>
    </row>
    <row r="9488" spans="3:3" x14ac:dyDescent="0.25">
      <c r="C9488"/>
    </row>
    <row r="9489" spans="3:3" x14ac:dyDescent="0.25">
      <c r="C9489"/>
    </row>
    <row r="9490" spans="3:3" x14ac:dyDescent="0.25">
      <c r="C9490"/>
    </row>
    <row r="9491" spans="3:3" x14ac:dyDescent="0.25">
      <c r="C9491"/>
    </row>
    <row r="9492" spans="3:3" x14ac:dyDescent="0.25">
      <c r="C9492"/>
    </row>
    <row r="9493" spans="3:3" x14ac:dyDescent="0.25">
      <c r="C9493"/>
    </row>
    <row r="9494" spans="3:3" x14ac:dyDescent="0.25">
      <c r="C9494"/>
    </row>
    <row r="9495" spans="3:3" x14ac:dyDescent="0.25">
      <c r="C9495"/>
    </row>
    <row r="9496" spans="3:3" x14ac:dyDescent="0.25">
      <c r="C9496"/>
    </row>
    <row r="9497" spans="3:3" x14ac:dyDescent="0.25">
      <c r="C9497"/>
    </row>
    <row r="9498" spans="3:3" x14ac:dyDescent="0.25">
      <c r="C9498"/>
    </row>
    <row r="9499" spans="3:3" x14ac:dyDescent="0.25">
      <c r="C9499"/>
    </row>
    <row r="9500" spans="3:3" x14ac:dyDescent="0.25">
      <c r="C9500"/>
    </row>
    <row r="9501" spans="3:3" x14ac:dyDescent="0.25">
      <c r="C9501"/>
    </row>
    <row r="9502" spans="3:3" x14ac:dyDescent="0.25">
      <c r="C9502"/>
    </row>
    <row r="9503" spans="3:3" x14ac:dyDescent="0.25">
      <c r="C9503"/>
    </row>
    <row r="9504" spans="3:3" x14ac:dyDescent="0.25">
      <c r="C9504"/>
    </row>
    <row r="9505" spans="3:3" x14ac:dyDescent="0.25">
      <c r="C9505"/>
    </row>
    <row r="9506" spans="3:3" x14ac:dyDescent="0.25">
      <c r="C9506"/>
    </row>
    <row r="9507" spans="3:3" x14ac:dyDescent="0.25">
      <c r="C9507"/>
    </row>
    <row r="9508" spans="3:3" x14ac:dyDescent="0.25">
      <c r="C9508"/>
    </row>
    <row r="9509" spans="3:3" x14ac:dyDescent="0.25">
      <c r="C9509"/>
    </row>
    <row r="9510" spans="3:3" x14ac:dyDescent="0.25">
      <c r="C9510"/>
    </row>
    <row r="9511" spans="3:3" x14ac:dyDescent="0.25">
      <c r="C9511"/>
    </row>
    <row r="9512" spans="3:3" x14ac:dyDescent="0.25">
      <c r="C9512"/>
    </row>
    <row r="9513" spans="3:3" x14ac:dyDescent="0.25">
      <c r="C9513"/>
    </row>
    <row r="9514" spans="3:3" x14ac:dyDescent="0.25">
      <c r="C9514"/>
    </row>
    <row r="9515" spans="3:3" x14ac:dyDescent="0.25">
      <c r="C9515"/>
    </row>
    <row r="9516" spans="3:3" x14ac:dyDescent="0.25">
      <c r="C9516"/>
    </row>
    <row r="9517" spans="3:3" x14ac:dyDescent="0.25">
      <c r="C9517"/>
    </row>
    <row r="9518" spans="3:3" x14ac:dyDescent="0.25">
      <c r="C9518"/>
    </row>
    <row r="9519" spans="3:3" x14ac:dyDescent="0.25">
      <c r="C9519"/>
    </row>
    <row r="9520" spans="3:3" x14ac:dyDescent="0.25">
      <c r="C9520"/>
    </row>
    <row r="9521" spans="3:3" x14ac:dyDescent="0.25">
      <c r="C9521"/>
    </row>
    <row r="9522" spans="3:3" x14ac:dyDescent="0.25">
      <c r="C9522"/>
    </row>
    <row r="9523" spans="3:3" x14ac:dyDescent="0.25">
      <c r="C9523"/>
    </row>
    <row r="9524" spans="3:3" x14ac:dyDescent="0.25">
      <c r="C9524"/>
    </row>
    <row r="9525" spans="3:3" x14ac:dyDescent="0.25">
      <c r="C9525"/>
    </row>
    <row r="9526" spans="3:3" x14ac:dyDescent="0.25">
      <c r="C9526"/>
    </row>
    <row r="9527" spans="3:3" x14ac:dyDescent="0.25">
      <c r="C9527"/>
    </row>
    <row r="9528" spans="3:3" x14ac:dyDescent="0.25">
      <c r="C9528"/>
    </row>
    <row r="9529" spans="3:3" x14ac:dyDescent="0.25">
      <c r="C9529"/>
    </row>
    <row r="9530" spans="3:3" x14ac:dyDescent="0.25">
      <c r="C9530"/>
    </row>
    <row r="9531" spans="3:3" x14ac:dyDescent="0.25">
      <c r="C9531"/>
    </row>
    <row r="9532" spans="3:3" x14ac:dyDescent="0.25">
      <c r="C9532"/>
    </row>
    <row r="9533" spans="3:3" x14ac:dyDescent="0.25">
      <c r="C9533"/>
    </row>
    <row r="9534" spans="3:3" x14ac:dyDescent="0.25">
      <c r="C9534"/>
    </row>
    <row r="9535" spans="3:3" x14ac:dyDescent="0.25">
      <c r="C9535"/>
    </row>
    <row r="9536" spans="3:3" x14ac:dyDescent="0.25">
      <c r="C9536"/>
    </row>
    <row r="9537" spans="3:3" x14ac:dyDescent="0.25">
      <c r="C9537"/>
    </row>
    <row r="9538" spans="3:3" x14ac:dyDescent="0.25">
      <c r="C9538"/>
    </row>
    <row r="9539" spans="3:3" x14ac:dyDescent="0.25">
      <c r="C9539"/>
    </row>
    <row r="9540" spans="3:3" x14ac:dyDescent="0.25">
      <c r="C9540"/>
    </row>
    <row r="9541" spans="3:3" x14ac:dyDescent="0.25">
      <c r="C9541"/>
    </row>
    <row r="9542" spans="3:3" x14ac:dyDescent="0.25">
      <c r="C9542"/>
    </row>
    <row r="9543" spans="3:3" x14ac:dyDescent="0.25">
      <c r="C9543"/>
    </row>
    <row r="9544" spans="3:3" x14ac:dyDescent="0.25">
      <c r="C9544"/>
    </row>
    <row r="9545" spans="3:3" x14ac:dyDescent="0.25">
      <c r="C9545"/>
    </row>
    <row r="9546" spans="3:3" x14ac:dyDescent="0.25">
      <c r="C9546"/>
    </row>
    <row r="9547" spans="3:3" x14ac:dyDescent="0.25">
      <c r="C9547"/>
    </row>
    <row r="9548" spans="3:3" x14ac:dyDescent="0.25">
      <c r="C9548"/>
    </row>
    <row r="9549" spans="3:3" x14ac:dyDescent="0.25">
      <c r="C9549"/>
    </row>
    <row r="9550" spans="3:3" x14ac:dyDescent="0.25">
      <c r="C9550"/>
    </row>
    <row r="9551" spans="3:3" x14ac:dyDescent="0.25">
      <c r="C9551"/>
    </row>
    <row r="9552" spans="3:3" x14ac:dyDescent="0.25">
      <c r="C9552"/>
    </row>
    <row r="9553" spans="3:3" x14ac:dyDescent="0.25">
      <c r="C9553"/>
    </row>
    <row r="9554" spans="3:3" x14ac:dyDescent="0.25">
      <c r="C9554"/>
    </row>
    <row r="9555" spans="3:3" x14ac:dyDescent="0.25">
      <c r="C9555"/>
    </row>
    <row r="9556" spans="3:3" x14ac:dyDescent="0.25">
      <c r="C9556"/>
    </row>
    <row r="9557" spans="3:3" x14ac:dyDescent="0.25">
      <c r="C9557"/>
    </row>
    <row r="9558" spans="3:3" x14ac:dyDescent="0.25">
      <c r="C9558"/>
    </row>
    <row r="9559" spans="3:3" x14ac:dyDescent="0.25">
      <c r="C9559"/>
    </row>
    <row r="9560" spans="3:3" x14ac:dyDescent="0.25">
      <c r="C9560"/>
    </row>
    <row r="9561" spans="3:3" x14ac:dyDescent="0.25">
      <c r="C9561"/>
    </row>
    <row r="9562" spans="3:3" x14ac:dyDescent="0.25">
      <c r="C9562"/>
    </row>
    <row r="9563" spans="3:3" x14ac:dyDescent="0.25">
      <c r="C9563"/>
    </row>
    <row r="9564" spans="3:3" x14ac:dyDescent="0.25">
      <c r="C9564"/>
    </row>
    <row r="9565" spans="3:3" x14ac:dyDescent="0.25">
      <c r="C9565"/>
    </row>
    <row r="9566" spans="3:3" x14ac:dyDescent="0.25">
      <c r="C9566"/>
    </row>
    <row r="9567" spans="3:3" x14ac:dyDescent="0.25">
      <c r="C9567"/>
    </row>
    <row r="9568" spans="3:3" x14ac:dyDescent="0.25">
      <c r="C9568"/>
    </row>
    <row r="9569" spans="3:3" x14ac:dyDescent="0.25">
      <c r="C9569"/>
    </row>
    <row r="9570" spans="3:3" x14ac:dyDescent="0.25">
      <c r="C9570"/>
    </row>
    <row r="9571" spans="3:3" x14ac:dyDescent="0.25">
      <c r="C9571"/>
    </row>
    <row r="9572" spans="3:3" x14ac:dyDescent="0.25">
      <c r="C9572"/>
    </row>
    <row r="9573" spans="3:3" x14ac:dyDescent="0.25">
      <c r="C9573"/>
    </row>
    <row r="9574" spans="3:3" x14ac:dyDescent="0.25">
      <c r="C9574"/>
    </row>
    <row r="9575" spans="3:3" x14ac:dyDescent="0.25">
      <c r="C9575"/>
    </row>
    <row r="9576" spans="3:3" x14ac:dyDescent="0.25">
      <c r="C9576"/>
    </row>
    <row r="9577" spans="3:3" x14ac:dyDescent="0.25">
      <c r="C9577"/>
    </row>
    <row r="9578" spans="3:3" x14ac:dyDescent="0.25">
      <c r="C9578"/>
    </row>
    <row r="9579" spans="3:3" x14ac:dyDescent="0.25">
      <c r="C9579"/>
    </row>
    <row r="9580" spans="3:3" x14ac:dyDescent="0.25">
      <c r="C9580"/>
    </row>
    <row r="9581" spans="3:3" x14ac:dyDescent="0.25">
      <c r="C9581"/>
    </row>
    <row r="9582" spans="3:3" x14ac:dyDescent="0.25">
      <c r="C9582"/>
    </row>
    <row r="9583" spans="3:3" x14ac:dyDescent="0.25">
      <c r="C9583"/>
    </row>
    <row r="9584" spans="3:3" x14ac:dyDescent="0.25">
      <c r="C9584"/>
    </row>
    <row r="9585" spans="3:3" x14ac:dyDescent="0.25">
      <c r="C9585"/>
    </row>
    <row r="9586" spans="3:3" x14ac:dyDescent="0.25">
      <c r="C9586"/>
    </row>
    <row r="9587" spans="3:3" x14ac:dyDescent="0.25">
      <c r="C9587"/>
    </row>
    <row r="9588" spans="3:3" x14ac:dyDescent="0.25">
      <c r="C9588"/>
    </row>
    <row r="9589" spans="3:3" x14ac:dyDescent="0.25">
      <c r="C9589"/>
    </row>
    <row r="9590" spans="3:3" x14ac:dyDescent="0.25">
      <c r="C9590"/>
    </row>
    <row r="9591" spans="3:3" x14ac:dyDescent="0.25">
      <c r="C9591"/>
    </row>
    <row r="9592" spans="3:3" x14ac:dyDescent="0.25">
      <c r="C9592"/>
    </row>
    <row r="9593" spans="3:3" x14ac:dyDescent="0.25">
      <c r="C9593"/>
    </row>
    <row r="9594" spans="3:3" x14ac:dyDescent="0.25">
      <c r="C9594"/>
    </row>
    <row r="9595" spans="3:3" x14ac:dyDescent="0.25">
      <c r="C9595"/>
    </row>
    <row r="9596" spans="3:3" x14ac:dyDescent="0.25">
      <c r="C9596"/>
    </row>
    <row r="9597" spans="3:3" x14ac:dyDescent="0.25">
      <c r="C9597"/>
    </row>
    <row r="9598" spans="3:3" x14ac:dyDescent="0.25">
      <c r="C9598"/>
    </row>
    <row r="9599" spans="3:3" x14ac:dyDescent="0.25">
      <c r="C9599"/>
    </row>
    <row r="9600" spans="3:3" x14ac:dyDescent="0.25">
      <c r="C9600"/>
    </row>
    <row r="9601" spans="3:3" x14ac:dyDescent="0.25">
      <c r="C9601"/>
    </row>
    <row r="9602" spans="3:3" x14ac:dyDescent="0.25">
      <c r="C9602"/>
    </row>
    <row r="9603" spans="3:3" x14ac:dyDescent="0.25">
      <c r="C9603"/>
    </row>
    <row r="9604" spans="3:3" x14ac:dyDescent="0.25">
      <c r="C9604"/>
    </row>
    <row r="9605" spans="3:3" x14ac:dyDescent="0.25">
      <c r="C9605"/>
    </row>
    <row r="9606" spans="3:3" x14ac:dyDescent="0.25">
      <c r="C9606"/>
    </row>
    <row r="9607" spans="3:3" x14ac:dyDescent="0.25">
      <c r="C9607"/>
    </row>
    <row r="9608" spans="3:3" x14ac:dyDescent="0.25">
      <c r="C9608"/>
    </row>
    <row r="9609" spans="3:3" x14ac:dyDescent="0.25">
      <c r="C9609"/>
    </row>
    <row r="9610" spans="3:3" x14ac:dyDescent="0.25">
      <c r="C9610"/>
    </row>
    <row r="9611" spans="3:3" x14ac:dyDescent="0.25">
      <c r="C9611"/>
    </row>
    <row r="9612" spans="3:3" x14ac:dyDescent="0.25">
      <c r="C9612"/>
    </row>
    <row r="9613" spans="3:3" x14ac:dyDescent="0.25">
      <c r="C9613"/>
    </row>
    <row r="9614" spans="3:3" x14ac:dyDescent="0.25">
      <c r="C9614"/>
    </row>
    <row r="9615" spans="3:3" x14ac:dyDescent="0.25">
      <c r="C9615"/>
    </row>
    <row r="9616" spans="3:3" x14ac:dyDescent="0.25">
      <c r="C9616"/>
    </row>
    <row r="9617" spans="3:3" x14ac:dyDescent="0.25">
      <c r="C9617"/>
    </row>
    <row r="9618" spans="3:3" x14ac:dyDescent="0.25">
      <c r="C9618"/>
    </row>
    <row r="9619" spans="3:3" x14ac:dyDescent="0.25">
      <c r="C9619"/>
    </row>
    <row r="9620" spans="3:3" x14ac:dyDescent="0.25">
      <c r="C9620"/>
    </row>
    <row r="9621" spans="3:3" x14ac:dyDescent="0.25">
      <c r="C9621"/>
    </row>
    <row r="9622" spans="3:3" x14ac:dyDescent="0.25">
      <c r="C9622"/>
    </row>
    <row r="9623" spans="3:3" x14ac:dyDescent="0.25">
      <c r="C9623"/>
    </row>
    <row r="9624" spans="3:3" x14ac:dyDescent="0.25">
      <c r="C9624"/>
    </row>
    <row r="9625" spans="3:3" x14ac:dyDescent="0.25">
      <c r="C9625"/>
    </row>
    <row r="9626" spans="3:3" x14ac:dyDescent="0.25">
      <c r="C9626"/>
    </row>
    <row r="9627" spans="3:3" x14ac:dyDescent="0.25">
      <c r="C9627"/>
    </row>
    <row r="9628" spans="3:3" x14ac:dyDescent="0.25">
      <c r="C9628"/>
    </row>
    <row r="9629" spans="3:3" x14ac:dyDescent="0.25">
      <c r="C9629"/>
    </row>
    <row r="9630" spans="3:3" x14ac:dyDescent="0.25">
      <c r="C9630"/>
    </row>
    <row r="9631" spans="3:3" x14ac:dyDescent="0.25">
      <c r="C9631"/>
    </row>
    <row r="9632" spans="3:3" x14ac:dyDescent="0.25">
      <c r="C9632"/>
    </row>
    <row r="9633" spans="3:3" x14ac:dyDescent="0.25">
      <c r="C9633"/>
    </row>
    <row r="9634" spans="3:3" x14ac:dyDescent="0.25">
      <c r="C9634"/>
    </row>
    <row r="9635" spans="3:3" x14ac:dyDescent="0.25">
      <c r="C9635"/>
    </row>
    <row r="9636" spans="3:3" x14ac:dyDescent="0.25">
      <c r="C9636"/>
    </row>
    <row r="9637" spans="3:3" x14ac:dyDescent="0.25">
      <c r="C9637"/>
    </row>
    <row r="9638" spans="3:3" x14ac:dyDescent="0.25">
      <c r="C9638"/>
    </row>
    <row r="9639" spans="3:3" x14ac:dyDescent="0.25">
      <c r="C9639"/>
    </row>
    <row r="9640" spans="3:3" x14ac:dyDescent="0.25">
      <c r="C9640"/>
    </row>
    <row r="9641" spans="3:3" x14ac:dyDescent="0.25">
      <c r="C9641"/>
    </row>
    <row r="9642" spans="3:3" x14ac:dyDescent="0.25">
      <c r="C9642"/>
    </row>
    <row r="9643" spans="3:3" x14ac:dyDescent="0.25">
      <c r="C9643"/>
    </row>
    <row r="9644" spans="3:3" x14ac:dyDescent="0.25">
      <c r="C9644"/>
    </row>
    <row r="9645" spans="3:3" x14ac:dyDescent="0.25">
      <c r="C9645"/>
    </row>
    <row r="9646" spans="3:3" x14ac:dyDescent="0.25">
      <c r="C9646"/>
    </row>
    <row r="9647" spans="3:3" x14ac:dyDescent="0.25">
      <c r="C9647"/>
    </row>
    <row r="9648" spans="3:3" x14ac:dyDescent="0.25">
      <c r="C9648"/>
    </row>
    <row r="9649" spans="3:3" x14ac:dyDescent="0.25">
      <c r="C9649"/>
    </row>
    <row r="9650" spans="3:3" x14ac:dyDescent="0.25">
      <c r="C9650"/>
    </row>
    <row r="9651" spans="3:3" x14ac:dyDescent="0.25">
      <c r="C9651"/>
    </row>
    <row r="9652" spans="3:3" x14ac:dyDescent="0.25">
      <c r="C9652"/>
    </row>
    <row r="9653" spans="3:3" x14ac:dyDescent="0.25">
      <c r="C9653"/>
    </row>
    <row r="9654" spans="3:3" x14ac:dyDescent="0.25">
      <c r="C9654"/>
    </row>
    <row r="9655" spans="3:3" x14ac:dyDescent="0.25">
      <c r="C9655"/>
    </row>
    <row r="9656" spans="3:3" x14ac:dyDescent="0.25">
      <c r="C9656"/>
    </row>
    <row r="9657" spans="3:3" x14ac:dyDescent="0.25">
      <c r="C9657"/>
    </row>
    <row r="9658" spans="3:3" x14ac:dyDescent="0.25">
      <c r="C9658"/>
    </row>
    <row r="9659" spans="3:3" x14ac:dyDescent="0.25">
      <c r="C9659"/>
    </row>
    <row r="9660" spans="3:3" x14ac:dyDescent="0.25">
      <c r="C9660"/>
    </row>
    <row r="9661" spans="3:3" x14ac:dyDescent="0.25">
      <c r="C9661"/>
    </row>
    <row r="9662" spans="3:3" x14ac:dyDescent="0.25">
      <c r="C9662"/>
    </row>
    <row r="9663" spans="3:3" x14ac:dyDescent="0.25">
      <c r="C9663"/>
    </row>
    <row r="9664" spans="3:3" x14ac:dyDescent="0.25">
      <c r="C9664"/>
    </row>
    <row r="9665" spans="3:3" x14ac:dyDescent="0.25">
      <c r="C9665"/>
    </row>
    <row r="9666" spans="3:3" x14ac:dyDescent="0.25">
      <c r="C9666"/>
    </row>
    <row r="9667" spans="3:3" x14ac:dyDescent="0.25">
      <c r="C9667"/>
    </row>
    <row r="9668" spans="3:3" x14ac:dyDescent="0.25">
      <c r="C9668"/>
    </row>
    <row r="9669" spans="3:3" x14ac:dyDescent="0.25">
      <c r="C9669"/>
    </row>
    <row r="9670" spans="3:3" x14ac:dyDescent="0.25">
      <c r="C9670"/>
    </row>
    <row r="9671" spans="3:3" x14ac:dyDescent="0.25">
      <c r="C9671"/>
    </row>
    <row r="9672" spans="3:3" x14ac:dyDescent="0.25">
      <c r="C9672"/>
    </row>
    <row r="9673" spans="3:3" x14ac:dyDescent="0.25">
      <c r="C9673"/>
    </row>
    <row r="9674" spans="3:3" x14ac:dyDescent="0.25">
      <c r="C9674"/>
    </row>
    <row r="9675" spans="3:3" x14ac:dyDescent="0.25">
      <c r="C9675"/>
    </row>
    <row r="9676" spans="3:3" x14ac:dyDescent="0.25">
      <c r="C9676"/>
    </row>
    <row r="9677" spans="3:3" x14ac:dyDescent="0.25">
      <c r="C9677"/>
    </row>
    <row r="9678" spans="3:3" x14ac:dyDescent="0.25">
      <c r="C9678"/>
    </row>
    <row r="9679" spans="3:3" x14ac:dyDescent="0.25">
      <c r="C9679"/>
    </row>
    <row r="9680" spans="3:3" x14ac:dyDescent="0.25">
      <c r="C9680"/>
    </row>
    <row r="9681" spans="3:3" x14ac:dyDescent="0.25">
      <c r="C9681"/>
    </row>
    <row r="9682" spans="3:3" x14ac:dyDescent="0.25">
      <c r="C9682"/>
    </row>
    <row r="9683" spans="3:3" x14ac:dyDescent="0.25">
      <c r="C9683"/>
    </row>
    <row r="9684" spans="3:3" x14ac:dyDescent="0.25">
      <c r="C9684"/>
    </row>
    <row r="9685" spans="3:3" x14ac:dyDescent="0.25">
      <c r="C9685"/>
    </row>
    <row r="9686" spans="3:3" x14ac:dyDescent="0.25">
      <c r="C9686"/>
    </row>
    <row r="9687" spans="3:3" x14ac:dyDescent="0.25">
      <c r="C9687"/>
    </row>
    <row r="9688" spans="3:3" x14ac:dyDescent="0.25">
      <c r="C9688"/>
    </row>
    <row r="9689" spans="3:3" x14ac:dyDescent="0.25">
      <c r="C9689"/>
    </row>
    <row r="9690" spans="3:3" x14ac:dyDescent="0.25">
      <c r="C9690"/>
    </row>
    <row r="9691" spans="3:3" x14ac:dyDescent="0.25">
      <c r="C9691"/>
    </row>
    <row r="9692" spans="3:3" x14ac:dyDescent="0.25">
      <c r="C9692"/>
    </row>
    <row r="9693" spans="3:3" x14ac:dyDescent="0.25">
      <c r="C9693"/>
    </row>
    <row r="9694" spans="3:3" x14ac:dyDescent="0.25">
      <c r="C9694"/>
    </row>
    <row r="9695" spans="3:3" x14ac:dyDescent="0.25">
      <c r="C9695"/>
    </row>
    <row r="9696" spans="3:3" x14ac:dyDescent="0.25">
      <c r="C9696"/>
    </row>
    <row r="9697" spans="3:3" x14ac:dyDescent="0.25">
      <c r="C9697"/>
    </row>
    <row r="9698" spans="3:3" x14ac:dyDescent="0.25">
      <c r="C9698"/>
    </row>
    <row r="9699" spans="3:3" x14ac:dyDescent="0.25">
      <c r="C9699"/>
    </row>
    <row r="9700" spans="3:3" x14ac:dyDescent="0.25">
      <c r="C9700"/>
    </row>
    <row r="9701" spans="3:3" x14ac:dyDescent="0.25">
      <c r="C9701"/>
    </row>
    <row r="9702" spans="3:3" x14ac:dyDescent="0.25">
      <c r="C9702"/>
    </row>
    <row r="9703" spans="3:3" x14ac:dyDescent="0.25">
      <c r="C9703"/>
    </row>
    <row r="9704" spans="3:3" x14ac:dyDescent="0.25">
      <c r="C9704"/>
    </row>
    <row r="9705" spans="3:3" x14ac:dyDescent="0.25">
      <c r="C9705"/>
    </row>
    <row r="9706" spans="3:3" x14ac:dyDescent="0.25">
      <c r="C9706"/>
    </row>
    <row r="9707" spans="3:3" x14ac:dyDescent="0.25">
      <c r="C9707"/>
    </row>
    <row r="9708" spans="3:3" x14ac:dyDescent="0.25">
      <c r="C9708"/>
    </row>
    <row r="9709" spans="3:3" x14ac:dyDescent="0.25">
      <c r="C9709"/>
    </row>
    <row r="9710" spans="3:3" x14ac:dyDescent="0.25">
      <c r="C9710"/>
    </row>
    <row r="9711" spans="3:3" x14ac:dyDescent="0.25">
      <c r="C9711"/>
    </row>
    <row r="9712" spans="3:3" x14ac:dyDescent="0.25">
      <c r="C9712"/>
    </row>
    <row r="9713" spans="3:3" x14ac:dyDescent="0.25">
      <c r="C9713"/>
    </row>
    <row r="9714" spans="3:3" x14ac:dyDescent="0.25">
      <c r="C9714"/>
    </row>
    <row r="9715" spans="3:3" x14ac:dyDescent="0.25">
      <c r="C9715"/>
    </row>
    <row r="9716" spans="3:3" x14ac:dyDescent="0.25">
      <c r="C9716"/>
    </row>
    <row r="9717" spans="3:3" x14ac:dyDescent="0.25">
      <c r="C9717"/>
    </row>
    <row r="9718" spans="3:3" x14ac:dyDescent="0.25">
      <c r="C9718"/>
    </row>
    <row r="9719" spans="3:3" x14ac:dyDescent="0.25">
      <c r="C9719"/>
    </row>
    <row r="9720" spans="3:3" x14ac:dyDescent="0.25">
      <c r="C9720"/>
    </row>
    <row r="9721" spans="3:3" x14ac:dyDescent="0.25">
      <c r="C9721"/>
    </row>
    <row r="9722" spans="3:3" x14ac:dyDescent="0.25">
      <c r="C9722"/>
    </row>
    <row r="9723" spans="3:3" x14ac:dyDescent="0.25">
      <c r="C9723"/>
    </row>
    <row r="9724" spans="3:3" x14ac:dyDescent="0.25">
      <c r="C9724"/>
    </row>
    <row r="9725" spans="3:3" x14ac:dyDescent="0.25">
      <c r="C9725"/>
    </row>
    <row r="9726" spans="3:3" x14ac:dyDescent="0.25">
      <c r="C9726"/>
    </row>
    <row r="9727" spans="3:3" x14ac:dyDescent="0.25">
      <c r="C9727"/>
    </row>
    <row r="9728" spans="3:3" x14ac:dyDescent="0.25">
      <c r="C9728"/>
    </row>
    <row r="9729" spans="3:3" x14ac:dyDescent="0.25">
      <c r="C9729"/>
    </row>
    <row r="9730" spans="3:3" x14ac:dyDescent="0.25">
      <c r="C9730"/>
    </row>
    <row r="9731" spans="3:3" x14ac:dyDescent="0.25">
      <c r="C9731"/>
    </row>
    <row r="9732" spans="3:3" x14ac:dyDescent="0.25">
      <c r="C9732"/>
    </row>
    <row r="9733" spans="3:3" x14ac:dyDescent="0.25">
      <c r="C9733"/>
    </row>
    <row r="9734" spans="3:3" x14ac:dyDescent="0.25">
      <c r="C9734"/>
    </row>
    <row r="9735" spans="3:3" x14ac:dyDescent="0.25">
      <c r="C9735"/>
    </row>
    <row r="9736" spans="3:3" x14ac:dyDescent="0.25">
      <c r="C9736"/>
    </row>
    <row r="9737" spans="3:3" x14ac:dyDescent="0.25">
      <c r="C9737"/>
    </row>
    <row r="9738" spans="3:3" x14ac:dyDescent="0.25">
      <c r="C9738"/>
    </row>
    <row r="9739" spans="3:3" x14ac:dyDescent="0.25">
      <c r="C9739"/>
    </row>
    <row r="9740" spans="3:3" x14ac:dyDescent="0.25">
      <c r="C9740"/>
    </row>
    <row r="9741" spans="3:3" x14ac:dyDescent="0.25">
      <c r="C9741"/>
    </row>
    <row r="9742" spans="3:3" x14ac:dyDescent="0.25">
      <c r="C9742"/>
    </row>
    <row r="9743" spans="3:3" x14ac:dyDescent="0.25">
      <c r="C9743"/>
    </row>
    <row r="9744" spans="3:3" x14ac:dyDescent="0.25">
      <c r="C9744"/>
    </row>
    <row r="9745" spans="3:3" x14ac:dyDescent="0.25">
      <c r="C9745"/>
    </row>
    <row r="9746" spans="3:3" x14ac:dyDescent="0.25">
      <c r="C9746"/>
    </row>
    <row r="9747" spans="3:3" x14ac:dyDescent="0.25">
      <c r="C9747"/>
    </row>
    <row r="9748" spans="3:3" x14ac:dyDescent="0.25">
      <c r="C9748"/>
    </row>
    <row r="9749" spans="3:3" x14ac:dyDescent="0.25">
      <c r="C9749"/>
    </row>
    <row r="9750" spans="3:3" x14ac:dyDescent="0.25">
      <c r="C9750"/>
    </row>
    <row r="9751" spans="3:3" x14ac:dyDescent="0.25">
      <c r="C9751"/>
    </row>
    <row r="9752" spans="3:3" x14ac:dyDescent="0.25">
      <c r="C9752"/>
    </row>
    <row r="9753" spans="3:3" x14ac:dyDescent="0.25">
      <c r="C9753"/>
    </row>
    <row r="9754" spans="3:3" x14ac:dyDescent="0.25">
      <c r="C9754"/>
    </row>
    <row r="9755" spans="3:3" x14ac:dyDescent="0.25">
      <c r="C9755"/>
    </row>
    <row r="9756" spans="3:3" x14ac:dyDescent="0.25">
      <c r="C9756"/>
    </row>
    <row r="9757" spans="3:3" x14ac:dyDescent="0.25">
      <c r="C9757"/>
    </row>
    <row r="9758" spans="3:3" x14ac:dyDescent="0.25">
      <c r="C9758"/>
    </row>
    <row r="9759" spans="3:3" x14ac:dyDescent="0.25">
      <c r="C9759"/>
    </row>
    <row r="9760" spans="3:3" x14ac:dyDescent="0.25">
      <c r="C9760"/>
    </row>
    <row r="9761" spans="3:3" x14ac:dyDescent="0.25">
      <c r="C9761"/>
    </row>
    <row r="9762" spans="3:3" x14ac:dyDescent="0.25">
      <c r="C9762"/>
    </row>
    <row r="9763" spans="3:3" x14ac:dyDescent="0.25">
      <c r="C9763"/>
    </row>
    <row r="9764" spans="3:3" x14ac:dyDescent="0.25">
      <c r="C9764"/>
    </row>
    <row r="9765" spans="3:3" x14ac:dyDescent="0.25">
      <c r="C9765"/>
    </row>
    <row r="9766" spans="3:3" x14ac:dyDescent="0.25">
      <c r="C9766"/>
    </row>
    <row r="9767" spans="3:3" x14ac:dyDescent="0.25">
      <c r="C9767"/>
    </row>
    <row r="9768" spans="3:3" x14ac:dyDescent="0.25">
      <c r="C9768"/>
    </row>
    <row r="9769" spans="3:3" x14ac:dyDescent="0.25">
      <c r="C9769"/>
    </row>
    <row r="9770" spans="3:3" x14ac:dyDescent="0.25">
      <c r="C9770"/>
    </row>
    <row r="9771" spans="3:3" x14ac:dyDescent="0.25">
      <c r="C9771"/>
    </row>
    <row r="9772" spans="3:3" x14ac:dyDescent="0.25">
      <c r="C9772"/>
    </row>
    <row r="9773" spans="3:3" x14ac:dyDescent="0.25">
      <c r="C9773"/>
    </row>
    <row r="9774" spans="3:3" x14ac:dyDescent="0.25">
      <c r="C9774"/>
    </row>
    <row r="9775" spans="3:3" x14ac:dyDescent="0.25">
      <c r="C9775"/>
    </row>
    <row r="9776" spans="3:3" x14ac:dyDescent="0.25">
      <c r="C9776"/>
    </row>
    <row r="9777" spans="3:3" x14ac:dyDescent="0.25">
      <c r="C9777"/>
    </row>
    <row r="9778" spans="3:3" x14ac:dyDescent="0.25">
      <c r="C9778"/>
    </row>
    <row r="9779" spans="3:3" x14ac:dyDescent="0.25">
      <c r="C9779"/>
    </row>
    <row r="9780" spans="3:3" x14ac:dyDescent="0.25">
      <c r="C9780"/>
    </row>
    <row r="9781" spans="3:3" x14ac:dyDescent="0.25">
      <c r="C9781"/>
    </row>
    <row r="9782" spans="3:3" x14ac:dyDescent="0.25">
      <c r="C9782"/>
    </row>
    <row r="9783" spans="3:3" x14ac:dyDescent="0.25">
      <c r="C9783"/>
    </row>
    <row r="9784" spans="3:3" x14ac:dyDescent="0.25">
      <c r="C9784"/>
    </row>
    <row r="9785" spans="3:3" x14ac:dyDescent="0.25">
      <c r="C9785"/>
    </row>
    <row r="9786" spans="3:3" x14ac:dyDescent="0.25">
      <c r="C9786"/>
    </row>
    <row r="9787" spans="3:3" x14ac:dyDescent="0.25">
      <c r="C9787"/>
    </row>
    <row r="9788" spans="3:3" x14ac:dyDescent="0.25">
      <c r="C9788"/>
    </row>
    <row r="9789" spans="3:3" x14ac:dyDescent="0.25">
      <c r="C9789"/>
    </row>
    <row r="9790" spans="3:3" x14ac:dyDescent="0.25">
      <c r="C9790"/>
    </row>
    <row r="9791" spans="3:3" x14ac:dyDescent="0.25">
      <c r="C9791"/>
    </row>
    <row r="9792" spans="3:3" x14ac:dyDescent="0.25">
      <c r="C9792"/>
    </row>
    <row r="9793" spans="3:3" x14ac:dyDescent="0.25">
      <c r="C9793"/>
    </row>
    <row r="9794" spans="3:3" x14ac:dyDescent="0.25">
      <c r="C9794"/>
    </row>
    <row r="9795" spans="3:3" x14ac:dyDescent="0.25">
      <c r="C9795"/>
    </row>
    <row r="9796" spans="3:3" x14ac:dyDescent="0.25">
      <c r="C9796"/>
    </row>
    <row r="9797" spans="3:3" x14ac:dyDescent="0.25">
      <c r="C9797"/>
    </row>
    <row r="9798" spans="3:3" x14ac:dyDescent="0.25">
      <c r="C9798"/>
    </row>
    <row r="9799" spans="3:3" x14ac:dyDescent="0.25">
      <c r="C9799"/>
    </row>
    <row r="9800" spans="3:3" x14ac:dyDescent="0.25">
      <c r="C9800"/>
    </row>
    <row r="9801" spans="3:3" x14ac:dyDescent="0.25">
      <c r="C9801"/>
    </row>
    <row r="9802" spans="3:3" x14ac:dyDescent="0.25">
      <c r="C9802"/>
    </row>
    <row r="9803" spans="3:3" x14ac:dyDescent="0.25">
      <c r="C9803"/>
    </row>
    <row r="9804" spans="3:3" x14ac:dyDescent="0.25">
      <c r="C9804"/>
    </row>
    <row r="9805" spans="3:3" x14ac:dyDescent="0.25">
      <c r="C9805"/>
    </row>
    <row r="9806" spans="3:3" x14ac:dyDescent="0.25">
      <c r="C9806"/>
    </row>
    <row r="9807" spans="3:3" x14ac:dyDescent="0.25">
      <c r="C9807"/>
    </row>
    <row r="9808" spans="3:3" x14ac:dyDescent="0.25">
      <c r="C9808"/>
    </row>
    <row r="9809" spans="3:3" x14ac:dyDescent="0.25">
      <c r="C9809"/>
    </row>
    <row r="9810" spans="3:3" x14ac:dyDescent="0.25">
      <c r="C9810"/>
    </row>
    <row r="9811" spans="3:3" x14ac:dyDescent="0.25">
      <c r="C9811"/>
    </row>
    <row r="9812" spans="3:3" x14ac:dyDescent="0.25">
      <c r="C9812"/>
    </row>
    <row r="9813" spans="3:3" x14ac:dyDescent="0.25">
      <c r="C9813"/>
    </row>
    <row r="9814" spans="3:3" x14ac:dyDescent="0.25">
      <c r="C9814"/>
    </row>
    <row r="9815" spans="3:3" x14ac:dyDescent="0.25">
      <c r="C9815"/>
    </row>
    <row r="9816" spans="3:3" x14ac:dyDescent="0.25">
      <c r="C9816"/>
    </row>
    <row r="9817" spans="3:3" x14ac:dyDescent="0.25">
      <c r="C9817"/>
    </row>
    <row r="9818" spans="3:3" x14ac:dyDescent="0.25">
      <c r="C9818"/>
    </row>
    <row r="9819" spans="3:3" x14ac:dyDescent="0.25">
      <c r="C9819"/>
    </row>
    <row r="9820" spans="3:3" x14ac:dyDescent="0.25">
      <c r="C9820"/>
    </row>
    <row r="9821" spans="3:3" x14ac:dyDescent="0.25">
      <c r="C9821"/>
    </row>
    <row r="9822" spans="3:3" x14ac:dyDescent="0.25">
      <c r="C9822"/>
    </row>
    <row r="9823" spans="3:3" x14ac:dyDescent="0.25">
      <c r="C9823"/>
    </row>
    <row r="9824" spans="3:3" x14ac:dyDescent="0.25">
      <c r="C9824"/>
    </row>
    <row r="9825" spans="3:3" x14ac:dyDescent="0.25">
      <c r="C9825"/>
    </row>
    <row r="9826" spans="3:3" x14ac:dyDescent="0.25">
      <c r="C9826"/>
    </row>
    <row r="9827" spans="3:3" x14ac:dyDescent="0.25">
      <c r="C9827"/>
    </row>
    <row r="9828" spans="3:3" x14ac:dyDescent="0.25">
      <c r="C9828"/>
    </row>
    <row r="9829" spans="3:3" x14ac:dyDescent="0.25">
      <c r="C9829"/>
    </row>
    <row r="9830" spans="3:3" x14ac:dyDescent="0.25">
      <c r="C9830"/>
    </row>
    <row r="9831" spans="3:3" x14ac:dyDescent="0.25">
      <c r="C9831"/>
    </row>
    <row r="9832" spans="3:3" x14ac:dyDescent="0.25">
      <c r="C9832"/>
    </row>
    <row r="9833" spans="3:3" x14ac:dyDescent="0.25">
      <c r="C9833"/>
    </row>
    <row r="9834" spans="3:3" x14ac:dyDescent="0.25">
      <c r="C9834"/>
    </row>
    <row r="9835" spans="3:3" x14ac:dyDescent="0.25">
      <c r="C9835"/>
    </row>
    <row r="9836" spans="3:3" x14ac:dyDescent="0.25">
      <c r="C9836"/>
    </row>
    <row r="9837" spans="3:3" x14ac:dyDescent="0.25">
      <c r="C9837"/>
    </row>
    <row r="9838" spans="3:3" x14ac:dyDescent="0.25">
      <c r="C9838"/>
    </row>
    <row r="9839" spans="3:3" x14ac:dyDescent="0.25">
      <c r="C9839"/>
    </row>
    <row r="9840" spans="3:3" x14ac:dyDescent="0.25">
      <c r="C9840"/>
    </row>
    <row r="9841" spans="3:3" x14ac:dyDescent="0.25">
      <c r="C9841"/>
    </row>
    <row r="9842" spans="3:3" x14ac:dyDescent="0.25">
      <c r="C9842"/>
    </row>
    <row r="9843" spans="3:3" x14ac:dyDescent="0.25">
      <c r="C9843"/>
    </row>
    <row r="9844" spans="3:3" x14ac:dyDescent="0.25">
      <c r="C9844"/>
    </row>
    <row r="9845" spans="3:3" x14ac:dyDescent="0.25">
      <c r="C9845"/>
    </row>
    <row r="9846" spans="3:3" x14ac:dyDescent="0.25">
      <c r="C9846"/>
    </row>
    <row r="9847" spans="3:3" x14ac:dyDescent="0.25">
      <c r="C9847"/>
    </row>
    <row r="9848" spans="3:3" x14ac:dyDescent="0.25">
      <c r="C9848"/>
    </row>
    <row r="9849" spans="3:3" x14ac:dyDescent="0.25">
      <c r="C9849"/>
    </row>
    <row r="9850" spans="3:3" x14ac:dyDescent="0.25">
      <c r="C9850"/>
    </row>
    <row r="9851" spans="3:3" x14ac:dyDescent="0.25">
      <c r="C9851"/>
    </row>
    <row r="9852" spans="3:3" x14ac:dyDescent="0.25">
      <c r="C9852"/>
    </row>
    <row r="9853" spans="3:3" x14ac:dyDescent="0.25">
      <c r="C9853"/>
    </row>
    <row r="9854" spans="3:3" x14ac:dyDescent="0.25">
      <c r="C9854"/>
    </row>
    <row r="9855" spans="3:3" x14ac:dyDescent="0.25">
      <c r="C9855"/>
    </row>
    <row r="9856" spans="3:3" x14ac:dyDescent="0.25">
      <c r="C9856"/>
    </row>
    <row r="9857" spans="3:3" x14ac:dyDescent="0.25">
      <c r="C9857"/>
    </row>
    <row r="9858" spans="3:3" x14ac:dyDescent="0.25">
      <c r="C9858"/>
    </row>
    <row r="9859" spans="3:3" x14ac:dyDescent="0.25">
      <c r="C9859"/>
    </row>
    <row r="9860" spans="3:3" x14ac:dyDescent="0.25">
      <c r="C9860"/>
    </row>
    <row r="9861" spans="3:3" x14ac:dyDescent="0.25">
      <c r="C9861"/>
    </row>
    <row r="9862" spans="3:3" x14ac:dyDescent="0.25">
      <c r="C9862"/>
    </row>
    <row r="9863" spans="3:3" x14ac:dyDescent="0.25">
      <c r="C9863"/>
    </row>
    <row r="9864" spans="3:3" x14ac:dyDescent="0.25">
      <c r="C9864"/>
    </row>
    <row r="9865" spans="3:3" x14ac:dyDescent="0.25">
      <c r="C9865"/>
    </row>
    <row r="9866" spans="3:3" x14ac:dyDescent="0.25">
      <c r="C9866"/>
    </row>
    <row r="9867" spans="3:3" x14ac:dyDescent="0.25">
      <c r="C9867"/>
    </row>
    <row r="9868" spans="3:3" x14ac:dyDescent="0.25">
      <c r="C9868"/>
    </row>
    <row r="9869" spans="3:3" x14ac:dyDescent="0.25">
      <c r="C9869"/>
    </row>
    <row r="9870" spans="3:3" x14ac:dyDescent="0.25">
      <c r="C9870"/>
    </row>
    <row r="9871" spans="3:3" x14ac:dyDescent="0.25">
      <c r="C9871"/>
    </row>
    <row r="9872" spans="3:3" x14ac:dyDescent="0.25">
      <c r="C9872"/>
    </row>
    <row r="9873" spans="3:3" x14ac:dyDescent="0.25">
      <c r="C9873"/>
    </row>
    <row r="9874" spans="3:3" x14ac:dyDescent="0.25">
      <c r="C9874"/>
    </row>
    <row r="9875" spans="3:3" x14ac:dyDescent="0.25">
      <c r="C9875"/>
    </row>
    <row r="9876" spans="3:3" x14ac:dyDescent="0.25">
      <c r="C9876"/>
    </row>
    <row r="9877" spans="3:3" x14ac:dyDescent="0.25">
      <c r="C9877"/>
    </row>
    <row r="9878" spans="3:3" x14ac:dyDescent="0.25">
      <c r="C9878"/>
    </row>
    <row r="9879" spans="3:3" x14ac:dyDescent="0.25">
      <c r="C9879"/>
    </row>
    <row r="9880" spans="3:3" x14ac:dyDescent="0.25">
      <c r="C9880"/>
    </row>
    <row r="9881" spans="3:3" x14ac:dyDescent="0.25">
      <c r="C9881"/>
    </row>
    <row r="9882" spans="3:3" x14ac:dyDescent="0.25">
      <c r="C9882"/>
    </row>
    <row r="9883" spans="3:3" x14ac:dyDescent="0.25">
      <c r="C9883"/>
    </row>
    <row r="9884" spans="3:3" x14ac:dyDescent="0.25">
      <c r="C9884"/>
    </row>
    <row r="9885" spans="3:3" x14ac:dyDescent="0.25">
      <c r="C9885"/>
    </row>
    <row r="9886" spans="3:3" x14ac:dyDescent="0.25">
      <c r="C9886"/>
    </row>
    <row r="9887" spans="3:3" x14ac:dyDescent="0.25">
      <c r="C9887"/>
    </row>
    <row r="9888" spans="3:3" x14ac:dyDescent="0.25">
      <c r="C9888"/>
    </row>
    <row r="9889" spans="3:3" x14ac:dyDescent="0.25">
      <c r="C9889"/>
    </row>
    <row r="9890" spans="3:3" x14ac:dyDescent="0.25">
      <c r="C9890"/>
    </row>
    <row r="9891" spans="3:3" x14ac:dyDescent="0.25">
      <c r="C9891"/>
    </row>
    <row r="9892" spans="3:3" x14ac:dyDescent="0.25">
      <c r="C9892"/>
    </row>
    <row r="9893" spans="3:3" x14ac:dyDescent="0.25">
      <c r="C9893"/>
    </row>
    <row r="9894" spans="3:3" x14ac:dyDescent="0.25">
      <c r="C9894"/>
    </row>
    <row r="9895" spans="3:3" x14ac:dyDescent="0.25">
      <c r="C9895"/>
    </row>
    <row r="9896" spans="3:3" x14ac:dyDescent="0.25">
      <c r="C9896"/>
    </row>
    <row r="9897" spans="3:3" x14ac:dyDescent="0.25">
      <c r="C9897"/>
    </row>
    <row r="9898" spans="3:3" x14ac:dyDescent="0.25">
      <c r="C9898"/>
    </row>
    <row r="9899" spans="3:3" x14ac:dyDescent="0.25">
      <c r="C9899"/>
    </row>
    <row r="9900" spans="3:3" x14ac:dyDescent="0.25">
      <c r="C9900"/>
    </row>
    <row r="9901" spans="3:3" x14ac:dyDescent="0.25">
      <c r="C9901"/>
    </row>
    <row r="9902" spans="3:3" x14ac:dyDescent="0.25">
      <c r="C9902"/>
    </row>
    <row r="9903" spans="3:3" x14ac:dyDescent="0.25">
      <c r="C9903"/>
    </row>
    <row r="9904" spans="3:3" x14ac:dyDescent="0.25">
      <c r="C9904"/>
    </row>
    <row r="9905" spans="3:3" x14ac:dyDescent="0.25">
      <c r="C9905"/>
    </row>
    <row r="9906" spans="3:3" x14ac:dyDescent="0.25">
      <c r="C9906"/>
    </row>
    <row r="9907" spans="3:3" x14ac:dyDescent="0.25">
      <c r="C9907"/>
    </row>
    <row r="9908" spans="3:3" x14ac:dyDescent="0.25">
      <c r="C9908"/>
    </row>
    <row r="9909" spans="3:3" x14ac:dyDescent="0.25">
      <c r="C9909"/>
    </row>
    <row r="9910" spans="3:3" x14ac:dyDescent="0.25">
      <c r="C9910"/>
    </row>
    <row r="9911" spans="3:3" x14ac:dyDescent="0.25">
      <c r="C9911"/>
    </row>
    <row r="9912" spans="3:3" x14ac:dyDescent="0.25">
      <c r="C9912"/>
    </row>
    <row r="9913" spans="3:3" x14ac:dyDescent="0.25">
      <c r="C9913"/>
    </row>
    <row r="9914" spans="3:3" x14ac:dyDescent="0.25">
      <c r="C9914"/>
    </row>
    <row r="9915" spans="3:3" x14ac:dyDescent="0.25">
      <c r="C9915"/>
    </row>
    <row r="9916" spans="3:3" x14ac:dyDescent="0.25">
      <c r="C9916"/>
    </row>
    <row r="9917" spans="3:3" x14ac:dyDescent="0.25">
      <c r="C9917"/>
    </row>
    <row r="9918" spans="3:3" x14ac:dyDescent="0.25">
      <c r="C9918"/>
    </row>
    <row r="9919" spans="3:3" x14ac:dyDescent="0.25">
      <c r="C9919"/>
    </row>
    <row r="9920" spans="3:3" x14ac:dyDescent="0.25">
      <c r="C9920"/>
    </row>
    <row r="9921" spans="3:3" x14ac:dyDescent="0.25">
      <c r="C9921"/>
    </row>
    <row r="9922" spans="3:3" x14ac:dyDescent="0.25">
      <c r="C9922"/>
    </row>
    <row r="9923" spans="3:3" x14ac:dyDescent="0.25">
      <c r="C9923"/>
    </row>
    <row r="9924" spans="3:3" x14ac:dyDescent="0.25">
      <c r="C9924"/>
    </row>
    <row r="9925" spans="3:3" x14ac:dyDescent="0.25">
      <c r="C9925"/>
    </row>
    <row r="9926" spans="3:3" x14ac:dyDescent="0.25">
      <c r="C9926"/>
    </row>
    <row r="9927" spans="3:3" x14ac:dyDescent="0.25">
      <c r="C9927"/>
    </row>
    <row r="9928" spans="3:3" x14ac:dyDescent="0.25">
      <c r="C9928"/>
    </row>
    <row r="9929" spans="3:3" x14ac:dyDescent="0.25">
      <c r="C9929"/>
    </row>
    <row r="9930" spans="3:3" x14ac:dyDescent="0.25">
      <c r="C9930"/>
    </row>
    <row r="9931" spans="3:3" x14ac:dyDescent="0.25">
      <c r="C9931"/>
    </row>
    <row r="9932" spans="3:3" x14ac:dyDescent="0.25">
      <c r="C9932"/>
    </row>
    <row r="9933" spans="3:3" x14ac:dyDescent="0.25">
      <c r="C9933"/>
    </row>
    <row r="9934" spans="3:3" x14ac:dyDescent="0.25">
      <c r="C9934"/>
    </row>
    <row r="9935" spans="3:3" x14ac:dyDescent="0.25">
      <c r="C9935"/>
    </row>
    <row r="9936" spans="3:3" x14ac:dyDescent="0.25">
      <c r="C9936"/>
    </row>
    <row r="9937" spans="3:3" x14ac:dyDescent="0.25">
      <c r="C9937"/>
    </row>
    <row r="9938" spans="3:3" x14ac:dyDescent="0.25">
      <c r="C9938"/>
    </row>
    <row r="9939" spans="3:3" x14ac:dyDescent="0.25">
      <c r="C9939"/>
    </row>
    <row r="9940" spans="3:3" x14ac:dyDescent="0.25">
      <c r="C9940"/>
    </row>
    <row r="9941" spans="3:3" x14ac:dyDescent="0.25">
      <c r="C9941"/>
    </row>
    <row r="9942" spans="3:3" x14ac:dyDescent="0.25">
      <c r="C9942"/>
    </row>
    <row r="9943" spans="3:3" x14ac:dyDescent="0.25">
      <c r="C9943"/>
    </row>
    <row r="9944" spans="3:3" x14ac:dyDescent="0.25">
      <c r="C9944"/>
    </row>
    <row r="9945" spans="3:3" x14ac:dyDescent="0.25">
      <c r="C9945"/>
    </row>
    <row r="9946" spans="3:3" x14ac:dyDescent="0.25">
      <c r="C9946"/>
    </row>
    <row r="9947" spans="3:3" x14ac:dyDescent="0.25">
      <c r="C9947"/>
    </row>
    <row r="9948" spans="3:3" x14ac:dyDescent="0.25">
      <c r="C9948"/>
    </row>
    <row r="9949" spans="3:3" x14ac:dyDescent="0.25">
      <c r="C9949"/>
    </row>
    <row r="9950" spans="3:3" x14ac:dyDescent="0.25">
      <c r="C9950"/>
    </row>
    <row r="9951" spans="3:3" x14ac:dyDescent="0.25">
      <c r="C9951"/>
    </row>
    <row r="9952" spans="3:3" x14ac:dyDescent="0.25">
      <c r="C9952"/>
    </row>
    <row r="9953" spans="3:3" x14ac:dyDescent="0.25">
      <c r="C9953"/>
    </row>
    <row r="9954" spans="3:3" x14ac:dyDescent="0.25">
      <c r="C9954"/>
    </row>
    <row r="9955" spans="3:3" x14ac:dyDescent="0.25">
      <c r="C9955"/>
    </row>
    <row r="9956" spans="3:3" x14ac:dyDescent="0.25">
      <c r="C9956"/>
    </row>
    <row r="9957" spans="3:3" x14ac:dyDescent="0.25">
      <c r="C9957"/>
    </row>
    <row r="9958" spans="3:3" x14ac:dyDescent="0.25">
      <c r="C9958"/>
    </row>
    <row r="9959" spans="3:3" x14ac:dyDescent="0.25">
      <c r="C9959"/>
    </row>
    <row r="9960" spans="3:3" x14ac:dyDescent="0.25">
      <c r="C9960"/>
    </row>
    <row r="9961" spans="3:3" x14ac:dyDescent="0.25">
      <c r="C9961"/>
    </row>
    <row r="9962" spans="3:3" x14ac:dyDescent="0.25">
      <c r="C9962"/>
    </row>
    <row r="9963" spans="3:3" x14ac:dyDescent="0.25">
      <c r="C9963"/>
    </row>
    <row r="9964" spans="3:3" x14ac:dyDescent="0.25">
      <c r="C9964"/>
    </row>
    <row r="9965" spans="3:3" x14ac:dyDescent="0.25">
      <c r="C9965"/>
    </row>
    <row r="9966" spans="3:3" x14ac:dyDescent="0.25">
      <c r="C9966"/>
    </row>
    <row r="9967" spans="3:3" x14ac:dyDescent="0.25">
      <c r="C9967"/>
    </row>
    <row r="9968" spans="3:3" x14ac:dyDescent="0.25">
      <c r="C9968"/>
    </row>
    <row r="9969" spans="3:3" x14ac:dyDescent="0.25">
      <c r="C9969"/>
    </row>
    <row r="9970" spans="3:3" x14ac:dyDescent="0.25">
      <c r="C9970"/>
    </row>
    <row r="9971" spans="3:3" x14ac:dyDescent="0.25">
      <c r="C9971"/>
    </row>
    <row r="9972" spans="3:3" x14ac:dyDescent="0.25">
      <c r="C9972"/>
    </row>
    <row r="9973" spans="3:3" x14ac:dyDescent="0.25">
      <c r="C9973"/>
    </row>
    <row r="9974" spans="3:3" x14ac:dyDescent="0.25">
      <c r="C9974"/>
    </row>
    <row r="9975" spans="3:3" x14ac:dyDescent="0.25">
      <c r="C9975"/>
    </row>
    <row r="9976" spans="3:3" x14ac:dyDescent="0.25">
      <c r="C9976"/>
    </row>
    <row r="9977" spans="3:3" x14ac:dyDescent="0.25">
      <c r="C9977"/>
    </row>
    <row r="9978" spans="3:3" x14ac:dyDescent="0.25">
      <c r="C9978"/>
    </row>
    <row r="9979" spans="3:3" x14ac:dyDescent="0.25">
      <c r="C9979"/>
    </row>
    <row r="9980" spans="3:3" x14ac:dyDescent="0.25">
      <c r="C9980"/>
    </row>
    <row r="9981" spans="3:3" x14ac:dyDescent="0.25">
      <c r="C9981"/>
    </row>
    <row r="9982" spans="3:3" x14ac:dyDescent="0.25">
      <c r="C9982"/>
    </row>
    <row r="9983" spans="3:3" x14ac:dyDescent="0.25">
      <c r="C9983"/>
    </row>
    <row r="9984" spans="3:3" x14ac:dyDescent="0.25">
      <c r="C9984"/>
    </row>
    <row r="9985" spans="3:3" x14ac:dyDescent="0.25">
      <c r="C9985"/>
    </row>
    <row r="9986" spans="3:3" x14ac:dyDescent="0.25">
      <c r="C9986"/>
    </row>
    <row r="9987" spans="3:3" x14ac:dyDescent="0.25">
      <c r="C9987"/>
    </row>
    <row r="9988" spans="3:3" x14ac:dyDescent="0.25">
      <c r="C9988"/>
    </row>
    <row r="9989" spans="3:3" x14ac:dyDescent="0.25">
      <c r="C9989"/>
    </row>
    <row r="9990" spans="3:3" x14ac:dyDescent="0.25">
      <c r="C9990"/>
    </row>
    <row r="9991" spans="3:3" x14ac:dyDescent="0.25">
      <c r="C9991"/>
    </row>
    <row r="9992" spans="3:3" x14ac:dyDescent="0.25">
      <c r="C9992"/>
    </row>
    <row r="9993" spans="3:3" x14ac:dyDescent="0.25">
      <c r="C9993"/>
    </row>
    <row r="9994" spans="3:3" x14ac:dyDescent="0.25">
      <c r="C9994"/>
    </row>
    <row r="9995" spans="3:3" x14ac:dyDescent="0.25">
      <c r="C9995"/>
    </row>
    <row r="9996" spans="3:3" x14ac:dyDescent="0.25">
      <c r="C9996"/>
    </row>
    <row r="9997" spans="3:3" x14ac:dyDescent="0.25">
      <c r="C9997"/>
    </row>
    <row r="9998" spans="3:3" x14ac:dyDescent="0.25">
      <c r="C9998"/>
    </row>
    <row r="9999" spans="3:3" x14ac:dyDescent="0.25">
      <c r="C9999"/>
    </row>
    <row r="10000" spans="3:3" x14ac:dyDescent="0.25">
      <c r="C10000"/>
    </row>
    <row r="10001" spans="3:3" x14ac:dyDescent="0.25">
      <c r="C10001"/>
    </row>
    <row r="10002" spans="3:3" x14ac:dyDescent="0.25">
      <c r="C10002"/>
    </row>
    <row r="10003" spans="3:3" x14ac:dyDescent="0.25">
      <c r="C10003"/>
    </row>
    <row r="10004" spans="3:3" x14ac:dyDescent="0.25">
      <c r="C10004"/>
    </row>
    <row r="10005" spans="3:3" x14ac:dyDescent="0.25">
      <c r="C10005"/>
    </row>
    <row r="10006" spans="3:3" x14ac:dyDescent="0.25">
      <c r="C10006"/>
    </row>
    <row r="10007" spans="3:3" x14ac:dyDescent="0.25">
      <c r="C10007"/>
    </row>
    <row r="10008" spans="3:3" x14ac:dyDescent="0.25">
      <c r="C10008"/>
    </row>
    <row r="10009" spans="3:3" x14ac:dyDescent="0.25">
      <c r="C10009"/>
    </row>
    <row r="10010" spans="3:3" x14ac:dyDescent="0.25">
      <c r="C10010"/>
    </row>
    <row r="10011" spans="3:3" x14ac:dyDescent="0.25">
      <c r="C10011"/>
    </row>
    <row r="10012" spans="3:3" x14ac:dyDescent="0.25">
      <c r="C10012"/>
    </row>
    <row r="10013" spans="3:3" x14ac:dyDescent="0.25">
      <c r="C10013"/>
    </row>
    <row r="10014" spans="3:3" x14ac:dyDescent="0.25">
      <c r="C10014"/>
    </row>
    <row r="10015" spans="3:3" x14ac:dyDescent="0.25">
      <c r="C10015"/>
    </row>
    <row r="10016" spans="3:3" x14ac:dyDescent="0.25">
      <c r="C10016"/>
    </row>
    <row r="10017" spans="3:3" x14ac:dyDescent="0.25">
      <c r="C10017"/>
    </row>
    <row r="10018" spans="3:3" x14ac:dyDescent="0.25">
      <c r="C10018"/>
    </row>
    <row r="10019" spans="3:3" x14ac:dyDescent="0.25">
      <c r="C10019"/>
    </row>
    <row r="10020" spans="3:3" x14ac:dyDescent="0.25">
      <c r="C10020"/>
    </row>
    <row r="10021" spans="3:3" x14ac:dyDescent="0.25">
      <c r="C10021"/>
    </row>
    <row r="10022" spans="3:3" x14ac:dyDescent="0.25">
      <c r="C10022"/>
    </row>
    <row r="10023" spans="3:3" x14ac:dyDescent="0.25">
      <c r="C10023"/>
    </row>
    <row r="10024" spans="3:3" x14ac:dyDescent="0.25">
      <c r="C10024"/>
    </row>
    <row r="10025" spans="3:3" x14ac:dyDescent="0.25">
      <c r="C10025"/>
    </row>
    <row r="10026" spans="3:3" x14ac:dyDescent="0.25">
      <c r="C10026"/>
    </row>
    <row r="10027" spans="3:3" x14ac:dyDescent="0.25">
      <c r="C10027"/>
    </row>
    <row r="10028" spans="3:3" x14ac:dyDescent="0.25">
      <c r="C10028"/>
    </row>
    <row r="10029" spans="3:3" x14ac:dyDescent="0.25">
      <c r="C10029"/>
    </row>
    <row r="10030" spans="3:3" x14ac:dyDescent="0.25">
      <c r="C10030"/>
    </row>
    <row r="10031" spans="3:3" x14ac:dyDescent="0.25">
      <c r="C10031"/>
    </row>
    <row r="10032" spans="3:3" x14ac:dyDescent="0.25">
      <c r="C10032"/>
    </row>
    <row r="10033" spans="3:3" x14ac:dyDescent="0.25">
      <c r="C10033"/>
    </row>
    <row r="10034" spans="3:3" x14ac:dyDescent="0.25">
      <c r="C10034"/>
    </row>
    <row r="10035" spans="3:3" x14ac:dyDescent="0.25">
      <c r="C10035"/>
    </row>
    <row r="10036" spans="3:3" x14ac:dyDescent="0.25">
      <c r="C10036"/>
    </row>
    <row r="10037" spans="3:3" x14ac:dyDescent="0.25">
      <c r="C10037"/>
    </row>
    <row r="10038" spans="3:3" x14ac:dyDescent="0.25">
      <c r="C10038"/>
    </row>
    <row r="10039" spans="3:3" x14ac:dyDescent="0.25">
      <c r="C10039"/>
    </row>
    <row r="10040" spans="3:3" x14ac:dyDescent="0.25">
      <c r="C10040"/>
    </row>
    <row r="10041" spans="3:3" x14ac:dyDescent="0.25">
      <c r="C10041"/>
    </row>
    <row r="10042" spans="3:3" x14ac:dyDescent="0.25">
      <c r="C10042"/>
    </row>
    <row r="10043" spans="3:3" x14ac:dyDescent="0.25">
      <c r="C10043"/>
    </row>
    <row r="10044" spans="3:3" x14ac:dyDescent="0.25">
      <c r="C10044"/>
    </row>
    <row r="10045" spans="3:3" x14ac:dyDescent="0.25">
      <c r="C10045"/>
    </row>
    <row r="10046" spans="3:3" x14ac:dyDescent="0.25">
      <c r="C10046"/>
    </row>
    <row r="10047" spans="3:3" x14ac:dyDescent="0.25">
      <c r="C10047"/>
    </row>
    <row r="10048" spans="3:3" x14ac:dyDescent="0.25">
      <c r="C10048"/>
    </row>
    <row r="10049" spans="3:3" x14ac:dyDescent="0.25">
      <c r="C10049"/>
    </row>
    <row r="10050" spans="3:3" x14ac:dyDescent="0.25">
      <c r="C10050"/>
    </row>
    <row r="10051" spans="3:3" x14ac:dyDescent="0.25">
      <c r="C10051"/>
    </row>
    <row r="10052" spans="3:3" x14ac:dyDescent="0.25">
      <c r="C10052"/>
    </row>
    <row r="10053" spans="3:3" x14ac:dyDescent="0.25">
      <c r="C10053"/>
    </row>
    <row r="10054" spans="3:3" x14ac:dyDescent="0.25">
      <c r="C10054"/>
    </row>
    <row r="10055" spans="3:3" x14ac:dyDescent="0.25">
      <c r="C10055"/>
    </row>
    <row r="10056" spans="3:3" x14ac:dyDescent="0.25">
      <c r="C10056"/>
    </row>
    <row r="10057" spans="3:3" x14ac:dyDescent="0.25">
      <c r="C10057"/>
    </row>
    <row r="10058" spans="3:3" x14ac:dyDescent="0.25">
      <c r="C10058"/>
    </row>
    <row r="10059" spans="3:3" x14ac:dyDescent="0.25">
      <c r="C10059"/>
    </row>
    <row r="10060" spans="3:3" x14ac:dyDescent="0.25">
      <c r="C10060"/>
    </row>
    <row r="10061" spans="3:3" x14ac:dyDescent="0.25">
      <c r="C10061"/>
    </row>
    <row r="10062" spans="3:3" x14ac:dyDescent="0.25">
      <c r="C10062"/>
    </row>
    <row r="10063" spans="3:3" x14ac:dyDescent="0.25">
      <c r="C10063"/>
    </row>
    <row r="10064" spans="3:3" x14ac:dyDescent="0.25">
      <c r="C10064"/>
    </row>
    <row r="10065" spans="3:3" x14ac:dyDescent="0.25">
      <c r="C10065"/>
    </row>
    <row r="10066" spans="3:3" x14ac:dyDescent="0.25">
      <c r="C10066"/>
    </row>
    <row r="10067" spans="3:3" x14ac:dyDescent="0.25">
      <c r="C10067"/>
    </row>
    <row r="10068" spans="3:3" x14ac:dyDescent="0.25">
      <c r="C10068"/>
    </row>
    <row r="10069" spans="3:3" x14ac:dyDescent="0.25">
      <c r="C10069"/>
    </row>
    <row r="10070" spans="3:3" x14ac:dyDescent="0.25">
      <c r="C10070"/>
    </row>
    <row r="10071" spans="3:3" x14ac:dyDescent="0.25">
      <c r="C10071"/>
    </row>
    <row r="10072" spans="3:3" x14ac:dyDescent="0.25">
      <c r="C10072"/>
    </row>
    <row r="10073" spans="3:3" x14ac:dyDescent="0.25">
      <c r="C10073"/>
    </row>
    <row r="10074" spans="3:3" x14ac:dyDescent="0.25">
      <c r="C10074"/>
    </row>
    <row r="10075" spans="3:3" x14ac:dyDescent="0.25">
      <c r="C10075"/>
    </row>
    <row r="10076" spans="3:3" x14ac:dyDescent="0.25">
      <c r="C10076"/>
    </row>
    <row r="10077" spans="3:3" x14ac:dyDescent="0.25">
      <c r="C10077"/>
    </row>
    <row r="10078" spans="3:3" x14ac:dyDescent="0.25">
      <c r="C10078"/>
    </row>
    <row r="10079" spans="3:3" x14ac:dyDescent="0.25">
      <c r="C10079"/>
    </row>
    <row r="10080" spans="3:3" x14ac:dyDescent="0.25">
      <c r="C10080"/>
    </row>
    <row r="10081" spans="3:3" x14ac:dyDescent="0.25">
      <c r="C10081"/>
    </row>
    <row r="10082" spans="3:3" x14ac:dyDescent="0.25">
      <c r="C10082"/>
    </row>
    <row r="10083" spans="3:3" x14ac:dyDescent="0.25">
      <c r="C10083"/>
    </row>
    <row r="10084" spans="3:3" x14ac:dyDescent="0.25">
      <c r="C10084"/>
    </row>
    <row r="10085" spans="3:3" x14ac:dyDescent="0.25">
      <c r="C10085"/>
    </row>
    <row r="10086" spans="3:3" x14ac:dyDescent="0.25">
      <c r="C10086"/>
    </row>
    <row r="10087" spans="3:3" x14ac:dyDescent="0.25">
      <c r="C10087"/>
    </row>
    <row r="10088" spans="3:3" x14ac:dyDescent="0.25">
      <c r="C10088"/>
    </row>
    <row r="10089" spans="3:3" x14ac:dyDescent="0.25">
      <c r="C10089"/>
    </row>
    <row r="10090" spans="3:3" x14ac:dyDescent="0.25">
      <c r="C10090"/>
    </row>
    <row r="10091" spans="3:3" x14ac:dyDescent="0.25">
      <c r="C10091"/>
    </row>
    <row r="10092" spans="3:3" x14ac:dyDescent="0.25">
      <c r="C10092"/>
    </row>
    <row r="10093" spans="3:3" x14ac:dyDescent="0.25">
      <c r="C10093"/>
    </row>
    <row r="10094" spans="3:3" x14ac:dyDescent="0.25">
      <c r="C10094"/>
    </row>
    <row r="10095" spans="3:3" x14ac:dyDescent="0.25">
      <c r="C10095"/>
    </row>
    <row r="10096" spans="3:3" x14ac:dyDescent="0.25">
      <c r="C10096"/>
    </row>
    <row r="10097" spans="3:3" x14ac:dyDescent="0.25">
      <c r="C10097"/>
    </row>
    <row r="10098" spans="3:3" x14ac:dyDescent="0.25">
      <c r="C10098"/>
    </row>
    <row r="10099" spans="3:3" x14ac:dyDescent="0.25">
      <c r="C10099"/>
    </row>
    <row r="10100" spans="3:3" x14ac:dyDescent="0.25">
      <c r="C10100"/>
    </row>
    <row r="10101" spans="3:3" x14ac:dyDescent="0.25">
      <c r="C10101"/>
    </row>
    <row r="10102" spans="3:3" x14ac:dyDescent="0.25">
      <c r="C10102"/>
    </row>
    <row r="10103" spans="3:3" x14ac:dyDescent="0.25">
      <c r="C10103"/>
    </row>
    <row r="10104" spans="3:3" x14ac:dyDescent="0.25">
      <c r="C10104"/>
    </row>
    <row r="10105" spans="3:3" x14ac:dyDescent="0.25">
      <c r="C10105"/>
    </row>
    <row r="10106" spans="3:3" x14ac:dyDescent="0.25">
      <c r="C10106"/>
    </row>
    <row r="10107" spans="3:3" x14ac:dyDescent="0.25">
      <c r="C10107"/>
    </row>
    <row r="10108" spans="3:3" x14ac:dyDescent="0.25">
      <c r="C10108"/>
    </row>
    <row r="10109" spans="3:3" x14ac:dyDescent="0.25">
      <c r="C10109"/>
    </row>
    <row r="10110" spans="3:3" x14ac:dyDescent="0.25">
      <c r="C10110"/>
    </row>
    <row r="10111" spans="3:3" x14ac:dyDescent="0.25">
      <c r="C10111"/>
    </row>
    <row r="10112" spans="3:3" x14ac:dyDescent="0.25">
      <c r="C10112"/>
    </row>
    <row r="10113" spans="3:3" x14ac:dyDescent="0.25">
      <c r="C10113"/>
    </row>
    <row r="10114" spans="3:3" x14ac:dyDescent="0.25">
      <c r="C10114"/>
    </row>
    <row r="10115" spans="3:3" x14ac:dyDescent="0.25">
      <c r="C10115"/>
    </row>
    <row r="10116" spans="3:3" x14ac:dyDescent="0.25">
      <c r="C10116"/>
    </row>
    <row r="10117" spans="3:3" x14ac:dyDescent="0.25">
      <c r="C10117"/>
    </row>
    <row r="10118" spans="3:3" x14ac:dyDescent="0.25">
      <c r="C10118"/>
    </row>
    <row r="10119" spans="3:3" x14ac:dyDescent="0.25">
      <c r="C10119"/>
    </row>
    <row r="10120" spans="3:3" x14ac:dyDescent="0.25">
      <c r="C10120"/>
    </row>
    <row r="10121" spans="3:3" x14ac:dyDescent="0.25">
      <c r="C10121"/>
    </row>
    <row r="10122" spans="3:3" x14ac:dyDescent="0.25">
      <c r="C10122"/>
    </row>
    <row r="10123" spans="3:3" x14ac:dyDescent="0.25">
      <c r="C10123"/>
    </row>
    <row r="10124" spans="3:3" x14ac:dyDescent="0.25">
      <c r="C10124"/>
    </row>
    <row r="10125" spans="3:3" x14ac:dyDescent="0.25">
      <c r="C10125"/>
    </row>
    <row r="10126" spans="3:3" x14ac:dyDescent="0.25">
      <c r="C10126"/>
    </row>
    <row r="10127" spans="3:3" x14ac:dyDescent="0.25">
      <c r="C10127"/>
    </row>
    <row r="10128" spans="3:3" x14ac:dyDescent="0.25">
      <c r="C10128"/>
    </row>
    <row r="10129" spans="3:3" x14ac:dyDescent="0.25">
      <c r="C10129"/>
    </row>
    <row r="10130" spans="3:3" x14ac:dyDescent="0.25">
      <c r="C10130"/>
    </row>
    <row r="10131" spans="3:3" x14ac:dyDescent="0.25">
      <c r="C10131"/>
    </row>
    <row r="10132" spans="3:3" x14ac:dyDescent="0.25">
      <c r="C10132"/>
    </row>
    <row r="10133" spans="3:3" x14ac:dyDescent="0.25">
      <c r="C10133"/>
    </row>
    <row r="10134" spans="3:3" x14ac:dyDescent="0.25">
      <c r="C10134"/>
    </row>
    <row r="10135" spans="3:3" x14ac:dyDescent="0.25">
      <c r="C10135"/>
    </row>
    <row r="10136" spans="3:3" x14ac:dyDescent="0.25">
      <c r="C10136"/>
    </row>
    <row r="10137" spans="3:3" x14ac:dyDescent="0.25">
      <c r="C10137"/>
    </row>
    <row r="10138" spans="3:3" x14ac:dyDescent="0.25">
      <c r="C10138"/>
    </row>
    <row r="10139" spans="3:3" x14ac:dyDescent="0.25">
      <c r="C10139"/>
    </row>
    <row r="10140" spans="3:3" x14ac:dyDescent="0.25">
      <c r="C10140"/>
    </row>
    <row r="10141" spans="3:3" x14ac:dyDescent="0.25">
      <c r="C10141"/>
    </row>
    <row r="10142" spans="3:3" x14ac:dyDescent="0.25">
      <c r="C10142"/>
    </row>
    <row r="10143" spans="3:3" x14ac:dyDescent="0.25">
      <c r="C10143"/>
    </row>
    <row r="10144" spans="3:3" x14ac:dyDescent="0.25">
      <c r="C10144"/>
    </row>
    <row r="10145" spans="3:3" x14ac:dyDescent="0.25">
      <c r="C10145"/>
    </row>
    <row r="10146" spans="3:3" x14ac:dyDescent="0.25">
      <c r="C10146"/>
    </row>
    <row r="10147" spans="3:3" x14ac:dyDescent="0.25">
      <c r="C10147"/>
    </row>
    <row r="10148" spans="3:3" x14ac:dyDescent="0.25">
      <c r="C10148"/>
    </row>
    <row r="10149" spans="3:3" x14ac:dyDescent="0.25">
      <c r="C10149"/>
    </row>
    <row r="10150" spans="3:3" x14ac:dyDescent="0.25">
      <c r="C10150"/>
    </row>
    <row r="10151" spans="3:3" x14ac:dyDescent="0.25">
      <c r="C10151"/>
    </row>
    <row r="10152" spans="3:3" x14ac:dyDescent="0.25">
      <c r="C10152"/>
    </row>
    <row r="10153" spans="3:3" x14ac:dyDescent="0.25">
      <c r="C10153"/>
    </row>
    <row r="10154" spans="3:3" x14ac:dyDescent="0.25">
      <c r="C10154"/>
    </row>
    <row r="10155" spans="3:3" x14ac:dyDescent="0.25">
      <c r="C10155"/>
    </row>
    <row r="10156" spans="3:3" x14ac:dyDescent="0.25">
      <c r="C10156"/>
    </row>
    <row r="10157" spans="3:3" x14ac:dyDescent="0.25">
      <c r="C10157"/>
    </row>
    <row r="10158" spans="3:3" x14ac:dyDescent="0.25">
      <c r="C10158"/>
    </row>
    <row r="10159" spans="3:3" x14ac:dyDescent="0.25">
      <c r="C10159"/>
    </row>
    <row r="10160" spans="3:3" x14ac:dyDescent="0.25">
      <c r="C10160"/>
    </row>
    <row r="10161" spans="3:3" x14ac:dyDescent="0.25">
      <c r="C10161"/>
    </row>
    <row r="10162" spans="3:3" x14ac:dyDescent="0.25">
      <c r="C10162"/>
    </row>
    <row r="10163" spans="3:3" x14ac:dyDescent="0.25">
      <c r="C10163"/>
    </row>
    <row r="10164" spans="3:3" x14ac:dyDescent="0.25">
      <c r="C10164"/>
    </row>
    <row r="10165" spans="3:3" x14ac:dyDescent="0.25">
      <c r="C10165"/>
    </row>
    <row r="10166" spans="3:3" x14ac:dyDescent="0.25">
      <c r="C10166"/>
    </row>
    <row r="10167" spans="3:3" x14ac:dyDescent="0.25">
      <c r="C10167"/>
    </row>
    <row r="10168" spans="3:3" x14ac:dyDescent="0.25">
      <c r="C10168"/>
    </row>
    <row r="10169" spans="3:3" x14ac:dyDescent="0.25">
      <c r="C10169"/>
    </row>
    <row r="10170" spans="3:3" x14ac:dyDescent="0.25">
      <c r="C10170"/>
    </row>
    <row r="10171" spans="3:3" x14ac:dyDescent="0.25">
      <c r="C10171"/>
    </row>
    <row r="10172" spans="3:3" x14ac:dyDescent="0.25">
      <c r="C10172"/>
    </row>
    <row r="10173" spans="3:3" x14ac:dyDescent="0.25">
      <c r="C10173"/>
    </row>
    <row r="10174" spans="3:3" x14ac:dyDescent="0.25">
      <c r="C10174"/>
    </row>
    <row r="10175" spans="3:3" x14ac:dyDescent="0.25">
      <c r="C10175"/>
    </row>
    <row r="10176" spans="3:3" x14ac:dyDescent="0.25">
      <c r="C10176"/>
    </row>
    <row r="10177" spans="3:3" x14ac:dyDescent="0.25">
      <c r="C10177"/>
    </row>
    <row r="10178" spans="3:3" x14ac:dyDescent="0.25">
      <c r="C10178"/>
    </row>
    <row r="10179" spans="3:3" x14ac:dyDescent="0.25">
      <c r="C10179"/>
    </row>
    <row r="10180" spans="3:3" x14ac:dyDescent="0.25">
      <c r="C10180"/>
    </row>
    <row r="10181" spans="3:3" x14ac:dyDescent="0.25">
      <c r="C10181"/>
    </row>
    <row r="10182" spans="3:3" x14ac:dyDescent="0.25">
      <c r="C10182"/>
    </row>
    <row r="10183" spans="3:3" x14ac:dyDescent="0.25">
      <c r="C10183"/>
    </row>
    <row r="10184" spans="3:3" x14ac:dyDescent="0.25">
      <c r="C10184"/>
    </row>
    <row r="10185" spans="3:3" x14ac:dyDescent="0.25">
      <c r="C10185"/>
    </row>
    <row r="10186" spans="3:3" x14ac:dyDescent="0.25">
      <c r="C10186"/>
    </row>
    <row r="10187" spans="3:3" x14ac:dyDescent="0.25">
      <c r="C10187"/>
    </row>
    <row r="10188" spans="3:3" x14ac:dyDescent="0.25">
      <c r="C10188"/>
    </row>
    <row r="10189" spans="3:3" x14ac:dyDescent="0.25">
      <c r="C10189"/>
    </row>
    <row r="10190" spans="3:3" x14ac:dyDescent="0.25">
      <c r="C10190"/>
    </row>
    <row r="10191" spans="3:3" x14ac:dyDescent="0.25">
      <c r="C10191"/>
    </row>
    <row r="10192" spans="3:3" x14ac:dyDescent="0.25">
      <c r="C10192"/>
    </row>
    <row r="10193" spans="3:3" x14ac:dyDescent="0.25">
      <c r="C10193"/>
    </row>
    <row r="10194" spans="3:3" x14ac:dyDescent="0.25">
      <c r="C10194"/>
    </row>
    <row r="10195" spans="3:3" x14ac:dyDescent="0.25">
      <c r="C10195"/>
    </row>
    <row r="10196" spans="3:3" x14ac:dyDescent="0.25">
      <c r="C10196"/>
    </row>
    <row r="10197" spans="3:3" x14ac:dyDescent="0.25">
      <c r="C10197"/>
    </row>
    <row r="10198" spans="3:3" x14ac:dyDescent="0.25">
      <c r="C10198"/>
    </row>
    <row r="10199" spans="3:3" x14ac:dyDescent="0.25">
      <c r="C10199"/>
    </row>
    <row r="10200" spans="3:3" x14ac:dyDescent="0.25">
      <c r="C10200"/>
    </row>
    <row r="10201" spans="3:3" x14ac:dyDescent="0.25">
      <c r="C10201"/>
    </row>
    <row r="10202" spans="3:3" x14ac:dyDescent="0.25">
      <c r="C10202"/>
    </row>
    <row r="10203" spans="3:3" x14ac:dyDescent="0.25">
      <c r="C10203"/>
    </row>
    <row r="10204" spans="3:3" x14ac:dyDescent="0.25">
      <c r="C10204"/>
    </row>
    <row r="10205" spans="3:3" x14ac:dyDescent="0.25">
      <c r="C10205"/>
    </row>
    <row r="10206" spans="3:3" x14ac:dyDescent="0.25">
      <c r="C10206"/>
    </row>
    <row r="10207" spans="3:3" x14ac:dyDescent="0.25">
      <c r="C10207"/>
    </row>
    <row r="10208" spans="3:3" x14ac:dyDescent="0.25">
      <c r="C10208"/>
    </row>
    <row r="10209" spans="3:3" x14ac:dyDescent="0.25">
      <c r="C10209"/>
    </row>
    <row r="10210" spans="3:3" x14ac:dyDescent="0.25">
      <c r="C10210"/>
    </row>
    <row r="10211" spans="3:3" x14ac:dyDescent="0.25">
      <c r="C10211"/>
    </row>
    <row r="10212" spans="3:3" x14ac:dyDescent="0.25">
      <c r="C10212"/>
    </row>
    <row r="10213" spans="3:3" x14ac:dyDescent="0.25">
      <c r="C10213"/>
    </row>
    <row r="10214" spans="3:3" x14ac:dyDescent="0.25">
      <c r="C10214"/>
    </row>
    <row r="10215" spans="3:3" x14ac:dyDescent="0.25">
      <c r="C10215"/>
    </row>
    <row r="10216" spans="3:3" x14ac:dyDescent="0.25">
      <c r="C10216"/>
    </row>
    <row r="10217" spans="3:3" x14ac:dyDescent="0.25">
      <c r="C10217"/>
    </row>
    <row r="10218" spans="3:3" x14ac:dyDescent="0.25">
      <c r="C10218"/>
    </row>
    <row r="10219" spans="3:3" x14ac:dyDescent="0.25">
      <c r="C10219"/>
    </row>
    <row r="10220" spans="3:3" x14ac:dyDescent="0.25">
      <c r="C10220"/>
    </row>
    <row r="10221" spans="3:3" x14ac:dyDescent="0.25">
      <c r="C10221"/>
    </row>
    <row r="10222" spans="3:3" x14ac:dyDescent="0.25">
      <c r="C10222"/>
    </row>
    <row r="10223" spans="3:3" x14ac:dyDescent="0.25">
      <c r="C10223"/>
    </row>
    <row r="10224" spans="3:3" x14ac:dyDescent="0.25">
      <c r="C10224"/>
    </row>
    <row r="10225" spans="3:3" x14ac:dyDescent="0.25">
      <c r="C10225"/>
    </row>
    <row r="10226" spans="3:3" x14ac:dyDescent="0.25">
      <c r="C10226"/>
    </row>
    <row r="10227" spans="3:3" x14ac:dyDescent="0.25">
      <c r="C10227"/>
    </row>
    <row r="10228" spans="3:3" x14ac:dyDescent="0.25">
      <c r="C10228"/>
    </row>
    <row r="10229" spans="3:3" x14ac:dyDescent="0.25">
      <c r="C10229"/>
    </row>
    <row r="10230" spans="3:3" x14ac:dyDescent="0.25">
      <c r="C10230"/>
    </row>
    <row r="10231" spans="3:3" x14ac:dyDescent="0.25">
      <c r="C10231"/>
    </row>
    <row r="10232" spans="3:3" x14ac:dyDescent="0.25">
      <c r="C10232"/>
    </row>
    <row r="10233" spans="3:3" x14ac:dyDescent="0.25">
      <c r="C10233"/>
    </row>
    <row r="10234" spans="3:3" x14ac:dyDescent="0.25">
      <c r="C10234"/>
    </row>
    <row r="10235" spans="3:3" x14ac:dyDescent="0.25">
      <c r="C10235"/>
    </row>
    <row r="10236" spans="3:3" x14ac:dyDescent="0.25">
      <c r="C10236"/>
    </row>
    <row r="10237" spans="3:3" x14ac:dyDescent="0.25">
      <c r="C10237"/>
    </row>
    <row r="10238" spans="3:3" x14ac:dyDescent="0.25">
      <c r="C10238"/>
    </row>
    <row r="10239" spans="3:3" x14ac:dyDescent="0.25">
      <c r="C10239"/>
    </row>
    <row r="10240" spans="3:3" x14ac:dyDescent="0.25">
      <c r="C10240"/>
    </row>
    <row r="10241" spans="3:3" x14ac:dyDescent="0.25">
      <c r="C10241"/>
    </row>
    <row r="10242" spans="3:3" x14ac:dyDescent="0.25">
      <c r="C10242"/>
    </row>
    <row r="10243" spans="3:3" x14ac:dyDescent="0.25">
      <c r="C10243"/>
    </row>
    <row r="10244" spans="3:3" x14ac:dyDescent="0.25">
      <c r="C10244"/>
    </row>
    <row r="10245" spans="3:3" x14ac:dyDescent="0.25">
      <c r="C10245"/>
    </row>
    <row r="10246" spans="3:3" x14ac:dyDescent="0.25">
      <c r="C10246"/>
    </row>
    <row r="10247" spans="3:3" x14ac:dyDescent="0.25">
      <c r="C10247"/>
    </row>
    <row r="10248" spans="3:3" x14ac:dyDescent="0.25">
      <c r="C10248"/>
    </row>
    <row r="10249" spans="3:3" x14ac:dyDescent="0.25">
      <c r="C10249"/>
    </row>
    <row r="10250" spans="3:3" x14ac:dyDescent="0.25">
      <c r="C10250"/>
    </row>
    <row r="10251" spans="3:3" x14ac:dyDescent="0.25">
      <c r="C10251"/>
    </row>
    <row r="10252" spans="3:3" x14ac:dyDescent="0.25">
      <c r="C10252"/>
    </row>
    <row r="10253" spans="3:3" x14ac:dyDescent="0.25">
      <c r="C10253"/>
    </row>
    <row r="10254" spans="3:3" x14ac:dyDescent="0.25">
      <c r="C10254"/>
    </row>
    <row r="10255" spans="3:3" x14ac:dyDescent="0.25">
      <c r="C10255"/>
    </row>
    <row r="10256" spans="3:3" x14ac:dyDescent="0.25">
      <c r="C10256"/>
    </row>
    <row r="10257" spans="3:3" x14ac:dyDescent="0.25">
      <c r="C10257"/>
    </row>
    <row r="10258" spans="3:3" x14ac:dyDescent="0.25">
      <c r="C10258"/>
    </row>
    <row r="10259" spans="3:3" x14ac:dyDescent="0.25">
      <c r="C10259"/>
    </row>
    <row r="10260" spans="3:3" x14ac:dyDescent="0.25">
      <c r="C10260"/>
    </row>
    <row r="10261" spans="3:3" x14ac:dyDescent="0.25">
      <c r="C10261"/>
    </row>
    <row r="10262" spans="3:3" x14ac:dyDescent="0.25">
      <c r="C10262"/>
    </row>
    <row r="10263" spans="3:3" x14ac:dyDescent="0.25">
      <c r="C10263"/>
    </row>
    <row r="10264" spans="3:3" x14ac:dyDescent="0.25">
      <c r="C10264"/>
    </row>
    <row r="10265" spans="3:3" x14ac:dyDescent="0.25">
      <c r="C10265"/>
    </row>
    <row r="10266" spans="3:3" x14ac:dyDescent="0.25">
      <c r="C10266"/>
    </row>
    <row r="10267" spans="3:3" x14ac:dyDescent="0.25">
      <c r="C10267"/>
    </row>
    <row r="10268" spans="3:3" x14ac:dyDescent="0.25">
      <c r="C10268"/>
    </row>
    <row r="10269" spans="3:3" x14ac:dyDescent="0.25">
      <c r="C10269"/>
    </row>
    <row r="10270" spans="3:3" x14ac:dyDescent="0.25">
      <c r="C10270"/>
    </row>
    <row r="10271" spans="3:3" x14ac:dyDescent="0.25">
      <c r="C10271"/>
    </row>
    <row r="10272" spans="3:3" x14ac:dyDescent="0.25">
      <c r="C10272"/>
    </row>
    <row r="10273" spans="3:3" x14ac:dyDescent="0.25">
      <c r="C10273"/>
    </row>
    <row r="10274" spans="3:3" x14ac:dyDescent="0.25">
      <c r="C10274"/>
    </row>
    <row r="10275" spans="3:3" x14ac:dyDescent="0.25">
      <c r="C10275"/>
    </row>
    <row r="10276" spans="3:3" x14ac:dyDescent="0.25">
      <c r="C10276"/>
    </row>
    <row r="10277" spans="3:3" x14ac:dyDescent="0.25">
      <c r="C10277"/>
    </row>
    <row r="10278" spans="3:3" x14ac:dyDescent="0.25">
      <c r="C10278"/>
    </row>
    <row r="10279" spans="3:3" x14ac:dyDescent="0.25">
      <c r="C10279"/>
    </row>
    <row r="10280" spans="3:3" x14ac:dyDescent="0.25">
      <c r="C10280"/>
    </row>
    <row r="10281" spans="3:3" x14ac:dyDescent="0.25">
      <c r="C10281"/>
    </row>
    <row r="10282" spans="3:3" x14ac:dyDescent="0.25">
      <c r="C10282"/>
    </row>
    <row r="10283" spans="3:3" x14ac:dyDescent="0.25">
      <c r="C10283"/>
    </row>
    <row r="10284" spans="3:3" x14ac:dyDescent="0.25">
      <c r="C10284"/>
    </row>
    <row r="10285" spans="3:3" x14ac:dyDescent="0.25">
      <c r="C10285"/>
    </row>
    <row r="10286" spans="3:3" x14ac:dyDescent="0.25">
      <c r="C10286"/>
    </row>
    <row r="10287" spans="3:3" x14ac:dyDescent="0.25">
      <c r="C10287"/>
    </row>
    <row r="10288" spans="3:3" x14ac:dyDescent="0.25">
      <c r="C10288"/>
    </row>
    <row r="10289" spans="3:3" x14ac:dyDescent="0.25">
      <c r="C10289"/>
    </row>
    <row r="10290" spans="3:3" x14ac:dyDescent="0.25">
      <c r="C10290"/>
    </row>
    <row r="10291" spans="3:3" x14ac:dyDescent="0.25">
      <c r="C10291"/>
    </row>
    <row r="10292" spans="3:3" x14ac:dyDescent="0.25">
      <c r="C10292"/>
    </row>
    <row r="10293" spans="3:3" x14ac:dyDescent="0.25">
      <c r="C10293"/>
    </row>
    <row r="10294" spans="3:3" x14ac:dyDescent="0.25">
      <c r="C10294"/>
    </row>
    <row r="10295" spans="3:3" x14ac:dyDescent="0.25">
      <c r="C10295"/>
    </row>
    <row r="10296" spans="3:3" x14ac:dyDescent="0.25">
      <c r="C10296"/>
    </row>
    <row r="10297" spans="3:3" x14ac:dyDescent="0.25">
      <c r="C10297"/>
    </row>
    <row r="10298" spans="3:3" x14ac:dyDescent="0.25">
      <c r="C10298"/>
    </row>
    <row r="10299" spans="3:3" x14ac:dyDescent="0.25">
      <c r="C10299"/>
    </row>
    <row r="10300" spans="3:3" x14ac:dyDescent="0.25">
      <c r="C10300"/>
    </row>
    <row r="10301" spans="3:3" x14ac:dyDescent="0.25">
      <c r="C10301"/>
    </row>
    <row r="10302" spans="3:3" x14ac:dyDescent="0.25">
      <c r="C10302"/>
    </row>
    <row r="10303" spans="3:3" x14ac:dyDescent="0.25">
      <c r="C10303"/>
    </row>
    <row r="10304" spans="3:3" x14ac:dyDescent="0.25">
      <c r="C10304"/>
    </row>
    <row r="10305" spans="3:3" x14ac:dyDescent="0.25">
      <c r="C10305"/>
    </row>
    <row r="10306" spans="3:3" x14ac:dyDescent="0.25">
      <c r="C10306"/>
    </row>
    <row r="10307" spans="3:3" x14ac:dyDescent="0.25">
      <c r="C10307"/>
    </row>
    <row r="10308" spans="3:3" x14ac:dyDescent="0.25">
      <c r="C10308"/>
    </row>
    <row r="10309" spans="3:3" x14ac:dyDescent="0.25">
      <c r="C10309"/>
    </row>
    <row r="10310" spans="3:3" x14ac:dyDescent="0.25">
      <c r="C10310"/>
    </row>
    <row r="10311" spans="3:3" x14ac:dyDescent="0.25">
      <c r="C10311"/>
    </row>
    <row r="10312" spans="3:3" x14ac:dyDescent="0.25">
      <c r="C10312"/>
    </row>
    <row r="10313" spans="3:3" x14ac:dyDescent="0.25">
      <c r="C10313"/>
    </row>
    <row r="10314" spans="3:3" x14ac:dyDescent="0.25">
      <c r="C10314"/>
    </row>
    <row r="10315" spans="3:3" x14ac:dyDescent="0.25">
      <c r="C10315"/>
    </row>
    <row r="10316" spans="3:3" x14ac:dyDescent="0.25">
      <c r="C10316"/>
    </row>
    <row r="10317" spans="3:3" x14ac:dyDescent="0.25">
      <c r="C10317"/>
    </row>
    <row r="10318" spans="3:3" x14ac:dyDescent="0.25">
      <c r="C10318"/>
    </row>
    <row r="10319" spans="3:3" x14ac:dyDescent="0.25">
      <c r="C10319"/>
    </row>
    <row r="10320" spans="3:3" x14ac:dyDescent="0.25">
      <c r="C10320"/>
    </row>
    <row r="10321" spans="3:3" x14ac:dyDescent="0.25">
      <c r="C10321"/>
    </row>
    <row r="10322" spans="3:3" x14ac:dyDescent="0.25">
      <c r="C10322"/>
    </row>
    <row r="10323" spans="3:3" x14ac:dyDescent="0.25">
      <c r="C10323"/>
    </row>
    <row r="10324" spans="3:3" x14ac:dyDescent="0.25">
      <c r="C10324"/>
    </row>
    <row r="10325" spans="3:3" x14ac:dyDescent="0.25">
      <c r="C10325"/>
    </row>
    <row r="10326" spans="3:3" x14ac:dyDescent="0.25">
      <c r="C10326"/>
    </row>
    <row r="10327" spans="3:3" x14ac:dyDescent="0.25">
      <c r="C10327"/>
    </row>
    <row r="10328" spans="3:3" x14ac:dyDescent="0.25">
      <c r="C10328"/>
    </row>
    <row r="10329" spans="3:3" x14ac:dyDescent="0.25">
      <c r="C10329"/>
    </row>
    <row r="10330" spans="3:3" x14ac:dyDescent="0.25">
      <c r="C10330"/>
    </row>
    <row r="10331" spans="3:3" x14ac:dyDescent="0.25">
      <c r="C10331"/>
    </row>
    <row r="10332" spans="3:3" x14ac:dyDescent="0.25">
      <c r="C10332"/>
    </row>
    <row r="10333" spans="3:3" x14ac:dyDescent="0.25">
      <c r="C10333"/>
    </row>
    <row r="10334" spans="3:3" x14ac:dyDescent="0.25">
      <c r="C10334"/>
    </row>
    <row r="10335" spans="3:3" x14ac:dyDescent="0.25">
      <c r="C10335"/>
    </row>
    <row r="10336" spans="3:3" x14ac:dyDescent="0.25">
      <c r="C10336"/>
    </row>
    <row r="10337" spans="3:3" x14ac:dyDescent="0.25">
      <c r="C10337"/>
    </row>
    <row r="10338" spans="3:3" x14ac:dyDescent="0.25">
      <c r="C10338"/>
    </row>
    <row r="10339" spans="3:3" x14ac:dyDescent="0.25">
      <c r="C10339"/>
    </row>
    <row r="10340" spans="3:3" x14ac:dyDescent="0.25">
      <c r="C10340"/>
    </row>
    <row r="10341" spans="3:3" x14ac:dyDescent="0.25">
      <c r="C10341"/>
    </row>
    <row r="10342" spans="3:3" x14ac:dyDescent="0.25">
      <c r="C10342"/>
    </row>
    <row r="10343" spans="3:3" x14ac:dyDescent="0.25">
      <c r="C10343"/>
    </row>
    <row r="10344" spans="3:3" x14ac:dyDescent="0.25">
      <c r="C10344"/>
    </row>
    <row r="10345" spans="3:3" x14ac:dyDescent="0.25">
      <c r="C10345"/>
    </row>
    <row r="10346" spans="3:3" x14ac:dyDescent="0.25">
      <c r="C10346"/>
    </row>
    <row r="10347" spans="3:3" x14ac:dyDescent="0.25">
      <c r="C10347"/>
    </row>
    <row r="10348" spans="3:3" x14ac:dyDescent="0.25">
      <c r="C10348"/>
    </row>
    <row r="10349" spans="3:3" x14ac:dyDescent="0.25">
      <c r="C10349"/>
    </row>
    <row r="10350" spans="3:3" x14ac:dyDescent="0.25">
      <c r="C10350"/>
    </row>
    <row r="10351" spans="3:3" x14ac:dyDescent="0.25">
      <c r="C10351"/>
    </row>
    <row r="10352" spans="3:3" x14ac:dyDescent="0.25">
      <c r="C10352"/>
    </row>
    <row r="10353" spans="3:3" x14ac:dyDescent="0.25">
      <c r="C10353"/>
    </row>
    <row r="10354" spans="3:3" x14ac:dyDescent="0.25">
      <c r="C10354"/>
    </row>
    <row r="10355" spans="3:3" x14ac:dyDescent="0.25">
      <c r="C10355"/>
    </row>
    <row r="10356" spans="3:3" x14ac:dyDescent="0.25">
      <c r="C10356"/>
    </row>
    <row r="10357" spans="3:3" x14ac:dyDescent="0.25">
      <c r="C10357"/>
    </row>
    <row r="10358" spans="3:3" x14ac:dyDescent="0.25">
      <c r="C10358"/>
    </row>
    <row r="10359" spans="3:3" x14ac:dyDescent="0.25">
      <c r="C10359"/>
    </row>
    <row r="10360" spans="3:3" x14ac:dyDescent="0.25">
      <c r="C10360"/>
    </row>
    <row r="10361" spans="3:3" x14ac:dyDescent="0.25">
      <c r="C10361"/>
    </row>
    <row r="10362" spans="3:3" x14ac:dyDescent="0.25">
      <c r="C10362"/>
    </row>
    <row r="10363" spans="3:3" x14ac:dyDescent="0.25">
      <c r="C10363"/>
    </row>
    <row r="10364" spans="3:3" x14ac:dyDescent="0.25">
      <c r="C10364"/>
    </row>
    <row r="10365" spans="3:3" x14ac:dyDescent="0.25">
      <c r="C10365"/>
    </row>
    <row r="10366" spans="3:3" x14ac:dyDescent="0.25">
      <c r="C10366"/>
    </row>
    <row r="10367" spans="3:3" x14ac:dyDescent="0.25">
      <c r="C10367"/>
    </row>
    <row r="10368" spans="3:3" x14ac:dyDescent="0.25">
      <c r="C10368"/>
    </row>
    <row r="10369" spans="3:3" x14ac:dyDescent="0.25">
      <c r="C10369"/>
    </row>
    <row r="10370" spans="3:3" x14ac:dyDescent="0.25">
      <c r="C10370"/>
    </row>
    <row r="10371" spans="3:3" x14ac:dyDescent="0.25">
      <c r="C10371"/>
    </row>
    <row r="10372" spans="3:3" x14ac:dyDescent="0.25">
      <c r="C10372"/>
    </row>
    <row r="10373" spans="3:3" x14ac:dyDescent="0.25">
      <c r="C10373"/>
    </row>
    <row r="10374" spans="3:3" x14ac:dyDescent="0.25">
      <c r="C10374"/>
    </row>
    <row r="10375" spans="3:3" x14ac:dyDescent="0.25">
      <c r="C10375"/>
    </row>
    <row r="10376" spans="3:3" x14ac:dyDescent="0.25">
      <c r="C10376"/>
    </row>
    <row r="10377" spans="3:3" x14ac:dyDescent="0.25">
      <c r="C10377"/>
    </row>
    <row r="10378" spans="3:3" x14ac:dyDescent="0.25">
      <c r="C10378"/>
    </row>
    <row r="10379" spans="3:3" x14ac:dyDescent="0.25">
      <c r="C10379"/>
    </row>
    <row r="10380" spans="3:3" x14ac:dyDescent="0.25">
      <c r="C10380"/>
    </row>
    <row r="10381" spans="3:3" x14ac:dyDescent="0.25">
      <c r="C10381"/>
    </row>
    <row r="10382" spans="3:3" x14ac:dyDescent="0.25">
      <c r="C10382"/>
    </row>
    <row r="10383" spans="3:3" x14ac:dyDescent="0.25">
      <c r="C10383"/>
    </row>
    <row r="10384" spans="3:3" x14ac:dyDescent="0.25">
      <c r="C10384"/>
    </row>
    <row r="10385" spans="3:3" x14ac:dyDescent="0.25">
      <c r="C10385"/>
    </row>
    <row r="10386" spans="3:3" x14ac:dyDescent="0.25">
      <c r="C10386"/>
    </row>
    <row r="10387" spans="3:3" x14ac:dyDescent="0.25">
      <c r="C10387"/>
    </row>
    <row r="10388" spans="3:3" x14ac:dyDescent="0.25">
      <c r="C10388"/>
    </row>
    <row r="10389" spans="3:3" x14ac:dyDescent="0.25">
      <c r="C10389"/>
    </row>
    <row r="10390" spans="3:3" x14ac:dyDescent="0.25">
      <c r="C10390"/>
    </row>
    <row r="10391" spans="3:3" x14ac:dyDescent="0.25">
      <c r="C10391"/>
    </row>
    <row r="10392" spans="3:3" x14ac:dyDescent="0.25">
      <c r="C10392"/>
    </row>
    <row r="10393" spans="3:3" x14ac:dyDescent="0.25">
      <c r="C10393"/>
    </row>
    <row r="10394" spans="3:3" x14ac:dyDescent="0.25">
      <c r="C10394"/>
    </row>
    <row r="10395" spans="3:3" x14ac:dyDescent="0.25">
      <c r="C10395"/>
    </row>
    <row r="10396" spans="3:3" x14ac:dyDescent="0.25">
      <c r="C10396"/>
    </row>
    <row r="10397" spans="3:3" x14ac:dyDescent="0.25">
      <c r="C10397"/>
    </row>
    <row r="10398" spans="3:3" x14ac:dyDescent="0.25">
      <c r="C10398"/>
    </row>
    <row r="10399" spans="3:3" x14ac:dyDescent="0.25">
      <c r="C10399"/>
    </row>
    <row r="10400" spans="3:3" x14ac:dyDescent="0.25">
      <c r="C10400"/>
    </row>
    <row r="10401" spans="3:3" x14ac:dyDescent="0.25">
      <c r="C10401"/>
    </row>
    <row r="10402" spans="3:3" x14ac:dyDescent="0.25">
      <c r="C10402"/>
    </row>
    <row r="10403" spans="3:3" x14ac:dyDescent="0.25">
      <c r="C10403"/>
    </row>
    <row r="10404" spans="3:3" x14ac:dyDescent="0.25">
      <c r="C10404"/>
    </row>
    <row r="10405" spans="3:3" x14ac:dyDescent="0.25">
      <c r="C10405"/>
    </row>
    <row r="10406" spans="3:3" x14ac:dyDescent="0.25">
      <c r="C10406"/>
    </row>
    <row r="10407" spans="3:3" x14ac:dyDescent="0.25">
      <c r="C10407"/>
    </row>
    <row r="10408" spans="3:3" x14ac:dyDescent="0.25">
      <c r="C10408"/>
    </row>
    <row r="10409" spans="3:3" x14ac:dyDescent="0.25">
      <c r="C10409"/>
    </row>
    <row r="10410" spans="3:3" x14ac:dyDescent="0.25">
      <c r="C10410"/>
    </row>
    <row r="10411" spans="3:3" x14ac:dyDescent="0.25">
      <c r="C10411"/>
    </row>
    <row r="10412" spans="3:3" x14ac:dyDescent="0.25">
      <c r="C10412"/>
    </row>
    <row r="10413" spans="3:3" x14ac:dyDescent="0.25">
      <c r="C10413"/>
    </row>
    <row r="10414" spans="3:3" x14ac:dyDescent="0.25">
      <c r="C10414"/>
    </row>
    <row r="10415" spans="3:3" x14ac:dyDescent="0.25">
      <c r="C10415"/>
    </row>
    <row r="10416" spans="3:3" x14ac:dyDescent="0.25">
      <c r="C10416"/>
    </row>
    <row r="10417" spans="3:3" x14ac:dyDescent="0.25">
      <c r="C10417"/>
    </row>
    <row r="10418" spans="3:3" x14ac:dyDescent="0.25">
      <c r="C10418"/>
    </row>
    <row r="10419" spans="3:3" x14ac:dyDescent="0.25">
      <c r="C10419"/>
    </row>
    <row r="10420" spans="3:3" x14ac:dyDescent="0.25">
      <c r="C10420"/>
    </row>
    <row r="10421" spans="3:3" x14ac:dyDescent="0.25">
      <c r="C10421"/>
    </row>
    <row r="10422" spans="3:3" x14ac:dyDescent="0.25">
      <c r="C10422"/>
    </row>
    <row r="10423" spans="3:3" x14ac:dyDescent="0.25">
      <c r="C10423"/>
    </row>
    <row r="10424" spans="3:3" x14ac:dyDescent="0.25">
      <c r="C10424"/>
    </row>
    <row r="10425" spans="3:3" x14ac:dyDescent="0.25">
      <c r="C10425"/>
    </row>
    <row r="10426" spans="3:3" x14ac:dyDescent="0.25">
      <c r="C10426"/>
    </row>
    <row r="10427" spans="3:3" x14ac:dyDescent="0.25">
      <c r="C10427"/>
    </row>
    <row r="10428" spans="3:3" x14ac:dyDescent="0.25">
      <c r="C10428"/>
    </row>
    <row r="10429" spans="3:3" x14ac:dyDescent="0.25">
      <c r="C10429"/>
    </row>
    <row r="10430" spans="3:3" x14ac:dyDescent="0.25">
      <c r="C10430"/>
    </row>
    <row r="10431" spans="3:3" x14ac:dyDescent="0.25">
      <c r="C10431"/>
    </row>
    <row r="10432" spans="3:3" x14ac:dyDescent="0.25">
      <c r="C10432"/>
    </row>
    <row r="10433" spans="3:3" x14ac:dyDescent="0.25">
      <c r="C10433"/>
    </row>
    <row r="10434" spans="3:3" x14ac:dyDescent="0.25">
      <c r="C10434"/>
    </row>
    <row r="10435" spans="3:3" x14ac:dyDescent="0.25">
      <c r="C10435"/>
    </row>
    <row r="10436" spans="3:3" x14ac:dyDescent="0.25">
      <c r="C10436"/>
    </row>
    <row r="10437" spans="3:3" x14ac:dyDescent="0.25">
      <c r="C10437"/>
    </row>
    <row r="10438" spans="3:3" x14ac:dyDescent="0.25">
      <c r="C10438"/>
    </row>
    <row r="10439" spans="3:3" x14ac:dyDescent="0.25">
      <c r="C10439"/>
    </row>
    <row r="10440" spans="3:3" x14ac:dyDescent="0.25">
      <c r="C10440"/>
    </row>
    <row r="10441" spans="3:3" x14ac:dyDescent="0.25">
      <c r="C10441"/>
    </row>
    <row r="10442" spans="3:3" x14ac:dyDescent="0.25">
      <c r="C10442"/>
    </row>
    <row r="10443" spans="3:3" x14ac:dyDescent="0.25">
      <c r="C10443"/>
    </row>
    <row r="10444" spans="3:3" x14ac:dyDescent="0.25">
      <c r="C10444"/>
    </row>
    <row r="10445" spans="3:3" x14ac:dyDescent="0.25">
      <c r="C10445"/>
    </row>
    <row r="10446" spans="3:3" x14ac:dyDescent="0.25">
      <c r="C10446"/>
    </row>
    <row r="10447" spans="3:3" x14ac:dyDescent="0.25">
      <c r="C10447"/>
    </row>
    <row r="10448" spans="3:3" x14ac:dyDescent="0.25">
      <c r="C10448"/>
    </row>
    <row r="10449" spans="3:3" x14ac:dyDescent="0.25">
      <c r="C10449"/>
    </row>
    <row r="10450" spans="3:3" x14ac:dyDescent="0.25">
      <c r="C10450"/>
    </row>
    <row r="10451" spans="3:3" x14ac:dyDescent="0.25">
      <c r="C10451"/>
    </row>
    <row r="10452" spans="3:3" x14ac:dyDescent="0.25">
      <c r="C10452"/>
    </row>
    <row r="10453" spans="3:3" x14ac:dyDescent="0.25">
      <c r="C10453"/>
    </row>
    <row r="10454" spans="3:3" x14ac:dyDescent="0.25">
      <c r="C10454"/>
    </row>
    <row r="10455" spans="3:3" x14ac:dyDescent="0.25">
      <c r="C10455"/>
    </row>
    <row r="10456" spans="3:3" x14ac:dyDescent="0.25">
      <c r="C10456"/>
    </row>
    <row r="10457" spans="3:3" x14ac:dyDescent="0.25">
      <c r="C10457"/>
    </row>
    <row r="10458" spans="3:3" x14ac:dyDescent="0.25">
      <c r="C10458"/>
    </row>
    <row r="10459" spans="3:3" x14ac:dyDescent="0.25">
      <c r="C10459"/>
    </row>
    <row r="10460" spans="3:3" x14ac:dyDescent="0.25">
      <c r="C10460"/>
    </row>
    <row r="10461" spans="3:3" x14ac:dyDescent="0.25">
      <c r="C10461"/>
    </row>
    <row r="10462" spans="3:3" x14ac:dyDescent="0.25">
      <c r="C10462"/>
    </row>
    <row r="10463" spans="3:3" x14ac:dyDescent="0.25">
      <c r="C10463"/>
    </row>
    <row r="10464" spans="3:3" x14ac:dyDescent="0.25">
      <c r="C10464"/>
    </row>
    <row r="10465" spans="3:3" x14ac:dyDescent="0.25">
      <c r="C10465"/>
    </row>
    <row r="10466" spans="3:3" x14ac:dyDescent="0.25">
      <c r="C10466"/>
    </row>
    <row r="10467" spans="3:3" x14ac:dyDescent="0.25">
      <c r="C10467"/>
    </row>
    <row r="10468" spans="3:3" x14ac:dyDescent="0.25">
      <c r="C10468"/>
    </row>
    <row r="10469" spans="3:3" x14ac:dyDescent="0.25">
      <c r="C10469"/>
    </row>
    <row r="10470" spans="3:3" x14ac:dyDescent="0.25">
      <c r="C10470"/>
    </row>
    <row r="10471" spans="3:3" x14ac:dyDescent="0.25">
      <c r="C10471"/>
    </row>
    <row r="10472" spans="3:3" x14ac:dyDescent="0.25">
      <c r="C10472"/>
    </row>
    <row r="10473" spans="3:3" x14ac:dyDescent="0.25">
      <c r="C10473"/>
    </row>
    <row r="10474" spans="3:3" x14ac:dyDescent="0.25">
      <c r="C10474"/>
    </row>
    <row r="10475" spans="3:3" x14ac:dyDescent="0.25">
      <c r="C10475"/>
    </row>
    <row r="10476" spans="3:3" x14ac:dyDescent="0.25">
      <c r="C10476"/>
    </row>
    <row r="10477" spans="3:3" x14ac:dyDescent="0.25">
      <c r="C10477"/>
    </row>
    <row r="10478" spans="3:3" x14ac:dyDescent="0.25">
      <c r="C10478"/>
    </row>
    <row r="10479" spans="3:3" x14ac:dyDescent="0.25">
      <c r="C10479"/>
    </row>
    <row r="10480" spans="3:3" x14ac:dyDescent="0.25">
      <c r="C10480"/>
    </row>
    <row r="10481" spans="3:3" x14ac:dyDescent="0.25">
      <c r="C10481"/>
    </row>
    <row r="10482" spans="3:3" x14ac:dyDescent="0.25">
      <c r="C10482"/>
    </row>
    <row r="10483" spans="3:3" x14ac:dyDescent="0.25">
      <c r="C10483"/>
    </row>
    <row r="10484" spans="3:3" x14ac:dyDescent="0.25">
      <c r="C10484"/>
    </row>
    <row r="10485" spans="3:3" x14ac:dyDescent="0.25">
      <c r="C10485"/>
    </row>
    <row r="10486" spans="3:3" x14ac:dyDescent="0.25">
      <c r="C10486"/>
    </row>
    <row r="10487" spans="3:3" x14ac:dyDescent="0.25">
      <c r="C10487"/>
    </row>
    <row r="10488" spans="3:3" x14ac:dyDescent="0.25">
      <c r="C10488"/>
    </row>
    <row r="10489" spans="3:3" x14ac:dyDescent="0.25">
      <c r="C10489"/>
    </row>
    <row r="10490" spans="3:3" x14ac:dyDescent="0.25">
      <c r="C10490"/>
    </row>
    <row r="10491" spans="3:3" x14ac:dyDescent="0.25">
      <c r="C10491"/>
    </row>
    <row r="10492" spans="3:3" x14ac:dyDescent="0.25">
      <c r="C10492"/>
    </row>
    <row r="10493" spans="3:3" x14ac:dyDescent="0.25">
      <c r="C10493"/>
    </row>
    <row r="10494" spans="3:3" x14ac:dyDescent="0.25">
      <c r="C10494"/>
    </row>
    <row r="10495" spans="3:3" x14ac:dyDescent="0.25">
      <c r="C10495"/>
    </row>
    <row r="10496" spans="3:3" x14ac:dyDescent="0.25">
      <c r="C10496"/>
    </row>
    <row r="10497" spans="3:3" x14ac:dyDescent="0.25">
      <c r="C10497"/>
    </row>
    <row r="10498" spans="3:3" x14ac:dyDescent="0.25">
      <c r="C10498"/>
    </row>
    <row r="10499" spans="3:3" x14ac:dyDescent="0.25">
      <c r="C10499"/>
    </row>
    <row r="10500" spans="3:3" x14ac:dyDescent="0.25">
      <c r="C10500"/>
    </row>
    <row r="10501" spans="3:3" x14ac:dyDescent="0.25">
      <c r="C10501"/>
    </row>
    <row r="10502" spans="3:3" x14ac:dyDescent="0.25">
      <c r="C10502"/>
    </row>
    <row r="10503" spans="3:3" x14ac:dyDescent="0.25">
      <c r="C10503"/>
    </row>
    <row r="10504" spans="3:3" x14ac:dyDescent="0.25">
      <c r="C10504"/>
    </row>
    <row r="10505" spans="3:3" x14ac:dyDescent="0.25">
      <c r="C10505"/>
    </row>
    <row r="10506" spans="3:3" x14ac:dyDescent="0.25">
      <c r="C10506"/>
    </row>
    <row r="10507" spans="3:3" x14ac:dyDescent="0.25">
      <c r="C10507"/>
    </row>
    <row r="10508" spans="3:3" x14ac:dyDescent="0.25">
      <c r="C10508"/>
    </row>
    <row r="10509" spans="3:3" x14ac:dyDescent="0.25">
      <c r="C10509"/>
    </row>
    <row r="10510" spans="3:3" x14ac:dyDescent="0.25">
      <c r="C10510"/>
    </row>
    <row r="10511" spans="3:3" x14ac:dyDescent="0.25">
      <c r="C10511"/>
    </row>
    <row r="10512" spans="3:3" x14ac:dyDescent="0.25">
      <c r="C10512"/>
    </row>
    <row r="10513" spans="3:3" x14ac:dyDescent="0.25">
      <c r="C10513"/>
    </row>
    <row r="10514" spans="3:3" x14ac:dyDescent="0.25">
      <c r="C10514"/>
    </row>
    <row r="10515" spans="3:3" x14ac:dyDescent="0.25">
      <c r="C10515"/>
    </row>
    <row r="10516" spans="3:3" x14ac:dyDescent="0.25">
      <c r="C10516"/>
    </row>
    <row r="10517" spans="3:3" x14ac:dyDescent="0.25">
      <c r="C10517"/>
    </row>
    <row r="10518" spans="3:3" x14ac:dyDescent="0.25">
      <c r="C10518"/>
    </row>
    <row r="10519" spans="3:3" x14ac:dyDescent="0.25">
      <c r="C10519"/>
    </row>
    <row r="10520" spans="3:3" x14ac:dyDescent="0.25">
      <c r="C10520"/>
    </row>
    <row r="10521" spans="3:3" x14ac:dyDescent="0.25">
      <c r="C10521"/>
    </row>
    <row r="10522" spans="3:3" x14ac:dyDescent="0.25">
      <c r="C10522"/>
    </row>
    <row r="10523" spans="3:3" x14ac:dyDescent="0.25">
      <c r="C10523"/>
    </row>
    <row r="10524" spans="3:3" x14ac:dyDescent="0.25">
      <c r="C10524"/>
    </row>
    <row r="10525" spans="3:3" x14ac:dyDescent="0.25">
      <c r="C10525"/>
    </row>
    <row r="10526" spans="3:3" x14ac:dyDescent="0.25">
      <c r="C10526"/>
    </row>
    <row r="10527" spans="3:3" x14ac:dyDescent="0.25">
      <c r="C10527"/>
    </row>
    <row r="10528" spans="3:3" x14ac:dyDescent="0.25">
      <c r="C10528"/>
    </row>
    <row r="10529" spans="3:3" x14ac:dyDescent="0.25">
      <c r="C10529"/>
    </row>
    <row r="10530" spans="3:3" x14ac:dyDescent="0.25">
      <c r="C10530"/>
    </row>
    <row r="10531" spans="3:3" x14ac:dyDescent="0.25">
      <c r="C10531"/>
    </row>
    <row r="10532" spans="3:3" x14ac:dyDescent="0.25">
      <c r="C10532"/>
    </row>
    <row r="10533" spans="3:3" x14ac:dyDescent="0.25">
      <c r="C10533"/>
    </row>
    <row r="10534" spans="3:3" x14ac:dyDescent="0.25">
      <c r="C10534"/>
    </row>
    <row r="10535" spans="3:3" x14ac:dyDescent="0.25">
      <c r="C10535"/>
    </row>
    <row r="10536" spans="3:3" x14ac:dyDescent="0.25">
      <c r="C10536"/>
    </row>
    <row r="10537" spans="3:3" x14ac:dyDescent="0.25">
      <c r="C10537"/>
    </row>
    <row r="10538" spans="3:3" x14ac:dyDescent="0.25">
      <c r="C10538"/>
    </row>
    <row r="10539" spans="3:3" x14ac:dyDescent="0.25">
      <c r="C10539"/>
    </row>
    <row r="10540" spans="3:3" x14ac:dyDescent="0.25">
      <c r="C10540"/>
    </row>
    <row r="10541" spans="3:3" x14ac:dyDescent="0.25">
      <c r="C10541"/>
    </row>
    <row r="10542" spans="3:3" x14ac:dyDescent="0.25">
      <c r="C10542"/>
    </row>
    <row r="10543" spans="3:3" x14ac:dyDescent="0.25">
      <c r="C10543"/>
    </row>
    <row r="10544" spans="3:3" x14ac:dyDescent="0.25">
      <c r="C10544"/>
    </row>
    <row r="10545" spans="3:3" x14ac:dyDescent="0.25">
      <c r="C10545"/>
    </row>
    <row r="10546" spans="3:3" x14ac:dyDescent="0.25">
      <c r="C10546"/>
    </row>
    <row r="10547" spans="3:3" x14ac:dyDescent="0.25">
      <c r="C10547"/>
    </row>
    <row r="10548" spans="3:3" x14ac:dyDescent="0.25">
      <c r="C10548"/>
    </row>
    <row r="10549" spans="3:3" x14ac:dyDescent="0.25">
      <c r="C10549"/>
    </row>
    <row r="10550" spans="3:3" x14ac:dyDescent="0.25">
      <c r="C10550"/>
    </row>
    <row r="10551" spans="3:3" x14ac:dyDescent="0.25">
      <c r="C10551"/>
    </row>
    <row r="10552" spans="3:3" x14ac:dyDescent="0.25">
      <c r="C10552"/>
    </row>
    <row r="10553" spans="3:3" x14ac:dyDescent="0.25">
      <c r="C10553"/>
    </row>
    <row r="10554" spans="3:3" x14ac:dyDescent="0.25">
      <c r="C10554"/>
    </row>
    <row r="10555" spans="3:3" x14ac:dyDescent="0.25">
      <c r="C10555"/>
    </row>
    <row r="10556" spans="3:3" x14ac:dyDescent="0.25">
      <c r="C10556"/>
    </row>
    <row r="10557" spans="3:3" x14ac:dyDescent="0.25">
      <c r="C10557"/>
    </row>
    <row r="10558" spans="3:3" x14ac:dyDescent="0.25">
      <c r="C10558"/>
    </row>
    <row r="10559" spans="3:3" x14ac:dyDescent="0.25">
      <c r="C10559"/>
    </row>
    <row r="10560" spans="3:3" x14ac:dyDescent="0.25">
      <c r="C10560"/>
    </row>
    <row r="10561" spans="3:3" x14ac:dyDescent="0.25">
      <c r="C10561"/>
    </row>
    <row r="10562" spans="3:3" x14ac:dyDescent="0.25">
      <c r="C10562"/>
    </row>
    <row r="10563" spans="3:3" x14ac:dyDescent="0.25">
      <c r="C10563"/>
    </row>
    <row r="10564" spans="3:3" x14ac:dyDescent="0.25">
      <c r="C10564"/>
    </row>
    <row r="10565" spans="3:3" x14ac:dyDescent="0.25">
      <c r="C10565"/>
    </row>
    <row r="10566" spans="3:3" x14ac:dyDescent="0.25">
      <c r="C10566"/>
    </row>
    <row r="10567" spans="3:3" x14ac:dyDescent="0.25">
      <c r="C10567"/>
    </row>
    <row r="10568" spans="3:3" x14ac:dyDescent="0.25">
      <c r="C10568"/>
    </row>
    <row r="10569" spans="3:3" x14ac:dyDescent="0.25">
      <c r="C10569"/>
    </row>
    <row r="10570" spans="3:3" x14ac:dyDescent="0.25">
      <c r="C10570"/>
    </row>
    <row r="10571" spans="3:3" x14ac:dyDescent="0.25">
      <c r="C10571"/>
    </row>
    <row r="10572" spans="3:3" x14ac:dyDescent="0.25">
      <c r="C10572"/>
    </row>
    <row r="10573" spans="3:3" x14ac:dyDescent="0.25">
      <c r="C10573"/>
    </row>
    <row r="10574" spans="3:3" x14ac:dyDescent="0.25">
      <c r="C10574"/>
    </row>
    <row r="10575" spans="3:3" x14ac:dyDescent="0.25">
      <c r="C10575"/>
    </row>
    <row r="10576" spans="3:3" x14ac:dyDescent="0.25">
      <c r="C10576"/>
    </row>
    <row r="10577" spans="3:3" x14ac:dyDescent="0.25">
      <c r="C10577"/>
    </row>
    <row r="10578" spans="3:3" x14ac:dyDescent="0.25">
      <c r="C10578"/>
    </row>
    <row r="10579" spans="3:3" x14ac:dyDescent="0.25">
      <c r="C10579"/>
    </row>
    <row r="10580" spans="3:3" x14ac:dyDescent="0.25">
      <c r="C10580"/>
    </row>
    <row r="10581" spans="3:3" x14ac:dyDescent="0.25">
      <c r="C10581"/>
    </row>
    <row r="10582" spans="3:3" x14ac:dyDescent="0.25">
      <c r="C10582"/>
    </row>
    <row r="10583" spans="3:3" x14ac:dyDescent="0.25">
      <c r="C10583"/>
    </row>
    <row r="10584" spans="3:3" x14ac:dyDescent="0.25">
      <c r="C10584"/>
    </row>
    <row r="10585" spans="3:3" x14ac:dyDescent="0.25">
      <c r="C10585"/>
    </row>
    <row r="10586" spans="3:3" x14ac:dyDescent="0.25">
      <c r="C10586"/>
    </row>
    <row r="10587" spans="3:3" x14ac:dyDescent="0.25">
      <c r="C10587"/>
    </row>
    <row r="10588" spans="3:3" x14ac:dyDescent="0.25">
      <c r="C10588"/>
    </row>
    <row r="10589" spans="3:3" x14ac:dyDescent="0.25">
      <c r="C10589"/>
    </row>
    <row r="10590" spans="3:3" x14ac:dyDescent="0.25">
      <c r="C10590"/>
    </row>
    <row r="10591" spans="3:3" x14ac:dyDescent="0.25">
      <c r="C10591"/>
    </row>
    <row r="10592" spans="3:3" x14ac:dyDescent="0.25">
      <c r="C10592"/>
    </row>
    <row r="10593" spans="3:3" x14ac:dyDescent="0.25">
      <c r="C10593"/>
    </row>
    <row r="10594" spans="3:3" x14ac:dyDescent="0.25">
      <c r="C10594"/>
    </row>
    <row r="10595" spans="3:3" x14ac:dyDescent="0.25">
      <c r="C10595"/>
    </row>
    <row r="10596" spans="3:3" x14ac:dyDescent="0.25">
      <c r="C10596"/>
    </row>
    <row r="10597" spans="3:3" x14ac:dyDescent="0.25">
      <c r="C10597"/>
    </row>
    <row r="10598" spans="3:3" x14ac:dyDescent="0.25">
      <c r="C10598"/>
    </row>
    <row r="10599" spans="3:3" x14ac:dyDescent="0.25">
      <c r="C10599"/>
    </row>
    <row r="10600" spans="3:3" x14ac:dyDescent="0.25">
      <c r="C10600"/>
    </row>
    <row r="10601" spans="3:3" x14ac:dyDescent="0.25">
      <c r="C10601"/>
    </row>
    <row r="10602" spans="3:3" x14ac:dyDescent="0.25">
      <c r="C10602"/>
    </row>
    <row r="10603" spans="3:3" x14ac:dyDescent="0.25">
      <c r="C10603"/>
    </row>
    <row r="10604" spans="3:3" x14ac:dyDescent="0.25">
      <c r="C10604"/>
    </row>
    <row r="10605" spans="3:3" x14ac:dyDescent="0.25">
      <c r="C10605"/>
    </row>
    <row r="10606" spans="3:3" x14ac:dyDescent="0.25">
      <c r="C10606"/>
    </row>
    <row r="10607" spans="3:3" x14ac:dyDescent="0.25">
      <c r="C10607"/>
    </row>
    <row r="10608" spans="3:3" x14ac:dyDescent="0.25">
      <c r="C10608"/>
    </row>
    <row r="10609" spans="3:3" x14ac:dyDescent="0.25">
      <c r="C10609"/>
    </row>
    <row r="10610" spans="3:3" x14ac:dyDescent="0.25">
      <c r="C10610"/>
    </row>
    <row r="10611" spans="3:3" x14ac:dyDescent="0.25">
      <c r="C10611"/>
    </row>
    <row r="10612" spans="3:3" x14ac:dyDescent="0.25">
      <c r="C10612"/>
    </row>
    <row r="10613" spans="3:3" x14ac:dyDescent="0.25">
      <c r="C10613"/>
    </row>
    <row r="10614" spans="3:3" x14ac:dyDescent="0.25">
      <c r="C10614"/>
    </row>
    <row r="10615" spans="3:3" x14ac:dyDescent="0.25">
      <c r="C10615"/>
    </row>
    <row r="10616" spans="3:3" x14ac:dyDescent="0.25">
      <c r="C10616"/>
    </row>
    <row r="10617" spans="3:3" x14ac:dyDescent="0.25">
      <c r="C10617"/>
    </row>
    <row r="10618" spans="3:3" x14ac:dyDescent="0.25">
      <c r="C10618"/>
    </row>
    <row r="10619" spans="3:3" x14ac:dyDescent="0.25">
      <c r="C10619"/>
    </row>
    <row r="10620" spans="3:3" x14ac:dyDescent="0.25">
      <c r="C10620"/>
    </row>
    <row r="10621" spans="3:3" x14ac:dyDescent="0.25">
      <c r="C10621"/>
    </row>
    <row r="10622" spans="3:3" x14ac:dyDescent="0.25">
      <c r="C10622"/>
    </row>
    <row r="10623" spans="3:3" x14ac:dyDescent="0.25">
      <c r="C10623"/>
    </row>
    <row r="10624" spans="3:3" x14ac:dyDescent="0.25">
      <c r="C10624"/>
    </row>
    <row r="10625" spans="3:3" x14ac:dyDescent="0.25">
      <c r="C10625"/>
    </row>
    <row r="10626" spans="3:3" x14ac:dyDescent="0.25">
      <c r="C10626"/>
    </row>
    <row r="10627" spans="3:3" x14ac:dyDescent="0.25">
      <c r="C10627"/>
    </row>
    <row r="10628" spans="3:3" x14ac:dyDescent="0.25">
      <c r="C10628"/>
    </row>
    <row r="10629" spans="3:3" x14ac:dyDescent="0.25">
      <c r="C10629"/>
    </row>
    <row r="10630" spans="3:3" x14ac:dyDescent="0.25">
      <c r="C10630"/>
    </row>
    <row r="10631" spans="3:3" x14ac:dyDescent="0.25">
      <c r="C10631"/>
    </row>
    <row r="10632" spans="3:3" x14ac:dyDescent="0.25">
      <c r="C10632"/>
    </row>
    <row r="10633" spans="3:3" x14ac:dyDescent="0.25">
      <c r="C10633"/>
    </row>
    <row r="10634" spans="3:3" x14ac:dyDescent="0.25">
      <c r="C10634"/>
    </row>
    <row r="10635" spans="3:3" x14ac:dyDescent="0.25">
      <c r="C10635"/>
    </row>
    <row r="10636" spans="3:3" x14ac:dyDescent="0.25">
      <c r="C10636"/>
    </row>
    <row r="10637" spans="3:3" x14ac:dyDescent="0.25">
      <c r="C10637"/>
    </row>
    <row r="10638" spans="3:3" x14ac:dyDescent="0.25">
      <c r="C10638"/>
    </row>
    <row r="10639" spans="3:3" x14ac:dyDescent="0.25">
      <c r="C10639"/>
    </row>
    <row r="10640" spans="3:3" x14ac:dyDescent="0.25">
      <c r="C10640"/>
    </row>
    <row r="10641" spans="3:3" x14ac:dyDescent="0.25">
      <c r="C10641"/>
    </row>
    <row r="10642" spans="3:3" x14ac:dyDescent="0.25">
      <c r="C10642"/>
    </row>
    <row r="10643" spans="3:3" x14ac:dyDescent="0.25">
      <c r="C10643"/>
    </row>
    <row r="10644" spans="3:3" x14ac:dyDescent="0.25">
      <c r="C10644"/>
    </row>
    <row r="10645" spans="3:3" x14ac:dyDescent="0.25">
      <c r="C10645"/>
    </row>
    <row r="10646" spans="3:3" x14ac:dyDescent="0.25">
      <c r="C10646"/>
    </row>
    <row r="10647" spans="3:3" x14ac:dyDescent="0.25">
      <c r="C10647"/>
    </row>
    <row r="10648" spans="3:3" x14ac:dyDescent="0.25">
      <c r="C10648"/>
    </row>
    <row r="10649" spans="3:3" x14ac:dyDescent="0.25">
      <c r="C10649"/>
    </row>
    <row r="10650" spans="3:3" x14ac:dyDescent="0.25">
      <c r="C10650"/>
    </row>
    <row r="10651" spans="3:3" x14ac:dyDescent="0.25">
      <c r="C10651"/>
    </row>
    <row r="10652" spans="3:3" x14ac:dyDescent="0.25">
      <c r="C10652"/>
    </row>
    <row r="10653" spans="3:3" x14ac:dyDescent="0.25">
      <c r="C10653"/>
    </row>
    <row r="10654" spans="3:3" x14ac:dyDescent="0.25">
      <c r="C10654"/>
    </row>
    <row r="10655" spans="3:3" x14ac:dyDescent="0.25">
      <c r="C10655"/>
    </row>
    <row r="10656" spans="3:3" x14ac:dyDescent="0.25">
      <c r="C10656"/>
    </row>
    <row r="10657" spans="3:3" x14ac:dyDescent="0.25">
      <c r="C10657"/>
    </row>
    <row r="10658" spans="3:3" x14ac:dyDescent="0.25">
      <c r="C10658"/>
    </row>
    <row r="10659" spans="3:3" x14ac:dyDescent="0.25">
      <c r="C10659"/>
    </row>
    <row r="10660" spans="3:3" x14ac:dyDescent="0.25">
      <c r="C10660"/>
    </row>
    <row r="10661" spans="3:3" x14ac:dyDescent="0.25">
      <c r="C10661"/>
    </row>
    <row r="10662" spans="3:3" x14ac:dyDescent="0.25">
      <c r="C10662"/>
    </row>
    <row r="10663" spans="3:3" x14ac:dyDescent="0.25">
      <c r="C10663"/>
    </row>
    <row r="10664" spans="3:3" x14ac:dyDescent="0.25">
      <c r="C10664"/>
    </row>
    <row r="10665" spans="3:3" x14ac:dyDescent="0.25">
      <c r="C10665"/>
    </row>
    <row r="10666" spans="3:3" x14ac:dyDescent="0.25">
      <c r="C10666"/>
    </row>
    <row r="10667" spans="3:3" x14ac:dyDescent="0.25">
      <c r="C10667"/>
    </row>
    <row r="10668" spans="3:3" x14ac:dyDescent="0.25">
      <c r="C10668"/>
    </row>
    <row r="10669" spans="3:3" x14ac:dyDescent="0.25">
      <c r="C10669"/>
    </row>
    <row r="10670" spans="3:3" x14ac:dyDescent="0.25">
      <c r="C10670"/>
    </row>
    <row r="10671" spans="3:3" x14ac:dyDescent="0.25">
      <c r="C10671"/>
    </row>
    <row r="10672" spans="3:3" x14ac:dyDescent="0.25">
      <c r="C10672"/>
    </row>
    <row r="10673" spans="3:3" x14ac:dyDescent="0.25">
      <c r="C10673"/>
    </row>
    <row r="10674" spans="3:3" x14ac:dyDescent="0.25">
      <c r="C10674"/>
    </row>
    <row r="10675" spans="3:3" x14ac:dyDescent="0.25">
      <c r="C10675"/>
    </row>
    <row r="10676" spans="3:3" x14ac:dyDescent="0.25">
      <c r="C10676"/>
    </row>
    <row r="10677" spans="3:3" x14ac:dyDescent="0.25">
      <c r="C10677"/>
    </row>
    <row r="10678" spans="3:3" x14ac:dyDescent="0.25">
      <c r="C10678"/>
    </row>
    <row r="10679" spans="3:3" x14ac:dyDescent="0.25">
      <c r="C10679"/>
    </row>
    <row r="10680" spans="3:3" x14ac:dyDescent="0.25">
      <c r="C10680"/>
    </row>
    <row r="10681" spans="3:3" x14ac:dyDescent="0.25">
      <c r="C10681"/>
    </row>
    <row r="10682" spans="3:3" x14ac:dyDescent="0.25">
      <c r="C10682"/>
    </row>
    <row r="10683" spans="3:3" x14ac:dyDescent="0.25">
      <c r="C10683"/>
    </row>
    <row r="10684" spans="3:3" x14ac:dyDescent="0.25">
      <c r="C10684"/>
    </row>
    <row r="10685" spans="3:3" x14ac:dyDescent="0.25">
      <c r="C10685"/>
    </row>
    <row r="10686" spans="3:3" x14ac:dyDescent="0.25">
      <c r="C10686"/>
    </row>
    <row r="10687" spans="3:3" x14ac:dyDescent="0.25">
      <c r="C10687"/>
    </row>
    <row r="10688" spans="3:3" x14ac:dyDescent="0.25">
      <c r="C10688"/>
    </row>
    <row r="10689" spans="3:3" x14ac:dyDescent="0.25">
      <c r="C10689"/>
    </row>
    <row r="10690" spans="3:3" x14ac:dyDescent="0.25">
      <c r="C10690"/>
    </row>
    <row r="10691" spans="3:3" x14ac:dyDescent="0.25">
      <c r="C10691"/>
    </row>
    <row r="10692" spans="3:3" x14ac:dyDescent="0.25">
      <c r="C10692"/>
    </row>
    <row r="10693" spans="3:3" x14ac:dyDescent="0.25">
      <c r="C10693"/>
    </row>
    <row r="10694" spans="3:3" x14ac:dyDescent="0.25">
      <c r="C10694"/>
    </row>
    <row r="10695" spans="3:3" x14ac:dyDescent="0.25">
      <c r="C10695"/>
    </row>
    <row r="10696" spans="3:3" x14ac:dyDescent="0.25">
      <c r="C10696"/>
    </row>
    <row r="10697" spans="3:3" x14ac:dyDescent="0.25">
      <c r="C10697"/>
    </row>
    <row r="10698" spans="3:3" x14ac:dyDescent="0.25">
      <c r="C10698"/>
    </row>
    <row r="10699" spans="3:3" x14ac:dyDescent="0.25">
      <c r="C10699"/>
    </row>
    <row r="10700" spans="3:3" x14ac:dyDescent="0.25">
      <c r="C10700"/>
    </row>
    <row r="10701" spans="3:3" x14ac:dyDescent="0.25">
      <c r="C10701"/>
    </row>
    <row r="10702" spans="3:3" x14ac:dyDescent="0.25">
      <c r="C10702"/>
    </row>
    <row r="10703" spans="3:3" x14ac:dyDescent="0.25">
      <c r="C10703"/>
    </row>
    <row r="10704" spans="3:3" x14ac:dyDescent="0.25">
      <c r="C10704"/>
    </row>
    <row r="10705" spans="3:3" x14ac:dyDescent="0.25">
      <c r="C10705"/>
    </row>
    <row r="10706" spans="3:3" x14ac:dyDescent="0.25">
      <c r="C10706"/>
    </row>
    <row r="10707" spans="3:3" x14ac:dyDescent="0.25">
      <c r="C10707"/>
    </row>
    <row r="10708" spans="3:3" x14ac:dyDescent="0.25">
      <c r="C10708"/>
    </row>
    <row r="10709" spans="3:3" x14ac:dyDescent="0.25">
      <c r="C10709"/>
    </row>
    <row r="10710" spans="3:3" x14ac:dyDescent="0.25">
      <c r="C10710"/>
    </row>
    <row r="10711" spans="3:3" x14ac:dyDescent="0.25">
      <c r="C10711"/>
    </row>
    <row r="10712" spans="3:3" x14ac:dyDescent="0.25">
      <c r="C10712"/>
    </row>
    <row r="10713" spans="3:3" x14ac:dyDescent="0.25">
      <c r="C10713"/>
    </row>
    <row r="10714" spans="3:3" x14ac:dyDescent="0.25">
      <c r="C10714"/>
    </row>
    <row r="10715" spans="3:3" x14ac:dyDescent="0.25">
      <c r="C10715"/>
    </row>
    <row r="10716" spans="3:3" x14ac:dyDescent="0.25">
      <c r="C10716"/>
    </row>
    <row r="10717" spans="3:3" x14ac:dyDescent="0.25">
      <c r="C10717"/>
    </row>
    <row r="10718" spans="3:3" x14ac:dyDescent="0.25">
      <c r="C10718"/>
    </row>
    <row r="10719" spans="3:3" x14ac:dyDescent="0.25">
      <c r="C10719"/>
    </row>
    <row r="10720" spans="3:3" x14ac:dyDescent="0.25">
      <c r="C10720"/>
    </row>
    <row r="10721" spans="3:3" x14ac:dyDescent="0.25">
      <c r="C10721"/>
    </row>
    <row r="10722" spans="3:3" x14ac:dyDescent="0.25">
      <c r="C10722"/>
    </row>
    <row r="10723" spans="3:3" x14ac:dyDescent="0.25">
      <c r="C10723"/>
    </row>
    <row r="10724" spans="3:3" x14ac:dyDescent="0.25">
      <c r="C10724"/>
    </row>
    <row r="10725" spans="3:3" x14ac:dyDescent="0.25">
      <c r="C10725"/>
    </row>
    <row r="10726" spans="3:3" x14ac:dyDescent="0.25">
      <c r="C10726"/>
    </row>
    <row r="10727" spans="3:3" x14ac:dyDescent="0.25">
      <c r="C10727"/>
    </row>
    <row r="10728" spans="3:3" x14ac:dyDescent="0.25">
      <c r="C10728"/>
    </row>
    <row r="10729" spans="3:3" x14ac:dyDescent="0.25">
      <c r="C10729"/>
    </row>
    <row r="10730" spans="3:3" x14ac:dyDescent="0.25">
      <c r="C10730"/>
    </row>
    <row r="10731" spans="3:3" x14ac:dyDescent="0.25">
      <c r="C10731"/>
    </row>
    <row r="10732" spans="3:3" x14ac:dyDescent="0.25">
      <c r="C10732"/>
    </row>
    <row r="10733" spans="3:3" x14ac:dyDescent="0.25">
      <c r="C10733"/>
    </row>
    <row r="10734" spans="3:3" x14ac:dyDescent="0.25">
      <c r="C10734"/>
    </row>
    <row r="10735" spans="3:3" x14ac:dyDescent="0.25">
      <c r="C10735"/>
    </row>
    <row r="10736" spans="3:3" x14ac:dyDescent="0.25">
      <c r="C10736"/>
    </row>
    <row r="10737" spans="3:3" x14ac:dyDescent="0.25">
      <c r="C10737"/>
    </row>
    <row r="10738" spans="3:3" x14ac:dyDescent="0.25">
      <c r="C10738"/>
    </row>
    <row r="10739" spans="3:3" x14ac:dyDescent="0.25">
      <c r="C10739"/>
    </row>
    <row r="10740" spans="3:3" x14ac:dyDescent="0.25">
      <c r="C10740"/>
    </row>
    <row r="10741" spans="3:3" x14ac:dyDescent="0.25">
      <c r="C10741"/>
    </row>
    <row r="10742" spans="3:3" x14ac:dyDescent="0.25">
      <c r="C10742"/>
    </row>
    <row r="10743" spans="3:3" x14ac:dyDescent="0.25">
      <c r="C10743"/>
    </row>
    <row r="10744" spans="3:3" x14ac:dyDescent="0.25">
      <c r="C10744"/>
    </row>
    <row r="10745" spans="3:3" x14ac:dyDescent="0.25">
      <c r="C10745"/>
    </row>
    <row r="10746" spans="3:3" x14ac:dyDescent="0.25">
      <c r="C10746"/>
    </row>
    <row r="10747" spans="3:3" x14ac:dyDescent="0.25">
      <c r="C10747"/>
    </row>
    <row r="10748" spans="3:3" x14ac:dyDescent="0.25">
      <c r="C10748"/>
    </row>
    <row r="10749" spans="3:3" x14ac:dyDescent="0.25">
      <c r="C10749"/>
    </row>
    <row r="10750" spans="3:3" x14ac:dyDescent="0.25">
      <c r="C10750"/>
    </row>
    <row r="10751" spans="3:3" x14ac:dyDescent="0.25">
      <c r="C10751"/>
    </row>
    <row r="10752" spans="3:3" x14ac:dyDescent="0.25">
      <c r="C10752"/>
    </row>
    <row r="10753" spans="3:3" x14ac:dyDescent="0.25">
      <c r="C10753"/>
    </row>
    <row r="10754" spans="3:3" x14ac:dyDescent="0.25">
      <c r="C10754"/>
    </row>
    <row r="10755" spans="3:3" x14ac:dyDescent="0.25">
      <c r="C10755"/>
    </row>
    <row r="10756" spans="3:3" x14ac:dyDescent="0.25">
      <c r="C10756"/>
    </row>
    <row r="10757" spans="3:3" x14ac:dyDescent="0.25">
      <c r="C10757"/>
    </row>
    <row r="10758" spans="3:3" x14ac:dyDescent="0.25">
      <c r="C10758"/>
    </row>
    <row r="10759" spans="3:3" x14ac:dyDescent="0.25">
      <c r="C10759"/>
    </row>
    <row r="10760" spans="3:3" x14ac:dyDescent="0.25">
      <c r="C10760"/>
    </row>
    <row r="10761" spans="3:3" x14ac:dyDescent="0.25">
      <c r="C10761"/>
    </row>
    <row r="10762" spans="3:3" x14ac:dyDescent="0.25">
      <c r="C10762"/>
    </row>
    <row r="10763" spans="3:3" x14ac:dyDescent="0.25">
      <c r="C10763"/>
    </row>
    <row r="10764" spans="3:3" x14ac:dyDescent="0.25">
      <c r="C10764"/>
    </row>
    <row r="10765" spans="3:3" x14ac:dyDescent="0.25">
      <c r="C10765"/>
    </row>
    <row r="10766" spans="3:3" x14ac:dyDescent="0.25">
      <c r="C10766"/>
    </row>
    <row r="10767" spans="3:3" x14ac:dyDescent="0.25">
      <c r="C10767"/>
    </row>
    <row r="10768" spans="3:3" x14ac:dyDescent="0.25">
      <c r="C10768"/>
    </row>
    <row r="10769" spans="3:3" x14ac:dyDescent="0.25">
      <c r="C10769"/>
    </row>
    <row r="10770" spans="3:3" x14ac:dyDescent="0.25">
      <c r="C10770"/>
    </row>
    <row r="10771" spans="3:3" x14ac:dyDescent="0.25">
      <c r="C10771"/>
    </row>
    <row r="10772" spans="3:3" x14ac:dyDescent="0.25">
      <c r="C10772"/>
    </row>
    <row r="10773" spans="3:3" x14ac:dyDescent="0.25">
      <c r="C10773"/>
    </row>
    <row r="10774" spans="3:3" x14ac:dyDescent="0.25">
      <c r="C10774"/>
    </row>
    <row r="10775" spans="3:3" x14ac:dyDescent="0.25">
      <c r="C10775"/>
    </row>
    <row r="10776" spans="3:3" x14ac:dyDescent="0.25">
      <c r="C10776"/>
    </row>
    <row r="10777" spans="3:3" x14ac:dyDescent="0.25">
      <c r="C10777"/>
    </row>
    <row r="10778" spans="3:3" x14ac:dyDescent="0.25">
      <c r="C10778"/>
    </row>
    <row r="10779" spans="3:3" x14ac:dyDescent="0.25">
      <c r="C10779"/>
    </row>
    <row r="10780" spans="3:3" x14ac:dyDescent="0.25">
      <c r="C10780"/>
    </row>
    <row r="10781" spans="3:3" x14ac:dyDescent="0.25">
      <c r="C10781"/>
    </row>
    <row r="10782" spans="3:3" x14ac:dyDescent="0.25">
      <c r="C10782"/>
    </row>
    <row r="10783" spans="3:3" x14ac:dyDescent="0.25">
      <c r="C10783"/>
    </row>
    <row r="10784" spans="3:3" x14ac:dyDescent="0.25">
      <c r="C10784"/>
    </row>
    <row r="10785" spans="3:3" x14ac:dyDescent="0.25">
      <c r="C10785"/>
    </row>
    <row r="10786" spans="3:3" x14ac:dyDescent="0.25">
      <c r="C10786"/>
    </row>
    <row r="10787" spans="3:3" x14ac:dyDescent="0.25">
      <c r="C10787"/>
    </row>
    <row r="10788" spans="3:3" x14ac:dyDescent="0.25">
      <c r="C10788"/>
    </row>
    <row r="10789" spans="3:3" x14ac:dyDescent="0.25">
      <c r="C10789"/>
    </row>
    <row r="10790" spans="3:3" x14ac:dyDescent="0.25">
      <c r="C10790"/>
    </row>
    <row r="10791" spans="3:3" x14ac:dyDescent="0.25">
      <c r="C10791"/>
    </row>
    <row r="10792" spans="3:3" x14ac:dyDescent="0.25">
      <c r="C10792"/>
    </row>
    <row r="10793" spans="3:3" x14ac:dyDescent="0.25">
      <c r="C10793"/>
    </row>
    <row r="10794" spans="3:3" x14ac:dyDescent="0.25">
      <c r="C10794"/>
    </row>
    <row r="10795" spans="3:3" x14ac:dyDescent="0.25">
      <c r="C10795"/>
    </row>
    <row r="10796" spans="3:3" x14ac:dyDescent="0.25">
      <c r="C10796"/>
    </row>
    <row r="10797" spans="3:3" x14ac:dyDescent="0.25">
      <c r="C10797"/>
    </row>
    <row r="10798" spans="3:3" x14ac:dyDescent="0.25">
      <c r="C10798"/>
    </row>
    <row r="10799" spans="3:3" x14ac:dyDescent="0.25">
      <c r="C10799"/>
    </row>
    <row r="10800" spans="3:3" x14ac:dyDescent="0.25">
      <c r="C10800"/>
    </row>
    <row r="10801" spans="3:3" x14ac:dyDescent="0.25">
      <c r="C10801"/>
    </row>
    <row r="10802" spans="3:3" x14ac:dyDescent="0.25">
      <c r="C10802"/>
    </row>
    <row r="10803" spans="3:3" x14ac:dyDescent="0.25">
      <c r="C10803"/>
    </row>
    <row r="10804" spans="3:3" x14ac:dyDescent="0.25">
      <c r="C10804"/>
    </row>
    <row r="10805" spans="3:3" x14ac:dyDescent="0.25">
      <c r="C10805"/>
    </row>
    <row r="10806" spans="3:3" x14ac:dyDescent="0.25">
      <c r="C10806"/>
    </row>
    <row r="10807" spans="3:3" x14ac:dyDescent="0.25">
      <c r="C10807"/>
    </row>
    <row r="10808" spans="3:3" x14ac:dyDescent="0.25">
      <c r="C10808"/>
    </row>
    <row r="10809" spans="3:3" x14ac:dyDescent="0.25">
      <c r="C10809"/>
    </row>
    <row r="10810" spans="3:3" x14ac:dyDescent="0.25">
      <c r="C10810"/>
    </row>
    <row r="10811" spans="3:3" x14ac:dyDescent="0.25">
      <c r="C10811"/>
    </row>
    <row r="10812" spans="3:3" x14ac:dyDescent="0.25">
      <c r="C10812"/>
    </row>
    <row r="10813" spans="3:3" x14ac:dyDescent="0.25">
      <c r="C10813"/>
    </row>
    <row r="10814" spans="3:3" x14ac:dyDescent="0.25">
      <c r="C10814"/>
    </row>
    <row r="10815" spans="3:3" x14ac:dyDescent="0.25">
      <c r="C10815"/>
    </row>
    <row r="10816" spans="3:3" x14ac:dyDescent="0.25">
      <c r="C10816"/>
    </row>
    <row r="10817" spans="3:3" x14ac:dyDescent="0.25">
      <c r="C10817"/>
    </row>
    <row r="10818" spans="3:3" x14ac:dyDescent="0.25">
      <c r="C10818"/>
    </row>
    <row r="10819" spans="3:3" x14ac:dyDescent="0.25">
      <c r="C10819"/>
    </row>
    <row r="10820" spans="3:3" x14ac:dyDescent="0.25">
      <c r="C10820"/>
    </row>
    <row r="10821" spans="3:3" x14ac:dyDescent="0.25">
      <c r="C10821"/>
    </row>
    <row r="10822" spans="3:3" x14ac:dyDescent="0.25">
      <c r="C10822"/>
    </row>
    <row r="10823" spans="3:3" x14ac:dyDescent="0.25">
      <c r="C10823"/>
    </row>
    <row r="10824" spans="3:3" x14ac:dyDescent="0.25">
      <c r="C10824"/>
    </row>
    <row r="10825" spans="3:3" x14ac:dyDescent="0.25">
      <c r="C10825"/>
    </row>
    <row r="10826" spans="3:3" x14ac:dyDescent="0.25">
      <c r="C10826"/>
    </row>
    <row r="10827" spans="3:3" x14ac:dyDescent="0.25">
      <c r="C10827"/>
    </row>
    <row r="10828" spans="3:3" x14ac:dyDescent="0.25">
      <c r="C10828"/>
    </row>
    <row r="10829" spans="3:3" x14ac:dyDescent="0.25">
      <c r="C10829"/>
    </row>
    <row r="10830" spans="3:3" x14ac:dyDescent="0.25">
      <c r="C10830"/>
    </row>
    <row r="10831" spans="3:3" x14ac:dyDescent="0.25">
      <c r="C10831"/>
    </row>
    <row r="10832" spans="3:3" x14ac:dyDescent="0.25">
      <c r="C10832"/>
    </row>
    <row r="10833" spans="3:3" x14ac:dyDescent="0.25">
      <c r="C10833"/>
    </row>
    <row r="10834" spans="3:3" x14ac:dyDescent="0.25">
      <c r="C10834"/>
    </row>
    <row r="10835" spans="3:3" x14ac:dyDescent="0.25">
      <c r="C10835"/>
    </row>
    <row r="10836" spans="3:3" x14ac:dyDescent="0.25">
      <c r="C10836"/>
    </row>
    <row r="10837" spans="3:3" x14ac:dyDescent="0.25">
      <c r="C10837"/>
    </row>
    <row r="10838" spans="3:3" x14ac:dyDescent="0.25">
      <c r="C10838"/>
    </row>
    <row r="10839" spans="3:3" x14ac:dyDescent="0.25">
      <c r="C10839"/>
    </row>
    <row r="10840" spans="3:3" x14ac:dyDescent="0.25">
      <c r="C10840"/>
    </row>
    <row r="10841" spans="3:3" x14ac:dyDescent="0.25">
      <c r="C10841"/>
    </row>
    <row r="10842" spans="3:3" x14ac:dyDescent="0.25">
      <c r="C10842"/>
    </row>
    <row r="10843" spans="3:3" x14ac:dyDescent="0.25">
      <c r="C10843"/>
    </row>
    <row r="10844" spans="3:3" x14ac:dyDescent="0.25">
      <c r="C10844"/>
    </row>
    <row r="10845" spans="3:3" x14ac:dyDescent="0.25">
      <c r="C10845"/>
    </row>
    <row r="10846" spans="3:3" x14ac:dyDescent="0.25">
      <c r="C10846"/>
    </row>
    <row r="10847" spans="3:3" x14ac:dyDescent="0.25">
      <c r="C10847"/>
    </row>
    <row r="10848" spans="3:3" x14ac:dyDescent="0.25">
      <c r="C10848"/>
    </row>
    <row r="10849" spans="3:3" x14ac:dyDescent="0.25">
      <c r="C10849"/>
    </row>
    <row r="10850" spans="3:3" x14ac:dyDescent="0.25">
      <c r="C10850"/>
    </row>
    <row r="10851" spans="3:3" x14ac:dyDescent="0.25">
      <c r="C10851"/>
    </row>
    <row r="10852" spans="3:3" x14ac:dyDescent="0.25">
      <c r="C10852"/>
    </row>
    <row r="10853" spans="3:3" x14ac:dyDescent="0.25">
      <c r="C10853"/>
    </row>
    <row r="10854" spans="3:3" x14ac:dyDescent="0.25">
      <c r="C10854"/>
    </row>
    <row r="10855" spans="3:3" x14ac:dyDescent="0.25">
      <c r="C10855"/>
    </row>
    <row r="10856" spans="3:3" x14ac:dyDescent="0.25">
      <c r="C10856"/>
    </row>
    <row r="10857" spans="3:3" x14ac:dyDescent="0.25">
      <c r="C10857"/>
    </row>
    <row r="10858" spans="3:3" x14ac:dyDescent="0.25">
      <c r="C10858"/>
    </row>
    <row r="10859" spans="3:3" x14ac:dyDescent="0.25">
      <c r="C10859"/>
    </row>
    <row r="10860" spans="3:3" x14ac:dyDescent="0.25">
      <c r="C10860"/>
    </row>
    <row r="10861" spans="3:3" x14ac:dyDescent="0.25">
      <c r="C10861"/>
    </row>
    <row r="10862" spans="3:3" x14ac:dyDescent="0.25">
      <c r="C10862"/>
    </row>
    <row r="10863" spans="3:3" x14ac:dyDescent="0.25">
      <c r="C10863"/>
    </row>
    <row r="10864" spans="3:3" x14ac:dyDescent="0.25">
      <c r="C10864"/>
    </row>
    <row r="10865" spans="3:3" x14ac:dyDescent="0.25">
      <c r="C10865"/>
    </row>
    <row r="10866" spans="3:3" x14ac:dyDescent="0.25">
      <c r="C10866"/>
    </row>
    <row r="10867" spans="3:3" x14ac:dyDescent="0.25">
      <c r="C10867"/>
    </row>
    <row r="10868" spans="3:3" x14ac:dyDescent="0.25">
      <c r="C10868"/>
    </row>
    <row r="10869" spans="3:3" x14ac:dyDescent="0.25">
      <c r="C10869"/>
    </row>
    <row r="10870" spans="3:3" x14ac:dyDescent="0.25">
      <c r="C10870"/>
    </row>
    <row r="10871" spans="3:3" x14ac:dyDescent="0.25">
      <c r="C10871"/>
    </row>
    <row r="10872" spans="3:3" x14ac:dyDescent="0.25">
      <c r="C10872"/>
    </row>
    <row r="10873" spans="3:3" x14ac:dyDescent="0.25">
      <c r="C10873"/>
    </row>
    <row r="10874" spans="3:3" x14ac:dyDescent="0.25">
      <c r="C10874"/>
    </row>
    <row r="10875" spans="3:3" x14ac:dyDescent="0.25">
      <c r="C10875"/>
    </row>
    <row r="10876" spans="3:3" x14ac:dyDescent="0.25">
      <c r="C10876"/>
    </row>
    <row r="10877" spans="3:3" x14ac:dyDescent="0.25">
      <c r="C10877"/>
    </row>
    <row r="10878" spans="3:3" x14ac:dyDescent="0.25">
      <c r="C10878"/>
    </row>
    <row r="10879" spans="3:3" x14ac:dyDescent="0.25">
      <c r="C10879"/>
    </row>
    <row r="10880" spans="3:3" x14ac:dyDescent="0.25">
      <c r="C10880"/>
    </row>
    <row r="10881" spans="3:3" x14ac:dyDescent="0.25">
      <c r="C10881"/>
    </row>
    <row r="10882" spans="3:3" x14ac:dyDescent="0.25">
      <c r="C10882"/>
    </row>
    <row r="10883" spans="3:3" x14ac:dyDescent="0.25">
      <c r="C10883"/>
    </row>
    <row r="10884" spans="3:3" x14ac:dyDescent="0.25">
      <c r="C10884"/>
    </row>
    <row r="10885" spans="3:3" x14ac:dyDescent="0.25">
      <c r="C10885"/>
    </row>
    <row r="10886" spans="3:3" x14ac:dyDescent="0.25">
      <c r="C10886"/>
    </row>
    <row r="10887" spans="3:3" x14ac:dyDescent="0.25">
      <c r="C10887"/>
    </row>
    <row r="10888" spans="3:3" x14ac:dyDescent="0.25">
      <c r="C10888"/>
    </row>
    <row r="10889" spans="3:3" x14ac:dyDescent="0.25">
      <c r="C10889"/>
    </row>
    <row r="10890" spans="3:3" x14ac:dyDescent="0.25">
      <c r="C10890"/>
    </row>
    <row r="10891" spans="3:3" x14ac:dyDescent="0.25">
      <c r="C10891"/>
    </row>
    <row r="10892" spans="3:3" x14ac:dyDescent="0.25">
      <c r="C10892"/>
    </row>
    <row r="10893" spans="3:3" x14ac:dyDescent="0.25">
      <c r="C10893"/>
    </row>
    <row r="10894" spans="3:3" x14ac:dyDescent="0.25">
      <c r="C10894"/>
    </row>
    <row r="10895" spans="3:3" x14ac:dyDescent="0.25">
      <c r="C10895"/>
    </row>
    <row r="10896" spans="3:3" x14ac:dyDescent="0.25">
      <c r="C10896"/>
    </row>
    <row r="10897" spans="3:3" x14ac:dyDescent="0.25">
      <c r="C10897"/>
    </row>
    <row r="10898" spans="3:3" x14ac:dyDescent="0.25">
      <c r="C10898"/>
    </row>
    <row r="10899" spans="3:3" x14ac:dyDescent="0.25">
      <c r="C10899"/>
    </row>
    <row r="10900" spans="3:3" x14ac:dyDescent="0.25">
      <c r="C10900"/>
    </row>
    <row r="10901" spans="3:3" x14ac:dyDescent="0.25">
      <c r="C10901"/>
    </row>
    <row r="10902" spans="3:3" x14ac:dyDescent="0.25">
      <c r="C10902"/>
    </row>
    <row r="10903" spans="3:3" x14ac:dyDescent="0.25">
      <c r="C10903"/>
    </row>
    <row r="10904" spans="3:3" x14ac:dyDescent="0.25">
      <c r="C10904"/>
    </row>
    <row r="10905" spans="3:3" x14ac:dyDescent="0.25">
      <c r="C10905"/>
    </row>
    <row r="10906" spans="3:3" x14ac:dyDescent="0.25">
      <c r="C10906"/>
    </row>
    <row r="10907" spans="3:3" x14ac:dyDescent="0.25">
      <c r="C10907"/>
    </row>
    <row r="10908" spans="3:3" x14ac:dyDescent="0.25">
      <c r="C10908"/>
    </row>
    <row r="10909" spans="3:3" x14ac:dyDescent="0.25">
      <c r="C10909"/>
    </row>
    <row r="10910" spans="3:3" x14ac:dyDescent="0.25">
      <c r="C10910"/>
    </row>
    <row r="10911" spans="3:3" x14ac:dyDescent="0.25">
      <c r="C10911"/>
    </row>
    <row r="10912" spans="3:3" x14ac:dyDescent="0.25">
      <c r="C10912"/>
    </row>
    <row r="10913" spans="3:3" x14ac:dyDescent="0.25">
      <c r="C10913"/>
    </row>
    <row r="10914" spans="3:3" x14ac:dyDescent="0.25">
      <c r="C10914"/>
    </row>
    <row r="10915" spans="3:3" x14ac:dyDescent="0.25">
      <c r="C10915"/>
    </row>
    <row r="10916" spans="3:3" x14ac:dyDescent="0.25">
      <c r="C10916"/>
    </row>
    <row r="10917" spans="3:3" x14ac:dyDescent="0.25">
      <c r="C10917"/>
    </row>
    <row r="10918" spans="3:3" x14ac:dyDescent="0.25">
      <c r="C10918"/>
    </row>
    <row r="10919" spans="3:3" x14ac:dyDescent="0.25">
      <c r="C10919"/>
    </row>
    <row r="10920" spans="3:3" x14ac:dyDescent="0.25">
      <c r="C10920"/>
    </row>
    <row r="10921" spans="3:3" x14ac:dyDescent="0.25">
      <c r="C10921"/>
    </row>
    <row r="10922" spans="3:3" x14ac:dyDescent="0.25">
      <c r="C10922"/>
    </row>
    <row r="10923" spans="3:3" x14ac:dyDescent="0.25">
      <c r="C10923"/>
    </row>
    <row r="10924" spans="3:3" x14ac:dyDescent="0.25">
      <c r="C10924"/>
    </row>
    <row r="10925" spans="3:3" x14ac:dyDescent="0.25">
      <c r="C10925"/>
    </row>
    <row r="10926" spans="3:3" x14ac:dyDescent="0.25">
      <c r="C10926"/>
    </row>
    <row r="10927" spans="3:3" x14ac:dyDescent="0.25">
      <c r="C10927"/>
    </row>
    <row r="10928" spans="3:3" x14ac:dyDescent="0.25">
      <c r="C10928"/>
    </row>
    <row r="10929" spans="3:3" x14ac:dyDescent="0.25">
      <c r="C10929"/>
    </row>
    <row r="10930" spans="3:3" x14ac:dyDescent="0.25">
      <c r="C10930"/>
    </row>
    <row r="10931" spans="3:3" x14ac:dyDescent="0.25">
      <c r="C10931"/>
    </row>
    <row r="10932" spans="3:3" x14ac:dyDescent="0.25">
      <c r="C10932"/>
    </row>
    <row r="10933" spans="3:3" x14ac:dyDescent="0.25">
      <c r="C10933"/>
    </row>
    <row r="10934" spans="3:3" x14ac:dyDescent="0.25">
      <c r="C10934"/>
    </row>
    <row r="10935" spans="3:3" x14ac:dyDescent="0.25">
      <c r="C10935"/>
    </row>
    <row r="10936" spans="3:3" x14ac:dyDescent="0.25">
      <c r="C10936"/>
    </row>
    <row r="10937" spans="3:3" x14ac:dyDescent="0.25">
      <c r="C10937"/>
    </row>
    <row r="10938" spans="3:3" x14ac:dyDescent="0.25">
      <c r="C10938"/>
    </row>
    <row r="10939" spans="3:3" x14ac:dyDescent="0.25">
      <c r="C10939"/>
    </row>
    <row r="10940" spans="3:3" x14ac:dyDescent="0.25">
      <c r="C10940"/>
    </row>
    <row r="10941" spans="3:3" x14ac:dyDescent="0.25">
      <c r="C10941"/>
    </row>
    <row r="10942" spans="3:3" x14ac:dyDescent="0.25">
      <c r="C10942"/>
    </row>
    <row r="10943" spans="3:3" x14ac:dyDescent="0.25">
      <c r="C10943"/>
    </row>
    <row r="10944" spans="3:3" x14ac:dyDescent="0.25">
      <c r="C10944"/>
    </row>
    <row r="10945" spans="3:3" x14ac:dyDescent="0.25">
      <c r="C10945"/>
    </row>
    <row r="10946" spans="3:3" x14ac:dyDescent="0.25">
      <c r="C10946"/>
    </row>
    <row r="10947" spans="3:3" x14ac:dyDescent="0.25">
      <c r="C10947"/>
    </row>
    <row r="10948" spans="3:3" x14ac:dyDescent="0.25">
      <c r="C10948"/>
    </row>
    <row r="10949" spans="3:3" x14ac:dyDescent="0.25">
      <c r="C10949"/>
    </row>
    <row r="10950" spans="3:3" x14ac:dyDescent="0.25">
      <c r="C10950"/>
    </row>
    <row r="10951" spans="3:3" x14ac:dyDescent="0.25">
      <c r="C10951"/>
    </row>
    <row r="10952" spans="3:3" x14ac:dyDescent="0.25">
      <c r="C10952"/>
    </row>
    <row r="10953" spans="3:3" x14ac:dyDescent="0.25">
      <c r="C10953"/>
    </row>
    <row r="10954" spans="3:3" x14ac:dyDescent="0.25">
      <c r="C10954"/>
    </row>
    <row r="10955" spans="3:3" x14ac:dyDescent="0.25">
      <c r="C10955"/>
    </row>
    <row r="10956" spans="3:3" x14ac:dyDescent="0.25">
      <c r="C10956"/>
    </row>
    <row r="10957" spans="3:3" x14ac:dyDescent="0.25">
      <c r="C10957"/>
    </row>
    <row r="10958" spans="3:3" x14ac:dyDescent="0.25">
      <c r="C10958"/>
    </row>
    <row r="10959" spans="3:3" x14ac:dyDescent="0.25">
      <c r="C10959"/>
    </row>
    <row r="10960" spans="3:3" x14ac:dyDescent="0.25">
      <c r="C10960"/>
    </row>
    <row r="10961" spans="3:3" x14ac:dyDescent="0.25">
      <c r="C10961"/>
    </row>
    <row r="10962" spans="3:3" x14ac:dyDescent="0.25">
      <c r="C10962"/>
    </row>
    <row r="10963" spans="3:3" x14ac:dyDescent="0.25">
      <c r="C10963"/>
    </row>
    <row r="10964" spans="3:3" x14ac:dyDescent="0.25">
      <c r="C10964"/>
    </row>
    <row r="10965" spans="3:3" x14ac:dyDescent="0.25">
      <c r="C10965"/>
    </row>
    <row r="10966" spans="3:3" x14ac:dyDescent="0.25">
      <c r="C10966"/>
    </row>
    <row r="10967" spans="3:3" x14ac:dyDescent="0.25">
      <c r="C10967"/>
    </row>
    <row r="10968" spans="3:3" x14ac:dyDescent="0.25">
      <c r="C10968"/>
    </row>
    <row r="10969" spans="3:3" x14ac:dyDescent="0.25">
      <c r="C10969"/>
    </row>
    <row r="10970" spans="3:3" x14ac:dyDescent="0.25">
      <c r="C10970"/>
    </row>
    <row r="10971" spans="3:3" x14ac:dyDescent="0.25">
      <c r="C10971"/>
    </row>
    <row r="10972" spans="3:3" x14ac:dyDescent="0.25">
      <c r="C10972"/>
    </row>
    <row r="10973" spans="3:3" x14ac:dyDescent="0.25">
      <c r="C10973"/>
    </row>
    <row r="10974" spans="3:3" x14ac:dyDescent="0.25">
      <c r="C10974"/>
    </row>
    <row r="10975" spans="3:3" x14ac:dyDescent="0.25">
      <c r="C10975"/>
    </row>
    <row r="10976" spans="3:3" x14ac:dyDescent="0.25">
      <c r="C10976"/>
    </row>
    <row r="10977" spans="3:3" x14ac:dyDescent="0.25">
      <c r="C10977"/>
    </row>
    <row r="10978" spans="3:3" x14ac:dyDescent="0.25">
      <c r="C10978"/>
    </row>
    <row r="10979" spans="3:3" x14ac:dyDescent="0.25">
      <c r="C10979"/>
    </row>
    <row r="10980" spans="3:3" x14ac:dyDescent="0.25">
      <c r="C10980"/>
    </row>
    <row r="10981" spans="3:3" x14ac:dyDescent="0.25">
      <c r="C10981"/>
    </row>
    <row r="10982" spans="3:3" x14ac:dyDescent="0.25">
      <c r="C10982"/>
    </row>
    <row r="10983" spans="3:3" x14ac:dyDescent="0.25">
      <c r="C10983"/>
    </row>
    <row r="10984" spans="3:3" x14ac:dyDescent="0.25">
      <c r="C10984"/>
    </row>
    <row r="10985" spans="3:3" x14ac:dyDescent="0.25">
      <c r="C10985"/>
    </row>
    <row r="10986" spans="3:3" x14ac:dyDescent="0.25">
      <c r="C10986"/>
    </row>
    <row r="10987" spans="3:3" x14ac:dyDescent="0.25">
      <c r="C10987"/>
    </row>
    <row r="10988" spans="3:3" x14ac:dyDescent="0.25">
      <c r="C10988"/>
    </row>
    <row r="10989" spans="3:3" x14ac:dyDescent="0.25">
      <c r="C10989"/>
    </row>
    <row r="10990" spans="3:3" x14ac:dyDescent="0.25">
      <c r="C10990"/>
    </row>
    <row r="10991" spans="3:3" x14ac:dyDescent="0.25">
      <c r="C10991"/>
    </row>
    <row r="10992" spans="3:3" x14ac:dyDescent="0.25">
      <c r="C10992"/>
    </row>
    <row r="10993" spans="3:3" x14ac:dyDescent="0.25">
      <c r="C10993"/>
    </row>
    <row r="10994" spans="3:3" x14ac:dyDescent="0.25">
      <c r="C10994"/>
    </row>
    <row r="10995" spans="3:3" x14ac:dyDescent="0.25">
      <c r="C10995"/>
    </row>
    <row r="10996" spans="3:3" x14ac:dyDescent="0.25">
      <c r="C10996"/>
    </row>
    <row r="10997" spans="3:3" x14ac:dyDescent="0.25">
      <c r="C10997"/>
    </row>
    <row r="10998" spans="3:3" x14ac:dyDescent="0.25">
      <c r="C10998"/>
    </row>
    <row r="10999" spans="3:3" x14ac:dyDescent="0.25">
      <c r="C10999"/>
    </row>
    <row r="11000" spans="3:3" x14ac:dyDescent="0.25">
      <c r="C11000"/>
    </row>
    <row r="11001" spans="3:3" x14ac:dyDescent="0.25">
      <c r="C11001"/>
    </row>
    <row r="11002" spans="3:3" x14ac:dyDescent="0.25">
      <c r="C11002"/>
    </row>
    <row r="11003" spans="3:3" x14ac:dyDescent="0.25">
      <c r="C11003"/>
    </row>
    <row r="11004" spans="3:3" x14ac:dyDescent="0.25">
      <c r="C11004"/>
    </row>
    <row r="11005" spans="3:3" x14ac:dyDescent="0.25">
      <c r="C11005"/>
    </row>
    <row r="11006" spans="3:3" x14ac:dyDescent="0.25">
      <c r="C11006"/>
    </row>
    <row r="11007" spans="3:3" x14ac:dyDescent="0.25">
      <c r="C11007"/>
    </row>
    <row r="11008" spans="3:3" x14ac:dyDescent="0.25">
      <c r="C11008"/>
    </row>
    <row r="11009" spans="3:3" x14ac:dyDescent="0.25">
      <c r="C11009"/>
    </row>
    <row r="11010" spans="3:3" x14ac:dyDescent="0.25">
      <c r="C11010"/>
    </row>
    <row r="11011" spans="3:3" x14ac:dyDescent="0.25">
      <c r="C11011"/>
    </row>
    <row r="11012" spans="3:3" x14ac:dyDescent="0.25">
      <c r="C11012"/>
    </row>
    <row r="11013" spans="3:3" x14ac:dyDescent="0.25">
      <c r="C11013"/>
    </row>
    <row r="11014" spans="3:3" x14ac:dyDescent="0.25">
      <c r="C11014"/>
    </row>
    <row r="11015" spans="3:3" x14ac:dyDescent="0.25">
      <c r="C11015"/>
    </row>
    <row r="11016" spans="3:3" x14ac:dyDescent="0.25">
      <c r="C11016"/>
    </row>
    <row r="11017" spans="3:3" x14ac:dyDescent="0.25">
      <c r="C11017"/>
    </row>
    <row r="11018" spans="3:3" x14ac:dyDescent="0.25">
      <c r="C11018"/>
    </row>
    <row r="11019" spans="3:3" x14ac:dyDescent="0.25">
      <c r="C11019"/>
    </row>
    <row r="11020" spans="3:3" x14ac:dyDescent="0.25">
      <c r="C11020"/>
    </row>
    <row r="11021" spans="3:3" x14ac:dyDescent="0.25">
      <c r="C11021"/>
    </row>
    <row r="11022" spans="3:3" x14ac:dyDescent="0.25">
      <c r="C11022"/>
    </row>
    <row r="11023" spans="3:3" x14ac:dyDescent="0.25">
      <c r="C11023"/>
    </row>
    <row r="11024" spans="3:3" x14ac:dyDescent="0.25">
      <c r="C11024"/>
    </row>
    <row r="11025" spans="3:3" x14ac:dyDescent="0.25">
      <c r="C11025"/>
    </row>
    <row r="11026" spans="3:3" x14ac:dyDescent="0.25">
      <c r="C11026"/>
    </row>
    <row r="11027" spans="3:3" x14ac:dyDescent="0.25">
      <c r="C11027"/>
    </row>
    <row r="11028" spans="3:3" x14ac:dyDescent="0.25">
      <c r="C11028"/>
    </row>
    <row r="11029" spans="3:3" x14ac:dyDescent="0.25">
      <c r="C11029"/>
    </row>
    <row r="11030" spans="3:3" x14ac:dyDescent="0.25">
      <c r="C11030"/>
    </row>
    <row r="11031" spans="3:3" x14ac:dyDescent="0.25">
      <c r="C11031"/>
    </row>
    <row r="11032" spans="3:3" x14ac:dyDescent="0.25">
      <c r="C11032"/>
    </row>
    <row r="11033" spans="3:3" x14ac:dyDescent="0.25">
      <c r="C11033"/>
    </row>
    <row r="11034" spans="3:3" x14ac:dyDescent="0.25">
      <c r="C11034"/>
    </row>
    <row r="11035" spans="3:3" x14ac:dyDescent="0.25">
      <c r="C11035"/>
    </row>
    <row r="11036" spans="3:3" x14ac:dyDescent="0.25">
      <c r="C11036"/>
    </row>
    <row r="11037" spans="3:3" x14ac:dyDescent="0.25">
      <c r="C11037"/>
    </row>
    <row r="11038" spans="3:3" x14ac:dyDescent="0.25">
      <c r="C11038"/>
    </row>
    <row r="11039" spans="3:3" x14ac:dyDescent="0.25">
      <c r="C11039"/>
    </row>
    <row r="11040" spans="3:3" x14ac:dyDescent="0.25">
      <c r="C11040"/>
    </row>
    <row r="11041" spans="3:3" x14ac:dyDescent="0.25">
      <c r="C11041"/>
    </row>
    <row r="11042" spans="3:3" x14ac:dyDescent="0.25">
      <c r="C11042"/>
    </row>
    <row r="11043" spans="3:3" x14ac:dyDescent="0.25">
      <c r="C11043"/>
    </row>
    <row r="11044" spans="3:3" x14ac:dyDescent="0.25">
      <c r="C11044"/>
    </row>
    <row r="11045" spans="3:3" x14ac:dyDescent="0.25">
      <c r="C11045"/>
    </row>
    <row r="11046" spans="3:3" x14ac:dyDescent="0.25">
      <c r="C11046"/>
    </row>
    <row r="11047" spans="3:3" x14ac:dyDescent="0.25">
      <c r="C11047"/>
    </row>
    <row r="11048" spans="3:3" x14ac:dyDescent="0.25">
      <c r="C11048"/>
    </row>
    <row r="11049" spans="3:3" x14ac:dyDescent="0.25">
      <c r="C11049"/>
    </row>
    <row r="11050" spans="3:3" x14ac:dyDescent="0.25">
      <c r="C11050"/>
    </row>
    <row r="11051" spans="3:3" x14ac:dyDescent="0.25">
      <c r="C11051"/>
    </row>
    <row r="11052" spans="3:3" x14ac:dyDescent="0.25">
      <c r="C11052"/>
    </row>
    <row r="11053" spans="3:3" x14ac:dyDescent="0.25">
      <c r="C11053"/>
    </row>
    <row r="11054" spans="3:3" x14ac:dyDescent="0.25">
      <c r="C11054"/>
    </row>
    <row r="11055" spans="3:3" x14ac:dyDescent="0.25">
      <c r="C11055"/>
    </row>
    <row r="11056" spans="3:3" x14ac:dyDescent="0.25">
      <c r="C11056"/>
    </row>
    <row r="11057" spans="3:3" x14ac:dyDescent="0.25">
      <c r="C11057"/>
    </row>
    <row r="11058" spans="3:3" x14ac:dyDescent="0.25">
      <c r="C11058"/>
    </row>
    <row r="11059" spans="3:3" x14ac:dyDescent="0.25">
      <c r="C11059"/>
    </row>
    <row r="11060" spans="3:3" x14ac:dyDescent="0.25">
      <c r="C11060"/>
    </row>
    <row r="11061" spans="3:3" x14ac:dyDescent="0.25">
      <c r="C11061"/>
    </row>
    <row r="11062" spans="3:3" x14ac:dyDescent="0.25">
      <c r="C11062"/>
    </row>
    <row r="11063" spans="3:3" x14ac:dyDescent="0.25">
      <c r="C11063"/>
    </row>
    <row r="11064" spans="3:3" x14ac:dyDescent="0.25">
      <c r="C11064"/>
    </row>
    <row r="11065" spans="3:3" x14ac:dyDescent="0.25">
      <c r="C11065"/>
    </row>
    <row r="11066" spans="3:3" x14ac:dyDescent="0.25">
      <c r="C11066"/>
    </row>
    <row r="11067" spans="3:3" x14ac:dyDescent="0.25">
      <c r="C11067"/>
    </row>
    <row r="11068" spans="3:3" x14ac:dyDescent="0.25">
      <c r="C11068"/>
    </row>
    <row r="11069" spans="3:3" x14ac:dyDescent="0.25">
      <c r="C11069"/>
    </row>
    <row r="11070" spans="3:3" x14ac:dyDescent="0.25">
      <c r="C11070"/>
    </row>
    <row r="11071" spans="3:3" x14ac:dyDescent="0.25">
      <c r="C11071"/>
    </row>
    <row r="11072" spans="3:3" x14ac:dyDescent="0.25">
      <c r="C11072"/>
    </row>
    <row r="11073" spans="3:3" x14ac:dyDescent="0.25">
      <c r="C11073"/>
    </row>
    <row r="11074" spans="3:3" x14ac:dyDescent="0.25">
      <c r="C11074"/>
    </row>
    <row r="11075" spans="3:3" x14ac:dyDescent="0.25">
      <c r="C11075"/>
    </row>
    <row r="11076" spans="3:3" x14ac:dyDescent="0.25">
      <c r="C11076"/>
    </row>
    <row r="11077" spans="3:3" x14ac:dyDescent="0.25">
      <c r="C11077"/>
    </row>
    <row r="11078" spans="3:3" x14ac:dyDescent="0.25">
      <c r="C11078"/>
    </row>
    <row r="11079" spans="3:3" x14ac:dyDescent="0.25">
      <c r="C11079"/>
    </row>
    <row r="11080" spans="3:3" x14ac:dyDescent="0.25">
      <c r="C11080"/>
    </row>
    <row r="11081" spans="3:3" x14ac:dyDescent="0.25">
      <c r="C11081"/>
    </row>
    <row r="11082" spans="3:3" x14ac:dyDescent="0.25">
      <c r="C11082"/>
    </row>
    <row r="11083" spans="3:3" x14ac:dyDescent="0.25">
      <c r="C11083"/>
    </row>
    <row r="11084" spans="3:3" x14ac:dyDescent="0.25">
      <c r="C11084"/>
    </row>
    <row r="11085" spans="3:3" x14ac:dyDescent="0.25">
      <c r="C11085"/>
    </row>
    <row r="11086" spans="3:3" x14ac:dyDescent="0.25">
      <c r="C11086"/>
    </row>
    <row r="11087" spans="3:3" x14ac:dyDescent="0.25">
      <c r="C11087"/>
    </row>
    <row r="11088" spans="3:3" x14ac:dyDescent="0.25">
      <c r="C11088"/>
    </row>
    <row r="11089" spans="3:3" x14ac:dyDescent="0.25">
      <c r="C11089"/>
    </row>
    <row r="11090" spans="3:3" x14ac:dyDescent="0.25">
      <c r="C11090"/>
    </row>
    <row r="11091" spans="3:3" x14ac:dyDescent="0.25">
      <c r="C11091"/>
    </row>
    <row r="11092" spans="3:3" x14ac:dyDescent="0.25">
      <c r="C11092"/>
    </row>
    <row r="11093" spans="3:3" x14ac:dyDescent="0.25">
      <c r="C11093"/>
    </row>
    <row r="11094" spans="3:3" x14ac:dyDescent="0.25">
      <c r="C11094"/>
    </row>
    <row r="11095" spans="3:3" x14ac:dyDescent="0.25">
      <c r="C11095"/>
    </row>
    <row r="11096" spans="3:3" x14ac:dyDescent="0.25">
      <c r="C11096"/>
    </row>
    <row r="11097" spans="3:3" x14ac:dyDescent="0.25">
      <c r="C11097"/>
    </row>
    <row r="11098" spans="3:3" x14ac:dyDescent="0.25">
      <c r="C11098"/>
    </row>
    <row r="11099" spans="3:3" x14ac:dyDescent="0.25">
      <c r="C11099"/>
    </row>
    <row r="11100" spans="3:3" x14ac:dyDescent="0.25">
      <c r="C11100"/>
    </row>
    <row r="11101" spans="3:3" x14ac:dyDescent="0.25">
      <c r="C11101"/>
    </row>
    <row r="11102" spans="3:3" x14ac:dyDescent="0.25">
      <c r="C11102"/>
    </row>
    <row r="11103" spans="3:3" x14ac:dyDescent="0.25">
      <c r="C11103"/>
    </row>
    <row r="11104" spans="3:3" x14ac:dyDescent="0.25">
      <c r="C11104"/>
    </row>
    <row r="11105" spans="3:3" x14ac:dyDescent="0.25">
      <c r="C11105"/>
    </row>
    <row r="11106" spans="3:3" x14ac:dyDescent="0.25">
      <c r="C11106"/>
    </row>
    <row r="11107" spans="3:3" x14ac:dyDescent="0.25">
      <c r="C11107"/>
    </row>
    <row r="11108" spans="3:3" x14ac:dyDescent="0.25">
      <c r="C11108"/>
    </row>
    <row r="11109" spans="3:3" x14ac:dyDescent="0.25">
      <c r="C11109"/>
    </row>
    <row r="11110" spans="3:3" x14ac:dyDescent="0.25">
      <c r="C11110"/>
    </row>
    <row r="11111" spans="3:3" x14ac:dyDescent="0.25">
      <c r="C11111"/>
    </row>
    <row r="11112" spans="3:3" x14ac:dyDescent="0.25">
      <c r="C11112"/>
    </row>
    <row r="11113" spans="3:3" x14ac:dyDescent="0.25">
      <c r="C11113"/>
    </row>
    <row r="11114" spans="3:3" x14ac:dyDescent="0.25">
      <c r="C11114"/>
    </row>
    <row r="11115" spans="3:3" x14ac:dyDescent="0.25">
      <c r="C11115"/>
    </row>
    <row r="11116" spans="3:3" x14ac:dyDescent="0.25">
      <c r="C11116"/>
    </row>
    <row r="11117" spans="3:3" x14ac:dyDescent="0.25">
      <c r="C11117"/>
    </row>
    <row r="11118" spans="3:3" x14ac:dyDescent="0.25">
      <c r="C11118"/>
    </row>
    <row r="11119" spans="3:3" x14ac:dyDescent="0.25">
      <c r="C11119"/>
    </row>
    <row r="11120" spans="3:3" x14ac:dyDescent="0.25">
      <c r="C11120"/>
    </row>
    <row r="11121" spans="3:3" x14ac:dyDescent="0.25">
      <c r="C11121"/>
    </row>
    <row r="11122" spans="3:3" x14ac:dyDescent="0.25">
      <c r="C11122"/>
    </row>
    <row r="11123" spans="3:3" x14ac:dyDescent="0.25">
      <c r="C11123"/>
    </row>
    <row r="11124" spans="3:3" x14ac:dyDescent="0.25">
      <c r="C11124"/>
    </row>
    <row r="11125" spans="3:3" x14ac:dyDescent="0.25">
      <c r="C11125"/>
    </row>
    <row r="11126" spans="3:3" x14ac:dyDescent="0.25">
      <c r="C11126"/>
    </row>
    <row r="11127" spans="3:3" x14ac:dyDescent="0.25">
      <c r="C11127"/>
    </row>
    <row r="11128" spans="3:3" x14ac:dyDescent="0.25">
      <c r="C11128"/>
    </row>
    <row r="11129" spans="3:3" x14ac:dyDescent="0.25">
      <c r="C11129"/>
    </row>
    <row r="11130" spans="3:3" x14ac:dyDescent="0.25">
      <c r="C11130"/>
    </row>
    <row r="11131" spans="3:3" x14ac:dyDescent="0.25">
      <c r="C11131"/>
    </row>
    <row r="11132" spans="3:3" x14ac:dyDescent="0.25">
      <c r="C11132"/>
    </row>
    <row r="11133" spans="3:3" x14ac:dyDescent="0.25">
      <c r="C11133"/>
    </row>
    <row r="11134" spans="3:3" x14ac:dyDescent="0.25">
      <c r="C11134"/>
    </row>
    <row r="11135" spans="3:3" x14ac:dyDescent="0.25">
      <c r="C11135"/>
    </row>
    <row r="11136" spans="3:3" x14ac:dyDescent="0.25">
      <c r="C11136"/>
    </row>
    <row r="11137" spans="3:3" x14ac:dyDescent="0.25">
      <c r="C11137"/>
    </row>
    <row r="11138" spans="3:3" x14ac:dyDescent="0.25">
      <c r="C11138"/>
    </row>
    <row r="11139" spans="3:3" x14ac:dyDescent="0.25">
      <c r="C11139"/>
    </row>
    <row r="11140" spans="3:3" x14ac:dyDescent="0.25">
      <c r="C11140"/>
    </row>
    <row r="11141" spans="3:3" x14ac:dyDescent="0.25">
      <c r="C11141"/>
    </row>
    <row r="11142" spans="3:3" x14ac:dyDescent="0.25">
      <c r="C11142"/>
    </row>
    <row r="11143" spans="3:3" x14ac:dyDescent="0.25">
      <c r="C11143"/>
    </row>
    <row r="11144" spans="3:3" x14ac:dyDescent="0.25">
      <c r="C11144"/>
    </row>
    <row r="11145" spans="3:3" x14ac:dyDescent="0.25">
      <c r="C11145"/>
    </row>
    <row r="11146" spans="3:3" x14ac:dyDescent="0.25">
      <c r="C11146"/>
    </row>
    <row r="11147" spans="3:3" x14ac:dyDescent="0.25">
      <c r="C11147"/>
    </row>
    <row r="11148" spans="3:3" x14ac:dyDescent="0.25">
      <c r="C11148"/>
    </row>
    <row r="11149" spans="3:3" x14ac:dyDescent="0.25">
      <c r="C11149"/>
    </row>
    <row r="11150" spans="3:3" x14ac:dyDescent="0.25">
      <c r="C11150"/>
    </row>
    <row r="11151" spans="3:3" x14ac:dyDescent="0.25">
      <c r="C11151"/>
    </row>
    <row r="11152" spans="3:3" x14ac:dyDescent="0.25">
      <c r="C11152"/>
    </row>
    <row r="11153" spans="3:3" x14ac:dyDescent="0.25">
      <c r="C11153"/>
    </row>
    <row r="11154" spans="3:3" x14ac:dyDescent="0.25">
      <c r="C11154"/>
    </row>
    <row r="11155" spans="3:3" x14ac:dyDescent="0.25">
      <c r="C11155"/>
    </row>
    <row r="11156" spans="3:3" x14ac:dyDescent="0.25">
      <c r="C11156"/>
    </row>
    <row r="11157" spans="3:3" x14ac:dyDescent="0.25">
      <c r="C11157"/>
    </row>
    <row r="11158" spans="3:3" x14ac:dyDescent="0.25">
      <c r="C11158"/>
    </row>
    <row r="11159" spans="3:3" x14ac:dyDescent="0.25">
      <c r="C11159"/>
    </row>
    <row r="11160" spans="3:3" x14ac:dyDescent="0.25">
      <c r="C11160"/>
    </row>
    <row r="11161" spans="3:3" x14ac:dyDescent="0.25">
      <c r="C11161"/>
    </row>
    <row r="11162" spans="3:3" x14ac:dyDescent="0.25">
      <c r="C11162"/>
    </row>
    <row r="11163" spans="3:3" x14ac:dyDescent="0.25">
      <c r="C11163"/>
    </row>
    <row r="11164" spans="3:3" x14ac:dyDescent="0.25">
      <c r="C11164"/>
    </row>
    <row r="11165" spans="3:3" x14ac:dyDescent="0.25">
      <c r="C11165"/>
    </row>
    <row r="11166" spans="3:3" x14ac:dyDescent="0.25">
      <c r="C11166"/>
    </row>
    <row r="11167" spans="3:3" x14ac:dyDescent="0.25">
      <c r="C11167"/>
    </row>
    <row r="11168" spans="3:3" x14ac:dyDescent="0.25">
      <c r="C11168"/>
    </row>
    <row r="11169" spans="3:3" x14ac:dyDescent="0.25">
      <c r="C11169"/>
    </row>
    <row r="11170" spans="3:3" x14ac:dyDescent="0.25">
      <c r="C11170"/>
    </row>
    <row r="11171" spans="3:3" x14ac:dyDescent="0.25">
      <c r="C11171"/>
    </row>
    <row r="11172" spans="3:3" x14ac:dyDescent="0.25">
      <c r="C11172"/>
    </row>
    <row r="11173" spans="3:3" x14ac:dyDescent="0.25">
      <c r="C11173"/>
    </row>
    <row r="11174" spans="3:3" x14ac:dyDescent="0.25">
      <c r="C11174"/>
    </row>
    <row r="11175" spans="3:3" x14ac:dyDescent="0.25">
      <c r="C11175"/>
    </row>
    <row r="11176" spans="3:3" x14ac:dyDescent="0.25">
      <c r="C11176"/>
    </row>
    <row r="11177" spans="3:3" x14ac:dyDescent="0.25">
      <c r="C11177"/>
    </row>
    <row r="11178" spans="3:3" x14ac:dyDescent="0.25">
      <c r="C11178"/>
    </row>
    <row r="11179" spans="3:3" x14ac:dyDescent="0.25">
      <c r="C11179"/>
    </row>
    <row r="11180" spans="3:3" x14ac:dyDescent="0.25">
      <c r="C11180"/>
    </row>
    <row r="11181" spans="3:3" x14ac:dyDescent="0.25">
      <c r="C11181"/>
    </row>
    <row r="11182" spans="3:3" x14ac:dyDescent="0.25">
      <c r="C11182"/>
    </row>
    <row r="11183" spans="3:3" x14ac:dyDescent="0.25">
      <c r="C11183"/>
    </row>
    <row r="11184" spans="3:3" x14ac:dyDescent="0.25">
      <c r="C11184"/>
    </row>
    <row r="11185" spans="3:3" x14ac:dyDescent="0.25">
      <c r="C11185"/>
    </row>
    <row r="11186" spans="3:3" x14ac:dyDescent="0.25">
      <c r="C11186"/>
    </row>
    <row r="11187" spans="3:3" x14ac:dyDescent="0.25">
      <c r="C11187"/>
    </row>
    <row r="11188" spans="3:3" x14ac:dyDescent="0.25">
      <c r="C11188"/>
    </row>
    <row r="11189" spans="3:3" x14ac:dyDescent="0.25">
      <c r="C11189"/>
    </row>
    <row r="11190" spans="3:3" x14ac:dyDescent="0.25">
      <c r="C11190"/>
    </row>
    <row r="11191" spans="3:3" x14ac:dyDescent="0.25">
      <c r="C11191"/>
    </row>
    <row r="11192" spans="3:3" x14ac:dyDescent="0.25">
      <c r="C11192"/>
    </row>
    <row r="11193" spans="3:3" x14ac:dyDescent="0.25">
      <c r="C11193"/>
    </row>
    <row r="11194" spans="3:3" x14ac:dyDescent="0.25">
      <c r="C11194"/>
    </row>
    <row r="11195" spans="3:3" x14ac:dyDescent="0.25">
      <c r="C11195"/>
    </row>
    <row r="11196" spans="3:3" x14ac:dyDescent="0.25">
      <c r="C11196"/>
    </row>
    <row r="11197" spans="3:3" x14ac:dyDescent="0.25">
      <c r="C11197"/>
    </row>
    <row r="11198" spans="3:3" x14ac:dyDescent="0.25">
      <c r="C11198"/>
    </row>
    <row r="11199" spans="3:3" x14ac:dyDescent="0.25">
      <c r="C11199"/>
    </row>
    <row r="11200" spans="3:3" x14ac:dyDescent="0.25">
      <c r="C11200"/>
    </row>
    <row r="11201" spans="3:3" x14ac:dyDescent="0.25">
      <c r="C11201"/>
    </row>
    <row r="11202" spans="3:3" x14ac:dyDescent="0.25">
      <c r="C11202"/>
    </row>
    <row r="11203" spans="3:3" x14ac:dyDescent="0.25">
      <c r="C11203"/>
    </row>
    <row r="11204" spans="3:3" x14ac:dyDescent="0.25">
      <c r="C11204"/>
    </row>
    <row r="11205" spans="3:3" x14ac:dyDescent="0.25">
      <c r="C11205"/>
    </row>
    <row r="11206" spans="3:3" x14ac:dyDescent="0.25">
      <c r="C11206"/>
    </row>
    <row r="11207" spans="3:3" x14ac:dyDescent="0.25">
      <c r="C11207"/>
    </row>
    <row r="11208" spans="3:3" x14ac:dyDescent="0.25">
      <c r="C11208"/>
    </row>
    <row r="11209" spans="3:3" x14ac:dyDescent="0.25">
      <c r="C11209"/>
    </row>
    <row r="11210" spans="3:3" x14ac:dyDescent="0.25">
      <c r="C11210"/>
    </row>
    <row r="11211" spans="3:3" x14ac:dyDescent="0.25">
      <c r="C11211"/>
    </row>
    <row r="11212" spans="3:3" x14ac:dyDescent="0.25">
      <c r="C11212"/>
    </row>
    <row r="11213" spans="3:3" x14ac:dyDescent="0.25">
      <c r="C11213"/>
    </row>
    <row r="11214" spans="3:3" x14ac:dyDescent="0.25">
      <c r="C11214"/>
    </row>
    <row r="11215" spans="3:3" x14ac:dyDescent="0.25">
      <c r="C11215"/>
    </row>
    <row r="11216" spans="3:3" x14ac:dyDescent="0.25">
      <c r="C11216"/>
    </row>
    <row r="11217" spans="3:3" x14ac:dyDescent="0.25">
      <c r="C11217"/>
    </row>
    <row r="11218" spans="3:3" x14ac:dyDescent="0.25">
      <c r="C11218"/>
    </row>
    <row r="11219" spans="3:3" x14ac:dyDescent="0.25">
      <c r="C11219"/>
    </row>
    <row r="11220" spans="3:3" x14ac:dyDescent="0.25">
      <c r="C11220"/>
    </row>
    <row r="11221" spans="3:3" x14ac:dyDescent="0.25">
      <c r="C11221"/>
    </row>
    <row r="11222" spans="3:3" x14ac:dyDescent="0.25">
      <c r="C11222"/>
    </row>
    <row r="11223" spans="3:3" x14ac:dyDescent="0.25">
      <c r="C11223"/>
    </row>
    <row r="11224" spans="3:3" x14ac:dyDescent="0.25">
      <c r="C11224"/>
    </row>
    <row r="11225" spans="3:3" x14ac:dyDescent="0.25">
      <c r="C11225"/>
    </row>
    <row r="11226" spans="3:3" x14ac:dyDescent="0.25">
      <c r="C11226"/>
    </row>
    <row r="11227" spans="3:3" x14ac:dyDescent="0.25">
      <c r="C11227"/>
    </row>
    <row r="11228" spans="3:3" x14ac:dyDescent="0.25">
      <c r="C11228"/>
    </row>
    <row r="11229" spans="3:3" x14ac:dyDescent="0.25">
      <c r="C11229"/>
    </row>
    <row r="11230" spans="3:3" x14ac:dyDescent="0.25">
      <c r="C11230"/>
    </row>
    <row r="11231" spans="3:3" x14ac:dyDescent="0.25">
      <c r="C11231"/>
    </row>
    <row r="11232" spans="3:3" x14ac:dyDescent="0.25">
      <c r="C11232"/>
    </row>
    <row r="11233" spans="3:3" x14ac:dyDescent="0.25">
      <c r="C11233"/>
    </row>
    <row r="11234" spans="3:3" x14ac:dyDescent="0.25">
      <c r="C11234"/>
    </row>
    <row r="11235" spans="3:3" x14ac:dyDescent="0.25">
      <c r="C11235"/>
    </row>
    <row r="11236" spans="3:3" x14ac:dyDescent="0.25">
      <c r="C11236"/>
    </row>
    <row r="11237" spans="3:3" x14ac:dyDescent="0.25">
      <c r="C11237"/>
    </row>
    <row r="11238" spans="3:3" x14ac:dyDescent="0.25">
      <c r="C11238"/>
    </row>
    <row r="11239" spans="3:3" x14ac:dyDescent="0.25">
      <c r="C11239"/>
    </row>
    <row r="11240" spans="3:3" x14ac:dyDescent="0.25">
      <c r="C11240"/>
    </row>
    <row r="11241" spans="3:3" x14ac:dyDescent="0.25">
      <c r="C11241"/>
    </row>
    <row r="11242" spans="3:3" x14ac:dyDescent="0.25">
      <c r="C11242"/>
    </row>
    <row r="11243" spans="3:3" x14ac:dyDescent="0.25">
      <c r="C11243"/>
    </row>
    <row r="11244" spans="3:3" x14ac:dyDescent="0.25">
      <c r="C11244"/>
    </row>
    <row r="11245" spans="3:3" x14ac:dyDescent="0.25">
      <c r="C11245"/>
    </row>
    <row r="11246" spans="3:3" x14ac:dyDescent="0.25">
      <c r="C11246"/>
    </row>
    <row r="11247" spans="3:3" x14ac:dyDescent="0.25">
      <c r="C11247"/>
    </row>
    <row r="11248" spans="3:3" x14ac:dyDescent="0.25">
      <c r="C11248"/>
    </row>
    <row r="11249" spans="3:3" x14ac:dyDescent="0.25">
      <c r="C11249"/>
    </row>
    <row r="11250" spans="3:3" x14ac:dyDescent="0.25">
      <c r="C11250"/>
    </row>
    <row r="11251" spans="3:3" x14ac:dyDescent="0.25">
      <c r="C11251"/>
    </row>
    <row r="11252" spans="3:3" x14ac:dyDescent="0.25">
      <c r="C11252"/>
    </row>
    <row r="11253" spans="3:3" x14ac:dyDescent="0.25">
      <c r="C11253"/>
    </row>
    <row r="11254" spans="3:3" x14ac:dyDescent="0.25">
      <c r="C11254"/>
    </row>
    <row r="11255" spans="3:3" x14ac:dyDescent="0.25">
      <c r="C11255"/>
    </row>
    <row r="11256" spans="3:3" x14ac:dyDescent="0.25">
      <c r="C11256"/>
    </row>
    <row r="11257" spans="3:3" x14ac:dyDescent="0.25">
      <c r="C11257"/>
    </row>
    <row r="11258" spans="3:3" x14ac:dyDescent="0.25">
      <c r="C11258"/>
    </row>
    <row r="11259" spans="3:3" x14ac:dyDescent="0.25">
      <c r="C11259"/>
    </row>
    <row r="11260" spans="3:3" x14ac:dyDescent="0.25">
      <c r="C11260"/>
    </row>
    <row r="11261" spans="3:3" x14ac:dyDescent="0.25">
      <c r="C11261"/>
    </row>
    <row r="11262" spans="3:3" x14ac:dyDescent="0.25">
      <c r="C11262"/>
    </row>
    <row r="11263" spans="3:3" x14ac:dyDescent="0.25">
      <c r="C11263"/>
    </row>
    <row r="11264" spans="3:3" x14ac:dyDescent="0.25">
      <c r="C11264"/>
    </row>
    <row r="11265" spans="3:3" x14ac:dyDescent="0.25">
      <c r="C11265"/>
    </row>
    <row r="11266" spans="3:3" x14ac:dyDescent="0.25">
      <c r="C11266"/>
    </row>
    <row r="11267" spans="3:3" x14ac:dyDescent="0.25">
      <c r="C11267"/>
    </row>
    <row r="11268" spans="3:3" x14ac:dyDescent="0.25">
      <c r="C11268"/>
    </row>
    <row r="11269" spans="3:3" x14ac:dyDescent="0.25">
      <c r="C11269"/>
    </row>
    <row r="11270" spans="3:3" x14ac:dyDescent="0.25">
      <c r="C11270"/>
    </row>
    <row r="11271" spans="3:3" x14ac:dyDescent="0.25">
      <c r="C11271"/>
    </row>
    <row r="11272" spans="3:3" x14ac:dyDescent="0.25">
      <c r="C11272"/>
    </row>
    <row r="11273" spans="3:3" x14ac:dyDescent="0.25">
      <c r="C11273"/>
    </row>
    <row r="11274" spans="3:3" x14ac:dyDescent="0.25">
      <c r="C11274"/>
    </row>
    <row r="11275" spans="3:3" x14ac:dyDescent="0.25">
      <c r="C11275"/>
    </row>
    <row r="11276" spans="3:3" x14ac:dyDescent="0.25">
      <c r="C11276"/>
    </row>
    <row r="11277" spans="3:3" x14ac:dyDescent="0.25">
      <c r="C11277"/>
    </row>
    <row r="11278" spans="3:3" x14ac:dyDescent="0.25">
      <c r="C11278"/>
    </row>
    <row r="11279" spans="3:3" x14ac:dyDescent="0.25">
      <c r="C11279"/>
    </row>
    <row r="11280" spans="3:3" x14ac:dyDescent="0.25">
      <c r="C11280"/>
    </row>
    <row r="11281" spans="3:3" x14ac:dyDescent="0.25">
      <c r="C11281"/>
    </row>
    <row r="11282" spans="3:3" x14ac:dyDescent="0.25">
      <c r="C11282"/>
    </row>
    <row r="11283" spans="3:3" x14ac:dyDescent="0.25">
      <c r="C11283"/>
    </row>
    <row r="11284" spans="3:3" x14ac:dyDescent="0.25">
      <c r="C11284"/>
    </row>
    <row r="11285" spans="3:3" x14ac:dyDescent="0.25">
      <c r="C11285"/>
    </row>
    <row r="11286" spans="3:3" x14ac:dyDescent="0.25">
      <c r="C11286"/>
    </row>
    <row r="11287" spans="3:3" x14ac:dyDescent="0.25">
      <c r="C11287"/>
    </row>
    <row r="11288" spans="3:3" x14ac:dyDescent="0.25">
      <c r="C11288"/>
    </row>
    <row r="11289" spans="3:3" x14ac:dyDescent="0.25">
      <c r="C11289"/>
    </row>
    <row r="11290" spans="3:3" x14ac:dyDescent="0.25">
      <c r="C11290"/>
    </row>
    <row r="11291" spans="3:3" x14ac:dyDescent="0.25">
      <c r="C11291"/>
    </row>
    <row r="11292" spans="3:3" x14ac:dyDescent="0.25">
      <c r="C11292"/>
    </row>
    <row r="11293" spans="3:3" x14ac:dyDescent="0.25">
      <c r="C11293"/>
    </row>
    <row r="11294" spans="3:3" x14ac:dyDescent="0.25">
      <c r="C11294"/>
    </row>
    <row r="11295" spans="3:3" x14ac:dyDescent="0.25">
      <c r="C11295"/>
    </row>
    <row r="11296" spans="3:3" x14ac:dyDescent="0.25">
      <c r="C11296"/>
    </row>
    <row r="11297" spans="3:3" x14ac:dyDescent="0.25">
      <c r="C11297"/>
    </row>
    <row r="11298" spans="3:3" x14ac:dyDescent="0.25">
      <c r="C11298"/>
    </row>
    <row r="11299" spans="3:3" x14ac:dyDescent="0.25">
      <c r="C11299"/>
    </row>
    <row r="11300" spans="3:3" x14ac:dyDescent="0.25">
      <c r="C11300"/>
    </row>
    <row r="11301" spans="3:3" x14ac:dyDescent="0.25">
      <c r="C11301"/>
    </row>
    <row r="11302" spans="3:3" x14ac:dyDescent="0.25">
      <c r="C11302"/>
    </row>
    <row r="11303" spans="3:3" x14ac:dyDescent="0.25">
      <c r="C11303"/>
    </row>
    <row r="11304" spans="3:3" x14ac:dyDescent="0.25">
      <c r="C11304"/>
    </row>
    <row r="11305" spans="3:3" x14ac:dyDescent="0.25">
      <c r="C11305"/>
    </row>
    <row r="11306" spans="3:3" x14ac:dyDescent="0.25">
      <c r="C11306"/>
    </row>
    <row r="11307" spans="3:3" x14ac:dyDescent="0.25">
      <c r="C11307"/>
    </row>
    <row r="11308" spans="3:3" x14ac:dyDescent="0.25">
      <c r="C11308"/>
    </row>
    <row r="11309" spans="3:3" x14ac:dyDescent="0.25">
      <c r="C11309"/>
    </row>
    <row r="11310" spans="3:3" x14ac:dyDescent="0.25">
      <c r="C11310"/>
    </row>
    <row r="11311" spans="3:3" x14ac:dyDescent="0.25">
      <c r="C11311"/>
    </row>
    <row r="11312" spans="3:3" x14ac:dyDescent="0.25">
      <c r="C11312"/>
    </row>
    <row r="11313" spans="3:3" x14ac:dyDescent="0.25">
      <c r="C11313"/>
    </row>
    <row r="11314" spans="3:3" x14ac:dyDescent="0.25">
      <c r="C11314"/>
    </row>
    <row r="11315" spans="3:3" x14ac:dyDescent="0.25">
      <c r="C11315"/>
    </row>
    <row r="11316" spans="3:3" x14ac:dyDescent="0.25">
      <c r="C11316"/>
    </row>
    <row r="11317" spans="3:3" x14ac:dyDescent="0.25">
      <c r="C11317"/>
    </row>
    <row r="11318" spans="3:3" x14ac:dyDescent="0.25">
      <c r="C11318"/>
    </row>
    <row r="11319" spans="3:3" x14ac:dyDescent="0.25">
      <c r="C11319"/>
    </row>
    <row r="11320" spans="3:3" x14ac:dyDescent="0.25">
      <c r="C11320"/>
    </row>
    <row r="11321" spans="3:3" x14ac:dyDescent="0.25">
      <c r="C11321"/>
    </row>
    <row r="11322" spans="3:3" x14ac:dyDescent="0.25">
      <c r="C11322"/>
    </row>
    <row r="11323" spans="3:3" x14ac:dyDescent="0.25">
      <c r="C11323"/>
    </row>
    <row r="11324" spans="3:3" x14ac:dyDescent="0.25">
      <c r="C11324"/>
    </row>
    <row r="11325" spans="3:3" x14ac:dyDescent="0.25">
      <c r="C11325"/>
    </row>
    <row r="11326" spans="3:3" x14ac:dyDescent="0.25">
      <c r="C11326"/>
    </row>
    <row r="11327" spans="3:3" x14ac:dyDescent="0.25">
      <c r="C11327"/>
    </row>
    <row r="11328" spans="3:3" x14ac:dyDescent="0.25">
      <c r="C11328"/>
    </row>
    <row r="11329" spans="3:3" x14ac:dyDescent="0.25">
      <c r="C11329"/>
    </row>
    <row r="11330" spans="3:3" x14ac:dyDescent="0.25">
      <c r="C11330"/>
    </row>
    <row r="11331" spans="3:3" x14ac:dyDescent="0.25">
      <c r="C11331"/>
    </row>
    <row r="11332" spans="3:3" x14ac:dyDescent="0.25">
      <c r="C11332"/>
    </row>
    <row r="11333" spans="3:3" x14ac:dyDescent="0.25">
      <c r="C11333"/>
    </row>
    <row r="11334" spans="3:3" x14ac:dyDescent="0.25">
      <c r="C11334"/>
    </row>
    <row r="11335" spans="3:3" x14ac:dyDescent="0.25">
      <c r="C11335"/>
    </row>
    <row r="11336" spans="3:3" x14ac:dyDescent="0.25">
      <c r="C11336"/>
    </row>
    <row r="11337" spans="3:3" x14ac:dyDescent="0.25">
      <c r="C11337"/>
    </row>
    <row r="11338" spans="3:3" x14ac:dyDescent="0.25">
      <c r="C11338"/>
    </row>
    <row r="11339" spans="3:3" x14ac:dyDescent="0.25">
      <c r="C11339"/>
    </row>
    <row r="11340" spans="3:3" x14ac:dyDescent="0.25">
      <c r="C11340"/>
    </row>
    <row r="11341" spans="3:3" x14ac:dyDescent="0.25">
      <c r="C11341"/>
    </row>
    <row r="11342" spans="3:3" x14ac:dyDescent="0.25">
      <c r="C11342"/>
    </row>
    <row r="11343" spans="3:3" x14ac:dyDescent="0.25">
      <c r="C11343"/>
    </row>
    <row r="11344" spans="3:3" x14ac:dyDescent="0.25">
      <c r="C11344"/>
    </row>
    <row r="11345" spans="3:3" x14ac:dyDescent="0.25">
      <c r="C11345"/>
    </row>
    <row r="11346" spans="3:3" x14ac:dyDescent="0.25">
      <c r="C11346"/>
    </row>
    <row r="11347" spans="3:3" x14ac:dyDescent="0.25">
      <c r="C11347"/>
    </row>
    <row r="11348" spans="3:3" x14ac:dyDescent="0.25">
      <c r="C11348"/>
    </row>
    <row r="11349" spans="3:3" x14ac:dyDescent="0.25">
      <c r="C11349"/>
    </row>
    <row r="11350" spans="3:3" x14ac:dyDescent="0.25">
      <c r="C11350"/>
    </row>
    <row r="11351" spans="3:3" x14ac:dyDescent="0.25">
      <c r="C11351"/>
    </row>
    <row r="11352" spans="3:3" x14ac:dyDescent="0.25">
      <c r="C11352"/>
    </row>
    <row r="11353" spans="3:3" x14ac:dyDescent="0.25">
      <c r="C11353"/>
    </row>
    <row r="11354" spans="3:3" x14ac:dyDescent="0.25">
      <c r="C11354"/>
    </row>
    <row r="11355" spans="3:3" x14ac:dyDescent="0.25">
      <c r="C11355"/>
    </row>
    <row r="11356" spans="3:3" x14ac:dyDescent="0.25">
      <c r="C11356"/>
    </row>
    <row r="11357" spans="3:3" x14ac:dyDescent="0.25">
      <c r="C11357"/>
    </row>
    <row r="11358" spans="3:3" x14ac:dyDescent="0.25">
      <c r="C11358"/>
    </row>
    <row r="11359" spans="3:3" x14ac:dyDescent="0.25">
      <c r="C11359"/>
    </row>
    <row r="11360" spans="3:3" x14ac:dyDescent="0.25">
      <c r="C11360"/>
    </row>
    <row r="11361" spans="3:3" x14ac:dyDescent="0.25">
      <c r="C11361"/>
    </row>
    <row r="11362" spans="3:3" x14ac:dyDescent="0.25">
      <c r="C11362"/>
    </row>
    <row r="11363" spans="3:3" x14ac:dyDescent="0.25">
      <c r="C11363"/>
    </row>
    <row r="11364" spans="3:3" x14ac:dyDescent="0.25">
      <c r="C11364"/>
    </row>
    <row r="11365" spans="3:3" x14ac:dyDescent="0.25">
      <c r="C11365"/>
    </row>
    <row r="11366" spans="3:3" x14ac:dyDescent="0.25">
      <c r="C11366"/>
    </row>
    <row r="11367" spans="3:3" x14ac:dyDescent="0.25">
      <c r="C11367"/>
    </row>
    <row r="11368" spans="3:3" x14ac:dyDescent="0.25">
      <c r="C11368"/>
    </row>
    <row r="11369" spans="3:3" x14ac:dyDescent="0.25">
      <c r="C11369"/>
    </row>
    <row r="11370" spans="3:3" x14ac:dyDescent="0.25">
      <c r="C11370"/>
    </row>
    <row r="11371" spans="3:3" x14ac:dyDescent="0.25">
      <c r="C11371"/>
    </row>
    <row r="11372" spans="3:3" x14ac:dyDescent="0.25">
      <c r="C11372"/>
    </row>
    <row r="11373" spans="3:3" x14ac:dyDescent="0.25">
      <c r="C11373"/>
    </row>
    <row r="11374" spans="3:3" x14ac:dyDescent="0.25">
      <c r="C11374"/>
    </row>
    <row r="11375" spans="3:3" x14ac:dyDescent="0.25">
      <c r="C11375"/>
    </row>
    <row r="11376" spans="3:3" x14ac:dyDescent="0.25">
      <c r="C11376"/>
    </row>
    <row r="11377" spans="3:3" x14ac:dyDescent="0.25">
      <c r="C11377"/>
    </row>
    <row r="11378" spans="3:3" x14ac:dyDescent="0.25">
      <c r="C11378"/>
    </row>
    <row r="11379" spans="3:3" x14ac:dyDescent="0.25">
      <c r="C11379"/>
    </row>
    <row r="11380" spans="3:3" x14ac:dyDescent="0.25">
      <c r="C11380"/>
    </row>
    <row r="11381" spans="3:3" x14ac:dyDescent="0.25">
      <c r="C11381"/>
    </row>
    <row r="11382" spans="3:3" x14ac:dyDescent="0.25">
      <c r="C11382"/>
    </row>
    <row r="11383" spans="3:3" x14ac:dyDescent="0.25">
      <c r="C11383"/>
    </row>
    <row r="11384" spans="3:3" x14ac:dyDescent="0.25">
      <c r="C11384"/>
    </row>
    <row r="11385" spans="3:3" x14ac:dyDescent="0.25">
      <c r="C11385"/>
    </row>
    <row r="11386" spans="3:3" x14ac:dyDescent="0.25">
      <c r="C11386"/>
    </row>
    <row r="11387" spans="3:3" x14ac:dyDescent="0.25">
      <c r="C11387"/>
    </row>
    <row r="11388" spans="3:3" x14ac:dyDescent="0.25">
      <c r="C11388"/>
    </row>
    <row r="11389" spans="3:3" x14ac:dyDescent="0.25">
      <c r="C11389"/>
    </row>
    <row r="11390" spans="3:3" x14ac:dyDescent="0.25">
      <c r="C11390"/>
    </row>
    <row r="11391" spans="3:3" x14ac:dyDescent="0.25">
      <c r="C11391"/>
    </row>
    <row r="11392" spans="3:3" x14ac:dyDescent="0.25">
      <c r="C11392"/>
    </row>
    <row r="11393" spans="3:3" x14ac:dyDescent="0.25">
      <c r="C11393"/>
    </row>
    <row r="11394" spans="3:3" x14ac:dyDescent="0.25">
      <c r="C11394"/>
    </row>
    <row r="11395" spans="3:3" x14ac:dyDescent="0.25">
      <c r="C11395"/>
    </row>
    <row r="11396" spans="3:3" x14ac:dyDescent="0.25">
      <c r="C11396"/>
    </row>
    <row r="11397" spans="3:3" x14ac:dyDescent="0.25">
      <c r="C11397"/>
    </row>
    <row r="11398" spans="3:3" x14ac:dyDescent="0.25">
      <c r="C11398"/>
    </row>
    <row r="11399" spans="3:3" x14ac:dyDescent="0.25">
      <c r="C11399"/>
    </row>
    <row r="11400" spans="3:3" x14ac:dyDescent="0.25">
      <c r="C11400"/>
    </row>
    <row r="11401" spans="3:3" x14ac:dyDescent="0.25">
      <c r="C11401"/>
    </row>
    <row r="11402" spans="3:3" x14ac:dyDescent="0.25">
      <c r="C11402"/>
    </row>
    <row r="11403" spans="3:3" x14ac:dyDescent="0.25">
      <c r="C11403"/>
    </row>
    <row r="11404" spans="3:3" x14ac:dyDescent="0.25">
      <c r="C11404"/>
    </row>
    <row r="11405" spans="3:3" x14ac:dyDescent="0.25">
      <c r="C11405"/>
    </row>
    <row r="11406" spans="3:3" x14ac:dyDescent="0.25">
      <c r="C11406"/>
    </row>
    <row r="11407" spans="3:3" x14ac:dyDescent="0.25">
      <c r="C11407"/>
    </row>
    <row r="11408" spans="3:3" x14ac:dyDescent="0.25">
      <c r="C11408"/>
    </row>
    <row r="11409" spans="3:3" x14ac:dyDescent="0.25">
      <c r="C11409"/>
    </row>
    <row r="11410" spans="3:3" x14ac:dyDescent="0.25">
      <c r="C11410"/>
    </row>
    <row r="11411" spans="3:3" x14ac:dyDescent="0.25">
      <c r="C11411"/>
    </row>
    <row r="11412" spans="3:3" x14ac:dyDescent="0.25">
      <c r="C11412"/>
    </row>
    <row r="11413" spans="3:3" x14ac:dyDescent="0.25">
      <c r="C11413"/>
    </row>
    <row r="11414" spans="3:3" x14ac:dyDescent="0.25">
      <c r="C11414"/>
    </row>
    <row r="11415" spans="3:3" x14ac:dyDescent="0.25">
      <c r="C11415"/>
    </row>
    <row r="11416" spans="3:3" x14ac:dyDescent="0.25">
      <c r="C11416"/>
    </row>
    <row r="11417" spans="3:3" x14ac:dyDescent="0.25">
      <c r="C11417"/>
    </row>
    <row r="11418" spans="3:3" x14ac:dyDescent="0.25">
      <c r="C11418"/>
    </row>
    <row r="11419" spans="3:3" x14ac:dyDescent="0.25">
      <c r="C11419"/>
    </row>
    <row r="11420" spans="3:3" x14ac:dyDescent="0.25">
      <c r="C11420"/>
    </row>
    <row r="11421" spans="3:3" x14ac:dyDescent="0.25">
      <c r="C11421"/>
    </row>
    <row r="11422" spans="3:3" x14ac:dyDescent="0.25">
      <c r="C11422"/>
    </row>
    <row r="11423" spans="3:3" x14ac:dyDescent="0.25">
      <c r="C11423"/>
    </row>
    <row r="11424" spans="3:3" x14ac:dyDescent="0.25">
      <c r="C11424"/>
    </row>
    <row r="11425" spans="3:3" x14ac:dyDescent="0.25">
      <c r="C11425"/>
    </row>
    <row r="11426" spans="3:3" x14ac:dyDescent="0.25">
      <c r="C11426"/>
    </row>
    <row r="11427" spans="3:3" x14ac:dyDescent="0.25">
      <c r="C11427"/>
    </row>
    <row r="11428" spans="3:3" x14ac:dyDescent="0.25">
      <c r="C11428"/>
    </row>
    <row r="11429" spans="3:3" x14ac:dyDescent="0.25">
      <c r="C11429"/>
    </row>
    <row r="11430" spans="3:3" x14ac:dyDescent="0.25">
      <c r="C11430"/>
    </row>
    <row r="11431" spans="3:3" x14ac:dyDescent="0.25">
      <c r="C11431"/>
    </row>
    <row r="11432" spans="3:3" x14ac:dyDescent="0.25">
      <c r="C11432"/>
    </row>
    <row r="11433" spans="3:3" x14ac:dyDescent="0.25">
      <c r="C11433"/>
    </row>
    <row r="11434" spans="3:3" x14ac:dyDescent="0.25">
      <c r="C11434"/>
    </row>
    <row r="11435" spans="3:3" x14ac:dyDescent="0.25">
      <c r="C11435"/>
    </row>
    <row r="11436" spans="3:3" x14ac:dyDescent="0.25">
      <c r="C11436"/>
    </row>
    <row r="11437" spans="3:3" x14ac:dyDescent="0.25">
      <c r="C11437"/>
    </row>
    <row r="11438" spans="3:3" x14ac:dyDescent="0.25">
      <c r="C11438"/>
    </row>
    <row r="11439" spans="3:3" x14ac:dyDescent="0.25">
      <c r="C11439"/>
    </row>
    <row r="11440" spans="3:3" x14ac:dyDescent="0.25">
      <c r="C11440"/>
    </row>
    <row r="11441" spans="3:3" x14ac:dyDescent="0.25">
      <c r="C11441"/>
    </row>
    <row r="11442" spans="3:3" x14ac:dyDescent="0.25">
      <c r="C11442"/>
    </row>
    <row r="11443" spans="3:3" x14ac:dyDescent="0.25">
      <c r="C11443"/>
    </row>
    <row r="11444" spans="3:3" x14ac:dyDescent="0.25">
      <c r="C11444"/>
    </row>
    <row r="11445" spans="3:3" x14ac:dyDescent="0.25">
      <c r="C11445"/>
    </row>
    <row r="11446" spans="3:3" x14ac:dyDescent="0.25">
      <c r="C11446"/>
    </row>
    <row r="11447" spans="3:3" x14ac:dyDescent="0.25">
      <c r="C11447"/>
    </row>
    <row r="11448" spans="3:3" x14ac:dyDescent="0.25">
      <c r="C11448"/>
    </row>
    <row r="11449" spans="3:3" x14ac:dyDescent="0.25">
      <c r="C11449"/>
    </row>
    <row r="11450" spans="3:3" x14ac:dyDescent="0.25">
      <c r="C11450"/>
    </row>
    <row r="11451" spans="3:3" x14ac:dyDescent="0.25">
      <c r="C11451"/>
    </row>
    <row r="11452" spans="3:3" x14ac:dyDescent="0.25">
      <c r="C11452"/>
    </row>
    <row r="11453" spans="3:3" x14ac:dyDescent="0.25">
      <c r="C11453"/>
    </row>
    <row r="11454" spans="3:3" x14ac:dyDescent="0.25">
      <c r="C11454"/>
    </row>
    <row r="11455" spans="3:3" x14ac:dyDescent="0.25">
      <c r="C11455"/>
    </row>
    <row r="11456" spans="3:3" x14ac:dyDescent="0.25">
      <c r="C11456"/>
    </row>
    <row r="11457" spans="3:3" x14ac:dyDescent="0.25">
      <c r="C11457"/>
    </row>
    <row r="11458" spans="3:3" x14ac:dyDescent="0.25">
      <c r="C11458"/>
    </row>
    <row r="11459" spans="3:3" x14ac:dyDescent="0.25">
      <c r="C11459"/>
    </row>
    <row r="11460" spans="3:3" x14ac:dyDescent="0.25">
      <c r="C11460"/>
    </row>
    <row r="11461" spans="3:3" x14ac:dyDescent="0.25">
      <c r="C11461"/>
    </row>
    <row r="11462" spans="3:3" x14ac:dyDescent="0.25">
      <c r="C11462"/>
    </row>
    <row r="11463" spans="3:3" x14ac:dyDescent="0.25">
      <c r="C11463"/>
    </row>
    <row r="11464" spans="3:3" x14ac:dyDescent="0.25">
      <c r="C11464"/>
    </row>
    <row r="11465" spans="3:3" x14ac:dyDescent="0.25">
      <c r="C11465"/>
    </row>
    <row r="11466" spans="3:3" x14ac:dyDescent="0.25">
      <c r="C11466"/>
    </row>
    <row r="11467" spans="3:3" x14ac:dyDescent="0.25">
      <c r="C11467"/>
    </row>
    <row r="11468" spans="3:3" x14ac:dyDescent="0.25">
      <c r="C11468"/>
    </row>
    <row r="11469" spans="3:3" x14ac:dyDescent="0.25">
      <c r="C11469"/>
    </row>
    <row r="11470" spans="3:3" x14ac:dyDescent="0.25">
      <c r="C11470"/>
    </row>
    <row r="11471" spans="3:3" x14ac:dyDescent="0.25">
      <c r="C11471"/>
    </row>
    <row r="11472" spans="3:3" x14ac:dyDescent="0.25">
      <c r="C11472"/>
    </row>
    <row r="11473" spans="3:3" x14ac:dyDescent="0.25">
      <c r="C11473"/>
    </row>
    <row r="11474" spans="3:3" x14ac:dyDescent="0.25">
      <c r="C11474"/>
    </row>
    <row r="11475" spans="3:3" x14ac:dyDescent="0.25">
      <c r="C11475"/>
    </row>
    <row r="11476" spans="3:3" x14ac:dyDescent="0.25">
      <c r="C11476"/>
    </row>
    <row r="11477" spans="3:3" x14ac:dyDescent="0.25">
      <c r="C11477"/>
    </row>
    <row r="11478" spans="3:3" x14ac:dyDescent="0.25">
      <c r="C11478"/>
    </row>
    <row r="11479" spans="3:3" x14ac:dyDescent="0.25">
      <c r="C11479"/>
    </row>
    <row r="11480" spans="3:3" x14ac:dyDescent="0.25">
      <c r="C11480"/>
    </row>
    <row r="11481" spans="3:3" x14ac:dyDescent="0.25">
      <c r="C11481"/>
    </row>
    <row r="11482" spans="3:3" x14ac:dyDescent="0.25">
      <c r="C11482"/>
    </row>
    <row r="11483" spans="3:3" x14ac:dyDescent="0.25">
      <c r="C11483"/>
    </row>
    <row r="11484" spans="3:3" x14ac:dyDescent="0.25">
      <c r="C11484"/>
    </row>
    <row r="11485" spans="3:3" x14ac:dyDescent="0.25">
      <c r="C11485"/>
    </row>
    <row r="11486" spans="3:3" x14ac:dyDescent="0.25">
      <c r="C11486"/>
    </row>
    <row r="11487" spans="3:3" x14ac:dyDescent="0.25">
      <c r="C11487"/>
    </row>
    <row r="11488" spans="3:3" x14ac:dyDescent="0.25">
      <c r="C11488"/>
    </row>
    <row r="11489" spans="3:3" x14ac:dyDescent="0.25">
      <c r="C11489"/>
    </row>
    <row r="11490" spans="3:3" x14ac:dyDescent="0.25">
      <c r="C11490"/>
    </row>
    <row r="11491" spans="3:3" x14ac:dyDescent="0.25">
      <c r="C11491"/>
    </row>
    <row r="11492" spans="3:3" x14ac:dyDescent="0.25">
      <c r="C11492"/>
    </row>
    <row r="11493" spans="3:3" x14ac:dyDescent="0.25">
      <c r="C11493"/>
    </row>
    <row r="11494" spans="3:3" x14ac:dyDescent="0.25">
      <c r="C11494"/>
    </row>
    <row r="11495" spans="3:3" x14ac:dyDescent="0.25">
      <c r="C11495"/>
    </row>
    <row r="11496" spans="3:3" x14ac:dyDescent="0.25">
      <c r="C11496"/>
    </row>
    <row r="11497" spans="3:3" x14ac:dyDescent="0.25">
      <c r="C11497"/>
    </row>
    <row r="11498" spans="3:3" x14ac:dyDescent="0.25">
      <c r="C11498"/>
    </row>
    <row r="11499" spans="3:3" x14ac:dyDescent="0.25">
      <c r="C11499"/>
    </row>
    <row r="11500" spans="3:3" x14ac:dyDescent="0.25">
      <c r="C11500"/>
    </row>
    <row r="11501" spans="3:3" x14ac:dyDescent="0.25">
      <c r="C11501"/>
    </row>
    <row r="11502" spans="3:3" x14ac:dyDescent="0.25">
      <c r="C11502"/>
    </row>
    <row r="11503" spans="3:3" x14ac:dyDescent="0.25">
      <c r="C11503"/>
    </row>
    <row r="11504" spans="3:3" x14ac:dyDescent="0.25">
      <c r="C11504"/>
    </row>
    <row r="11505" spans="3:3" x14ac:dyDescent="0.25">
      <c r="C11505"/>
    </row>
    <row r="11506" spans="3:3" x14ac:dyDescent="0.25">
      <c r="C11506"/>
    </row>
    <row r="11507" spans="3:3" x14ac:dyDescent="0.25">
      <c r="C11507"/>
    </row>
    <row r="11508" spans="3:3" x14ac:dyDescent="0.25">
      <c r="C11508"/>
    </row>
    <row r="11509" spans="3:3" x14ac:dyDescent="0.25">
      <c r="C11509"/>
    </row>
    <row r="11510" spans="3:3" x14ac:dyDescent="0.25">
      <c r="C11510"/>
    </row>
    <row r="11511" spans="3:3" x14ac:dyDescent="0.25">
      <c r="C11511"/>
    </row>
    <row r="11512" spans="3:3" x14ac:dyDescent="0.25">
      <c r="C11512"/>
    </row>
    <row r="11513" spans="3:3" x14ac:dyDescent="0.25">
      <c r="C11513"/>
    </row>
    <row r="11514" spans="3:3" x14ac:dyDescent="0.25">
      <c r="C11514"/>
    </row>
    <row r="11515" spans="3:3" x14ac:dyDescent="0.25">
      <c r="C11515"/>
    </row>
    <row r="11516" spans="3:3" x14ac:dyDescent="0.25">
      <c r="C11516"/>
    </row>
    <row r="11517" spans="3:3" x14ac:dyDescent="0.25">
      <c r="C11517"/>
    </row>
    <row r="11518" spans="3:3" x14ac:dyDescent="0.25">
      <c r="C11518"/>
    </row>
    <row r="11519" spans="3:3" x14ac:dyDescent="0.25">
      <c r="C11519"/>
    </row>
    <row r="11520" spans="3:3" x14ac:dyDescent="0.25">
      <c r="C11520"/>
    </row>
    <row r="11521" spans="3:3" x14ac:dyDescent="0.25">
      <c r="C11521"/>
    </row>
    <row r="11522" spans="3:3" x14ac:dyDescent="0.25">
      <c r="C11522"/>
    </row>
    <row r="11523" spans="3:3" x14ac:dyDescent="0.25">
      <c r="C11523"/>
    </row>
    <row r="11524" spans="3:3" x14ac:dyDescent="0.25">
      <c r="C11524"/>
    </row>
    <row r="11525" spans="3:3" x14ac:dyDescent="0.25">
      <c r="C11525"/>
    </row>
    <row r="11526" spans="3:3" x14ac:dyDescent="0.25">
      <c r="C11526"/>
    </row>
    <row r="11527" spans="3:3" x14ac:dyDescent="0.25">
      <c r="C11527"/>
    </row>
    <row r="11528" spans="3:3" x14ac:dyDescent="0.25">
      <c r="C11528"/>
    </row>
    <row r="11529" spans="3:3" x14ac:dyDescent="0.25">
      <c r="C11529"/>
    </row>
    <row r="11530" spans="3:3" x14ac:dyDescent="0.25">
      <c r="C11530"/>
    </row>
    <row r="11531" spans="3:3" x14ac:dyDescent="0.25">
      <c r="C11531"/>
    </row>
    <row r="11532" spans="3:3" x14ac:dyDescent="0.25">
      <c r="C11532"/>
    </row>
    <row r="11533" spans="3:3" x14ac:dyDescent="0.25">
      <c r="C11533"/>
    </row>
    <row r="11534" spans="3:3" x14ac:dyDescent="0.25">
      <c r="C11534"/>
    </row>
    <row r="11535" spans="3:3" x14ac:dyDescent="0.25">
      <c r="C11535"/>
    </row>
    <row r="11536" spans="3:3" x14ac:dyDescent="0.25">
      <c r="C11536"/>
    </row>
    <row r="11537" spans="3:3" x14ac:dyDescent="0.25">
      <c r="C11537"/>
    </row>
    <row r="11538" spans="3:3" x14ac:dyDescent="0.25">
      <c r="C11538"/>
    </row>
    <row r="11539" spans="3:3" x14ac:dyDescent="0.25">
      <c r="C11539"/>
    </row>
    <row r="11540" spans="3:3" x14ac:dyDescent="0.25">
      <c r="C11540"/>
    </row>
    <row r="11541" spans="3:3" x14ac:dyDescent="0.25">
      <c r="C11541"/>
    </row>
    <row r="11542" spans="3:3" x14ac:dyDescent="0.25">
      <c r="C11542"/>
    </row>
    <row r="11543" spans="3:3" x14ac:dyDescent="0.25">
      <c r="C11543"/>
    </row>
    <row r="11544" spans="3:3" x14ac:dyDescent="0.25">
      <c r="C11544"/>
    </row>
    <row r="11545" spans="3:3" x14ac:dyDescent="0.25">
      <c r="C11545"/>
    </row>
    <row r="11546" spans="3:3" x14ac:dyDescent="0.25">
      <c r="C11546"/>
    </row>
    <row r="11547" spans="3:3" x14ac:dyDescent="0.25">
      <c r="C11547"/>
    </row>
    <row r="11548" spans="3:3" x14ac:dyDescent="0.25">
      <c r="C11548"/>
    </row>
    <row r="11549" spans="3:3" x14ac:dyDescent="0.25">
      <c r="C11549"/>
    </row>
    <row r="11550" spans="3:3" x14ac:dyDescent="0.25">
      <c r="C11550"/>
    </row>
    <row r="11551" spans="3:3" x14ac:dyDescent="0.25">
      <c r="C11551"/>
    </row>
    <row r="11552" spans="3:3" x14ac:dyDescent="0.25">
      <c r="C11552"/>
    </row>
    <row r="11553" spans="3:3" x14ac:dyDescent="0.25">
      <c r="C11553"/>
    </row>
    <row r="11554" spans="3:3" x14ac:dyDescent="0.25">
      <c r="C11554"/>
    </row>
    <row r="11555" spans="3:3" x14ac:dyDescent="0.25">
      <c r="C11555"/>
    </row>
    <row r="11556" spans="3:3" x14ac:dyDescent="0.25">
      <c r="C11556"/>
    </row>
    <row r="11557" spans="3:3" x14ac:dyDescent="0.25">
      <c r="C11557"/>
    </row>
    <row r="11558" spans="3:3" x14ac:dyDescent="0.25">
      <c r="C11558"/>
    </row>
    <row r="11559" spans="3:3" x14ac:dyDescent="0.25">
      <c r="C11559"/>
    </row>
    <row r="11560" spans="3:3" x14ac:dyDescent="0.25">
      <c r="C11560"/>
    </row>
    <row r="11561" spans="3:3" x14ac:dyDescent="0.25">
      <c r="C11561"/>
    </row>
    <row r="11562" spans="3:3" x14ac:dyDescent="0.25">
      <c r="C11562"/>
    </row>
    <row r="11563" spans="3:3" x14ac:dyDescent="0.25">
      <c r="C11563"/>
    </row>
    <row r="11564" spans="3:3" x14ac:dyDescent="0.25">
      <c r="C11564"/>
    </row>
    <row r="11565" spans="3:3" x14ac:dyDescent="0.25">
      <c r="C11565"/>
    </row>
    <row r="11566" spans="3:3" x14ac:dyDescent="0.25">
      <c r="C11566"/>
    </row>
    <row r="11567" spans="3:3" x14ac:dyDescent="0.25">
      <c r="C11567"/>
    </row>
    <row r="11568" spans="3:3" x14ac:dyDescent="0.25">
      <c r="C11568"/>
    </row>
    <row r="11569" spans="3:3" x14ac:dyDescent="0.25">
      <c r="C11569"/>
    </row>
    <row r="11570" spans="3:3" x14ac:dyDescent="0.25">
      <c r="C11570"/>
    </row>
    <row r="11571" spans="3:3" x14ac:dyDescent="0.25">
      <c r="C11571"/>
    </row>
    <row r="11572" spans="3:3" x14ac:dyDescent="0.25">
      <c r="C11572"/>
    </row>
    <row r="11573" spans="3:3" x14ac:dyDescent="0.25">
      <c r="C11573"/>
    </row>
    <row r="11574" spans="3:3" x14ac:dyDescent="0.25">
      <c r="C11574"/>
    </row>
    <row r="11575" spans="3:3" x14ac:dyDescent="0.25">
      <c r="C11575"/>
    </row>
    <row r="11576" spans="3:3" x14ac:dyDescent="0.25">
      <c r="C11576"/>
    </row>
    <row r="11577" spans="3:3" x14ac:dyDescent="0.25">
      <c r="C11577"/>
    </row>
    <row r="11578" spans="3:3" x14ac:dyDescent="0.25">
      <c r="C11578"/>
    </row>
    <row r="11579" spans="3:3" x14ac:dyDescent="0.25">
      <c r="C11579"/>
    </row>
    <row r="11580" spans="3:3" x14ac:dyDescent="0.25">
      <c r="C11580"/>
    </row>
    <row r="11581" spans="3:3" x14ac:dyDescent="0.25">
      <c r="C11581"/>
    </row>
    <row r="11582" spans="3:3" x14ac:dyDescent="0.25">
      <c r="C11582"/>
    </row>
    <row r="11583" spans="3:3" x14ac:dyDescent="0.25">
      <c r="C11583"/>
    </row>
    <row r="11584" spans="3:3" x14ac:dyDescent="0.25">
      <c r="C11584"/>
    </row>
    <row r="11585" spans="3:3" x14ac:dyDescent="0.25">
      <c r="C11585"/>
    </row>
    <row r="11586" spans="3:3" x14ac:dyDescent="0.25">
      <c r="C11586"/>
    </row>
    <row r="11587" spans="3:3" x14ac:dyDescent="0.25">
      <c r="C11587"/>
    </row>
    <row r="11588" spans="3:3" x14ac:dyDescent="0.25">
      <c r="C11588"/>
    </row>
    <row r="11589" spans="3:3" x14ac:dyDescent="0.25">
      <c r="C11589"/>
    </row>
    <row r="11590" spans="3:3" x14ac:dyDescent="0.25">
      <c r="C11590"/>
    </row>
    <row r="11591" spans="3:3" x14ac:dyDescent="0.25">
      <c r="C11591"/>
    </row>
    <row r="11592" spans="3:3" x14ac:dyDescent="0.25">
      <c r="C11592"/>
    </row>
    <row r="11593" spans="3:3" x14ac:dyDescent="0.25">
      <c r="C11593"/>
    </row>
    <row r="11594" spans="3:3" x14ac:dyDescent="0.25">
      <c r="C11594"/>
    </row>
    <row r="11595" spans="3:3" x14ac:dyDescent="0.25">
      <c r="C11595"/>
    </row>
    <row r="11596" spans="3:3" x14ac:dyDescent="0.25">
      <c r="C11596"/>
    </row>
    <row r="11597" spans="3:3" x14ac:dyDescent="0.25">
      <c r="C11597"/>
    </row>
    <row r="11598" spans="3:3" x14ac:dyDescent="0.25">
      <c r="C11598"/>
    </row>
    <row r="11599" spans="3:3" x14ac:dyDescent="0.25">
      <c r="C11599"/>
    </row>
    <row r="11600" spans="3:3" x14ac:dyDescent="0.25">
      <c r="C11600"/>
    </row>
    <row r="11601" spans="3:3" x14ac:dyDescent="0.25">
      <c r="C11601"/>
    </row>
    <row r="11602" spans="3:3" x14ac:dyDescent="0.25">
      <c r="C11602"/>
    </row>
    <row r="11603" spans="3:3" x14ac:dyDescent="0.25">
      <c r="C11603"/>
    </row>
    <row r="11604" spans="3:3" x14ac:dyDescent="0.25">
      <c r="C11604"/>
    </row>
    <row r="11605" spans="3:3" x14ac:dyDescent="0.25">
      <c r="C11605"/>
    </row>
    <row r="11606" spans="3:3" x14ac:dyDescent="0.25">
      <c r="C11606"/>
    </row>
    <row r="11607" spans="3:3" x14ac:dyDescent="0.25">
      <c r="C11607"/>
    </row>
    <row r="11608" spans="3:3" x14ac:dyDescent="0.25">
      <c r="C11608"/>
    </row>
    <row r="11609" spans="3:3" x14ac:dyDescent="0.25">
      <c r="C11609"/>
    </row>
    <row r="11610" spans="3:3" x14ac:dyDescent="0.25">
      <c r="C11610"/>
    </row>
    <row r="11611" spans="3:3" x14ac:dyDescent="0.25">
      <c r="C11611"/>
    </row>
    <row r="11612" spans="3:3" x14ac:dyDescent="0.25">
      <c r="C11612"/>
    </row>
    <row r="11613" spans="3:3" x14ac:dyDescent="0.25">
      <c r="C11613"/>
    </row>
    <row r="11614" spans="3:3" x14ac:dyDescent="0.25">
      <c r="C11614"/>
    </row>
    <row r="11615" spans="3:3" x14ac:dyDescent="0.25">
      <c r="C11615"/>
    </row>
    <row r="11616" spans="3:3" x14ac:dyDescent="0.25">
      <c r="C11616"/>
    </row>
    <row r="11617" spans="3:3" x14ac:dyDescent="0.25">
      <c r="C11617"/>
    </row>
    <row r="11618" spans="3:3" x14ac:dyDescent="0.25">
      <c r="C11618"/>
    </row>
    <row r="11619" spans="3:3" x14ac:dyDescent="0.25">
      <c r="C11619"/>
    </row>
    <row r="11620" spans="3:3" x14ac:dyDescent="0.25">
      <c r="C11620"/>
    </row>
    <row r="11621" spans="3:3" x14ac:dyDescent="0.25">
      <c r="C11621"/>
    </row>
    <row r="11622" spans="3:3" x14ac:dyDescent="0.25">
      <c r="C11622"/>
    </row>
    <row r="11623" spans="3:3" x14ac:dyDescent="0.25">
      <c r="C11623"/>
    </row>
    <row r="11624" spans="3:3" x14ac:dyDescent="0.25">
      <c r="C11624"/>
    </row>
    <row r="11625" spans="3:3" x14ac:dyDescent="0.25">
      <c r="C11625"/>
    </row>
    <row r="11626" spans="3:3" x14ac:dyDescent="0.25">
      <c r="C11626"/>
    </row>
    <row r="11627" spans="3:3" x14ac:dyDescent="0.25">
      <c r="C11627"/>
    </row>
    <row r="11628" spans="3:3" x14ac:dyDescent="0.25">
      <c r="C11628"/>
    </row>
    <row r="11629" spans="3:3" x14ac:dyDescent="0.25">
      <c r="C11629"/>
    </row>
    <row r="11630" spans="3:3" x14ac:dyDescent="0.25">
      <c r="C11630"/>
    </row>
    <row r="11631" spans="3:3" x14ac:dyDescent="0.25">
      <c r="C11631"/>
    </row>
    <row r="11632" spans="3:3" x14ac:dyDescent="0.25">
      <c r="C11632"/>
    </row>
    <row r="11633" spans="3:3" x14ac:dyDescent="0.25">
      <c r="C11633"/>
    </row>
    <row r="11634" spans="3:3" x14ac:dyDescent="0.25">
      <c r="C11634"/>
    </row>
    <row r="11635" spans="3:3" x14ac:dyDescent="0.25">
      <c r="C11635"/>
    </row>
    <row r="11636" spans="3:3" x14ac:dyDescent="0.25">
      <c r="C11636"/>
    </row>
    <row r="11637" spans="3:3" x14ac:dyDescent="0.25">
      <c r="C11637"/>
    </row>
    <row r="11638" spans="3:3" x14ac:dyDescent="0.25">
      <c r="C11638"/>
    </row>
    <row r="11639" spans="3:3" x14ac:dyDescent="0.25">
      <c r="C11639"/>
    </row>
    <row r="11640" spans="3:3" x14ac:dyDescent="0.25">
      <c r="C11640"/>
    </row>
    <row r="11641" spans="3:3" x14ac:dyDescent="0.25">
      <c r="C11641"/>
    </row>
    <row r="11642" spans="3:3" x14ac:dyDescent="0.25">
      <c r="C11642"/>
    </row>
    <row r="11643" spans="3:3" x14ac:dyDescent="0.25">
      <c r="C11643"/>
    </row>
    <row r="11644" spans="3:3" x14ac:dyDescent="0.25">
      <c r="C11644"/>
    </row>
    <row r="11645" spans="3:3" x14ac:dyDescent="0.25">
      <c r="C11645"/>
    </row>
    <row r="11646" spans="3:3" x14ac:dyDescent="0.25">
      <c r="C11646"/>
    </row>
    <row r="11647" spans="3:3" x14ac:dyDescent="0.25">
      <c r="C11647"/>
    </row>
    <row r="11648" spans="3:3" x14ac:dyDescent="0.25">
      <c r="C11648"/>
    </row>
    <row r="11649" spans="3:3" x14ac:dyDescent="0.25">
      <c r="C11649"/>
    </row>
    <row r="11650" spans="3:3" x14ac:dyDescent="0.25">
      <c r="C11650"/>
    </row>
    <row r="11651" spans="3:3" x14ac:dyDescent="0.25">
      <c r="C11651"/>
    </row>
    <row r="11652" spans="3:3" x14ac:dyDescent="0.25">
      <c r="C11652"/>
    </row>
    <row r="11653" spans="3:3" x14ac:dyDescent="0.25">
      <c r="C11653"/>
    </row>
    <row r="11654" spans="3:3" x14ac:dyDescent="0.25">
      <c r="C11654"/>
    </row>
    <row r="11655" spans="3:3" x14ac:dyDescent="0.25">
      <c r="C11655"/>
    </row>
    <row r="11656" spans="3:3" x14ac:dyDescent="0.25">
      <c r="C11656"/>
    </row>
    <row r="11657" spans="3:3" x14ac:dyDescent="0.25">
      <c r="C11657"/>
    </row>
    <row r="11658" spans="3:3" x14ac:dyDescent="0.25">
      <c r="C11658"/>
    </row>
    <row r="11659" spans="3:3" x14ac:dyDescent="0.25">
      <c r="C11659"/>
    </row>
    <row r="11660" spans="3:3" x14ac:dyDescent="0.25">
      <c r="C11660"/>
    </row>
    <row r="11661" spans="3:3" x14ac:dyDescent="0.25">
      <c r="C11661"/>
    </row>
    <row r="11662" spans="3:3" x14ac:dyDescent="0.25">
      <c r="C11662"/>
    </row>
    <row r="11663" spans="3:3" x14ac:dyDescent="0.25">
      <c r="C11663"/>
    </row>
    <row r="11664" spans="3:3" x14ac:dyDescent="0.25">
      <c r="C11664"/>
    </row>
    <row r="11665" spans="3:3" x14ac:dyDescent="0.25">
      <c r="C11665"/>
    </row>
    <row r="11666" spans="3:3" x14ac:dyDescent="0.25">
      <c r="C11666"/>
    </row>
    <row r="11667" spans="3:3" x14ac:dyDescent="0.25">
      <c r="C11667"/>
    </row>
    <row r="11668" spans="3:3" x14ac:dyDescent="0.25">
      <c r="C11668"/>
    </row>
    <row r="11669" spans="3:3" x14ac:dyDescent="0.25">
      <c r="C11669"/>
    </row>
    <row r="11670" spans="3:3" x14ac:dyDescent="0.25">
      <c r="C11670"/>
    </row>
    <row r="11671" spans="3:3" x14ac:dyDescent="0.25">
      <c r="C11671"/>
    </row>
    <row r="11672" spans="3:3" x14ac:dyDescent="0.25">
      <c r="C11672"/>
    </row>
    <row r="11673" spans="3:3" x14ac:dyDescent="0.25">
      <c r="C11673"/>
    </row>
    <row r="11674" spans="3:3" x14ac:dyDescent="0.25">
      <c r="C11674"/>
    </row>
    <row r="11675" spans="3:3" x14ac:dyDescent="0.25">
      <c r="C11675"/>
    </row>
    <row r="11676" spans="3:3" x14ac:dyDescent="0.25">
      <c r="C11676"/>
    </row>
    <row r="11677" spans="3:3" x14ac:dyDescent="0.25">
      <c r="C11677"/>
    </row>
    <row r="11678" spans="3:3" x14ac:dyDescent="0.25">
      <c r="C11678"/>
    </row>
    <row r="11679" spans="3:3" x14ac:dyDescent="0.25">
      <c r="C11679"/>
    </row>
    <row r="11680" spans="3:3" x14ac:dyDescent="0.25">
      <c r="C11680"/>
    </row>
    <row r="11681" spans="3:3" x14ac:dyDescent="0.25">
      <c r="C11681"/>
    </row>
    <row r="11682" spans="3:3" x14ac:dyDescent="0.25">
      <c r="C11682"/>
    </row>
    <row r="11683" spans="3:3" x14ac:dyDescent="0.25">
      <c r="C11683"/>
    </row>
    <row r="11684" spans="3:3" x14ac:dyDescent="0.25">
      <c r="C11684"/>
    </row>
    <row r="11685" spans="3:3" x14ac:dyDescent="0.25">
      <c r="C11685"/>
    </row>
    <row r="11686" spans="3:3" x14ac:dyDescent="0.25">
      <c r="C11686"/>
    </row>
    <row r="11687" spans="3:3" x14ac:dyDescent="0.25">
      <c r="C11687"/>
    </row>
    <row r="11688" spans="3:3" x14ac:dyDescent="0.25">
      <c r="C11688"/>
    </row>
    <row r="11689" spans="3:3" x14ac:dyDescent="0.25">
      <c r="C11689"/>
    </row>
    <row r="11690" spans="3:3" x14ac:dyDescent="0.25">
      <c r="C11690"/>
    </row>
    <row r="11691" spans="3:3" x14ac:dyDescent="0.25">
      <c r="C11691"/>
    </row>
    <row r="11692" spans="3:3" x14ac:dyDescent="0.25">
      <c r="C11692"/>
    </row>
    <row r="11693" spans="3:3" x14ac:dyDescent="0.25">
      <c r="C11693"/>
    </row>
    <row r="11694" spans="3:3" x14ac:dyDescent="0.25">
      <c r="C11694"/>
    </row>
    <row r="11695" spans="3:3" x14ac:dyDescent="0.25">
      <c r="C11695"/>
    </row>
    <row r="11696" spans="3:3" x14ac:dyDescent="0.25">
      <c r="C11696"/>
    </row>
    <row r="11697" spans="3:3" x14ac:dyDescent="0.25">
      <c r="C11697"/>
    </row>
    <row r="11698" spans="3:3" x14ac:dyDescent="0.25">
      <c r="C11698"/>
    </row>
    <row r="11699" spans="3:3" x14ac:dyDescent="0.25">
      <c r="C11699"/>
    </row>
    <row r="11700" spans="3:3" x14ac:dyDescent="0.25">
      <c r="C11700"/>
    </row>
    <row r="11701" spans="3:3" x14ac:dyDescent="0.25">
      <c r="C11701"/>
    </row>
    <row r="11702" spans="3:3" x14ac:dyDescent="0.25">
      <c r="C11702"/>
    </row>
    <row r="11703" spans="3:3" x14ac:dyDescent="0.25">
      <c r="C11703"/>
    </row>
    <row r="11704" spans="3:3" x14ac:dyDescent="0.25">
      <c r="C11704"/>
    </row>
    <row r="11705" spans="3:3" x14ac:dyDescent="0.25">
      <c r="C11705"/>
    </row>
    <row r="11706" spans="3:3" x14ac:dyDescent="0.25">
      <c r="C11706"/>
    </row>
    <row r="11707" spans="3:3" x14ac:dyDescent="0.25">
      <c r="C11707"/>
    </row>
    <row r="11708" spans="3:3" x14ac:dyDescent="0.25">
      <c r="C11708"/>
    </row>
    <row r="11709" spans="3:3" x14ac:dyDescent="0.25">
      <c r="C11709"/>
    </row>
    <row r="11710" spans="3:3" x14ac:dyDescent="0.25">
      <c r="C11710"/>
    </row>
    <row r="11711" spans="3:3" x14ac:dyDescent="0.25">
      <c r="C11711"/>
    </row>
    <row r="11712" spans="3:3" x14ac:dyDescent="0.25">
      <c r="C11712"/>
    </row>
    <row r="11713" spans="3:3" x14ac:dyDescent="0.25">
      <c r="C11713"/>
    </row>
    <row r="11714" spans="3:3" x14ac:dyDescent="0.25">
      <c r="C11714"/>
    </row>
    <row r="11715" spans="3:3" x14ac:dyDescent="0.25">
      <c r="C11715"/>
    </row>
    <row r="11716" spans="3:3" x14ac:dyDescent="0.25">
      <c r="C11716"/>
    </row>
    <row r="11717" spans="3:3" x14ac:dyDescent="0.25">
      <c r="C11717"/>
    </row>
    <row r="11718" spans="3:3" x14ac:dyDescent="0.25">
      <c r="C11718"/>
    </row>
    <row r="11719" spans="3:3" x14ac:dyDescent="0.25">
      <c r="C11719"/>
    </row>
    <row r="11720" spans="3:3" x14ac:dyDescent="0.25">
      <c r="C11720"/>
    </row>
    <row r="11721" spans="3:3" x14ac:dyDescent="0.25">
      <c r="C11721"/>
    </row>
    <row r="11722" spans="3:3" x14ac:dyDescent="0.25">
      <c r="C11722"/>
    </row>
    <row r="11723" spans="3:3" x14ac:dyDescent="0.25">
      <c r="C11723"/>
    </row>
    <row r="11724" spans="3:3" x14ac:dyDescent="0.25">
      <c r="C11724"/>
    </row>
    <row r="11725" spans="3:3" x14ac:dyDescent="0.25">
      <c r="C11725"/>
    </row>
    <row r="11726" spans="3:3" x14ac:dyDescent="0.25">
      <c r="C11726"/>
    </row>
    <row r="11727" spans="3:3" x14ac:dyDescent="0.25">
      <c r="C11727"/>
    </row>
    <row r="11728" spans="3:3" x14ac:dyDescent="0.25">
      <c r="C11728"/>
    </row>
    <row r="11729" spans="3:3" x14ac:dyDescent="0.25">
      <c r="C11729"/>
    </row>
    <row r="11730" spans="3:3" x14ac:dyDescent="0.25">
      <c r="C11730"/>
    </row>
    <row r="11731" spans="3:3" x14ac:dyDescent="0.25">
      <c r="C11731"/>
    </row>
    <row r="11732" spans="3:3" x14ac:dyDescent="0.25">
      <c r="C11732"/>
    </row>
    <row r="11733" spans="3:3" x14ac:dyDescent="0.25">
      <c r="C11733"/>
    </row>
    <row r="11734" spans="3:3" x14ac:dyDescent="0.25">
      <c r="C11734"/>
    </row>
    <row r="11735" spans="3:3" x14ac:dyDescent="0.25">
      <c r="C11735"/>
    </row>
    <row r="11736" spans="3:3" x14ac:dyDescent="0.25">
      <c r="C11736"/>
    </row>
    <row r="11737" spans="3:3" x14ac:dyDescent="0.25">
      <c r="C11737"/>
    </row>
    <row r="11738" spans="3:3" x14ac:dyDescent="0.25">
      <c r="C11738"/>
    </row>
    <row r="11739" spans="3:3" x14ac:dyDescent="0.25">
      <c r="C11739"/>
    </row>
    <row r="11740" spans="3:3" x14ac:dyDescent="0.25">
      <c r="C11740"/>
    </row>
    <row r="11741" spans="3:3" x14ac:dyDescent="0.25">
      <c r="C11741"/>
    </row>
    <row r="11742" spans="3:3" x14ac:dyDescent="0.25">
      <c r="C11742"/>
    </row>
    <row r="11743" spans="3:3" x14ac:dyDescent="0.25">
      <c r="C11743"/>
    </row>
    <row r="11744" spans="3:3" x14ac:dyDescent="0.25">
      <c r="C11744"/>
    </row>
    <row r="11745" spans="3:3" x14ac:dyDescent="0.25">
      <c r="C11745"/>
    </row>
    <row r="11746" spans="3:3" x14ac:dyDescent="0.25">
      <c r="C11746"/>
    </row>
    <row r="11747" spans="3:3" x14ac:dyDescent="0.25">
      <c r="C11747"/>
    </row>
    <row r="11748" spans="3:3" x14ac:dyDescent="0.25">
      <c r="C11748"/>
    </row>
    <row r="11749" spans="3:3" x14ac:dyDescent="0.25">
      <c r="C11749"/>
    </row>
    <row r="11750" spans="3:3" x14ac:dyDescent="0.25">
      <c r="C11750"/>
    </row>
    <row r="11751" spans="3:3" x14ac:dyDescent="0.25">
      <c r="C11751"/>
    </row>
    <row r="11752" spans="3:3" x14ac:dyDescent="0.25">
      <c r="C11752"/>
    </row>
    <row r="11753" spans="3:3" x14ac:dyDescent="0.25">
      <c r="C11753"/>
    </row>
    <row r="11754" spans="3:3" x14ac:dyDescent="0.25">
      <c r="C11754"/>
    </row>
    <row r="11755" spans="3:3" x14ac:dyDescent="0.25">
      <c r="C11755"/>
    </row>
    <row r="11756" spans="3:3" x14ac:dyDescent="0.25">
      <c r="C11756"/>
    </row>
    <row r="11757" spans="3:3" x14ac:dyDescent="0.25">
      <c r="C11757"/>
    </row>
    <row r="11758" spans="3:3" x14ac:dyDescent="0.25">
      <c r="C11758"/>
    </row>
    <row r="11759" spans="3:3" x14ac:dyDescent="0.25">
      <c r="C11759"/>
    </row>
    <row r="11760" spans="3:3" x14ac:dyDescent="0.25">
      <c r="C11760"/>
    </row>
    <row r="11761" spans="3:3" x14ac:dyDescent="0.25">
      <c r="C11761"/>
    </row>
    <row r="11762" spans="3:3" x14ac:dyDescent="0.25">
      <c r="C11762"/>
    </row>
    <row r="11763" spans="3:3" x14ac:dyDescent="0.25">
      <c r="C11763"/>
    </row>
    <row r="11764" spans="3:3" x14ac:dyDescent="0.25">
      <c r="C11764"/>
    </row>
    <row r="11765" spans="3:3" x14ac:dyDescent="0.25">
      <c r="C11765"/>
    </row>
    <row r="11766" spans="3:3" x14ac:dyDescent="0.25">
      <c r="C11766"/>
    </row>
    <row r="11767" spans="3:3" x14ac:dyDescent="0.25">
      <c r="C11767"/>
    </row>
    <row r="11768" spans="3:3" x14ac:dyDescent="0.25">
      <c r="C11768"/>
    </row>
    <row r="11769" spans="3:3" x14ac:dyDescent="0.25">
      <c r="C11769"/>
    </row>
    <row r="11770" spans="3:3" x14ac:dyDescent="0.25">
      <c r="C11770"/>
    </row>
    <row r="11771" spans="3:3" x14ac:dyDescent="0.25">
      <c r="C11771"/>
    </row>
    <row r="11772" spans="3:3" x14ac:dyDescent="0.25">
      <c r="C11772"/>
    </row>
    <row r="11773" spans="3:3" x14ac:dyDescent="0.25">
      <c r="C11773"/>
    </row>
    <row r="11774" spans="3:3" x14ac:dyDescent="0.25">
      <c r="C11774"/>
    </row>
    <row r="11775" spans="3:3" x14ac:dyDescent="0.25">
      <c r="C11775"/>
    </row>
    <row r="11776" spans="3:3" x14ac:dyDescent="0.25">
      <c r="C11776"/>
    </row>
    <row r="11777" spans="3:3" x14ac:dyDescent="0.25">
      <c r="C11777"/>
    </row>
    <row r="11778" spans="3:3" x14ac:dyDescent="0.25">
      <c r="C11778"/>
    </row>
    <row r="11779" spans="3:3" x14ac:dyDescent="0.25">
      <c r="C11779"/>
    </row>
    <row r="11780" spans="3:3" x14ac:dyDescent="0.25">
      <c r="C11780"/>
    </row>
    <row r="11781" spans="3:3" x14ac:dyDescent="0.25">
      <c r="C11781"/>
    </row>
    <row r="11782" spans="3:3" x14ac:dyDescent="0.25">
      <c r="C11782"/>
    </row>
    <row r="11783" spans="3:3" x14ac:dyDescent="0.25">
      <c r="C11783"/>
    </row>
    <row r="11784" spans="3:3" x14ac:dyDescent="0.25">
      <c r="C11784"/>
    </row>
    <row r="11785" spans="3:3" x14ac:dyDescent="0.25">
      <c r="C11785"/>
    </row>
    <row r="11786" spans="3:3" x14ac:dyDescent="0.25">
      <c r="C11786"/>
    </row>
    <row r="11787" spans="3:3" x14ac:dyDescent="0.25">
      <c r="C11787"/>
    </row>
    <row r="11788" spans="3:3" x14ac:dyDescent="0.25">
      <c r="C11788"/>
    </row>
    <row r="11789" spans="3:3" x14ac:dyDescent="0.25">
      <c r="C11789"/>
    </row>
    <row r="11790" spans="3:3" x14ac:dyDescent="0.25">
      <c r="C11790"/>
    </row>
    <row r="11791" spans="3:3" x14ac:dyDescent="0.25">
      <c r="C11791"/>
    </row>
    <row r="11792" spans="3:3" x14ac:dyDescent="0.25">
      <c r="C11792"/>
    </row>
    <row r="11793" spans="3:3" x14ac:dyDescent="0.25">
      <c r="C11793"/>
    </row>
    <row r="11794" spans="3:3" x14ac:dyDescent="0.25">
      <c r="C11794"/>
    </row>
    <row r="11795" spans="3:3" x14ac:dyDescent="0.25">
      <c r="C11795"/>
    </row>
    <row r="11796" spans="3:3" x14ac:dyDescent="0.25">
      <c r="C11796"/>
    </row>
    <row r="11797" spans="3:3" x14ac:dyDescent="0.25">
      <c r="C11797"/>
    </row>
    <row r="11798" spans="3:3" x14ac:dyDescent="0.25">
      <c r="C11798"/>
    </row>
    <row r="11799" spans="3:3" x14ac:dyDescent="0.25">
      <c r="C11799"/>
    </row>
    <row r="11800" spans="3:3" x14ac:dyDescent="0.25">
      <c r="C11800"/>
    </row>
    <row r="11801" spans="3:3" x14ac:dyDescent="0.25">
      <c r="C11801"/>
    </row>
    <row r="11802" spans="3:3" x14ac:dyDescent="0.25">
      <c r="C11802"/>
    </row>
    <row r="11803" spans="3:3" x14ac:dyDescent="0.25">
      <c r="C11803"/>
    </row>
    <row r="11804" spans="3:3" x14ac:dyDescent="0.25">
      <c r="C11804"/>
    </row>
    <row r="11805" spans="3:3" x14ac:dyDescent="0.25">
      <c r="C11805"/>
    </row>
    <row r="11806" spans="3:3" x14ac:dyDescent="0.25">
      <c r="C11806"/>
    </row>
    <row r="11807" spans="3:3" x14ac:dyDescent="0.25">
      <c r="C11807"/>
    </row>
    <row r="11808" spans="3:3" x14ac:dyDescent="0.25">
      <c r="C11808"/>
    </row>
    <row r="11809" spans="3:3" x14ac:dyDescent="0.25">
      <c r="C11809"/>
    </row>
    <row r="11810" spans="3:3" x14ac:dyDescent="0.25">
      <c r="C11810"/>
    </row>
    <row r="11811" spans="3:3" x14ac:dyDescent="0.25">
      <c r="C11811"/>
    </row>
    <row r="11812" spans="3:3" x14ac:dyDescent="0.25">
      <c r="C11812"/>
    </row>
    <row r="11813" spans="3:3" x14ac:dyDescent="0.25">
      <c r="C11813"/>
    </row>
    <row r="11814" spans="3:3" x14ac:dyDescent="0.25">
      <c r="C11814"/>
    </row>
    <row r="11815" spans="3:3" x14ac:dyDescent="0.25">
      <c r="C11815"/>
    </row>
    <row r="11816" spans="3:3" x14ac:dyDescent="0.25">
      <c r="C11816"/>
    </row>
    <row r="11817" spans="3:3" x14ac:dyDescent="0.25">
      <c r="C11817"/>
    </row>
    <row r="11818" spans="3:3" x14ac:dyDescent="0.25">
      <c r="C11818"/>
    </row>
    <row r="11819" spans="3:3" x14ac:dyDescent="0.25">
      <c r="C11819"/>
    </row>
    <row r="11820" spans="3:3" x14ac:dyDescent="0.25">
      <c r="C11820"/>
    </row>
    <row r="11821" spans="3:3" x14ac:dyDescent="0.25">
      <c r="C11821"/>
    </row>
    <row r="11822" spans="3:3" x14ac:dyDescent="0.25">
      <c r="C11822"/>
    </row>
    <row r="11823" spans="3:3" x14ac:dyDescent="0.25">
      <c r="C11823"/>
    </row>
    <row r="11824" spans="3:3" x14ac:dyDescent="0.25">
      <c r="C11824"/>
    </row>
    <row r="11825" spans="3:3" x14ac:dyDescent="0.25">
      <c r="C11825"/>
    </row>
    <row r="11826" spans="3:3" x14ac:dyDescent="0.25">
      <c r="C11826"/>
    </row>
    <row r="11827" spans="3:3" x14ac:dyDescent="0.25">
      <c r="C11827"/>
    </row>
    <row r="11828" spans="3:3" x14ac:dyDescent="0.25">
      <c r="C11828"/>
    </row>
    <row r="11829" spans="3:3" x14ac:dyDescent="0.25">
      <c r="C11829"/>
    </row>
    <row r="11830" spans="3:3" x14ac:dyDescent="0.25">
      <c r="C11830"/>
    </row>
    <row r="11831" spans="3:3" x14ac:dyDescent="0.25">
      <c r="C11831"/>
    </row>
    <row r="11832" spans="3:3" x14ac:dyDescent="0.25">
      <c r="C11832"/>
    </row>
    <row r="11833" spans="3:3" x14ac:dyDescent="0.25">
      <c r="C11833"/>
    </row>
    <row r="11834" spans="3:3" x14ac:dyDescent="0.25">
      <c r="C11834"/>
    </row>
    <row r="11835" spans="3:3" x14ac:dyDescent="0.25">
      <c r="C11835"/>
    </row>
    <row r="11836" spans="3:3" x14ac:dyDescent="0.25">
      <c r="C11836"/>
    </row>
    <row r="11837" spans="3:3" x14ac:dyDescent="0.25">
      <c r="C11837"/>
    </row>
    <row r="11838" spans="3:3" x14ac:dyDescent="0.25">
      <c r="C11838"/>
    </row>
    <row r="11839" spans="3:3" x14ac:dyDescent="0.25">
      <c r="C11839"/>
    </row>
    <row r="11840" spans="3:3" x14ac:dyDescent="0.25">
      <c r="C11840"/>
    </row>
    <row r="11841" spans="3:3" x14ac:dyDescent="0.25">
      <c r="C11841"/>
    </row>
    <row r="11842" spans="3:3" x14ac:dyDescent="0.25">
      <c r="C11842"/>
    </row>
    <row r="11843" spans="3:3" x14ac:dyDescent="0.25">
      <c r="C11843"/>
    </row>
    <row r="11844" spans="3:3" x14ac:dyDescent="0.25">
      <c r="C11844"/>
    </row>
    <row r="11845" spans="3:3" x14ac:dyDescent="0.25">
      <c r="C11845"/>
    </row>
    <row r="11846" spans="3:3" x14ac:dyDescent="0.25">
      <c r="C11846"/>
    </row>
    <row r="11847" spans="3:3" x14ac:dyDescent="0.25">
      <c r="C11847"/>
    </row>
    <row r="11848" spans="3:3" x14ac:dyDescent="0.25">
      <c r="C11848"/>
    </row>
    <row r="11849" spans="3:3" x14ac:dyDescent="0.25">
      <c r="C11849"/>
    </row>
    <row r="11850" spans="3:3" x14ac:dyDescent="0.25">
      <c r="C11850"/>
    </row>
    <row r="11851" spans="3:3" x14ac:dyDescent="0.25">
      <c r="C11851"/>
    </row>
    <row r="11852" spans="3:3" x14ac:dyDescent="0.25">
      <c r="C11852"/>
    </row>
    <row r="11853" spans="3:3" x14ac:dyDescent="0.25">
      <c r="C11853"/>
    </row>
    <row r="11854" spans="3:3" x14ac:dyDescent="0.25">
      <c r="C11854"/>
    </row>
    <row r="11855" spans="3:3" x14ac:dyDescent="0.25">
      <c r="C11855"/>
    </row>
    <row r="11856" spans="3:3" x14ac:dyDescent="0.25">
      <c r="C11856"/>
    </row>
    <row r="11857" spans="3:3" x14ac:dyDescent="0.25">
      <c r="C11857"/>
    </row>
    <row r="11858" spans="3:3" x14ac:dyDescent="0.25">
      <c r="C11858"/>
    </row>
    <row r="11859" spans="3:3" x14ac:dyDescent="0.25">
      <c r="C11859"/>
    </row>
    <row r="11860" spans="3:3" x14ac:dyDescent="0.25">
      <c r="C11860"/>
    </row>
    <row r="11861" spans="3:3" x14ac:dyDescent="0.25">
      <c r="C11861"/>
    </row>
    <row r="11862" spans="3:3" x14ac:dyDescent="0.25">
      <c r="C11862"/>
    </row>
    <row r="11863" spans="3:3" x14ac:dyDescent="0.25">
      <c r="C11863"/>
    </row>
    <row r="11864" spans="3:3" x14ac:dyDescent="0.25">
      <c r="C11864"/>
    </row>
    <row r="11865" spans="3:3" x14ac:dyDescent="0.25">
      <c r="C11865"/>
    </row>
    <row r="11866" spans="3:3" x14ac:dyDescent="0.25">
      <c r="C11866"/>
    </row>
    <row r="11867" spans="3:3" x14ac:dyDescent="0.25">
      <c r="C11867"/>
    </row>
    <row r="11868" spans="3:3" x14ac:dyDescent="0.25">
      <c r="C11868"/>
    </row>
    <row r="11869" spans="3:3" x14ac:dyDescent="0.25">
      <c r="C11869"/>
    </row>
    <row r="11870" spans="3:3" x14ac:dyDescent="0.25">
      <c r="C11870"/>
    </row>
    <row r="11871" spans="3:3" x14ac:dyDescent="0.25">
      <c r="C11871"/>
    </row>
    <row r="11872" spans="3:3" x14ac:dyDescent="0.25">
      <c r="C11872"/>
    </row>
    <row r="11873" spans="3:3" x14ac:dyDescent="0.25">
      <c r="C11873"/>
    </row>
    <row r="11874" spans="3:3" x14ac:dyDescent="0.25">
      <c r="C11874"/>
    </row>
    <row r="11875" spans="3:3" x14ac:dyDescent="0.25">
      <c r="C11875"/>
    </row>
    <row r="11876" spans="3:3" x14ac:dyDescent="0.25">
      <c r="C11876"/>
    </row>
    <row r="11877" spans="3:3" x14ac:dyDescent="0.25">
      <c r="C11877"/>
    </row>
    <row r="11878" spans="3:3" x14ac:dyDescent="0.25">
      <c r="C11878"/>
    </row>
    <row r="11879" spans="3:3" x14ac:dyDescent="0.25">
      <c r="C11879"/>
    </row>
    <row r="11880" spans="3:3" x14ac:dyDescent="0.25">
      <c r="C11880"/>
    </row>
    <row r="11881" spans="3:3" x14ac:dyDescent="0.25">
      <c r="C11881"/>
    </row>
    <row r="11882" spans="3:3" x14ac:dyDescent="0.25">
      <c r="C11882"/>
    </row>
    <row r="11883" spans="3:3" x14ac:dyDescent="0.25">
      <c r="C11883"/>
    </row>
    <row r="11884" spans="3:3" x14ac:dyDescent="0.25">
      <c r="C11884"/>
    </row>
    <row r="11885" spans="3:3" x14ac:dyDescent="0.25">
      <c r="C11885"/>
    </row>
    <row r="11886" spans="3:3" x14ac:dyDescent="0.25">
      <c r="C11886"/>
    </row>
    <row r="11887" spans="3:3" x14ac:dyDescent="0.25">
      <c r="C11887"/>
    </row>
    <row r="11888" spans="3:3" x14ac:dyDescent="0.25">
      <c r="C11888"/>
    </row>
    <row r="11889" spans="3:3" x14ac:dyDescent="0.25">
      <c r="C11889"/>
    </row>
    <row r="11890" spans="3:3" x14ac:dyDescent="0.25">
      <c r="C11890"/>
    </row>
    <row r="11891" spans="3:3" x14ac:dyDescent="0.25">
      <c r="C11891"/>
    </row>
    <row r="11892" spans="3:3" x14ac:dyDescent="0.25">
      <c r="C11892"/>
    </row>
    <row r="11893" spans="3:3" x14ac:dyDescent="0.25">
      <c r="C11893"/>
    </row>
    <row r="11894" spans="3:3" x14ac:dyDescent="0.25">
      <c r="C11894"/>
    </row>
    <row r="11895" spans="3:3" x14ac:dyDescent="0.25">
      <c r="C11895"/>
    </row>
    <row r="11896" spans="3:3" x14ac:dyDescent="0.25">
      <c r="C11896"/>
    </row>
    <row r="11897" spans="3:3" x14ac:dyDescent="0.25">
      <c r="C11897"/>
    </row>
    <row r="11898" spans="3:3" x14ac:dyDescent="0.25">
      <c r="C11898"/>
    </row>
    <row r="11899" spans="3:3" x14ac:dyDescent="0.25">
      <c r="C11899"/>
    </row>
    <row r="11900" spans="3:3" x14ac:dyDescent="0.25">
      <c r="C11900"/>
    </row>
    <row r="11901" spans="3:3" x14ac:dyDescent="0.25">
      <c r="C11901"/>
    </row>
    <row r="11902" spans="3:3" x14ac:dyDescent="0.25">
      <c r="C11902"/>
    </row>
    <row r="11903" spans="3:3" x14ac:dyDescent="0.25">
      <c r="C11903"/>
    </row>
    <row r="11904" spans="3:3" x14ac:dyDescent="0.25">
      <c r="C11904"/>
    </row>
    <row r="11905" spans="3:3" x14ac:dyDescent="0.25">
      <c r="C11905"/>
    </row>
    <row r="11906" spans="3:3" x14ac:dyDescent="0.25">
      <c r="C11906"/>
    </row>
    <row r="11907" spans="3:3" x14ac:dyDescent="0.25">
      <c r="C11907"/>
    </row>
    <row r="11908" spans="3:3" x14ac:dyDescent="0.25">
      <c r="C11908"/>
    </row>
    <row r="11909" spans="3:3" x14ac:dyDescent="0.25">
      <c r="C11909"/>
    </row>
    <row r="11910" spans="3:3" x14ac:dyDescent="0.25">
      <c r="C11910"/>
    </row>
    <row r="11911" spans="3:3" x14ac:dyDescent="0.25">
      <c r="C11911"/>
    </row>
    <row r="11912" spans="3:3" x14ac:dyDescent="0.25">
      <c r="C11912"/>
    </row>
    <row r="11913" spans="3:3" x14ac:dyDescent="0.25">
      <c r="C11913"/>
    </row>
    <row r="11914" spans="3:3" x14ac:dyDescent="0.25">
      <c r="C11914"/>
    </row>
    <row r="11915" spans="3:3" x14ac:dyDescent="0.25">
      <c r="C11915"/>
    </row>
    <row r="11916" spans="3:3" x14ac:dyDescent="0.25">
      <c r="C11916"/>
    </row>
    <row r="11917" spans="3:3" x14ac:dyDescent="0.25">
      <c r="C11917"/>
    </row>
    <row r="11918" spans="3:3" x14ac:dyDescent="0.25">
      <c r="C11918"/>
    </row>
    <row r="11919" spans="3:3" x14ac:dyDescent="0.25">
      <c r="C11919"/>
    </row>
    <row r="11920" spans="3:3" x14ac:dyDescent="0.25">
      <c r="C11920"/>
    </row>
    <row r="11921" spans="3:3" x14ac:dyDescent="0.25">
      <c r="C11921"/>
    </row>
    <row r="11922" spans="3:3" x14ac:dyDescent="0.25">
      <c r="C11922"/>
    </row>
    <row r="11923" spans="3:3" x14ac:dyDescent="0.25">
      <c r="C11923"/>
    </row>
    <row r="11924" spans="3:3" x14ac:dyDescent="0.25">
      <c r="C11924"/>
    </row>
    <row r="11925" spans="3:3" x14ac:dyDescent="0.25">
      <c r="C11925"/>
    </row>
    <row r="11926" spans="3:3" x14ac:dyDescent="0.25">
      <c r="C11926"/>
    </row>
    <row r="11927" spans="3:3" x14ac:dyDescent="0.25">
      <c r="C11927"/>
    </row>
    <row r="11928" spans="3:3" x14ac:dyDescent="0.25">
      <c r="C11928"/>
    </row>
    <row r="11929" spans="3:3" x14ac:dyDescent="0.25">
      <c r="C11929"/>
    </row>
    <row r="11930" spans="3:3" x14ac:dyDescent="0.25">
      <c r="C11930"/>
    </row>
    <row r="11931" spans="3:3" x14ac:dyDescent="0.25">
      <c r="C11931"/>
    </row>
    <row r="11932" spans="3:3" x14ac:dyDescent="0.25">
      <c r="C11932"/>
    </row>
    <row r="11933" spans="3:3" x14ac:dyDescent="0.25">
      <c r="C11933"/>
    </row>
    <row r="11934" spans="3:3" x14ac:dyDescent="0.25">
      <c r="C11934"/>
    </row>
    <row r="11935" spans="3:3" x14ac:dyDescent="0.25">
      <c r="C11935"/>
    </row>
    <row r="11936" spans="3:3" x14ac:dyDescent="0.25">
      <c r="C11936"/>
    </row>
    <row r="11937" spans="3:3" x14ac:dyDescent="0.25">
      <c r="C11937"/>
    </row>
    <row r="11938" spans="3:3" x14ac:dyDescent="0.25">
      <c r="C11938"/>
    </row>
    <row r="11939" spans="3:3" x14ac:dyDescent="0.25">
      <c r="C11939"/>
    </row>
    <row r="11940" spans="3:3" x14ac:dyDescent="0.25">
      <c r="C11940"/>
    </row>
    <row r="11941" spans="3:3" x14ac:dyDescent="0.25">
      <c r="C11941"/>
    </row>
    <row r="11942" spans="3:3" x14ac:dyDescent="0.25">
      <c r="C11942"/>
    </row>
    <row r="11943" spans="3:3" x14ac:dyDescent="0.25">
      <c r="C11943"/>
    </row>
    <row r="11944" spans="3:3" x14ac:dyDescent="0.25">
      <c r="C11944"/>
    </row>
    <row r="11945" spans="3:3" x14ac:dyDescent="0.25">
      <c r="C11945"/>
    </row>
    <row r="11946" spans="3:3" x14ac:dyDescent="0.25">
      <c r="C11946"/>
    </row>
    <row r="11947" spans="3:3" x14ac:dyDescent="0.25">
      <c r="C11947"/>
    </row>
    <row r="11948" spans="3:3" x14ac:dyDescent="0.25">
      <c r="C11948"/>
    </row>
    <row r="11949" spans="3:3" x14ac:dyDescent="0.25">
      <c r="C11949"/>
    </row>
    <row r="11950" spans="3:3" x14ac:dyDescent="0.25">
      <c r="C11950"/>
    </row>
    <row r="11951" spans="3:3" x14ac:dyDescent="0.25">
      <c r="C11951"/>
    </row>
    <row r="11952" spans="3:3" x14ac:dyDescent="0.25">
      <c r="C11952"/>
    </row>
    <row r="11953" spans="3:3" x14ac:dyDescent="0.25">
      <c r="C11953"/>
    </row>
    <row r="11954" spans="3:3" x14ac:dyDescent="0.25">
      <c r="C11954"/>
    </row>
    <row r="11955" spans="3:3" x14ac:dyDescent="0.25">
      <c r="C11955"/>
    </row>
    <row r="11956" spans="3:3" x14ac:dyDescent="0.25">
      <c r="C11956"/>
    </row>
    <row r="11957" spans="3:3" x14ac:dyDescent="0.25">
      <c r="C11957"/>
    </row>
    <row r="11958" spans="3:3" x14ac:dyDescent="0.25">
      <c r="C11958"/>
    </row>
    <row r="11959" spans="3:3" x14ac:dyDescent="0.25">
      <c r="C11959"/>
    </row>
    <row r="11960" spans="3:3" x14ac:dyDescent="0.25">
      <c r="C11960"/>
    </row>
    <row r="11961" spans="3:3" x14ac:dyDescent="0.25">
      <c r="C11961"/>
    </row>
    <row r="11962" spans="3:3" x14ac:dyDescent="0.25">
      <c r="C11962"/>
    </row>
    <row r="11963" spans="3:3" x14ac:dyDescent="0.25">
      <c r="C11963"/>
    </row>
    <row r="11964" spans="3:3" x14ac:dyDescent="0.25">
      <c r="C11964"/>
    </row>
    <row r="11965" spans="3:3" x14ac:dyDescent="0.25">
      <c r="C11965"/>
    </row>
    <row r="11966" spans="3:3" x14ac:dyDescent="0.25">
      <c r="C11966"/>
    </row>
    <row r="11967" spans="3:3" x14ac:dyDescent="0.25">
      <c r="C11967"/>
    </row>
    <row r="11968" spans="3:3" x14ac:dyDescent="0.25">
      <c r="C11968"/>
    </row>
    <row r="11969" spans="3:3" x14ac:dyDescent="0.25">
      <c r="C11969"/>
    </row>
    <row r="11970" spans="3:3" x14ac:dyDescent="0.25">
      <c r="C11970"/>
    </row>
    <row r="11971" spans="3:3" x14ac:dyDescent="0.25">
      <c r="C11971"/>
    </row>
    <row r="11972" spans="3:3" x14ac:dyDescent="0.25">
      <c r="C11972"/>
    </row>
    <row r="11973" spans="3:3" x14ac:dyDescent="0.25">
      <c r="C11973"/>
    </row>
    <row r="11974" spans="3:3" x14ac:dyDescent="0.25">
      <c r="C11974"/>
    </row>
    <row r="11975" spans="3:3" x14ac:dyDescent="0.25">
      <c r="C11975"/>
    </row>
    <row r="11976" spans="3:3" x14ac:dyDescent="0.25">
      <c r="C11976"/>
    </row>
    <row r="11977" spans="3:3" x14ac:dyDescent="0.25">
      <c r="C11977"/>
    </row>
    <row r="11978" spans="3:3" x14ac:dyDescent="0.25">
      <c r="C11978"/>
    </row>
    <row r="11979" spans="3:3" x14ac:dyDescent="0.25">
      <c r="C11979"/>
    </row>
    <row r="11980" spans="3:3" x14ac:dyDescent="0.25">
      <c r="C11980"/>
    </row>
    <row r="11981" spans="3:3" x14ac:dyDescent="0.25">
      <c r="C11981"/>
    </row>
    <row r="11982" spans="3:3" x14ac:dyDescent="0.25">
      <c r="C11982"/>
    </row>
    <row r="11983" spans="3:3" x14ac:dyDescent="0.25">
      <c r="C11983"/>
    </row>
    <row r="11984" spans="3:3" x14ac:dyDescent="0.25">
      <c r="C11984"/>
    </row>
    <row r="11985" spans="3:3" x14ac:dyDescent="0.25">
      <c r="C11985"/>
    </row>
    <row r="11986" spans="3:3" x14ac:dyDescent="0.25">
      <c r="C11986"/>
    </row>
    <row r="11987" spans="3:3" x14ac:dyDescent="0.25">
      <c r="C11987"/>
    </row>
    <row r="11988" spans="3:3" x14ac:dyDescent="0.25">
      <c r="C11988"/>
    </row>
    <row r="11989" spans="3:3" x14ac:dyDescent="0.25">
      <c r="C11989"/>
    </row>
    <row r="11990" spans="3:3" x14ac:dyDescent="0.25">
      <c r="C11990"/>
    </row>
    <row r="11991" spans="3:3" x14ac:dyDescent="0.25">
      <c r="C11991"/>
    </row>
    <row r="11992" spans="3:3" x14ac:dyDescent="0.25">
      <c r="C11992"/>
    </row>
    <row r="11993" spans="3:3" x14ac:dyDescent="0.25">
      <c r="C11993"/>
    </row>
    <row r="11994" spans="3:3" x14ac:dyDescent="0.25">
      <c r="C11994"/>
    </row>
    <row r="11995" spans="3:3" x14ac:dyDescent="0.25">
      <c r="C11995"/>
    </row>
    <row r="11996" spans="3:3" x14ac:dyDescent="0.25">
      <c r="C11996"/>
    </row>
    <row r="11997" spans="3:3" x14ac:dyDescent="0.25">
      <c r="C11997"/>
    </row>
    <row r="11998" spans="3:3" x14ac:dyDescent="0.25">
      <c r="C11998"/>
    </row>
    <row r="11999" spans="3:3" x14ac:dyDescent="0.25">
      <c r="C11999"/>
    </row>
    <row r="12000" spans="3:3" x14ac:dyDescent="0.25">
      <c r="C12000"/>
    </row>
    <row r="12001" spans="3:3" x14ac:dyDescent="0.25">
      <c r="C12001"/>
    </row>
    <row r="12002" spans="3:3" x14ac:dyDescent="0.25">
      <c r="C12002"/>
    </row>
    <row r="12003" spans="3:3" x14ac:dyDescent="0.25">
      <c r="C12003"/>
    </row>
    <row r="12004" spans="3:3" x14ac:dyDescent="0.25">
      <c r="C12004"/>
    </row>
    <row r="12005" spans="3:3" x14ac:dyDescent="0.25">
      <c r="C12005"/>
    </row>
    <row r="12006" spans="3:3" x14ac:dyDescent="0.25">
      <c r="C12006"/>
    </row>
    <row r="12007" spans="3:3" x14ac:dyDescent="0.25">
      <c r="C12007"/>
    </row>
    <row r="12008" spans="3:3" x14ac:dyDescent="0.25">
      <c r="C12008"/>
    </row>
    <row r="12009" spans="3:3" x14ac:dyDescent="0.25">
      <c r="C12009"/>
    </row>
    <row r="12010" spans="3:3" x14ac:dyDescent="0.25">
      <c r="C12010"/>
    </row>
    <row r="12011" spans="3:3" x14ac:dyDescent="0.25">
      <c r="C12011"/>
    </row>
    <row r="12012" spans="3:3" x14ac:dyDescent="0.25">
      <c r="C12012"/>
    </row>
    <row r="12013" spans="3:3" x14ac:dyDescent="0.25">
      <c r="C12013"/>
    </row>
    <row r="12014" spans="3:3" x14ac:dyDescent="0.25">
      <c r="C12014"/>
    </row>
    <row r="12015" spans="3:3" x14ac:dyDescent="0.25">
      <c r="C12015"/>
    </row>
    <row r="12016" spans="3:3" x14ac:dyDescent="0.25">
      <c r="C12016"/>
    </row>
    <row r="12017" spans="3:3" x14ac:dyDescent="0.25">
      <c r="C12017"/>
    </row>
    <row r="12018" spans="3:3" x14ac:dyDescent="0.25">
      <c r="C12018"/>
    </row>
    <row r="12019" spans="3:3" x14ac:dyDescent="0.25">
      <c r="C12019"/>
    </row>
    <row r="12020" spans="3:3" x14ac:dyDescent="0.25">
      <c r="C12020"/>
    </row>
    <row r="12021" spans="3:3" x14ac:dyDescent="0.25">
      <c r="C12021"/>
    </row>
    <row r="12022" spans="3:3" x14ac:dyDescent="0.25">
      <c r="C12022"/>
    </row>
    <row r="12023" spans="3:3" x14ac:dyDescent="0.25">
      <c r="C12023"/>
    </row>
    <row r="12024" spans="3:3" x14ac:dyDescent="0.25">
      <c r="C12024"/>
    </row>
    <row r="12025" spans="3:3" x14ac:dyDescent="0.25">
      <c r="C12025"/>
    </row>
    <row r="12026" spans="3:3" x14ac:dyDescent="0.25">
      <c r="C12026"/>
    </row>
    <row r="12027" spans="3:3" x14ac:dyDescent="0.25">
      <c r="C12027"/>
    </row>
    <row r="12028" spans="3:3" x14ac:dyDescent="0.25">
      <c r="C12028"/>
    </row>
    <row r="12029" spans="3:3" x14ac:dyDescent="0.25">
      <c r="C12029"/>
    </row>
    <row r="12030" spans="3:3" x14ac:dyDescent="0.25">
      <c r="C12030"/>
    </row>
    <row r="12031" spans="3:3" x14ac:dyDescent="0.25">
      <c r="C12031"/>
    </row>
    <row r="12032" spans="3:3" x14ac:dyDescent="0.25">
      <c r="C12032"/>
    </row>
    <row r="12033" spans="3:3" x14ac:dyDescent="0.25">
      <c r="C12033"/>
    </row>
    <row r="12034" spans="3:3" x14ac:dyDescent="0.25">
      <c r="C12034"/>
    </row>
    <row r="12035" spans="3:3" x14ac:dyDescent="0.25">
      <c r="C12035"/>
    </row>
    <row r="12036" spans="3:3" x14ac:dyDescent="0.25">
      <c r="C12036"/>
    </row>
    <row r="12037" spans="3:3" x14ac:dyDescent="0.25">
      <c r="C12037"/>
    </row>
    <row r="12038" spans="3:3" x14ac:dyDescent="0.25">
      <c r="C12038"/>
    </row>
    <row r="12039" spans="3:3" x14ac:dyDescent="0.25">
      <c r="C12039"/>
    </row>
    <row r="12040" spans="3:3" x14ac:dyDescent="0.25">
      <c r="C12040"/>
    </row>
    <row r="12041" spans="3:3" x14ac:dyDescent="0.25">
      <c r="C12041"/>
    </row>
    <row r="12042" spans="3:3" x14ac:dyDescent="0.25">
      <c r="C12042"/>
    </row>
    <row r="12043" spans="3:3" x14ac:dyDescent="0.25">
      <c r="C12043"/>
    </row>
    <row r="12044" spans="3:3" x14ac:dyDescent="0.25">
      <c r="C12044"/>
    </row>
    <row r="12045" spans="3:3" x14ac:dyDescent="0.25">
      <c r="C12045"/>
    </row>
    <row r="12046" spans="3:3" x14ac:dyDescent="0.25">
      <c r="C12046"/>
    </row>
    <row r="12047" spans="3:3" x14ac:dyDescent="0.25">
      <c r="C12047"/>
    </row>
    <row r="12048" spans="3:3" x14ac:dyDescent="0.25">
      <c r="C12048"/>
    </row>
    <row r="12049" spans="3:3" x14ac:dyDescent="0.25">
      <c r="C12049"/>
    </row>
    <row r="12050" spans="3:3" x14ac:dyDescent="0.25">
      <c r="C12050"/>
    </row>
    <row r="12051" spans="3:3" x14ac:dyDescent="0.25">
      <c r="C12051"/>
    </row>
    <row r="12052" spans="3:3" x14ac:dyDescent="0.25">
      <c r="C12052"/>
    </row>
    <row r="12053" spans="3:3" x14ac:dyDescent="0.25">
      <c r="C12053"/>
    </row>
    <row r="12054" spans="3:3" x14ac:dyDescent="0.25">
      <c r="C12054"/>
    </row>
    <row r="12055" spans="3:3" x14ac:dyDescent="0.25">
      <c r="C12055"/>
    </row>
    <row r="12056" spans="3:3" x14ac:dyDescent="0.25">
      <c r="C12056"/>
    </row>
    <row r="12057" spans="3:3" x14ac:dyDescent="0.25">
      <c r="C12057"/>
    </row>
    <row r="12058" spans="3:3" x14ac:dyDescent="0.25">
      <c r="C12058"/>
    </row>
    <row r="12059" spans="3:3" x14ac:dyDescent="0.25">
      <c r="C12059"/>
    </row>
    <row r="12060" spans="3:3" x14ac:dyDescent="0.25">
      <c r="C12060"/>
    </row>
    <row r="12061" spans="3:3" x14ac:dyDescent="0.25">
      <c r="C12061"/>
    </row>
    <row r="12062" spans="3:3" x14ac:dyDescent="0.25">
      <c r="C12062"/>
    </row>
    <row r="12063" spans="3:3" x14ac:dyDescent="0.25">
      <c r="C12063"/>
    </row>
    <row r="12064" spans="3:3" x14ac:dyDescent="0.25">
      <c r="C12064"/>
    </row>
    <row r="12065" spans="3:3" x14ac:dyDescent="0.25">
      <c r="C12065"/>
    </row>
    <row r="12066" spans="3:3" x14ac:dyDescent="0.25">
      <c r="C12066"/>
    </row>
    <row r="12067" spans="3:3" x14ac:dyDescent="0.25">
      <c r="C12067"/>
    </row>
    <row r="12068" spans="3:3" x14ac:dyDescent="0.25">
      <c r="C12068"/>
    </row>
    <row r="12069" spans="3:3" x14ac:dyDescent="0.25">
      <c r="C12069"/>
    </row>
    <row r="12070" spans="3:3" x14ac:dyDescent="0.25">
      <c r="C12070"/>
    </row>
    <row r="12071" spans="3:3" x14ac:dyDescent="0.25">
      <c r="C12071"/>
    </row>
    <row r="12072" spans="3:3" x14ac:dyDescent="0.25">
      <c r="C12072"/>
    </row>
    <row r="12073" spans="3:3" x14ac:dyDescent="0.25">
      <c r="C12073"/>
    </row>
    <row r="12074" spans="3:3" x14ac:dyDescent="0.25">
      <c r="C12074"/>
    </row>
    <row r="12075" spans="3:3" x14ac:dyDescent="0.25">
      <c r="C12075"/>
    </row>
    <row r="12076" spans="3:3" x14ac:dyDescent="0.25">
      <c r="C12076"/>
    </row>
    <row r="12077" spans="3:3" x14ac:dyDescent="0.25">
      <c r="C12077"/>
    </row>
    <row r="12078" spans="3:3" x14ac:dyDescent="0.25">
      <c r="C12078"/>
    </row>
    <row r="12079" spans="3:3" x14ac:dyDescent="0.25">
      <c r="C12079"/>
    </row>
    <row r="12080" spans="3:3" x14ac:dyDescent="0.25">
      <c r="C12080"/>
    </row>
    <row r="12081" spans="3:3" x14ac:dyDescent="0.25">
      <c r="C12081"/>
    </row>
    <row r="12082" spans="3:3" x14ac:dyDescent="0.25">
      <c r="C12082"/>
    </row>
    <row r="12083" spans="3:3" x14ac:dyDescent="0.25">
      <c r="C12083"/>
    </row>
    <row r="12084" spans="3:3" x14ac:dyDescent="0.25">
      <c r="C1208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 Data</vt:lpstr>
      <vt:lpstr>Other Data --&gt;</vt:lpstr>
      <vt:lpstr>GASB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Michael Gelberg</dc:creator>
  <cp:lastModifiedBy>Gregory Kearney</cp:lastModifiedBy>
  <dcterms:created xsi:type="dcterms:W3CDTF">2024-11-23T00:19:08Z</dcterms:created>
  <dcterms:modified xsi:type="dcterms:W3CDTF">2025-01-30T00:48:37Z</dcterms:modified>
</cp:coreProperties>
</file>